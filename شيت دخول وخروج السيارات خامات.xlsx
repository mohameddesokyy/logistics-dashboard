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رصد الخامات\"/>
    </mc:Choice>
  </mc:AlternateContent>
  <bookViews>
    <workbookView xWindow="0" yWindow="0" windowWidth="28800" windowHeight="12435" firstSheet="4" activeTab="7"/>
  </bookViews>
  <sheets>
    <sheet name="21-4-2026" sheetId="96" r:id="rId1"/>
    <sheet name="22-4-2026" sheetId="97" r:id="rId2"/>
    <sheet name="23-4-2026" sheetId="98" r:id="rId3"/>
    <sheet name="24-4-2026" sheetId="99" r:id="rId4"/>
    <sheet name="25-4-2026" sheetId="100" r:id="rId5"/>
    <sheet name="26-4-2026" sheetId="101" r:id="rId6"/>
    <sheet name="27-4-2026" sheetId="102" r:id="rId7"/>
    <sheet name="28-4-2026" sheetId="103" r:id="rId8"/>
    <sheet name="29-4-2026" sheetId="104" r:id="rId9"/>
    <sheet name="30-4-2026" sheetId="105" r:id="rId10"/>
    <sheet name="1-5-2026" sheetId="106" r:id="rId11"/>
    <sheet name="2-5-2026" sheetId="107" r:id="rId12"/>
    <sheet name="3-5-2026" sheetId="108" r:id="rId13"/>
    <sheet name="4-5-2026" sheetId="109" r:id="rId14"/>
    <sheet name="5-5-2026" sheetId="110" r:id="rId15"/>
    <sheet name="6-5-2026" sheetId="111" r:id="rId1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7" i="111" l="1"/>
  <c r="R17" i="111"/>
  <c r="N17" i="111"/>
  <c r="I17" i="111"/>
  <c r="J17" i="111" s="1"/>
  <c r="S16" i="111"/>
  <c r="R16" i="111"/>
  <c r="N16" i="111"/>
  <c r="J16" i="111"/>
  <c r="I16" i="111"/>
  <c r="S15" i="111"/>
  <c r="R15" i="111"/>
  <c r="N15" i="111"/>
  <c r="J15" i="111"/>
  <c r="I15" i="111"/>
  <c r="R14" i="111"/>
  <c r="S14" i="111" s="1"/>
  <c r="N14" i="111"/>
  <c r="J14" i="111"/>
  <c r="I14" i="111"/>
  <c r="S13" i="111"/>
  <c r="R13" i="111"/>
  <c r="N13" i="111"/>
  <c r="I13" i="111"/>
  <c r="J13" i="111" s="1"/>
  <c r="S12" i="111"/>
  <c r="R12" i="111"/>
  <c r="N12" i="111"/>
  <c r="J12" i="111"/>
  <c r="I12" i="111"/>
  <c r="S11" i="111"/>
  <c r="R11" i="111"/>
  <c r="N11" i="111"/>
  <c r="J11" i="111"/>
  <c r="I11" i="111"/>
  <c r="R10" i="111"/>
  <c r="S10" i="111" s="1"/>
  <c r="N10" i="111"/>
  <c r="J10" i="111"/>
  <c r="I10" i="111"/>
  <c r="S9" i="111"/>
  <c r="R9" i="111"/>
  <c r="N9" i="111"/>
  <c r="I9" i="111"/>
  <c r="J9" i="111" s="1"/>
  <c r="S8" i="111"/>
  <c r="R8" i="111"/>
  <c r="N8" i="111"/>
  <c r="J8" i="111"/>
  <c r="I8" i="111"/>
  <c r="R7" i="111"/>
  <c r="S7" i="111" s="1"/>
  <c r="N7" i="111"/>
  <c r="J7" i="111"/>
  <c r="I7" i="111"/>
  <c r="R6" i="111"/>
  <c r="S6" i="111" s="1"/>
  <c r="N6" i="111"/>
  <c r="J6" i="111"/>
  <c r="I6" i="111"/>
  <c r="S5" i="111"/>
  <c r="R5" i="111"/>
  <c r="N5" i="111"/>
  <c r="I5" i="111"/>
  <c r="J5" i="111" s="1"/>
  <c r="S4" i="111"/>
  <c r="R4" i="111"/>
  <c r="N4" i="111"/>
  <c r="J4" i="111"/>
  <c r="I4" i="111"/>
  <c r="S3" i="111"/>
  <c r="R3" i="111"/>
  <c r="N3" i="111"/>
  <c r="J3" i="111"/>
  <c r="I3" i="111"/>
  <c r="S17" i="110"/>
  <c r="R17" i="110"/>
  <c r="N17" i="110"/>
  <c r="J17" i="110"/>
  <c r="I17" i="110"/>
  <c r="R16" i="110"/>
  <c r="S16" i="110" s="1"/>
  <c r="N16" i="110"/>
  <c r="J16" i="110"/>
  <c r="I16" i="110"/>
  <c r="R15" i="110"/>
  <c r="S15" i="110" s="1"/>
  <c r="N15" i="110"/>
  <c r="I15" i="110"/>
  <c r="J15" i="110" s="1"/>
  <c r="S14" i="110"/>
  <c r="R14" i="110"/>
  <c r="N14" i="110"/>
  <c r="I14" i="110"/>
  <c r="J14" i="110" s="1"/>
  <c r="S13" i="110"/>
  <c r="R13" i="110"/>
  <c r="N13" i="110"/>
  <c r="J13" i="110"/>
  <c r="I13" i="110"/>
  <c r="R12" i="110"/>
  <c r="S12" i="110" s="1"/>
  <c r="N12" i="110"/>
  <c r="J12" i="110"/>
  <c r="I12" i="110"/>
  <c r="R11" i="110"/>
  <c r="S11" i="110" s="1"/>
  <c r="N11" i="110"/>
  <c r="I11" i="110"/>
  <c r="J11" i="110" s="1"/>
  <c r="S10" i="110"/>
  <c r="R10" i="110"/>
  <c r="N10" i="110"/>
  <c r="I10" i="110"/>
  <c r="J10" i="110" s="1"/>
  <c r="S9" i="110"/>
  <c r="R9" i="110"/>
  <c r="N9" i="110"/>
  <c r="J9" i="110"/>
  <c r="I9" i="110"/>
  <c r="R8" i="110"/>
  <c r="S8" i="110" s="1"/>
  <c r="N8" i="110"/>
  <c r="J8" i="110"/>
  <c r="I8" i="110"/>
  <c r="R7" i="110"/>
  <c r="S7" i="110" s="1"/>
  <c r="N7" i="110"/>
  <c r="I7" i="110"/>
  <c r="J7" i="110" s="1"/>
  <c r="S6" i="110"/>
  <c r="R6" i="110"/>
  <c r="N6" i="110"/>
  <c r="I6" i="110"/>
  <c r="J6" i="110" s="1"/>
  <c r="S5" i="110"/>
  <c r="R5" i="110"/>
  <c r="N5" i="110"/>
  <c r="J5" i="110"/>
  <c r="I5" i="110"/>
  <c r="R4" i="110"/>
  <c r="S4" i="110" s="1"/>
  <c r="N4" i="110"/>
  <c r="J4" i="110"/>
  <c r="I4" i="110"/>
  <c r="R3" i="110"/>
  <c r="S3" i="110" s="1"/>
  <c r="N3" i="110"/>
  <c r="I3" i="110"/>
  <c r="J3" i="110" s="1"/>
  <c r="S17" i="109"/>
  <c r="R17" i="109"/>
  <c r="N17" i="109"/>
  <c r="J17" i="109"/>
  <c r="I17" i="109"/>
  <c r="R16" i="109"/>
  <c r="S16" i="109" s="1"/>
  <c r="N16" i="109"/>
  <c r="J16" i="109"/>
  <c r="I16" i="109"/>
  <c r="R15" i="109"/>
  <c r="S15" i="109" s="1"/>
  <c r="N15" i="109"/>
  <c r="I15" i="109"/>
  <c r="J15" i="109" s="1"/>
  <c r="S14" i="109"/>
  <c r="R14" i="109"/>
  <c r="N14" i="109"/>
  <c r="I14" i="109"/>
  <c r="J14" i="109" s="1"/>
  <c r="S13" i="109"/>
  <c r="R13" i="109"/>
  <c r="N13" i="109"/>
  <c r="J13" i="109"/>
  <c r="I13" i="109"/>
  <c r="R12" i="109"/>
  <c r="S12" i="109" s="1"/>
  <c r="N12" i="109"/>
  <c r="J12" i="109"/>
  <c r="I12" i="109"/>
  <c r="R11" i="109"/>
  <c r="S11" i="109" s="1"/>
  <c r="N11" i="109"/>
  <c r="I11" i="109"/>
  <c r="J11" i="109" s="1"/>
  <c r="S10" i="109"/>
  <c r="R10" i="109"/>
  <c r="N10" i="109"/>
  <c r="I10" i="109"/>
  <c r="J10" i="109" s="1"/>
  <c r="S9" i="109"/>
  <c r="R9" i="109"/>
  <c r="N9" i="109"/>
  <c r="J9" i="109"/>
  <c r="I9" i="109"/>
  <c r="R8" i="109"/>
  <c r="S8" i="109" s="1"/>
  <c r="N8" i="109"/>
  <c r="J8" i="109"/>
  <c r="I8" i="109"/>
  <c r="R7" i="109"/>
  <c r="S7" i="109" s="1"/>
  <c r="N7" i="109"/>
  <c r="I7" i="109"/>
  <c r="J7" i="109" s="1"/>
  <c r="S6" i="109"/>
  <c r="R6" i="109"/>
  <c r="N6" i="109"/>
  <c r="I6" i="109"/>
  <c r="J6" i="109" s="1"/>
  <c r="S5" i="109"/>
  <c r="R5" i="109"/>
  <c r="N5" i="109"/>
  <c r="J5" i="109"/>
  <c r="I5" i="109"/>
  <c r="R4" i="109"/>
  <c r="S4" i="109" s="1"/>
  <c r="N4" i="109"/>
  <c r="J4" i="109"/>
  <c r="I4" i="109"/>
  <c r="R3" i="109"/>
  <c r="S3" i="109" s="1"/>
  <c r="N3" i="109"/>
  <c r="I3" i="109"/>
  <c r="J3" i="109" s="1"/>
  <c r="R17" i="108"/>
  <c r="S17" i="108" s="1"/>
  <c r="N17" i="108"/>
  <c r="J17" i="108"/>
  <c r="I17" i="108"/>
  <c r="S16" i="108"/>
  <c r="R16" i="108"/>
  <c r="N16" i="108"/>
  <c r="I16" i="108"/>
  <c r="J16" i="108" s="1"/>
  <c r="R15" i="108"/>
  <c r="S15" i="108" s="1"/>
  <c r="N15" i="108"/>
  <c r="J15" i="108"/>
  <c r="I15" i="108"/>
  <c r="S14" i="108"/>
  <c r="R14" i="108"/>
  <c r="N14" i="108"/>
  <c r="I14" i="108"/>
  <c r="J14" i="108" s="1"/>
  <c r="R13" i="108"/>
  <c r="S13" i="108" s="1"/>
  <c r="N13" i="108"/>
  <c r="J13" i="108"/>
  <c r="I13" i="108"/>
  <c r="S12" i="108"/>
  <c r="R12" i="108"/>
  <c r="N12" i="108"/>
  <c r="I12" i="108"/>
  <c r="J12" i="108" s="1"/>
  <c r="R11" i="108"/>
  <c r="S11" i="108" s="1"/>
  <c r="N11" i="108"/>
  <c r="J11" i="108"/>
  <c r="I11" i="108"/>
  <c r="S10" i="108"/>
  <c r="R10" i="108"/>
  <c r="N10" i="108"/>
  <c r="I10" i="108"/>
  <c r="J10" i="108" s="1"/>
  <c r="S9" i="108"/>
  <c r="R9" i="108"/>
  <c r="N9" i="108"/>
  <c r="J9" i="108"/>
  <c r="I9" i="108"/>
  <c r="S8" i="108"/>
  <c r="R8" i="108"/>
  <c r="N8" i="108"/>
  <c r="J8" i="108"/>
  <c r="I8" i="108"/>
  <c r="R7" i="108"/>
  <c r="S7" i="108" s="1"/>
  <c r="N7" i="108"/>
  <c r="J7" i="108"/>
  <c r="I7" i="108"/>
  <c r="S6" i="108"/>
  <c r="R6" i="108"/>
  <c r="N6" i="108"/>
  <c r="I6" i="108"/>
  <c r="J6" i="108" s="1"/>
  <c r="S5" i="108"/>
  <c r="R5" i="108"/>
  <c r="N5" i="108"/>
  <c r="J5" i="108"/>
  <c r="I5" i="108"/>
  <c r="S4" i="108"/>
  <c r="R4" i="108"/>
  <c r="N4" i="108"/>
  <c r="I4" i="108"/>
  <c r="J4" i="108" s="1"/>
  <c r="R3" i="108"/>
  <c r="S3" i="108" s="1"/>
  <c r="N3" i="108"/>
  <c r="J3" i="108"/>
  <c r="I3" i="108"/>
  <c r="R17" i="107"/>
  <c r="S17" i="107" s="1"/>
  <c r="N17" i="107"/>
  <c r="J17" i="107"/>
  <c r="I17" i="107"/>
  <c r="S16" i="107"/>
  <c r="R16" i="107"/>
  <c r="N16" i="107"/>
  <c r="I16" i="107"/>
  <c r="J16" i="107" s="1"/>
  <c r="R15" i="107"/>
  <c r="S15" i="107" s="1"/>
  <c r="N15" i="107"/>
  <c r="J15" i="107"/>
  <c r="I15" i="107"/>
  <c r="S14" i="107"/>
  <c r="R14" i="107"/>
  <c r="N14" i="107"/>
  <c r="I14" i="107"/>
  <c r="J14" i="107" s="1"/>
  <c r="R13" i="107"/>
  <c r="S13" i="107" s="1"/>
  <c r="N13" i="107"/>
  <c r="J13" i="107"/>
  <c r="I13" i="107"/>
  <c r="S12" i="107"/>
  <c r="R12" i="107"/>
  <c r="N12" i="107"/>
  <c r="I12" i="107"/>
  <c r="J12" i="107" s="1"/>
  <c r="R11" i="107"/>
  <c r="S11" i="107" s="1"/>
  <c r="N11" i="107"/>
  <c r="J11" i="107"/>
  <c r="I11" i="107"/>
  <c r="S10" i="107"/>
  <c r="R10" i="107"/>
  <c r="N10" i="107"/>
  <c r="I10" i="107"/>
  <c r="J10" i="107" s="1"/>
  <c r="R9" i="107"/>
  <c r="S9" i="107" s="1"/>
  <c r="N9" i="107"/>
  <c r="J9" i="107"/>
  <c r="I9" i="107"/>
  <c r="S8" i="107"/>
  <c r="R8" i="107"/>
  <c r="N8" i="107"/>
  <c r="I8" i="107"/>
  <c r="J8" i="107" s="1"/>
  <c r="R7" i="107"/>
  <c r="S7" i="107" s="1"/>
  <c r="N7" i="107"/>
  <c r="J7" i="107"/>
  <c r="I7" i="107"/>
  <c r="S6" i="107"/>
  <c r="R6" i="107"/>
  <c r="N6" i="107"/>
  <c r="I6" i="107"/>
  <c r="J6" i="107" s="1"/>
  <c r="R5" i="107"/>
  <c r="S5" i="107" s="1"/>
  <c r="N5" i="107"/>
  <c r="J5" i="107"/>
  <c r="I5" i="107"/>
  <c r="S4" i="107"/>
  <c r="R4" i="107"/>
  <c r="N4" i="107"/>
  <c r="I4" i="107"/>
  <c r="J4" i="107" s="1"/>
  <c r="R3" i="107"/>
  <c r="S3" i="107" s="1"/>
  <c r="N3" i="107"/>
  <c r="J3" i="107"/>
  <c r="I3" i="107"/>
  <c r="R17" i="106"/>
  <c r="S17" i="106" s="1"/>
  <c r="N17" i="106"/>
  <c r="J17" i="106"/>
  <c r="I17" i="106"/>
  <c r="S16" i="106"/>
  <c r="R16" i="106"/>
  <c r="N16" i="106"/>
  <c r="I16" i="106"/>
  <c r="J16" i="106" s="1"/>
  <c r="R15" i="106"/>
  <c r="S15" i="106" s="1"/>
  <c r="N15" i="106"/>
  <c r="J15" i="106"/>
  <c r="I15" i="106"/>
  <c r="S14" i="106"/>
  <c r="R14" i="106"/>
  <c r="N14" i="106"/>
  <c r="I14" i="106"/>
  <c r="J14" i="106" s="1"/>
  <c r="R13" i="106"/>
  <c r="S13" i="106" s="1"/>
  <c r="N13" i="106"/>
  <c r="J13" i="106"/>
  <c r="I13" i="106"/>
  <c r="S12" i="106"/>
  <c r="R12" i="106"/>
  <c r="N12" i="106"/>
  <c r="I12" i="106"/>
  <c r="J12" i="106" s="1"/>
  <c r="R11" i="106"/>
  <c r="S11" i="106" s="1"/>
  <c r="N11" i="106"/>
  <c r="J11" i="106"/>
  <c r="I11" i="106"/>
  <c r="S10" i="106"/>
  <c r="R10" i="106"/>
  <c r="N10" i="106"/>
  <c r="I10" i="106"/>
  <c r="J10" i="106" s="1"/>
  <c r="R9" i="106"/>
  <c r="S9" i="106" s="1"/>
  <c r="N9" i="106"/>
  <c r="J9" i="106"/>
  <c r="I9" i="106"/>
  <c r="S8" i="106"/>
  <c r="R8" i="106"/>
  <c r="N8" i="106"/>
  <c r="I8" i="106"/>
  <c r="J8" i="106" s="1"/>
  <c r="R7" i="106"/>
  <c r="S7" i="106" s="1"/>
  <c r="N7" i="106"/>
  <c r="J7" i="106"/>
  <c r="I7" i="106"/>
  <c r="S6" i="106"/>
  <c r="R6" i="106"/>
  <c r="N6" i="106"/>
  <c r="I6" i="106"/>
  <c r="J6" i="106" s="1"/>
  <c r="R5" i="106"/>
  <c r="S5" i="106" s="1"/>
  <c r="N5" i="106"/>
  <c r="J5" i="106"/>
  <c r="I5" i="106"/>
  <c r="S4" i="106"/>
  <c r="R4" i="106"/>
  <c r="N4" i="106"/>
  <c r="I4" i="106"/>
  <c r="J4" i="106" s="1"/>
  <c r="R3" i="106"/>
  <c r="S3" i="106" s="1"/>
  <c r="N3" i="106"/>
  <c r="J3" i="106"/>
  <c r="I3" i="106"/>
  <c r="I5" i="101" l="1"/>
  <c r="J5" i="101" s="1"/>
  <c r="N5" i="101"/>
  <c r="R5" i="101"/>
  <c r="S5" i="101" s="1"/>
  <c r="I6" i="101"/>
  <c r="J6" i="101" s="1"/>
  <c r="R6" i="101"/>
  <c r="I7" i="101"/>
  <c r="J7" i="101" s="1"/>
  <c r="N7" i="101"/>
  <c r="R7" i="101"/>
  <c r="I8" i="101"/>
  <c r="J8" i="101" s="1"/>
  <c r="R8" i="101"/>
  <c r="S8" i="101" s="1"/>
  <c r="I9" i="101"/>
  <c r="J9" i="101" s="1"/>
  <c r="R9" i="101"/>
  <c r="I10" i="101"/>
  <c r="N10" i="101"/>
  <c r="R10" i="101"/>
  <c r="I11" i="101"/>
  <c r="R11" i="101"/>
  <c r="S11" i="101" s="1"/>
  <c r="R17" i="105" l="1"/>
  <c r="S17" i="105" s="1"/>
  <c r="N17" i="105"/>
  <c r="J17" i="105"/>
  <c r="I17" i="105"/>
  <c r="S16" i="105"/>
  <c r="R16" i="105"/>
  <c r="N16" i="105"/>
  <c r="I16" i="105"/>
  <c r="J16" i="105" s="1"/>
  <c r="R15" i="105"/>
  <c r="S15" i="105" s="1"/>
  <c r="N15" i="105"/>
  <c r="J15" i="105"/>
  <c r="I15" i="105"/>
  <c r="S14" i="105"/>
  <c r="R14" i="105"/>
  <c r="N14" i="105"/>
  <c r="I14" i="105"/>
  <c r="J14" i="105" s="1"/>
  <c r="R13" i="105"/>
  <c r="S13" i="105" s="1"/>
  <c r="N13" i="105"/>
  <c r="J13" i="105"/>
  <c r="I13" i="105"/>
  <c r="S12" i="105"/>
  <c r="R12" i="105"/>
  <c r="N12" i="105"/>
  <c r="I12" i="105"/>
  <c r="J12" i="105" s="1"/>
  <c r="R11" i="105"/>
  <c r="S11" i="105" s="1"/>
  <c r="N11" i="105"/>
  <c r="J11" i="105"/>
  <c r="I11" i="105"/>
  <c r="S10" i="105"/>
  <c r="R10" i="105"/>
  <c r="N10" i="105"/>
  <c r="I10" i="105"/>
  <c r="J10" i="105" s="1"/>
  <c r="R9" i="105"/>
  <c r="S9" i="105" s="1"/>
  <c r="N9" i="105"/>
  <c r="J9" i="105"/>
  <c r="I9" i="105"/>
  <c r="S8" i="105"/>
  <c r="R8" i="105"/>
  <c r="N8" i="105"/>
  <c r="I8" i="105"/>
  <c r="J8" i="105" s="1"/>
  <c r="R7" i="105"/>
  <c r="S7" i="105" s="1"/>
  <c r="N7" i="105"/>
  <c r="J7" i="105"/>
  <c r="I7" i="105"/>
  <c r="S6" i="105"/>
  <c r="R6" i="105"/>
  <c r="N6" i="105"/>
  <c r="I6" i="105"/>
  <c r="J6" i="105" s="1"/>
  <c r="R5" i="105"/>
  <c r="S5" i="105" s="1"/>
  <c r="N5" i="105"/>
  <c r="J5" i="105"/>
  <c r="I5" i="105"/>
  <c r="S4" i="105"/>
  <c r="R4" i="105"/>
  <c r="N4" i="105"/>
  <c r="I4" i="105"/>
  <c r="J4" i="105" s="1"/>
  <c r="R3" i="105"/>
  <c r="S3" i="105" s="1"/>
  <c r="N3" i="105"/>
  <c r="J3" i="105"/>
  <c r="I3" i="105"/>
  <c r="R17" i="104"/>
  <c r="S17" i="104" s="1"/>
  <c r="N17" i="104"/>
  <c r="I17" i="104"/>
  <c r="J17" i="104" s="1"/>
  <c r="S16" i="104"/>
  <c r="R16" i="104"/>
  <c r="N16" i="104"/>
  <c r="I16" i="104"/>
  <c r="J16" i="104" s="1"/>
  <c r="R15" i="104"/>
  <c r="S15" i="104" s="1"/>
  <c r="N15" i="104"/>
  <c r="J15" i="104"/>
  <c r="I15" i="104"/>
  <c r="R14" i="104"/>
  <c r="S14" i="104" s="1"/>
  <c r="N14" i="104"/>
  <c r="I14" i="104"/>
  <c r="J14" i="104" s="1"/>
  <c r="R13" i="104"/>
  <c r="S13" i="104" s="1"/>
  <c r="N13" i="104"/>
  <c r="I13" i="104"/>
  <c r="J13" i="104" s="1"/>
  <c r="S12" i="104"/>
  <c r="R12" i="104"/>
  <c r="N12" i="104"/>
  <c r="I12" i="104"/>
  <c r="J12" i="104" s="1"/>
  <c r="R11" i="104"/>
  <c r="S11" i="104" s="1"/>
  <c r="N11" i="104"/>
  <c r="J11" i="104"/>
  <c r="I11" i="104"/>
  <c r="R10" i="104"/>
  <c r="S10" i="104" s="1"/>
  <c r="N10" i="104"/>
  <c r="I10" i="104"/>
  <c r="J10" i="104" s="1"/>
  <c r="R9" i="104"/>
  <c r="S9" i="104" s="1"/>
  <c r="N9" i="104"/>
  <c r="I9" i="104"/>
  <c r="J9" i="104" s="1"/>
  <c r="S8" i="104"/>
  <c r="R8" i="104"/>
  <c r="N8" i="104"/>
  <c r="I8" i="104"/>
  <c r="J8" i="104" s="1"/>
  <c r="R7" i="104"/>
  <c r="S7" i="104" s="1"/>
  <c r="N7" i="104"/>
  <c r="J7" i="104"/>
  <c r="I7" i="104"/>
  <c r="R6" i="104"/>
  <c r="S6" i="104" s="1"/>
  <c r="N6" i="104"/>
  <c r="I6" i="104"/>
  <c r="J6" i="104" s="1"/>
  <c r="R5" i="104"/>
  <c r="S5" i="104" s="1"/>
  <c r="N5" i="104"/>
  <c r="I5" i="104"/>
  <c r="J5" i="104" s="1"/>
  <c r="S4" i="104"/>
  <c r="R4" i="104"/>
  <c r="N4" i="104"/>
  <c r="I4" i="104"/>
  <c r="J4" i="104" s="1"/>
  <c r="R3" i="104"/>
  <c r="S3" i="104" s="1"/>
  <c r="N3" i="104"/>
  <c r="J3" i="104"/>
  <c r="I3" i="104"/>
  <c r="R9" i="103"/>
  <c r="I9" i="103"/>
  <c r="R8" i="103"/>
  <c r="N8" i="103"/>
  <c r="I8" i="103"/>
  <c r="R7" i="103"/>
  <c r="I7" i="103"/>
  <c r="R6" i="103"/>
  <c r="I6" i="103"/>
  <c r="R5" i="103"/>
  <c r="S5" i="103" s="1"/>
  <c r="I5" i="103"/>
  <c r="R4" i="103"/>
  <c r="I4" i="103"/>
  <c r="R3" i="103"/>
  <c r="N3" i="103"/>
  <c r="I3" i="103"/>
  <c r="R9" i="102"/>
  <c r="N9" i="102"/>
  <c r="I9" i="102"/>
  <c r="R8" i="102"/>
  <c r="N8" i="102"/>
  <c r="I8" i="102"/>
  <c r="R7" i="102"/>
  <c r="N7" i="102"/>
  <c r="I7" i="102"/>
  <c r="R6" i="102"/>
  <c r="N6" i="102"/>
  <c r="I6" i="102"/>
  <c r="R5" i="102"/>
  <c r="N5" i="102"/>
  <c r="I5" i="102"/>
  <c r="R4" i="102"/>
  <c r="S4" i="102" s="1"/>
  <c r="N4" i="102"/>
  <c r="I4" i="102"/>
  <c r="R3" i="102"/>
  <c r="N3" i="102"/>
  <c r="I3" i="102"/>
  <c r="R4" i="101" l="1"/>
  <c r="I4" i="101"/>
  <c r="J4" i="101" s="1"/>
  <c r="R3" i="101"/>
  <c r="N3" i="101"/>
  <c r="I3" i="101"/>
  <c r="J3" i="101" s="1"/>
  <c r="R9" i="100"/>
  <c r="I9" i="100"/>
  <c r="R8" i="100"/>
  <c r="N8" i="100"/>
  <c r="I8" i="100"/>
  <c r="R7" i="100"/>
  <c r="I7" i="100"/>
  <c r="R6" i="100"/>
  <c r="N6" i="100"/>
  <c r="I6" i="100"/>
  <c r="R5" i="100"/>
  <c r="S5" i="100" s="1"/>
  <c r="I5" i="100"/>
  <c r="J5" i="100" s="1"/>
  <c r="R4" i="100"/>
  <c r="I4" i="100"/>
  <c r="J4" i="100" s="1"/>
  <c r="R3" i="100"/>
  <c r="S3" i="100" s="1"/>
  <c r="N3" i="100"/>
  <c r="I3" i="100"/>
  <c r="J3" i="100" s="1"/>
  <c r="S4" i="99"/>
  <c r="R4" i="99"/>
  <c r="N4" i="99"/>
  <c r="R3" i="99"/>
  <c r="S3" i="99" s="1"/>
  <c r="N3" i="99"/>
  <c r="R9" i="98" l="1"/>
  <c r="I9" i="98"/>
  <c r="J9" i="98" s="1"/>
  <c r="R8" i="98"/>
  <c r="I8" i="98"/>
  <c r="J8" i="98" s="1"/>
  <c r="R7" i="98"/>
  <c r="I7" i="98"/>
  <c r="J7" i="98" s="1"/>
  <c r="R6" i="98"/>
  <c r="N6" i="98"/>
  <c r="I6" i="98"/>
  <c r="J6" i="98" s="1"/>
  <c r="R5" i="98"/>
  <c r="I5" i="98"/>
  <c r="R4" i="98"/>
  <c r="I4" i="98"/>
  <c r="R3" i="98"/>
  <c r="I3" i="98"/>
  <c r="R12" i="97"/>
  <c r="N12" i="97"/>
  <c r="I12" i="97"/>
  <c r="J12" i="97" s="1"/>
  <c r="R11" i="97"/>
  <c r="I11" i="97"/>
  <c r="J11" i="97" s="1"/>
  <c r="R10" i="97"/>
  <c r="I10" i="97"/>
  <c r="J10" i="97" s="1"/>
  <c r="R9" i="97"/>
  <c r="N9" i="97"/>
  <c r="I9" i="97"/>
  <c r="J9" i="97" s="1"/>
  <c r="R8" i="97"/>
  <c r="I8" i="97"/>
  <c r="R7" i="97"/>
  <c r="S7" i="97" s="1"/>
  <c r="N7" i="97"/>
  <c r="I7" i="97"/>
  <c r="R6" i="97"/>
  <c r="I6" i="97"/>
  <c r="J6" i="97" s="1"/>
  <c r="R5" i="97"/>
  <c r="S5" i="97" s="1"/>
  <c r="I5" i="97"/>
  <c r="J5" i="97" s="1"/>
  <c r="R4" i="97"/>
  <c r="I4" i="97"/>
  <c r="J4" i="97" s="1"/>
  <c r="R3" i="97"/>
  <c r="N3" i="97"/>
  <c r="I3" i="97"/>
  <c r="J3" i="97" s="1"/>
  <c r="R9" i="96" l="1"/>
  <c r="S9" i="96" s="1"/>
  <c r="I9" i="96"/>
  <c r="R8" i="96"/>
  <c r="N8" i="96"/>
  <c r="I8" i="96"/>
  <c r="R7" i="96"/>
  <c r="S7" i="96" s="1"/>
  <c r="I7" i="96"/>
  <c r="R6" i="96"/>
  <c r="S6" i="96" s="1"/>
  <c r="N6" i="96"/>
  <c r="I6" i="96"/>
  <c r="R5" i="96"/>
  <c r="I5" i="96"/>
  <c r="R4" i="96"/>
  <c r="I4" i="96"/>
  <c r="R3" i="96"/>
  <c r="S3" i="96" s="1"/>
  <c r="N3" i="96"/>
  <c r="I3" i="96"/>
</calcChain>
</file>

<file path=xl/sharedStrings.xml><?xml version="1.0" encoding="utf-8"?>
<sst xmlns="http://schemas.openxmlformats.org/spreadsheetml/2006/main" count="515" uniqueCount="79">
  <si>
    <t>م</t>
  </si>
  <si>
    <t>رقم
 السيارة</t>
  </si>
  <si>
    <t>نوع
 السيارة</t>
  </si>
  <si>
    <t>الزمن المعيارى للتحميل</t>
  </si>
  <si>
    <t>اسم
 الفرع</t>
  </si>
  <si>
    <t>اسم
 السائق</t>
  </si>
  <si>
    <t>دخول
 الكيدج</t>
  </si>
  <si>
    <t>نزول من
 الكيدج</t>
  </si>
  <si>
    <t>مدة التحميل</t>
  </si>
  <si>
    <t>مدة انحراف التحميل</t>
  </si>
  <si>
    <t>خروج من
 المصنع</t>
  </si>
  <si>
    <t>الزمن المعيارى
لدخول الفرع</t>
  </si>
  <si>
    <t xml:space="preserve">دخول
 الفرع </t>
  </si>
  <si>
    <t>مدة انحراف دخول الفرع</t>
  </si>
  <si>
    <t>الزمن المعيارى
لنزول المنتجات</t>
  </si>
  <si>
    <t>فتح
 السياره</t>
  </si>
  <si>
    <t>غلق
 السياره</t>
  </si>
  <si>
    <t>الوقت المستغرق</t>
  </si>
  <si>
    <t>مدة انحراف نزول المنتجات فى الفرع</t>
  </si>
  <si>
    <t>خروج من
 الفرع</t>
  </si>
  <si>
    <t>ملاحظات</t>
  </si>
  <si>
    <t>شيت دخول وخروج السيارات خامات عن يوم الثلاثاء الموافق 21/4/2026</t>
  </si>
  <si>
    <t>شيت دخول وخروج السيارات خامات عن يوم الاربعاء الموافق 22/4/2026</t>
  </si>
  <si>
    <t>شيت دخول وخروج السيارات خامات عن يوم الخميس الموافق 23/4/2026</t>
  </si>
  <si>
    <t>شيت دخول وخروج السيارات خامات عن يوم الجمعة الموافق 24/4/2026</t>
  </si>
  <si>
    <t>شيت دخول وخروج السيارات خامات عن يوم السبت الموافق 25/4/2026</t>
  </si>
  <si>
    <t>شيت دخول وخروج السيارات خامات عن يوم الاحد الموافق 26/4/2026</t>
  </si>
  <si>
    <t>تلتين</t>
  </si>
  <si>
    <t>الدقى</t>
  </si>
  <si>
    <t>فيصل</t>
  </si>
  <si>
    <t>الطوابق</t>
  </si>
  <si>
    <t>خضر محمد</t>
  </si>
  <si>
    <t>دبابة</t>
  </si>
  <si>
    <t>العباسية</t>
  </si>
  <si>
    <t>اكتوبر</t>
  </si>
  <si>
    <t>سيف موافى</t>
  </si>
  <si>
    <t>الشريف</t>
  </si>
  <si>
    <t>الوسط</t>
  </si>
  <si>
    <t>محمد حجازى</t>
  </si>
  <si>
    <t>السواح</t>
  </si>
  <si>
    <t>النزهة</t>
  </si>
  <si>
    <t>الجسر</t>
  </si>
  <si>
    <t>الشيراتون</t>
  </si>
  <si>
    <t>جمال حامد</t>
  </si>
  <si>
    <t>المعادى 1</t>
  </si>
  <si>
    <t>المعادى 2</t>
  </si>
  <si>
    <t>الشروق</t>
  </si>
  <si>
    <t>العبور</t>
  </si>
  <si>
    <t>العاشر من رمضان</t>
  </si>
  <si>
    <t>الكوربة</t>
  </si>
  <si>
    <t>محمد ابراهيم</t>
  </si>
  <si>
    <t>العاشر</t>
  </si>
  <si>
    <t>مكرم</t>
  </si>
  <si>
    <t>التجمع 1</t>
  </si>
  <si>
    <t>التجمع 5</t>
  </si>
  <si>
    <t>مسطرد</t>
  </si>
  <si>
    <t>شبرا</t>
  </si>
  <si>
    <t>الدوران</t>
  </si>
  <si>
    <t>شوقى فوزى</t>
  </si>
  <si>
    <t>مصطفى عيسى</t>
  </si>
  <si>
    <t>لا يوجد تحميل خامات اليوم الجمعة الموافق 24/4/2026</t>
  </si>
  <si>
    <t>شيت دخول وخروج السيارات خامات عن يوم الاثنين الموافق 27/4/2026</t>
  </si>
  <si>
    <t>شيت دخول وخروج السيارات خامات عن يوم الثلاثاء الموافق 28/4/2026</t>
  </si>
  <si>
    <t>شيت دخول وخروج السيارات خامات عن يوم الاربعاء الموافق 29/4/2026</t>
  </si>
  <si>
    <t>شيت دخول وخروج السيارات خامات عن يوم الخميس الموافق 30/4/2026</t>
  </si>
  <si>
    <t>ناصر ابو السعود</t>
  </si>
  <si>
    <t>طارق عزت</t>
  </si>
  <si>
    <t>اسلام عبد الرازق</t>
  </si>
  <si>
    <t>دوران</t>
  </si>
  <si>
    <t>ابراهيم مغاورى</t>
  </si>
  <si>
    <t>عاشر</t>
  </si>
  <si>
    <t>محمود رجب</t>
  </si>
  <si>
    <t>شيت دخول وخروج السيارات خامات عن يوم الجمعة الموافق 1/5/2026</t>
  </si>
  <si>
    <t>شيت دخول وخروج السيارات خامات عن يوم السبت الموافق 2/5/2026</t>
  </si>
  <si>
    <t>شيت دخول وخروج السيارات خامات عن يوم الاحد الموافق 3/5/2026</t>
  </si>
  <si>
    <t>شيت دخول وخروج السيارات خامات عن يوم الاثنين الموافق 4/5/2026</t>
  </si>
  <si>
    <t>شيت دخول وخروج السيارات خامات عن يوم الثلاثاء الموافق 5/5/2026</t>
  </si>
  <si>
    <t>شيت دخول وخروج السيارات خامات عن يوم الاربعاء الموافق 6/5/2026</t>
  </si>
  <si>
    <t>احمد عبد 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</si>
</sst>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" fillId="3" borderId="9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20" fontId="1" fillId="0" borderId="9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20" fontId="1" fillId="2" borderId="6" xfId="0" applyNumberFormat="1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20" fontId="1" fillId="2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rightToLeft="1" workbookViewId="0">
      <selection activeCell="J7" sqref="J7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>
        <v>2695</v>
      </c>
      <c r="C3" s="8" t="s">
        <v>27</v>
      </c>
      <c r="D3" s="9">
        <v>3.125E-2</v>
      </c>
      <c r="E3" s="8" t="s">
        <v>28</v>
      </c>
      <c r="F3" s="8" t="s">
        <v>31</v>
      </c>
      <c r="G3" s="10">
        <v>0.625</v>
      </c>
      <c r="H3" s="10">
        <v>0.64583333333333337</v>
      </c>
      <c r="I3" s="10">
        <f>H3-G3</f>
        <v>2.083333333333337E-2</v>
      </c>
      <c r="J3" s="10">
        <v>0</v>
      </c>
      <c r="K3" s="10">
        <v>0.64583333333333337</v>
      </c>
      <c r="L3" s="10">
        <v>2.4305555555555556E-2</v>
      </c>
      <c r="M3" s="10">
        <v>0.69097222222222221</v>
      </c>
      <c r="N3" s="25">
        <f>M3-L3-K3</f>
        <v>2.0833333333333259E-2</v>
      </c>
      <c r="O3" s="10">
        <v>3.125E-2</v>
      </c>
      <c r="P3" s="10">
        <v>0.70833333333333337</v>
      </c>
      <c r="Q3" s="10">
        <v>0.74583333333333324</v>
      </c>
      <c r="R3" s="10">
        <f>Q3-P3</f>
        <v>3.7499999999999867E-2</v>
      </c>
      <c r="S3" s="25">
        <f>R3-O3</f>
        <v>6.2499999999998668E-3</v>
      </c>
      <c r="T3" s="10">
        <v>0.74791666666666667</v>
      </c>
      <c r="U3" s="11"/>
    </row>
    <row r="4" spans="1:21" ht="19.5" thickBot="1" x14ac:dyDescent="0.3">
      <c r="A4" s="12">
        <v>2</v>
      </c>
      <c r="B4" s="13">
        <v>2695</v>
      </c>
      <c r="C4" s="13" t="s">
        <v>27</v>
      </c>
      <c r="D4" s="14">
        <v>3.125E-2</v>
      </c>
      <c r="E4" s="13" t="s">
        <v>29</v>
      </c>
      <c r="F4" s="13" t="s">
        <v>31</v>
      </c>
      <c r="G4" s="15">
        <v>0.625</v>
      </c>
      <c r="H4" s="15">
        <v>0.64583333333333337</v>
      </c>
      <c r="I4" s="15">
        <f t="shared" ref="I4:I9" si="0">H4-G4</f>
        <v>2.083333333333337E-2</v>
      </c>
      <c r="J4" s="15">
        <v>0</v>
      </c>
      <c r="K4" s="15">
        <v>0.64583333333333337</v>
      </c>
      <c r="L4" s="15">
        <v>1.3888888888888888E-2</v>
      </c>
      <c r="M4" s="15">
        <v>0.75694444444444453</v>
      </c>
      <c r="N4" s="15">
        <v>0</v>
      </c>
      <c r="O4" s="15">
        <v>3.125E-2</v>
      </c>
      <c r="P4" s="15">
        <v>0.76736111111111116</v>
      </c>
      <c r="Q4" s="15">
        <v>0.79513888888888884</v>
      </c>
      <c r="R4" s="15">
        <f t="shared" ref="R4:R9" si="1">Q4-P4</f>
        <v>2.7777777777777679E-2</v>
      </c>
      <c r="S4" s="15">
        <v>0</v>
      </c>
      <c r="T4" s="15">
        <v>0.79861111111111116</v>
      </c>
      <c r="U4" s="16"/>
    </row>
    <row r="5" spans="1:21" ht="19.5" thickBot="1" x14ac:dyDescent="0.3">
      <c r="A5" s="12">
        <v>3</v>
      </c>
      <c r="B5" s="13">
        <v>2695</v>
      </c>
      <c r="C5" s="13" t="s">
        <v>27</v>
      </c>
      <c r="D5" s="14">
        <v>3.125E-2</v>
      </c>
      <c r="E5" s="13" t="s">
        <v>30</v>
      </c>
      <c r="F5" s="13" t="s">
        <v>31</v>
      </c>
      <c r="G5" s="15">
        <v>0.625</v>
      </c>
      <c r="H5" s="15">
        <v>0.64583333333333337</v>
      </c>
      <c r="I5" s="15">
        <f t="shared" si="0"/>
        <v>2.083333333333337E-2</v>
      </c>
      <c r="J5" s="15">
        <v>0</v>
      </c>
      <c r="K5" s="15">
        <v>0.64583333333333337</v>
      </c>
      <c r="L5" s="15">
        <v>1.0416666666666666E-2</v>
      </c>
      <c r="M5" s="15">
        <v>0.81597222222222221</v>
      </c>
      <c r="N5" s="24">
        <v>6.9444444444444441E-3</v>
      </c>
      <c r="O5" s="15">
        <v>4.1666666666666664E-2</v>
      </c>
      <c r="P5" s="15">
        <v>0.81944444444444453</v>
      </c>
      <c r="Q5" s="15">
        <v>0.84722222222222221</v>
      </c>
      <c r="R5" s="15">
        <f t="shared" si="1"/>
        <v>2.7777777777777679E-2</v>
      </c>
      <c r="S5" s="15">
        <v>0</v>
      </c>
      <c r="T5" s="15">
        <v>0.85069444444444453</v>
      </c>
      <c r="U5" s="16"/>
    </row>
    <row r="6" spans="1:21" ht="19.5" thickBot="1" x14ac:dyDescent="0.3">
      <c r="A6" s="12">
        <v>4</v>
      </c>
      <c r="B6" s="13">
        <v>3487</v>
      </c>
      <c r="C6" s="13" t="s">
        <v>32</v>
      </c>
      <c r="D6" s="14">
        <v>2.0833333333333332E-2</v>
      </c>
      <c r="E6" s="13" t="s">
        <v>33</v>
      </c>
      <c r="F6" s="13" t="s">
        <v>35</v>
      </c>
      <c r="G6" s="15">
        <v>0</v>
      </c>
      <c r="H6" s="15">
        <v>0</v>
      </c>
      <c r="I6" s="15">
        <f t="shared" si="0"/>
        <v>0</v>
      </c>
      <c r="J6" s="15">
        <v>0</v>
      </c>
      <c r="K6" s="15">
        <v>0.64236111111111105</v>
      </c>
      <c r="L6" s="15">
        <v>2.4305555555555556E-2</v>
      </c>
      <c r="M6" s="15">
        <v>0.68194444444444446</v>
      </c>
      <c r="N6" s="24">
        <f t="shared" ref="N6:N8" si="2">M6-L6-K6</f>
        <v>1.5277777777777835E-2</v>
      </c>
      <c r="O6" s="15">
        <v>2.0833333333333332E-2</v>
      </c>
      <c r="P6" s="15">
        <v>0.69791666666666663</v>
      </c>
      <c r="Q6" s="15">
        <v>0.72083333333333333</v>
      </c>
      <c r="R6" s="15">
        <f t="shared" si="1"/>
        <v>2.2916666666666696E-2</v>
      </c>
      <c r="S6" s="24">
        <f t="shared" ref="S6:S9" si="3">R6-O6</f>
        <v>2.0833333333333641E-3</v>
      </c>
      <c r="T6" s="15">
        <v>0.73263888888888884</v>
      </c>
      <c r="U6" s="16"/>
    </row>
    <row r="7" spans="1:21" ht="19.5" thickBot="1" x14ac:dyDescent="0.3">
      <c r="A7" s="12">
        <v>5</v>
      </c>
      <c r="B7" s="13">
        <v>3787</v>
      </c>
      <c r="C7" s="13" t="s">
        <v>32</v>
      </c>
      <c r="D7" s="14">
        <v>2.0833333333333332E-2</v>
      </c>
      <c r="E7" s="13" t="s">
        <v>34</v>
      </c>
      <c r="F7" s="13" t="s">
        <v>35</v>
      </c>
      <c r="G7" s="15">
        <v>0</v>
      </c>
      <c r="H7" s="15">
        <v>0</v>
      </c>
      <c r="I7" s="15">
        <f t="shared" si="0"/>
        <v>0</v>
      </c>
      <c r="J7" s="15">
        <v>0</v>
      </c>
      <c r="K7" s="15">
        <v>0.64236111111111105</v>
      </c>
      <c r="L7" s="15">
        <v>2.0833333333333332E-2</v>
      </c>
      <c r="M7" s="15">
        <v>0.79166666666666663</v>
      </c>
      <c r="N7" s="24">
        <v>3.8194444444444441E-2</v>
      </c>
      <c r="O7" s="15">
        <v>3.125E-2</v>
      </c>
      <c r="P7" s="15">
        <v>0.79513888888888884</v>
      </c>
      <c r="Q7" s="15">
        <v>0.82986111111111116</v>
      </c>
      <c r="R7" s="15">
        <f t="shared" si="1"/>
        <v>3.4722222222222321E-2</v>
      </c>
      <c r="S7" s="24">
        <f t="shared" si="3"/>
        <v>3.4722222222223209E-3</v>
      </c>
      <c r="T7" s="15">
        <v>0.83333333333333337</v>
      </c>
      <c r="U7" s="16"/>
    </row>
    <row r="8" spans="1:21" ht="19.5" thickBot="1" x14ac:dyDescent="0.3">
      <c r="A8" s="12">
        <v>6</v>
      </c>
      <c r="B8" s="13">
        <v>3783</v>
      </c>
      <c r="C8" s="13" t="s">
        <v>32</v>
      </c>
      <c r="D8" s="14">
        <v>2.0833333333333332E-2</v>
      </c>
      <c r="E8" s="13" t="s">
        <v>36</v>
      </c>
      <c r="F8" s="13" t="s">
        <v>38</v>
      </c>
      <c r="G8" s="15">
        <v>0.64583333333333337</v>
      </c>
      <c r="H8" s="15">
        <v>0.65625</v>
      </c>
      <c r="I8" s="15">
        <f t="shared" si="0"/>
        <v>1.041666666666663E-2</v>
      </c>
      <c r="J8" s="15">
        <v>0</v>
      </c>
      <c r="K8" s="15">
        <v>0.65972222222222221</v>
      </c>
      <c r="L8" s="15">
        <v>1.7361111111111112E-2</v>
      </c>
      <c r="M8" s="15">
        <v>0.69027777777777777</v>
      </c>
      <c r="N8" s="24">
        <f t="shared" si="2"/>
        <v>1.3194444444444398E-2</v>
      </c>
      <c r="O8" s="15">
        <v>2.0833333333333332E-2</v>
      </c>
      <c r="P8" s="15">
        <v>0.69166666666666676</v>
      </c>
      <c r="Q8" s="15">
        <v>0.70486111111111116</v>
      </c>
      <c r="R8" s="15">
        <f t="shared" si="1"/>
        <v>1.3194444444444398E-2</v>
      </c>
      <c r="S8" s="15">
        <v>0</v>
      </c>
      <c r="T8" s="15">
        <v>0.70833333333333337</v>
      </c>
      <c r="U8" s="16"/>
    </row>
    <row r="9" spans="1:21" ht="19.5" thickBot="1" x14ac:dyDescent="0.3">
      <c r="A9" s="18">
        <v>7</v>
      </c>
      <c r="B9" s="19">
        <v>3783</v>
      </c>
      <c r="C9" s="19" t="s">
        <v>32</v>
      </c>
      <c r="D9" s="22">
        <v>2.0833333333333332E-2</v>
      </c>
      <c r="E9" s="19" t="s">
        <v>37</v>
      </c>
      <c r="F9" s="19" t="s">
        <v>38</v>
      </c>
      <c r="G9" s="20">
        <v>0.64583333333333337</v>
      </c>
      <c r="H9" s="20">
        <v>0.65625</v>
      </c>
      <c r="I9" s="20">
        <f t="shared" si="0"/>
        <v>1.041666666666663E-2</v>
      </c>
      <c r="J9" s="20">
        <v>0</v>
      </c>
      <c r="K9" s="20">
        <v>0.65972222222222221</v>
      </c>
      <c r="L9" s="20">
        <v>6.9444444444444441E-3</v>
      </c>
      <c r="M9" s="20">
        <v>0.71319444444444446</v>
      </c>
      <c r="N9" s="20">
        <v>0</v>
      </c>
      <c r="O9" s="20">
        <v>3.125E-2</v>
      </c>
      <c r="P9" s="20">
        <v>0.71875</v>
      </c>
      <c r="Q9" s="20">
        <v>0.75555555555555554</v>
      </c>
      <c r="R9" s="20">
        <f t="shared" si="1"/>
        <v>3.6805555555555536E-2</v>
      </c>
      <c r="S9" s="26">
        <f t="shared" si="3"/>
        <v>5.5555555555555358E-3</v>
      </c>
      <c r="T9" s="20">
        <v>0.75694444444444453</v>
      </c>
      <c r="U9" s="27"/>
    </row>
    <row r="10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rightToLeft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H7" sqref="H7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>
        <v>1454</v>
      </c>
      <c r="C3" s="8" t="s">
        <v>27</v>
      </c>
      <c r="D3" s="9">
        <v>3.125E-2</v>
      </c>
      <c r="E3" s="8" t="s">
        <v>39</v>
      </c>
      <c r="F3" s="8" t="s">
        <v>43</v>
      </c>
      <c r="G3" s="10">
        <v>0.61458333333333337</v>
      </c>
      <c r="H3" s="10">
        <v>0.65277777777777779</v>
      </c>
      <c r="I3" s="10">
        <f>H3-G3</f>
        <v>3.819444444444442E-2</v>
      </c>
      <c r="J3" s="24">
        <f t="shared" ref="J3:J12" si="0">I3-D3</f>
        <v>6.9444444444444198E-3</v>
      </c>
      <c r="K3" s="10">
        <v>0.65277777777777779</v>
      </c>
      <c r="L3" s="10">
        <v>1.0416666666666666E-2</v>
      </c>
      <c r="M3" s="10">
        <v>0.67361111111111116</v>
      </c>
      <c r="N3" s="25">
        <f>M3-L3-K3</f>
        <v>1.0416666666666741E-2</v>
      </c>
      <c r="O3" s="10">
        <v>3.125E-2</v>
      </c>
      <c r="P3" s="10">
        <v>0.68055555555555547</v>
      </c>
      <c r="Q3" s="10">
        <v>0.69791666666666663</v>
      </c>
      <c r="R3" s="10">
        <f>Q3-P3</f>
        <v>1.736111111111116E-2</v>
      </c>
      <c r="S3" s="10">
        <v>0</v>
      </c>
      <c r="T3" s="10">
        <v>0.70486111111111116</v>
      </c>
      <c r="U3" s="11"/>
    </row>
    <row r="4" spans="1:21" ht="19.5" thickBot="1" x14ac:dyDescent="0.3">
      <c r="A4" s="12">
        <v>2</v>
      </c>
      <c r="B4" s="13">
        <v>1454</v>
      </c>
      <c r="C4" s="13" t="s">
        <v>27</v>
      </c>
      <c r="D4" s="14">
        <v>3.125E-2</v>
      </c>
      <c r="E4" s="13" t="s">
        <v>42</v>
      </c>
      <c r="F4" s="13" t="s">
        <v>43</v>
      </c>
      <c r="G4" s="15">
        <v>0.61458333333333337</v>
      </c>
      <c r="H4" s="15">
        <v>0.65277777777777779</v>
      </c>
      <c r="I4" s="15">
        <f t="shared" ref="I4:I12" si="1">H4-G4</f>
        <v>3.819444444444442E-2</v>
      </c>
      <c r="J4" s="24">
        <f t="shared" si="0"/>
        <v>6.9444444444444198E-3</v>
      </c>
      <c r="K4" s="15">
        <v>0.65277777777777779</v>
      </c>
      <c r="L4" s="15">
        <v>1.7361111111111112E-2</v>
      </c>
      <c r="M4" s="15">
        <v>0.74305555555555547</v>
      </c>
      <c r="N4" s="24">
        <v>2.0833333333333332E-2</v>
      </c>
      <c r="O4" s="15">
        <v>3.125E-2</v>
      </c>
      <c r="P4" s="15">
        <v>0.74652777777777779</v>
      </c>
      <c r="Q4" s="15">
        <v>0.76736111111111116</v>
      </c>
      <c r="R4" s="15">
        <f t="shared" ref="R4:R12" si="2">Q4-P4</f>
        <v>2.083333333333337E-2</v>
      </c>
      <c r="S4" s="15">
        <v>0</v>
      </c>
      <c r="T4" s="15">
        <v>0.77083333333333337</v>
      </c>
      <c r="U4" s="16"/>
    </row>
    <row r="5" spans="1:21" ht="19.5" thickBot="1" x14ac:dyDescent="0.3">
      <c r="A5" s="12">
        <v>3</v>
      </c>
      <c r="B5" s="13">
        <v>1454</v>
      </c>
      <c r="C5" s="13" t="s">
        <v>27</v>
      </c>
      <c r="D5" s="14">
        <v>3.125E-2</v>
      </c>
      <c r="E5" s="13" t="s">
        <v>40</v>
      </c>
      <c r="F5" s="13" t="s">
        <v>43</v>
      </c>
      <c r="G5" s="15">
        <v>0.61458333333333337</v>
      </c>
      <c r="H5" s="15">
        <v>0.65277777777777779</v>
      </c>
      <c r="I5" s="15">
        <f t="shared" si="1"/>
        <v>3.819444444444442E-2</v>
      </c>
      <c r="J5" s="24">
        <f t="shared" si="0"/>
        <v>6.9444444444444198E-3</v>
      </c>
      <c r="K5" s="15">
        <v>0.65277777777777779</v>
      </c>
      <c r="L5" s="15">
        <v>6.9444444444444441E-3</v>
      </c>
      <c r="M5" s="15">
        <v>0.78125</v>
      </c>
      <c r="N5" s="24">
        <v>3.472222222222222E-3</v>
      </c>
      <c r="O5" s="15">
        <v>3.125E-2</v>
      </c>
      <c r="P5" s="15">
        <v>0.79166666666666663</v>
      </c>
      <c r="Q5" s="15">
        <v>0.83680555555555547</v>
      </c>
      <c r="R5" s="15">
        <f t="shared" si="2"/>
        <v>4.513888888888884E-2</v>
      </c>
      <c r="S5" s="24">
        <f t="shared" ref="S5:S7" si="3">R5-O5</f>
        <v>1.388888888888884E-2</v>
      </c>
      <c r="T5" s="15">
        <v>0.84027777777777779</v>
      </c>
      <c r="U5" s="16"/>
    </row>
    <row r="6" spans="1:21" ht="19.5" thickBot="1" x14ac:dyDescent="0.3">
      <c r="A6" s="12">
        <v>4</v>
      </c>
      <c r="B6" s="13">
        <v>1454</v>
      </c>
      <c r="C6" s="13" t="s">
        <v>27</v>
      </c>
      <c r="D6" s="14">
        <v>3.125E-2</v>
      </c>
      <c r="E6" s="13" t="s">
        <v>41</v>
      </c>
      <c r="F6" s="13" t="s">
        <v>43</v>
      </c>
      <c r="G6" s="15">
        <v>0.61458333333333337</v>
      </c>
      <c r="H6" s="15">
        <v>0.65277777777777779</v>
      </c>
      <c r="I6" s="15">
        <f t="shared" si="1"/>
        <v>3.819444444444442E-2</v>
      </c>
      <c r="J6" s="24">
        <f t="shared" si="0"/>
        <v>6.9444444444444198E-3</v>
      </c>
      <c r="K6" s="15">
        <v>0.65277777777777779</v>
      </c>
      <c r="L6" s="15">
        <v>6.9444444444444441E-3</v>
      </c>
      <c r="M6" s="15">
        <v>0.84861111111111109</v>
      </c>
      <c r="N6" s="24">
        <v>1.3888888888888889E-3</v>
      </c>
      <c r="O6" s="15">
        <v>4.1666666666666664E-2</v>
      </c>
      <c r="P6" s="15">
        <v>0.85416666666666663</v>
      </c>
      <c r="Q6" s="15">
        <v>0.87708333333333333</v>
      </c>
      <c r="R6" s="15">
        <f t="shared" si="2"/>
        <v>2.2916666666666696E-2</v>
      </c>
      <c r="S6" s="15">
        <v>0</v>
      </c>
      <c r="T6" s="15">
        <v>0.87847222222222221</v>
      </c>
      <c r="U6" s="16"/>
    </row>
    <row r="7" spans="1:21" ht="19.5" thickBot="1" x14ac:dyDescent="0.3">
      <c r="A7" s="12">
        <v>5</v>
      </c>
      <c r="B7" s="13">
        <v>634</v>
      </c>
      <c r="C7" s="13" t="s">
        <v>32</v>
      </c>
      <c r="D7" s="14">
        <v>2.0833333333333332E-2</v>
      </c>
      <c r="E7" s="13" t="s">
        <v>44</v>
      </c>
      <c r="F7" s="13" t="s">
        <v>38</v>
      </c>
      <c r="G7" s="15">
        <v>0.65972222222222221</v>
      </c>
      <c r="H7" s="15">
        <v>0.68055555555555547</v>
      </c>
      <c r="I7" s="15">
        <f t="shared" si="1"/>
        <v>2.0833333333333259E-2</v>
      </c>
      <c r="J7" s="15">
        <v>0</v>
      </c>
      <c r="K7" s="15">
        <v>0.68055555555555547</v>
      </c>
      <c r="L7" s="15">
        <v>3.4722222222222224E-2</v>
      </c>
      <c r="M7" s="15">
        <v>0.72916666666666663</v>
      </c>
      <c r="N7" s="24">
        <f t="shared" ref="N7:N12" si="4">M7-L7-K7</f>
        <v>1.3888888888888951E-2</v>
      </c>
      <c r="O7" s="15">
        <v>2.0833333333333332E-2</v>
      </c>
      <c r="P7" s="15">
        <v>0.73263888888888884</v>
      </c>
      <c r="Q7" s="15">
        <v>0.77777777777777779</v>
      </c>
      <c r="R7" s="15">
        <f t="shared" si="2"/>
        <v>4.5138888888888951E-2</v>
      </c>
      <c r="S7" s="24">
        <f t="shared" si="3"/>
        <v>2.4305555555555618E-2</v>
      </c>
      <c r="T7" s="15">
        <v>0.78125</v>
      </c>
      <c r="U7" s="16"/>
    </row>
    <row r="8" spans="1:21" ht="19.5" thickBot="1" x14ac:dyDescent="0.3">
      <c r="A8" s="12">
        <v>6</v>
      </c>
      <c r="B8" s="13">
        <v>634</v>
      </c>
      <c r="C8" s="13" t="s">
        <v>32</v>
      </c>
      <c r="D8" s="14">
        <v>2.0833333333333332E-2</v>
      </c>
      <c r="E8" s="13" t="s">
        <v>45</v>
      </c>
      <c r="F8" s="13" t="s">
        <v>38</v>
      </c>
      <c r="G8" s="15">
        <v>0.65972222222222221</v>
      </c>
      <c r="H8" s="15">
        <v>0.68055555555555547</v>
      </c>
      <c r="I8" s="15">
        <f t="shared" si="1"/>
        <v>2.0833333333333259E-2</v>
      </c>
      <c r="J8" s="15">
        <v>0</v>
      </c>
      <c r="K8" s="15">
        <v>0.68055555555555547</v>
      </c>
      <c r="L8" s="15">
        <v>1.0416666666666666E-2</v>
      </c>
      <c r="M8" s="15">
        <v>0.79166666666666663</v>
      </c>
      <c r="N8" s="15">
        <v>0</v>
      </c>
      <c r="O8" s="15">
        <v>3.125E-2</v>
      </c>
      <c r="P8" s="15">
        <v>0.79513888888888884</v>
      </c>
      <c r="Q8" s="15">
        <v>0.8125</v>
      </c>
      <c r="R8" s="15">
        <f t="shared" si="2"/>
        <v>1.736111111111116E-2</v>
      </c>
      <c r="S8" s="15">
        <v>0</v>
      </c>
      <c r="T8" s="15">
        <v>0.81597222222222221</v>
      </c>
      <c r="U8" s="16"/>
    </row>
    <row r="9" spans="1:21" ht="19.5" thickBot="1" x14ac:dyDescent="0.3">
      <c r="A9" s="12">
        <v>7</v>
      </c>
      <c r="B9" s="13">
        <v>3793</v>
      </c>
      <c r="C9" s="13" t="s">
        <v>32</v>
      </c>
      <c r="D9" s="14">
        <v>2.0833333333333332E-2</v>
      </c>
      <c r="E9" s="13" t="s">
        <v>47</v>
      </c>
      <c r="F9" s="13" t="s">
        <v>35</v>
      </c>
      <c r="G9" s="15">
        <v>0.68055555555555547</v>
      </c>
      <c r="H9" s="15">
        <v>0.70138888888888884</v>
      </c>
      <c r="I9" s="15">
        <f t="shared" si="1"/>
        <v>2.083333333333337E-2</v>
      </c>
      <c r="J9" s="15">
        <f t="shared" si="0"/>
        <v>3.8163916471489756E-17</v>
      </c>
      <c r="K9" s="15">
        <v>0.70138888888888884</v>
      </c>
      <c r="L9" s="15">
        <v>2.7777777777777776E-2</v>
      </c>
      <c r="M9" s="15">
        <v>0.73263888888888884</v>
      </c>
      <c r="N9" s="24">
        <f t="shared" si="4"/>
        <v>3.4722222222222099E-3</v>
      </c>
      <c r="O9" s="15">
        <v>2.0833333333333332E-2</v>
      </c>
      <c r="P9" s="15">
        <v>0.73958333333333337</v>
      </c>
      <c r="Q9" s="15">
        <v>0.75694444444444453</v>
      </c>
      <c r="R9" s="15">
        <f t="shared" si="2"/>
        <v>1.736111111111116E-2</v>
      </c>
      <c r="S9" s="15">
        <v>0</v>
      </c>
      <c r="T9" s="15">
        <v>0.76041666666666663</v>
      </c>
      <c r="U9" s="16"/>
    </row>
    <row r="10" spans="1:21" ht="19.5" thickBot="1" x14ac:dyDescent="0.3">
      <c r="A10" s="12">
        <v>8</v>
      </c>
      <c r="B10" s="13">
        <v>3793</v>
      </c>
      <c r="C10" s="13" t="s">
        <v>32</v>
      </c>
      <c r="D10" s="14">
        <v>2.0833333333333332E-2</v>
      </c>
      <c r="E10" s="13" t="s">
        <v>46</v>
      </c>
      <c r="F10" s="13" t="s">
        <v>35</v>
      </c>
      <c r="G10" s="15">
        <v>0.68055555555555547</v>
      </c>
      <c r="H10" s="15">
        <v>0.70138888888888884</v>
      </c>
      <c r="I10" s="15">
        <f t="shared" si="1"/>
        <v>2.083333333333337E-2</v>
      </c>
      <c r="J10" s="15">
        <f t="shared" si="0"/>
        <v>3.8163916471489756E-17</v>
      </c>
      <c r="K10" s="15">
        <v>0.70138888888888884</v>
      </c>
      <c r="L10" s="15">
        <v>1.3888888888888888E-2</v>
      </c>
      <c r="M10" s="15">
        <v>0.78472222222222221</v>
      </c>
      <c r="N10" s="24">
        <v>1.0416666666666666E-2</v>
      </c>
      <c r="O10" s="15">
        <v>2.0833333333333332E-2</v>
      </c>
      <c r="P10" s="15">
        <v>0.80208333333333337</v>
      </c>
      <c r="Q10" s="15">
        <v>0.82291666666666663</v>
      </c>
      <c r="R10" s="15">
        <f t="shared" si="2"/>
        <v>2.0833333333333259E-2</v>
      </c>
      <c r="S10" s="15">
        <v>0</v>
      </c>
      <c r="T10" s="15">
        <v>0.82986111111111116</v>
      </c>
      <c r="U10" s="17"/>
    </row>
    <row r="11" spans="1:21" ht="19.5" thickBot="1" x14ac:dyDescent="0.3">
      <c r="A11" s="12">
        <v>9</v>
      </c>
      <c r="B11" s="13">
        <v>3793</v>
      </c>
      <c r="C11" s="13" t="s">
        <v>32</v>
      </c>
      <c r="D11" s="14">
        <v>2.0833333333333332E-2</v>
      </c>
      <c r="E11" s="13" t="s">
        <v>48</v>
      </c>
      <c r="F11" s="13" t="s">
        <v>35</v>
      </c>
      <c r="G11" s="15">
        <v>0.68055555555555547</v>
      </c>
      <c r="H11" s="15">
        <v>0.70138888888888884</v>
      </c>
      <c r="I11" s="15">
        <f t="shared" si="1"/>
        <v>2.083333333333337E-2</v>
      </c>
      <c r="J11" s="15">
        <f t="shared" si="0"/>
        <v>3.8163916471489756E-17</v>
      </c>
      <c r="K11" s="15">
        <v>0.70138888888888884</v>
      </c>
      <c r="L11" s="15">
        <v>2.7777777777777776E-2</v>
      </c>
      <c r="M11" s="15">
        <v>0.84722222222222221</v>
      </c>
      <c r="N11" s="15">
        <v>0</v>
      </c>
      <c r="O11" s="15">
        <v>3.125E-2</v>
      </c>
      <c r="P11" s="15">
        <v>0.85069444444444453</v>
      </c>
      <c r="Q11" s="15">
        <v>0.87777777777777777</v>
      </c>
      <c r="R11" s="15">
        <f t="shared" si="2"/>
        <v>2.7083333333333237E-2</v>
      </c>
      <c r="S11" s="15">
        <v>0</v>
      </c>
      <c r="T11" s="15">
        <v>0.88194444444444453</v>
      </c>
      <c r="U11" s="16"/>
    </row>
    <row r="12" spans="1:21" ht="21.75" thickBot="1" x14ac:dyDescent="0.3">
      <c r="A12" s="18">
        <v>10</v>
      </c>
      <c r="B12" s="19">
        <v>796</v>
      </c>
      <c r="C12" s="19" t="s">
        <v>32</v>
      </c>
      <c r="D12" s="22">
        <v>2.0833333333333332E-2</v>
      </c>
      <c r="E12" s="19" t="s">
        <v>49</v>
      </c>
      <c r="F12" s="19" t="s">
        <v>50</v>
      </c>
      <c r="G12" s="20">
        <v>0.68055555555555547</v>
      </c>
      <c r="H12" s="20">
        <v>0.70486111111111116</v>
      </c>
      <c r="I12" s="20">
        <f t="shared" si="1"/>
        <v>2.4305555555555691E-2</v>
      </c>
      <c r="J12" s="26">
        <f t="shared" si="0"/>
        <v>3.4722222222223591E-3</v>
      </c>
      <c r="K12" s="20">
        <v>0.70486111111111116</v>
      </c>
      <c r="L12" s="20">
        <v>2.0833333333333332E-2</v>
      </c>
      <c r="M12" s="20">
        <v>0.73263888888888884</v>
      </c>
      <c r="N12" s="26">
        <f t="shared" si="4"/>
        <v>6.9444444444443088E-3</v>
      </c>
      <c r="O12" s="20">
        <v>3.125E-2</v>
      </c>
      <c r="P12" s="20">
        <v>0.73611111111111116</v>
      </c>
      <c r="Q12" s="20">
        <v>0.75694444444444453</v>
      </c>
      <c r="R12" s="20">
        <f t="shared" si="2"/>
        <v>2.083333333333337E-2</v>
      </c>
      <c r="S12" s="20">
        <v>0</v>
      </c>
      <c r="T12" s="20">
        <v>0.76388888888888884</v>
      </c>
      <c r="U12" s="23"/>
    </row>
    <row r="13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rightToLeft="1" topLeftCell="F1" workbookViewId="0">
      <selection activeCell="R6" sqref="R6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>
        <v>5898</v>
      </c>
      <c r="C3" s="8" t="s">
        <v>27</v>
      </c>
      <c r="D3" s="9">
        <v>3.125E-2</v>
      </c>
      <c r="E3" s="8" t="s">
        <v>55</v>
      </c>
      <c r="F3" s="8" t="s">
        <v>58</v>
      </c>
      <c r="G3" s="10">
        <v>0.64583333333333337</v>
      </c>
      <c r="H3" s="10">
        <v>0.67013888888888884</v>
      </c>
      <c r="I3" s="10">
        <f>H3-G3</f>
        <v>2.4305555555555469E-2</v>
      </c>
      <c r="J3" s="10">
        <v>0</v>
      </c>
      <c r="K3" s="10">
        <v>0.72222222222222221</v>
      </c>
      <c r="L3" s="10">
        <v>3.472222222222222E-3</v>
      </c>
      <c r="M3" s="10">
        <v>0.72916666666666663</v>
      </c>
      <c r="N3" s="25">
        <v>3.472222222222222E-3</v>
      </c>
      <c r="O3" s="10">
        <v>3.125E-2</v>
      </c>
      <c r="P3" s="10">
        <v>0.73263888888888884</v>
      </c>
      <c r="Q3" s="10">
        <v>0.77083333333333337</v>
      </c>
      <c r="R3" s="10">
        <f>Q3-P3</f>
        <v>3.8194444444444531E-2</v>
      </c>
      <c r="S3" s="25">
        <v>6.9444444444444441E-3</v>
      </c>
      <c r="T3" s="10">
        <v>0.77222222222222225</v>
      </c>
      <c r="U3" s="11"/>
    </row>
    <row r="4" spans="1:21" ht="19.5" thickBot="1" x14ac:dyDescent="0.3">
      <c r="A4" s="12">
        <v>2</v>
      </c>
      <c r="B4" s="13">
        <v>5898</v>
      </c>
      <c r="C4" s="13" t="s">
        <v>27</v>
      </c>
      <c r="D4" s="14">
        <v>3.125E-2</v>
      </c>
      <c r="E4" s="13" t="s">
        <v>56</v>
      </c>
      <c r="F4" s="13" t="s">
        <v>58</v>
      </c>
      <c r="G4" s="15">
        <v>0.64583333333333337</v>
      </c>
      <c r="H4" s="15">
        <v>0.67013888888888884</v>
      </c>
      <c r="I4" s="15">
        <f t="shared" ref="I4:I9" si="0">H4-G4</f>
        <v>2.4305555555555469E-2</v>
      </c>
      <c r="J4" s="15">
        <v>0</v>
      </c>
      <c r="K4" s="15">
        <v>0.72222222222222221</v>
      </c>
      <c r="L4" s="15">
        <v>6.9444444444444441E-3</v>
      </c>
      <c r="M4" s="15">
        <v>0.78819444444444453</v>
      </c>
      <c r="N4" s="24">
        <v>9.0277777777777787E-3</v>
      </c>
      <c r="O4" s="15">
        <v>3.125E-2</v>
      </c>
      <c r="P4" s="15">
        <v>0.79375000000000007</v>
      </c>
      <c r="Q4" s="15">
        <v>0.8125</v>
      </c>
      <c r="R4" s="15">
        <f t="shared" ref="R4:R9" si="1">Q4-P4</f>
        <v>1.8749999999999933E-2</v>
      </c>
      <c r="S4" s="15">
        <v>0</v>
      </c>
      <c r="T4" s="15">
        <v>0.81597222222222221</v>
      </c>
      <c r="U4" s="16"/>
    </row>
    <row r="5" spans="1:21" ht="19.5" thickBot="1" x14ac:dyDescent="0.3">
      <c r="A5" s="12">
        <v>3</v>
      </c>
      <c r="B5" s="13">
        <v>5898</v>
      </c>
      <c r="C5" s="13" t="s">
        <v>27</v>
      </c>
      <c r="D5" s="14">
        <v>3.125E-2</v>
      </c>
      <c r="E5" s="13" t="s">
        <v>57</v>
      </c>
      <c r="F5" s="13" t="s">
        <v>58</v>
      </c>
      <c r="G5" s="15">
        <v>0.64583333333333337</v>
      </c>
      <c r="H5" s="15">
        <v>0.67013888888888884</v>
      </c>
      <c r="I5" s="15">
        <f t="shared" si="0"/>
        <v>2.4305555555555469E-2</v>
      </c>
      <c r="J5" s="15">
        <v>0</v>
      </c>
      <c r="K5" s="15">
        <v>0.72222222222222221</v>
      </c>
      <c r="L5" s="15">
        <v>6.9444444444444441E-3</v>
      </c>
      <c r="M5" s="15">
        <v>0.82986111111111116</v>
      </c>
      <c r="N5" s="24">
        <v>6.9444444444444441E-3</v>
      </c>
      <c r="O5" s="15">
        <v>4.1666666666666664E-2</v>
      </c>
      <c r="P5" s="15">
        <v>0.83680555555555547</v>
      </c>
      <c r="Q5" s="15">
        <v>0.85763888888888884</v>
      </c>
      <c r="R5" s="15">
        <f t="shared" si="1"/>
        <v>2.083333333333337E-2</v>
      </c>
      <c r="S5" s="15">
        <v>0</v>
      </c>
      <c r="T5" s="15">
        <v>0.86111111111111116</v>
      </c>
      <c r="U5" s="16"/>
    </row>
    <row r="6" spans="1:21" ht="19.5" thickBot="1" x14ac:dyDescent="0.3">
      <c r="A6" s="12">
        <v>4</v>
      </c>
      <c r="B6" s="13">
        <v>634</v>
      </c>
      <c r="C6" s="13" t="s">
        <v>32</v>
      </c>
      <c r="D6" s="14">
        <v>2.0833333333333332E-2</v>
      </c>
      <c r="E6" s="28" t="s">
        <v>52</v>
      </c>
      <c r="F6" s="13" t="s">
        <v>59</v>
      </c>
      <c r="G6" s="15">
        <v>0.67361111111111116</v>
      </c>
      <c r="H6" s="15">
        <v>0.73611111111111116</v>
      </c>
      <c r="I6" s="15">
        <f t="shared" si="0"/>
        <v>6.25E-2</v>
      </c>
      <c r="J6" s="24">
        <f t="shared" ref="J6:J9" si="2">I6-D6</f>
        <v>4.1666666666666671E-2</v>
      </c>
      <c r="K6" s="15">
        <v>0.73611111111111116</v>
      </c>
      <c r="L6" s="15">
        <v>2.4305555555555556E-2</v>
      </c>
      <c r="M6" s="15">
        <v>0.76388888888888884</v>
      </c>
      <c r="N6" s="24">
        <f t="shared" ref="N6" si="3">M6-L6-K6</f>
        <v>3.4722222222220989E-3</v>
      </c>
      <c r="O6" s="15">
        <v>2.0833333333333332E-2</v>
      </c>
      <c r="P6" s="15">
        <v>0.76736111111111116</v>
      </c>
      <c r="Q6" s="15">
        <v>0.78125</v>
      </c>
      <c r="R6" s="15">
        <f t="shared" si="1"/>
        <v>1.388888888888884E-2</v>
      </c>
      <c r="S6" s="15">
        <v>0</v>
      </c>
      <c r="T6" s="15">
        <v>0.78819444444444453</v>
      </c>
      <c r="U6" s="16"/>
    </row>
    <row r="7" spans="1:21" ht="19.5" thickBot="1" x14ac:dyDescent="0.3">
      <c r="A7" s="12">
        <v>5</v>
      </c>
      <c r="B7" s="13">
        <v>634</v>
      </c>
      <c r="C7" s="13" t="s">
        <v>32</v>
      </c>
      <c r="D7" s="14">
        <v>2.0833333333333332E-2</v>
      </c>
      <c r="E7" s="13" t="s">
        <v>51</v>
      </c>
      <c r="F7" s="13" t="s">
        <v>59</v>
      </c>
      <c r="G7" s="15">
        <v>0.67361111111111116</v>
      </c>
      <c r="H7" s="15">
        <v>0.73611111111111116</v>
      </c>
      <c r="I7" s="15">
        <f t="shared" si="0"/>
        <v>6.25E-2</v>
      </c>
      <c r="J7" s="24">
        <f t="shared" si="2"/>
        <v>4.1666666666666671E-2</v>
      </c>
      <c r="K7" s="15">
        <v>0.73611111111111116</v>
      </c>
      <c r="L7" s="15">
        <v>6.9444444444444441E-3</v>
      </c>
      <c r="M7" s="15">
        <v>0.80208333333333337</v>
      </c>
      <c r="N7" s="24">
        <v>6.9444444444444441E-3</v>
      </c>
      <c r="O7" s="15">
        <v>2.0833333333333332E-2</v>
      </c>
      <c r="P7" s="15">
        <v>0.80555555555555547</v>
      </c>
      <c r="Q7" s="15">
        <v>0.81944444444444453</v>
      </c>
      <c r="R7" s="15">
        <f t="shared" si="1"/>
        <v>1.3888888888889062E-2</v>
      </c>
      <c r="S7" s="15">
        <v>0</v>
      </c>
      <c r="T7" s="15">
        <v>0.82291666666666663</v>
      </c>
      <c r="U7" s="16"/>
    </row>
    <row r="8" spans="1:21" ht="19.5" thickBot="1" x14ac:dyDescent="0.3">
      <c r="A8" s="12">
        <v>6</v>
      </c>
      <c r="B8" s="13">
        <v>634</v>
      </c>
      <c r="C8" s="13" t="s">
        <v>32</v>
      </c>
      <c r="D8" s="14">
        <v>2.0833333333333332E-2</v>
      </c>
      <c r="E8" s="13" t="s">
        <v>53</v>
      </c>
      <c r="F8" s="13" t="s">
        <v>59</v>
      </c>
      <c r="G8" s="15">
        <v>0.67361111111111116</v>
      </c>
      <c r="H8" s="15">
        <v>0.73611111111111116</v>
      </c>
      <c r="I8" s="15">
        <f t="shared" si="0"/>
        <v>6.25E-2</v>
      </c>
      <c r="J8" s="24">
        <f t="shared" si="2"/>
        <v>4.1666666666666671E-2</v>
      </c>
      <c r="K8" s="15">
        <v>0.73611111111111116</v>
      </c>
      <c r="L8" s="15">
        <v>2.7777777777777776E-2</v>
      </c>
      <c r="M8" s="15">
        <v>0.84375</v>
      </c>
      <c r="N8" s="15">
        <v>0</v>
      </c>
      <c r="O8" s="15">
        <v>2.0833333333333332E-2</v>
      </c>
      <c r="P8" s="15">
        <v>0.84722222222222221</v>
      </c>
      <c r="Q8" s="15">
        <v>0.86111111111111116</v>
      </c>
      <c r="R8" s="15">
        <f t="shared" si="1"/>
        <v>1.3888888888888951E-2</v>
      </c>
      <c r="S8" s="15">
        <v>0</v>
      </c>
      <c r="T8" s="15">
        <v>0.86458333333333337</v>
      </c>
      <c r="U8" s="16"/>
    </row>
    <row r="9" spans="1:21" ht="19.5" thickBot="1" x14ac:dyDescent="0.3">
      <c r="A9" s="18">
        <v>7</v>
      </c>
      <c r="B9" s="19">
        <v>634</v>
      </c>
      <c r="C9" s="19" t="s">
        <v>32</v>
      </c>
      <c r="D9" s="22">
        <v>2.0833333333333332E-2</v>
      </c>
      <c r="E9" s="19" t="s">
        <v>54</v>
      </c>
      <c r="F9" s="19" t="s">
        <v>59</v>
      </c>
      <c r="G9" s="20">
        <v>0.67361111111111116</v>
      </c>
      <c r="H9" s="20">
        <v>0.73611111111111116</v>
      </c>
      <c r="I9" s="20">
        <f t="shared" si="0"/>
        <v>6.25E-2</v>
      </c>
      <c r="J9" s="26">
        <f t="shared" si="2"/>
        <v>4.1666666666666671E-2</v>
      </c>
      <c r="K9" s="20">
        <v>0.73611111111111116</v>
      </c>
      <c r="L9" s="20">
        <v>1.0416666666666666E-2</v>
      </c>
      <c r="M9" s="20">
        <v>0.88541666666666663</v>
      </c>
      <c r="N9" s="26">
        <v>1.0416666666666666E-2</v>
      </c>
      <c r="O9" s="20">
        <v>3.125E-2</v>
      </c>
      <c r="P9" s="20">
        <v>0.88888888888888884</v>
      </c>
      <c r="Q9" s="20">
        <v>0.89930555555555547</v>
      </c>
      <c r="R9" s="20">
        <f t="shared" si="1"/>
        <v>1.041666666666663E-2</v>
      </c>
      <c r="S9" s="20">
        <v>0</v>
      </c>
      <c r="T9" s="20">
        <v>0.90625</v>
      </c>
      <c r="U9" s="27"/>
    </row>
    <row r="10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rightToLeft="1" workbookViewId="0">
      <selection activeCell="B3" sqref="B3:M4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42" t="s">
        <v>60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8">
        <v>2</v>
      </c>
      <c r="B4" s="45"/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  <c r="N4" s="20">
        <f t="shared" ref="N4" si="0">M4-L4-K4</f>
        <v>0</v>
      </c>
      <c r="O4" s="20"/>
      <c r="P4" s="20"/>
      <c r="Q4" s="20"/>
      <c r="R4" s="20">
        <f t="shared" ref="R4" si="1">Q4-P4</f>
        <v>0</v>
      </c>
      <c r="S4" s="20">
        <f t="shared" ref="S4" si="2">R4-O4</f>
        <v>0</v>
      </c>
      <c r="T4" s="20"/>
      <c r="U4" s="27"/>
    </row>
    <row r="5" spans="1:21" ht="15.75" thickTop="1" x14ac:dyDescent="0.25"/>
  </sheetData>
  <mergeCells count="2">
    <mergeCell ref="A1:U1"/>
    <mergeCell ref="B3:M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rightToLeft="1" workbookViewId="0">
      <pane xSplit="6" ySplit="2" topLeftCell="I3" activePane="bottomRight" state="frozen"/>
      <selection pane="topRight" activeCell="G1" sqref="G1"/>
      <selection pane="bottomLeft" activeCell="A3" sqref="A3"/>
      <selection pane="bottomRight" activeCell="N6" sqref="N6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>
        <v>1454</v>
      </c>
      <c r="C3" s="8" t="s">
        <v>27</v>
      </c>
      <c r="D3" s="9">
        <v>3.125E-2</v>
      </c>
      <c r="E3" s="8" t="s">
        <v>28</v>
      </c>
      <c r="F3" s="8" t="s">
        <v>31</v>
      </c>
      <c r="G3" s="10">
        <v>0.63541666666666663</v>
      </c>
      <c r="H3" s="10">
        <v>0.68402777777777779</v>
      </c>
      <c r="I3" s="10">
        <f>H3-G3</f>
        <v>4.861111111111116E-2</v>
      </c>
      <c r="J3" s="25">
        <f>I3-D3</f>
        <v>1.736111111111116E-2</v>
      </c>
      <c r="K3" s="15">
        <v>0.68402777777777779</v>
      </c>
      <c r="L3" s="10">
        <v>2.4305555555555556E-2</v>
      </c>
      <c r="M3" s="10">
        <v>0.72083333333333333</v>
      </c>
      <c r="N3" s="25">
        <f>M3-L3-K3</f>
        <v>1.2499999999999956E-2</v>
      </c>
      <c r="O3" s="10">
        <v>3.125E-2</v>
      </c>
      <c r="P3" s="10">
        <v>0.73263888888888884</v>
      </c>
      <c r="Q3" s="10">
        <v>0.78333333333333333</v>
      </c>
      <c r="R3" s="10">
        <f>Q3-P3</f>
        <v>5.0694444444444486E-2</v>
      </c>
      <c r="S3" s="25">
        <f>R3-O3</f>
        <v>1.9444444444444486E-2</v>
      </c>
      <c r="T3" s="10">
        <v>0.78472222222222221</v>
      </c>
      <c r="U3" s="11"/>
    </row>
    <row r="4" spans="1:21" ht="19.5" thickBot="1" x14ac:dyDescent="0.3">
      <c r="A4" s="12">
        <v>2</v>
      </c>
      <c r="B4" s="13">
        <v>1454</v>
      </c>
      <c r="C4" s="13" t="s">
        <v>27</v>
      </c>
      <c r="D4" s="14">
        <v>3.125E-2</v>
      </c>
      <c r="E4" s="13" t="s">
        <v>29</v>
      </c>
      <c r="F4" s="13" t="s">
        <v>31</v>
      </c>
      <c r="G4" s="15">
        <v>0.63541666666666663</v>
      </c>
      <c r="H4" s="15">
        <v>0.68402777777777779</v>
      </c>
      <c r="I4" s="15">
        <f t="shared" ref="I4:I9" si="0">H4-G4</f>
        <v>4.861111111111116E-2</v>
      </c>
      <c r="J4" s="24">
        <f t="shared" ref="J4:J5" si="1">I4-D4</f>
        <v>1.736111111111116E-2</v>
      </c>
      <c r="K4" s="15">
        <v>0.68402777777777779</v>
      </c>
      <c r="L4" s="15">
        <v>1.3888888888888888E-2</v>
      </c>
      <c r="M4" s="15">
        <v>0.79166666666666663</v>
      </c>
      <c r="N4" s="15">
        <v>0</v>
      </c>
      <c r="O4" s="15">
        <v>3.125E-2</v>
      </c>
      <c r="P4" s="15">
        <v>0.80208333333333337</v>
      </c>
      <c r="Q4" s="15">
        <v>0.82986111111111116</v>
      </c>
      <c r="R4" s="15">
        <f t="shared" ref="R4:R9" si="2">Q4-P4</f>
        <v>2.777777777777779E-2</v>
      </c>
      <c r="S4" s="15">
        <v>0</v>
      </c>
      <c r="T4" s="15">
        <v>0.83333333333333337</v>
      </c>
      <c r="U4" s="16"/>
    </row>
    <row r="5" spans="1:21" ht="19.5" thickBot="1" x14ac:dyDescent="0.3">
      <c r="A5" s="12">
        <v>3</v>
      </c>
      <c r="B5" s="13">
        <v>1454</v>
      </c>
      <c r="C5" s="13" t="s">
        <v>27</v>
      </c>
      <c r="D5" s="14">
        <v>3.125E-2</v>
      </c>
      <c r="E5" s="13" t="s">
        <v>30</v>
      </c>
      <c r="F5" s="13" t="s">
        <v>31</v>
      </c>
      <c r="G5" s="15">
        <v>0.63541666666666663</v>
      </c>
      <c r="H5" s="15">
        <v>0.68402777777777779</v>
      </c>
      <c r="I5" s="15">
        <f t="shared" si="0"/>
        <v>4.861111111111116E-2</v>
      </c>
      <c r="J5" s="24">
        <f t="shared" si="1"/>
        <v>1.736111111111116E-2</v>
      </c>
      <c r="K5" s="15">
        <v>0.68402777777777779</v>
      </c>
      <c r="L5" s="15">
        <v>1.3888888888888888E-2</v>
      </c>
      <c r="M5" s="15">
        <v>0.85069444444444453</v>
      </c>
      <c r="N5" s="24">
        <v>3.472222222222222E-3</v>
      </c>
      <c r="O5" s="15">
        <v>4.1666666666666664E-2</v>
      </c>
      <c r="P5" s="15">
        <v>0.85763888888888884</v>
      </c>
      <c r="Q5" s="15">
        <v>0.90277777777777779</v>
      </c>
      <c r="R5" s="15">
        <f t="shared" si="2"/>
        <v>4.5138888888888951E-2</v>
      </c>
      <c r="S5" s="15">
        <f t="shared" ref="S5" si="3">R5-O5</f>
        <v>3.4722222222222862E-3</v>
      </c>
      <c r="T5" s="15">
        <v>0.90625</v>
      </c>
      <c r="U5" s="16"/>
    </row>
    <row r="6" spans="1:21" ht="19.5" thickBot="1" x14ac:dyDescent="0.3">
      <c r="A6" s="12">
        <v>4</v>
      </c>
      <c r="B6" s="13">
        <v>2474</v>
      </c>
      <c r="C6" s="13" t="s">
        <v>32</v>
      </c>
      <c r="D6" s="14">
        <v>2.0833333333333332E-2</v>
      </c>
      <c r="E6" s="13" t="s">
        <v>33</v>
      </c>
      <c r="F6" s="13" t="s">
        <v>65</v>
      </c>
      <c r="G6" s="15">
        <v>0.67708333333333337</v>
      </c>
      <c r="H6" s="15">
        <v>0.69791666666666663</v>
      </c>
      <c r="I6" s="15">
        <f t="shared" si="0"/>
        <v>2.0833333333333259E-2</v>
      </c>
      <c r="J6" s="15">
        <v>0</v>
      </c>
      <c r="K6" s="15">
        <v>0.70486111111111116</v>
      </c>
      <c r="L6" s="15">
        <v>2.4305555555555556E-2</v>
      </c>
      <c r="M6" s="15">
        <v>0.75</v>
      </c>
      <c r="N6" s="24">
        <f t="shared" ref="N6:N8" si="4">M6-L6-K6</f>
        <v>2.0833333333333259E-2</v>
      </c>
      <c r="O6" s="15">
        <v>2.0833333333333332E-2</v>
      </c>
      <c r="P6" s="15">
        <v>0.75624999999999998</v>
      </c>
      <c r="Q6" s="15">
        <v>0.77083333333333337</v>
      </c>
      <c r="R6" s="15">
        <f t="shared" si="2"/>
        <v>1.4583333333333393E-2</v>
      </c>
      <c r="S6" s="15">
        <v>0</v>
      </c>
      <c r="T6" s="15">
        <v>0.77430555555555547</v>
      </c>
      <c r="U6" s="16"/>
    </row>
    <row r="7" spans="1:21" ht="19.5" thickBot="1" x14ac:dyDescent="0.3">
      <c r="A7" s="12">
        <v>5</v>
      </c>
      <c r="B7" s="13">
        <v>2474</v>
      </c>
      <c r="C7" s="13" t="s">
        <v>32</v>
      </c>
      <c r="D7" s="14">
        <v>2.0833333333333332E-2</v>
      </c>
      <c r="E7" s="13" t="s">
        <v>34</v>
      </c>
      <c r="F7" s="13" t="s">
        <v>65</v>
      </c>
      <c r="G7" s="15">
        <v>0.67708333333333337</v>
      </c>
      <c r="H7" s="15">
        <v>0.69791666666666663</v>
      </c>
      <c r="I7" s="15">
        <f t="shared" si="0"/>
        <v>2.0833333333333259E-2</v>
      </c>
      <c r="J7" s="15">
        <v>0</v>
      </c>
      <c r="K7" s="15">
        <v>0.70486111111111116</v>
      </c>
      <c r="L7" s="15">
        <v>2.0833333333333332E-2</v>
      </c>
      <c r="M7" s="15">
        <v>0.82986111111111116</v>
      </c>
      <c r="N7" s="24">
        <v>3.4722222222222224E-2</v>
      </c>
      <c r="O7" s="15">
        <v>3.125E-2</v>
      </c>
      <c r="P7" s="15">
        <v>0.83680555555555547</v>
      </c>
      <c r="Q7" s="15">
        <v>0.86041666666666661</v>
      </c>
      <c r="R7" s="15">
        <f t="shared" si="2"/>
        <v>2.3611111111111138E-2</v>
      </c>
      <c r="S7" s="15">
        <v>0</v>
      </c>
      <c r="T7" s="15">
        <v>0.86111111111111116</v>
      </c>
      <c r="U7" s="16"/>
    </row>
    <row r="8" spans="1:21" ht="19.5" thickBot="1" x14ac:dyDescent="0.3">
      <c r="A8" s="12">
        <v>6</v>
      </c>
      <c r="B8" s="13">
        <v>634</v>
      </c>
      <c r="C8" s="13" t="s">
        <v>32</v>
      </c>
      <c r="D8" s="14">
        <v>2.0833333333333332E-2</v>
      </c>
      <c r="E8" s="13" t="s">
        <v>36</v>
      </c>
      <c r="F8" s="13" t="s">
        <v>59</v>
      </c>
      <c r="G8" s="15">
        <v>0.69791666666666663</v>
      </c>
      <c r="H8" s="15">
        <v>0.70833333333333337</v>
      </c>
      <c r="I8" s="15">
        <f t="shared" si="0"/>
        <v>1.0416666666666741E-2</v>
      </c>
      <c r="J8" s="15">
        <v>0</v>
      </c>
      <c r="K8" s="15">
        <v>0.71180555555555547</v>
      </c>
      <c r="L8" s="15">
        <v>1.7361111111111112E-2</v>
      </c>
      <c r="M8" s="15">
        <v>0.75</v>
      </c>
      <c r="N8" s="24">
        <f t="shared" si="4"/>
        <v>2.083333333333337E-2</v>
      </c>
      <c r="O8" s="15">
        <v>2.0833333333333332E-2</v>
      </c>
      <c r="P8" s="15">
        <v>0.75347222222222221</v>
      </c>
      <c r="Q8" s="15">
        <v>0.7729166666666667</v>
      </c>
      <c r="R8" s="15">
        <f t="shared" si="2"/>
        <v>1.9444444444444486E-2</v>
      </c>
      <c r="S8" s="15">
        <v>0</v>
      </c>
      <c r="T8" s="15">
        <v>0.77430555555555547</v>
      </c>
      <c r="U8" s="16"/>
    </row>
    <row r="9" spans="1:21" ht="19.5" thickBot="1" x14ac:dyDescent="0.3">
      <c r="A9" s="18">
        <v>7</v>
      </c>
      <c r="B9" s="19">
        <v>634</v>
      </c>
      <c r="C9" s="19" t="s">
        <v>32</v>
      </c>
      <c r="D9" s="22">
        <v>2.0833333333333332E-2</v>
      </c>
      <c r="E9" s="19" t="s">
        <v>37</v>
      </c>
      <c r="F9" s="19" t="s">
        <v>59</v>
      </c>
      <c r="G9" s="20">
        <v>0.69791666666666663</v>
      </c>
      <c r="H9" s="20">
        <v>0.70833333333333337</v>
      </c>
      <c r="I9" s="20">
        <f t="shared" si="0"/>
        <v>1.0416666666666741E-2</v>
      </c>
      <c r="J9" s="20">
        <v>0</v>
      </c>
      <c r="K9" s="20">
        <v>0.71180555555555547</v>
      </c>
      <c r="L9" s="20">
        <v>3.472222222222222E-3</v>
      </c>
      <c r="M9" s="20">
        <v>0.78472222222222221</v>
      </c>
      <c r="N9" s="26">
        <v>6.9444444444444441E-3</v>
      </c>
      <c r="O9" s="20">
        <v>3.125E-2</v>
      </c>
      <c r="P9" s="20">
        <v>0.79027777777777775</v>
      </c>
      <c r="Q9" s="20">
        <v>0.81597222222222221</v>
      </c>
      <c r="R9" s="20">
        <f t="shared" si="2"/>
        <v>2.5694444444444464E-2</v>
      </c>
      <c r="S9" s="20">
        <v>0</v>
      </c>
      <c r="T9" s="20">
        <v>0.81944444444444453</v>
      </c>
      <c r="U9" s="27"/>
    </row>
    <row r="10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rightToLeft="1" workbookViewId="0">
      <selection activeCell="O3" sqref="O3:O11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8" t="s">
        <v>26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0"/>
    </row>
    <row r="2" spans="1:21" ht="42.75" thickBot="1" x14ac:dyDescent="0.3">
      <c r="A2" s="12" t="s">
        <v>0</v>
      </c>
      <c r="B2" s="29" t="s">
        <v>1</v>
      </c>
      <c r="C2" s="29" t="s">
        <v>2</v>
      </c>
      <c r="D2" s="30" t="s">
        <v>3</v>
      </c>
      <c r="E2" s="29" t="s">
        <v>4</v>
      </c>
      <c r="F2" s="29" t="s">
        <v>5</v>
      </c>
      <c r="G2" s="31" t="s">
        <v>6</v>
      </c>
      <c r="H2" s="31" t="s">
        <v>7</v>
      </c>
      <c r="I2" s="30" t="s">
        <v>8</v>
      </c>
      <c r="J2" s="30" t="s">
        <v>9</v>
      </c>
      <c r="K2" s="29" t="s">
        <v>10</v>
      </c>
      <c r="L2" s="32" t="s">
        <v>11</v>
      </c>
      <c r="M2" s="29" t="s">
        <v>12</v>
      </c>
      <c r="N2" s="32" t="s">
        <v>13</v>
      </c>
      <c r="O2" s="32" t="s">
        <v>14</v>
      </c>
      <c r="P2" s="29" t="s">
        <v>15</v>
      </c>
      <c r="Q2" s="29" t="s">
        <v>16</v>
      </c>
      <c r="R2" s="29" t="s">
        <v>17</v>
      </c>
      <c r="S2" s="32" t="s">
        <v>18</v>
      </c>
      <c r="T2" s="29" t="s">
        <v>19</v>
      </c>
      <c r="U2" s="33" t="s">
        <v>20</v>
      </c>
    </row>
    <row r="3" spans="1:21" ht="20.25" customHeight="1" thickBot="1" x14ac:dyDescent="0.3">
      <c r="A3" s="12">
        <v>1</v>
      </c>
      <c r="B3" s="13">
        <v>796</v>
      </c>
      <c r="C3" s="13" t="s">
        <v>32</v>
      </c>
      <c r="D3" s="14">
        <v>2.0833333333333332E-2</v>
      </c>
      <c r="E3" s="13" t="s">
        <v>39</v>
      </c>
      <c r="F3" s="13" t="s">
        <v>38</v>
      </c>
      <c r="G3" s="15">
        <v>0.53472222222222221</v>
      </c>
      <c r="H3" s="15">
        <v>0.61111111111111105</v>
      </c>
      <c r="I3" s="15">
        <f>H3-G3</f>
        <v>7.638888888888884E-2</v>
      </c>
      <c r="J3" s="24">
        <f>I3-D3</f>
        <v>5.5555555555555511E-2</v>
      </c>
      <c r="K3" s="15">
        <v>0.61805555555555558</v>
      </c>
      <c r="L3" s="15">
        <v>1.3888888888888888E-2</v>
      </c>
      <c r="M3" s="15">
        <v>0.63194444444444442</v>
      </c>
      <c r="N3" s="15">
        <f>M3-L3-K3</f>
        <v>0</v>
      </c>
      <c r="O3" s="15">
        <v>2.0833333333333332E-2</v>
      </c>
      <c r="P3" s="15">
        <v>0.63888888888888895</v>
      </c>
      <c r="Q3" s="15">
        <v>0.65972222222222221</v>
      </c>
      <c r="R3" s="15">
        <f>Q3-P3</f>
        <v>2.0833333333333259E-2</v>
      </c>
      <c r="S3" s="15">
        <v>0</v>
      </c>
      <c r="T3" s="15">
        <v>0.66319444444444442</v>
      </c>
      <c r="U3" s="34"/>
    </row>
    <row r="4" spans="1:21" ht="19.5" thickBot="1" x14ac:dyDescent="0.3">
      <c r="A4" s="12">
        <v>2</v>
      </c>
      <c r="B4" s="13">
        <v>796</v>
      </c>
      <c r="C4" s="13" t="s">
        <v>32</v>
      </c>
      <c r="D4" s="14">
        <v>2.0833333333333332E-2</v>
      </c>
      <c r="E4" s="13" t="s">
        <v>42</v>
      </c>
      <c r="F4" s="13" t="s">
        <v>38</v>
      </c>
      <c r="G4" s="15">
        <v>0.53472222222222221</v>
      </c>
      <c r="H4" s="15">
        <v>0.61111111111111105</v>
      </c>
      <c r="I4" s="15">
        <f t="shared" ref="I4" si="0">H4-G4</f>
        <v>7.638888888888884E-2</v>
      </c>
      <c r="J4" s="24">
        <f t="shared" ref="J4" si="1">I4-D4</f>
        <v>5.5555555555555511E-2</v>
      </c>
      <c r="K4" s="15">
        <v>0.61805555555555558</v>
      </c>
      <c r="L4" s="15">
        <v>1.0416666666666666E-2</v>
      </c>
      <c r="M4" s="15">
        <v>0.67708333333333337</v>
      </c>
      <c r="N4" s="24">
        <v>3.472222222222222E-3</v>
      </c>
      <c r="O4" s="15">
        <v>3.125E-2</v>
      </c>
      <c r="P4" s="15">
        <v>0.69444444444444453</v>
      </c>
      <c r="Q4" s="15">
        <v>0.71527777777777779</v>
      </c>
      <c r="R4" s="15">
        <f t="shared" ref="R4" si="2">Q4-P4</f>
        <v>2.0833333333333259E-2</v>
      </c>
      <c r="S4" s="15">
        <v>0</v>
      </c>
      <c r="T4" s="15">
        <v>0.71875</v>
      </c>
      <c r="U4" s="16"/>
    </row>
    <row r="5" spans="1:21" ht="19.5" thickBot="1" x14ac:dyDescent="0.3">
      <c r="A5" s="12">
        <v>3</v>
      </c>
      <c r="B5" s="13">
        <v>3783</v>
      </c>
      <c r="C5" s="13" t="s">
        <v>32</v>
      </c>
      <c r="D5" s="14">
        <v>2.0833333333333332E-2</v>
      </c>
      <c r="E5" s="13" t="s">
        <v>46</v>
      </c>
      <c r="F5" s="13" t="s">
        <v>35</v>
      </c>
      <c r="G5" s="15">
        <v>0.61805555555555558</v>
      </c>
      <c r="H5" s="15">
        <v>0.64236111111111105</v>
      </c>
      <c r="I5" s="15">
        <f>H5-G5</f>
        <v>2.4305555555555469E-2</v>
      </c>
      <c r="J5" s="24">
        <f>I5-D5</f>
        <v>3.472222222222137E-3</v>
      </c>
      <c r="K5" s="15">
        <v>0.64236111111111105</v>
      </c>
      <c r="L5" s="15">
        <v>3.125E-2</v>
      </c>
      <c r="M5" s="15">
        <v>0.69097222222222221</v>
      </c>
      <c r="N5" s="24">
        <f>M5-L5-K5</f>
        <v>1.736111111111116E-2</v>
      </c>
      <c r="O5" s="15">
        <v>2.0833333333333332E-2</v>
      </c>
      <c r="P5" s="15">
        <v>0.69791666666666663</v>
      </c>
      <c r="Q5" s="15">
        <v>0.72569444444444453</v>
      </c>
      <c r="R5" s="15">
        <f>Q5-P5</f>
        <v>2.7777777777777901E-2</v>
      </c>
      <c r="S5" s="24">
        <f>R5-O5</f>
        <v>6.944444444444569E-3</v>
      </c>
      <c r="T5" s="15">
        <v>0.73263888888888884</v>
      </c>
      <c r="U5" s="34"/>
    </row>
    <row r="6" spans="1:21" ht="19.5" thickBot="1" x14ac:dyDescent="0.3">
      <c r="A6" s="12">
        <v>4</v>
      </c>
      <c r="B6" s="13">
        <v>3783</v>
      </c>
      <c r="C6" s="13" t="s">
        <v>32</v>
      </c>
      <c r="D6" s="14">
        <v>2.0833333333333332E-2</v>
      </c>
      <c r="E6" s="13" t="s">
        <v>48</v>
      </c>
      <c r="F6" s="13" t="s">
        <v>35</v>
      </c>
      <c r="G6" s="15">
        <v>0.61805555555555558</v>
      </c>
      <c r="H6" s="15">
        <v>0.64236111111111105</v>
      </c>
      <c r="I6" s="15">
        <f t="shared" ref="I6:I11" si="3">H6-G6</f>
        <v>2.4305555555555469E-2</v>
      </c>
      <c r="J6" s="24">
        <f t="shared" ref="J6" si="4">I6-D6</f>
        <v>3.472222222222137E-3</v>
      </c>
      <c r="K6" s="15">
        <v>0.64236111111111105</v>
      </c>
      <c r="L6" s="15">
        <v>3.125E-2</v>
      </c>
      <c r="M6" s="15">
        <v>0.75624999999999998</v>
      </c>
      <c r="N6" s="15">
        <v>0</v>
      </c>
      <c r="O6" s="15">
        <v>3.125E-2</v>
      </c>
      <c r="P6" s="15">
        <v>0.76041666666666663</v>
      </c>
      <c r="Q6" s="15">
        <v>0.78472222222222221</v>
      </c>
      <c r="R6" s="15">
        <f t="shared" ref="R6:R11" si="5">Q6-P6</f>
        <v>2.430555555555558E-2</v>
      </c>
      <c r="S6" s="15">
        <v>0</v>
      </c>
      <c r="T6" s="15">
        <v>0.78819444444444453</v>
      </c>
      <c r="U6" s="16"/>
    </row>
    <row r="7" spans="1:21" ht="19.5" thickBot="1" x14ac:dyDescent="0.3">
      <c r="A7" s="12">
        <v>5</v>
      </c>
      <c r="B7" s="13">
        <v>1537</v>
      </c>
      <c r="C7" s="13" t="s">
        <v>27</v>
      </c>
      <c r="D7" s="14">
        <v>3.125E-2</v>
      </c>
      <c r="E7" s="13" t="s">
        <v>40</v>
      </c>
      <c r="F7" s="13" t="s">
        <v>66</v>
      </c>
      <c r="G7" s="15">
        <v>0.66319444444444442</v>
      </c>
      <c r="H7" s="15">
        <v>0.69444444444444453</v>
      </c>
      <c r="I7" s="15">
        <f t="shared" si="3"/>
        <v>3.1250000000000111E-2</v>
      </c>
      <c r="J7" s="15">
        <f t="shared" ref="J7:J9" si="6">I7-D7</f>
        <v>1.1102230246251565E-16</v>
      </c>
      <c r="K7" s="15">
        <v>0.69444444444444453</v>
      </c>
      <c r="L7" s="15">
        <v>1.3888888888888888E-2</v>
      </c>
      <c r="M7" s="15">
        <v>0.71527777777777779</v>
      </c>
      <c r="N7" s="24">
        <f t="shared" ref="N7:N10" si="7">M7-L7-K7</f>
        <v>6.9444444444444198E-3</v>
      </c>
      <c r="O7" s="15">
        <v>3.125E-2</v>
      </c>
      <c r="P7" s="15">
        <v>0.72013888888888899</v>
      </c>
      <c r="Q7" s="15">
        <v>0.73263888888888884</v>
      </c>
      <c r="R7" s="15">
        <f t="shared" si="5"/>
        <v>1.2499999999999845E-2</v>
      </c>
      <c r="S7" s="15">
        <v>0</v>
      </c>
      <c r="T7" s="15">
        <v>0.73611111111111116</v>
      </c>
      <c r="U7" s="16"/>
    </row>
    <row r="8" spans="1:21" ht="19.5" thickBot="1" x14ac:dyDescent="0.3">
      <c r="A8" s="12">
        <v>6</v>
      </c>
      <c r="B8" s="13">
        <v>1537</v>
      </c>
      <c r="C8" s="13" t="s">
        <v>27</v>
      </c>
      <c r="D8" s="14">
        <v>3.125E-2</v>
      </c>
      <c r="E8" s="13" t="s">
        <v>41</v>
      </c>
      <c r="F8" s="13" t="s">
        <v>66</v>
      </c>
      <c r="G8" s="15">
        <v>0.66319444444444442</v>
      </c>
      <c r="H8" s="15">
        <v>0.69444444444444453</v>
      </c>
      <c r="I8" s="15">
        <f t="shared" si="3"/>
        <v>3.1250000000000111E-2</v>
      </c>
      <c r="J8" s="15">
        <f t="shared" si="6"/>
        <v>1.1102230246251565E-16</v>
      </c>
      <c r="K8" s="15">
        <v>0.69444444444444453</v>
      </c>
      <c r="L8" s="15">
        <v>1.0416666666666666E-2</v>
      </c>
      <c r="M8" s="15">
        <v>0.74305555555555547</v>
      </c>
      <c r="N8" s="15">
        <v>0</v>
      </c>
      <c r="O8" s="15">
        <v>3.125E-2</v>
      </c>
      <c r="P8" s="15">
        <v>0.74652777777777779</v>
      </c>
      <c r="Q8" s="15">
        <v>0.78333333333333333</v>
      </c>
      <c r="R8" s="15">
        <f t="shared" si="5"/>
        <v>3.6805555555555536E-2</v>
      </c>
      <c r="S8" s="15">
        <f t="shared" ref="S8:S11" si="8">R8-O8</f>
        <v>5.5555555555555358E-3</v>
      </c>
      <c r="T8" s="15">
        <v>0.78472222222222221</v>
      </c>
      <c r="U8" s="16"/>
    </row>
    <row r="9" spans="1:21" ht="19.5" thickBot="1" x14ac:dyDescent="0.3">
      <c r="A9" s="12">
        <v>7</v>
      </c>
      <c r="B9" s="13">
        <v>1537</v>
      </c>
      <c r="C9" s="13" t="s">
        <v>27</v>
      </c>
      <c r="D9" s="14">
        <v>3.125E-2</v>
      </c>
      <c r="E9" s="13" t="s">
        <v>47</v>
      </c>
      <c r="F9" s="13" t="s">
        <v>66</v>
      </c>
      <c r="G9" s="15">
        <v>0.66319444444444442</v>
      </c>
      <c r="H9" s="15">
        <v>0.69444444444444453</v>
      </c>
      <c r="I9" s="15">
        <f t="shared" si="3"/>
        <v>3.1250000000000111E-2</v>
      </c>
      <c r="J9" s="15">
        <f t="shared" si="6"/>
        <v>1.1102230246251565E-16</v>
      </c>
      <c r="K9" s="15">
        <v>0.69444444444444453</v>
      </c>
      <c r="L9" s="15">
        <v>2.0833333333333332E-2</v>
      </c>
      <c r="M9" s="15">
        <v>0.81597222222222221</v>
      </c>
      <c r="N9" s="24">
        <v>1.0416666666666666E-2</v>
      </c>
      <c r="O9" s="15">
        <v>4.1666666666666664E-2</v>
      </c>
      <c r="P9" s="15">
        <v>0.82638888888888884</v>
      </c>
      <c r="Q9" s="15">
        <v>0.84375</v>
      </c>
      <c r="R9" s="15">
        <f t="shared" si="5"/>
        <v>1.736111111111116E-2</v>
      </c>
      <c r="S9" s="15">
        <v>0</v>
      </c>
      <c r="T9" s="15">
        <v>0.85763888888888884</v>
      </c>
      <c r="U9" s="16"/>
    </row>
    <row r="10" spans="1:21" ht="19.5" thickBot="1" x14ac:dyDescent="0.3">
      <c r="A10" s="12">
        <v>8</v>
      </c>
      <c r="B10" s="13">
        <v>9198</v>
      </c>
      <c r="C10" s="13" t="s">
        <v>32</v>
      </c>
      <c r="D10" s="14">
        <v>2.0833333333333332E-2</v>
      </c>
      <c r="E10" s="13" t="s">
        <v>44</v>
      </c>
      <c r="F10" s="13" t="s">
        <v>67</v>
      </c>
      <c r="G10" s="15">
        <v>0.69444444444444453</v>
      </c>
      <c r="H10" s="15">
        <v>0.71527777777777779</v>
      </c>
      <c r="I10" s="15">
        <f t="shared" si="3"/>
        <v>2.0833333333333259E-2</v>
      </c>
      <c r="J10" s="15">
        <v>0</v>
      </c>
      <c r="K10" s="15">
        <v>0.71875</v>
      </c>
      <c r="L10" s="15">
        <v>3.8194444444444441E-2</v>
      </c>
      <c r="M10" s="15">
        <v>0.76388888888888884</v>
      </c>
      <c r="N10" s="24">
        <f t="shared" si="7"/>
        <v>6.9444444444444198E-3</v>
      </c>
      <c r="O10" s="15">
        <v>2.0833333333333332E-2</v>
      </c>
      <c r="P10" s="15">
        <v>0.76736111111111116</v>
      </c>
      <c r="Q10" s="15">
        <v>0.78472222222222221</v>
      </c>
      <c r="R10" s="15">
        <f t="shared" si="5"/>
        <v>1.7361111111111049E-2</v>
      </c>
      <c r="S10" s="15">
        <v>0</v>
      </c>
      <c r="T10" s="15">
        <v>0.80208333333333337</v>
      </c>
      <c r="U10" s="17"/>
    </row>
    <row r="11" spans="1:21" ht="19.5" thickBot="1" x14ac:dyDescent="0.3">
      <c r="A11" s="18">
        <v>9</v>
      </c>
      <c r="B11" s="19">
        <v>9198</v>
      </c>
      <c r="C11" s="19" t="s">
        <v>32</v>
      </c>
      <c r="D11" s="22">
        <v>2.0833333333333332E-2</v>
      </c>
      <c r="E11" s="19" t="s">
        <v>45</v>
      </c>
      <c r="F11" s="19" t="s">
        <v>67</v>
      </c>
      <c r="G11" s="20">
        <v>0.69444444444444453</v>
      </c>
      <c r="H11" s="20">
        <v>0.71527777777777779</v>
      </c>
      <c r="I11" s="20">
        <f t="shared" si="3"/>
        <v>2.0833333333333259E-2</v>
      </c>
      <c r="J11" s="20">
        <v>0</v>
      </c>
      <c r="K11" s="20">
        <v>0.71875</v>
      </c>
      <c r="L11" s="20">
        <v>1.0416666666666666E-2</v>
      </c>
      <c r="M11" s="20">
        <v>0.80555555555555547</v>
      </c>
      <c r="N11" s="20">
        <v>0</v>
      </c>
      <c r="O11" s="20">
        <v>3.125E-2</v>
      </c>
      <c r="P11" s="20">
        <v>0.80902777777777779</v>
      </c>
      <c r="Q11" s="20">
        <v>0.84722222222222221</v>
      </c>
      <c r="R11" s="20">
        <f t="shared" si="5"/>
        <v>3.819444444444442E-2</v>
      </c>
      <c r="S11" s="26">
        <f t="shared" si="8"/>
        <v>6.9444444444444198E-3</v>
      </c>
      <c r="T11" s="20">
        <v>0.85069444444444453</v>
      </c>
      <c r="U11" s="27"/>
    </row>
    <row r="12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rightToLeft="1" workbookViewId="0">
      <selection activeCell="F7" sqref="F7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61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7" t="s">
        <v>0</v>
      </c>
      <c r="B2" s="35" t="s">
        <v>1</v>
      </c>
      <c r="C2" s="35" t="s">
        <v>2</v>
      </c>
      <c r="D2" s="36" t="s">
        <v>3</v>
      </c>
      <c r="E2" s="35" t="s">
        <v>4</v>
      </c>
      <c r="F2" s="35" t="s">
        <v>5</v>
      </c>
      <c r="G2" s="37" t="s">
        <v>6</v>
      </c>
      <c r="H2" s="37" t="s">
        <v>7</v>
      </c>
      <c r="I2" s="36" t="s">
        <v>8</v>
      </c>
      <c r="J2" s="36" t="s">
        <v>9</v>
      </c>
      <c r="K2" s="35" t="s">
        <v>10</v>
      </c>
      <c r="L2" s="38" t="s">
        <v>11</v>
      </c>
      <c r="M2" s="35" t="s">
        <v>12</v>
      </c>
      <c r="N2" s="38" t="s">
        <v>13</v>
      </c>
      <c r="O2" s="38" t="s">
        <v>14</v>
      </c>
      <c r="P2" s="35" t="s">
        <v>15</v>
      </c>
      <c r="Q2" s="35" t="s">
        <v>16</v>
      </c>
      <c r="R2" s="35" t="s">
        <v>17</v>
      </c>
      <c r="S2" s="38" t="s">
        <v>18</v>
      </c>
      <c r="T2" s="35" t="s">
        <v>19</v>
      </c>
      <c r="U2" s="39" t="s">
        <v>20</v>
      </c>
    </row>
    <row r="3" spans="1:21" ht="20.25" customHeight="1" thickBot="1" x14ac:dyDescent="0.3">
      <c r="A3" s="12">
        <v>1</v>
      </c>
      <c r="B3" s="13">
        <v>3891</v>
      </c>
      <c r="C3" s="13" t="s">
        <v>27</v>
      </c>
      <c r="D3" s="14">
        <v>3.125E-2</v>
      </c>
      <c r="E3" s="13" t="s">
        <v>55</v>
      </c>
      <c r="F3" s="13" t="s">
        <v>69</v>
      </c>
      <c r="G3" s="15">
        <v>0.65972222222222221</v>
      </c>
      <c r="H3" s="15">
        <v>0.6875</v>
      </c>
      <c r="I3" s="15">
        <f>H3-G3</f>
        <v>2.777777777777779E-2</v>
      </c>
      <c r="J3" s="15">
        <v>0</v>
      </c>
      <c r="K3" s="15">
        <v>0.69097222222222221</v>
      </c>
      <c r="L3" s="15">
        <v>3.472222222222222E-3</v>
      </c>
      <c r="M3" s="15">
        <v>0.69791666666666663</v>
      </c>
      <c r="N3" s="15">
        <f>M3-L3-K3</f>
        <v>3.4722222222222099E-3</v>
      </c>
      <c r="O3" s="15">
        <v>3.125E-2</v>
      </c>
      <c r="P3" s="15">
        <v>0.70138888888888884</v>
      </c>
      <c r="Q3" s="15">
        <v>0.72569444444444453</v>
      </c>
      <c r="R3" s="15">
        <f>Q3-P3</f>
        <v>2.4305555555555691E-2</v>
      </c>
      <c r="S3" s="15">
        <v>0</v>
      </c>
      <c r="T3" s="15">
        <v>0.72916666666666663</v>
      </c>
      <c r="U3" s="34"/>
    </row>
    <row r="4" spans="1:21" ht="19.5" thickBot="1" x14ac:dyDescent="0.3">
      <c r="A4" s="12">
        <v>2</v>
      </c>
      <c r="B4" s="13">
        <v>3891</v>
      </c>
      <c r="C4" s="13" t="s">
        <v>27</v>
      </c>
      <c r="D4" s="14">
        <v>3.125E-2</v>
      </c>
      <c r="E4" s="13" t="s">
        <v>56</v>
      </c>
      <c r="F4" s="13" t="s">
        <v>69</v>
      </c>
      <c r="G4" s="15">
        <v>0.65972222222222221</v>
      </c>
      <c r="H4" s="15">
        <v>0.6875</v>
      </c>
      <c r="I4" s="15">
        <f t="shared" ref="I4:I9" si="0">H4-G4</f>
        <v>2.777777777777779E-2</v>
      </c>
      <c r="J4" s="15">
        <v>0</v>
      </c>
      <c r="K4" s="15">
        <v>0.69097222222222221</v>
      </c>
      <c r="L4" s="15">
        <v>1.0416666666666666E-2</v>
      </c>
      <c r="M4" s="15">
        <v>0.73958333333333337</v>
      </c>
      <c r="N4" s="15">
        <f t="shared" ref="N4:N9" si="1">M4-L4-K4</f>
        <v>3.8194444444444531E-2</v>
      </c>
      <c r="O4" s="15">
        <v>3.125E-2</v>
      </c>
      <c r="P4" s="15">
        <v>0.74305555555555547</v>
      </c>
      <c r="Q4" s="15">
        <v>0.78333333333333333</v>
      </c>
      <c r="R4" s="15">
        <f t="shared" ref="R4:R9" si="2">Q4-P4</f>
        <v>4.0277777777777857E-2</v>
      </c>
      <c r="S4" s="24">
        <f t="shared" ref="S4" si="3">R4-O4</f>
        <v>9.0277777777778567E-3</v>
      </c>
      <c r="T4" s="15">
        <v>0.78472222222222221</v>
      </c>
      <c r="U4" s="16"/>
    </row>
    <row r="5" spans="1:21" ht="19.5" thickBot="1" x14ac:dyDescent="0.3">
      <c r="A5" s="12">
        <v>3</v>
      </c>
      <c r="B5" s="13">
        <v>3891</v>
      </c>
      <c r="C5" s="13" t="s">
        <v>27</v>
      </c>
      <c r="D5" s="14">
        <v>3.125E-2</v>
      </c>
      <c r="E5" s="13" t="s">
        <v>68</v>
      </c>
      <c r="F5" s="13" t="s">
        <v>69</v>
      </c>
      <c r="G5" s="15">
        <v>0.65972222222222221</v>
      </c>
      <c r="H5" s="15">
        <v>0.6875</v>
      </c>
      <c r="I5" s="15">
        <f t="shared" si="0"/>
        <v>2.777777777777779E-2</v>
      </c>
      <c r="J5" s="15">
        <v>0</v>
      </c>
      <c r="K5" s="15">
        <v>0.69097222222222221</v>
      </c>
      <c r="L5" s="15">
        <v>6.9444444444444441E-3</v>
      </c>
      <c r="M5" s="15">
        <v>0.79166666666666663</v>
      </c>
      <c r="N5" s="15">
        <f t="shared" si="1"/>
        <v>9.375E-2</v>
      </c>
      <c r="O5" s="15">
        <v>4.1666666666666664E-2</v>
      </c>
      <c r="P5" s="15">
        <v>0.79861111111111116</v>
      </c>
      <c r="Q5" s="15">
        <v>0.82291666666666663</v>
      </c>
      <c r="R5" s="15">
        <f t="shared" si="2"/>
        <v>2.4305555555555469E-2</v>
      </c>
      <c r="S5" s="15">
        <v>0</v>
      </c>
      <c r="T5" s="15">
        <v>0.82638888888888884</v>
      </c>
      <c r="U5" s="16"/>
    </row>
    <row r="6" spans="1:21" ht="19.5" thickBot="1" x14ac:dyDescent="0.3">
      <c r="A6" s="12">
        <v>4</v>
      </c>
      <c r="B6" s="13">
        <v>3783</v>
      </c>
      <c r="C6" s="13" t="s">
        <v>32</v>
      </c>
      <c r="D6" s="14">
        <v>2.0833333333333332E-2</v>
      </c>
      <c r="E6" s="13" t="s">
        <v>52</v>
      </c>
      <c r="F6" s="13" t="s">
        <v>71</v>
      </c>
      <c r="G6" s="15">
        <v>0.69097222222222221</v>
      </c>
      <c r="H6" s="15">
        <v>0.71527777777777779</v>
      </c>
      <c r="I6" s="15">
        <f t="shared" si="0"/>
        <v>2.430555555555558E-2</v>
      </c>
      <c r="J6" s="15">
        <v>0</v>
      </c>
      <c r="K6" s="15">
        <v>0.72569444444444453</v>
      </c>
      <c r="L6" s="15">
        <v>1.7361111111111112E-2</v>
      </c>
      <c r="M6" s="15">
        <v>0.75694444444444453</v>
      </c>
      <c r="N6" s="15">
        <f t="shared" si="1"/>
        <v>1.388888888888884E-2</v>
      </c>
      <c r="O6" s="15">
        <v>2.0833333333333332E-2</v>
      </c>
      <c r="P6" s="15">
        <v>0.76041666666666663</v>
      </c>
      <c r="Q6" s="15">
        <v>0.77777777777777779</v>
      </c>
      <c r="R6" s="15">
        <f t="shared" si="2"/>
        <v>1.736111111111116E-2</v>
      </c>
      <c r="S6" s="15">
        <v>0</v>
      </c>
      <c r="T6" s="15">
        <v>0.78125</v>
      </c>
      <c r="U6" s="16"/>
    </row>
    <row r="7" spans="1:21" ht="19.5" thickBot="1" x14ac:dyDescent="0.3">
      <c r="A7" s="12">
        <v>5</v>
      </c>
      <c r="B7" s="13">
        <v>3783</v>
      </c>
      <c r="C7" s="13" t="s">
        <v>32</v>
      </c>
      <c r="D7" s="14">
        <v>2.0833333333333332E-2</v>
      </c>
      <c r="E7" s="13" t="s">
        <v>70</v>
      </c>
      <c r="F7" s="13" t="s">
        <v>71</v>
      </c>
      <c r="G7" s="15">
        <v>0.69097222222222221</v>
      </c>
      <c r="H7" s="15">
        <v>0.71527777777777779</v>
      </c>
      <c r="I7" s="15">
        <f t="shared" si="0"/>
        <v>2.430555555555558E-2</v>
      </c>
      <c r="J7" s="15">
        <v>0</v>
      </c>
      <c r="K7" s="15">
        <v>0.72569444444444453</v>
      </c>
      <c r="L7" s="15">
        <v>1.3888888888888888E-2</v>
      </c>
      <c r="M7" s="15">
        <v>0.79166666666666663</v>
      </c>
      <c r="N7" s="15">
        <f t="shared" si="1"/>
        <v>5.2083333333333259E-2</v>
      </c>
      <c r="O7" s="15">
        <v>2.0833333333333332E-2</v>
      </c>
      <c r="P7" s="15">
        <v>0.79861111111111116</v>
      </c>
      <c r="Q7" s="15">
        <v>0.8125</v>
      </c>
      <c r="R7" s="15">
        <f t="shared" si="2"/>
        <v>1.388888888888884E-2</v>
      </c>
      <c r="S7" s="15">
        <v>0</v>
      </c>
      <c r="T7" s="15">
        <v>0.81597222222222221</v>
      </c>
      <c r="U7" s="16"/>
    </row>
    <row r="8" spans="1:21" ht="19.5" thickBot="1" x14ac:dyDescent="0.3">
      <c r="A8" s="12">
        <v>6</v>
      </c>
      <c r="B8" s="13">
        <v>3783</v>
      </c>
      <c r="C8" s="13" t="s">
        <v>32</v>
      </c>
      <c r="D8" s="14">
        <v>2.0833333333333332E-2</v>
      </c>
      <c r="E8" s="13" t="s">
        <v>53</v>
      </c>
      <c r="F8" s="13" t="s">
        <v>71</v>
      </c>
      <c r="G8" s="15">
        <v>0.69097222222222221</v>
      </c>
      <c r="H8" s="15">
        <v>0.71527777777777779</v>
      </c>
      <c r="I8" s="15">
        <f t="shared" si="0"/>
        <v>2.430555555555558E-2</v>
      </c>
      <c r="J8" s="15">
        <v>0</v>
      </c>
      <c r="K8" s="15">
        <v>0.72569444444444453</v>
      </c>
      <c r="L8" s="15">
        <v>1.3888888888888888E-2</v>
      </c>
      <c r="M8" s="15">
        <v>0.82291666666666663</v>
      </c>
      <c r="N8" s="15">
        <f t="shared" si="1"/>
        <v>8.3333333333333259E-2</v>
      </c>
      <c r="O8" s="15">
        <v>2.0833333333333332E-2</v>
      </c>
      <c r="P8" s="15">
        <v>0.82638888888888884</v>
      </c>
      <c r="Q8" s="15">
        <v>0.84375</v>
      </c>
      <c r="R8" s="15">
        <f t="shared" si="2"/>
        <v>1.736111111111116E-2</v>
      </c>
      <c r="S8" s="15">
        <v>0</v>
      </c>
      <c r="T8" s="15">
        <v>0.84722222222222221</v>
      </c>
      <c r="U8" s="16"/>
    </row>
    <row r="9" spans="1:21" ht="19.5" thickBot="1" x14ac:dyDescent="0.3">
      <c r="A9" s="18">
        <v>7</v>
      </c>
      <c r="B9" s="19">
        <v>3783</v>
      </c>
      <c r="C9" s="19" t="s">
        <v>32</v>
      </c>
      <c r="D9" s="22">
        <v>2.0833333333333332E-2</v>
      </c>
      <c r="E9" s="19" t="s">
        <v>54</v>
      </c>
      <c r="F9" s="19" t="s">
        <v>71</v>
      </c>
      <c r="G9" s="20">
        <v>0.69097222222222221</v>
      </c>
      <c r="H9" s="20">
        <v>0.71527777777777779</v>
      </c>
      <c r="I9" s="20">
        <f t="shared" si="0"/>
        <v>2.430555555555558E-2</v>
      </c>
      <c r="J9" s="20">
        <v>0</v>
      </c>
      <c r="K9" s="20">
        <v>0.72569444444444453</v>
      </c>
      <c r="L9" s="20">
        <v>1.0416666666666666E-2</v>
      </c>
      <c r="M9" s="20">
        <v>0.86111111111111116</v>
      </c>
      <c r="N9" s="20">
        <f t="shared" si="1"/>
        <v>0.125</v>
      </c>
      <c r="O9" s="20">
        <v>3.125E-2</v>
      </c>
      <c r="P9" s="20">
        <v>0.86458333333333337</v>
      </c>
      <c r="Q9" s="20">
        <v>0.87847222222222221</v>
      </c>
      <c r="R9" s="20">
        <f t="shared" si="2"/>
        <v>1.388888888888884E-2</v>
      </c>
      <c r="S9" s="20">
        <v>0</v>
      </c>
      <c r="T9" s="20">
        <v>0.88194444444444453</v>
      </c>
      <c r="U9" s="27"/>
    </row>
    <row r="10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rightToLeft="1" tabSelected="1" topLeftCell="C1" workbookViewId="0">
      <selection activeCell="N5" sqref="N5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62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>
        <v>2917</v>
      </c>
      <c r="C3" s="8" t="s">
        <v>27</v>
      </c>
      <c r="D3" s="9">
        <v>3.125E-2</v>
      </c>
      <c r="E3" s="8" t="s">
        <v>28</v>
      </c>
      <c r="F3" s="8" t="s">
        <v>78</v>
      </c>
      <c r="G3" s="10">
        <v>0</v>
      </c>
      <c r="H3" s="10">
        <v>0</v>
      </c>
      <c r="I3" s="10">
        <f>H3-G3</f>
        <v>0</v>
      </c>
      <c r="J3" s="10">
        <v>0</v>
      </c>
      <c r="K3" s="10">
        <v>0.66319444444444442</v>
      </c>
      <c r="L3" s="10">
        <v>2.4305555555555556E-2</v>
      </c>
      <c r="M3" s="10">
        <v>0.70138888888888884</v>
      </c>
      <c r="N3" s="25">
        <f>M3-L3-K3</f>
        <v>1.388888888888884E-2</v>
      </c>
      <c r="O3" s="10">
        <v>3.125E-2</v>
      </c>
      <c r="P3" s="10">
        <v>0.70694444444444438</v>
      </c>
      <c r="Q3" s="10">
        <v>0.73472222222222217</v>
      </c>
      <c r="R3" s="10">
        <f>Q3-P3</f>
        <v>2.777777777777779E-2</v>
      </c>
      <c r="S3" s="10">
        <v>0</v>
      </c>
      <c r="T3" s="10">
        <v>0.73958333333333337</v>
      </c>
      <c r="U3" s="11"/>
    </row>
    <row r="4" spans="1:21" ht="19.5" thickBot="1" x14ac:dyDescent="0.3">
      <c r="A4" s="12">
        <v>2</v>
      </c>
      <c r="B4" s="13">
        <v>2917</v>
      </c>
      <c r="C4" s="13" t="s">
        <v>27</v>
      </c>
      <c r="D4" s="14">
        <v>3.125E-2</v>
      </c>
      <c r="E4" s="13" t="s">
        <v>29</v>
      </c>
      <c r="F4" s="13" t="s">
        <v>78</v>
      </c>
      <c r="G4" s="15">
        <v>0</v>
      </c>
      <c r="H4" s="15">
        <v>0</v>
      </c>
      <c r="I4" s="15">
        <f t="shared" ref="I4:I9" si="0">H4-G4</f>
        <v>0</v>
      </c>
      <c r="J4" s="15">
        <v>0</v>
      </c>
      <c r="K4" s="15">
        <v>0.66319444444444442</v>
      </c>
      <c r="L4" s="15">
        <v>1.7361111111111112E-2</v>
      </c>
      <c r="M4" s="15">
        <v>0.74861111111111101</v>
      </c>
      <c r="N4" s="15">
        <v>0</v>
      </c>
      <c r="O4" s="15">
        <v>3.125E-2</v>
      </c>
      <c r="P4" s="15">
        <v>0.75347222222222221</v>
      </c>
      <c r="Q4" s="15">
        <v>0.78472222222222221</v>
      </c>
      <c r="R4" s="15">
        <f t="shared" ref="R4:R9" si="1">Q4-P4</f>
        <v>3.125E-2</v>
      </c>
      <c r="S4" s="15">
        <v>0</v>
      </c>
      <c r="T4" s="15">
        <v>0.7895833333333333</v>
      </c>
      <c r="U4" s="16"/>
    </row>
    <row r="5" spans="1:21" ht="19.5" thickBot="1" x14ac:dyDescent="0.3">
      <c r="A5" s="12">
        <v>3</v>
      </c>
      <c r="B5" s="13">
        <v>2917</v>
      </c>
      <c r="C5" s="13" t="s">
        <v>27</v>
      </c>
      <c r="D5" s="14">
        <v>3.125E-2</v>
      </c>
      <c r="E5" s="13" t="s">
        <v>30</v>
      </c>
      <c r="F5" s="13" t="s">
        <v>78</v>
      </c>
      <c r="G5" s="15">
        <v>0</v>
      </c>
      <c r="H5" s="15">
        <v>0</v>
      </c>
      <c r="I5" s="15">
        <f t="shared" si="0"/>
        <v>0</v>
      </c>
      <c r="J5" s="15">
        <v>0</v>
      </c>
      <c r="K5" s="15">
        <v>0.66319444444444442</v>
      </c>
      <c r="L5" s="15">
        <v>1.0416666666666666E-2</v>
      </c>
      <c r="M5" s="15">
        <v>0.80902777777777779</v>
      </c>
      <c r="N5" s="24">
        <v>9.0277777777777787E-3</v>
      </c>
      <c r="O5" s="15">
        <v>4.1666666666666664E-2</v>
      </c>
      <c r="P5" s="15">
        <v>0.8125</v>
      </c>
      <c r="Q5" s="15">
        <v>0.85763888888888884</v>
      </c>
      <c r="R5" s="15">
        <f t="shared" si="1"/>
        <v>4.513888888888884E-2</v>
      </c>
      <c r="S5" s="15">
        <f t="shared" ref="S4:S9" si="2">R5-O5</f>
        <v>3.4722222222221752E-3</v>
      </c>
      <c r="T5" s="15">
        <v>0.86111111111111116</v>
      </c>
      <c r="U5" s="16"/>
    </row>
    <row r="6" spans="1:21" ht="19.5" thickBot="1" x14ac:dyDescent="0.3">
      <c r="A6" s="12">
        <v>4</v>
      </c>
      <c r="B6" s="13">
        <v>3787</v>
      </c>
      <c r="C6" s="13" t="s">
        <v>32</v>
      </c>
      <c r="D6" s="14">
        <v>2.0833333333333332E-2</v>
      </c>
      <c r="E6" s="13" t="s">
        <v>33</v>
      </c>
      <c r="F6" s="13" t="s">
        <v>35</v>
      </c>
      <c r="G6" s="15">
        <v>0</v>
      </c>
      <c r="H6" s="15">
        <v>0</v>
      </c>
      <c r="I6" s="15">
        <f t="shared" si="0"/>
        <v>0</v>
      </c>
      <c r="J6" s="15">
        <v>0</v>
      </c>
      <c r="K6" s="15">
        <v>0.6875</v>
      </c>
      <c r="L6" s="15">
        <v>2.7777777777777776E-2</v>
      </c>
      <c r="M6" s="15">
        <v>0.70833333333333337</v>
      </c>
      <c r="N6" s="15">
        <v>0</v>
      </c>
      <c r="O6" s="15">
        <v>2.0833333333333332E-2</v>
      </c>
      <c r="P6" s="15">
        <v>0.71527777777777779</v>
      </c>
      <c r="Q6" s="15">
        <v>0.72222222222222221</v>
      </c>
      <c r="R6" s="15">
        <f t="shared" si="1"/>
        <v>6.9444444444444198E-3</v>
      </c>
      <c r="S6" s="15">
        <v>0</v>
      </c>
      <c r="T6" s="15">
        <v>0.72569444444444453</v>
      </c>
      <c r="U6" s="16"/>
    </row>
    <row r="7" spans="1:21" ht="19.5" thickBot="1" x14ac:dyDescent="0.3">
      <c r="A7" s="12">
        <v>5</v>
      </c>
      <c r="B7" s="13">
        <v>3787</v>
      </c>
      <c r="C7" s="13" t="s">
        <v>32</v>
      </c>
      <c r="D7" s="14">
        <v>2.0833333333333332E-2</v>
      </c>
      <c r="E7" s="13" t="s">
        <v>34</v>
      </c>
      <c r="F7" s="13" t="s">
        <v>35</v>
      </c>
      <c r="G7" s="15">
        <v>0</v>
      </c>
      <c r="H7" s="15">
        <v>0</v>
      </c>
      <c r="I7" s="15">
        <f t="shared" si="0"/>
        <v>0</v>
      </c>
      <c r="J7" s="15">
        <v>0</v>
      </c>
      <c r="K7" s="15">
        <v>0.6875</v>
      </c>
      <c r="L7" s="15">
        <v>1.7361111111111112E-2</v>
      </c>
      <c r="M7" s="15">
        <v>0.78819444444444453</v>
      </c>
      <c r="N7" s="24">
        <v>4.5138888888888888E-2</v>
      </c>
      <c r="O7" s="15">
        <v>3.125E-2</v>
      </c>
      <c r="P7" s="15">
        <v>0.79166666666666663</v>
      </c>
      <c r="Q7" s="15">
        <v>0.8125</v>
      </c>
      <c r="R7" s="15">
        <f t="shared" si="1"/>
        <v>2.083333333333337E-2</v>
      </c>
      <c r="S7" s="15">
        <v>0</v>
      </c>
      <c r="T7" s="15">
        <v>0.81597222222222221</v>
      </c>
      <c r="U7" s="16"/>
    </row>
    <row r="8" spans="1:21" ht="19.5" thickBot="1" x14ac:dyDescent="0.3">
      <c r="A8" s="12">
        <v>6</v>
      </c>
      <c r="B8" s="13">
        <v>634</v>
      </c>
      <c r="C8" s="13" t="s">
        <v>32</v>
      </c>
      <c r="D8" s="14">
        <v>2.0833333333333332E-2</v>
      </c>
      <c r="E8" s="13" t="s">
        <v>36</v>
      </c>
      <c r="F8" s="13" t="s">
        <v>38</v>
      </c>
      <c r="G8" s="15">
        <v>0</v>
      </c>
      <c r="H8" s="15">
        <v>0</v>
      </c>
      <c r="I8" s="15">
        <f t="shared" si="0"/>
        <v>0</v>
      </c>
      <c r="J8" s="15">
        <v>0</v>
      </c>
      <c r="K8" s="15">
        <v>0.69097222222222221</v>
      </c>
      <c r="L8" s="15">
        <v>1.7361111111111112E-2</v>
      </c>
      <c r="M8" s="15">
        <v>0.71944444444444444</v>
      </c>
      <c r="N8" s="24">
        <f t="shared" ref="N4:N9" si="3">M8-L8-K8</f>
        <v>1.1111111111111072E-2</v>
      </c>
      <c r="O8" s="15">
        <v>2.0833333333333332E-2</v>
      </c>
      <c r="P8" s="15">
        <v>0.73263888888888884</v>
      </c>
      <c r="Q8" s="15">
        <v>0.74236111111111114</v>
      </c>
      <c r="R8" s="15">
        <f t="shared" si="1"/>
        <v>9.7222222222222987E-3</v>
      </c>
      <c r="S8" s="15">
        <v>0</v>
      </c>
      <c r="T8" s="15">
        <v>0.75277777777777777</v>
      </c>
      <c r="U8" s="16"/>
    </row>
    <row r="9" spans="1:21" ht="19.5" thickBot="1" x14ac:dyDescent="0.3">
      <c r="A9" s="18">
        <v>7</v>
      </c>
      <c r="B9" s="19">
        <v>634</v>
      </c>
      <c r="C9" s="19" t="s">
        <v>32</v>
      </c>
      <c r="D9" s="22">
        <v>2.0833333333333332E-2</v>
      </c>
      <c r="E9" s="19" t="s">
        <v>37</v>
      </c>
      <c r="F9" s="19" t="s">
        <v>38</v>
      </c>
      <c r="G9" s="20">
        <v>0</v>
      </c>
      <c r="H9" s="20">
        <v>0</v>
      </c>
      <c r="I9" s="20">
        <f t="shared" si="0"/>
        <v>0</v>
      </c>
      <c r="J9" s="20">
        <v>0</v>
      </c>
      <c r="K9" s="20">
        <v>0.69097222222222221</v>
      </c>
      <c r="L9" s="20">
        <v>3.472222222222222E-3</v>
      </c>
      <c r="M9" s="20">
        <v>0.76388888888888884</v>
      </c>
      <c r="N9" s="20">
        <v>0</v>
      </c>
      <c r="O9" s="20">
        <v>3.125E-2</v>
      </c>
      <c r="P9" s="20">
        <v>0.76597222222222217</v>
      </c>
      <c r="Q9" s="20">
        <v>0.79513888888888884</v>
      </c>
      <c r="R9" s="20">
        <f t="shared" si="1"/>
        <v>2.9166666666666674E-2</v>
      </c>
      <c r="S9" s="20">
        <v>0</v>
      </c>
      <c r="T9" s="20">
        <v>0.79861111111111116</v>
      </c>
      <c r="U9" s="27"/>
    </row>
    <row r="10" spans="1:21" ht="15.75" thickTop="1" x14ac:dyDescent="0.25"/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K6" sqref="K6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K10" sqref="K10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64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I8" sqref="I8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J12" sqref="J12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L3" sqref="L3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L8" sqref="L8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L12" sqref="L12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rightToLeft="1" workbookViewId="0">
      <selection activeCell="M13" sqref="M13"/>
    </sheetView>
  </sheetViews>
  <sheetFormatPr defaultRowHeight="1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5" customWidth="1"/>
    <col min="7" max="7" width="12.5703125" customWidth="1"/>
    <col min="8" max="10" width="14.28515625" customWidth="1"/>
    <col min="11" max="11" width="12.42578125" customWidth="1"/>
    <col min="12" max="12" width="16.140625" bestFit="1" customWidth="1"/>
    <col min="13" max="13" width="12.140625" customWidth="1"/>
    <col min="14" max="14" width="14.42578125" customWidth="1"/>
    <col min="15" max="15" width="17.5703125" customWidth="1"/>
    <col min="16" max="16" width="11.7109375" customWidth="1"/>
    <col min="17" max="17" width="12" bestFit="1" customWidth="1"/>
    <col min="18" max="18" width="11.5703125" customWidth="1"/>
    <col min="19" max="19" width="20.28515625" customWidth="1"/>
    <col min="20" max="20" width="12.85546875" customWidth="1"/>
    <col min="21" max="21" width="41" customWidth="1"/>
  </cols>
  <sheetData>
    <row r="1" spans="1:21" ht="36" customHeight="1" thickBot="1" x14ac:dyDescent="0.3">
      <c r="A1" s="40" t="s">
        <v>77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43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3" t="s">
        <v>8</v>
      </c>
      <c r="J2" s="3" t="s">
        <v>9</v>
      </c>
      <c r="K2" s="2" t="s">
        <v>10</v>
      </c>
      <c r="L2" s="5" t="s">
        <v>11</v>
      </c>
      <c r="M2" s="2" t="s">
        <v>12</v>
      </c>
      <c r="N2" s="5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5" t="s">
        <v>18</v>
      </c>
      <c r="T2" s="2" t="s">
        <v>19</v>
      </c>
      <c r="U2" s="6" t="s">
        <v>20</v>
      </c>
    </row>
    <row r="3" spans="1:21" ht="20.25" customHeight="1" thickTop="1" thickBot="1" x14ac:dyDescent="0.3">
      <c r="A3" s="7">
        <v>1</v>
      </c>
      <c r="B3" s="8"/>
      <c r="C3" s="8"/>
      <c r="D3" s="9"/>
      <c r="E3" s="8"/>
      <c r="F3" s="8"/>
      <c r="G3" s="10"/>
      <c r="H3" s="10"/>
      <c r="I3" s="10">
        <f>H3-G3</f>
        <v>0</v>
      </c>
      <c r="J3" s="10">
        <f>I3-D3</f>
        <v>0</v>
      </c>
      <c r="K3" s="10"/>
      <c r="L3" s="10"/>
      <c r="M3" s="10"/>
      <c r="N3" s="10">
        <f>M3-L3-K3</f>
        <v>0</v>
      </c>
      <c r="O3" s="10"/>
      <c r="P3" s="10"/>
      <c r="Q3" s="10"/>
      <c r="R3" s="10">
        <f>Q3-P3</f>
        <v>0</v>
      </c>
      <c r="S3" s="10">
        <f>R3-O3</f>
        <v>0</v>
      </c>
      <c r="T3" s="10"/>
      <c r="U3" s="11"/>
    </row>
    <row r="4" spans="1:21" ht="19.5" thickBot="1" x14ac:dyDescent="0.3">
      <c r="A4" s="12">
        <v>2</v>
      </c>
      <c r="B4" s="13"/>
      <c r="C4" s="13"/>
      <c r="D4" s="14"/>
      <c r="E4" s="13"/>
      <c r="F4" s="13"/>
      <c r="G4" s="15"/>
      <c r="H4" s="15"/>
      <c r="I4" s="15">
        <f t="shared" ref="I4:I17" si="0">H4-G4</f>
        <v>0</v>
      </c>
      <c r="J4" s="15">
        <f t="shared" ref="J4:J17" si="1">I4-D4</f>
        <v>0</v>
      </c>
      <c r="K4" s="15"/>
      <c r="L4" s="15"/>
      <c r="M4" s="15"/>
      <c r="N4" s="15">
        <f t="shared" ref="N4:N17" si="2">M4-L4-K4</f>
        <v>0</v>
      </c>
      <c r="O4" s="15"/>
      <c r="P4" s="15"/>
      <c r="Q4" s="15"/>
      <c r="R4" s="15">
        <f t="shared" ref="R4:R17" si="3">Q4-P4</f>
        <v>0</v>
      </c>
      <c r="S4" s="15">
        <f t="shared" ref="S4:S17" si="4">R4-O4</f>
        <v>0</v>
      </c>
      <c r="T4" s="15"/>
      <c r="U4" s="16"/>
    </row>
    <row r="5" spans="1:21" ht="19.5" thickBot="1" x14ac:dyDescent="0.3">
      <c r="A5" s="12">
        <v>3</v>
      </c>
      <c r="B5" s="13"/>
      <c r="C5" s="13"/>
      <c r="D5" s="14"/>
      <c r="E5" s="13"/>
      <c r="F5" s="13"/>
      <c r="G5" s="15"/>
      <c r="H5" s="15"/>
      <c r="I5" s="15">
        <f t="shared" si="0"/>
        <v>0</v>
      </c>
      <c r="J5" s="15">
        <f t="shared" si="1"/>
        <v>0</v>
      </c>
      <c r="K5" s="15"/>
      <c r="L5" s="15"/>
      <c r="M5" s="15"/>
      <c r="N5" s="15">
        <f t="shared" si="2"/>
        <v>0</v>
      </c>
      <c r="O5" s="15"/>
      <c r="P5" s="15"/>
      <c r="Q5" s="15"/>
      <c r="R5" s="15">
        <f t="shared" si="3"/>
        <v>0</v>
      </c>
      <c r="S5" s="15">
        <f t="shared" si="4"/>
        <v>0</v>
      </c>
      <c r="T5" s="15"/>
      <c r="U5" s="16"/>
    </row>
    <row r="6" spans="1:21" ht="19.5" thickBot="1" x14ac:dyDescent="0.3">
      <c r="A6" s="12">
        <v>4</v>
      </c>
      <c r="B6" s="13"/>
      <c r="C6" s="13"/>
      <c r="D6" s="14"/>
      <c r="E6" s="13"/>
      <c r="F6" s="13"/>
      <c r="G6" s="15"/>
      <c r="H6" s="15"/>
      <c r="I6" s="15">
        <f t="shared" si="0"/>
        <v>0</v>
      </c>
      <c r="J6" s="15">
        <f t="shared" si="1"/>
        <v>0</v>
      </c>
      <c r="K6" s="15"/>
      <c r="L6" s="15"/>
      <c r="M6" s="15"/>
      <c r="N6" s="15">
        <f t="shared" si="2"/>
        <v>0</v>
      </c>
      <c r="O6" s="15"/>
      <c r="P6" s="15"/>
      <c r="Q6" s="15"/>
      <c r="R6" s="15">
        <f t="shared" si="3"/>
        <v>0</v>
      </c>
      <c r="S6" s="15">
        <f t="shared" si="4"/>
        <v>0</v>
      </c>
      <c r="T6" s="15"/>
      <c r="U6" s="16"/>
    </row>
    <row r="7" spans="1:21" ht="19.5" thickBot="1" x14ac:dyDescent="0.3">
      <c r="A7" s="12">
        <v>5</v>
      </c>
      <c r="B7" s="13"/>
      <c r="C7" s="13"/>
      <c r="D7" s="14"/>
      <c r="E7" s="13"/>
      <c r="F7" s="13"/>
      <c r="G7" s="15"/>
      <c r="H7" s="15"/>
      <c r="I7" s="15">
        <f t="shared" si="0"/>
        <v>0</v>
      </c>
      <c r="J7" s="15">
        <f t="shared" si="1"/>
        <v>0</v>
      </c>
      <c r="K7" s="15"/>
      <c r="L7" s="15"/>
      <c r="M7" s="15"/>
      <c r="N7" s="15">
        <f t="shared" si="2"/>
        <v>0</v>
      </c>
      <c r="O7" s="15"/>
      <c r="P7" s="15"/>
      <c r="Q7" s="15"/>
      <c r="R7" s="15">
        <f t="shared" si="3"/>
        <v>0</v>
      </c>
      <c r="S7" s="15">
        <f t="shared" si="4"/>
        <v>0</v>
      </c>
      <c r="T7" s="15"/>
      <c r="U7" s="16"/>
    </row>
    <row r="8" spans="1:21" ht="19.5" thickBot="1" x14ac:dyDescent="0.3">
      <c r="A8" s="12">
        <v>6</v>
      </c>
      <c r="B8" s="13"/>
      <c r="C8" s="13"/>
      <c r="D8" s="14"/>
      <c r="E8" s="13"/>
      <c r="F8" s="13"/>
      <c r="G8" s="15"/>
      <c r="H8" s="15"/>
      <c r="I8" s="15">
        <f t="shared" si="0"/>
        <v>0</v>
      </c>
      <c r="J8" s="15">
        <f t="shared" si="1"/>
        <v>0</v>
      </c>
      <c r="K8" s="15"/>
      <c r="L8" s="15"/>
      <c r="M8" s="15"/>
      <c r="N8" s="15">
        <f t="shared" si="2"/>
        <v>0</v>
      </c>
      <c r="O8" s="15"/>
      <c r="P8" s="15"/>
      <c r="Q8" s="15"/>
      <c r="R8" s="15">
        <f t="shared" si="3"/>
        <v>0</v>
      </c>
      <c r="S8" s="15">
        <f t="shared" si="4"/>
        <v>0</v>
      </c>
      <c r="T8" s="15"/>
      <c r="U8" s="16"/>
    </row>
    <row r="9" spans="1:21" ht="19.5" thickBot="1" x14ac:dyDescent="0.3">
      <c r="A9" s="12">
        <v>7</v>
      </c>
      <c r="B9" s="13"/>
      <c r="C9" s="13"/>
      <c r="D9" s="14"/>
      <c r="E9" s="13"/>
      <c r="F9" s="13"/>
      <c r="G9" s="15"/>
      <c r="H9" s="15"/>
      <c r="I9" s="15">
        <f t="shared" si="0"/>
        <v>0</v>
      </c>
      <c r="J9" s="15">
        <f t="shared" si="1"/>
        <v>0</v>
      </c>
      <c r="K9" s="15"/>
      <c r="L9" s="15"/>
      <c r="M9" s="15"/>
      <c r="N9" s="15">
        <f t="shared" si="2"/>
        <v>0</v>
      </c>
      <c r="O9" s="15"/>
      <c r="P9" s="15"/>
      <c r="Q9" s="15"/>
      <c r="R9" s="15">
        <f t="shared" si="3"/>
        <v>0</v>
      </c>
      <c r="S9" s="15">
        <f t="shared" si="4"/>
        <v>0</v>
      </c>
      <c r="T9" s="15"/>
      <c r="U9" s="16"/>
    </row>
    <row r="10" spans="1:21" ht="19.5" thickBot="1" x14ac:dyDescent="0.3">
      <c r="A10" s="12">
        <v>8</v>
      </c>
      <c r="B10" s="13"/>
      <c r="C10" s="13"/>
      <c r="D10" s="14"/>
      <c r="E10" s="13"/>
      <c r="F10" s="13"/>
      <c r="G10" s="15"/>
      <c r="H10" s="15"/>
      <c r="I10" s="15">
        <f t="shared" si="0"/>
        <v>0</v>
      </c>
      <c r="J10" s="15">
        <f t="shared" si="1"/>
        <v>0</v>
      </c>
      <c r="K10" s="15"/>
      <c r="L10" s="15"/>
      <c r="M10" s="15"/>
      <c r="N10" s="15">
        <f t="shared" si="2"/>
        <v>0</v>
      </c>
      <c r="O10" s="15"/>
      <c r="P10" s="15"/>
      <c r="Q10" s="15"/>
      <c r="R10" s="15">
        <f t="shared" si="3"/>
        <v>0</v>
      </c>
      <c r="S10" s="15">
        <f t="shared" si="4"/>
        <v>0</v>
      </c>
      <c r="T10" s="15"/>
      <c r="U10" s="17"/>
    </row>
    <row r="11" spans="1:21" ht="19.5" thickBot="1" x14ac:dyDescent="0.3">
      <c r="A11" s="12">
        <v>9</v>
      </c>
      <c r="B11" s="13"/>
      <c r="C11" s="13"/>
      <c r="D11" s="14"/>
      <c r="E11" s="13"/>
      <c r="F11" s="13"/>
      <c r="G11" s="15"/>
      <c r="H11" s="15"/>
      <c r="I11" s="15">
        <f t="shared" si="0"/>
        <v>0</v>
      </c>
      <c r="J11" s="15">
        <f t="shared" si="1"/>
        <v>0</v>
      </c>
      <c r="K11" s="15"/>
      <c r="L11" s="15"/>
      <c r="M11" s="15"/>
      <c r="N11" s="15">
        <f t="shared" si="2"/>
        <v>0</v>
      </c>
      <c r="O11" s="15"/>
      <c r="P11" s="15"/>
      <c r="Q11" s="15"/>
      <c r="R11" s="15">
        <f t="shared" si="3"/>
        <v>0</v>
      </c>
      <c r="S11" s="15">
        <f t="shared" si="4"/>
        <v>0</v>
      </c>
      <c r="T11" s="15"/>
      <c r="U11" s="16"/>
    </row>
    <row r="12" spans="1:21" ht="21.75" thickBot="1" x14ac:dyDescent="0.3">
      <c r="A12" s="12">
        <v>10</v>
      </c>
      <c r="B12" s="13"/>
      <c r="C12" s="13"/>
      <c r="D12" s="14"/>
      <c r="E12" s="13"/>
      <c r="F12" s="13"/>
      <c r="G12" s="15"/>
      <c r="H12" s="15"/>
      <c r="I12" s="15">
        <f t="shared" si="0"/>
        <v>0</v>
      </c>
      <c r="J12" s="15">
        <f t="shared" si="1"/>
        <v>0</v>
      </c>
      <c r="K12" s="15"/>
      <c r="L12" s="15"/>
      <c r="M12" s="15"/>
      <c r="N12" s="15">
        <f t="shared" si="2"/>
        <v>0</v>
      </c>
      <c r="O12" s="15"/>
      <c r="P12" s="15"/>
      <c r="Q12" s="15"/>
      <c r="R12" s="15">
        <f t="shared" si="3"/>
        <v>0</v>
      </c>
      <c r="S12" s="15">
        <f t="shared" si="4"/>
        <v>0</v>
      </c>
      <c r="T12" s="15"/>
      <c r="U12" s="21"/>
    </row>
    <row r="13" spans="1:21" ht="21.75" thickBot="1" x14ac:dyDescent="0.3">
      <c r="A13" s="12">
        <v>11</v>
      </c>
      <c r="B13" s="13"/>
      <c r="C13" s="13"/>
      <c r="D13" s="14"/>
      <c r="E13" s="13"/>
      <c r="F13" s="13"/>
      <c r="G13" s="15"/>
      <c r="H13" s="15"/>
      <c r="I13" s="15">
        <f t="shared" si="0"/>
        <v>0</v>
      </c>
      <c r="J13" s="15">
        <f t="shared" si="1"/>
        <v>0</v>
      </c>
      <c r="K13" s="15"/>
      <c r="L13" s="15"/>
      <c r="M13" s="15"/>
      <c r="N13" s="15">
        <f t="shared" si="2"/>
        <v>0</v>
      </c>
      <c r="O13" s="15"/>
      <c r="P13" s="15"/>
      <c r="Q13" s="15"/>
      <c r="R13" s="15">
        <f t="shared" si="3"/>
        <v>0</v>
      </c>
      <c r="S13" s="15">
        <f t="shared" si="4"/>
        <v>0</v>
      </c>
      <c r="T13" s="15"/>
      <c r="U13" s="21"/>
    </row>
    <row r="14" spans="1:21" ht="21.75" thickBot="1" x14ac:dyDescent="0.3">
      <c r="A14" s="12">
        <v>12</v>
      </c>
      <c r="B14" s="13"/>
      <c r="C14" s="13"/>
      <c r="D14" s="14"/>
      <c r="E14" s="13"/>
      <c r="F14" s="13"/>
      <c r="G14" s="15"/>
      <c r="H14" s="15"/>
      <c r="I14" s="15">
        <f t="shared" si="0"/>
        <v>0</v>
      </c>
      <c r="J14" s="15">
        <f t="shared" si="1"/>
        <v>0</v>
      </c>
      <c r="K14" s="15"/>
      <c r="L14" s="15"/>
      <c r="M14" s="15"/>
      <c r="N14" s="15">
        <f t="shared" si="2"/>
        <v>0</v>
      </c>
      <c r="O14" s="15"/>
      <c r="P14" s="15"/>
      <c r="Q14" s="15"/>
      <c r="R14" s="15">
        <f t="shared" si="3"/>
        <v>0</v>
      </c>
      <c r="S14" s="15">
        <f t="shared" si="4"/>
        <v>0</v>
      </c>
      <c r="T14" s="15"/>
      <c r="U14" s="21"/>
    </row>
    <row r="15" spans="1:21" ht="21.75" thickBot="1" x14ac:dyDescent="0.3">
      <c r="A15" s="12">
        <v>13</v>
      </c>
      <c r="B15" s="13"/>
      <c r="C15" s="13"/>
      <c r="D15" s="14"/>
      <c r="E15" s="13"/>
      <c r="F15" s="13"/>
      <c r="G15" s="15"/>
      <c r="H15" s="15"/>
      <c r="I15" s="15">
        <f t="shared" si="0"/>
        <v>0</v>
      </c>
      <c r="J15" s="15">
        <f t="shared" si="1"/>
        <v>0</v>
      </c>
      <c r="K15" s="15"/>
      <c r="L15" s="15"/>
      <c r="M15" s="15"/>
      <c r="N15" s="15">
        <f t="shared" si="2"/>
        <v>0</v>
      </c>
      <c r="O15" s="15"/>
      <c r="P15" s="15"/>
      <c r="Q15" s="15"/>
      <c r="R15" s="15">
        <f t="shared" si="3"/>
        <v>0</v>
      </c>
      <c r="S15" s="15">
        <f t="shared" si="4"/>
        <v>0</v>
      </c>
      <c r="T15" s="15"/>
      <c r="U15" s="21"/>
    </row>
    <row r="16" spans="1:21" ht="21.75" thickBot="1" x14ac:dyDescent="0.3">
      <c r="A16" s="12">
        <v>14</v>
      </c>
      <c r="B16" s="13"/>
      <c r="C16" s="13"/>
      <c r="D16" s="14"/>
      <c r="E16" s="13"/>
      <c r="F16" s="13"/>
      <c r="G16" s="15"/>
      <c r="H16" s="15"/>
      <c r="I16" s="15">
        <f t="shared" si="0"/>
        <v>0</v>
      </c>
      <c r="J16" s="15">
        <f t="shared" si="1"/>
        <v>0</v>
      </c>
      <c r="K16" s="15"/>
      <c r="L16" s="15"/>
      <c r="M16" s="15"/>
      <c r="N16" s="15">
        <f t="shared" si="2"/>
        <v>0</v>
      </c>
      <c r="O16" s="15"/>
      <c r="P16" s="15"/>
      <c r="Q16" s="15"/>
      <c r="R16" s="15">
        <f t="shared" si="3"/>
        <v>0</v>
      </c>
      <c r="S16" s="15">
        <f t="shared" si="4"/>
        <v>0</v>
      </c>
      <c r="T16" s="15"/>
      <c r="U16" s="21"/>
    </row>
    <row r="17" spans="1:21" ht="21.75" thickBot="1" x14ac:dyDescent="0.3">
      <c r="A17" s="18">
        <v>14</v>
      </c>
      <c r="B17" s="19"/>
      <c r="C17" s="19"/>
      <c r="D17" s="22"/>
      <c r="E17" s="19"/>
      <c r="F17" s="19"/>
      <c r="G17" s="20"/>
      <c r="H17" s="20"/>
      <c r="I17" s="20">
        <f t="shared" si="0"/>
        <v>0</v>
      </c>
      <c r="J17" s="20">
        <f t="shared" si="1"/>
        <v>0</v>
      </c>
      <c r="K17" s="20"/>
      <c r="L17" s="20"/>
      <c r="M17" s="20"/>
      <c r="N17" s="20">
        <f t="shared" si="2"/>
        <v>0</v>
      </c>
      <c r="O17" s="20"/>
      <c r="P17" s="20"/>
      <c r="Q17" s="20"/>
      <c r="R17" s="20">
        <f t="shared" si="3"/>
        <v>0</v>
      </c>
      <c r="S17" s="20">
        <f t="shared" si="4"/>
        <v>0</v>
      </c>
      <c r="T17" s="20"/>
      <c r="U17" s="23"/>
    </row>
    <row r="18" spans="1:21" ht="15.75" thickTop="1" x14ac:dyDescent="0.25"/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2025-12-02T18:07:53Z</cp:lastPrinted>
  <dcterms:created xsi:type="dcterms:W3CDTF">2025-11-07T15:24:39Z</dcterms:created>
  <dcterms:modified xsi:type="dcterms:W3CDTF">2026-04-29T07:49:02Z</dcterms:modified>
</cp:coreProperties>
</file>
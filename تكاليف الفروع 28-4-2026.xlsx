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lam.ibrahim\Desktop\"/>
    </mc:Choice>
  </mc:AlternateContent>
  <xr:revisionPtr revIDLastSave="0" documentId="13_ncr:1_{3CD85379-DB29-4C26-A7E4-D9335EF25B3C}" xr6:coauthVersionLast="47" xr6:coauthVersionMax="47" xr10:uidLastSave="{00000000-0000-0000-0000-000000000000}"/>
  <bookViews>
    <workbookView xWindow="-120" yWindow="-120" windowWidth="29040" windowHeight="15840" tabRatio="537" xr2:uid="{00000000-000D-0000-FFFF-FFFF00000000}"/>
  </bookViews>
  <sheets>
    <sheet name="تكلفة النقل" sheetId="1" r:id="rId1"/>
  </sheets>
  <definedNames>
    <definedName name="_xlnm._FilterDatabase" localSheetId="0" hidden="1">'تكلفة النقل'!$A$1:$F$153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9" i="1" l="1"/>
  <c r="L99" i="1"/>
  <c r="J99" i="1"/>
  <c r="H99" i="1"/>
  <c r="G99" i="1"/>
  <c r="O78" i="1"/>
  <c r="J78" i="1"/>
  <c r="G78" i="1"/>
  <c r="O100" i="1"/>
  <c r="L100" i="1"/>
  <c r="J100" i="1"/>
  <c r="G100" i="1"/>
  <c r="O98" i="1"/>
  <c r="J98" i="1"/>
  <c r="G98" i="1"/>
  <c r="O54" i="1"/>
  <c r="J54" i="1"/>
  <c r="G54" i="1"/>
  <c r="O101" i="1"/>
  <c r="J101" i="1"/>
  <c r="G101" i="1"/>
  <c r="O94" i="1"/>
  <c r="J94" i="1"/>
  <c r="G94" i="1"/>
  <c r="O90" i="1"/>
  <c r="J90" i="1"/>
  <c r="G90" i="1"/>
  <c r="O86" i="1"/>
  <c r="J86" i="1"/>
  <c r="G86" i="1"/>
  <c r="O84" i="1"/>
  <c r="J84" i="1"/>
  <c r="G84" i="1"/>
  <c r="O83" i="1"/>
  <c r="J83" i="1"/>
  <c r="G83" i="1"/>
  <c r="O82" i="1"/>
  <c r="J82" i="1"/>
  <c r="G82" i="1"/>
  <c r="O81" i="1"/>
  <c r="J81" i="1"/>
  <c r="G81" i="1"/>
  <c r="O80" i="1"/>
  <c r="J80" i="1"/>
  <c r="G80" i="1"/>
  <c r="O75" i="1"/>
  <c r="J75" i="1"/>
  <c r="G75" i="1"/>
  <c r="O74" i="1"/>
  <c r="J74" i="1"/>
  <c r="G74" i="1"/>
  <c r="O73" i="1"/>
  <c r="J73" i="1"/>
  <c r="G73" i="1"/>
  <c r="O71" i="1"/>
  <c r="J71" i="1"/>
  <c r="G71" i="1"/>
  <c r="O68" i="1"/>
  <c r="J68" i="1"/>
  <c r="G68" i="1"/>
  <c r="O64" i="1"/>
  <c r="J64" i="1"/>
  <c r="G64" i="1"/>
  <c r="O63" i="1"/>
  <c r="J63" i="1"/>
  <c r="G63" i="1"/>
  <c r="O61" i="1"/>
  <c r="J61" i="1"/>
  <c r="G61" i="1"/>
  <c r="O60" i="1"/>
  <c r="J60" i="1"/>
  <c r="G60" i="1"/>
  <c r="O57" i="1"/>
  <c r="J57" i="1"/>
  <c r="G57" i="1"/>
  <c r="O56" i="1"/>
  <c r="J56" i="1"/>
  <c r="G56" i="1"/>
  <c r="O53" i="1"/>
  <c r="J53" i="1"/>
  <c r="G53" i="1"/>
  <c r="O52" i="1"/>
  <c r="J52" i="1"/>
  <c r="G52" i="1"/>
  <c r="O51" i="1"/>
  <c r="J51" i="1"/>
  <c r="G51" i="1"/>
  <c r="O50" i="1"/>
  <c r="J50" i="1"/>
  <c r="G50" i="1"/>
  <c r="O48" i="1"/>
  <c r="J48" i="1"/>
  <c r="G48" i="1"/>
  <c r="O47" i="1"/>
  <c r="J47" i="1"/>
  <c r="G47" i="1"/>
  <c r="O45" i="1"/>
  <c r="J45" i="1"/>
  <c r="G45" i="1"/>
  <c r="O40" i="1"/>
  <c r="J40" i="1"/>
  <c r="G40" i="1"/>
  <c r="O39" i="1"/>
  <c r="J39" i="1"/>
  <c r="G39" i="1"/>
  <c r="O36" i="1"/>
  <c r="J36" i="1"/>
  <c r="G36" i="1"/>
  <c r="O33" i="1"/>
  <c r="J33" i="1"/>
  <c r="G33" i="1"/>
  <c r="O32" i="1"/>
  <c r="J32" i="1"/>
  <c r="G32" i="1"/>
  <c r="O22" i="1"/>
  <c r="J22" i="1"/>
  <c r="G22" i="1"/>
  <c r="O20" i="1"/>
  <c r="J20" i="1"/>
  <c r="G20" i="1"/>
  <c r="O19" i="1"/>
  <c r="J19" i="1"/>
  <c r="G19" i="1"/>
  <c r="O17" i="1"/>
  <c r="J17" i="1"/>
  <c r="G17" i="1"/>
  <c r="O16" i="1"/>
  <c r="J16" i="1"/>
  <c r="G16" i="1"/>
  <c r="O14" i="1"/>
  <c r="J14" i="1"/>
  <c r="G14" i="1"/>
  <c r="O13" i="1"/>
  <c r="J13" i="1"/>
  <c r="G13" i="1"/>
  <c r="O11" i="1"/>
  <c r="J11" i="1"/>
  <c r="G11" i="1"/>
  <c r="O9" i="1"/>
  <c r="J9" i="1"/>
  <c r="G9" i="1"/>
  <c r="O8" i="1"/>
  <c r="J8" i="1"/>
  <c r="G8" i="1"/>
  <c r="O7" i="1"/>
  <c r="J7" i="1"/>
  <c r="G7" i="1"/>
  <c r="O6" i="1"/>
  <c r="J6" i="1"/>
  <c r="G6" i="1"/>
  <c r="O5" i="1"/>
  <c r="J5" i="1"/>
  <c r="G5" i="1"/>
  <c r="O4" i="1"/>
  <c r="J4" i="1"/>
  <c r="G4" i="1"/>
  <c r="O3" i="1"/>
  <c r="J3" i="1"/>
  <c r="G3" i="1"/>
  <c r="O97" i="1"/>
  <c r="J97" i="1"/>
  <c r="G97" i="1"/>
  <c r="O95" i="1"/>
  <c r="J95" i="1"/>
  <c r="G95" i="1"/>
  <c r="O93" i="1"/>
  <c r="J93" i="1"/>
  <c r="G93" i="1"/>
  <c r="O91" i="1"/>
  <c r="J91" i="1"/>
  <c r="G91" i="1"/>
  <c r="O89" i="1"/>
  <c r="J89" i="1"/>
  <c r="G89" i="1"/>
  <c r="O88" i="1"/>
  <c r="J88" i="1"/>
  <c r="G88" i="1"/>
  <c r="O87" i="1"/>
  <c r="J87" i="1"/>
  <c r="G87" i="1"/>
  <c r="O85" i="1"/>
  <c r="J85" i="1"/>
  <c r="G85" i="1"/>
  <c r="O77" i="1"/>
  <c r="J77" i="1"/>
  <c r="G77" i="1"/>
  <c r="O76" i="1"/>
  <c r="J76" i="1"/>
  <c r="G76" i="1"/>
  <c r="O72" i="1"/>
  <c r="J72" i="1"/>
  <c r="G72" i="1"/>
  <c r="O70" i="1"/>
  <c r="J70" i="1"/>
  <c r="G70" i="1"/>
  <c r="O69" i="1"/>
  <c r="J69" i="1"/>
  <c r="G69" i="1"/>
  <c r="O66" i="1"/>
  <c r="J66" i="1"/>
  <c r="G66" i="1"/>
  <c r="O65" i="1"/>
  <c r="J65" i="1"/>
  <c r="G65" i="1"/>
  <c r="O62" i="1"/>
  <c r="J62" i="1"/>
  <c r="G62" i="1"/>
  <c r="O59" i="1"/>
  <c r="J59" i="1"/>
  <c r="G59" i="1"/>
  <c r="O58" i="1"/>
  <c r="J58" i="1"/>
  <c r="G58" i="1"/>
  <c r="O55" i="1"/>
  <c r="J55" i="1"/>
  <c r="G55" i="1"/>
  <c r="O49" i="1"/>
  <c r="J49" i="1"/>
  <c r="G49" i="1"/>
  <c r="O46" i="1"/>
  <c r="J46" i="1"/>
  <c r="G46" i="1"/>
  <c r="O43" i="1"/>
  <c r="J43" i="1"/>
  <c r="G43" i="1"/>
  <c r="O42" i="1"/>
  <c r="J42" i="1"/>
  <c r="G42" i="1"/>
  <c r="O41" i="1"/>
  <c r="J41" i="1"/>
  <c r="G41" i="1"/>
  <c r="O38" i="1"/>
  <c r="J38" i="1"/>
  <c r="G38" i="1"/>
  <c r="O34" i="1"/>
  <c r="J34" i="1"/>
  <c r="G34" i="1"/>
  <c r="O30" i="1"/>
  <c r="J30" i="1"/>
  <c r="G30" i="1"/>
  <c r="O29" i="1"/>
  <c r="J29" i="1"/>
  <c r="G29" i="1"/>
  <c r="O28" i="1"/>
  <c r="J28" i="1"/>
  <c r="G28" i="1"/>
  <c r="O26" i="1"/>
  <c r="J26" i="1"/>
  <c r="G26" i="1"/>
  <c r="O25" i="1"/>
  <c r="J25" i="1"/>
  <c r="G25" i="1"/>
  <c r="O24" i="1"/>
  <c r="J24" i="1"/>
  <c r="G24" i="1"/>
  <c r="O23" i="1"/>
  <c r="L23" i="1"/>
  <c r="J23" i="1"/>
  <c r="G23" i="1"/>
  <c r="O21" i="1"/>
  <c r="J21" i="1"/>
  <c r="G21" i="1"/>
  <c r="O18" i="1"/>
  <c r="J18" i="1"/>
  <c r="G18" i="1"/>
  <c r="O12" i="1"/>
  <c r="J12" i="1"/>
  <c r="G12" i="1"/>
  <c r="O96" i="1"/>
  <c r="J96" i="1"/>
  <c r="G96" i="1"/>
  <c r="O92" i="1"/>
  <c r="J92" i="1"/>
  <c r="G92" i="1"/>
  <c r="O79" i="1"/>
  <c r="J79" i="1"/>
  <c r="G79" i="1"/>
  <c r="O67" i="1"/>
  <c r="J67" i="1"/>
  <c r="G67" i="1"/>
  <c r="O44" i="1"/>
  <c r="J44" i="1"/>
  <c r="G44" i="1"/>
  <c r="O37" i="1"/>
  <c r="J37" i="1"/>
  <c r="G37" i="1"/>
  <c r="J35" i="1"/>
  <c r="O27" i="1"/>
  <c r="J27" i="1"/>
  <c r="G27" i="1"/>
  <c r="O31" i="1"/>
  <c r="J31" i="1"/>
  <c r="G31" i="1"/>
  <c r="O15" i="1"/>
  <c r="J15" i="1"/>
  <c r="G15" i="1"/>
  <c r="O2" i="1"/>
  <c r="J2" i="1"/>
  <c r="G2" i="1"/>
  <c r="O35" i="1"/>
  <c r="G35" i="1"/>
  <c r="O10" i="1"/>
  <c r="J10" i="1"/>
  <c r="G10" i="1"/>
  <c r="F8" i="1"/>
  <c r="F9" i="1"/>
  <c r="H9" i="1" s="1"/>
  <c r="F10" i="1"/>
  <c r="F11" i="1"/>
  <c r="F12" i="1"/>
  <c r="F13" i="1"/>
  <c r="F14" i="1"/>
  <c r="M14" i="1" s="1"/>
  <c r="F15" i="1"/>
  <c r="K15" i="1" s="1"/>
  <c r="F16" i="1"/>
  <c r="F17" i="1"/>
  <c r="K17" i="1" s="1"/>
  <c r="F18" i="1"/>
  <c r="M18" i="1" s="1"/>
  <c r="F19" i="1"/>
  <c r="F20" i="1"/>
  <c r="F21" i="1"/>
  <c r="L21" i="1" s="1"/>
  <c r="F22" i="1"/>
  <c r="H22" i="1" s="1"/>
  <c r="F23" i="1"/>
  <c r="K23" i="1" s="1"/>
  <c r="F24" i="1"/>
  <c r="N24" i="1" s="1"/>
  <c r="F25" i="1"/>
  <c r="M25" i="1" s="1"/>
  <c r="F26" i="1"/>
  <c r="L26" i="1" s="1"/>
  <c r="F27" i="1"/>
  <c r="N27" i="1" s="1"/>
  <c r="F28" i="1"/>
  <c r="F29" i="1"/>
  <c r="N29" i="1" s="1"/>
  <c r="F30" i="1"/>
  <c r="M30" i="1" s="1"/>
  <c r="F31" i="1"/>
  <c r="N31" i="1" s="1"/>
  <c r="F32" i="1"/>
  <c r="F33" i="1"/>
  <c r="F34" i="1"/>
  <c r="L34" i="1" s="1"/>
  <c r="F35" i="1"/>
  <c r="H35" i="1" s="1"/>
  <c r="F36" i="1"/>
  <c r="F37" i="1"/>
  <c r="L37" i="1" s="1"/>
  <c r="F38" i="1"/>
  <c r="K38" i="1" s="1"/>
  <c r="F39" i="1"/>
  <c r="F40" i="1"/>
  <c r="F41" i="1"/>
  <c r="N41" i="1" s="1"/>
  <c r="F42" i="1"/>
  <c r="M42" i="1" s="1"/>
  <c r="F43" i="1"/>
  <c r="L43" i="1" s="1"/>
  <c r="F44" i="1"/>
  <c r="K44" i="1" s="1"/>
  <c r="F45" i="1"/>
  <c r="N45" i="1" s="1"/>
  <c r="F46" i="1"/>
  <c r="K46" i="1" s="1"/>
  <c r="F47" i="1"/>
  <c r="I47" i="1" s="1"/>
  <c r="F48" i="1"/>
  <c r="F49" i="1"/>
  <c r="N49" i="1" s="1"/>
  <c r="F50" i="1"/>
  <c r="F51" i="1"/>
  <c r="F52" i="1"/>
  <c r="F53" i="1"/>
  <c r="L53" i="1" s="1"/>
  <c r="F54" i="1"/>
  <c r="M54" i="1" s="1"/>
  <c r="F55" i="1"/>
  <c r="M55" i="1" s="1"/>
  <c r="F56" i="1"/>
  <c r="F57" i="1"/>
  <c r="N57" i="1" s="1"/>
  <c r="F58" i="1"/>
  <c r="L58" i="1" s="1"/>
  <c r="F59" i="1"/>
  <c r="K59" i="1" s="1"/>
  <c r="F60" i="1"/>
  <c r="F61" i="1"/>
  <c r="H61" i="1" s="1"/>
  <c r="F62" i="1"/>
  <c r="N62" i="1" s="1"/>
  <c r="F63" i="1"/>
  <c r="F64" i="1"/>
  <c r="F65" i="1"/>
  <c r="M65" i="1" s="1"/>
  <c r="F66" i="1"/>
  <c r="L66" i="1" s="1"/>
  <c r="F67" i="1"/>
  <c r="N67" i="1" s="1"/>
  <c r="F68" i="1"/>
  <c r="M68" i="1" s="1"/>
  <c r="F69" i="1"/>
  <c r="K69" i="1" s="1"/>
  <c r="F70" i="1"/>
  <c r="N70" i="1" s="1"/>
  <c r="F71" i="1"/>
  <c r="F72" i="1"/>
  <c r="F73" i="1"/>
  <c r="K73" i="1" s="1"/>
  <c r="F74" i="1"/>
  <c r="N74" i="1" s="1"/>
  <c r="F75" i="1"/>
  <c r="I75" i="1" s="1"/>
  <c r="F76" i="1"/>
  <c r="F77" i="1"/>
  <c r="K77" i="1" s="1"/>
  <c r="F78" i="1"/>
  <c r="L78" i="1" s="1"/>
  <c r="F79" i="1"/>
  <c r="M79" i="1" s="1"/>
  <c r="F80" i="1"/>
  <c r="F81" i="1"/>
  <c r="F82" i="1"/>
  <c r="F83" i="1"/>
  <c r="M83" i="1" s="1"/>
  <c r="F84" i="1"/>
  <c r="F85" i="1"/>
  <c r="N85" i="1" s="1"/>
  <c r="F86" i="1"/>
  <c r="K86" i="1" s="1"/>
  <c r="F87" i="1"/>
  <c r="M87" i="1" s="1"/>
  <c r="F88" i="1"/>
  <c r="F89" i="1"/>
  <c r="L89" i="1" s="1"/>
  <c r="F90" i="1"/>
  <c r="N90" i="1" s="1"/>
  <c r="F91" i="1"/>
  <c r="N91" i="1" s="1"/>
  <c r="F92" i="1"/>
  <c r="L92" i="1" s="1"/>
  <c r="F93" i="1"/>
  <c r="F94" i="1"/>
  <c r="I94" i="1" s="1"/>
  <c r="F95" i="1"/>
  <c r="F96" i="1"/>
  <c r="K96" i="1" s="1"/>
  <c r="F97" i="1"/>
  <c r="F98" i="1"/>
  <c r="L98" i="1" s="1"/>
  <c r="F99" i="1"/>
  <c r="K99" i="1" s="1"/>
  <c r="F100" i="1"/>
  <c r="K100" i="1" s="1"/>
  <c r="F101" i="1"/>
  <c r="H101" i="1" s="1"/>
  <c r="F102" i="1"/>
  <c r="K102" i="1" s="1"/>
  <c r="G102" i="1"/>
  <c r="J102" i="1"/>
  <c r="O102" i="1"/>
  <c r="F103" i="1"/>
  <c r="I103" i="1" s="1"/>
  <c r="G103" i="1"/>
  <c r="J103" i="1"/>
  <c r="O103" i="1"/>
  <c r="F104" i="1"/>
  <c r="K104" i="1" s="1"/>
  <c r="G104" i="1"/>
  <c r="J104" i="1"/>
  <c r="O104" i="1"/>
  <c r="F105" i="1"/>
  <c r="K105" i="1" s="1"/>
  <c r="G105" i="1"/>
  <c r="J105" i="1"/>
  <c r="O105" i="1"/>
  <c r="F106" i="1"/>
  <c r="K106" i="1" s="1"/>
  <c r="G106" i="1"/>
  <c r="J106" i="1"/>
  <c r="O106" i="1"/>
  <c r="F107" i="1"/>
  <c r="G107" i="1"/>
  <c r="J107" i="1"/>
  <c r="O107" i="1"/>
  <c r="O110" i="1"/>
  <c r="J110" i="1"/>
  <c r="G110" i="1"/>
  <c r="O108" i="1"/>
  <c r="J108" i="1"/>
  <c r="G108" i="1"/>
  <c r="O109" i="1"/>
  <c r="J109" i="1"/>
  <c r="G109" i="1"/>
  <c r="O114" i="1"/>
  <c r="J114" i="1"/>
  <c r="G114" i="1"/>
  <c r="O111" i="1"/>
  <c r="J111" i="1"/>
  <c r="G111" i="1"/>
  <c r="O115" i="1"/>
  <c r="J115" i="1"/>
  <c r="G115" i="1"/>
  <c r="O112" i="1"/>
  <c r="J112" i="1"/>
  <c r="G112" i="1"/>
  <c r="O113" i="1"/>
  <c r="J113" i="1"/>
  <c r="G113" i="1"/>
  <c r="O126" i="1"/>
  <c r="J126" i="1"/>
  <c r="G126" i="1"/>
  <c r="O125" i="1"/>
  <c r="J125" i="1"/>
  <c r="G125" i="1"/>
  <c r="O123" i="1"/>
  <c r="J123" i="1"/>
  <c r="G123" i="1"/>
  <c r="O120" i="1"/>
  <c r="J120" i="1"/>
  <c r="G120" i="1"/>
  <c r="O117" i="1"/>
  <c r="J117" i="1"/>
  <c r="G117" i="1"/>
  <c r="O124" i="1"/>
  <c r="J124" i="1"/>
  <c r="G124" i="1"/>
  <c r="O122" i="1"/>
  <c r="J122" i="1"/>
  <c r="G122" i="1"/>
  <c r="O121" i="1"/>
  <c r="J121" i="1"/>
  <c r="G121" i="1"/>
  <c r="O119" i="1"/>
  <c r="J119" i="1"/>
  <c r="G119" i="1"/>
  <c r="O118" i="1"/>
  <c r="J118" i="1"/>
  <c r="G118" i="1"/>
  <c r="O116" i="1"/>
  <c r="J116" i="1"/>
  <c r="G116" i="1"/>
  <c r="O132" i="1"/>
  <c r="J132" i="1"/>
  <c r="G132" i="1"/>
  <c r="O130" i="1"/>
  <c r="J130" i="1"/>
  <c r="G130" i="1"/>
  <c r="O128" i="1"/>
  <c r="J128" i="1"/>
  <c r="G128" i="1"/>
  <c r="O131" i="1"/>
  <c r="J131" i="1"/>
  <c r="G131" i="1"/>
  <c r="O129" i="1"/>
  <c r="J129" i="1"/>
  <c r="G129" i="1"/>
  <c r="O127" i="1"/>
  <c r="J127" i="1"/>
  <c r="G127" i="1"/>
  <c r="O134" i="1"/>
  <c r="J134" i="1"/>
  <c r="G134" i="1"/>
  <c r="O133" i="1"/>
  <c r="J133" i="1"/>
  <c r="G133" i="1"/>
  <c r="O135" i="1"/>
  <c r="J135" i="1"/>
  <c r="G135" i="1"/>
  <c r="H145" i="1"/>
  <c r="H144" i="1"/>
  <c r="H143" i="1"/>
  <c r="H142" i="1"/>
  <c r="H141" i="1"/>
  <c r="H140" i="1"/>
  <c r="H139" i="1"/>
  <c r="H138" i="1"/>
  <c r="H137" i="1"/>
  <c r="O136" i="1"/>
  <c r="N136" i="1"/>
  <c r="M136" i="1"/>
  <c r="L136" i="1"/>
  <c r="K136" i="1"/>
  <c r="J136" i="1"/>
  <c r="I136" i="1"/>
  <c r="H136" i="1"/>
  <c r="G136" i="1"/>
  <c r="I78" i="1" l="1"/>
  <c r="N55" i="1"/>
  <c r="N54" i="1"/>
  <c r="N78" i="1"/>
  <c r="I99" i="1"/>
  <c r="M99" i="1"/>
  <c r="K54" i="1"/>
  <c r="M78" i="1"/>
  <c r="M98" i="1"/>
  <c r="H100" i="1"/>
  <c r="K78" i="1"/>
  <c r="N99" i="1"/>
  <c r="I98" i="1"/>
  <c r="N98" i="1"/>
  <c r="H78" i="1"/>
  <c r="P78" i="1" s="1"/>
  <c r="P99" i="1"/>
  <c r="M37" i="1"/>
  <c r="I21" i="1"/>
  <c r="N25" i="1"/>
  <c r="K49" i="1"/>
  <c r="H77" i="1"/>
  <c r="M100" i="1"/>
  <c r="K29" i="1"/>
  <c r="L77" i="1"/>
  <c r="K85" i="1"/>
  <c r="N87" i="1"/>
  <c r="H54" i="1"/>
  <c r="L54" i="1"/>
  <c r="K98" i="1"/>
  <c r="N100" i="1"/>
  <c r="I100" i="1"/>
  <c r="K41" i="1"/>
  <c r="L59" i="1"/>
  <c r="H69" i="1"/>
  <c r="I54" i="1"/>
  <c r="H98" i="1"/>
  <c r="M72" i="1"/>
  <c r="N72" i="1"/>
  <c r="M64" i="1"/>
  <c r="I64" i="1"/>
  <c r="L64" i="1"/>
  <c r="H64" i="1"/>
  <c r="K64" i="1"/>
  <c r="N64" i="1"/>
  <c r="L60" i="1"/>
  <c r="H60" i="1"/>
  <c r="K60" i="1"/>
  <c r="N60" i="1"/>
  <c r="M60" i="1"/>
  <c r="L52" i="1"/>
  <c r="H52" i="1"/>
  <c r="K52" i="1"/>
  <c r="N52" i="1"/>
  <c r="I52" i="1"/>
  <c r="L36" i="1"/>
  <c r="H36" i="1"/>
  <c r="K36" i="1"/>
  <c r="N36" i="1"/>
  <c r="I36" i="1"/>
  <c r="N32" i="1"/>
  <c r="M32" i="1"/>
  <c r="I32" i="1"/>
  <c r="L32" i="1"/>
  <c r="H32" i="1"/>
  <c r="K32" i="1"/>
  <c r="K28" i="1"/>
  <c r="H28" i="1"/>
  <c r="L20" i="1"/>
  <c r="H20" i="1"/>
  <c r="K20" i="1"/>
  <c r="N20" i="1"/>
  <c r="M20" i="1"/>
  <c r="N12" i="1"/>
  <c r="K12" i="1"/>
  <c r="L8" i="1"/>
  <c r="H8" i="1"/>
  <c r="K8" i="1"/>
  <c r="N8" i="1"/>
  <c r="M8" i="1"/>
  <c r="L28" i="1"/>
  <c r="K24" i="1"/>
  <c r="M36" i="1"/>
  <c r="I8" i="1"/>
  <c r="I20" i="1"/>
  <c r="I60" i="1"/>
  <c r="L88" i="1"/>
  <c r="I88" i="1"/>
  <c r="M88" i="1"/>
  <c r="K84" i="1"/>
  <c r="N84" i="1"/>
  <c r="M84" i="1"/>
  <c r="I84" i="1"/>
  <c r="H84" i="1"/>
  <c r="L84" i="1"/>
  <c r="K80" i="1"/>
  <c r="N80" i="1"/>
  <c r="M80" i="1"/>
  <c r="I80" i="1"/>
  <c r="L80" i="1"/>
  <c r="H80" i="1"/>
  <c r="L76" i="1"/>
  <c r="M76" i="1"/>
  <c r="I76" i="1"/>
  <c r="L68" i="1"/>
  <c r="H68" i="1"/>
  <c r="K68" i="1"/>
  <c r="N68" i="1"/>
  <c r="I68" i="1"/>
  <c r="N56" i="1"/>
  <c r="M56" i="1"/>
  <c r="I56" i="1"/>
  <c r="L56" i="1"/>
  <c r="H56" i="1"/>
  <c r="K56" i="1"/>
  <c r="K48" i="1"/>
  <c r="N48" i="1"/>
  <c r="M48" i="1"/>
  <c r="I48" i="1"/>
  <c r="L48" i="1"/>
  <c r="H48" i="1"/>
  <c r="N40" i="1"/>
  <c r="M40" i="1"/>
  <c r="I40" i="1"/>
  <c r="L40" i="1"/>
  <c r="H40" i="1"/>
  <c r="K40" i="1"/>
  <c r="K16" i="1"/>
  <c r="N16" i="1"/>
  <c r="M16" i="1"/>
  <c r="I16" i="1"/>
  <c r="H16" i="1"/>
  <c r="L16" i="1"/>
  <c r="M52" i="1"/>
  <c r="L95" i="1"/>
  <c r="M95" i="1"/>
  <c r="L83" i="1"/>
  <c r="H83" i="1"/>
  <c r="K83" i="1"/>
  <c r="N83" i="1"/>
  <c r="L75" i="1"/>
  <c r="H75" i="1"/>
  <c r="K75" i="1"/>
  <c r="N75" i="1"/>
  <c r="K71" i="1"/>
  <c r="N71" i="1"/>
  <c r="M71" i="1"/>
  <c r="I71" i="1"/>
  <c r="N63" i="1"/>
  <c r="M63" i="1"/>
  <c r="I63" i="1"/>
  <c r="L63" i="1"/>
  <c r="H63" i="1"/>
  <c r="M51" i="1"/>
  <c r="I51" i="1"/>
  <c r="L51" i="1"/>
  <c r="H51" i="1"/>
  <c r="K51" i="1"/>
  <c r="L47" i="1"/>
  <c r="H47" i="1"/>
  <c r="K47" i="1"/>
  <c r="N47" i="1"/>
  <c r="K39" i="1"/>
  <c r="N39" i="1"/>
  <c r="M39" i="1"/>
  <c r="I39" i="1"/>
  <c r="M19" i="1"/>
  <c r="I19" i="1"/>
  <c r="L19" i="1"/>
  <c r="H19" i="1"/>
  <c r="K19" i="1"/>
  <c r="N11" i="1"/>
  <c r="M11" i="1"/>
  <c r="I11" i="1"/>
  <c r="L11" i="1"/>
  <c r="H11" i="1"/>
  <c r="M43" i="1"/>
  <c r="K91" i="1"/>
  <c r="N19" i="1"/>
  <c r="L39" i="1"/>
  <c r="L71" i="1"/>
  <c r="L94" i="1"/>
  <c r="H94" i="1"/>
  <c r="K94" i="1"/>
  <c r="N94" i="1"/>
  <c r="M90" i="1"/>
  <c r="I90" i="1"/>
  <c r="L90" i="1"/>
  <c r="H90" i="1"/>
  <c r="K90" i="1"/>
  <c r="N86" i="1"/>
  <c r="M86" i="1"/>
  <c r="I86" i="1"/>
  <c r="L86" i="1"/>
  <c r="H86" i="1"/>
  <c r="M82" i="1"/>
  <c r="I82" i="1"/>
  <c r="L82" i="1"/>
  <c r="H82" i="1"/>
  <c r="K82" i="1"/>
  <c r="M74" i="1"/>
  <c r="I74" i="1"/>
  <c r="L74" i="1"/>
  <c r="H74" i="1"/>
  <c r="K74" i="1"/>
  <c r="N50" i="1"/>
  <c r="M50" i="1"/>
  <c r="I50" i="1"/>
  <c r="L50" i="1"/>
  <c r="H50" i="1"/>
  <c r="K22" i="1"/>
  <c r="P22" i="1" s="1"/>
  <c r="N22" i="1"/>
  <c r="M22" i="1"/>
  <c r="I22" i="1"/>
  <c r="L14" i="1"/>
  <c r="H14" i="1"/>
  <c r="K14" i="1"/>
  <c r="N14" i="1"/>
  <c r="H23" i="1"/>
  <c r="H59" i="1"/>
  <c r="I14" i="1"/>
  <c r="M47" i="1"/>
  <c r="M75" i="1"/>
  <c r="I83" i="1"/>
  <c r="M94" i="1"/>
  <c r="K101" i="1"/>
  <c r="N101" i="1"/>
  <c r="M101" i="1"/>
  <c r="I101" i="1"/>
  <c r="K97" i="1"/>
  <c r="L97" i="1"/>
  <c r="H97" i="1"/>
  <c r="M93" i="1"/>
  <c r="N93" i="1"/>
  <c r="K89" i="1"/>
  <c r="H89" i="1"/>
  <c r="N81" i="1"/>
  <c r="M81" i="1"/>
  <c r="I81" i="1"/>
  <c r="L81" i="1"/>
  <c r="H81" i="1"/>
  <c r="N73" i="1"/>
  <c r="M73" i="1"/>
  <c r="I73" i="1"/>
  <c r="L73" i="1"/>
  <c r="H73" i="1"/>
  <c r="K61" i="1"/>
  <c r="N61" i="1"/>
  <c r="M61" i="1"/>
  <c r="I61" i="1"/>
  <c r="M57" i="1"/>
  <c r="I57" i="1"/>
  <c r="L57" i="1"/>
  <c r="H57" i="1"/>
  <c r="K57" i="1"/>
  <c r="K53" i="1"/>
  <c r="N53" i="1"/>
  <c r="M53" i="1"/>
  <c r="I53" i="1"/>
  <c r="M45" i="1"/>
  <c r="I45" i="1"/>
  <c r="L45" i="1"/>
  <c r="H45" i="1"/>
  <c r="K45" i="1"/>
  <c r="M33" i="1"/>
  <c r="I33" i="1"/>
  <c r="L33" i="1"/>
  <c r="H33" i="1"/>
  <c r="K33" i="1"/>
  <c r="N17" i="1"/>
  <c r="M17" i="1"/>
  <c r="I17" i="1"/>
  <c r="L17" i="1"/>
  <c r="H17" i="1"/>
  <c r="M13" i="1"/>
  <c r="I13" i="1"/>
  <c r="L13" i="1"/>
  <c r="H13" i="1"/>
  <c r="K13" i="1"/>
  <c r="K9" i="1"/>
  <c r="N9" i="1"/>
  <c r="M9" i="1"/>
  <c r="I9" i="1"/>
  <c r="M21" i="1"/>
  <c r="I43" i="1"/>
  <c r="N65" i="1"/>
  <c r="L69" i="1"/>
  <c r="I95" i="1"/>
  <c r="L9" i="1"/>
  <c r="K11" i="1"/>
  <c r="N13" i="1"/>
  <c r="L22" i="1"/>
  <c r="N33" i="1"/>
  <c r="H39" i="1"/>
  <c r="K50" i="1"/>
  <c r="N51" i="1"/>
  <c r="H53" i="1"/>
  <c r="L61" i="1"/>
  <c r="K63" i="1"/>
  <c r="H71" i="1"/>
  <c r="K81" i="1"/>
  <c r="N82" i="1"/>
  <c r="L101" i="1"/>
  <c r="P90" i="1"/>
  <c r="I26" i="1"/>
  <c r="I34" i="1"/>
  <c r="L46" i="1"/>
  <c r="M58" i="1"/>
  <c r="I66" i="1"/>
  <c r="L44" i="1"/>
  <c r="H12" i="1"/>
  <c r="L12" i="1"/>
  <c r="K18" i="1"/>
  <c r="N21" i="1"/>
  <c r="I23" i="1"/>
  <c r="M23" i="1"/>
  <c r="H24" i="1"/>
  <c r="L24" i="1"/>
  <c r="K25" i="1"/>
  <c r="N26" i="1"/>
  <c r="I28" i="1"/>
  <c r="M28" i="1"/>
  <c r="H29" i="1"/>
  <c r="L29" i="1"/>
  <c r="K30" i="1"/>
  <c r="N34" i="1"/>
  <c r="I38" i="1"/>
  <c r="M38" i="1"/>
  <c r="H41" i="1"/>
  <c r="L41" i="1"/>
  <c r="K42" i="1"/>
  <c r="N43" i="1"/>
  <c r="I46" i="1"/>
  <c r="M46" i="1"/>
  <c r="H49" i="1"/>
  <c r="L49" i="1"/>
  <c r="K55" i="1"/>
  <c r="N58" i="1"/>
  <c r="I59" i="1"/>
  <c r="M59" i="1"/>
  <c r="H62" i="1"/>
  <c r="L62" i="1"/>
  <c r="K65" i="1"/>
  <c r="N66" i="1"/>
  <c r="I69" i="1"/>
  <c r="M69" i="1"/>
  <c r="H70" i="1"/>
  <c r="L70" i="1"/>
  <c r="K72" i="1"/>
  <c r="N76" i="1"/>
  <c r="I77" i="1"/>
  <c r="P77" i="1" s="1"/>
  <c r="M77" i="1"/>
  <c r="H85" i="1"/>
  <c r="L85" i="1"/>
  <c r="K87" i="1"/>
  <c r="N88" i="1"/>
  <c r="I89" i="1"/>
  <c r="M89" i="1"/>
  <c r="H91" i="1"/>
  <c r="L91" i="1"/>
  <c r="K93" i="1"/>
  <c r="N95" i="1"/>
  <c r="I97" i="1"/>
  <c r="M97" i="1"/>
  <c r="N18" i="1"/>
  <c r="N30" i="1"/>
  <c r="H38" i="1"/>
  <c r="L38" i="1"/>
  <c r="N42" i="1"/>
  <c r="H46" i="1"/>
  <c r="M66" i="1"/>
  <c r="I37" i="1"/>
  <c r="N44" i="1"/>
  <c r="I12" i="1"/>
  <c r="M12" i="1"/>
  <c r="H18" i="1"/>
  <c r="L18" i="1"/>
  <c r="K21" i="1"/>
  <c r="N23" i="1"/>
  <c r="I24" i="1"/>
  <c r="M24" i="1"/>
  <c r="H25" i="1"/>
  <c r="L25" i="1"/>
  <c r="K26" i="1"/>
  <c r="N28" i="1"/>
  <c r="I29" i="1"/>
  <c r="M29" i="1"/>
  <c r="H30" i="1"/>
  <c r="L30" i="1"/>
  <c r="K34" i="1"/>
  <c r="N38" i="1"/>
  <c r="I41" i="1"/>
  <c r="M41" i="1"/>
  <c r="H42" i="1"/>
  <c r="L42" i="1"/>
  <c r="K43" i="1"/>
  <c r="N46" i="1"/>
  <c r="I49" i="1"/>
  <c r="M49" i="1"/>
  <c r="H55" i="1"/>
  <c r="L55" i="1"/>
  <c r="K58" i="1"/>
  <c r="N59" i="1"/>
  <c r="I62" i="1"/>
  <c r="M62" i="1"/>
  <c r="H65" i="1"/>
  <c r="L65" i="1"/>
  <c r="K66" i="1"/>
  <c r="N69" i="1"/>
  <c r="I70" i="1"/>
  <c r="M70" i="1"/>
  <c r="H72" i="1"/>
  <c r="P72" i="1" s="1"/>
  <c r="L72" i="1"/>
  <c r="K76" i="1"/>
  <c r="N77" i="1"/>
  <c r="I85" i="1"/>
  <c r="M85" i="1"/>
  <c r="H87" i="1"/>
  <c r="L87" i="1"/>
  <c r="K88" i="1"/>
  <c r="N89" i="1"/>
  <c r="I91" i="1"/>
  <c r="M91" i="1"/>
  <c r="H93" i="1"/>
  <c r="L93" i="1"/>
  <c r="K95" i="1"/>
  <c r="N97" i="1"/>
  <c r="M26" i="1"/>
  <c r="M34" i="1"/>
  <c r="P41" i="1"/>
  <c r="I58" i="1"/>
  <c r="K62" i="1"/>
  <c r="K70" i="1"/>
  <c r="H44" i="1"/>
  <c r="I18" i="1"/>
  <c r="H21" i="1"/>
  <c r="I25" i="1"/>
  <c r="H26" i="1"/>
  <c r="I30" i="1"/>
  <c r="H34" i="1"/>
  <c r="I42" i="1"/>
  <c r="H43" i="1"/>
  <c r="I55" i="1"/>
  <c r="H58" i="1"/>
  <c r="I65" i="1"/>
  <c r="H66" i="1"/>
  <c r="I72" i="1"/>
  <c r="H76" i="1"/>
  <c r="I87" i="1"/>
  <c r="H88" i="1"/>
  <c r="I93" i="1"/>
  <c r="H95" i="1"/>
  <c r="K67" i="1"/>
  <c r="N79" i="1"/>
  <c r="I92" i="1"/>
  <c r="M92" i="1"/>
  <c r="H96" i="1"/>
  <c r="L96" i="1"/>
  <c r="N37" i="1"/>
  <c r="I44" i="1"/>
  <c r="M44" i="1"/>
  <c r="H67" i="1"/>
  <c r="L67" i="1"/>
  <c r="K79" i="1"/>
  <c r="N92" i="1"/>
  <c r="I96" i="1"/>
  <c r="M96" i="1"/>
  <c r="K37" i="1"/>
  <c r="I67" i="1"/>
  <c r="M67" i="1"/>
  <c r="H79" i="1"/>
  <c r="L79" i="1"/>
  <c r="K92" i="1"/>
  <c r="N96" i="1"/>
  <c r="H37" i="1"/>
  <c r="I79" i="1"/>
  <c r="H92" i="1"/>
  <c r="K27" i="1"/>
  <c r="K35" i="1"/>
  <c r="K31" i="1"/>
  <c r="H27" i="1"/>
  <c r="L27" i="1"/>
  <c r="I27" i="1"/>
  <c r="M27" i="1"/>
  <c r="M31" i="1"/>
  <c r="I31" i="1"/>
  <c r="L31" i="1"/>
  <c r="H31" i="1"/>
  <c r="L15" i="1"/>
  <c r="H15" i="1"/>
  <c r="I15" i="1"/>
  <c r="M15" i="1"/>
  <c r="N15" i="1"/>
  <c r="N35" i="1"/>
  <c r="M35" i="1"/>
  <c r="I35" i="1"/>
  <c r="L35" i="1"/>
  <c r="K10" i="1"/>
  <c r="L10" i="1"/>
  <c r="I10" i="1"/>
  <c r="N10" i="1"/>
  <c r="H10" i="1"/>
  <c r="M10" i="1"/>
  <c r="M104" i="1"/>
  <c r="I107" i="1"/>
  <c r="N107" i="1"/>
  <c r="I104" i="1"/>
  <c r="K107" i="1"/>
  <c r="M105" i="1"/>
  <c r="I105" i="1"/>
  <c r="N104" i="1"/>
  <c r="K103" i="1"/>
  <c r="H107" i="1"/>
  <c r="N105" i="1"/>
  <c r="L107" i="1"/>
  <c r="L104" i="1"/>
  <c r="H104" i="1"/>
  <c r="N103" i="1"/>
  <c r="H103" i="1"/>
  <c r="N102" i="1"/>
  <c r="L103" i="1"/>
  <c r="M106" i="1"/>
  <c r="I106" i="1"/>
  <c r="L105" i="1"/>
  <c r="H105" i="1"/>
  <c r="M102" i="1"/>
  <c r="I102" i="1"/>
  <c r="M107" i="1"/>
  <c r="L106" i="1"/>
  <c r="H106" i="1"/>
  <c r="M103" i="1"/>
  <c r="L102" i="1"/>
  <c r="H102" i="1"/>
  <c r="N106" i="1"/>
  <c r="P136" i="1"/>
  <c r="P54" i="1" l="1"/>
  <c r="P100" i="1"/>
  <c r="P85" i="1"/>
  <c r="P13" i="1"/>
  <c r="P17" i="1"/>
  <c r="P57" i="1"/>
  <c r="P61" i="1"/>
  <c r="P73" i="1"/>
  <c r="P50" i="1"/>
  <c r="P94" i="1"/>
  <c r="P19" i="1"/>
  <c r="P39" i="1"/>
  <c r="P71" i="1"/>
  <c r="P75" i="1"/>
  <c r="P83" i="1"/>
  <c r="P52" i="1"/>
  <c r="P16" i="1"/>
  <c r="P40" i="1"/>
  <c r="P56" i="1"/>
  <c r="P68" i="1"/>
  <c r="P84" i="1"/>
  <c r="P60" i="1"/>
  <c r="P20" i="1"/>
  <c r="P32" i="1"/>
  <c r="P36" i="1"/>
  <c r="P64" i="1"/>
  <c r="P101" i="1"/>
  <c r="P98" i="1"/>
  <c r="P11" i="1"/>
  <c r="P51" i="1"/>
  <c r="P89" i="1"/>
  <c r="P28" i="1"/>
  <c r="P33" i="1"/>
  <c r="P45" i="1"/>
  <c r="P53" i="1"/>
  <c r="P81" i="1"/>
  <c r="P14" i="1"/>
  <c r="P82" i="1"/>
  <c r="P86" i="1"/>
  <c r="P47" i="1"/>
  <c r="P63" i="1"/>
  <c r="P48" i="1"/>
  <c r="P80" i="1"/>
  <c r="P8" i="1"/>
  <c r="P9" i="1"/>
  <c r="P74" i="1"/>
  <c r="P92" i="1"/>
  <c r="P44" i="1"/>
  <c r="P95" i="1"/>
  <c r="P76" i="1"/>
  <c r="P58" i="1"/>
  <c r="P34" i="1"/>
  <c r="P21" i="1"/>
  <c r="P24" i="1"/>
  <c r="P46" i="1"/>
  <c r="P97" i="1"/>
  <c r="P91" i="1"/>
  <c r="P70" i="1"/>
  <c r="P59" i="1"/>
  <c r="P49" i="1"/>
  <c r="P29" i="1"/>
  <c r="P23" i="1"/>
  <c r="P12" i="1"/>
  <c r="P37" i="1"/>
  <c r="P62" i="1"/>
  <c r="P30" i="1"/>
  <c r="P26" i="1"/>
  <c r="P69" i="1"/>
  <c r="P88" i="1"/>
  <c r="P43" i="1"/>
  <c r="P66" i="1"/>
  <c r="P67" i="1"/>
  <c r="P93" i="1"/>
  <c r="P55" i="1"/>
  <c r="P18" i="1"/>
  <c r="P87" i="1"/>
  <c r="P42" i="1"/>
  <c r="P65" i="1"/>
  <c r="P25" i="1"/>
  <c r="P38" i="1"/>
  <c r="P79" i="1"/>
  <c r="P96" i="1"/>
  <c r="P31" i="1"/>
  <c r="P27" i="1"/>
  <c r="P15" i="1"/>
  <c r="P35" i="1"/>
  <c r="P10" i="1"/>
  <c r="P102" i="1"/>
  <c r="P107" i="1"/>
  <c r="P103" i="1"/>
  <c r="P106" i="1"/>
  <c r="P104" i="1"/>
  <c r="P105" i="1"/>
  <c r="O137" i="1"/>
  <c r="N137" i="1"/>
  <c r="M137" i="1"/>
  <c r="L137" i="1"/>
  <c r="K137" i="1"/>
  <c r="J137" i="1"/>
  <c r="I137" i="1"/>
  <c r="G137" i="1"/>
  <c r="O139" i="1"/>
  <c r="N139" i="1"/>
  <c r="M139" i="1"/>
  <c r="L139" i="1"/>
  <c r="K139" i="1"/>
  <c r="J139" i="1"/>
  <c r="I139" i="1"/>
  <c r="G139" i="1"/>
  <c r="O138" i="1"/>
  <c r="N138" i="1"/>
  <c r="M138" i="1"/>
  <c r="L138" i="1"/>
  <c r="K138" i="1"/>
  <c r="J138" i="1"/>
  <c r="I138" i="1"/>
  <c r="G138" i="1"/>
  <c r="O145" i="1"/>
  <c r="N145" i="1"/>
  <c r="M145" i="1"/>
  <c r="L145" i="1"/>
  <c r="K145" i="1"/>
  <c r="J145" i="1"/>
  <c r="I145" i="1"/>
  <c r="G145" i="1"/>
  <c r="O143" i="1"/>
  <c r="N143" i="1"/>
  <c r="M143" i="1"/>
  <c r="L143" i="1"/>
  <c r="K143" i="1"/>
  <c r="J143" i="1"/>
  <c r="I143" i="1"/>
  <c r="G143" i="1"/>
  <c r="O142" i="1"/>
  <c r="N142" i="1"/>
  <c r="M142" i="1"/>
  <c r="L142" i="1"/>
  <c r="K142" i="1"/>
  <c r="J142" i="1"/>
  <c r="I142" i="1"/>
  <c r="G142" i="1"/>
  <c r="O140" i="1"/>
  <c r="N140" i="1"/>
  <c r="M140" i="1"/>
  <c r="L140" i="1"/>
  <c r="K140" i="1"/>
  <c r="J140" i="1"/>
  <c r="I140" i="1"/>
  <c r="G140" i="1"/>
  <c r="O146" i="1"/>
  <c r="J146" i="1"/>
  <c r="G146" i="1"/>
  <c r="O144" i="1"/>
  <c r="N144" i="1"/>
  <c r="M144" i="1"/>
  <c r="L144" i="1"/>
  <c r="K144" i="1"/>
  <c r="J144" i="1"/>
  <c r="I144" i="1"/>
  <c r="G144" i="1"/>
  <c r="O141" i="1"/>
  <c r="N141" i="1"/>
  <c r="M141" i="1"/>
  <c r="L141" i="1"/>
  <c r="K141" i="1"/>
  <c r="J141" i="1"/>
  <c r="I141" i="1"/>
  <c r="G141" i="1"/>
  <c r="O147" i="1"/>
  <c r="O148" i="1"/>
  <c r="O149" i="1"/>
  <c r="O150" i="1"/>
  <c r="O151" i="1"/>
  <c r="O152" i="1"/>
  <c r="O153" i="1"/>
  <c r="P137" i="1" l="1"/>
  <c r="P139" i="1"/>
  <c r="P138" i="1"/>
  <c r="P145" i="1"/>
  <c r="P140" i="1"/>
  <c r="P142" i="1"/>
  <c r="P143" i="1"/>
  <c r="P141" i="1"/>
  <c r="P144" i="1"/>
  <c r="J148" i="1"/>
  <c r="G148" i="1"/>
  <c r="J147" i="1"/>
  <c r="G147" i="1"/>
  <c r="J150" i="1"/>
  <c r="G150" i="1"/>
  <c r="J149" i="1"/>
  <c r="G149" i="1"/>
  <c r="J153" i="1" l="1"/>
  <c r="G153" i="1"/>
  <c r="J152" i="1"/>
  <c r="G152" i="1"/>
  <c r="G151" i="1"/>
  <c r="J151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46" i="1"/>
  <c r="H146" i="1" s="1"/>
  <c r="F147" i="1"/>
  <c r="H147" i="1" s="1"/>
  <c r="F148" i="1"/>
  <c r="H148" i="1" s="1"/>
  <c r="F149" i="1"/>
  <c r="H149" i="1" s="1"/>
  <c r="F150" i="1"/>
  <c r="H150" i="1" s="1"/>
  <c r="F151" i="1"/>
  <c r="F152" i="1"/>
  <c r="F153" i="1"/>
  <c r="F6" i="1"/>
  <c r="F7" i="1"/>
  <c r="F3" i="1"/>
  <c r="F4" i="1"/>
  <c r="F5" i="1"/>
  <c r="F2" i="1"/>
  <c r="M7" i="1" l="1"/>
  <c r="I7" i="1"/>
  <c r="L7" i="1"/>
  <c r="H7" i="1"/>
  <c r="P7" i="1" s="1"/>
  <c r="K7" i="1"/>
  <c r="N7" i="1"/>
  <c r="K5" i="1"/>
  <c r="N5" i="1"/>
  <c r="M5" i="1"/>
  <c r="I5" i="1"/>
  <c r="H5" i="1"/>
  <c r="L5" i="1"/>
  <c r="N6" i="1"/>
  <c r="M6" i="1"/>
  <c r="I6" i="1"/>
  <c r="L6" i="1"/>
  <c r="H6" i="1"/>
  <c r="K6" i="1"/>
  <c r="L4" i="1"/>
  <c r="H4" i="1"/>
  <c r="K4" i="1"/>
  <c r="N4" i="1"/>
  <c r="I4" i="1"/>
  <c r="M4" i="1"/>
  <c r="M3" i="1"/>
  <c r="I3" i="1"/>
  <c r="L3" i="1"/>
  <c r="H3" i="1"/>
  <c r="P3" i="1" s="1"/>
  <c r="K3" i="1"/>
  <c r="N3" i="1"/>
  <c r="N2" i="1"/>
  <c r="M2" i="1"/>
  <c r="I2" i="1"/>
  <c r="L2" i="1"/>
  <c r="H2" i="1"/>
  <c r="K2" i="1"/>
  <c r="L108" i="1"/>
  <c r="H108" i="1"/>
  <c r="K108" i="1"/>
  <c r="N108" i="1"/>
  <c r="M108" i="1"/>
  <c r="I108" i="1"/>
  <c r="K110" i="1"/>
  <c r="N110" i="1"/>
  <c r="M110" i="1"/>
  <c r="I110" i="1"/>
  <c r="L110" i="1"/>
  <c r="H110" i="1"/>
  <c r="K109" i="1"/>
  <c r="N109" i="1"/>
  <c r="L109" i="1"/>
  <c r="M109" i="1"/>
  <c r="I109" i="1"/>
  <c r="H109" i="1"/>
  <c r="L111" i="1"/>
  <c r="H111" i="1"/>
  <c r="K111" i="1"/>
  <c r="N111" i="1"/>
  <c r="I111" i="1"/>
  <c r="M111" i="1"/>
  <c r="K114" i="1"/>
  <c r="N114" i="1"/>
  <c r="M114" i="1"/>
  <c r="I114" i="1"/>
  <c r="L114" i="1"/>
  <c r="H114" i="1"/>
  <c r="K115" i="1"/>
  <c r="N115" i="1"/>
  <c r="M115" i="1"/>
  <c r="I115" i="1"/>
  <c r="H115" i="1"/>
  <c r="L115" i="1"/>
  <c r="L112" i="1"/>
  <c r="H112" i="1"/>
  <c r="K112" i="1"/>
  <c r="N112" i="1"/>
  <c r="I112" i="1"/>
  <c r="M112" i="1"/>
  <c r="K113" i="1"/>
  <c r="N113" i="1"/>
  <c r="H113" i="1"/>
  <c r="M113" i="1"/>
  <c r="I113" i="1"/>
  <c r="L113" i="1"/>
  <c r="M123" i="1"/>
  <c r="I123" i="1"/>
  <c r="L123" i="1"/>
  <c r="H123" i="1"/>
  <c r="K123" i="1"/>
  <c r="N123" i="1"/>
  <c r="K126" i="1"/>
  <c r="N126" i="1"/>
  <c r="M126" i="1"/>
  <c r="I126" i="1"/>
  <c r="H126" i="1"/>
  <c r="L126" i="1"/>
  <c r="L125" i="1"/>
  <c r="H125" i="1"/>
  <c r="K125" i="1"/>
  <c r="N125" i="1"/>
  <c r="I125" i="1"/>
  <c r="M125" i="1"/>
  <c r="K117" i="1"/>
  <c r="N117" i="1"/>
  <c r="M117" i="1"/>
  <c r="I117" i="1"/>
  <c r="H117" i="1"/>
  <c r="L117" i="1"/>
  <c r="N120" i="1"/>
  <c r="M120" i="1"/>
  <c r="I120" i="1"/>
  <c r="L120" i="1"/>
  <c r="H120" i="1"/>
  <c r="K120" i="1"/>
  <c r="N119" i="1"/>
  <c r="M119" i="1"/>
  <c r="I119" i="1"/>
  <c r="K119" i="1"/>
  <c r="H119" i="1"/>
  <c r="L119" i="1"/>
  <c r="K118" i="1"/>
  <c r="N118" i="1"/>
  <c r="I118" i="1"/>
  <c r="M118" i="1"/>
  <c r="H118" i="1"/>
  <c r="L118" i="1"/>
  <c r="M121" i="1"/>
  <c r="I121" i="1"/>
  <c r="L121" i="1"/>
  <c r="H121" i="1"/>
  <c r="N121" i="1"/>
  <c r="K121" i="1"/>
  <c r="L122" i="1"/>
  <c r="H122" i="1"/>
  <c r="K122" i="1"/>
  <c r="N122" i="1"/>
  <c r="M122" i="1"/>
  <c r="I122" i="1"/>
  <c r="K124" i="1"/>
  <c r="N124" i="1"/>
  <c r="I124" i="1"/>
  <c r="M124" i="1"/>
  <c r="H124" i="1"/>
  <c r="L124" i="1"/>
  <c r="K116" i="1"/>
  <c r="N116" i="1"/>
  <c r="M116" i="1"/>
  <c r="I116" i="1"/>
  <c r="L116" i="1"/>
  <c r="H116" i="1"/>
  <c r="L130" i="1"/>
  <c r="H130" i="1"/>
  <c r="K130" i="1"/>
  <c r="N130" i="1"/>
  <c r="M130" i="1"/>
  <c r="I130" i="1"/>
  <c r="K132" i="1"/>
  <c r="N132" i="1"/>
  <c r="I132" i="1"/>
  <c r="M132" i="1"/>
  <c r="H132" i="1"/>
  <c r="L132" i="1"/>
  <c r="M128" i="1"/>
  <c r="I128" i="1"/>
  <c r="L128" i="1"/>
  <c r="H128" i="1"/>
  <c r="N128" i="1"/>
  <c r="K128" i="1"/>
  <c r="K131" i="1"/>
  <c r="N131" i="1"/>
  <c r="M131" i="1"/>
  <c r="I131" i="1"/>
  <c r="L131" i="1"/>
  <c r="H131" i="1"/>
  <c r="M127" i="1"/>
  <c r="I127" i="1"/>
  <c r="L127" i="1"/>
  <c r="H127" i="1"/>
  <c r="K127" i="1"/>
  <c r="N127" i="1"/>
  <c r="L129" i="1"/>
  <c r="H129" i="1"/>
  <c r="K129" i="1"/>
  <c r="N129" i="1"/>
  <c r="I129" i="1"/>
  <c r="M129" i="1"/>
  <c r="K134" i="1"/>
  <c r="N134" i="1"/>
  <c r="M134" i="1"/>
  <c r="I134" i="1"/>
  <c r="L134" i="1"/>
  <c r="H134" i="1"/>
  <c r="L133" i="1"/>
  <c r="H133" i="1"/>
  <c r="K133" i="1"/>
  <c r="N133" i="1"/>
  <c r="M133" i="1"/>
  <c r="I133" i="1"/>
  <c r="K135" i="1"/>
  <c r="N135" i="1"/>
  <c r="M135" i="1"/>
  <c r="I135" i="1"/>
  <c r="L135" i="1"/>
  <c r="H135" i="1"/>
  <c r="K153" i="1"/>
  <c r="H153" i="1"/>
  <c r="I152" i="1"/>
  <c r="H152" i="1"/>
  <c r="K151" i="1"/>
  <c r="H151" i="1"/>
  <c r="K146" i="1"/>
  <c r="M146" i="1"/>
  <c r="N146" i="1"/>
  <c r="I146" i="1"/>
  <c r="L146" i="1"/>
  <c r="L147" i="1"/>
  <c r="K147" i="1"/>
  <c r="N147" i="1"/>
  <c r="I147" i="1"/>
  <c r="M147" i="1"/>
  <c r="K148" i="1"/>
  <c r="N148" i="1"/>
  <c r="M148" i="1"/>
  <c r="I148" i="1"/>
  <c r="L148" i="1"/>
  <c r="K150" i="1"/>
  <c r="N150" i="1"/>
  <c r="M150" i="1"/>
  <c r="I150" i="1"/>
  <c r="L150" i="1"/>
  <c r="L149" i="1"/>
  <c r="K149" i="1"/>
  <c r="N149" i="1"/>
  <c r="I149" i="1"/>
  <c r="M149" i="1"/>
  <c r="K152" i="1"/>
  <c r="N152" i="1"/>
  <c r="L152" i="1"/>
  <c r="M152" i="1"/>
  <c r="N153" i="1"/>
  <c r="M153" i="1"/>
  <c r="I153" i="1"/>
  <c r="L153" i="1"/>
  <c r="N151" i="1"/>
  <c r="M151" i="1"/>
  <c r="I151" i="1"/>
  <c r="L151" i="1"/>
  <c r="P4" i="1" l="1"/>
  <c r="P5" i="1"/>
  <c r="P6" i="1"/>
  <c r="P2" i="1"/>
  <c r="P110" i="1"/>
  <c r="P108" i="1"/>
  <c r="P109" i="1"/>
  <c r="P111" i="1"/>
  <c r="P114" i="1"/>
  <c r="P115" i="1"/>
  <c r="P112" i="1"/>
  <c r="P113" i="1"/>
  <c r="P125" i="1"/>
  <c r="P120" i="1"/>
  <c r="P123" i="1"/>
  <c r="P117" i="1"/>
  <c r="P126" i="1"/>
  <c r="P116" i="1"/>
  <c r="P122" i="1"/>
  <c r="P121" i="1"/>
  <c r="P124" i="1"/>
  <c r="P118" i="1"/>
  <c r="P119" i="1"/>
  <c r="P129" i="1"/>
  <c r="P127" i="1"/>
  <c r="P128" i="1"/>
  <c r="P130" i="1"/>
  <c r="P132" i="1"/>
  <c r="P131" i="1"/>
  <c r="P133" i="1"/>
  <c r="P134" i="1"/>
  <c r="P135" i="1"/>
  <c r="P146" i="1"/>
  <c r="P147" i="1"/>
  <c r="P148" i="1"/>
  <c r="P149" i="1"/>
  <c r="P150" i="1"/>
  <c r="P152" i="1"/>
  <c r="P153" i="1"/>
  <c r="P151" i="1"/>
</calcChain>
</file>

<file path=xl/sharedStrings.xml><?xml version="1.0" encoding="utf-8"?>
<sst xmlns="http://schemas.openxmlformats.org/spreadsheetml/2006/main" count="218" uniqueCount="100">
  <si>
    <t xml:space="preserve">عداد الخروج </t>
  </si>
  <si>
    <t xml:space="preserve">المسافة المقطوعة </t>
  </si>
  <si>
    <t>تكويد السياره</t>
  </si>
  <si>
    <t>عداد الدخول</t>
  </si>
  <si>
    <t>التبعية الادارية</t>
  </si>
  <si>
    <t>السياره</t>
  </si>
  <si>
    <t>اهلاك السيارة</t>
  </si>
  <si>
    <t>اهلاك الوقود</t>
  </si>
  <si>
    <t>اهلاك الكاوتش</t>
  </si>
  <si>
    <t>اهلاك البطارية</t>
  </si>
  <si>
    <t>زيت الماتور</t>
  </si>
  <si>
    <t>فلتر الزيت</t>
  </si>
  <si>
    <t>فلتر الجاز</t>
  </si>
  <si>
    <t>فلتر الهواء</t>
  </si>
  <si>
    <t>هامش راتب السائق</t>
  </si>
  <si>
    <t>الاجمالى</t>
  </si>
  <si>
    <t>تلتين</t>
  </si>
  <si>
    <t>دبابه صندوق</t>
  </si>
  <si>
    <t>سواح</t>
  </si>
  <si>
    <t>م محرم</t>
  </si>
  <si>
    <t>مسطرد</t>
  </si>
  <si>
    <t>اكتوبر</t>
  </si>
  <si>
    <t>وسط</t>
  </si>
  <si>
    <t>جامبو</t>
  </si>
  <si>
    <t>دوران</t>
  </si>
  <si>
    <t>تويوتا</t>
  </si>
  <si>
    <t>جسر</t>
  </si>
  <si>
    <t>طوابق</t>
  </si>
  <si>
    <t>فيصل</t>
  </si>
  <si>
    <t>شيفروليه</t>
  </si>
  <si>
    <t>م عاشر</t>
  </si>
  <si>
    <t>شيراتون</t>
  </si>
  <si>
    <t>بهتيم</t>
  </si>
  <si>
    <t>شريف</t>
  </si>
  <si>
    <t>ورشه خارجيه</t>
  </si>
  <si>
    <t>سوزوكى صندوق</t>
  </si>
  <si>
    <t>سوزوكي</t>
  </si>
  <si>
    <t>نزهه</t>
  </si>
  <si>
    <t>دقي</t>
  </si>
  <si>
    <t>عرابي</t>
  </si>
  <si>
    <t>كوربه</t>
  </si>
  <si>
    <t>عباسيه</t>
  </si>
  <si>
    <t>مطريه</t>
  </si>
  <si>
    <t>جامبو نقل</t>
  </si>
  <si>
    <t>عباس</t>
  </si>
  <si>
    <t>سرياقوس</t>
  </si>
  <si>
    <t>دبابة صندوق (ايس كريم)</t>
  </si>
  <si>
    <t>ترعه</t>
  </si>
  <si>
    <t>البيك اب</t>
  </si>
  <si>
    <t>عاشر</t>
  </si>
  <si>
    <t>جاردنيا + مكرم</t>
  </si>
  <si>
    <t>تجمع 1 + 5</t>
  </si>
  <si>
    <t>شروق + م شروق</t>
  </si>
  <si>
    <t>منتزه + وايلي</t>
  </si>
  <si>
    <t>معادي</t>
  </si>
  <si>
    <t>عبور 2</t>
  </si>
  <si>
    <t>دوران + شبرا</t>
  </si>
  <si>
    <t>معادي 2</t>
  </si>
  <si>
    <t>مرغني</t>
  </si>
  <si>
    <t>دقي + عرابي</t>
  </si>
  <si>
    <t>وسط + شريف</t>
  </si>
  <si>
    <t>شبرا</t>
  </si>
  <si>
    <t>معادي 1 + 2</t>
  </si>
  <si>
    <t>سادات</t>
  </si>
  <si>
    <t>فيصل + طوابق + عرابي + دقي + عباسيه</t>
  </si>
  <si>
    <t>عباس + مرغني</t>
  </si>
  <si>
    <t>شبرا + دوران</t>
  </si>
  <si>
    <t>جاردنيا + شيراتون</t>
  </si>
  <si>
    <t>تجمع 1 + 5 + شيراتون + شروق 3 + منتزه</t>
  </si>
  <si>
    <t>مشتريات</t>
  </si>
  <si>
    <t>عباسيه + وايلي</t>
  </si>
  <si>
    <t>كوربه + منتزه</t>
  </si>
  <si>
    <t>فيصل + طوابق</t>
  </si>
  <si>
    <t>مكرم + عاشر</t>
  </si>
  <si>
    <t>شروق 1 + 2</t>
  </si>
  <si>
    <t>جسر + نزهه</t>
  </si>
  <si>
    <t>عبور ثلاجه</t>
  </si>
  <si>
    <t>سواح + مطريه</t>
  </si>
  <si>
    <t>ترعه + مطريه + عباسيه +
 شريف + وسط + سرياقوس</t>
  </si>
  <si>
    <t>منفذ مسطرد</t>
  </si>
  <si>
    <t>جاردنيا + شيراتون + كوربه</t>
  </si>
  <si>
    <t>عرابي + دقي</t>
  </si>
  <si>
    <t>منطقة وسط + شريف</t>
  </si>
  <si>
    <t>معادي 1 + 2 + عاشر</t>
  </si>
  <si>
    <t>عباس + مكرم + مرغني</t>
  </si>
  <si>
    <t>مسطرد + شبرا + دوران</t>
  </si>
  <si>
    <t>منطقة عبور 2</t>
  </si>
  <si>
    <t>منطقة عباسيه + وايلي</t>
  </si>
  <si>
    <t>كيلو 4 ونص</t>
  </si>
  <si>
    <t>معادي 1 + 2 + جاردنيا + شيراتون + ترعه</t>
  </si>
  <si>
    <t>بهتيم + ترعه</t>
  </si>
  <si>
    <t>خامات
مسطرد + شبرا + دوران</t>
  </si>
  <si>
    <t>بهتيم + م محرم</t>
  </si>
  <si>
    <t>خامات
تجمع 1 + 5 + عاشر + مكرم</t>
  </si>
  <si>
    <t>ترعه + منفذ مسطرد</t>
  </si>
  <si>
    <t>عباسيه + كوربه</t>
  </si>
  <si>
    <t>سلام ورشه خارجيه</t>
  </si>
  <si>
    <t>سواح مأموريه</t>
  </si>
  <si>
    <t>كاوتش ورشه خارجيه</t>
  </si>
  <si>
    <t>عطلان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</si>
</sst>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26"/>
      <color theme="1"/>
      <name val="Calibri"/>
      <family val="2"/>
      <scheme val="minor"/>
    </font>
    <font>
      <b/>
      <sz val="48"/>
      <color theme="1"/>
      <name val="Arial"/>
      <family val="2"/>
    </font>
    <font>
      <sz val="38"/>
      <color theme="1"/>
      <name val="Arial"/>
      <family val="2"/>
    </font>
    <font>
      <b/>
      <sz val="72"/>
      <color theme="1"/>
      <name val="Simplified Arabic"/>
      <family val="1"/>
    </font>
    <font>
      <b/>
      <sz val="72"/>
      <color theme="1"/>
      <name val="Arial"/>
      <family val="2"/>
    </font>
    <font>
      <sz val="72"/>
      <color theme="1"/>
      <name val="Calibri"/>
      <family val="2"/>
      <scheme val="minor"/>
    </font>
    <font>
      <b/>
      <sz val="26"/>
      <color theme="1"/>
      <name val="Simplified Arabic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0" xfId="0" applyFont="1" applyFill="1"/>
    <xf numFmtId="0" fontId="2" fillId="0" borderId="0" xfId="0" applyFont="1" applyFill="1"/>
    <xf numFmtId="2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0" xfId="0" applyFont="1" applyFill="1"/>
    <xf numFmtId="0" fontId="8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61"/>
  <sheetViews>
    <sheetView rightToLeft="1" tabSelected="1" view="pageBreakPreview" zoomScale="25" zoomScaleNormal="57" zoomScaleSheetLayoutView="25" workbookViewId="0">
      <pane ySplit="1" topLeftCell="A2" activePane="bottomLeft" state="frozen"/>
      <selection activeCell="A2" sqref="A2"/>
      <selection pane="bottomLeft" activeCell="G35" sqref="G35:P153"/>
    </sheetView>
  </sheetViews>
  <sheetFormatPr defaultColWidth="20.7109375" defaultRowHeight="242.25" customHeight="1" x14ac:dyDescent="1.35"/>
  <cols>
    <col min="1" max="1" width="60.85546875" style="10" customWidth="1"/>
    <col min="2" max="2" width="71.42578125" style="1" customWidth="1"/>
    <col min="3" max="3" width="170.28515625" style="1" customWidth="1"/>
    <col min="4" max="4" width="117.42578125" style="1" customWidth="1"/>
    <col min="5" max="5" width="86.5703125" style="1" customWidth="1"/>
    <col min="6" max="6" width="67" style="1" bestFit="1" customWidth="1"/>
    <col min="7" max="16" width="59.5703125" style="4" customWidth="1"/>
    <col min="17" max="16384" width="20.7109375" style="1"/>
  </cols>
  <sheetData>
    <row r="1" spans="1:16" ht="242.25" customHeight="1" x14ac:dyDescent="0.5">
      <c r="A1" s="9" t="s">
        <v>2</v>
      </c>
      <c r="B1" s="5" t="s">
        <v>5</v>
      </c>
      <c r="C1" s="5" t="s">
        <v>4</v>
      </c>
      <c r="D1" s="5" t="s">
        <v>0</v>
      </c>
      <c r="E1" s="5" t="s">
        <v>3</v>
      </c>
      <c r="F1" s="5" t="s">
        <v>1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</row>
    <row r="2" spans="1:16" ht="242.25" customHeight="1" x14ac:dyDescent="0.5">
      <c r="A2" s="12" t="s">
        <v>16</v>
      </c>
      <c r="B2" s="12">
        <v>2694</v>
      </c>
      <c r="C2" s="6" t="s">
        <v>37</v>
      </c>
      <c r="D2" s="6">
        <v>300000</v>
      </c>
      <c r="E2" s="6">
        <v>300024</v>
      </c>
      <c r="F2" s="9">
        <f>E2-D2</f>
        <v>24</v>
      </c>
      <c r="G2" s="3">
        <f t="shared" ref="G2:G22" si="0">1300000/10/365/3</f>
        <v>118.72146118721462</v>
      </c>
      <c r="H2" s="3">
        <f t="shared" ref="H2" si="1">F2/8*20.5</f>
        <v>61.5</v>
      </c>
      <c r="I2" s="3">
        <f t="shared" ref="I2" si="2">8650/50000*F2*6</f>
        <v>24.911999999999995</v>
      </c>
      <c r="J2" s="3">
        <f t="shared" ref="J2:J22" si="3">3600/365/3</f>
        <v>3.2876712328767126</v>
      </c>
      <c r="K2" s="3">
        <f t="shared" ref="K2" si="4">155*8/5000*F2</f>
        <v>5.952</v>
      </c>
      <c r="L2" s="3">
        <f t="shared" ref="L2" si="5">120/5000*F2</f>
        <v>0.57600000000000007</v>
      </c>
      <c r="M2" s="3">
        <f t="shared" ref="M2" si="6">95/5000*F2</f>
        <v>0.45599999999999996</v>
      </c>
      <c r="N2" s="3">
        <f t="shared" ref="N2" si="7">350/10000*F2</f>
        <v>0.84000000000000008</v>
      </c>
      <c r="O2" s="3">
        <f t="shared" ref="O2:O22" si="8">8000/26/3</f>
        <v>102.56410256410255</v>
      </c>
      <c r="P2" s="3">
        <f t="shared" ref="P2" si="9">SUM(G2:O2)</f>
        <v>318.80923498419389</v>
      </c>
    </row>
    <row r="3" spans="1:16" ht="242.25" customHeight="1" x14ac:dyDescent="0.5">
      <c r="A3" s="12" t="s">
        <v>16</v>
      </c>
      <c r="B3" s="12">
        <v>5898</v>
      </c>
      <c r="C3" s="6" t="s">
        <v>49</v>
      </c>
      <c r="D3" s="6">
        <v>110944</v>
      </c>
      <c r="E3" s="6">
        <v>110988</v>
      </c>
      <c r="F3" s="9">
        <f t="shared" ref="F3:F81" si="10">E3-D3</f>
        <v>44</v>
      </c>
      <c r="G3" s="3">
        <f t="shared" si="0"/>
        <v>118.72146118721462</v>
      </c>
      <c r="H3" s="3">
        <f t="shared" ref="H3:H9" si="11">F3/8*20.5</f>
        <v>112.75</v>
      </c>
      <c r="I3" s="3">
        <f t="shared" ref="I3:I9" si="12">8650/50000*F3*6</f>
        <v>45.671999999999997</v>
      </c>
      <c r="J3" s="3">
        <f t="shared" si="3"/>
        <v>3.2876712328767126</v>
      </c>
      <c r="K3" s="3">
        <f t="shared" ref="K3:K9" si="13">155*8/5000*F3</f>
        <v>10.911999999999999</v>
      </c>
      <c r="L3" s="3">
        <f t="shared" ref="L3:L9" si="14">120/5000*F3</f>
        <v>1.056</v>
      </c>
      <c r="M3" s="3">
        <f t="shared" ref="M3:M9" si="15">95/5000*F3</f>
        <v>0.83599999999999997</v>
      </c>
      <c r="N3" s="3">
        <f t="shared" ref="N3:N9" si="16">350/10000*F3</f>
        <v>1.54</v>
      </c>
      <c r="O3" s="3">
        <f t="shared" si="8"/>
        <v>102.56410256410255</v>
      </c>
      <c r="P3" s="3">
        <f t="shared" ref="P3:P9" si="17">SUM(G3:O3)</f>
        <v>397.33923498419387</v>
      </c>
    </row>
    <row r="4" spans="1:16" ht="242.25" customHeight="1" x14ac:dyDescent="0.5">
      <c r="A4" s="12" t="s">
        <v>16</v>
      </c>
      <c r="B4" s="12">
        <v>7464</v>
      </c>
      <c r="C4" s="6" t="s">
        <v>50</v>
      </c>
      <c r="D4" s="6">
        <v>98668</v>
      </c>
      <c r="E4" s="6">
        <v>98706</v>
      </c>
      <c r="F4" s="9">
        <f t="shared" si="10"/>
        <v>38</v>
      </c>
      <c r="G4" s="3">
        <f t="shared" si="0"/>
        <v>118.72146118721462</v>
      </c>
      <c r="H4" s="3">
        <f t="shared" si="11"/>
        <v>97.375</v>
      </c>
      <c r="I4" s="3">
        <f t="shared" si="12"/>
        <v>39.444000000000003</v>
      </c>
      <c r="J4" s="3">
        <f t="shared" si="3"/>
        <v>3.2876712328767126</v>
      </c>
      <c r="K4" s="3">
        <f t="shared" si="13"/>
        <v>9.4239999999999995</v>
      </c>
      <c r="L4" s="3">
        <f t="shared" si="14"/>
        <v>0.91200000000000003</v>
      </c>
      <c r="M4" s="3">
        <f t="shared" si="15"/>
        <v>0.72199999999999998</v>
      </c>
      <c r="N4" s="3">
        <f t="shared" si="16"/>
        <v>1.33</v>
      </c>
      <c r="O4" s="3">
        <f t="shared" si="8"/>
        <v>102.56410256410255</v>
      </c>
      <c r="P4" s="3">
        <f t="shared" si="17"/>
        <v>373.78023498419384</v>
      </c>
    </row>
    <row r="5" spans="1:16" ht="242.25" customHeight="1" x14ac:dyDescent="0.5">
      <c r="A5" s="12" t="s">
        <v>16</v>
      </c>
      <c r="B5" s="12">
        <v>4987</v>
      </c>
      <c r="C5" s="6" t="s">
        <v>44</v>
      </c>
      <c r="D5" s="6">
        <v>335820</v>
      </c>
      <c r="E5" s="6">
        <v>335852</v>
      </c>
      <c r="F5" s="9">
        <f t="shared" si="10"/>
        <v>32</v>
      </c>
      <c r="G5" s="3">
        <f t="shared" si="0"/>
        <v>118.72146118721462</v>
      </c>
      <c r="H5" s="3">
        <f t="shared" si="11"/>
        <v>82</v>
      </c>
      <c r="I5" s="3">
        <f t="shared" si="12"/>
        <v>33.215999999999994</v>
      </c>
      <c r="J5" s="3">
        <f t="shared" si="3"/>
        <v>3.2876712328767126</v>
      </c>
      <c r="K5" s="3">
        <f t="shared" si="13"/>
        <v>7.9359999999999999</v>
      </c>
      <c r="L5" s="3">
        <f t="shared" si="14"/>
        <v>0.76800000000000002</v>
      </c>
      <c r="M5" s="3">
        <f t="shared" si="15"/>
        <v>0.60799999999999998</v>
      </c>
      <c r="N5" s="3">
        <f t="shared" si="16"/>
        <v>1.1200000000000001</v>
      </c>
      <c r="O5" s="3">
        <f t="shared" si="8"/>
        <v>102.56410256410255</v>
      </c>
      <c r="P5" s="3">
        <f t="shared" si="17"/>
        <v>350.22123498419393</v>
      </c>
    </row>
    <row r="6" spans="1:16" ht="242.25" customHeight="1" x14ac:dyDescent="0.5">
      <c r="A6" s="12" t="s">
        <v>16</v>
      </c>
      <c r="B6" s="12">
        <v>1537</v>
      </c>
      <c r="C6" s="6" t="s">
        <v>38</v>
      </c>
      <c r="D6" s="6">
        <v>243029</v>
      </c>
      <c r="E6" s="6">
        <v>243094</v>
      </c>
      <c r="F6" s="9">
        <f t="shared" si="10"/>
        <v>65</v>
      </c>
      <c r="G6" s="3">
        <f t="shared" si="0"/>
        <v>118.72146118721462</v>
      </c>
      <c r="H6" s="3">
        <f t="shared" si="11"/>
        <v>166.5625</v>
      </c>
      <c r="I6" s="3">
        <f t="shared" si="12"/>
        <v>67.47</v>
      </c>
      <c r="J6" s="3">
        <f t="shared" si="3"/>
        <v>3.2876712328767126</v>
      </c>
      <c r="K6" s="3">
        <f t="shared" si="13"/>
        <v>16.12</v>
      </c>
      <c r="L6" s="3">
        <f t="shared" si="14"/>
        <v>1.56</v>
      </c>
      <c r="M6" s="3">
        <f t="shared" si="15"/>
        <v>1.2349999999999999</v>
      </c>
      <c r="N6" s="3">
        <f t="shared" si="16"/>
        <v>2.2750000000000004</v>
      </c>
      <c r="O6" s="3">
        <f t="shared" si="8"/>
        <v>102.56410256410255</v>
      </c>
      <c r="P6" s="3">
        <f t="shared" si="17"/>
        <v>479.79573498419387</v>
      </c>
    </row>
    <row r="7" spans="1:16" ht="242.25" customHeight="1" x14ac:dyDescent="0.5">
      <c r="A7" s="12" t="s">
        <v>16</v>
      </c>
      <c r="B7" s="12">
        <v>6143</v>
      </c>
      <c r="C7" s="6" t="s">
        <v>28</v>
      </c>
      <c r="D7" s="6">
        <v>6435</v>
      </c>
      <c r="E7" s="6">
        <v>6516</v>
      </c>
      <c r="F7" s="9">
        <f t="shared" si="10"/>
        <v>81</v>
      </c>
      <c r="G7" s="3">
        <f t="shared" si="0"/>
        <v>118.72146118721462</v>
      </c>
      <c r="H7" s="3">
        <f t="shared" si="11"/>
        <v>207.5625</v>
      </c>
      <c r="I7" s="3">
        <f t="shared" si="12"/>
        <v>84.077999999999989</v>
      </c>
      <c r="J7" s="3">
        <f t="shared" si="3"/>
        <v>3.2876712328767126</v>
      </c>
      <c r="K7" s="3">
        <f t="shared" si="13"/>
        <v>20.088000000000001</v>
      </c>
      <c r="L7" s="3">
        <f t="shared" si="14"/>
        <v>1.944</v>
      </c>
      <c r="M7" s="3">
        <f t="shared" si="15"/>
        <v>1.5389999999999999</v>
      </c>
      <c r="N7" s="3">
        <f t="shared" si="16"/>
        <v>2.8350000000000004</v>
      </c>
      <c r="O7" s="3">
        <f t="shared" si="8"/>
        <v>102.56410256410255</v>
      </c>
      <c r="P7" s="3">
        <f t="shared" si="17"/>
        <v>542.61973498419388</v>
      </c>
    </row>
    <row r="8" spans="1:16" ht="242.25" customHeight="1" x14ac:dyDescent="0.5">
      <c r="A8" s="12" t="s">
        <v>16</v>
      </c>
      <c r="B8" s="12">
        <v>2695</v>
      </c>
      <c r="C8" s="6" t="s">
        <v>51</v>
      </c>
      <c r="D8" s="6">
        <v>160574</v>
      </c>
      <c r="E8" s="6">
        <v>160654</v>
      </c>
      <c r="F8" s="9">
        <f t="shared" si="10"/>
        <v>80</v>
      </c>
      <c r="G8" s="3">
        <f t="shared" si="0"/>
        <v>118.72146118721462</v>
      </c>
      <c r="H8" s="3">
        <f t="shared" si="11"/>
        <v>205</v>
      </c>
      <c r="I8" s="3">
        <f t="shared" si="12"/>
        <v>83.039999999999992</v>
      </c>
      <c r="J8" s="3">
        <f t="shared" si="3"/>
        <v>3.2876712328767126</v>
      </c>
      <c r="K8" s="3">
        <f t="shared" si="13"/>
        <v>19.84</v>
      </c>
      <c r="L8" s="3">
        <f t="shared" si="14"/>
        <v>1.92</v>
      </c>
      <c r="M8" s="3">
        <f t="shared" si="15"/>
        <v>1.52</v>
      </c>
      <c r="N8" s="3">
        <f t="shared" si="16"/>
        <v>2.8000000000000003</v>
      </c>
      <c r="O8" s="3">
        <f t="shared" si="8"/>
        <v>102.56410256410255</v>
      </c>
      <c r="P8" s="3">
        <f t="shared" si="17"/>
        <v>538.69323498419396</v>
      </c>
    </row>
    <row r="9" spans="1:16" ht="242.25" customHeight="1" x14ac:dyDescent="0.5">
      <c r="A9" s="12" t="s">
        <v>16</v>
      </c>
      <c r="B9" s="12">
        <v>3492</v>
      </c>
      <c r="C9" s="6" t="s">
        <v>21</v>
      </c>
      <c r="D9" s="6">
        <v>285298</v>
      </c>
      <c r="E9" s="6">
        <v>285418</v>
      </c>
      <c r="F9" s="9">
        <f t="shared" si="10"/>
        <v>120</v>
      </c>
      <c r="G9" s="3">
        <f t="shared" si="0"/>
        <v>118.72146118721462</v>
      </c>
      <c r="H9" s="3">
        <f t="shared" si="11"/>
        <v>307.5</v>
      </c>
      <c r="I9" s="3">
        <f t="shared" si="12"/>
        <v>124.55999999999999</v>
      </c>
      <c r="J9" s="3">
        <f t="shared" si="3"/>
        <v>3.2876712328767126</v>
      </c>
      <c r="K9" s="3">
        <f t="shared" si="13"/>
        <v>29.759999999999998</v>
      </c>
      <c r="L9" s="3">
        <f t="shared" si="14"/>
        <v>2.88</v>
      </c>
      <c r="M9" s="3">
        <f t="shared" si="15"/>
        <v>2.2799999999999998</v>
      </c>
      <c r="N9" s="3">
        <f t="shared" si="16"/>
        <v>4.2</v>
      </c>
      <c r="O9" s="3">
        <f t="shared" si="8"/>
        <v>102.56410256410255</v>
      </c>
      <c r="P9" s="3">
        <f t="shared" si="17"/>
        <v>695.75323498419391</v>
      </c>
    </row>
    <row r="10" spans="1:16" ht="242.25" customHeight="1" x14ac:dyDescent="0.5">
      <c r="A10" s="12" t="s">
        <v>17</v>
      </c>
      <c r="B10" s="12">
        <v>4879</v>
      </c>
      <c r="C10" s="6" t="s">
        <v>22</v>
      </c>
      <c r="D10" s="6">
        <v>629148</v>
      </c>
      <c r="E10" s="6">
        <v>629172</v>
      </c>
      <c r="F10" s="9">
        <f t="shared" si="10"/>
        <v>24</v>
      </c>
      <c r="G10" s="3">
        <f t="shared" ref="G10:G66" si="18">1000000/10/365/3</f>
        <v>91.324200913242009</v>
      </c>
      <c r="H10" s="3">
        <f t="shared" ref="H10:H11" si="19">F10/8*20.5</f>
        <v>61.5</v>
      </c>
      <c r="I10" s="3">
        <f t="shared" ref="I10" si="20">5500/50000*F10*3</f>
        <v>7.92</v>
      </c>
      <c r="J10" s="3">
        <f t="shared" ref="J10:J73" si="21">3600/365/3</f>
        <v>3.2876712328767126</v>
      </c>
      <c r="K10" s="3">
        <f t="shared" ref="K10" si="22">155*5.5/5000*F10</f>
        <v>4.0920000000000005</v>
      </c>
      <c r="L10" s="3">
        <f t="shared" ref="L10:L11" si="23">120/5000*F10</f>
        <v>0.57600000000000007</v>
      </c>
      <c r="M10" s="3">
        <f t="shared" ref="M10:M11" si="24">95/5000*F10</f>
        <v>0.45599999999999996</v>
      </c>
      <c r="N10" s="3">
        <f t="shared" ref="N10" si="25">220/10000*F10</f>
        <v>0.52800000000000002</v>
      </c>
      <c r="O10" s="3">
        <f t="shared" ref="O10:O114" si="26">8000/26/3</f>
        <v>102.56410256410255</v>
      </c>
      <c r="P10" s="3">
        <f t="shared" ref="P10" si="27">SUM(G10:O10)</f>
        <v>272.24797471022123</v>
      </c>
    </row>
    <row r="11" spans="1:16" ht="242.25" customHeight="1" x14ac:dyDescent="0.5">
      <c r="A11" s="12" t="s">
        <v>16</v>
      </c>
      <c r="B11" s="12">
        <v>2917</v>
      </c>
      <c r="C11" s="6" t="s">
        <v>52</v>
      </c>
      <c r="D11" s="6">
        <v>157643</v>
      </c>
      <c r="E11" s="6">
        <v>157746</v>
      </c>
      <c r="F11" s="9">
        <f t="shared" si="10"/>
        <v>103</v>
      </c>
      <c r="G11" s="3">
        <f t="shared" si="0"/>
        <v>118.72146118721462</v>
      </c>
      <c r="H11" s="3">
        <f t="shared" si="19"/>
        <v>263.9375</v>
      </c>
      <c r="I11" s="3">
        <f t="shared" ref="I11" si="28">8650/50000*F11*6</f>
        <v>106.91399999999999</v>
      </c>
      <c r="J11" s="3">
        <f t="shared" si="3"/>
        <v>3.2876712328767126</v>
      </c>
      <c r="K11" s="3">
        <f t="shared" ref="K11" si="29">155*8/5000*F11</f>
        <v>25.544</v>
      </c>
      <c r="L11" s="3">
        <f t="shared" si="23"/>
        <v>2.472</v>
      </c>
      <c r="M11" s="3">
        <f t="shared" si="24"/>
        <v>1.9569999999999999</v>
      </c>
      <c r="N11" s="3">
        <f t="shared" ref="N11" si="30">350/10000*F11</f>
        <v>3.6050000000000004</v>
      </c>
      <c r="O11" s="3">
        <f t="shared" si="8"/>
        <v>102.56410256410255</v>
      </c>
      <c r="P11" s="3">
        <f t="shared" ref="P11" si="31">SUM(G11:O11)</f>
        <v>629.00273498419392</v>
      </c>
    </row>
    <row r="12" spans="1:16" ht="242.25" customHeight="1" x14ac:dyDescent="0.5">
      <c r="A12" s="12" t="s">
        <v>17</v>
      </c>
      <c r="B12" s="12">
        <v>3793</v>
      </c>
      <c r="C12" s="6" t="s">
        <v>30</v>
      </c>
      <c r="D12" s="6">
        <v>34726</v>
      </c>
      <c r="E12" s="6">
        <v>34846</v>
      </c>
      <c r="F12" s="9">
        <f t="shared" si="10"/>
        <v>120</v>
      </c>
      <c r="G12" s="3">
        <f t="shared" si="18"/>
        <v>91.324200913242009</v>
      </c>
      <c r="H12" s="3">
        <f t="shared" ref="H12:H14" si="32">F12/8*20.5</f>
        <v>307.5</v>
      </c>
      <c r="I12" s="3">
        <f t="shared" ref="I12" si="33">5500/50000*F12*3</f>
        <v>39.599999999999994</v>
      </c>
      <c r="J12" s="3">
        <f t="shared" si="21"/>
        <v>3.2876712328767126</v>
      </c>
      <c r="K12" s="3">
        <f t="shared" ref="K12" si="34">155*5.5/5000*F12</f>
        <v>20.46</v>
      </c>
      <c r="L12" s="3">
        <f t="shared" ref="L12:L14" si="35">120/5000*F12</f>
        <v>2.88</v>
      </c>
      <c r="M12" s="3">
        <f t="shared" ref="M12:M14" si="36">95/5000*F12</f>
        <v>2.2799999999999998</v>
      </c>
      <c r="N12" s="3">
        <f t="shared" ref="N12" si="37">220/10000*F12</f>
        <v>2.6399999999999997</v>
      </c>
      <c r="O12" s="3">
        <f t="shared" si="26"/>
        <v>102.56410256410255</v>
      </c>
      <c r="P12" s="3">
        <f t="shared" ref="P12" si="38">SUM(G12:O12)</f>
        <v>572.53597471022124</v>
      </c>
    </row>
    <row r="13" spans="1:16" ht="242.25" customHeight="1" x14ac:dyDescent="0.5">
      <c r="A13" s="12" t="s">
        <v>16</v>
      </c>
      <c r="B13" s="12">
        <v>1451</v>
      </c>
      <c r="C13" s="6" t="s">
        <v>53</v>
      </c>
      <c r="D13" s="6">
        <v>42961</v>
      </c>
      <c r="E13" s="6">
        <v>42979</v>
      </c>
      <c r="F13" s="9">
        <f t="shared" si="10"/>
        <v>18</v>
      </c>
      <c r="G13" s="3">
        <f t="shared" si="0"/>
        <v>118.72146118721462</v>
      </c>
      <c r="H13" s="3">
        <f t="shared" si="32"/>
        <v>46.125</v>
      </c>
      <c r="I13" s="3">
        <f t="shared" ref="I13:I14" si="39">8650/50000*F13*6</f>
        <v>18.683999999999997</v>
      </c>
      <c r="J13" s="3">
        <f t="shared" si="3"/>
        <v>3.2876712328767126</v>
      </c>
      <c r="K13" s="3">
        <f t="shared" ref="K13:K14" si="40">155*8/5000*F13</f>
        <v>4.4640000000000004</v>
      </c>
      <c r="L13" s="3">
        <f t="shared" si="35"/>
        <v>0.432</v>
      </c>
      <c r="M13" s="3">
        <f t="shared" si="36"/>
        <v>0.34199999999999997</v>
      </c>
      <c r="N13" s="3">
        <f t="shared" ref="N13:N14" si="41">350/10000*F13</f>
        <v>0.63000000000000012</v>
      </c>
      <c r="O13" s="3">
        <f t="shared" si="8"/>
        <v>102.56410256410255</v>
      </c>
      <c r="P13" s="3">
        <f t="shared" ref="P13:P14" si="42">SUM(G13:O13)</f>
        <v>295.25023498419387</v>
      </c>
    </row>
    <row r="14" spans="1:16" ht="242.25" customHeight="1" x14ac:dyDescent="0.5">
      <c r="A14" s="12" t="s">
        <v>16</v>
      </c>
      <c r="B14" s="12">
        <v>2714</v>
      </c>
      <c r="C14" s="6" t="s">
        <v>27</v>
      </c>
      <c r="D14" s="6">
        <v>312994</v>
      </c>
      <c r="E14" s="6">
        <v>313063</v>
      </c>
      <c r="F14" s="9">
        <f t="shared" si="10"/>
        <v>69</v>
      </c>
      <c r="G14" s="3">
        <f t="shared" si="0"/>
        <v>118.72146118721462</v>
      </c>
      <c r="H14" s="3">
        <f t="shared" si="32"/>
        <v>176.8125</v>
      </c>
      <c r="I14" s="3">
        <f t="shared" si="39"/>
        <v>71.622</v>
      </c>
      <c r="J14" s="3">
        <f t="shared" si="3"/>
        <v>3.2876712328767126</v>
      </c>
      <c r="K14" s="3">
        <f t="shared" si="40"/>
        <v>17.111999999999998</v>
      </c>
      <c r="L14" s="3">
        <f t="shared" si="35"/>
        <v>1.6560000000000001</v>
      </c>
      <c r="M14" s="3">
        <f t="shared" si="36"/>
        <v>1.3109999999999999</v>
      </c>
      <c r="N14" s="3">
        <f t="shared" si="41"/>
        <v>2.415</v>
      </c>
      <c r="O14" s="3">
        <f t="shared" si="8"/>
        <v>102.56410256410255</v>
      </c>
      <c r="P14" s="3">
        <f t="shared" si="42"/>
        <v>495.50173498419394</v>
      </c>
    </row>
    <row r="15" spans="1:16" ht="242.25" customHeight="1" x14ac:dyDescent="0.5">
      <c r="A15" s="12" t="s">
        <v>35</v>
      </c>
      <c r="B15" s="12">
        <v>586</v>
      </c>
      <c r="C15" s="6" t="s">
        <v>24</v>
      </c>
      <c r="D15" s="6">
        <v>72638</v>
      </c>
      <c r="E15" s="6">
        <v>72659</v>
      </c>
      <c r="F15" s="9">
        <f t="shared" si="10"/>
        <v>21</v>
      </c>
      <c r="G15" s="3">
        <f t="shared" ref="G15" si="43">750000/10/365/3</f>
        <v>68.493150684931507</v>
      </c>
      <c r="H15" s="3">
        <f t="shared" ref="H15" si="44">F15/8*22.25</f>
        <v>58.40625</v>
      </c>
      <c r="I15" s="3">
        <f t="shared" ref="I15" si="45">2500/50000*F15*3</f>
        <v>3.1500000000000004</v>
      </c>
      <c r="J15" s="3">
        <f t="shared" ref="J15" si="46">2800/365/3</f>
        <v>2.5570776255707761</v>
      </c>
      <c r="K15" s="3">
        <f t="shared" ref="K15" si="47">155*4/5000*F15</f>
        <v>2.6040000000000001</v>
      </c>
      <c r="L15" s="3">
        <f t="shared" ref="L15:L26" si="48">120/5000*F15</f>
        <v>0.504</v>
      </c>
      <c r="M15" s="3">
        <f t="shared" ref="M15:M26" si="49">95/5000*F15</f>
        <v>0.39899999999999997</v>
      </c>
      <c r="N15" s="3">
        <f t="shared" ref="N15:N18" si="50">220/10000*F15</f>
        <v>0.46199999999999997</v>
      </c>
      <c r="O15" s="3">
        <f t="shared" si="26"/>
        <v>102.56410256410255</v>
      </c>
      <c r="P15" s="3">
        <f t="shared" ref="P15:P17" si="51">SUM(G15:O15)</f>
        <v>239.1395808746048</v>
      </c>
    </row>
    <row r="16" spans="1:16" ht="242.25" customHeight="1" x14ac:dyDescent="0.5">
      <c r="A16" s="12" t="s">
        <v>16</v>
      </c>
      <c r="B16" s="12">
        <v>1454</v>
      </c>
      <c r="C16" s="6" t="s">
        <v>26</v>
      </c>
      <c r="D16" s="6">
        <v>54017</v>
      </c>
      <c r="E16" s="6">
        <v>54036</v>
      </c>
      <c r="F16" s="9">
        <f t="shared" si="10"/>
        <v>19</v>
      </c>
      <c r="G16" s="3">
        <f t="shared" si="0"/>
        <v>118.72146118721462</v>
      </c>
      <c r="H16" s="3">
        <f t="shared" ref="H16:H17" si="52">F16/8*20.5</f>
        <v>48.6875</v>
      </c>
      <c r="I16" s="3">
        <f t="shared" ref="I16:I17" si="53">8650/50000*F16*6</f>
        <v>19.722000000000001</v>
      </c>
      <c r="J16" s="3">
        <f t="shared" si="3"/>
        <v>3.2876712328767126</v>
      </c>
      <c r="K16" s="3">
        <f t="shared" ref="K16:K17" si="54">155*8/5000*F16</f>
        <v>4.7119999999999997</v>
      </c>
      <c r="L16" s="3">
        <f t="shared" si="48"/>
        <v>0.45600000000000002</v>
      </c>
      <c r="M16" s="3">
        <f t="shared" si="49"/>
        <v>0.36099999999999999</v>
      </c>
      <c r="N16" s="3">
        <f t="shared" ref="N16:N17" si="55">350/10000*F16</f>
        <v>0.66500000000000004</v>
      </c>
      <c r="O16" s="3">
        <f t="shared" si="8"/>
        <v>102.56410256410255</v>
      </c>
      <c r="P16" s="3">
        <f t="shared" si="51"/>
        <v>299.17673498419384</v>
      </c>
    </row>
    <row r="17" spans="1:16" ht="242.25" customHeight="1" x14ac:dyDescent="0.5">
      <c r="A17" s="12" t="s">
        <v>16</v>
      </c>
      <c r="B17" s="12">
        <v>3891</v>
      </c>
      <c r="C17" s="6" t="s">
        <v>54</v>
      </c>
      <c r="D17" s="6">
        <v>291332</v>
      </c>
      <c r="E17" s="6">
        <v>291408</v>
      </c>
      <c r="F17" s="9">
        <f t="shared" si="10"/>
        <v>76</v>
      </c>
      <c r="G17" s="3">
        <f t="shared" si="0"/>
        <v>118.72146118721462</v>
      </c>
      <c r="H17" s="3">
        <f t="shared" si="52"/>
        <v>194.75</v>
      </c>
      <c r="I17" s="3">
        <f t="shared" si="53"/>
        <v>78.888000000000005</v>
      </c>
      <c r="J17" s="3">
        <f t="shared" si="3"/>
        <v>3.2876712328767126</v>
      </c>
      <c r="K17" s="3">
        <f t="shared" si="54"/>
        <v>18.847999999999999</v>
      </c>
      <c r="L17" s="3">
        <f t="shared" si="48"/>
        <v>1.8240000000000001</v>
      </c>
      <c r="M17" s="3">
        <f t="shared" si="49"/>
        <v>1.444</v>
      </c>
      <c r="N17" s="3">
        <f t="shared" si="55"/>
        <v>2.66</v>
      </c>
      <c r="O17" s="3">
        <f t="shared" si="8"/>
        <v>102.56410256410255</v>
      </c>
      <c r="P17" s="3">
        <f t="shared" si="51"/>
        <v>522.98723498419395</v>
      </c>
    </row>
    <row r="18" spans="1:16" ht="242.25" customHeight="1" x14ac:dyDescent="0.5">
      <c r="A18" s="12" t="s">
        <v>17</v>
      </c>
      <c r="B18" s="12">
        <v>459</v>
      </c>
      <c r="C18" s="6" t="s">
        <v>42</v>
      </c>
      <c r="D18" s="6">
        <v>197303</v>
      </c>
      <c r="E18" s="6">
        <v>197311</v>
      </c>
      <c r="F18" s="9">
        <f t="shared" si="10"/>
        <v>8</v>
      </c>
      <c r="G18" s="3">
        <f t="shared" si="18"/>
        <v>91.324200913242009</v>
      </c>
      <c r="H18" s="3">
        <f t="shared" ref="H16:H22" si="56">F18/8*20.5</f>
        <v>20.5</v>
      </c>
      <c r="I18" s="3">
        <f t="shared" ref="I16:I18" si="57">5500/50000*F18*3</f>
        <v>2.64</v>
      </c>
      <c r="J18" s="3">
        <f t="shared" si="21"/>
        <v>3.2876712328767126</v>
      </c>
      <c r="K18" s="3">
        <f t="shared" ref="K16:K18" si="58">155*5.5/5000*F18</f>
        <v>1.3640000000000001</v>
      </c>
      <c r="L18" s="3">
        <f t="shared" si="48"/>
        <v>0.192</v>
      </c>
      <c r="M18" s="3">
        <f t="shared" si="49"/>
        <v>0.152</v>
      </c>
      <c r="N18" s="3">
        <f t="shared" si="50"/>
        <v>0.17599999999999999</v>
      </c>
      <c r="O18" s="3">
        <f t="shared" si="26"/>
        <v>102.56410256410255</v>
      </c>
      <c r="P18" s="3">
        <f t="shared" ref="P16:P18" si="59">SUM(G18:O18)</f>
        <v>222.19997471022128</v>
      </c>
    </row>
    <row r="19" spans="1:16" ht="242.25" customHeight="1" x14ac:dyDescent="0.5">
      <c r="A19" s="12" t="s">
        <v>16</v>
      </c>
      <c r="B19" s="12">
        <v>1538</v>
      </c>
      <c r="C19" s="6" t="s">
        <v>55</v>
      </c>
      <c r="D19" s="6">
        <v>249827</v>
      </c>
      <c r="E19" s="6">
        <v>249893</v>
      </c>
      <c r="F19" s="9">
        <f t="shared" si="10"/>
        <v>66</v>
      </c>
      <c r="G19" s="3">
        <f t="shared" si="0"/>
        <v>118.72146118721462</v>
      </c>
      <c r="H19" s="3">
        <f t="shared" si="56"/>
        <v>169.125</v>
      </c>
      <c r="I19" s="3">
        <f t="shared" ref="I19:I20" si="60">8650/50000*F19*6</f>
        <v>68.507999999999996</v>
      </c>
      <c r="J19" s="3">
        <f t="shared" si="3"/>
        <v>3.2876712328767126</v>
      </c>
      <c r="K19" s="3">
        <f t="shared" ref="K19:K20" si="61">155*8/5000*F19</f>
        <v>16.367999999999999</v>
      </c>
      <c r="L19" s="3">
        <f t="shared" si="48"/>
        <v>1.5840000000000001</v>
      </c>
      <c r="M19" s="3">
        <f t="shared" si="49"/>
        <v>1.254</v>
      </c>
      <c r="N19" s="3">
        <f t="shared" ref="N19:N20" si="62">350/10000*F19</f>
        <v>2.31</v>
      </c>
      <c r="O19" s="3">
        <f t="shared" si="8"/>
        <v>102.56410256410255</v>
      </c>
      <c r="P19" s="3">
        <f t="shared" ref="P19:P20" si="63">SUM(G19:O19)</f>
        <v>483.7222349841939</v>
      </c>
    </row>
    <row r="20" spans="1:16" ht="242.25" customHeight="1" x14ac:dyDescent="0.5">
      <c r="A20" s="12" t="s">
        <v>16</v>
      </c>
      <c r="B20" s="12">
        <v>3495</v>
      </c>
      <c r="C20" s="6" t="s">
        <v>39</v>
      </c>
      <c r="D20" s="6">
        <v>294960</v>
      </c>
      <c r="E20" s="6">
        <v>295002</v>
      </c>
      <c r="F20" s="9">
        <f t="shared" si="10"/>
        <v>42</v>
      </c>
      <c r="G20" s="3">
        <f t="shared" si="0"/>
        <v>118.72146118721462</v>
      </c>
      <c r="H20" s="3">
        <f t="shared" si="56"/>
        <v>107.625</v>
      </c>
      <c r="I20" s="3">
        <f t="shared" si="60"/>
        <v>43.595999999999997</v>
      </c>
      <c r="J20" s="3">
        <f t="shared" si="3"/>
        <v>3.2876712328767126</v>
      </c>
      <c r="K20" s="3">
        <f t="shared" si="61"/>
        <v>10.416</v>
      </c>
      <c r="L20" s="3">
        <f t="shared" si="48"/>
        <v>1.008</v>
      </c>
      <c r="M20" s="3">
        <f t="shared" si="49"/>
        <v>0.79799999999999993</v>
      </c>
      <c r="N20" s="3">
        <f t="shared" si="62"/>
        <v>1.4700000000000002</v>
      </c>
      <c r="O20" s="3">
        <f t="shared" si="8"/>
        <v>102.56410256410255</v>
      </c>
      <c r="P20" s="3">
        <f t="shared" si="63"/>
        <v>389.48623498419391</v>
      </c>
    </row>
    <row r="21" spans="1:16" ht="242.25" customHeight="1" x14ac:dyDescent="0.5">
      <c r="A21" s="12" t="s">
        <v>17</v>
      </c>
      <c r="B21" s="12">
        <v>2474</v>
      </c>
      <c r="C21" s="6" t="s">
        <v>31</v>
      </c>
      <c r="D21" s="6">
        <v>41961</v>
      </c>
      <c r="E21" s="6">
        <v>41990</v>
      </c>
      <c r="F21" s="9">
        <f t="shared" si="10"/>
        <v>29</v>
      </c>
      <c r="G21" s="3">
        <f t="shared" si="18"/>
        <v>91.324200913242009</v>
      </c>
      <c r="H21" s="3">
        <f t="shared" si="56"/>
        <v>74.3125</v>
      </c>
      <c r="I21" s="3">
        <f t="shared" ref="I21" si="64">5500/50000*F21*3</f>
        <v>9.57</v>
      </c>
      <c r="J21" s="3">
        <f t="shared" si="21"/>
        <v>3.2876712328767126</v>
      </c>
      <c r="K21" s="3">
        <f t="shared" ref="K21" si="65">155*5.5/5000*F21</f>
        <v>4.9445000000000006</v>
      </c>
      <c r="L21" s="3">
        <f t="shared" si="48"/>
        <v>0.69600000000000006</v>
      </c>
      <c r="M21" s="3">
        <f t="shared" si="49"/>
        <v>0.55099999999999993</v>
      </c>
      <c r="N21" s="3">
        <f t="shared" ref="N21" si="66">220/10000*F21</f>
        <v>0.63800000000000001</v>
      </c>
      <c r="O21" s="3">
        <f t="shared" si="26"/>
        <v>102.56410256410255</v>
      </c>
      <c r="P21" s="3">
        <f t="shared" ref="P21" si="67">SUM(G21:O21)</f>
        <v>287.88797471022127</v>
      </c>
    </row>
    <row r="22" spans="1:16" ht="242.25" customHeight="1" x14ac:dyDescent="0.5">
      <c r="A22" s="12" t="s">
        <v>16</v>
      </c>
      <c r="B22" s="12">
        <v>6142</v>
      </c>
      <c r="C22" s="6" t="s">
        <v>56</v>
      </c>
      <c r="D22" s="6">
        <v>6456</v>
      </c>
      <c r="E22" s="6">
        <v>6479</v>
      </c>
      <c r="F22" s="9">
        <f t="shared" si="10"/>
        <v>23</v>
      </c>
      <c r="G22" s="3">
        <f t="shared" si="0"/>
        <v>118.72146118721462</v>
      </c>
      <c r="H22" s="3">
        <f t="shared" si="56"/>
        <v>58.9375</v>
      </c>
      <c r="I22" s="3">
        <f t="shared" ref="I22" si="68">8650/50000*F22*6</f>
        <v>23.873999999999999</v>
      </c>
      <c r="J22" s="3">
        <f t="shared" si="3"/>
        <v>3.2876712328767126</v>
      </c>
      <c r="K22" s="3">
        <f t="shared" ref="K22" si="69">155*8/5000*F22</f>
        <v>5.7039999999999997</v>
      </c>
      <c r="L22" s="3">
        <f t="shared" si="48"/>
        <v>0.55200000000000005</v>
      </c>
      <c r="M22" s="3">
        <f t="shared" si="49"/>
        <v>0.437</v>
      </c>
      <c r="N22" s="3">
        <f t="shared" ref="N22" si="70">350/10000*F22</f>
        <v>0.80500000000000005</v>
      </c>
      <c r="O22" s="3">
        <f t="shared" si="8"/>
        <v>102.56410256410255</v>
      </c>
      <c r="P22" s="3">
        <f t="shared" ref="P22" si="71">SUM(G22:O22)</f>
        <v>314.88273498419392</v>
      </c>
    </row>
    <row r="23" spans="1:16" ht="242.25" customHeight="1" x14ac:dyDescent="0.5">
      <c r="A23" s="12" t="s">
        <v>17</v>
      </c>
      <c r="B23" s="12">
        <v>796</v>
      </c>
      <c r="C23" s="6" t="s">
        <v>41</v>
      </c>
      <c r="D23" s="6">
        <v>607971</v>
      </c>
      <c r="E23" s="6">
        <v>607996</v>
      </c>
      <c r="F23" s="9">
        <f t="shared" si="10"/>
        <v>25</v>
      </c>
      <c r="G23" s="3">
        <f t="shared" si="18"/>
        <v>91.324200913242009</v>
      </c>
      <c r="H23" s="3">
        <f t="shared" ref="H21:H26" si="72">F23/8*20.5</f>
        <v>64.0625</v>
      </c>
      <c r="I23" s="3">
        <f t="shared" ref="I23:I26" si="73">5500/50000*F23*3</f>
        <v>8.25</v>
      </c>
      <c r="J23" s="3">
        <f t="shared" si="21"/>
        <v>3.2876712328767126</v>
      </c>
      <c r="K23" s="3">
        <f t="shared" ref="K23:K26" si="74">155*5.5/5000*F23</f>
        <v>4.2625000000000002</v>
      </c>
      <c r="L23" s="3">
        <f t="shared" si="48"/>
        <v>0.6</v>
      </c>
      <c r="M23" s="3">
        <f t="shared" si="49"/>
        <v>0.47499999999999998</v>
      </c>
      <c r="N23" s="3">
        <f t="shared" ref="N23:N26" si="75">220/10000*F23</f>
        <v>0.54999999999999993</v>
      </c>
      <c r="O23" s="3">
        <f t="shared" si="26"/>
        <v>102.56410256410255</v>
      </c>
      <c r="P23" s="3">
        <f t="shared" ref="P23:P26" si="76">SUM(G23:O23)</f>
        <v>275.37597471022127</v>
      </c>
    </row>
    <row r="24" spans="1:16" ht="242.25" customHeight="1" x14ac:dyDescent="0.5">
      <c r="A24" s="12" t="s">
        <v>17</v>
      </c>
      <c r="B24" s="12">
        <v>3783</v>
      </c>
      <c r="C24" s="6" t="s">
        <v>57</v>
      </c>
      <c r="D24" s="6">
        <v>33820</v>
      </c>
      <c r="E24" s="6">
        <v>33874</v>
      </c>
      <c r="F24" s="9">
        <f t="shared" si="10"/>
        <v>54</v>
      </c>
      <c r="G24" s="3">
        <f t="shared" si="18"/>
        <v>91.324200913242009</v>
      </c>
      <c r="H24" s="3">
        <f t="shared" si="72"/>
        <v>138.375</v>
      </c>
      <c r="I24" s="3">
        <f t="shared" si="73"/>
        <v>17.82</v>
      </c>
      <c r="J24" s="3">
        <f t="shared" si="21"/>
        <v>3.2876712328767126</v>
      </c>
      <c r="K24" s="3">
        <f t="shared" si="74"/>
        <v>9.2070000000000007</v>
      </c>
      <c r="L24" s="3">
        <f t="shared" si="48"/>
        <v>1.296</v>
      </c>
      <c r="M24" s="3">
        <f t="shared" si="49"/>
        <v>1.026</v>
      </c>
      <c r="N24" s="3">
        <f t="shared" si="75"/>
        <v>1.1879999999999999</v>
      </c>
      <c r="O24" s="3">
        <f t="shared" si="26"/>
        <v>102.56410256410255</v>
      </c>
      <c r="P24" s="3">
        <f t="shared" si="76"/>
        <v>366.08797471022126</v>
      </c>
    </row>
    <row r="25" spans="1:16" s="2" customFormat="1" ht="242.25" customHeight="1" x14ac:dyDescent="0.5">
      <c r="A25" s="12" t="s">
        <v>17</v>
      </c>
      <c r="B25" s="12">
        <v>3787</v>
      </c>
      <c r="C25" s="6" t="s">
        <v>58</v>
      </c>
      <c r="D25" s="6">
        <v>36040</v>
      </c>
      <c r="E25" s="6">
        <v>36062</v>
      </c>
      <c r="F25" s="9">
        <f t="shared" si="10"/>
        <v>22</v>
      </c>
      <c r="G25" s="3">
        <f t="shared" si="18"/>
        <v>91.324200913242009</v>
      </c>
      <c r="H25" s="3">
        <f t="shared" si="72"/>
        <v>56.375</v>
      </c>
      <c r="I25" s="3">
        <f t="shared" si="73"/>
        <v>7.26</v>
      </c>
      <c r="J25" s="3">
        <f t="shared" si="21"/>
        <v>3.2876712328767126</v>
      </c>
      <c r="K25" s="3">
        <f t="shared" si="74"/>
        <v>3.7510000000000003</v>
      </c>
      <c r="L25" s="3">
        <f t="shared" si="48"/>
        <v>0.52800000000000002</v>
      </c>
      <c r="M25" s="3">
        <f t="shared" si="49"/>
        <v>0.41799999999999998</v>
      </c>
      <c r="N25" s="3">
        <f t="shared" si="75"/>
        <v>0.48399999999999999</v>
      </c>
      <c r="O25" s="3">
        <f t="shared" si="26"/>
        <v>102.56410256410255</v>
      </c>
      <c r="P25" s="3">
        <f t="shared" si="76"/>
        <v>265.99197471022126</v>
      </c>
    </row>
    <row r="26" spans="1:16" ht="242.25" customHeight="1" x14ac:dyDescent="0.5">
      <c r="A26" s="12" t="s">
        <v>17</v>
      </c>
      <c r="B26" s="12">
        <v>634</v>
      </c>
      <c r="C26" s="6" t="s">
        <v>33</v>
      </c>
      <c r="D26" s="6">
        <v>450357</v>
      </c>
      <c r="E26" s="6">
        <v>450382</v>
      </c>
      <c r="F26" s="9">
        <f t="shared" si="10"/>
        <v>25</v>
      </c>
      <c r="G26" s="3">
        <f t="shared" si="18"/>
        <v>91.324200913242009</v>
      </c>
      <c r="H26" s="3">
        <f t="shared" si="72"/>
        <v>64.0625</v>
      </c>
      <c r="I26" s="3">
        <f t="shared" si="73"/>
        <v>8.25</v>
      </c>
      <c r="J26" s="3">
        <f t="shared" si="21"/>
        <v>3.2876712328767126</v>
      </c>
      <c r="K26" s="3">
        <f t="shared" si="74"/>
        <v>4.2625000000000002</v>
      </c>
      <c r="L26" s="3">
        <f t="shared" si="48"/>
        <v>0.6</v>
      </c>
      <c r="M26" s="3">
        <f t="shared" si="49"/>
        <v>0.47499999999999998</v>
      </c>
      <c r="N26" s="3">
        <f t="shared" si="75"/>
        <v>0.54999999999999993</v>
      </c>
      <c r="O26" s="3">
        <f t="shared" si="26"/>
        <v>102.56410256410255</v>
      </c>
      <c r="P26" s="3">
        <f t="shared" si="76"/>
        <v>275.37597471022127</v>
      </c>
    </row>
    <row r="27" spans="1:16" ht="242.25" customHeight="1" x14ac:dyDescent="0.5">
      <c r="A27" s="12" t="s">
        <v>23</v>
      </c>
      <c r="B27" s="12">
        <v>675</v>
      </c>
      <c r="C27" s="6" t="s">
        <v>18</v>
      </c>
      <c r="D27" s="6">
        <v>289354</v>
      </c>
      <c r="E27" s="6">
        <v>289365</v>
      </c>
      <c r="F27" s="9">
        <f t="shared" si="10"/>
        <v>11</v>
      </c>
      <c r="G27" s="3">
        <f t="shared" ref="G27" si="77">1300000/10/365/3</f>
        <v>118.72146118721462</v>
      </c>
      <c r="H27" s="3">
        <f t="shared" ref="H24:H43" si="78">F27/8*20.5</f>
        <v>28.1875</v>
      </c>
      <c r="I27" s="3">
        <f t="shared" ref="I27" si="79">8650/50000*F27*6</f>
        <v>11.417999999999999</v>
      </c>
      <c r="J27" s="3">
        <f>3600/365/3</f>
        <v>3.2876712328767126</v>
      </c>
      <c r="K27" s="3">
        <f>155*9/5000*F27</f>
        <v>3.0690000000000004</v>
      </c>
      <c r="L27" s="3">
        <f t="shared" ref="L24:L43" si="80">120/5000*F27</f>
        <v>0.26400000000000001</v>
      </c>
      <c r="M27" s="3">
        <f t="shared" ref="M24:M43" si="81">95/5000*F27</f>
        <v>0.20899999999999999</v>
      </c>
      <c r="N27" s="3">
        <f t="shared" ref="N27" si="82">350/10000*F27</f>
        <v>0.38500000000000001</v>
      </c>
      <c r="O27" s="3">
        <f t="shared" si="26"/>
        <v>102.56410256410255</v>
      </c>
      <c r="P27" s="3">
        <f t="shared" ref="P27" si="83">SUM(G27:O27)</f>
        <v>268.10573498419387</v>
      </c>
    </row>
    <row r="28" spans="1:16" ht="242.25" customHeight="1" x14ac:dyDescent="0.5">
      <c r="A28" s="12" t="s">
        <v>17</v>
      </c>
      <c r="B28" s="12">
        <v>745</v>
      </c>
      <c r="C28" s="6" t="s">
        <v>20</v>
      </c>
      <c r="D28" s="6">
        <v>603887</v>
      </c>
      <c r="E28" s="6">
        <v>603891</v>
      </c>
      <c r="F28" s="9">
        <f t="shared" si="10"/>
        <v>4</v>
      </c>
      <c r="G28" s="3">
        <f t="shared" si="18"/>
        <v>91.324200913242009</v>
      </c>
      <c r="H28" s="3">
        <f t="shared" si="78"/>
        <v>10.25</v>
      </c>
      <c r="I28" s="3">
        <f t="shared" ref="I28:I30" si="84">5500/50000*F28*3</f>
        <v>1.32</v>
      </c>
      <c r="J28" s="3">
        <f t="shared" si="21"/>
        <v>3.2876712328767126</v>
      </c>
      <c r="K28" s="3">
        <f t="shared" ref="K28:K30" si="85">155*5.5/5000*F28</f>
        <v>0.68200000000000005</v>
      </c>
      <c r="L28" s="3">
        <f t="shared" si="80"/>
        <v>9.6000000000000002E-2</v>
      </c>
      <c r="M28" s="3">
        <f t="shared" si="81"/>
        <v>7.5999999999999998E-2</v>
      </c>
      <c r="N28" s="3">
        <f t="shared" ref="N28:N30" si="86">220/10000*F28</f>
        <v>8.7999999999999995E-2</v>
      </c>
      <c r="O28" s="3">
        <f t="shared" si="26"/>
        <v>102.56410256410255</v>
      </c>
      <c r="P28" s="3">
        <f t="shared" ref="P28:P30" si="87">SUM(G28:O28)</f>
        <v>209.68797471022128</v>
      </c>
    </row>
    <row r="29" spans="1:16" ht="242.25" customHeight="1" x14ac:dyDescent="0.5">
      <c r="A29" s="12" t="s">
        <v>17</v>
      </c>
      <c r="B29" s="12">
        <v>9198</v>
      </c>
      <c r="C29" s="6" t="s">
        <v>40</v>
      </c>
      <c r="D29" s="6">
        <v>615766</v>
      </c>
      <c r="E29" s="6">
        <v>615789</v>
      </c>
      <c r="F29" s="9">
        <f t="shared" si="10"/>
        <v>23</v>
      </c>
      <c r="G29" s="3">
        <f t="shared" si="18"/>
        <v>91.324200913242009</v>
      </c>
      <c r="H29" s="3">
        <f t="shared" si="78"/>
        <v>58.9375</v>
      </c>
      <c r="I29" s="3">
        <f t="shared" si="84"/>
        <v>7.59</v>
      </c>
      <c r="J29" s="3">
        <f t="shared" si="21"/>
        <v>3.2876712328767126</v>
      </c>
      <c r="K29" s="3">
        <f t="shared" si="85"/>
        <v>3.9215000000000004</v>
      </c>
      <c r="L29" s="3">
        <f t="shared" si="80"/>
        <v>0.55200000000000005</v>
      </c>
      <c r="M29" s="3">
        <f t="shared" si="81"/>
        <v>0.437</v>
      </c>
      <c r="N29" s="3">
        <f t="shared" si="86"/>
        <v>0.50600000000000001</v>
      </c>
      <c r="O29" s="3">
        <f t="shared" si="26"/>
        <v>102.56410256410255</v>
      </c>
      <c r="P29" s="3">
        <f t="shared" si="87"/>
        <v>269.1199747102213</v>
      </c>
    </row>
    <row r="30" spans="1:16" ht="242.25" customHeight="1" x14ac:dyDescent="0.5">
      <c r="A30" s="12" t="s">
        <v>17</v>
      </c>
      <c r="B30" s="12">
        <v>492</v>
      </c>
      <c r="C30" s="6" t="s">
        <v>19</v>
      </c>
      <c r="D30" s="6">
        <v>691889</v>
      </c>
      <c r="E30" s="6"/>
      <c r="F30" s="9">
        <f t="shared" si="10"/>
        <v>-691889</v>
      </c>
      <c r="G30" s="3">
        <f t="shared" si="18"/>
        <v>91.324200913242009</v>
      </c>
      <c r="H30" s="3">
        <f t="shared" si="78"/>
        <v>-1772965.5625</v>
      </c>
      <c r="I30" s="3">
        <f t="shared" si="84"/>
        <v>-228323.37</v>
      </c>
      <c r="J30" s="3">
        <f t="shared" si="21"/>
        <v>3.2876712328767126</v>
      </c>
      <c r="K30" s="3">
        <f t="shared" si="85"/>
        <v>-117967.0745</v>
      </c>
      <c r="L30" s="3">
        <f t="shared" si="80"/>
        <v>-16605.335999999999</v>
      </c>
      <c r="M30" s="3">
        <f t="shared" si="81"/>
        <v>-13145.891</v>
      </c>
      <c r="N30" s="3">
        <f t="shared" si="86"/>
        <v>-15221.557999999999</v>
      </c>
      <c r="O30" s="3">
        <f t="shared" si="26"/>
        <v>102.56410256410255</v>
      </c>
      <c r="P30" s="3">
        <f t="shared" si="87"/>
        <v>-2164031.61602529</v>
      </c>
    </row>
    <row r="31" spans="1:16" ht="242.25" customHeight="1" x14ac:dyDescent="0.5">
      <c r="A31" s="12" t="s">
        <v>25</v>
      </c>
      <c r="B31" s="12">
        <v>529</v>
      </c>
      <c r="C31" s="6" t="s">
        <v>19</v>
      </c>
      <c r="D31" s="6">
        <v>443741</v>
      </c>
      <c r="E31" s="6">
        <v>443799</v>
      </c>
      <c r="F31" s="9">
        <f t="shared" si="10"/>
        <v>58</v>
      </c>
      <c r="G31" s="3">
        <f t="shared" ref="G31:G33" si="88">1300000/10/365/3</f>
        <v>118.72146118721462</v>
      </c>
      <c r="H31" s="3">
        <f t="shared" si="78"/>
        <v>148.625</v>
      </c>
      <c r="I31" s="3">
        <f t="shared" ref="I31:I33" si="89">8650/50000*F31*6</f>
        <v>60.203999999999994</v>
      </c>
      <c r="J31" s="3">
        <f t="shared" si="21"/>
        <v>3.2876712328767126</v>
      </c>
      <c r="K31" s="3">
        <f t="shared" ref="K31:K33" si="90">155*8/5000*F31</f>
        <v>14.384</v>
      </c>
      <c r="L31" s="3">
        <f t="shared" si="80"/>
        <v>1.3920000000000001</v>
      </c>
      <c r="M31" s="3">
        <f t="shared" si="81"/>
        <v>1.1019999999999999</v>
      </c>
      <c r="N31" s="3">
        <f t="shared" ref="N31:N33" si="91">350/10000*F31</f>
        <v>2.0300000000000002</v>
      </c>
      <c r="O31" s="3">
        <f t="shared" si="26"/>
        <v>102.56410256410255</v>
      </c>
      <c r="P31" s="3">
        <f t="shared" ref="P31:P33" si="92">SUM(G31:O31)</f>
        <v>452.31023498419387</v>
      </c>
    </row>
    <row r="32" spans="1:16" ht="242.25" customHeight="1" x14ac:dyDescent="0.5">
      <c r="A32" s="12" t="s">
        <v>16</v>
      </c>
      <c r="B32" s="12">
        <v>7435</v>
      </c>
      <c r="C32" s="6" t="s">
        <v>19</v>
      </c>
      <c r="D32" s="6">
        <v>350870</v>
      </c>
      <c r="E32" s="6">
        <v>350973</v>
      </c>
      <c r="F32" s="9">
        <f t="shared" si="10"/>
        <v>103</v>
      </c>
      <c r="G32" s="3">
        <f t="shared" si="88"/>
        <v>118.72146118721462</v>
      </c>
      <c r="H32" s="3">
        <f t="shared" si="78"/>
        <v>263.9375</v>
      </c>
      <c r="I32" s="3">
        <f t="shared" si="89"/>
        <v>106.91399999999999</v>
      </c>
      <c r="J32" s="3">
        <f t="shared" si="21"/>
        <v>3.2876712328767126</v>
      </c>
      <c r="K32" s="3">
        <f t="shared" si="90"/>
        <v>25.544</v>
      </c>
      <c r="L32" s="3">
        <f t="shared" si="80"/>
        <v>2.472</v>
      </c>
      <c r="M32" s="3">
        <f t="shared" si="81"/>
        <v>1.9569999999999999</v>
      </c>
      <c r="N32" s="3">
        <f t="shared" si="91"/>
        <v>3.6050000000000004</v>
      </c>
      <c r="O32" s="3">
        <f t="shared" si="26"/>
        <v>102.56410256410255</v>
      </c>
      <c r="P32" s="3">
        <f t="shared" si="92"/>
        <v>629.00273498419392</v>
      </c>
    </row>
    <row r="33" spans="1:16" ht="242.25" customHeight="1" x14ac:dyDescent="0.5">
      <c r="A33" s="12" t="s">
        <v>16</v>
      </c>
      <c r="B33" s="12">
        <v>5898</v>
      </c>
      <c r="C33" s="6" t="s">
        <v>59</v>
      </c>
      <c r="D33" s="6">
        <v>110988</v>
      </c>
      <c r="E33" s="6">
        <v>111035</v>
      </c>
      <c r="F33" s="9">
        <f t="shared" si="10"/>
        <v>47</v>
      </c>
      <c r="G33" s="3">
        <f t="shared" si="88"/>
        <v>118.72146118721462</v>
      </c>
      <c r="H33" s="3">
        <f t="shared" si="78"/>
        <v>120.4375</v>
      </c>
      <c r="I33" s="3">
        <f t="shared" si="89"/>
        <v>48.786000000000001</v>
      </c>
      <c r="J33" s="3">
        <f t="shared" si="21"/>
        <v>3.2876712328767126</v>
      </c>
      <c r="K33" s="3">
        <f t="shared" si="90"/>
        <v>11.656000000000001</v>
      </c>
      <c r="L33" s="3">
        <f t="shared" si="80"/>
        <v>1.1280000000000001</v>
      </c>
      <c r="M33" s="3">
        <f t="shared" si="81"/>
        <v>0.89300000000000002</v>
      </c>
      <c r="N33" s="3">
        <f t="shared" si="91"/>
        <v>1.6450000000000002</v>
      </c>
      <c r="O33" s="3">
        <f t="shared" si="26"/>
        <v>102.56410256410255</v>
      </c>
      <c r="P33" s="3">
        <f t="shared" si="92"/>
        <v>409.11873498419385</v>
      </c>
    </row>
    <row r="34" spans="1:16" ht="242.25" customHeight="1" x14ac:dyDescent="0.5">
      <c r="A34" s="12" t="s">
        <v>17</v>
      </c>
      <c r="B34" s="12">
        <v>4879</v>
      </c>
      <c r="C34" s="6" t="s">
        <v>60</v>
      </c>
      <c r="D34" s="6">
        <v>629172</v>
      </c>
      <c r="E34" s="6">
        <v>629199</v>
      </c>
      <c r="F34" s="9">
        <f t="shared" si="10"/>
        <v>27</v>
      </c>
      <c r="G34" s="3">
        <f t="shared" si="18"/>
        <v>91.324200913242009</v>
      </c>
      <c r="H34" s="3">
        <f t="shared" si="78"/>
        <v>69.1875</v>
      </c>
      <c r="I34" s="3">
        <f t="shared" ref="I32:I34" si="93">5500/50000*F34*3</f>
        <v>8.91</v>
      </c>
      <c r="J34" s="3">
        <f t="shared" si="21"/>
        <v>3.2876712328767126</v>
      </c>
      <c r="K34" s="3">
        <f t="shared" ref="K32:K34" si="94">155*5.5/5000*F34</f>
        <v>4.6035000000000004</v>
      </c>
      <c r="L34" s="3">
        <f t="shared" si="80"/>
        <v>0.64800000000000002</v>
      </c>
      <c r="M34" s="3">
        <f t="shared" si="81"/>
        <v>0.51300000000000001</v>
      </c>
      <c r="N34" s="3">
        <f t="shared" ref="N32:N34" si="95">220/10000*F34</f>
        <v>0.59399999999999997</v>
      </c>
      <c r="O34" s="3">
        <f t="shared" si="26"/>
        <v>102.56410256410255</v>
      </c>
      <c r="P34" s="3">
        <f t="shared" ref="P32:P34" si="96">SUM(G34:O34)</f>
        <v>281.63197471022124</v>
      </c>
    </row>
    <row r="35" spans="1:16" ht="242.25" customHeight="1" x14ac:dyDescent="0.5">
      <c r="A35" s="12" t="s">
        <v>43</v>
      </c>
      <c r="B35" s="12">
        <v>293</v>
      </c>
      <c r="C35" s="6" t="s">
        <v>61</v>
      </c>
      <c r="D35" s="6">
        <v>555425</v>
      </c>
      <c r="E35" s="6">
        <v>555478</v>
      </c>
      <c r="F35" s="9">
        <f t="shared" si="10"/>
        <v>53</v>
      </c>
      <c r="G35" s="3">
        <f t="shared" ref="G35:G37" si="97">1300000/10/365/3</f>
        <v>118.72146118721462</v>
      </c>
      <c r="H35" s="3">
        <f t="shared" si="78"/>
        <v>135.8125</v>
      </c>
      <c r="I35" s="3">
        <f t="shared" ref="I35:I37" si="98">8650/50000*F35*6</f>
        <v>55.013999999999996</v>
      </c>
      <c r="J35" s="3">
        <f>3600/365/3*2</f>
        <v>6.5753424657534252</v>
      </c>
      <c r="K35" s="3">
        <f>155*9.5/5000*F35</f>
        <v>15.608499999999999</v>
      </c>
      <c r="L35" s="3">
        <f t="shared" si="80"/>
        <v>1.272</v>
      </c>
      <c r="M35" s="3">
        <f t="shared" si="81"/>
        <v>1.0069999999999999</v>
      </c>
      <c r="N35" s="3">
        <f t="shared" ref="N35:N37" si="99">350/10000*F35</f>
        <v>1.8550000000000002</v>
      </c>
      <c r="O35" s="3">
        <f t="shared" ref="O35:O37" si="100">8000/26/3</f>
        <v>102.56410256410255</v>
      </c>
      <c r="P35" s="3">
        <f t="shared" ref="P35:P37" si="101">SUM(G35:O35)</f>
        <v>438.4299062170706</v>
      </c>
    </row>
    <row r="36" spans="1:16" ht="242.25" customHeight="1" x14ac:dyDescent="0.5">
      <c r="A36" s="12" t="s">
        <v>16</v>
      </c>
      <c r="B36" s="12">
        <v>1537</v>
      </c>
      <c r="C36" s="6" t="s">
        <v>62</v>
      </c>
      <c r="D36" s="6">
        <v>243094</v>
      </c>
      <c r="E36" s="6">
        <v>243163</v>
      </c>
      <c r="F36" s="9">
        <f t="shared" si="10"/>
        <v>69</v>
      </c>
      <c r="G36" s="3">
        <f t="shared" si="97"/>
        <v>118.72146118721462</v>
      </c>
      <c r="H36" s="3">
        <f t="shared" si="78"/>
        <v>176.8125</v>
      </c>
      <c r="I36" s="3">
        <f t="shared" si="98"/>
        <v>71.622</v>
      </c>
      <c r="J36" s="3">
        <f t="shared" ref="J36" si="102">3600/365/3</f>
        <v>3.2876712328767126</v>
      </c>
      <c r="K36" s="3">
        <f t="shared" ref="K36" si="103">155*8/5000*F36</f>
        <v>17.111999999999998</v>
      </c>
      <c r="L36" s="3">
        <f t="shared" si="80"/>
        <v>1.6560000000000001</v>
      </c>
      <c r="M36" s="3">
        <f t="shared" si="81"/>
        <v>1.3109999999999999</v>
      </c>
      <c r="N36" s="3">
        <f t="shared" si="99"/>
        <v>2.415</v>
      </c>
      <c r="O36" s="3">
        <f t="shared" si="100"/>
        <v>102.56410256410255</v>
      </c>
      <c r="P36" s="3">
        <f t="shared" ref="P36" si="104">SUM(G36:O36)</f>
        <v>495.50173498419394</v>
      </c>
    </row>
    <row r="37" spans="1:16" s="2" customFormat="1" ht="242.25" customHeight="1" x14ac:dyDescent="0.5">
      <c r="A37" s="12" t="s">
        <v>29</v>
      </c>
      <c r="B37" s="12">
        <v>317</v>
      </c>
      <c r="C37" s="6" t="s">
        <v>63</v>
      </c>
      <c r="D37" s="6">
        <v>290185</v>
      </c>
      <c r="E37" s="6">
        <v>290391</v>
      </c>
      <c r="F37" s="9">
        <f t="shared" si="10"/>
        <v>206</v>
      </c>
      <c r="G37" s="3">
        <f t="shared" ref="G37" si="105">750000/10/365/3</f>
        <v>68.493150684931507</v>
      </c>
      <c r="H37" s="3">
        <f t="shared" ref="H37" si="106">F37/8*22.25</f>
        <v>572.9375</v>
      </c>
      <c r="I37" s="3">
        <f t="shared" ref="I37" si="107">2500/50000*F37*3</f>
        <v>30.900000000000002</v>
      </c>
      <c r="J37" s="3">
        <f t="shared" ref="J37" si="108">2800/365/3</f>
        <v>2.5570776255707761</v>
      </c>
      <c r="K37" s="3">
        <f t="shared" ref="K37" si="109">155*4/5000*F37</f>
        <v>25.544</v>
      </c>
      <c r="L37" s="3">
        <f t="shared" si="80"/>
        <v>4.944</v>
      </c>
      <c r="M37" s="3">
        <f t="shared" si="81"/>
        <v>3.9139999999999997</v>
      </c>
      <c r="N37" s="3">
        <f t="shared" ref="N37:N38" si="110">220/10000*F37</f>
        <v>4.532</v>
      </c>
      <c r="O37" s="3">
        <f t="shared" si="26"/>
        <v>102.56410256410255</v>
      </c>
      <c r="P37" s="3">
        <f t="shared" ref="P37" si="111">SUM(G37:O37)</f>
        <v>816.38583087460472</v>
      </c>
    </row>
    <row r="38" spans="1:16" ht="242.25" customHeight="1" x14ac:dyDescent="0.5">
      <c r="A38" s="12" t="s">
        <v>46</v>
      </c>
      <c r="B38" s="12">
        <v>6152</v>
      </c>
      <c r="C38" s="6" t="s">
        <v>64</v>
      </c>
      <c r="D38" s="6">
        <v>153285</v>
      </c>
      <c r="E38" s="6">
        <v>153371</v>
      </c>
      <c r="F38" s="9">
        <f t="shared" si="10"/>
        <v>86</v>
      </c>
      <c r="G38" s="3">
        <f t="shared" si="18"/>
        <v>91.324200913242009</v>
      </c>
      <c r="H38" s="3">
        <f t="shared" ref="H38:H40" si="112">F38/8*20.5</f>
        <v>220.375</v>
      </c>
      <c r="I38" s="3">
        <f t="shared" ref="I38" si="113">5500/50000*F38*3</f>
        <v>28.380000000000003</v>
      </c>
      <c r="J38" s="3">
        <f t="shared" si="21"/>
        <v>3.2876712328767126</v>
      </c>
      <c r="K38" s="3">
        <f t="shared" ref="K38" si="114">155*5.5/5000*F38</f>
        <v>14.663</v>
      </c>
      <c r="L38" s="3">
        <f t="shared" si="80"/>
        <v>2.0640000000000001</v>
      </c>
      <c r="M38" s="3">
        <f t="shared" si="81"/>
        <v>1.6339999999999999</v>
      </c>
      <c r="N38" s="3">
        <f t="shared" si="110"/>
        <v>1.8919999999999999</v>
      </c>
      <c r="O38" s="3">
        <f t="shared" si="26"/>
        <v>102.56410256410255</v>
      </c>
      <c r="P38" s="3">
        <f t="shared" ref="P38" si="115">SUM(G38:O38)</f>
        <v>466.18397471022132</v>
      </c>
    </row>
    <row r="39" spans="1:16" ht="242.25" customHeight="1" x14ac:dyDescent="0.5">
      <c r="A39" s="12" t="s">
        <v>16</v>
      </c>
      <c r="B39" s="12">
        <v>4987</v>
      </c>
      <c r="C39" s="6" t="s">
        <v>65</v>
      </c>
      <c r="D39" s="6">
        <v>335852</v>
      </c>
      <c r="E39" s="6">
        <v>335883</v>
      </c>
      <c r="F39" s="9">
        <f t="shared" si="10"/>
        <v>31</v>
      </c>
      <c r="G39" s="3">
        <f t="shared" ref="G39:G40" si="116">1300000/10/365/3</f>
        <v>118.72146118721462</v>
      </c>
      <c r="H39" s="3">
        <f t="shared" si="112"/>
        <v>79.4375</v>
      </c>
      <c r="I39" s="3">
        <f t="shared" ref="I39:I40" si="117">8650/50000*F39*6</f>
        <v>32.177999999999997</v>
      </c>
      <c r="J39" s="3">
        <f t="shared" si="21"/>
        <v>3.2876712328767126</v>
      </c>
      <c r="K39" s="3">
        <f t="shared" ref="K39:K40" si="118">155*8/5000*F39</f>
        <v>7.6879999999999997</v>
      </c>
      <c r="L39" s="3">
        <f t="shared" si="80"/>
        <v>0.74399999999999999</v>
      </c>
      <c r="M39" s="3">
        <f t="shared" si="81"/>
        <v>0.58899999999999997</v>
      </c>
      <c r="N39" s="3">
        <f t="shared" ref="N39:N40" si="119">350/10000*F39</f>
        <v>1.0850000000000002</v>
      </c>
      <c r="O39" s="3">
        <f t="shared" si="26"/>
        <v>102.56410256410255</v>
      </c>
      <c r="P39" s="3">
        <f t="shared" ref="P39:P40" si="120">SUM(G39:O39)</f>
        <v>346.29473498419389</v>
      </c>
    </row>
    <row r="40" spans="1:16" s="2" customFormat="1" ht="242.25" customHeight="1" x14ac:dyDescent="0.5">
      <c r="A40" s="12" t="s">
        <v>16</v>
      </c>
      <c r="B40" s="12">
        <v>6143</v>
      </c>
      <c r="C40" s="6" t="s">
        <v>66</v>
      </c>
      <c r="D40" s="6">
        <v>6516</v>
      </c>
      <c r="E40" s="6">
        <v>6536</v>
      </c>
      <c r="F40" s="9">
        <f t="shared" si="10"/>
        <v>20</v>
      </c>
      <c r="G40" s="3">
        <f t="shared" si="116"/>
        <v>118.72146118721462</v>
      </c>
      <c r="H40" s="3">
        <f t="shared" si="112"/>
        <v>51.25</v>
      </c>
      <c r="I40" s="3">
        <f t="shared" si="117"/>
        <v>20.759999999999998</v>
      </c>
      <c r="J40" s="3">
        <f t="shared" si="21"/>
        <v>3.2876712328767126</v>
      </c>
      <c r="K40" s="3">
        <f t="shared" si="118"/>
        <v>4.96</v>
      </c>
      <c r="L40" s="3">
        <f t="shared" si="80"/>
        <v>0.48</v>
      </c>
      <c r="M40" s="3">
        <f t="shared" si="81"/>
        <v>0.38</v>
      </c>
      <c r="N40" s="3">
        <f t="shared" si="119"/>
        <v>0.70000000000000007</v>
      </c>
      <c r="O40" s="3">
        <f t="shared" si="26"/>
        <v>102.56410256410255</v>
      </c>
      <c r="P40" s="3">
        <f t="shared" si="120"/>
        <v>303.10323498419388</v>
      </c>
    </row>
    <row r="41" spans="1:16" ht="242.25" customHeight="1" x14ac:dyDescent="0.5">
      <c r="A41" s="12" t="s">
        <v>17</v>
      </c>
      <c r="B41" s="12">
        <v>459</v>
      </c>
      <c r="C41" s="6" t="s">
        <v>67</v>
      </c>
      <c r="D41" s="6">
        <v>197311</v>
      </c>
      <c r="E41" s="6" t="s">
        <v>99</v>
      </c>
      <c r="F41" s="9" t="e">
        <f t="shared" si="10"/>
        <v>#VALUE!</v>
      </c>
      <c r="G41" s="3">
        <f t="shared" si="18"/>
        <v>91.324200913242009</v>
      </c>
      <c r="H41" s="3" t="e">
        <f t="shared" si="78"/>
        <v>#VALUE!</v>
      </c>
      <c r="I41" s="3" t="e">
        <f t="shared" ref="I41:I43" si="121">5500/50000*F41*3</f>
        <v>#VALUE!</v>
      </c>
      <c r="J41" s="3">
        <f t="shared" si="21"/>
        <v>3.2876712328767126</v>
      </c>
      <c r="K41" s="3" t="e">
        <f t="shared" ref="K41:K43" si="122">155*5.5/5000*F41</f>
        <v>#VALUE!</v>
      </c>
      <c r="L41" s="3" t="e">
        <f t="shared" si="80"/>
        <v>#VALUE!</v>
      </c>
      <c r="M41" s="3" t="e">
        <f t="shared" si="81"/>
        <v>#VALUE!</v>
      </c>
      <c r="N41" s="3" t="e">
        <f t="shared" ref="N41:N43" si="123">220/10000*F41</f>
        <v>#VALUE!</v>
      </c>
      <c r="O41" s="3">
        <f t="shared" si="26"/>
        <v>102.56410256410255</v>
      </c>
      <c r="P41" s="3" t="e">
        <f t="shared" ref="P41:P43" si="124">SUM(G41:O41)</f>
        <v>#VALUE!</v>
      </c>
    </row>
    <row r="42" spans="1:16" ht="242.25" customHeight="1" x14ac:dyDescent="0.5">
      <c r="A42" s="12" t="s">
        <v>46</v>
      </c>
      <c r="B42" s="12">
        <v>174</v>
      </c>
      <c r="C42" s="6" t="s">
        <v>68</v>
      </c>
      <c r="D42" s="6">
        <v>366859</v>
      </c>
      <c r="E42" s="6">
        <v>367006</v>
      </c>
      <c r="F42" s="9">
        <f t="shared" si="10"/>
        <v>147</v>
      </c>
      <c r="G42" s="3">
        <f t="shared" si="18"/>
        <v>91.324200913242009</v>
      </c>
      <c r="H42" s="3">
        <f t="shared" si="78"/>
        <v>376.6875</v>
      </c>
      <c r="I42" s="3">
        <f t="shared" si="121"/>
        <v>48.510000000000005</v>
      </c>
      <c r="J42" s="3">
        <f t="shared" si="21"/>
        <v>3.2876712328767126</v>
      </c>
      <c r="K42" s="3">
        <f t="shared" si="122"/>
        <v>25.063500000000001</v>
      </c>
      <c r="L42" s="3">
        <f t="shared" si="80"/>
        <v>3.528</v>
      </c>
      <c r="M42" s="3">
        <f t="shared" si="81"/>
        <v>2.7930000000000001</v>
      </c>
      <c r="N42" s="3">
        <f t="shared" si="123"/>
        <v>3.234</v>
      </c>
      <c r="O42" s="3">
        <f t="shared" si="26"/>
        <v>102.56410256410255</v>
      </c>
      <c r="P42" s="3">
        <f t="shared" si="124"/>
        <v>656.99197471022137</v>
      </c>
    </row>
    <row r="43" spans="1:16" ht="242.25" customHeight="1" x14ac:dyDescent="0.5">
      <c r="A43" s="12" t="s">
        <v>17</v>
      </c>
      <c r="B43" s="12">
        <v>762</v>
      </c>
      <c r="C43" s="6" t="s">
        <v>19</v>
      </c>
      <c r="D43" s="6">
        <v>850883</v>
      </c>
      <c r="E43" s="6">
        <v>851025</v>
      </c>
      <c r="F43" s="9">
        <f t="shared" si="10"/>
        <v>142</v>
      </c>
      <c r="G43" s="3">
        <f t="shared" si="18"/>
        <v>91.324200913242009</v>
      </c>
      <c r="H43" s="3">
        <f t="shared" si="78"/>
        <v>363.875</v>
      </c>
      <c r="I43" s="3">
        <f t="shared" si="121"/>
        <v>46.86</v>
      </c>
      <c r="J43" s="3">
        <f t="shared" si="21"/>
        <v>3.2876712328767126</v>
      </c>
      <c r="K43" s="3">
        <f t="shared" si="122"/>
        <v>24.211000000000002</v>
      </c>
      <c r="L43" s="3">
        <f t="shared" si="80"/>
        <v>3.4079999999999999</v>
      </c>
      <c r="M43" s="3">
        <f t="shared" si="81"/>
        <v>2.698</v>
      </c>
      <c r="N43" s="3">
        <f t="shared" si="123"/>
        <v>3.1239999999999997</v>
      </c>
      <c r="O43" s="3">
        <f t="shared" si="26"/>
        <v>102.56410256410255</v>
      </c>
      <c r="P43" s="3">
        <f t="shared" si="124"/>
        <v>641.35197471022127</v>
      </c>
    </row>
    <row r="44" spans="1:16" ht="242.25" customHeight="1" x14ac:dyDescent="0.5">
      <c r="A44" s="12" t="s">
        <v>29</v>
      </c>
      <c r="B44" s="12">
        <v>154</v>
      </c>
      <c r="C44" s="6" t="s">
        <v>69</v>
      </c>
      <c r="D44" s="6">
        <v>336027</v>
      </c>
      <c r="E44" s="6">
        <v>336134</v>
      </c>
      <c r="F44" s="9">
        <f t="shared" si="10"/>
        <v>107</v>
      </c>
      <c r="G44" s="3">
        <f t="shared" ref="G44" si="125">750000/10/365/3</f>
        <v>68.493150684931507</v>
      </c>
      <c r="H44" s="3">
        <f t="shared" ref="H44" si="126">F44/8*22.25</f>
        <v>297.59375</v>
      </c>
      <c r="I44" s="3">
        <f t="shared" ref="I44" si="127">2500/50000*F44*3</f>
        <v>16.05</v>
      </c>
      <c r="J44" s="3">
        <f t="shared" ref="J44" si="128">2800/365/3</f>
        <v>2.5570776255707761</v>
      </c>
      <c r="K44" s="3">
        <f t="shared" ref="K44" si="129">155*4/5000*F44</f>
        <v>13.268000000000001</v>
      </c>
      <c r="L44" s="3">
        <f t="shared" ref="L41:L54" si="130">120/5000*F44</f>
        <v>2.5680000000000001</v>
      </c>
      <c r="M44" s="3">
        <f t="shared" ref="M41:M54" si="131">95/5000*F44</f>
        <v>2.0329999999999999</v>
      </c>
      <c r="N44" s="3">
        <f t="shared" ref="N43:N44" si="132">220/10000*F44</f>
        <v>2.3539999999999996</v>
      </c>
      <c r="O44" s="3">
        <f t="shared" si="26"/>
        <v>102.56410256410255</v>
      </c>
      <c r="P44" s="3">
        <f t="shared" ref="P44:P45" si="133">SUM(G44:O44)</f>
        <v>507.48108087460486</v>
      </c>
    </row>
    <row r="45" spans="1:16" ht="242.25" customHeight="1" x14ac:dyDescent="0.5">
      <c r="A45" s="12" t="s">
        <v>16</v>
      </c>
      <c r="B45" s="12">
        <v>2694</v>
      </c>
      <c r="C45" s="6" t="s">
        <v>70</v>
      </c>
      <c r="D45" s="6">
        <v>300024</v>
      </c>
      <c r="E45" s="6">
        <v>300049</v>
      </c>
      <c r="F45" s="9">
        <f t="shared" si="10"/>
        <v>25</v>
      </c>
      <c r="G45" s="3">
        <f t="shared" ref="G45" si="134">1300000/10/365/3</f>
        <v>118.72146118721462</v>
      </c>
      <c r="H45" s="3">
        <f t="shared" ref="H45" si="135">F45/8*20.5</f>
        <v>64.0625</v>
      </c>
      <c r="I45" s="3">
        <f t="shared" ref="I45" si="136">8650/50000*F45*6</f>
        <v>25.949999999999996</v>
      </c>
      <c r="J45" s="3">
        <f t="shared" ref="J45" si="137">3600/365/3</f>
        <v>3.2876712328767126</v>
      </c>
      <c r="K45" s="3">
        <f t="shared" ref="K45" si="138">155*8/5000*F45</f>
        <v>6.2</v>
      </c>
      <c r="L45" s="3">
        <f t="shared" si="130"/>
        <v>0.6</v>
      </c>
      <c r="M45" s="3">
        <f t="shared" si="131"/>
        <v>0.47499999999999998</v>
      </c>
      <c r="N45" s="3">
        <f t="shared" ref="N45" si="139">350/10000*F45</f>
        <v>0.87500000000000011</v>
      </c>
      <c r="O45" s="3">
        <f t="shared" si="26"/>
        <v>102.56410256410255</v>
      </c>
      <c r="P45" s="3">
        <f t="shared" si="133"/>
        <v>322.73573498419387</v>
      </c>
    </row>
    <row r="46" spans="1:16" ht="242.25" customHeight="1" x14ac:dyDescent="0.5">
      <c r="A46" s="12" t="s">
        <v>17</v>
      </c>
      <c r="B46" s="12">
        <v>634</v>
      </c>
      <c r="C46" s="6" t="s">
        <v>71</v>
      </c>
      <c r="D46" s="6">
        <v>450382</v>
      </c>
      <c r="E46" s="6">
        <v>450405</v>
      </c>
      <c r="F46" s="9">
        <f t="shared" si="10"/>
        <v>23</v>
      </c>
      <c r="G46" s="3">
        <f t="shared" si="18"/>
        <v>91.324200913242009</v>
      </c>
      <c r="H46" s="3">
        <f t="shared" ref="H46:H48" si="140">F46/8*20.5</f>
        <v>58.9375</v>
      </c>
      <c r="I46" s="3">
        <f t="shared" ref="I46" si="141">5500/50000*F46*3</f>
        <v>7.59</v>
      </c>
      <c r="J46" s="3">
        <f t="shared" si="21"/>
        <v>3.2876712328767126</v>
      </c>
      <c r="K46" s="3">
        <f t="shared" ref="K46" si="142">155*5.5/5000*F46</f>
        <v>3.9215000000000004</v>
      </c>
      <c r="L46" s="3">
        <f t="shared" si="130"/>
        <v>0.55200000000000005</v>
      </c>
      <c r="M46" s="3">
        <f t="shared" si="131"/>
        <v>0.437</v>
      </c>
      <c r="N46" s="3">
        <f t="shared" ref="N45:N46" si="143">220/10000*F46</f>
        <v>0.50600000000000001</v>
      </c>
      <c r="O46" s="3">
        <f t="shared" si="26"/>
        <v>102.56410256410255</v>
      </c>
      <c r="P46" s="3">
        <f t="shared" ref="P46" si="144">SUM(G46:O46)</f>
        <v>269.1199747102213</v>
      </c>
    </row>
    <row r="47" spans="1:16" ht="242.25" customHeight="1" x14ac:dyDescent="0.5">
      <c r="A47" s="12" t="s">
        <v>16</v>
      </c>
      <c r="B47" s="12">
        <v>3495</v>
      </c>
      <c r="C47" s="6" t="s">
        <v>51</v>
      </c>
      <c r="D47" s="6">
        <v>295002</v>
      </c>
      <c r="E47" s="6">
        <v>295072</v>
      </c>
      <c r="F47" s="9">
        <f t="shared" si="10"/>
        <v>70</v>
      </c>
      <c r="G47" s="3">
        <f t="shared" ref="G47:G48" si="145">1300000/10/365/3</f>
        <v>118.72146118721462</v>
      </c>
      <c r="H47" s="3">
        <f t="shared" si="140"/>
        <v>179.375</v>
      </c>
      <c r="I47" s="3">
        <f t="shared" ref="I47:I48" si="146">8650/50000*F47*6</f>
        <v>72.66</v>
      </c>
      <c r="J47" s="3">
        <f t="shared" si="21"/>
        <v>3.2876712328767126</v>
      </c>
      <c r="K47" s="3">
        <f t="shared" ref="K47:K48" si="147">155*8/5000*F47</f>
        <v>17.36</v>
      </c>
      <c r="L47" s="3">
        <f t="shared" si="130"/>
        <v>1.68</v>
      </c>
      <c r="M47" s="3">
        <f t="shared" si="131"/>
        <v>1.33</v>
      </c>
      <c r="N47" s="3">
        <f t="shared" ref="N47:N48" si="148">350/10000*F47</f>
        <v>2.4500000000000002</v>
      </c>
      <c r="O47" s="3">
        <f t="shared" si="26"/>
        <v>102.56410256410255</v>
      </c>
      <c r="P47" s="3">
        <f t="shared" ref="P47:P48" si="149">SUM(G47:O47)</f>
        <v>499.42823498419392</v>
      </c>
    </row>
    <row r="48" spans="1:16" ht="242.25" customHeight="1" x14ac:dyDescent="0.5">
      <c r="A48" s="12" t="s">
        <v>16</v>
      </c>
      <c r="B48" s="12">
        <v>7464</v>
      </c>
      <c r="C48" s="6" t="s">
        <v>72</v>
      </c>
      <c r="D48" s="6">
        <v>98706</v>
      </c>
      <c r="E48" s="6">
        <v>98770</v>
      </c>
      <c r="F48" s="9">
        <f t="shared" si="10"/>
        <v>64</v>
      </c>
      <c r="G48" s="3">
        <f t="shared" si="145"/>
        <v>118.72146118721462</v>
      </c>
      <c r="H48" s="3">
        <f t="shared" si="140"/>
        <v>164</v>
      </c>
      <c r="I48" s="3">
        <f t="shared" si="146"/>
        <v>66.431999999999988</v>
      </c>
      <c r="J48" s="3">
        <f t="shared" si="21"/>
        <v>3.2876712328767126</v>
      </c>
      <c r="K48" s="3">
        <f t="shared" si="147"/>
        <v>15.872</v>
      </c>
      <c r="L48" s="3">
        <f t="shared" si="130"/>
        <v>1.536</v>
      </c>
      <c r="M48" s="3">
        <f t="shared" si="131"/>
        <v>1.216</v>
      </c>
      <c r="N48" s="3">
        <f t="shared" si="148"/>
        <v>2.2400000000000002</v>
      </c>
      <c r="O48" s="3">
        <f t="shared" si="26"/>
        <v>102.56410256410255</v>
      </c>
      <c r="P48" s="3">
        <f t="shared" si="149"/>
        <v>475.86923498419389</v>
      </c>
    </row>
    <row r="49" spans="1:16" ht="242.25" customHeight="1" x14ac:dyDescent="0.5">
      <c r="A49" s="12" t="s">
        <v>17</v>
      </c>
      <c r="B49" s="12">
        <v>2474</v>
      </c>
      <c r="C49" s="6" t="s">
        <v>55</v>
      </c>
      <c r="D49" s="6">
        <v>41990</v>
      </c>
      <c r="E49" s="6">
        <v>42056</v>
      </c>
      <c r="F49" s="9">
        <f t="shared" si="10"/>
        <v>66</v>
      </c>
      <c r="G49" s="3">
        <f t="shared" si="18"/>
        <v>91.324200913242009</v>
      </c>
      <c r="H49" s="3">
        <f t="shared" ref="H47:H54" si="150">F49/8*20.5</f>
        <v>169.125</v>
      </c>
      <c r="I49" s="3">
        <f t="shared" ref="I49" si="151">5500/50000*F49*3</f>
        <v>21.78</v>
      </c>
      <c r="J49" s="3">
        <f t="shared" si="21"/>
        <v>3.2876712328767126</v>
      </c>
      <c r="K49" s="3">
        <f t="shared" ref="K49" si="152">155*5.5/5000*F49</f>
        <v>11.253</v>
      </c>
      <c r="L49" s="3">
        <f t="shared" si="130"/>
        <v>1.5840000000000001</v>
      </c>
      <c r="M49" s="3">
        <f t="shared" si="131"/>
        <v>1.254</v>
      </c>
      <c r="N49" s="3">
        <f t="shared" ref="N49" si="153">220/10000*F49</f>
        <v>1.452</v>
      </c>
      <c r="O49" s="3">
        <f t="shared" si="26"/>
        <v>102.56410256410255</v>
      </c>
      <c r="P49" s="3">
        <f t="shared" ref="P49" si="154">SUM(G49:O49)</f>
        <v>403.62397471022132</v>
      </c>
    </row>
    <row r="50" spans="1:16" ht="242.25" customHeight="1" x14ac:dyDescent="0.5">
      <c r="A50" s="12" t="s">
        <v>16</v>
      </c>
      <c r="B50" s="12">
        <v>1454</v>
      </c>
      <c r="C50" s="6" t="s">
        <v>73</v>
      </c>
      <c r="D50" s="6">
        <v>54036</v>
      </c>
      <c r="E50" s="6">
        <v>54076</v>
      </c>
      <c r="F50" s="9">
        <f t="shared" si="10"/>
        <v>40</v>
      </c>
      <c r="G50" s="3">
        <f t="shared" ref="G50:G54" si="155">1300000/10/365/3</f>
        <v>118.72146118721462</v>
      </c>
      <c r="H50" s="3">
        <f t="shared" si="150"/>
        <v>102.5</v>
      </c>
      <c r="I50" s="3">
        <f t="shared" ref="I50:I54" si="156">8650/50000*F50*6</f>
        <v>41.519999999999996</v>
      </c>
      <c r="J50" s="3">
        <f t="shared" si="21"/>
        <v>3.2876712328767126</v>
      </c>
      <c r="K50" s="3">
        <f t="shared" ref="K50:K53" si="157">155*8/5000*F50</f>
        <v>9.92</v>
      </c>
      <c r="L50" s="3">
        <f t="shared" si="130"/>
        <v>0.96</v>
      </c>
      <c r="M50" s="3">
        <f t="shared" si="131"/>
        <v>0.76</v>
      </c>
      <c r="N50" s="3">
        <f t="shared" ref="N50:N54" si="158">350/10000*F50</f>
        <v>1.4000000000000001</v>
      </c>
      <c r="O50" s="3">
        <f t="shared" si="26"/>
        <v>102.56410256410255</v>
      </c>
      <c r="P50" s="3">
        <f t="shared" ref="P50:P53" si="159">SUM(G50:O50)</f>
        <v>381.63323498419385</v>
      </c>
    </row>
    <row r="51" spans="1:16" ht="242.25" customHeight="1" x14ac:dyDescent="0.5">
      <c r="A51" s="12" t="s">
        <v>16</v>
      </c>
      <c r="B51" s="12">
        <v>1451</v>
      </c>
      <c r="C51" s="6" t="s">
        <v>32</v>
      </c>
      <c r="D51" s="6">
        <v>42979</v>
      </c>
      <c r="E51" s="6">
        <v>42999</v>
      </c>
      <c r="F51" s="9">
        <f t="shared" si="10"/>
        <v>20</v>
      </c>
      <c r="G51" s="3">
        <f t="shared" si="155"/>
        <v>118.72146118721462</v>
      </c>
      <c r="H51" s="3">
        <f t="shared" si="150"/>
        <v>51.25</v>
      </c>
      <c r="I51" s="3">
        <f t="shared" si="156"/>
        <v>20.759999999999998</v>
      </c>
      <c r="J51" s="3">
        <f t="shared" si="21"/>
        <v>3.2876712328767126</v>
      </c>
      <c r="K51" s="3">
        <f t="shared" si="157"/>
        <v>4.96</v>
      </c>
      <c r="L51" s="3">
        <f t="shared" si="130"/>
        <v>0.48</v>
      </c>
      <c r="M51" s="3">
        <f t="shared" si="131"/>
        <v>0.38</v>
      </c>
      <c r="N51" s="3">
        <f t="shared" si="158"/>
        <v>0.70000000000000007</v>
      </c>
      <c r="O51" s="3">
        <f t="shared" si="26"/>
        <v>102.56410256410255</v>
      </c>
      <c r="P51" s="3">
        <f t="shared" si="159"/>
        <v>303.10323498419388</v>
      </c>
    </row>
    <row r="52" spans="1:16" ht="242.25" customHeight="1" x14ac:dyDescent="0.5">
      <c r="A52" s="12" t="s">
        <v>16</v>
      </c>
      <c r="B52" s="12">
        <v>3891</v>
      </c>
      <c r="C52" s="6" t="s">
        <v>74</v>
      </c>
      <c r="D52" s="6">
        <v>291408</v>
      </c>
      <c r="E52" s="6">
        <v>291507</v>
      </c>
      <c r="F52" s="9">
        <f t="shared" si="10"/>
        <v>99</v>
      </c>
      <c r="G52" s="3">
        <f t="shared" si="155"/>
        <v>118.72146118721462</v>
      </c>
      <c r="H52" s="3">
        <f t="shared" si="150"/>
        <v>253.6875</v>
      </c>
      <c r="I52" s="3">
        <f t="shared" si="156"/>
        <v>102.762</v>
      </c>
      <c r="J52" s="3">
        <f t="shared" si="21"/>
        <v>3.2876712328767126</v>
      </c>
      <c r="K52" s="3">
        <f t="shared" si="157"/>
        <v>24.552</v>
      </c>
      <c r="L52" s="3">
        <f t="shared" si="130"/>
        <v>2.3759999999999999</v>
      </c>
      <c r="M52" s="3">
        <f t="shared" si="131"/>
        <v>1.881</v>
      </c>
      <c r="N52" s="3">
        <f t="shared" si="158"/>
        <v>3.4650000000000003</v>
      </c>
      <c r="O52" s="3">
        <f t="shared" si="26"/>
        <v>102.56410256410255</v>
      </c>
      <c r="P52" s="3">
        <f t="shared" si="159"/>
        <v>613.2967349841939</v>
      </c>
    </row>
    <row r="53" spans="1:16" ht="242.25" customHeight="1" x14ac:dyDescent="0.5">
      <c r="A53" s="12" t="s">
        <v>16</v>
      </c>
      <c r="B53" s="12">
        <v>6142</v>
      </c>
      <c r="C53" s="6" t="s">
        <v>75</v>
      </c>
      <c r="D53" s="6">
        <v>6479</v>
      </c>
      <c r="E53" s="6">
        <v>6500</v>
      </c>
      <c r="F53" s="9">
        <f t="shared" si="10"/>
        <v>21</v>
      </c>
      <c r="G53" s="3">
        <f t="shared" si="155"/>
        <v>118.72146118721462</v>
      </c>
      <c r="H53" s="3">
        <f t="shared" si="150"/>
        <v>53.8125</v>
      </c>
      <c r="I53" s="3">
        <f t="shared" si="156"/>
        <v>21.797999999999998</v>
      </c>
      <c r="J53" s="3">
        <f t="shared" si="21"/>
        <v>3.2876712328767126</v>
      </c>
      <c r="K53" s="3">
        <f t="shared" si="157"/>
        <v>5.2080000000000002</v>
      </c>
      <c r="L53" s="3">
        <f t="shared" si="130"/>
        <v>0.504</v>
      </c>
      <c r="M53" s="3">
        <f t="shared" si="131"/>
        <v>0.39899999999999997</v>
      </c>
      <c r="N53" s="3">
        <f t="shared" si="158"/>
        <v>0.7350000000000001</v>
      </c>
      <c r="O53" s="3">
        <f t="shared" si="26"/>
        <v>102.56410256410255</v>
      </c>
      <c r="P53" s="3">
        <f t="shared" si="159"/>
        <v>307.02973498419391</v>
      </c>
    </row>
    <row r="54" spans="1:16" ht="242.25" customHeight="1" x14ac:dyDescent="0.5">
      <c r="A54" s="12" t="s">
        <v>23</v>
      </c>
      <c r="B54" s="12">
        <v>675</v>
      </c>
      <c r="C54" s="6" t="s">
        <v>76</v>
      </c>
      <c r="D54" s="6">
        <v>289365</v>
      </c>
      <c r="E54" s="6">
        <v>289448</v>
      </c>
      <c r="F54" s="9">
        <f t="shared" si="10"/>
        <v>83</v>
      </c>
      <c r="G54" s="3">
        <f t="shared" si="155"/>
        <v>118.72146118721462</v>
      </c>
      <c r="H54" s="3">
        <f t="shared" si="150"/>
        <v>212.6875</v>
      </c>
      <c r="I54" s="3">
        <f t="shared" si="156"/>
        <v>86.153999999999996</v>
      </c>
      <c r="J54" s="3">
        <f>3600/365/3</f>
        <v>3.2876712328767126</v>
      </c>
      <c r="K54" s="3">
        <f>155*9/5000*F54</f>
        <v>23.157000000000004</v>
      </c>
      <c r="L54" s="3">
        <f t="shared" si="130"/>
        <v>1.992</v>
      </c>
      <c r="M54" s="3">
        <f t="shared" si="131"/>
        <v>1.577</v>
      </c>
      <c r="N54" s="3">
        <f t="shared" si="158"/>
        <v>2.9050000000000002</v>
      </c>
      <c r="O54" s="3">
        <f t="shared" si="26"/>
        <v>102.56410256410255</v>
      </c>
      <c r="P54" s="3">
        <f t="shared" ref="P54" si="160">SUM(G54:O54)</f>
        <v>553.04573498419393</v>
      </c>
    </row>
    <row r="55" spans="1:16" ht="242.25" customHeight="1" x14ac:dyDescent="0.5">
      <c r="A55" s="12" t="s">
        <v>48</v>
      </c>
      <c r="B55" s="12">
        <v>3625</v>
      </c>
      <c r="C55" s="6" t="s">
        <v>61</v>
      </c>
      <c r="D55" s="6">
        <v>673067</v>
      </c>
      <c r="E55" s="6">
        <v>673130</v>
      </c>
      <c r="F55" s="9">
        <f t="shared" si="10"/>
        <v>63</v>
      </c>
      <c r="G55" s="3">
        <f t="shared" si="18"/>
        <v>91.324200913242009</v>
      </c>
      <c r="H55" s="3">
        <f t="shared" ref="H49:H57" si="161">F55/8*20.5</f>
        <v>161.4375</v>
      </c>
      <c r="I55" s="3">
        <f t="shared" ref="I55" si="162">5500/50000*F55*3</f>
        <v>20.79</v>
      </c>
      <c r="J55" s="3">
        <f t="shared" si="21"/>
        <v>3.2876712328767126</v>
      </c>
      <c r="K55" s="3">
        <f t="shared" ref="K55" si="163">155*5.5/5000*F55</f>
        <v>10.7415</v>
      </c>
      <c r="L55" s="3">
        <f t="shared" ref="L49:L84" si="164">120/5000*F55</f>
        <v>1.512</v>
      </c>
      <c r="M55" s="3">
        <f t="shared" ref="M49:M84" si="165">95/5000*F55</f>
        <v>1.1970000000000001</v>
      </c>
      <c r="N55" s="3">
        <f t="shared" ref="N55" si="166">220/10000*F55</f>
        <v>1.3859999999999999</v>
      </c>
      <c r="O55" s="3">
        <f t="shared" si="26"/>
        <v>102.56410256410255</v>
      </c>
      <c r="P55" s="3">
        <f t="shared" ref="P55" si="167">SUM(G55:O55)</f>
        <v>394.2399747102213</v>
      </c>
    </row>
    <row r="56" spans="1:16" ht="242.25" customHeight="1" x14ac:dyDescent="0.5">
      <c r="A56" s="12" t="s">
        <v>16</v>
      </c>
      <c r="B56" s="12">
        <v>2695</v>
      </c>
      <c r="C56" s="6" t="s">
        <v>77</v>
      </c>
      <c r="D56" s="6">
        <v>160654</v>
      </c>
      <c r="E56" s="6">
        <v>160666</v>
      </c>
      <c r="F56" s="9">
        <f t="shared" si="10"/>
        <v>12</v>
      </c>
      <c r="G56" s="3">
        <f t="shared" ref="G56:G57" si="168">1300000/10/365/3</f>
        <v>118.72146118721462</v>
      </c>
      <c r="H56" s="3">
        <f t="shared" si="161"/>
        <v>30.75</v>
      </c>
      <c r="I56" s="3">
        <f t="shared" ref="I56:I57" si="169">8650/50000*F56*6</f>
        <v>12.455999999999998</v>
      </c>
      <c r="J56" s="3">
        <f t="shared" si="21"/>
        <v>3.2876712328767126</v>
      </c>
      <c r="K56" s="3">
        <f t="shared" ref="K56:K57" si="170">155*8/5000*F56</f>
        <v>2.976</v>
      </c>
      <c r="L56" s="3">
        <f t="shared" si="164"/>
        <v>0.28800000000000003</v>
      </c>
      <c r="M56" s="3">
        <f t="shared" si="165"/>
        <v>0.22799999999999998</v>
      </c>
      <c r="N56" s="3">
        <f t="shared" ref="N56:N57" si="171">350/10000*F56</f>
        <v>0.42000000000000004</v>
      </c>
      <c r="O56" s="3">
        <f t="shared" si="26"/>
        <v>102.56410256410255</v>
      </c>
      <c r="P56" s="3">
        <f t="shared" ref="P56:P57" si="172">SUM(G56:O56)</f>
        <v>271.6912349841939</v>
      </c>
    </row>
    <row r="57" spans="1:16" ht="242.25" customHeight="1" x14ac:dyDescent="0.5">
      <c r="A57" s="12" t="s">
        <v>16</v>
      </c>
      <c r="B57" s="12">
        <v>2714</v>
      </c>
      <c r="C57" s="6" t="s">
        <v>20</v>
      </c>
      <c r="D57" s="6">
        <v>313063</v>
      </c>
      <c r="E57" s="6">
        <v>313066</v>
      </c>
      <c r="F57" s="9">
        <f t="shared" si="10"/>
        <v>3</v>
      </c>
      <c r="G57" s="3">
        <f t="shared" si="168"/>
        <v>118.72146118721462</v>
      </c>
      <c r="H57" s="3">
        <f t="shared" si="161"/>
        <v>7.6875</v>
      </c>
      <c r="I57" s="3">
        <f t="shared" si="169"/>
        <v>3.1139999999999994</v>
      </c>
      <c r="J57" s="3">
        <f t="shared" si="21"/>
        <v>3.2876712328767126</v>
      </c>
      <c r="K57" s="3">
        <f t="shared" si="170"/>
        <v>0.74399999999999999</v>
      </c>
      <c r="L57" s="3">
        <f t="shared" si="164"/>
        <v>7.2000000000000008E-2</v>
      </c>
      <c r="M57" s="3">
        <f t="shared" si="165"/>
        <v>5.6999999999999995E-2</v>
      </c>
      <c r="N57" s="3">
        <f t="shared" si="171"/>
        <v>0.10500000000000001</v>
      </c>
      <c r="O57" s="3">
        <f t="shared" si="26"/>
        <v>102.56410256410255</v>
      </c>
      <c r="P57" s="3">
        <f t="shared" si="172"/>
        <v>236.35273498419383</v>
      </c>
    </row>
    <row r="58" spans="1:16" ht="242.25" customHeight="1" x14ac:dyDescent="0.5">
      <c r="A58" s="12" t="s">
        <v>17</v>
      </c>
      <c r="B58" s="12">
        <v>3787</v>
      </c>
      <c r="C58" s="6" t="s">
        <v>21</v>
      </c>
      <c r="D58" s="6">
        <v>36062</v>
      </c>
      <c r="E58" s="6">
        <v>36175</v>
      </c>
      <c r="F58" s="9">
        <f t="shared" si="10"/>
        <v>113</v>
      </c>
      <c r="G58" s="3">
        <f t="shared" si="18"/>
        <v>91.324200913242009</v>
      </c>
      <c r="H58" s="3">
        <f t="shared" ref="H55:H71" si="173">F58/8*20.5</f>
        <v>289.5625</v>
      </c>
      <c r="I58" s="3">
        <f t="shared" ref="I58:I59" si="174">5500/50000*F58*3</f>
        <v>37.29</v>
      </c>
      <c r="J58" s="3">
        <f t="shared" si="21"/>
        <v>3.2876712328767126</v>
      </c>
      <c r="K58" s="3">
        <f t="shared" ref="K58:K59" si="175">155*5.5/5000*F58</f>
        <v>19.266500000000001</v>
      </c>
      <c r="L58" s="3">
        <f t="shared" si="164"/>
        <v>2.7120000000000002</v>
      </c>
      <c r="M58" s="3">
        <f t="shared" si="165"/>
        <v>2.1469999999999998</v>
      </c>
      <c r="N58" s="3">
        <f t="shared" ref="N58:N59" si="176">220/10000*F58</f>
        <v>2.4859999999999998</v>
      </c>
      <c r="O58" s="3">
        <f t="shared" si="26"/>
        <v>102.56410256410255</v>
      </c>
      <c r="P58" s="3">
        <f t="shared" ref="P58:P59" si="177">SUM(G58:O58)</f>
        <v>550.63997471022128</v>
      </c>
    </row>
    <row r="59" spans="1:16" ht="242.25" customHeight="1" x14ac:dyDescent="0.5">
      <c r="A59" s="12" t="s">
        <v>17</v>
      </c>
      <c r="B59" s="12">
        <v>3783</v>
      </c>
      <c r="C59" s="6" t="s">
        <v>30</v>
      </c>
      <c r="D59" s="6">
        <v>33874</v>
      </c>
      <c r="E59" s="6">
        <v>33993</v>
      </c>
      <c r="F59" s="9">
        <f t="shared" si="10"/>
        <v>119</v>
      </c>
      <c r="G59" s="3">
        <f t="shared" si="18"/>
        <v>91.324200913242009</v>
      </c>
      <c r="H59" s="3">
        <f t="shared" si="173"/>
        <v>304.9375</v>
      </c>
      <c r="I59" s="3">
        <f t="shared" si="174"/>
        <v>39.269999999999996</v>
      </c>
      <c r="J59" s="3">
        <f t="shared" si="21"/>
        <v>3.2876712328767126</v>
      </c>
      <c r="K59" s="3">
        <f t="shared" si="175"/>
        <v>20.2895</v>
      </c>
      <c r="L59" s="3">
        <f t="shared" si="164"/>
        <v>2.8559999999999999</v>
      </c>
      <c r="M59" s="3">
        <f t="shared" si="165"/>
        <v>2.2610000000000001</v>
      </c>
      <c r="N59" s="3">
        <f t="shared" si="176"/>
        <v>2.6179999999999999</v>
      </c>
      <c r="O59" s="3">
        <f t="shared" si="26"/>
        <v>102.56410256410255</v>
      </c>
      <c r="P59" s="3">
        <f t="shared" si="177"/>
        <v>569.40797471022131</v>
      </c>
    </row>
    <row r="60" spans="1:16" ht="242.25" customHeight="1" x14ac:dyDescent="0.5">
      <c r="A60" s="12" t="s">
        <v>16</v>
      </c>
      <c r="B60" s="12">
        <v>2917</v>
      </c>
      <c r="C60" s="6" t="s">
        <v>45</v>
      </c>
      <c r="D60" s="6">
        <v>157746</v>
      </c>
      <c r="E60" s="6">
        <v>157757</v>
      </c>
      <c r="F60" s="9">
        <f t="shared" si="10"/>
        <v>11</v>
      </c>
      <c r="G60" s="3">
        <f t="shared" ref="G60:G61" si="178">1300000/10/365/3</f>
        <v>118.72146118721462</v>
      </c>
      <c r="H60" s="3">
        <f t="shared" si="173"/>
        <v>28.1875</v>
      </c>
      <c r="I60" s="3">
        <f t="shared" ref="I60:I61" si="179">8650/50000*F60*6</f>
        <v>11.417999999999999</v>
      </c>
      <c r="J60" s="3">
        <f t="shared" si="21"/>
        <v>3.2876712328767126</v>
      </c>
      <c r="K60" s="3">
        <f t="shared" ref="K60:K61" si="180">155*8/5000*F60</f>
        <v>2.7279999999999998</v>
      </c>
      <c r="L60" s="3">
        <f t="shared" si="164"/>
        <v>0.26400000000000001</v>
      </c>
      <c r="M60" s="3">
        <f t="shared" si="165"/>
        <v>0.20899999999999999</v>
      </c>
      <c r="N60" s="3">
        <f t="shared" ref="N60:N61" si="181">350/10000*F60</f>
        <v>0.38500000000000001</v>
      </c>
      <c r="O60" s="3">
        <f t="shared" si="26"/>
        <v>102.56410256410255</v>
      </c>
      <c r="P60" s="3">
        <f t="shared" ref="P60:P61" si="182">SUM(G60:O60)</f>
        <v>267.76473498419392</v>
      </c>
    </row>
    <row r="61" spans="1:16" ht="242.25" customHeight="1" x14ac:dyDescent="0.5">
      <c r="A61" s="12" t="s">
        <v>16</v>
      </c>
      <c r="B61" s="12">
        <v>1538</v>
      </c>
      <c r="C61" s="6" t="s">
        <v>78</v>
      </c>
      <c r="D61" s="6">
        <v>249893</v>
      </c>
      <c r="E61" s="6">
        <v>249974</v>
      </c>
      <c r="F61" s="9">
        <f t="shared" si="10"/>
        <v>81</v>
      </c>
      <c r="G61" s="3">
        <f t="shared" si="178"/>
        <v>118.72146118721462</v>
      </c>
      <c r="H61" s="3">
        <f t="shared" si="173"/>
        <v>207.5625</v>
      </c>
      <c r="I61" s="3">
        <f t="shared" si="179"/>
        <v>84.077999999999989</v>
      </c>
      <c r="J61" s="3">
        <f t="shared" si="21"/>
        <v>3.2876712328767126</v>
      </c>
      <c r="K61" s="3">
        <f t="shared" si="180"/>
        <v>20.088000000000001</v>
      </c>
      <c r="L61" s="3">
        <f t="shared" si="164"/>
        <v>1.944</v>
      </c>
      <c r="M61" s="3">
        <f t="shared" si="165"/>
        <v>1.5389999999999999</v>
      </c>
      <c r="N61" s="3">
        <f t="shared" si="181"/>
        <v>2.8350000000000004</v>
      </c>
      <c r="O61" s="3">
        <f t="shared" si="26"/>
        <v>102.56410256410255</v>
      </c>
      <c r="P61" s="3">
        <f t="shared" si="182"/>
        <v>542.61973498419388</v>
      </c>
    </row>
    <row r="62" spans="1:16" ht="242.25" customHeight="1" x14ac:dyDescent="0.5">
      <c r="A62" s="12" t="s">
        <v>17</v>
      </c>
      <c r="B62" s="12">
        <v>796</v>
      </c>
      <c r="C62" s="6" t="s">
        <v>79</v>
      </c>
      <c r="D62" s="6">
        <v>607996</v>
      </c>
      <c r="E62" s="6">
        <v>607997</v>
      </c>
      <c r="F62" s="9">
        <f t="shared" si="10"/>
        <v>1</v>
      </c>
      <c r="G62" s="3">
        <f t="shared" si="18"/>
        <v>91.324200913242009</v>
      </c>
      <c r="H62" s="3">
        <f t="shared" si="173"/>
        <v>2.5625</v>
      </c>
      <c r="I62" s="3">
        <f t="shared" ref="I62" si="183">5500/50000*F62*3</f>
        <v>0.33</v>
      </c>
      <c r="J62" s="3">
        <f t="shared" si="21"/>
        <v>3.2876712328767126</v>
      </c>
      <c r="K62" s="3">
        <f t="shared" ref="K62" si="184">155*5.5/5000*F62</f>
        <v>0.17050000000000001</v>
      </c>
      <c r="L62" s="3">
        <f t="shared" si="164"/>
        <v>2.4E-2</v>
      </c>
      <c r="M62" s="3">
        <f t="shared" si="165"/>
        <v>1.9E-2</v>
      </c>
      <c r="N62" s="3">
        <f t="shared" ref="N62" si="185">220/10000*F62</f>
        <v>2.1999999999999999E-2</v>
      </c>
      <c r="O62" s="3">
        <f t="shared" si="26"/>
        <v>102.56410256410255</v>
      </c>
      <c r="P62" s="3">
        <f t="shared" ref="P62" si="186">SUM(G62:O62)</f>
        <v>200.3039747102213</v>
      </c>
    </row>
    <row r="63" spans="1:16" ht="242.25" customHeight="1" x14ac:dyDescent="0.5">
      <c r="A63" s="12" t="s">
        <v>16</v>
      </c>
      <c r="B63" s="12">
        <v>6143</v>
      </c>
      <c r="C63" s="6" t="s">
        <v>32</v>
      </c>
      <c r="D63" s="6">
        <v>6536</v>
      </c>
      <c r="E63" s="6">
        <v>6547</v>
      </c>
      <c r="F63" s="9">
        <f t="shared" si="10"/>
        <v>11</v>
      </c>
      <c r="G63" s="3">
        <f t="shared" ref="G63:G64" si="187">1300000/10/365/3</f>
        <v>118.72146118721462</v>
      </c>
      <c r="H63" s="3">
        <f t="shared" si="173"/>
        <v>28.1875</v>
      </c>
      <c r="I63" s="3">
        <f t="shared" ref="I63:I64" si="188">8650/50000*F63*6</f>
        <v>11.417999999999999</v>
      </c>
      <c r="J63" s="3">
        <f t="shared" si="21"/>
        <v>3.2876712328767126</v>
      </c>
      <c r="K63" s="3">
        <f t="shared" ref="K63:K64" si="189">155*8/5000*F63</f>
        <v>2.7279999999999998</v>
      </c>
      <c r="L63" s="3">
        <f t="shared" si="164"/>
        <v>0.26400000000000001</v>
      </c>
      <c r="M63" s="3">
        <f t="shared" si="165"/>
        <v>0.20899999999999999</v>
      </c>
      <c r="N63" s="3">
        <f t="shared" ref="N63:N64" si="190">350/10000*F63</f>
        <v>0.38500000000000001</v>
      </c>
      <c r="O63" s="3">
        <f t="shared" si="26"/>
        <v>102.56410256410255</v>
      </c>
      <c r="P63" s="3">
        <f t="shared" ref="P63:P64" si="191">SUM(G63:O63)</f>
        <v>267.76473498419392</v>
      </c>
    </row>
    <row r="64" spans="1:16" ht="242.25" customHeight="1" x14ac:dyDescent="0.5">
      <c r="A64" s="12" t="s">
        <v>16</v>
      </c>
      <c r="B64" s="12">
        <v>3492</v>
      </c>
      <c r="C64" s="6" t="s">
        <v>47</v>
      </c>
      <c r="D64" s="6">
        <v>285418</v>
      </c>
      <c r="E64" s="6">
        <v>285437</v>
      </c>
      <c r="F64" s="9">
        <f t="shared" si="10"/>
        <v>19</v>
      </c>
      <c r="G64" s="3">
        <f t="shared" si="187"/>
        <v>118.72146118721462</v>
      </c>
      <c r="H64" s="3">
        <f t="shared" si="173"/>
        <v>48.6875</v>
      </c>
      <c r="I64" s="3">
        <f t="shared" si="188"/>
        <v>19.722000000000001</v>
      </c>
      <c r="J64" s="3">
        <f t="shared" si="21"/>
        <v>3.2876712328767126</v>
      </c>
      <c r="K64" s="3">
        <f t="shared" si="189"/>
        <v>4.7119999999999997</v>
      </c>
      <c r="L64" s="3">
        <f t="shared" si="164"/>
        <v>0.45600000000000002</v>
      </c>
      <c r="M64" s="3">
        <f t="shared" si="165"/>
        <v>0.36099999999999999</v>
      </c>
      <c r="N64" s="3">
        <f t="shared" si="190"/>
        <v>0.66500000000000004</v>
      </c>
      <c r="O64" s="3">
        <f t="shared" si="26"/>
        <v>102.56410256410255</v>
      </c>
      <c r="P64" s="3">
        <f t="shared" si="191"/>
        <v>299.17673498419384</v>
      </c>
    </row>
    <row r="65" spans="1:16" ht="242.25" customHeight="1" x14ac:dyDescent="0.5">
      <c r="A65" s="12" t="s">
        <v>17</v>
      </c>
      <c r="B65" s="12">
        <v>3793</v>
      </c>
      <c r="C65" s="6" t="s">
        <v>45</v>
      </c>
      <c r="D65" s="6">
        <v>34846</v>
      </c>
      <c r="E65" s="6">
        <v>34878</v>
      </c>
      <c r="F65" s="9">
        <f t="shared" si="10"/>
        <v>32</v>
      </c>
      <c r="G65" s="3">
        <f t="shared" si="18"/>
        <v>91.324200913242009</v>
      </c>
      <c r="H65" s="3">
        <f t="shared" si="173"/>
        <v>82</v>
      </c>
      <c r="I65" s="3">
        <f t="shared" ref="I65:I66" si="192">5500/50000*F65*3</f>
        <v>10.56</v>
      </c>
      <c r="J65" s="3">
        <f t="shared" si="21"/>
        <v>3.2876712328767126</v>
      </c>
      <c r="K65" s="3">
        <f t="shared" ref="K65:K66" si="193">155*5.5/5000*F65</f>
        <v>5.4560000000000004</v>
      </c>
      <c r="L65" s="3">
        <f t="shared" si="164"/>
        <v>0.76800000000000002</v>
      </c>
      <c r="M65" s="3">
        <f t="shared" si="165"/>
        <v>0.60799999999999998</v>
      </c>
      <c r="N65" s="3">
        <f t="shared" ref="N65:N66" si="194">220/10000*F65</f>
        <v>0.70399999999999996</v>
      </c>
      <c r="O65" s="3">
        <f t="shared" si="26"/>
        <v>102.56410256410255</v>
      </c>
      <c r="P65" s="3">
        <f t="shared" ref="P65:P66" si="195">SUM(G65:O65)</f>
        <v>297.27197471022129</v>
      </c>
    </row>
    <row r="66" spans="1:16" ht="242.25" customHeight="1" x14ac:dyDescent="0.5">
      <c r="A66" s="12" t="s">
        <v>17</v>
      </c>
      <c r="B66" s="12">
        <v>634</v>
      </c>
      <c r="C66" s="6" t="s">
        <v>32</v>
      </c>
      <c r="D66" s="6">
        <v>450405</v>
      </c>
      <c r="E66" s="6">
        <v>450413</v>
      </c>
      <c r="F66" s="9">
        <f t="shared" si="10"/>
        <v>8</v>
      </c>
      <c r="G66" s="3">
        <f t="shared" si="18"/>
        <v>91.324200913242009</v>
      </c>
      <c r="H66" s="3">
        <f t="shared" si="173"/>
        <v>20.5</v>
      </c>
      <c r="I66" s="3">
        <f t="shared" si="192"/>
        <v>2.64</v>
      </c>
      <c r="J66" s="3">
        <f t="shared" si="21"/>
        <v>3.2876712328767126</v>
      </c>
      <c r="K66" s="3">
        <f t="shared" si="193"/>
        <v>1.3640000000000001</v>
      </c>
      <c r="L66" s="3">
        <f t="shared" si="164"/>
        <v>0.192</v>
      </c>
      <c r="M66" s="3">
        <f t="shared" si="165"/>
        <v>0.152</v>
      </c>
      <c r="N66" s="3">
        <f t="shared" si="194"/>
        <v>0.17599999999999999</v>
      </c>
      <c r="O66" s="3">
        <f t="shared" si="26"/>
        <v>102.56410256410255</v>
      </c>
      <c r="P66" s="3">
        <f t="shared" si="195"/>
        <v>222.19997471022128</v>
      </c>
    </row>
    <row r="67" spans="1:16" ht="242.25" customHeight="1" x14ac:dyDescent="0.5">
      <c r="A67" s="12" t="s">
        <v>36</v>
      </c>
      <c r="B67" s="12">
        <v>246</v>
      </c>
      <c r="C67" s="6" t="s">
        <v>58</v>
      </c>
      <c r="D67" s="6">
        <v>71996</v>
      </c>
      <c r="E67" s="6">
        <v>72018</v>
      </c>
      <c r="F67" s="9">
        <f t="shared" si="10"/>
        <v>22</v>
      </c>
      <c r="G67" s="3">
        <f t="shared" ref="G67" si="196">750000/10/365/3</f>
        <v>68.493150684931507</v>
      </c>
      <c r="H67" s="3">
        <f t="shared" ref="H67" si="197">F67/8*22.25</f>
        <v>61.1875</v>
      </c>
      <c r="I67" s="3">
        <f t="shared" ref="I67" si="198">2500/50000*F67*3</f>
        <v>3.3000000000000003</v>
      </c>
      <c r="J67" s="3">
        <f t="shared" ref="J67" si="199">2800/365/3</f>
        <v>2.5570776255707761</v>
      </c>
      <c r="K67" s="3">
        <f t="shared" ref="K67" si="200">155*4/5000*F67</f>
        <v>2.7279999999999998</v>
      </c>
      <c r="L67" s="3">
        <f t="shared" si="164"/>
        <v>0.52800000000000002</v>
      </c>
      <c r="M67" s="3">
        <f t="shared" si="165"/>
        <v>0.41799999999999998</v>
      </c>
      <c r="N67" s="3">
        <f t="shared" ref="N65:N67" si="201">220/10000*F67</f>
        <v>0.48399999999999999</v>
      </c>
      <c r="O67" s="3">
        <f t="shared" si="26"/>
        <v>102.56410256410255</v>
      </c>
      <c r="P67" s="3">
        <f t="shared" ref="P67:P68" si="202">SUM(G67:O67)</f>
        <v>242.25983087460486</v>
      </c>
    </row>
    <row r="68" spans="1:16" ht="242.25" customHeight="1" x14ac:dyDescent="0.5">
      <c r="A68" s="12" t="s">
        <v>16</v>
      </c>
      <c r="B68" s="12">
        <v>4987</v>
      </c>
      <c r="C68" s="6" t="s">
        <v>32</v>
      </c>
      <c r="D68" s="6">
        <v>335883</v>
      </c>
      <c r="E68" s="6">
        <v>335892</v>
      </c>
      <c r="F68" s="9">
        <f t="shared" si="10"/>
        <v>9</v>
      </c>
      <c r="G68" s="3">
        <f t="shared" ref="G68" si="203">1300000/10/365/3</f>
        <v>118.72146118721462</v>
      </c>
      <c r="H68" s="3">
        <f t="shared" ref="H68" si="204">F68/8*20.5</f>
        <v>23.0625</v>
      </c>
      <c r="I68" s="3">
        <f t="shared" ref="I68" si="205">8650/50000*F68*6</f>
        <v>9.3419999999999987</v>
      </c>
      <c r="J68" s="3">
        <f t="shared" ref="J68" si="206">3600/365/3</f>
        <v>3.2876712328767126</v>
      </c>
      <c r="K68" s="3">
        <f t="shared" ref="K68" si="207">155*8/5000*F68</f>
        <v>2.2320000000000002</v>
      </c>
      <c r="L68" s="3">
        <f t="shared" si="164"/>
        <v>0.216</v>
      </c>
      <c r="M68" s="3">
        <f t="shared" si="165"/>
        <v>0.17099999999999999</v>
      </c>
      <c r="N68" s="3">
        <f t="shared" ref="N68" si="208">350/10000*F68</f>
        <v>0.31500000000000006</v>
      </c>
      <c r="O68" s="3">
        <f t="shared" si="26"/>
        <v>102.56410256410255</v>
      </c>
      <c r="P68" s="3">
        <f t="shared" si="202"/>
        <v>259.91173498419386</v>
      </c>
    </row>
    <row r="69" spans="1:16" ht="242.25" customHeight="1" x14ac:dyDescent="0.5">
      <c r="A69" s="12" t="s">
        <v>17</v>
      </c>
      <c r="B69" s="12">
        <v>745</v>
      </c>
      <c r="C69" s="6" t="s">
        <v>34</v>
      </c>
      <c r="D69" s="6">
        <v>603891</v>
      </c>
      <c r="E69" s="6">
        <v>603907</v>
      </c>
      <c r="F69" s="9">
        <f t="shared" si="10"/>
        <v>16</v>
      </c>
      <c r="G69" s="3">
        <f t="shared" ref="G69:G70" si="209">1000000/10/365/3</f>
        <v>91.324200913242009</v>
      </c>
      <c r="H69" s="3">
        <f t="shared" si="173"/>
        <v>41</v>
      </c>
      <c r="I69" s="3">
        <f t="shared" ref="I69:I70" si="210">5500/50000*F69*3</f>
        <v>5.28</v>
      </c>
      <c r="J69" s="3">
        <f t="shared" si="21"/>
        <v>3.2876712328767126</v>
      </c>
      <c r="K69" s="3">
        <f t="shared" ref="K69:K70" si="211">155*5.5/5000*F69</f>
        <v>2.7280000000000002</v>
      </c>
      <c r="L69" s="3">
        <f t="shared" si="164"/>
        <v>0.38400000000000001</v>
      </c>
      <c r="M69" s="3">
        <f t="shared" si="165"/>
        <v>0.30399999999999999</v>
      </c>
      <c r="N69" s="3">
        <f t="shared" ref="N69:N70" si="212">220/10000*F69</f>
        <v>0.35199999999999998</v>
      </c>
      <c r="O69" s="3">
        <f t="shared" si="26"/>
        <v>102.56410256410255</v>
      </c>
      <c r="P69" s="3">
        <f t="shared" ref="P69:P70" si="213">SUM(G69:O69)</f>
        <v>247.22397471022128</v>
      </c>
    </row>
    <row r="70" spans="1:16" ht="242.25" customHeight="1" x14ac:dyDescent="0.5">
      <c r="A70" s="12" t="s">
        <v>17</v>
      </c>
      <c r="B70" s="12">
        <v>4879</v>
      </c>
      <c r="C70" s="6" t="s">
        <v>80</v>
      </c>
      <c r="D70" s="6">
        <v>629199</v>
      </c>
      <c r="E70" s="6">
        <v>629242</v>
      </c>
      <c r="F70" s="9">
        <f t="shared" si="10"/>
        <v>43</v>
      </c>
      <c r="G70" s="3">
        <f t="shared" si="209"/>
        <v>91.324200913242009</v>
      </c>
      <c r="H70" s="3">
        <f t="shared" si="173"/>
        <v>110.1875</v>
      </c>
      <c r="I70" s="3">
        <f t="shared" si="210"/>
        <v>14.190000000000001</v>
      </c>
      <c r="J70" s="3">
        <f t="shared" si="21"/>
        <v>3.2876712328767126</v>
      </c>
      <c r="K70" s="3">
        <f t="shared" si="211"/>
        <v>7.3315000000000001</v>
      </c>
      <c r="L70" s="3">
        <f t="shared" si="164"/>
        <v>1.032</v>
      </c>
      <c r="M70" s="3">
        <f t="shared" si="165"/>
        <v>0.81699999999999995</v>
      </c>
      <c r="N70" s="3">
        <f t="shared" si="212"/>
        <v>0.94599999999999995</v>
      </c>
      <c r="O70" s="3">
        <f t="shared" si="26"/>
        <v>102.56410256410255</v>
      </c>
      <c r="P70" s="3">
        <f t="shared" si="213"/>
        <v>331.6799747102213</v>
      </c>
    </row>
    <row r="71" spans="1:16" ht="242.25" customHeight="1" x14ac:dyDescent="0.5">
      <c r="A71" s="12" t="s">
        <v>16</v>
      </c>
      <c r="B71" s="12">
        <v>2714</v>
      </c>
      <c r="C71" s="6" t="s">
        <v>81</v>
      </c>
      <c r="D71" s="6">
        <v>313066</v>
      </c>
      <c r="E71" s="6">
        <v>313124</v>
      </c>
      <c r="F71" s="9">
        <f t="shared" si="10"/>
        <v>58</v>
      </c>
      <c r="G71" s="3">
        <f t="shared" ref="G71" si="214">1300000/10/365/3</f>
        <v>118.72146118721462</v>
      </c>
      <c r="H71" s="3">
        <f t="shared" si="173"/>
        <v>148.625</v>
      </c>
      <c r="I71" s="3">
        <f t="shared" ref="I71" si="215">8650/50000*F71*6</f>
        <v>60.203999999999994</v>
      </c>
      <c r="J71" s="3">
        <f t="shared" si="21"/>
        <v>3.2876712328767126</v>
      </c>
      <c r="K71" s="3">
        <f t="shared" ref="K71" si="216">155*8/5000*F71</f>
        <v>14.384</v>
      </c>
      <c r="L71" s="3">
        <f t="shared" si="164"/>
        <v>1.3920000000000001</v>
      </c>
      <c r="M71" s="3">
        <f t="shared" si="165"/>
        <v>1.1019999999999999</v>
      </c>
      <c r="N71" s="3">
        <f t="shared" ref="N71" si="217">350/10000*F71</f>
        <v>2.0300000000000002</v>
      </c>
      <c r="O71" s="3">
        <f t="shared" si="26"/>
        <v>102.56410256410255</v>
      </c>
      <c r="P71" s="3">
        <f t="shared" ref="P71" si="218">SUM(G71:O71)</f>
        <v>452.31023498419387</v>
      </c>
    </row>
    <row r="72" spans="1:16" ht="242.25" customHeight="1" x14ac:dyDescent="0.5">
      <c r="A72" s="12" t="s">
        <v>17</v>
      </c>
      <c r="B72" s="12">
        <v>459</v>
      </c>
      <c r="C72" s="6" t="s">
        <v>82</v>
      </c>
      <c r="D72" s="6" t="s">
        <v>99</v>
      </c>
      <c r="E72" s="6">
        <v>197320</v>
      </c>
      <c r="F72" s="9" t="e">
        <f t="shared" si="10"/>
        <v>#VALUE!</v>
      </c>
      <c r="G72" s="3">
        <f t="shared" ref="G72" si="219">1000000/10/365/3</f>
        <v>91.324200913242009</v>
      </c>
      <c r="H72" s="3" t="e">
        <f t="shared" ref="H72:H75" si="220">F72/8*20.5</f>
        <v>#VALUE!</v>
      </c>
      <c r="I72" s="3" t="e">
        <f t="shared" ref="I72" si="221">5500/50000*F72*3</f>
        <v>#VALUE!</v>
      </c>
      <c r="J72" s="3">
        <f t="shared" si="21"/>
        <v>3.2876712328767126</v>
      </c>
      <c r="K72" s="3" t="e">
        <f t="shared" ref="K72" si="222">155*5.5/5000*F72</f>
        <v>#VALUE!</v>
      </c>
      <c r="L72" s="3" t="e">
        <f t="shared" si="164"/>
        <v>#VALUE!</v>
      </c>
      <c r="M72" s="3" t="e">
        <f t="shared" si="165"/>
        <v>#VALUE!</v>
      </c>
      <c r="N72" s="3" t="e">
        <f t="shared" ref="N55:N74" si="223">220/10000*F72</f>
        <v>#VALUE!</v>
      </c>
      <c r="O72" s="3">
        <f t="shared" si="26"/>
        <v>102.56410256410255</v>
      </c>
      <c r="P72" s="3" t="e">
        <f t="shared" ref="P72" si="224">SUM(G72:O72)</f>
        <v>#VALUE!</v>
      </c>
    </row>
    <row r="73" spans="1:16" ht="242.25" customHeight="1" x14ac:dyDescent="0.5">
      <c r="A73" s="12" t="s">
        <v>16</v>
      </c>
      <c r="B73" s="12">
        <v>2694</v>
      </c>
      <c r="C73" s="6" t="s">
        <v>83</v>
      </c>
      <c r="D73" s="6">
        <v>300049</v>
      </c>
      <c r="E73" s="6">
        <v>300164</v>
      </c>
      <c r="F73" s="9">
        <f t="shared" si="10"/>
        <v>115</v>
      </c>
      <c r="G73" s="3">
        <f t="shared" ref="G73:G75" si="225">1300000/10/365/3</f>
        <v>118.72146118721462</v>
      </c>
      <c r="H73" s="3">
        <f t="shared" si="220"/>
        <v>294.6875</v>
      </c>
      <c r="I73" s="3">
        <f t="shared" ref="I73:I75" si="226">8650/50000*F73*6</f>
        <v>119.37</v>
      </c>
      <c r="J73" s="3">
        <f t="shared" si="21"/>
        <v>3.2876712328767126</v>
      </c>
      <c r="K73" s="3">
        <f t="shared" ref="K73:K75" si="227">155*8/5000*F73</f>
        <v>28.52</v>
      </c>
      <c r="L73" s="3">
        <f t="shared" si="164"/>
        <v>2.7600000000000002</v>
      </c>
      <c r="M73" s="3">
        <f t="shared" si="165"/>
        <v>2.1850000000000001</v>
      </c>
      <c r="N73" s="3">
        <f t="shared" ref="N73:N75" si="228">350/10000*F73</f>
        <v>4.0250000000000004</v>
      </c>
      <c r="O73" s="3">
        <f t="shared" si="26"/>
        <v>102.56410256410255</v>
      </c>
      <c r="P73" s="3">
        <f t="shared" ref="P73:P75" si="229">SUM(G73:O73)</f>
        <v>676.12073498419386</v>
      </c>
    </row>
    <row r="74" spans="1:16" ht="242.25" customHeight="1" x14ac:dyDescent="0.5">
      <c r="A74" s="12" t="s">
        <v>16</v>
      </c>
      <c r="B74" s="12">
        <v>5898</v>
      </c>
      <c r="C74" s="6" t="s">
        <v>84</v>
      </c>
      <c r="D74" s="6">
        <v>111035</v>
      </c>
      <c r="E74" s="6">
        <v>111067</v>
      </c>
      <c r="F74" s="9">
        <f t="shared" si="10"/>
        <v>32</v>
      </c>
      <c r="G74" s="3">
        <f t="shared" si="225"/>
        <v>118.72146118721462</v>
      </c>
      <c r="H74" s="3">
        <f t="shared" si="220"/>
        <v>82</v>
      </c>
      <c r="I74" s="3">
        <f t="shared" si="226"/>
        <v>33.215999999999994</v>
      </c>
      <c r="J74" s="3">
        <f t="shared" ref="J74:J75" si="230">3600/365/3</f>
        <v>3.2876712328767126</v>
      </c>
      <c r="K74" s="3">
        <f t="shared" si="227"/>
        <v>7.9359999999999999</v>
      </c>
      <c r="L74" s="3">
        <f t="shared" si="164"/>
        <v>0.76800000000000002</v>
      </c>
      <c r="M74" s="3">
        <f t="shared" si="165"/>
        <v>0.60799999999999998</v>
      </c>
      <c r="N74" s="3">
        <f t="shared" si="228"/>
        <v>1.1200000000000001</v>
      </c>
      <c r="O74" s="3">
        <f t="shared" si="26"/>
        <v>102.56410256410255</v>
      </c>
      <c r="P74" s="3">
        <f t="shared" si="229"/>
        <v>350.22123498419393</v>
      </c>
    </row>
    <row r="75" spans="1:16" ht="242.25" customHeight="1" x14ac:dyDescent="0.5">
      <c r="A75" s="12" t="s">
        <v>16</v>
      </c>
      <c r="B75" s="12">
        <v>1537</v>
      </c>
      <c r="C75" s="6" t="s">
        <v>85</v>
      </c>
      <c r="D75" s="6">
        <v>243163</v>
      </c>
      <c r="E75" s="6">
        <v>243185</v>
      </c>
      <c r="F75" s="9">
        <f t="shared" si="10"/>
        <v>22</v>
      </c>
      <c r="G75" s="3">
        <f t="shared" si="225"/>
        <v>118.72146118721462</v>
      </c>
      <c r="H75" s="3">
        <f t="shared" si="220"/>
        <v>56.375</v>
      </c>
      <c r="I75" s="3">
        <f t="shared" si="226"/>
        <v>22.835999999999999</v>
      </c>
      <c r="J75" s="3">
        <f t="shared" si="230"/>
        <v>3.2876712328767126</v>
      </c>
      <c r="K75" s="3">
        <f t="shared" si="227"/>
        <v>5.4559999999999995</v>
      </c>
      <c r="L75" s="3">
        <f t="shared" si="164"/>
        <v>0.52800000000000002</v>
      </c>
      <c r="M75" s="3">
        <f t="shared" si="165"/>
        <v>0.41799999999999998</v>
      </c>
      <c r="N75" s="3">
        <f t="shared" si="228"/>
        <v>0.77</v>
      </c>
      <c r="O75" s="3">
        <f t="shared" si="26"/>
        <v>102.56410256410255</v>
      </c>
      <c r="P75" s="3">
        <f t="shared" si="229"/>
        <v>310.95623498419388</v>
      </c>
    </row>
    <row r="76" spans="1:16" ht="242.25" customHeight="1" x14ac:dyDescent="0.5">
      <c r="A76" s="12" t="s">
        <v>17</v>
      </c>
      <c r="B76" s="12">
        <v>2474</v>
      </c>
      <c r="C76" s="6" t="s">
        <v>86</v>
      </c>
      <c r="D76" s="6">
        <v>42056</v>
      </c>
      <c r="E76" s="6">
        <v>42174</v>
      </c>
      <c r="F76" s="9">
        <f t="shared" si="10"/>
        <v>118</v>
      </c>
      <c r="G76" s="3">
        <f t="shared" ref="G76:G77" si="231">1000000/10/365/3</f>
        <v>91.324200913242009</v>
      </c>
      <c r="H76" s="3">
        <f t="shared" ref="H72:H80" si="232">F76/8*20.5</f>
        <v>302.375</v>
      </c>
      <c r="I76" s="3">
        <f t="shared" ref="I76:I77" si="233">5500/50000*F76*3</f>
        <v>38.94</v>
      </c>
      <c r="J76" s="3">
        <f t="shared" ref="J72:J80" si="234">3600/365/3</f>
        <v>3.2876712328767126</v>
      </c>
      <c r="K76" s="3">
        <f t="shared" ref="K76:K77" si="235">155*5.5/5000*F76</f>
        <v>20.119</v>
      </c>
      <c r="L76" s="3">
        <f t="shared" si="164"/>
        <v>2.8319999999999999</v>
      </c>
      <c r="M76" s="3">
        <f t="shared" si="165"/>
        <v>2.242</v>
      </c>
      <c r="N76" s="3">
        <f t="shared" ref="N76:N77" si="236">220/10000*F76</f>
        <v>2.5959999999999996</v>
      </c>
      <c r="O76" s="3">
        <f t="shared" si="26"/>
        <v>102.56410256410255</v>
      </c>
      <c r="P76" s="3">
        <f t="shared" ref="P76:P77" si="237">SUM(G76:O76)</f>
        <v>566.27997471022138</v>
      </c>
    </row>
    <row r="77" spans="1:16" ht="242.25" customHeight="1" x14ac:dyDescent="0.5">
      <c r="A77" s="12" t="s">
        <v>17</v>
      </c>
      <c r="B77" s="12">
        <v>634</v>
      </c>
      <c r="C77" s="6" t="s">
        <v>87</v>
      </c>
      <c r="D77" s="6">
        <v>450413</v>
      </c>
      <c r="E77" s="6">
        <v>450455</v>
      </c>
      <c r="F77" s="9">
        <f t="shared" si="10"/>
        <v>42</v>
      </c>
      <c r="G77" s="3">
        <f t="shared" si="231"/>
        <v>91.324200913242009</v>
      </c>
      <c r="H77" s="3">
        <f t="shared" si="232"/>
        <v>107.625</v>
      </c>
      <c r="I77" s="3">
        <f t="shared" si="233"/>
        <v>13.86</v>
      </c>
      <c r="J77" s="3">
        <f t="shared" si="234"/>
        <v>3.2876712328767126</v>
      </c>
      <c r="K77" s="3">
        <f t="shared" si="235"/>
        <v>7.1610000000000005</v>
      </c>
      <c r="L77" s="3">
        <f t="shared" si="164"/>
        <v>1.008</v>
      </c>
      <c r="M77" s="3">
        <f t="shared" si="165"/>
        <v>0.79799999999999993</v>
      </c>
      <c r="N77" s="3">
        <f t="shared" si="236"/>
        <v>0.92399999999999993</v>
      </c>
      <c r="O77" s="3">
        <f t="shared" si="26"/>
        <v>102.56410256410255</v>
      </c>
      <c r="P77" s="3">
        <f t="shared" si="237"/>
        <v>328.55197471022132</v>
      </c>
    </row>
    <row r="78" spans="1:16" s="2" customFormat="1" ht="242.25" customHeight="1" x14ac:dyDescent="0.5">
      <c r="A78" s="12" t="s">
        <v>43</v>
      </c>
      <c r="B78" s="12">
        <v>293</v>
      </c>
      <c r="C78" s="6" t="s">
        <v>88</v>
      </c>
      <c r="D78" s="6">
        <v>555478</v>
      </c>
      <c r="E78" s="6">
        <v>555511</v>
      </c>
      <c r="F78" s="9">
        <f t="shared" si="10"/>
        <v>33</v>
      </c>
      <c r="G78" s="3">
        <f t="shared" ref="G78" si="238">1300000/10/365/3</f>
        <v>118.72146118721462</v>
      </c>
      <c r="H78" s="3">
        <f t="shared" si="232"/>
        <v>84.5625</v>
      </c>
      <c r="I78" s="3">
        <f t="shared" ref="I78" si="239">8650/50000*F78*6</f>
        <v>34.253999999999998</v>
      </c>
      <c r="J78" s="3">
        <f>3600/365/3*2</f>
        <v>6.5753424657534252</v>
      </c>
      <c r="K78" s="3">
        <f>155*9.5/5000*F78</f>
        <v>9.7184999999999988</v>
      </c>
      <c r="L78" s="3">
        <f t="shared" si="164"/>
        <v>0.79200000000000004</v>
      </c>
      <c r="M78" s="3">
        <f t="shared" si="165"/>
        <v>0.627</v>
      </c>
      <c r="N78" s="3">
        <f t="shared" ref="N78" si="240">350/10000*F78</f>
        <v>1.155</v>
      </c>
      <c r="O78" s="3">
        <f t="shared" si="26"/>
        <v>102.56410256410255</v>
      </c>
      <c r="P78" s="3">
        <f t="shared" ref="P78" si="241">SUM(G78:O78)</f>
        <v>358.96990621707062</v>
      </c>
    </row>
    <row r="79" spans="1:16" ht="242.25" customHeight="1" x14ac:dyDescent="0.5">
      <c r="A79" s="12" t="s">
        <v>35</v>
      </c>
      <c r="B79" s="12">
        <v>586</v>
      </c>
      <c r="C79" s="6" t="s">
        <v>77</v>
      </c>
      <c r="D79" s="6">
        <v>72659</v>
      </c>
      <c r="E79" s="6">
        <v>72670</v>
      </c>
      <c r="F79" s="9">
        <f t="shared" si="10"/>
        <v>11</v>
      </c>
      <c r="G79" s="3">
        <f t="shared" ref="G79" si="242">750000/10/365/3</f>
        <v>68.493150684931507</v>
      </c>
      <c r="H79" s="3">
        <f t="shared" ref="H79" si="243">F79/8*22.25</f>
        <v>30.59375</v>
      </c>
      <c r="I79" s="3">
        <f t="shared" ref="I79" si="244">2500/50000*F79*3</f>
        <v>1.6500000000000001</v>
      </c>
      <c r="J79" s="3">
        <f t="shared" ref="J79" si="245">2800/365/3</f>
        <v>2.5570776255707761</v>
      </c>
      <c r="K79" s="3">
        <f t="shared" ref="K79" si="246">155*4/5000*F79</f>
        <v>1.3639999999999999</v>
      </c>
      <c r="L79" s="3">
        <f t="shared" si="164"/>
        <v>0.26400000000000001</v>
      </c>
      <c r="M79" s="3">
        <f t="shared" si="165"/>
        <v>0.20899999999999999</v>
      </c>
      <c r="N79" s="3">
        <f t="shared" ref="N79" si="247">220/10000*F79</f>
        <v>0.24199999999999999</v>
      </c>
      <c r="O79" s="3">
        <f t="shared" si="26"/>
        <v>102.56410256410255</v>
      </c>
      <c r="P79" s="3">
        <f t="shared" ref="P75:P84" si="248">SUM(G79:O79)</f>
        <v>207.93708087460485</v>
      </c>
    </row>
    <row r="80" spans="1:16" ht="242.25" customHeight="1" x14ac:dyDescent="0.5">
      <c r="A80" s="12" t="s">
        <v>16</v>
      </c>
      <c r="B80" s="12">
        <v>3495</v>
      </c>
      <c r="C80" s="6" t="s">
        <v>75</v>
      </c>
      <c r="D80" s="6">
        <v>295072</v>
      </c>
      <c r="E80" s="6">
        <v>295097</v>
      </c>
      <c r="F80" s="9">
        <f t="shared" si="10"/>
        <v>25</v>
      </c>
      <c r="G80" s="3">
        <f t="shared" ref="G80:G84" si="249">1300000/10/365/3</f>
        <v>118.72146118721462</v>
      </c>
      <c r="H80" s="3">
        <f t="shared" ref="H80:H84" si="250">F80/8*20.5</f>
        <v>64.0625</v>
      </c>
      <c r="I80" s="3">
        <f t="shared" ref="I80:I84" si="251">8650/50000*F80*6</f>
        <v>25.949999999999996</v>
      </c>
      <c r="J80" s="3">
        <f t="shared" ref="J80:J84" si="252">3600/365/3</f>
        <v>3.2876712328767126</v>
      </c>
      <c r="K80" s="3">
        <f t="shared" ref="K80:K84" si="253">155*8/5000*F80</f>
        <v>6.2</v>
      </c>
      <c r="L80" s="3">
        <f t="shared" si="164"/>
        <v>0.6</v>
      </c>
      <c r="M80" s="3">
        <f t="shared" si="165"/>
        <v>0.47499999999999998</v>
      </c>
      <c r="N80" s="3">
        <f t="shared" ref="N80:N84" si="254">350/10000*F80</f>
        <v>0.87500000000000011</v>
      </c>
      <c r="O80" s="3">
        <f t="shared" si="26"/>
        <v>102.56410256410255</v>
      </c>
      <c r="P80" s="3">
        <f t="shared" si="248"/>
        <v>322.73573498419387</v>
      </c>
    </row>
    <row r="81" spans="1:16" ht="242.25" customHeight="1" x14ac:dyDescent="0.5">
      <c r="A81" s="12" t="s">
        <v>16</v>
      </c>
      <c r="B81" s="12">
        <v>2917</v>
      </c>
      <c r="C81" s="6" t="s">
        <v>89</v>
      </c>
      <c r="D81" s="6">
        <v>157757</v>
      </c>
      <c r="E81" s="6">
        <v>157849</v>
      </c>
      <c r="F81" s="9">
        <f t="shared" si="10"/>
        <v>92</v>
      </c>
      <c r="G81" s="3">
        <f t="shared" si="249"/>
        <v>118.72146118721462</v>
      </c>
      <c r="H81" s="3">
        <f t="shared" si="250"/>
        <v>235.75</v>
      </c>
      <c r="I81" s="3">
        <f t="shared" si="251"/>
        <v>95.495999999999995</v>
      </c>
      <c r="J81" s="3">
        <f t="shared" si="252"/>
        <v>3.2876712328767126</v>
      </c>
      <c r="K81" s="3">
        <f t="shared" si="253"/>
        <v>22.815999999999999</v>
      </c>
      <c r="L81" s="3">
        <f t="shared" si="164"/>
        <v>2.2080000000000002</v>
      </c>
      <c r="M81" s="3">
        <f t="shared" si="165"/>
        <v>1.748</v>
      </c>
      <c r="N81" s="3">
        <f t="shared" si="254"/>
        <v>3.22</v>
      </c>
      <c r="O81" s="3">
        <f t="shared" si="26"/>
        <v>102.56410256410255</v>
      </c>
      <c r="P81" s="3">
        <f t="shared" si="248"/>
        <v>585.8112349841939</v>
      </c>
    </row>
    <row r="82" spans="1:16" ht="242.25" customHeight="1" x14ac:dyDescent="0.5">
      <c r="A82" s="12" t="s">
        <v>16</v>
      </c>
      <c r="B82" s="12">
        <v>1451</v>
      </c>
      <c r="C82" s="6" t="s">
        <v>90</v>
      </c>
      <c r="D82" s="6">
        <v>42999</v>
      </c>
      <c r="E82" s="6">
        <v>43010</v>
      </c>
      <c r="F82" s="9">
        <f t="shared" ref="F82:F153" si="255">E82-D82</f>
        <v>11</v>
      </c>
      <c r="G82" s="3">
        <f t="shared" si="249"/>
        <v>118.72146118721462</v>
      </c>
      <c r="H82" s="3">
        <f t="shared" si="250"/>
        <v>28.1875</v>
      </c>
      <c r="I82" s="3">
        <f t="shared" si="251"/>
        <v>11.417999999999999</v>
      </c>
      <c r="J82" s="3">
        <f t="shared" si="252"/>
        <v>3.2876712328767126</v>
      </c>
      <c r="K82" s="3">
        <f t="shared" si="253"/>
        <v>2.7279999999999998</v>
      </c>
      <c r="L82" s="3">
        <f t="shared" si="164"/>
        <v>0.26400000000000001</v>
      </c>
      <c r="M82" s="3">
        <f t="shared" si="165"/>
        <v>0.20899999999999999</v>
      </c>
      <c r="N82" s="3">
        <f t="shared" si="254"/>
        <v>0.38500000000000001</v>
      </c>
      <c r="O82" s="3">
        <f t="shared" si="26"/>
        <v>102.56410256410255</v>
      </c>
      <c r="P82" s="3">
        <f t="shared" si="248"/>
        <v>267.76473498419392</v>
      </c>
    </row>
    <row r="83" spans="1:16" ht="242.25" customHeight="1" x14ac:dyDescent="0.5">
      <c r="A83" s="12" t="s">
        <v>16</v>
      </c>
      <c r="B83" s="12">
        <v>3492</v>
      </c>
      <c r="C83" s="6" t="s">
        <v>47</v>
      </c>
      <c r="D83" s="6">
        <v>285437</v>
      </c>
      <c r="E83" s="6">
        <v>285441</v>
      </c>
      <c r="F83" s="9">
        <f t="shared" si="255"/>
        <v>4</v>
      </c>
      <c r="G83" s="3">
        <f t="shared" si="249"/>
        <v>118.72146118721462</v>
      </c>
      <c r="H83" s="3">
        <f t="shared" si="250"/>
        <v>10.25</v>
      </c>
      <c r="I83" s="3">
        <f t="shared" si="251"/>
        <v>4.1519999999999992</v>
      </c>
      <c r="J83" s="3">
        <f t="shared" si="252"/>
        <v>3.2876712328767126</v>
      </c>
      <c r="K83" s="3">
        <f t="shared" si="253"/>
        <v>0.99199999999999999</v>
      </c>
      <c r="L83" s="3">
        <f t="shared" si="164"/>
        <v>9.6000000000000002E-2</v>
      </c>
      <c r="M83" s="3">
        <f t="shared" si="165"/>
        <v>7.5999999999999998E-2</v>
      </c>
      <c r="N83" s="3">
        <f t="shared" si="254"/>
        <v>0.14000000000000001</v>
      </c>
      <c r="O83" s="3">
        <f t="shared" si="26"/>
        <v>102.56410256410255</v>
      </c>
      <c r="P83" s="3">
        <f t="shared" si="248"/>
        <v>240.27923498419386</v>
      </c>
    </row>
    <row r="84" spans="1:16" ht="242.25" customHeight="1" x14ac:dyDescent="0.5">
      <c r="A84" s="12" t="s">
        <v>16</v>
      </c>
      <c r="B84" s="12">
        <v>4987</v>
      </c>
      <c r="C84" s="6" t="s">
        <v>47</v>
      </c>
      <c r="D84" s="6">
        <v>335892</v>
      </c>
      <c r="E84" s="6">
        <v>335896</v>
      </c>
      <c r="F84" s="9">
        <f t="shared" si="255"/>
        <v>4</v>
      </c>
      <c r="G84" s="3">
        <f t="shared" si="249"/>
        <v>118.72146118721462</v>
      </c>
      <c r="H84" s="3">
        <f t="shared" si="250"/>
        <v>10.25</v>
      </c>
      <c r="I84" s="3">
        <f t="shared" si="251"/>
        <v>4.1519999999999992</v>
      </c>
      <c r="J84" s="3">
        <f t="shared" si="252"/>
        <v>3.2876712328767126</v>
      </c>
      <c r="K84" s="3">
        <f t="shared" si="253"/>
        <v>0.99199999999999999</v>
      </c>
      <c r="L84" s="3">
        <f t="shared" si="164"/>
        <v>9.6000000000000002E-2</v>
      </c>
      <c r="M84" s="3">
        <f t="shared" si="165"/>
        <v>7.5999999999999998E-2</v>
      </c>
      <c r="N84" s="3">
        <f t="shared" si="254"/>
        <v>0.14000000000000001</v>
      </c>
      <c r="O84" s="3">
        <f t="shared" si="26"/>
        <v>102.56410256410255</v>
      </c>
      <c r="P84" s="3">
        <f t="shared" si="248"/>
        <v>240.27923498419386</v>
      </c>
    </row>
    <row r="85" spans="1:16" ht="242.25" customHeight="1" x14ac:dyDescent="0.5">
      <c r="A85" s="12" t="s">
        <v>17</v>
      </c>
      <c r="B85" s="12">
        <v>315</v>
      </c>
      <c r="C85" s="6" t="s">
        <v>34</v>
      </c>
      <c r="D85" s="6">
        <v>545115</v>
      </c>
      <c r="E85" s="6">
        <v>545122</v>
      </c>
      <c r="F85" s="9">
        <f t="shared" si="255"/>
        <v>7</v>
      </c>
      <c r="G85" s="3">
        <f t="shared" ref="G85" si="256">1000000/10/365/3</f>
        <v>91.324200913242009</v>
      </c>
      <c r="H85" s="3">
        <f t="shared" ref="H81:H86" si="257">F85/8*20.5</f>
        <v>17.9375</v>
      </c>
      <c r="I85" s="3">
        <f t="shared" ref="I85" si="258">5500/50000*F85*3</f>
        <v>2.31</v>
      </c>
      <c r="J85" s="3">
        <f t="shared" ref="J81:J86" si="259">3600/365/3</f>
        <v>3.2876712328767126</v>
      </c>
      <c r="K85" s="3">
        <f t="shared" ref="K85" si="260">155*5.5/5000*F85</f>
        <v>1.1935</v>
      </c>
      <c r="L85" s="3">
        <f t="shared" ref="L81:L86" si="261">120/5000*F85</f>
        <v>0.16800000000000001</v>
      </c>
      <c r="M85" s="3">
        <f t="shared" ref="M81:M86" si="262">95/5000*F85</f>
        <v>0.13300000000000001</v>
      </c>
      <c r="N85" s="3">
        <f t="shared" ref="N85" si="263">220/10000*F85</f>
        <v>0.154</v>
      </c>
      <c r="O85" s="3">
        <f t="shared" si="26"/>
        <v>102.56410256410255</v>
      </c>
      <c r="P85" s="3">
        <f t="shared" ref="P85" si="264">SUM(G85:O85)</f>
        <v>219.0719747102213</v>
      </c>
    </row>
    <row r="86" spans="1:16" ht="242.25" customHeight="1" x14ac:dyDescent="0.5">
      <c r="A86" s="12" t="s">
        <v>16</v>
      </c>
      <c r="B86" s="12">
        <v>3891</v>
      </c>
      <c r="C86" s="6" t="s">
        <v>91</v>
      </c>
      <c r="D86" s="6">
        <v>291507</v>
      </c>
      <c r="E86" s="6">
        <v>291532</v>
      </c>
      <c r="F86" s="9">
        <f t="shared" si="255"/>
        <v>25</v>
      </c>
      <c r="G86" s="3">
        <f t="shared" ref="G86" si="265">1300000/10/365/3</f>
        <v>118.72146118721462</v>
      </c>
      <c r="H86" s="3">
        <f t="shared" si="257"/>
        <v>64.0625</v>
      </c>
      <c r="I86" s="3">
        <f t="shared" ref="I86" si="266">8650/50000*F86*6</f>
        <v>25.949999999999996</v>
      </c>
      <c r="J86" s="3">
        <f t="shared" si="259"/>
        <v>3.2876712328767126</v>
      </c>
      <c r="K86" s="3">
        <f t="shared" ref="K86" si="267">155*8/5000*F86</f>
        <v>6.2</v>
      </c>
      <c r="L86" s="3">
        <f t="shared" si="261"/>
        <v>0.6</v>
      </c>
      <c r="M86" s="3">
        <f t="shared" si="262"/>
        <v>0.47499999999999998</v>
      </c>
      <c r="N86" s="3">
        <f t="shared" ref="N86" si="268">350/10000*F86</f>
        <v>0.87500000000000011</v>
      </c>
      <c r="O86" s="3">
        <f t="shared" si="26"/>
        <v>102.56410256410255</v>
      </c>
      <c r="P86" s="3">
        <f t="shared" ref="P86" si="269">SUM(G86:O86)</f>
        <v>322.73573498419387</v>
      </c>
    </row>
    <row r="87" spans="1:16" ht="242.25" customHeight="1" x14ac:dyDescent="0.5">
      <c r="A87" s="12" t="s">
        <v>48</v>
      </c>
      <c r="B87" s="12">
        <v>3625</v>
      </c>
      <c r="C87" s="6" t="s">
        <v>92</v>
      </c>
      <c r="D87" s="6">
        <v>673130</v>
      </c>
      <c r="E87" s="6">
        <v>673244</v>
      </c>
      <c r="F87" s="9">
        <f t="shared" si="255"/>
        <v>114</v>
      </c>
      <c r="G87" s="3">
        <f t="shared" ref="G86:G89" si="270">1000000/10/365/3</f>
        <v>91.324200913242009</v>
      </c>
      <c r="H87" s="3">
        <f t="shared" ref="H86:H90" si="271">F87/8*20.5</f>
        <v>292.125</v>
      </c>
      <c r="I87" s="3">
        <f t="shared" ref="I86:I89" si="272">5500/50000*F87*3</f>
        <v>37.620000000000005</v>
      </c>
      <c r="J87" s="3">
        <f t="shared" ref="J86:J90" si="273">3600/365/3</f>
        <v>3.2876712328767126</v>
      </c>
      <c r="K87" s="3">
        <f t="shared" ref="K86:K89" si="274">155*5.5/5000*F87</f>
        <v>19.437000000000001</v>
      </c>
      <c r="L87" s="3">
        <f t="shared" ref="L85:L94" si="275">120/5000*F87</f>
        <v>2.7360000000000002</v>
      </c>
      <c r="M87" s="3">
        <f t="shared" ref="M85:M94" si="276">95/5000*F87</f>
        <v>2.1659999999999999</v>
      </c>
      <c r="N87" s="3">
        <f t="shared" ref="N85:N93" si="277">220/10000*F87</f>
        <v>2.508</v>
      </c>
      <c r="O87" s="3">
        <f t="shared" si="26"/>
        <v>102.56410256410255</v>
      </c>
      <c r="P87" s="3">
        <f t="shared" ref="P86:P89" si="278">SUM(G87:O87)</f>
        <v>553.76797471022132</v>
      </c>
    </row>
    <row r="88" spans="1:16" ht="242.25" customHeight="1" x14ac:dyDescent="0.5">
      <c r="A88" s="12" t="s">
        <v>17</v>
      </c>
      <c r="B88" s="12">
        <v>3787</v>
      </c>
      <c r="C88" s="6" t="s">
        <v>79</v>
      </c>
      <c r="D88" s="6">
        <v>36175</v>
      </c>
      <c r="E88" s="6">
        <v>36176</v>
      </c>
      <c r="F88" s="9">
        <f t="shared" si="255"/>
        <v>1</v>
      </c>
      <c r="G88" s="3">
        <f t="shared" si="270"/>
        <v>91.324200913242009</v>
      </c>
      <c r="H88" s="3">
        <f t="shared" si="271"/>
        <v>2.5625</v>
      </c>
      <c r="I88" s="3">
        <f t="shared" si="272"/>
        <v>0.33</v>
      </c>
      <c r="J88" s="3">
        <f t="shared" si="273"/>
        <v>3.2876712328767126</v>
      </c>
      <c r="K88" s="3">
        <f t="shared" si="274"/>
        <v>0.17050000000000001</v>
      </c>
      <c r="L88" s="3">
        <f t="shared" si="275"/>
        <v>2.4E-2</v>
      </c>
      <c r="M88" s="3">
        <f t="shared" si="276"/>
        <v>1.9E-2</v>
      </c>
      <c r="N88" s="3">
        <f t="shared" si="277"/>
        <v>2.1999999999999999E-2</v>
      </c>
      <c r="O88" s="3">
        <f t="shared" si="26"/>
        <v>102.56410256410255</v>
      </c>
      <c r="P88" s="3">
        <f t="shared" si="278"/>
        <v>200.3039747102213</v>
      </c>
    </row>
    <row r="89" spans="1:16" ht="242.25" customHeight="1" x14ac:dyDescent="0.5">
      <c r="A89" s="12" t="s">
        <v>17</v>
      </c>
      <c r="B89" s="12">
        <v>3793</v>
      </c>
      <c r="C89" s="6" t="s">
        <v>51</v>
      </c>
      <c r="D89" s="6">
        <v>34878</v>
      </c>
      <c r="E89" s="6">
        <v>35021</v>
      </c>
      <c r="F89" s="9">
        <f t="shared" si="255"/>
        <v>143</v>
      </c>
      <c r="G89" s="3">
        <f t="shared" si="270"/>
        <v>91.324200913242009</v>
      </c>
      <c r="H89" s="3">
        <f t="shared" si="271"/>
        <v>366.4375</v>
      </c>
      <c r="I89" s="3">
        <f t="shared" si="272"/>
        <v>47.19</v>
      </c>
      <c r="J89" s="3">
        <f t="shared" si="273"/>
        <v>3.2876712328767126</v>
      </c>
      <c r="K89" s="3">
        <f t="shared" si="274"/>
        <v>24.381500000000003</v>
      </c>
      <c r="L89" s="3">
        <f t="shared" si="275"/>
        <v>3.4319999999999999</v>
      </c>
      <c r="M89" s="3">
        <f t="shared" si="276"/>
        <v>2.7170000000000001</v>
      </c>
      <c r="N89" s="3">
        <f t="shared" si="277"/>
        <v>3.1459999999999999</v>
      </c>
      <c r="O89" s="3">
        <f t="shared" si="26"/>
        <v>102.56410256410255</v>
      </c>
      <c r="P89" s="3">
        <f t="shared" si="278"/>
        <v>644.4799747102212</v>
      </c>
    </row>
    <row r="90" spans="1:16" ht="242.25" customHeight="1" x14ac:dyDescent="0.5">
      <c r="A90" s="12" t="s">
        <v>16</v>
      </c>
      <c r="B90" s="12">
        <v>7464</v>
      </c>
      <c r="C90" s="6" t="s">
        <v>32</v>
      </c>
      <c r="D90" s="6">
        <v>98770</v>
      </c>
      <c r="E90" s="6">
        <v>98778</v>
      </c>
      <c r="F90" s="9">
        <f t="shared" si="255"/>
        <v>8</v>
      </c>
      <c r="G90" s="3">
        <f t="shared" ref="G90" si="279">1300000/10/365/3</f>
        <v>118.72146118721462</v>
      </c>
      <c r="H90" s="3">
        <f t="shared" si="271"/>
        <v>20.5</v>
      </c>
      <c r="I90" s="3">
        <f t="shared" ref="I90" si="280">8650/50000*F90*6</f>
        <v>8.3039999999999985</v>
      </c>
      <c r="J90" s="3">
        <f t="shared" si="273"/>
        <v>3.2876712328767126</v>
      </c>
      <c r="K90" s="3">
        <f t="shared" ref="K90" si="281">155*8/5000*F90</f>
        <v>1.984</v>
      </c>
      <c r="L90" s="3">
        <f t="shared" si="275"/>
        <v>0.192</v>
      </c>
      <c r="M90" s="3">
        <f t="shared" si="276"/>
        <v>0.152</v>
      </c>
      <c r="N90" s="3">
        <f t="shared" ref="N90" si="282">350/10000*F90</f>
        <v>0.28000000000000003</v>
      </c>
      <c r="O90" s="3">
        <f t="shared" si="26"/>
        <v>102.56410256410255</v>
      </c>
      <c r="P90" s="3">
        <f t="shared" ref="P90" si="283">SUM(G90:O90)</f>
        <v>255.98523498419388</v>
      </c>
    </row>
    <row r="91" spans="1:16" ht="242.25" customHeight="1" x14ac:dyDescent="0.5">
      <c r="A91" s="12" t="s">
        <v>17</v>
      </c>
      <c r="B91" s="12">
        <v>3783</v>
      </c>
      <c r="C91" s="6" t="s">
        <v>93</v>
      </c>
      <c r="D91" s="6">
        <v>33993</v>
      </c>
      <c r="E91" s="6">
        <v>34081</v>
      </c>
      <c r="F91" s="9">
        <f t="shared" si="255"/>
        <v>88</v>
      </c>
      <c r="G91" s="3">
        <f t="shared" ref="G90:G92" si="284">1000000/10/365/3</f>
        <v>91.324200913242009</v>
      </c>
      <c r="H91" s="3">
        <f t="shared" ref="H90:H92" si="285">F91/8*20.5</f>
        <v>225.5</v>
      </c>
      <c r="I91" s="3">
        <f t="shared" ref="I90:I92" si="286">5500/50000*F91*3</f>
        <v>29.04</v>
      </c>
      <c r="J91" s="3">
        <f t="shared" ref="J90:J92" si="287">3600/365/3</f>
        <v>3.2876712328767126</v>
      </c>
      <c r="K91" s="3">
        <f t="shared" ref="K90:K92" si="288">155*5.5/5000*F91</f>
        <v>15.004000000000001</v>
      </c>
      <c r="L91" s="3">
        <f t="shared" si="275"/>
        <v>2.1120000000000001</v>
      </c>
      <c r="M91" s="3">
        <f t="shared" si="276"/>
        <v>1.6719999999999999</v>
      </c>
      <c r="N91" s="3">
        <f t="shared" si="277"/>
        <v>1.9359999999999999</v>
      </c>
      <c r="O91" s="3">
        <f t="shared" si="26"/>
        <v>102.56410256410255</v>
      </c>
      <c r="P91" s="3">
        <f t="shared" ref="P90:P92" si="289">SUM(G91:O91)</f>
        <v>472.43997471022135</v>
      </c>
    </row>
    <row r="92" spans="1:16" ht="242.25" customHeight="1" x14ac:dyDescent="0.5">
      <c r="A92" s="12" t="s">
        <v>36</v>
      </c>
      <c r="B92" s="12">
        <v>246</v>
      </c>
      <c r="C92" s="6" t="s">
        <v>94</v>
      </c>
      <c r="D92" s="6">
        <v>72018</v>
      </c>
      <c r="E92" s="6">
        <v>72022</v>
      </c>
      <c r="F92" s="9">
        <f t="shared" si="255"/>
        <v>4</v>
      </c>
      <c r="G92" s="3">
        <f t="shared" ref="G92" si="290">750000/10/365/3</f>
        <v>68.493150684931507</v>
      </c>
      <c r="H92" s="3">
        <f t="shared" ref="H92" si="291">F92/8*22.25</f>
        <v>11.125</v>
      </c>
      <c r="I92" s="3">
        <f t="shared" ref="I92" si="292">2500/50000*F92*3</f>
        <v>0.60000000000000009</v>
      </c>
      <c r="J92" s="3">
        <f t="shared" ref="J92" si="293">2800/365/3</f>
        <v>2.5570776255707761</v>
      </c>
      <c r="K92" s="3">
        <f t="shared" ref="K92" si="294">155*4/5000*F92</f>
        <v>0.496</v>
      </c>
      <c r="L92" s="3">
        <f t="shared" si="275"/>
        <v>9.6000000000000002E-2</v>
      </c>
      <c r="M92" s="3">
        <f t="shared" si="276"/>
        <v>7.5999999999999998E-2</v>
      </c>
      <c r="N92" s="3">
        <f t="shared" si="277"/>
        <v>8.7999999999999995E-2</v>
      </c>
      <c r="O92" s="3">
        <f t="shared" si="26"/>
        <v>102.56410256410255</v>
      </c>
      <c r="P92" s="3">
        <f t="shared" ref="P92" si="295">SUM(G92:O92)</f>
        <v>186.09533087460483</v>
      </c>
    </row>
    <row r="93" spans="1:16" ht="242.25" customHeight="1" x14ac:dyDescent="0.5">
      <c r="A93" s="12" t="s">
        <v>17</v>
      </c>
      <c r="B93" s="12">
        <v>3787</v>
      </c>
      <c r="C93" s="6" t="s">
        <v>95</v>
      </c>
      <c r="D93" s="6">
        <v>36176</v>
      </c>
      <c r="E93" s="6">
        <v>36206</v>
      </c>
      <c r="F93" s="9">
        <f t="shared" si="255"/>
        <v>30</v>
      </c>
      <c r="G93" s="3">
        <f t="shared" ref="G93" si="296">1000000/10/365/3</f>
        <v>91.324200913242009</v>
      </c>
      <c r="H93" s="3">
        <f t="shared" ref="H93:H94" si="297">F93/8*20.5</f>
        <v>76.875</v>
      </c>
      <c r="I93" s="3">
        <f t="shared" ref="I93" si="298">5500/50000*F93*3</f>
        <v>9.8999999999999986</v>
      </c>
      <c r="J93" s="3">
        <f t="shared" ref="J93:J94" si="299">3600/365/3</f>
        <v>3.2876712328767126</v>
      </c>
      <c r="K93" s="3">
        <f t="shared" ref="K93" si="300">155*5.5/5000*F93</f>
        <v>5.1150000000000002</v>
      </c>
      <c r="L93" s="3">
        <f t="shared" si="275"/>
        <v>0.72</v>
      </c>
      <c r="M93" s="3">
        <f t="shared" si="276"/>
        <v>0.56999999999999995</v>
      </c>
      <c r="N93" s="3">
        <f t="shared" si="277"/>
        <v>0.65999999999999992</v>
      </c>
      <c r="O93" s="3">
        <f t="shared" si="26"/>
        <v>102.56410256410255</v>
      </c>
      <c r="P93" s="3">
        <f t="shared" ref="P93" si="301">SUM(G93:O93)</f>
        <v>291.01597471022126</v>
      </c>
    </row>
    <row r="94" spans="1:16" ht="242.25" customHeight="1" x14ac:dyDescent="0.5">
      <c r="A94" s="12" t="s">
        <v>16</v>
      </c>
      <c r="B94" s="12">
        <v>3495</v>
      </c>
      <c r="C94" s="6" t="s">
        <v>47</v>
      </c>
      <c r="D94" s="6">
        <v>295097</v>
      </c>
      <c r="E94" s="6">
        <v>295101</v>
      </c>
      <c r="F94" s="9">
        <f t="shared" si="255"/>
        <v>4</v>
      </c>
      <c r="G94" s="3">
        <f t="shared" ref="G94" si="302">1300000/10/365/3</f>
        <v>118.72146118721462</v>
      </c>
      <c r="H94" s="3">
        <f t="shared" si="297"/>
        <v>10.25</v>
      </c>
      <c r="I94" s="3">
        <f t="shared" ref="I94" si="303">8650/50000*F94*6</f>
        <v>4.1519999999999992</v>
      </c>
      <c r="J94" s="3">
        <f t="shared" si="299"/>
        <v>3.2876712328767126</v>
      </c>
      <c r="K94" s="3">
        <f t="shared" ref="K94" si="304">155*8/5000*F94</f>
        <v>0.99199999999999999</v>
      </c>
      <c r="L94" s="3">
        <f t="shared" si="275"/>
        <v>9.6000000000000002E-2</v>
      </c>
      <c r="M94" s="3">
        <f t="shared" si="276"/>
        <v>7.5999999999999998E-2</v>
      </c>
      <c r="N94" s="3">
        <f t="shared" ref="N94" si="305">350/10000*F94</f>
        <v>0.14000000000000001</v>
      </c>
      <c r="O94" s="3">
        <f t="shared" si="26"/>
        <v>102.56410256410255</v>
      </c>
      <c r="P94" s="3">
        <f t="shared" ref="P94" si="306">SUM(G94:O94)</f>
        <v>240.27923498419386</v>
      </c>
    </row>
    <row r="95" spans="1:16" ht="242.25" customHeight="1" x14ac:dyDescent="0.5">
      <c r="A95" s="12" t="s">
        <v>17</v>
      </c>
      <c r="B95" s="12">
        <v>745</v>
      </c>
      <c r="C95" s="6" t="s">
        <v>96</v>
      </c>
      <c r="D95" s="6">
        <v>603907</v>
      </c>
      <c r="E95" s="6">
        <v>603944</v>
      </c>
      <c r="F95" s="9">
        <f t="shared" si="255"/>
        <v>37</v>
      </c>
      <c r="G95" s="3">
        <f t="shared" ref="G95" si="307">1000000/10/365/3</f>
        <v>91.324200913242009</v>
      </c>
      <c r="H95" s="3">
        <f t="shared" ref="H94:H95" si="308">F95/8*20.5</f>
        <v>94.8125</v>
      </c>
      <c r="I95" s="3">
        <f t="shared" ref="I95" si="309">5500/50000*F95*3</f>
        <v>12.21</v>
      </c>
      <c r="J95" s="3">
        <f t="shared" ref="J95" si="310">3600/365/3</f>
        <v>3.2876712328767126</v>
      </c>
      <c r="K95" s="3">
        <f t="shared" ref="K95" si="311">155*5.5/5000*F95</f>
        <v>6.3085000000000004</v>
      </c>
      <c r="L95" s="3">
        <f t="shared" ref="L93:L95" si="312">120/5000*F95</f>
        <v>0.88800000000000001</v>
      </c>
      <c r="M95" s="3">
        <f t="shared" ref="M93:M95" si="313">95/5000*F95</f>
        <v>0.70299999999999996</v>
      </c>
      <c r="N95" s="3">
        <f t="shared" ref="N95" si="314">220/10000*F95</f>
        <v>0.81399999999999995</v>
      </c>
      <c r="O95" s="3">
        <f t="shared" si="26"/>
        <v>102.56410256410255</v>
      </c>
      <c r="P95" s="3">
        <f t="shared" ref="P95" si="315">SUM(G95:O95)</f>
        <v>312.91197471022127</v>
      </c>
    </row>
    <row r="96" spans="1:16" ht="242.25" customHeight="1" x14ac:dyDescent="0.5">
      <c r="A96" s="12" t="s">
        <v>29</v>
      </c>
      <c r="B96" s="12">
        <v>154</v>
      </c>
      <c r="C96" s="6" t="s">
        <v>97</v>
      </c>
      <c r="D96" s="6">
        <v>336134</v>
      </c>
      <c r="E96" s="6">
        <v>336161</v>
      </c>
      <c r="F96" s="9">
        <f t="shared" si="255"/>
        <v>27</v>
      </c>
      <c r="G96" s="3">
        <f t="shared" ref="G96" si="316">750000/10/365/3</f>
        <v>68.493150684931507</v>
      </c>
      <c r="H96" s="3">
        <f t="shared" ref="H96" si="317">F96/8*22.25</f>
        <v>75.09375</v>
      </c>
      <c r="I96" s="3">
        <f t="shared" ref="I96" si="318">2500/50000*F96*3</f>
        <v>4.0500000000000007</v>
      </c>
      <c r="J96" s="3">
        <f t="shared" ref="J96" si="319">2800/365/3</f>
        <v>2.5570776255707761</v>
      </c>
      <c r="K96" s="3">
        <f t="shared" ref="K96" si="320">155*4/5000*F96</f>
        <v>3.3479999999999999</v>
      </c>
      <c r="L96" s="3">
        <f t="shared" ref="L95:L101" si="321">120/5000*F96</f>
        <v>0.64800000000000002</v>
      </c>
      <c r="M96" s="3">
        <f t="shared" ref="M95:M101" si="322">95/5000*F96</f>
        <v>0.51300000000000001</v>
      </c>
      <c r="N96" s="3">
        <f t="shared" ref="N95:N97" si="323">220/10000*F96</f>
        <v>0.59399999999999997</v>
      </c>
      <c r="O96" s="3">
        <f t="shared" si="26"/>
        <v>102.56410256410255</v>
      </c>
      <c r="P96" s="3">
        <f t="shared" ref="P96" si="324">SUM(G96:O96)</f>
        <v>257.86108087460485</v>
      </c>
    </row>
    <row r="97" spans="1:16" s="2" customFormat="1" ht="242.25" customHeight="1" x14ac:dyDescent="0.5">
      <c r="A97" s="12" t="s">
        <v>17</v>
      </c>
      <c r="B97" s="12">
        <v>9198</v>
      </c>
      <c r="C97" s="6" t="s">
        <v>96</v>
      </c>
      <c r="D97" s="6">
        <v>615789</v>
      </c>
      <c r="E97" s="6">
        <v>615840</v>
      </c>
      <c r="F97" s="9">
        <f t="shared" si="255"/>
        <v>51</v>
      </c>
      <c r="G97" s="3">
        <f t="shared" ref="G97" si="325">1000000/10/365/3</f>
        <v>91.324200913242009</v>
      </c>
      <c r="H97" s="3">
        <f t="shared" ref="H97:H99" si="326">F97/8*20.5</f>
        <v>130.6875</v>
      </c>
      <c r="I97" s="3">
        <f t="shared" ref="I97" si="327">5500/50000*F97*3</f>
        <v>16.830000000000002</v>
      </c>
      <c r="J97" s="3">
        <f t="shared" ref="J97" si="328">3600/365/3</f>
        <v>3.2876712328767126</v>
      </c>
      <c r="K97" s="3">
        <f t="shared" ref="K97" si="329">155*5.5/5000*F97</f>
        <v>8.6955000000000009</v>
      </c>
      <c r="L97" s="3">
        <f t="shared" si="321"/>
        <v>1.224</v>
      </c>
      <c r="M97" s="3">
        <f t="shared" si="322"/>
        <v>0.96899999999999997</v>
      </c>
      <c r="N97" s="3">
        <f t="shared" si="323"/>
        <v>1.1219999999999999</v>
      </c>
      <c r="O97" s="3">
        <f t="shared" si="26"/>
        <v>102.56410256410255</v>
      </c>
      <c r="P97" s="3">
        <f t="shared" ref="P97" si="330">SUM(G97:O97)</f>
        <v>356.70397471022125</v>
      </c>
    </row>
    <row r="98" spans="1:16" s="2" customFormat="1" ht="242.25" customHeight="1" x14ac:dyDescent="0.5">
      <c r="A98" s="12" t="s">
        <v>23</v>
      </c>
      <c r="B98" s="12">
        <v>675</v>
      </c>
      <c r="C98" s="6" t="s">
        <v>98</v>
      </c>
      <c r="D98" s="6">
        <v>289448</v>
      </c>
      <c r="E98" s="6">
        <v>289452</v>
      </c>
      <c r="F98" s="9">
        <f t="shared" si="255"/>
        <v>4</v>
      </c>
      <c r="G98" s="3">
        <f t="shared" ref="G98:G99" si="331">1300000/10/365/3</f>
        <v>118.72146118721462</v>
      </c>
      <c r="H98" s="3">
        <f t="shared" si="326"/>
        <v>10.25</v>
      </c>
      <c r="I98" s="3">
        <f t="shared" ref="I98:I99" si="332">8650/50000*F98*6</f>
        <v>4.1519999999999992</v>
      </c>
      <c r="J98" s="3">
        <f>3600/365/3</f>
        <v>3.2876712328767126</v>
      </c>
      <c r="K98" s="3">
        <f>155*9/5000*F98</f>
        <v>1.1160000000000001</v>
      </c>
      <c r="L98" s="3">
        <f t="shared" si="321"/>
        <v>9.6000000000000002E-2</v>
      </c>
      <c r="M98" s="3">
        <f t="shared" si="322"/>
        <v>7.5999999999999998E-2</v>
      </c>
      <c r="N98" s="3">
        <f t="shared" ref="N98:N99" si="333">350/10000*F98</f>
        <v>0.14000000000000001</v>
      </c>
      <c r="O98" s="3">
        <f t="shared" si="26"/>
        <v>102.56410256410255</v>
      </c>
      <c r="P98" s="3">
        <f t="shared" ref="P98" si="334">SUM(G98:O98)</f>
        <v>240.40323498419389</v>
      </c>
    </row>
    <row r="99" spans="1:16" ht="242.25" customHeight="1" x14ac:dyDescent="0.5">
      <c r="A99" s="12" t="s">
        <v>43</v>
      </c>
      <c r="B99" s="12">
        <v>293</v>
      </c>
      <c r="C99" s="6" t="s">
        <v>54</v>
      </c>
      <c r="D99" s="6">
        <v>555511</v>
      </c>
      <c r="E99" s="6">
        <v>555568</v>
      </c>
      <c r="F99" s="9">
        <f t="shared" si="255"/>
        <v>57</v>
      </c>
      <c r="G99" s="3">
        <f t="shared" si="331"/>
        <v>118.72146118721462</v>
      </c>
      <c r="H99" s="3">
        <f t="shared" si="326"/>
        <v>146.0625</v>
      </c>
      <c r="I99" s="3">
        <f t="shared" si="332"/>
        <v>59.165999999999997</v>
      </c>
      <c r="J99" s="3">
        <f>3600/365/3*2</f>
        <v>6.5753424657534252</v>
      </c>
      <c r="K99" s="3">
        <f>155*9.5/5000*F99</f>
        <v>16.7865</v>
      </c>
      <c r="L99" s="3">
        <f t="shared" si="321"/>
        <v>1.3680000000000001</v>
      </c>
      <c r="M99" s="3">
        <f t="shared" si="322"/>
        <v>1.083</v>
      </c>
      <c r="N99" s="3">
        <f t="shared" si="333"/>
        <v>1.9950000000000001</v>
      </c>
      <c r="O99" s="3">
        <f t="shared" si="26"/>
        <v>102.56410256410255</v>
      </c>
      <c r="P99" s="3">
        <f t="shared" ref="P99" si="335">SUM(G99:O99)</f>
        <v>454.32190621707059</v>
      </c>
    </row>
    <row r="100" spans="1:16" ht="242.25" customHeight="1" x14ac:dyDescent="0.5">
      <c r="A100" s="12" t="s">
        <v>23</v>
      </c>
      <c r="B100" s="12">
        <v>675</v>
      </c>
      <c r="C100" s="7" t="s">
        <v>34</v>
      </c>
      <c r="D100" s="6">
        <v>289452</v>
      </c>
      <c r="E100" s="6">
        <v>289461</v>
      </c>
      <c r="F100" s="9">
        <f t="shared" si="255"/>
        <v>9</v>
      </c>
      <c r="G100" s="3">
        <f t="shared" ref="G100" si="336">1300000/10/365/3</f>
        <v>118.72146118721462</v>
      </c>
      <c r="H100" s="3">
        <f t="shared" ref="H99:H101" si="337">F100/8*20.5</f>
        <v>23.0625</v>
      </c>
      <c r="I100" s="3">
        <f t="shared" ref="I100" si="338">8650/50000*F100*6</f>
        <v>9.3419999999999987</v>
      </c>
      <c r="J100" s="3">
        <f>3600/365/3</f>
        <v>3.2876712328767126</v>
      </c>
      <c r="K100" s="3">
        <f>155*9/5000*F100</f>
        <v>2.5110000000000001</v>
      </c>
      <c r="L100" s="3">
        <f t="shared" si="321"/>
        <v>0.216</v>
      </c>
      <c r="M100" s="3">
        <f t="shared" si="322"/>
        <v>0.17099999999999999</v>
      </c>
      <c r="N100" s="3">
        <f t="shared" ref="N100" si="339">350/10000*F100</f>
        <v>0.31500000000000006</v>
      </c>
      <c r="O100" s="3">
        <f t="shared" si="26"/>
        <v>102.56410256410255</v>
      </c>
      <c r="P100" s="3">
        <f t="shared" ref="P100" si="340">SUM(G100:O100)</f>
        <v>260.19073498419385</v>
      </c>
    </row>
    <row r="101" spans="1:16" ht="242.25" customHeight="1" x14ac:dyDescent="0.5">
      <c r="A101" s="12" t="s">
        <v>16</v>
      </c>
      <c r="B101" s="12">
        <v>7464</v>
      </c>
      <c r="C101" s="6" t="s">
        <v>19</v>
      </c>
      <c r="D101" s="6">
        <v>98778</v>
      </c>
      <c r="E101" s="6">
        <v>98789</v>
      </c>
      <c r="F101" s="9">
        <f t="shared" si="255"/>
        <v>11</v>
      </c>
      <c r="G101" s="3">
        <f t="shared" ref="G100:G101" si="341">1300000/10/365/3</f>
        <v>118.72146118721462</v>
      </c>
      <c r="H101" s="3">
        <f t="shared" si="337"/>
        <v>28.1875</v>
      </c>
      <c r="I101" s="3">
        <f t="shared" ref="I100:I101" si="342">8650/50000*F101*6</f>
        <v>11.417999999999999</v>
      </c>
      <c r="J101" s="3">
        <f t="shared" ref="J99:J101" si="343">3600/365/3</f>
        <v>3.2876712328767126</v>
      </c>
      <c r="K101" s="3">
        <f t="shared" ref="K100:K101" si="344">155*8/5000*F101</f>
        <v>2.7279999999999998</v>
      </c>
      <c r="L101" s="3">
        <f t="shared" si="321"/>
        <v>0.26400000000000001</v>
      </c>
      <c r="M101" s="3">
        <f t="shared" si="322"/>
        <v>0.20899999999999999</v>
      </c>
      <c r="N101" s="3">
        <f t="shared" ref="N100:N101" si="345">350/10000*F101</f>
        <v>0.38500000000000001</v>
      </c>
      <c r="O101" s="3">
        <f t="shared" si="26"/>
        <v>102.56410256410255</v>
      </c>
      <c r="P101" s="3">
        <f t="shared" ref="P100:P101" si="346">SUM(G101:O101)</f>
        <v>267.76473498419392</v>
      </c>
    </row>
    <row r="102" spans="1:16" ht="242.25" customHeight="1" x14ac:dyDescent="0.5">
      <c r="A102" s="12"/>
      <c r="B102" s="12"/>
      <c r="C102" s="7"/>
      <c r="D102" s="6"/>
      <c r="E102" s="6"/>
      <c r="F102" s="9">
        <f t="shared" si="255"/>
        <v>0</v>
      </c>
      <c r="G102" s="3">
        <f t="shared" ref="G102:G106" si="347">1000000/10/365/3</f>
        <v>91.324200913242009</v>
      </c>
      <c r="H102" s="3">
        <f t="shared" ref="H102:H106" si="348">F102/8*20.5</f>
        <v>0</v>
      </c>
      <c r="I102" s="3">
        <f t="shared" ref="I102:I106" si="349">5500/50000*F102*3</f>
        <v>0</v>
      </c>
      <c r="J102" s="3">
        <f t="shared" ref="J102:J106" si="350">3600/365/3</f>
        <v>3.2876712328767126</v>
      </c>
      <c r="K102" s="3">
        <f t="shared" ref="K102:K106" si="351">155*5.5/5000*F102</f>
        <v>0</v>
      </c>
      <c r="L102" s="3">
        <f t="shared" ref="L102:L106" si="352">120/5000*F102</f>
        <v>0</v>
      </c>
      <c r="M102" s="3">
        <f t="shared" ref="M102:M106" si="353">95/5000*F102</f>
        <v>0</v>
      </c>
      <c r="N102" s="3">
        <f t="shared" ref="N102:N106" si="354">220/10000*F102</f>
        <v>0</v>
      </c>
      <c r="O102" s="3">
        <f t="shared" si="26"/>
        <v>102.56410256410255</v>
      </c>
      <c r="P102" s="3">
        <f t="shared" ref="P102:P106" si="355">SUM(G102:O102)</f>
        <v>197.17597471022128</v>
      </c>
    </row>
    <row r="103" spans="1:16" ht="242.25" customHeight="1" x14ac:dyDescent="0.5">
      <c r="A103" s="12"/>
      <c r="B103" s="12"/>
      <c r="C103" s="7"/>
      <c r="D103" s="6"/>
      <c r="E103" s="6"/>
      <c r="F103" s="9">
        <f t="shared" si="255"/>
        <v>0</v>
      </c>
      <c r="G103" s="3">
        <f t="shared" si="347"/>
        <v>91.324200913242009</v>
      </c>
      <c r="H103" s="3">
        <f t="shared" si="348"/>
        <v>0</v>
      </c>
      <c r="I103" s="3">
        <f t="shared" si="349"/>
        <v>0</v>
      </c>
      <c r="J103" s="3">
        <f t="shared" si="350"/>
        <v>3.2876712328767126</v>
      </c>
      <c r="K103" s="3">
        <f t="shared" si="351"/>
        <v>0</v>
      </c>
      <c r="L103" s="3">
        <f t="shared" si="352"/>
        <v>0</v>
      </c>
      <c r="M103" s="3">
        <f t="shared" si="353"/>
        <v>0</v>
      </c>
      <c r="N103" s="3">
        <f t="shared" si="354"/>
        <v>0</v>
      </c>
      <c r="O103" s="3">
        <f t="shared" si="26"/>
        <v>102.56410256410255</v>
      </c>
      <c r="P103" s="3">
        <f t="shared" si="355"/>
        <v>197.17597471022128</v>
      </c>
    </row>
    <row r="104" spans="1:16" ht="242.25" customHeight="1" x14ac:dyDescent="0.5">
      <c r="A104" s="12"/>
      <c r="B104" s="12"/>
      <c r="C104" s="7"/>
      <c r="D104" s="6"/>
      <c r="E104" s="6"/>
      <c r="F104" s="9">
        <f t="shared" si="255"/>
        <v>0</v>
      </c>
      <c r="G104" s="3">
        <f t="shared" si="347"/>
        <v>91.324200913242009</v>
      </c>
      <c r="H104" s="3">
        <f t="shared" si="348"/>
        <v>0</v>
      </c>
      <c r="I104" s="3">
        <f t="shared" si="349"/>
        <v>0</v>
      </c>
      <c r="J104" s="3">
        <f t="shared" si="350"/>
        <v>3.2876712328767126</v>
      </c>
      <c r="K104" s="3">
        <f t="shared" si="351"/>
        <v>0</v>
      </c>
      <c r="L104" s="3">
        <f t="shared" si="352"/>
        <v>0</v>
      </c>
      <c r="M104" s="3">
        <f t="shared" si="353"/>
        <v>0</v>
      </c>
      <c r="N104" s="3">
        <f t="shared" si="354"/>
        <v>0</v>
      </c>
      <c r="O104" s="3">
        <f t="shared" si="26"/>
        <v>102.56410256410255</v>
      </c>
      <c r="P104" s="3">
        <f t="shared" si="355"/>
        <v>197.17597471022128</v>
      </c>
    </row>
    <row r="105" spans="1:16" ht="242.25" customHeight="1" x14ac:dyDescent="0.5">
      <c r="A105" s="12"/>
      <c r="B105" s="12"/>
      <c r="C105" s="7"/>
      <c r="D105" s="6"/>
      <c r="E105" s="6"/>
      <c r="F105" s="9">
        <f t="shared" si="255"/>
        <v>0</v>
      </c>
      <c r="G105" s="3">
        <f t="shared" si="347"/>
        <v>91.324200913242009</v>
      </c>
      <c r="H105" s="3">
        <f t="shared" si="348"/>
        <v>0</v>
      </c>
      <c r="I105" s="3">
        <f t="shared" si="349"/>
        <v>0</v>
      </c>
      <c r="J105" s="3">
        <f t="shared" si="350"/>
        <v>3.2876712328767126</v>
      </c>
      <c r="K105" s="3">
        <f t="shared" si="351"/>
        <v>0</v>
      </c>
      <c r="L105" s="3">
        <f t="shared" si="352"/>
        <v>0</v>
      </c>
      <c r="M105" s="3">
        <f t="shared" si="353"/>
        <v>0</v>
      </c>
      <c r="N105" s="3">
        <f t="shared" si="354"/>
        <v>0</v>
      </c>
      <c r="O105" s="3">
        <f t="shared" si="26"/>
        <v>102.56410256410255</v>
      </c>
      <c r="P105" s="3">
        <f t="shared" si="355"/>
        <v>197.17597471022128</v>
      </c>
    </row>
    <row r="106" spans="1:16" ht="242.25" customHeight="1" x14ac:dyDescent="0.5">
      <c r="A106" s="12"/>
      <c r="B106" s="12"/>
      <c r="C106" s="7"/>
      <c r="D106" s="6"/>
      <c r="E106" s="6"/>
      <c r="F106" s="9">
        <f t="shared" si="255"/>
        <v>0</v>
      </c>
      <c r="G106" s="3">
        <f t="shared" si="347"/>
        <v>91.324200913242009</v>
      </c>
      <c r="H106" s="3">
        <f t="shared" si="348"/>
        <v>0</v>
      </c>
      <c r="I106" s="3">
        <f t="shared" si="349"/>
        <v>0</v>
      </c>
      <c r="J106" s="3">
        <f t="shared" si="350"/>
        <v>3.2876712328767126</v>
      </c>
      <c r="K106" s="3">
        <f t="shared" si="351"/>
        <v>0</v>
      </c>
      <c r="L106" s="3">
        <f t="shared" si="352"/>
        <v>0</v>
      </c>
      <c r="M106" s="3">
        <f t="shared" si="353"/>
        <v>0</v>
      </c>
      <c r="N106" s="3">
        <f t="shared" si="354"/>
        <v>0</v>
      </c>
      <c r="O106" s="3">
        <f t="shared" si="26"/>
        <v>102.56410256410255</v>
      </c>
      <c r="P106" s="3">
        <f t="shared" si="355"/>
        <v>197.17597471022128</v>
      </c>
    </row>
    <row r="107" spans="1:16" ht="242.25" customHeight="1" x14ac:dyDescent="0.5">
      <c r="A107" s="12"/>
      <c r="B107" s="12"/>
      <c r="C107" s="7"/>
      <c r="D107" s="6"/>
      <c r="E107" s="6"/>
      <c r="F107" s="9">
        <f t="shared" si="255"/>
        <v>0</v>
      </c>
      <c r="G107" s="3">
        <f t="shared" ref="G107" si="356">1000000/10/365/3</f>
        <v>91.324200913242009</v>
      </c>
      <c r="H107" s="3">
        <f t="shared" ref="H107:H108" si="357">F107/8*20.5</f>
        <v>0</v>
      </c>
      <c r="I107" s="3">
        <f t="shared" ref="I107" si="358">5500/50000*F107*3</f>
        <v>0</v>
      </c>
      <c r="J107" s="3">
        <f t="shared" ref="J107:J149" si="359">3600/365/3</f>
        <v>3.2876712328767126</v>
      </c>
      <c r="K107" s="3">
        <f t="shared" ref="K107" si="360">155*5.5/5000*F107</f>
        <v>0</v>
      </c>
      <c r="L107" s="3">
        <f t="shared" ref="L107:L108" si="361">120/5000*F107</f>
        <v>0</v>
      </c>
      <c r="M107" s="3">
        <f t="shared" ref="M107:M108" si="362">95/5000*F107</f>
        <v>0</v>
      </c>
      <c r="N107" s="3">
        <f t="shared" ref="N107" si="363">220/10000*F107</f>
        <v>0</v>
      </c>
      <c r="O107" s="3">
        <f t="shared" si="26"/>
        <v>102.56410256410255</v>
      </c>
      <c r="P107" s="3">
        <f t="shared" ref="P107" si="364">SUM(G107:O107)</f>
        <v>197.17597471022128</v>
      </c>
    </row>
    <row r="108" spans="1:16" ht="242.25" customHeight="1" x14ac:dyDescent="0.5">
      <c r="A108" s="12"/>
      <c r="B108" s="12"/>
      <c r="C108" s="7"/>
      <c r="D108" s="6"/>
      <c r="E108" s="6"/>
      <c r="F108" s="9">
        <f t="shared" si="255"/>
        <v>0</v>
      </c>
      <c r="G108" s="3">
        <f t="shared" ref="G108:G147" si="365">1300000/10/365/3</f>
        <v>118.72146118721462</v>
      </c>
      <c r="H108" s="3">
        <f t="shared" si="357"/>
        <v>0</v>
      </c>
      <c r="I108" s="3">
        <f t="shared" ref="I108" si="366">8650/50000*F108*6</f>
        <v>0</v>
      </c>
      <c r="J108" s="3">
        <f t="shared" si="359"/>
        <v>3.2876712328767126</v>
      </c>
      <c r="K108" s="3">
        <f>155*9/5000*F108</f>
        <v>0</v>
      </c>
      <c r="L108" s="3">
        <f t="shared" si="361"/>
        <v>0</v>
      </c>
      <c r="M108" s="3">
        <f t="shared" si="362"/>
        <v>0</v>
      </c>
      <c r="N108" s="3">
        <f t="shared" ref="N108" si="367">350/10000*F108</f>
        <v>0</v>
      </c>
      <c r="O108" s="3">
        <f t="shared" si="26"/>
        <v>102.56410256410255</v>
      </c>
      <c r="P108" s="3">
        <f t="shared" ref="P108" si="368">SUM(G108:O108)</f>
        <v>224.5732349841939</v>
      </c>
    </row>
    <row r="109" spans="1:16" ht="242.25" customHeight="1" x14ac:dyDescent="0.5">
      <c r="A109" s="12"/>
      <c r="B109" s="12"/>
      <c r="C109" s="7"/>
      <c r="D109" s="6"/>
      <c r="E109" s="6"/>
      <c r="F109" s="9">
        <f t="shared" si="255"/>
        <v>0</v>
      </c>
      <c r="G109" s="3">
        <f t="shared" ref="G109" si="369">750000/10/365/3</f>
        <v>68.493150684931507</v>
      </c>
      <c r="H109" s="3">
        <f t="shared" ref="H109" si="370">F109/8*22.25</f>
        <v>0</v>
      </c>
      <c r="I109" s="3">
        <f t="shared" ref="I109" si="371">2500/50000*F109*3</f>
        <v>0</v>
      </c>
      <c r="J109" s="3">
        <f t="shared" ref="J109" si="372">2800/365/3</f>
        <v>2.5570776255707761</v>
      </c>
      <c r="K109" s="3">
        <f t="shared" ref="K109" si="373">155*4/5000*F109</f>
        <v>0</v>
      </c>
      <c r="L109" s="3">
        <f t="shared" ref="L109:L110" si="374">120/5000*F109</f>
        <v>0</v>
      </c>
      <c r="M109" s="3">
        <f t="shared" ref="M109:M110" si="375">95/5000*F109</f>
        <v>0</v>
      </c>
      <c r="N109" s="3">
        <f t="shared" ref="N109" si="376">220/10000*F109</f>
        <v>0</v>
      </c>
      <c r="O109" s="3">
        <f t="shared" si="26"/>
        <v>102.56410256410255</v>
      </c>
      <c r="P109" s="3">
        <f t="shared" ref="P109" si="377">SUM(G109:O109)</f>
        <v>173.61433087460483</v>
      </c>
    </row>
    <row r="110" spans="1:16" ht="242.25" customHeight="1" x14ac:dyDescent="0.5">
      <c r="A110" s="12"/>
      <c r="B110" s="12"/>
      <c r="C110" s="7"/>
      <c r="D110" s="6"/>
      <c r="E110" s="6"/>
      <c r="F110" s="9">
        <f t="shared" si="255"/>
        <v>0</v>
      </c>
      <c r="G110" s="3">
        <f t="shared" si="365"/>
        <v>118.72146118721462</v>
      </c>
      <c r="H110" s="3">
        <f t="shared" ref="H110" si="378">F110/8*20.5</f>
        <v>0</v>
      </c>
      <c r="I110" s="3">
        <f t="shared" ref="I110" si="379">8650/50000*F110*6</f>
        <v>0</v>
      </c>
      <c r="J110" s="3">
        <f t="shared" si="359"/>
        <v>3.2876712328767126</v>
      </c>
      <c r="K110" s="3">
        <f>155*9/5000*F110</f>
        <v>0</v>
      </c>
      <c r="L110" s="3">
        <f t="shared" si="374"/>
        <v>0</v>
      </c>
      <c r="M110" s="3">
        <f t="shared" si="375"/>
        <v>0</v>
      </c>
      <c r="N110" s="3">
        <f t="shared" ref="N110" si="380">350/10000*F110</f>
        <v>0</v>
      </c>
      <c r="O110" s="3">
        <f t="shared" si="26"/>
        <v>102.56410256410255</v>
      </c>
      <c r="P110" s="3">
        <f t="shared" ref="P110" si="381">SUM(G110:O110)</f>
        <v>224.5732349841939</v>
      </c>
    </row>
    <row r="111" spans="1:16" ht="242.25" customHeight="1" x14ac:dyDescent="0.5">
      <c r="A111" s="12"/>
      <c r="B111" s="12"/>
      <c r="C111" s="7"/>
      <c r="D111" s="6"/>
      <c r="E111" s="6"/>
      <c r="F111" s="9">
        <f t="shared" si="255"/>
        <v>0</v>
      </c>
      <c r="G111" s="3">
        <f t="shared" si="365"/>
        <v>118.72146118721462</v>
      </c>
      <c r="H111" s="3">
        <f t="shared" ref="H111:H112" si="382">F111/8*20.5</f>
        <v>0</v>
      </c>
      <c r="I111" s="3">
        <f t="shared" ref="I111" si="383">8650/50000*F111*6</f>
        <v>0</v>
      </c>
      <c r="J111" s="3">
        <f>3600/365/3</f>
        <v>3.2876712328767126</v>
      </c>
      <c r="K111" s="3">
        <f>155*8/5000*F111</f>
        <v>0</v>
      </c>
      <c r="L111" s="3">
        <f t="shared" ref="L111:L126" si="384">120/5000*F111</f>
        <v>0</v>
      </c>
      <c r="M111" s="3">
        <f t="shared" ref="M111:M126" si="385">95/5000*F111</f>
        <v>0</v>
      </c>
      <c r="N111" s="3">
        <f t="shared" ref="N111" si="386">350/10000*F111</f>
        <v>0</v>
      </c>
      <c r="O111" s="3">
        <f t="shared" si="26"/>
        <v>102.56410256410255</v>
      </c>
      <c r="P111" s="3">
        <f t="shared" ref="P111" si="387">SUM(G111:O111)</f>
        <v>224.5732349841939</v>
      </c>
    </row>
    <row r="112" spans="1:16" ht="242.25" customHeight="1" x14ac:dyDescent="0.5">
      <c r="A112" s="12"/>
      <c r="B112" s="12"/>
      <c r="C112" s="7"/>
      <c r="D112" s="6"/>
      <c r="E112" s="6"/>
      <c r="F112" s="9">
        <f t="shared" si="255"/>
        <v>0</v>
      </c>
      <c r="G112" s="3">
        <f t="shared" ref="G112" si="388">1000000/10/365/3</f>
        <v>91.324200913242009</v>
      </c>
      <c r="H112" s="3">
        <f t="shared" si="382"/>
        <v>0</v>
      </c>
      <c r="I112" s="3">
        <f t="shared" ref="I112" si="389">5500/50000*F112*3</f>
        <v>0</v>
      </c>
      <c r="J112" s="3">
        <f t="shared" si="359"/>
        <v>3.2876712328767126</v>
      </c>
      <c r="K112" s="3">
        <f t="shared" ref="K112" si="390">155*5.5/5000*F112</f>
        <v>0</v>
      </c>
      <c r="L112" s="3">
        <f t="shared" si="384"/>
        <v>0</v>
      </c>
      <c r="M112" s="3">
        <f t="shared" si="385"/>
        <v>0</v>
      </c>
      <c r="N112" s="3">
        <f t="shared" ref="N112" si="391">220/10000*F112</f>
        <v>0</v>
      </c>
      <c r="O112" s="3">
        <f t="shared" si="26"/>
        <v>102.56410256410255</v>
      </c>
      <c r="P112" s="3">
        <f t="shared" ref="P112" si="392">SUM(G112:O112)</f>
        <v>197.17597471022128</v>
      </c>
    </row>
    <row r="113" spans="1:16" ht="242.25" customHeight="1" x14ac:dyDescent="0.5">
      <c r="A113" s="12"/>
      <c r="B113" s="12"/>
      <c r="C113" s="7"/>
      <c r="D113" s="6"/>
      <c r="E113" s="6"/>
      <c r="F113" s="9">
        <f t="shared" si="255"/>
        <v>0</v>
      </c>
      <c r="G113" s="3">
        <f t="shared" ref="G113" si="393">750000/10/365/3</f>
        <v>68.493150684931507</v>
      </c>
      <c r="H113" s="3">
        <f t="shared" ref="H113" si="394">F113/8*22.25</f>
        <v>0</v>
      </c>
      <c r="I113" s="3">
        <f t="shared" ref="I113" si="395">2500/50000*F113*3</f>
        <v>0</v>
      </c>
      <c r="J113" s="3">
        <f t="shared" ref="J113" si="396">2800/365/3</f>
        <v>2.5570776255707761</v>
      </c>
      <c r="K113" s="3">
        <f t="shared" ref="K113" si="397">155*4/5000*F113</f>
        <v>0</v>
      </c>
      <c r="L113" s="3">
        <f t="shared" si="384"/>
        <v>0</v>
      </c>
      <c r="M113" s="3">
        <f t="shared" si="385"/>
        <v>0</v>
      </c>
      <c r="N113" s="3">
        <f t="shared" ref="N113:N115" si="398">220/10000*F113</f>
        <v>0</v>
      </c>
      <c r="O113" s="3">
        <f t="shared" ref="O113:O120" si="399">8000/26/3</f>
        <v>102.56410256410255</v>
      </c>
      <c r="P113" s="3">
        <f t="shared" ref="P113" si="400">SUM(G113:O113)</f>
        <v>173.61433087460483</v>
      </c>
    </row>
    <row r="114" spans="1:16" ht="242.25" customHeight="1" x14ac:dyDescent="0.5">
      <c r="A114" s="12"/>
      <c r="B114" s="12"/>
      <c r="C114" s="7"/>
      <c r="D114" s="6"/>
      <c r="E114" s="6"/>
      <c r="F114" s="9">
        <f t="shared" si="255"/>
        <v>0</v>
      </c>
      <c r="G114" s="3">
        <f t="shared" si="365"/>
        <v>118.72146118721462</v>
      </c>
      <c r="H114" s="3">
        <f t="shared" ref="H114" si="401">F114/8*20.5</f>
        <v>0</v>
      </c>
      <c r="I114" s="3">
        <f t="shared" ref="I114" si="402">8650/50000*F114*6</f>
        <v>0</v>
      </c>
      <c r="J114" s="3">
        <f>3600/365/3</f>
        <v>3.2876712328767126</v>
      </c>
      <c r="K114" s="3">
        <f>155*8/5000*F114</f>
        <v>0</v>
      </c>
      <c r="L114" s="3">
        <f t="shared" si="384"/>
        <v>0</v>
      </c>
      <c r="M114" s="3">
        <f t="shared" si="385"/>
        <v>0</v>
      </c>
      <c r="N114" s="3">
        <f t="shared" ref="N114" si="403">350/10000*F114</f>
        <v>0</v>
      </c>
      <c r="O114" s="3">
        <f t="shared" si="26"/>
        <v>102.56410256410255</v>
      </c>
      <c r="P114" s="3">
        <f t="shared" ref="P114" si="404">SUM(G114:O114)</f>
        <v>224.5732349841939</v>
      </c>
    </row>
    <row r="115" spans="1:16" ht="242.25" customHeight="1" x14ac:dyDescent="0.5">
      <c r="A115" s="12"/>
      <c r="B115" s="12"/>
      <c r="C115" s="7"/>
      <c r="D115" s="6"/>
      <c r="E115" s="6"/>
      <c r="F115" s="9">
        <f t="shared" si="255"/>
        <v>0</v>
      </c>
      <c r="G115" s="3">
        <f t="shared" ref="G115" si="405">1000000/10/365/3</f>
        <v>91.324200913242009</v>
      </c>
      <c r="H115" s="3">
        <f t="shared" ref="H115" si="406">F115/8*20.5</f>
        <v>0</v>
      </c>
      <c r="I115" s="3">
        <f t="shared" ref="I115" si="407">5500/50000*F115*3</f>
        <v>0</v>
      </c>
      <c r="J115" s="3">
        <f t="shared" si="359"/>
        <v>3.2876712328767126</v>
      </c>
      <c r="K115" s="3">
        <f t="shared" ref="K115" si="408">155*5.5/5000*F115</f>
        <v>0</v>
      </c>
      <c r="L115" s="3">
        <f t="shared" si="384"/>
        <v>0</v>
      </c>
      <c r="M115" s="3">
        <f t="shared" si="385"/>
        <v>0</v>
      </c>
      <c r="N115" s="3">
        <f t="shared" si="398"/>
        <v>0</v>
      </c>
      <c r="O115" s="3">
        <f t="shared" si="399"/>
        <v>102.56410256410255</v>
      </c>
      <c r="P115" s="3">
        <f t="shared" ref="P115" si="409">SUM(G115:O115)</f>
        <v>197.17597471022128</v>
      </c>
    </row>
    <row r="116" spans="1:16" ht="242.25" customHeight="1" x14ac:dyDescent="0.5">
      <c r="A116" s="12"/>
      <c r="B116" s="12"/>
      <c r="C116" s="7"/>
      <c r="D116" s="6"/>
      <c r="E116" s="6"/>
      <c r="F116" s="9">
        <f t="shared" si="255"/>
        <v>0</v>
      </c>
      <c r="G116" s="3">
        <f t="shared" ref="G116" si="410">750000/10/365/3</f>
        <v>68.493150684931507</v>
      </c>
      <c r="H116" s="3">
        <f t="shared" ref="H116" si="411">F116/8*22.25</f>
        <v>0</v>
      </c>
      <c r="I116" s="3">
        <f t="shared" ref="I116" si="412">2500/50000*F116*3</f>
        <v>0</v>
      </c>
      <c r="J116" s="3">
        <f t="shared" ref="J116" si="413">2800/365/3</f>
        <v>2.5570776255707761</v>
      </c>
      <c r="K116" s="3">
        <f t="shared" ref="K116" si="414">155*4/5000*F116</f>
        <v>0</v>
      </c>
      <c r="L116" s="3">
        <f t="shared" si="384"/>
        <v>0</v>
      </c>
      <c r="M116" s="3">
        <f t="shared" si="385"/>
        <v>0</v>
      </c>
      <c r="N116" s="3">
        <f t="shared" ref="N116:N119" si="415">220/10000*F116</f>
        <v>0</v>
      </c>
      <c r="O116" s="3">
        <f t="shared" si="399"/>
        <v>102.56410256410255</v>
      </c>
      <c r="P116" s="3">
        <f t="shared" ref="P116:P117" si="416">SUM(G116:O116)</f>
        <v>173.61433087460483</v>
      </c>
    </row>
    <row r="117" spans="1:16" ht="242.25" customHeight="1" x14ac:dyDescent="0.5">
      <c r="A117" s="12"/>
      <c r="B117" s="12"/>
      <c r="C117" s="7"/>
      <c r="D117" s="6"/>
      <c r="E117" s="6"/>
      <c r="F117" s="9">
        <f t="shared" si="255"/>
        <v>0</v>
      </c>
      <c r="G117" s="3">
        <f t="shared" si="365"/>
        <v>118.72146118721462</v>
      </c>
      <c r="H117" s="3">
        <f t="shared" ref="H117" si="417">F117/8*20.5</f>
        <v>0</v>
      </c>
      <c r="I117" s="3">
        <f t="shared" ref="I117" si="418">8650/50000*F117*6</f>
        <v>0</v>
      </c>
      <c r="J117" s="3">
        <f t="shared" si="359"/>
        <v>3.2876712328767126</v>
      </c>
      <c r="K117" s="3">
        <f t="shared" ref="K117" si="419">155*9/5000*F117</f>
        <v>0</v>
      </c>
      <c r="L117" s="3">
        <f t="shared" si="384"/>
        <v>0</v>
      </c>
      <c r="M117" s="3">
        <f t="shared" si="385"/>
        <v>0</v>
      </c>
      <c r="N117" s="3">
        <f t="shared" ref="N117" si="420">350/10000*F117</f>
        <v>0</v>
      </c>
      <c r="O117" s="3">
        <f t="shared" si="399"/>
        <v>102.56410256410255</v>
      </c>
      <c r="P117" s="3">
        <f t="shared" si="416"/>
        <v>224.5732349841939</v>
      </c>
    </row>
    <row r="118" spans="1:16" ht="242.25" customHeight="1" x14ac:dyDescent="0.5">
      <c r="A118" s="12"/>
      <c r="B118" s="12"/>
      <c r="C118" s="7"/>
      <c r="D118" s="6"/>
      <c r="E118" s="6"/>
      <c r="F118" s="9">
        <f t="shared" si="255"/>
        <v>0</v>
      </c>
      <c r="G118" s="3">
        <f t="shared" ref="G118:G119" si="421">1000000/10/365/3</f>
        <v>91.324200913242009</v>
      </c>
      <c r="H118" s="3">
        <f t="shared" ref="H118:H120" si="422">F118/8*20.5</f>
        <v>0</v>
      </c>
      <c r="I118" s="3">
        <f t="shared" ref="I118:I119" si="423">5500/50000*F118*3</f>
        <v>0</v>
      </c>
      <c r="J118" s="3">
        <f t="shared" si="359"/>
        <v>3.2876712328767126</v>
      </c>
      <c r="K118" s="3">
        <f t="shared" ref="K118:K119" si="424">155*5.5/5000*F118</f>
        <v>0</v>
      </c>
      <c r="L118" s="3">
        <f t="shared" si="384"/>
        <v>0</v>
      </c>
      <c r="M118" s="3">
        <f t="shared" si="385"/>
        <v>0</v>
      </c>
      <c r="N118" s="3">
        <f t="shared" si="415"/>
        <v>0</v>
      </c>
      <c r="O118" s="3">
        <f t="shared" si="399"/>
        <v>102.56410256410255</v>
      </c>
      <c r="P118" s="3">
        <f t="shared" ref="P118:P119" si="425">SUM(G118:O118)</f>
        <v>197.17597471022128</v>
      </c>
    </row>
    <row r="119" spans="1:16" ht="242.25" customHeight="1" x14ac:dyDescent="0.5">
      <c r="A119" s="12"/>
      <c r="B119" s="12"/>
      <c r="C119" s="7"/>
      <c r="D119" s="6"/>
      <c r="E119" s="6"/>
      <c r="F119" s="9">
        <f t="shared" si="255"/>
        <v>0</v>
      </c>
      <c r="G119" s="3">
        <f t="shared" si="421"/>
        <v>91.324200913242009</v>
      </c>
      <c r="H119" s="3">
        <f t="shared" si="422"/>
        <v>0</v>
      </c>
      <c r="I119" s="3">
        <f t="shared" si="423"/>
        <v>0</v>
      </c>
      <c r="J119" s="3">
        <f t="shared" si="359"/>
        <v>3.2876712328767126</v>
      </c>
      <c r="K119" s="3">
        <f t="shared" si="424"/>
        <v>0</v>
      </c>
      <c r="L119" s="3">
        <f t="shared" si="384"/>
        <v>0</v>
      </c>
      <c r="M119" s="3">
        <f t="shared" si="385"/>
        <v>0</v>
      </c>
      <c r="N119" s="3">
        <f t="shared" si="415"/>
        <v>0</v>
      </c>
      <c r="O119" s="3">
        <f t="shared" si="399"/>
        <v>102.56410256410255</v>
      </c>
      <c r="P119" s="3">
        <f t="shared" si="425"/>
        <v>197.17597471022128</v>
      </c>
    </row>
    <row r="120" spans="1:16" ht="242.25" customHeight="1" x14ac:dyDescent="0.5">
      <c r="A120" s="12"/>
      <c r="B120" s="12"/>
      <c r="C120" s="7"/>
      <c r="D120" s="6"/>
      <c r="E120" s="6"/>
      <c r="F120" s="9">
        <f t="shared" si="255"/>
        <v>0</v>
      </c>
      <c r="G120" s="3">
        <f t="shared" si="365"/>
        <v>118.72146118721462</v>
      </c>
      <c r="H120" s="3">
        <f t="shared" si="422"/>
        <v>0</v>
      </c>
      <c r="I120" s="3">
        <f t="shared" ref="I120" si="426">8650/50000*F120*6</f>
        <v>0</v>
      </c>
      <c r="J120" s="3">
        <f t="shared" si="359"/>
        <v>3.2876712328767126</v>
      </c>
      <c r="K120" s="3">
        <f t="shared" ref="K120" si="427">155*9/5000*F120</f>
        <v>0</v>
      </c>
      <c r="L120" s="3">
        <f t="shared" si="384"/>
        <v>0</v>
      </c>
      <c r="M120" s="3">
        <f t="shared" si="385"/>
        <v>0</v>
      </c>
      <c r="N120" s="3">
        <f t="shared" ref="N120" si="428">350/10000*F120</f>
        <v>0</v>
      </c>
      <c r="O120" s="3">
        <f t="shared" si="399"/>
        <v>102.56410256410255</v>
      </c>
      <c r="P120" s="3">
        <f t="shared" ref="P120" si="429">SUM(G120:O120)</f>
        <v>224.5732349841939</v>
      </c>
    </row>
    <row r="121" spans="1:16" ht="242.25" customHeight="1" x14ac:dyDescent="0.5">
      <c r="A121" s="12"/>
      <c r="B121" s="12"/>
      <c r="C121" s="7"/>
      <c r="D121" s="13"/>
      <c r="E121" s="6"/>
      <c r="F121" s="9">
        <f t="shared" si="255"/>
        <v>0</v>
      </c>
      <c r="G121" s="3">
        <f t="shared" ref="G121:G122" si="430">1000000/10/365/3</f>
        <v>91.324200913242009</v>
      </c>
      <c r="H121" s="3">
        <f t="shared" ref="H121:H123" si="431">F121/8*20.5</f>
        <v>0</v>
      </c>
      <c r="I121" s="3">
        <f t="shared" ref="I121:I122" si="432">5500/50000*F121*3</f>
        <v>0</v>
      </c>
      <c r="J121" s="3">
        <f t="shared" si="359"/>
        <v>3.2876712328767126</v>
      </c>
      <c r="K121" s="3">
        <f t="shared" ref="K121:K122" si="433">155*5.5/5000*F121</f>
        <v>0</v>
      </c>
      <c r="L121" s="3">
        <f t="shared" si="384"/>
        <v>0</v>
      </c>
      <c r="M121" s="3">
        <f t="shared" si="385"/>
        <v>0</v>
      </c>
      <c r="N121" s="3">
        <f t="shared" ref="N121:N124" si="434">220/10000*F121</f>
        <v>0</v>
      </c>
      <c r="O121" s="3">
        <f t="shared" ref="O121:O126" si="435">8000/26/3</f>
        <v>102.56410256410255</v>
      </c>
      <c r="P121" s="3">
        <f t="shared" ref="P121:P122" si="436">SUM(G121:O121)</f>
        <v>197.17597471022128</v>
      </c>
    </row>
    <row r="122" spans="1:16" ht="242.25" customHeight="1" x14ac:dyDescent="0.5">
      <c r="A122" s="12"/>
      <c r="B122" s="12"/>
      <c r="C122" s="7"/>
      <c r="D122" s="13"/>
      <c r="E122" s="13"/>
      <c r="F122" s="9">
        <f t="shared" si="255"/>
        <v>0</v>
      </c>
      <c r="G122" s="3">
        <f t="shared" si="430"/>
        <v>91.324200913242009</v>
      </c>
      <c r="H122" s="3">
        <f t="shared" si="431"/>
        <v>0</v>
      </c>
      <c r="I122" s="3">
        <f t="shared" si="432"/>
        <v>0</v>
      </c>
      <c r="J122" s="3">
        <f t="shared" si="359"/>
        <v>3.2876712328767126</v>
      </c>
      <c r="K122" s="3">
        <f t="shared" si="433"/>
        <v>0</v>
      </c>
      <c r="L122" s="3">
        <f t="shared" si="384"/>
        <v>0</v>
      </c>
      <c r="M122" s="3">
        <f t="shared" si="385"/>
        <v>0</v>
      </c>
      <c r="N122" s="3">
        <f t="shared" si="434"/>
        <v>0</v>
      </c>
      <c r="O122" s="3">
        <f t="shared" si="435"/>
        <v>102.56410256410255</v>
      </c>
      <c r="P122" s="3">
        <f t="shared" si="436"/>
        <v>197.17597471022128</v>
      </c>
    </row>
    <row r="123" spans="1:16" ht="242.25" customHeight="1" x14ac:dyDescent="0.5">
      <c r="A123" s="12"/>
      <c r="B123" s="12"/>
      <c r="C123" s="7"/>
      <c r="D123" s="6"/>
      <c r="E123" s="6"/>
      <c r="F123" s="9">
        <f t="shared" si="255"/>
        <v>0</v>
      </c>
      <c r="G123" s="3">
        <f t="shared" si="365"/>
        <v>118.72146118721462</v>
      </c>
      <c r="H123" s="3">
        <f t="shared" si="431"/>
        <v>0</v>
      </c>
      <c r="I123" s="3">
        <f t="shared" ref="I123" si="437">8650/50000*F123*6</f>
        <v>0</v>
      </c>
      <c r="J123" s="3">
        <f t="shared" si="359"/>
        <v>3.2876712328767126</v>
      </c>
      <c r="K123" s="3">
        <f t="shared" ref="K123" si="438">155*9/5000*F123</f>
        <v>0</v>
      </c>
      <c r="L123" s="3">
        <f t="shared" si="384"/>
        <v>0</v>
      </c>
      <c r="M123" s="3">
        <f t="shared" si="385"/>
        <v>0</v>
      </c>
      <c r="N123" s="3">
        <f t="shared" ref="N123" si="439">350/10000*F123</f>
        <v>0</v>
      </c>
      <c r="O123" s="3">
        <f t="shared" si="435"/>
        <v>102.56410256410255</v>
      </c>
      <c r="P123" s="3">
        <f t="shared" ref="P123" si="440">SUM(G123:O123)</f>
        <v>224.5732349841939</v>
      </c>
    </row>
    <row r="124" spans="1:16" ht="242.25" customHeight="1" x14ac:dyDescent="0.5">
      <c r="A124" s="12"/>
      <c r="B124" s="12"/>
      <c r="C124" s="7"/>
      <c r="D124" s="6"/>
      <c r="E124" s="6"/>
      <c r="F124" s="5">
        <f t="shared" si="255"/>
        <v>0</v>
      </c>
      <c r="G124" s="3">
        <f t="shared" ref="G124" si="441">1000000/10/365/3</f>
        <v>91.324200913242009</v>
      </c>
      <c r="H124" s="3">
        <f t="shared" ref="H124:H126" si="442">F124/8*20.5</f>
        <v>0</v>
      </c>
      <c r="I124" s="3">
        <f t="shared" ref="I124" si="443">5500/50000*F124*3</f>
        <v>0</v>
      </c>
      <c r="J124" s="3">
        <f t="shared" si="359"/>
        <v>3.2876712328767126</v>
      </c>
      <c r="K124" s="3">
        <f t="shared" ref="K124" si="444">155*5.5/5000*F124</f>
        <v>0</v>
      </c>
      <c r="L124" s="3">
        <f t="shared" si="384"/>
        <v>0</v>
      </c>
      <c r="M124" s="3">
        <f t="shared" si="385"/>
        <v>0</v>
      </c>
      <c r="N124" s="3">
        <f t="shared" si="434"/>
        <v>0</v>
      </c>
      <c r="O124" s="3">
        <f t="shared" si="435"/>
        <v>102.56410256410255</v>
      </c>
      <c r="P124" s="3">
        <f t="shared" ref="P124" si="445">SUM(G124:O124)</f>
        <v>197.17597471022128</v>
      </c>
    </row>
    <row r="125" spans="1:16" ht="242.25" customHeight="1" x14ac:dyDescent="0.5">
      <c r="A125" s="12"/>
      <c r="B125" s="12"/>
      <c r="C125" s="7"/>
      <c r="D125" s="6"/>
      <c r="E125" s="6"/>
      <c r="F125" s="5">
        <f t="shared" si="255"/>
        <v>0</v>
      </c>
      <c r="G125" s="3">
        <f t="shared" si="365"/>
        <v>118.72146118721462</v>
      </c>
      <c r="H125" s="3">
        <f t="shared" si="442"/>
        <v>0</v>
      </c>
      <c r="I125" s="3">
        <f t="shared" ref="I125:I126" si="446">8650/50000*F125*6</f>
        <v>0</v>
      </c>
      <c r="J125" s="3">
        <f t="shared" si="359"/>
        <v>3.2876712328767126</v>
      </c>
      <c r="K125" s="3">
        <f t="shared" ref="K125:K126" si="447">155*9/5000*F125</f>
        <v>0</v>
      </c>
      <c r="L125" s="3">
        <f t="shared" si="384"/>
        <v>0</v>
      </c>
      <c r="M125" s="3">
        <f t="shared" si="385"/>
        <v>0</v>
      </c>
      <c r="N125" s="3">
        <f t="shared" ref="N125:N126" si="448">350/10000*F125</f>
        <v>0</v>
      </c>
      <c r="O125" s="3">
        <f t="shared" si="435"/>
        <v>102.56410256410255</v>
      </c>
      <c r="P125" s="3">
        <f t="shared" ref="P125:P126" si="449">SUM(G125:O125)</f>
        <v>224.5732349841939</v>
      </c>
    </row>
    <row r="126" spans="1:16" ht="242.25" customHeight="1" x14ac:dyDescent="0.5">
      <c r="A126" s="12"/>
      <c r="B126" s="12"/>
      <c r="C126" s="7"/>
      <c r="D126" s="6"/>
      <c r="E126" s="6"/>
      <c r="F126" s="5">
        <f t="shared" si="255"/>
        <v>0</v>
      </c>
      <c r="G126" s="3">
        <f t="shared" si="365"/>
        <v>118.72146118721462</v>
      </c>
      <c r="H126" s="3">
        <f t="shared" si="442"/>
        <v>0</v>
      </c>
      <c r="I126" s="3">
        <f t="shared" si="446"/>
        <v>0</v>
      </c>
      <c r="J126" s="3">
        <f t="shared" si="359"/>
        <v>3.2876712328767126</v>
      </c>
      <c r="K126" s="3">
        <f t="shared" si="447"/>
        <v>0</v>
      </c>
      <c r="L126" s="3">
        <f t="shared" si="384"/>
        <v>0</v>
      </c>
      <c r="M126" s="3">
        <f t="shared" si="385"/>
        <v>0</v>
      </c>
      <c r="N126" s="3">
        <f t="shared" si="448"/>
        <v>0</v>
      </c>
      <c r="O126" s="3">
        <f t="shared" si="435"/>
        <v>102.56410256410255</v>
      </c>
      <c r="P126" s="3">
        <f t="shared" si="449"/>
        <v>224.5732349841939</v>
      </c>
    </row>
    <row r="127" spans="1:16" ht="242.25" customHeight="1" x14ac:dyDescent="0.5">
      <c r="A127" s="12"/>
      <c r="B127" s="12"/>
      <c r="C127" s="7"/>
      <c r="D127" s="6"/>
      <c r="E127" s="6"/>
      <c r="F127" s="5">
        <f t="shared" si="255"/>
        <v>0</v>
      </c>
      <c r="G127" s="3">
        <f t="shared" ref="G127" si="450">1000000/10/365/3</f>
        <v>91.324200913242009</v>
      </c>
      <c r="H127" s="3">
        <f t="shared" ref="H127:H128" si="451">F127/8*20.5</f>
        <v>0</v>
      </c>
      <c r="I127" s="3">
        <f t="shared" ref="I127" si="452">5500/50000*F127*3</f>
        <v>0</v>
      </c>
      <c r="J127" s="3">
        <f t="shared" si="359"/>
        <v>3.2876712328767126</v>
      </c>
      <c r="K127" s="3">
        <f t="shared" ref="K127" si="453">155*5.5/5000*F127</f>
        <v>0</v>
      </c>
      <c r="L127" s="3">
        <f t="shared" ref="L127:L128" si="454">120/5000*F127</f>
        <v>0</v>
      </c>
      <c r="M127" s="3">
        <f t="shared" ref="M127:M128" si="455">95/5000*F127</f>
        <v>0</v>
      </c>
      <c r="N127" s="3">
        <f t="shared" ref="N127" si="456">220/10000*F127</f>
        <v>0</v>
      </c>
      <c r="O127" s="3">
        <f t="shared" ref="O127:O130" si="457">8000/26/3</f>
        <v>102.56410256410255</v>
      </c>
      <c r="P127" s="3">
        <f t="shared" ref="P127" si="458">SUM(G127:O127)</f>
        <v>197.17597471022128</v>
      </c>
    </row>
    <row r="128" spans="1:16" ht="242.25" customHeight="1" x14ac:dyDescent="0.5">
      <c r="A128" s="12"/>
      <c r="B128" s="12"/>
      <c r="C128" s="7"/>
      <c r="D128" s="6"/>
      <c r="E128" s="6"/>
      <c r="F128" s="5">
        <f t="shared" si="255"/>
        <v>0</v>
      </c>
      <c r="G128" s="3">
        <f t="shared" si="365"/>
        <v>118.72146118721462</v>
      </c>
      <c r="H128" s="3">
        <f t="shared" si="451"/>
        <v>0</v>
      </c>
      <c r="I128" s="3">
        <f t="shared" ref="I128" si="459">8650/50000*F128*6</f>
        <v>0</v>
      </c>
      <c r="J128" s="3">
        <f t="shared" si="359"/>
        <v>3.2876712328767126</v>
      </c>
      <c r="K128" s="3">
        <f t="shared" ref="K128" si="460">155*8/5000*F128</f>
        <v>0</v>
      </c>
      <c r="L128" s="3">
        <f t="shared" si="454"/>
        <v>0</v>
      </c>
      <c r="M128" s="3">
        <f t="shared" si="455"/>
        <v>0</v>
      </c>
      <c r="N128" s="3">
        <f t="shared" ref="N128" si="461">350/10000*F128</f>
        <v>0</v>
      </c>
      <c r="O128" s="3">
        <f t="shared" si="457"/>
        <v>102.56410256410255</v>
      </c>
      <c r="P128" s="3">
        <f t="shared" ref="P128" si="462">SUM(G128:O128)</f>
        <v>224.5732349841939</v>
      </c>
    </row>
    <row r="129" spans="1:16" ht="242.25" customHeight="1" x14ac:dyDescent="0.5">
      <c r="A129" s="12"/>
      <c r="B129" s="12"/>
      <c r="C129" s="7"/>
      <c r="D129" s="6"/>
      <c r="E129" s="6"/>
      <c r="F129" s="5">
        <f t="shared" si="255"/>
        <v>0</v>
      </c>
      <c r="G129" s="3">
        <f t="shared" ref="G129" si="463">1000000/10/365/3</f>
        <v>91.324200913242009</v>
      </c>
      <c r="H129" s="3">
        <f t="shared" ref="H129:H130" si="464">F129/8*20.5</f>
        <v>0</v>
      </c>
      <c r="I129" s="3">
        <f t="shared" ref="I129" si="465">5500/50000*F129*3</f>
        <v>0</v>
      </c>
      <c r="J129" s="3">
        <f t="shared" si="359"/>
        <v>3.2876712328767126</v>
      </c>
      <c r="K129" s="3">
        <f t="shared" ref="K129" si="466">155*5.5/5000*F129</f>
        <v>0</v>
      </c>
      <c r="L129" s="3">
        <f t="shared" ref="L129:L130" si="467">120/5000*F129</f>
        <v>0</v>
      </c>
      <c r="M129" s="3">
        <f t="shared" ref="M129:M130" si="468">95/5000*F129</f>
        <v>0</v>
      </c>
      <c r="N129" s="3">
        <f t="shared" ref="N129" si="469">220/10000*F129</f>
        <v>0</v>
      </c>
      <c r="O129" s="3">
        <f t="shared" si="457"/>
        <v>102.56410256410255</v>
      </c>
      <c r="P129" s="3">
        <f t="shared" ref="P129" si="470">SUM(G129:O129)</f>
        <v>197.17597471022128</v>
      </c>
    </row>
    <row r="130" spans="1:16" ht="242.25" customHeight="1" x14ac:dyDescent="0.5">
      <c r="A130" s="12"/>
      <c r="B130" s="12"/>
      <c r="C130" s="7"/>
      <c r="D130" s="6"/>
      <c r="E130" s="6"/>
      <c r="F130" s="5">
        <f t="shared" si="255"/>
        <v>0</v>
      </c>
      <c r="G130" s="3">
        <f t="shared" si="365"/>
        <v>118.72146118721462</v>
      </c>
      <c r="H130" s="3">
        <f t="shared" si="464"/>
        <v>0</v>
      </c>
      <c r="I130" s="3">
        <f t="shared" ref="I130" si="471">8650/50000*F130*6</f>
        <v>0</v>
      </c>
      <c r="J130" s="3">
        <f t="shared" si="359"/>
        <v>3.2876712328767126</v>
      </c>
      <c r="K130" s="3">
        <f t="shared" ref="K130" si="472">155*8/5000*F130</f>
        <v>0</v>
      </c>
      <c r="L130" s="3">
        <f t="shared" si="467"/>
        <v>0</v>
      </c>
      <c r="M130" s="3">
        <f t="shared" si="468"/>
        <v>0</v>
      </c>
      <c r="N130" s="3">
        <f t="shared" ref="N130" si="473">350/10000*F130</f>
        <v>0</v>
      </c>
      <c r="O130" s="3">
        <f t="shared" si="457"/>
        <v>102.56410256410255</v>
      </c>
      <c r="P130" s="3">
        <f t="shared" ref="P130" si="474">SUM(G130:O130)</f>
        <v>224.5732349841939</v>
      </c>
    </row>
    <row r="131" spans="1:16" ht="242.25" customHeight="1" x14ac:dyDescent="0.5">
      <c r="A131" s="12"/>
      <c r="B131" s="12"/>
      <c r="C131" s="7"/>
      <c r="D131" s="6"/>
      <c r="E131" s="6"/>
      <c r="F131" s="5">
        <f t="shared" si="255"/>
        <v>0</v>
      </c>
      <c r="G131" s="3">
        <f t="shared" ref="G131" si="475">1000000/10/365/3</f>
        <v>91.324200913242009</v>
      </c>
      <c r="H131" s="3">
        <f t="shared" ref="H131:H134" si="476">F131/8*20.5</f>
        <v>0</v>
      </c>
      <c r="I131" s="3">
        <f t="shared" ref="I131" si="477">5500/50000*F131*3</f>
        <v>0</v>
      </c>
      <c r="J131" s="3">
        <f t="shared" si="359"/>
        <v>3.2876712328767126</v>
      </c>
      <c r="K131" s="3">
        <f t="shared" ref="K131" si="478">155*5.5/5000*F131</f>
        <v>0</v>
      </c>
      <c r="L131" s="3">
        <f t="shared" ref="L131:L135" si="479">120/5000*F131</f>
        <v>0</v>
      </c>
      <c r="M131" s="3">
        <f t="shared" ref="M131:M135" si="480">95/5000*F131</f>
        <v>0</v>
      </c>
      <c r="N131" s="3">
        <f t="shared" ref="N131" si="481">220/10000*F131</f>
        <v>0</v>
      </c>
      <c r="O131" s="3">
        <f t="shared" ref="O131:O134" si="482">8000/26/3</f>
        <v>102.56410256410255</v>
      </c>
      <c r="P131" s="3">
        <f t="shared" ref="P131" si="483">SUM(G131:O131)</f>
        <v>197.17597471022128</v>
      </c>
    </row>
    <row r="132" spans="1:16" ht="242.25" customHeight="1" x14ac:dyDescent="0.5">
      <c r="A132" s="12"/>
      <c r="B132" s="12"/>
      <c r="C132" s="7"/>
      <c r="D132" s="6"/>
      <c r="E132" s="6"/>
      <c r="F132" s="5">
        <f t="shared" si="255"/>
        <v>0</v>
      </c>
      <c r="G132" s="3">
        <f t="shared" si="365"/>
        <v>118.72146118721462</v>
      </c>
      <c r="H132" s="3">
        <f t="shared" si="476"/>
        <v>0</v>
      </c>
      <c r="I132" s="3">
        <f t="shared" ref="I132" si="484">8650/50000*F132*6</f>
        <v>0</v>
      </c>
      <c r="J132" s="3">
        <f t="shared" si="359"/>
        <v>3.2876712328767126</v>
      </c>
      <c r="K132" s="3">
        <f t="shared" ref="K132" si="485">155*8/5000*F132</f>
        <v>0</v>
      </c>
      <c r="L132" s="3">
        <f t="shared" si="479"/>
        <v>0</v>
      </c>
      <c r="M132" s="3">
        <f t="shared" si="480"/>
        <v>0</v>
      </c>
      <c r="N132" s="3">
        <f t="shared" ref="N132" si="486">350/10000*F132</f>
        <v>0</v>
      </c>
      <c r="O132" s="3">
        <f t="shared" si="482"/>
        <v>102.56410256410255</v>
      </c>
      <c r="P132" s="3">
        <f t="shared" ref="P132" si="487">SUM(G132:O132)</f>
        <v>224.5732349841939</v>
      </c>
    </row>
    <row r="133" spans="1:16" ht="242.25" customHeight="1" x14ac:dyDescent="0.5">
      <c r="A133" s="12"/>
      <c r="B133" s="12"/>
      <c r="C133" s="7"/>
      <c r="D133" s="6"/>
      <c r="E133" s="6"/>
      <c r="F133" s="5">
        <f t="shared" si="255"/>
        <v>0</v>
      </c>
      <c r="G133" s="3">
        <f t="shared" si="365"/>
        <v>118.72146118721462</v>
      </c>
      <c r="H133" s="3">
        <f t="shared" si="476"/>
        <v>0</v>
      </c>
      <c r="I133" s="3">
        <f t="shared" ref="I133:I134" si="488">8650/50000*F133*6</f>
        <v>0</v>
      </c>
      <c r="J133" s="3">
        <f t="shared" si="359"/>
        <v>3.2876712328767126</v>
      </c>
      <c r="K133" s="3">
        <f t="shared" ref="K133:K134" si="489">155*8/5000*F133</f>
        <v>0</v>
      </c>
      <c r="L133" s="3">
        <f t="shared" si="479"/>
        <v>0</v>
      </c>
      <c r="M133" s="3">
        <f t="shared" si="480"/>
        <v>0</v>
      </c>
      <c r="N133" s="3">
        <f t="shared" ref="N133:N134" si="490">350/10000*F133</f>
        <v>0</v>
      </c>
      <c r="O133" s="3">
        <f t="shared" si="482"/>
        <v>102.56410256410255</v>
      </c>
      <c r="P133" s="3">
        <f t="shared" ref="P133:P134" si="491">SUM(G133:O133)</f>
        <v>224.5732349841939</v>
      </c>
    </row>
    <row r="134" spans="1:16" ht="242.25" customHeight="1" x14ac:dyDescent="0.5">
      <c r="A134" s="12"/>
      <c r="B134" s="12"/>
      <c r="C134" s="7"/>
      <c r="D134" s="6"/>
      <c r="E134" s="6"/>
      <c r="F134" s="5">
        <f t="shared" si="255"/>
        <v>0</v>
      </c>
      <c r="G134" s="3">
        <f t="shared" si="365"/>
        <v>118.72146118721462</v>
      </c>
      <c r="H134" s="3">
        <f t="shared" si="476"/>
        <v>0</v>
      </c>
      <c r="I134" s="3">
        <f t="shared" si="488"/>
        <v>0</v>
      </c>
      <c r="J134" s="3">
        <f t="shared" si="359"/>
        <v>3.2876712328767126</v>
      </c>
      <c r="K134" s="3">
        <f t="shared" si="489"/>
        <v>0</v>
      </c>
      <c r="L134" s="3">
        <f t="shared" si="479"/>
        <v>0</v>
      </c>
      <c r="M134" s="3">
        <f t="shared" si="480"/>
        <v>0</v>
      </c>
      <c r="N134" s="3">
        <f t="shared" si="490"/>
        <v>0</v>
      </c>
      <c r="O134" s="3">
        <f t="shared" si="482"/>
        <v>102.56410256410255</v>
      </c>
      <c r="P134" s="3">
        <f t="shared" si="491"/>
        <v>224.5732349841939</v>
      </c>
    </row>
    <row r="135" spans="1:16" ht="242.25" customHeight="1" x14ac:dyDescent="0.5">
      <c r="A135" s="12"/>
      <c r="B135" s="12"/>
      <c r="C135" s="7"/>
      <c r="D135" s="6"/>
      <c r="E135" s="6"/>
      <c r="F135" s="5">
        <f t="shared" si="255"/>
        <v>0</v>
      </c>
      <c r="G135" s="3">
        <f t="shared" ref="G135" si="492">750000/10/365/3</f>
        <v>68.493150684931507</v>
      </c>
      <c r="H135" s="3">
        <f>F135/8*22.25</f>
        <v>0</v>
      </c>
      <c r="I135" s="3">
        <f t="shared" ref="I135" si="493">2500/50000*F135*3</f>
        <v>0</v>
      </c>
      <c r="J135" s="3">
        <f t="shared" ref="J135" si="494">2800/365/3</f>
        <v>2.5570776255707761</v>
      </c>
      <c r="K135" s="3">
        <f t="shared" ref="K135" si="495">155*4/5000*F135</f>
        <v>0</v>
      </c>
      <c r="L135" s="3">
        <f t="shared" si="479"/>
        <v>0</v>
      </c>
      <c r="M135" s="3">
        <f t="shared" si="480"/>
        <v>0</v>
      </c>
      <c r="N135" s="3">
        <f t="shared" ref="N135" si="496">220/10000*F135</f>
        <v>0</v>
      </c>
      <c r="O135" s="3">
        <f t="shared" ref="O135" si="497">8000/26/3</f>
        <v>102.56410256410255</v>
      </c>
      <c r="P135" s="3">
        <f t="shared" ref="P135" si="498">SUM(G135:O135)</f>
        <v>173.61433087460483</v>
      </c>
    </row>
    <row r="136" spans="1:16" ht="242.25" customHeight="1" x14ac:dyDescent="0.5">
      <c r="A136" s="12"/>
      <c r="B136" s="12"/>
      <c r="C136" s="7"/>
      <c r="D136" s="6"/>
      <c r="E136" s="6"/>
      <c r="F136" s="5"/>
      <c r="G136" s="3">
        <f t="shared" ref="G136" si="499">750000/10/365/3</f>
        <v>68.493150684931507</v>
      </c>
      <c r="H136" s="3">
        <f>F136/8*22.25</f>
        <v>0</v>
      </c>
      <c r="I136" s="3">
        <f t="shared" ref="I136" si="500">2500/50000*F136*3</f>
        <v>0</v>
      </c>
      <c r="J136" s="3">
        <f t="shared" ref="J136" si="501">2800/365/3</f>
        <v>2.5570776255707761</v>
      </c>
      <c r="K136" s="3">
        <f t="shared" ref="K136" si="502">155*4/5000*F136</f>
        <v>0</v>
      </c>
      <c r="L136" s="3">
        <f t="shared" ref="L136" si="503">120/5000*F136</f>
        <v>0</v>
      </c>
      <c r="M136" s="3">
        <f t="shared" ref="M136" si="504">95/5000*F136</f>
        <v>0</v>
      </c>
      <c r="N136" s="3">
        <f t="shared" ref="N136" si="505">220/10000*F136</f>
        <v>0</v>
      </c>
      <c r="O136" s="3">
        <f t="shared" ref="O136" si="506">8000/26/3</f>
        <v>102.56410256410255</v>
      </c>
      <c r="P136" s="3">
        <f t="shared" ref="P136" si="507">SUM(G136:O136)</f>
        <v>173.61433087460483</v>
      </c>
    </row>
    <row r="137" spans="1:16" ht="242.25" customHeight="1" x14ac:dyDescent="0.5">
      <c r="A137" s="12"/>
      <c r="B137" s="12"/>
      <c r="C137" s="7"/>
      <c r="D137" s="6"/>
      <c r="E137" s="6"/>
      <c r="F137" s="5"/>
      <c r="G137" s="3">
        <f t="shared" ref="G137" si="508">1000000/10/365/3</f>
        <v>91.324200913242009</v>
      </c>
      <c r="H137" s="3">
        <f t="shared" ref="H137:H153" si="509">F137/8*20.5</f>
        <v>0</v>
      </c>
      <c r="I137" s="3">
        <f t="shared" ref="I137" si="510">5500/50000*F137*3</f>
        <v>0</v>
      </c>
      <c r="J137" s="3">
        <f t="shared" si="359"/>
        <v>3.2876712328767126</v>
      </c>
      <c r="K137" s="3">
        <f t="shared" ref="K137" si="511">155*5.5/5000*F137</f>
        <v>0</v>
      </c>
      <c r="L137" s="3">
        <f t="shared" ref="L137:L140" si="512">120/5000*F137</f>
        <v>0</v>
      </c>
      <c r="M137" s="3">
        <f t="shared" ref="M137:M140" si="513">95/5000*F137</f>
        <v>0</v>
      </c>
      <c r="N137" s="3">
        <f t="shared" ref="N137" si="514">220/10000*F137</f>
        <v>0</v>
      </c>
      <c r="O137" s="3">
        <f t="shared" ref="O137:O153" si="515">8000/26/3</f>
        <v>102.56410256410255</v>
      </c>
      <c r="P137" s="3">
        <f t="shared" ref="P137:P140" si="516">SUM(G137:O137)</f>
        <v>197.17597471022128</v>
      </c>
    </row>
    <row r="138" spans="1:16" ht="242.25" customHeight="1" x14ac:dyDescent="0.5">
      <c r="A138" s="12"/>
      <c r="B138" s="12"/>
      <c r="C138" s="7"/>
      <c r="D138" s="6"/>
      <c r="E138" s="6"/>
      <c r="F138" s="5"/>
      <c r="G138" s="3">
        <f t="shared" ref="G138" si="517">750000/10/365/3</f>
        <v>68.493150684931507</v>
      </c>
      <c r="H138" s="3">
        <f t="shared" si="509"/>
        <v>0</v>
      </c>
      <c r="I138" s="3">
        <f t="shared" ref="I138" si="518">2500/50000*F138*3</f>
        <v>0</v>
      </c>
      <c r="J138" s="3">
        <f t="shared" ref="J138" si="519">2800/365/3</f>
        <v>2.5570776255707761</v>
      </c>
      <c r="K138" s="3">
        <f>155*4/5000*F138</f>
        <v>0</v>
      </c>
      <c r="L138" s="3">
        <f t="shared" si="512"/>
        <v>0</v>
      </c>
      <c r="M138" s="3">
        <f t="shared" si="513"/>
        <v>0</v>
      </c>
      <c r="N138" s="3">
        <f t="shared" ref="N138" si="520">220/10000*F138</f>
        <v>0</v>
      </c>
      <c r="O138" s="3">
        <f t="shared" si="515"/>
        <v>102.56410256410255</v>
      </c>
      <c r="P138" s="3">
        <f t="shared" ref="P138" si="521">SUM(G138:O138)</f>
        <v>173.61433087460483</v>
      </c>
    </row>
    <row r="139" spans="1:16" ht="242.25" customHeight="1" x14ac:dyDescent="0.5">
      <c r="A139" s="12"/>
      <c r="B139" s="12"/>
      <c r="C139" s="7"/>
      <c r="D139" s="6"/>
      <c r="E139" s="6"/>
      <c r="F139" s="5"/>
      <c r="G139" s="3">
        <f t="shared" si="365"/>
        <v>118.72146118721462</v>
      </c>
      <c r="H139" s="3">
        <f t="shared" si="509"/>
        <v>0</v>
      </c>
      <c r="I139" s="3">
        <f t="shared" ref="I139" si="522">8650/50000*F139*6</f>
        <v>0</v>
      </c>
      <c r="J139" s="3">
        <f t="shared" si="359"/>
        <v>3.2876712328767126</v>
      </c>
      <c r="K139" s="3">
        <f t="shared" ref="K139" si="523">155*8/5000*F139</f>
        <v>0</v>
      </c>
      <c r="L139" s="3">
        <f t="shared" si="512"/>
        <v>0</v>
      </c>
      <c r="M139" s="3">
        <f t="shared" si="513"/>
        <v>0</v>
      </c>
      <c r="N139" s="3">
        <f t="shared" ref="N139" si="524">350/10000*F139</f>
        <v>0</v>
      </c>
      <c r="O139" s="3">
        <f>8000/26/3</f>
        <v>102.56410256410255</v>
      </c>
      <c r="P139" s="3">
        <f t="shared" ref="P139" si="525">SUM(G139:O139)</f>
        <v>224.5732349841939</v>
      </c>
    </row>
    <row r="140" spans="1:16" ht="242.25" customHeight="1" x14ac:dyDescent="0.5">
      <c r="A140" s="12"/>
      <c r="B140" s="12"/>
      <c r="C140" s="7"/>
      <c r="D140" s="6"/>
      <c r="E140" s="6"/>
      <c r="F140" s="5"/>
      <c r="G140" s="3">
        <f t="shared" si="365"/>
        <v>118.72146118721462</v>
      </c>
      <c r="H140" s="3">
        <f t="shared" si="509"/>
        <v>0</v>
      </c>
      <c r="I140" s="3">
        <f t="shared" ref="I140" si="526">8650/50000*F140*6</f>
        <v>0</v>
      </c>
      <c r="J140" s="3">
        <f t="shared" ref="J140" si="527">3600/365/3</f>
        <v>3.2876712328767126</v>
      </c>
      <c r="K140" s="3">
        <f t="shared" ref="K140" si="528">155*8/5000*F140</f>
        <v>0</v>
      </c>
      <c r="L140" s="3">
        <f t="shared" si="512"/>
        <v>0</v>
      </c>
      <c r="M140" s="3">
        <f t="shared" si="513"/>
        <v>0</v>
      </c>
      <c r="N140" s="3">
        <f t="shared" ref="N140" si="529">350/10000*F140</f>
        <v>0</v>
      </c>
      <c r="O140" s="3">
        <f t="shared" si="515"/>
        <v>102.56410256410255</v>
      </c>
      <c r="P140" s="3">
        <f t="shared" si="516"/>
        <v>224.5732349841939</v>
      </c>
    </row>
    <row r="141" spans="1:16" ht="242.25" customHeight="1" x14ac:dyDescent="0.5">
      <c r="A141" s="12"/>
      <c r="B141" s="12"/>
      <c r="C141" s="7"/>
      <c r="D141" s="6"/>
      <c r="E141" s="6"/>
      <c r="F141" s="5"/>
      <c r="G141" s="3">
        <f t="shared" ref="G141" si="530">1000000/10/365/3</f>
        <v>91.324200913242009</v>
      </c>
      <c r="H141" s="3">
        <f t="shared" si="509"/>
        <v>0</v>
      </c>
      <c r="I141" s="3">
        <f t="shared" ref="I141" si="531">5500/50000*F141*3</f>
        <v>0</v>
      </c>
      <c r="J141" s="3">
        <f t="shared" si="359"/>
        <v>3.2876712328767126</v>
      </c>
      <c r="K141" s="3">
        <f>155*5.5/5000*F141</f>
        <v>0</v>
      </c>
      <c r="L141" s="3">
        <f t="shared" ref="L141:L143" si="532">120/5000*F141</f>
        <v>0</v>
      </c>
      <c r="M141" s="3">
        <f t="shared" ref="M141:M143" si="533">95/5000*F141</f>
        <v>0</v>
      </c>
      <c r="N141" s="3">
        <f t="shared" ref="N141" si="534">220/10000*F141</f>
        <v>0</v>
      </c>
      <c r="O141" s="3">
        <f t="shared" si="515"/>
        <v>102.56410256410255</v>
      </c>
      <c r="P141" s="3">
        <f t="shared" ref="P141:P143" si="535">SUM(G141:O141)</f>
        <v>197.17597471022128</v>
      </c>
    </row>
    <row r="142" spans="1:16" ht="242.25" customHeight="1" x14ac:dyDescent="0.5">
      <c r="A142" s="12"/>
      <c r="B142" s="12"/>
      <c r="C142" s="7"/>
      <c r="D142" s="6"/>
      <c r="E142" s="6"/>
      <c r="F142" s="5"/>
      <c r="G142" s="3">
        <f t="shared" si="365"/>
        <v>118.72146118721462</v>
      </c>
      <c r="H142" s="3">
        <f t="shared" si="509"/>
        <v>0</v>
      </c>
      <c r="I142" s="3">
        <f t="shared" ref="I142:I143" si="536">8650/50000*F142*6</f>
        <v>0</v>
      </c>
      <c r="J142" s="3">
        <f t="shared" ref="J142:J143" si="537">3600/365/3</f>
        <v>3.2876712328767126</v>
      </c>
      <c r="K142" s="3">
        <f t="shared" ref="K142:K143" si="538">155*8/5000*F142</f>
        <v>0</v>
      </c>
      <c r="L142" s="3">
        <f t="shared" si="532"/>
        <v>0</v>
      </c>
      <c r="M142" s="3">
        <f t="shared" si="533"/>
        <v>0</v>
      </c>
      <c r="N142" s="3">
        <f t="shared" ref="N142:N143" si="539">350/10000*F142</f>
        <v>0</v>
      </c>
      <c r="O142" s="3">
        <f t="shared" si="515"/>
        <v>102.56410256410255</v>
      </c>
      <c r="P142" s="3">
        <f t="shared" si="535"/>
        <v>224.5732349841939</v>
      </c>
    </row>
    <row r="143" spans="1:16" ht="242.25" customHeight="1" x14ac:dyDescent="0.5">
      <c r="A143" s="12"/>
      <c r="B143" s="12"/>
      <c r="C143" s="7"/>
      <c r="D143" s="6"/>
      <c r="E143" s="6"/>
      <c r="F143" s="5"/>
      <c r="G143" s="3">
        <f t="shared" si="365"/>
        <v>118.72146118721462</v>
      </c>
      <c r="H143" s="3">
        <f t="shared" si="509"/>
        <v>0</v>
      </c>
      <c r="I143" s="3">
        <f t="shared" si="536"/>
        <v>0</v>
      </c>
      <c r="J143" s="3">
        <f t="shared" si="537"/>
        <v>3.2876712328767126</v>
      </c>
      <c r="K143" s="3">
        <f t="shared" si="538"/>
        <v>0</v>
      </c>
      <c r="L143" s="3">
        <f t="shared" si="532"/>
        <v>0</v>
      </c>
      <c r="M143" s="3">
        <f t="shared" si="533"/>
        <v>0</v>
      </c>
      <c r="N143" s="3">
        <f t="shared" si="539"/>
        <v>0</v>
      </c>
      <c r="O143" s="3">
        <f t="shared" si="515"/>
        <v>102.56410256410255</v>
      </c>
      <c r="P143" s="3">
        <f t="shared" si="535"/>
        <v>224.5732349841939</v>
      </c>
    </row>
    <row r="144" spans="1:16" ht="242.25" customHeight="1" x14ac:dyDescent="0.5">
      <c r="A144" s="12"/>
      <c r="B144" s="12"/>
      <c r="C144" s="7"/>
      <c r="D144" s="6"/>
      <c r="E144" s="6"/>
      <c r="F144" s="5"/>
      <c r="G144" s="3">
        <f t="shared" ref="G144" si="540">1000000/10/365/3</f>
        <v>91.324200913242009</v>
      </c>
      <c r="H144" s="3">
        <f t="shared" si="509"/>
        <v>0</v>
      </c>
      <c r="I144" s="3">
        <f t="shared" ref="I144" si="541">5500/50000*F144*3</f>
        <v>0</v>
      </c>
      <c r="J144" s="3">
        <f t="shared" si="359"/>
        <v>3.2876712328767126</v>
      </c>
      <c r="K144" s="3">
        <f>155*5.5/5000*F144</f>
        <v>0</v>
      </c>
      <c r="L144" s="3">
        <f t="shared" ref="L144:L148" si="542">120/5000*F144</f>
        <v>0</v>
      </c>
      <c r="M144" s="3">
        <f t="shared" ref="M144:M148" si="543">95/5000*F144</f>
        <v>0</v>
      </c>
      <c r="N144" s="3">
        <f t="shared" ref="N144" si="544">220/10000*F144</f>
        <v>0</v>
      </c>
      <c r="O144" s="3">
        <f t="shared" si="515"/>
        <v>102.56410256410255</v>
      </c>
      <c r="P144" s="3">
        <f t="shared" ref="P144:P148" si="545">SUM(G144:O144)</f>
        <v>197.17597471022128</v>
      </c>
    </row>
    <row r="145" spans="1:16" ht="242.25" customHeight="1" x14ac:dyDescent="0.5">
      <c r="A145" s="12"/>
      <c r="B145" s="12"/>
      <c r="C145" s="7"/>
      <c r="D145" s="6"/>
      <c r="E145" s="6"/>
      <c r="F145" s="5"/>
      <c r="G145" s="3">
        <f t="shared" si="365"/>
        <v>118.72146118721462</v>
      </c>
      <c r="H145" s="3">
        <f t="shared" si="509"/>
        <v>0</v>
      </c>
      <c r="I145" s="3">
        <f t="shared" ref="I145" si="546">8650/50000*F145*6</f>
        <v>0</v>
      </c>
      <c r="J145" s="3">
        <f t="shared" ref="J145" si="547">3600/365/3</f>
        <v>3.2876712328767126</v>
      </c>
      <c r="K145" s="3">
        <f t="shared" ref="K145" si="548">155*8/5000*F145</f>
        <v>0</v>
      </c>
      <c r="L145" s="3">
        <f t="shared" si="542"/>
        <v>0</v>
      </c>
      <c r="M145" s="3">
        <f t="shared" si="543"/>
        <v>0</v>
      </c>
      <c r="N145" s="3">
        <f t="shared" ref="N145" si="549">350/10000*F145</f>
        <v>0</v>
      </c>
      <c r="O145" s="3">
        <f>8000/26/3</f>
        <v>102.56410256410255</v>
      </c>
      <c r="P145" s="3">
        <f t="shared" si="545"/>
        <v>224.5732349841939</v>
      </c>
    </row>
    <row r="146" spans="1:16" ht="242.25" customHeight="1" x14ac:dyDescent="0.5">
      <c r="A146" s="12"/>
      <c r="B146" s="12"/>
      <c r="C146" s="7"/>
      <c r="D146" s="6"/>
      <c r="E146" s="6"/>
      <c r="F146" s="5">
        <f t="shared" si="255"/>
        <v>0</v>
      </c>
      <c r="G146" s="3">
        <f t="shared" ref="G146" si="550">1000000/10/365/3</f>
        <v>91.324200913242009</v>
      </c>
      <c r="H146" s="3">
        <f t="shared" si="509"/>
        <v>0</v>
      </c>
      <c r="I146" s="3">
        <f t="shared" ref="I146" si="551">5500/50000*F146*3</f>
        <v>0</v>
      </c>
      <c r="J146" s="3">
        <f t="shared" si="359"/>
        <v>3.2876712328767126</v>
      </c>
      <c r="K146" s="3">
        <f>155*5.5/5000*F146</f>
        <v>0</v>
      </c>
      <c r="L146" s="3">
        <f t="shared" si="542"/>
        <v>0</v>
      </c>
      <c r="M146" s="3">
        <f t="shared" si="543"/>
        <v>0</v>
      </c>
      <c r="N146" s="3">
        <f t="shared" ref="N146" si="552">220/10000*F146</f>
        <v>0</v>
      </c>
      <c r="O146" s="3">
        <f t="shared" si="515"/>
        <v>102.56410256410255</v>
      </c>
      <c r="P146" s="3">
        <f t="shared" si="545"/>
        <v>197.17597471022128</v>
      </c>
    </row>
    <row r="147" spans="1:16" ht="242.25" customHeight="1" x14ac:dyDescent="0.5">
      <c r="A147" s="12"/>
      <c r="B147" s="12"/>
      <c r="C147" s="7"/>
      <c r="D147" s="6"/>
      <c r="E147" s="6"/>
      <c r="F147" s="5">
        <f t="shared" si="255"/>
        <v>0</v>
      </c>
      <c r="G147" s="3">
        <f t="shared" si="365"/>
        <v>118.72146118721462</v>
      </c>
      <c r="H147" s="3">
        <f t="shared" si="509"/>
        <v>0</v>
      </c>
      <c r="I147" s="3">
        <f t="shared" ref="I147:I148" si="553">8650/50000*F147*6</f>
        <v>0</v>
      </c>
      <c r="J147" s="3">
        <f t="shared" si="359"/>
        <v>3.2876712328767126</v>
      </c>
      <c r="K147" s="3">
        <f t="shared" ref="K147:K148" si="554">155*8/5000*F147</f>
        <v>0</v>
      </c>
      <c r="L147" s="3">
        <f t="shared" si="542"/>
        <v>0</v>
      </c>
      <c r="M147" s="3">
        <f t="shared" si="543"/>
        <v>0</v>
      </c>
      <c r="N147" s="3">
        <f t="shared" ref="N147:N148" si="555">350/10000*F147</f>
        <v>0</v>
      </c>
      <c r="O147" s="3">
        <f t="shared" si="515"/>
        <v>102.56410256410255</v>
      </c>
      <c r="P147" s="3">
        <f t="shared" si="545"/>
        <v>224.5732349841939</v>
      </c>
    </row>
    <row r="148" spans="1:16" ht="242.25" customHeight="1" x14ac:dyDescent="0.5">
      <c r="A148" s="12"/>
      <c r="B148" s="12"/>
      <c r="C148" s="7"/>
      <c r="D148" s="6"/>
      <c r="E148" s="6"/>
      <c r="F148" s="5">
        <f t="shared" si="255"/>
        <v>0</v>
      </c>
      <c r="G148" s="3">
        <f t="shared" ref="G148" si="556">1300000/10/365/3</f>
        <v>118.72146118721462</v>
      </c>
      <c r="H148" s="3">
        <f t="shared" si="509"/>
        <v>0</v>
      </c>
      <c r="I148" s="3">
        <f t="shared" si="553"/>
        <v>0</v>
      </c>
      <c r="J148" s="3">
        <f t="shared" si="359"/>
        <v>3.2876712328767126</v>
      </c>
      <c r="K148" s="3">
        <f t="shared" si="554"/>
        <v>0</v>
      </c>
      <c r="L148" s="3">
        <f t="shared" si="542"/>
        <v>0</v>
      </c>
      <c r="M148" s="3">
        <f t="shared" si="543"/>
        <v>0</v>
      </c>
      <c r="N148" s="3">
        <f t="shared" si="555"/>
        <v>0</v>
      </c>
      <c r="O148" s="3">
        <f t="shared" si="515"/>
        <v>102.56410256410255</v>
      </c>
      <c r="P148" s="3">
        <f t="shared" si="545"/>
        <v>224.5732349841939</v>
      </c>
    </row>
    <row r="149" spans="1:16" ht="242.25" customHeight="1" x14ac:dyDescent="0.5">
      <c r="A149" s="12"/>
      <c r="B149" s="12"/>
      <c r="C149" s="7"/>
      <c r="D149" s="6"/>
      <c r="E149" s="6"/>
      <c r="F149" s="5">
        <f t="shared" si="255"/>
        <v>0</v>
      </c>
      <c r="G149" s="3">
        <f t="shared" ref="G149:G150" si="557">1000000/10/365/3</f>
        <v>91.324200913242009</v>
      </c>
      <c r="H149" s="3">
        <f t="shared" si="509"/>
        <v>0</v>
      </c>
      <c r="I149" s="3">
        <f t="shared" ref="I149:I150" si="558">5500/50000*F149*3</f>
        <v>0</v>
      </c>
      <c r="J149" s="3">
        <f t="shared" si="359"/>
        <v>3.2876712328767126</v>
      </c>
      <c r="K149" s="3">
        <f t="shared" ref="K149:K150" si="559">155*5/5000*F149</f>
        <v>0</v>
      </c>
      <c r="L149" s="3">
        <f t="shared" ref="L149:L150" si="560">120/5000*F149</f>
        <v>0</v>
      </c>
      <c r="M149" s="3">
        <f t="shared" ref="M149:M150" si="561">95/5000*F149</f>
        <v>0</v>
      </c>
      <c r="N149" s="3">
        <f t="shared" ref="N149:N150" si="562">220/10000*F149</f>
        <v>0</v>
      </c>
      <c r="O149" s="3">
        <f t="shared" si="515"/>
        <v>102.56410256410255</v>
      </c>
      <c r="P149" s="3">
        <f t="shared" ref="P149:P150" si="563">SUM(G149:O149)</f>
        <v>197.17597471022128</v>
      </c>
    </row>
    <row r="150" spans="1:16" ht="242.25" customHeight="1" x14ac:dyDescent="0.5">
      <c r="A150" s="12"/>
      <c r="B150" s="12"/>
      <c r="C150" s="7"/>
      <c r="D150" s="6"/>
      <c r="E150" s="6"/>
      <c r="F150" s="5">
        <f t="shared" si="255"/>
        <v>0</v>
      </c>
      <c r="G150" s="3">
        <f t="shared" si="557"/>
        <v>91.324200913242009</v>
      </c>
      <c r="H150" s="3">
        <f t="shared" si="509"/>
        <v>0</v>
      </c>
      <c r="I150" s="3">
        <f t="shared" si="558"/>
        <v>0</v>
      </c>
      <c r="J150" s="3">
        <f t="shared" ref="J150" si="564">3600/365/3</f>
        <v>3.2876712328767126</v>
      </c>
      <c r="K150" s="3">
        <f t="shared" si="559"/>
        <v>0</v>
      </c>
      <c r="L150" s="3">
        <f t="shared" si="560"/>
        <v>0</v>
      </c>
      <c r="M150" s="3">
        <f t="shared" si="561"/>
        <v>0</v>
      </c>
      <c r="N150" s="3">
        <f t="shared" si="562"/>
        <v>0</v>
      </c>
      <c r="O150" s="3">
        <f t="shared" si="515"/>
        <v>102.56410256410255</v>
      </c>
      <c r="P150" s="3">
        <f t="shared" si="563"/>
        <v>197.17597471022128</v>
      </c>
    </row>
    <row r="151" spans="1:16" ht="242.25" customHeight="1" x14ac:dyDescent="0.5">
      <c r="A151" s="12"/>
      <c r="B151" s="12"/>
      <c r="C151" s="6"/>
      <c r="D151" s="6"/>
      <c r="E151" s="6"/>
      <c r="F151" s="5">
        <f t="shared" si="255"/>
        <v>0</v>
      </c>
      <c r="G151" s="3">
        <f t="shared" ref="G151" si="565">750000/10/365/3</f>
        <v>68.493150684931507</v>
      </c>
      <c r="H151" s="3">
        <f t="shared" si="509"/>
        <v>0</v>
      </c>
      <c r="I151" s="3">
        <f t="shared" ref="I151" si="566">2500/50000*F151*3</f>
        <v>0</v>
      </c>
      <c r="J151" s="3">
        <f t="shared" ref="J151" si="567">2800/365/3</f>
        <v>2.5570776255707761</v>
      </c>
      <c r="K151" s="3">
        <f t="shared" ref="K151" si="568">155*3.5/5000*F151</f>
        <v>0</v>
      </c>
      <c r="L151" s="3">
        <f t="shared" ref="L151:L153" si="569">120/5000*F151</f>
        <v>0</v>
      </c>
      <c r="M151" s="3">
        <f t="shared" ref="M151:M153" si="570">95/5000*F151</f>
        <v>0</v>
      </c>
      <c r="N151" s="3">
        <f t="shared" ref="N151" si="571">220/10000*F151</f>
        <v>0</v>
      </c>
      <c r="O151" s="3">
        <f t="shared" si="515"/>
        <v>102.56410256410255</v>
      </c>
      <c r="P151" s="3">
        <f t="shared" ref="P151" si="572">SUM(G151:O151)</f>
        <v>173.61433087460483</v>
      </c>
    </row>
    <row r="152" spans="1:16" ht="242.25" customHeight="1" x14ac:dyDescent="0.5">
      <c r="A152" s="12"/>
      <c r="B152" s="12"/>
      <c r="C152" s="6"/>
      <c r="D152" s="6"/>
      <c r="E152" s="6"/>
      <c r="F152" s="5">
        <f t="shared" si="255"/>
        <v>0</v>
      </c>
      <c r="G152" s="3">
        <f t="shared" ref="G152:G153" si="573">1300000/10/365/3</f>
        <v>118.72146118721462</v>
      </c>
      <c r="H152" s="3">
        <f t="shared" si="509"/>
        <v>0</v>
      </c>
      <c r="I152" s="3">
        <f t="shared" ref="I152:I153" si="574">8650/50000*F152*6</f>
        <v>0</v>
      </c>
      <c r="J152" s="3">
        <f t="shared" ref="J152:J153" si="575">3600/365/3</f>
        <v>3.2876712328767126</v>
      </c>
      <c r="K152" s="3">
        <f t="shared" ref="K152:K153" si="576">155*8/5000*F152</f>
        <v>0</v>
      </c>
      <c r="L152" s="3">
        <f t="shared" si="569"/>
        <v>0</v>
      </c>
      <c r="M152" s="3">
        <f t="shared" si="570"/>
        <v>0</v>
      </c>
      <c r="N152" s="3">
        <f t="shared" ref="N152:N153" si="577">350/10000*F152</f>
        <v>0</v>
      </c>
      <c r="O152" s="3">
        <f t="shared" si="515"/>
        <v>102.56410256410255</v>
      </c>
      <c r="P152" s="3">
        <f t="shared" ref="P152:P153" si="578">SUM(G152:O152)</f>
        <v>224.5732349841939</v>
      </c>
    </row>
    <row r="153" spans="1:16" ht="242.25" customHeight="1" x14ac:dyDescent="0.5">
      <c r="A153" s="12"/>
      <c r="B153" s="12"/>
      <c r="C153" s="6"/>
      <c r="D153" s="6"/>
      <c r="E153" s="6"/>
      <c r="F153" s="5">
        <f t="shared" si="255"/>
        <v>0</v>
      </c>
      <c r="G153" s="3">
        <f t="shared" si="573"/>
        <v>118.72146118721462</v>
      </c>
      <c r="H153" s="3">
        <f t="shared" si="509"/>
        <v>0</v>
      </c>
      <c r="I153" s="3">
        <f t="shared" si="574"/>
        <v>0</v>
      </c>
      <c r="J153" s="3">
        <f t="shared" si="575"/>
        <v>3.2876712328767126</v>
      </c>
      <c r="K153" s="3">
        <f t="shared" si="576"/>
        <v>0</v>
      </c>
      <c r="L153" s="3">
        <f t="shared" si="569"/>
        <v>0</v>
      </c>
      <c r="M153" s="3">
        <f t="shared" si="570"/>
        <v>0</v>
      </c>
      <c r="N153" s="3">
        <f t="shared" si="577"/>
        <v>0</v>
      </c>
      <c r="O153" s="3">
        <f t="shared" si="515"/>
        <v>102.56410256410255</v>
      </c>
      <c r="P153" s="3">
        <f t="shared" si="578"/>
        <v>224.5732349841939</v>
      </c>
    </row>
    <row r="154" spans="1:16" ht="242.25" customHeight="1" x14ac:dyDescent="1.35">
      <c r="C154" s="11"/>
    </row>
    <row r="155" spans="1:16" ht="242.25" customHeight="1" x14ac:dyDescent="1.35">
      <c r="C155" s="11"/>
    </row>
    <row r="156" spans="1:16" ht="242.25" customHeight="1" x14ac:dyDescent="1.35">
      <c r="C156" s="11"/>
    </row>
    <row r="157" spans="1:16" ht="242.25" customHeight="1" x14ac:dyDescent="1.35">
      <c r="C157" s="11"/>
    </row>
    <row r="158" spans="1:16" ht="242.25" customHeight="1" x14ac:dyDescent="1.35">
      <c r="C158" s="11"/>
    </row>
    <row r="159" spans="1:16" ht="242.25" customHeight="1" x14ac:dyDescent="1.35">
      <c r="C159" s="11"/>
    </row>
    <row r="160" spans="1:16" ht="242.25" customHeight="1" x14ac:dyDescent="1.35">
      <c r="C160" s="11"/>
    </row>
    <row r="161" spans="3:3" ht="242.25" customHeight="1" x14ac:dyDescent="1.35">
      <c r="C161" s="11"/>
    </row>
  </sheetData>
  <autoFilter ref="A1:F153" xr:uid="{00000000-0009-0000-0000-000000000000}"/>
  <pageMargins left="0.7" right="0.7" top="0.75" bottom="0.75" header="0.3" footer="0.3"/>
  <pageSetup paperSize="9" scale="10" orientation="portrait" r:id="rId1"/>
  <rowBreaks count="1" manualBreakCount="1">
    <brk id="6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تكلفة النقل</vt:lpstr>
    </vt:vector>
  </TitlesOfParts>
  <Company>Abu Taha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room</dc:creator>
  <cp:lastModifiedBy>eslam ibrahim</cp:lastModifiedBy>
  <dcterms:created xsi:type="dcterms:W3CDTF">2021-10-30T21:49:46Z</dcterms:created>
  <dcterms:modified xsi:type="dcterms:W3CDTF">2026-04-28T09:57:38Z</dcterms:modified>
</cp:coreProperties>
</file>
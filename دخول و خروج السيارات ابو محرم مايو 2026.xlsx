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firstSheet="1" activeTab="8"/>
  </bookViews>
  <sheets>
    <sheet name="داتا" sheetId="1" r:id="rId1"/>
    <sheet name="21-4-2026" sheetId="2" r:id="rId2"/>
    <sheet name="22-4-2026" sheetId="3" r:id="rId3"/>
    <sheet name="23-4-2026" sheetId="4" r:id="rId4"/>
    <sheet name="24-4-2026" sheetId="5" r:id="rId5"/>
    <sheet name="25-4-2026" sheetId="6" r:id="rId6"/>
    <sheet name="26-4-2026" sheetId="7" r:id="rId7"/>
    <sheet name="27-4-2026" sheetId="8" r:id="rId8"/>
    <sheet name="28-4-2026" sheetId="10" r:id="rId9"/>
    <sheet name="29-4-2026" sheetId="11" r:id="rId10"/>
    <sheet name="30-4-2026" sheetId="12" r:id="rId11"/>
    <sheet name="1-5-2026" sheetId="13" r:id="rId12"/>
    <sheet name="2-5-2026" sheetId="14" r:id="rId13"/>
    <sheet name="4-5-2026" sheetId="15" r:id="rId14"/>
    <sheet name="5-5-2026" sheetId="16" r:id="rId15"/>
    <sheet name="6-5-2026" sheetId="17" r:id="rId16"/>
    <sheet name="7-5-2026" sheetId="18" r:id="rId17"/>
    <sheet name="8-5-2026" sheetId="19" r:id="rId18"/>
    <sheet name="9-5-2026" sheetId="20" r:id="rId19"/>
    <sheet name="10-5-2026" sheetId="21" r:id="rId20"/>
    <sheet name="11-5-2026" sheetId="22" r:id="rId21"/>
    <sheet name="12-5-2026" sheetId="23" r:id="rId22"/>
    <sheet name="13-5-2026" sheetId="24" r:id="rId23"/>
    <sheet name="14-5-2026" sheetId="25" r:id="rId24"/>
    <sheet name="15-5-2026" sheetId="26" r:id="rId25"/>
    <sheet name="16-5-2026" sheetId="27" r:id="rId26"/>
    <sheet name="17-5-2026" sheetId="28" r:id="rId27"/>
    <sheet name="18-5-2026" sheetId="29" r:id="rId28"/>
    <sheet name="19-5-2026" sheetId="30" r:id="rId29"/>
    <sheet name="20-5-2026" sheetId="31" r:id="rId30"/>
  </sheets>
  <externalReferences>
    <externalReference r:id="rId31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1" i="10" l="1"/>
  <c r="AA4" i="8"/>
  <c r="AA5" i="8"/>
  <c r="AA9" i="8"/>
  <c r="AA12" i="8"/>
  <c r="AA13" i="8"/>
  <c r="AA3" i="8"/>
  <c r="N21" i="10" l="1"/>
  <c r="Z20" i="8" l="1"/>
  <c r="I14" i="8"/>
  <c r="C6" i="8"/>
  <c r="T3" i="7"/>
  <c r="T7" i="7"/>
  <c r="T8" i="7"/>
  <c r="T11" i="7"/>
  <c r="T12" i="7"/>
  <c r="T13" i="7"/>
  <c r="T15" i="7"/>
  <c r="T16" i="7"/>
  <c r="T17" i="7"/>
  <c r="T18" i="7"/>
  <c r="T19" i="7"/>
  <c r="T22" i="7"/>
  <c r="T23" i="7"/>
  <c r="T24" i="7"/>
  <c r="T25" i="7"/>
  <c r="T27" i="7"/>
  <c r="T28" i="7"/>
  <c r="Z37" i="4"/>
  <c r="T37" i="4"/>
  <c r="N37" i="4"/>
  <c r="I34" i="4"/>
  <c r="H22" i="4"/>
  <c r="H23" i="4"/>
  <c r="H24" i="4"/>
  <c r="H25" i="4"/>
  <c r="H26" i="4"/>
  <c r="H27" i="4"/>
  <c r="H28" i="4"/>
  <c r="H29" i="4"/>
  <c r="H30" i="4"/>
  <c r="H31" i="4"/>
  <c r="H32" i="4"/>
  <c r="H33" i="4"/>
  <c r="I5" i="3" l="1"/>
  <c r="I6" i="3"/>
  <c r="I9" i="3"/>
  <c r="I10" i="3"/>
  <c r="I11" i="3"/>
  <c r="I12" i="3"/>
  <c r="I13" i="3"/>
  <c r="I14" i="3"/>
  <c r="R6" i="2" l="1"/>
  <c r="R7" i="2"/>
  <c r="R8" i="2"/>
  <c r="R9" i="2"/>
  <c r="R10" i="2"/>
  <c r="R15" i="2"/>
  <c r="R24" i="2"/>
  <c r="R25" i="2"/>
  <c r="R28" i="2"/>
  <c r="D42" i="31"/>
  <c r="C42" i="31"/>
  <c r="Z41" i="31"/>
  <c r="T41" i="31"/>
  <c r="V41" i="31" s="1"/>
  <c r="R41" i="31"/>
  <c r="N41" i="31"/>
  <c r="H41" i="31"/>
  <c r="I41" i="31" s="1"/>
  <c r="D41" i="31"/>
  <c r="C41" i="31"/>
  <c r="Z40" i="31"/>
  <c r="T40" i="31"/>
  <c r="V40" i="31" s="1"/>
  <c r="R40" i="31"/>
  <c r="N40" i="31"/>
  <c r="H40" i="31"/>
  <c r="I40" i="31" s="1"/>
  <c r="D40" i="31"/>
  <c r="C40" i="31"/>
  <c r="Z39" i="31"/>
  <c r="T39" i="31"/>
  <c r="V39" i="31" s="1"/>
  <c r="R39" i="31"/>
  <c r="N39" i="31"/>
  <c r="H39" i="31"/>
  <c r="I39" i="31" s="1"/>
  <c r="D39" i="31"/>
  <c r="C39" i="31"/>
  <c r="Z38" i="31"/>
  <c r="T38" i="31"/>
  <c r="V38" i="31" s="1"/>
  <c r="R38" i="31"/>
  <c r="N38" i="31"/>
  <c r="H38" i="31"/>
  <c r="I38" i="31" s="1"/>
  <c r="D38" i="31"/>
  <c r="C38" i="31"/>
  <c r="Z37" i="31"/>
  <c r="T37" i="31"/>
  <c r="V37" i="31" s="1"/>
  <c r="R37" i="31"/>
  <c r="N37" i="31"/>
  <c r="H37" i="31"/>
  <c r="I37" i="31" s="1"/>
  <c r="D37" i="31"/>
  <c r="C37" i="31"/>
  <c r="Z36" i="31"/>
  <c r="AA36" i="31" s="1"/>
  <c r="T36" i="31"/>
  <c r="V36" i="31" s="1"/>
  <c r="R36" i="31"/>
  <c r="N36" i="31"/>
  <c r="H36" i="31"/>
  <c r="I36" i="31" s="1"/>
  <c r="D36" i="31"/>
  <c r="C36" i="31"/>
  <c r="Z35" i="31"/>
  <c r="T35" i="31"/>
  <c r="V35" i="31" s="1"/>
  <c r="R35" i="31"/>
  <c r="N35" i="31"/>
  <c r="H35" i="31"/>
  <c r="I35" i="31" s="1"/>
  <c r="D35" i="31"/>
  <c r="C35" i="31"/>
  <c r="Z34" i="31"/>
  <c r="T34" i="31"/>
  <c r="V34" i="31" s="1"/>
  <c r="R34" i="31"/>
  <c r="N34" i="31"/>
  <c r="H34" i="31"/>
  <c r="I34" i="31" s="1"/>
  <c r="D34" i="31"/>
  <c r="C34" i="31"/>
  <c r="Z33" i="31"/>
  <c r="T33" i="31"/>
  <c r="V33" i="31" s="1"/>
  <c r="R33" i="31"/>
  <c r="N33" i="31"/>
  <c r="H33" i="31"/>
  <c r="I33" i="31" s="1"/>
  <c r="D33" i="31"/>
  <c r="C33" i="31"/>
  <c r="Z32" i="31"/>
  <c r="T32" i="31"/>
  <c r="V32" i="31" s="1"/>
  <c r="R32" i="31"/>
  <c r="N32" i="31"/>
  <c r="H32" i="31"/>
  <c r="I32" i="31" s="1"/>
  <c r="D32" i="31"/>
  <c r="C32" i="31"/>
  <c r="Z31" i="31"/>
  <c r="AA31" i="31" s="1"/>
  <c r="T31" i="31"/>
  <c r="V31" i="31" s="1"/>
  <c r="R31" i="31"/>
  <c r="N31" i="31"/>
  <c r="I31" i="31"/>
  <c r="H31" i="31"/>
  <c r="D31" i="31"/>
  <c r="C31" i="31"/>
  <c r="AA30" i="31"/>
  <c r="Z30" i="31"/>
  <c r="T30" i="31"/>
  <c r="V30" i="31" s="1"/>
  <c r="R30" i="31"/>
  <c r="N30" i="31"/>
  <c r="H30" i="31"/>
  <c r="I30" i="31" s="1"/>
  <c r="D30" i="31"/>
  <c r="C30" i="31"/>
  <c r="Z29" i="31"/>
  <c r="T29" i="31"/>
  <c r="V29" i="31" s="1"/>
  <c r="R29" i="31"/>
  <c r="N29" i="31"/>
  <c r="H29" i="31"/>
  <c r="I29" i="31" s="1"/>
  <c r="D29" i="31"/>
  <c r="C29" i="31"/>
  <c r="Z28" i="31"/>
  <c r="T28" i="31"/>
  <c r="V28" i="31" s="1"/>
  <c r="R28" i="31"/>
  <c r="N28" i="31"/>
  <c r="H28" i="31"/>
  <c r="I28" i="31" s="1"/>
  <c r="D28" i="31"/>
  <c r="C28" i="31"/>
  <c r="Z27" i="31"/>
  <c r="AA27" i="31" s="1"/>
  <c r="T27" i="31"/>
  <c r="V27" i="31" s="1"/>
  <c r="R27" i="31"/>
  <c r="N27" i="31"/>
  <c r="H27" i="31"/>
  <c r="I27" i="31" s="1"/>
  <c r="D27" i="31"/>
  <c r="O27" i="31" s="1"/>
  <c r="C27" i="31"/>
  <c r="Z26" i="31"/>
  <c r="T26" i="31"/>
  <c r="V26" i="31" s="1"/>
  <c r="R26" i="31"/>
  <c r="N26" i="31"/>
  <c r="H26" i="31"/>
  <c r="I26" i="31" s="1"/>
  <c r="D26" i="31"/>
  <c r="O26" i="31" s="1"/>
  <c r="C26" i="31"/>
  <c r="Z25" i="31"/>
  <c r="T25" i="31"/>
  <c r="V25" i="31" s="1"/>
  <c r="R25" i="31"/>
  <c r="N25" i="31"/>
  <c r="H25" i="31"/>
  <c r="I25" i="31" s="1"/>
  <c r="D25" i="31"/>
  <c r="O25" i="31" s="1"/>
  <c r="C25" i="31"/>
  <c r="Z24" i="31"/>
  <c r="AA24" i="31" s="1"/>
  <c r="T24" i="31"/>
  <c r="V24" i="31" s="1"/>
  <c r="R24" i="31"/>
  <c r="N24" i="31"/>
  <c r="H24" i="31"/>
  <c r="I24" i="31" s="1"/>
  <c r="D24" i="31"/>
  <c r="C24" i="31"/>
  <c r="Z23" i="31"/>
  <c r="T23" i="31"/>
  <c r="V23" i="31" s="1"/>
  <c r="R23" i="31"/>
  <c r="N23" i="31"/>
  <c r="H23" i="31"/>
  <c r="I23" i="31" s="1"/>
  <c r="D23" i="31"/>
  <c r="C23" i="31"/>
  <c r="Z22" i="31"/>
  <c r="T22" i="31"/>
  <c r="V22" i="31" s="1"/>
  <c r="R22" i="31"/>
  <c r="N22" i="31"/>
  <c r="H22" i="31"/>
  <c r="I22" i="31" s="1"/>
  <c r="D22" i="31"/>
  <c r="C22" i="31"/>
  <c r="Z21" i="31"/>
  <c r="AA21" i="31" s="1"/>
  <c r="T21" i="31"/>
  <c r="V21" i="31" s="1"/>
  <c r="R21" i="31"/>
  <c r="N21" i="31"/>
  <c r="I21" i="31"/>
  <c r="H21" i="31"/>
  <c r="D21" i="31"/>
  <c r="C21" i="31"/>
  <c r="Z20" i="31"/>
  <c r="T20" i="31"/>
  <c r="V20" i="31" s="1"/>
  <c r="R20" i="31"/>
  <c r="N20" i="31"/>
  <c r="I20" i="31"/>
  <c r="H20" i="31"/>
  <c r="D20" i="31"/>
  <c r="C20" i="31"/>
  <c r="AA19" i="31"/>
  <c r="Z19" i="31"/>
  <c r="T19" i="31"/>
  <c r="V19" i="31" s="1"/>
  <c r="R19" i="31"/>
  <c r="N19" i="31"/>
  <c r="H19" i="31"/>
  <c r="I19" i="31" s="1"/>
  <c r="D19" i="31"/>
  <c r="C19" i="31"/>
  <c r="Z18" i="31"/>
  <c r="AA18" i="31" s="1"/>
  <c r="T18" i="31"/>
  <c r="V18" i="31" s="1"/>
  <c r="R18" i="31"/>
  <c r="N18" i="31"/>
  <c r="I18" i="31"/>
  <c r="H18" i="31"/>
  <c r="D18" i="31"/>
  <c r="C18" i="31"/>
  <c r="AA17" i="31"/>
  <c r="Z17" i="31"/>
  <c r="T17" i="31"/>
  <c r="V17" i="31" s="1"/>
  <c r="R17" i="31"/>
  <c r="N17" i="31"/>
  <c r="H17" i="31"/>
  <c r="I17" i="31" s="1"/>
  <c r="D17" i="31"/>
  <c r="C17" i="31"/>
  <c r="Z16" i="31"/>
  <c r="AA16" i="31" s="1"/>
  <c r="T16" i="31"/>
  <c r="V16" i="31" s="1"/>
  <c r="R16" i="31"/>
  <c r="N16" i="31"/>
  <c r="I16" i="31"/>
  <c r="H16" i="31"/>
  <c r="D16" i="31"/>
  <c r="C16" i="31"/>
  <c r="AA15" i="31"/>
  <c r="Z15" i="31"/>
  <c r="T15" i="31"/>
  <c r="V15" i="31" s="1"/>
  <c r="R15" i="31"/>
  <c r="N15" i="31"/>
  <c r="I15" i="31"/>
  <c r="D15" i="31"/>
  <c r="C15" i="31"/>
  <c r="Z14" i="31"/>
  <c r="AA14" i="31" s="1"/>
  <c r="T14" i="31"/>
  <c r="V14" i="31" s="1"/>
  <c r="R14" i="31"/>
  <c r="N14" i="31"/>
  <c r="I14" i="31"/>
  <c r="D14" i="31"/>
  <c r="C14" i="31"/>
  <c r="Z13" i="31"/>
  <c r="AA13" i="31" s="1"/>
  <c r="T13" i="31"/>
  <c r="V13" i="31" s="1"/>
  <c r="R13" i="31"/>
  <c r="N13" i="31"/>
  <c r="I13" i="31"/>
  <c r="D13" i="31"/>
  <c r="C13" i="31"/>
  <c r="Z12" i="31"/>
  <c r="T12" i="31"/>
  <c r="V12" i="31" s="1"/>
  <c r="R12" i="31"/>
  <c r="N12" i="31"/>
  <c r="I12" i="31"/>
  <c r="D12" i="31"/>
  <c r="O12" i="31" s="1"/>
  <c r="C12" i="31"/>
  <c r="Z11" i="31"/>
  <c r="AA11" i="31" s="1"/>
  <c r="T11" i="31"/>
  <c r="V11" i="31" s="1"/>
  <c r="R11" i="31"/>
  <c r="N11" i="31"/>
  <c r="I11" i="31"/>
  <c r="D11" i="31"/>
  <c r="C11" i="31"/>
  <c r="Z10" i="31"/>
  <c r="T10" i="31"/>
  <c r="V10" i="31" s="1"/>
  <c r="R10" i="31"/>
  <c r="N10" i="31"/>
  <c r="I10" i="31"/>
  <c r="D10" i="31"/>
  <c r="C10" i="31"/>
  <c r="Z9" i="31"/>
  <c r="T9" i="31"/>
  <c r="V9" i="31" s="1"/>
  <c r="R9" i="31"/>
  <c r="N9" i="31"/>
  <c r="I9" i="31"/>
  <c r="D9" i="31"/>
  <c r="O9" i="31" s="1"/>
  <c r="C9" i="31"/>
  <c r="Z8" i="31"/>
  <c r="AA8" i="31" s="1"/>
  <c r="T8" i="31"/>
  <c r="V8" i="31" s="1"/>
  <c r="R8" i="31"/>
  <c r="N8" i="31"/>
  <c r="I8" i="31"/>
  <c r="D8" i="31"/>
  <c r="O8" i="31" s="1"/>
  <c r="C8" i="31"/>
  <c r="Z7" i="31"/>
  <c r="AA7" i="31" s="1"/>
  <c r="T7" i="31"/>
  <c r="V7" i="31" s="1"/>
  <c r="R7" i="31"/>
  <c r="N7" i="31"/>
  <c r="I7" i="31"/>
  <c r="D7" i="31"/>
  <c r="C7" i="31"/>
  <c r="Z6" i="31"/>
  <c r="T6" i="31"/>
  <c r="V6" i="31" s="1"/>
  <c r="R6" i="31"/>
  <c r="N6" i="31"/>
  <c r="I6" i="31"/>
  <c r="D6" i="31"/>
  <c r="C6" i="31"/>
  <c r="Z5" i="31"/>
  <c r="AA5" i="31" s="1"/>
  <c r="V5" i="31"/>
  <c r="T5" i="31"/>
  <c r="R5" i="31"/>
  <c r="N5" i="31"/>
  <c r="I5" i="31"/>
  <c r="D5" i="31"/>
  <c r="C5" i="31"/>
  <c r="AA4" i="31"/>
  <c r="Z4" i="31"/>
  <c r="T4" i="31"/>
  <c r="V4" i="31" s="1"/>
  <c r="R4" i="31"/>
  <c r="N4" i="31"/>
  <c r="I4" i="31"/>
  <c r="D4" i="31"/>
  <c r="C4" i="31"/>
  <c r="Z3" i="31"/>
  <c r="T3" i="31"/>
  <c r="V3" i="31" s="1"/>
  <c r="R3" i="31"/>
  <c r="O3" i="31"/>
  <c r="N3" i="31"/>
  <c r="I3" i="31"/>
  <c r="D3" i="31"/>
  <c r="C3" i="31"/>
  <c r="D42" i="30"/>
  <c r="C42" i="30"/>
  <c r="Z41" i="30"/>
  <c r="T41" i="30"/>
  <c r="V41" i="30" s="1"/>
  <c r="R41" i="30"/>
  <c r="N41" i="30"/>
  <c r="H41" i="30"/>
  <c r="I41" i="30" s="1"/>
  <c r="D41" i="30"/>
  <c r="C41" i="30"/>
  <c r="Z40" i="30"/>
  <c r="T40" i="30"/>
  <c r="V40" i="30" s="1"/>
  <c r="R40" i="30"/>
  <c r="N40" i="30"/>
  <c r="H40" i="30"/>
  <c r="I40" i="30" s="1"/>
  <c r="D40" i="30"/>
  <c r="C40" i="30"/>
  <c r="Z39" i="30"/>
  <c r="T39" i="30"/>
  <c r="V39" i="30" s="1"/>
  <c r="R39" i="30"/>
  <c r="N39" i="30"/>
  <c r="H39" i="30"/>
  <c r="I39" i="30" s="1"/>
  <c r="D39" i="30"/>
  <c r="C39" i="30"/>
  <c r="Z38" i="30"/>
  <c r="T38" i="30"/>
  <c r="V38" i="30" s="1"/>
  <c r="R38" i="30"/>
  <c r="N38" i="30"/>
  <c r="H38" i="30"/>
  <c r="I38" i="30" s="1"/>
  <c r="D38" i="30"/>
  <c r="C38" i="30"/>
  <c r="Z37" i="30"/>
  <c r="T37" i="30"/>
  <c r="V37" i="30" s="1"/>
  <c r="R37" i="30"/>
  <c r="N37" i="30"/>
  <c r="H37" i="30"/>
  <c r="I37" i="30" s="1"/>
  <c r="D37" i="30"/>
  <c r="C37" i="30"/>
  <c r="Z36" i="30"/>
  <c r="AA36" i="30" s="1"/>
  <c r="T36" i="30"/>
  <c r="V36" i="30" s="1"/>
  <c r="R36" i="30"/>
  <c r="N36" i="30"/>
  <c r="H36" i="30"/>
  <c r="I36" i="30" s="1"/>
  <c r="D36" i="30"/>
  <c r="O36" i="30" s="1"/>
  <c r="C36" i="30"/>
  <c r="Z35" i="30"/>
  <c r="T35" i="30"/>
  <c r="V35" i="30" s="1"/>
  <c r="R35" i="30"/>
  <c r="N35" i="30"/>
  <c r="H35" i="30"/>
  <c r="I35" i="30" s="1"/>
  <c r="D35" i="30"/>
  <c r="O35" i="30" s="1"/>
  <c r="C35" i="30"/>
  <c r="Z34" i="30"/>
  <c r="T34" i="30"/>
  <c r="V34" i="30" s="1"/>
  <c r="R34" i="30"/>
  <c r="N34" i="30"/>
  <c r="H34" i="30"/>
  <c r="I34" i="30" s="1"/>
  <c r="D34" i="30"/>
  <c r="O34" i="30" s="1"/>
  <c r="C34" i="30"/>
  <c r="Z33" i="30"/>
  <c r="T33" i="30"/>
  <c r="V33" i="30" s="1"/>
  <c r="R33" i="30"/>
  <c r="N33" i="30"/>
  <c r="H33" i="30"/>
  <c r="I33" i="30" s="1"/>
  <c r="D33" i="30"/>
  <c r="O33" i="30" s="1"/>
  <c r="C33" i="30"/>
  <c r="Z32" i="30"/>
  <c r="T32" i="30"/>
  <c r="V32" i="30" s="1"/>
  <c r="R32" i="30"/>
  <c r="N32" i="30"/>
  <c r="H32" i="30"/>
  <c r="I32" i="30" s="1"/>
  <c r="D32" i="30"/>
  <c r="O32" i="30" s="1"/>
  <c r="C32" i="30"/>
  <c r="Z31" i="30"/>
  <c r="AA31" i="30" s="1"/>
  <c r="V31" i="30"/>
  <c r="T31" i="30"/>
  <c r="R31" i="30"/>
  <c r="N31" i="30"/>
  <c r="H31" i="30"/>
  <c r="I31" i="30" s="1"/>
  <c r="D31" i="30"/>
  <c r="C31" i="30"/>
  <c r="Z30" i="30"/>
  <c r="AA30" i="30" s="1"/>
  <c r="T30" i="30"/>
  <c r="V30" i="30" s="1"/>
  <c r="R30" i="30"/>
  <c r="N30" i="30"/>
  <c r="H30" i="30"/>
  <c r="I30" i="30" s="1"/>
  <c r="D30" i="30"/>
  <c r="O30" i="30" s="1"/>
  <c r="C30" i="30"/>
  <c r="Z29" i="30"/>
  <c r="T29" i="30"/>
  <c r="V29" i="30" s="1"/>
  <c r="R29" i="30"/>
  <c r="N29" i="30"/>
  <c r="H29" i="30"/>
  <c r="I29" i="30" s="1"/>
  <c r="D29" i="30"/>
  <c r="O29" i="30" s="1"/>
  <c r="C29" i="30"/>
  <c r="Z28" i="30"/>
  <c r="T28" i="30"/>
  <c r="V28" i="30" s="1"/>
  <c r="R28" i="30"/>
  <c r="N28" i="30"/>
  <c r="H28" i="30"/>
  <c r="I28" i="30" s="1"/>
  <c r="D28" i="30"/>
  <c r="O28" i="30" s="1"/>
  <c r="C28" i="30"/>
  <c r="Z27" i="30"/>
  <c r="AA27" i="30" s="1"/>
  <c r="V27" i="30"/>
  <c r="T27" i="30"/>
  <c r="R27" i="30"/>
  <c r="N27" i="30"/>
  <c r="O27" i="30" s="1"/>
  <c r="H27" i="30"/>
  <c r="I27" i="30" s="1"/>
  <c r="D27" i="30"/>
  <c r="C27" i="30"/>
  <c r="Z26" i="30"/>
  <c r="V26" i="30"/>
  <c r="T26" i="30"/>
  <c r="R26" i="30"/>
  <c r="N26" i="30"/>
  <c r="O26" i="30" s="1"/>
  <c r="H26" i="30"/>
  <c r="I26" i="30" s="1"/>
  <c r="D26" i="30"/>
  <c r="C26" i="30"/>
  <c r="Z25" i="30"/>
  <c r="V25" i="30"/>
  <c r="T25" i="30"/>
  <c r="R25" i="30"/>
  <c r="N25" i="30"/>
  <c r="O25" i="30" s="1"/>
  <c r="H25" i="30"/>
  <c r="I25" i="30" s="1"/>
  <c r="D25" i="30"/>
  <c r="C25" i="30"/>
  <c r="Z24" i="30"/>
  <c r="AA24" i="30" s="1"/>
  <c r="T24" i="30"/>
  <c r="V24" i="30" s="1"/>
  <c r="R24" i="30"/>
  <c r="N24" i="30"/>
  <c r="I24" i="30"/>
  <c r="H24" i="30"/>
  <c r="D24" i="30"/>
  <c r="C24" i="30"/>
  <c r="Z23" i="30"/>
  <c r="T23" i="30"/>
  <c r="V23" i="30" s="1"/>
  <c r="R23" i="30"/>
  <c r="N23" i="30"/>
  <c r="I23" i="30"/>
  <c r="H23" i="30"/>
  <c r="D23" i="30"/>
  <c r="C23" i="30"/>
  <c r="Z22" i="30"/>
  <c r="T22" i="30"/>
  <c r="V22" i="30" s="1"/>
  <c r="R22" i="30"/>
  <c r="N22" i="30"/>
  <c r="I22" i="30"/>
  <c r="H22" i="30"/>
  <c r="D22" i="30"/>
  <c r="C22" i="30"/>
  <c r="AA21" i="30"/>
  <c r="Z21" i="30"/>
  <c r="T21" i="30"/>
  <c r="V21" i="30" s="1"/>
  <c r="R21" i="30"/>
  <c r="N21" i="30"/>
  <c r="O21" i="30" s="1"/>
  <c r="H21" i="30"/>
  <c r="I21" i="30" s="1"/>
  <c r="D21" i="30"/>
  <c r="C21" i="30"/>
  <c r="Z20" i="30"/>
  <c r="T20" i="30"/>
  <c r="V20" i="30" s="1"/>
  <c r="R20" i="30"/>
  <c r="N20" i="30"/>
  <c r="O20" i="30" s="1"/>
  <c r="H20" i="30"/>
  <c r="I20" i="30" s="1"/>
  <c r="D20" i="30"/>
  <c r="C20" i="30"/>
  <c r="Z19" i="30"/>
  <c r="AA19" i="30" s="1"/>
  <c r="T19" i="30"/>
  <c r="V19" i="30" s="1"/>
  <c r="R19" i="30"/>
  <c r="N19" i="30"/>
  <c r="H19" i="30"/>
  <c r="I19" i="30" s="1"/>
  <c r="D19" i="30"/>
  <c r="O19" i="30" s="1"/>
  <c r="C19" i="30"/>
  <c r="Z18" i="30"/>
  <c r="AA18" i="30" s="1"/>
  <c r="T18" i="30"/>
  <c r="V18" i="30" s="1"/>
  <c r="R18" i="30"/>
  <c r="N18" i="30"/>
  <c r="H18" i="30"/>
  <c r="I18" i="30" s="1"/>
  <c r="D18" i="30"/>
  <c r="C18" i="30"/>
  <c r="Z17" i="30"/>
  <c r="AA17" i="30" s="1"/>
  <c r="T17" i="30"/>
  <c r="V17" i="30" s="1"/>
  <c r="R17" i="30"/>
  <c r="N17" i="30"/>
  <c r="H17" i="30"/>
  <c r="I17" i="30" s="1"/>
  <c r="D17" i="30"/>
  <c r="O17" i="30" s="1"/>
  <c r="C17" i="30"/>
  <c r="Z16" i="30"/>
  <c r="AA16" i="30" s="1"/>
  <c r="V16" i="30"/>
  <c r="T16" i="30"/>
  <c r="R16" i="30"/>
  <c r="N16" i="30"/>
  <c r="H16" i="30"/>
  <c r="I16" i="30" s="1"/>
  <c r="D16" i="30"/>
  <c r="C16" i="30"/>
  <c r="Z15" i="30"/>
  <c r="AA15" i="30" s="1"/>
  <c r="T15" i="30"/>
  <c r="V15" i="30" s="1"/>
  <c r="R15" i="30"/>
  <c r="N15" i="30"/>
  <c r="I15" i="30"/>
  <c r="D15" i="30"/>
  <c r="C15" i="30"/>
  <c r="Z14" i="30"/>
  <c r="AA14" i="30" s="1"/>
  <c r="T14" i="30"/>
  <c r="V14" i="30" s="1"/>
  <c r="R14" i="30"/>
  <c r="N14" i="30"/>
  <c r="I14" i="30"/>
  <c r="D14" i="30"/>
  <c r="O14" i="30" s="1"/>
  <c r="C14" i="30"/>
  <c r="Z13" i="30"/>
  <c r="AA13" i="30" s="1"/>
  <c r="T13" i="30"/>
  <c r="V13" i="30" s="1"/>
  <c r="R13" i="30"/>
  <c r="N13" i="30"/>
  <c r="I13" i="30"/>
  <c r="D13" i="30"/>
  <c r="O13" i="30" s="1"/>
  <c r="C13" i="30"/>
  <c r="Z12" i="30"/>
  <c r="T12" i="30"/>
  <c r="V12" i="30" s="1"/>
  <c r="R12" i="30"/>
  <c r="N12" i="30"/>
  <c r="I12" i="30"/>
  <c r="D12" i="30"/>
  <c r="C12" i="30"/>
  <c r="AA11" i="30"/>
  <c r="Z11" i="30"/>
  <c r="T11" i="30"/>
  <c r="V11" i="30" s="1"/>
  <c r="R11" i="30"/>
  <c r="N11" i="30"/>
  <c r="I11" i="30"/>
  <c r="D11" i="30"/>
  <c r="C11" i="30"/>
  <c r="Z10" i="30"/>
  <c r="T10" i="30"/>
  <c r="V10" i="30" s="1"/>
  <c r="R10" i="30"/>
  <c r="N10" i="30"/>
  <c r="I10" i="30"/>
  <c r="D10" i="30"/>
  <c r="O10" i="30" s="1"/>
  <c r="C10" i="30"/>
  <c r="Z9" i="30"/>
  <c r="T9" i="30"/>
  <c r="V9" i="30" s="1"/>
  <c r="R9" i="30"/>
  <c r="N9" i="30"/>
  <c r="I9" i="30"/>
  <c r="D9" i="30"/>
  <c r="C9" i="30"/>
  <c r="Z8" i="30"/>
  <c r="AA8" i="30" s="1"/>
  <c r="T8" i="30"/>
  <c r="V8" i="30" s="1"/>
  <c r="R8" i="30"/>
  <c r="N8" i="30"/>
  <c r="I8" i="30"/>
  <c r="D8" i="30"/>
  <c r="C8" i="30"/>
  <c r="Z7" i="30"/>
  <c r="AA7" i="30" s="1"/>
  <c r="T7" i="30"/>
  <c r="V7" i="30" s="1"/>
  <c r="R7" i="30"/>
  <c r="N7" i="30"/>
  <c r="I7" i="30"/>
  <c r="D7" i="30"/>
  <c r="C7" i="30"/>
  <c r="Z6" i="30"/>
  <c r="T6" i="30"/>
  <c r="V6" i="30" s="1"/>
  <c r="R6" i="30"/>
  <c r="N6" i="30"/>
  <c r="I6" i="30"/>
  <c r="D6" i="30"/>
  <c r="O6" i="30" s="1"/>
  <c r="C6" i="30"/>
  <c r="Z5" i="30"/>
  <c r="AA5" i="30" s="1"/>
  <c r="T5" i="30"/>
  <c r="V5" i="30" s="1"/>
  <c r="R5" i="30"/>
  <c r="N5" i="30"/>
  <c r="I5" i="30"/>
  <c r="D5" i="30"/>
  <c r="C5" i="30"/>
  <c r="Z4" i="30"/>
  <c r="AA4" i="30" s="1"/>
  <c r="T4" i="30"/>
  <c r="V4" i="30" s="1"/>
  <c r="R4" i="30"/>
  <c r="N4" i="30"/>
  <c r="I4" i="30"/>
  <c r="D4" i="30"/>
  <c r="C4" i="30"/>
  <c r="Z3" i="30"/>
  <c r="T3" i="30"/>
  <c r="V3" i="30" s="1"/>
  <c r="R3" i="30"/>
  <c r="N3" i="30"/>
  <c r="I3" i="30"/>
  <c r="D3" i="30"/>
  <c r="C3" i="30"/>
  <c r="D42" i="29"/>
  <c r="C42" i="29"/>
  <c r="Z41" i="29"/>
  <c r="T41" i="29"/>
  <c r="V41" i="29" s="1"/>
  <c r="R41" i="29"/>
  <c r="N41" i="29"/>
  <c r="I41" i="29"/>
  <c r="H41" i="29"/>
  <c r="D41" i="29"/>
  <c r="C41" i="29"/>
  <c r="Z40" i="29"/>
  <c r="T40" i="29"/>
  <c r="V40" i="29" s="1"/>
  <c r="R40" i="29"/>
  <c r="N40" i="29"/>
  <c r="I40" i="29"/>
  <c r="H40" i="29"/>
  <c r="D40" i="29"/>
  <c r="C40" i="29"/>
  <c r="Z39" i="29"/>
  <c r="T39" i="29"/>
  <c r="V39" i="29" s="1"/>
  <c r="R39" i="29"/>
  <c r="N39" i="29"/>
  <c r="I39" i="29"/>
  <c r="H39" i="29"/>
  <c r="D39" i="29"/>
  <c r="C39" i="29"/>
  <c r="Z38" i="29"/>
  <c r="T38" i="29"/>
  <c r="V38" i="29" s="1"/>
  <c r="R38" i="29"/>
  <c r="N38" i="29"/>
  <c r="I38" i="29"/>
  <c r="H38" i="29"/>
  <c r="D38" i="29"/>
  <c r="C38" i="29"/>
  <c r="Z37" i="29"/>
  <c r="T37" i="29"/>
  <c r="V37" i="29" s="1"/>
  <c r="R37" i="29"/>
  <c r="N37" i="29"/>
  <c r="I37" i="29"/>
  <c r="H37" i="29"/>
  <c r="D37" i="29"/>
  <c r="C37" i="29"/>
  <c r="AA36" i="29"/>
  <c r="Z36" i="29"/>
  <c r="T36" i="29"/>
  <c r="V36" i="29" s="1"/>
  <c r="R36" i="29"/>
  <c r="N36" i="29"/>
  <c r="O36" i="29" s="1"/>
  <c r="H36" i="29"/>
  <c r="I36" i="29" s="1"/>
  <c r="D36" i="29"/>
  <c r="C36" i="29"/>
  <c r="Z35" i="29"/>
  <c r="T35" i="29"/>
  <c r="V35" i="29" s="1"/>
  <c r="R35" i="29"/>
  <c r="N35" i="29"/>
  <c r="H35" i="29"/>
  <c r="I35" i="29" s="1"/>
  <c r="D35" i="29"/>
  <c r="C35" i="29"/>
  <c r="Z34" i="29"/>
  <c r="T34" i="29"/>
  <c r="V34" i="29" s="1"/>
  <c r="R34" i="29"/>
  <c r="N34" i="29"/>
  <c r="H34" i="29"/>
  <c r="I34" i="29" s="1"/>
  <c r="D34" i="29"/>
  <c r="C34" i="29"/>
  <c r="Z33" i="29"/>
  <c r="T33" i="29"/>
  <c r="V33" i="29" s="1"/>
  <c r="R33" i="29"/>
  <c r="N33" i="29"/>
  <c r="H33" i="29"/>
  <c r="I33" i="29" s="1"/>
  <c r="D33" i="29"/>
  <c r="C33" i="29"/>
  <c r="Z32" i="29"/>
  <c r="T32" i="29"/>
  <c r="V32" i="29" s="1"/>
  <c r="R32" i="29"/>
  <c r="N32" i="29"/>
  <c r="H32" i="29"/>
  <c r="I32" i="29" s="1"/>
  <c r="D32" i="29"/>
  <c r="C32" i="29"/>
  <c r="Z31" i="29"/>
  <c r="AA31" i="29" s="1"/>
  <c r="T31" i="29"/>
  <c r="V31" i="29" s="1"/>
  <c r="R31" i="29"/>
  <c r="N31" i="29"/>
  <c r="I31" i="29"/>
  <c r="H31" i="29"/>
  <c r="D31" i="29"/>
  <c r="C31" i="29"/>
  <c r="AA30" i="29"/>
  <c r="Z30" i="29"/>
  <c r="T30" i="29"/>
  <c r="V30" i="29" s="1"/>
  <c r="R30" i="29"/>
  <c r="N30" i="29"/>
  <c r="H30" i="29"/>
  <c r="I30" i="29" s="1"/>
  <c r="D30" i="29"/>
  <c r="C30" i="29"/>
  <c r="Z29" i="29"/>
  <c r="T29" i="29"/>
  <c r="V29" i="29" s="1"/>
  <c r="R29" i="29"/>
  <c r="N29" i="29"/>
  <c r="H29" i="29"/>
  <c r="I29" i="29" s="1"/>
  <c r="D29" i="29"/>
  <c r="C29" i="29"/>
  <c r="Z28" i="29"/>
  <c r="T28" i="29"/>
  <c r="V28" i="29" s="1"/>
  <c r="R28" i="29"/>
  <c r="N28" i="29"/>
  <c r="H28" i="29"/>
  <c r="I28" i="29" s="1"/>
  <c r="D28" i="29"/>
  <c r="C28" i="29"/>
  <c r="Z27" i="29"/>
  <c r="AA27" i="29" s="1"/>
  <c r="T27" i="29"/>
  <c r="V27" i="29" s="1"/>
  <c r="R27" i="29"/>
  <c r="N27" i="29"/>
  <c r="H27" i="29"/>
  <c r="I27" i="29" s="1"/>
  <c r="D27" i="29"/>
  <c r="O27" i="29" s="1"/>
  <c r="C27" i="29"/>
  <c r="Z26" i="29"/>
  <c r="T26" i="29"/>
  <c r="V26" i="29" s="1"/>
  <c r="R26" i="29"/>
  <c r="N26" i="29"/>
  <c r="H26" i="29"/>
  <c r="I26" i="29" s="1"/>
  <c r="D26" i="29"/>
  <c r="O26" i="29" s="1"/>
  <c r="C26" i="29"/>
  <c r="Z25" i="29"/>
  <c r="T25" i="29"/>
  <c r="V25" i="29" s="1"/>
  <c r="R25" i="29"/>
  <c r="N25" i="29"/>
  <c r="H25" i="29"/>
  <c r="I25" i="29" s="1"/>
  <c r="D25" i="29"/>
  <c r="O25" i="29" s="1"/>
  <c r="C25" i="29"/>
  <c r="Z24" i="29"/>
  <c r="AA24" i="29" s="1"/>
  <c r="V24" i="29"/>
  <c r="T24" i="29"/>
  <c r="R24" i="29"/>
  <c r="N24" i="29"/>
  <c r="H24" i="29"/>
  <c r="I24" i="29" s="1"/>
  <c r="D24" i="29"/>
  <c r="C24" i="29"/>
  <c r="Z23" i="29"/>
  <c r="V23" i="29"/>
  <c r="T23" i="29"/>
  <c r="R23" i="29"/>
  <c r="N23" i="29"/>
  <c r="H23" i="29"/>
  <c r="I23" i="29" s="1"/>
  <c r="D23" i="29"/>
  <c r="C23" i="29"/>
  <c r="Z22" i="29"/>
  <c r="V22" i="29"/>
  <c r="T22" i="29"/>
  <c r="R22" i="29"/>
  <c r="N22" i="29"/>
  <c r="H22" i="29"/>
  <c r="I22" i="29" s="1"/>
  <c r="D22" i="29"/>
  <c r="C22" i="29"/>
  <c r="Z21" i="29"/>
  <c r="AA21" i="29" s="1"/>
  <c r="T21" i="29"/>
  <c r="V21" i="29" s="1"/>
  <c r="R21" i="29"/>
  <c r="N21" i="29"/>
  <c r="H21" i="29"/>
  <c r="I21" i="29" s="1"/>
  <c r="D21" i="29"/>
  <c r="O21" i="29" s="1"/>
  <c r="C21" i="29"/>
  <c r="Z20" i="29"/>
  <c r="T20" i="29"/>
  <c r="V20" i="29" s="1"/>
  <c r="R20" i="29"/>
  <c r="N20" i="29"/>
  <c r="H20" i="29"/>
  <c r="I20" i="29" s="1"/>
  <c r="D20" i="29"/>
  <c r="O20" i="29" s="1"/>
  <c r="C20" i="29"/>
  <c r="Z19" i="29"/>
  <c r="AA19" i="29" s="1"/>
  <c r="V19" i="29"/>
  <c r="T19" i="29"/>
  <c r="R19" i="29"/>
  <c r="N19" i="29"/>
  <c r="O19" i="29" s="1"/>
  <c r="H19" i="29"/>
  <c r="I19" i="29" s="1"/>
  <c r="D19" i="29"/>
  <c r="C19" i="29"/>
  <c r="Z18" i="29"/>
  <c r="AA18" i="29" s="1"/>
  <c r="T18" i="29"/>
  <c r="V18" i="29" s="1"/>
  <c r="R18" i="29"/>
  <c r="N18" i="29"/>
  <c r="I18" i="29"/>
  <c r="H18" i="29"/>
  <c r="D18" i="29"/>
  <c r="C18" i="29"/>
  <c r="AA17" i="29"/>
  <c r="Z17" i="29"/>
  <c r="T17" i="29"/>
  <c r="V17" i="29" s="1"/>
  <c r="R17" i="29"/>
  <c r="N17" i="29"/>
  <c r="O17" i="29" s="1"/>
  <c r="H17" i="29"/>
  <c r="I17" i="29" s="1"/>
  <c r="D17" i="29"/>
  <c r="C17" i="29"/>
  <c r="Z16" i="29"/>
  <c r="AA16" i="29" s="1"/>
  <c r="T16" i="29"/>
  <c r="V16" i="29" s="1"/>
  <c r="R16" i="29"/>
  <c r="N16" i="29"/>
  <c r="I16" i="29"/>
  <c r="H16" i="29"/>
  <c r="D16" i="29"/>
  <c r="C16" i="29"/>
  <c r="AA15" i="29"/>
  <c r="Z15" i="29"/>
  <c r="T15" i="29"/>
  <c r="V15" i="29" s="1"/>
  <c r="R15" i="29"/>
  <c r="N15" i="29"/>
  <c r="I15" i="29"/>
  <c r="D15" i="29"/>
  <c r="C15" i="29"/>
  <c r="AA14" i="29"/>
  <c r="Z14" i="29"/>
  <c r="T14" i="29"/>
  <c r="V14" i="29" s="1"/>
  <c r="R14" i="29"/>
  <c r="N14" i="29"/>
  <c r="I14" i="29"/>
  <c r="D14" i="29"/>
  <c r="C14" i="29"/>
  <c r="AA13" i="29"/>
  <c r="Z13" i="29"/>
  <c r="T13" i="29"/>
  <c r="V13" i="29" s="1"/>
  <c r="R13" i="29"/>
  <c r="N13" i="29"/>
  <c r="I13" i="29"/>
  <c r="D13" i="29"/>
  <c r="C13" i="29"/>
  <c r="Z12" i="29"/>
  <c r="T12" i="29"/>
  <c r="V12" i="29" s="1"/>
  <c r="R12" i="29"/>
  <c r="N12" i="29"/>
  <c r="I12" i="29"/>
  <c r="D12" i="29"/>
  <c r="C12" i="29"/>
  <c r="AA11" i="29"/>
  <c r="Z11" i="29"/>
  <c r="T11" i="29"/>
  <c r="V11" i="29" s="1"/>
  <c r="R11" i="29"/>
  <c r="N11" i="29"/>
  <c r="I11" i="29"/>
  <c r="D11" i="29"/>
  <c r="C11" i="29"/>
  <c r="Z10" i="29"/>
  <c r="T10" i="29"/>
  <c r="V10" i="29" s="1"/>
  <c r="R10" i="29"/>
  <c r="N10" i="29"/>
  <c r="I10" i="29"/>
  <c r="D10" i="29"/>
  <c r="C10" i="29"/>
  <c r="Z9" i="29"/>
  <c r="T9" i="29"/>
  <c r="V9" i="29" s="1"/>
  <c r="R9" i="29"/>
  <c r="N9" i="29"/>
  <c r="I9" i="29"/>
  <c r="D9" i="29"/>
  <c r="C9" i="29"/>
  <c r="AA8" i="29"/>
  <c r="Z8" i="29"/>
  <c r="T8" i="29"/>
  <c r="V8" i="29" s="1"/>
  <c r="R8" i="29"/>
  <c r="N8" i="29"/>
  <c r="I8" i="29"/>
  <c r="D8" i="29"/>
  <c r="C8" i="29"/>
  <c r="Z7" i="29"/>
  <c r="AA7" i="29" s="1"/>
  <c r="T7" i="29"/>
  <c r="V7" i="29" s="1"/>
  <c r="R7" i="29"/>
  <c r="N7" i="29"/>
  <c r="I7" i="29"/>
  <c r="D7" i="29"/>
  <c r="C7" i="29"/>
  <c r="Z6" i="29"/>
  <c r="T6" i="29"/>
  <c r="V6" i="29" s="1"/>
  <c r="R6" i="29"/>
  <c r="N6" i="29"/>
  <c r="I6" i="29"/>
  <c r="D6" i="29"/>
  <c r="O6" i="29" s="1"/>
  <c r="C6" i="29"/>
  <c r="Z5" i="29"/>
  <c r="AA5" i="29" s="1"/>
  <c r="T5" i="29"/>
  <c r="V5" i="29" s="1"/>
  <c r="R5" i="29"/>
  <c r="N5" i="29"/>
  <c r="I5" i="29"/>
  <c r="D5" i="29"/>
  <c r="O5" i="29" s="1"/>
  <c r="C5" i="29"/>
  <c r="Z4" i="29"/>
  <c r="AA4" i="29" s="1"/>
  <c r="T4" i="29"/>
  <c r="V4" i="29" s="1"/>
  <c r="R4" i="29"/>
  <c r="O4" i="29"/>
  <c r="N4" i="29"/>
  <c r="I4" i="29"/>
  <c r="D4" i="29"/>
  <c r="C4" i="29"/>
  <c r="Z3" i="29"/>
  <c r="T3" i="29"/>
  <c r="V3" i="29" s="1"/>
  <c r="R3" i="29"/>
  <c r="N3" i="29"/>
  <c r="I3" i="29"/>
  <c r="D3" i="29"/>
  <c r="C3" i="29"/>
  <c r="D42" i="28"/>
  <c r="C42" i="28"/>
  <c r="Z41" i="28"/>
  <c r="T41" i="28"/>
  <c r="V41" i="28" s="1"/>
  <c r="R41" i="28"/>
  <c r="N41" i="28"/>
  <c r="H41" i="28"/>
  <c r="I41" i="28" s="1"/>
  <c r="D41" i="28"/>
  <c r="C41" i="28"/>
  <c r="Z40" i="28"/>
  <c r="V40" i="28"/>
  <c r="T40" i="28"/>
  <c r="R40" i="28"/>
  <c r="N40" i="28"/>
  <c r="H40" i="28"/>
  <c r="I40" i="28" s="1"/>
  <c r="D40" i="28"/>
  <c r="O40" i="28" s="1"/>
  <c r="C40" i="28"/>
  <c r="Z39" i="28"/>
  <c r="V39" i="28"/>
  <c r="T39" i="28"/>
  <c r="R39" i="28"/>
  <c r="N39" i="28"/>
  <c r="O39" i="28" s="1"/>
  <c r="I39" i="28"/>
  <c r="H39" i="28"/>
  <c r="D39" i="28"/>
  <c r="C39" i="28"/>
  <c r="Z38" i="28"/>
  <c r="V38" i="28"/>
  <c r="T38" i="28"/>
  <c r="R38" i="28"/>
  <c r="N38" i="28"/>
  <c r="H38" i="28"/>
  <c r="I38" i="28" s="1"/>
  <c r="D38" i="28"/>
  <c r="C38" i="28"/>
  <c r="Z37" i="28"/>
  <c r="V37" i="28"/>
  <c r="T37" i="28"/>
  <c r="R37" i="28"/>
  <c r="N37" i="28"/>
  <c r="O37" i="28" s="1"/>
  <c r="I37" i="28"/>
  <c r="H37" i="28"/>
  <c r="D37" i="28"/>
  <c r="C37" i="28"/>
  <c r="AA36" i="28"/>
  <c r="Z36" i="28"/>
  <c r="T36" i="28"/>
  <c r="V36" i="28" s="1"/>
  <c r="R36" i="28"/>
  <c r="N36" i="28"/>
  <c r="H36" i="28"/>
  <c r="I36" i="28" s="1"/>
  <c r="D36" i="28"/>
  <c r="O36" i="28" s="1"/>
  <c r="C36" i="28"/>
  <c r="Z35" i="28"/>
  <c r="T35" i="28"/>
  <c r="V35" i="28" s="1"/>
  <c r="R35" i="28"/>
  <c r="N35" i="28"/>
  <c r="H35" i="28"/>
  <c r="I35" i="28" s="1"/>
  <c r="D35" i="28"/>
  <c r="O35" i="28" s="1"/>
  <c r="C35" i="28"/>
  <c r="Z34" i="28"/>
  <c r="T34" i="28"/>
  <c r="V34" i="28" s="1"/>
  <c r="R34" i="28"/>
  <c r="N34" i="28"/>
  <c r="H34" i="28"/>
  <c r="I34" i="28" s="1"/>
  <c r="D34" i="28"/>
  <c r="O34" i="28" s="1"/>
  <c r="C34" i="28"/>
  <c r="Z33" i="28"/>
  <c r="T33" i="28"/>
  <c r="V33" i="28" s="1"/>
  <c r="R33" i="28"/>
  <c r="N33" i="28"/>
  <c r="H33" i="28"/>
  <c r="I33" i="28" s="1"/>
  <c r="D33" i="28"/>
  <c r="O33" i="28" s="1"/>
  <c r="C33" i="28"/>
  <c r="Z32" i="28"/>
  <c r="T32" i="28"/>
  <c r="V32" i="28" s="1"/>
  <c r="R32" i="28"/>
  <c r="N32" i="28"/>
  <c r="H32" i="28"/>
  <c r="I32" i="28" s="1"/>
  <c r="D32" i="28"/>
  <c r="O32" i="28" s="1"/>
  <c r="C32" i="28"/>
  <c r="Z31" i="28"/>
  <c r="AA31" i="28" s="1"/>
  <c r="T31" i="28"/>
  <c r="V31" i="28" s="1"/>
  <c r="R31" i="28"/>
  <c r="N31" i="28"/>
  <c r="H31" i="28"/>
  <c r="I31" i="28" s="1"/>
  <c r="D31" i="28"/>
  <c r="O31" i="28" s="1"/>
  <c r="C31" i="28"/>
  <c r="Z30" i="28"/>
  <c r="AA30" i="28" s="1"/>
  <c r="T30" i="28"/>
  <c r="V30" i="28" s="1"/>
  <c r="R30" i="28"/>
  <c r="N30" i="28"/>
  <c r="H30" i="28"/>
  <c r="I30" i="28" s="1"/>
  <c r="D30" i="28"/>
  <c r="O30" i="28" s="1"/>
  <c r="C30" i="28"/>
  <c r="Z29" i="28"/>
  <c r="T29" i="28"/>
  <c r="V29" i="28" s="1"/>
  <c r="R29" i="28"/>
  <c r="N29" i="28"/>
  <c r="H29" i="28"/>
  <c r="I29" i="28" s="1"/>
  <c r="D29" i="28"/>
  <c r="O29" i="28" s="1"/>
  <c r="C29" i="28"/>
  <c r="Z28" i="28"/>
  <c r="T28" i="28"/>
  <c r="V28" i="28" s="1"/>
  <c r="R28" i="28"/>
  <c r="N28" i="28"/>
  <c r="H28" i="28"/>
  <c r="I28" i="28" s="1"/>
  <c r="D28" i="28"/>
  <c r="O28" i="28" s="1"/>
  <c r="C28" i="28"/>
  <c r="Z27" i="28"/>
  <c r="AA27" i="28" s="1"/>
  <c r="T27" i="28"/>
  <c r="V27" i="28" s="1"/>
  <c r="R27" i="28"/>
  <c r="N27" i="28"/>
  <c r="H27" i="28"/>
  <c r="I27" i="28" s="1"/>
  <c r="D27" i="28"/>
  <c r="C27" i="28"/>
  <c r="Z26" i="28"/>
  <c r="T26" i="28"/>
  <c r="V26" i="28" s="1"/>
  <c r="R26" i="28"/>
  <c r="N26" i="28"/>
  <c r="H26" i="28"/>
  <c r="I26" i="28" s="1"/>
  <c r="D26" i="28"/>
  <c r="C26" i="28"/>
  <c r="Z25" i="28"/>
  <c r="T25" i="28"/>
  <c r="V25" i="28" s="1"/>
  <c r="R25" i="28"/>
  <c r="N25" i="28"/>
  <c r="H25" i="28"/>
  <c r="I25" i="28" s="1"/>
  <c r="D25" i="28"/>
  <c r="C25" i="28"/>
  <c r="Z24" i="28"/>
  <c r="AA24" i="28" s="1"/>
  <c r="T24" i="28"/>
  <c r="V24" i="28" s="1"/>
  <c r="R24" i="28"/>
  <c r="N24" i="28"/>
  <c r="H24" i="28"/>
  <c r="I24" i="28" s="1"/>
  <c r="D24" i="28"/>
  <c r="O24" i="28" s="1"/>
  <c r="C24" i="28"/>
  <c r="Z23" i="28"/>
  <c r="T23" i="28"/>
  <c r="V23" i="28" s="1"/>
  <c r="R23" i="28"/>
  <c r="N23" i="28"/>
  <c r="H23" i="28"/>
  <c r="I23" i="28" s="1"/>
  <c r="D23" i="28"/>
  <c r="O23" i="28" s="1"/>
  <c r="C23" i="28"/>
  <c r="Z22" i="28"/>
  <c r="T22" i="28"/>
  <c r="V22" i="28" s="1"/>
  <c r="R22" i="28"/>
  <c r="N22" i="28"/>
  <c r="H22" i="28"/>
  <c r="I22" i="28" s="1"/>
  <c r="D22" i="28"/>
  <c r="O22" i="28" s="1"/>
  <c r="C22" i="28"/>
  <c r="Z21" i="28"/>
  <c r="AA21" i="28" s="1"/>
  <c r="T21" i="28"/>
  <c r="V21" i="28" s="1"/>
  <c r="R21" i="28"/>
  <c r="N21" i="28"/>
  <c r="H21" i="28"/>
  <c r="I21" i="28" s="1"/>
  <c r="D21" i="28"/>
  <c r="C21" i="28"/>
  <c r="Z20" i="28"/>
  <c r="T20" i="28"/>
  <c r="V20" i="28" s="1"/>
  <c r="R20" i="28"/>
  <c r="N20" i="28"/>
  <c r="H20" i="28"/>
  <c r="I20" i="28" s="1"/>
  <c r="D20" i="28"/>
  <c r="C20" i="28"/>
  <c r="Z19" i="28"/>
  <c r="AA19" i="28" s="1"/>
  <c r="T19" i="28"/>
  <c r="V19" i="28" s="1"/>
  <c r="R19" i="28"/>
  <c r="N19" i="28"/>
  <c r="H19" i="28"/>
  <c r="I19" i="28" s="1"/>
  <c r="D19" i="28"/>
  <c r="O19" i="28" s="1"/>
  <c r="C19" i="28"/>
  <c r="Z18" i="28"/>
  <c r="AA18" i="28" s="1"/>
  <c r="T18" i="28"/>
  <c r="V18" i="28" s="1"/>
  <c r="R18" i="28"/>
  <c r="N18" i="28"/>
  <c r="H18" i="28"/>
  <c r="I18" i="28" s="1"/>
  <c r="D18" i="28"/>
  <c r="C18" i="28"/>
  <c r="Z17" i="28"/>
  <c r="AA17" i="28" s="1"/>
  <c r="T17" i="28"/>
  <c r="V17" i="28" s="1"/>
  <c r="R17" i="28"/>
  <c r="N17" i="28"/>
  <c r="H17" i="28"/>
  <c r="I17" i="28" s="1"/>
  <c r="D17" i="28"/>
  <c r="O17" i="28" s="1"/>
  <c r="C17" i="28"/>
  <c r="Z16" i="28"/>
  <c r="AA16" i="28" s="1"/>
  <c r="V16" i="28"/>
  <c r="T16" i="28"/>
  <c r="R16" i="28"/>
  <c r="N16" i="28"/>
  <c r="H16" i="28"/>
  <c r="I16" i="28" s="1"/>
  <c r="D16" i="28"/>
  <c r="C16" i="28"/>
  <c r="Z15" i="28"/>
  <c r="AA15" i="28" s="1"/>
  <c r="T15" i="28"/>
  <c r="V15" i="28" s="1"/>
  <c r="R15" i="28"/>
  <c r="N15" i="28"/>
  <c r="I15" i="28"/>
  <c r="D15" i="28"/>
  <c r="O15" i="28" s="1"/>
  <c r="C15" i="28"/>
  <c r="Z14" i="28"/>
  <c r="AA14" i="28" s="1"/>
  <c r="T14" i="28"/>
  <c r="V14" i="28" s="1"/>
  <c r="R14" i="28"/>
  <c r="N14" i="28"/>
  <c r="I14" i="28"/>
  <c r="D14" i="28"/>
  <c r="C14" i="28"/>
  <c r="Z13" i="28"/>
  <c r="AA13" i="28" s="1"/>
  <c r="T13" i="28"/>
  <c r="V13" i="28" s="1"/>
  <c r="R13" i="28"/>
  <c r="N13" i="28"/>
  <c r="I13" i="28"/>
  <c r="D13" i="28"/>
  <c r="C13" i="28"/>
  <c r="Z12" i="28"/>
  <c r="T12" i="28"/>
  <c r="V12" i="28" s="1"/>
  <c r="R12" i="28"/>
  <c r="N12" i="28"/>
  <c r="I12" i="28"/>
  <c r="D12" i="28"/>
  <c r="C12" i="28"/>
  <c r="Z11" i="28"/>
  <c r="AA11" i="28" s="1"/>
  <c r="V11" i="28"/>
  <c r="T11" i="28"/>
  <c r="R11" i="28"/>
  <c r="N11" i="28"/>
  <c r="I11" i="28"/>
  <c r="D11" i="28"/>
  <c r="C11" i="28"/>
  <c r="Z10" i="28"/>
  <c r="T10" i="28"/>
  <c r="V10" i="28" s="1"/>
  <c r="R10" i="28"/>
  <c r="N10" i="28"/>
  <c r="I10" i="28"/>
  <c r="D10" i="28"/>
  <c r="O10" i="28" s="1"/>
  <c r="C10" i="28"/>
  <c r="Z9" i="28"/>
  <c r="T9" i="28"/>
  <c r="V9" i="28" s="1"/>
  <c r="R9" i="28"/>
  <c r="N9" i="28"/>
  <c r="I9" i="28"/>
  <c r="D9" i="28"/>
  <c r="C9" i="28"/>
  <c r="Z8" i="28"/>
  <c r="AA8" i="28" s="1"/>
  <c r="T8" i="28"/>
  <c r="V8" i="28" s="1"/>
  <c r="R8" i="28"/>
  <c r="N8" i="28"/>
  <c r="I8" i="28"/>
  <c r="D8" i="28"/>
  <c r="C8" i="28"/>
  <c r="Z7" i="28"/>
  <c r="AA7" i="28" s="1"/>
  <c r="V7" i="28"/>
  <c r="T7" i="28"/>
  <c r="R7" i="28"/>
  <c r="N7" i="28"/>
  <c r="O7" i="28" s="1"/>
  <c r="I7" i="28"/>
  <c r="D7" i="28"/>
  <c r="C7" i="28"/>
  <c r="Z6" i="28"/>
  <c r="T6" i="28"/>
  <c r="V6" i="28" s="1"/>
  <c r="R6" i="28"/>
  <c r="N6" i="28"/>
  <c r="O6" i="28" s="1"/>
  <c r="I6" i="28"/>
  <c r="D6" i="28"/>
  <c r="C6" i="28"/>
  <c r="Z5" i="28"/>
  <c r="AA5" i="28" s="1"/>
  <c r="T5" i="28"/>
  <c r="V5" i="28" s="1"/>
  <c r="R5" i="28"/>
  <c r="N5" i="28"/>
  <c r="O5" i="28" s="1"/>
  <c r="I5" i="28"/>
  <c r="D5" i="28"/>
  <c r="C5" i="28"/>
  <c r="Z4" i="28"/>
  <c r="AA4" i="28" s="1"/>
  <c r="T4" i="28"/>
  <c r="V4" i="28" s="1"/>
  <c r="R4" i="28"/>
  <c r="N4" i="28"/>
  <c r="O4" i="28" s="1"/>
  <c r="I4" i="28"/>
  <c r="D4" i="28"/>
  <c r="C4" i="28"/>
  <c r="Z3" i="28"/>
  <c r="V3" i="28"/>
  <c r="T3" i="28"/>
  <c r="R3" i="28"/>
  <c r="N3" i="28"/>
  <c r="I3" i="28"/>
  <c r="D3" i="28"/>
  <c r="C3" i="28"/>
  <c r="D42" i="27"/>
  <c r="C42" i="27"/>
  <c r="Z41" i="27"/>
  <c r="T41" i="27"/>
  <c r="V41" i="27" s="1"/>
  <c r="R41" i="27"/>
  <c r="N41" i="27"/>
  <c r="H41" i="27"/>
  <c r="I41" i="27" s="1"/>
  <c r="D41" i="27"/>
  <c r="O41" i="27" s="1"/>
  <c r="C41" i="27"/>
  <c r="Z40" i="27"/>
  <c r="T40" i="27"/>
  <c r="V40" i="27" s="1"/>
  <c r="R40" i="27"/>
  <c r="N40" i="27"/>
  <c r="H40" i="27"/>
  <c r="I40" i="27" s="1"/>
  <c r="D40" i="27"/>
  <c r="O40" i="27" s="1"/>
  <c r="C40" i="27"/>
  <c r="Z39" i="27"/>
  <c r="T39" i="27"/>
  <c r="V39" i="27" s="1"/>
  <c r="R39" i="27"/>
  <c r="N39" i="27"/>
  <c r="H39" i="27"/>
  <c r="I39" i="27" s="1"/>
  <c r="D39" i="27"/>
  <c r="C39" i="27"/>
  <c r="Z38" i="27"/>
  <c r="T38" i="27"/>
  <c r="V38" i="27" s="1"/>
  <c r="R38" i="27"/>
  <c r="N38" i="27"/>
  <c r="H38" i="27"/>
  <c r="I38" i="27" s="1"/>
  <c r="D38" i="27"/>
  <c r="C38" i="27"/>
  <c r="Z37" i="27"/>
  <c r="T37" i="27"/>
  <c r="V37" i="27" s="1"/>
  <c r="R37" i="27"/>
  <c r="N37" i="27"/>
  <c r="H37" i="27"/>
  <c r="I37" i="27" s="1"/>
  <c r="D37" i="27"/>
  <c r="O37" i="27" s="1"/>
  <c r="C37" i="27"/>
  <c r="Z36" i="27"/>
  <c r="AA36" i="27" s="1"/>
  <c r="T36" i="27"/>
  <c r="V36" i="27" s="1"/>
  <c r="R36" i="27"/>
  <c r="N36" i="27"/>
  <c r="H36" i="27"/>
  <c r="I36" i="27" s="1"/>
  <c r="D36" i="27"/>
  <c r="C36" i="27"/>
  <c r="Z35" i="27"/>
  <c r="T35" i="27"/>
  <c r="V35" i="27" s="1"/>
  <c r="R35" i="27"/>
  <c r="N35" i="27"/>
  <c r="H35" i="27"/>
  <c r="I35" i="27" s="1"/>
  <c r="D35" i="27"/>
  <c r="C35" i="27"/>
  <c r="Z34" i="27"/>
  <c r="T34" i="27"/>
  <c r="V34" i="27" s="1"/>
  <c r="R34" i="27"/>
  <c r="N34" i="27"/>
  <c r="H34" i="27"/>
  <c r="I34" i="27" s="1"/>
  <c r="D34" i="27"/>
  <c r="C34" i="27"/>
  <c r="Z33" i="27"/>
  <c r="T33" i="27"/>
  <c r="V33" i="27" s="1"/>
  <c r="R33" i="27"/>
  <c r="N33" i="27"/>
  <c r="H33" i="27"/>
  <c r="I33" i="27" s="1"/>
  <c r="D33" i="27"/>
  <c r="C33" i="27"/>
  <c r="Z32" i="27"/>
  <c r="T32" i="27"/>
  <c r="V32" i="27" s="1"/>
  <c r="R32" i="27"/>
  <c r="N32" i="27"/>
  <c r="H32" i="27"/>
  <c r="I32" i="27" s="1"/>
  <c r="D32" i="27"/>
  <c r="C32" i="27"/>
  <c r="Z31" i="27"/>
  <c r="AA31" i="27" s="1"/>
  <c r="T31" i="27"/>
  <c r="V31" i="27" s="1"/>
  <c r="R31" i="27"/>
  <c r="N31" i="27"/>
  <c r="I31" i="27"/>
  <c r="H31" i="27"/>
  <c r="D31" i="27"/>
  <c r="O31" i="27" s="1"/>
  <c r="C31" i="27"/>
  <c r="AA30" i="27"/>
  <c r="Z30" i="27"/>
  <c r="V30" i="27"/>
  <c r="T30" i="27"/>
  <c r="R30" i="27"/>
  <c r="N30" i="27"/>
  <c r="O30" i="27" s="1"/>
  <c r="H30" i="27"/>
  <c r="I30" i="27" s="1"/>
  <c r="D30" i="27"/>
  <c r="C30" i="27"/>
  <c r="Z29" i="27"/>
  <c r="V29" i="27"/>
  <c r="T29" i="27"/>
  <c r="R29" i="27"/>
  <c r="N29" i="27"/>
  <c r="O29" i="27" s="1"/>
  <c r="H29" i="27"/>
  <c r="I29" i="27" s="1"/>
  <c r="D29" i="27"/>
  <c r="C29" i="27"/>
  <c r="Z28" i="27"/>
  <c r="V28" i="27"/>
  <c r="T28" i="27"/>
  <c r="R28" i="27"/>
  <c r="N28" i="27"/>
  <c r="O28" i="27" s="1"/>
  <c r="H28" i="27"/>
  <c r="I28" i="27" s="1"/>
  <c r="D28" i="27"/>
  <c r="C28" i="27"/>
  <c r="Z27" i="27"/>
  <c r="AA27" i="27" s="1"/>
  <c r="T27" i="27"/>
  <c r="V27" i="27" s="1"/>
  <c r="R27" i="27"/>
  <c r="N27" i="27"/>
  <c r="H27" i="27"/>
  <c r="I27" i="27" s="1"/>
  <c r="D27" i="27"/>
  <c r="C27" i="27"/>
  <c r="Z26" i="27"/>
  <c r="T26" i="27"/>
  <c r="V26" i="27" s="1"/>
  <c r="R26" i="27"/>
  <c r="N26" i="27"/>
  <c r="H26" i="27"/>
  <c r="I26" i="27" s="1"/>
  <c r="D26" i="27"/>
  <c r="C26" i="27"/>
  <c r="Z25" i="27"/>
  <c r="T25" i="27"/>
  <c r="V25" i="27" s="1"/>
  <c r="R25" i="27"/>
  <c r="N25" i="27"/>
  <c r="H25" i="27"/>
  <c r="I25" i="27" s="1"/>
  <c r="D25" i="27"/>
  <c r="C25" i="27"/>
  <c r="Z24" i="27"/>
  <c r="AA24" i="27" s="1"/>
  <c r="T24" i="27"/>
  <c r="V24" i="27" s="1"/>
  <c r="R24" i="27"/>
  <c r="N24" i="27"/>
  <c r="H24" i="27"/>
  <c r="I24" i="27" s="1"/>
  <c r="D24" i="27"/>
  <c r="C24" i="27"/>
  <c r="Z23" i="27"/>
  <c r="T23" i="27"/>
  <c r="V23" i="27" s="1"/>
  <c r="R23" i="27"/>
  <c r="N23" i="27"/>
  <c r="H23" i="27"/>
  <c r="I23" i="27" s="1"/>
  <c r="D23" i="27"/>
  <c r="C23" i="27"/>
  <c r="Z22" i="27"/>
  <c r="T22" i="27"/>
  <c r="V22" i="27" s="1"/>
  <c r="R22" i="27"/>
  <c r="N22" i="27"/>
  <c r="H22" i="27"/>
  <c r="I22" i="27" s="1"/>
  <c r="D22" i="27"/>
  <c r="C22" i="27"/>
  <c r="Z21" i="27"/>
  <c r="AA21" i="27" s="1"/>
  <c r="T21" i="27"/>
  <c r="V21" i="27" s="1"/>
  <c r="R21" i="27"/>
  <c r="N21" i="27"/>
  <c r="H21" i="27"/>
  <c r="I21" i="27" s="1"/>
  <c r="D21" i="27"/>
  <c r="C21" i="27"/>
  <c r="Z20" i="27"/>
  <c r="T20" i="27"/>
  <c r="V20" i="27" s="1"/>
  <c r="R20" i="27"/>
  <c r="N20" i="27"/>
  <c r="H20" i="27"/>
  <c r="I20" i="27" s="1"/>
  <c r="D20" i="27"/>
  <c r="C20" i="27"/>
  <c r="Z19" i="27"/>
  <c r="AA19" i="27" s="1"/>
  <c r="T19" i="27"/>
  <c r="V19" i="27" s="1"/>
  <c r="R19" i="27"/>
  <c r="N19" i="27"/>
  <c r="H19" i="27"/>
  <c r="I19" i="27" s="1"/>
  <c r="D19" i="27"/>
  <c r="C19" i="27"/>
  <c r="Z18" i="27"/>
  <c r="AA18" i="27" s="1"/>
  <c r="T18" i="27"/>
  <c r="V18" i="27" s="1"/>
  <c r="R18" i="27"/>
  <c r="N18" i="27"/>
  <c r="H18" i="27"/>
  <c r="I18" i="27" s="1"/>
  <c r="D18" i="27"/>
  <c r="C18" i="27"/>
  <c r="Z17" i="27"/>
  <c r="AA17" i="27" s="1"/>
  <c r="T17" i="27"/>
  <c r="V17" i="27" s="1"/>
  <c r="R17" i="27"/>
  <c r="N17" i="27"/>
  <c r="H17" i="27"/>
  <c r="I17" i="27" s="1"/>
  <c r="D17" i="27"/>
  <c r="C17" i="27"/>
  <c r="Z16" i="27"/>
  <c r="AA16" i="27" s="1"/>
  <c r="T16" i="27"/>
  <c r="V16" i="27" s="1"/>
  <c r="R16" i="27"/>
  <c r="N16" i="27"/>
  <c r="I16" i="27"/>
  <c r="H16" i="27"/>
  <c r="D16" i="27"/>
  <c r="O16" i="27" s="1"/>
  <c r="C16" i="27"/>
  <c r="AA15" i="27"/>
  <c r="Z15" i="27"/>
  <c r="V15" i="27"/>
  <c r="T15" i="27"/>
  <c r="R15" i="27"/>
  <c r="N15" i="27"/>
  <c r="O15" i="27" s="1"/>
  <c r="I15" i="27"/>
  <c r="D15" i="27"/>
  <c r="C15" i="27"/>
  <c r="Z14" i="27"/>
  <c r="AA14" i="27" s="1"/>
  <c r="T14" i="27"/>
  <c r="V14" i="27" s="1"/>
  <c r="R14" i="27"/>
  <c r="N14" i="27"/>
  <c r="I14" i="27"/>
  <c r="D14" i="27"/>
  <c r="C14" i="27"/>
  <c r="Z13" i="27"/>
  <c r="AA13" i="27" s="1"/>
  <c r="T13" i="27"/>
  <c r="V13" i="27" s="1"/>
  <c r="R13" i="27"/>
  <c r="N13" i="27"/>
  <c r="I13" i="27"/>
  <c r="D13" i="27"/>
  <c r="C13" i="27"/>
  <c r="Z12" i="27"/>
  <c r="T12" i="27"/>
  <c r="V12" i="27" s="1"/>
  <c r="R12" i="27"/>
  <c r="N12" i="27"/>
  <c r="I12" i="27"/>
  <c r="D12" i="27"/>
  <c r="O12" i="27" s="1"/>
  <c r="C12" i="27"/>
  <c r="Z11" i="27"/>
  <c r="AA11" i="27" s="1"/>
  <c r="T11" i="27"/>
  <c r="V11" i="27" s="1"/>
  <c r="R11" i="27"/>
  <c r="N11" i="27"/>
  <c r="I11" i="27"/>
  <c r="D11" i="27"/>
  <c r="O11" i="27" s="1"/>
  <c r="C11" i="27"/>
  <c r="Z10" i="27"/>
  <c r="V10" i="27"/>
  <c r="T10" i="27"/>
  <c r="R10" i="27"/>
  <c r="N10" i="27"/>
  <c r="I10" i="27"/>
  <c r="D10" i="27"/>
  <c r="C10" i="27"/>
  <c r="Z9" i="27"/>
  <c r="T9" i="27"/>
  <c r="V9" i="27" s="1"/>
  <c r="R9" i="27"/>
  <c r="N9" i="27"/>
  <c r="I9" i="27"/>
  <c r="D9" i="27"/>
  <c r="C9" i="27"/>
  <c r="Z8" i="27"/>
  <c r="AA8" i="27" s="1"/>
  <c r="T8" i="27"/>
  <c r="V8" i="27" s="1"/>
  <c r="R8" i="27"/>
  <c r="N8" i="27"/>
  <c r="I8" i="27"/>
  <c r="D8" i="27"/>
  <c r="C8" i="27"/>
  <c r="Z7" i="27"/>
  <c r="AA7" i="27" s="1"/>
  <c r="T7" i="27"/>
  <c r="V7" i="27" s="1"/>
  <c r="R7" i="27"/>
  <c r="N7" i="27"/>
  <c r="I7" i="27"/>
  <c r="D7" i="27"/>
  <c r="O7" i="27" s="1"/>
  <c r="C7" i="27"/>
  <c r="Z6" i="27"/>
  <c r="T6" i="27"/>
  <c r="V6" i="27" s="1"/>
  <c r="R6" i="27"/>
  <c r="N6" i="27"/>
  <c r="I6" i="27"/>
  <c r="D6" i="27"/>
  <c r="C6" i="27"/>
  <c r="Z5" i="27"/>
  <c r="AA5" i="27" s="1"/>
  <c r="T5" i="27"/>
  <c r="V5" i="27" s="1"/>
  <c r="R5" i="27"/>
  <c r="N5" i="27"/>
  <c r="I5" i="27"/>
  <c r="D5" i="27"/>
  <c r="C5" i="27"/>
  <c r="AA4" i="27"/>
  <c r="Z4" i="27"/>
  <c r="V4" i="27"/>
  <c r="T4" i="27"/>
  <c r="R4" i="27"/>
  <c r="N4" i="27"/>
  <c r="I4" i="27"/>
  <c r="D4" i="27"/>
  <c r="C4" i="27"/>
  <c r="Z3" i="27"/>
  <c r="T3" i="27"/>
  <c r="V3" i="27" s="1"/>
  <c r="R3" i="27"/>
  <c r="O3" i="27"/>
  <c r="N3" i="27"/>
  <c r="I3" i="27"/>
  <c r="D3" i="27"/>
  <c r="C3" i="27"/>
  <c r="D42" i="26"/>
  <c r="C42" i="26"/>
  <c r="Z41" i="26"/>
  <c r="T41" i="26"/>
  <c r="V41" i="26" s="1"/>
  <c r="R41" i="26"/>
  <c r="N41" i="26"/>
  <c r="H41" i="26"/>
  <c r="I41" i="26" s="1"/>
  <c r="D41" i="26"/>
  <c r="C41" i="26"/>
  <c r="Z40" i="26"/>
  <c r="T40" i="26"/>
  <c r="V40" i="26" s="1"/>
  <c r="R40" i="26"/>
  <c r="N40" i="26"/>
  <c r="H40" i="26"/>
  <c r="I40" i="26" s="1"/>
  <c r="D40" i="26"/>
  <c r="C40" i="26"/>
  <c r="Z39" i="26"/>
  <c r="T39" i="26"/>
  <c r="V39" i="26" s="1"/>
  <c r="R39" i="26"/>
  <c r="N39" i="26"/>
  <c r="H39" i="26"/>
  <c r="I39" i="26" s="1"/>
  <c r="D39" i="26"/>
  <c r="C39" i="26"/>
  <c r="Z38" i="26"/>
  <c r="T38" i="26"/>
  <c r="V38" i="26" s="1"/>
  <c r="R38" i="26"/>
  <c r="N38" i="26"/>
  <c r="H38" i="26"/>
  <c r="I38" i="26" s="1"/>
  <c r="D38" i="26"/>
  <c r="C38" i="26"/>
  <c r="Z37" i="26"/>
  <c r="T37" i="26"/>
  <c r="V37" i="26" s="1"/>
  <c r="R37" i="26"/>
  <c r="N37" i="26"/>
  <c r="H37" i="26"/>
  <c r="I37" i="26" s="1"/>
  <c r="D37" i="26"/>
  <c r="C37" i="26"/>
  <c r="Z36" i="26"/>
  <c r="AA36" i="26" s="1"/>
  <c r="T36" i="26"/>
  <c r="V36" i="26" s="1"/>
  <c r="R36" i="26"/>
  <c r="N36" i="26"/>
  <c r="I36" i="26"/>
  <c r="H36" i="26"/>
  <c r="D36" i="26"/>
  <c r="O36" i="26" s="1"/>
  <c r="C36" i="26"/>
  <c r="Z35" i="26"/>
  <c r="T35" i="26"/>
  <c r="V35" i="26" s="1"/>
  <c r="R35" i="26"/>
  <c r="N35" i="26"/>
  <c r="I35" i="26"/>
  <c r="H35" i="26"/>
  <c r="D35" i="26"/>
  <c r="O35" i="26" s="1"/>
  <c r="C35" i="26"/>
  <c r="Z34" i="26"/>
  <c r="T34" i="26"/>
  <c r="V34" i="26" s="1"/>
  <c r="R34" i="26"/>
  <c r="N34" i="26"/>
  <c r="I34" i="26"/>
  <c r="H34" i="26"/>
  <c r="D34" i="26"/>
  <c r="O34" i="26" s="1"/>
  <c r="C34" i="26"/>
  <c r="Z33" i="26"/>
  <c r="T33" i="26"/>
  <c r="V33" i="26" s="1"/>
  <c r="R33" i="26"/>
  <c r="N33" i="26"/>
  <c r="I33" i="26"/>
  <c r="H33" i="26"/>
  <c r="D33" i="26"/>
  <c r="O33" i="26" s="1"/>
  <c r="C33" i="26"/>
  <c r="Z32" i="26"/>
  <c r="T32" i="26"/>
  <c r="V32" i="26" s="1"/>
  <c r="R32" i="26"/>
  <c r="N32" i="26"/>
  <c r="I32" i="26"/>
  <c r="H32" i="26"/>
  <c r="D32" i="26"/>
  <c r="O32" i="26" s="1"/>
  <c r="C32" i="26"/>
  <c r="AA31" i="26"/>
  <c r="Z31" i="26"/>
  <c r="V31" i="26"/>
  <c r="T31" i="26"/>
  <c r="R31" i="26"/>
  <c r="N31" i="26"/>
  <c r="H31" i="26"/>
  <c r="I31" i="26" s="1"/>
  <c r="D31" i="26"/>
  <c r="C31" i="26"/>
  <c r="Z30" i="26"/>
  <c r="AA30" i="26" s="1"/>
  <c r="T30" i="26"/>
  <c r="V30" i="26" s="1"/>
  <c r="R30" i="26"/>
  <c r="N30" i="26"/>
  <c r="H30" i="26"/>
  <c r="I30" i="26" s="1"/>
  <c r="D30" i="26"/>
  <c r="C30" i="26"/>
  <c r="Z29" i="26"/>
  <c r="T29" i="26"/>
  <c r="V29" i="26" s="1"/>
  <c r="R29" i="26"/>
  <c r="N29" i="26"/>
  <c r="H29" i="26"/>
  <c r="I29" i="26" s="1"/>
  <c r="D29" i="26"/>
  <c r="C29" i="26"/>
  <c r="Z28" i="26"/>
  <c r="T28" i="26"/>
  <c r="V28" i="26" s="1"/>
  <c r="R28" i="26"/>
  <c r="N28" i="26"/>
  <c r="H28" i="26"/>
  <c r="I28" i="26" s="1"/>
  <c r="D28" i="26"/>
  <c r="C28" i="26"/>
  <c r="Z27" i="26"/>
  <c r="AA27" i="26" s="1"/>
  <c r="T27" i="26"/>
  <c r="V27" i="26" s="1"/>
  <c r="R27" i="26"/>
  <c r="N27" i="26"/>
  <c r="H27" i="26"/>
  <c r="I27" i="26" s="1"/>
  <c r="D27" i="26"/>
  <c r="C27" i="26"/>
  <c r="Z26" i="26"/>
  <c r="T26" i="26"/>
  <c r="V26" i="26" s="1"/>
  <c r="R26" i="26"/>
  <c r="N26" i="26"/>
  <c r="H26" i="26"/>
  <c r="I26" i="26" s="1"/>
  <c r="D26" i="26"/>
  <c r="C26" i="26"/>
  <c r="Z25" i="26"/>
  <c r="V25" i="26"/>
  <c r="T25" i="26"/>
  <c r="R25" i="26"/>
  <c r="N25" i="26"/>
  <c r="H25" i="26"/>
  <c r="I25" i="26" s="1"/>
  <c r="D25" i="26"/>
  <c r="C25" i="26"/>
  <c r="Z24" i="26"/>
  <c r="AA24" i="26" s="1"/>
  <c r="T24" i="26"/>
  <c r="V24" i="26" s="1"/>
  <c r="R24" i="26"/>
  <c r="N24" i="26"/>
  <c r="H24" i="26"/>
  <c r="I24" i="26" s="1"/>
  <c r="D24" i="26"/>
  <c r="C24" i="26"/>
  <c r="Z23" i="26"/>
  <c r="T23" i="26"/>
  <c r="V23" i="26" s="1"/>
  <c r="R23" i="26"/>
  <c r="N23" i="26"/>
  <c r="H23" i="26"/>
  <c r="I23" i="26" s="1"/>
  <c r="D23" i="26"/>
  <c r="C23" i="26"/>
  <c r="Z22" i="26"/>
  <c r="T22" i="26"/>
  <c r="V22" i="26" s="1"/>
  <c r="R22" i="26"/>
  <c r="N22" i="26"/>
  <c r="I22" i="26"/>
  <c r="H22" i="26"/>
  <c r="D22" i="26"/>
  <c r="C22" i="26"/>
  <c r="AA21" i="26"/>
  <c r="Z21" i="26"/>
  <c r="T21" i="26"/>
  <c r="V21" i="26" s="1"/>
  <c r="R21" i="26"/>
  <c r="N21" i="26"/>
  <c r="O21" i="26" s="1"/>
  <c r="H21" i="26"/>
  <c r="I21" i="26" s="1"/>
  <c r="D21" i="26"/>
  <c r="C21" i="26"/>
  <c r="Z20" i="26"/>
  <c r="T20" i="26"/>
  <c r="V20" i="26" s="1"/>
  <c r="R20" i="26"/>
  <c r="N20" i="26"/>
  <c r="O20" i="26" s="1"/>
  <c r="H20" i="26"/>
  <c r="I20" i="26" s="1"/>
  <c r="D20" i="26"/>
  <c r="C20" i="26"/>
  <c r="Z19" i="26"/>
  <c r="AA19" i="26" s="1"/>
  <c r="T19" i="26"/>
  <c r="V19" i="26" s="1"/>
  <c r="R19" i="26"/>
  <c r="N19" i="26"/>
  <c r="I19" i="26"/>
  <c r="H19" i="26"/>
  <c r="D19" i="26"/>
  <c r="O19" i="26" s="1"/>
  <c r="C19" i="26"/>
  <c r="AA18" i="26"/>
  <c r="Z18" i="26"/>
  <c r="V18" i="26"/>
  <c r="T18" i="26"/>
  <c r="R18" i="26"/>
  <c r="N18" i="26"/>
  <c r="I18" i="26"/>
  <c r="H18" i="26"/>
  <c r="D18" i="26"/>
  <c r="C18" i="26"/>
  <c r="AA17" i="26"/>
  <c r="Z17" i="26"/>
  <c r="T17" i="26"/>
  <c r="V17" i="26" s="1"/>
  <c r="R17" i="26"/>
  <c r="N17" i="26"/>
  <c r="H17" i="26"/>
  <c r="I17" i="26" s="1"/>
  <c r="D17" i="26"/>
  <c r="C17" i="26"/>
  <c r="Z16" i="26"/>
  <c r="AA16" i="26" s="1"/>
  <c r="T16" i="26"/>
  <c r="V16" i="26" s="1"/>
  <c r="R16" i="26"/>
  <c r="N16" i="26"/>
  <c r="O16" i="26" s="1"/>
  <c r="H16" i="26"/>
  <c r="I16" i="26" s="1"/>
  <c r="D16" i="26"/>
  <c r="C16" i="26"/>
  <c r="Z15" i="26"/>
  <c r="AA15" i="26" s="1"/>
  <c r="T15" i="26"/>
  <c r="V15" i="26" s="1"/>
  <c r="R15" i="26"/>
  <c r="N15" i="26"/>
  <c r="I15" i="26"/>
  <c r="D15" i="26"/>
  <c r="C15" i="26"/>
  <c r="Z14" i="26"/>
  <c r="AA14" i="26" s="1"/>
  <c r="T14" i="26"/>
  <c r="V14" i="26" s="1"/>
  <c r="R14" i="26"/>
  <c r="N14" i="26"/>
  <c r="I14" i="26"/>
  <c r="D14" i="26"/>
  <c r="O14" i="26" s="1"/>
  <c r="C14" i="26"/>
  <c r="Z13" i="26"/>
  <c r="AA13" i="26" s="1"/>
  <c r="T13" i="26"/>
  <c r="V13" i="26" s="1"/>
  <c r="R13" i="26"/>
  <c r="N13" i="26"/>
  <c r="I13" i="26"/>
  <c r="D13" i="26"/>
  <c r="O13" i="26" s="1"/>
  <c r="C13" i="26"/>
  <c r="Z12" i="26"/>
  <c r="T12" i="26"/>
  <c r="V12" i="26" s="1"/>
  <c r="R12" i="26"/>
  <c r="N12" i="26"/>
  <c r="I12" i="26"/>
  <c r="D12" i="26"/>
  <c r="C12" i="26"/>
  <c r="AA11" i="26"/>
  <c r="Z11" i="26"/>
  <c r="V11" i="26"/>
  <c r="T11" i="26"/>
  <c r="R11" i="26"/>
  <c r="N11" i="26"/>
  <c r="I11" i="26"/>
  <c r="D11" i="26"/>
  <c r="C11" i="26"/>
  <c r="Z10" i="26"/>
  <c r="T10" i="26"/>
  <c r="V10" i="26" s="1"/>
  <c r="R10" i="26"/>
  <c r="N10" i="26"/>
  <c r="I10" i="26"/>
  <c r="D10" i="26"/>
  <c r="C10" i="26"/>
  <c r="Z9" i="26"/>
  <c r="T9" i="26"/>
  <c r="V9" i="26" s="1"/>
  <c r="R9" i="26"/>
  <c r="N9" i="26"/>
  <c r="O9" i="26" s="1"/>
  <c r="I9" i="26"/>
  <c r="D9" i="26"/>
  <c r="C9" i="26"/>
  <c r="AA8" i="26"/>
  <c r="Z8" i="26"/>
  <c r="V8" i="26"/>
  <c r="T8" i="26"/>
  <c r="R8" i="26"/>
  <c r="N8" i="26"/>
  <c r="I8" i="26"/>
  <c r="D8" i="26"/>
  <c r="C8" i="26"/>
  <c r="Z7" i="26"/>
  <c r="AA7" i="26" s="1"/>
  <c r="T7" i="26"/>
  <c r="V7" i="26" s="1"/>
  <c r="R7" i="26"/>
  <c r="N7" i="26"/>
  <c r="I7" i="26"/>
  <c r="D7" i="26"/>
  <c r="C7" i="26"/>
  <c r="Z6" i="26"/>
  <c r="T6" i="26"/>
  <c r="V6" i="26" s="1"/>
  <c r="R6" i="26"/>
  <c r="O6" i="26"/>
  <c r="N6" i="26"/>
  <c r="I6" i="26"/>
  <c r="D6" i="26"/>
  <c r="C6" i="26"/>
  <c r="Z5" i="26"/>
  <c r="AA5" i="26" s="1"/>
  <c r="T5" i="26"/>
  <c r="V5" i="26" s="1"/>
  <c r="R5" i="26"/>
  <c r="O5" i="26"/>
  <c r="N5" i="26"/>
  <c r="I5" i="26"/>
  <c r="D5" i="26"/>
  <c r="C5" i="26"/>
  <c r="Z4" i="26"/>
  <c r="AA4" i="26" s="1"/>
  <c r="T4" i="26"/>
  <c r="V4" i="26" s="1"/>
  <c r="R4" i="26"/>
  <c r="O4" i="26"/>
  <c r="N4" i="26"/>
  <c r="I4" i="26"/>
  <c r="D4" i="26"/>
  <c r="C4" i="26"/>
  <c r="Z3" i="26"/>
  <c r="T3" i="26"/>
  <c r="V3" i="26" s="1"/>
  <c r="R3" i="26"/>
  <c r="N3" i="26"/>
  <c r="I3" i="26"/>
  <c r="D3" i="26"/>
  <c r="C3" i="26"/>
  <c r="D42" i="25"/>
  <c r="C42" i="25"/>
  <c r="Z41" i="25"/>
  <c r="T41" i="25"/>
  <c r="V41" i="25" s="1"/>
  <c r="R41" i="25"/>
  <c r="N41" i="25"/>
  <c r="I41" i="25"/>
  <c r="H41" i="25"/>
  <c r="D41" i="25"/>
  <c r="O41" i="25" s="1"/>
  <c r="C41" i="25"/>
  <c r="Z40" i="25"/>
  <c r="T40" i="25"/>
  <c r="V40" i="25" s="1"/>
  <c r="R40" i="25"/>
  <c r="N40" i="25"/>
  <c r="I40" i="25"/>
  <c r="H40" i="25"/>
  <c r="D40" i="25"/>
  <c r="O40" i="25" s="1"/>
  <c r="C40" i="25"/>
  <c r="Z39" i="25"/>
  <c r="T39" i="25"/>
  <c r="V39" i="25" s="1"/>
  <c r="R39" i="25"/>
  <c r="N39" i="25"/>
  <c r="I39" i="25"/>
  <c r="H39" i="25"/>
  <c r="D39" i="25"/>
  <c r="O39" i="25" s="1"/>
  <c r="C39" i="25"/>
  <c r="Z38" i="25"/>
  <c r="T38" i="25"/>
  <c r="V38" i="25" s="1"/>
  <c r="R38" i="25"/>
  <c r="N38" i="25"/>
  <c r="I38" i="25"/>
  <c r="H38" i="25"/>
  <c r="D38" i="25"/>
  <c r="O38" i="25" s="1"/>
  <c r="C38" i="25"/>
  <c r="Z37" i="25"/>
  <c r="T37" i="25"/>
  <c r="V37" i="25" s="1"/>
  <c r="R37" i="25"/>
  <c r="N37" i="25"/>
  <c r="I37" i="25"/>
  <c r="H37" i="25"/>
  <c r="D37" i="25"/>
  <c r="O37" i="25" s="1"/>
  <c r="C37" i="25"/>
  <c r="AA36" i="25"/>
  <c r="Z36" i="25"/>
  <c r="V36" i="25"/>
  <c r="T36" i="25"/>
  <c r="R36" i="25"/>
  <c r="N36" i="25"/>
  <c r="O36" i="25" s="1"/>
  <c r="H36" i="25"/>
  <c r="I36" i="25" s="1"/>
  <c r="D36" i="25"/>
  <c r="C36" i="25"/>
  <c r="Z35" i="25"/>
  <c r="V35" i="25"/>
  <c r="T35" i="25"/>
  <c r="R35" i="25"/>
  <c r="N35" i="25"/>
  <c r="O35" i="25" s="1"/>
  <c r="H35" i="25"/>
  <c r="I35" i="25" s="1"/>
  <c r="D35" i="25"/>
  <c r="C35" i="25"/>
  <c r="Z34" i="25"/>
  <c r="V34" i="25"/>
  <c r="T34" i="25"/>
  <c r="R34" i="25"/>
  <c r="N34" i="25"/>
  <c r="O34" i="25" s="1"/>
  <c r="H34" i="25"/>
  <c r="I34" i="25" s="1"/>
  <c r="D34" i="25"/>
  <c r="C34" i="25"/>
  <c r="Z33" i="25"/>
  <c r="V33" i="25"/>
  <c r="T33" i="25"/>
  <c r="R33" i="25"/>
  <c r="N33" i="25"/>
  <c r="O33" i="25" s="1"/>
  <c r="H33" i="25"/>
  <c r="I33" i="25" s="1"/>
  <c r="D33" i="25"/>
  <c r="C33" i="25"/>
  <c r="Z32" i="25"/>
  <c r="V32" i="25"/>
  <c r="T32" i="25"/>
  <c r="R32" i="25"/>
  <c r="N32" i="25"/>
  <c r="O32" i="25" s="1"/>
  <c r="H32" i="25"/>
  <c r="I32" i="25" s="1"/>
  <c r="D32" i="25"/>
  <c r="C32" i="25"/>
  <c r="Z31" i="25"/>
  <c r="AA31" i="25" s="1"/>
  <c r="T31" i="25"/>
  <c r="V31" i="25" s="1"/>
  <c r="R31" i="25"/>
  <c r="N31" i="25"/>
  <c r="H31" i="25"/>
  <c r="I31" i="25" s="1"/>
  <c r="D31" i="25"/>
  <c r="C31" i="25"/>
  <c r="Z30" i="25"/>
  <c r="AA30" i="25" s="1"/>
  <c r="T30" i="25"/>
  <c r="V30" i="25" s="1"/>
  <c r="R30" i="25"/>
  <c r="N30" i="25"/>
  <c r="H30" i="25"/>
  <c r="I30" i="25" s="1"/>
  <c r="D30" i="25"/>
  <c r="C30" i="25"/>
  <c r="Z29" i="25"/>
  <c r="T29" i="25"/>
  <c r="V29" i="25" s="1"/>
  <c r="R29" i="25"/>
  <c r="N29" i="25"/>
  <c r="H29" i="25"/>
  <c r="I29" i="25" s="1"/>
  <c r="D29" i="25"/>
  <c r="C29" i="25"/>
  <c r="Z28" i="25"/>
  <c r="T28" i="25"/>
  <c r="V28" i="25" s="1"/>
  <c r="R28" i="25"/>
  <c r="N28" i="25"/>
  <c r="H28" i="25"/>
  <c r="I28" i="25" s="1"/>
  <c r="D28" i="25"/>
  <c r="C28" i="25"/>
  <c r="Z27" i="25"/>
  <c r="AA27" i="25" s="1"/>
  <c r="T27" i="25"/>
  <c r="V27" i="25" s="1"/>
  <c r="R27" i="25"/>
  <c r="N27" i="25"/>
  <c r="H27" i="25"/>
  <c r="I27" i="25" s="1"/>
  <c r="D27" i="25"/>
  <c r="C27" i="25"/>
  <c r="Z26" i="25"/>
  <c r="T26" i="25"/>
  <c r="V26" i="25" s="1"/>
  <c r="R26" i="25"/>
  <c r="N26" i="25"/>
  <c r="H26" i="25"/>
  <c r="I26" i="25" s="1"/>
  <c r="D26" i="25"/>
  <c r="C26" i="25"/>
  <c r="Z25" i="25"/>
  <c r="T25" i="25"/>
  <c r="V25" i="25" s="1"/>
  <c r="R25" i="25"/>
  <c r="N25" i="25"/>
  <c r="H25" i="25"/>
  <c r="I25" i="25" s="1"/>
  <c r="D25" i="25"/>
  <c r="C25" i="25"/>
  <c r="Z24" i="25"/>
  <c r="AA24" i="25" s="1"/>
  <c r="T24" i="25"/>
  <c r="V24" i="25" s="1"/>
  <c r="R24" i="25"/>
  <c r="N24" i="25"/>
  <c r="H24" i="25"/>
  <c r="I24" i="25" s="1"/>
  <c r="D24" i="25"/>
  <c r="C24" i="25"/>
  <c r="Z23" i="25"/>
  <c r="T23" i="25"/>
  <c r="V23" i="25" s="1"/>
  <c r="R23" i="25"/>
  <c r="N23" i="25"/>
  <c r="H23" i="25"/>
  <c r="I23" i="25" s="1"/>
  <c r="D23" i="25"/>
  <c r="C23" i="25"/>
  <c r="Z22" i="25"/>
  <c r="T22" i="25"/>
  <c r="V22" i="25" s="1"/>
  <c r="R22" i="25"/>
  <c r="N22" i="25"/>
  <c r="H22" i="25"/>
  <c r="I22" i="25" s="1"/>
  <c r="D22" i="25"/>
  <c r="C22" i="25"/>
  <c r="Z21" i="25"/>
  <c r="AA21" i="25" s="1"/>
  <c r="T21" i="25"/>
  <c r="V21" i="25" s="1"/>
  <c r="R21" i="25"/>
  <c r="N21" i="25"/>
  <c r="H21" i="25"/>
  <c r="I21" i="25" s="1"/>
  <c r="D21" i="25"/>
  <c r="C21" i="25"/>
  <c r="Z20" i="25"/>
  <c r="T20" i="25"/>
  <c r="V20" i="25" s="1"/>
  <c r="R20" i="25"/>
  <c r="N20" i="25"/>
  <c r="H20" i="25"/>
  <c r="I20" i="25" s="1"/>
  <c r="D20" i="25"/>
  <c r="C20" i="25"/>
  <c r="Z19" i="25"/>
  <c r="AA19" i="25" s="1"/>
  <c r="T19" i="25"/>
  <c r="V19" i="25" s="1"/>
  <c r="R19" i="25"/>
  <c r="N19" i="25"/>
  <c r="O19" i="25" s="1"/>
  <c r="H19" i="25"/>
  <c r="I19" i="25" s="1"/>
  <c r="D19" i="25"/>
  <c r="C19" i="25"/>
  <c r="Z18" i="25"/>
  <c r="AA18" i="25" s="1"/>
  <c r="T18" i="25"/>
  <c r="V18" i="25" s="1"/>
  <c r="R18" i="25"/>
  <c r="N18" i="25"/>
  <c r="I18" i="25"/>
  <c r="H18" i="25"/>
  <c r="D18" i="25"/>
  <c r="O18" i="25" s="1"/>
  <c r="C18" i="25"/>
  <c r="AA17" i="25"/>
  <c r="Z17" i="25"/>
  <c r="V17" i="25"/>
  <c r="T17" i="25"/>
  <c r="R17" i="25"/>
  <c r="N17" i="25"/>
  <c r="H17" i="25"/>
  <c r="I17" i="25" s="1"/>
  <c r="D17" i="25"/>
  <c r="C17" i="25"/>
  <c r="Z16" i="25"/>
  <c r="AA16" i="25" s="1"/>
  <c r="T16" i="25"/>
  <c r="V16" i="25" s="1"/>
  <c r="R16" i="25"/>
  <c r="N16" i="25"/>
  <c r="H16" i="25"/>
  <c r="I16" i="25" s="1"/>
  <c r="D16" i="25"/>
  <c r="C16" i="25"/>
  <c r="Z15" i="25"/>
  <c r="AA15" i="25" s="1"/>
  <c r="T15" i="25"/>
  <c r="V15" i="25" s="1"/>
  <c r="R15" i="25"/>
  <c r="N15" i="25"/>
  <c r="I15" i="25"/>
  <c r="D15" i="25"/>
  <c r="C15" i="25"/>
  <c r="Z14" i="25"/>
  <c r="AA14" i="25" s="1"/>
  <c r="T14" i="25"/>
  <c r="V14" i="25" s="1"/>
  <c r="R14" i="25"/>
  <c r="N14" i="25"/>
  <c r="I14" i="25"/>
  <c r="D14" i="25"/>
  <c r="C14" i="25"/>
  <c r="AA13" i="25"/>
  <c r="Z13" i="25"/>
  <c r="V13" i="25"/>
  <c r="T13" i="25"/>
  <c r="R13" i="25"/>
  <c r="N13" i="25"/>
  <c r="O13" i="25" s="1"/>
  <c r="I13" i="25"/>
  <c r="D13" i="25"/>
  <c r="C13" i="25"/>
  <c r="Z12" i="25"/>
  <c r="T12" i="25"/>
  <c r="V12" i="25" s="1"/>
  <c r="R12" i="25"/>
  <c r="N12" i="25"/>
  <c r="I12" i="25"/>
  <c r="D12" i="25"/>
  <c r="O12" i="25" s="1"/>
  <c r="C12" i="25"/>
  <c r="Z11" i="25"/>
  <c r="AA11" i="25" s="1"/>
  <c r="T11" i="25"/>
  <c r="V11" i="25" s="1"/>
  <c r="R11" i="25"/>
  <c r="N11" i="25"/>
  <c r="I11" i="25"/>
  <c r="D11" i="25"/>
  <c r="O11" i="25" s="1"/>
  <c r="C11" i="25"/>
  <c r="Z10" i="25"/>
  <c r="V10" i="25"/>
  <c r="T10" i="25"/>
  <c r="R10" i="25"/>
  <c r="N10" i="25"/>
  <c r="I10" i="25"/>
  <c r="D10" i="25"/>
  <c r="C10" i="25"/>
  <c r="Z9" i="25"/>
  <c r="T9" i="25"/>
  <c r="V9" i="25" s="1"/>
  <c r="R9" i="25"/>
  <c r="N9" i="25"/>
  <c r="I9" i="25"/>
  <c r="D9" i="25"/>
  <c r="C9" i="25"/>
  <c r="Z8" i="25"/>
  <c r="AA8" i="25" s="1"/>
  <c r="T8" i="25"/>
  <c r="V8" i="25" s="1"/>
  <c r="R8" i="25"/>
  <c r="N8" i="25"/>
  <c r="I8" i="25"/>
  <c r="D8" i="25"/>
  <c r="C8" i="25"/>
  <c r="Z7" i="25"/>
  <c r="AA7" i="25" s="1"/>
  <c r="T7" i="25"/>
  <c r="V7" i="25" s="1"/>
  <c r="R7" i="25"/>
  <c r="N7" i="25"/>
  <c r="I7" i="25"/>
  <c r="D7" i="25"/>
  <c r="O7" i="25" s="1"/>
  <c r="C7" i="25"/>
  <c r="Z6" i="25"/>
  <c r="T6" i="25"/>
  <c r="V6" i="25" s="1"/>
  <c r="R6" i="25"/>
  <c r="N6" i="25"/>
  <c r="I6" i="25"/>
  <c r="D6" i="25"/>
  <c r="C6" i="25"/>
  <c r="AA5" i="25"/>
  <c r="Z5" i="25"/>
  <c r="V5" i="25"/>
  <c r="T5" i="25"/>
  <c r="R5" i="25"/>
  <c r="N5" i="25"/>
  <c r="O5" i="25" s="1"/>
  <c r="I5" i="25"/>
  <c r="D5" i="25"/>
  <c r="C5" i="25"/>
  <c r="Z4" i="25"/>
  <c r="AA4" i="25" s="1"/>
  <c r="T4" i="25"/>
  <c r="V4" i="25" s="1"/>
  <c r="R4" i="25"/>
  <c r="N4" i="25"/>
  <c r="I4" i="25"/>
  <c r="D4" i="25"/>
  <c r="C4" i="25"/>
  <c r="Z3" i="25"/>
  <c r="T3" i="25"/>
  <c r="V3" i="25" s="1"/>
  <c r="R3" i="25"/>
  <c r="N3" i="25"/>
  <c r="I3" i="25"/>
  <c r="D3" i="25"/>
  <c r="O3" i="25" s="1"/>
  <c r="C3" i="25"/>
  <c r="D42" i="24"/>
  <c r="C42" i="24"/>
  <c r="Z41" i="24"/>
  <c r="T41" i="24"/>
  <c r="V41" i="24" s="1"/>
  <c r="R41" i="24"/>
  <c r="N41" i="24"/>
  <c r="O41" i="24" s="1"/>
  <c r="H41" i="24"/>
  <c r="I41" i="24" s="1"/>
  <c r="D41" i="24"/>
  <c r="C41" i="24"/>
  <c r="Z40" i="24"/>
  <c r="T40" i="24"/>
  <c r="V40" i="24" s="1"/>
  <c r="R40" i="24"/>
  <c r="N40" i="24"/>
  <c r="O40" i="24" s="1"/>
  <c r="H40" i="24"/>
  <c r="I40" i="24" s="1"/>
  <c r="D40" i="24"/>
  <c r="C40" i="24"/>
  <c r="Z39" i="24"/>
  <c r="T39" i="24"/>
  <c r="V39" i="24" s="1"/>
  <c r="R39" i="24"/>
  <c r="N39" i="24"/>
  <c r="O39" i="24" s="1"/>
  <c r="H39" i="24"/>
  <c r="I39" i="24" s="1"/>
  <c r="D39" i="24"/>
  <c r="C39" i="24"/>
  <c r="Z38" i="24"/>
  <c r="T38" i="24"/>
  <c r="V38" i="24" s="1"/>
  <c r="R38" i="24"/>
  <c r="N38" i="24"/>
  <c r="O38" i="24" s="1"/>
  <c r="H38" i="24"/>
  <c r="I38" i="24" s="1"/>
  <c r="D38" i="24"/>
  <c r="C38" i="24"/>
  <c r="Z37" i="24"/>
  <c r="T37" i="24"/>
  <c r="V37" i="24" s="1"/>
  <c r="R37" i="24"/>
  <c r="N37" i="24"/>
  <c r="O37" i="24" s="1"/>
  <c r="H37" i="24"/>
  <c r="I37" i="24" s="1"/>
  <c r="D37" i="24"/>
  <c r="C37" i="24"/>
  <c r="Z36" i="24"/>
  <c r="AA36" i="24" s="1"/>
  <c r="T36" i="24"/>
  <c r="V36" i="24" s="1"/>
  <c r="R36" i="24"/>
  <c r="N36" i="24"/>
  <c r="I36" i="24"/>
  <c r="H36" i="24"/>
  <c r="D36" i="24"/>
  <c r="O36" i="24" s="1"/>
  <c r="C36" i="24"/>
  <c r="Z35" i="24"/>
  <c r="T35" i="24"/>
  <c r="V35" i="24" s="1"/>
  <c r="R35" i="24"/>
  <c r="N35" i="24"/>
  <c r="I35" i="24"/>
  <c r="H35" i="24"/>
  <c r="D35" i="24"/>
  <c r="O35" i="24" s="1"/>
  <c r="C35" i="24"/>
  <c r="Z34" i="24"/>
  <c r="T34" i="24"/>
  <c r="V34" i="24" s="1"/>
  <c r="R34" i="24"/>
  <c r="N34" i="24"/>
  <c r="I34" i="24"/>
  <c r="H34" i="24"/>
  <c r="D34" i="24"/>
  <c r="O34" i="24" s="1"/>
  <c r="C34" i="24"/>
  <c r="Z33" i="24"/>
  <c r="T33" i="24"/>
  <c r="V33" i="24" s="1"/>
  <c r="R33" i="24"/>
  <c r="N33" i="24"/>
  <c r="I33" i="24"/>
  <c r="H33" i="24"/>
  <c r="D33" i="24"/>
  <c r="O33" i="24" s="1"/>
  <c r="C33" i="24"/>
  <c r="Z32" i="24"/>
  <c r="T32" i="24"/>
  <c r="V32" i="24" s="1"/>
  <c r="R32" i="24"/>
  <c r="N32" i="24"/>
  <c r="I32" i="24"/>
  <c r="H32" i="24"/>
  <c r="D32" i="24"/>
  <c r="O32" i="24" s="1"/>
  <c r="C32" i="24"/>
  <c r="AA31" i="24"/>
  <c r="Z31" i="24"/>
  <c r="V31" i="24"/>
  <c r="T31" i="24"/>
  <c r="R31" i="24"/>
  <c r="N31" i="24"/>
  <c r="H31" i="24"/>
  <c r="I31" i="24" s="1"/>
  <c r="D31" i="24"/>
  <c r="C31" i="24"/>
  <c r="Z30" i="24"/>
  <c r="AA30" i="24" s="1"/>
  <c r="T30" i="24"/>
  <c r="V30" i="24" s="1"/>
  <c r="R30" i="24"/>
  <c r="N30" i="24"/>
  <c r="H30" i="24"/>
  <c r="I30" i="24" s="1"/>
  <c r="D30" i="24"/>
  <c r="C30" i="24"/>
  <c r="Z29" i="24"/>
  <c r="T29" i="24"/>
  <c r="V29" i="24" s="1"/>
  <c r="R29" i="24"/>
  <c r="N29" i="24"/>
  <c r="H29" i="24"/>
  <c r="I29" i="24" s="1"/>
  <c r="D29" i="24"/>
  <c r="C29" i="24"/>
  <c r="Z28" i="24"/>
  <c r="T28" i="24"/>
  <c r="V28" i="24" s="1"/>
  <c r="R28" i="24"/>
  <c r="N28" i="24"/>
  <c r="H28" i="24"/>
  <c r="I28" i="24" s="1"/>
  <c r="D28" i="24"/>
  <c r="C28" i="24"/>
  <c r="Z27" i="24"/>
  <c r="AA27" i="24" s="1"/>
  <c r="T27" i="24"/>
  <c r="V27" i="24" s="1"/>
  <c r="R27" i="24"/>
  <c r="N27" i="24"/>
  <c r="H27" i="24"/>
  <c r="I27" i="24" s="1"/>
  <c r="D27" i="24"/>
  <c r="C27" i="24"/>
  <c r="Z26" i="24"/>
  <c r="T26" i="24"/>
  <c r="V26" i="24" s="1"/>
  <c r="R26" i="24"/>
  <c r="N26" i="24"/>
  <c r="H26" i="24"/>
  <c r="I26" i="24" s="1"/>
  <c r="D26" i="24"/>
  <c r="C26" i="24"/>
  <c r="Z25" i="24"/>
  <c r="T25" i="24"/>
  <c r="V25" i="24" s="1"/>
  <c r="R25" i="24"/>
  <c r="N25" i="24"/>
  <c r="H25" i="24"/>
  <c r="I25" i="24" s="1"/>
  <c r="D25" i="24"/>
  <c r="C25" i="24"/>
  <c r="Z24" i="24"/>
  <c r="AA24" i="24" s="1"/>
  <c r="T24" i="24"/>
  <c r="V24" i="24" s="1"/>
  <c r="R24" i="24"/>
  <c r="N24" i="24"/>
  <c r="H24" i="24"/>
  <c r="I24" i="24" s="1"/>
  <c r="D24" i="24"/>
  <c r="C24" i="24"/>
  <c r="Z23" i="24"/>
  <c r="T23" i="24"/>
  <c r="V23" i="24" s="1"/>
  <c r="R23" i="24"/>
  <c r="N23" i="24"/>
  <c r="H23" i="24"/>
  <c r="I23" i="24" s="1"/>
  <c r="D23" i="24"/>
  <c r="C23" i="24"/>
  <c r="Z22" i="24"/>
  <c r="T22" i="24"/>
  <c r="V22" i="24" s="1"/>
  <c r="R22" i="24"/>
  <c r="N22" i="24"/>
  <c r="H22" i="24"/>
  <c r="I22" i="24" s="1"/>
  <c r="D22" i="24"/>
  <c r="C22" i="24"/>
  <c r="Z21" i="24"/>
  <c r="AA21" i="24" s="1"/>
  <c r="T21" i="24"/>
  <c r="V21" i="24" s="1"/>
  <c r="R21" i="24"/>
  <c r="N21" i="24"/>
  <c r="H21" i="24"/>
  <c r="I21" i="24" s="1"/>
  <c r="D21" i="24"/>
  <c r="C21" i="24"/>
  <c r="Z20" i="24"/>
  <c r="T20" i="24"/>
  <c r="V20" i="24" s="1"/>
  <c r="R20" i="24"/>
  <c r="N20" i="24"/>
  <c r="H20" i="24"/>
  <c r="I20" i="24" s="1"/>
  <c r="D20" i="24"/>
  <c r="C20" i="24"/>
  <c r="Z19" i="24"/>
  <c r="AA19" i="24" s="1"/>
  <c r="T19" i="24"/>
  <c r="V19" i="24" s="1"/>
  <c r="R19" i="24"/>
  <c r="N19" i="24"/>
  <c r="I19" i="24"/>
  <c r="H19" i="24"/>
  <c r="D19" i="24"/>
  <c r="O19" i="24" s="1"/>
  <c r="C19" i="24"/>
  <c r="AA18" i="24"/>
  <c r="Z18" i="24"/>
  <c r="V18" i="24"/>
  <c r="T18" i="24"/>
  <c r="R18" i="24"/>
  <c r="N18" i="24"/>
  <c r="O18" i="24" s="1"/>
  <c r="H18" i="24"/>
  <c r="I18" i="24" s="1"/>
  <c r="D18" i="24"/>
  <c r="C18" i="24"/>
  <c r="Z17" i="24"/>
  <c r="AA17" i="24" s="1"/>
  <c r="T17" i="24"/>
  <c r="V17" i="24" s="1"/>
  <c r="R17" i="24"/>
  <c r="N17" i="24"/>
  <c r="H17" i="24"/>
  <c r="I17" i="24" s="1"/>
  <c r="D17" i="24"/>
  <c r="C17" i="24"/>
  <c r="Z16" i="24"/>
  <c r="AA16" i="24" s="1"/>
  <c r="T16" i="24"/>
  <c r="V16" i="24" s="1"/>
  <c r="R16" i="24"/>
  <c r="N16" i="24"/>
  <c r="O16" i="24" s="1"/>
  <c r="H16" i="24"/>
  <c r="I16" i="24" s="1"/>
  <c r="D16" i="24"/>
  <c r="C16" i="24"/>
  <c r="Z15" i="24"/>
  <c r="AA15" i="24" s="1"/>
  <c r="T15" i="24"/>
  <c r="V15" i="24" s="1"/>
  <c r="R15" i="24"/>
  <c r="N15" i="24"/>
  <c r="O15" i="24" s="1"/>
  <c r="I15" i="24"/>
  <c r="D15" i="24"/>
  <c r="C15" i="24"/>
  <c r="Z14" i="24"/>
  <c r="AA14" i="24" s="1"/>
  <c r="T14" i="24"/>
  <c r="V14" i="24" s="1"/>
  <c r="R14" i="24"/>
  <c r="N14" i="24"/>
  <c r="O14" i="24" s="1"/>
  <c r="I14" i="24"/>
  <c r="D14" i="24"/>
  <c r="C14" i="24"/>
  <c r="Z13" i="24"/>
  <c r="AA13" i="24" s="1"/>
  <c r="T13" i="24"/>
  <c r="V13" i="24" s="1"/>
  <c r="R13" i="24"/>
  <c r="N13" i="24"/>
  <c r="O13" i="24" s="1"/>
  <c r="I13" i="24"/>
  <c r="D13" i="24"/>
  <c r="C13" i="24"/>
  <c r="Z12" i="24"/>
  <c r="T12" i="24"/>
  <c r="V12" i="24" s="1"/>
  <c r="R12" i="24"/>
  <c r="N12" i="24"/>
  <c r="I12" i="24"/>
  <c r="D12" i="24"/>
  <c r="C12" i="24"/>
  <c r="AA11" i="24"/>
  <c r="Z11" i="24"/>
  <c r="T11" i="24"/>
  <c r="V11" i="24" s="1"/>
  <c r="R11" i="24"/>
  <c r="N11" i="24"/>
  <c r="I11" i="24"/>
  <c r="D11" i="24"/>
  <c r="C11" i="24"/>
  <c r="Z10" i="24"/>
  <c r="T10" i="24"/>
  <c r="V10" i="24" s="1"/>
  <c r="R10" i="24"/>
  <c r="N10" i="24"/>
  <c r="I10" i="24"/>
  <c r="D10" i="24"/>
  <c r="C10" i="24"/>
  <c r="Z9" i="24"/>
  <c r="T9" i="24"/>
  <c r="V9" i="24" s="1"/>
  <c r="R9" i="24"/>
  <c r="N9" i="24"/>
  <c r="I9" i="24"/>
  <c r="D9" i="24"/>
  <c r="C9" i="24"/>
  <c r="AA8" i="24"/>
  <c r="Z8" i="24"/>
  <c r="T8" i="24"/>
  <c r="V8" i="24" s="1"/>
  <c r="R8" i="24"/>
  <c r="N8" i="24"/>
  <c r="I8" i="24"/>
  <c r="D8" i="24"/>
  <c r="C8" i="24"/>
  <c r="AA7" i="24"/>
  <c r="Z7" i="24"/>
  <c r="V7" i="24"/>
  <c r="T7" i="24"/>
  <c r="R7" i="24"/>
  <c r="N7" i="24"/>
  <c r="I7" i="24"/>
  <c r="D7" i="24"/>
  <c r="C7" i="24"/>
  <c r="Z6" i="24"/>
  <c r="T6" i="24"/>
  <c r="V6" i="24" s="1"/>
  <c r="R6" i="24"/>
  <c r="N6" i="24"/>
  <c r="I6" i="24"/>
  <c r="D6" i="24"/>
  <c r="O6" i="24" s="1"/>
  <c r="C6" i="24"/>
  <c r="Z5" i="24"/>
  <c r="AA5" i="24" s="1"/>
  <c r="T5" i="24"/>
  <c r="V5" i="24" s="1"/>
  <c r="R5" i="24"/>
  <c r="N5" i="24"/>
  <c r="I5" i="24"/>
  <c r="D5" i="24"/>
  <c r="O5" i="24" s="1"/>
  <c r="C5" i="24"/>
  <c r="Z4" i="24"/>
  <c r="AA4" i="24" s="1"/>
  <c r="T4" i="24"/>
  <c r="V4" i="24" s="1"/>
  <c r="R4" i="24"/>
  <c r="O4" i="24"/>
  <c r="N4" i="24"/>
  <c r="I4" i="24"/>
  <c r="D4" i="24"/>
  <c r="C4" i="24"/>
  <c r="Z3" i="24"/>
  <c r="V3" i="24"/>
  <c r="T3" i="24"/>
  <c r="R3" i="24"/>
  <c r="N3" i="24"/>
  <c r="I3" i="24"/>
  <c r="D3" i="24"/>
  <c r="C3" i="24"/>
  <c r="D42" i="23"/>
  <c r="C42" i="23"/>
  <c r="Z41" i="23"/>
  <c r="T41" i="23"/>
  <c r="V41" i="23" s="1"/>
  <c r="R41" i="23"/>
  <c r="N41" i="23"/>
  <c r="H41" i="23"/>
  <c r="I41" i="23" s="1"/>
  <c r="D41" i="23"/>
  <c r="C41" i="23"/>
  <c r="Z40" i="23"/>
  <c r="T40" i="23"/>
  <c r="V40" i="23" s="1"/>
  <c r="R40" i="23"/>
  <c r="N40" i="23"/>
  <c r="H40" i="23"/>
  <c r="I40" i="23" s="1"/>
  <c r="D40" i="23"/>
  <c r="C40" i="23"/>
  <c r="Z39" i="23"/>
  <c r="T39" i="23"/>
  <c r="V39" i="23" s="1"/>
  <c r="R39" i="23"/>
  <c r="N39" i="23"/>
  <c r="H39" i="23"/>
  <c r="I39" i="23" s="1"/>
  <c r="D39" i="23"/>
  <c r="C39" i="23"/>
  <c r="Z38" i="23"/>
  <c r="T38" i="23"/>
  <c r="V38" i="23" s="1"/>
  <c r="R38" i="23"/>
  <c r="N38" i="23"/>
  <c r="H38" i="23"/>
  <c r="I38" i="23" s="1"/>
  <c r="D38" i="23"/>
  <c r="C38" i="23"/>
  <c r="Z37" i="23"/>
  <c r="T37" i="23"/>
  <c r="V37" i="23" s="1"/>
  <c r="R37" i="23"/>
  <c r="N37" i="23"/>
  <c r="H37" i="23"/>
  <c r="I37" i="23" s="1"/>
  <c r="D37" i="23"/>
  <c r="C37" i="23"/>
  <c r="Z36" i="23"/>
  <c r="AA36" i="23" s="1"/>
  <c r="T36" i="23"/>
  <c r="V36" i="23" s="1"/>
  <c r="R36" i="23"/>
  <c r="N36" i="23"/>
  <c r="H36" i="23"/>
  <c r="I36" i="23" s="1"/>
  <c r="D36" i="23"/>
  <c r="C36" i="23"/>
  <c r="Z35" i="23"/>
  <c r="T35" i="23"/>
  <c r="V35" i="23" s="1"/>
  <c r="R35" i="23"/>
  <c r="N35" i="23"/>
  <c r="H35" i="23"/>
  <c r="I35" i="23" s="1"/>
  <c r="D35" i="23"/>
  <c r="C35" i="23"/>
  <c r="Z34" i="23"/>
  <c r="T34" i="23"/>
  <c r="V34" i="23" s="1"/>
  <c r="R34" i="23"/>
  <c r="N34" i="23"/>
  <c r="H34" i="23"/>
  <c r="I34" i="23" s="1"/>
  <c r="D34" i="23"/>
  <c r="C34" i="23"/>
  <c r="Z33" i="23"/>
  <c r="T33" i="23"/>
  <c r="V33" i="23" s="1"/>
  <c r="R33" i="23"/>
  <c r="N33" i="23"/>
  <c r="O33" i="23" s="1"/>
  <c r="H33" i="23"/>
  <c r="I33" i="23" s="1"/>
  <c r="D33" i="23"/>
  <c r="C33" i="23"/>
  <c r="Z32" i="23"/>
  <c r="V32" i="23"/>
  <c r="T32" i="23"/>
  <c r="R32" i="23"/>
  <c r="N32" i="23"/>
  <c r="H32" i="23"/>
  <c r="I32" i="23" s="1"/>
  <c r="D32" i="23"/>
  <c r="O32" i="23" s="1"/>
  <c r="C32" i="23"/>
  <c r="Z31" i="23"/>
  <c r="AA31" i="23" s="1"/>
  <c r="V31" i="23"/>
  <c r="T31" i="23"/>
  <c r="R31" i="23"/>
  <c r="N31" i="23"/>
  <c r="I31" i="23"/>
  <c r="H31" i="23"/>
  <c r="D31" i="23"/>
  <c r="C31" i="23"/>
  <c r="AA30" i="23"/>
  <c r="Z30" i="23"/>
  <c r="T30" i="23"/>
  <c r="V30" i="23" s="1"/>
  <c r="R30" i="23"/>
  <c r="N30" i="23"/>
  <c r="H30" i="23"/>
  <c r="I30" i="23" s="1"/>
  <c r="D30" i="23"/>
  <c r="C30" i="23"/>
  <c r="Z29" i="23"/>
  <c r="T29" i="23"/>
  <c r="V29" i="23" s="1"/>
  <c r="R29" i="23"/>
  <c r="N29" i="23"/>
  <c r="H29" i="23"/>
  <c r="I29" i="23" s="1"/>
  <c r="D29" i="23"/>
  <c r="C29" i="23"/>
  <c r="Z28" i="23"/>
  <c r="T28" i="23"/>
  <c r="V28" i="23" s="1"/>
  <c r="R28" i="23"/>
  <c r="N28" i="23"/>
  <c r="O28" i="23" s="1"/>
  <c r="H28" i="23"/>
  <c r="I28" i="23" s="1"/>
  <c r="D28" i="23"/>
  <c r="C28" i="23"/>
  <c r="Z27" i="23"/>
  <c r="AA27" i="23" s="1"/>
  <c r="T27" i="23"/>
  <c r="V27" i="23" s="1"/>
  <c r="R27" i="23"/>
  <c r="N27" i="23"/>
  <c r="H27" i="23"/>
  <c r="I27" i="23" s="1"/>
  <c r="D27" i="23"/>
  <c r="O27" i="23" s="1"/>
  <c r="C27" i="23"/>
  <c r="Z26" i="23"/>
  <c r="V26" i="23"/>
  <c r="T26" i="23"/>
  <c r="R26" i="23"/>
  <c r="N26" i="23"/>
  <c r="I26" i="23"/>
  <c r="H26" i="23"/>
  <c r="D26" i="23"/>
  <c r="C26" i="23"/>
  <c r="Z25" i="23"/>
  <c r="T25" i="23"/>
  <c r="V25" i="23" s="1"/>
  <c r="R25" i="23"/>
  <c r="N25" i="23"/>
  <c r="I25" i="23"/>
  <c r="H25" i="23"/>
  <c r="D25" i="23"/>
  <c r="O25" i="23" s="1"/>
  <c r="C25" i="23"/>
  <c r="AA24" i="23"/>
  <c r="Z24" i="23"/>
  <c r="V24" i="23"/>
  <c r="T24" i="23"/>
  <c r="R24" i="23"/>
  <c r="N24" i="23"/>
  <c r="O24" i="23" s="1"/>
  <c r="H24" i="23"/>
  <c r="I24" i="23" s="1"/>
  <c r="D24" i="23"/>
  <c r="C24" i="23"/>
  <c r="Z23" i="23"/>
  <c r="V23" i="23"/>
  <c r="T23" i="23"/>
  <c r="R23" i="23"/>
  <c r="N23" i="23"/>
  <c r="I23" i="23"/>
  <c r="H23" i="23"/>
  <c r="D23" i="23"/>
  <c r="C23" i="23"/>
  <c r="Z22" i="23"/>
  <c r="T22" i="23"/>
  <c r="V22" i="23" s="1"/>
  <c r="R22" i="23"/>
  <c r="N22" i="23"/>
  <c r="H22" i="23"/>
  <c r="I22" i="23" s="1"/>
  <c r="D22" i="23"/>
  <c r="C22" i="23"/>
  <c r="Z21" i="23"/>
  <c r="AA21" i="23" s="1"/>
  <c r="T21" i="23"/>
  <c r="V21" i="23" s="1"/>
  <c r="R21" i="23"/>
  <c r="N21" i="23"/>
  <c r="H21" i="23"/>
  <c r="I21" i="23" s="1"/>
  <c r="D21" i="23"/>
  <c r="C21" i="23"/>
  <c r="Z20" i="23"/>
  <c r="T20" i="23"/>
  <c r="V20" i="23" s="1"/>
  <c r="R20" i="23"/>
  <c r="N20" i="23"/>
  <c r="H20" i="23"/>
  <c r="I20" i="23" s="1"/>
  <c r="D20" i="23"/>
  <c r="C20" i="23"/>
  <c r="Z19" i="23"/>
  <c r="AA19" i="23" s="1"/>
  <c r="T19" i="23"/>
  <c r="V19" i="23" s="1"/>
  <c r="R19" i="23"/>
  <c r="N19" i="23"/>
  <c r="H19" i="23"/>
  <c r="I19" i="23" s="1"/>
  <c r="D19" i="23"/>
  <c r="C19" i="23"/>
  <c r="Z18" i="23"/>
  <c r="AA18" i="23" s="1"/>
  <c r="T18" i="23"/>
  <c r="V18" i="23" s="1"/>
  <c r="R18" i="23"/>
  <c r="N18" i="23"/>
  <c r="H18" i="23"/>
  <c r="I18" i="23" s="1"/>
  <c r="D18" i="23"/>
  <c r="O18" i="23" s="1"/>
  <c r="C18" i="23"/>
  <c r="Z17" i="23"/>
  <c r="AA17" i="23" s="1"/>
  <c r="T17" i="23"/>
  <c r="V17" i="23" s="1"/>
  <c r="R17" i="23"/>
  <c r="N17" i="23"/>
  <c r="H17" i="23"/>
  <c r="I17" i="23" s="1"/>
  <c r="D17" i="23"/>
  <c r="C17" i="23"/>
  <c r="Z16" i="23"/>
  <c r="AA16" i="23" s="1"/>
  <c r="T16" i="23"/>
  <c r="V16" i="23" s="1"/>
  <c r="R16" i="23"/>
  <c r="N16" i="23"/>
  <c r="H16" i="23"/>
  <c r="I16" i="23" s="1"/>
  <c r="D16" i="23"/>
  <c r="C16" i="23"/>
  <c r="Z15" i="23"/>
  <c r="AA15" i="23" s="1"/>
  <c r="T15" i="23"/>
  <c r="V15" i="23" s="1"/>
  <c r="R15" i="23"/>
  <c r="N15" i="23"/>
  <c r="I15" i="23"/>
  <c r="D15" i="23"/>
  <c r="O15" i="23" s="1"/>
  <c r="C15" i="23"/>
  <c r="Z14" i="23"/>
  <c r="AA14" i="23" s="1"/>
  <c r="T14" i="23"/>
  <c r="V14" i="23" s="1"/>
  <c r="R14" i="23"/>
  <c r="O14" i="23"/>
  <c r="N14" i="23"/>
  <c r="I14" i="23"/>
  <c r="D14" i="23"/>
  <c r="C14" i="23"/>
  <c r="Z13" i="23"/>
  <c r="AA13" i="23" s="1"/>
  <c r="T13" i="23"/>
  <c r="V13" i="23" s="1"/>
  <c r="R13" i="23"/>
  <c r="N13" i="23"/>
  <c r="I13" i="23"/>
  <c r="D13" i="23"/>
  <c r="O13" i="23" s="1"/>
  <c r="C13" i="23"/>
  <c r="Z12" i="23"/>
  <c r="V12" i="23"/>
  <c r="T12" i="23"/>
  <c r="R12" i="23"/>
  <c r="N12" i="23"/>
  <c r="I12" i="23"/>
  <c r="D12" i="23"/>
  <c r="C12" i="23"/>
  <c r="Z11" i="23"/>
  <c r="AA11" i="23" s="1"/>
  <c r="T11" i="23"/>
  <c r="V11" i="23" s="1"/>
  <c r="R11" i="23"/>
  <c r="N11" i="23"/>
  <c r="I11" i="23"/>
  <c r="D11" i="23"/>
  <c r="O11" i="23" s="1"/>
  <c r="C11" i="23"/>
  <c r="Z10" i="23"/>
  <c r="T10" i="23"/>
  <c r="V10" i="23" s="1"/>
  <c r="R10" i="23"/>
  <c r="N10" i="23"/>
  <c r="I10" i="23"/>
  <c r="D10" i="23"/>
  <c r="C10" i="23"/>
  <c r="Z9" i="23"/>
  <c r="T9" i="23"/>
  <c r="V9" i="23" s="1"/>
  <c r="R9" i="23"/>
  <c r="N9" i="23"/>
  <c r="I9" i="23"/>
  <c r="D9" i="23"/>
  <c r="C9" i="23"/>
  <c r="AA8" i="23"/>
  <c r="Z8" i="23"/>
  <c r="T8" i="23"/>
  <c r="V8" i="23" s="1"/>
  <c r="R8" i="23"/>
  <c r="N8" i="23"/>
  <c r="I8" i="23"/>
  <c r="D8" i="23"/>
  <c r="C8" i="23"/>
  <c r="AA7" i="23"/>
  <c r="Z7" i="23"/>
  <c r="T7" i="23"/>
  <c r="V7" i="23" s="1"/>
  <c r="R7" i="23"/>
  <c r="N7" i="23"/>
  <c r="I7" i="23"/>
  <c r="D7" i="23"/>
  <c r="C7" i="23"/>
  <c r="Z6" i="23"/>
  <c r="T6" i="23"/>
  <c r="V6" i="23" s="1"/>
  <c r="R6" i="23"/>
  <c r="N6" i="23"/>
  <c r="I6" i="23"/>
  <c r="D6" i="23"/>
  <c r="O6" i="23" s="1"/>
  <c r="C6" i="23"/>
  <c r="Z5" i="23"/>
  <c r="AA5" i="23" s="1"/>
  <c r="T5" i="23"/>
  <c r="V5" i="23" s="1"/>
  <c r="R5" i="23"/>
  <c r="N5" i="23"/>
  <c r="I5" i="23"/>
  <c r="D5" i="23"/>
  <c r="O5" i="23" s="1"/>
  <c r="C5" i="23"/>
  <c r="Z4" i="23"/>
  <c r="AA4" i="23" s="1"/>
  <c r="T4" i="23"/>
  <c r="V4" i="23" s="1"/>
  <c r="R4" i="23"/>
  <c r="O4" i="23"/>
  <c r="N4" i="23"/>
  <c r="I4" i="23"/>
  <c r="D4" i="23"/>
  <c r="C4" i="23"/>
  <c r="Z3" i="23"/>
  <c r="V3" i="23"/>
  <c r="T3" i="23"/>
  <c r="R3" i="23"/>
  <c r="N3" i="23"/>
  <c r="I3" i="23"/>
  <c r="D3" i="23"/>
  <c r="O3" i="23" s="1"/>
  <c r="C3" i="23"/>
  <c r="D42" i="22"/>
  <c r="C42" i="22"/>
  <c r="Z41" i="22"/>
  <c r="V41" i="22"/>
  <c r="T41" i="22"/>
  <c r="R41" i="22"/>
  <c r="N41" i="22"/>
  <c r="I41" i="22"/>
  <c r="H41" i="22"/>
  <c r="D41" i="22"/>
  <c r="O41" i="22" s="1"/>
  <c r="C41" i="22"/>
  <c r="Z40" i="22"/>
  <c r="T40" i="22"/>
  <c r="V40" i="22" s="1"/>
  <c r="R40" i="22"/>
  <c r="N40" i="22"/>
  <c r="I40" i="22"/>
  <c r="H40" i="22"/>
  <c r="D40" i="22"/>
  <c r="O40" i="22" s="1"/>
  <c r="C40" i="22"/>
  <c r="Z39" i="22"/>
  <c r="T39" i="22"/>
  <c r="V39" i="22" s="1"/>
  <c r="R39" i="22"/>
  <c r="N39" i="22"/>
  <c r="I39" i="22"/>
  <c r="H39" i="22"/>
  <c r="D39" i="22"/>
  <c r="O39" i="22" s="1"/>
  <c r="C39" i="22"/>
  <c r="Z38" i="22"/>
  <c r="T38" i="22"/>
  <c r="V38" i="22" s="1"/>
  <c r="R38" i="22"/>
  <c r="N38" i="22"/>
  <c r="I38" i="22"/>
  <c r="H38" i="22"/>
  <c r="D38" i="22"/>
  <c r="O38" i="22" s="1"/>
  <c r="C38" i="22"/>
  <c r="Z37" i="22"/>
  <c r="T37" i="22"/>
  <c r="V37" i="22" s="1"/>
  <c r="R37" i="22"/>
  <c r="N37" i="22"/>
  <c r="H37" i="22"/>
  <c r="I37" i="22" s="1"/>
  <c r="D37" i="22"/>
  <c r="C37" i="22"/>
  <c r="Z36" i="22"/>
  <c r="AA36" i="22" s="1"/>
  <c r="V36" i="22"/>
  <c r="T36" i="22"/>
  <c r="R36" i="22"/>
  <c r="N36" i="22"/>
  <c r="I36" i="22"/>
  <c r="H36" i="22"/>
  <c r="D36" i="22"/>
  <c r="C36" i="22"/>
  <c r="Z35" i="22"/>
  <c r="T35" i="22"/>
  <c r="V35" i="22" s="1"/>
  <c r="R35" i="22"/>
  <c r="N35" i="22"/>
  <c r="H35" i="22"/>
  <c r="I35" i="22" s="1"/>
  <c r="D35" i="22"/>
  <c r="C35" i="22"/>
  <c r="Z34" i="22"/>
  <c r="T34" i="22"/>
  <c r="V34" i="22" s="1"/>
  <c r="R34" i="22"/>
  <c r="N34" i="22"/>
  <c r="O34" i="22" s="1"/>
  <c r="H34" i="22"/>
  <c r="I34" i="22" s="1"/>
  <c r="D34" i="22"/>
  <c r="C34" i="22"/>
  <c r="Z33" i="22"/>
  <c r="V33" i="22"/>
  <c r="T33" i="22"/>
  <c r="R33" i="22"/>
  <c r="N33" i="22"/>
  <c r="H33" i="22"/>
  <c r="I33" i="22" s="1"/>
  <c r="D33" i="22"/>
  <c r="O33" i="22" s="1"/>
  <c r="C33" i="22"/>
  <c r="Z32" i="22"/>
  <c r="V32" i="22"/>
  <c r="T32" i="22"/>
  <c r="R32" i="22"/>
  <c r="N32" i="22"/>
  <c r="I32" i="22"/>
  <c r="H32" i="22"/>
  <c r="D32" i="22"/>
  <c r="C32" i="22"/>
  <c r="AA31" i="22"/>
  <c r="Z31" i="22"/>
  <c r="T31" i="22"/>
  <c r="V31" i="22" s="1"/>
  <c r="R31" i="22"/>
  <c r="N31" i="22"/>
  <c r="H31" i="22"/>
  <c r="I31" i="22" s="1"/>
  <c r="D31" i="22"/>
  <c r="C31" i="22"/>
  <c r="Z30" i="22"/>
  <c r="AA30" i="22" s="1"/>
  <c r="T30" i="22"/>
  <c r="V30" i="22" s="1"/>
  <c r="R30" i="22"/>
  <c r="N30" i="22"/>
  <c r="H30" i="22"/>
  <c r="I30" i="22" s="1"/>
  <c r="D30" i="22"/>
  <c r="O30" i="22" s="1"/>
  <c r="C30" i="22"/>
  <c r="Z29" i="22"/>
  <c r="T29" i="22"/>
  <c r="V29" i="22" s="1"/>
  <c r="R29" i="22"/>
  <c r="N29" i="22"/>
  <c r="O29" i="22" s="1"/>
  <c r="H29" i="22"/>
  <c r="I29" i="22" s="1"/>
  <c r="D29" i="22"/>
  <c r="C29" i="22"/>
  <c r="Z28" i="22"/>
  <c r="V28" i="22"/>
  <c r="T28" i="22"/>
  <c r="R28" i="22"/>
  <c r="N28" i="22"/>
  <c r="H28" i="22"/>
  <c r="I28" i="22" s="1"/>
  <c r="D28" i="22"/>
  <c r="O28" i="22" s="1"/>
  <c r="C28" i="22"/>
  <c r="Z27" i="22"/>
  <c r="AA27" i="22" s="1"/>
  <c r="V27" i="22"/>
  <c r="T27" i="22"/>
  <c r="R27" i="22"/>
  <c r="N27" i="22"/>
  <c r="I27" i="22"/>
  <c r="H27" i="22"/>
  <c r="D27" i="22"/>
  <c r="O27" i="22" s="1"/>
  <c r="C27" i="22"/>
  <c r="Z26" i="22"/>
  <c r="T26" i="22"/>
  <c r="V26" i="22" s="1"/>
  <c r="R26" i="22"/>
  <c r="N26" i="22"/>
  <c r="I26" i="22"/>
  <c r="H26" i="22"/>
  <c r="D26" i="22"/>
  <c r="O26" i="22" s="1"/>
  <c r="C26" i="22"/>
  <c r="Z25" i="22"/>
  <c r="T25" i="22"/>
  <c r="V25" i="22" s="1"/>
  <c r="R25" i="22"/>
  <c r="N25" i="22"/>
  <c r="I25" i="22"/>
  <c r="H25" i="22"/>
  <c r="D25" i="22"/>
  <c r="O25" i="22" s="1"/>
  <c r="C25" i="22"/>
  <c r="AA24" i="22"/>
  <c r="Z24" i="22"/>
  <c r="T24" i="22"/>
  <c r="V24" i="22" s="1"/>
  <c r="R24" i="22"/>
  <c r="N24" i="22"/>
  <c r="O24" i="22" s="1"/>
  <c r="H24" i="22"/>
  <c r="I24" i="22" s="1"/>
  <c r="D24" i="22"/>
  <c r="C24" i="22"/>
  <c r="Z23" i="22"/>
  <c r="V23" i="22"/>
  <c r="T23" i="22"/>
  <c r="R23" i="22"/>
  <c r="N23" i="22"/>
  <c r="H23" i="22"/>
  <c r="I23" i="22" s="1"/>
  <c r="D23" i="22"/>
  <c r="C23" i="22"/>
  <c r="Z22" i="22"/>
  <c r="V22" i="22"/>
  <c r="T22" i="22"/>
  <c r="R22" i="22"/>
  <c r="N22" i="22"/>
  <c r="I22" i="22"/>
  <c r="H22" i="22"/>
  <c r="D22" i="22"/>
  <c r="C22" i="22"/>
  <c r="AA21" i="22"/>
  <c r="Z21" i="22"/>
  <c r="T21" i="22"/>
  <c r="V21" i="22" s="1"/>
  <c r="R21" i="22"/>
  <c r="N21" i="22"/>
  <c r="H21" i="22"/>
  <c r="I21" i="22" s="1"/>
  <c r="D21" i="22"/>
  <c r="C21" i="22"/>
  <c r="Z20" i="22"/>
  <c r="V20" i="22"/>
  <c r="T20" i="22"/>
  <c r="R20" i="22"/>
  <c r="N20" i="22"/>
  <c r="I20" i="22"/>
  <c r="H20" i="22"/>
  <c r="D20" i="22"/>
  <c r="O20" i="22" s="1"/>
  <c r="C20" i="22"/>
  <c r="AA19" i="22"/>
  <c r="Z19" i="22"/>
  <c r="V19" i="22"/>
  <c r="T19" i="22"/>
  <c r="R19" i="22"/>
  <c r="N19" i="22"/>
  <c r="I19" i="22"/>
  <c r="H19" i="22"/>
  <c r="D19" i="22"/>
  <c r="C19" i="22"/>
  <c r="AA18" i="22"/>
  <c r="Z18" i="22"/>
  <c r="T18" i="22"/>
  <c r="V18" i="22" s="1"/>
  <c r="R18" i="22"/>
  <c r="N18" i="22"/>
  <c r="H18" i="22"/>
  <c r="I18" i="22" s="1"/>
  <c r="D18" i="22"/>
  <c r="C18" i="22"/>
  <c r="Z17" i="22"/>
  <c r="AA17" i="22" s="1"/>
  <c r="T17" i="22"/>
  <c r="V17" i="22" s="1"/>
  <c r="R17" i="22"/>
  <c r="N17" i="22"/>
  <c r="H17" i="22"/>
  <c r="I17" i="22" s="1"/>
  <c r="D17" i="22"/>
  <c r="O17" i="22" s="1"/>
  <c r="C17" i="22"/>
  <c r="Z16" i="22"/>
  <c r="AA16" i="22" s="1"/>
  <c r="T16" i="22"/>
  <c r="V16" i="22" s="1"/>
  <c r="R16" i="22"/>
  <c r="N16" i="22"/>
  <c r="H16" i="22"/>
  <c r="I16" i="22" s="1"/>
  <c r="D16" i="22"/>
  <c r="C16" i="22"/>
  <c r="Z15" i="22"/>
  <c r="AA15" i="22" s="1"/>
  <c r="T15" i="22"/>
  <c r="V15" i="22" s="1"/>
  <c r="R15" i="22"/>
  <c r="N15" i="22"/>
  <c r="I15" i="22"/>
  <c r="D15" i="22"/>
  <c r="C15" i="22"/>
  <c r="Z14" i="22"/>
  <c r="AA14" i="22" s="1"/>
  <c r="T14" i="22"/>
  <c r="V14" i="22" s="1"/>
  <c r="R14" i="22"/>
  <c r="N14" i="22"/>
  <c r="I14" i="22"/>
  <c r="D14" i="22"/>
  <c r="C14" i="22"/>
  <c r="AA13" i="22"/>
  <c r="Z13" i="22"/>
  <c r="T13" i="22"/>
  <c r="V13" i="22" s="1"/>
  <c r="R13" i="22"/>
  <c r="N13" i="22"/>
  <c r="I13" i="22"/>
  <c r="D13" i="22"/>
  <c r="C13" i="22"/>
  <c r="Z12" i="22"/>
  <c r="T12" i="22"/>
  <c r="V12" i="22" s="1"/>
  <c r="R12" i="22"/>
  <c r="N12" i="22"/>
  <c r="O12" i="22" s="1"/>
  <c r="I12" i="22"/>
  <c r="D12" i="22"/>
  <c r="C12" i="22"/>
  <c r="AA11" i="22"/>
  <c r="Z11" i="22"/>
  <c r="T11" i="22"/>
  <c r="V11" i="22" s="1"/>
  <c r="R11" i="22"/>
  <c r="N11" i="22"/>
  <c r="I11" i="22"/>
  <c r="D11" i="22"/>
  <c r="C11" i="22"/>
  <c r="Z10" i="22"/>
  <c r="T10" i="22"/>
  <c r="V10" i="22" s="1"/>
  <c r="R10" i="22"/>
  <c r="N10" i="22"/>
  <c r="I10" i="22"/>
  <c r="D10" i="22"/>
  <c r="C10" i="22"/>
  <c r="Z9" i="22"/>
  <c r="T9" i="22"/>
  <c r="V9" i="22" s="1"/>
  <c r="R9" i="22"/>
  <c r="N9" i="22"/>
  <c r="I9" i="22"/>
  <c r="D9" i="22"/>
  <c r="C9" i="22"/>
  <c r="AA8" i="22"/>
  <c r="Z8" i="22"/>
  <c r="T8" i="22"/>
  <c r="V8" i="22" s="1"/>
  <c r="R8" i="22"/>
  <c r="N8" i="22"/>
  <c r="I8" i="22"/>
  <c r="D8" i="22"/>
  <c r="C8" i="22"/>
  <c r="Z7" i="22"/>
  <c r="AA7" i="22" s="1"/>
  <c r="T7" i="22"/>
  <c r="V7" i="22" s="1"/>
  <c r="R7" i="22"/>
  <c r="N7" i="22"/>
  <c r="O7" i="22" s="1"/>
  <c r="I7" i="22"/>
  <c r="D7" i="22"/>
  <c r="C7" i="22"/>
  <c r="Z6" i="22"/>
  <c r="T6" i="22"/>
  <c r="V6" i="22" s="1"/>
  <c r="R6" i="22"/>
  <c r="N6" i="22"/>
  <c r="I6" i="22"/>
  <c r="D6" i="22"/>
  <c r="C6" i="22"/>
  <c r="AA5" i="22"/>
  <c r="Z5" i="22"/>
  <c r="T5" i="22"/>
  <c r="V5" i="22" s="1"/>
  <c r="R5" i="22"/>
  <c r="N5" i="22"/>
  <c r="I5" i="22"/>
  <c r="D5" i="22"/>
  <c r="C5" i="22"/>
  <c r="AA4" i="22"/>
  <c r="Z4" i="22"/>
  <c r="V4" i="22"/>
  <c r="T4" i="22"/>
  <c r="R4" i="22"/>
  <c r="N4" i="22"/>
  <c r="I4" i="22"/>
  <c r="D4" i="22"/>
  <c r="C4" i="22"/>
  <c r="Z3" i="22"/>
  <c r="T3" i="22"/>
  <c r="V3" i="22" s="1"/>
  <c r="R3" i="22"/>
  <c r="N3" i="22"/>
  <c r="I3" i="22"/>
  <c r="D3" i="22"/>
  <c r="C3" i="22"/>
  <c r="D42" i="21"/>
  <c r="C42" i="21"/>
  <c r="Z41" i="21"/>
  <c r="T41" i="21"/>
  <c r="V41" i="21" s="1"/>
  <c r="R41" i="21"/>
  <c r="N41" i="21"/>
  <c r="H41" i="21"/>
  <c r="I41" i="21" s="1"/>
  <c r="D41" i="21"/>
  <c r="O41" i="21" s="1"/>
  <c r="C41" i="21"/>
  <c r="Z40" i="21"/>
  <c r="T40" i="21"/>
  <c r="V40" i="21" s="1"/>
  <c r="R40" i="21"/>
  <c r="N40" i="21"/>
  <c r="O40" i="21" s="1"/>
  <c r="H40" i="21"/>
  <c r="I40" i="21" s="1"/>
  <c r="D40" i="21"/>
  <c r="C40" i="21"/>
  <c r="Z39" i="21"/>
  <c r="V39" i="21"/>
  <c r="T39" i="21"/>
  <c r="R39" i="21"/>
  <c r="N39" i="21"/>
  <c r="H39" i="21"/>
  <c r="I39" i="21" s="1"/>
  <c r="D39" i="21"/>
  <c r="O39" i="21" s="1"/>
  <c r="C39" i="21"/>
  <c r="Z38" i="21"/>
  <c r="V38" i="21"/>
  <c r="T38" i="21"/>
  <c r="R38" i="21"/>
  <c r="N38" i="21"/>
  <c r="I38" i="21"/>
  <c r="H38" i="21"/>
  <c r="D38" i="21"/>
  <c r="C38" i="21"/>
  <c r="Z37" i="21"/>
  <c r="T37" i="21"/>
  <c r="V37" i="21" s="1"/>
  <c r="R37" i="21"/>
  <c r="N37" i="21"/>
  <c r="H37" i="21"/>
  <c r="I37" i="21" s="1"/>
  <c r="D37" i="21"/>
  <c r="O37" i="21" s="1"/>
  <c r="C37" i="21"/>
  <c r="Z36" i="21"/>
  <c r="AA36" i="21" s="1"/>
  <c r="T36" i="21"/>
  <c r="V36" i="21" s="1"/>
  <c r="R36" i="21"/>
  <c r="N36" i="21"/>
  <c r="H36" i="21"/>
  <c r="I36" i="21" s="1"/>
  <c r="D36" i="21"/>
  <c r="C36" i="21"/>
  <c r="Z35" i="21"/>
  <c r="T35" i="21"/>
  <c r="V35" i="21" s="1"/>
  <c r="R35" i="21"/>
  <c r="N35" i="21"/>
  <c r="H35" i="21"/>
  <c r="I35" i="21" s="1"/>
  <c r="D35" i="21"/>
  <c r="C35" i="21"/>
  <c r="Z34" i="21"/>
  <c r="V34" i="21"/>
  <c r="T34" i="21"/>
  <c r="R34" i="21"/>
  <c r="N34" i="21"/>
  <c r="I34" i="21"/>
  <c r="H34" i="21"/>
  <c r="D34" i="21"/>
  <c r="O34" i="21" s="1"/>
  <c r="C34" i="21"/>
  <c r="Z33" i="21"/>
  <c r="T33" i="21"/>
  <c r="V33" i="21" s="1"/>
  <c r="R33" i="21"/>
  <c r="N33" i="21"/>
  <c r="I33" i="21"/>
  <c r="H33" i="21"/>
  <c r="D33" i="21"/>
  <c r="O33" i="21" s="1"/>
  <c r="C33" i="21"/>
  <c r="Z32" i="21"/>
  <c r="T32" i="21"/>
  <c r="V32" i="21" s="1"/>
  <c r="R32" i="21"/>
  <c r="N32" i="21"/>
  <c r="I32" i="21"/>
  <c r="H32" i="21"/>
  <c r="D32" i="21"/>
  <c r="O32" i="21" s="1"/>
  <c r="C32" i="21"/>
  <c r="AA31" i="21"/>
  <c r="Z31" i="21"/>
  <c r="T31" i="21"/>
  <c r="V31" i="21" s="1"/>
  <c r="R31" i="21"/>
  <c r="N31" i="21"/>
  <c r="O31" i="21" s="1"/>
  <c r="H31" i="21"/>
  <c r="I31" i="21" s="1"/>
  <c r="D31" i="21"/>
  <c r="C31" i="21"/>
  <c r="Z30" i="21"/>
  <c r="AA30" i="21" s="1"/>
  <c r="T30" i="21"/>
  <c r="V30" i="21" s="1"/>
  <c r="R30" i="21"/>
  <c r="N30" i="21"/>
  <c r="I30" i="21"/>
  <c r="H30" i="21"/>
  <c r="D30" i="21"/>
  <c r="O30" i="21" s="1"/>
  <c r="C30" i="21"/>
  <c r="Z29" i="21"/>
  <c r="T29" i="21"/>
  <c r="V29" i="21" s="1"/>
  <c r="R29" i="21"/>
  <c r="N29" i="21"/>
  <c r="I29" i="21"/>
  <c r="H29" i="21"/>
  <c r="D29" i="21"/>
  <c r="O29" i="21" s="1"/>
  <c r="C29" i="21"/>
  <c r="Z28" i="21"/>
  <c r="T28" i="21"/>
  <c r="V28" i="21" s="1"/>
  <c r="R28" i="21"/>
  <c r="N28" i="21"/>
  <c r="I28" i="21"/>
  <c r="H28" i="21"/>
  <c r="D28" i="21"/>
  <c r="O28" i="21" s="1"/>
  <c r="C28" i="21"/>
  <c r="AA27" i="21"/>
  <c r="Z27" i="21"/>
  <c r="T27" i="21"/>
  <c r="V27" i="21" s="1"/>
  <c r="R27" i="21"/>
  <c r="N27" i="21"/>
  <c r="H27" i="21"/>
  <c r="I27" i="21" s="1"/>
  <c r="D27" i="21"/>
  <c r="C27" i="21"/>
  <c r="Z26" i="21"/>
  <c r="T26" i="21"/>
  <c r="V26" i="21" s="1"/>
  <c r="R26" i="21"/>
  <c r="N26" i="21"/>
  <c r="I26" i="21"/>
  <c r="H26" i="21"/>
  <c r="D26" i="21"/>
  <c r="C26" i="21"/>
  <c r="Z25" i="21"/>
  <c r="T25" i="21"/>
  <c r="V25" i="21" s="1"/>
  <c r="R25" i="21"/>
  <c r="N25" i="21"/>
  <c r="H25" i="21"/>
  <c r="I25" i="21" s="1"/>
  <c r="D25" i="21"/>
  <c r="C25" i="21"/>
  <c r="Z24" i="21"/>
  <c r="AA24" i="21" s="1"/>
  <c r="T24" i="21"/>
  <c r="V24" i="21" s="1"/>
  <c r="R24" i="21"/>
  <c r="N24" i="21"/>
  <c r="H24" i="21"/>
  <c r="I24" i="21" s="1"/>
  <c r="D24" i="21"/>
  <c r="C24" i="21"/>
  <c r="Z23" i="21"/>
  <c r="T23" i="21"/>
  <c r="V23" i="21" s="1"/>
  <c r="R23" i="21"/>
  <c r="N23" i="21"/>
  <c r="H23" i="21"/>
  <c r="I23" i="21" s="1"/>
  <c r="D23" i="21"/>
  <c r="C23" i="21"/>
  <c r="Z22" i="21"/>
  <c r="T22" i="21"/>
  <c r="V22" i="21" s="1"/>
  <c r="R22" i="21"/>
  <c r="N22" i="21"/>
  <c r="H22" i="21"/>
  <c r="I22" i="21" s="1"/>
  <c r="D22" i="21"/>
  <c r="C22" i="21"/>
  <c r="Z21" i="21"/>
  <c r="AA21" i="21" s="1"/>
  <c r="T21" i="21"/>
  <c r="V21" i="21" s="1"/>
  <c r="R21" i="21"/>
  <c r="N21" i="21"/>
  <c r="I21" i="21"/>
  <c r="H21" i="21"/>
  <c r="D21" i="21"/>
  <c r="C21" i="21"/>
  <c r="Z20" i="21"/>
  <c r="T20" i="21"/>
  <c r="V20" i="21" s="1"/>
  <c r="R20" i="21"/>
  <c r="N20" i="21"/>
  <c r="H20" i="21"/>
  <c r="I20" i="21" s="1"/>
  <c r="D20" i="21"/>
  <c r="O20" i="21" s="1"/>
  <c r="C20" i="21"/>
  <c r="Z19" i="21"/>
  <c r="AA19" i="21" s="1"/>
  <c r="T19" i="21"/>
  <c r="V19" i="21" s="1"/>
  <c r="R19" i="21"/>
  <c r="N19" i="21"/>
  <c r="H19" i="21"/>
  <c r="I19" i="21" s="1"/>
  <c r="D19" i="21"/>
  <c r="C19" i="21"/>
  <c r="Z18" i="21"/>
  <c r="AA18" i="21" s="1"/>
  <c r="T18" i="21"/>
  <c r="V18" i="21" s="1"/>
  <c r="R18" i="21"/>
  <c r="N18" i="21"/>
  <c r="H18" i="21"/>
  <c r="I18" i="21" s="1"/>
  <c r="D18" i="21"/>
  <c r="C18" i="21"/>
  <c r="Z17" i="21"/>
  <c r="AA17" i="21" s="1"/>
  <c r="T17" i="21"/>
  <c r="V17" i="21" s="1"/>
  <c r="R17" i="21"/>
  <c r="N17" i="21"/>
  <c r="I17" i="21"/>
  <c r="H17" i="21"/>
  <c r="D17" i="21"/>
  <c r="O17" i="21" s="1"/>
  <c r="C17" i="21"/>
  <c r="AA16" i="21"/>
  <c r="Z16" i="21"/>
  <c r="T16" i="21"/>
  <c r="V16" i="21" s="1"/>
  <c r="R16" i="21"/>
  <c r="N16" i="21"/>
  <c r="H16" i="21"/>
  <c r="I16" i="21" s="1"/>
  <c r="D16" i="21"/>
  <c r="O16" i="21" s="1"/>
  <c r="C16" i="21"/>
  <c r="Z15" i="21"/>
  <c r="AA15" i="21" s="1"/>
  <c r="T15" i="21"/>
  <c r="V15" i="21" s="1"/>
  <c r="R15" i="21"/>
  <c r="N15" i="21"/>
  <c r="O15" i="21" s="1"/>
  <c r="I15" i="21"/>
  <c r="D15" i="21"/>
  <c r="C15" i="21"/>
  <c r="AA14" i="21"/>
  <c r="Z14" i="21"/>
  <c r="T14" i="21"/>
  <c r="V14" i="21" s="1"/>
  <c r="R14" i="21"/>
  <c r="N14" i="21"/>
  <c r="I14" i="21"/>
  <c r="D14" i="21"/>
  <c r="O14" i="21" s="1"/>
  <c r="C14" i="21"/>
  <c r="Z13" i="21"/>
  <c r="AA13" i="21" s="1"/>
  <c r="T13" i="21"/>
  <c r="V13" i="21" s="1"/>
  <c r="R13" i="21"/>
  <c r="N13" i="21"/>
  <c r="I13" i="21"/>
  <c r="D13" i="21"/>
  <c r="O13" i="21" s="1"/>
  <c r="C13" i="21"/>
  <c r="Z12" i="21"/>
  <c r="T12" i="21"/>
  <c r="V12" i="21" s="1"/>
  <c r="R12" i="21"/>
  <c r="N12" i="21"/>
  <c r="I12" i="21"/>
  <c r="D12" i="21"/>
  <c r="O12" i="21" s="1"/>
  <c r="C12" i="21"/>
  <c r="Z11" i="21"/>
  <c r="AA11" i="21" s="1"/>
  <c r="T11" i="21"/>
  <c r="V11" i="21" s="1"/>
  <c r="R11" i="21"/>
  <c r="N11" i="21"/>
  <c r="I11" i="21"/>
  <c r="D11" i="21"/>
  <c r="C11" i="21"/>
  <c r="Z10" i="21"/>
  <c r="T10" i="21"/>
  <c r="V10" i="21" s="1"/>
  <c r="R10" i="21"/>
  <c r="N10" i="21"/>
  <c r="I10" i="21"/>
  <c r="D10" i="21"/>
  <c r="O10" i="21" s="1"/>
  <c r="C10" i="21"/>
  <c r="Z9" i="21"/>
  <c r="T9" i="21"/>
  <c r="V9" i="21" s="1"/>
  <c r="R9" i="21"/>
  <c r="N9" i="21"/>
  <c r="I9" i="21"/>
  <c r="D9" i="21"/>
  <c r="O9" i="21" s="1"/>
  <c r="C9" i="21"/>
  <c r="Z8" i="21"/>
  <c r="AA8" i="21" s="1"/>
  <c r="T8" i="21"/>
  <c r="V8" i="21" s="1"/>
  <c r="R8" i="21"/>
  <c r="N8" i="21"/>
  <c r="I8" i="21"/>
  <c r="D8" i="21"/>
  <c r="C8" i="21"/>
  <c r="AA7" i="21"/>
  <c r="Z7" i="21"/>
  <c r="T7" i="21"/>
  <c r="V7" i="21" s="1"/>
  <c r="R7" i="21"/>
  <c r="N7" i="21"/>
  <c r="I7" i="21"/>
  <c r="D7" i="21"/>
  <c r="O7" i="21" s="1"/>
  <c r="C7" i="21"/>
  <c r="Z6" i="21"/>
  <c r="T6" i="21"/>
  <c r="V6" i="21" s="1"/>
  <c r="R6" i="21"/>
  <c r="N6" i="21"/>
  <c r="I6" i="21"/>
  <c r="D6" i="21"/>
  <c r="O6" i="21" s="1"/>
  <c r="C6" i="21"/>
  <c r="Z5" i="21"/>
  <c r="AA5" i="21" s="1"/>
  <c r="V5" i="21"/>
  <c r="T5" i="21"/>
  <c r="R5" i="21"/>
  <c r="N5" i="21"/>
  <c r="I5" i="21"/>
  <c r="D5" i="21"/>
  <c r="O5" i="21" s="1"/>
  <c r="C5" i="21"/>
  <c r="Z4" i="21"/>
  <c r="AA4" i="21" s="1"/>
  <c r="T4" i="21"/>
  <c r="V4" i="21" s="1"/>
  <c r="R4" i="21"/>
  <c r="N4" i="21"/>
  <c r="I4" i="21"/>
  <c r="D4" i="21"/>
  <c r="O4" i="21" s="1"/>
  <c r="C4" i="21"/>
  <c r="Z3" i="21"/>
  <c r="T3" i="21"/>
  <c r="V3" i="21" s="1"/>
  <c r="R3" i="21"/>
  <c r="N3" i="21"/>
  <c r="I3" i="21"/>
  <c r="D3" i="21"/>
  <c r="C3" i="21"/>
  <c r="D42" i="20"/>
  <c r="C42" i="20"/>
  <c r="Z41" i="20"/>
  <c r="T41" i="20"/>
  <c r="V41" i="20" s="1"/>
  <c r="R41" i="20"/>
  <c r="N41" i="20"/>
  <c r="H41" i="20"/>
  <c r="I41" i="20" s="1"/>
  <c r="D41" i="20"/>
  <c r="O41" i="20" s="1"/>
  <c r="C41" i="20"/>
  <c r="Z40" i="20"/>
  <c r="T40" i="20"/>
  <c r="V40" i="20" s="1"/>
  <c r="R40" i="20"/>
  <c r="N40" i="20"/>
  <c r="H40" i="20"/>
  <c r="I40" i="20" s="1"/>
  <c r="D40" i="20"/>
  <c r="O40" i="20" s="1"/>
  <c r="C40" i="20"/>
  <c r="Z39" i="20"/>
  <c r="T39" i="20"/>
  <c r="V39" i="20" s="1"/>
  <c r="R39" i="20"/>
  <c r="N39" i="20"/>
  <c r="H39" i="20"/>
  <c r="I39" i="20" s="1"/>
  <c r="D39" i="20"/>
  <c r="O39" i="20" s="1"/>
  <c r="C39" i="20"/>
  <c r="Z38" i="20"/>
  <c r="T38" i="20"/>
  <c r="V38" i="20" s="1"/>
  <c r="R38" i="20"/>
  <c r="N38" i="20"/>
  <c r="H38" i="20"/>
  <c r="I38" i="20" s="1"/>
  <c r="D38" i="20"/>
  <c r="C38" i="20"/>
  <c r="Z37" i="20"/>
  <c r="T37" i="20"/>
  <c r="V37" i="20" s="1"/>
  <c r="R37" i="20"/>
  <c r="N37" i="20"/>
  <c r="H37" i="20"/>
  <c r="I37" i="20" s="1"/>
  <c r="D37" i="20"/>
  <c r="C37" i="20"/>
  <c r="Z36" i="20"/>
  <c r="AA36" i="20" s="1"/>
  <c r="T36" i="20"/>
  <c r="V36" i="20" s="1"/>
  <c r="R36" i="20"/>
  <c r="N36" i="20"/>
  <c r="H36" i="20"/>
  <c r="I36" i="20" s="1"/>
  <c r="D36" i="20"/>
  <c r="C36" i="20"/>
  <c r="Z35" i="20"/>
  <c r="T35" i="20"/>
  <c r="V35" i="20" s="1"/>
  <c r="R35" i="20"/>
  <c r="N35" i="20"/>
  <c r="H35" i="20"/>
  <c r="I35" i="20" s="1"/>
  <c r="D35" i="20"/>
  <c r="C35" i="20"/>
  <c r="Z34" i="20"/>
  <c r="T34" i="20"/>
  <c r="V34" i="20" s="1"/>
  <c r="R34" i="20"/>
  <c r="N34" i="20"/>
  <c r="H34" i="20"/>
  <c r="I34" i="20" s="1"/>
  <c r="D34" i="20"/>
  <c r="C34" i="20"/>
  <c r="Z33" i="20"/>
  <c r="T33" i="20"/>
  <c r="V33" i="20" s="1"/>
  <c r="R33" i="20"/>
  <c r="N33" i="20"/>
  <c r="O33" i="20" s="1"/>
  <c r="I33" i="20"/>
  <c r="H33" i="20"/>
  <c r="D33" i="20"/>
  <c r="C33" i="20"/>
  <c r="Z32" i="20"/>
  <c r="T32" i="20"/>
  <c r="V32" i="20" s="1"/>
  <c r="R32" i="20"/>
  <c r="N32" i="20"/>
  <c r="H32" i="20"/>
  <c r="I32" i="20" s="1"/>
  <c r="D32" i="20"/>
  <c r="C32" i="20"/>
  <c r="Z31" i="20"/>
  <c r="AA31" i="20" s="1"/>
  <c r="T31" i="20"/>
  <c r="V31" i="20" s="1"/>
  <c r="R31" i="20"/>
  <c r="N31" i="20"/>
  <c r="H31" i="20"/>
  <c r="I31" i="20" s="1"/>
  <c r="D31" i="20"/>
  <c r="C31" i="20"/>
  <c r="Z30" i="20"/>
  <c r="AA30" i="20" s="1"/>
  <c r="T30" i="20"/>
  <c r="V30" i="20" s="1"/>
  <c r="R30" i="20"/>
  <c r="N30" i="20"/>
  <c r="H30" i="20"/>
  <c r="I30" i="20" s="1"/>
  <c r="D30" i="20"/>
  <c r="C30" i="20"/>
  <c r="Z29" i="20"/>
  <c r="T29" i="20"/>
  <c r="V29" i="20" s="1"/>
  <c r="R29" i="20"/>
  <c r="N29" i="20"/>
  <c r="H29" i="20"/>
  <c r="I29" i="20" s="1"/>
  <c r="D29" i="20"/>
  <c r="O29" i="20" s="1"/>
  <c r="C29" i="20"/>
  <c r="Z28" i="20"/>
  <c r="T28" i="20"/>
  <c r="V28" i="20" s="1"/>
  <c r="R28" i="20"/>
  <c r="N28" i="20"/>
  <c r="H28" i="20"/>
  <c r="I28" i="20" s="1"/>
  <c r="D28" i="20"/>
  <c r="C28" i="20"/>
  <c r="Z27" i="20"/>
  <c r="AA27" i="20" s="1"/>
  <c r="T27" i="20"/>
  <c r="V27" i="20" s="1"/>
  <c r="R27" i="20"/>
  <c r="N27" i="20"/>
  <c r="H27" i="20"/>
  <c r="I27" i="20" s="1"/>
  <c r="D27" i="20"/>
  <c r="C27" i="20"/>
  <c r="Z26" i="20"/>
  <c r="T26" i="20"/>
  <c r="V26" i="20" s="1"/>
  <c r="R26" i="20"/>
  <c r="N26" i="20"/>
  <c r="H26" i="20"/>
  <c r="I26" i="20" s="1"/>
  <c r="D26" i="20"/>
  <c r="C26" i="20"/>
  <c r="Z25" i="20"/>
  <c r="T25" i="20"/>
  <c r="V25" i="20" s="1"/>
  <c r="R25" i="20"/>
  <c r="N25" i="20"/>
  <c r="H25" i="20"/>
  <c r="I25" i="20" s="1"/>
  <c r="D25" i="20"/>
  <c r="C25" i="20"/>
  <c r="Z24" i="20"/>
  <c r="AA24" i="20" s="1"/>
  <c r="T24" i="20"/>
  <c r="V24" i="20" s="1"/>
  <c r="R24" i="20"/>
  <c r="N24" i="20"/>
  <c r="H24" i="20"/>
  <c r="I24" i="20" s="1"/>
  <c r="D24" i="20"/>
  <c r="C24" i="20"/>
  <c r="Z23" i="20"/>
  <c r="T23" i="20"/>
  <c r="V23" i="20" s="1"/>
  <c r="R23" i="20"/>
  <c r="N23" i="20"/>
  <c r="O23" i="20" s="1"/>
  <c r="H23" i="20"/>
  <c r="I23" i="20" s="1"/>
  <c r="D23" i="20"/>
  <c r="C23" i="20"/>
  <c r="Z22" i="20"/>
  <c r="V22" i="20"/>
  <c r="T22" i="20"/>
  <c r="R22" i="20"/>
  <c r="N22" i="20"/>
  <c r="H22" i="20"/>
  <c r="I22" i="20" s="1"/>
  <c r="D22" i="20"/>
  <c r="C22" i="20"/>
  <c r="Z21" i="20"/>
  <c r="AA21" i="20" s="1"/>
  <c r="V21" i="20"/>
  <c r="T21" i="20"/>
  <c r="R21" i="20"/>
  <c r="N21" i="20"/>
  <c r="I21" i="20"/>
  <c r="H21" i="20"/>
  <c r="D21" i="20"/>
  <c r="O21" i="20" s="1"/>
  <c r="C21" i="20"/>
  <c r="Z20" i="20"/>
  <c r="T20" i="20"/>
  <c r="V20" i="20" s="1"/>
  <c r="R20" i="20"/>
  <c r="N20" i="20"/>
  <c r="I20" i="20"/>
  <c r="H20" i="20"/>
  <c r="D20" i="20"/>
  <c r="O20" i="20" s="1"/>
  <c r="C20" i="20"/>
  <c r="AA19" i="20"/>
  <c r="Z19" i="20"/>
  <c r="T19" i="20"/>
  <c r="V19" i="20" s="1"/>
  <c r="R19" i="20"/>
  <c r="N19" i="20"/>
  <c r="H19" i="20"/>
  <c r="I19" i="20" s="1"/>
  <c r="D19" i="20"/>
  <c r="O19" i="20" s="1"/>
  <c r="C19" i="20"/>
  <c r="Z18" i="20"/>
  <c r="AA18" i="20" s="1"/>
  <c r="T18" i="20"/>
  <c r="V18" i="20" s="1"/>
  <c r="R18" i="20"/>
  <c r="N18" i="20"/>
  <c r="H18" i="20"/>
  <c r="I18" i="20" s="1"/>
  <c r="D18" i="20"/>
  <c r="O18" i="20" s="1"/>
  <c r="C18" i="20"/>
  <c r="Z17" i="20"/>
  <c r="AA17" i="20" s="1"/>
  <c r="V17" i="20"/>
  <c r="T17" i="20"/>
  <c r="R17" i="20"/>
  <c r="N17" i="20"/>
  <c r="I17" i="20"/>
  <c r="H17" i="20"/>
  <c r="D17" i="20"/>
  <c r="C17" i="20"/>
  <c r="AA16" i="20"/>
  <c r="Z16" i="20"/>
  <c r="T16" i="20"/>
  <c r="V16" i="20" s="1"/>
  <c r="R16" i="20"/>
  <c r="N16" i="20"/>
  <c r="H16" i="20"/>
  <c r="I16" i="20" s="1"/>
  <c r="D16" i="20"/>
  <c r="C16" i="20"/>
  <c r="Z15" i="20"/>
  <c r="AA15" i="20" s="1"/>
  <c r="T15" i="20"/>
  <c r="V15" i="20" s="1"/>
  <c r="R15" i="20"/>
  <c r="N15" i="20"/>
  <c r="I15" i="20"/>
  <c r="D15" i="20"/>
  <c r="O15" i="20" s="1"/>
  <c r="C15" i="20"/>
  <c r="Z14" i="20"/>
  <c r="AA14" i="20" s="1"/>
  <c r="T14" i="20"/>
  <c r="V14" i="20" s="1"/>
  <c r="R14" i="20"/>
  <c r="N14" i="20"/>
  <c r="I14" i="20"/>
  <c r="D14" i="20"/>
  <c r="C14" i="20"/>
  <c r="Z13" i="20"/>
  <c r="AA13" i="20" s="1"/>
  <c r="T13" i="20"/>
  <c r="V13" i="20" s="1"/>
  <c r="R13" i="20"/>
  <c r="N13" i="20"/>
  <c r="I13" i="20"/>
  <c r="D13" i="20"/>
  <c r="O13" i="20" s="1"/>
  <c r="C13" i="20"/>
  <c r="Z12" i="20"/>
  <c r="T12" i="20"/>
  <c r="V12" i="20" s="1"/>
  <c r="R12" i="20"/>
  <c r="N12" i="20"/>
  <c r="I12" i="20"/>
  <c r="D12" i="20"/>
  <c r="O12" i="20" s="1"/>
  <c r="C12" i="20"/>
  <c r="Z11" i="20"/>
  <c r="AA11" i="20" s="1"/>
  <c r="T11" i="20"/>
  <c r="V11" i="20" s="1"/>
  <c r="R11" i="20"/>
  <c r="N11" i="20"/>
  <c r="I11" i="20"/>
  <c r="D11" i="20"/>
  <c r="O11" i="20" s="1"/>
  <c r="C11" i="20"/>
  <c r="Z10" i="20"/>
  <c r="T10" i="20"/>
  <c r="V10" i="20" s="1"/>
  <c r="R10" i="20"/>
  <c r="N10" i="20"/>
  <c r="I10" i="20"/>
  <c r="D10" i="20"/>
  <c r="C10" i="20"/>
  <c r="Z9" i="20"/>
  <c r="T9" i="20"/>
  <c r="V9" i="20" s="1"/>
  <c r="R9" i="20"/>
  <c r="N9" i="20"/>
  <c r="I9" i="20"/>
  <c r="D9" i="20"/>
  <c r="C9" i="20"/>
  <c r="Z8" i="20"/>
  <c r="AA8" i="20" s="1"/>
  <c r="V8" i="20"/>
  <c r="T8" i="20"/>
  <c r="R8" i="20"/>
  <c r="N8" i="20"/>
  <c r="I8" i="20"/>
  <c r="D8" i="20"/>
  <c r="C8" i="20"/>
  <c r="Z7" i="20"/>
  <c r="AA7" i="20" s="1"/>
  <c r="T7" i="20"/>
  <c r="V7" i="20" s="1"/>
  <c r="R7" i="20"/>
  <c r="N7" i="20"/>
  <c r="I7" i="20"/>
  <c r="D7" i="20"/>
  <c r="O7" i="20" s="1"/>
  <c r="C7" i="20"/>
  <c r="Z6" i="20"/>
  <c r="T6" i="20"/>
  <c r="V6" i="20" s="1"/>
  <c r="R6" i="20"/>
  <c r="N6" i="20"/>
  <c r="I6" i="20"/>
  <c r="D6" i="20"/>
  <c r="C6" i="20"/>
  <c r="Z5" i="20"/>
  <c r="AA5" i="20" s="1"/>
  <c r="V5" i="20"/>
  <c r="T5" i="20"/>
  <c r="R5" i="20"/>
  <c r="N5" i="20"/>
  <c r="I5" i="20"/>
  <c r="D5" i="20"/>
  <c r="O5" i="20" s="1"/>
  <c r="C5" i="20"/>
  <c r="Z4" i="20"/>
  <c r="AA4" i="20" s="1"/>
  <c r="T4" i="20"/>
  <c r="V4" i="20" s="1"/>
  <c r="R4" i="20"/>
  <c r="N4" i="20"/>
  <c r="I4" i="20"/>
  <c r="D4" i="20"/>
  <c r="C4" i="20"/>
  <c r="Z3" i="20"/>
  <c r="T3" i="20"/>
  <c r="V3" i="20" s="1"/>
  <c r="R3" i="20"/>
  <c r="N3" i="20"/>
  <c r="I3" i="20"/>
  <c r="D3" i="20"/>
  <c r="O3" i="20" s="1"/>
  <c r="C3" i="20"/>
  <c r="D42" i="19"/>
  <c r="C42" i="19"/>
  <c r="Z41" i="19"/>
  <c r="T41" i="19"/>
  <c r="V41" i="19" s="1"/>
  <c r="R41" i="19"/>
  <c r="N41" i="19"/>
  <c r="H41" i="19"/>
  <c r="I41" i="19" s="1"/>
  <c r="D41" i="19"/>
  <c r="C41" i="19"/>
  <c r="Z40" i="19"/>
  <c r="T40" i="19"/>
  <c r="V40" i="19" s="1"/>
  <c r="R40" i="19"/>
  <c r="N40" i="19"/>
  <c r="H40" i="19"/>
  <c r="I40" i="19" s="1"/>
  <c r="D40" i="19"/>
  <c r="C40" i="19"/>
  <c r="Z39" i="19"/>
  <c r="T39" i="19"/>
  <c r="V39" i="19" s="1"/>
  <c r="R39" i="19"/>
  <c r="N39" i="19"/>
  <c r="O39" i="19" s="1"/>
  <c r="I39" i="19"/>
  <c r="H39" i="19"/>
  <c r="D39" i="19"/>
  <c r="C39" i="19"/>
  <c r="Z38" i="19"/>
  <c r="T38" i="19"/>
  <c r="V38" i="19" s="1"/>
  <c r="R38" i="19"/>
  <c r="N38" i="19"/>
  <c r="H38" i="19"/>
  <c r="I38" i="19" s="1"/>
  <c r="D38" i="19"/>
  <c r="O38" i="19" s="1"/>
  <c r="C38" i="19"/>
  <c r="Z37" i="19"/>
  <c r="T37" i="19"/>
  <c r="V37" i="19" s="1"/>
  <c r="R37" i="19"/>
  <c r="N37" i="19"/>
  <c r="O37" i="19" s="1"/>
  <c r="I37" i="19"/>
  <c r="H37" i="19"/>
  <c r="D37" i="19"/>
  <c r="C37" i="19"/>
  <c r="AA36" i="19"/>
  <c r="Z36" i="19"/>
  <c r="T36" i="19"/>
  <c r="V36" i="19" s="1"/>
  <c r="R36" i="19"/>
  <c r="N36" i="19"/>
  <c r="H36" i="19"/>
  <c r="I36" i="19" s="1"/>
  <c r="D36" i="19"/>
  <c r="O36" i="19" s="1"/>
  <c r="C36" i="19"/>
  <c r="Z35" i="19"/>
  <c r="T35" i="19"/>
  <c r="V35" i="19" s="1"/>
  <c r="R35" i="19"/>
  <c r="N35" i="19"/>
  <c r="H35" i="19"/>
  <c r="I35" i="19" s="1"/>
  <c r="D35" i="19"/>
  <c r="C35" i="19"/>
  <c r="Z34" i="19"/>
  <c r="T34" i="19"/>
  <c r="V34" i="19" s="1"/>
  <c r="R34" i="19"/>
  <c r="N34" i="19"/>
  <c r="H34" i="19"/>
  <c r="I34" i="19" s="1"/>
  <c r="D34" i="19"/>
  <c r="O34" i="19" s="1"/>
  <c r="C34" i="19"/>
  <c r="Z33" i="19"/>
  <c r="T33" i="19"/>
  <c r="V33" i="19" s="1"/>
  <c r="R33" i="19"/>
  <c r="N33" i="19"/>
  <c r="H33" i="19"/>
  <c r="I33" i="19" s="1"/>
  <c r="D33" i="19"/>
  <c r="O33" i="19" s="1"/>
  <c r="C33" i="19"/>
  <c r="Z32" i="19"/>
  <c r="T32" i="19"/>
  <c r="V32" i="19" s="1"/>
  <c r="R32" i="19"/>
  <c r="N32" i="19"/>
  <c r="H32" i="19"/>
  <c r="I32" i="19" s="1"/>
  <c r="D32" i="19"/>
  <c r="O32" i="19" s="1"/>
  <c r="C32" i="19"/>
  <c r="Z31" i="19"/>
  <c r="AA31" i="19" s="1"/>
  <c r="T31" i="19"/>
  <c r="V31" i="19" s="1"/>
  <c r="R31" i="19"/>
  <c r="N31" i="19"/>
  <c r="H31" i="19"/>
  <c r="I31" i="19" s="1"/>
  <c r="D31" i="19"/>
  <c r="O31" i="19" s="1"/>
  <c r="C31" i="19"/>
  <c r="Z30" i="19"/>
  <c r="AA30" i="19" s="1"/>
  <c r="T30" i="19"/>
  <c r="V30" i="19" s="1"/>
  <c r="R30" i="19"/>
  <c r="N30" i="19"/>
  <c r="H30" i="19"/>
  <c r="I30" i="19" s="1"/>
  <c r="D30" i="19"/>
  <c r="C30" i="19"/>
  <c r="Z29" i="19"/>
  <c r="T29" i="19"/>
  <c r="V29" i="19" s="1"/>
  <c r="R29" i="19"/>
  <c r="N29" i="19"/>
  <c r="H29" i="19"/>
  <c r="I29" i="19" s="1"/>
  <c r="D29" i="19"/>
  <c r="O29" i="19" s="1"/>
  <c r="C29" i="19"/>
  <c r="Z28" i="19"/>
  <c r="T28" i="19"/>
  <c r="V28" i="19" s="1"/>
  <c r="R28" i="19"/>
  <c r="N28" i="19"/>
  <c r="H28" i="19"/>
  <c r="I28" i="19" s="1"/>
  <c r="D28" i="19"/>
  <c r="O28" i="19" s="1"/>
  <c r="C28" i="19"/>
  <c r="Z27" i="19"/>
  <c r="AA27" i="19" s="1"/>
  <c r="V27" i="19"/>
  <c r="T27" i="19"/>
  <c r="R27" i="19"/>
  <c r="N27" i="19"/>
  <c r="I27" i="19"/>
  <c r="H27" i="19"/>
  <c r="D27" i="19"/>
  <c r="C27" i="19"/>
  <c r="Z26" i="19"/>
  <c r="T26" i="19"/>
  <c r="V26" i="19" s="1"/>
  <c r="R26" i="19"/>
  <c r="N26" i="19"/>
  <c r="H26" i="19"/>
  <c r="I26" i="19" s="1"/>
  <c r="D26" i="19"/>
  <c r="C26" i="19"/>
  <c r="Z25" i="19"/>
  <c r="T25" i="19"/>
  <c r="V25" i="19" s="1"/>
  <c r="R25" i="19"/>
  <c r="N25" i="19"/>
  <c r="H25" i="19"/>
  <c r="I25" i="19" s="1"/>
  <c r="D25" i="19"/>
  <c r="C25" i="19"/>
  <c r="Z24" i="19"/>
  <c r="AA24" i="19" s="1"/>
  <c r="T24" i="19"/>
  <c r="V24" i="19" s="1"/>
  <c r="R24" i="19"/>
  <c r="N24" i="19"/>
  <c r="H24" i="19"/>
  <c r="I24" i="19" s="1"/>
  <c r="D24" i="19"/>
  <c r="O24" i="19" s="1"/>
  <c r="C24" i="19"/>
  <c r="Z23" i="19"/>
  <c r="T23" i="19"/>
  <c r="V23" i="19" s="1"/>
  <c r="R23" i="19"/>
  <c r="N23" i="19"/>
  <c r="H23" i="19"/>
  <c r="I23" i="19" s="1"/>
  <c r="D23" i="19"/>
  <c r="O23" i="19" s="1"/>
  <c r="C23" i="19"/>
  <c r="Z22" i="19"/>
  <c r="T22" i="19"/>
  <c r="V22" i="19" s="1"/>
  <c r="R22" i="19"/>
  <c r="N22" i="19"/>
  <c r="H22" i="19"/>
  <c r="I22" i="19" s="1"/>
  <c r="D22" i="19"/>
  <c r="O22" i="19" s="1"/>
  <c r="C22" i="19"/>
  <c r="Z21" i="19"/>
  <c r="AA21" i="19" s="1"/>
  <c r="T21" i="19"/>
  <c r="V21" i="19" s="1"/>
  <c r="R21" i="19"/>
  <c r="N21" i="19"/>
  <c r="H21" i="19"/>
  <c r="I21" i="19" s="1"/>
  <c r="D21" i="19"/>
  <c r="O21" i="19" s="1"/>
  <c r="C21" i="19"/>
  <c r="Z20" i="19"/>
  <c r="T20" i="19"/>
  <c r="V20" i="19" s="1"/>
  <c r="R20" i="19"/>
  <c r="N20" i="19"/>
  <c r="H20" i="19"/>
  <c r="I20" i="19" s="1"/>
  <c r="D20" i="19"/>
  <c r="C20" i="19"/>
  <c r="Z19" i="19"/>
  <c r="AA19" i="19" s="1"/>
  <c r="T19" i="19"/>
  <c r="V19" i="19" s="1"/>
  <c r="R19" i="19"/>
  <c r="N19" i="19"/>
  <c r="I19" i="19"/>
  <c r="H19" i="19"/>
  <c r="D19" i="19"/>
  <c r="C19" i="19"/>
  <c r="AA18" i="19"/>
  <c r="Z18" i="19"/>
  <c r="T18" i="19"/>
  <c r="V18" i="19" s="1"/>
  <c r="R18" i="19"/>
  <c r="N18" i="19"/>
  <c r="H18" i="19"/>
  <c r="I18" i="19" s="1"/>
  <c r="D18" i="19"/>
  <c r="C18" i="19"/>
  <c r="Z17" i="19"/>
  <c r="AA17" i="19" s="1"/>
  <c r="T17" i="19"/>
  <c r="V17" i="19" s="1"/>
  <c r="R17" i="19"/>
  <c r="N17" i="19"/>
  <c r="O17" i="19" s="1"/>
  <c r="I17" i="19"/>
  <c r="H17" i="19"/>
  <c r="D17" i="19"/>
  <c r="C17" i="19"/>
  <c r="AA16" i="19"/>
  <c r="Z16" i="19"/>
  <c r="T16" i="19"/>
  <c r="V16" i="19" s="1"/>
  <c r="R16" i="19"/>
  <c r="N16" i="19"/>
  <c r="H16" i="19"/>
  <c r="I16" i="19" s="1"/>
  <c r="D16" i="19"/>
  <c r="C16" i="19"/>
  <c r="Z15" i="19"/>
  <c r="AA15" i="19" s="1"/>
  <c r="T15" i="19"/>
  <c r="V15" i="19" s="1"/>
  <c r="R15" i="19"/>
  <c r="O15" i="19"/>
  <c r="N15" i="19"/>
  <c r="I15" i="19"/>
  <c r="D15" i="19"/>
  <c r="C15" i="19"/>
  <c r="Z14" i="19"/>
  <c r="AA14" i="19" s="1"/>
  <c r="T14" i="19"/>
  <c r="V14" i="19" s="1"/>
  <c r="R14" i="19"/>
  <c r="N14" i="19"/>
  <c r="I14" i="19"/>
  <c r="D14" i="19"/>
  <c r="O14" i="19" s="1"/>
  <c r="C14" i="19"/>
  <c r="AA13" i="19"/>
  <c r="Z13" i="19"/>
  <c r="T13" i="19"/>
  <c r="V13" i="19" s="1"/>
  <c r="R13" i="19"/>
  <c r="N13" i="19"/>
  <c r="I13" i="19"/>
  <c r="D13" i="19"/>
  <c r="O13" i="19" s="1"/>
  <c r="C13" i="19"/>
  <c r="Z12" i="19"/>
  <c r="T12" i="19"/>
  <c r="V12" i="19" s="1"/>
  <c r="R12" i="19"/>
  <c r="N12" i="19"/>
  <c r="I12" i="19"/>
  <c r="D12" i="19"/>
  <c r="C12" i="19"/>
  <c r="Z11" i="19"/>
  <c r="AA11" i="19" s="1"/>
  <c r="V11" i="19"/>
  <c r="T11" i="19"/>
  <c r="R11" i="19"/>
  <c r="N11" i="19"/>
  <c r="I11" i="19"/>
  <c r="D11" i="19"/>
  <c r="C11" i="19"/>
  <c r="Z10" i="19"/>
  <c r="T10" i="19"/>
  <c r="V10" i="19" s="1"/>
  <c r="R10" i="19"/>
  <c r="N10" i="19"/>
  <c r="O10" i="19" s="1"/>
  <c r="I10" i="19"/>
  <c r="D10" i="19"/>
  <c r="C10" i="19"/>
  <c r="Z9" i="19"/>
  <c r="V9" i="19"/>
  <c r="T9" i="19"/>
  <c r="R9" i="19"/>
  <c r="N9" i="19"/>
  <c r="I9" i="19"/>
  <c r="D9" i="19"/>
  <c r="C9" i="19"/>
  <c r="AA8" i="19"/>
  <c r="Z8" i="19"/>
  <c r="T8" i="19"/>
  <c r="V8" i="19" s="1"/>
  <c r="R8" i="19"/>
  <c r="N8" i="19"/>
  <c r="I8" i="19"/>
  <c r="D8" i="19"/>
  <c r="C8" i="19"/>
  <c r="AA7" i="19"/>
  <c r="Z7" i="19"/>
  <c r="T7" i="19"/>
  <c r="V7" i="19" s="1"/>
  <c r="R7" i="19"/>
  <c r="N7" i="19"/>
  <c r="I7" i="19"/>
  <c r="D7" i="19"/>
  <c r="C7" i="19"/>
  <c r="Z6" i="19"/>
  <c r="T6" i="19"/>
  <c r="V6" i="19" s="1"/>
  <c r="R6" i="19"/>
  <c r="N6" i="19"/>
  <c r="I6" i="19"/>
  <c r="D6" i="19"/>
  <c r="C6" i="19"/>
  <c r="Z5" i="19"/>
  <c r="AA5" i="19" s="1"/>
  <c r="T5" i="19"/>
  <c r="V5" i="19" s="1"/>
  <c r="R5" i="19"/>
  <c r="N5" i="19"/>
  <c r="I5" i="19"/>
  <c r="D5" i="19"/>
  <c r="O5" i="19" s="1"/>
  <c r="C5" i="19"/>
  <c r="Z4" i="19"/>
  <c r="AA4" i="19" s="1"/>
  <c r="T4" i="19"/>
  <c r="V4" i="19" s="1"/>
  <c r="R4" i="19"/>
  <c r="N4" i="19"/>
  <c r="I4" i="19"/>
  <c r="D4" i="19"/>
  <c r="C4" i="19"/>
  <c r="Z3" i="19"/>
  <c r="T3" i="19"/>
  <c r="V3" i="19" s="1"/>
  <c r="R3" i="19"/>
  <c r="N3" i="19"/>
  <c r="I3" i="19"/>
  <c r="D3" i="19"/>
  <c r="C3" i="19"/>
  <c r="D42" i="18"/>
  <c r="C42" i="18"/>
  <c r="Z41" i="18"/>
  <c r="T41" i="18"/>
  <c r="V41" i="18" s="1"/>
  <c r="R41" i="18"/>
  <c r="N41" i="18"/>
  <c r="H41" i="18"/>
  <c r="I41" i="18" s="1"/>
  <c r="D41" i="18"/>
  <c r="C41" i="18"/>
  <c r="Z40" i="18"/>
  <c r="T40" i="18"/>
  <c r="V40" i="18" s="1"/>
  <c r="R40" i="18"/>
  <c r="N40" i="18"/>
  <c r="H40" i="18"/>
  <c r="I40" i="18" s="1"/>
  <c r="D40" i="18"/>
  <c r="C40" i="18"/>
  <c r="Z39" i="18"/>
  <c r="T39" i="18"/>
  <c r="V39" i="18" s="1"/>
  <c r="R39" i="18"/>
  <c r="N39" i="18"/>
  <c r="H39" i="18"/>
  <c r="I39" i="18" s="1"/>
  <c r="D39" i="18"/>
  <c r="C39" i="18"/>
  <c r="Z38" i="18"/>
  <c r="T38" i="18"/>
  <c r="V38" i="18" s="1"/>
  <c r="R38" i="18"/>
  <c r="N38" i="18"/>
  <c r="H38" i="18"/>
  <c r="I38" i="18" s="1"/>
  <c r="D38" i="18"/>
  <c r="C38" i="18"/>
  <c r="Z37" i="18"/>
  <c r="T37" i="18"/>
  <c r="V37" i="18" s="1"/>
  <c r="R37" i="18"/>
  <c r="N37" i="18"/>
  <c r="O37" i="18" s="1"/>
  <c r="I37" i="18"/>
  <c r="H37" i="18"/>
  <c r="D37" i="18"/>
  <c r="C37" i="18"/>
  <c r="AA36" i="18"/>
  <c r="Z36" i="18"/>
  <c r="T36" i="18"/>
  <c r="V36" i="18" s="1"/>
  <c r="R36" i="18"/>
  <c r="N36" i="18"/>
  <c r="H36" i="18"/>
  <c r="I36" i="18" s="1"/>
  <c r="D36" i="18"/>
  <c r="C36" i="18"/>
  <c r="Z35" i="18"/>
  <c r="T35" i="18"/>
  <c r="V35" i="18" s="1"/>
  <c r="R35" i="18"/>
  <c r="N35" i="18"/>
  <c r="H35" i="18"/>
  <c r="I35" i="18" s="1"/>
  <c r="D35" i="18"/>
  <c r="C35" i="18"/>
  <c r="Z34" i="18"/>
  <c r="T34" i="18"/>
  <c r="V34" i="18" s="1"/>
  <c r="R34" i="18"/>
  <c r="N34" i="18"/>
  <c r="H34" i="18"/>
  <c r="I34" i="18" s="1"/>
  <c r="D34" i="18"/>
  <c r="C34" i="18"/>
  <c r="Z33" i="18"/>
  <c r="T33" i="18"/>
  <c r="V33" i="18" s="1"/>
  <c r="R33" i="18"/>
  <c r="N33" i="18"/>
  <c r="H33" i="18"/>
  <c r="I33" i="18" s="1"/>
  <c r="D33" i="18"/>
  <c r="C33" i="18"/>
  <c r="Z32" i="18"/>
  <c r="T32" i="18"/>
  <c r="V32" i="18" s="1"/>
  <c r="R32" i="18"/>
  <c r="N32" i="18"/>
  <c r="H32" i="18"/>
  <c r="I32" i="18" s="1"/>
  <c r="D32" i="18"/>
  <c r="C32" i="18"/>
  <c r="Z31" i="18"/>
  <c r="AA31" i="18" s="1"/>
  <c r="T31" i="18"/>
  <c r="V31" i="18" s="1"/>
  <c r="R31" i="18"/>
  <c r="N31" i="18"/>
  <c r="H31" i="18"/>
  <c r="I31" i="18" s="1"/>
  <c r="D31" i="18"/>
  <c r="C31" i="18"/>
  <c r="Z30" i="18"/>
  <c r="AA30" i="18" s="1"/>
  <c r="T30" i="18"/>
  <c r="V30" i="18" s="1"/>
  <c r="R30" i="18"/>
  <c r="N30" i="18"/>
  <c r="H30" i="18"/>
  <c r="I30" i="18" s="1"/>
  <c r="D30" i="18"/>
  <c r="C30" i="18"/>
  <c r="Z29" i="18"/>
  <c r="T29" i="18"/>
  <c r="V29" i="18" s="1"/>
  <c r="R29" i="18"/>
  <c r="N29" i="18"/>
  <c r="O29" i="18" s="1"/>
  <c r="H29" i="18"/>
  <c r="I29" i="18" s="1"/>
  <c r="D29" i="18"/>
  <c r="C29" i="18"/>
  <c r="Z28" i="18"/>
  <c r="V28" i="18"/>
  <c r="T28" i="18"/>
  <c r="R28" i="18"/>
  <c r="N28" i="18"/>
  <c r="H28" i="18"/>
  <c r="I28" i="18" s="1"/>
  <c r="D28" i="18"/>
  <c r="C28" i="18"/>
  <c r="Z27" i="18"/>
  <c r="AA27" i="18" s="1"/>
  <c r="T27" i="18"/>
  <c r="V27" i="18" s="1"/>
  <c r="R27" i="18"/>
  <c r="N27" i="18"/>
  <c r="H27" i="18"/>
  <c r="I27" i="18" s="1"/>
  <c r="D27" i="18"/>
  <c r="C27" i="18"/>
  <c r="Z26" i="18"/>
  <c r="T26" i="18"/>
  <c r="V26" i="18" s="1"/>
  <c r="R26" i="18"/>
  <c r="N26" i="18"/>
  <c r="H26" i="18"/>
  <c r="I26" i="18" s="1"/>
  <c r="D26" i="18"/>
  <c r="C26" i="18"/>
  <c r="Z25" i="18"/>
  <c r="T25" i="18"/>
  <c r="V25" i="18" s="1"/>
  <c r="R25" i="18"/>
  <c r="N25" i="18"/>
  <c r="H25" i="18"/>
  <c r="I25" i="18" s="1"/>
  <c r="D25" i="18"/>
  <c r="C25" i="18"/>
  <c r="Z24" i="18"/>
  <c r="AA24" i="18" s="1"/>
  <c r="T24" i="18"/>
  <c r="V24" i="18" s="1"/>
  <c r="R24" i="18"/>
  <c r="N24" i="18"/>
  <c r="O24" i="18" s="1"/>
  <c r="I24" i="18"/>
  <c r="H24" i="18"/>
  <c r="D24" i="18"/>
  <c r="C24" i="18"/>
  <c r="Z23" i="18"/>
  <c r="T23" i="18"/>
  <c r="V23" i="18" s="1"/>
  <c r="R23" i="18"/>
  <c r="N23" i="18"/>
  <c r="H23" i="18"/>
  <c r="I23" i="18" s="1"/>
  <c r="D23" i="18"/>
  <c r="C23" i="18"/>
  <c r="Z22" i="18"/>
  <c r="T22" i="18"/>
  <c r="V22" i="18" s="1"/>
  <c r="R22" i="18"/>
  <c r="N22" i="18"/>
  <c r="H22" i="18"/>
  <c r="I22" i="18" s="1"/>
  <c r="D22" i="18"/>
  <c r="C22" i="18"/>
  <c r="Z21" i="18"/>
  <c r="AA21" i="18" s="1"/>
  <c r="V21" i="18"/>
  <c r="T21" i="18"/>
  <c r="R21" i="18"/>
  <c r="N21" i="18"/>
  <c r="I21" i="18"/>
  <c r="H21" i="18"/>
  <c r="D21" i="18"/>
  <c r="C21" i="18"/>
  <c r="Z20" i="18"/>
  <c r="T20" i="18"/>
  <c r="V20" i="18" s="1"/>
  <c r="R20" i="18"/>
  <c r="N20" i="18"/>
  <c r="H20" i="18"/>
  <c r="I20" i="18" s="1"/>
  <c r="D20" i="18"/>
  <c r="C20" i="18"/>
  <c r="Z19" i="18"/>
  <c r="AA19" i="18" s="1"/>
  <c r="V19" i="18"/>
  <c r="T19" i="18"/>
  <c r="R19" i="18"/>
  <c r="N19" i="18"/>
  <c r="H19" i="18"/>
  <c r="I19" i="18" s="1"/>
  <c r="D19" i="18"/>
  <c r="C19" i="18"/>
  <c r="Z18" i="18"/>
  <c r="AA18" i="18" s="1"/>
  <c r="V18" i="18"/>
  <c r="T18" i="18"/>
  <c r="R18" i="18"/>
  <c r="N18" i="18"/>
  <c r="I18" i="18"/>
  <c r="H18" i="18"/>
  <c r="D18" i="18"/>
  <c r="C18" i="18"/>
  <c r="AA17" i="18"/>
  <c r="Z17" i="18"/>
  <c r="T17" i="18"/>
  <c r="V17" i="18" s="1"/>
  <c r="R17" i="18"/>
  <c r="N17" i="18"/>
  <c r="O17" i="18" s="1"/>
  <c r="H17" i="18"/>
  <c r="I17" i="18" s="1"/>
  <c r="D17" i="18"/>
  <c r="C17" i="18"/>
  <c r="Z16" i="18"/>
  <c r="AA16" i="18" s="1"/>
  <c r="T16" i="18"/>
  <c r="V16" i="18" s="1"/>
  <c r="R16" i="18"/>
  <c r="N16" i="18"/>
  <c r="H16" i="18"/>
  <c r="I16" i="18" s="1"/>
  <c r="D16" i="18"/>
  <c r="O16" i="18" s="1"/>
  <c r="C16" i="18"/>
  <c r="Z15" i="18"/>
  <c r="AA15" i="18" s="1"/>
  <c r="T15" i="18"/>
  <c r="V15" i="18" s="1"/>
  <c r="R15" i="18"/>
  <c r="N15" i="18"/>
  <c r="I15" i="18"/>
  <c r="D15" i="18"/>
  <c r="O15" i="18" s="1"/>
  <c r="C15" i="18"/>
  <c r="Z14" i="18"/>
  <c r="AA14" i="18" s="1"/>
  <c r="T14" i="18"/>
  <c r="V14" i="18" s="1"/>
  <c r="R14" i="18"/>
  <c r="N14" i="18"/>
  <c r="I14" i="18"/>
  <c r="D14" i="18"/>
  <c r="C14" i="18"/>
  <c r="Z13" i="18"/>
  <c r="AA13" i="18" s="1"/>
  <c r="T13" i="18"/>
  <c r="V13" i="18" s="1"/>
  <c r="R13" i="18"/>
  <c r="O13" i="18"/>
  <c r="N13" i="18"/>
  <c r="I13" i="18"/>
  <c r="D13" i="18"/>
  <c r="C13" i="18"/>
  <c r="Z12" i="18"/>
  <c r="T12" i="18"/>
  <c r="V12" i="18" s="1"/>
  <c r="R12" i="18"/>
  <c r="N12" i="18"/>
  <c r="I12" i="18"/>
  <c r="D12" i="18"/>
  <c r="C12" i="18"/>
  <c r="Z11" i="18"/>
  <c r="AA11" i="18" s="1"/>
  <c r="T11" i="18"/>
  <c r="V11" i="18" s="1"/>
  <c r="R11" i="18"/>
  <c r="N11" i="18"/>
  <c r="I11" i="18"/>
  <c r="D11" i="18"/>
  <c r="C11" i="18"/>
  <c r="Z10" i="18"/>
  <c r="T10" i="18"/>
  <c r="V10" i="18" s="1"/>
  <c r="R10" i="18"/>
  <c r="N10" i="18"/>
  <c r="O10" i="18" s="1"/>
  <c r="I10" i="18"/>
  <c r="D10" i="18"/>
  <c r="C10" i="18"/>
  <c r="Z9" i="18"/>
  <c r="T9" i="18"/>
  <c r="V9" i="18" s="1"/>
  <c r="R9" i="18"/>
  <c r="N9" i="18"/>
  <c r="I9" i="18"/>
  <c r="D9" i="18"/>
  <c r="O9" i="18" s="1"/>
  <c r="C9" i="18"/>
  <c r="Z8" i="18"/>
  <c r="AA8" i="18" s="1"/>
  <c r="T8" i="18"/>
  <c r="V8" i="18" s="1"/>
  <c r="R8" i="18"/>
  <c r="N8" i="18"/>
  <c r="I8" i="18"/>
  <c r="D8" i="18"/>
  <c r="C8" i="18"/>
  <c r="Z7" i="18"/>
  <c r="AA7" i="18" s="1"/>
  <c r="T7" i="18"/>
  <c r="V7" i="18" s="1"/>
  <c r="R7" i="18"/>
  <c r="N7" i="18"/>
  <c r="I7" i="18"/>
  <c r="D7" i="18"/>
  <c r="O7" i="18" s="1"/>
  <c r="C7" i="18"/>
  <c r="Z6" i="18"/>
  <c r="T6" i="18"/>
  <c r="V6" i="18" s="1"/>
  <c r="R6" i="18"/>
  <c r="N6" i="18"/>
  <c r="O6" i="18" s="1"/>
  <c r="I6" i="18"/>
  <c r="D6" i="18"/>
  <c r="C6" i="18"/>
  <c r="Z5" i="18"/>
  <c r="AA5" i="18" s="1"/>
  <c r="T5" i="18"/>
  <c r="V5" i="18" s="1"/>
  <c r="R5" i="18"/>
  <c r="N5" i="18"/>
  <c r="I5" i="18"/>
  <c r="D5" i="18"/>
  <c r="C5" i="18"/>
  <c r="AA4" i="18"/>
  <c r="Z4" i="18"/>
  <c r="T4" i="18"/>
  <c r="V4" i="18" s="1"/>
  <c r="R4" i="18"/>
  <c r="N4" i="18"/>
  <c r="I4" i="18"/>
  <c r="D4" i="18"/>
  <c r="C4" i="18"/>
  <c r="Z3" i="18"/>
  <c r="T3" i="18"/>
  <c r="V3" i="18" s="1"/>
  <c r="R3" i="18"/>
  <c r="N3" i="18"/>
  <c r="I3" i="18"/>
  <c r="D3" i="18"/>
  <c r="C3" i="18"/>
  <c r="D42" i="17"/>
  <c r="C42" i="17"/>
  <c r="Z41" i="17"/>
  <c r="T41" i="17"/>
  <c r="V41" i="17" s="1"/>
  <c r="R41" i="17"/>
  <c r="N41" i="17"/>
  <c r="O41" i="17" s="1"/>
  <c r="H41" i="17"/>
  <c r="I41" i="17" s="1"/>
  <c r="D41" i="17"/>
  <c r="C41" i="17"/>
  <c r="Z40" i="17"/>
  <c r="T40" i="17"/>
  <c r="V40" i="17" s="1"/>
  <c r="R40" i="17"/>
  <c r="N40" i="17"/>
  <c r="H40" i="17"/>
  <c r="I40" i="17" s="1"/>
  <c r="D40" i="17"/>
  <c r="C40" i="17"/>
  <c r="Z39" i="17"/>
  <c r="T39" i="17"/>
  <c r="V39" i="17" s="1"/>
  <c r="R39" i="17"/>
  <c r="N39" i="17"/>
  <c r="H39" i="17"/>
  <c r="I39" i="17" s="1"/>
  <c r="D39" i="17"/>
  <c r="O39" i="17" s="1"/>
  <c r="C39" i="17"/>
  <c r="Z38" i="17"/>
  <c r="T38" i="17"/>
  <c r="V38" i="17" s="1"/>
  <c r="R38" i="17"/>
  <c r="N38" i="17"/>
  <c r="H38" i="17"/>
  <c r="I38" i="17" s="1"/>
  <c r="D38" i="17"/>
  <c r="O38" i="17" s="1"/>
  <c r="C38" i="17"/>
  <c r="Z37" i="17"/>
  <c r="T37" i="17"/>
  <c r="V37" i="17" s="1"/>
  <c r="R37" i="17"/>
  <c r="N37" i="17"/>
  <c r="H37" i="17"/>
  <c r="I37" i="17" s="1"/>
  <c r="D37" i="17"/>
  <c r="C37" i="17"/>
  <c r="Z36" i="17"/>
  <c r="AA36" i="17" s="1"/>
  <c r="T36" i="17"/>
  <c r="V36" i="17" s="1"/>
  <c r="R36" i="17"/>
  <c r="N36" i="17"/>
  <c r="O36" i="17" s="1"/>
  <c r="H36" i="17"/>
  <c r="I36" i="17" s="1"/>
  <c r="D36" i="17"/>
  <c r="C36" i="17"/>
  <c r="Z35" i="17"/>
  <c r="V35" i="17"/>
  <c r="T35" i="17"/>
  <c r="R35" i="17"/>
  <c r="N35" i="17"/>
  <c r="H35" i="17"/>
  <c r="I35" i="17" s="1"/>
  <c r="D35" i="17"/>
  <c r="C35" i="17"/>
  <c r="Z34" i="17"/>
  <c r="T34" i="17"/>
  <c r="V34" i="17" s="1"/>
  <c r="R34" i="17"/>
  <c r="N34" i="17"/>
  <c r="O34" i="17" s="1"/>
  <c r="H34" i="17"/>
  <c r="I34" i="17" s="1"/>
  <c r="D34" i="17"/>
  <c r="C34" i="17"/>
  <c r="Z33" i="17"/>
  <c r="V33" i="17"/>
  <c r="T33" i="17"/>
  <c r="R33" i="17"/>
  <c r="N33" i="17"/>
  <c r="H33" i="17"/>
  <c r="I33" i="17" s="1"/>
  <c r="D33" i="17"/>
  <c r="C33" i="17"/>
  <c r="Z32" i="17"/>
  <c r="T32" i="17"/>
  <c r="V32" i="17" s="1"/>
  <c r="R32" i="17"/>
  <c r="N32" i="17"/>
  <c r="H32" i="17"/>
  <c r="I32" i="17" s="1"/>
  <c r="D32" i="17"/>
  <c r="C32" i="17"/>
  <c r="Z31" i="17"/>
  <c r="AA31" i="17" s="1"/>
  <c r="T31" i="17"/>
  <c r="V31" i="17" s="1"/>
  <c r="R31" i="17"/>
  <c r="N31" i="17"/>
  <c r="I31" i="17"/>
  <c r="H31" i="17"/>
  <c r="D31" i="17"/>
  <c r="C31" i="17"/>
  <c r="AA30" i="17"/>
  <c r="Z30" i="17"/>
  <c r="T30" i="17"/>
  <c r="V30" i="17" s="1"/>
  <c r="R30" i="17"/>
  <c r="N30" i="17"/>
  <c r="H30" i="17"/>
  <c r="I30" i="17" s="1"/>
  <c r="D30" i="17"/>
  <c r="C30" i="17"/>
  <c r="Z29" i="17"/>
  <c r="T29" i="17"/>
  <c r="V29" i="17" s="1"/>
  <c r="R29" i="17"/>
  <c r="N29" i="17"/>
  <c r="O29" i="17" s="1"/>
  <c r="I29" i="17"/>
  <c r="H29" i="17"/>
  <c r="D29" i="17"/>
  <c r="C29" i="17"/>
  <c r="Z28" i="17"/>
  <c r="T28" i="17"/>
  <c r="V28" i="17" s="1"/>
  <c r="R28" i="17"/>
  <c r="N28" i="17"/>
  <c r="H28" i="17"/>
  <c r="I28" i="17" s="1"/>
  <c r="D28" i="17"/>
  <c r="C28" i="17"/>
  <c r="Z27" i="17"/>
  <c r="AA27" i="17" s="1"/>
  <c r="T27" i="17"/>
  <c r="V27" i="17" s="1"/>
  <c r="R27" i="17"/>
  <c r="N27" i="17"/>
  <c r="I27" i="17"/>
  <c r="H27" i="17"/>
  <c r="D27" i="17"/>
  <c r="C27" i="17"/>
  <c r="Z26" i="17"/>
  <c r="T26" i="17"/>
  <c r="V26" i="17" s="1"/>
  <c r="R26" i="17"/>
  <c r="N26" i="17"/>
  <c r="H26" i="17"/>
  <c r="I26" i="17" s="1"/>
  <c r="D26" i="17"/>
  <c r="C26" i="17"/>
  <c r="Z25" i="17"/>
  <c r="T25" i="17"/>
  <c r="V25" i="17" s="1"/>
  <c r="R25" i="17"/>
  <c r="N25" i="17"/>
  <c r="O25" i="17" s="1"/>
  <c r="H25" i="17"/>
  <c r="I25" i="17" s="1"/>
  <c r="D25" i="17"/>
  <c r="C25" i="17"/>
  <c r="Z24" i="17"/>
  <c r="AA24" i="17" s="1"/>
  <c r="T24" i="17"/>
  <c r="V24" i="17" s="1"/>
  <c r="R24" i="17"/>
  <c r="N24" i="17"/>
  <c r="I24" i="17"/>
  <c r="H24" i="17"/>
  <c r="D24" i="17"/>
  <c r="C24" i="17"/>
  <c r="Z23" i="17"/>
  <c r="T23" i="17"/>
  <c r="V23" i="17" s="1"/>
  <c r="R23" i="17"/>
  <c r="N23" i="17"/>
  <c r="H23" i="17"/>
  <c r="I23" i="17" s="1"/>
  <c r="D23" i="17"/>
  <c r="C23" i="17"/>
  <c r="Z22" i="17"/>
  <c r="T22" i="17"/>
  <c r="V22" i="17" s="1"/>
  <c r="R22" i="17"/>
  <c r="N22" i="17"/>
  <c r="O22" i="17" s="1"/>
  <c r="H22" i="17"/>
  <c r="I22" i="17" s="1"/>
  <c r="D22" i="17"/>
  <c r="C22" i="17"/>
  <c r="Z21" i="17"/>
  <c r="AA21" i="17" s="1"/>
  <c r="T21" i="17"/>
  <c r="V21" i="17" s="1"/>
  <c r="R21" i="17"/>
  <c r="N21" i="17"/>
  <c r="I21" i="17"/>
  <c r="H21" i="17"/>
  <c r="D21" i="17"/>
  <c r="O21" i="17" s="1"/>
  <c r="C21" i="17"/>
  <c r="Z20" i="17"/>
  <c r="T20" i="17"/>
  <c r="V20" i="17" s="1"/>
  <c r="R20" i="17"/>
  <c r="N20" i="17"/>
  <c r="I20" i="17"/>
  <c r="H20" i="17"/>
  <c r="D20" i="17"/>
  <c r="O20" i="17" s="1"/>
  <c r="C20" i="17"/>
  <c r="AA19" i="17"/>
  <c r="Z19" i="17"/>
  <c r="T19" i="17"/>
  <c r="V19" i="17" s="1"/>
  <c r="R19" i="17"/>
  <c r="N19" i="17"/>
  <c r="O19" i="17" s="1"/>
  <c r="H19" i="17"/>
  <c r="I19" i="17" s="1"/>
  <c r="D19" i="17"/>
  <c r="C19" i="17"/>
  <c r="Z18" i="17"/>
  <c r="AA18" i="17" s="1"/>
  <c r="T18" i="17"/>
  <c r="V18" i="17" s="1"/>
  <c r="R18" i="17"/>
  <c r="N18" i="17"/>
  <c r="H18" i="17"/>
  <c r="I18" i="17" s="1"/>
  <c r="D18" i="17"/>
  <c r="O18" i="17" s="1"/>
  <c r="C18" i="17"/>
  <c r="Z17" i="17"/>
  <c r="AA17" i="17" s="1"/>
  <c r="T17" i="17"/>
  <c r="V17" i="17" s="1"/>
  <c r="R17" i="17"/>
  <c r="N17" i="17"/>
  <c r="H17" i="17"/>
  <c r="I17" i="17" s="1"/>
  <c r="D17" i="17"/>
  <c r="O17" i="17" s="1"/>
  <c r="C17" i="17"/>
  <c r="Z16" i="17"/>
  <c r="AA16" i="17" s="1"/>
  <c r="T16" i="17"/>
  <c r="V16" i="17" s="1"/>
  <c r="R16" i="17"/>
  <c r="N16" i="17"/>
  <c r="H16" i="17"/>
  <c r="I16" i="17" s="1"/>
  <c r="D16" i="17"/>
  <c r="C16" i="17"/>
  <c r="Z15" i="17"/>
  <c r="AA15" i="17" s="1"/>
  <c r="T15" i="17"/>
  <c r="V15" i="17" s="1"/>
  <c r="R15" i="17"/>
  <c r="N15" i="17"/>
  <c r="I15" i="17"/>
  <c r="D15" i="17"/>
  <c r="C15" i="17"/>
  <c r="Z14" i="17"/>
  <c r="AA14" i="17" s="1"/>
  <c r="T14" i="17"/>
  <c r="V14" i="17" s="1"/>
  <c r="R14" i="17"/>
  <c r="N14" i="17"/>
  <c r="I14" i="17"/>
  <c r="D14" i="17"/>
  <c r="O14" i="17" s="1"/>
  <c r="C14" i="17"/>
  <c r="Z13" i="17"/>
  <c r="AA13" i="17" s="1"/>
  <c r="T13" i="17"/>
  <c r="V13" i="17" s="1"/>
  <c r="R13" i="17"/>
  <c r="N13" i="17"/>
  <c r="I13" i="17"/>
  <c r="D13" i="17"/>
  <c r="C13" i="17"/>
  <c r="Z12" i="17"/>
  <c r="T12" i="17"/>
  <c r="V12" i="17" s="1"/>
  <c r="R12" i="17"/>
  <c r="N12" i="17"/>
  <c r="I12" i="17"/>
  <c r="D12" i="17"/>
  <c r="C12" i="17"/>
  <c r="Z11" i="17"/>
  <c r="AA11" i="17" s="1"/>
  <c r="T11" i="17"/>
  <c r="V11" i="17" s="1"/>
  <c r="R11" i="17"/>
  <c r="N11" i="17"/>
  <c r="I11" i="17"/>
  <c r="D11" i="17"/>
  <c r="O11" i="17" s="1"/>
  <c r="C11" i="17"/>
  <c r="Z10" i="17"/>
  <c r="T10" i="17"/>
  <c r="V10" i="17" s="1"/>
  <c r="R10" i="17"/>
  <c r="N10" i="17"/>
  <c r="I10" i="17"/>
  <c r="D10" i="17"/>
  <c r="C10" i="17"/>
  <c r="Z9" i="17"/>
  <c r="T9" i="17"/>
  <c r="V9" i="17" s="1"/>
  <c r="R9" i="17"/>
  <c r="N9" i="17"/>
  <c r="O9" i="17" s="1"/>
  <c r="I9" i="17"/>
  <c r="D9" i="17"/>
  <c r="C9" i="17"/>
  <c r="AA8" i="17"/>
  <c r="Z8" i="17"/>
  <c r="T8" i="17"/>
  <c r="V8" i="17" s="1"/>
  <c r="R8" i="17"/>
  <c r="N8" i="17"/>
  <c r="I8" i="17"/>
  <c r="D8" i="17"/>
  <c r="C8" i="17"/>
  <c r="Z7" i="17"/>
  <c r="AA7" i="17" s="1"/>
  <c r="T7" i="17"/>
  <c r="V7" i="17" s="1"/>
  <c r="R7" i="17"/>
  <c r="N7" i="17"/>
  <c r="I7" i="17"/>
  <c r="D7" i="17"/>
  <c r="C7" i="17"/>
  <c r="Z6" i="17"/>
  <c r="T6" i="17"/>
  <c r="V6" i="17" s="1"/>
  <c r="R6" i="17"/>
  <c r="N6" i="17"/>
  <c r="I6" i="17"/>
  <c r="D6" i="17"/>
  <c r="C6" i="17"/>
  <c r="Z5" i="17"/>
  <c r="AA5" i="17" s="1"/>
  <c r="T5" i="17"/>
  <c r="V5" i="17" s="1"/>
  <c r="R5" i="17"/>
  <c r="N5" i="17"/>
  <c r="I5" i="17"/>
  <c r="D5" i="17"/>
  <c r="C5" i="17"/>
  <c r="Z4" i="17"/>
  <c r="AA4" i="17" s="1"/>
  <c r="T4" i="17"/>
  <c r="V4" i="17" s="1"/>
  <c r="R4" i="17"/>
  <c r="N4" i="17"/>
  <c r="I4" i="17"/>
  <c r="D4" i="17"/>
  <c r="O4" i="17" s="1"/>
  <c r="C4" i="17"/>
  <c r="Z3" i="17"/>
  <c r="T3" i="17"/>
  <c r="V3" i="17" s="1"/>
  <c r="R3" i="17"/>
  <c r="N3" i="17"/>
  <c r="I3" i="17"/>
  <c r="D3" i="17"/>
  <c r="O3" i="17" s="1"/>
  <c r="C3" i="17"/>
  <c r="D42" i="16"/>
  <c r="C42" i="16"/>
  <c r="Z41" i="16"/>
  <c r="T41" i="16"/>
  <c r="V41" i="16" s="1"/>
  <c r="R41" i="16"/>
  <c r="N41" i="16"/>
  <c r="H41" i="16"/>
  <c r="I41" i="16" s="1"/>
  <c r="D41" i="16"/>
  <c r="O41" i="16" s="1"/>
  <c r="C41" i="16"/>
  <c r="Z40" i="16"/>
  <c r="T40" i="16"/>
  <c r="V40" i="16" s="1"/>
  <c r="R40" i="16"/>
  <c r="N40" i="16"/>
  <c r="H40" i="16"/>
  <c r="I40" i="16" s="1"/>
  <c r="D40" i="16"/>
  <c r="C40" i="16"/>
  <c r="Z39" i="16"/>
  <c r="T39" i="16"/>
  <c r="V39" i="16" s="1"/>
  <c r="R39" i="16"/>
  <c r="N39" i="16"/>
  <c r="O39" i="16" s="1"/>
  <c r="H39" i="16"/>
  <c r="I39" i="16" s="1"/>
  <c r="D39" i="16"/>
  <c r="C39" i="16"/>
  <c r="Z38" i="16"/>
  <c r="T38" i="16"/>
  <c r="V38" i="16" s="1"/>
  <c r="R38" i="16"/>
  <c r="N38" i="16"/>
  <c r="O38" i="16" s="1"/>
  <c r="H38" i="16"/>
  <c r="I38" i="16" s="1"/>
  <c r="D38" i="16"/>
  <c r="C38" i="16"/>
  <c r="Z37" i="16"/>
  <c r="T37" i="16"/>
  <c r="V37" i="16" s="1"/>
  <c r="R37" i="16"/>
  <c r="N37" i="16"/>
  <c r="H37" i="16"/>
  <c r="I37" i="16" s="1"/>
  <c r="D37" i="16"/>
  <c r="O37" i="16" s="1"/>
  <c r="C37" i="16"/>
  <c r="Z36" i="16"/>
  <c r="AA36" i="16" s="1"/>
  <c r="T36" i="16"/>
  <c r="V36" i="16" s="1"/>
  <c r="R36" i="16"/>
  <c r="N36" i="16"/>
  <c r="H36" i="16"/>
  <c r="I36" i="16" s="1"/>
  <c r="D36" i="16"/>
  <c r="O36" i="16" s="1"/>
  <c r="C36" i="16"/>
  <c r="Z35" i="16"/>
  <c r="T35" i="16"/>
  <c r="V35" i="16" s="1"/>
  <c r="R35" i="16"/>
  <c r="N35" i="16"/>
  <c r="H35" i="16"/>
  <c r="I35" i="16" s="1"/>
  <c r="D35" i="16"/>
  <c r="O35" i="16" s="1"/>
  <c r="C35" i="16"/>
  <c r="Z34" i="16"/>
  <c r="T34" i="16"/>
  <c r="V34" i="16" s="1"/>
  <c r="R34" i="16"/>
  <c r="N34" i="16"/>
  <c r="H34" i="16"/>
  <c r="I34" i="16" s="1"/>
  <c r="D34" i="16"/>
  <c r="O34" i="16" s="1"/>
  <c r="C34" i="16"/>
  <c r="Z33" i="16"/>
  <c r="T33" i="16"/>
  <c r="V33" i="16" s="1"/>
  <c r="R33" i="16"/>
  <c r="N33" i="16"/>
  <c r="H33" i="16"/>
  <c r="I33" i="16" s="1"/>
  <c r="D33" i="16"/>
  <c r="O33" i="16" s="1"/>
  <c r="C33" i="16"/>
  <c r="Z32" i="16"/>
  <c r="T32" i="16"/>
  <c r="V32" i="16" s="1"/>
  <c r="R32" i="16"/>
  <c r="N32" i="16"/>
  <c r="H32" i="16"/>
  <c r="I32" i="16" s="1"/>
  <c r="D32" i="16"/>
  <c r="C32" i="16"/>
  <c r="Z31" i="16"/>
  <c r="AA31" i="16" s="1"/>
  <c r="T31" i="16"/>
  <c r="V31" i="16" s="1"/>
  <c r="R31" i="16"/>
  <c r="N31" i="16"/>
  <c r="H31" i="16"/>
  <c r="I31" i="16" s="1"/>
  <c r="D31" i="16"/>
  <c r="C31" i="16"/>
  <c r="Z30" i="16"/>
  <c r="AA30" i="16" s="1"/>
  <c r="T30" i="16"/>
  <c r="V30" i="16" s="1"/>
  <c r="R30" i="16"/>
  <c r="N30" i="16"/>
  <c r="H30" i="16"/>
  <c r="I30" i="16" s="1"/>
  <c r="D30" i="16"/>
  <c r="C30" i="16"/>
  <c r="Z29" i="16"/>
  <c r="T29" i="16"/>
  <c r="V29" i="16" s="1"/>
  <c r="R29" i="16"/>
  <c r="N29" i="16"/>
  <c r="H29" i="16"/>
  <c r="I29" i="16" s="1"/>
  <c r="D29" i="16"/>
  <c r="C29" i="16"/>
  <c r="Z28" i="16"/>
  <c r="T28" i="16"/>
  <c r="V28" i="16" s="1"/>
  <c r="R28" i="16"/>
  <c r="N28" i="16"/>
  <c r="H28" i="16"/>
  <c r="I28" i="16" s="1"/>
  <c r="D28" i="16"/>
  <c r="O28" i="16" s="1"/>
  <c r="C28" i="16"/>
  <c r="Z27" i="16"/>
  <c r="AA27" i="16" s="1"/>
  <c r="T27" i="16"/>
  <c r="V27" i="16" s="1"/>
  <c r="R27" i="16"/>
  <c r="N27" i="16"/>
  <c r="O27" i="16" s="1"/>
  <c r="H27" i="16"/>
  <c r="I27" i="16" s="1"/>
  <c r="D27" i="16"/>
  <c r="C27" i="16"/>
  <c r="Z26" i="16"/>
  <c r="T26" i="16"/>
  <c r="V26" i="16" s="1"/>
  <c r="R26" i="16"/>
  <c r="N26" i="16"/>
  <c r="H26" i="16"/>
  <c r="I26" i="16" s="1"/>
  <c r="D26" i="16"/>
  <c r="C26" i="16"/>
  <c r="Z25" i="16"/>
  <c r="T25" i="16"/>
  <c r="V25" i="16" s="1"/>
  <c r="R25" i="16"/>
  <c r="N25" i="16"/>
  <c r="H25" i="16"/>
  <c r="I25" i="16" s="1"/>
  <c r="D25" i="16"/>
  <c r="O25" i="16" s="1"/>
  <c r="C25" i="16"/>
  <c r="Z24" i="16"/>
  <c r="AA24" i="16" s="1"/>
  <c r="T24" i="16"/>
  <c r="V24" i="16" s="1"/>
  <c r="R24" i="16"/>
  <c r="N24" i="16"/>
  <c r="O24" i="16" s="1"/>
  <c r="H24" i="16"/>
  <c r="I24" i="16" s="1"/>
  <c r="D24" i="16"/>
  <c r="C24" i="16"/>
  <c r="Z23" i="16"/>
  <c r="T23" i="16"/>
  <c r="V23" i="16" s="1"/>
  <c r="R23" i="16"/>
  <c r="N23" i="16"/>
  <c r="H23" i="16"/>
  <c r="I23" i="16" s="1"/>
  <c r="D23" i="16"/>
  <c r="C23" i="16"/>
  <c r="Z22" i="16"/>
  <c r="T22" i="16"/>
  <c r="V22" i="16" s="1"/>
  <c r="R22" i="16"/>
  <c r="N22" i="16"/>
  <c r="H22" i="16"/>
  <c r="I22" i="16" s="1"/>
  <c r="D22" i="16"/>
  <c r="O22" i="16" s="1"/>
  <c r="C22" i="16"/>
  <c r="Z21" i="16"/>
  <c r="AA21" i="16" s="1"/>
  <c r="T21" i="16"/>
  <c r="V21" i="16" s="1"/>
  <c r="R21" i="16"/>
  <c r="N21" i="16"/>
  <c r="H21" i="16"/>
  <c r="I21" i="16" s="1"/>
  <c r="D21" i="16"/>
  <c r="C21" i="16"/>
  <c r="Z20" i="16"/>
  <c r="T20" i="16"/>
  <c r="V20" i="16" s="1"/>
  <c r="R20" i="16"/>
  <c r="N20" i="16"/>
  <c r="O20" i="16" s="1"/>
  <c r="H20" i="16"/>
  <c r="I20" i="16" s="1"/>
  <c r="D20" i="16"/>
  <c r="C20" i="16"/>
  <c r="Z19" i="16"/>
  <c r="AA19" i="16" s="1"/>
  <c r="V19" i="16"/>
  <c r="T19" i="16"/>
  <c r="R19" i="16"/>
  <c r="N19" i="16"/>
  <c r="I19" i="16"/>
  <c r="H19" i="16"/>
  <c r="D19" i="16"/>
  <c r="C19" i="16"/>
  <c r="AA18" i="16"/>
  <c r="Z18" i="16"/>
  <c r="T18" i="16"/>
  <c r="V18" i="16" s="1"/>
  <c r="R18" i="16"/>
  <c r="N18" i="16"/>
  <c r="H18" i="16"/>
  <c r="I18" i="16" s="1"/>
  <c r="D18" i="16"/>
  <c r="C18" i="16"/>
  <c r="Z17" i="16"/>
  <c r="AA17" i="16" s="1"/>
  <c r="T17" i="16"/>
  <c r="V17" i="16" s="1"/>
  <c r="R17" i="16"/>
  <c r="N17" i="16"/>
  <c r="H17" i="16"/>
  <c r="I17" i="16" s="1"/>
  <c r="D17" i="16"/>
  <c r="O17" i="16" s="1"/>
  <c r="C17" i="16"/>
  <c r="Z16" i="16"/>
  <c r="AA16" i="16" s="1"/>
  <c r="T16" i="16"/>
  <c r="V16" i="16" s="1"/>
  <c r="R16" i="16"/>
  <c r="O16" i="16"/>
  <c r="N16" i="16"/>
  <c r="H16" i="16"/>
  <c r="I16" i="16" s="1"/>
  <c r="D16" i="16"/>
  <c r="C16" i="16"/>
  <c r="Z15" i="16"/>
  <c r="AA15" i="16" s="1"/>
  <c r="T15" i="16"/>
  <c r="V15" i="16" s="1"/>
  <c r="R15" i="16"/>
  <c r="N15" i="16"/>
  <c r="O15" i="16" s="1"/>
  <c r="I15" i="16"/>
  <c r="D15" i="16"/>
  <c r="C15" i="16"/>
  <c r="Z14" i="16"/>
  <c r="AA14" i="16" s="1"/>
  <c r="T14" i="16"/>
  <c r="V14" i="16" s="1"/>
  <c r="R14" i="16"/>
  <c r="N14" i="16"/>
  <c r="I14" i="16"/>
  <c r="D14" i="16"/>
  <c r="O14" i="16" s="1"/>
  <c r="C14" i="16"/>
  <c r="Z13" i="16"/>
  <c r="AA13" i="16" s="1"/>
  <c r="T13" i="16"/>
  <c r="V13" i="16" s="1"/>
  <c r="R13" i="16"/>
  <c r="N13" i="16"/>
  <c r="I13" i="16"/>
  <c r="D13" i="16"/>
  <c r="C13" i="16"/>
  <c r="Z12" i="16"/>
  <c r="T12" i="16"/>
  <c r="V12" i="16" s="1"/>
  <c r="R12" i="16"/>
  <c r="N12" i="16"/>
  <c r="I12" i="16"/>
  <c r="D12" i="16"/>
  <c r="O12" i="16" s="1"/>
  <c r="C12" i="16"/>
  <c r="Z11" i="16"/>
  <c r="AA11" i="16" s="1"/>
  <c r="T11" i="16"/>
  <c r="V11" i="16" s="1"/>
  <c r="R11" i="16"/>
  <c r="N11" i="16"/>
  <c r="I11" i="16"/>
  <c r="D11" i="16"/>
  <c r="C11" i="16"/>
  <c r="Z10" i="16"/>
  <c r="T10" i="16"/>
  <c r="V10" i="16" s="1"/>
  <c r="R10" i="16"/>
  <c r="O10" i="16"/>
  <c r="N10" i="16"/>
  <c r="I10" i="16"/>
  <c r="D10" i="16"/>
  <c r="C10" i="16"/>
  <c r="Z9" i="16"/>
  <c r="T9" i="16"/>
  <c r="V9" i="16" s="1"/>
  <c r="R9" i="16"/>
  <c r="N9" i="16"/>
  <c r="I9" i="16"/>
  <c r="D9" i="16"/>
  <c r="O9" i="16" s="1"/>
  <c r="C9" i="16"/>
  <c r="Z8" i="16"/>
  <c r="AA8" i="16" s="1"/>
  <c r="T8" i="16"/>
  <c r="V8" i="16" s="1"/>
  <c r="R8" i="16"/>
  <c r="N8" i="16"/>
  <c r="I8" i="16"/>
  <c r="D8" i="16"/>
  <c r="C8" i="16"/>
  <c r="Z7" i="16"/>
  <c r="AA7" i="16" s="1"/>
  <c r="T7" i="16"/>
  <c r="V7" i="16" s="1"/>
  <c r="R7" i="16"/>
  <c r="O7" i="16"/>
  <c r="N7" i="16"/>
  <c r="I7" i="16"/>
  <c r="D7" i="16"/>
  <c r="C7" i="16"/>
  <c r="Z6" i="16"/>
  <c r="T6" i="16"/>
  <c r="V6" i="16" s="1"/>
  <c r="R6" i="16"/>
  <c r="N6" i="16"/>
  <c r="I6" i="16"/>
  <c r="D6" i="16"/>
  <c r="C6" i="16"/>
  <c r="Z5" i="16"/>
  <c r="AA5" i="16" s="1"/>
  <c r="T5" i="16"/>
  <c r="V5" i="16" s="1"/>
  <c r="R5" i="16"/>
  <c r="N5" i="16"/>
  <c r="O5" i="16" s="1"/>
  <c r="I5" i="16"/>
  <c r="D5" i="16"/>
  <c r="C5" i="16"/>
  <c r="AA4" i="16"/>
  <c r="Z4" i="16"/>
  <c r="T4" i="16"/>
  <c r="V4" i="16" s="1"/>
  <c r="R4" i="16"/>
  <c r="N4" i="16"/>
  <c r="I4" i="16"/>
  <c r="D4" i="16"/>
  <c r="C4" i="16"/>
  <c r="Z3" i="16"/>
  <c r="T3" i="16"/>
  <c r="V3" i="16" s="1"/>
  <c r="R3" i="16"/>
  <c r="N3" i="16"/>
  <c r="O3" i="16" s="1"/>
  <c r="I3" i="16"/>
  <c r="D3" i="16"/>
  <c r="C3" i="16"/>
  <c r="D42" i="15"/>
  <c r="C42" i="15"/>
  <c r="Z41" i="15"/>
  <c r="T41" i="15"/>
  <c r="V41" i="15" s="1"/>
  <c r="R41" i="15"/>
  <c r="N41" i="15"/>
  <c r="H41" i="15"/>
  <c r="I41" i="15" s="1"/>
  <c r="D41" i="15"/>
  <c r="C41" i="15"/>
  <c r="Z40" i="15"/>
  <c r="T40" i="15"/>
  <c r="V40" i="15" s="1"/>
  <c r="R40" i="15"/>
  <c r="N40" i="15"/>
  <c r="H40" i="15"/>
  <c r="I40" i="15" s="1"/>
  <c r="D40" i="15"/>
  <c r="C40" i="15"/>
  <c r="Z39" i="15"/>
  <c r="T39" i="15"/>
  <c r="V39" i="15" s="1"/>
  <c r="R39" i="15"/>
  <c r="N39" i="15"/>
  <c r="H39" i="15"/>
  <c r="I39" i="15" s="1"/>
  <c r="D39" i="15"/>
  <c r="C39" i="15"/>
  <c r="Z38" i="15"/>
  <c r="T38" i="15"/>
  <c r="V38" i="15" s="1"/>
  <c r="R38" i="15"/>
  <c r="N38" i="15"/>
  <c r="H38" i="15"/>
  <c r="I38" i="15" s="1"/>
  <c r="D38" i="15"/>
  <c r="O38" i="15" s="1"/>
  <c r="C38" i="15"/>
  <c r="Z37" i="15"/>
  <c r="T37" i="15"/>
  <c r="V37" i="15" s="1"/>
  <c r="R37" i="15"/>
  <c r="N37" i="15"/>
  <c r="H37" i="15"/>
  <c r="I37" i="15" s="1"/>
  <c r="D37" i="15"/>
  <c r="O37" i="15" s="1"/>
  <c r="C37" i="15"/>
  <c r="Z36" i="15"/>
  <c r="AA36" i="15" s="1"/>
  <c r="T36" i="15"/>
  <c r="V36" i="15" s="1"/>
  <c r="R36" i="15"/>
  <c r="N36" i="15"/>
  <c r="H36" i="15"/>
  <c r="I36" i="15" s="1"/>
  <c r="D36" i="15"/>
  <c r="O36" i="15" s="1"/>
  <c r="C36" i="15"/>
  <c r="Z35" i="15"/>
  <c r="T35" i="15"/>
  <c r="V35" i="15" s="1"/>
  <c r="R35" i="15"/>
  <c r="N35" i="15"/>
  <c r="H35" i="15"/>
  <c r="I35" i="15" s="1"/>
  <c r="D35" i="15"/>
  <c r="C35" i="15"/>
  <c r="Z34" i="15"/>
  <c r="T34" i="15"/>
  <c r="V34" i="15" s="1"/>
  <c r="R34" i="15"/>
  <c r="N34" i="15"/>
  <c r="H34" i="15"/>
  <c r="I34" i="15" s="1"/>
  <c r="D34" i="15"/>
  <c r="O34" i="15" s="1"/>
  <c r="C34" i="15"/>
  <c r="Z33" i="15"/>
  <c r="T33" i="15"/>
  <c r="V33" i="15" s="1"/>
  <c r="R33" i="15"/>
  <c r="N33" i="15"/>
  <c r="H33" i="15"/>
  <c r="I33" i="15" s="1"/>
  <c r="D33" i="15"/>
  <c r="C33" i="15"/>
  <c r="Z32" i="15"/>
  <c r="T32" i="15"/>
  <c r="V32" i="15" s="1"/>
  <c r="R32" i="15"/>
  <c r="O32" i="15"/>
  <c r="N32" i="15"/>
  <c r="H32" i="15"/>
  <c r="I32" i="15" s="1"/>
  <c r="D32" i="15"/>
  <c r="C32" i="15"/>
  <c r="Z31" i="15"/>
  <c r="AA31" i="15" s="1"/>
  <c r="T31" i="15"/>
  <c r="V31" i="15" s="1"/>
  <c r="R31" i="15"/>
  <c r="N31" i="15"/>
  <c r="H31" i="15"/>
  <c r="I31" i="15" s="1"/>
  <c r="D31" i="15"/>
  <c r="O31" i="15" s="1"/>
  <c r="C31" i="15"/>
  <c r="Z30" i="15"/>
  <c r="AA30" i="15" s="1"/>
  <c r="T30" i="15"/>
  <c r="V30" i="15" s="1"/>
  <c r="R30" i="15"/>
  <c r="N30" i="15"/>
  <c r="H30" i="15"/>
  <c r="I30" i="15" s="1"/>
  <c r="D30" i="15"/>
  <c r="C30" i="15"/>
  <c r="Z29" i="15"/>
  <c r="T29" i="15"/>
  <c r="V29" i="15" s="1"/>
  <c r="R29" i="15"/>
  <c r="N29" i="15"/>
  <c r="H29" i="15"/>
  <c r="I29" i="15" s="1"/>
  <c r="D29" i="15"/>
  <c r="O29" i="15" s="1"/>
  <c r="C29" i="15"/>
  <c r="Z28" i="15"/>
  <c r="T28" i="15"/>
  <c r="V28" i="15" s="1"/>
  <c r="R28" i="15"/>
  <c r="N28" i="15"/>
  <c r="H28" i="15"/>
  <c r="I28" i="15" s="1"/>
  <c r="D28" i="15"/>
  <c r="C28" i="15"/>
  <c r="Z27" i="15"/>
  <c r="AA27" i="15" s="1"/>
  <c r="T27" i="15"/>
  <c r="V27" i="15" s="1"/>
  <c r="R27" i="15"/>
  <c r="N27" i="15"/>
  <c r="I27" i="15"/>
  <c r="H27" i="15"/>
  <c r="D27" i="15"/>
  <c r="C27" i="15"/>
  <c r="Z26" i="15"/>
  <c r="T26" i="15"/>
  <c r="V26" i="15" s="1"/>
  <c r="R26" i="15"/>
  <c r="N26" i="15"/>
  <c r="I26" i="15"/>
  <c r="H26" i="15"/>
  <c r="D26" i="15"/>
  <c r="C26" i="15"/>
  <c r="Z25" i="15"/>
  <c r="T25" i="15"/>
  <c r="V25" i="15" s="1"/>
  <c r="R25" i="15"/>
  <c r="N25" i="15"/>
  <c r="H25" i="15"/>
  <c r="I25" i="15" s="1"/>
  <c r="D25" i="15"/>
  <c r="O25" i="15" s="1"/>
  <c r="C25" i="15"/>
  <c r="Z24" i="15"/>
  <c r="AA24" i="15" s="1"/>
  <c r="T24" i="15"/>
  <c r="V24" i="15" s="1"/>
  <c r="R24" i="15"/>
  <c r="N24" i="15"/>
  <c r="H24" i="15"/>
  <c r="I24" i="15" s="1"/>
  <c r="D24" i="15"/>
  <c r="C24" i="15"/>
  <c r="Z23" i="15"/>
  <c r="T23" i="15"/>
  <c r="V23" i="15" s="1"/>
  <c r="R23" i="15"/>
  <c r="N23" i="15"/>
  <c r="H23" i="15"/>
  <c r="I23" i="15" s="1"/>
  <c r="D23" i="15"/>
  <c r="C23" i="15"/>
  <c r="Z22" i="15"/>
  <c r="T22" i="15"/>
  <c r="V22" i="15" s="1"/>
  <c r="R22" i="15"/>
  <c r="N22" i="15"/>
  <c r="H22" i="15"/>
  <c r="I22" i="15" s="1"/>
  <c r="D22" i="15"/>
  <c r="O22" i="15" s="1"/>
  <c r="C22" i="15"/>
  <c r="Z21" i="15"/>
  <c r="AA21" i="15" s="1"/>
  <c r="T21" i="15"/>
  <c r="V21" i="15" s="1"/>
  <c r="R21" i="15"/>
  <c r="N21" i="15"/>
  <c r="O21" i="15" s="1"/>
  <c r="H21" i="15"/>
  <c r="I21" i="15" s="1"/>
  <c r="D21" i="15"/>
  <c r="C21" i="15"/>
  <c r="Z20" i="15"/>
  <c r="T20" i="15"/>
  <c r="V20" i="15" s="1"/>
  <c r="R20" i="15"/>
  <c r="N20" i="15"/>
  <c r="H20" i="15"/>
  <c r="I20" i="15" s="1"/>
  <c r="D20" i="15"/>
  <c r="O20" i="15" s="1"/>
  <c r="C20" i="15"/>
  <c r="Z19" i="15"/>
  <c r="AA19" i="15" s="1"/>
  <c r="T19" i="15"/>
  <c r="V19" i="15" s="1"/>
  <c r="R19" i="15"/>
  <c r="N19" i="15"/>
  <c r="H19" i="15"/>
  <c r="I19" i="15" s="1"/>
  <c r="D19" i="15"/>
  <c r="O19" i="15" s="1"/>
  <c r="C19" i="15"/>
  <c r="Z18" i="15"/>
  <c r="AA18" i="15" s="1"/>
  <c r="T18" i="15"/>
  <c r="V18" i="15" s="1"/>
  <c r="R18" i="15"/>
  <c r="N18" i="15"/>
  <c r="O18" i="15" s="1"/>
  <c r="H18" i="15"/>
  <c r="I18" i="15" s="1"/>
  <c r="D18" i="15"/>
  <c r="C18" i="15"/>
  <c r="Z17" i="15"/>
  <c r="AA17" i="15" s="1"/>
  <c r="T17" i="15"/>
  <c r="V17" i="15" s="1"/>
  <c r="R17" i="15"/>
  <c r="N17" i="15"/>
  <c r="H17" i="15"/>
  <c r="I17" i="15" s="1"/>
  <c r="D17" i="15"/>
  <c r="C17" i="15"/>
  <c r="Z16" i="15"/>
  <c r="AA16" i="15" s="1"/>
  <c r="T16" i="15"/>
  <c r="V16" i="15" s="1"/>
  <c r="R16" i="15"/>
  <c r="N16" i="15"/>
  <c r="H16" i="15"/>
  <c r="I16" i="15" s="1"/>
  <c r="D16" i="15"/>
  <c r="O16" i="15" s="1"/>
  <c r="C16" i="15"/>
  <c r="Z15" i="15"/>
  <c r="AA15" i="15" s="1"/>
  <c r="T15" i="15"/>
  <c r="V15" i="15" s="1"/>
  <c r="R15" i="15"/>
  <c r="N15" i="15"/>
  <c r="I15" i="15"/>
  <c r="D15" i="15"/>
  <c r="O15" i="15" s="1"/>
  <c r="C15" i="15"/>
  <c r="Z14" i="15"/>
  <c r="AA14" i="15" s="1"/>
  <c r="T14" i="15"/>
  <c r="V14" i="15" s="1"/>
  <c r="R14" i="15"/>
  <c r="N14" i="15"/>
  <c r="I14" i="15"/>
  <c r="D14" i="15"/>
  <c r="C14" i="15"/>
  <c r="Z13" i="15"/>
  <c r="AA13" i="15" s="1"/>
  <c r="T13" i="15"/>
  <c r="V13" i="15" s="1"/>
  <c r="R13" i="15"/>
  <c r="N13" i="15"/>
  <c r="I13" i="15"/>
  <c r="D13" i="15"/>
  <c r="O13" i="15" s="1"/>
  <c r="C13" i="15"/>
  <c r="Z12" i="15"/>
  <c r="T12" i="15"/>
  <c r="V12" i="15" s="1"/>
  <c r="R12" i="15"/>
  <c r="N12" i="15"/>
  <c r="I12" i="15"/>
  <c r="D12" i="15"/>
  <c r="O12" i="15" s="1"/>
  <c r="C12" i="15"/>
  <c r="Z11" i="15"/>
  <c r="AA11" i="15" s="1"/>
  <c r="T11" i="15"/>
  <c r="V11" i="15" s="1"/>
  <c r="R11" i="15"/>
  <c r="N11" i="15"/>
  <c r="I11" i="15"/>
  <c r="D11" i="15"/>
  <c r="C11" i="15"/>
  <c r="Z10" i="15"/>
  <c r="T10" i="15"/>
  <c r="V10" i="15" s="1"/>
  <c r="R10" i="15"/>
  <c r="O10" i="15"/>
  <c r="N10" i="15"/>
  <c r="I10" i="15"/>
  <c r="D10" i="15"/>
  <c r="C10" i="15"/>
  <c r="Z9" i="15"/>
  <c r="T9" i="15"/>
  <c r="V9" i="15" s="1"/>
  <c r="R9" i="15"/>
  <c r="N9" i="15"/>
  <c r="I9" i="15"/>
  <c r="D9" i="15"/>
  <c r="O9" i="15" s="1"/>
  <c r="C9" i="15"/>
  <c r="AA8" i="15"/>
  <c r="Z8" i="15"/>
  <c r="T8" i="15"/>
  <c r="V8" i="15" s="1"/>
  <c r="R8" i="15"/>
  <c r="N8" i="15"/>
  <c r="I8" i="15"/>
  <c r="D8" i="15"/>
  <c r="C8" i="15"/>
  <c r="Z7" i="15"/>
  <c r="AA7" i="15" s="1"/>
  <c r="T7" i="15"/>
  <c r="V7" i="15" s="1"/>
  <c r="R7" i="15"/>
  <c r="N7" i="15"/>
  <c r="I7" i="15"/>
  <c r="D7" i="15"/>
  <c r="C7" i="15"/>
  <c r="Z6" i="15"/>
  <c r="T6" i="15"/>
  <c r="V6" i="15" s="1"/>
  <c r="R6" i="15"/>
  <c r="N6" i="15"/>
  <c r="I6" i="15"/>
  <c r="D6" i="15"/>
  <c r="C6" i="15"/>
  <c r="Z5" i="15"/>
  <c r="AA5" i="15" s="1"/>
  <c r="T5" i="15"/>
  <c r="V5" i="15" s="1"/>
  <c r="R5" i="15"/>
  <c r="O5" i="15"/>
  <c r="N5" i="15"/>
  <c r="I5" i="15"/>
  <c r="D5" i="15"/>
  <c r="C5" i="15"/>
  <c r="Z4" i="15"/>
  <c r="AA4" i="15" s="1"/>
  <c r="T4" i="15"/>
  <c r="V4" i="15" s="1"/>
  <c r="R4" i="15"/>
  <c r="N4" i="15"/>
  <c r="I4" i="15"/>
  <c r="D4" i="15"/>
  <c r="O4" i="15" s="1"/>
  <c r="C4" i="15"/>
  <c r="Z3" i="15"/>
  <c r="T3" i="15"/>
  <c r="V3" i="15" s="1"/>
  <c r="R3" i="15"/>
  <c r="N3" i="15"/>
  <c r="I3" i="15"/>
  <c r="D3" i="15"/>
  <c r="C3" i="15"/>
  <c r="D42" i="14"/>
  <c r="C42" i="14"/>
  <c r="Z41" i="14"/>
  <c r="T41" i="14"/>
  <c r="V41" i="14" s="1"/>
  <c r="R41" i="14"/>
  <c r="N41" i="14"/>
  <c r="H41" i="14"/>
  <c r="I41" i="14" s="1"/>
  <c r="D41" i="14"/>
  <c r="O41" i="14" s="1"/>
  <c r="C41" i="14"/>
  <c r="Z40" i="14"/>
  <c r="T40" i="14"/>
  <c r="V40" i="14" s="1"/>
  <c r="R40" i="14"/>
  <c r="N40" i="14"/>
  <c r="H40" i="14"/>
  <c r="I40" i="14" s="1"/>
  <c r="D40" i="14"/>
  <c r="C40" i="14"/>
  <c r="Z39" i="14"/>
  <c r="T39" i="14"/>
  <c r="V39" i="14" s="1"/>
  <c r="R39" i="14"/>
  <c r="N39" i="14"/>
  <c r="H39" i="14"/>
  <c r="I39" i="14" s="1"/>
  <c r="D39" i="14"/>
  <c r="O39" i="14" s="1"/>
  <c r="C39" i="14"/>
  <c r="Z38" i="14"/>
  <c r="T38" i="14"/>
  <c r="V38" i="14" s="1"/>
  <c r="R38" i="14"/>
  <c r="N38" i="14"/>
  <c r="H38" i="14"/>
  <c r="I38" i="14" s="1"/>
  <c r="D38" i="14"/>
  <c r="O38" i="14" s="1"/>
  <c r="C38" i="14"/>
  <c r="Z37" i="14"/>
  <c r="T37" i="14"/>
  <c r="V37" i="14" s="1"/>
  <c r="R37" i="14"/>
  <c r="N37" i="14"/>
  <c r="H37" i="14"/>
  <c r="I37" i="14" s="1"/>
  <c r="D37" i="14"/>
  <c r="O37" i="14" s="1"/>
  <c r="C37" i="14"/>
  <c r="Z36" i="14"/>
  <c r="AA36" i="14" s="1"/>
  <c r="T36" i="14"/>
  <c r="V36" i="14" s="1"/>
  <c r="R36" i="14"/>
  <c r="O36" i="14"/>
  <c r="N36" i="14"/>
  <c r="H36" i="14"/>
  <c r="I36" i="14" s="1"/>
  <c r="D36" i="14"/>
  <c r="C36" i="14"/>
  <c r="Z35" i="14"/>
  <c r="T35" i="14"/>
  <c r="V35" i="14" s="1"/>
  <c r="R35" i="14"/>
  <c r="N35" i="14"/>
  <c r="O35" i="14" s="1"/>
  <c r="H35" i="14"/>
  <c r="I35" i="14" s="1"/>
  <c r="D35" i="14"/>
  <c r="C35" i="14"/>
  <c r="Z34" i="14"/>
  <c r="T34" i="14"/>
  <c r="V34" i="14" s="1"/>
  <c r="R34" i="14"/>
  <c r="N34" i="14"/>
  <c r="H34" i="14"/>
  <c r="I34" i="14" s="1"/>
  <c r="D34" i="14"/>
  <c r="C34" i="14"/>
  <c r="Z33" i="14"/>
  <c r="T33" i="14"/>
  <c r="V33" i="14" s="1"/>
  <c r="R33" i="14"/>
  <c r="N33" i="14"/>
  <c r="I33" i="14"/>
  <c r="H33" i="14"/>
  <c r="D33" i="14"/>
  <c r="C33" i="14"/>
  <c r="Z32" i="14"/>
  <c r="T32" i="14"/>
  <c r="V32" i="14" s="1"/>
  <c r="R32" i="14"/>
  <c r="N32" i="14"/>
  <c r="O32" i="14" s="1"/>
  <c r="H32" i="14"/>
  <c r="I32" i="14" s="1"/>
  <c r="D32" i="14"/>
  <c r="C32" i="14"/>
  <c r="Z31" i="14"/>
  <c r="AA31" i="14" s="1"/>
  <c r="T31" i="14"/>
  <c r="V31" i="14" s="1"/>
  <c r="R31" i="14"/>
  <c r="N31" i="14"/>
  <c r="H31" i="14"/>
  <c r="I31" i="14" s="1"/>
  <c r="D31" i="14"/>
  <c r="C31" i="14"/>
  <c r="Z30" i="14"/>
  <c r="AA30" i="14" s="1"/>
  <c r="T30" i="14"/>
  <c r="V30" i="14" s="1"/>
  <c r="R30" i="14"/>
  <c r="N30" i="14"/>
  <c r="H30" i="14"/>
  <c r="I30" i="14" s="1"/>
  <c r="D30" i="14"/>
  <c r="C30" i="14"/>
  <c r="Z29" i="14"/>
  <c r="T29" i="14"/>
  <c r="V29" i="14" s="1"/>
  <c r="R29" i="14"/>
  <c r="N29" i="14"/>
  <c r="H29" i="14"/>
  <c r="I29" i="14" s="1"/>
  <c r="D29" i="14"/>
  <c r="O29" i="14" s="1"/>
  <c r="C29" i="14"/>
  <c r="Z28" i="14"/>
  <c r="T28" i="14"/>
  <c r="V28" i="14" s="1"/>
  <c r="R28" i="14"/>
  <c r="N28" i="14"/>
  <c r="H28" i="14"/>
  <c r="I28" i="14" s="1"/>
  <c r="D28" i="14"/>
  <c r="C28" i="14"/>
  <c r="Z27" i="14"/>
  <c r="AA27" i="14" s="1"/>
  <c r="T27" i="14"/>
  <c r="V27" i="14" s="1"/>
  <c r="R27" i="14"/>
  <c r="N27" i="14"/>
  <c r="H27" i="14"/>
  <c r="I27" i="14" s="1"/>
  <c r="D27" i="14"/>
  <c r="O27" i="14" s="1"/>
  <c r="C27" i="14"/>
  <c r="Z26" i="14"/>
  <c r="T26" i="14"/>
  <c r="V26" i="14" s="1"/>
  <c r="R26" i="14"/>
  <c r="N26" i="14"/>
  <c r="H26" i="14"/>
  <c r="I26" i="14" s="1"/>
  <c r="D26" i="14"/>
  <c r="C26" i="14"/>
  <c r="Z25" i="14"/>
  <c r="T25" i="14"/>
  <c r="V25" i="14" s="1"/>
  <c r="R25" i="14"/>
  <c r="N25" i="14"/>
  <c r="H25" i="14"/>
  <c r="I25" i="14" s="1"/>
  <c r="D25" i="14"/>
  <c r="O25" i="14" s="1"/>
  <c r="C25" i="14"/>
  <c r="Z24" i="14"/>
  <c r="AA24" i="14" s="1"/>
  <c r="T24" i="14"/>
  <c r="V24" i="14" s="1"/>
  <c r="R24" i="14"/>
  <c r="N24" i="14"/>
  <c r="O24" i="14" s="1"/>
  <c r="H24" i="14"/>
  <c r="I24" i="14" s="1"/>
  <c r="D24" i="14"/>
  <c r="C24" i="14"/>
  <c r="Z23" i="14"/>
  <c r="T23" i="14"/>
  <c r="V23" i="14" s="1"/>
  <c r="R23" i="14"/>
  <c r="N23" i="14"/>
  <c r="O23" i="14" s="1"/>
  <c r="H23" i="14"/>
  <c r="I23" i="14" s="1"/>
  <c r="D23" i="14"/>
  <c r="C23" i="14"/>
  <c r="Z22" i="14"/>
  <c r="T22" i="14"/>
  <c r="V22" i="14" s="1"/>
  <c r="R22" i="14"/>
  <c r="N22" i="14"/>
  <c r="H22" i="14"/>
  <c r="I22" i="14" s="1"/>
  <c r="D22" i="14"/>
  <c r="O22" i="14" s="1"/>
  <c r="C22" i="14"/>
  <c r="Z21" i="14"/>
  <c r="AA21" i="14" s="1"/>
  <c r="T21" i="14"/>
  <c r="V21" i="14" s="1"/>
  <c r="R21" i="14"/>
  <c r="N21" i="14"/>
  <c r="H21" i="14"/>
  <c r="I21" i="14" s="1"/>
  <c r="D21" i="14"/>
  <c r="C21" i="14"/>
  <c r="Z20" i="14"/>
  <c r="T20" i="14"/>
  <c r="V20" i="14" s="1"/>
  <c r="R20" i="14"/>
  <c r="N20" i="14"/>
  <c r="H20" i="14"/>
  <c r="I20" i="14" s="1"/>
  <c r="D20" i="14"/>
  <c r="O20" i="14" s="1"/>
  <c r="C20" i="14"/>
  <c r="Z19" i="14"/>
  <c r="AA19" i="14" s="1"/>
  <c r="V19" i="14"/>
  <c r="T19" i="14"/>
  <c r="R19" i="14"/>
  <c r="N19" i="14"/>
  <c r="H19" i="14"/>
  <c r="I19" i="14" s="1"/>
  <c r="D19" i="14"/>
  <c r="C19" i="14"/>
  <c r="Z18" i="14"/>
  <c r="AA18" i="14" s="1"/>
  <c r="V18" i="14"/>
  <c r="T18" i="14"/>
  <c r="R18" i="14"/>
  <c r="N18" i="14"/>
  <c r="O18" i="14" s="1"/>
  <c r="I18" i="14"/>
  <c r="H18" i="14"/>
  <c r="D18" i="14"/>
  <c r="C18" i="14"/>
  <c r="AA17" i="14"/>
  <c r="Z17" i="14"/>
  <c r="T17" i="14"/>
  <c r="V17" i="14" s="1"/>
  <c r="R17" i="14"/>
  <c r="N17" i="14"/>
  <c r="O17" i="14" s="1"/>
  <c r="H17" i="14"/>
  <c r="I17" i="14" s="1"/>
  <c r="D17" i="14"/>
  <c r="C17" i="14"/>
  <c r="Z16" i="14"/>
  <c r="AA16" i="14" s="1"/>
  <c r="T16" i="14"/>
  <c r="V16" i="14" s="1"/>
  <c r="R16" i="14"/>
  <c r="N16" i="14"/>
  <c r="H16" i="14"/>
  <c r="I16" i="14" s="1"/>
  <c r="D16" i="14"/>
  <c r="O16" i="14" s="1"/>
  <c r="C16" i="14"/>
  <c r="Z15" i="14"/>
  <c r="AA15" i="14" s="1"/>
  <c r="T15" i="14"/>
  <c r="V15" i="14" s="1"/>
  <c r="R15" i="14"/>
  <c r="N15" i="14"/>
  <c r="I15" i="14"/>
  <c r="D15" i="14"/>
  <c r="C15" i="14"/>
  <c r="AA14" i="14"/>
  <c r="Z14" i="14"/>
  <c r="T14" i="14"/>
  <c r="V14" i="14" s="1"/>
  <c r="R14" i="14"/>
  <c r="N14" i="14"/>
  <c r="I14" i="14"/>
  <c r="D14" i="14"/>
  <c r="C14" i="14"/>
  <c r="Z13" i="14"/>
  <c r="AA13" i="14" s="1"/>
  <c r="T13" i="14"/>
  <c r="V13" i="14" s="1"/>
  <c r="R13" i="14"/>
  <c r="N13" i="14"/>
  <c r="O13" i="14" s="1"/>
  <c r="I13" i="14"/>
  <c r="D13" i="14"/>
  <c r="C13" i="14"/>
  <c r="Z12" i="14"/>
  <c r="T12" i="14"/>
  <c r="V12" i="14" s="1"/>
  <c r="R12" i="14"/>
  <c r="N12" i="14"/>
  <c r="I12" i="14"/>
  <c r="D12" i="14"/>
  <c r="C12" i="14"/>
  <c r="Z11" i="14"/>
  <c r="AA11" i="14" s="1"/>
  <c r="T11" i="14"/>
  <c r="V11" i="14" s="1"/>
  <c r="R11" i="14"/>
  <c r="N11" i="14"/>
  <c r="I11" i="14"/>
  <c r="D11" i="14"/>
  <c r="C11" i="14"/>
  <c r="Z10" i="14"/>
  <c r="T10" i="14"/>
  <c r="V10" i="14" s="1"/>
  <c r="R10" i="14"/>
  <c r="N10" i="14"/>
  <c r="O10" i="14" s="1"/>
  <c r="I10" i="14"/>
  <c r="D10" i="14"/>
  <c r="C10" i="14"/>
  <c r="Z9" i="14"/>
  <c r="T9" i="14"/>
  <c r="V9" i="14" s="1"/>
  <c r="R9" i="14"/>
  <c r="N9" i="14"/>
  <c r="I9" i="14"/>
  <c r="D9" i="14"/>
  <c r="O9" i="14" s="1"/>
  <c r="C9" i="14"/>
  <c r="Z8" i="14"/>
  <c r="AA8" i="14" s="1"/>
  <c r="T8" i="14"/>
  <c r="V8" i="14" s="1"/>
  <c r="R8" i="14"/>
  <c r="O8" i="14"/>
  <c r="N8" i="14"/>
  <c r="I8" i="14"/>
  <c r="D8" i="14"/>
  <c r="C8" i="14"/>
  <c r="Z7" i="14"/>
  <c r="AA7" i="14" s="1"/>
  <c r="T7" i="14"/>
  <c r="V7" i="14" s="1"/>
  <c r="R7" i="14"/>
  <c r="N7" i="14"/>
  <c r="I7" i="14"/>
  <c r="D7" i="14"/>
  <c r="O7" i="14" s="1"/>
  <c r="C7" i="14"/>
  <c r="Z6" i="14"/>
  <c r="T6" i="14"/>
  <c r="V6" i="14" s="1"/>
  <c r="R6" i="14"/>
  <c r="N6" i="14"/>
  <c r="I6" i="14"/>
  <c r="D6" i="14"/>
  <c r="C6" i="14"/>
  <c r="AA5" i="14"/>
  <c r="Z5" i="14"/>
  <c r="T5" i="14"/>
  <c r="V5" i="14" s="1"/>
  <c r="R5" i="14"/>
  <c r="N5" i="14"/>
  <c r="I5" i="14"/>
  <c r="D5" i="14"/>
  <c r="O5" i="14" s="1"/>
  <c r="C5" i="14"/>
  <c r="Z4" i="14"/>
  <c r="AA4" i="14" s="1"/>
  <c r="T4" i="14"/>
  <c r="V4" i="14" s="1"/>
  <c r="R4" i="14"/>
  <c r="N4" i="14"/>
  <c r="I4" i="14"/>
  <c r="D4" i="14"/>
  <c r="C4" i="14"/>
  <c r="Z3" i="14"/>
  <c r="T3" i="14"/>
  <c r="V3" i="14" s="1"/>
  <c r="R3" i="14"/>
  <c r="O3" i="14"/>
  <c r="N3" i="14"/>
  <c r="I3" i="14"/>
  <c r="D3" i="14"/>
  <c r="C3" i="14"/>
  <c r="D42" i="13"/>
  <c r="C42" i="13"/>
  <c r="Z41" i="13"/>
  <c r="V41" i="13"/>
  <c r="T41" i="13"/>
  <c r="R41" i="13"/>
  <c r="N41" i="13"/>
  <c r="O41" i="13" s="1"/>
  <c r="I41" i="13"/>
  <c r="H41" i="13"/>
  <c r="D41" i="13"/>
  <c r="C41" i="13"/>
  <c r="Z40" i="13"/>
  <c r="T40" i="13"/>
  <c r="V40" i="13" s="1"/>
  <c r="R40" i="13"/>
  <c r="N40" i="13"/>
  <c r="O40" i="13" s="1"/>
  <c r="H40" i="13"/>
  <c r="I40" i="13" s="1"/>
  <c r="D40" i="13"/>
  <c r="C40" i="13"/>
  <c r="Z39" i="13"/>
  <c r="T39" i="13"/>
  <c r="V39" i="13" s="1"/>
  <c r="R39" i="13"/>
  <c r="N39" i="13"/>
  <c r="O39" i="13" s="1"/>
  <c r="I39" i="13"/>
  <c r="H39" i="13"/>
  <c r="D39" i="13"/>
  <c r="C39" i="13"/>
  <c r="Z38" i="13"/>
  <c r="T38" i="13"/>
  <c r="V38" i="13" s="1"/>
  <c r="R38" i="13"/>
  <c r="N38" i="13"/>
  <c r="H38" i="13"/>
  <c r="I38" i="13" s="1"/>
  <c r="D38" i="13"/>
  <c r="C38" i="13"/>
  <c r="Z37" i="13"/>
  <c r="T37" i="13"/>
  <c r="V37" i="13" s="1"/>
  <c r="R37" i="13"/>
  <c r="N37" i="13"/>
  <c r="H37" i="13"/>
  <c r="I37" i="13" s="1"/>
  <c r="D37" i="13"/>
  <c r="C37" i="13"/>
  <c r="Z36" i="13"/>
  <c r="AA36" i="13" s="1"/>
  <c r="T36" i="13"/>
  <c r="V36" i="13" s="1"/>
  <c r="R36" i="13"/>
  <c r="N36" i="13"/>
  <c r="I36" i="13"/>
  <c r="H36" i="13"/>
  <c r="D36" i="13"/>
  <c r="C36" i="13"/>
  <c r="Z35" i="13"/>
  <c r="T35" i="13"/>
  <c r="V35" i="13" s="1"/>
  <c r="R35" i="13"/>
  <c r="N35" i="13"/>
  <c r="H35" i="13"/>
  <c r="I35" i="13" s="1"/>
  <c r="D35" i="13"/>
  <c r="C35" i="13"/>
  <c r="Z34" i="13"/>
  <c r="T34" i="13"/>
  <c r="V34" i="13" s="1"/>
  <c r="R34" i="13"/>
  <c r="N34" i="13"/>
  <c r="H34" i="13"/>
  <c r="I34" i="13" s="1"/>
  <c r="D34" i="13"/>
  <c r="C34" i="13"/>
  <c r="Z33" i="13"/>
  <c r="T33" i="13"/>
  <c r="V33" i="13" s="1"/>
  <c r="R33" i="13"/>
  <c r="N33" i="13"/>
  <c r="O33" i="13" s="1"/>
  <c r="H33" i="13"/>
  <c r="I33" i="13" s="1"/>
  <c r="D33" i="13"/>
  <c r="C33" i="13"/>
  <c r="Z32" i="13"/>
  <c r="T32" i="13"/>
  <c r="V32" i="13" s="1"/>
  <c r="R32" i="13"/>
  <c r="N32" i="13"/>
  <c r="H32" i="13"/>
  <c r="I32" i="13" s="1"/>
  <c r="D32" i="13"/>
  <c r="C32" i="13"/>
  <c r="Z31" i="13"/>
  <c r="AA31" i="13" s="1"/>
  <c r="T31" i="13"/>
  <c r="V31" i="13" s="1"/>
  <c r="R31" i="13"/>
  <c r="N31" i="13"/>
  <c r="H31" i="13"/>
  <c r="I31" i="13" s="1"/>
  <c r="D31" i="13"/>
  <c r="O31" i="13" s="1"/>
  <c r="C31" i="13"/>
  <c r="Z30" i="13"/>
  <c r="AA30" i="13" s="1"/>
  <c r="T30" i="13"/>
  <c r="V30" i="13" s="1"/>
  <c r="R30" i="13"/>
  <c r="N30" i="13"/>
  <c r="H30" i="13"/>
  <c r="I30" i="13" s="1"/>
  <c r="D30" i="13"/>
  <c r="C30" i="13"/>
  <c r="Z29" i="13"/>
  <c r="T29" i="13"/>
  <c r="V29" i="13" s="1"/>
  <c r="R29" i="13"/>
  <c r="N29" i="13"/>
  <c r="H29" i="13"/>
  <c r="I29" i="13" s="1"/>
  <c r="D29" i="13"/>
  <c r="C29" i="13"/>
  <c r="Z28" i="13"/>
  <c r="T28" i="13"/>
  <c r="V28" i="13" s="1"/>
  <c r="R28" i="13"/>
  <c r="N28" i="13"/>
  <c r="H28" i="13"/>
  <c r="I28" i="13" s="1"/>
  <c r="D28" i="13"/>
  <c r="C28" i="13"/>
  <c r="Z27" i="13"/>
  <c r="AA27" i="13" s="1"/>
  <c r="T27" i="13"/>
  <c r="V27" i="13" s="1"/>
  <c r="R27" i="13"/>
  <c r="N27" i="13"/>
  <c r="H27" i="13"/>
  <c r="I27" i="13" s="1"/>
  <c r="D27" i="13"/>
  <c r="C27" i="13"/>
  <c r="Z26" i="13"/>
  <c r="T26" i="13"/>
  <c r="V26" i="13" s="1"/>
  <c r="R26" i="13"/>
  <c r="N26" i="13"/>
  <c r="H26" i="13"/>
  <c r="I26" i="13" s="1"/>
  <c r="D26" i="13"/>
  <c r="O26" i="13" s="1"/>
  <c r="C26" i="13"/>
  <c r="Z25" i="13"/>
  <c r="T25" i="13"/>
  <c r="V25" i="13" s="1"/>
  <c r="R25" i="13"/>
  <c r="N25" i="13"/>
  <c r="O25" i="13" s="1"/>
  <c r="H25" i="13"/>
  <c r="I25" i="13" s="1"/>
  <c r="D25" i="13"/>
  <c r="C25" i="13"/>
  <c r="Z24" i="13"/>
  <c r="AA24" i="13" s="1"/>
  <c r="T24" i="13"/>
  <c r="V24" i="13" s="1"/>
  <c r="R24" i="13"/>
  <c r="N24" i="13"/>
  <c r="H24" i="13"/>
  <c r="I24" i="13" s="1"/>
  <c r="D24" i="13"/>
  <c r="O24" i="13" s="1"/>
  <c r="C24" i="13"/>
  <c r="Z23" i="13"/>
  <c r="T23" i="13"/>
  <c r="V23" i="13" s="1"/>
  <c r="R23" i="13"/>
  <c r="N23" i="13"/>
  <c r="H23" i="13"/>
  <c r="I23" i="13" s="1"/>
  <c r="D23" i="13"/>
  <c r="O23" i="13" s="1"/>
  <c r="C23" i="13"/>
  <c r="Z22" i="13"/>
  <c r="T22" i="13"/>
  <c r="V22" i="13" s="1"/>
  <c r="R22" i="13"/>
  <c r="N22" i="13"/>
  <c r="H22" i="13"/>
  <c r="I22" i="13" s="1"/>
  <c r="D22" i="13"/>
  <c r="O22" i="13" s="1"/>
  <c r="C22" i="13"/>
  <c r="Z21" i="13"/>
  <c r="AA21" i="13" s="1"/>
  <c r="T21" i="13"/>
  <c r="V21" i="13" s="1"/>
  <c r="R21" i="13"/>
  <c r="O21" i="13"/>
  <c r="N21" i="13"/>
  <c r="H21" i="13"/>
  <c r="I21" i="13" s="1"/>
  <c r="D21" i="13"/>
  <c r="C21" i="13"/>
  <c r="Z20" i="13"/>
  <c r="T20" i="13"/>
  <c r="V20" i="13" s="1"/>
  <c r="R20" i="13"/>
  <c r="N20" i="13"/>
  <c r="H20" i="13"/>
  <c r="I20" i="13" s="1"/>
  <c r="D20" i="13"/>
  <c r="C20" i="13"/>
  <c r="Z19" i="13"/>
  <c r="AA19" i="13" s="1"/>
  <c r="T19" i="13"/>
  <c r="V19" i="13" s="1"/>
  <c r="R19" i="13"/>
  <c r="N19" i="13"/>
  <c r="H19" i="13"/>
  <c r="I19" i="13" s="1"/>
  <c r="D19" i="13"/>
  <c r="O19" i="13" s="1"/>
  <c r="C19" i="13"/>
  <c r="Z18" i="13"/>
  <c r="AA18" i="13" s="1"/>
  <c r="T18" i="13"/>
  <c r="V18" i="13" s="1"/>
  <c r="R18" i="13"/>
  <c r="N18" i="13"/>
  <c r="H18" i="13"/>
  <c r="I18" i="13" s="1"/>
  <c r="D18" i="13"/>
  <c r="C18" i="13"/>
  <c r="Z17" i="13"/>
  <c r="AA17" i="13" s="1"/>
  <c r="T17" i="13"/>
  <c r="V17" i="13" s="1"/>
  <c r="R17" i="13"/>
  <c r="N17" i="13"/>
  <c r="H17" i="13"/>
  <c r="I17" i="13" s="1"/>
  <c r="D17" i="13"/>
  <c r="O17" i="13" s="1"/>
  <c r="C17" i="13"/>
  <c r="Z16" i="13"/>
  <c r="AA16" i="13" s="1"/>
  <c r="V16" i="13"/>
  <c r="T16" i="13"/>
  <c r="R16" i="13"/>
  <c r="N16" i="13"/>
  <c r="O16" i="13" s="1"/>
  <c r="I16" i="13"/>
  <c r="H16" i="13"/>
  <c r="D16" i="13"/>
  <c r="C16" i="13"/>
  <c r="AA15" i="13"/>
  <c r="Z15" i="13"/>
  <c r="T15" i="13"/>
  <c r="V15" i="13" s="1"/>
  <c r="R15" i="13"/>
  <c r="N15" i="13"/>
  <c r="I15" i="13"/>
  <c r="D15" i="13"/>
  <c r="C15" i="13"/>
  <c r="Z14" i="13"/>
  <c r="AA14" i="13" s="1"/>
  <c r="T14" i="13"/>
  <c r="V14" i="13" s="1"/>
  <c r="R14" i="13"/>
  <c r="N14" i="13"/>
  <c r="O14" i="13" s="1"/>
  <c r="I14" i="13"/>
  <c r="D14" i="13"/>
  <c r="C14" i="13"/>
  <c r="AA13" i="13"/>
  <c r="Z13" i="13"/>
  <c r="T13" i="13"/>
  <c r="V13" i="13" s="1"/>
  <c r="R13" i="13"/>
  <c r="N13" i="13"/>
  <c r="I13" i="13"/>
  <c r="D13" i="13"/>
  <c r="C13" i="13"/>
  <c r="Z12" i="13"/>
  <c r="T12" i="13"/>
  <c r="V12" i="13" s="1"/>
  <c r="R12" i="13"/>
  <c r="N12" i="13"/>
  <c r="O12" i="13" s="1"/>
  <c r="I12" i="13"/>
  <c r="D12" i="13"/>
  <c r="C12" i="13"/>
  <c r="Z11" i="13"/>
  <c r="AA11" i="13" s="1"/>
  <c r="T11" i="13"/>
  <c r="V11" i="13" s="1"/>
  <c r="R11" i="13"/>
  <c r="N11" i="13"/>
  <c r="I11" i="13"/>
  <c r="D11" i="13"/>
  <c r="C11" i="13"/>
  <c r="Z10" i="13"/>
  <c r="T10" i="13"/>
  <c r="V10" i="13" s="1"/>
  <c r="R10" i="13"/>
  <c r="N10" i="13"/>
  <c r="I10" i="13"/>
  <c r="D10" i="13"/>
  <c r="O10" i="13" s="1"/>
  <c r="C10" i="13"/>
  <c r="Z9" i="13"/>
  <c r="T9" i="13"/>
  <c r="V9" i="13" s="1"/>
  <c r="R9" i="13"/>
  <c r="N9" i="13"/>
  <c r="I9" i="13"/>
  <c r="D9" i="13"/>
  <c r="C9" i="13"/>
  <c r="Z8" i="13"/>
  <c r="AA8" i="13" s="1"/>
  <c r="T8" i="13"/>
  <c r="V8" i="13" s="1"/>
  <c r="R8" i="13"/>
  <c r="N8" i="13"/>
  <c r="O8" i="13" s="1"/>
  <c r="I8" i="13"/>
  <c r="D8" i="13"/>
  <c r="C8" i="13"/>
  <c r="Z7" i="13"/>
  <c r="AA7" i="13" s="1"/>
  <c r="T7" i="13"/>
  <c r="V7" i="13" s="1"/>
  <c r="R7" i="13"/>
  <c r="N7" i="13"/>
  <c r="I7" i="13"/>
  <c r="D7" i="13"/>
  <c r="C7" i="13"/>
  <c r="Z6" i="13"/>
  <c r="T6" i="13"/>
  <c r="V6" i="13" s="1"/>
  <c r="R6" i="13"/>
  <c r="N6" i="13"/>
  <c r="I6" i="13"/>
  <c r="D6" i="13"/>
  <c r="C6" i="13"/>
  <c r="Z5" i="13"/>
  <c r="AA5" i="13" s="1"/>
  <c r="T5" i="13"/>
  <c r="V5" i="13" s="1"/>
  <c r="R5" i="13"/>
  <c r="N5" i="13"/>
  <c r="I5" i="13"/>
  <c r="D5" i="13"/>
  <c r="O5" i="13" s="1"/>
  <c r="C5" i="13"/>
  <c r="Z4" i="13"/>
  <c r="AA4" i="13" s="1"/>
  <c r="T4" i="13"/>
  <c r="V4" i="13" s="1"/>
  <c r="R4" i="13"/>
  <c r="N4" i="13"/>
  <c r="I4" i="13"/>
  <c r="D4" i="13"/>
  <c r="C4" i="13"/>
  <c r="Z3" i="13"/>
  <c r="T3" i="13"/>
  <c r="V3" i="13" s="1"/>
  <c r="R3" i="13"/>
  <c r="N3" i="13"/>
  <c r="I3" i="13"/>
  <c r="D3" i="13"/>
  <c r="C3" i="13"/>
  <c r="D42" i="12"/>
  <c r="C42" i="12"/>
  <c r="Z41" i="12"/>
  <c r="T41" i="12"/>
  <c r="V41" i="12" s="1"/>
  <c r="R41" i="12"/>
  <c r="N41" i="12"/>
  <c r="H41" i="12"/>
  <c r="I41" i="12" s="1"/>
  <c r="D41" i="12"/>
  <c r="C41" i="12"/>
  <c r="Z40" i="12"/>
  <c r="T40" i="12"/>
  <c r="V40" i="12" s="1"/>
  <c r="R40" i="12"/>
  <c r="N40" i="12"/>
  <c r="H40" i="12"/>
  <c r="I40" i="12" s="1"/>
  <c r="D40" i="12"/>
  <c r="O40" i="12" s="1"/>
  <c r="C40" i="12"/>
  <c r="Z39" i="12"/>
  <c r="T39" i="12"/>
  <c r="V39" i="12" s="1"/>
  <c r="R39" i="12"/>
  <c r="N39" i="12"/>
  <c r="H39" i="12"/>
  <c r="I39" i="12" s="1"/>
  <c r="D39" i="12"/>
  <c r="O39" i="12" s="1"/>
  <c r="C39" i="12"/>
  <c r="Z38" i="12"/>
  <c r="T38" i="12"/>
  <c r="V38" i="12" s="1"/>
  <c r="R38" i="12"/>
  <c r="N38" i="12"/>
  <c r="H38" i="12"/>
  <c r="I38" i="12" s="1"/>
  <c r="D38" i="12"/>
  <c r="O38" i="12" s="1"/>
  <c r="C38" i="12"/>
  <c r="Z37" i="12"/>
  <c r="T37" i="12"/>
  <c r="V37" i="12" s="1"/>
  <c r="R37" i="12"/>
  <c r="N37" i="12"/>
  <c r="H37" i="12"/>
  <c r="I37" i="12" s="1"/>
  <c r="D37" i="12"/>
  <c r="C37" i="12"/>
  <c r="Z36" i="12"/>
  <c r="AA36" i="12" s="1"/>
  <c r="T36" i="12"/>
  <c r="V36" i="12" s="1"/>
  <c r="R36" i="12"/>
  <c r="N36" i="12"/>
  <c r="H36" i="12"/>
  <c r="I36" i="12" s="1"/>
  <c r="D36" i="12"/>
  <c r="C36" i="12"/>
  <c r="Z35" i="12"/>
  <c r="T35" i="12"/>
  <c r="V35" i="12" s="1"/>
  <c r="R35" i="12"/>
  <c r="N35" i="12"/>
  <c r="H35" i="12"/>
  <c r="I35" i="12" s="1"/>
  <c r="D35" i="12"/>
  <c r="O35" i="12" s="1"/>
  <c r="C35" i="12"/>
  <c r="Z34" i="12"/>
  <c r="T34" i="12"/>
  <c r="V34" i="12" s="1"/>
  <c r="R34" i="12"/>
  <c r="N34" i="12"/>
  <c r="O34" i="12" s="1"/>
  <c r="H34" i="12"/>
  <c r="I34" i="12" s="1"/>
  <c r="D34" i="12"/>
  <c r="C34" i="12"/>
  <c r="Z33" i="12"/>
  <c r="T33" i="12"/>
  <c r="V33" i="12" s="1"/>
  <c r="R33" i="12"/>
  <c r="N33" i="12"/>
  <c r="O33" i="12" s="1"/>
  <c r="H33" i="12"/>
  <c r="I33" i="12" s="1"/>
  <c r="D33" i="12"/>
  <c r="C33" i="12"/>
  <c r="Z32" i="12"/>
  <c r="T32" i="12"/>
  <c r="V32" i="12" s="1"/>
  <c r="R32" i="12"/>
  <c r="N32" i="12"/>
  <c r="O32" i="12" s="1"/>
  <c r="H32" i="12"/>
  <c r="I32" i="12" s="1"/>
  <c r="D32" i="12"/>
  <c r="C32" i="12"/>
  <c r="Z31" i="12"/>
  <c r="AA31" i="12" s="1"/>
  <c r="T31" i="12"/>
  <c r="V31" i="12" s="1"/>
  <c r="R31" i="12"/>
  <c r="N31" i="12"/>
  <c r="H31" i="12"/>
  <c r="I31" i="12" s="1"/>
  <c r="D31" i="12"/>
  <c r="C31" i="12"/>
  <c r="Z30" i="12"/>
  <c r="AA30" i="12" s="1"/>
  <c r="T30" i="12"/>
  <c r="V30" i="12" s="1"/>
  <c r="R30" i="12"/>
  <c r="N30" i="12"/>
  <c r="H30" i="12"/>
  <c r="I30" i="12" s="1"/>
  <c r="D30" i="12"/>
  <c r="O30" i="12" s="1"/>
  <c r="C30" i="12"/>
  <c r="Z29" i="12"/>
  <c r="T29" i="12"/>
  <c r="V29" i="12" s="1"/>
  <c r="R29" i="12"/>
  <c r="N29" i="12"/>
  <c r="H29" i="12"/>
  <c r="I29" i="12" s="1"/>
  <c r="D29" i="12"/>
  <c r="C29" i="12"/>
  <c r="Z28" i="12"/>
  <c r="T28" i="12"/>
  <c r="V28" i="12" s="1"/>
  <c r="R28" i="12"/>
  <c r="N28" i="12"/>
  <c r="H28" i="12"/>
  <c r="I28" i="12" s="1"/>
  <c r="D28" i="12"/>
  <c r="O28" i="12" s="1"/>
  <c r="C28" i="12"/>
  <c r="Z27" i="12"/>
  <c r="AA27" i="12" s="1"/>
  <c r="T27" i="12"/>
  <c r="V27" i="12" s="1"/>
  <c r="R27" i="12"/>
  <c r="N27" i="12"/>
  <c r="O27" i="12" s="1"/>
  <c r="H27" i="12"/>
  <c r="I27" i="12" s="1"/>
  <c r="D27" i="12"/>
  <c r="C27" i="12"/>
  <c r="Z26" i="12"/>
  <c r="T26" i="12"/>
  <c r="V26" i="12" s="1"/>
  <c r="R26" i="12"/>
  <c r="N26" i="12"/>
  <c r="H26" i="12"/>
  <c r="I26" i="12" s="1"/>
  <c r="D26" i="12"/>
  <c r="C26" i="12"/>
  <c r="Z25" i="12"/>
  <c r="T25" i="12"/>
  <c r="V25" i="12" s="1"/>
  <c r="R25" i="12"/>
  <c r="N25" i="12"/>
  <c r="H25" i="12"/>
  <c r="I25" i="12" s="1"/>
  <c r="D25" i="12"/>
  <c r="O25" i="12" s="1"/>
  <c r="C25" i="12"/>
  <c r="Z24" i="12"/>
  <c r="AA24" i="12" s="1"/>
  <c r="T24" i="12"/>
  <c r="V24" i="12" s="1"/>
  <c r="R24" i="12"/>
  <c r="N24" i="12"/>
  <c r="H24" i="12"/>
  <c r="I24" i="12" s="1"/>
  <c r="D24" i="12"/>
  <c r="C24" i="12"/>
  <c r="Z23" i="12"/>
  <c r="T23" i="12"/>
  <c r="V23" i="12" s="1"/>
  <c r="R23" i="12"/>
  <c r="N23" i="12"/>
  <c r="H23" i="12"/>
  <c r="I23" i="12" s="1"/>
  <c r="D23" i="12"/>
  <c r="O23" i="12" s="1"/>
  <c r="C23" i="12"/>
  <c r="Z22" i="12"/>
  <c r="T22" i="12"/>
  <c r="V22" i="12" s="1"/>
  <c r="R22" i="12"/>
  <c r="N22" i="12"/>
  <c r="H22" i="12"/>
  <c r="I22" i="12" s="1"/>
  <c r="D22" i="12"/>
  <c r="C22" i="12"/>
  <c r="Z21" i="12"/>
  <c r="AA21" i="12" s="1"/>
  <c r="T21" i="12"/>
  <c r="V21" i="12" s="1"/>
  <c r="R21" i="12"/>
  <c r="N21" i="12"/>
  <c r="H21" i="12"/>
  <c r="I21" i="12" s="1"/>
  <c r="D21" i="12"/>
  <c r="C21" i="12"/>
  <c r="Z20" i="12"/>
  <c r="V20" i="12"/>
  <c r="T20" i="12"/>
  <c r="R20" i="12"/>
  <c r="N20" i="12"/>
  <c r="I20" i="12"/>
  <c r="H20" i="12"/>
  <c r="D20" i="12"/>
  <c r="C20" i="12"/>
  <c r="AA19" i="12"/>
  <c r="Z19" i="12"/>
  <c r="T19" i="12"/>
  <c r="V19" i="12" s="1"/>
  <c r="R19" i="12"/>
  <c r="N19" i="12"/>
  <c r="H19" i="12"/>
  <c r="I19" i="12" s="1"/>
  <c r="D19" i="12"/>
  <c r="C19" i="12"/>
  <c r="Z18" i="12"/>
  <c r="AA18" i="12" s="1"/>
  <c r="T18" i="12"/>
  <c r="V18" i="12" s="1"/>
  <c r="R18" i="12"/>
  <c r="N18" i="12"/>
  <c r="H18" i="12"/>
  <c r="I18" i="12" s="1"/>
  <c r="D18" i="12"/>
  <c r="O18" i="12" s="1"/>
  <c r="C18" i="12"/>
  <c r="Z17" i="12"/>
  <c r="AA17" i="12" s="1"/>
  <c r="T17" i="12"/>
  <c r="V17" i="12" s="1"/>
  <c r="R17" i="12"/>
  <c r="N17" i="12"/>
  <c r="H17" i="12"/>
  <c r="I17" i="12" s="1"/>
  <c r="D17" i="12"/>
  <c r="O17" i="12" s="1"/>
  <c r="C17" i="12"/>
  <c r="Z16" i="12"/>
  <c r="AA16" i="12" s="1"/>
  <c r="T16" i="12"/>
  <c r="V16" i="12" s="1"/>
  <c r="R16" i="12"/>
  <c r="N16" i="12"/>
  <c r="H16" i="12"/>
  <c r="I16" i="12" s="1"/>
  <c r="D16" i="12"/>
  <c r="C16" i="12"/>
  <c r="Z15" i="12"/>
  <c r="AA15" i="12" s="1"/>
  <c r="T15" i="12"/>
  <c r="V15" i="12" s="1"/>
  <c r="R15" i="12"/>
  <c r="N15" i="12"/>
  <c r="I15" i="12"/>
  <c r="D15" i="12"/>
  <c r="C15" i="12"/>
  <c r="Z14" i="12"/>
  <c r="AA14" i="12" s="1"/>
  <c r="T14" i="12"/>
  <c r="V14" i="12" s="1"/>
  <c r="R14" i="12"/>
  <c r="N14" i="12"/>
  <c r="I14" i="12"/>
  <c r="D14" i="12"/>
  <c r="O14" i="12" s="1"/>
  <c r="C14" i="12"/>
  <c r="Z13" i="12"/>
  <c r="AA13" i="12" s="1"/>
  <c r="T13" i="12"/>
  <c r="V13" i="12" s="1"/>
  <c r="R13" i="12"/>
  <c r="N13" i="12"/>
  <c r="I13" i="12"/>
  <c r="D13" i="12"/>
  <c r="C13" i="12"/>
  <c r="Z12" i="12"/>
  <c r="T12" i="12"/>
  <c r="V12" i="12" s="1"/>
  <c r="R12" i="12"/>
  <c r="O12" i="12"/>
  <c r="N12" i="12"/>
  <c r="I12" i="12"/>
  <c r="D12" i="12"/>
  <c r="C12" i="12"/>
  <c r="Z11" i="12"/>
  <c r="AA11" i="12" s="1"/>
  <c r="T11" i="12"/>
  <c r="V11" i="12" s="1"/>
  <c r="R11" i="12"/>
  <c r="N11" i="12"/>
  <c r="I11" i="12"/>
  <c r="D11" i="12"/>
  <c r="O11" i="12" s="1"/>
  <c r="C11" i="12"/>
  <c r="Z10" i="12"/>
  <c r="T10" i="12"/>
  <c r="V10" i="12" s="1"/>
  <c r="R10" i="12"/>
  <c r="N10" i="12"/>
  <c r="I10" i="12"/>
  <c r="D10" i="12"/>
  <c r="C10" i="12"/>
  <c r="Z9" i="12"/>
  <c r="T9" i="12"/>
  <c r="V9" i="12" s="1"/>
  <c r="R9" i="12"/>
  <c r="N9" i="12"/>
  <c r="I9" i="12"/>
  <c r="D9" i="12"/>
  <c r="C9" i="12"/>
  <c r="Z8" i="12"/>
  <c r="AA8" i="12" s="1"/>
  <c r="T8" i="12"/>
  <c r="V8" i="12" s="1"/>
  <c r="R8" i="12"/>
  <c r="N8" i="12"/>
  <c r="I8" i="12"/>
  <c r="D8" i="12"/>
  <c r="C8" i="12"/>
  <c r="Z7" i="12"/>
  <c r="AA7" i="12" s="1"/>
  <c r="T7" i="12"/>
  <c r="V7" i="12" s="1"/>
  <c r="R7" i="12"/>
  <c r="N7" i="12"/>
  <c r="I7" i="12"/>
  <c r="D7" i="12"/>
  <c r="C7" i="12"/>
  <c r="Z6" i="12"/>
  <c r="T6" i="12"/>
  <c r="V6" i="12" s="1"/>
  <c r="R6" i="12"/>
  <c r="N6" i="12"/>
  <c r="I6" i="12"/>
  <c r="D6" i="12"/>
  <c r="C6" i="12"/>
  <c r="Z5" i="12"/>
  <c r="AA5" i="12" s="1"/>
  <c r="T5" i="12"/>
  <c r="V5" i="12" s="1"/>
  <c r="R5" i="12"/>
  <c r="N5" i="12"/>
  <c r="I5" i="12"/>
  <c r="D5" i="12"/>
  <c r="C5" i="12"/>
  <c r="Z4" i="12"/>
  <c r="AA4" i="12" s="1"/>
  <c r="T4" i="12"/>
  <c r="V4" i="12" s="1"/>
  <c r="R4" i="12"/>
  <c r="N4" i="12"/>
  <c r="O4" i="12" s="1"/>
  <c r="I4" i="12"/>
  <c r="D4" i="12"/>
  <c r="C4" i="12"/>
  <c r="Z3" i="12"/>
  <c r="T3" i="12"/>
  <c r="V3" i="12" s="1"/>
  <c r="R3" i="12"/>
  <c r="N3" i="12"/>
  <c r="I3" i="12"/>
  <c r="D3" i="12"/>
  <c r="O3" i="12" s="1"/>
  <c r="C3" i="12"/>
  <c r="D42" i="11"/>
  <c r="C42" i="11"/>
  <c r="Z41" i="11"/>
  <c r="T41" i="11"/>
  <c r="V41" i="11" s="1"/>
  <c r="R41" i="11"/>
  <c r="N41" i="11"/>
  <c r="H41" i="11"/>
  <c r="I41" i="11" s="1"/>
  <c r="D41" i="11"/>
  <c r="C41" i="11"/>
  <c r="Z40" i="11"/>
  <c r="T40" i="11"/>
  <c r="V40" i="11" s="1"/>
  <c r="R40" i="11"/>
  <c r="N40" i="11"/>
  <c r="O40" i="11" s="1"/>
  <c r="H40" i="11"/>
  <c r="I40" i="11" s="1"/>
  <c r="D40" i="11"/>
  <c r="C40" i="11"/>
  <c r="Z39" i="11"/>
  <c r="T39" i="11"/>
  <c r="V39" i="11" s="1"/>
  <c r="R39" i="11"/>
  <c r="N39" i="11"/>
  <c r="H39" i="11"/>
  <c r="I39" i="11" s="1"/>
  <c r="D39" i="11"/>
  <c r="O39" i="11" s="1"/>
  <c r="C39" i="11"/>
  <c r="Z38" i="11"/>
  <c r="T38" i="11"/>
  <c r="V38" i="11" s="1"/>
  <c r="R38" i="11"/>
  <c r="N38" i="11"/>
  <c r="H38" i="11"/>
  <c r="I38" i="11" s="1"/>
  <c r="D38" i="11"/>
  <c r="C38" i="11"/>
  <c r="Z37" i="11"/>
  <c r="T37" i="11"/>
  <c r="V37" i="11" s="1"/>
  <c r="R37" i="11"/>
  <c r="N37" i="11"/>
  <c r="H37" i="11"/>
  <c r="I37" i="11" s="1"/>
  <c r="D37" i="11"/>
  <c r="O37" i="11" s="1"/>
  <c r="C37" i="11"/>
  <c r="Z36" i="11"/>
  <c r="AA36" i="11" s="1"/>
  <c r="T36" i="11"/>
  <c r="V36" i="11" s="1"/>
  <c r="R36" i="11"/>
  <c r="N36" i="11"/>
  <c r="O36" i="11" s="1"/>
  <c r="H36" i="11"/>
  <c r="I36" i="11" s="1"/>
  <c r="D36" i="11"/>
  <c r="C36" i="11"/>
  <c r="Z35" i="11"/>
  <c r="T35" i="11"/>
  <c r="V35" i="11" s="1"/>
  <c r="R35" i="11"/>
  <c r="N35" i="11"/>
  <c r="H35" i="11"/>
  <c r="I35" i="11" s="1"/>
  <c r="D35" i="11"/>
  <c r="C35" i="11"/>
  <c r="Z34" i="11"/>
  <c r="T34" i="11"/>
  <c r="V34" i="11" s="1"/>
  <c r="R34" i="11"/>
  <c r="N34" i="11"/>
  <c r="H34" i="11"/>
  <c r="I34" i="11" s="1"/>
  <c r="D34" i="11"/>
  <c r="C34" i="11"/>
  <c r="Z33" i="11"/>
  <c r="T33" i="11"/>
  <c r="V33" i="11" s="1"/>
  <c r="R33" i="11"/>
  <c r="N33" i="11"/>
  <c r="H33" i="11"/>
  <c r="I33" i="11" s="1"/>
  <c r="D33" i="11"/>
  <c r="O33" i="11" s="1"/>
  <c r="C33" i="11"/>
  <c r="Z32" i="11"/>
  <c r="T32" i="11"/>
  <c r="V32" i="11" s="1"/>
  <c r="R32" i="11"/>
  <c r="N32" i="11"/>
  <c r="H32" i="11"/>
  <c r="I32" i="11" s="1"/>
  <c r="D32" i="11"/>
  <c r="C32" i="11"/>
  <c r="Z31" i="11"/>
  <c r="AA31" i="11" s="1"/>
  <c r="T31" i="11"/>
  <c r="V31" i="11" s="1"/>
  <c r="R31" i="11"/>
  <c r="N31" i="11"/>
  <c r="H31" i="11"/>
  <c r="I31" i="11" s="1"/>
  <c r="D31" i="11"/>
  <c r="C31" i="11"/>
  <c r="Z30" i="11"/>
  <c r="AA30" i="11" s="1"/>
  <c r="T30" i="11"/>
  <c r="V30" i="11" s="1"/>
  <c r="R30" i="11"/>
  <c r="N30" i="11"/>
  <c r="H30" i="11"/>
  <c r="I30" i="11" s="1"/>
  <c r="D30" i="11"/>
  <c r="C30" i="11"/>
  <c r="Z29" i="11"/>
  <c r="T29" i="11"/>
  <c r="V29" i="11" s="1"/>
  <c r="R29" i="11"/>
  <c r="N29" i="11"/>
  <c r="O29" i="11" s="1"/>
  <c r="H29" i="11"/>
  <c r="I29" i="11" s="1"/>
  <c r="D29" i="11"/>
  <c r="C29" i="11"/>
  <c r="Z28" i="11"/>
  <c r="T28" i="11"/>
  <c r="V28" i="11" s="1"/>
  <c r="R28" i="11"/>
  <c r="N28" i="11"/>
  <c r="H28" i="11"/>
  <c r="I28" i="11" s="1"/>
  <c r="D28" i="11"/>
  <c r="C28" i="11"/>
  <c r="Z27" i="11"/>
  <c r="AA27" i="11" s="1"/>
  <c r="T27" i="11"/>
  <c r="V27" i="11" s="1"/>
  <c r="R27" i="11"/>
  <c r="N27" i="11"/>
  <c r="H27" i="11"/>
  <c r="I27" i="11" s="1"/>
  <c r="D27" i="11"/>
  <c r="C27" i="11"/>
  <c r="Z26" i="11"/>
  <c r="T26" i="11"/>
  <c r="V26" i="11" s="1"/>
  <c r="R26" i="11"/>
  <c r="N26" i="11"/>
  <c r="O26" i="11" s="1"/>
  <c r="H26" i="11"/>
  <c r="I26" i="11" s="1"/>
  <c r="D26" i="11"/>
  <c r="C26" i="11"/>
  <c r="Z25" i="11"/>
  <c r="T25" i="11"/>
  <c r="V25" i="11" s="1"/>
  <c r="R25" i="11"/>
  <c r="N25" i="11"/>
  <c r="H25" i="11"/>
  <c r="I25" i="11" s="1"/>
  <c r="D25" i="11"/>
  <c r="O25" i="11" s="1"/>
  <c r="C25" i="11"/>
  <c r="Z24" i="11"/>
  <c r="AA24" i="11" s="1"/>
  <c r="T24" i="11"/>
  <c r="V24" i="11" s="1"/>
  <c r="R24" i="11"/>
  <c r="N24" i="11"/>
  <c r="H24" i="11"/>
  <c r="I24" i="11" s="1"/>
  <c r="D24" i="11"/>
  <c r="O24" i="11" s="1"/>
  <c r="C24" i="11"/>
  <c r="Z23" i="11"/>
  <c r="T23" i="11"/>
  <c r="V23" i="11" s="1"/>
  <c r="R23" i="11"/>
  <c r="N23" i="11"/>
  <c r="H23" i="11"/>
  <c r="I23" i="11" s="1"/>
  <c r="D23" i="11"/>
  <c r="O23" i="11" s="1"/>
  <c r="C23" i="11"/>
  <c r="Z22" i="11"/>
  <c r="T22" i="11"/>
  <c r="V22" i="11" s="1"/>
  <c r="R22" i="11"/>
  <c r="N22" i="11"/>
  <c r="O22" i="11" s="1"/>
  <c r="H22" i="11"/>
  <c r="I22" i="11" s="1"/>
  <c r="D22" i="11"/>
  <c r="C22" i="11"/>
  <c r="Z21" i="11"/>
  <c r="AA21" i="11" s="1"/>
  <c r="T21" i="11"/>
  <c r="V21" i="11" s="1"/>
  <c r="R21" i="11"/>
  <c r="N21" i="11"/>
  <c r="H21" i="11"/>
  <c r="I21" i="11" s="1"/>
  <c r="D21" i="11"/>
  <c r="C21" i="11"/>
  <c r="Z20" i="11"/>
  <c r="T20" i="11"/>
  <c r="V20" i="11" s="1"/>
  <c r="R20" i="11"/>
  <c r="N20" i="11"/>
  <c r="H20" i="11"/>
  <c r="I20" i="11" s="1"/>
  <c r="D20" i="11"/>
  <c r="C20" i="11"/>
  <c r="Z19" i="11"/>
  <c r="AA19" i="11" s="1"/>
  <c r="T19" i="11"/>
  <c r="V19" i="11" s="1"/>
  <c r="R19" i="11"/>
  <c r="N19" i="11"/>
  <c r="H19" i="11"/>
  <c r="I19" i="11" s="1"/>
  <c r="D19" i="11"/>
  <c r="O19" i="11" s="1"/>
  <c r="C19" i="11"/>
  <c r="Z18" i="11"/>
  <c r="AA18" i="11" s="1"/>
  <c r="V18" i="11"/>
  <c r="T18" i="11"/>
  <c r="R18" i="11"/>
  <c r="N18" i="11"/>
  <c r="O18" i="11" s="1"/>
  <c r="I18" i="11"/>
  <c r="H18" i="11"/>
  <c r="D18" i="11"/>
  <c r="C18" i="11"/>
  <c r="AA17" i="11"/>
  <c r="Z17" i="11"/>
  <c r="T17" i="11"/>
  <c r="V17" i="11" s="1"/>
  <c r="R17" i="11"/>
  <c r="N17" i="11"/>
  <c r="H17" i="11"/>
  <c r="I17" i="11" s="1"/>
  <c r="D17" i="11"/>
  <c r="C17" i="11"/>
  <c r="Z16" i="11"/>
  <c r="AA16" i="11" s="1"/>
  <c r="T16" i="11"/>
  <c r="V16" i="11" s="1"/>
  <c r="R16" i="11"/>
  <c r="N16" i="11"/>
  <c r="H16" i="11"/>
  <c r="I16" i="11" s="1"/>
  <c r="D16" i="11"/>
  <c r="O16" i="11" s="1"/>
  <c r="C16" i="11"/>
  <c r="Z15" i="11"/>
  <c r="AA15" i="11" s="1"/>
  <c r="T15" i="11"/>
  <c r="V15" i="11" s="1"/>
  <c r="R15" i="11"/>
  <c r="N15" i="11"/>
  <c r="I15" i="11"/>
  <c r="D15" i="11"/>
  <c r="C15" i="11"/>
  <c r="AA14" i="11"/>
  <c r="Z14" i="11"/>
  <c r="T14" i="11"/>
  <c r="V14" i="11" s="1"/>
  <c r="R14" i="11"/>
  <c r="N14" i="11"/>
  <c r="I14" i="11"/>
  <c r="D14" i="11"/>
  <c r="C14" i="11"/>
  <c r="Z13" i="11"/>
  <c r="AA13" i="11" s="1"/>
  <c r="T13" i="11"/>
  <c r="V13" i="11" s="1"/>
  <c r="R13" i="11"/>
  <c r="N13" i="11"/>
  <c r="O13" i="11" s="1"/>
  <c r="I13" i="11"/>
  <c r="D13" i="11"/>
  <c r="C13" i="11"/>
  <c r="Z12" i="11"/>
  <c r="T12" i="11"/>
  <c r="V12" i="11" s="1"/>
  <c r="R12" i="11"/>
  <c r="N12" i="11"/>
  <c r="I12" i="11"/>
  <c r="D12" i="11"/>
  <c r="C12" i="11"/>
  <c r="AA11" i="11"/>
  <c r="Z11" i="11"/>
  <c r="T11" i="11"/>
  <c r="V11" i="11" s="1"/>
  <c r="R11" i="11"/>
  <c r="N11" i="11"/>
  <c r="O11" i="11" s="1"/>
  <c r="I11" i="11"/>
  <c r="D11" i="11"/>
  <c r="C11" i="11"/>
  <c r="Z10" i="11"/>
  <c r="T10" i="11"/>
  <c r="V10" i="11" s="1"/>
  <c r="R10" i="11"/>
  <c r="N10" i="11"/>
  <c r="O10" i="11" s="1"/>
  <c r="I10" i="11"/>
  <c r="D10" i="11"/>
  <c r="C10" i="11"/>
  <c r="Z9" i="11"/>
  <c r="T9" i="11"/>
  <c r="V9" i="11" s="1"/>
  <c r="R9" i="11"/>
  <c r="N9" i="11"/>
  <c r="O9" i="11" s="1"/>
  <c r="I9" i="11"/>
  <c r="D9" i="11"/>
  <c r="C9" i="11"/>
  <c r="Z8" i="11"/>
  <c r="AA8" i="11" s="1"/>
  <c r="T8" i="11"/>
  <c r="V8" i="11" s="1"/>
  <c r="R8" i="11"/>
  <c r="N8" i="11"/>
  <c r="I8" i="11"/>
  <c r="D8" i="11"/>
  <c r="C8" i="11"/>
  <c r="Z7" i="11"/>
  <c r="AA7" i="11" s="1"/>
  <c r="T7" i="11"/>
  <c r="V7" i="11" s="1"/>
  <c r="R7" i="11"/>
  <c r="N7" i="11"/>
  <c r="I7" i="11"/>
  <c r="D7" i="11"/>
  <c r="O7" i="11" s="1"/>
  <c r="C7" i="11"/>
  <c r="Z6" i="11"/>
  <c r="T6" i="11"/>
  <c r="V6" i="11" s="1"/>
  <c r="R6" i="11"/>
  <c r="N6" i="11"/>
  <c r="I6" i="11"/>
  <c r="D6" i="11"/>
  <c r="O6" i="11" s="1"/>
  <c r="C6" i="11"/>
  <c r="Z5" i="11"/>
  <c r="AA5" i="11" s="1"/>
  <c r="T5" i="11"/>
  <c r="V5" i="11" s="1"/>
  <c r="R5" i="11"/>
  <c r="N5" i="11"/>
  <c r="I5" i="11"/>
  <c r="D5" i="11"/>
  <c r="C5" i="11"/>
  <c r="AA4" i="11"/>
  <c r="Z4" i="11"/>
  <c r="T4" i="11"/>
  <c r="V4" i="11" s="1"/>
  <c r="R4" i="11"/>
  <c r="N4" i="11"/>
  <c r="I4" i="11"/>
  <c r="D4" i="11"/>
  <c r="C4" i="11"/>
  <c r="Z3" i="11"/>
  <c r="T3" i="11"/>
  <c r="V3" i="11" s="1"/>
  <c r="R3" i="11"/>
  <c r="N3" i="11"/>
  <c r="I3" i="11"/>
  <c r="D3" i="11"/>
  <c r="C3" i="11"/>
  <c r="Z28" i="10"/>
  <c r="T28" i="10"/>
  <c r="V28" i="10" s="1"/>
  <c r="R28" i="10"/>
  <c r="N28" i="10"/>
  <c r="H28" i="10"/>
  <c r="D28" i="10"/>
  <c r="C28" i="10"/>
  <c r="Z27" i="10"/>
  <c r="T27" i="10"/>
  <c r="V27" i="10" s="1"/>
  <c r="R27" i="10"/>
  <c r="N27" i="10"/>
  <c r="H27" i="10"/>
  <c r="D27" i="10"/>
  <c r="C27" i="10"/>
  <c r="Z26" i="10"/>
  <c r="N26" i="10"/>
  <c r="H26" i="10"/>
  <c r="D26" i="10"/>
  <c r="C26" i="10"/>
  <c r="Z25" i="10"/>
  <c r="T25" i="10"/>
  <c r="N25" i="10"/>
  <c r="H25" i="10"/>
  <c r="D25" i="10"/>
  <c r="C25" i="10"/>
  <c r="Z24" i="10"/>
  <c r="T24" i="10"/>
  <c r="N24" i="10"/>
  <c r="H24" i="10"/>
  <c r="D24" i="10"/>
  <c r="C24" i="10"/>
  <c r="Z23" i="10"/>
  <c r="T23" i="10"/>
  <c r="R23" i="10"/>
  <c r="N23" i="10"/>
  <c r="H23" i="10"/>
  <c r="D23" i="10"/>
  <c r="C23" i="10"/>
  <c r="Z22" i="10"/>
  <c r="T22" i="10"/>
  <c r="R22" i="10"/>
  <c r="N22" i="10"/>
  <c r="H22" i="10"/>
  <c r="D22" i="10"/>
  <c r="C22" i="10"/>
  <c r="Z21" i="10"/>
  <c r="I21" i="10"/>
  <c r="D21" i="10"/>
  <c r="C21" i="10"/>
  <c r="Z20" i="10"/>
  <c r="T20" i="10"/>
  <c r="V20" i="10" s="1"/>
  <c r="N20" i="10"/>
  <c r="I20" i="10"/>
  <c r="D20" i="10"/>
  <c r="O20" i="10" s="1"/>
  <c r="C20" i="10"/>
  <c r="Z19" i="10"/>
  <c r="T19" i="10"/>
  <c r="R19" i="10"/>
  <c r="N19" i="10"/>
  <c r="H19" i="10"/>
  <c r="D19" i="10"/>
  <c r="C19" i="10"/>
  <c r="Z18" i="10"/>
  <c r="T18" i="10"/>
  <c r="V18" i="10" s="1"/>
  <c r="R18" i="10"/>
  <c r="N18" i="10"/>
  <c r="H18" i="10"/>
  <c r="D18" i="10"/>
  <c r="C18" i="10"/>
  <c r="Z17" i="10"/>
  <c r="N17" i="10"/>
  <c r="D17" i="10"/>
  <c r="C17" i="10"/>
  <c r="Z16" i="10"/>
  <c r="N16" i="10"/>
  <c r="D16" i="10"/>
  <c r="C16" i="10"/>
  <c r="Z28" i="8"/>
  <c r="T28" i="8"/>
  <c r="V28" i="8" s="1"/>
  <c r="H28" i="8"/>
  <c r="D28" i="8"/>
  <c r="C28" i="8"/>
  <c r="Z27" i="8"/>
  <c r="N27" i="8"/>
  <c r="D27" i="8"/>
  <c r="C27" i="8"/>
  <c r="Z26" i="8"/>
  <c r="T26" i="8"/>
  <c r="V26" i="8" s="1"/>
  <c r="N26" i="8"/>
  <c r="D26" i="8"/>
  <c r="C26" i="8"/>
  <c r="Z25" i="8"/>
  <c r="T25" i="8"/>
  <c r="N25" i="8"/>
  <c r="H25" i="8"/>
  <c r="D25" i="8"/>
  <c r="C25" i="8"/>
  <c r="Z24" i="8"/>
  <c r="T24" i="8"/>
  <c r="V24" i="8" s="1"/>
  <c r="N24" i="8"/>
  <c r="H24" i="8"/>
  <c r="D24" i="8"/>
  <c r="C24" i="8"/>
  <c r="Z23" i="8"/>
  <c r="T23" i="8"/>
  <c r="N23" i="8"/>
  <c r="H23" i="8"/>
  <c r="D23" i="8"/>
  <c r="C23" i="8"/>
  <c r="Z22" i="8"/>
  <c r="T22" i="8"/>
  <c r="N22" i="8"/>
  <c r="H22" i="8"/>
  <c r="D22" i="8"/>
  <c r="C22" i="8"/>
  <c r="Z21" i="8"/>
  <c r="T21" i="8"/>
  <c r="N21" i="8"/>
  <c r="H21" i="8"/>
  <c r="D21" i="8"/>
  <c r="C21" i="8"/>
  <c r="N20" i="8"/>
  <c r="D20" i="8"/>
  <c r="C20" i="8"/>
  <c r="Z19" i="8"/>
  <c r="V19" i="8"/>
  <c r="N19" i="8"/>
  <c r="D19" i="8"/>
  <c r="C19" i="8"/>
  <c r="Z18" i="8"/>
  <c r="T18" i="8"/>
  <c r="N18" i="8"/>
  <c r="H18" i="8"/>
  <c r="D18" i="8"/>
  <c r="C18" i="8"/>
  <c r="Z17" i="8"/>
  <c r="T17" i="8"/>
  <c r="V17" i="8" s="1"/>
  <c r="N17" i="8"/>
  <c r="H17" i="8"/>
  <c r="D17" i="8"/>
  <c r="C17" i="8"/>
  <c r="Z16" i="8"/>
  <c r="T16" i="8"/>
  <c r="V16" i="8" s="1"/>
  <c r="N16" i="8"/>
  <c r="H16" i="8"/>
  <c r="D16" i="8"/>
  <c r="C16" i="8"/>
  <c r="Z15" i="8"/>
  <c r="T15" i="8"/>
  <c r="V15" i="8" s="1"/>
  <c r="R15" i="8"/>
  <c r="N15" i="8"/>
  <c r="I15" i="8"/>
  <c r="D15" i="8"/>
  <c r="C15" i="8"/>
  <c r="Z14" i="8"/>
  <c r="V14" i="8"/>
  <c r="N14" i="8"/>
  <c r="D14" i="8"/>
  <c r="C14" i="8"/>
  <c r="Z13" i="8"/>
  <c r="T13" i="8"/>
  <c r="V13" i="8" s="1"/>
  <c r="N13" i="8"/>
  <c r="I13" i="8"/>
  <c r="D13" i="8"/>
  <c r="C13" i="8"/>
  <c r="Z12" i="8"/>
  <c r="T12" i="8"/>
  <c r="V12" i="8" s="1"/>
  <c r="N12" i="8"/>
  <c r="I12" i="8"/>
  <c r="D12" i="8"/>
  <c r="C12" i="8"/>
  <c r="Z11" i="8"/>
  <c r="T11" i="8"/>
  <c r="R11" i="8"/>
  <c r="N11" i="8"/>
  <c r="I11" i="8"/>
  <c r="D11" i="8"/>
  <c r="C11" i="8"/>
  <c r="Z10" i="8"/>
  <c r="T10" i="8"/>
  <c r="R10" i="8"/>
  <c r="N10" i="8"/>
  <c r="I10" i="8"/>
  <c r="D10" i="8"/>
  <c r="C10" i="8"/>
  <c r="Z9" i="8"/>
  <c r="T9" i="8"/>
  <c r="R9" i="8"/>
  <c r="N9" i="8"/>
  <c r="I9" i="8"/>
  <c r="D9" i="8"/>
  <c r="C9" i="8"/>
  <c r="Z8" i="8"/>
  <c r="N8" i="8"/>
  <c r="I8" i="8"/>
  <c r="D8" i="8"/>
  <c r="C8" i="8"/>
  <c r="Z7" i="8"/>
  <c r="T7" i="8"/>
  <c r="V7" i="8" s="1"/>
  <c r="N7" i="8"/>
  <c r="I7" i="8"/>
  <c r="D7" i="8"/>
  <c r="C7" i="8"/>
  <c r="Z6" i="8"/>
  <c r="T6" i="8"/>
  <c r="R6" i="8"/>
  <c r="N6" i="8"/>
  <c r="I6" i="8"/>
  <c r="D6" i="8"/>
  <c r="Z5" i="8"/>
  <c r="T5" i="8"/>
  <c r="R5" i="8"/>
  <c r="N5" i="8"/>
  <c r="I5" i="8"/>
  <c r="D5" i="8"/>
  <c r="C5" i="8"/>
  <c r="Z4" i="8"/>
  <c r="N4" i="8"/>
  <c r="D4" i="8"/>
  <c r="C4" i="8"/>
  <c r="Z3" i="8"/>
  <c r="T3" i="8"/>
  <c r="V3" i="8" s="1"/>
  <c r="N3" i="8"/>
  <c r="D3" i="8"/>
  <c r="C3" i="8"/>
  <c r="Z28" i="7"/>
  <c r="N28" i="7"/>
  <c r="D28" i="7"/>
  <c r="C28" i="7"/>
  <c r="Z27" i="7"/>
  <c r="V27" i="7"/>
  <c r="N27" i="7"/>
  <c r="H27" i="7"/>
  <c r="D27" i="7"/>
  <c r="C27" i="7"/>
  <c r="Z26" i="7"/>
  <c r="N26" i="7"/>
  <c r="D26" i="7"/>
  <c r="C26" i="7"/>
  <c r="Z25" i="7"/>
  <c r="V25" i="7"/>
  <c r="N25" i="7"/>
  <c r="D25" i="7"/>
  <c r="C25" i="7"/>
  <c r="Z24" i="7"/>
  <c r="N24" i="7"/>
  <c r="H24" i="7"/>
  <c r="D24" i="7"/>
  <c r="C24" i="7"/>
  <c r="Z23" i="7"/>
  <c r="N23" i="7"/>
  <c r="H23" i="7"/>
  <c r="D23" i="7"/>
  <c r="C23" i="7"/>
  <c r="Z22" i="7"/>
  <c r="R22" i="7"/>
  <c r="N22" i="7"/>
  <c r="D22" i="7"/>
  <c r="C22" i="7"/>
  <c r="Z21" i="7"/>
  <c r="R21" i="7"/>
  <c r="N21" i="7"/>
  <c r="D21" i="7"/>
  <c r="C21" i="7"/>
  <c r="Z20" i="7"/>
  <c r="N20" i="7"/>
  <c r="H20" i="7"/>
  <c r="D20" i="7"/>
  <c r="C20" i="7"/>
  <c r="Z19" i="7"/>
  <c r="V19" i="7"/>
  <c r="N19" i="7"/>
  <c r="H19" i="7"/>
  <c r="D19" i="7"/>
  <c r="C19" i="7"/>
  <c r="Z18" i="7"/>
  <c r="R18" i="7"/>
  <c r="N18" i="7"/>
  <c r="H18" i="7"/>
  <c r="D18" i="7"/>
  <c r="C18" i="7"/>
  <c r="Z17" i="7"/>
  <c r="N17" i="7"/>
  <c r="D17" i="7"/>
  <c r="C17" i="7"/>
  <c r="Z16" i="7"/>
  <c r="V16" i="7"/>
  <c r="N16" i="7"/>
  <c r="D16" i="7"/>
  <c r="C16" i="7"/>
  <c r="Z15" i="7"/>
  <c r="V15" i="7"/>
  <c r="N15" i="7"/>
  <c r="O15" i="7" s="1"/>
  <c r="D15" i="7"/>
  <c r="C15" i="7"/>
  <c r="Z14" i="7"/>
  <c r="V14" i="7"/>
  <c r="N14" i="7"/>
  <c r="D14" i="7"/>
  <c r="Z13" i="7"/>
  <c r="N13" i="7"/>
  <c r="D13" i="7"/>
  <c r="C13" i="7"/>
  <c r="Z12" i="7"/>
  <c r="V12" i="7"/>
  <c r="N12" i="7"/>
  <c r="D12" i="7"/>
  <c r="C12" i="7"/>
  <c r="Z11" i="7"/>
  <c r="V11" i="7"/>
  <c r="N11" i="7"/>
  <c r="D11" i="7"/>
  <c r="C11" i="7"/>
  <c r="Z10" i="7"/>
  <c r="N10" i="7"/>
  <c r="D10" i="7"/>
  <c r="C10" i="7"/>
  <c r="Z9" i="7"/>
  <c r="N9" i="7"/>
  <c r="D9" i="7"/>
  <c r="C9" i="7"/>
  <c r="Z8" i="7"/>
  <c r="N8" i="7"/>
  <c r="I8" i="7"/>
  <c r="D8" i="7"/>
  <c r="C8" i="7"/>
  <c r="Z7" i="7"/>
  <c r="AA7" i="7" s="1"/>
  <c r="N7" i="7"/>
  <c r="I7" i="7"/>
  <c r="D7" i="7"/>
  <c r="C7" i="7"/>
  <c r="Z6" i="7"/>
  <c r="N6" i="7"/>
  <c r="D6" i="7"/>
  <c r="C6" i="7"/>
  <c r="Z5" i="7"/>
  <c r="AA5" i="7" s="1"/>
  <c r="V5" i="7"/>
  <c r="N5" i="7"/>
  <c r="D5" i="7"/>
  <c r="C5" i="7"/>
  <c r="Z4" i="7"/>
  <c r="N4" i="7"/>
  <c r="D4" i="7"/>
  <c r="C4" i="7"/>
  <c r="Z3" i="7"/>
  <c r="V3" i="7"/>
  <c r="N3" i="7"/>
  <c r="D3" i="7"/>
  <c r="C3" i="7"/>
  <c r="Z28" i="6"/>
  <c r="T28" i="6"/>
  <c r="N28" i="6"/>
  <c r="H28" i="6"/>
  <c r="Z27" i="6"/>
  <c r="T27" i="6"/>
  <c r="N27" i="6"/>
  <c r="H27" i="6"/>
  <c r="I27" i="6" s="1"/>
  <c r="Z26" i="6"/>
  <c r="T26" i="6"/>
  <c r="V26" i="6" s="1"/>
  <c r="N26" i="6"/>
  <c r="H26" i="6"/>
  <c r="I26" i="6" s="1"/>
  <c r="Z25" i="6"/>
  <c r="T25" i="6"/>
  <c r="N25" i="6"/>
  <c r="H25" i="6"/>
  <c r="I25" i="6" s="1"/>
  <c r="D25" i="6"/>
  <c r="C25" i="6"/>
  <c r="Z24" i="6"/>
  <c r="T24" i="6"/>
  <c r="V24" i="6" s="1"/>
  <c r="N24" i="6"/>
  <c r="I24" i="6"/>
  <c r="H24" i="6"/>
  <c r="D24" i="6"/>
  <c r="C24" i="6"/>
  <c r="Z23" i="6"/>
  <c r="T23" i="6"/>
  <c r="N23" i="6"/>
  <c r="H23" i="6"/>
  <c r="I23" i="6" s="1"/>
  <c r="Z22" i="6"/>
  <c r="T22" i="6"/>
  <c r="V22" i="6" s="1"/>
  <c r="N22" i="6"/>
  <c r="H22" i="6"/>
  <c r="I22" i="6" s="1"/>
  <c r="Z21" i="6"/>
  <c r="AA21" i="6" s="1"/>
  <c r="N21" i="6"/>
  <c r="H21" i="6"/>
  <c r="I21" i="6" s="1"/>
  <c r="Z20" i="6"/>
  <c r="V20" i="6"/>
  <c r="N20" i="6"/>
  <c r="H20" i="6"/>
  <c r="I20" i="6" s="1"/>
  <c r="Z19" i="6"/>
  <c r="N19" i="6"/>
  <c r="I19" i="6"/>
  <c r="Z18" i="6"/>
  <c r="T18" i="6"/>
  <c r="V18" i="6" s="1"/>
  <c r="N18" i="6"/>
  <c r="I18" i="6"/>
  <c r="Z17" i="6"/>
  <c r="T17" i="6"/>
  <c r="N17" i="6"/>
  <c r="I17" i="6"/>
  <c r="Z16" i="6"/>
  <c r="N16" i="6"/>
  <c r="I16" i="6"/>
  <c r="Z15" i="6"/>
  <c r="N15" i="6"/>
  <c r="I15" i="6"/>
  <c r="Z14" i="6"/>
  <c r="V14" i="6"/>
  <c r="N14" i="6"/>
  <c r="I14" i="6"/>
  <c r="Z13" i="6"/>
  <c r="AA13" i="6" s="1"/>
  <c r="T13" i="6"/>
  <c r="V13" i="6" s="1"/>
  <c r="R13" i="6"/>
  <c r="N13" i="6"/>
  <c r="I13" i="6"/>
  <c r="Z12" i="6"/>
  <c r="AA12" i="6" s="1"/>
  <c r="T12" i="6"/>
  <c r="R12" i="6"/>
  <c r="N12" i="6"/>
  <c r="I12" i="6"/>
  <c r="Z11" i="6"/>
  <c r="T11" i="6"/>
  <c r="V11" i="6" s="1"/>
  <c r="R11" i="6"/>
  <c r="N11" i="6"/>
  <c r="I11" i="6"/>
  <c r="Z10" i="6"/>
  <c r="T10" i="6"/>
  <c r="R10" i="6"/>
  <c r="N10" i="6"/>
  <c r="I10" i="6"/>
  <c r="Z9" i="6"/>
  <c r="AA9" i="6" s="1"/>
  <c r="R9" i="6"/>
  <c r="N9" i="6"/>
  <c r="I9" i="6"/>
  <c r="Z8" i="6"/>
  <c r="T8" i="6"/>
  <c r="R8" i="6"/>
  <c r="N8" i="6"/>
  <c r="I8" i="6"/>
  <c r="Z7" i="6"/>
  <c r="T7" i="6"/>
  <c r="R7" i="6"/>
  <c r="N7" i="6"/>
  <c r="I7" i="6"/>
  <c r="Z6" i="6"/>
  <c r="T6" i="6"/>
  <c r="R6" i="6"/>
  <c r="N6" i="6"/>
  <c r="I6" i="6"/>
  <c r="D6" i="6"/>
  <c r="C6" i="6"/>
  <c r="Z5" i="6"/>
  <c r="T5" i="6"/>
  <c r="R5" i="6"/>
  <c r="N5" i="6"/>
  <c r="I5" i="6"/>
  <c r="D5" i="6"/>
  <c r="C5" i="6"/>
  <c r="Z4" i="6"/>
  <c r="R4" i="6"/>
  <c r="N4" i="6"/>
  <c r="Z3" i="6"/>
  <c r="AA3" i="6" s="1"/>
  <c r="T3" i="6"/>
  <c r="V3" i="6" s="1"/>
  <c r="R3" i="6"/>
  <c r="N3" i="6"/>
  <c r="Z39" i="5"/>
  <c r="T39" i="5"/>
  <c r="N39" i="5"/>
  <c r="H39" i="5"/>
  <c r="I39" i="5" s="1"/>
  <c r="Z38" i="5"/>
  <c r="T38" i="5"/>
  <c r="V38" i="5" s="1"/>
  <c r="N38" i="5"/>
  <c r="I38" i="5"/>
  <c r="Z37" i="5"/>
  <c r="T37" i="5"/>
  <c r="N37" i="5"/>
  <c r="I37" i="5"/>
  <c r="Z36" i="5"/>
  <c r="N36" i="5"/>
  <c r="H36" i="5"/>
  <c r="I36" i="5" s="1"/>
  <c r="Z35" i="5"/>
  <c r="T35" i="5"/>
  <c r="V35" i="5" s="1"/>
  <c r="N35" i="5"/>
  <c r="H35" i="5"/>
  <c r="I35" i="5" s="1"/>
  <c r="Z34" i="5"/>
  <c r="T34" i="5"/>
  <c r="N34" i="5"/>
  <c r="I34" i="5"/>
  <c r="Z33" i="5"/>
  <c r="T33" i="5"/>
  <c r="V33" i="5" s="1"/>
  <c r="N33" i="5"/>
  <c r="I33" i="5"/>
  <c r="Z32" i="5"/>
  <c r="T32" i="5"/>
  <c r="N32" i="5"/>
  <c r="H32" i="5"/>
  <c r="I32" i="5" s="1"/>
  <c r="Z31" i="5"/>
  <c r="T31" i="5"/>
  <c r="V31" i="5" s="1"/>
  <c r="N31" i="5"/>
  <c r="H31" i="5"/>
  <c r="Z30" i="5"/>
  <c r="N30" i="5"/>
  <c r="I30" i="5"/>
  <c r="Z29" i="5"/>
  <c r="T29" i="5"/>
  <c r="V29" i="5" s="1"/>
  <c r="N29" i="5"/>
  <c r="I29" i="5"/>
  <c r="Z28" i="5"/>
  <c r="T28" i="5"/>
  <c r="V28" i="5" s="1"/>
  <c r="N28" i="5"/>
  <c r="H28" i="5"/>
  <c r="I28" i="5" s="1"/>
  <c r="Z27" i="5"/>
  <c r="T27" i="5"/>
  <c r="N27" i="5"/>
  <c r="H27" i="5"/>
  <c r="I27" i="5" s="1"/>
  <c r="Z26" i="5"/>
  <c r="N26" i="5"/>
  <c r="H26" i="5"/>
  <c r="I26" i="5" s="1"/>
  <c r="Z25" i="5"/>
  <c r="T25" i="5"/>
  <c r="N25" i="5"/>
  <c r="H25" i="5"/>
  <c r="I25" i="5" s="1"/>
  <c r="Z24" i="5"/>
  <c r="AA24" i="5" s="1"/>
  <c r="T24" i="5"/>
  <c r="N24" i="5"/>
  <c r="H24" i="5"/>
  <c r="I24" i="5" s="1"/>
  <c r="Z23" i="5"/>
  <c r="AA23" i="5" s="1"/>
  <c r="T23" i="5"/>
  <c r="N23" i="5"/>
  <c r="I23" i="5"/>
  <c r="D23" i="5"/>
  <c r="C23" i="5"/>
  <c r="Z22" i="5"/>
  <c r="T22" i="5"/>
  <c r="V22" i="5" s="1"/>
  <c r="N22" i="5"/>
  <c r="I22" i="5"/>
  <c r="D22" i="5"/>
  <c r="C22" i="5"/>
  <c r="Z21" i="5"/>
  <c r="N21" i="5"/>
  <c r="H21" i="5"/>
  <c r="I21" i="5" s="1"/>
  <c r="Z20" i="5"/>
  <c r="N20" i="5"/>
  <c r="H20" i="5"/>
  <c r="I20" i="5" s="1"/>
  <c r="Z19" i="5"/>
  <c r="N19" i="5"/>
  <c r="H19" i="5"/>
  <c r="I19" i="5" s="1"/>
  <c r="Z18" i="5"/>
  <c r="T18" i="5"/>
  <c r="V18" i="5" s="1"/>
  <c r="N18" i="5"/>
  <c r="H18" i="5"/>
  <c r="I18" i="5" s="1"/>
  <c r="Z17" i="5"/>
  <c r="T17" i="5"/>
  <c r="N17" i="5"/>
  <c r="I17" i="5"/>
  <c r="Z16" i="5"/>
  <c r="T16" i="5"/>
  <c r="N16" i="5"/>
  <c r="I16" i="5"/>
  <c r="Z15" i="5"/>
  <c r="T15" i="5"/>
  <c r="N15" i="5"/>
  <c r="I15" i="5"/>
  <c r="D15" i="5"/>
  <c r="C15" i="5"/>
  <c r="Z14" i="5"/>
  <c r="AA14" i="5" s="1"/>
  <c r="T14" i="5"/>
  <c r="V14" i="5" s="1"/>
  <c r="N14" i="5"/>
  <c r="I14" i="5"/>
  <c r="D14" i="5"/>
  <c r="C14" i="5"/>
  <c r="Z13" i="5"/>
  <c r="AA13" i="5" s="1"/>
  <c r="T13" i="5"/>
  <c r="V13" i="5" s="1"/>
  <c r="N13" i="5"/>
  <c r="Z12" i="5"/>
  <c r="AA12" i="5" s="1"/>
  <c r="T12" i="5"/>
  <c r="V12" i="5" s="1"/>
  <c r="N12" i="5"/>
  <c r="I12" i="5"/>
  <c r="Z11" i="5"/>
  <c r="AA11" i="5" s="1"/>
  <c r="T11" i="5"/>
  <c r="V11" i="5" s="1"/>
  <c r="N11" i="5"/>
  <c r="I11" i="5"/>
  <c r="Z10" i="5"/>
  <c r="V10" i="5"/>
  <c r="N10" i="5"/>
  <c r="I10" i="5"/>
  <c r="Z9" i="5"/>
  <c r="T9" i="5"/>
  <c r="R9" i="5"/>
  <c r="N9" i="5"/>
  <c r="I9" i="5"/>
  <c r="Z8" i="5"/>
  <c r="AA8" i="5" s="1"/>
  <c r="T8" i="5"/>
  <c r="V8" i="5" s="1"/>
  <c r="R8" i="5"/>
  <c r="N8" i="5"/>
  <c r="I8" i="5"/>
  <c r="Z7" i="5"/>
  <c r="AA7" i="5" s="1"/>
  <c r="T7" i="5"/>
  <c r="R7" i="5"/>
  <c r="N7" i="5"/>
  <c r="I7" i="5"/>
  <c r="Z6" i="5"/>
  <c r="T6" i="5"/>
  <c r="N6" i="5"/>
  <c r="I6" i="5"/>
  <c r="Z5" i="5"/>
  <c r="N5" i="5"/>
  <c r="I5" i="5"/>
  <c r="Z4" i="5"/>
  <c r="AA4" i="5" s="1"/>
  <c r="N4" i="5"/>
  <c r="Z3" i="5"/>
  <c r="AA3" i="5" s="1"/>
  <c r="T3" i="5"/>
  <c r="N3" i="5"/>
  <c r="Z36" i="4"/>
  <c r="T36" i="4"/>
  <c r="V36" i="4" s="1"/>
  <c r="N36" i="4"/>
  <c r="Z35" i="4"/>
  <c r="T35" i="4"/>
  <c r="V35" i="4" s="1"/>
  <c r="N35" i="4"/>
  <c r="Z34" i="4"/>
  <c r="N34" i="4"/>
  <c r="Z33" i="4"/>
  <c r="N33" i="4"/>
  <c r="I33" i="4"/>
  <c r="Z32" i="4"/>
  <c r="T32" i="4"/>
  <c r="N32" i="4"/>
  <c r="I32" i="4"/>
  <c r="Z31" i="4"/>
  <c r="T31" i="4"/>
  <c r="V31" i="4" s="1"/>
  <c r="N31" i="4"/>
  <c r="I31" i="4"/>
  <c r="Z30" i="4"/>
  <c r="T30" i="4"/>
  <c r="N30" i="4"/>
  <c r="I30" i="4"/>
  <c r="Z29" i="4"/>
  <c r="T29" i="4"/>
  <c r="N29" i="4"/>
  <c r="I29" i="4"/>
  <c r="Z28" i="4"/>
  <c r="T28" i="4"/>
  <c r="N28" i="4"/>
  <c r="I28" i="4"/>
  <c r="Z27" i="4"/>
  <c r="T27" i="4"/>
  <c r="N27" i="4"/>
  <c r="I27" i="4"/>
  <c r="Z26" i="4"/>
  <c r="T26" i="4"/>
  <c r="R26" i="4"/>
  <c r="N26" i="4"/>
  <c r="I26" i="4"/>
  <c r="Z25" i="4"/>
  <c r="T25" i="4"/>
  <c r="N25" i="4"/>
  <c r="I25" i="4"/>
  <c r="Z24" i="4"/>
  <c r="AA24" i="4" s="1"/>
  <c r="T24" i="4"/>
  <c r="N24" i="4"/>
  <c r="I24" i="4"/>
  <c r="Z23" i="4"/>
  <c r="N23" i="4"/>
  <c r="I23" i="4"/>
  <c r="D23" i="4"/>
  <c r="C23" i="4"/>
  <c r="Z22" i="4"/>
  <c r="V22" i="4"/>
  <c r="N22" i="4"/>
  <c r="I22" i="4"/>
  <c r="D22" i="4"/>
  <c r="C22" i="4"/>
  <c r="Z21" i="4"/>
  <c r="AA21" i="4" s="1"/>
  <c r="N21" i="4"/>
  <c r="Z20" i="4"/>
  <c r="T20" i="4"/>
  <c r="V20" i="4" s="1"/>
  <c r="N20" i="4"/>
  <c r="Z19" i="4"/>
  <c r="T19" i="4"/>
  <c r="V19" i="4" s="1"/>
  <c r="R19" i="4"/>
  <c r="N19" i="4"/>
  <c r="Z18" i="4"/>
  <c r="T18" i="4"/>
  <c r="R18" i="4"/>
  <c r="N18" i="4"/>
  <c r="I18" i="4"/>
  <c r="Z17" i="4"/>
  <c r="T17" i="4"/>
  <c r="R17" i="4"/>
  <c r="N17" i="4"/>
  <c r="I17" i="4"/>
  <c r="Z16" i="4"/>
  <c r="T16" i="4"/>
  <c r="V16" i="4" s="1"/>
  <c r="N16" i="4"/>
  <c r="H16" i="4"/>
  <c r="Z15" i="4"/>
  <c r="T15" i="4"/>
  <c r="N15" i="4"/>
  <c r="Z14" i="4"/>
  <c r="V14" i="4"/>
  <c r="N14" i="4"/>
  <c r="Z13" i="4"/>
  <c r="AA13" i="4" s="1"/>
  <c r="T13" i="4"/>
  <c r="N13" i="4"/>
  <c r="I13" i="4"/>
  <c r="Z12" i="4"/>
  <c r="AA12" i="4" s="1"/>
  <c r="T12" i="4"/>
  <c r="N12" i="4"/>
  <c r="I12" i="4"/>
  <c r="Z11" i="4"/>
  <c r="T11" i="4"/>
  <c r="R11" i="4"/>
  <c r="N11" i="4"/>
  <c r="I11" i="4"/>
  <c r="D11" i="4"/>
  <c r="C11" i="4"/>
  <c r="Z10" i="4"/>
  <c r="AA10" i="4" s="1"/>
  <c r="T10" i="4"/>
  <c r="R10" i="4"/>
  <c r="N10" i="4"/>
  <c r="I10" i="4"/>
  <c r="D10" i="4"/>
  <c r="C10" i="4"/>
  <c r="Z9" i="4"/>
  <c r="AA9" i="4" s="1"/>
  <c r="T9" i="4"/>
  <c r="V9" i="4" s="1"/>
  <c r="N9" i="4"/>
  <c r="I9" i="4"/>
  <c r="Z8" i="4"/>
  <c r="T8" i="4"/>
  <c r="N8" i="4"/>
  <c r="Z7" i="4"/>
  <c r="AA7" i="4" s="1"/>
  <c r="T7" i="4"/>
  <c r="N7" i="4"/>
  <c r="Z6" i="4"/>
  <c r="T6" i="4"/>
  <c r="N6" i="4"/>
  <c r="I6" i="4"/>
  <c r="Z5" i="4"/>
  <c r="AA5" i="4" s="1"/>
  <c r="T5" i="4"/>
  <c r="V5" i="4" s="1"/>
  <c r="N5" i="4"/>
  <c r="I5" i="4"/>
  <c r="Z4" i="4"/>
  <c r="AA4" i="4" s="1"/>
  <c r="R4" i="4"/>
  <c r="N4" i="4"/>
  <c r="I4" i="4"/>
  <c r="Z3" i="4"/>
  <c r="AA3" i="4" s="1"/>
  <c r="T3" i="4"/>
  <c r="V3" i="4" s="1"/>
  <c r="R3" i="4"/>
  <c r="N3" i="4"/>
  <c r="I3" i="4"/>
  <c r="Z28" i="3"/>
  <c r="T28" i="3"/>
  <c r="V28" i="3" s="1"/>
  <c r="N28" i="3"/>
  <c r="H28" i="3"/>
  <c r="Z27" i="3"/>
  <c r="T27" i="3"/>
  <c r="V27" i="3" s="1"/>
  <c r="R27" i="3"/>
  <c r="N27" i="3"/>
  <c r="H27" i="3"/>
  <c r="Z26" i="3"/>
  <c r="T26" i="3"/>
  <c r="V26" i="3" s="1"/>
  <c r="N26" i="3"/>
  <c r="H26" i="3"/>
  <c r="I26" i="3" s="1"/>
  <c r="Z25" i="3"/>
  <c r="T25" i="3"/>
  <c r="N25" i="3"/>
  <c r="H25" i="3"/>
  <c r="I25" i="3" s="1"/>
  <c r="D25" i="3"/>
  <c r="C25" i="3"/>
  <c r="Z24" i="3"/>
  <c r="T24" i="3"/>
  <c r="V24" i="3" s="1"/>
  <c r="N24" i="3"/>
  <c r="H24" i="3"/>
  <c r="I24" i="3" s="1"/>
  <c r="D24" i="3"/>
  <c r="C24" i="3"/>
  <c r="Z23" i="3"/>
  <c r="T23" i="3"/>
  <c r="N23" i="3"/>
  <c r="I23" i="3"/>
  <c r="Z22" i="3"/>
  <c r="T22" i="3"/>
  <c r="V22" i="3" s="1"/>
  <c r="N22" i="3"/>
  <c r="I22" i="3"/>
  <c r="Z21" i="3"/>
  <c r="N21" i="3"/>
  <c r="H21" i="3"/>
  <c r="I21" i="3" s="1"/>
  <c r="Z20" i="3"/>
  <c r="T20" i="3"/>
  <c r="N20" i="3"/>
  <c r="H20" i="3"/>
  <c r="I20" i="3" s="1"/>
  <c r="Z19" i="3"/>
  <c r="T19" i="3"/>
  <c r="N19" i="3"/>
  <c r="H19" i="3"/>
  <c r="I19" i="3" s="1"/>
  <c r="Z18" i="3"/>
  <c r="T18" i="3"/>
  <c r="N18" i="3"/>
  <c r="H18" i="3"/>
  <c r="I18" i="3" s="1"/>
  <c r="Z17" i="3"/>
  <c r="N17" i="3"/>
  <c r="Z16" i="3"/>
  <c r="T16" i="3"/>
  <c r="V16" i="3" s="1"/>
  <c r="N16" i="3"/>
  <c r="Z15" i="3"/>
  <c r="T15" i="3"/>
  <c r="V15" i="3" s="1"/>
  <c r="N15" i="3"/>
  <c r="Z14" i="3"/>
  <c r="T14" i="3"/>
  <c r="N14" i="3"/>
  <c r="Z13" i="3"/>
  <c r="AA13" i="3" s="1"/>
  <c r="T13" i="3"/>
  <c r="N13" i="3"/>
  <c r="Z12" i="3"/>
  <c r="AA12" i="3" s="1"/>
  <c r="V12" i="3"/>
  <c r="N12" i="3"/>
  <c r="Z11" i="3"/>
  <c r="T11" i="3"/>
  <c r="V11" i="3" s="1"/>
  <c r="N11" i="3"/>
  <c r="Z10" i="3"/>
  <c r="T10" i="3"/>
  <c r="V10" i="3" s="1"/>
  <c r="N10" i="3"/>
  <c r="Z9" i="3"/>
  <c r="T9" i="3"/>
  <c r="V9" i="3" s="1"/>
  <c r="R9" i="3"/>
  <c r="N9" i="3"/>
  <c r="Z8" i="3"/>
  <c r="T8" i="3"/>
  <c r="N8" i="3"/>
  <c r="Z7" i="3"/>
  <c r="AA7" i="3" s="1"/>
  <c r="T7" i="3"/>
  <c r="N7" i="3"/>
  <c r="Z6" i="3"/>
  <c r="T6" i="3"/>
  <c r="R6" i="3"/>
  <c r="N6" i="3"/>
  <c r="D6" i="3"/>
  <c r="C6" i="3"/>
  <c r="Z5" i="3"/>
  <c r="AA5" i="3" s="1"/>
  <c r="T5" i="3"/>
  <c r="V5" i="3" s="1"/>
  <c r="R5" i="3"/>
  <c r="N5" i="3"/>
  <c r="D5" i="3"/>
  <c r="C5" i="3"/>
  <c r="Z4" i="3"/>
  <c r="AA4" i="3" s="1"/>
  <c r="R4" i="3"/>
  <c r="N4" i="3"/>
  <c r="Z3" i="3"/>
  <c r="AA3" i="3" s="1"/>
  <c r="T3" i="3"/>
  <c r="V3" i="3" s="1"/>
  <c r="R3" i="3"/>
  <c r="N3" i="3"/>
  <c r="T5" i="2"/>
  <c r="V5" i="2" s="1"/>
  <c r="T6" i="2"/>
  <c r="T7" i="2"/>
  <c r="T8" i="2"/>
  <c r="T9" i="2"/>
  <c r="V9" i="2" s="1"/>
  <c r="T10" i="2"/>
  <c r="T11" i="2"/>
  <c r="V11" i="2" s="1"/>
  <c r="T12" i="2"/>
  <c r="T13" i="2"/>
  <c r="V13" i="2" s="1"/>
  <c r="V14" i="2"/>
  <c r="T15" i="2"/>
  <c r="T16" i="2"/>
  <c r="V16" i="2" s="1"/>
  <c r="T18" i="2"/>
  <c r="T19" i="2"/>
  <c r="T20" i="2"/>
  <c r="V20" i="2" s="1"/>
  <c r="T21" i="2"/>
  <c r="T22" i="2"/>
  <c r="T23" i="2"/>
  <c r="T24" i="2"/>
  <c r="T26" i="2"/>
  <c r="T27" i="2"/>
  <c r="T28" i="2"/>
  <c r="R4" i="2"/>
  <c r="R5" i="2"/>
  <c r="R3" i="2"/>
  <c r="D9" i="2"/>
  <c r="D10" i="2"/>
  <c r="D22" i="2"/>
  <c r="D23" i="2"/>
  <c r="C9" i="2"/>
  <c r="C10" i="2"/>
  <c r="C22" i="2"/>
  <c r="C23" i="2"/>
  <c r="O16" i="10" l="1"/>
  <c r="O21" i="10"/>
  <c r="O18" i="8"/>
  <c r="O16" i="8"/>
  <c r="O19" i="8"/>
  <c r="O17" i="8"/>
  <c r="O8" i="8"/>
  <c r="O7" i="8"/>
  <c r="O19" i="7"/>
  <c r="O3" i="7"/>
  <c r="O20" i="11"/>
  <c r="O6" i="13"/>
  <c r="O18" i="13"/>
  <c r="O6" i="12"/>
  <c r="O7" i="15"/>
  <c r="O17" i="7"/>
  <c r="O23" i="7"/>
  <c r="O24" i="7"/>
  <c r="O26" i="8"/>
  <c r="O27" i="8"/>
  <c r="O17" i="11"/>
  <c r="O26" i="12"/>
  <c r="O28" i="13"/>
  <c r="O29" i="13"/>
  <c r="O32" i="13"/>
  <c r="O35" i="13"/>
  <c r="O31" i="14"/>
  <c r="O4" i="11"/>
  <c r="O12" i="11"/>
  <c r="O14" i="11"/>
  <c r="O5" i="12"/>
  <c r="O20" i="12"/>
  <c r="O3" i="13"/>
  <c r="O7" i="13"/>
  <c r="O13" i="13"/>
  <c r="O15" i="13"/>
  <c r="O34" i="13"/>
  <c r="O36" i="13"/>
  <c r="O15" i="14"/>
  <c r="O34" i="14"/>
  <c r="O24" i="15"/>
  <c r="O16" i="7"/>
  <c r="O20" i="8"/>
  <c r="O17" i="10"/>
  <c r="O19" i="10"/>
  <c r="O21" i="11"/>
  <c r="O27" i="11"/>
  <c r="O28" i="11"/>
  <c r="O30" i="11"/>
  <c r="O32" i="11"/>
  <c r="O34" i="11"/>
  <c r="O35" i="11"/>
  <c r="O38" i="11"/>
  <c r="O41" i="11"/>
  <c r="O8" i="12"/>
  <c r="O16" i="12"/>
  <c r="O21" i="12"/>
  <c r="O31" i="12"/>
  <c r="O36" i="12"/>
  <c r="O41" i="12"/>
  <c r="O9" i="13"/>
  <c r="O11" i="13"/>
  <c r="O20" i="13"/>
  <c r="O27" i="13"/>
  <c r="O38" i="13"/>
  <c r="O4" i="14"/>
  <c r="O12" i="14"/>
  <c r="O19" i="14"/>
  <c r="O26" i="14"/>
  <c r="O40" i="14"/>
  <c r="O14" i="15"/>
  <c r="O13" i="16"/>
  <c r="O39" i="15"/>
  <c r="O40" i="15"/>
  <c r="O41" i="15"/>
  <c r="O23" i="16"/>
  <c r="O16" i="17"/>
  <c r="O40" i="17"/>
  <c r="O39" i="18"/>
  <c r="O40" i="18"/>
  <c r="O41" i="18"/>
  <c r="O19" i="19"/>
  <c r="O40" i="19"/>
  <c r="O4" i="20"/>
  <c r="O16" i="20"/>
  <c r="O31" i="20"/>
  <c r="O22" i="21"/>
  <c r="O23" i="21"/>
  <c r="O24" i="21"/>
  <c r="O26" i="21"/>
  <c r="O35" i="21"/>
  <c r="O36" i="21"/>
  <c r="O4" i="22"/>
  <c r="O15" i="22"/>
  <c r="O23" i="22"/>
  <c r="O35" i="22"/>
  <c r="O37" i="22"/>
  <c r="O4" i="16"/>
  <c r="O6" i="16"/>
  <c r="O19" i="16"/>
  <c r="O7" i="17"/>
  <c r="O8" i="17"/>
  <c r="O27" i="17"/>
  <c r="O28" i="17"/>
  <c r="O30" i="17"/>
  <c r="O31" i="17"/>
  <c r="O5" i="18"/>
  <c r="O12" i="18"/>
  <c r="O23" i="18"/>
  <c r="O33" i="18"/>
  <c r="O38" i="18"/>
  <c r="O4" i="19"/>
  <c r="O8" i="19"/>
  <c r="O10" i="20"/>
  <c r="O14" i="20"/>
  <c r="O32" i="20"/>
  <c r="O34" i="20"/>
  <c r="O36" i="20"/>
  <c r="O8" i="21"/>
  <c r="O25" i="21"/>
  <c r="O27" i="21"/>
  <c r="O3" i="22"/>
  <c r="O6" i="22"/>
  <c r="O8" i="22"/>
  <c r="O9" i="22"/>
  <c r="O11" i="22"/>
  <c r="O14" i="22"/>
  <c r="O10" i="23"/>
  <c r="O6" i="15"/>
  <c r="O11" i="15"/>
  <c r="O26" i="15"/>
  <c r="O27" i="15"/>
  <c r="O28" i="15"/>
  <c r="O35" i="15"/>
  <c r="O8" i="16"/>
  <c r="O29" i="16"/>
  <c r="O30" i="16"/>
  <c r="O31" i="16"/>
  <c r="O40" i="16"/>
  <c r="O6" i="17"/>
  <c r="O15" i="17"/>
  <c r="O23" i="17"/>
  <c r="O26" i="17"/>
  <c r="O33" i="17"/>
  <c r="O35" i="17"/>
  <c r="O19" i="18"/>
  <c r="O20" i="18"/>
  <c r="O25" i="18"/>
  <c r="O26" i="18"/>
  <c r="O27" i="18"/>
  <c r="O28" i="18"/>
  <c r="O31" i="18"/>
  <c r="O7" i="19"/>
  <c r="O16" i="19"/>
  <c r="O26" i="19"/>
  <c r="O8" i="20"/>
  <c r="O9" i="20"/>
  <c r="O22" i="20"/>
  <c r="O24" i="20"/>
  <c r="O25" i="20"/>
  <c r="O26" i="20"/>
  <c r="O27" i="20"/>
  <c r="O28" i="20"/>
  <c r="O37" i="20"/>
  <c r="O38" i="20"/>
  <c r="O19" i="21"/>
  <c r="O21" i="21"/>
  <c r="O16" i="22"/>
  <c r="O18" i="22"/>
  <c r="O21" i="22"/>
  <c r="O31" i="22"/>
  <c r="O8" i="23"/>
  <c r="O19" i="23"/>
  <c r="O28" i="24"/>
  <c r="O29" i="24"/>
  <c r="O30" i="24"/>
  <c r="O16" i="25"/>
  <c r="O25" i="25"/>
  <c r="O26" i="25"/>
  <c r="O27" i="25"/>
  <c r="O24" i="26"/>
  <c r="O28" i="26"/>
  <c r="O29" i="26"/>
  <c r="O30" i="26"/>
  <c r="O18" i="27"/>
  <c r="O20" i="27"/>
  <c r="O21" i="27"/>
  <c r="O30" i="23"/>
  <c r="O6" i="25"/>
  <c r="O9" i="25"/>
  <c r="O10" i="26"/>
  <c r="O23" i="26"/>
  <c r="O5" i="27"/>
  <c r="O9" i="27"/>
  <c r="O17" i="27"/>
  <c r="O32" i="27"/>
  <c r="O33" i="27"/>
  <c r="O34" i="27"/>
  <c r="O35" i="27"/>
  <c r="O36" i="27"/>
  <c r="O39" i="27"/>
  <c r="O7" i="23"/>
  <c r="O17" i="23"/>
  <c r="O20" i="23"/>
  <c r="O21" i="23"/>
  <c r="O22" i="23"/>
  <c r="O29" i="23"/>
  <c r="O37" i="23"/>
  <c r="O38" i="23"/>
  <c r="O39" i="23"/>
  <c r="O40" i="23"/>
  <c r="O41" i="23"/>
  <c r="O3" i="24"/>
  <c r="O10" i="24"/>
  <c r="O17" i="24"/>
  <c r="O22" i="24"/>
  <c r="O23" i="24"/>
  <c r="O24" i="24"/>
  <c r="O27" i="24"/>
  <c r="O31" i="24"/>
  <c r="O8" i="25"/>
  <c r="O10" i="25"/>
  <c r="O17" i="25"/>
  <c r="O20" i="25"/>
  <c r="O21" i="25"/>
  <c r="O31" i="25"/>
  <c r="O11" i="26"/>
  <c r="O15" i="26"/>
  <c r="O17" i="26"/>
  <c r="O18" i="26"/>
  <c r="O25" i="26"/>
  <c r="O26" i="26"/>
  <c r="O31" i="26"/>
  <c r="O8" i="27"/>
  <c r="O38" i="27"/>
  <c r="O14" i="28"/>
  <c r="O21" i="28"/>
  <c r="O10" i="29"/>
  <c r="O35" i="29"/>
  <c r="O16" i="31"/>
  <c r="O31" i="31"/>
  <c r="O25" i="27"/>
  <c r="O26" i="27"/>
  <c r="O27" i="27"/>
  <c r="O13" i="28"/>
  <c r="O20" i="28"/>
  <c r="O38" i="28"/>
  <c r="O7" i="29"/>
  <c r="O8" i="29"/>
  <c r="O11" i="29"/>
  <c r="O13" i="29"/>
  <c r="O16" i="29"/>
  <c r="O18" i="29"/>
  <c r="O31" i="29"/>
  <c r="O34" i="29"/>
  <c r="O37" i="29"/>
  <c r="O38" i="29"/>
  <c r="O39" i="29"/>
  <c r="O40" i="29"/>
  <c r="O41" i="29"/>
  <c r="O5" i="30"/>
  <c r="O9" i="30"/>
  <c r="O11" i="30"/>
  <c r="O22" i="30"/>
  <c r="O23" i="30"/>
  <c r="O24" i="30"/>
  <c r="O7" i="31"/>
  <c r="O11" i="31"/>
  <c r="O18" i="31"/>
  <c r="O20" i="31"/>
  <c r="O21" i="31"/>
  <c r="O24" i="31"/>
  <c r="O28" i="31"/>
  <c r="O29" i="31"/>
  <c r="O30" i="31"/>
  <c r="O37" i="31"/>
  <c r="O38" i="31"/>
  <c r="O39" i="31"/>
  <c r="O40" i="31"/>
  <c r="O41" i="31"/>
  <c r="O3" i="29"/>
  <c r="O33" i="29"/>
  <c r="O4" i="30"/>
  <c r="O15" i="30"/>
  <c r="O4" i="31"/>
  <c r="O23" i="31"/>
  <c r="O35" i="31"/>
  <c r="O36" i="31"/>
  <c r="O23" i="5"/>
  <c r="O22" i="5"/>
  <c r="O4" i="7"/>
  <c r="O20" i="7"/>
  <c r="O15" i="11"/>
  <c r="O7" i="12"/>
  <c r="O9" i="12"/>
  <c r="O10" i="12"/>
  <c r="O13" i="12"/>
  <c r="O6" i="14"/>
  <c r="O11" i="14"/>
  <c r="O14" i="14"/>
  <c r="O3" i="15"/>
  <c r="O8" i="15"/>
  <c r="O11" i="16"/>
  <c r="O18" i="10"/>
  <c r="O3" i="11"/>
  <c r="O5" i="11"/>
  <c r="O8" i="11"/>
  <c r="O31" i="11"/>
  <c r="O15" i="12"/>
  <c r="O19" i="12"/>
  <c r="O22" i="12"/>
  <c r="O24" i="12"/>
  <c r="O29" i="12"/>
  <c r="O37" i="12"/>
  <c r="O4" i="13"/>
  <c r="O30" i="13"/>
  <c r="O37" i="13"/>
  <c r="O21" i="14"/>
  <c r="O28" i="14"/>
  <c r="O30" i="14"/>
  <c r="O33" i="14"/>
  <c r="O17" i="15"/>
  <c r="O23" i="15"/>
  <c r="O30" i="15"/>
  <c r="O33" i="15"/>
  <c r="O18" i="16"/>
  <c r="O21" i="16"/>
  <c r="O26" i="16"/>
  <c r="O32" i="16"/>
  <c r="O10" i="17"/>
  <c r="O24" i="17"/>
  <c r="O18" i="18"/>
  <c r="O21" i="18"/>
  <c r="O9" i="19"/>
  <c r="O11" i="19"/>
  <c r="O30" i="19"/>
  <c r="O41" i="19"/>
  <c r="O30" i="20"/>
  <c r="O35" i="20"/>
  <c r="O11" i="21"/>
  <c r="O10" i="22"/>
  <c r="O19" i="22"/>
  <c r="O22" i="22"/>
  <c r="O32" i="22"/>
  <c r="O9" i="23"/>
  <c r="O12" i="23"/>
  <c r="O23" i="23"/>
  <c r="O31" i="23"/>
  <c r="O12" i="17"/>
  <c r="O13" i="17"/>
  <c r="O3" i="18"/>
  <c r="O4" i="18"/>
  <c r="O8" i="18"/>
  <c r="O11" i="18"/>
  <c r="O14" i="18"/>
  <c r="O30" i="18"/>
  <c r="O3" i="19"/>
  <c r="O18" i="19"/>
  <c r="O6" i="20"/>
  <c r="O3" i="21"/>
  <c r="O5" i="22"/>
  <c r="O13" i="22"/>
  <c r="O34" i="23"/>
  <c r="O35" i="23"/>
  <c r="O36" i="23"/>
  <c r="O26" i="24"/>
  <c r="O5" i="17"/>
  <c r="O32" i="17"/>
  <c r="O37" i="17"/>
  <c r="O32" i="18"/>
  <c r="O34" i="18"/>
  <c r="O35" i="18"/>
  <c r="O36" i="18"/>
  <c r="O6" i="19"/>
  <c r="O20" i="19"/>
  <c r="O25" i="19"/>
  <c r="O27" i="19"/>
  <c r="O35" i="19"/>
  <c r="O17" i="20"/>
  <c r="O18" i="21"/>
  <c r="O38" i="21"/>
  <c r="O36" i="22"/>
  <c r="O16" i="23"/>
  <c r="O26" i="23"/>
  <c r="O7" i="24"/>
  <c r="O25" i="24"/>
  <c r="O16" i="28"/>
  <c r="O9" i="29"/>
  <c r="O12" i="29"/>
  <c r="O22" i="29"/>
  <c r="O23" i="29"/>
  <c r="O24" i="29"/>
  <c r="O12" i="30"/>
  <c r="O16" i="30"/>
  <c r="O31" i="30"/>
  <c r="O17" i="31"/>
  <c r="O32" i="31"/>
  <c r="O33" i="31"/>
  <c r="O34" i="31"/>
  <c r="O8" i="24"/>
  <c r="O20" i="24"/>
  <c r="O21" i="24"/>
  <c r="O22" i="25"/>
  <c r="O23" i="25"/>
  <c r="O24" i="25"/>
  <c r="O12" i="26"/>
  <c r="O22" i="26"/>
  <c r="O37" i="26"/>
  <c r="O38" i="26"/>
  <c r="O39" i="26"/>
  <c r="O40" i="26"/>
  <c r="O41" i="26"/>
  <c r="O6" i="27"/>
  <c r="O10" i="27"/>
  <c r="O13" i="27"/>
  <c r="O19" i="27"/>
  <c r="O9" i="28"/>
  <c r="O12" i="28"/>
  <c r="O18" i="28"/>
  <c r="O25" i="28"/>
  <c r="O26" i="28"/>
  <c r="O27" i="28"/>
  <c r="O41" i="28"/>
  <c r="O28" i="29"/>
  <c r="O29" i="29"/>
  <c r="O30" i="29"/>
  <c r="O7" i="30"/>
  <c r="O18" i="30"/>
  <c r="O37" i="30"/>
  <c r="O38" i="30"/>
  <c r="O39" i="30"/>
  <c r="O40" i="30"/>
  <c r="O41" i="30"/>
  <c r="O6" i="31"/>
  <c r="O10" i="31"/>
  <c r="O13" i="31"/>
  <c r="O19" i="31"/>
  <c r="O15" i="25"/>
  <c r="O28" i="25"/>
  <c r="O29" i="25"/>
  <c r="O30" i="25"/>
  <c r="O7" i="26"/>
  <c r="O22" i="27"/>
  <c r="O23" i="27"/>
  <c r="O24" i="27"/>
  <c r="O32" i="29"/>
  <c r="O14" i="31"/>
  <c r="O22" i="31"/>
  <c r="O14" i="29"/>
  <c r="O3" i="30"/>
  <c r="O15" i="31"/>
  <c r="O15" i="29"/>
  <c r="O8" i="30"/>
  <c r="O5" i="31"/>
  <c r="O12" i="19"/>
  <c r="O22" i="18"/>
  <c r="O9" i="24"/>
  <c r="O11" i="24"/>
  <c r="O14" i="25"/>
  <c r="O3" i="26"/>
  <c r="O27" i="26"/>
  <c r="O12" i="24"/>
  <c r="O4" i="25"/>
  <c r="O8" i="26"/>
  <c r="O14" i="27"/>
  <c r="O3" i="28"/>
  <c r="O4" i="27"/>
  <c r="O8" i="28"/>
  <c r="O11" i="28"/>
  <c r="I8" i="2"/>
  <c r="I9" i="2"/>
  <c r="I10" i="2"/>
  <c r="I12" i="2"/>
  <c r="I13" i="2"/>
  <c r="I15" i="2"/>
  <c r="I17" i="2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Z28" i="2"/>
  <c r="N28" i="2"/>
  <c r="Z27" i="2"/>
  <c r="N27" i="2"/>
  <c r="Z26" i="2"/>
  <c r="N26" i="2"/>
  <c r="Z25" i="2"/>
  <c r="N25" i="2"/>
  <c r="Z24" i="2"/>
  <c r="N24" i="2"/>
  <c r="Z23" i="2"/>
  <c r="N23" i="2"/>
  <c r="Z22" i="2"/>
  <c r="N22" i="2"/>
  <c r="Z21" i="2"/>
  <c r="N21" i="2"/>
  <c r="Z20" i="2"/>
  <c r="N20" i="2"/>
  <c r="Z19" i="2"/>
  <c r="N19" i="2"/>
  <c r="Z18" i="2"/>
  <c r="N18" i="2"/>
  <c r="Z17" i="2"/>
  <c r="N17" i="2"/>
  <c r="Z16" i="2"/>
  <c r="N16" i="2"/>
  <c r="I16" i="2"/>
  <c r="Z15" i="2"/>
  <c r="N15" i="2"/>
  <c r="Z14" i="2"/>
  <c r="N14" i="2"/>
  <c r="Z13" i="2"/>
  <c r="AA13" i="2" s="1"/>
  <c r="N13" i="2"/>
  <c r="Z12" i="2"/>
  <c r="N12" i="2"/>
  <c r="Z11" i="2"/>
  <c r="N11" i="2"/>
  <c r="Z10" i="2"/>
  <c r="N10" i="2"/>
  <c r="Z9" i="2"/>
  <c r="N9" i="2"/>
  <c r="Z8" i="2"/>
  <c r="N8" i="2"/>
  <c r="Z7" i="2"/>
  <c r="AA7" i="2" s="1"/>
  <c r="N7" i="2"/>
  <c r="I7" i="2"/>
  <c r="Z6" i="2"/>
  <c r="N6" i="2"/>
  <c r="I6" i="2"/>
  <c r="Z5" i="2"/>
  <c r="AA5" i="2" s="1"/>
  <c r="N5" i="2"/>
  <c r="I5" i="2"/>
  <c r="Z4" i="2"/>
  <c r="N4" i="2"/>
  <c r="I4" i="2"/>
  <c r="Z3" i="2"/>
  <c r="AA3" i="2" s="1"/>
  <c r="T3" i="2"/>
  <c r="V3" i="2" s="1"/>
  <c r="N3" i="2"/>
  <c r="I3" i="2"/>
  <c r="Z41" i="1"/>
  <c r="N41" i="1"/>
  <c r="I41" i="1"/>
  <c r="D41" i="1"/>
  <c r="C41" i="1"/>
  <c r="Z40" i="1"/>
  <c r="T40" i="1"/>
  <c r="N40" i="1"/>
  <c r="H40" i="1"/>
  <c r="I40" i="1" s="1"/>
  <c r="Z39" i="1"/>
  <c r="T39" i="1"/>
  <c r="V39" i="1" s="1"/>
  <c r="N39" i="1"/>
  <c r="H39" i="1"/>
  <c r="I39" i="1" s="1"/>
  <c r="Z38" i="1"/>
  <c r="T38" i="1"/>
  <c r="V38" i="1" s="1"/>
  <c r="N38" i="1"/>
  <c r="H38" i="1"/>
  <c r="D38" i="1"/>
  <c r="C38" i="1"/>
  <c r="Z37" i="1"/>
  <c r="T37" i="1"/>
  <c r="N37" i="1"/>
  <c r="H37" i="1"/>
  <c r="D37" i="1"/>
  <c r="C37" i="1"/>
  <c r="Z36" i="1"/>
  <c r="AA36" i="1" s="1"/>
  <c r="T36" i="1"/>
  <c r="N36" i="1"/>
  <c r="H36" i="1"/>
  <c r="I36" i="1" s="1"/>
  <c r="D36" i="1"/>
  <c r="O36" i="1" s="1"/>
  <c r="C36" i="1"/>
  <c r="Z35" i="1"/>
  <c r="V35" i="1"/>
  <c r="N35" i="1"/>
  <c r="H35" i="1"/>
  <c r="I35" i="1" s="1"/>
  <c r="D35" i="1"/>
  <c r="C35" i="1"/>
  <c r="Z34" i="1"/>
  <c r="N34" i="1"/>
  <c r="H34" i="1"/>
  <c r="I34" i="1" s="1"/>
  <c r="D34" i="1"/>
  <c r="C34" i="1"/>
  <c r="Z33" i="1"/>
  <c r="N33" i="1"/>
  <c r="I33" i="1"/>
  <c r="H33" i="1"/>
  <c r="D33" i="1"/>
  <c r="C33" i="1"/>
  <c r="Z32" i="1"/>
  <c r="T32" i="1"/>
  <c r="R32" i="1"/>
  <c r="N32" i="1"/>
  <c r="O32" i="1" s="1"/>
  <c r="I32" i="1"/>
  <c r="D32" i="1"/>
  <c r="C32" i="1"/>
  <c r="AA31" i="1"/>
  <c r="Z31" i="1"/>
  <c r="T31" i="1"/>
  <c r="V31" i="1" s="1"/>
  <c r="R31" i="1"/>
  <c r="N31" i="1"/>
  <c r="I31" i="1"/>
  <c r="D31" i="1"/>
  <c r="C31" i="1"/>
  <c r="Z30" i="1"/>
  <c r="AA30" i="1" s="1"/>
  <c r="T30" i="1"/>
  <c r="R30" i="1"/>
  <c r="N30" i="1"/>
  <c r="I30" i="1"/>
  <c r="H30" i="1"/>
  <c r="D30" i="1"/>
  <c r="C30" i="1"/>
  <c r="Z29" i="1"/>
  <c r="T29" i="1"/>
  <c r="R29" i="1"/>
  <c r="N29" i="1"/>
  <c r="H29" i="1"/>
  <c r="I29" i="1" s="1"/>
  <c r="D29" i="1"/>
  <c r="O29" i="1" s="1"/>
  <c r="C29" i="1"/>
  <c r="Z28" i="1"/>
  <c r="T28" i="1"/>
  <c r="N28" i="1"/>
  <c r="H28" i="1"/>
  <c r="I28" i="1" s="1"/>
  <c r="D28" i="1"/>
  <c r="C28" i="1"/>
  <c r="Z27" i="1"/>
  <c r="AA27" i="1" s="1"/>
  <c r="T27" i="1"/>
  <c r="N27" i="1"/>
  <c r="O27" i="1" s="1"/>
  <c r="H27" i="1"/>
  <c r="I27" i="1" s="1"/>
  <c r="Z26" i="1"/>
  <c r="T26" i="1"/>
  <c r="N26" i="1"/>
  <c r="O26" i="1" s="1"/>
  <c r="H26" i="1"/>
  <c r="I26" i="1" s="1"/>
  <c r="Z25" i="1"/>
  <c r="O25" i="1"/>
  <c r="N25" i="1"/>
  <c r="H25" i="1"/>
  <c r="D25" i="1"/>
  <c r="C25" i="1"/>
  <c r="Z24" i="1"/>
  <c r="AA24" i="1" s="1"/>
  <c r="T24" i="1"/>
  <c r="N24" i="1"/>
  <c r="O24" i="1" s="1"/>
  <c r="H24" i="1"/>
  <c r="D24" i="1"/>
  <c r="C24" i="1"/>
  <c r="Z23" i="1"/>
  <c r="T23" i="1"/>
  <c r="V23" i="1" s="1"/>
  <c r="O23" i="1"/>
  <c r="N23" i="1"/>
  <c r="I23" i="1"/>
  <c r="D23" i="1"/>
  <c r="C23" i="1"/>
  <c r="Z22" i="1"/>
  <c r="T22" i="1"/>
  <c r="N22" i="1"/>
  <c r="I22" i="1"/>
  <c r="D22" i="1"/>
  <c r="C22" i="1"/>
  <c r="Z21" i="1"/>
  <c r="AA21" i="1" s="1"/>
  <c r="T21" i="1"/>
  <c r="N21" i="1"/>
  <c r="I21" i="1"/>
  <c r="D21" i="1"/>
  <c r="C21" i="1"/>
  <c r="Z20" i="1"/>
  <c r="N20" i="1"/>
  <c r="H20" i="1"/>
  <c r="D20" i="1"/>
  <c r="C20" i="1"/>
  <c r="Z19" i="1"/>
  <c r="AA19" i="1" s="1"/>
  <c r="T19" i="1"/>
  <c r="N19" i="1"/>
  <c r="H19" i="1"/>
  <c r="I19" i="1" s="1"/>
  <c r="D19" i="1"/>
  <c r="C19" i="1"/>
  <c r="Z18" i="1"/>
  <c r="AA18" i="1" s="1"/>
  <c r="T18" i="1"/>
  <c r="N18" i="1"/>
  <c r="H18" i="1"/>
  <c r="I18" i="1" s="1"/>
  <c r="D18" i="1"/>
  <c r="C18" i="1"/>
  <c r="Z17" i="1"/>
  <c r="AA17" i="1" s="1"/>
  <c r="N17" i="1"/>
  <c r="I17" i="1"/>
  <c r="H17" i="1"/>
  <c r="D17" i="1"/>
  <c r="C17" i="1"/>
  <c r="AA16" i="1"/>
  <c r="Z16" i="1"/>
  <c r="T16" i="1"/>
  <c r="V16" i="1" s="1"/>
  <c r="N16" i="1"/>
  <c r="I16" i="1"/>
  <c r="H16" i="1"/>
  <c r="D16" i="1"/>
  <c r="C16" i="1"/>
  <c r="AA15" i="1"/>
  <c r="Z15" i="1"/>
  <c r="T15" i="1"/>
  <c r="V15" i="1" s="1"/>
  <c r="N15" i="1"/>
  <c r="I15" i="1"/>
  <c r="D15" i="1"/>
  <c r="C15" i="1"/>
  <c r="Z14" i="1"/>
  <c r="AA14" i="1" s="1"/>
  <c r="T14" i="1"/>
  <c r="N14" i="1"/>
  <c r="D14" i="1"/>
  <c r="C14" i="1"/>
  <c r="AA13" i="1"/>
  <c r="Z13" i="1"/>
  <c r="T13" i="1"/>
  <c r="V13" i="1" s="1"/>
  <c r="N13" i="1"/>
  <c r="D13" i="1"/>
  <c r="C13" i="1"/>
  <c r="Z12" i="1"/>
  <c r="T12" i="1"/>
  <c r="N12" i="1"/>
  <c r="I12" i="1"/>
  <c r="D12" i="1"/>
  <c r="C12" i="1"/>
  <c r="AA11" i="1"/>
  <c r="Z11" i="1"/>
  <c r="T11" i="1"/>
  <c r="N11" i="1"/>
  <c r="I11" i="1"/>
  <c r="D11" i="1"/>
  <c r="C11" i="1"/>
  <c r="Z10" i="1"/>
  <c r="V10" i="1"/>
  <c r="N10" i="1"/>
  <c r="D10" i="1"/>
  <c r="C10" i="1"/>
  <c r="Z9" i="1"/>
  <c r="T9" i="1"/>
  <c r="V9" i="1" s="1"/>
  <c r="N9" i="1"/>
  <c r="D9" i="1"/>
  <c r="C9" i="1"/>
  <c r="Z8" i="1"/>
  <c r="AA8" i="1" s="1"/>
  <c r="N8" i="1"/>
  <c r="I8" i="1"/>
  <c r="D8" i="1"/>
  <c r="C8" i="1"/>
  <c r="Z7" i="1"/>
  <c r="AA7" i="1" s="1"/>
  <c r="T7" i="1"/>
  <c r="V7" i="1" s="1"/>
  <c r="N7" i="1"/>
  <c r="I7" i="1"/>
  <c r="D7" i="1"/>
  <c r="C7" i="1"/>
  <c r="Z6" i="1"/>
  <c r="N6" i="1"/>
  <c r="I6" i="1"/>
  <c r="Z5" i="1"/>
  <c r="AA5" i="1" s="1"/>
  <c r="T5" i="1"/>
  <c r="N5" i="1"/>
  <c r="I5" i="1"/>
  <c r="Z4" i="1"/>
  <c r="AA4" i="1" s="1"/>
  <c r="N4" i="1"/>
  <c r="I4" i="1"/>
  <c r="D4" i="1"/>
  <c r="C4" i="1"/>
  <c r="Z3" i="1"/>
  <c r="T3" i="1"/>
  <c r="V3" i="1" s="1"/>
  <c r="N3" i="1"/>
  <c r="I3" i="1"/>
  <c r="D3" i="1"/>
  <c r="C3" i="1"/>
  <c r="D25" i="5" l="1"/>
  <c r="O25" i="5" s="1"/>
  <c r="D22" i="6"/>
  <c r="D8" i="6"/>
  <c r="D24" i="5"/>
  <c r="O24" i="5" s="1"/>
  <c r="D23" i="6"/>
  <c r="D7" i="6"/>
  <c r="D8" i="5"/>
  <c r="O8" i="5" s="1"/>
  <c r="D5" i="4"/>
  <c r="D22" i="3"/>
  <c r="D26" i="2"/>
  <c r="D37" i="5"/>
  <c r="D9" i="5"/>
  <c r="O9" i="5" s="1"/>
  <c r="D25" i="4"/>
  <c r="D6" i="4"/>
  <c r="D23" i="3"/>
  <c r="D14" i="3"/>
  <c r="D27" i="2"/>
  <c r="D24" i="4"/>
  <c r="D13" i="3"/>
  <c r="O16" i="2"/>
  <c r="D28" i="6"/>
  <c r="O28" i="6" s="1"/>
  <c r="D4" i="6"/>
  <c r="D32" i="5"/>
  <c r="D20" i="5"/>
  <c r="O20" i="5" s="1"/>
  <c r="D3" i="6"/>
  <c r="D27" i="4"/>
  <c r="O27" i="4" s="1"/>
  <c r="D9" i="3"/>
  <c r="D11" i="5"/>
  <c r="D21" i="3"/>
  <c r="O21" i="3" s="1"/>
  <c r="D28" i="4"/>
  <c r="O28" i="4" s="1"/>
  <c r="D12" i="4"/>
  <c r="D28" i="2"/>
  <c r="D21" i="5"/>
  <c r="O21" i="5" s="1"/>
  <c r="D20" i="3"/>
  <c r="O20" i="3" s="1"/>
  <c r="C34" i="4"/>
  <c r="C28" i="5"/>
  <c r="C26" i="6"/>
  <c r="C18" i="4"/>
  <c r="C36" i="5"/>
  <c r="C33" i="4"/>
  <c r="C13" i="4"/>
  <c r="C27" i="6"/>
  <c r="C11" i="6"/>
  <c r="C35" i="5"/>
  <c r="C6" i="5"/>
  <c r="C8" i="3"/>
  <c r="C21" i="2"/>
  <c r="C20" i="2"/>
  <c r="C5" i="5"/>
  <c r="C32" i="4"/>
  <c r="C17" i="4"/>
  <c r="C27" i="3"/>
  <c r="C7" i="3"/>
  <c r="C15" i="2"/>
  <c r="C18" i="6"/>
  <c r="C27" i="5"/>
  <c r="C39" i="5"/>
  <c r="C12" i="5"/>
  <c r="C20" i="4"/>
  <c r="C18" i="3"/>
  <c r="C19" i="6"/>
  <c r="C26" i="5"/>
  <c r="C15" i="4"/>
  <c r="C19" i="3"/>
  <c r="C11" i="3"/>
  <c r="C17" i="2"/>
  <c r="C16" i="2"/>
  <c r="C21" i="4"/>
  <c r="O18" i="1"/>
  <c r="D26" i="6"/>
  <c r="D36" i="5"/>
  <c r="D27" i="6"/>
  <c r="D11" i="6"/>
  <c r="D35" i="5"/>
  <c r="D28" i="5"/>
  <c r="O28" i="5" s="1"/>
  <c r="D34" i="4"/>
  <c r="D33" i="4"/>
  <c r="D13" i="4"/>
  <c r="D6" i="5"/>
  <c r="D8" i="3"/>
  <c r="D5" i="5"/>
  <c r="D32" i="4"/>
  <c r="D17" i="4"/>
  <c r="O17" i="4" s="1"/>
  <c r="D27" i="3"/>
  <c r="O27" i="3" s="1"/>
  <c r="D7" i="3"/>
  <c r="D20" i="2"/>
  <c r="O20" i="2" s="1"/>
  <c r="D21" i="2"/>
  <c r="D18" i="4"/>
  <c r="O18" i="4" s="1"/>
  <c r="C12" i="2"/>
  <c r="C37" i="4"/>
  <c r="C21" i="6"/>
  <c r="C9" i="6"/>
  <c r="C20" i="6"/>
  <c r="C10" i="6"/>
  <c r="C3" i="5"/>
  <c r="C8" i="4"/>
  <c r="C17" i="3"/>
  <c r="C36" i="4"/>
  <c r="C16" i="4"/>
  <c r="C7" i="4"/>
  <c r="C16" i="3"/>
  <c r="C12" i="3"/>
  <c r="C31" i="5"/>
  <c r="C15" i="3"/>
  <c r="C25" i="2"/>
  <c r="C24" i="2"/>
  <c r="C4" i="5"/>
  <c r="C14" i="4"/>
  <c r="D15" i="2"/>
  <c r="D18" i="6"/>
  <c r="O18" i="6" s="1"/>
  <c r="D39" i="5"/>
  <c r="D19" i="6"/>
  <c r="O19" i="6" s="1"/>
  <c r="D26" i="5"/>
  <c r="O26" i="5" s="1"/>
  <c r="D27" i="5"/>
  <c r="O27" i="5" s="1"/>
  <c r="D15" i="4"/>
  <c r="O15" i="4" s="1"/>
  <c r="D19" i="3"/>
  <c r="O19" i="3" s="1"/>
  <c r="D11" i="3"/>
  <c r="D21" i="4"/>
  <c r="D16" i="2"/>
  <c r="D17" i="2"/>
  <c r="D12" i="5"/>
  <c r="D20" i="4"/>
  <c r="D18" i="3"/>
  <c r="O18" i="3" s="1"/>
  <c r="C13" i="2"/>
  <c r="C12" i="6"/>
  <c r="C18" i="5"/>
  <c r="C19" i="5"/>
  <c r="C33" i="5"/>
  <c r="C7" i="5"/>
  <c r="C26" i="4"/>
  <c r="C19" i="2"/>
  <c r="C31" i="4"/>
  <c r="C26" i="3"/>
  <c r="C18" i="2"/>
  <c r="C34" i="5"/>
  <c r="C9" i="4"/>
  <c r="C10" i="3"/>
  <c r="O31" i="1"/>
  <c r="O34" i="1"/>
  <c r="O17" i="2"/>
  <c r="O21" i="2"/>
  <c r="C11" i="2"/>
  <c r="C16" i="6"/>
  <c r="C30" i="5"/>
  <c r="C16" i="5"/>
  <c r="C15" i="6"/>
  <c r="C13" i="6"/>
  <c r="C29" i="5"/>
  <c r="C17" i="5"/>
  <c r="C28" i="3"/>
  <c r="C4" i="3"/>
  <c r="C29" i="4"/>
  <c r="C17" i="6"/>
  <c r="C13" i="5"/>
  <c r="C3" i="4"/>
  <c r="C3" i="3"/>
  <c r="C30" i="4"/>
  <c r="C4" i="4"/>
  <c r="D11" i="2"/>
  <c r="D15" i="6"/>
  <c r="D13" i="6"/>
  <c r="D13" i="5"/>
  <c r="D17" i="6"/>
  <c r="O17" i="6" s="1"/>
  <c r="D29" i="4"/>
  <c r="D17" i="5"/>
  <c r="O17" i="5" s="1"/>
  <c r="D3" i="4"/>
  <c r="O3" i="4" s="1"/>
  <c r="D16" i="6"/>
  <c r="O16" i="6" s="1"/>
  <c r="D30" i="5"/>
  <c r="D16" i="5"/>
  <c r="O16" i="5" s="1"/>
  <c r="D30" i="4"/>
  <c r="D4" i="4"/>
  <c r="O4" i="4" s="1"/>
  <c r="D4" i="3"/>
  <c r="D29" i="5"/>
  <c r="D28" i="3"/>
  <c r="D3" i="3"/>
  <c r="O16" i="1"/>
  <c r="O17" i="1"/>
  <c r="C23" i="6"/>
  <c r="C37" i="5"/>
  <c r="C7" i="6"/>
  <c r="C24" i="4"/>
  <c r="C13" i="3"/>
  <c r="C27" i="2"/>
  <c r="C22" i="6"/>
  <c r="C8" i="5"/>
  <c r="C5" i="4"/>
  <c r="C22" i="3"/>
  <c r="C8" i="6"/>
  <c r="C25" i="5"/>
  <c r="C9" i="5"/>
  <c r="C25" i="4"/>
  <c r="C26" i="2"/>
  <c r="C24" i="5"/>
  <c r="C6" i="4"/>
  <c r="C23" i="3"/>
  <c r="C14" i="3"/>
  <c r="C21" i="5"/>
  <c r="C28" i="6"/>
  <c r="C20" i="3"/>
  <c r="C32" i="5"/>
  <c r="C27" i="4"/>
  <c r="C9" i="3"/>
  <c r="C4" i="6"/>
  <c r="C11" i="5"/>
  <c r="C21" i="3"/>
  <c r="C28" i="2"/>
  <c r="C3" i="6"/>
  <c r="C20" i="5"/>
  <c r="C28" i="4"/>
  <c r="C12" i="4"/>
  <c r="D37" i="4"/>
  <c r="D20" i="6"/>
  <c r="O20" i="6" s="1"/>
  <c r="D10" i="6"/>
  <c r="D14" i="6"/>
  <c r="D38" i="5"/>
  <c r="D31" i="5"/>
  <c r="D9" i="6"/>
  <c r="D36" i="4"/>
  <c r="D16" i="4"/>
  <c r="D7" i="4"/>
  <c r="D16" i="3"/>
  <c r="O16" i="3" s="1"/>
  <c r="D12" i="3"/>
  <c r="D21" i="6"/>
  <c r="O21" i="6" s="1"/>
  <c r="D35" i="4"/>
  <c r="D19" i="4"/>
  <c r="O19" i="4" s="1"/>
  <c r="D15" i="3"/>
  <c r="D4" i="5"/>
  <c r="D14" i="4"/>
  <c r="D24" i="2"/>
  <c r="D25" i="2"/>
  <c r="D10" i="5"/>
  <c r="D3" i="5"/>
  <c r="D8" i="4"/>
  <c r="D17" i="3"/>
  <c r="O17" i="3" s="1"/>
  <c r="D34" i="5"/>
  <c r="D33" i="5"/>
  <c r="D12" i="6"/>
  <c r="D18" i="5"/>
  <c r="O18" i="5" s="1"/>
  <c r="D31" i="4"/>
  <c r="D26" i="3"/>
  <c r="O26" i="3" s="1"/>
  <c r="D18" i="2"/>
  <c r="O18" i="2" s="1"/>
  <c r="D9" i="4"/>
  <c r="D10" i="3"/>
  <c r="D19" i="2"/>
  <c r="O19" i="2" s="1"/>
  <c r="D19" i="5"/>
  <c r="O19" i="5" s="1"/>
  <c r="D7" i="5"/>
  <c r="D26" i="4"/>
  <c r="O28" i="1"/>
  <c r="O30" i="1"/>
  <c r="O33" i="1"/>
  <c r="O35" i="1"/>
  <c r="C5" i="2"/>
  <c r="C6" i="2"/>
  <c r="D5" i="2"/>
  <c r="D6" i="2"/>
  <c r="C4" i="2"/>
  <c r="C3" i="2"/>
  <c r="D8" i="2"/>
  <c r="D7" i="2"/>
  <c r="O7" i="1"/>
  <c r="D4" i="2"/>
  <c r="D3" i="2"/>
  <c r="C8" i="2"/>
  <c r="C7" i="2"/>
  <c r="D12" i="2"/>
  <c r="D14" i="2"/>
  <c r="O15" i="1"/>
  <c r="D13" i="2"/>
  <c r="O20" i="1"/>
  <c r="O22" i="1"/>
  <c r="O19" i="1"/>
  <c r="O21" i="1"/>
  <c r="O8" i="1"/>
  <c r="O10" i="1"/>
</calcChain>
</file>

<file path=xl/sharedStrings.xml><?xml version="1.0" encoding="utf-8"?>
<sst xmlns="http://schemas.openxmlformats.org/spreadsheetml/2006/main" count="2000" uniqueCount="97">
  <si>
    <t>شيت دخول وخروج السيارات أبو محرم عن يوم الخميس الموافق 19/2/2026</t>
  </si>
  <si>
    <t>م</t>
  </si>
  <si>
    <t>رقم
 السيارة</t>
  </si>
  <si>
    <t>نوع
 السيارة</t>
  </si>
  <si>
    <t>الزمن المعيارى للتحميل</t>
  </si>
  <si>
    <t>اسم
 الفرع</t>
  </si>
  <si>
    <t>اسم
 السائق</t>
  </si>
  <si>
    <t>وقت الحضور المقرر</t>
  </si>
  <si>
    <t>الحضور فعلى</t>
  </si>
  <si>
    <t>مدة التأخير</t>
  </si>
  <si>
    <t>دخول
 الكيدج</t>
  </si>
  <si>
    <t>نزول من
 الكيدج</t>
  </si>
  <si>
    <t>أخصائى الدفترى</t>
  </si>
  <si>
    <t>أخصائى السيستم</t>
  </si>
  <si>
    <t>مدة التحميل</t>
  </si>
  <si>
    <t>مدة انحراف التحميل</t>
  </si>
  <si>
    <t>الزمن المعيارى لنزول الاذن</t>
  </si>
  <si>
    <t>وقت نزول
 الاذن</t>
  </si>
  <si>
    <t>مدة انحراف نزول الاذن</t>
  </si>
  <si>
    <t>خروج من
 المصنع</t>
  </si>
  <si>
    <t>الزمن المعيارى
لدخول الفرع</t>
  </si>
  <si>
    <t xml:space="preserve">دخول
 الفرع </t>
  </si>
  <si>
    <t>مدة انحراف دخول الفرع</t>
  </si>
  <si>
    <t>الزمن المعيارى
لنزول المنتجات</t>
  </si>
  <si>
    <t>فتح
 السياره</t>
  </si>
  <si>
    <t>غلق
 السياره</t>
  </si>
  <si>
    <t>الوقت المستغرق</t>
  </si>
  <si>
    <t>مدة انحراف نزول المنتجات فى الفرع</t>
  </si>
  <si>
    <t>خروج من
 الفرع</t>
  </si>
  <si>
    <t>ملاحظات</t>
  </si>
  <si>
    <t>اول جمال</t>
  </si>
  <si>
    <t>ابراهيم محمود</t>
  </si>
  <si>
    <t>رحلة اولى ( شرقى ومخبوزات وغربى )</t>
  </si>
  <si>
    <t>السلام</t>
  </si>
  <si>
    <t>تلتين</t>
  </si>
  <si>
    <t>الشارع</t>
  </si>
  <si>
    <t>مصطفي عادل</t>
  </si>
  <si>
    <t>التعاون</t>
  </si>
  <si>
    <t>الشروق</t>
  </si>
  <si>
    <t>احمد اشرف</t>
  </si>
  <si>
    <t>بدر</t>
  </si>
  <si>
    <t>العبور</t>
  </si>
  <si>
    <t>ممدوح عبد العال</t>
  </si>
  <si>
    <t>بافاريا</t>
  </si>
  <si>
    <t>مجدي صبحي</t>
  </si>
  <si>
    <t>مسرة</t>
  </si>
  <si>
    <t>محمد احمد</t>
  </si>
  <si>
    <t>العباسية</t>
  </si>
  <si>
    <t>محمد ابراهيم</t>
  </si>
  <si>
    <t>اللبيني</t>
  </si>
  <si>
    <t>محمد صديق</t>
  </si>
  <si>
    <t>ترسا</t>
  </si>
  <si>
    <t>بورسعيد</t>
  </si>
  <si>
    <t>حسن علي</t>
  </si>
  <si>
    <t>رحلة ثانية ( شرقى وغربى ومخبوزات )</t>
  </si>
  <si>
    <t>رحلة ثالثة ( شرقى وغربى ومخبوزات )</t>
  </si>
  <si>
    <t>شيت دخول وخروج السيارات أبو محرم</t>
  </si>
  <si>
    <t>تويوتا</t>
  </si>
  <si>
    <t>النزهة</t>
  </si>
  <si>
    <t>اسلام سلطان</t>
  </si>
  <si>
    <t>ممدوح عبدالعال</t>
  </si>
  <si>
    <t>مصطفى عادل</t>
  </si>
  <si>
    <t>احمد السعيد</t>
  </si>
  <si>
    <t>احمد جمعة</t>
  </si>
  <si>
    <t>كريم سمير</t>
  </si>
  <si>
    <t>اسلام حمدان</t>
  </si>
  <si>
    <t>عمرو محمد</t>
  </si>
  <si>
    <t>عبدالمنعم</t>
  </si>
  <si>
    <t>محمد هشام</t>
  </si>
  <si>
    <t>خالد عبدالسلام</t>
  </si>
  <si>
    <t>احمد سعيد</t>
  </si>
  <si>
    <t>احمد صادق</t>
  </si>
  <si>
    <t>ايمن عبدالقادر</t>
  </si>
  <si>
    <t>علي ممدوح</t>
  </si>
  <si>
    <t>احمدالسعيد</t>
  </si>
  <si>
    <t>حسام سلامه</t>
  </si>
  <si>
    <t>اللبينى</t>
  </si>
  <si>
    <t>حسن على</t>
  </si>
  <si>
    <t>خالد عبد السلام</t>
  </si>
  <si>
    <t>مجدى صبحى</t>
  </si>
  <si>
    <t>احمد الشحات</t>
  </si>
  <si>
    <t>مصطفى احمد</t>
  </si>
  <si>
    <t>على ممدوح</t>
  </si>
  <si>
    <t>محمود على</t>
  </si>
  <si>
    <t>لا يوجد</t>
  </si>
  <si>
    <t>احمد عبد المنعم</t>
  </si>
  <si>
    <t xml:space="preserve">اول جمال </t>
  </si>
  <si>
    <t>نزهه</t>
  </si>
  <si>
    <t>احمدجمعه</t>
  </si>
  <si>
    <t>محمداحمد</t>
  </si>
  <si>
    <t>ايمن سعيد</t>
  </si>
  <si>
    <t>أول جمال</t>
  </si>
  <si>
    <t>ايمن عبد القادر</t>
  </si>
  <si>
    <t xml:space="preserve">خالد عبد السلام </t>
  </si>
  <si>
    <t>محمود علي</t>
  </si>
  <si>
    <t>دبابة</t>
  </si>
  <si>
    <t>احمد عبدالمنعم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</si>
</sst>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20" fontId="3" fillId="4" borderId="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20" fontId="3" fillId="4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20" fontId="3" fillId="4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0" borderId="0" xfId="0" applyFill="1"/>
    <xf numFmtId="164" fontId="0" fillId="0" borderId="0" xfId="0" applyNumberFormat="1"/>
    <xf numFmtId="0" fontId="0" fillId="0" borderId="0" xfId="0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20" fontId="3" fillId="4" borderId="19" xfId="0" applyNumberFormat="1" applyFont="1" applyFill="1" applyBorder="1" applyAlignment="1">
      <alignment horizontal="center" vertical="center"/>
    </xf>
    <xf numFmtId="20" fontId="3" fillId="4" borderId="20" xfId="0" applyNumberFormat="1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20" fontId="3" fillId="3" borderId="8" xfId="0" applyNumberFormat="1" applyFont="1" applyFill="1" applyBorder="1" applyAlignment="1">
      <alignment horizontal="center" vertical="center"/>
    </xf>
    <xf numFmtId="20" fontId="3" fillId="4" borderId="25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textRotation="90"/>
    </xf>
    <xf numFmtId="0" fontId="2" fillId="5" borderId="10" xfId="0" applyFont="1" applyFill="1" applyBorder="1" applyAlignment="1">
      <alignment horizontal="center" vertical="center" textRotation="90"/>
    </xf>
    <xf numFmtId="0" fontId="2" fillId="5" borderId="13" xfId="0" applyFont="1" applyFill="1" applyBorder="1" applyAlignment="1">
      <alignment horizontal="center" vertical="center" textRotation="90"/>
    </xf>
    <xf numFmtId="0" fontId="1" fillId="5" borderId="14" xfId="0" applyFont="1" applyFill="1" applyBorder="1" applyAlignment="1">
      <alignment horizontal="center" vertical="center" textRotation="90"/>
    </xf>
    <xf numFmtId="0" fontId="1" fillId="5" borderId="15" xfId="0" applyFont="1" applyFill="1" applyBorder="1" applyAlignment="1">
      <alignment horizontal="center" vertical="center" textRotation="90"/>
    </xf>
    <xf numFmtId="0" fontId="1" fillId="5" borderId="16" xfId="0" applyFont="1" applyFill="1" applyBorder="1" applyAlignment="1">
      <alignment horizontal="center" vertical="center" textRotation="90"/>
    </xf>
    <xf numFmtId="0" fontId="2" fillId="5" borderId="5" xfId="0" applyFont="1" applyFill="1" applyBorder="1" applyAlignment="1">
      <alignment horizontal="center" vertical="center" textRotation="90"/>
    </xf>
    <xf numFmtId="0" fontId="2" fillId="5" borderId="9" xfId="0" applyFont="1" applyFill="1" applyBorder="1" applyAlignment="1">
      <alignment horizontal="center" vertical="center" textRotation="90"/>
    </xf>
    <xf numFmtId="0" fontId="2" fillId="5" borderId="12" xfId="0" applyFont="1" applyFill="1" applyBorder="1" applyAlignment="1">
      <alignment horizontal="center" vertical="center" textRotation="90"/>
    </xf>
    <xf numFmtId="0" fontId="2" fillId="5" borderId="14" xfId="0" applyFont="1" applyFill="1" applyBorder="1" applyAlignment="1">
      <alignment horizontal="center" vertical="center" textRotation="90"/>
    </xf>
    <xf numFmtId="0" fontId="2" fillId="5" borderId="15" xfId="0" applyFont="1" applyFill="1" applyBorder="1" applyAlignment="1">
      <alignment horizontal="center" vertical="center" textRotation="90"/>
    </xf>
    <xf numFmtId="0" fontId="2" fillId="5" borderId="16" xfId="0" applyFont="1" applyFill="1" applyBorder="1" applyAlignment="1">
      <alignment horizontal="center" vertical="center" textRotation="90"/>
    </xf>
    <xf numFmtId="0" fontId="4" fillId="5" borderId="22" xfId="0" applyFont="1" applyFill="1" applyBorder="1" applyAlignment="1">
      <alignment horizontal="center" vertical="center" textRotation="90"/>
    </xf>
    <xf numFmtId="0" fontId="4" fillId="5" borderId="23" xfId="0" applyFont="1" applyFill="1" applyBorder="1" applyAlignment="1">
      <alignment horizontal="center" vertical="center" textRotation="90"/>
    </xf>
    <xf numFmtId="0" fontId="4" fillId="5" borderId="24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4" xfId="0" applyFont="1" applyFill="1" applyBorder="1" applyAlignment="1">
      <alignment horizontal="center" vertical="center" textRotation="90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8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folder\&#1588;&#1607;&#1585;%20&#1601;&#1576;&#1585;&#1575;&#1610;&#1585;%202026\&#1585;&#1589;&#1583;%20&#1571;&#1576;&#1608;%20&#1605;&#1581;&#1585;&#1605;\2&#1588;&#1610;&#1578;%20&#1583;&#1582;&#1608;&#1604;%20&#1608;&#1582;&#1585;&#1608;&#1580;%20&#1575;&#1604;&#1587;&#1610;&#1575;&#1585;&#1575;&#1578;%20&#1575;&#1576;&#1608;%20&#1605;&#1581;&#1585;&#1605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-1-2026"/>
      <sheetName val="22-1-2026"/>
      <sheetName val="23-1-2026"/>
      <sheetName val="24-1-2026"/>
      <sheetName val="25-1-2026"/>
      <sheetName val="26-1-2026"/>
      <sheetName val="27-1-2026"/>
      <sheetName val="28-1-2026"/>
      <sheetName val="29-1-2026"/>
      <sheetName val="30-1-2026"/>
      <sheetName val="31-1-2026"/>
      <sheetName val="1-2-2026"/>
      <sheetName val="2-2-2026"/>
      <sheetName val="3-2-2026"/>
      <sheetName val="4-2-2026"/>
      <sheetName val="5-2-2026"/>
      <sheetName val="6-2-2026"/>
      <sheetName val="7-2-2026"/>
      <sheetName val="8-2-2026"/>
      <sheetName val="9-2-2026"/>
      <sheetName val="10-2-2026"/>
      <sheetName val="11-2-2026"/>
      <sheetName val="12-2-2026"/>
      <sheetName val="13-2-2026"/>
      <sheetName val="14-2-2026"/>
      <sheetName val="15-2-2026"/>
      <sheetName val="16-2-2026"/>
      <sheetName val="17-2-2026"/>
      <sheetName val="18-2-2026"/>
      <sheetName val="19-2-2026"/>
      <sheetName val="20-2-2026"/>
    </sheetNames>
    <sheetDataSet>
      <sheetData sheetId="0" refreshError="1"/>
      <sheetData sheetId="1" refreshError="1">
        <row r="3">
          <cell r="B3">
            <v>249</v>
          </cell>
          <cell r="C3" t="str">
            <v>دبابة</v>
          </cell>
          <cell r="D3">
            <v>2.0833333333333332E-2</v>
          </cell>
          <cell r="E3" t="str">
            <v>أول جمال</v>
          </cell>
          <cell r="F3" t="str">
            <v>محمد إبراهيم</v>
          </cell>
          <cell r="G3">
            <v>0.25</v>
          </cell>
          <cell r="H3">
            <v>0.25694444444444442</v>
          </cell>
          <cell r="I3">
            <v>6.9444444444444198E-3</v>
          </cell>
          <cell r="J3">
            <v>0.26041666666666669</v>
          </cell>
          <cell r="K3">
            <v>0.28125</v>
          </cell>
          <cell r="L3" t="str">
            <v>اسلام حمدان</v>
          </cell>
          <cell r="M3" t="str">
            <v>كريم سمير</v>
          </cell>
          <cell r="N3">
            <v>2.0833333333333315E-2</v>
          </cell>
          <cell r="O3">
            <v>0</v>
          </cell>
          <cell r="P3">
            <v>6.9444444444444441E-3</v>
          </cell>
          <cell r="Q3">
            <v>0.28125</v>
          </cell>
          <cell r="R3">
            <v>0</v>
          </cell>
          <cell r="S3">
            <v>0.28125</v>
          </cell>
          <cell r="T3">
            <v>2.4305555555555556E-2</v>
          </cell>
        </row>
        <row r="4">
          <cell r="B4">
            <v>762</v>
          </cell>
          <cell r="C4" t="str">
            <v>دبابة</v>
          </cell>
          <cell r="D4">
            <v>2.0833333333333332E-2</v>
          </cell>
          <cell r="E4" t="str">
            <v>العبور</v>
          </cell>
          <cell r="F4" t="str">
            <v>مصطفي عادل</v>
          </cell>
          <cell r="G4">
            <v>0.25</v>
          </cell>
          <cell r="H4">
            <v>0.2673611111111111</v>
          </cell>
          <cell r="I4">
            <v>1.7361111111111105E-2</v>
          </cell>
          <cell r="J4">
            <v>0.26041666666666669</v>
          </cell>
          <cell r="K4">
            <v>0.27777777777777779</v>
          </cell>
          <cell r="L4" t="str">
            <v>اسلام حمدان</v>
          </cell>
          <cell r="M4" t="str">
            <v>كريم سمير</v>
          </cell>
          <cell r="N4">
            <v>1.7361111111111105E-2</v>
          </cell>
          <cell r="O4">
            <v>0</v>
          </cell>
          <cell r="P4">
            <v>6.9444444444444441E-3</v>
          </cell>
          <cell r="Q4">
            <v>0.27777777777777779</v>
          </cell>
          <cell r="R4">
            <v>0</v>
          </cell>
          <cell r="S4">
            <v>0.27777777777777779</v>
          </cell>
          <cell r="T4">
            <v>1.7361111111111112E-2</v>
          </cell>
        </row>
        <row r="5">
          <cell r="B5">
            <v>876</v>
          </cell>
          <cell r="C5" t="str">
            <v>دبابة</v>
          </cell>
          <cell r="D5">
            <v>2.0833333333333332E-2</v>
          </cell>
          <cell r="E5" t="str">
            <v>مسرة</v>
          </cell>
          <cell r="F5" t="str">
            <v>مجدي صبحي</v>
          </cell>
          <cell r="G5">
            <v>0.25</v>
          </cell>
          <cell r="H5">
            <v>0.25</v>
          </cell>
          <cell r="I5">
            <v>0</v>
          </cell>
          <cell r="J5">
            <v>0.27777777777777779</v>
          </cell>
          <cell r="K5">
            <v>0.28472222222222221</v>
          </cell>
          <cell r="L5" t="str">
            <v>اسلام حمدان</v>
          </cell>
          <cell r="M5" t="str">
            <v>كريم سمير</v>
          </cell>
          <cell r="N5">
            <v>6.9444444444444198E-3</v>
          </cell>
          <cell r="O5">
            <v>0</v>
          </cell>
          <cell r="P5">
            <v>6.9444444444444441E-3</v>
          </cell>
          <cell r="Q5">
            <v>0.2951388888888889</v>
          </cell>
          <cell r="R5">
            <v>3.4722222222222654E-3</v>
          </cell>
          <cell r="S5">
            <v>0.2951388888888889</v>
          </cell>
          <cell r="T5">
            <v>1.3888888888888888E-2</v>
          </cell>
        </row>
        <row r="6">
          <cell r="B6">
            <v>315</v>
          </cell>
          <cell r="C6" t="str">
            <v>دبابة</v>
          </cell>
          <cell r="D6">
            <v>2.0833333333333332E-2</v>
          </cell>
          <cell r="E6" t="str">
            <v>اللبيني</v>
          </cell>
          <cell r="F6" t="str">
            <v>محمد صديق</v>
          </cell>
          <cell r="G6">
            <v>0.25</v>
          </cell>
          <cell r="H6">
            <v>0.25</v>
          </cell>
          <cell r="I6">
            <v>0</v>
          </cell>
          <cell r="J6">
            <v>0.28125</v>
          </cell>
          <cell r="K6">
            <v>0.29166666666666669</v>
          </cell>
          <cell r="L6" t="str">
            <v>اسلام حمدان</v>
          </cell>
          <cell r="M6" t="str">
            <v>كريم سمير</v>
          </cell>
          <cell r="N6">
            <v>1.0416666666666685E-2</v>
          </cell>
          <cell r="O6">
            <v>0</v>
          </cell>
          <cell r="P6">
            <v>6.9444444444444441E-3</v>
          </cell>
          <cell r="Q6">
            <v>0.29166666666666669</v>
          </cell>
          <cell r="R6">
            <v>0</v>
          </cell>
          <cell r="S6">
            <v>0.29166666666666669</v>
          </cell>
          <cell r="T6">
            <v>4.1666666666666664E-2</v>
          </cell>
        </row>
        <row r="7">
          <cell r="B7">
            <v>315</v>
          </cell>
          <cell r="C7" t="str">
            <v>دبابة</v>
          </cell>
          <cell r="D7">
            <v>2.0833333333333332E-2</v>
          </cell>
          <cell r="E7" t="str">
            <v>ترسا</v>
          </cell>
          <cell r="F7" t="str">
            <v>محمد صديق</v>
          </cell>
          <cell r="G7">
            <v>0.25</v>
          </cell>
          <cell r="H7">
            <v>0.25</v>
          </cell>
          <cell r="I7">
            <v>0</v>
          </cell>
          <cell r="J7">
            <v>0.28125</v>
          </cell>
          <cell r="K7">
            <v>0.29166666666666669</v>
          </cell>
          <cell r="L7" t="str">
            <v>اسلام حمدان</v>
          </cell>
          <cell r="M7" t="str">
            <v>كريم سمير</v>
          </cell>
          <cell r="N7">
            <v>1.0416666666666685E-2</v>
          </cell>
          <cell r="O7">
            <v>0</v>
          </cell>
          <cell r="P7">
            <v>6.9444444444444441E-3</v>
          </cell>
          <cell r="Q7">
            <v>0.29166666666666669</v>
          </cell>
          <cell r="R7">
            <v>0</v>
          </cell>
          <cell r="S7">
            <v>0.29166666666666669</v>
          </cell>
          <cell r="T7">
            <v>6.9444444444444441E-3</v>
          </cell>
        </row>
        <row r="8">
          <cell r="B8">
            <v>529</v>
          </cell>
          <cell r="C8" t="str">
            <v>دبابة</v>
          </cell>
          <cell r="D8">
            <v>2.0833333333333332E-2</v>
          </cell>
          <cell r="E8" t="str">
            <v>السلام</v>
          </cell>
          <cell r="F8" t="str">
            <v>أحمد أشرف</v>
          </cell>
          <cell r="G8">
            <v>0.25</v>
          </cell>
          <cell r="H8">
            <v>0.24305555555555555</v>
          </cell>
          <cell r="I8">
            <v>0</v>
          </cell>
          <cell r="J8">
            <v>0.28472222222222221</v>
          </cell>
          <cell r="K8">
            <v>0.29166666666666669</v>
          </cell>
          <cell r="L8" t="str">
            <v>اسلام حمدان</v>
          </cell>
          <cell r="M8" t="str">
            <v>كريم سمير</v>
          </cell>
          <cell r="N8">
            <v>6.9444444444444753E-3</v>
          </cell>
          <cell r="O8">
            <v>0</v>
          </cell>
          <cell r="P8">
            <v>6.9444444444444441E-3</v>
          </cell>
          <cell r="Q8">
            <v>0.29166666666666669</v>
          </cell>
          <cell r="R8">
            <v>0</v>
          </cell>
          <cell r="S8">
            <v>0.29166666666666669</v>
          </cell>
          <cell r="T8">
            <v>2.7777777777777776E-2</v>
          </cell>
        </row>
        <row r="9">
          <cell r="B9">
            <v>539</v>
          </cell>
          <cell r="C9" t="str">
            <v>دبابة</v>
          </cell>
          <cell r="D9">
            <v>2.0833333333333332E-2</v>
          </cell>
          <cell r="E9" t="str">
            <v>العباسية</v>
          </cell>
          <cell r="F9" t="str">
            <v>محمد أحمد</v>
          </cell>
          <cell r="G9">
            <v>0.29166666666666669</v>
          </cell>
          <cell r="H9">
            <v>0.3125</v>
          </cell>
          <cell r="I9">
            <v>2.0833333333333315E-2</v>
          </cell>
          <cell r="J9">
            <v>0.29166666666666669</v>
          </cell>
          <cell r="K9">
            <v>0.2986111111111111</v>
          </cell>
          <cell r="L9" t="str">
            <v>اسلام حمدان</v>
          </cell>
          <cell r="M9" t="str">
            <v>كريم سمير</v>
          </cell>
          <cell r="N9">
            <v>6.9444444444444198E-3</v>
          </cell>
          <cell r="O9">
            <v>0</v>
          </cell>
          <cell r="P9">
            <v>6.9444444444444441E-3</v>
          </cell>
          <cell r="Q9">
            <v>0.30555555555555558</v>
          </cell>
          <cell r="R9">
            <v>0</v>
          </cell>
          <cell r="S9">
            <v>0.30555555555555558</v>
          </cell>
          <cell r="T9">
            <v>1.3888888888888888E-2</v>
          </cell>
        </row>
        <row r="10">
          <cell r="B10">
            <v>892</v>
          </cell>
          <cell r="C10" t="str">
            <v>تلتين</v>
          </cell>
          <cell r="D10">
            <v>3.125E-2</v>
          </cell>
          <cell r="E10" t="str">
            <v>الشارع</v>
          </cell>
          <cell r="F10" t="str">
            <v>إبراهيم محمود</v>
          </cell>
          <cell r="G10">
            <v>0.25</v>
          </cell>
          <cell r="H10">
            <v>0.2673611111111111</v>
          </cell>
          <cell r="I10">
            <v>1.7361111111111105E-2</v>
          </cell>
          <cell r="J10">
            <v>0.29166666666666669</v>
          </cell>
          <cell r="K10">
            <v>0.30208333333333331</v>
          </cell>
          <cell r="L10" t="str">
            <v>اسلام حمدان</v>
          </cell>
          <cell r="M10" t="str">
            <v>كريم سمير</v>
          </cell>
          <cell r="N10">
            <v>1.041666666666663E-2</v>
          </cell>
          <cell r="O10">
            <v>0</v>
          </cell>
          <cell r="P10">
            <v>6.9444444444444441E-3</v>
          </cell>
          <cell r="Q10">
            <v>0.31944444444444442</v>
          </cell>
          <cell r="R10">
            <v>1.0416666666666685E-2</v>
          </cell>
          <cell r="S10">
            <v>0.31944444444444442</v>
          </cell>
          <cell r="T10">
            <v>1.3888888888888888E-2</v>
          </cell>
        </row>
        <row r="11">
          <cell r="B11">
            <v>892</v>
          </cell>
          <cell r="C11" t="str">
            <v>تلتين</v>
          </cell>
          <cell r="D11">
            <v>3.125E-2</v>
          </cell>
          <cell r="E11" t="str">
            <v>التعاون</v>
          </cell>
          <cell r="F11" t="str">
            <v>إبراهيم محمود</v>
          </cell>
          <cell r="G11">
            <v>0.25</v>
          </cell>
          <cell r="H11">
            <v>0.2673611111111111</v>
          </cell>
          <cell r="I11">
            <v>1.7361111111111105E-2</v>
          </cell>
          <cell r="J11">
            <v>0.29166666666666669</v>
          </cell>
          <cell r="K11">
            <v>0.30208333333333331</v>
          </cell>
          <cell r="L11" t="str">
            <v>اسلام حمدان</v>
          </cell>
          <cell r="M11" t="str">
            <v>كريم سمير</v>
          </cell>
          <cell r="N11">
            <v>1.041666666666663E-2</v>
          </cell>
          <cell r="O11">
            <v>0</v>
          </cell>
          <cell r="P11">
            <v>6.9444444444444441E-3</v>
          </cell>
          <cell r="Q11">
            <v>0.31944444444444442</v>
          </cell>
          <cell r="R11">
            <v>1.0416666666666685E-2</v>
          </cell>
          <cell r="S11">
            <v>0.31944444444444442</v>
          </cell>
          <cell r="T11">
            <v>1.3888888888888888E-2</v>
          </cell>
        </row>
        <row r="12">
          <cell r="B12">
            <v>492</v>
          </cell>
          <cell r="C12" t="str">
            <v>دبابة</v>
          </cell>
          <cell r="D12">
            <v>2.0833333333333332E-2</v>
          </cell>
          <cell r="E12" t="str">
            <v>الشروق</v>
          </cell>
          <cell r="F12" t="str">
            <v>أيمن سعيد</v>
          </cell>
          <cell r="G12">
            <v>0.20833333333333334</v>
          </cell>
          <cell r="H12">
            <v>0.16666666666666666</v>
          </cell>
          <cell r="I12">
            <v>0</v>
          </cell>
          <cell r="J12">
            <v>0.2986111111111111</v>
          </cell>
          <cell r="K12">
            <v>0.30555555555555558</v>
          </cell>
          <cell r="L12" t="str">
            <v>اسلام حمدان</v>
          </cell>
          <cell r="M12" t="str">
            <v>كريم سمير</v>
          </cell>
          <cell r="N12">
            <v>6.9444444444444753E-3</v>
          </cell>
          <cell r="O12">
            <v>0</v>
          </cell>
          <cell r="P12">
            <v>6.9444444444444441E-3</v>
          </cell>
          <cell r="Q12">
            <v>0.30555555555555558</v>
          </cell>
          <cell r="R12">
            <v>0</v>
          </cell>
          <cell r="S12">
            <v>0.30555555555555558</v>
          </cell>
          <cell r="T12">
            <v>3.4722222222222224E-2</v>
          </cell>
        </row>
        <row r="13">
          <cell r="B13">
            <v>492</v>
          </cell>
          <cell r="C13" t="str">
            <v>دبابة</v>
          </cell>
          <cell r="D13">
            <v>2.0833333333333332E-2</v>
          </cell>
          <cell r="E13" t="str">
            <v>بورسعيد</v>
          </cell>
          <cell r="F13" t="str">
            <v>أيمن سعيد</v>
          </cell>
          <cell r="G13">
            <v>0.20833333333333334</v>
          </cell>
          <cell r="H13">
            <v>0.16666666666666666</v>
          </cell>
          <cell r="I13">
            <v>0</v>
          </cell>
          <cell r="J13">
            <v>0.2986111111111111</v>
          </cell>
          <cell r="K13">
            <v>0.30555555555555558</v>
          </cell>
          <cell r="L13" t="str">
            <v>احمد عبد المنعم</v>
          </cell>
          <cell r="M13" t="str">
            <v>مازن</v>
          </cell>
          <cell r="N13">
            <v>6.9444444444444753E-3</v>
          </cell>
          <cell r="O13">
            <v>0</v>
          </cell>
          <cell r="P13">
            <v>6.9444444444444441E-3</v>
          </cell>
          <cell r="Q13">
            <v>0.30555555555555558</v>
          </cell>
          <cell r="R13">
            <v>0</v>
          </cell>
          <cell r="S13">
            <v>0.30555555555555558</v>
          </cell>
          <cell r="T13">
            <v>3.472222222222222E-3</v>
          </cell>
        </row>
        <row r="14">
          <cell r="B14">
            <v>249</v>
          </cell>
          <cell r="C14" t="str">
            <v>دبابة</v>
          </cell>
          <cell r="D14">
            <v>2.0833333333333332E-2</v>
          </cell>
        </row>
        <row r="15">
          <cell r="B15">
            <v>249</v>
          </cell>
          <cell r="C15" t="str">
            <v>دبابة</v>
          </cell>
          <cell r="D15">
            <v>2.0833333333333332E-2</v>
          </cell>
        </row>
        <row r="16">
          <cell r="B16">
            <v>529</v>
          </cell>
          <cell r="C16" t="str">
            <v>دبابة</v>
          </cell>
          <cell r="D16">
            <v>2.0833333333333332E-2</v>
          </cell>
        </row>
        <row r="17">
          <cell r="B17">
            <v>762</v>
          </cell>
          <cell r="C17" t="str">
            <v>دبابة</v>
          </cell>
          <cell r="D17">
            <v>2.0833333333333332E-2</v>
          </cell>
        </row>
        <row r="18">
          <cell r="B18">
            <v>492</v>
          </cell>
          <cell r="C18" t="str">
            <v>دبابة</v>
          </cell>
          <cell r="D18">
            <v>2.0833333333333332E-2</v>
          </cell>
        </row>
        <row r="19">
          <cell r="B19">
            <v>892</v>
          </cell>
          <cell r="C19" t="str">
            <v>تلتين</v>
          </cell>
          <cell r="D19">
            <v>3.125E-2</v>
          </cell>
        </row>
        <row r="20">
          <cell r="B20">
            <v>892</v>
          </cell>
          <cell r="C20" t="str">
            <v>تلتين</v>
          </cell>
          <cell r="D20">
            <v>3.125E-2</v>
          </cell>
        </row>
        <row r="21">
          <cell r="B21">
            <v>539</v>
          </cell>
          <cell r="C21" t="str">
            <v>دبابة</v>
          </cell>
          <cell r="D21">
            <v>2.0833333333333332E-2</v>
          </cell>
        </row>
        <row r="22">
          <cell r="B22">
            <v>539</v>
          </cell>
          <cell r="C22" t="str">
            <v>دبابة</v>
          </cell>
          <cell r="D22">
            <v>2.0833333333333332E-2</v>
          </cell>
        </row>
        <row r="23">
          <cell r="B23">
            <v>876</v>
          </cell>
          <cell r="C23" t="str">
            <v>دبابة</v>
          </cell>
          <cell r="D23">
            <v>2.0833333333333332E-2</v>
          </cell>
        </row>
        <row r="24">
          <cell r="B24">
            <v>315</v>
          </cell>
          <cell r="C24" t="str">
            <v>دبابة</v>
          </cell>
          <cell r="D24">
            <v>2.0833333333333332E-2</v>
          </cell>
        </row>
        <row r="25">
          <cell r="B25">
            <v>0</v>
          </cell>
          <cell r="C25">
            <v>0</v>
          </cell>
          <cell r="D25">
            <v>0</v>
          </cell>
        </row>
        <row r="26">
          <cell r="B26">
            <v>0</v>
          </cell>
          <cell r="C26" t="e">
            <v>#N/A</v>
          </cell>
          <cell r="D26" t="e">
            <v>#N/A</v>
          </cell>
        </row>
        <row r="27">
          <cell r="B27">
            <v>762</v>
          </cell>
          <cell r="C27" t="str">
            <v>دبابة</v>
          </cell>
          <cell r="D27">
            <v>2.0833333333333332E-2</v>
          </cell>
          <cell r="E27" t="str">
            <v>الشارع</v>
          </cell>
          <cell r="F27" t="str">
            <v>احمد الشحات</v>
          </cell>
          <cell r="G27">
            <v>0.54166666666666663</v>
          </cell>
          <cell r="H27">
            <v>0.53819444444444442</v>
          </cell>
          <cell r="I27">
            <v>0</v>
          </cell>
          <cell r="J27">
            <v>0.53125</v>
          </cell>
          <cell r="K27">
            <v>0.55555555555555558</v>
          </cell>
          <cell r="L27" t="str">
            <v>عمرو محمد</v>
          </cell>
          <cell r="M27" t="str">
            <v>عبد المنعم</v>
          </cell>
          <cell r="N27">
            <v>2.430555555555558E-2</v>
          </cell>
          <cell r="O27">
            <v>3.4722222222222481E-3</v>
          </cell>
          <cell r="P27">
            <v>6.9444444444444441E-3</v>
          </cell>
          <cell r="Q27">
            <v>0.5625</v>
          </cell>
          <cell r="R27">
            <v>0</v>
          </cell>
          <cell r="S27">
            <v>0.5625</v>
          </cell>
          <cell r="T27">
            <v>1.3888888888888888E-2</v>
          </cell>
        </row>
        <row r="28">
          <cell r="B28">
            <v>762</v>
          </cell>
          <cell r="C28" t="str">
            <v>دبابة</v>
          </cell>
          <cell r="D28">
            <v>2.0833333333333332E-2</v>
          </cell>
          <cell r="E28" t="str">
            <v>التعاون</v>
          </cell>
          <cell r="F28" t="str">
            <v>احمد الشحات</v>
          </cell>
          <cell r="G28">
            <v>0.54166666666666663</v>
          </cell>
          <cell r="H28">
            <v>0.53819444444444442</v>
          </cell>
          <cell r="I28">
            <v>0</v>
          </cell>
          <cell r="J28">
            <v>0.53125</v>
          </cell>
          <cell r="K28">
            <v>0.55555555555555558</v>
          </cell>
          <cell r="L28" t="str">
            <v>عمرو محمد</v>
          </cell>
          <cell r="M28" t="str">
            <v>عبد المنعم</v>
          </cell>
          <cell r="N28">
            <v>2.430555555555558E-2</v>
          </cell>
          <cell r="O28">
            <v>3.4722222222222481E-3</v>
          </cell>
          <cell r="P28">
            <v>6.9444444444444441E-3</v>
          </cell>
          <cell r="Q28">
            <v>0.5625</v>
          </cell>
          <cell r="R28">
            <v>0</v>
          </cell>
          <cell r="S28">
            <v>0.5625</v>
          </cell>
          <cell r="T28">
            <v>1.0416666666666666E-2</v>
          </cell>
        </row>
        <row r="29">
          <cell r="B29">
            <v>315</v>
          </cell>
          <cell r="C29" t="str">
            <v>دبابة</v>
          </cell>
          <cell r="D29">
            <v>2.0833333333333332E-2</v>
          </cell>
          <cell r="E29" t="str">
            <v>العباسية</v>
          </cell>
          <cell r="F29" t="str">
            <v>علي جمال</v>
          </cell>
          <cell r="G29">
            <v>0.54166666666666663</v>
          </cell>
          <cell r="H29">
            <v>4.8611111111111112E-2</v>
          </cell>
          <cell r="I29">
            <v>0</v>
          </cell>
          <cell r="J29">
            <v>0.56597222222222221</v>
          </cell>
          <cell r="K29">
            <v>0.58333333333333337</v>
          </cell>
          <cell r="L29" t="str">
            <v>عمرو محمد</v>
          </cell>
          <cell r="M29" t="str">
            <v>عبد المنعم</v>
          </cell>
          <cell r="N29">
            <v>1.736111111111116E-2</v>
          </cell>
          <cell r="O29">
            <v>0</v>
          </cell>
          <cell r="P29">
            <v>6.9444444444444441E-3</v>
          </cell>
          <cell r="Q29">
            <v>0.58333333333333337</v>
          </cell>
          <cell r="R29">
            <v>0</v>
          </cell>
          <cell r="S29">
            <v>0.58333333333333337</v>
          </cell>
          <cell r="T29">
            <v>1.3888888888888888E-2</v>
          </cell>
        </row>
        <row r="30">
          <cell r="B30">
            <v>315</v>
          </cell>
          <cell r="C30" t="str">
            <v>دبابة</v>
          </cell>
          <cell r="D30">
            <v>2.0833333333333332E-2</v>
          </cell>
          <cell r="E30" t="str">
            <v>مسرة</v>
          </cell>
          <cell r="F30" t="str">
            <v>علي جمال</v>
          </cell>
          <cell r="G30">
            <v>0.54166666666666663</v>
          </cell>
          <cell r="H30">
            <v>4.8611111111111112E-2</v>
          </cell>
          <cell r="I30">
            <v>0</v>
          </cell>
          <cell r="J30">
            <v>0.56597222222222221</v>
          </cell>
          <cell r="K30">
            <v>0.58333333333333337</v>
          </cell>
          <cell r="L30" t="str">
            <v>عمرو محمد</v>
          </cell>
          <cell r="M30" t="str">
            <v>عبد المنعم</v>
          </cell>
          <cell r="N30">
            <v>1.736111111111116E-2</v>
          </cell>
          <cell r="O30">
            <v>0</v>
          </cell>
          <cell r="P30">
            <v>6.9444444444444441E-3</v>
          </cell>
          <cell r="Q30">
            <v>0.58333333333333337</v>
          </cell>
          <cell r="R30">
            <v>0</v>
          </cell>
          <cell r="S30">
            <v>0.58333333333333337</v>
          </cell>
          <cell r="T30">
            <v>1.0416666666666666E-2</v>
          </cell>
        </row>
        <row r="31">
          <cell r="B31">
            <v>249</v>
          </cell>
          <cell r="C31" t="str">
            <v>دبابة</v>
          </cell>
          <cell r="D31">
            <v>2.0833333333333332E-2</v>
          </cell>
          <cell r="E31" t="str">
            <v>اول جمال</v>
          </cell>
          <cell r="F31" t="str">
            <v>حسام سلامة</v>
          </cell>
          <cell r="G31">
            <v>0.54166666666666663</v>
          </cell>
          <cell r="H31">
            <v>0.52777777777777779</v>
          </cell>
          <cell r="I31">
            <v>0</v>
          </cell>
          <cell r="J31">
            <v>0.58333333333333337</v>
          </cell>
          <cell r="K31">
            <v>0.61111111111111116</v>
          </cell>
          <cell r="L31" t="str">
            <v>عمرو محمد</v>
          </cell>
          <cell r="M31" t="str">
            <v>عبد المنعم</v>
          </cell>
          <cell r="N31">
            <v>2.777777777777779E-2</v>
          </cell>
          <cell r="O31">
            <v>6.9444444444444579E-3</v>
          </cell>
          <cell r="P31">
            <v>6.9444444444444441E-3</v>
          </cell>
          <cell r="Q31">
            <v>0.61111111111111116</v>
          </cell>
          <cell r="R31">
            <v>0</v>
          </cell>
          <cell r="S31">
            <v>0.61111111111111116</v>
          </cell>
          <cell r="T31">
            <v>2.4305555555555556E-2</v>
          </cell>
        </row>
        <row r="32">
          <cell r="B32">
            <v>249</v>
          </cell>
          <cell r="C32" t="str">
            <v>دبابة</v>
          </cell>
          <cell r="D32">
            <v>2.0833333333333332E-2</v>
          </cell>
          <cell r="E32" t="str">
            <v>السلام</v>
          </cell>
          <cell r="F32" t="str">
            <v>حسام سلامة</v>
          </cell>
          <cell r="G32">
            <v>0.54166666666666663</v>
          </cell>
          <cell r="H32">
            <v>0.52777777777777779</v>
          </cell>
          <cell r="I32">
            <v>0</v>
          </cell>
          <cell r="J32">
            <v>0.58333333333333337</v>
          </cell>
          <cell r="K32">
            <v>0.61111111111111116</v>
          </cell>
          <cell r="L32" t="str">
            <v>عمرو محمد</v>
          </cell>
          <cell r="M32" t="str">
            <v>عبد المنعم</v>
          </cell>
          <cell r="N32">
            <v>2.777777777777779E-2</v>
          </cell>
          <cell r="O32">
            <v>6.9444444444444579E-3</v>
          </cell>
          <cell r="P32">
            <v>6.9444444444444441E-3</v>
          </cell>
          <cell r="Q32">
            <v>0.61111111111111116</v>
          </cell>
          <cell r="R32">
            <v>0</v>
          </cell>
          <cell r="S32">
            <v>0.61111111111111116</v>
          </cell>
          <cell r="T32">
            <v>1.3888888888888888E-2</v>
          </cell>
        </row>
        <row r="33">
          <cell r="B33">
            <v>249</v>
          </cell>
          <cell r="C33" t="str">
            <v>دبابة</v>
          </cell>
          <cell r="D33">
            <v>2.0833333333333332E-2</v>
          </cell>
          <cell r="E33" t="str">
            <v>العبور</v>
          </cell>
          <cell r="F33" t="str">
            <v>حسام سلامة</v>
          </cell>
          <cell r="G33">
            <v>0.54166666666666663</v>
          </cell>
          <cell r="H33">
            <v>0.52777777777777779</v>
          </cell>
          <cell r="I33">
            <v>0</v>
          </cell>
          <cell r="J33">
            <v>0.58333333333333337</v>
          </cell>
          <cell r="K33">
            <v>0.61111111111111116</v>
          </cell>
          <cell r="L33" t="str">
            <v>عمرو محمد</v>
          </cell>
          <cell r="M33" t="str">
            <v>عبد المنعم</v>
          </cell>
          <cell r="N33">
            <v>2.777777777777779E-2</v>
          </cell>
          <cell r="O33">
            <v>6.9444444444444579E-3</v>
          </cell>
          <cell r="P33">
            <v>6.9444444444444441E-3</v>
          </cell>
          <cell r="Q33">
            <v>0.61111111111111116</v>
          </cell>
          <cell r="R33">
            <v>0</v>
          </cell>
          <cell r="S33">
            <v>0.61111111111111116</v>
          </cell>
          <cell r="T33">
            <v>1.3888888888888888E-2</v>
          </cell>
        </row>
        <row r="34">
          <cell r="B34">
            <v>876</v>
          </cell>
          <cell r="C34" t="str">
            <v>دبابة</v>
          </cell>
          <cell r="D34">
            <v>2.0833333333333332E-2</v>
          </cell>
          <cell r="E34" t="str">
            <v>م بورسعيد</v>
          </cell>
          <cell r="F34" t="str">
            <v>محمد عبد الرحمن</v>
          </cell>
          <cell r="G34">
            <v>0.54166666666666663</v>
          </cell>
          <cell r="H34">
            <v>0.51041666666666663</v>
          </cell>
          <cell r="I34">
            <v>0</v>
          </cell>
          <cell r="J34">
            <v>0.62152777777777779</v>
          </cell>
          <cell r="K34">
            <v>0.62152777777777779</v>
          </cell>
          <cell r="L34" t="str">
            <v>عمرو محمد</v>
          </cell>
          <cell r="M34" t="str">
            <v>عبد المنعم</v>
          </cell>
          <cell r="N34">
            <v>0</v>
          </cell>
          <cell r="O34">
            <v>0</v>
          </cell>
          <cell r="P34">
            <v>6.9444444444444441E-3</v>
          </cell>
          <cell r="Q34">
            <v>0.63541666666666663</v>
          </cell>
          <cell r="R34">
            <v>6.9444444444444198E-3</v>
          </cell>
          <cell r="S34">
            <v>0.63541666666666663</v>
          </cell>
          <cell r="T34">
            <v>3.472222222222222E-3</v>
          </cell>
        </row>
        <row r="35">
          <cell r="B35">
            <v>0</v>
          </cell>
          <cell r="C35" t="e">
            <v>#N/A</v>
          </cell>
          <cell r="D35" t="e">
            <v>#N/A</v>
          </cell>
          <cell r="E35" t="str">
            <v>بافاريا</v>
          </cell>
          <cell r="F35">
            <v>0</v>
          </cell>
          <cell r="G35">
            <v>0.54166666666666663</v>
          </cell>
          <cell r="H35" t="e">
            <v>#N/A</v>
          </cell>
          <cell r="I35" t="e">
            <v>#N/A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e">
            <v>#N/A</v>
          </cell>
          <cell r="P35">
            <v>6.9444444444444441E-3</v>
          </cell>
          <cell r="Q35">
            <v>0</v>
          </cell>
          <cell r="R35">
            <v>0</v>
          </cell>
          <cell r="S35">
            <v>0</v>
          </cell>
          <cell r="T35">
            <v>1.7361111111111112E-2</v>
          </cell>
        </row>
        <row r="36">
          <cell r="B36">
            <v>0</v>
          </cell>
          <cell r="C36" t="e">
            <v>#N/A</v>
          </cell>
          <cell r="D36" t="e">
            <v>#N/A</v>
          </cell>
          <cell r="E36" t="str">
            <v>بدر</v>
          </cell>
          <cell r="F36">
            <v>0</v>
          </cell>
          <cell r="G36">
            <v>0.54166666666666663</v>
          </cell>
          <cell r="H36" t="e">
            <v>#N/A</v>
          </cell>
          <cell r="I36" t="e">
            <v>#N/A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e">
            <v>#N/A</v>
          </cell>
          <cell r="P36">
            <v>6.9444444444444441E-3</v>
          </cell>
          <cell r="Q36">
            <v>0</v>
          </cell>
          <cell r="R36">
            <v>0</v>
          </cell>
          <cell r="S36">
            <v>0</v>
          </cell>
          <cell r="T36">
            <v>5.2083333333333336E-2</v>
          </cell>
        </row>
        <row r="37">
          <cell r="B37">
            <v>0</v>
          </cell>
          <cell r="C37" t="e">
            <v>#N/A</v>
          </cell>
          <cell r="D37" t="e">
            <v>#N/A</v>
          </cell>
          <cell r="E37">
            <v>0</v>
          </cell>
          <cell r="F37">
            <v>0</v>
          </cell>
          <cell r="G37">
            <v>0.54166666666666663</v>
          </cell>
          <cell r="H37" t="e">
            <v>#N/A</v>
          </cell>
          <cell r="I37" t="e">
            <v>#N/A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 t="e">
            <v>#N/A</v>
          </cell>
          <cell r="P37">
            <v>6.9444444444444441E-3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B38">
            <v>0</v>
          </cell>
          <cell r="C38" t="e">
            <v>#N/A</v>
          </cell>
          <cell r="D38" t="e">
            <v>#N/A</v>
          </cell>
          <cell r="E38">
            <v>0</v>
          </cell>
          <cell r="F38">
            <v>0</v>
          </cell>
          <cell r="G38">
            <v>0.54166666666666663</v>
          </cell>
          <cell r="H38" t="e">
            <v>#N/A</v>
          </cell>
          <cell r="I38" t="e">
            <v>#N/A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 t="e">
            <v>#N/A</v>
          </cell>
          <cell r="P38">
            <v>6.9444444444444441E-3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6">
          <cell r="E16" t="str">
            <v>السلام</v>
          </cell>
          <cell r="F16" t="str">
            <v>ممدوح عبد العال</v>
          </cell>
          <cell r="G16">
            <v>0.20833333333333334</v>
          </cell>
          <cell r="H16">
            <v>0.1875</v>
          </cell>
          <cell r="I16">
            <v>0</v>
          </cell>
          <cell r="J16">
            <v>0.41319444444444442</v>
          </cell>
          <cell r="K16">
            <v>0.44097222222222221</v>
          </cell>
          <cell r="L16" t="str">
            <v>عبد المنعم</v>
          </cell>
          <cell r="M16" t="str">
            <v>خالد عبد السلام</v>
          </cell>
          <cell r="N16">
            <v>2.777777777777779E-2</v>
          </cell>
          <cell r="O16">
            <v>6.9444444444444579E-3</v>
          </cell>
          <cell r="P16">
            <v>6.9444444444444441E-3</v>
          </cell>
          <cell r="Q16">
            <v>0.44444444444444442</v>
          </cell>
          <cell r="R16">
            <v>0</v>
          </cell>
          <cell r="S16">
            <v>0.44444444444444442</v>
          </cell>
          <cell r="T16">
            <v>2.7777777777777776E-2</v>
          </cell>
          <cell r="U16">
            <v>0.47499999999999998</v>
          </cell>
          <cell r="V16">
            <v>2.7777777777777679E-3</v>
          </cell>
          <cell r="W16">
            <v>3.125E-2</v>
          </cell>
        </row>
        <row r="17">
          <cell r="E17" t="str">
            <v>اول جمال</v>
          </cell>
          <cell r="F17" t="str">
            <v>مجدي صبحي</v>
          </cell>
          <cell r="G17">
            <v>0.25</v>
          </cell>
          <cell r="H17">
            <v>0.25</v>
          </cell>
          <cell r="I17">
            <v>0</v>
          </cell>
          <cell r="J17">
            <v>0.41319444444444442</v>
          </cell>
          <cell r="K17">
            <v>0.44791666666666669</v>
          </cell>
          <cell r="L17" t="str">
            <v>عمرو محمد</v>
          </cell>
          <cell r="M17" t="str">
            <v>عبد المنعم</v>
          </cell>
          <cell r="N17">
            <v>3.4722222222222265E-2</v>
          </cell>
          <cell r="O17">
            <v>1.3888888888888933E-2</v>
          </cell>
          <cell r="P17">
            <v>6.9444444444444441E-3</v>
          </cell>
          <cell r="Q17">
            <v>0.46180555555555558</v>
          </cell>
          <cell r="R17">
            <v>6.9444444444444753E-3</v>
          </cell>
          <cell r="S17">
            <v>0.46180555555555558</v>
          </cell>
          <cell r="T17">
            <v>2.4305555555555556E-2</v>
          </cell>
          <cell r="U17">
            <v>0.47916666666666669</v>
          </cell>
          <cell r="V17">
            <v>0</v>
          </cell>
          <cell r="W17">
            <v>2.0833333333333332E-2</v>
          </cell>
        </row>
        <row r="18">
          <cell r="E18" t="str">
            <v>العبور</v>
          </cell>
          <cell r="F18" t="str">
            <v>مجدي صبحي</v>
          </cell>
          <cell r="G18">
            <v>0.25</v>
          </cell>
          <cell r="H18">
            <v>0.25</v>
          </cell>
          <cell r="I18">
            <v>0</v>
          </cell>
          <cell r="J18">
            <v>0.41319444444444442</v>
          </cell>
          <cell r="K18">
            <v>0.44791666666666669</v>
          </cell>
          <cell r="L18" t="str">
            <v>عمرو محمد</v>
          </cell>
          <cell r="M18" t="str">
            <v>عبد المنعم</v>
          </cell>
          <cell r="N18">
            <v>3.4722222222222265E-2</v>
          </cell>
          <cell r="O18">
            <v>1.3888888888888933E-2</v>
          </cell>
          <cell r="P18">
            <v>6.9444444444444441E-3</v>
          </cell>
          <cell r="Q18">
            <v>0.46180555555555558</v>
          </cell>
          <cell r="R18">
            <v>6.9444444444444753E-3</v>
          </cell>
          <cell r="S18">
            <v>0.46180555555555558</v>
          </cell>
          <cell r="T18">
            <v>1.7361111111111112E-2</v>
          </cell>
          <cell r="U18">
            <v>0.52430555555555558</v>
          </cell>
          <cell r="V18">
            <v>3.472222222222222E-3</v>
          </cell>
          <cell r="W18">
            <v>3.125E-2</v>
          </cell>
        </row>
        <row r="19">
          <cell r="E19" t="str">
            <v>الشروق</v>
          </cell>
          <cell r="F19" t="str">
            <v>محمد ابراهيم</v>
          </cell>
          <cell r="G19">
            <v>0.25</v>
          </cell>
          <cell r="H19">
            <v>0.25</v>
          </cell>
          <cell r="I19">
            <v>0</v>
          </cell>
          <cell r="J19">
            <v>0.45833333333333331</v>
          </cell>
          <cell r="K19">
            <v>0.4861111111111111</v>
          </cell>
          <cell r="L19" t="str">
            <v>عمرو محمد</v>
          </cell>
          <cell r="M19" t="str">
            <v>عبد المنعم</v>
          </cell>
          <cell r="N19">
            <v>2.777777777777779E-2</v>
          </cell>
          <cell r="O19">
            <v>6.9444444444444579E-3</v>
          </cell>
          <cell r="P19">
            <v>6.9444444444444441E-3</v>
          </cell>
          <cell r="Q19">
            <v>0.49305555555555558</v>
          </cell>
          <cell r="R19">
            <v>0</v>
          </cell>
          <cell r="S19">
            <v>0.49305555555555558</v>
          </cell>
          <cell r="T19">
            <v>3.4722222222222224E-2</v>
          </cell>
          <cell r="U19">
            <v>0.53125</v>
          </cell>
          <cell r="V19">
            <v>3.4722222222222099E-3</v>
          </cell>
          <cell r="W19">
            <v>2.0833333333333332E-2</v>
          </cell>
        </row>
        <row r="20">
          <cell r="E20" t="str">
            <v>بدر</v>
          </cell>
          <cell r="F20" t="str">
            <v>محمد ابراهيم</v>
          </cell>
          <cell r="G20">
            <v>0.25</v>
          </cell>
          <cell r="H20">
            <v>0.25</v>
          </cell>
          <cell r="I20">
            <v>0</v>
          </cell>
          <cell r="J20">
            <v>0.45833333333333331</v>
          </cell>
          <cell r="K20">
            <v>0.4861111111111111</v>
          </cell>
          <cell r="L20" t="str">
            <v>عبد المنعم</v>
          </cell>
          <cell r="M20" t="str">
            <v>خالد عبد السلام</v>
          </cell>
          <cell r="N20">
            <v>2.777777777777779E-2</v>
          </cell>
          <cell r="O20">
            <v>6.9444444444444579E-3</v>
          </cell>
          <cell r="P20">
            <v>6.9444444444444441E-3</v>
          </cell>
          <cell r="Q20">
            <v>0.49305555555555558</v>
          </cell>
          <cell r="R20">
            <v>0</v>
          </cell>
          <cell r="S20">
            <v>0.49305555555555558</v>
          </cell>
          <cell r="T20">
            <v>2.0833333333333332E-2</v>
          </cell>
          <cell r="U20">
            <v>0.59027777777777779</v>
          </cell>
          <cell r="V20">
            <v>6.9444444444444441E-3</v>
          </cell>
          <cell r="W20">
            <v>3.125E-2</v>
          </cell>
        </row>
        <row r="21">
          <cell r="E21" t="str">
            <v>الشارع</v>
          </cell>
          <cell r="F21" t="str">
            <v>مصطفي عادل</v>
          </cell>
          <cell r="G21">
            <v>0.25</v>
          </cell>
          <cell r="H21">
            <v>0.26041666666666669</v>
          </cell>
          <cell r="I21">
            <v>1.0416666666666685E-2</v>
          </cell>
          <cell r="J21">
            <v>0.49305555555555558</v>
          </cell>
          <cell r="K21">
            <v>0.51388888888888884</v>
          </cell>
          <cell r="L21" t="str">
            <v>عبد المنعم</v>
          </cell>
          <cell r="M21" t="str">
            <v>خالد عبد السلام</v>
          </cell>
          <cell r="N21">
            <v>2.0833333333333259E-2</v>
          </cell>
          <cell r="O21">
            <v>0</v>
          </cell>
          <cell r="P21">
            <v>6.9444444444444441E-3</v>
          </cell>
          <cell r="Q21">
            <v>0.51736111111111116</v>
          </cell>
          <cell r="R21">
            <v>0</v>
          </cell>
          <cell r="S21">
            <v>0.51736111111111116</v>
          </cell>
          <cell r="T21">
            <v>1.3888888888888888E-2</v>
          </cell>
          <cell r="U21">
            <v>0.53819444444444442</v>
          </cell>
          <cell r="V21">
            <v>6.9444444444444198E-3</v>
          </cell>
          <cell r="W21">
            <v>3.125E-2</v>
          </cell>
        </row>
        <row r="22">
          <cell r="E22" t="str">
            <v>التعاون</v>
          </cell>
          <cell r="F22" t="str">
            <v>مصطفي عادل</v>
          </cell>
          <cell r="G22">
            <v>0.25</v>
          </cell>
          <cell r="H22">
            <v>0.26041666666666669</v>
          </cell>
          <cell r="I22">
            <v>1.0416666666666685E-2</v>
          </cell>
          <cell r="J22">
            <v>0.49305555555555558</v>
          </cell>
          <cell r="K22">
            <v>0.51388888888888884</v>
          </cell>
          <cell r="L22" t="str">
            <v>عبد المنعم</v>
          </cell>
          <cell r="M22" t="str">
            <v>خالد عبد السلام</v>
          </cell>
          <cell r="N22">
            <v>2.0833333333333259E-2</v>
          </cell>
          <cell r="O22">
            <v>0</v>
          </cell>
          <cell r="P22">
            <v>6.9444444444444441E-3</v>
          </cell>
          <cell r="Q22">
            <v>0.51736111111111116</v>
          </cell>
          <cell r="R22">
            <v>0</v>
          </cell>
          <cell r="S22">
            <v>0.51736111111111116</v>
          </cell>
          <cell r="T22">
            <v>1.3888888888888888E-2</v>
          </cell>
          <cell r="U22">
            <v>0.57638888888888884</v>
          </cell>
          <cell r="V22">
            <v>3.472222222222222E-3</v>
          </cell>
          <cell r="W22">
            <v>4.1666666666666664E-2</v>
          </cell>
        </row>
        <row r="23">
          <cell r="E23" t="str">
            <v>اللبيني</v>
          </cell>
          <cell r="F23" t="str">
            <v>احمد جمعة</v>
          </cell>
          <cell r="G23">
            <v>0.25</v>
          </cell>
          <cell r="H23">
            <v>0.26041666666666669</v>
          </cell>
          <cell r="I23">
            <v>1.0416666666666685E-2</v>
          </cell>
          <cell r="J23">
            <v>0.4826388888888889</v>
          </cell>
          <cell r="K23">
            <v>0.51388888888888884</v>
          </cell>
          <cell r="L23" t="str">
            <v>عبد المنعم</v>
          </cell>
          <cell r="M23" t="str">
            <v>خالد عبد السلام</v>
          </cell>
          <cell r="N23">
            <v>3.1249999999999944E-2</v>
          </cell>
          <cell r="O23">
            <v>1.0416666666666612E-2</v>
          </cell>
          <cell r="P23">
            <v>6.9444444444444441E-3</v>
          </cell>
          <cell r="Q23">
            <v>0.51736111111111116</v>
          </cell>
          <cell r="R23">
            <v>0</v>
          </cell>
          <cell r="S23">
            <v>0.51736111111111116</v>
          </cell>
          <cell r="T23">
            <v>4.1666666666666664E-2</v>
          </cell>
          <cell r="U23">
            <v>0</v>
          </cell>
          <cell r="V23">
            <v>0</v>
          </cell>
          <cell r="W23">
            <v>2.0833333333333332E-2</v>
          </cell>
        </row>
        <row r="24">
          <cell r="E24" t="str">
            <v>ترسا</v>
          </cell>
          <cell r="F24" t="str">
            <v>احمد جمعة</v>
          </cell>
          <cell r="G24">
            <v>0.25</v>
          </cell>
          <cell r="H24">
            <v>0.26041666666666669</v>
          </cell>
          <cell r="I24">
            <v>1.0416666666666685E-2</v>
          </cell>
          <cell r="J24">
            <v>0.4826388888888889</v>
          </cell>
          <cell r="K24">
            <v>0.51388888888888884</v>
          </cell>
          <cell r="L24" t="str">
            <v>عبد المنعم</v>
          </cell>
          <cell r="M24" t="str">
            <v>خالد عبد السلام</v>
          </cell>
          <cell r="N24">
            <v>3.1249999999999944E-2</v>
          </cell>
          <cell r="O24">
            <v>1.0416666666666612E-2</v>
          </cell>
          <cell r="P24">
            <v>6.9444444444444441E-3</v>
          </cell>
          <cell r="Q24">
            <v>0.51736111111111116</v>
          </cell>
          <cell r="R24">
            <v>0</v>
          </cell>
          <cell r="S24">
            <v>0.51736111111111116</v>
          </cell>
          <cell r="T24">
            <v>6.9444444444444441E-3</v>
          </cell>
          <cell r="U24">
            <v>0</v>
          </cell>
          <cell r="V24">
            <v>0</v>
          </cell>
          <cell r="W24">
            <v>3.125E-2</v>
          </cell>
        </row>
        <row r="25">
          <cell r="E25" t="str">
            <v>العباسية</v>
          </cell>
          <cell r="F25" t="str">
            <v>حسن علي</v>
          </cell>
          <cell r="G25">
            <v>0.25</v>
          </cell>
          <cell r="H25">
            <v>0.25694444444444442</v>
          </cell>
          <cell r="I25">
            <v>6.9444444444444198E-3</v>
          </cell>
          <cell r="J25">
            <v>0.4513888888888889</v>
          </cell>
          <cell r="K25">
            <v>0.47222222222222221</v>
          </cell>
          <cell r="L25" t="str">
            <v>عمرو محمد</v>
          </cell>
          <cell r="M25" t="str">
            <v>عبد المنعم</v>
          </cell>
          <cell r="N25">
            <v>2.0833333333333315E-2</v>
          </cell>
          <cell r="O25">
            <v>0</v>
          </cell>
          <cell r="P25">
            <v>6.9444444444444441E-3</v>
          </cell>
          <cell r="Q25">
            <v>0.47222222222222221</v>
          </cell>
          <cell r="R25">
            <v>0</v>
          </cell>
          <cell r="S25">
            <v>0.47222222222222221</v>
          </cell>
          <cell r="T25">
            <v>1.3888888888888888E-2</v>
          </cell>
          <cell r="U25">
            <v>0.4861111111111111</v>
          </cell>
          <cell r="V25">
            <v>0</v>
          </cell>
          <cell r="W25">
            <v>2.0833333333333332E-2</v>
          </cell>
        </row>
        <row r="26">
          <cell r="E26" t="str">
            <v>مسرة</v>
          </cell>
          <cell r="F26" t="str">
            <v>حسن علي</v>
          </cell>
          <cell r="G26">
            <v>0.25</v>
          </cell>
          <cell r="H26">
            <v>0.25694444444444442</v>
          </cell>
          <cell r="I26">
            <v>6.9444444444444198E-3</v>
          </cell>
          <cell r="J26">
            <v>0.4513888888888889</v>
          </cell>
          <cell r="K26">
            <v>0.47222222222222221</v>
          </cell>
          <cell r="L26" t="str">
            <v>عمرو محمد</v>
          </cell>
          <cell r="M26" t="str">
            <v>عبد المنعم</v>
          </cell>
          <cell r="N26">
            <v>2.0833333333333315E-2</v>
          </cell>
          <cell r="O26">
            <v>0</v>
          </cell>
          <cell r="P26">
            <v>6.9444444444444441E-3</v>
          </cell>
          <cell r="Q26">
            <v>0.47222222222222221</v>
          </cell>
          <cell r="R26">
            <v>0</v>
          </cell>
          <cell r="S26">
            <v>0.47222222222222221</v>
          </cell>
          <cell r="T26">
            <v>1.3888888888888888E-2</v>
          </cell>
          <cell r="U26">
            <v>0.52777777777777779</v>
          </cell>
          <cell r="V26">
            <v>8.3333333333333332E-3</v>
          </cell>
          <cell r="W26">
            <v>3.125E-2</v>
          </cell>
        </row>
        <row r="27">
          <cell r="E27" t="str">
            <v>بورسعيد</v>
          </cell>
          <cell r="F27" t="str">
            <v>محمد صديق</v>
          </cell>
          <cell r="G27">
            <v>0.25</v>
          </cell>
          <cell r="H27">
            <v>0.25</v>
          </cell>
          <cell r="I27">
            <v>0</v>
          </cell>
          <cell r="J27">
            <v>0.47222222222222221</v>
          </cell>
          <cell r="K27">
            <v>0.48958333333333331</v>
          </cell>
          <cell r="L27" t="str">
            <v>عمرو محمد</v>
          </cell>
          <cell r="M27" t="str">
            <v>عبد المنعم</v>
          </cell>
          <cell r="N27">
            <v>1.7361111111111105E-2</v>
          </cell>
          <cell r="O27">
            <v>0</v>
          </cell>
          <cell r="P27">
            <v>6.9444444444444441E-3</v>
          </cell>
          <cell r="Q27">
            <v>0.51041666666666663</v>
          </cell>
          <cell r="R27">
            <v>1.3888888888888895E-2</v>
          </cell>
          <cell r="S27">
            <v>0.51041666666666663</v>
          </cell>
          <cell r="T27">
            <v>3.472222222222222E-3</v>
          </cell>
          <cell r="U27">
            <v>0</v>
          </cell>
          <cell r="V27">
            <v>0</v>
          </cell>
          <cell r="W27">
            <v>3.125E-2</v>
          </cell>
        </row>
      </sheetData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topLeftCell="O1" workbookViewId="0">
      <selection activeCell="T7" sqref="T7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892</v>
      </c>
      <c r="C3" s="12" t="str">
        <f>VLOOKUP(B3,'[1]22-1-2026'!$B$3:$D$38,2,FALSE)</f>
        <v>تلتين</v>
      </c>
      <c r="D3" s="13">
        <f>VLOOKUP(B3,'[1]22-1-2026'!$B$3:$D$38,3,FALSE)</f>
        <v>3.125E-2</v>
      </c>
      <c r="E3" s="12" t="s">
        <v>30</v>
      </c>
      <c r="F3" s="12" t="s">
        <v>31</v>
      </c>
      <c r="G3" s="14">
        <v>0.29166666666666669</v>
      </c>
      <c r="H3" s="14">
        <v>0.29166666666666669</v>
      </c>
      <c r="I3" s="14">
        <f>H3-G3</f>
        <v>0</v>
      </c>
      <c r="J3" s="14">
        <v>0.2951388888888889</v>
      </c>
      <c r="K3" s="14">
        <v>0.31597222222222221</v>
      </c>
      <c r="L3" s="14"/>
      <c r="M3" s="14"/>
      <c r="N3" s="14">
        <f>K3-J3</f>
        <v>2.0833333333333315E-2</v>
      </c>
      <c r="O3" s="14">
        <v>0</v>
      </c>
      <c r="P3" s="14">
        <v>6.9444444444444441E-3</v>
      </c>
      <c r="Q3" s="14">
        <v>0.31597222222222221</v>
      </c>
      <c r="R3" s="14">
        <v>0</v>
      </c>
      <c r="S3" s="14">
        <v>0.31597222222222221</v>
      </c>
      <c r="T3" s="14">
        <f>VLOOKUP(E3,'[1]22-1-2026'!$E$3:$T$13,16,FALSE)</f>
        <v>2.4305555555555556E-2</v>
      </c>
      <c r="U3" s="14">
        <v>0.34375</v>
      </c>
      <c r="V3" s="14">
        <f>U3-T3-S3</f>
        <v>3.4722222222222099E-3</v>
      </c>
      <c r="W3" s="14">
        <v>3.125E-2</v>
      </c>
      <c r="X3" s="14">
        <v>0.35416666666666669</v>
      </c>
      <c r="Y3" s="14">
        <v>0.375</v>
      </c>
      <c r="Z3" s="14">
        <f>Y3-X3</f>
        <v>2.0833333333333315E-2</v>
      </c>
      <c r="AA3" s="14">
        <v>0</v>
      </c>
      <c r="AB3" s="14">
        <v>0.37847222222222221</v>
      </c>
      <c r="AC3" s="15"/>
      <c r="AD3" s="51" t="s">
        <v>32</v>
      </c>
    </row>
    <row r="4" spans="1:30" ht="19.5" thickBot="1" x14ac:dyDescent="0.3">
      <c r="A4" s="16">
        <v>2</v>
      </c>
      <c r="B4" s="17">
        <v>892</v>
      </c>
      <c r="C4" s="17" t="str">
        <f>VLOOKUP(B4,'[1]22-1-2026'!$B$3:$D$38,2,FALSE)</f>
        <v>تلتين</v>
      </c>
      <c r="D4" s="18">
        <f>VLOOKUP(B4,'[1]22-1-2026'!$B$3:$D$38,3,FALSE)</f>
        <v>3.125E-2</v>
      </c>
      <c r="E4" s="17" t="s">
        <v>33</v>
      </c>
      <c r="F4" s="17" t="s">
        <v>31</v>
      </c>
      <c r="G4" s="19">
        <v>0.29166666666666669</v>
      </c>
      <c r="H4" s="19">
        <v>0.29166666666666669</v>
      </c>
      <c r="I4" s="19">
        <f t="shared" ref="I4:I41" si="0">H4-G4</f>
        <v>0</v>
      </c>
      <c r="J4" s="19">
        <v>0.2951388888888889</v>
      </c>
      <c r="K4" s="19">
        <v>0.31597222222222221</v>
      </c>
      <c r="L4" s="19"/>
      <c r="M4" s="19"/>
      <c r="N4" s="19">
        <f>K4-J4</f>
        <v>2.0833333333333315E-2</v>
      </c>
      <c r="O4" s="19">
        <v>0</v>
      </c>
      <c r="P4" s="19">
        <v>6.9444444444444441E-3</v>
      </c>
      <c r="Q4" s="19">
        <v>0.31597222222222221</v>
      </c>
      <c r="R4" s="19">
        <v>0</v>
      </c>
      <c r="S4" s="19">
        <v>0.31597222222222221</v>
      </c>
      <c r="T4" s="19">
        <v>1.0416666666666666E-2</v>
      </c>
      <c r="U4" s="19">
        <v>0.3923611111111111</v>
      </c>
      <c r="V4" s="19">
        <v>3.472222222222222E-3</v>
      </c>
      <c r="W4" s="19">
        <v>4.1666666666666664E-2</v>
      </c>
      <c r="X4" s="19">
        <v>0.39374999999999999</v>
      </c>
      <c r="Y4" s="19">
        <v>0.4375</v>
      </c>
      <c r="Z4" s="19">
        <f t="shared" ref="Z4:Z41" si="1">Y4-X4</f>
        <v>4.3750000000000011E-2</v>
      </c>
      <c r="AA4" s="19">
        <f t="shared" ref="AA4:AA36" si="2">Z4-W4</f>
        <v>2.0833333333333467E-3</v>
      </c>
      <c r="AB4" s="19">
        <v>0.43958333333333333</v>
      </c>
      <c r="AC4" s="20"/>
      <c r="AD4" s="52"/>
    </row>
    <row r="5" spans="1:30" ht="20.25" thickTop="1" thickBot="1" x14ac:dyDescent="0.3">
      <c r="A5" s="11">
        <v>3</v>
      </c>
      <c r="B5" s="17">
        <v>2694</v>
      </c>
      <c r="C5" s="17" t="s">
        <v>34</v>
      </c>
      <c r="D5" s="18">
        <v>3.125E-2</v>
      </c>
      <c r="E5" s="17" t="s">
        <v>35</v>
      </c>
      <c r="F5" s="17" t="s">
        <v>36</v>
      </c>
      <c r="G5" s="19">
        <v>0.29166666666666669</v>
      </c>
      <c r="H5" s="19">
        <v>0.29166666666666669</v>
      </c>
      <c r="I5" s="19">
        <f t="shared" si="0"/>
        <v>0</v>
      </c>
      <c r="J5" s="19">
        <v>0.31597222222222221</v>
      </c>
      <c r="K5" s="19">
        <v>0.3263888888888889</v>
      </c>
      <c r="L5" s="19"/>
      <c r="M5" s="19"/>
      <c r="N5" s="19">
        <f t="shared" ref="N5:N41" si="3">K5-J5</f>
        <v>1.0416666666666685E-2</v>
      </c>
      <c r="O5" s="19">
        <v>0</v>
      </c>
      <c r="P5" s="19">
        <v>6.9444444444444441E-3</v>
      </c>
      <c r="Q5" s="19">
        <v>0.3263888888888889</v>
      </c>
      <c r="R5" s="19">
        <v>0</v>
      </c>
      <c r="S5" s="19">
        <v>0.3263888888888889</v>
      </c>
      <c r="T5" s="19">
        <f>VLOOKUP(E5,'[1]22-1-2026'!$E$3:$T$13,16,FALSE)</f>
        <v>1.3888888888888888E-2</v>
      </c>
      <c r="U5" s="19">
        <v>0.33888888888888891</v>
      </c>
      <c r="V5" s="19">
        <v>0</v>
      </c>
      <c r="W5" s="19">
        <v>3.125E-2</v>
      </c>
      <c r="X5" s="19">
        <v>0.34722222222222221</v>
      </c>
      <c r="Y5" s="19">
        <v>0.38055555555555554</v>
      </c>
      <c r="Z5" s="19">
        <f t="shared" si="1"/>
        <v>3.3333333333333326E-2</v>
      </c>
      <c r="AA5" s="19">
        <f t="shared" si="2"/>
        <v>2.0833333333333259E-3</v>
      </c>
      <c r="AB5" s="19">
        <v>0.38194444444444442</v>
      </c>
      <c r="AC5" s="20"/>
      <c r="AD5" s="52"/>
    </row>
    <row r="6" spans="1:30" ht="19.5" thickBot="1" x14ac:dyDescent="0.3">
      <c r="A6" s="16">
        <v>4</v>
      </c>
      <c r="B6" s="17">
        <v>2694</v>
      </c>
      <c r="C6" s="17" t="s">
        <v>34</v>
      </c>
      <c r="D6" s="18">
        <v>3.125E-2</v>
      </c>
      <c r="E6" s="17" t="s">
        <v>37</v>
      </c>
      <c r="F6" s="17" t="s">
        <v>36</v>
      </c>
      <c r="G6" s="19">
        <v>0.29166666666666669</v>
      </c>
      <c r="H6" s="19">
        <v>0.29166666666666669</v>
      </c>
      <c r="I6" s="19">
        <f t="shared" si="0"/>
        <v>0</v>
      </c>
      <c r="J6" s="19">
        <v>0.31597222222222221</v>
      </c>
      <c r="K6" s="19">
        <v>0.3263888888888889</v>
      </c>
      <c r="L6" s="19"/>
      <c r="M6" s="19"/>
      <c r="N6" s="19">
        <f t="shared" si="3"/>
        <v>1.0416666666666685E-2</v>
      </c>
      <c r="O6" s="19">
        <v>0</v>
      </c>
      <c r="P6" s="19">
        <v>6.9444444444444441E-3</v>
      </c>
      <c r="Q6" s="19">
        <v>0.3263888888888889</v>
      </c>
      <c r="R6" s="19">
        <v>0</v>
      </c>
      <c r="S6" s="19">
        <v>0.3263888888888889</v>
      </c>
      <c r="T6" s="19">
        <v>1.0416666666666666E-2</v>
      </c>
      <c r="U6" s="19">
        <v>0.3923611111111111</v>
      </c>
      <c r="V6" s="19">
        <v>0</v>
      </c>
      <c r="W6" s="19">
        <v>4.1666666666666664E-2</v>
      </c>
      <c r="X6" s="19">
        <v>0.39583333333333331</v>
      </c>
      <c r="Y6" s="19">
        <v>0.4284722222222222</v>
      </c>
      <c r="Z6" s="19">
        <f t="shared" si="1"/>
        <v>3.2638888888888884E-2</v>
      </c>
      <c r="AA6" s="19">
        <v>0</v>
      </c>
      <c r="AB6" s="19">
        <v>0.43055555555555558</v>
      </c>
      <c r="AC6" s="20"/>
      <c r="AD6" s="52"/>
    </row>
    <row r="7" spans="1:30" ht="20.25" thickTop="1" thickBot="1" x14ac:dyDescent="0.3">
      <c r="A7" s="11">
        <v>5</v>
      </c>
      <c r="B7" s="17">
        <v>539</v>
      </c>
      <c r="C7" s="17" t="str">
        <f>VLOOKUP(B7,'[1]22-1-2026'!$B$3:$D$38,2,FALSE)</f>
        <v>دبابة</v>
      </c>
      <c r="D7" s="18">
        <f>VLOOKUP(B7,'[1]22-1-2026'!$B$3:$D$38,3,FALSE)</f>
        <v>2.0833333333333332E-2</v>
      </c>
      <c r="E7" s="17" t="s">
        <v>38</v>
      </c>
      <c r="F7" s="17" t="s">
        <v>39</v>
      </c>
      <c r="G7" s="19">
        <v>0.29166666666666669</v>
      </c>
      <c r="H7" s="19">
        <v>0.29166666666666669</v>
      </c>
      <c r="I7" s="19">
        <f t="shared" si="0"/>
        <v>0</v>
      </c>
      <c r="J7" s="19">
        <v>0.27777777777777779</v>
      </c>
      <c r="K7" s="19">
        <v>0.30902777777777779</v>
      </c>
      <c r="L7" s="19"/>
      <c r="M7" s="19"/>
      <c r="N7" s="19">
        <f t="shared" si="3"/>
        <v>3.125E-2</v>
      </c>
      <c r="O7" s="19">
        <f t="shared" ref="O7:O36" si="4">N7-D7</f>
        <v>1.0416666666666668E-2</v>
      </c>
      <c r="P7" s="19">
        <v>6.9444444444444441E-3</v>
      </c>
      <c r="Q7" s="19">
        <v>0.30902777777777779</v>
      </c>
      <c r="R7" s="19">
        <v>0</v>
      </c>
      <c r="S7" s="19">
        <v>0.30902777777777779</v>
      </c>
      <c r="T7" s="19">
        <f>VLOOKUP(E7,'[1]22-1-2026'!$E$3:$T$13,16,FALSE)</f>
        <v>3.4722222222222224E-2</v>
      </c>
      <c r="U7" s="19">
        <v>0.34722222222222221</v>
      </c>
      <c r="V7" s="19">
        <f t="shared" ref="V7:V39" si="5">U7-T7-S7</f>
        <v>3.4722222222222099E-3</v>
      </c>
      <c r="W7" s="19">
        <v>2.0833333333333332E-2</v>
      </c>
      <c r="X7" s="19">
        <v>0.35069444444444442</v>
      </c>
      <c r="Y7" s="19">
        <v>0.3923611111111111</v>
      </c>
      <c r="Z7" s="19">
        <f t="shared" si="1"/>
        <v>4.1666666666666685E-2</v>
      </c>
      <c r="AA7" s="19">
        <f t="shared" si="2"/>
        <v>2.0833333333333353E-2</v>
      </c>
      <c r="AB7" s="19">
        <v>0.39583333333333331</v>
      </c>
      <c r="AC7" s="20"/>
      <c r="AD7" s="52"/>
    </row>
    <row r="8" spans="1:30" ht="19.5" thickBot="1" x14ac:dyDescent="0.3">
      <c r="A8" s="16">
        <v>6</v>
      </c>
      <c r="B8" s="17">
        <v>539</v>
      </c>
      <c r="C8" s="17" t="str">
        <f>VLOOKUP(B8,'[1]22-1-2026'!$B$3:$D$38,2,FALSE)</f>
        <v>دبابة</v>
      </c>
      <c r="D8" s="18">
        <f>VLOOKUP(B8,'[1]22-1-2026'!$B$3:$D$38,3,FALSE)</f>
        <v>2.0833333333333332E-2</v>
      </c>
      <c r="E8" s="17" t="s">
        <v>40</v>
      </c>
      <c r="F8" s="17" t="s">
        <v>39</v>
      </c>
      <c r="G8" s="19">
        <v>0.29166666666666669</v>
      </c>
      <c r="H8" s="19">
        <v>0.29166666666666669</v>
      </c>
      <c r="I8" s="19">
        <f t="shared" si="0"/>
        <v>0</v>
      </c>
      <c r="J8" s="19">
        <v>0.27777777777777779</v>
      </c>
      <c r="K8" s="19">
        <v>0.30902777777777779</v>
      </c>
      <c r="L8" s="19"/>
      <c r="M8" s="19"/>
      <c r="N8" s="19">
        <f t="shared" si="3"/>
        <v>3.125E-2</v>
      </c>
      <c r="O8" s="19">
        <f>N8-D8</f>
        <v>1.0416666666666668E-2</v>
      </c>
      <c r="P8" s="19">
        <v>6.9444444444444441E-3</v>
      </c>
      <c r="Q8" s="19">
        <v>0.30902777777777779</v>
      </c>
      <c r="R8" s="19">
        <v>0</v>
      </c>
      <c r="S8" s="19">
        <v>0.30902777777777779</v>
      </c>
      <c r="T8" s="19">
        <v>1.0416666666666666E-2</v>
      </c>
      <c r="U8" s="19">
        <v>0.41319444444444442</v>
      </c>
      <c r="V8" s="19">
        <v>6.9444444444444441E-3</v>
      </c>
      <c r="W8" s="19">
        <v>3.125E-2</v>
      </c>
      <c r="X8" s="19">
        <v>0.4201388888888889</v>
      </c>
      <c r="Y8" s="19">
        <v>0.56944444444444442</v>
      </c>
      <c r="Z8" s="19">
        <f t="shared" si="1"/>
        <v>0.14930555555555552</v>
      </c>
      <c r="AA8" s="19">
        <f t="shared" si="2"/>
        <v>0.11805555555555552</v>
      </c>
      <c r="AB8" s="19">
        <v>0.57291666666666663</v>
      </c>
      <c r="AC8" s="20"/>
      <c r="AD8" s="52"/>
    </row>
    <row r="9" spans="1:30" ht="20.25" thickTop="1" thickBot="1" x14ac:dyDescent="0.3">
      <c r="A9" s="11">
        <v>7</v>
      </c>
      <c r="B9" s="17">
        <v>762</v>
      </c>
      <c r="C9" s="17" t="str">
        <f>VLOOKUP(B9,'[1]22-1-2026'!$B$3:$D$38,2,FALSE)</f>
        <v>دبابة</v>
      </c>
      <c r="D9" s="18">
        <f>VLOOKUP(B9,'[1]22-1-2026'!$B$3:$D$38,3,FALSE)</f>
        <v>2.0833333333333332E-2</v>
      </c>
      <c r="E9" s="17" t="s">
        <v>41</v>
      </c>
      <c r="F9" s="17" t="s">
        <v>42</v>
      </c>
      <c r="G9" s="19">
        <v>0.29166666666666669</v>
      </c>
      <c r="H9" s="19">
        <v>0.28472222222222221</v>
      </c>
      <c r="I9" s="19">
        <v>0</v>
      </c>
      <c r="J9" s="19">
        <v>0.30902777777777779</v>
      </c>
      <c r="K9" s="19">
        <v>0.31944444444444442</v>
      </c>
      <c r="L9" s="19"/>
      <c r="M9" s="19"/>
      <c r="N9" s="19">
        <f t="shared" si="3"/>
        <v>1.041666666666663E-2</v>
      </c>
      <c r="O9" s="19">
        <v>0</v>
      </c>
      <c r="P9" s="19">
        <v>6.9444444444444441E-3</v>
      </c>
      <c r="Q9" s="19">
        <v>0.31944444444444442</v>
      </c>
      <c r="R9" s="19">
        <v>0</v>
      </c>
      <c r="S9" s="19">
        <v>0.31944444444444442</v>
      </c>
      <c r="T9" s="19">
        <f>VLOOKUP(E9,'[1]22-1-2026'!$E$3:$T$13,16,FALSE)</f>
        <v>1.7361111111111112E-2</v>
      </c>
      <c r="U9" s="19">
        <v>0.35416666666666669</v>
      </c>
      <c r="V9" s="19">
        <f t="shared" si="5"/>
        <v>1.736111111111116E-2</v>
      </c>
      <c r="W9" s="19">
        <v>3.125E-2</v>
      </c>
      <c r="X9" s="19">
        <v>0.35972222222222222</v>
      </c>
      <c r="Y9" s="19">
        <v>0.38750000000000001</v>
      </c>
      <c r="Z9" s="19">
        <f t="shared" si="1"/>
        <v>2.777777777777779E-2</v>
      </c>
      <c r="AA9" s="19">
        <v>0</v>
      </c>
      <c r="AB9" s="19">
        <v>0.3888888888888889</v>
      </c>
      <c r="AC9" s="20"/>
      <c r="AD9" s="52"/>
    </row>
    <row r="10" spans="1:30" ht="19.5" thickBot="1" x14ac:dyDescent="0.3">
      <c r="A10" s="16">
        <v>8</v>
      </c>
      <c r="B10" s="17">
        <v>876</v>
      </c>
      <c r="C10" s="17" t="str">
        <f>VLOOKUP(B10,'[1]22-1-2026'!$B$3:$D$38,2,FALSE)</f>
        <v>دبابة</v>
      </c>
      <c r="D10" s="18">
        <f>VLOOKUP(B10,'[1]22-1-2026'!$B$3:$D$38,3,FALSE)</f>
        <v>2.0833333333333332E-2</v>
      </c>
      <c r="E10" s="17" t="s">
        <v>43</v>
      </c>
      <c r="F10" s="17" t="s">
        <v>44</v>
      </c>
      <c r="G10" s="19">
        <v>0.29166666666666669</v>
      </c>
      <c r="H10" s="19">
        <v>0.28819444444444442</v>
      </c>
      <c r="I10" s="19">
        <v>0</v>
      </c>
      <c r="J10" s="19">
        <v>0.27430555555555558</v>
      </c>
      <c r="K10" s="19">
        <v>0.2951388888888889</v>
      </c>
      <c r="L10" s="19"/>
      <c r="M10" s="19"/>
      <c r="N10" s="19">
        <f t="shared" si="3"/>
        <v>2.0833333333333315E-2</v>
      </c>
      <c r="O10" s="19">
        <f t="shared" si="4"/>
        <v>0</v>
      </c>
      <c r="P10" s="19">
        <v>6.9444444444444441E-3</v>
      </c>
      <c r="Q10" s="19">
        <v>0.2951388888888889</v>
      </c>
      <c r="R10" s="19">
        <v>0</v>
      </c>
      <c r="S10" s="19">
        <v>0.2951388888888889</v>
      </c>
      <c r="T10" s="19">
        <v>1.0416666666666666E-2</v>
      </c>
      <c r="U10" s="19">
        <v>0.31944444444444442</v>
      </c>
      <c r="V10" s="19">
        <f t="shared" si="5"/>
        <v>1.388888888888884E-2</v>
      </c>
      <c r="W10" s="19">
        <v>3.125E-2</v>
      </c>
      <c r="X10" s="19">
        <v>0.35416666666666669</v>
      </c>
      <c r="Y10" s="19">
        <v>0.37847222222222221</v>
      </c>
      <c r="Z10" s="19">
        <f t="shared" si="1"/>
        <v>2.4305555555555525E-2</v>
      </c>
      <c r="AA10" s="19">
        <v>0</v>
      </c>
      <c r="AB10" s="19">
        <v>0.38194444444444442</v>
      </c>
      <c r="AC10" s="20"/>
      <c r="AD10" s="52"/>
    </row>
    <row r="11" spans="1:30" ht="20.25" thickTop="1" thickBot="1" x14ac:dyDescent="0.3">
      <c r="A11" s="11">
        <v>9</v>
      </c>
      <c r="B11" s="17">
        <v>529</v>
      </c>
      <c r="C11" s="17" t="str">
        <f>VLOOKUP(B11,'[1]22-1-2026'!$B$3:$D$38,2,FALSE)</f>
        <v>دبابة</v>
      </c>
      <c r="D11" s="18">
        <f>VLOOKUP(B11,'[1]22-1-2026'!$B$3:$D$38,3,FALSE)</f>
        <v>2.0833333333333332E-2</v>
      </c>
      <c r="E11" s="17" t="s">
        <v>45</v>
      </c>
      <c r="F11" s="17" t="s">
        <v>46</v>
      </c>
      <c r="G11" s="19">
        <v>0.29166666666666669</v>
      </c>
      <c r="H11" s="19">
        <v>0.29166666666666669</v>
      </c>
      <c r="I11" s="19">
        <f t="shared" si="0"/>
        <v>0</v>
      </c>
      <c r="J11" s="19">
        <v>0.3263888888888889</v>
      </c>
      <c r="K11" s="19">
        <v>0.33333333333333331</v>
      </c>
      <c r="L11" s="19"/>
      <c r="M11" s="19"/>
      <c r="N11" s="19">
        <f t="shared" si="3"/>
        <v>6.9444444444444198E-3</v>
      </c>
      <c r="O11" s="19">
        <v>0</v>
      </c>
      <c r="P11" s="19">
        <v>6.9444444444444441E-3</v>
      </c>
      <c r="Q11" s="19">
        <v>0.33333333333333331</v>
      </c>
      <c r="R11" s="19">
        <v>0</v>
      </c>
      <c r="S11" s="19">
        <v>0.33333333333333331</v>
      </c>
      <c r="T11" s="19">
        <f>VLOOKUP(E11,'[1]22-1-2026'!$E$3:$T$13,16,FALSE)</f>
        <v>1.3888888888888888E-2</v>
      </c>
      <c r="U11" s="19">
        <v>0.34375</v>
      </c>
      <c r="V11" s="19">
        <v>0</v>
      </c>
      <c r="W11" s="19">
        <v>3.125E-2</v>
      </c>
      <c r="X11" s="19">
        <v>0.35069444444444442</v>
      </c>
      <c r="Y11" s="19">
        <v>0.38194444444444442</v>
      </c>
      <c r="Z11" s="19">
        <f t="shared" si="1"/>
        <v>3.125E-2</v>
      </c>
      <c r="AA11" s="19">
        <f t="shared" si="2"/>
        <v>0</v>
      </c>
      <c r="AB11" s="19">
        <v>0.38541666666666669</v>
      </c>
      <c r="AC11" s="21"/>
      <c r="AD11" s="52"/>
    </row>
    <row r="12" spans="1:30" ht="21.75" thickBot="1" x14ac:dyDescent="0.3">
      <c r="A12" s="16">
        <v>10</v>
      </c>
      <c r="B12" s="17">
        <v>492</v>
      </c>
      <c r="C12" s="17" t="str">
        <f>VLOOKUP(B12,'[1]22-1-2026'!$B$3:$D$38,2,FALSE)</f>
        <v>دبابة</v>
      </c>
      <c r="D12" s="18">
        <f>VLOOKUP(B12,'[1]22-1-2026'!$B$3:$D$38,3,FALSE)</f>
        <v>2.0833333333333332E-2</v>
      </c>
      <c r="E12" s="17" t="s">
        <v>47</v>
      </c>
      <c r="F12" s="17" t="s">
        <v>48</v>
      </c>
      <c r="G12" s="19">
        <v>0.29166666666666669</v>
      </c>
      <c r="H12" s="19">
        <v>0.29166666666666669</v>
      </c>
      <c r="I12" s="19">
        <f t="shared" si="0"/>
        <v>0</v>
      </c>
      <c r="J12" s="19">
        <v>0.31944444444444442</v>
      </c>
      <c r="K12" s="19">
        <v>0.3263888888888889</v>
      </c>
      <c r="L12" s="19"/>
      <c r="M12" s="19"/>
      <c r="N12" s="19">
        <f t="shared" si="3"/>
        <v>6.9444444444444753E-3</v>
      </c>
      <c r="O12" s="19">
        <v>0</v>
      </c>
      <c r="P12" s="19">
        <v>6.9444444444444441E-3</v>
      </c>
      <c r="Q12" s="19">
        <v>0.3263888888888889</v>
      </c>
      <c r="R12" s="19">
        <v>0</v>
      </c>
      <c r="S12" s="19">
        <v>0.3263888888888889</v>
      </c>
      <c r="T12" s="19">
        <f>VLOOKUP(E12,'[1]22-1-2026'!$E$3:$T$13,16,FALSE)</f>
        <v>1.3888888888888888E-2</v>
      </c>
      <c r="U12" s="19">
        <v>0</v>
      </c>
      <c r="V12" s="19">
        <v>0</v>
      </c>
      <c r="W12" s="19">
        <v>3.125E-2</v>
      </c>
      <c r="X12" s="19">
        <v>0</v>
      </c>
      <c r="Y12" s="19">
        <v>0</v>
      </c>
      <c r="Z12" s="19">
        <f t="shared" si="1"/>
        <v>0</v>
      </c>
      <c r="AA12" s="19">
        <v>0</v>
      </c>
      <c r="AB12" s="19">
        <v>0</v>
      </c>
      <c r="AC12" s="22"/>
      <c r="AD12" s="52"/>
    </row>
    <row r="13" spans="1:30" ht="22.5" thickTop="1" thickBot="1" x14ac:dyDescent="0.3">
      <c r="A13" s="11">
        <v>11</v>
      </c>
      <c r="B13" s="17">
        <v>315</v>
      </c>
      <c r="C13" s="17" t="str">
        <f>VLOOKUP(B13,'[1]22-1-2026'!$B$3:$D$38,2,FALSE)</f>
        <v>دبابة</v>
      </c>
      <c r="D13" s="18">
        <f>VLOOKUP(B13,'[1]22-1-2026'!$B$3:$D$38,3,FALSE)</f>
        <v>2.0833333333333332E-2</v>
      </c>
      <c r="E13" s="17" t="s">
        <v>49</v>
      </c>
      <c r="F13" s="17" t="s">
        <v>50</v>
      </c>
      <c r="G13" s="19">
        <v>0.29166666666666669</v>
      </c>
      <c r="H13" s="19">
        <v>0.28819444444444442</v>
      </c>
      <c r="I13" s="19">
        <v>0</v>
      </c>
      <c r="J13" s="19">
        <v>0.27430555555555558</v>
      </c>
      <c r="K13" s="19">
        <v>0.28472222222222221</v>
      </c>
      <c r="L13" s="19"/>
      <c r="M13" s="19"/>
      <c r="N13" s="19">
        <f t="shared" si="3"/>
        <v>1.041666666666663E-2</v>
      </c>
      <c r="O13" s="19">
        <v>0</v>
      </c>
      <c r="P13" s="19">
        <v>6.9444444444444441E-3</v>
      </c>
      <c r="Q13" s="19">
        <v>0.28472222222222221</v>
      </c>
      <c r="R13" s="19">
        <v>0</v>
      </c>
      <c r="S13" s="19">
        <v>0.28472222222222221</v>
      </c>
      <c r="T13" s="19">
        <f>VLOOKUP(E13,'[1]22-1-2026'!$E$3:$T$13,16,FALSE)</f>
        <v>4.1666666666666664E-2</v>
      </c>
      <c r="U13" s="19">
        <v>0.33263888888888887</v>
      </c>
      <c r="V13" s="19">
        <f t="shared" si="5"/>
        <v>6.2499999999999778E-3</v>
      </c>
      <c r="W13" s="19">
        <v>2.0833333333333332E-2</v>
      </c>
      <c r="X13" s="19">
        <v>0.3347222222222222</v>
      </c>
      <c r="Y13" s="19">
        <v>0.3576388888888889</v>
      </c>
      <c r="Z13" s="19">
        <f t="shared" si="1"/>
        <v>2.2916666666666696E-2</v>
      </c>
      <c r="AA13" s="19">
        <f t="shared" si="2"/>
        <v>2.0833333333333641E-3</v>
      </c>
      <c r="AB13" s="19">
        <v>0.3611111111111111</v>
      </c>
      <c r="AC13" s="22"/>
      <c r="AD13" s="52"/>
    </row>
    <row r="14" spans="1:30" ht="21.75" thickBot="1" x14ac:dyDescent="0.3">
      <c r="A14" s="16">
        <v>12</v>
      </c>
      <c r="B14" s="17">
        <v>315</v>
      </c>
      <c r="C14" s="17" t="str">
        <f>VLOOKUP(B14,'[1]22-1-2026'!$B$3:$D$38,2,FALSE)</f>
        <v>دبابة</v>
      </c>
      <c r="D14" s="18">
        <f>VLOOKUP(B14,'[1]22-1-2026'!$B$3:$D$38,3,FALSE)</f>
        <v>2.0833333333333332E-2</v>
      </c>
      <c r="E14" s="17" t="s">
        <v>51</v>
      </c>
      <c r="F14" s="17" t="s">
        <v>50</v>
      </c>
      <c r="G14" s="19">
        <v>0.29166666666666669</v>
      </c>
      <c r="H14" s="19">
        <v>0.28819444444444442</v>
      </c>
      <c r="I14" s="19">
        <v>0</v>
      </c>
      <c r="J14" s="19">
        <v>0.27430555555555558</v>
      </c>
      <c r="K14" s="19">
        <v>0.28472222222222221</v>
      </c>
      <c r="L14" s="19"/>
      <c r="M14" s="19"/>
      <c r="N14" s="19">
        <f t="shared" si="3"/>
        <v>1.041666666666663E-2</v>
      </c>
      <c r="O14" s="19">
        <v>0</v>
      </c>
      <c r="P14" s="19">
        <v>6.9444444444444441E-3</v>
      </c>
      <c r="Q14" s="19">
        <v>0.28472222222222221</v>
      </c>
      <c r="R14" s="19">
        <v>0</v>
      </c>
      <c r="S14" s="19">
        <v>0.28472222222222221</v>
      </c>
      <c r="T14" s="19">
        <f>VLOOKUP(E14,'[1]22-1-2026'!$E$3:$T$13,16,FALSE)</f>
        <v>6.9444444444444441E-3</v>
      </c>
      <c r="U14" s="19">
        <v>0.36458333333333331</v>
      </c>
      <c r="V14" s="19">
        <v>0</v>
      </c>
      <c r="W14" s="19">
        <v>3.125E-2</v>
      </c>
      <c r="X14" s="19">
        <v>0.36666666666666664</v>
      </c>
      <c r="Y14" s="19">
        <v>0.39861111111111114</v>
      </c>
      <c r="Z14" s="19">
        <f t="shared" si="1"/>
        <v>3.1944444444444497E-2</v>
      </c>
      <c r="AA14" s="19">
        <f t="shared" si="2"/>
        <v>6.9444444444449749E-4</v>
      </c>
      <c r="AB14" s="19">
        <v>0.40277777777777779</v>
      </c>
      <c r="AC14" s="22"/>
      <c r="AD14" s="52"/>
    </row>
    <row r="15" spans="1:30" ht="22.5" thickTop="1" thickBot="1" x14ac:dyDescent="0.3">
      <c r="A15" s="11">
        <v>13</v>
      </c>
      <c r="B15" s="23">
        <v>249</v>
      </c>
      <c r="C15" s="23" t="str">
        <f>VLOOKUP(B15,'[1]22-1-2026'!$B$3:$D$38,2,FALSE)</f>
        <v>دبابة</v>
      </c>
      <c r="D15" s="24">
        <f>VLOOKUP(B15,'[1]22-1-2026'!$B$3:$D$38,3,FALSE)</f>
        <v>2.0833333333333332E-2</v>
      </c>
      <c r="E15" s="23" t="s">
        <v>52</v>
      </c>
      <c r="F15" s="23" t="s">
        <v>53</v>
      </c>
      <c r="G15" s="25">
        <v>0.29166666666666669</v>
      </c>
      <c r="H15" s="25">
        <v>0.29166666666666669</v>
      </c>
      <c r="I15" s="25">
        <f t="shared" si="0"/>
        <v>0</v>
      </c>
      <c r="J15" s="25">
        <v>0.3298611111111111</v>
      </c>
      <c r="K15" s="25">
        <v>0.36805555555555558</v>
      </c>
      <c r="L15" s="25"/>
      <c r="M15" s="25"/>
      <c r="N15" s="25">
        <f t="shared" si="3"/>
        <v>3.8194444444444475E-2</v>
      </c>
      <c r="O15" s="25">
        <f t="shared" si="4"/>
        <v>1.7361111111111143E-2</v>
      </c>
      <c r="P15" s="25">
        <v>6.9444444444444441E-3</v>
      </c>
      <c r="Q15" s="25">
        <v>0.37152777777777779</v>
      </c>
      <c r="R15" s="25">
        <v>0</v>
      </c>
      <c r="S15" s="25">
        <v>0.37152777777777779</v>
      </c>
      <c r="T15" s="25">
        <f>VLOOKUP(E15,'[1]22-1-2026'!$E$3:$T$13,16,FALSE)</f>
        <v>3.472222222222222E-3</v>
      </c>
      <c r="U15" s="25">
        <v>0.375</v>
      </c>
      <c r="V15" s="25">
        <f t="shared" si="5"/>
        <v>0</v>
      </c>
      <c r="W15" s="25">
        <v>3.125E-2</v>
      </c>
      <c r="X15" s="25">
        <v>0.37569444444444444</v>
      </c>
      <c r="Y15" s="25">
        <v>0.41319444444444442</v>
      </c>
      <c r="Z15" s="25">
        <f t="shared" si="1"/>
        <v>3.7499999999999978E-2</v>
      </c>
      <c r="AA15" s="25">
        <f t="shared" si="2"/>
        <v>6.2499999999999778E-3</v>
      </c>
      <c r="AB15" s="25">
        <v>0.41666666666666669</v>
      </c>
      <c r="AC15" s="26"/>
      <c r="AD15" s="53"/>
    </row>
    <row r="16" spans="1:30" ht="20.25" thickTop="1" thickBot="1" x14ac:dyDescent="0.3">
      <c r="A16" s="16">
        <v>14</v>
      </c>
      <c r="B16" s="12">
        <v>492</v>
      </c>
      <c r="C16" s="12" t="str">
        <f>VLOOKUP(B16,'[1]22-1-2026'!$B$3:$D$38,2,FALSE)</f>
        <v>دبابة</v>
      </c>
      <c r="D16" s="13">
        <f>VLOOKUP(B16,'[1]22-1-2026'!$B$3:$D$38,3,FALSE)</f>
        <v>2.0833333333333332E-2</v>
      </c>
      <c r="E16" s="12" t="s">
        <v>30</v>
      </c>
      <c r="F16" s="12" t="s">
        <v>48</v>
      </c>
      <c r="G16" s="14">
        <v>0.29166666666666669</v>
      </c>
      <c r="H16" s="14">
        <f>VLOOKUP(F16,$F$3:$H$12,3,FALSE)</f>
        <v>0.29166666666666669</v>
      </c>
      <c r="I16" s="14">
        <f t="shared" si="0"/>
        <v>0</v>
      </c>
      <c r="J16" s="14">
        <v>0.40277777777777779</v>
      </c>
      <c r="K16" s="14">
        <v>0.4375</v>
      </c>
      <c r="L16" s="14"/>
      <c r="M16" s="14"/>
      <c r="N16" s="14">
        <f t="shared" si="3"/>
        <v>3.472222222222221E-2</v>
      </c>
      <c r="O16" s="14">
        <f t="shared" si="4"/>
        <v>1.3888888888888878E-2</v>
      </c>
      <c r="P16" s="14">
        <v>6.9444444444444441E-3</v>
      </c>
      <c r="Q16" s="14">
        <v>0.4375</v>
      </c>
      <c r="R16" s="14">
        <v>0</v>
      </c>
      <c r="S16" s="14">
        <v>0.4375</v>
      </c>
      <c r="T16" s="14">
        <f>VLOOKUP(E16,'[1]18-2-2026'!$E$16:$W$27,16,FALSE)</f>
        <v>2.4305555555555556E-2</v>
      </c>
      <c r="U16" s="14">
        <v>0.47916666666666669</v>
      </c>
      <c r="V16" s="14">
        <f t="shared" si="5"/>
        <v>1.7361111111111105E-2</v>
      </c>
      <c r="W16" s="14">
        <v>2.0833333333333332E-2</v>
      </c>
      <c r="X16" s="14">
        <v>0.4826388888888889</v>
      </c>
      <c r="Y16" s="14">
        <v>0.51388888888888884</v>
      </c>
      <c r="Z16" s="14">
        <f t="shared" si="1"/>
        <v>3.1249999999999944E-2</v>
      </c>
      <c r="AA16" s="14">
        <f t="shared" si="2"/>
        <v>1.0416666666666612E-2</v>
      </c>
      <c r="AB16" s="14">
        <v>0.51736111111111116</v>
      </c>
      <c r="AC16" s="27"/>
      <c r="AD16" s="51" t="s">
        <v>54</v>
      </c>
    </row>
    <row r="17" spans="1:30" ht="20.25" thickTop="1" thickBot="1" x14ac:dyDescent="0.3">
      <c r="A17" s="11">
        <v>15</v>
      </c>
      <c r="B17" s="17">
        <v>492</v>
      </c>
      <c r="C17" s="17" t="str">
        <f>VLOOKUP(B17,'[1]22-1-2026'!$B$3:$D$38,2,FALSE)</f>
        <v>دبابة</v>
      </c>
      <c r="D17" s="18">
        <f>VLOOKUP(B17,'[1]22-1-2026'!$B$3:$D$38,3,FALSE)</f>
        <v>2.0833333333333332E-2</v>
      </c>
      <c r="E17" s="17" t="s">
        <v>41</v>
      </c>
      <c r="F17" s="17" t="s">
        <v>48</v>
      </c>
      <c r="G17" s="19">
        <v>0.29166666666666669</v>
      </c>
      <c r="H17" s="19">
        <f t="shared" ref="H17:H40" si="6">VLOOKUP(F17,$F$3:$H$12,3,FALSE)</f>
        <v>0.29166666666666669</v>
      </c>
      <c r="I17" s="19">
        <f t="shared" si="0"/>
        <v>0</v>
      </c>
      <c r="J17" s="19">
        <v>0.40277777777777779</v>
      </c>
      <c r="K17" s="19">
        <v>0.4375</v>
      </c>
      <c r="L17" s="19"/>
      <c r="M17" s="19"/>
      <c r="N17" s="19">
        <f t="shared" si="3"/>
        <v>3.472222222222221E-2</v>
      </c>
      <c r="O17" s="19">
        <f t="shared" si="4"/>
        <v>1.3888888888888878E-2</v>
      </c>
      <c r="P17" s="19">
        <v>6.9444444444444441E-3</v>
      </c>
      <c r="Q17" s="19">
        <v>0.4375</v>
      </c>
      <c r="R17" s="19">
        <v>0</v>
      </c>
      <c r="S17" s="19">
        <v>0.4375</v>
      </c>
      <c r="T17" s="19">
        <v>1.0416666666666666E-2</v>
      </c>
      <c r="U17" s="19">
        <v>0.52777777777777779</v>
      </c>
      <c r="V17" s="19">
        <v>0</v>
      </c>
      <c r="W17" s="19">
        <v>3.125E-2</v>
      </c>
      <c r="X17" s="19">
        <v>0.53263888888888888</v>
      </c>
      <c r="Y17" s="19">
        <v>0.57152777777777775</v>
      </c>
      <c r="Z17" s="19">
        <f t="shared" si="1"/>
        <v>3.8888888888888862E-2</v>
      </c>
      <c r="AA17" s="19">
        <f t="shared" si="2"/>
        <v>7.6388888888888618E-3</v>
      </c>
      <c r="AB17" s="19">
        <v>0.57291666666666663</v>
      </c>
      <c r="AC17" s="20"/>
      <c r="AD17" s="52"/>
    </row>
    <row r="18" spans="1:30" ht="21.75" thickBot="1" x14ac:dyDescent="0.3">
      <c r="A18" s="16">
        <v>16</v>
      </c>
      <c r="B18" s="17">
        <v>529</v>
      </c>
      <c r="C18" s="17" t="str">
        <f>VLOOKUP(B18,'[1]22-1-2026'!$B$3:$D$38,2,FALSE)</f>
        <v>دبابة</v>
      </c>
      <c r="D18" s="18">
        <f>VLOOKUP(B18,'[1]22-1-2026'!$B$3:$D$38,3,FALSE)</f>
        <v>2.0833333333333332E-2</v>
      </c>
      <c r="E18" s="17" t="s">
        <v>38</v>
      </c>
      <c r="F18" s="17" t="s">
        <v>46</v>
      </c>
      <c r="G18" s="19">
        <v>0.29166666666666669</v>
      </c>
      <c r="H18" s="19">
        <f t="shared" si="6"/>
        <v>0.29166666666666669</v>
      </c>
      <c r="I18" s="19">
        <f t="shared" si="0"/>
        <v>0</v>
      </c>
      <c r="J18" s="19">
        <v>0.40277777777777779</v>
      </c>
      <c r="K18" s="19">
        <v>0.4375</v>
      </c>
      <c r="L18" s="19"/>
      <c r="M18" s="19"/>
      <c r="N18" s="19">
        <f t="shared" si="3"/>
        <v>3.472222222222221E-2</v>
      </c>
      <c r="O18" s="19">
        <f t="shared" si="4"/>
        <v>1.3888888888888878E-2</v>
      </c>
      <c r="P18" s="19">
        <v>6.9444444444444441E-3</v>
      </c>
      <c r="Q18" s="19">
        <v>0.4375</v>
      </c>
      <c r="R18" s="19">
        <v>0</v>
      </c>
      <c r="S18" s="19">
        <v>0.4375</v>
      </c>
      <c r="T18" s="19">
        <f>VLOOKUP(E18,'[1]18-2-2026'!$E$16:$W$27,16,FALSE)</f>
        <v>3.4722222222222224E-2</v>
      </c>
      <c r="U18" s="19">
        <v>0.46875</v>
      </c>
      <c r="V18" s="19">
        <v>0</v>
      </c>
      <c r="W18" s="19">
        <v>2.0833333333333332E-2</v>
      </c>
      <c r="X18" s="19">
        <v>0.47569444444444442</v>
      </c>
      <c r="Y18" s="19">
        <v>0.51041666666666663</v>
      </c>
      <c r="Z18" s="19">
        <f t="shared" si="1"/>
        <v>3.472222222222221E-2</v>
      </c>
      <c r="AA18" s="19">
        <f t="shared" si="2"/>
        <v>1.3888888888888878E-2</v>
      </c>
      <c r="AB18" s="19">
        <v>0.51388888888888884</v>
      </c>
      <c r="AC18" s="22"/>
      <c r="AD18" s="52"/>
    </row>
    <row r="19" spans="1:30" ht="20.25" thickTop="1" thickBot="1" x14ac:dyDescent="0.3">
      <c r="A19" s="11">
        <v>17</v>
      </c>
      <c r="B19" s="17">
        <v>529</v>
      </c>
      <c r="C19" s="17" t="str">
        <f>VLOOKUP(B19,'[1]22-1-2026'!$B$3:$D$38,2,FALSE)</f>
        <v>دبابة</v>
      </c>
      <c r="D19" s="18">
        <f>VLOOKUP(B19,'[1]22-1-2026'!$B$3:$D$38,3,FALSE)</f>
        <v>2.0833333333333332E-2</v>
      </c>
      <c r="E19" s="17" t="s">
        <v>40</v>
      </c>
      <c r="F19" s="17" t="s">
        <v>46</v>
      </c>
      <c r="G19" s="19">
        <v>0.29166666666666669</v>
      </c>
      <c r="H19" s="19">
        <f t="shared" si="6"/>
        <v>0.29166666666666669</v>
      </c>
      <c r="I19" s="19">
        <f t="shared" si="0"/>
        <v>0</v>
      </c>
      <c r="J19" s="19">
        <v>0.40277777777777779</v>
      </c>
      <c r="K19" s="19">
        <v>0.4375</v>
      </c>
      <c r="L19" s="19"/>
      <c r="M19" s="19"/>
      <c r="N19" s="19">
        <f t="shared" si="3"/>
        <v>3.472222222222221E-2</v>
      </c>
      <c r="O19" s="19">
        <f t="shared" si="4"/>
        <v>1.3888888888888878E-2</v>
      </c>
      <c r="P19" s="19">
        <v>6.9444444444444441E-3</v>
      </c>
      <c r="Q19" s="19">
        <v>0.4375</v>
      </c>
      <c r="R19" s="19">
        <v>0</v>
      </c>
      <c r="S19" s="19">
        <v>0.4375</v>
      </c>
      <c r="T19" s="19">
        <f>VLOOKUP(E19,'[1]18-2-2026'!$E$16:$W$27,16,FALSE)</f>
        <v>2.0833333333333332E-2</v>
      </c>
      <c r="U19" s="19">
        <v>0.53472222222222221</v>
      </c>
      <c r="V19" s="19">
        <v>0</v>
      </c>
      <c r="W19" s="19">
        <v>3.125E-2</v>
      </c>
      <c r="X19" s="19">
        <v>0.54166666666666663</v>
      </c>
      <c r="Y19" s="19">
        <v>0.84722222222222221</v>
      </c>
      <c r="Z19" s="19">
        <f t="shared" si="1"/>
        <v>0.30555555555555558</v>
      </c>
      <c r="AA19" s="19">
        <f t="shared" si="2"/>
        <v>0.27430555555555558</v>
      </c>
      <c r="AB19" s="19">
        <v>0.85069444444444442</v>
      </c>
      <c r="AC19" s="20"/>
      <c r="AD19" s="52"/>
    </row>
    <row r="20" spans="1:30" ht="19.5" thickBot="1" x14ac:dyDescent="0.3">
      <c r="A20" s="16">
        <v>18</v>
      </c>
      <c r="B20" s="17">
        <v>762</v>
      </c>
      <c r="C20" s="17" t="str">
        <f>VLOOKUP(B20,'[1]22-1-2026'!$B$3:$D$38,2,FALSE)</f>
        <v>دبابة</v>
      </c>
      <c r="D20" s="18">
        <f>VLOOKUP(B20,'[1]22-1-2026'!$B$3:$D$38,3,FALSE)</f>
        <v>2.0833333333333332E-2</v>
      </c>
      <c r="E20" s="17" t="s">
        <v>43</v>
      </c>
      <c r="F20" s="17" t="s">
        <v>42</v>
      </c>
      <c r="G20" s="19">
        <v>0.29166666666666669</v>
      </c>
      <c r="H20" s="19">
        <f t="shared" si="6"/>
        <v>0.28472222222222221</v>
      </c>
      <c r="I20" s="19">
        <v>0</v>
      </c>
      <c r="J20" s="19">
        <v>0.4375</v>
      </c>
      <c r="K20" s="19">
        <v>0.47569444444444442</v>
      </c>
      <c r="L20" s="19"/>
      <c r="M20" s="19"/>
      <c r="N20" s="19">
        <f t="shared" si="3"/>
        <v>3.819444444444442E-2</v>
      </c>
      <c r="O20" s="19">
        <f t="shared" si="4"/>
        <v>1.7361111111111088E-2</v>
      </c>
      <c r="P20" s="19">
        <v>6.9444444444444441E-3</v>
      </c>
      <c r="Q20" s="19">
        <v>0.45833333333333331</v>
      </c>
      <c r="R20" s="19">
        <v>0</v>
      </c>
      <c r="S20" s="19">
        <v>0.45833333333333331</v>
      </c>
      <c r="T20" s="19">
        <v>1.7361111111111112E-2</v>
      </c>
      <c r="U20" s="19">
        <v>0</v>
      </c>
      <c r="V20" s="19">
        <v>0</v>
      </c>
      <c r="W20" s="19">
        <v>3.125E-2</v>
      </c>
      <c r="X20" s="19">
        <v>0</v>
      </c>
      <c r="Y20" s="19">
        <v>0</v>
      </c>
      <c r="Z20" s="19">
        <f t="shared" si="1"/>
        <v>0</v>
      </c>
      <c r="AA20" s="19">
        <v>0</v>
      </c>
      <c r="AB20" s="19">
        <v>0</v>
      </c>
      <c r="AC20" s="20"/>
      <c r="AD20" s="52"/>
    </row>
    <row r="21" spans="1:30" ht="20.25" thickTop="1" thickBot="1" x14ac:dyDescent="0.3">
      <c r="A21" s="11">
        <v>19</v>
      </c>
      <c r="B21" s="17">
        <v>249</v>
      </c>
      <c r="C21" s="17" t="str">
        <f>VLOOKUP(B21,'[1]22-1-2026'!$B$3:$D$38,2,FALSE)</f>
        <v>دبابة</v>
      </c>
      <c r="D21" s="18">
        <f>VLOOKUP(B21,'[1]22-1-2026'!$B$3:$D$38,3,FALSE)</f>
        <v>2.0833333333333332E-2</v>
      </c>
      <c r="E21" s="17" t="s">
        <v>47</v>
      </c>
      <c r="F21" s="17" t="s">
        <v>53</v>
      </c>
      <c r="G21" s="19">
        <v>0.29166666666666669</v>
      </c>
      <c r="H21" s="19">
        <v>0.29166666666666669</v>
      </c>
      <c r="I21" s="19">
        <f t="shared" si="0"/>
        <v>0</v>
      </c>
      <c r="J21" s="19">
        <v>0.4375</v>
      </c>
      <c r="K21" s="19">
        <v>0.47569444444444442</v>
      </c>
      <c r="L21" s="19"/>
      <c r="M21" s="19"/>
      <c r="N21" s="19">
        <f t="shared" si="3"/>
        <v>3.819444444444442E-2</v>
      </c>
      <c r="O21" s="19">
        <f t="shared" si="4"/>
        <v>1.7361111111111088E-2</v>
      </c>
      <c r="P21" s="19">
        <v>6.9444444444444441E-3</v>
      </c>
      <c r="Q21" s="19">
        <v>0.4826388888888889</v>
      </c>
      <c r="R21" s="19">
        <v>0</v>
      </c>
      <c r="S21" s="19">
        <v>0.4826388888888889</v>
      </c>
      <c r="T21" s="19">
        <f>VLOOKUP(E21,'[1]18-2-2026'!$E$16:$W$27,16,FALSE)</f>
        <v>1.3888888888888888E-2</v>
      </c>
      <c r="U21" s="19">
        <v>0.49375000000000002</v>
      </c>
      <c r="V21" s="19">
        <v>0</v>
      </c>
      <c r="W21" s="19">
        <v>2.0833333333333332E-2</v>
      </c>
      <c r="X21" s="19">
        <v>0.49583333333333335</v>
      </c>
      <c r="Y21" s="19">
        <v>0.52708333333333335</v>
      </c>
      <c r="Z21" s="19">
        <f t="shared" si="1"/>
        <v>3.125E-2</v>
      </c>
      <c r="AA21" s="19">
        <f t="shared" si="2"/>
        <v>1.0416666666666668E-2</v>
      </c>
      <c r="AB21" s="19">
        <v>0.53125</v>
      </c>
      <c r="AC21" s="20"/>
      <c r="AD21" s="52"/>
    </row>
    <row r="22" spans="1:30" ht="19.5" thickBot="1" x14ac:dyDescent="0.3">
      <c r="A22" s="16">
        <v>20</v>
      </c>
      <c r="B22" s="17">
        <v>249</v>
      </c>
      <c r="C22" s="17" t="str">
        <f>VLOOKUP(B22,'[1]22-1-2026'!$B$3:$D$38,2,FALSE)</f>
        <v>دبابة</v>
      </c>
      <c r="D22" s="18">
        <f>VLOOKUP(B22,'[1]22-1-2026'!$B$3:$D$38,3,FALSE)</f>
        <v>2.0833333333333332E-2</v>
      </c>
      <c r="E22" s="17" t="s">
        <v>45</v>
      </c>
      <c r="F22" s="17" t="s">
        <v>53</v>
      </c>
      <c r="G22" s="19">
        <v>0.29166666666666669</v>
      </c>
      <c r="H22" s="19">
        <v>0.29166666666666669</v>
      </c>
      <c r="I22" s="19">
        <f t="shared" si="0"/>
        <v>0</v>
      </c>
      <c r="J22" s="19">
        <v>0.4375</v>
      </c>
      <c r="K22" s="19">
        <v>0.4826388888888889</v>
      </c>
      <c r="L22" s="19"/>
      <c r="M22" s="19"/>
      <c r="N22" s="19">
        <f t="shared" si="3"/>
        <v>4.5138888888888895E-2</v>
      </c>
      <c r="O22" s="19">
        <f t="shared" si="4"/>
        <v>2.4305555555555563E-2</v>
      </c>
      <c r="P22" s="19">
        <v>6.9444444444444441E-3</v>
      </c>
      <c r="Q22" s="19">
        <v>0.4826388888888889</v>
      </c>
      <c r="R22" s="19">
        <v>0</v>
      </c>
      <c r="S22" s="19">
        <v>0.4826388888888889</v>
      </c>
      <c r="T22" s="19">
        <f>VLOOKUP(E22,'[1]18-2-2026'!$E$16:$W$27,16,FALSE)</f>
        <v>1.3888888888888888E-2</v>
      </c>
      <c r="U22" s="19">
        <v>0.54305555555555551</v>
      </c>
      <c r="V22" s="19">
        <v>0</v>
      </c>
      <c r="W22" s="19">
        <v>3.125E-2</v>
      </c>
      <c r="X22" s="19">
        <v>0.54652777777777772</v>
      </c>
      <c r="Y22" s="19">
        <v>0.5708333333333333</v>
      </c>
      <c r="Z22" s="19">
        <f t="shared" si="1"/>
        <v>2.430555555555558E-2</v>
      </c>
      <c r="AA22" s="19">
        <v>0</v>
      </c>
      <c r="AB22" s="19">
        <v>0.57291666666666663</v>
      </c>
      <c r="AC22" s="20"/>
      <c r="AD22" s="52"/>
    </row>
    <row r="23" spans="1:30" ht="20.25" thickTop="1" thickBot="1" x14ac:dyDescent="0.3">
      <c r="A23" s="11">
        <v>21</v>
      </c>
      <c r="B23" s="17">
        <v>315</v>
      </c>
      <c r="C23" s="17" t="str">
        <f>VLOOKUP(B23,'[1]22-1-2026'!$B$3:$D$38,2,FALSE)</f>
        <v>دبابة</v>
      </c>
      <c r="D23" s="18">
        <f>VLOOKUP(B23,'[1]22-1-2026'!$B$3:$D$38,3,FALSE)</f>
        <v>2.0833333333333332E-2</v>
      </c>
      <c r="E23" s="17" t="s">
        <v>33</v>
      </c>
      <c r="F23" s="17" t="s">
        <v>50</v>
      </c>
      <c r="G23" s="19">
        <v>0.29166666666666669</v>
      </c>
      <c r="H23" s="19">
        <v>0.29166666666666669</v>
      </c>
      <c r="I23" s="19">
        <f t="shared" si="0"/>
        <v>0</v>
      </c>
      <c r="J23" s="19">
        <v>0.46875</v>
      </c>
      <c r="K23" s="19">
        <v>0.50694444444444442</v>
      </c>
      <c r="L23" s="19"/>
      <c r="M23" s="19"/>
      <c r="N23" s="19">
        <f t="shared" si="3"/>
        <v>3.819444444444442E-2</v>
      </c>
      <c r="O23" s="19">
        <f t="shared" si="4"/>
        <v>1.7361111111111088E-2</v>
      </c>
      <c r="P23" s="19">
        <v>6.9444444444444441E-3</v>
      </c>
      <c r="Q23" s="19">
        <v>0.4826388888888889</v>
      </c>
      <c r="R23" s="19">
        <v>0</v>
      </c>
      <c r="S23" s="19">
        <v>0.4826388888888889</v>
      </c>
      <c r="T23" s="19">
        <f>VLOOKUP(E23,'[1]18-2-2026'!$E$16:$W$27,16,FALSE)</f>
        <v>2.7777777777777776E-2</v>
      </c>
      <c r="U23" s="19">
        <v>0.51597222222222228</v>
      </c>
      <c r="V23" s="19">
        <f t="shared" si="5"/>
        <v>5.5555555555555913E-3</v>
      </c>
      <c r="W23" s="19">
        <v>3.125E-2</v>
      </c>
      <c r="X23" s="19">
        <v>0.52083333333333337</v>
      </c>
      <c r="Y23" s="19">
        <v>0.54513888888888884</v>
      </c>
      <c r="Z23" s="19">
        <f t="shared" si="1"/>
        <v>2.4305555555555469E-2</v>
      </c>
      <c r="AA23" s="19">
        <v>0</v>
      </c>
      <c r="AB23" s="19">
        <v>0.54652777777777772</v>
      </c>
      <c r="AC23" s="20"/>
      <c r="AD23" s="52"/>
    </row>
    <row r="24" spans="1:30" ht="19.5" thickBot="1" x14ac:dyDescent="0.3">
      <c r="A24" s="16">
        <v>22</v>
      </c>
      <c r="B24" s="17">
        <v>876</v>
      </c>
      <c r="C24" s="17" t="str">
        <f>VLOOKUP(B24,'[1]22-1-2026'!$B$3:$D$38,2,FALSE)</f>
        <v>دبابة</v>
      </c>
      <c r="D24" s="18">
        <f>VLOOKUP(B24,'[1]22-1-2026'!$B$3:$D$38,3,FALSE)</f>
        <v>2.0833333333333332E-2</v>
      </c>
      <c r="E24" s="17" t="s">
        <v>49</v>
      </c>
      <c r="F24" s="17" t="s">
        <v>44</v>
      </c>
      <c r="G24" s="19">
        <v>0.29166666666666669</v>
      </c>
      <c r="H24" s="19">
        <f t="shared" si="6"/>
        <v>0.28819444444444442</v>
      </c>
      <c r="I24" s="19">
        <v>0</v>
      </c>
      <c r="J24" s="19">
        <v>0.47569444444444442</v>
      </c>
      <c r="K24" s="19">
        <v>0.50694444444444442</v>
      </c>
      <c r="L24" s="19"/>
      <c r="M24" s="19"/>
      <c r="N24" s="19">
        <f t="shared" si="3"/>
        <v>3.125E-2</v>
      </c>
      <c r="O24" s="19">
        <f t="shared" si="4"/>
        <v>1.0416666666666668E-2</v>
      </c>
      <c r="P24" s="19">
        <v>6.9444444444444441E-3</v>
      </c>
      <c r="Q24" s="19">
        <v>0.51388888888888884</v>
      </c>
      <c r="R24" s="19">
        <v>0</v>
      </c>
      <c r="S24" s="19">
        <v>0.51388888888888884</v>
      </c>
      <c r="T24" s="19">
        <f>VLOOKUP(E24,'[1]18-2-2026'!$E$16:$W$27,16,FALSE)</f>
        <v>4.1666666666666664E-2</v>
      </c>
      <c r="U24" s="19">
        <v>0.53819444444444442</v>
      </c>
      <c r="V24" s="19">
        <v>0</v>
      </c>
      <c r="W24" s="19">
        <v>2.0833333333333332E-2</v>
      </c>
      <c r="X24" s="19">
        <v>0.54166666666666663</v>
      </c>
      <c r="Y24" s="19">
        <v>0.56944444444444442</v>
      </c>
      <c r="Z24" s="19">
        <f t="shared" si="1"/>
        <v>2.777777777777779E-2</v>
      </c>
      <c r="AA24" s="19">
        <f t="shared" si="2"/>
        <v>6.9444444444444579E-3</v>
      </c>
      <c r="AB24" s="19">
        <v>0.57291666666666663</v>
      </c>
      <c r="AC24" s="20"/>
      <c r="AD24" s="52"/>
    </row>
    <row r="25" spans="1:30" ht="20.25" thickTop="1" thickBot="1" x14ac:dyDescent="0.3">
      <c r="A25" s="11">
        <v>23</v>
      </c>
      <c r="B25" s="17">
        <v>876</v>
      </c>
      <c r="C25" s="17" t="str">
        <f>VLOOKUP(B25,'[1]22-1-2026'!$B$3:$D$38,2,FALSE)</f>
        <v>دبابة</v>
      </c>
      <c r="D25" s="18">
        <f>VLOOKUP(B25,'[1]22-1-2026'!$B$3:$D$38,3,FALSE)</f>
        <v>2.0833333333333332E-2</v>
      </c>
      <c r="E25" s="17" t="s">
        <v>51</v>
      </c>
      <c r="F25" s="17" t="s">
        <v>44</v>
      </c>
      <c r="G25" s="19">
        <v>0.29166666666666669</v>
      </c>
      <c r="H25" s="19">
        <f t="shared" si="6"/>
        <v>0.28819444444444442</v>
      </c>
      <c r="I25" s="19">
        <v>0</v>
      </c>
      <c r="J25" s="19">
        <v>0.47569444444444442</v>
      </c>
      <c r="K25" s="19">
        <v>0.50694444444444442</v>
      </c>
      <c r="L25" s="19"/>
      <c r="M25" s="19"/>
      <c r="N25" s="19">
        <f t="shared" si="3"/>
        <v>3.125E-2</v>
      </c>
      <c r="O25" s="19">
        <f t="shared" si="4"/>
        <v>1.0416666666666668E-2</v>
      </c>
      <c r="P25" s="19">
        <v>6.9444444444444441E-3</v>
      </c>
      <c r="Q25" s="19">
        <v>0.51388888888888884</v>
      </c>
      <c r="R25" s="19">
        <v>0</v>
      </c>
      <c r="S25" s="19">
        <v>0.51388888888888884</v>
      </c>
      <c r="T25" s="19">
        <v>1.0416666666666666E-2</v>
      </c>
      <c r="U25" s="19">
        <v>0.58333333333333337</v>
      </c>
      <c r="V25" s="19">
        <v>0</v>
      </c>
      <c r="W25" s="19">
        <v>3.125E-2</v>
      </c>
      <c r="X25" s="19">
        <v>0.58680555555555558</v>
      </c>
      <c r="Y25" s="19">
        <v>0.6069444444444444</v>
      </c>
      <c r="Z25" s="19">
        <f t="shared" si="1"/>
        <v>2.0138888888888817E-2</v>
      </c>
      <c r="AA25" s="19">
        <v>0</v>
      </c>
      <c r="AB25" s="19">
        <v>0.60972222222222228</v>
      </c>
      <c r="AC25" s="20"/>
      <c r="AD25" s="52"/>
    </row>
    <row r="26" spans="1:30" ht="19.5" thickBot="1" x14ac:dyDescent="0.3">
      <c r="A26" s="16">
        <v>24</v>
      </c>
      <c r="B26" s="17">
        <v>2694</v>
      </c>
      <c r="C26" s="17" t="s">
        <v>34</v>
      </c>
      <c r="D26" s="18">
        <v>3.125E-2</v>
      </c>
      <c r="E26" s="17" t="s">
        <v>35</v>
      </c>
      <c r="F26" s="17" t="s">
        <v>36</v>
      </c>
      <c r="G26" s="19">
        <v>0.29166666666666669</v>
      </c>
      <c r="H26" s="19">
        <f t="shared" si="6"/>
        <v>0.29166666666666669</v>
      </c>
      <c r="I26" s="19">
        <f t="shared" si="0"/>
        <v>0</v>
      </c>
      <c r="J26" s="19">
        <v>0.4861111111111111</v>
      </c>
      <c r="K26" s="19">
        <v>0.54166666666666663</v>
      </c>
      <c r="L26" s="19"/>
      <c r="M26" s="19"/>
      <c r="N26" s="19">
        <f t="shared" si="3"/>
        <v>5.5555555555555525E-2</v>
      </c>
      <c r="O26" s="19">
        <f t="shared" si="4"/>
        <v>2.4305555555555525E-2</v>
      </c>
      <c r="P26" s="19">
        <v>6.9444444444444441E-3</v>
      </c>
      <c r="Q26" s="19">
        <v>0.54166666666666663</v>
      </c>
      <c r="R26" s="19">
        <v>0</v>
      </c>
      <c r="S26" s="19">
        <v>0.54166666666666663</v>
      </c>
      <c r="T26" s="19">
        <f>VLOOKUP(E26,'[1]18-2-2026'!$E$16:$W$27,16,FALSE)</f>
        <v>1.3888888888888888E-2</v>
      </c>
      <c r="U26" s="19">
        <v>0.54861111111111116</v>
      </c>
      <c r="V26" s="19">
        <v>0</v>
      </c>
      <c r="W26" s="19">
        <v>3.125E-2</v>
      </c>
      <c r="X26" s="19">
        <v>0.55069444444444449</v>
      </c>
      <c r="Y26" s="19">
        <v>0.58125000000000004</v>
      </c>
      <c r="Z26" s="19">
        <f t="shared" si="1"/>
        <v>3.0555555555555558E-2</v>
      </c>
      <c r="AA26" s="19">
        <v>0</v>
      </c>
      <c r="AB26" s="19">
        <v>0.58333333333333337</v>
      </c>
      <c r="AC26" s="20"/>
      <c r="AD26" s="52"/>
    </row>
    <row r="27" spans="1:30" ht="20.25" thickTop="1" thickBot="1" x14ac:dyDescent="0.3">
      <c r="A27" s="11">
        <v>25</v>
      </c>
      <c r="B27" s="17">
        <v>2694</v>
      </c>
      <c r="C27" s="17" t="s">
        <v>34</v>
      </c>
      <c r="D27" s="18">
        <v>3.125E-2</v>
      </c>
      <c r="E27" s="17" t="s">
        <v>37</v>
      </c>
      <c r="F27" s="17" t="s">
        <v>36</v>
      </c>
      <c r="G27" s="19">
        <v>0.29166666666666669</v>
      </c>
      <c r="H27" s="19">
        <f t="shared" si="6"/>
        <v>0.29166666666666669</v>
      </c>
      <c r="I27" s="19">
        <f t="shared" si="0"/>
        <v>0</v>
      </c>
      <c r="J27" s="19">
        <v>0.4861111111111111</v>
      </c>
      <c r="K27" s="19">
        <v>0.54166666666666663</v>
      </c>
      <c r="L27" s="19"/>
      <c r="M27" s="19"/>
      <c r="N27" s="19">
        <f t="shared" si="3"/>
        <v>5.5555555555555525E-2</v>
      </c>
      <c r="O27" s="19">
        <f t="shared" si="4"/>
        <v>2.4305555555555525E-2</v>
      </c>
      <c r="P27" s="19">
        <v>6.9444444444444441E-3</v>
      </c>
      <c r="Q27" s="19">
        <v>0.54166666666666663</v>
      </c>
      <c r="R27" s="19">
        <v>0</v>
      </c>
      <c r="S27" s="19">
        <v>0.54166666666666663</v>
      </c>
      <c r="T27" s="19">
        <f>VLOOKUP(E27,'[1]18-2-2026'!$E$16:$W$27,16,FALSE)</f>
        <v>1.3888888888888888E-2</v>
      </c>
      <c r="U27" s="19">
        <v>0.59722222222222221</v>
      </c>
      <c r="V27" s="19">
        <v>0</v>
      </c>
      <c r="W27" s="19">
        <v>4.1666666666666664E-2</v>
      </c>
      <c r="X27" s="19">
        <v>0.60069444444444442</v>
      </c>
      <c r="Y27" s="19">
        <v>0.64444444444444449</v>
      </c>
      <c r="Z27" s="19">
        <f t="shared" si="1"/>
        <v>4.3750000000000067E-2</v>
      </c>
      <c r="AA27" s="19">
        <f t="shared" si="2"/>
        <v>2.0833333333334023E-3</v>
      </c>
      <c r="AB27" s="19">
        <v>0.64583333333333337</v>
      </c>
      <c r="AC27" s="20"/>
      <c r="AD27" s="52"/>
    </row>
    <row r="28" spans="1:30" ht="19.5" thickBot="1" x14ac:dyDescent="0.3">
      <c r="A28" s="16">
        <v>26</v>
      </c>
      <c r="B28" s="23">
        <v>892</v>
      </c>
      <c r="C28" s="23" t="str">
        <f>VLOOKUP(B28,'[1]22-1-2026'!$B$3:$D$38,2,FALSE)</f>
        <v>تلتين</v>
      </c>
      <c r="D28" s="24">
        <f>VLOOKUP(B28,'[1]22-1-2026'!$B$3:$D$38,3,FALSE)</f>
        <v>3.125E-2</v>
      </c>
      <c r="E28" s="23" t="s">
        <v>52</v>
      </c>
      <c r="F28" s="23" t="s">
        <v>31</v>
      </c>
      <c r="G28" s="25">
        <v>0.29166666666666669</v>
      </c>
      <c r="H28" s="25">
        <f t="shared" si="6"/>
        <v>0.29166666666666669</v>
      </c>
      <c r="I28" s="25">
        <f t="shared" si="0"/>
        <v>0</v>
      </c>
      <c r="J28" s="25">
        <v>0.51041666666666663</v>
      </c>
      <c r="K28" s="25">
        <v>0.54166666666666663</v>
      </c>
      <c r="L28" s="25"/>
      <c r="M28" s="25"/>
      <c r="N28" s="25">
        <f t="shared" si="3"/>
        <v>3.125E-2</v>
      </c>
      <c r="O28" s="25">
        <f t="shared" si="4"/>
        <v>0</v>
      </c>
      <c r="P28" s="25">
        <v>6.9444444444444441E-3</v>
      </c>
      <c r="Q28" s="25">
        <v>0.54166666666666663</v>
      </c>
      <c r="R28" s="25">
        <v>0</v>
      </c>
      <c r="S28" s="25">
        <v>0.54166666666666663</v>
      </c>
      <c r="T28" s="25">
        <f>VLOOKUP(E28,'[1]18-2-2026'!$E$16:$W$27,16,FALSE)</f>
        <v>3.472222222222222E-3</v>
      </c>
      <c r="U28" s="25">
        <v>0.49652777777777779</v>
      </c>
      <c r="V28" s="25">
        <v>0</v>
      </c>
      <c r="W28" s="25">
        <v>4.1666666666666664E-2</v>
      </c>
      <c r="X28" s="25">
        <v>0.49722222222222223</v>
      </c>
      <c r="Y28" s="25">
        <v>0.5229166666666667</v>
      </c>
      <c r="Z28" s="25">
        <f t="shared" si="1"/>
        <v>2.5694444444444464E-2</v>
      </c>
      <c r="AA28" s="25">
        <v>0</v>
      </c>
      <c r="AB28" s="25">
        <v>0.52361111111111114</v>
      </c>
      <c r="AC28" s="28"/>
      <c r="AD28" s="53"/>
    </row>
    <row r="29" spans="1:30" ht="20.25" thickTop="1" thickBot="1" x14ac:dyDescent="0.3">
      <c r="A29" s="11">
        <v>27</v>
      </c>
      <c r="B29" s="12">
        <v>892</v>
      </c>
      <c r="C29" s="12" t="str">
        <f>VLOOKUP(B29,'[1]22-1-2026'!$B$3:$D$38,2,FALSE)</f>
        <v>تلتين</v>
      </c>
      <c r="D29" s="13">
        <f>VLOOKUP(B29,'[1]22-1-2026'!$B$3:$D$38,3,FALSE)</f>
        <v>3.125E-2</v>
      </c>
      <c r="E29" s="12" t="s">
        <v>30</v>
      </c>
      <c r="F29" s="12" t="s">
        <v>31</v>
      </c>
      <c r="G29" s="14">
        <v>0.29166666666666669</v>
      </c>
      <c r="H29" s="14">
        <f t="shared" si="6"/>
        <v>0.29166666666666669</v>
      </c>
      <c r="I29" s="14">
        <f t="shared" si="0"/>
        <v>0</v>
      </c>
      <c r="J29" s="14">
        <v>0.56944444444444442</v>
      </c>
      <c r="K29" s="14">
        <v>0.62847222222222221</v>
      </c>
      <c r="L29" s="14"/>
      <c r="M29" s="14"/>
      <c r="N29" s="14">
        <f t="shared" si="3"/>
        <v>5.902777777777779E-2</v>
      </c>
      <c r="O29" s="14">
        <f t="shared" si="4"/>
        <v>2.777777777777779E-2</v>
      </c>
      <c r="P29" s="14">
        <v>6.9444444444444441E-3</v>
      </c>
      <c r="Q29" s="14">
        <v>0.64236111111111116</v>
      </c>
      <c r="R29" s="14">
        <f t="shared" ref="R29:R32" si="7">Q29-P29-K29</f>
        <v>6.9444444444445308E-3</v>
      </c>
      <c r="S29" s="14">
        <v>0.64236111111111116</v>
      </c>
      <c r="T29" s="14">
        <f>VLOOKUP(E29,'[1]22-1-2026'!$E$27:$T$38,16,FALSE)</f>
        <v>2.4305555555555556E-2</v>
      </c>
      <c r="U29" s="14">
        <v>0.58680555555555558</v>
      </c>
      <c r="V29" s="14">
        <v>0</v>
      </c>
      <c r="W29" s="14">
        <v>3.125E-2</v>
      </c>
      <c r="X29" s="14">
        <v>0.59027777777777779</v>
      </c>
      <c r="Y29" s="14">
        <v>0.60416666666666663</v>
      </c>
      <c r="Z29" s="14">
        <f t="shared" si="1"/>
        <v>1.388888888888884E-2</v>
      </c>
      <c r="AA29" s="14">
        <v>0</v>
      </c>
      <c r="AB29" s="14">
        <v>0.60555555555555551</v>
      </c>
      <c r="AC29" s="27"/>
      <c r="AD29" s="54" t="s">
        <v>55</v>
      </c>
    </row>
    <row r="30" spans="1:30" ht="19.5" thickBot="1" x14ac:dyDescent="0.3">
      <c r="A30" s="16">
        <v>28</v>
      </c>
      <c r="B30" s="17">
        <v>892</v>
      </c>
      <c r="C30" s="17" t="str">
        <f>VLOOKUP(B30,'[1]22-1-2026'!$B$3:$D$38,2,FALSE)</f>
        <v>تلتين</v>
      </c>
      <c r="D30" s="18">
        <f>VLOOKUP(B30,'[1]22-1-2026'!$B$3:$D$38,3,FALSE)</f>
        <v>3.125E-2</v>
      </c>
      <c r="E30" s="17" t="s">
        <v>33</v>
      </c>
      <c r="F30" s="17" t="s">
        <v>31</v>
      </c>
      <c r="G30" s="19">
        <v>0.29166666666666669</v>
      </c>
      <c r="H30" s="19">
        <f t="shared" si="6"/>
        <v>0.29166666666666669</v>
      </c>
      <c r="I30" s="19">
        <f t="shared" si="0"/>
        <v>0</v>
      </c>
      <c r="J30" s="19">
        <v>0.56944444444444442</v>
      </c>
      <c r="K30" s="19">
        <v>0.62847222222222221</v>
      </c>
      <c r="L30" s="19"/>
      <c r="M30" s="19"/>
      <c r="N30" s="19">
        <f t="shared" si="3"/>
        <v>5.902777777777779E-2</v>
      </c>
      <c r="O30" s="19">
        <f t="shared" si="4"/>
        <v>2.777777777777779E-2</v>
      </c>
      <c r="P30" s="19">
        <v>6.9444444444444441E-3</v>
      </c>
      <c r="Q30" s="19">
        <v>0.64236111111111116</v>
      </c>
      <c r="R30" s="19">
        <f t="shared" si="7"/>
        <v>6.9444444444445308E-3</v>
      </c>
      <c r="S30" s="19">
        <v>0.64236111111111116</v>
      </c>
      <c r="T30" s="19">
        <f>VLOOKUP(E30,'[1]22-1-2026'!$E$27:$T$38,16,FALSE)</f>
        <v>1.3888888888888888E-2</v>
      </c>
      <c r="U30" s="19">
        <v>0.61458333333333337</v>
      </c>
      <c r="V30" s="19">
        <v>0</v>
      </c>
      <c r="W30" s="19">
        <v>4.1666666666666664E-2</v>
      </c>
      <c r="X30" s="19">
        <v>0.61597222222222225</v>
      </c>
      <c r="Y30" s="19">
        <v>0.65833333333333333</v>
      </c>
      <c r="Z30" s="19">
        <f t="shared" si="1"/>
        <v>4.2361111111111072E-2</v>
      </c>
      <c r="AA30" s="19">
        <f t="shared" si="2"/>
        <v>6.9444444444440728E-4</v>
      </c>
      <c r="AB30" s="19">
        <v>0.65972222222222221</v>
      </c>
      <c r="AC30" s="20"/>
      <c r="AD30" s="55"/>
    </row>
    <row r="31" spans="1:30" ht="20.25" thickTop="1" thickBot="1" x14ac:dyDescent="0.3">
      <c r="A31" s="11">
        <v>29</v>
      </c>
      <c r="B31" s="17">
        <v>249</v>
      </c>
      <c r="C31" s="17" t="str">
        <f>VLOOKUP(B31,'[1]22-1-2026'!$B$3:$D$38,2,FALSE)</f>
        <v>دبابة</v>
      </c>
      <c r="D31" s="18">
        <f>VLOOKUP(B31,'[1]22-1-2026'!$B$3:$D$38,3,FALSE)</f>
        <v>2.0833333333333332E-2</v>
      </c>
      <c r="E31" s="17" t="s">
        <v>47</v>
      </c>
      <c r="F31" s="17" t="s">
        <v>53</v>
      </c>
      <c r="G31" s="19">
        <v>0.29166666666666669</v>
      </c>
      <c r="H31" s="19">
        <v>0.29166666666666669</v>
      </c>
      <c r="I31" s="19">
        <f t="shared" si="0"/>
        <v>0</v>
      </c>
      <c r="J31" s="19">
        <v>0.59027777777777779</v>
      </c>
      <c r="K31" s="19">
        <v>0.625</v>
      </c>
      <c r="L31" s="19"/>
      <c r="M31" s="19"/>
      <c r="N31" s="19">
        <f t="shared" si="3"/>
        <v>3.472222222222221E-2</v>
      </c>
      <c r="O31" s="19">
        <f t="shared" si="4"/>
        <v>1.3888888888888878E-2</v>
      </c>
      <c r="P31" s="19">
        <v>6.9444444444444441E-3</v>
      </c>
      <c r="Q31" s="19">
        <v>0.63888888888888884</v>
      </c>
      <c r="R31" s="19">
        <f t="shared" si="7"/>
        <v>6.9444444444444198E-3</v>
      </c>
      <c r="S31" s="19">
        <v>0.63888888888888884</v>
      </c>
      <c r="T31" s="19">
        <f>VLOOKUP(E31,'[1]22-1-2026'!$E$27:$T$38,16,FALSE)</f>
        <v>1.3888888888888888E-2</v>
      </c>
      <c r="U31" s="19">
        <v>0.65625</v>
      </c>
      <c r="V31" s="19">
        <f t="shared" si="5"/>
        <v>3.4722222222223209E-3</v>
      </c>
      <c r="W31" s="19">
        <v>2.0833333333333332E-2</v>
      </c>
      <c r="X31" s="19">
        <v>0.66249999999999998</v>
      </c>
      <c r="Y31" s="19">
        <v>0.69791666666666663</v>
      </c>
      <c r="Z31" s="19">
        <f t="shared" si="1"/>
        <v>3.5416666666666652E-2</v>
      </c>
      <c r="AA31" s="19">
        <f t="shared" si="2"/>
        <v>1.458333333333332E-2</v>
      </c>
      <c r="AB31" s="19">
        <v>0.7</v>
      </c>
      <c r="AC31" s="20"/>
      <c r="AD31" s="55"/>
    </row>
    <row r="32" spans="1:30" ht="19.5" thickBot="1" x14ac:dyDescent="0.3">
      <c r="A32" s="16">
        <v>30</v>
      </c>
      <c r="B32" s="17">
        <v>249</v>
      </c>
      <c r="C32" s="17" t="str">
        <f>VLOOKUP(B32,'[1]22-1-2026'!$B$3:$D$38,2,FALSE)</f>
        <v>دبابة</v>
      </c>
      <c r="D32" s="18">
        <f>VLOOKUP(B32,'[1]22-1-2026'!$B$3:$D$38,3,FALSE)</f>
        <v>2.0833333333333332E-2</v>
      </c>
      <c r="E32" s="17" t="s">
        <v>45</v>
      </c>
      <c r="F32" s="17" t="s">
        <v>53</v>
      </c>
      <c r="G32" s="19">
        <v>0.29166666666666669</v>
      </c>
      <c r="H32" s="19">
        <v>0.29166666666666669</v>
      </c>
      <c r="I32" s="19">
        <f t="shared" si="0"/>
        <v>0</v>
      </c>
      <c r="J32" s="19">
        <v>0.59027777777777779</v>
      </c>
      <c r="K32" s="19">
        <v>0.625</v>
      </c>
      <c r="L32" s="19"/>
      <c r="M32" s="19"/>
      <c r="N32" s="19">
        <f t="shared" si="3"/>
        <v>3.472222222222221E-2</v>
      </c>
      <c r="O32" s="19">
        <f t="shared" si="4"/>
        <v>1.3888888888888878E-2</v>
      </c>
      <c r="P32" s="19">
        <v>6.9444444444444441E-3</v>
      </c>
      <c r="Q32" s="19">
        <v>0.63888888888888884</v>
      </c>
      <c r="R32" s="19">
        <f t="shared" si="7"/>
        <v>6.9444444444444198E-3</v>
      </c>
      <c r="S32" s="19">
        <v>0.63888888888888884</v>
      </c>
      <c r="T32" s="19">
        <f>VLOOKUP(E32,'[1]22-1-2026'!$E$27:$T$38,16,FALSE)</f>
        <v>1.0416666666666666E-2</v>
      </c>
      <c r="U32" s="19">
        <v>0.72916666666666663</v>
      </c>
      <c r="V32" s="19">
        <v>1.8749999999999999E-2</v>
      </c>
      <c r="W32" s="19">
        <v>3.125E-2</v>
      </c>
      <c r="X32" s="19">
        <v>0.73263888888888884</v>
      </c>
      <c r="Y32" s="19">
        <v>0.7583333333333333</v>
      </c>
      <c r="Z32" s="19">
        <f t="shared" si="1"/>
        <v>2.5694444444444464E-2</v>
      </c>
      <c r="AA32" s="19">
        <v>0</v>
      </c>
      <c r="AB32" s="19">
        <v>0.76597222222222228</v>
      </c>
      <c r="AC32" s="20"/>
      <c r="AD32" s="55"/>
    </row>
    <row r="33" spans="1:30" ht="20.25" thickTop="1" thickBot="1" x14ac:dyDescent="0.3">
      <c r="A33" s="11">
        <v>31</v>
      </c>
      <c r="B33" s="17">
        <v>539</v>
      </c>
      <c r="C33" s="17" t="str">
        <f>VLOOKUP(B33,'[1]22-1-2026'!$B$3:$D$38,2,FALSE)</f>
        <v>دبابة</v>
      </c>
      <c r="D33" s="18">
        <f>VLOOKUP(B33,'[1]22-1-2026'!$B$3:$D$38,3,FALSE)</f>
        <v>2.0833333333333332E-2</v>
      </c>
      <c r="E33" s="17" t="s">
        <v>49</v>
      </c>
      <c r="F33" s="17" t="s">
        <v>39</v>
      </c>
      <c r="G33" s="19">
        <v>0.29166666666666669</v>
      </c>
      <c r="H33" s="19">
        <f t="shared" si="6"/>
        <v>0.29166666666666669</v>
      </c>
      <c r="I33" s="19">
        <f t="shared" si="0"/>
        <v>0</v>
      </c>
      <c r="J33" s="19">
        <v>0.625</v>
      </c>
      <c r="K33" s="19">
        <v>0.64583333333333337</v>
      </c>
      <c r="L33" s="19"/>
      <c r="M33" s="19"/>
      <c r="N33" s="19">
        <f t="shared" si="3"/>
        <v>2.083333333333337E-2</v>
      </c>
      <c r="O33" s="19">
        <f t="shared" si="4"/>
        <v>3.8163916471489756E-17</v>
      </c>
      <c r="P33" s="19">
        <v>6.9444444444444441E-3</v>
      </c>
      <c r="Q33" s="19">
        <v>0.64583333333333337</v>
      </c>
      <c r="R33" s="19">
        <v>0</v>
      </c>
      <c r="S33" s="19">
        <v>0.64583333333333337</v>
      </c>
      <c r="T33" s="19">
        <v>3.8194444444444448E-2</v>
      </c>
      <c r="U33" s="19">
        <v>0.67708333333333337</v>
      </c>
      <c r="V33" s="19">
        <v>0</v>
      </c>
      <c r="W33" s="19">
        <v>2.0833333333333332E-2</v>
      </c>
      <c r="X33" s="19">
        <v>0.68055555555555558</v>
      </c>
      <c r="Y33" s="19">
        <v>0.69097222222222221</v>
      </c>
      <c r="Z33" s="19">
        <f t="shared" si="1"/>
        <v>1.041666666666663E-2</v>
      </c>
      <c r="AA33" s="19">
        <v>0</v>
      </c>
      <c r="AB33" s="19">
        <v>0.69444444444444442</v>
      </c>
      <c r="AC33" s="20"/>
      <c r="AD33" s="55"/>
    </row>
    <row r="34" spans="1:30" ht="19.5" thickBot="1" x14ac:dyDescent="0.3">
      <c r="A34" s="16">
        <v>32</v>
      </c>
      <c r="B34" s="17">
        <v>539</v>
      </c>
      <c r="C34" s="17" t="str">
        <f>VLOOKUP(B34,'[1]22-1-2026'!$B$3:$D$38,2,FALSE)</f>
        <v>دبابة</v>
      </c>
      <c r="D34" s="18">
        <f>VLOOKUP(B34,'[1]22-1-2026'!$B$3:$D$38,3,FALSE)</f>
        <v>2.0833333333333332E-2</v>
      </c>
      <c r="E34" s="17" t="s">
        <v>51</v>
      </c>
      <c r="F34" s="17" t="s">
        <v>39</v>
      </c>
      <c r="G34" s="19">
        <v>0.29166666666666669</v>
      </c>
      <c r="H34" s="19">
        <f t="shared" si="6"/>
        <v>0.29166666666666669</v>
      </c>
      <c r="I34" s="19">
        <f t="shared" si="0"/>
        <v>0</v>
      </c>
      <c r="J34" s="19">
        <v>0.625</v>
      </c>
      <c r="K34" s="19">
        <v>0.64583333333333337</v>
      </c>
      <c r="L34" s="19"/>
      <c r="M34" s="19"/>
      <c r="N34" s="19">
        <f t="shared" si="3"/>
        <v>2.083333333333337E-2</v>
      </c>
      <c r="O34" s="19">
        <f t="shared" si="4"/>
        <v>3.8163916471489756E-17</v>
      </c>
      <c r="P34" s="19">
        <v>6.9444444444444441E-3</v>
      </c>
      <c r="Q34" s="19">
        <v>0.64583333333333337</v>
      </c>
      <c r="R34" s="19">
        <v>0</v>
      </c>
      <c r="S34" s="19">
        <v>0.64583333333333337</v>
      </c>
      <c r="T34" s="19">
        <v>1.0416666666666666E-2</v>
      </c>
      <c r="U34" s="19">
        <v>0.70138888888888884</v>
      </c>
      <c r="V34" s="19">
        <v>0</v>
      </c>
      <c r="W34" s="19">
        <v>3.125E-2</v>
      </c>
      <c r="X34" s="19">
        <v>0.70347222222222228</v>
      </c>
      <c r="Y34" s="19">
        <v>0.70486111111111116</v>
      </c>
      <c r="Z34" s="19">
        <f t="shared" si="1"/>
        <v>1.388888888888884E-3</v>
      </c>
      <c r="AA34" s="19">
        <v>0</v>
      </c>
      <c r="AB34" s="19">
        <v>0.70833333333333337</v>
      </c>
      <c r="AC34" s="20"/>
      <c r="AD34" s="55"/>
    </row>
    <row r="35" spans="1:30" ht="20.25" thickTop="1" thickBot="1" x14ac:dyDescent="0.3">
      <c r="A35" s="11">
        <v>33</v>
      </c>
      <c r="B35" s="17">
        <v>492</v>
      </c>
      <c r="C35" s="17" t="str">
        <f>VLOOKUP(B35,'[1]22-1-2026'!$B$3:$D$38,2,FALSE)</f>
        <v>دبابة</v>
      </c>
      <c r="D35" s="18">
        <f>VLOOKUP(B35,'[1]22-1-2026'!$B$3:$D$38,3,FALSE)</f>
        <v>2.0833333333333332E-2</v>
      </c>
      <c r="E35" s="17" t="s">
        <v>38</v>
      </c>
      <c r="F35" s="17" t="s">
        <v>48</v>
      </c>
      <c r="G35" s="19">
        <v>0.29166666666666669</v>
      </c>
      <c r="H35" s="19">
        <f t="shared" si="6"/>
        <v>0.29166666666666669</v>
      </c>
      <c r="I35" s="19">
        <f t="shared" si="0"/>
        <v>0</v>
      </c>
      <c r="J35" s="19">
        <v>0.63888888888888884</v>
      </c>
      <c r="K35" s="19">
        <v>0.65972222222222221</v>
      </c>
      <c r="L35" s="19"/>
      <c r="M35" s="19"/>
      <c r="N35" s="19">
        <f t="shared" si="3"/>
        <v>2.083333333333337E-2</v>
      </c>
      <c r="O35" s="19">
        <f t="shared" si="4"/>
        <v>3.8163916471489756E-17</v>
      </c>
      <c r="P35" s="19">
        <v>6.9444444444444441E-3</v>
      </c>
      <c r="Q35" s="19">
        <v>0.65972222222222221</v>
      </c>
      <c r="R35" s="19">
        <v>0</v>
      </c>
      <c r="S35" s="19">
        <v>0.65972222222222221</v>
      </c>
      <c r="T35" s="19">
        <v>3.8194444444444448E-2</v>
      </c>
      <c r="U35" s="19">
        <v>0.70833333333333337</v>
      </c>
      <c r="V35" s="19">
        <f t="shared" si="5"/>
        <v>1.0416666666666741E-2</v>
      </c>
      <c r="W35" s="19">
        <v>2.0833333333333332E-2</v>
      </c>
      <c r="X35" s="19">
        <v>0.71180555555555558</v>
      </c>
      <c r="Y35" s="19">
        <v>0.72083333333333333</v>
      </c>
      <c r="Z35" s="19">
        <f t="shared" si="1"/>
        <v>9.0277777777777457E-3</v>
      </c>
      <c r="AA35" s="19">
        <v>0</v>
      </c>
      <c r="AB35" s="19">
        <v>0.72222222222222221</v>
      </c>
      <c r="AC35" s="20"/>
      <c r="AD35" s="55"/>
    </row>
    <row r="36" spans="1:30" ht="19.5" thickBot="1" x14ac:dyDescent="0.3">
      <c r="A36" s="16">
        <v>34</v>
      </c>
      <c r="B36" s="17">
        <v>492</v>
      </c>
      <c r="C36" s="17" t="str">
        <f>VLOOKUP(B36,'[1]22-1-2026'!$B$3:$D$38,2,FALSE)</f>
        <v>دبابة</v>
      </c>
      <c r="D36" s="18">
        <f>VLOOKUP(B36,'[1]22-1-2026'!$B$3:$D$38,3,FALSE)</f>
        <v>2.0833333333333332E-2</v>
      </c>
      <c r="E36" s="17" t="s">
        <v>40</v>
      </c>
      <c r="F36" s="17" t="s">
        <v>48</v>
      </c>
      <c r="G36" s="19">
        <v>0.29166666666666669</v>
      </c>
      <c r="H36" s="19">
        <f t="shared" si="6"/>
        <v>0.29166666666666669</v>
      </c>
      <c r="I36" s="19">
        <f t="shared" si="0"/>
        <v>0</v>
      </c>
      <c r="J36" s="19">
        <v>0.63888888888888884</v>
      </c>
      <c r="K36" s="19">
        <v>0.65972222222222221</v>
      </c>
      <c r="L36" s="19"/>
      <c r="M36" s="19"/>
      <c r="N36" s="19">
        <f t="shared" si="3"/>
        <v>2.083333333333337E-2</v>
      </c>
      <c r="O36" s="19">
        <f t="shared" si="4"/>
        <v>3.8163916471489756E-17</v>
      </c>
      <c r="P36" s="19">
        <v>6.9444444444444441E-3</v>
      </c>
      <c r="Q36" s="19">
        <v>0.65972222222222221</v>
      </c>
      <c r="R36" s="19">
        <v>0</v>
      </c>
      <c r="S36" s="19">
        <v>0.65972222222222221</v>
      </c>
      <c r="T36" s="19">
        <f>VLOOKUP(E36,'[1]22-1-2026'!$E$27:$T$38,16,FALSE)</f>
        <v>5.2083333333333336E-2</v>
      </c>
      <c r="U36" s="19">
        <v>0.73263888888888884</v>
      </c>
      <c r="V36" s="19">
        <v>0</v>
      </c>
      <c r="W36" s="19">
        <v>3.125E-2</v>
      </c>
      <c r="X36" s="19">
        <v>0.74305555555555558</v>
      </c>
      <c r="Y36" s="19">
        <v>0.86597222222222225</v>
      </c>
      <c r="Z36" s="19">
        <f t="shared" si="1"/>
        <v>0.12291666666666667</v>
      </c>
      <c r="AA36" s="19">
        <f t="shared" si="2"/>
        <v>9.1666666666666674E-2</v>
      </c>
      <c r="AB36" s="19">
        <v>0.875</v>
      </c>
      <c r="AC36" s="20"/>
      <c r="AD36" s="55"/>
    </row>
    <row r="37" spans="1:30" ht="20.25" thickTop="1" thickBot="1" x14ac:dyDescent="0.3">
      <c r="A37" s="11">
        <v>35</v>
      </c>
      <c r="B37" s="17">
        <v>762</v>
      </c>
      <c r="C37" s="17" t="str">
        <f>VLOOKUP(B37,'[1]22-1-2026'!$B$3:$D$38,2,FALSE)</f>
        <v>دبابة</v>
      </c>
      <c r="D37" s="18">
        <f>VLOOKUP(B37,'[1]22-1-2026'!$B$3:$D$38,3,FALSE)</f>
        <v>2.0833333333333332E-2</v>
      </c>
      <c r="E37" s="17" t="s">
        <v>43</v>
      </c>
      <c r="F37" s="17" t="s">
        <v>42</v>
      </c>
      <c r="G37" s="19">
        <v>0.29166666666666669</v>
      </c>
      <c r="H37" s="19">
        <f t="shared" si="6"/>
        <v>0.28472222222222221</v>
      </c>
      <c r="I37" s="19">
        <v>0</v>
      </c>
      <c r="J37" s="19">
        <v>0.64583333333333337</v>
      </c>
      <c r="K37" s="19">
        <v>0.65277777777777779</v>
      </c>
      <c r="L37" s="19"/>
      <c r="M37" s="19"/>
      <c r="N37" s="19">
        <f t="shared" si="3"/>
        <v>6.9444444444444198E-3</v>
      </c>
      <c r="O37" s="19">
        <v>0</v>
      </c>
      <c r="P37" s="19">
        <v>6.9444444444444441E-3</v>
      </c>
      <c r="Q37" s="19">
        <v>0.65277777777777779</v>
      </c>
      <c r="R37" s="19">
        <v>0</v>
      </c>
      <c r="S37" s="19">
        <v>0.65277777777777779</v>
      </c>
      <c r="T37" s="19">
        <f>VLOOKUP(E37,'[1]22-1-2026'!$E$27:$T$38,16,FALSE)</f>
        <v>1.7361111111111112E-2</v>
      </c>
      <c r="U37" s="19">
        <v>0</v>
      </c>
      <c r="V37" s="19">
        <v>0</v>
      </c>
      <c r="W37" s="19">
        <v>3.125E-2</v>
      </c>
      <c r="X37" s="19">
        <v>0</v>
      </c>
      <c r="Y37" s="19">
        <v>0</v>
      </c>
      <c r="Z37" s="19">
        <f t="shared" si="1"/>
        <v>0</v>
      </c>
      <c r="AA37" s="19">
        <v>0</v>
      </c>
      <c r="AB37" s="19">
        <v>0</v>
      </c>
      <c r="AC37" s="20"/>
      <c r="AD37" s="55"/>
    </row>
    <row r="38" spans="1:30" ht="19.5" thickBot="1" x14ac:dyDescent="0.3">
      <c r="A38" s="16">
        <v>36</v>
      </c>
      <c r="B38" s="17">
        <v>876</v>
      </c>
      <c r="C38" s="17" t="str">
        <f>VLOOKUP(B38,'[1]22-1-2026'!$B$3:$D$38,2,FALSE)</f>
        <v>دبابة</v>
      </c>
      <c r="D38" s="18">
        <f>VLOOKUP(B38,'[1]22-1-2026'!$B$3:$D$38,3,FALSE)</f>
        <v>2.0833333333333332E-2</v>
      </c>
      <c r="E38" s="17" t="s">
        <v>41</v>
      </c>
      <c r="F38" s="17" t="s">
        <v>44</v>
      </c>
      <c r="G38" s="19">
        <v>0.29166666666666669</v>
      </c>
      <c r="H38" s="19">
        <f t="shared" si="6"/>
        <v>0.28819444444444442</v>
      </c>
      <c r="I38" s="19">
        <v>0</v>
      </c>
      <c r="J38" s="19">
        <v>0.65625</v>
      </c>
      <c r="K38" s="19">
        <v>0.67013888888888884</v>
      </c>
      <c r="L38" s="19"/>
      <c r="M38" s="19"/>
      <c r="N38" s="19">
        <f t="shared" si="3"/>
        <v>1.388888888888884E-2</v>
      </c>
      <c r="O38" s="19">
        <v>0</v>
      </c>
      <c r="P38" s="19">
        <v>6.9444444444444441E-3</v>
      </c>
      <c r="Q38" s="19">
        <v>0.67708333333333337</v>
      </c>
      <c r="R38" s="19">
        <v>0</v>
      </c>
      <c r="S38" s="19">
        <v>0.67708333333333337</v>
      </c>
      <c r="T38" s="19">
        <f>VLOOKUP(E38,'[1]22-1-2026'!$E$27:$T$38,16,FALSE)</f>
        <v>1.3888888888888888E-2</v>
      </c>
      <c r="U38" s="19">
        <v>0.71875</v>
      </c>
      <c r="V38" s="19">
        <f t="shared" si="5"/>
        <v>2.777777777777779E-2</v>
      </c>
      <c r="W38" s="19">
        <v>3.125E-2</v>
      </c>
      <c r="X38" s="19">
        <v>0.72083333333333333</v>
      </c>
      <c r="Y38" s="19">
        <v>0.73819444444444449</v>
      </c>
      <c r="Z38" s="19">
        <f t="shared" si="1"/>
        <v>1.736111111111116E-2</v>
      </c>
      <c r="AA38" s="19">
        <v>0</v>
      </c>
      <c r="AB38" s="19">
        <v>0.73958333333333337</v>
      </c>
      <c r="AC38" s="20"/>
      <c r="AD38" s="55"/>
    </row>
    <row r="39" spans="1:30" ht="20.25" thickTop="1" thickBot="1" x14ac:dyDescent="0.3">
      <c r="A39" s="11">
        <v>37</v>
      </c>
      <c r="B39" s="17">
        <v>2694</v>
      </c>
      <c r="C39" s="17" t="s">
        <v>34</v>
      </c>
      <c r="D39" s="18">
        <v>3.125E-2</v>
      </c>
      <c r="E39" s="17" t="s">
        <v>37</v>
      </c>
      <c r="F39" s="17" t="s">
        <v>36</v>
      </c>
      <c r="G39" s="19">
        <v>0.29166666666666669</v>
      </c>
      <c r="H39" s="19">
        <f t="shared" si="6"/>
        <v>0.29166666666666669</v>
      </c>
      <c r="I39" s="19">
        <f t="shared" si="0"/>
        <v>0</v>
      </c>
      <c r="J39" s="19">
        <v>0.65972222222222221</v>
      </c>
      <c r="K39" s="19">
        <v>0.67708333333333337</v>
      </c>
      <c r="L39" s="19"/>
      <c r="M39" s="19"/>
      <c r="N39" s="19">
        <f t="shared" si="3"/>
        <v>1.736111111111116E-2</v>
      </c>
      <c r="O39" s="19">
        <v>0</v>
      </c>
      <c r="P39" s="19">
        <v>6.9444444444444441E-3</v>
      </c>
      <c r="Q39" s="19">
        <v>0.67708333333333337</v>
      </c>
      <c r="R39" s="19">
        <v>0</v>
      </c>
      <c r="S39" s="19">
        <v>0.67708333333333337</v>
      </c>
      <c r="T39" s="19">
        <f>VLOOKUP(E39,'[1]22-1-2026'!$E$27:$T$38,16,FALSE)</f>
        <v>1.0416666666666666E-2</v>
      </c>
      <c r="U39" s="19">
        <v>0.6875</v>
      </c>
      <c r="V39" s="19">
        <f t="shared" si="5"/>
        <v>0</v>
      </c>
      <c r="W39" s="19">
        <v>3.125E-2</v>
      </c>
      <c r="X39" s="19">
        <v>0.69097222222222221</v>
      </c>
      <c r="Y39" s="19">
        <v>0.6958333333333333</v>
      </c>
      <c r="Z39" s="19">
        <f t="shared" si="1"/>
        <v>4.8611111111110938E-3</v>
      </c>
      <c r="AA39" s="19">
        <v>0</v>
      </c>
      <c r="AB39" s="19">
        <v>0.69791666666666663</v>
      </c>
      <c r="AC39" s="20"/>
      <c r="AD39" s="55"/>
    </row>
    <row r="40" spans="1:30" ht="19.5" thickBot="1" x14ac:dyDescent="0.3">
      <c r="A40" s="16">
        <v>38</v>
      </c>
      <c r="B40" s="17">
        <v>2694</v>
      </c>
      <c r="C40" s="17" t="s">
        <v>34</v>
      </c>
      <c r="D40" s="18">
        <v>3.125E-2</v>
      </c>
      <c r="E40" s="17" t="s">
        <v>35</v>
      </c>
      <c r="F40" s="17" t="s">
        <v>36</v>
      </c>
      <c r="G40" s="19">
        <v>0.29166666666666669</v>
      </c>
      <c r="H40" s="19">
        <f t="shared" si="6"/>
        <v>0.29166666666666669</v>
      </c>
      <c r="I40" s="19">
        <f t="shared" si="0"/>
        <v>0</v>
      </c>
      <c r="J40" s="19">
        <v>0.65972222222222221</v>
      </c>
      <c r="K40" s="19">
        <v>0.67708333333333337</v>
      </c>
      <c r="L40" s="19"/>
      <c r="M40" s="19"/>
      <c r="N40" s="19">
        <f t="shared" si="3"/>
        <v>1.736111111111116E-2</v>
      </c>
      <c r="O40" s="19">
        <v>0</v>
      </c>
      <c r="P40" s="19">
        <v>6.9444444444444441E-3</v>
      </c>
      <c r="Q40" s="19">
        <v>0.67708333333333337</v>
      </c>
      <c r="R40" s="19">
        <v>0</v>
      </c>
      <c r="S40" s="19">
        <v>0.67708333333333337</v>
      </c>
      <c r="T40" s="19">
        <f>VLOOKUP(E40,'[1]22-1-2026'!$E$27:$T$38,16,FALSE)</f>
        <v>1.3888888888888888E-2</v>
      </c>
      <c r="U40" s="19">
        <v>0.71180555555555558</v>
      </c>
      <c r="V40" s="19">
        <v>0</v>
      </c>
      <c r="W40" s="19">
        <v>4.1666666666666664E-2</v>
      </c>
      <c r="X40" s="19">
        <v>0.71458333333333335</v>
      </c>
      <c r="Y40" s="19">
        <v>0.72916666666666663</v>
      </c>
      <c r="Z40" s="19">
        <f t="shared" si="1"/>
        <v>1.4583333333333282E-2</v>
      </c>
      <c r="AA40" s="19">
        <v>0</v>
      </c>
      <c r="AB40" s="19">
        <v>0.73611111111111116</v>
      </c>
      <c r="AC40" s="20"/>
      <c r="AD40" s="56"/>
    </row>
    <row r="41" spans="1:30" ht="20.25" thickTop="1" thickBot="1" x14ac:dyDescent="0.3">
      <c r="A41" s="11">
        <v>39</v>
      </c>
      <c r="B41" s="23">
        <v>315</v>
      </c>
      <c r="C41" s="23" t="str">
        <f>VLOOKUP(B41,'[1]22-1-2026'!$B$3:$D$38,2,FALSE)</f>
        <v>دبابة</v>
      </c>
      <c r="D41" s="24">
        <f>VLOOKUP(B41,'[1]22-1-2026'!$B$3:$D$38,3,FALSE)</f>
        <v>2.0833333333333332E-2</v>
      </c>
      <c r="E41" s="23" t="s">
        <v>52</v>
      </c>
      <c r="F41" s="23" t="s">
        <v>50</v>
      </c>
      <c r="G41" s="25">
        <v>0.29166666666666669</v>
      </c>
      <c r="H41" s="25">
        <v>0.29166666666666669</v>
      </c>
      <c r="I41" s="25">
        <f t="shared" si="0"/>
        <v>0</v>
      </c>
      <c r="J41" s="25">
        <v>0.69444444444444442</v>
      </c>
      <c r="K41" s="25">
        <v>0.70138888888888884</v>
      </c>
      <c r="L41" s="25"/>
      <c r="M41" s="25"/>
      <c r="N41" s="25">
        <f t="shared" si="3"/>
        <v>6.9444444444444198E-3</v>
      </c>
      <c r="O41" s="25">
        <v>0</v>
      </c>
      <c r="P41" s="25">
        <v>6.9444444444444441E-3</v>
      </c>
      <c r="Q41" s="25">
        <v>0.70138888888888884</v>
      </c>
      <c r="R41" s="25">
        <v>0</v>
      </c>
      <c r="S41" s="25">
        <v>0.70138888888888884</v>
      </c>
      <c r="T41" s="25">
        <v>3.472222222222222E-3</v>
      </c>
      <c r="U41" s="25">
        <v>0</v>
      </c>
      <c r="V41" s="25">
        <v>0</v>
      </c>
      <c r="W41" s="25">
        <v>3.125E-2</v>
      </c>
      <c r="X41" s="25">
        <v>0</v>
      </c>
      <c r="Y41" s="25">
        <v>0</v>
      </c>
      <c r="Z41" s="25">
        <f t="shared" si="1"/>
        <v>0</v>
      </c>
      <c r="AA41" s="25">
        <v>0</v>
      </c>
      <c r="AB41" s="25">
        <v>0</v>
      </c>
      <c r="AC41" s="28"/>
      <c r="AD41" s="29"/>
    </row>
    <row r="42" spans="1:30" ht="20.25" thickTop="1" thickBot="1" x14ac:dyDescent="0.3">
      <c r="A42" s="11">
        <v>40</v>
      </c>
      <c r="B42" s="23">
        <v>7435</v>
      </c>
      <c r="C42" s="23" t="s">
        <v>34</v>
      </c>
      <c r="D42" s="24">
        <v>3.125E-2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I1:I40 O1:O40 R1:R40 V1:V40 AA1:AA40 AA43:AA1048576 V43:V1048576 R43:R1048576 O43:O1048576 I43:I1048576">
    <cfRule type="cellIs" dxfId="177" priority="6" operator="between">
      <formula>0.00277777777777778</formula>
      <formula>1</formula>
    </cfRule>
  </conditionalFormatting>
  <conditionalFormatting sqref="AC3:AC40">
    <cfRule type="containsText" dxfId="176" priority="5" operator="containsText" text="ت">
      <formula>NOT(ISERROR(SEARCH("ت",AC3)))</formula>
    </cfRule>
  </conditionalFormatting>
  <conditionalFormatting sqref="I41 O41 R41 V41 AA41">
    <cfRule type="cellIs" dxfId="175" priority="4" operator="between">
      <formula>0.00277777777777778</formula>
      <formula>1</formula>
    </cfRule>
  </conditionalFormatting>
  <conditionalFormatting sqref="AC41">
    <cfRule type="containsText" dxfId="174" priority="3" operator="containsText" text="ت">
      <formula>NOT(ISERROR(SEARCH("ت",AC41)))</formula>
    </cfRule>
  </conditionalFormatting>
  <conditionalFormatting sqref="I42 O42 R42 V42 AA42">
    <cfRule type="cellIs" dxfId="173" priority="2" operator="between">
      <formula>0.00277777777777778</formula>
      <formula>1</formula>
    </cfRule>
  </conditionalFormatting>
  <conditionalFormatting sqref="AC42">
    <cfRule type="containsText" dxfId="172" priority="1" operator="containsText" text="ت">
      <formula>NOT(ISERROR(SEARCH("ت",AC42)))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rightToLeft="1" workbookViewId="0">
      <pane xSplit="6" ySplit="2" topLeftCell="W3" activePane="bottomRight" state="frozen"/>
      <selection pane="topRight" activeCell="G1" sqref="G1"/>
      <selection pane="bottomLeft" activeCell="A3" sqref="A3"/>
      <selection pane="bottomRight" activeCell="E17" sqref="E17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7" customHeight="1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539</v>
      </c>
      <c r="C3" s="12" t="str">
        <f>VLOOKUP(B3,داتا!$B$3:$D$42,2,FALSE)</f>
        <v>دبابة</v>
      </c>
      <c r="D3" s="13">
        <f>VLOOKUP(B3,داتا!$B$3:$D$42,3,FALSE)</f>
        <v>2.0833333333333332E-2</v>
      </c>
      <c r="E3" s="12" t="s">
        <v>38</v>
      </c>
      <c r="F3" s="12" t="s">
        <v>39</v>
      </c>
      <c r="G3" s="14">
        <v>0.25</v>
      </c>
      <c r="H3" s="14">
        <v>0.2638888888888889</v>
      </c>
      <c r="I3" s="14">
        <f>H3-G3</f>
        <v>1.3888888888888895E-2</v>
      </c>
      <c r="J3" s="14">
        <v>0.22916666666666666</v>
      </c>
      <c r="K3" s="14">
        <v>0.23958333333333334</v>
      </c>
      <c r="L3" s="14" t="s">
        <v>64</v>
      </c>
      <c r="M3" s="14" t="s">
        <v>65</v>
      </c>
      <c r="N3" s="14">
        <f>K3-J3</f>
        <v>1.0416666666666685E-2</v>
      </c>
      <c r="O3" s="14">
        <v>0</v>
      </c>
      <c r="P3" s="14">
        <v>6.9444444444444441E-3</v>
      </c>
      <c r="Q3" s="14">
        <v>0.2673611111111111</v>
      </c>
      <c r="R3" s="14">
        <f t="shared" ref="R3:R28" si="0">Q3-P3-K3</f>
        <v>2.0833333333333343E-2</v>
      </c>
      <c r="S3" s="14">
        <v>0.2673611111111111</v>
      </c>
      <c r="T3" s="14">
        <f>VLOOKUP(E3,'[1]22-1-2026'!$E$3:$T$13,16,FALSE)</f>
        <v>3.4722222222222224E-2</v>
      </c>
      <c r="U3" s="14">
        <v>0.30902777777777779</v>
      </c>
      <c r="V3" s="14">
        <f>U3-T3-S3</f>
        <v>6.9444444444444753E-3</v>
      </c>
      <c r="W3" s="14">
        <v>2.0833333333333332E-2</v>
      </c>
      <c r="X3" s="14">
        <v>0.3347222222222222</v>
      </c>
      <c r="Y3" s="14">
        <v>0.35833333333333334</v>
      </c>
      <c r="Z3" s="14">
        <f>Y3-X3</f>
        <v>2.3611111111111138E-2</v>
      </c>
      <c r="AA3" s="14">
        <f t="shared" ref="AA3:AA13" si="1">Z3-W3</f>
        <v>2.7777777777778061E-3</v>
      </c>
      <c r="AB3" s="14">
        <v>0.3611111111111111</v>
      </c>
      <c r="AC3" s="15"/>
      <c r="AD3" s="51" t="s">
        <v>32</v>
      </c>
    </row>
    <row r="4" spans="1:30" ht="20.25" thickTop="1" thickBot="1" x14ac:dyDescent="0.3">
      <c r="A4" s="16">
        <v>2</v>
      </c>
      <c r="B4" s="17">
        <v>539</v>
      </c>
      <c r="C4" s="17" t="str">
        <f>VLOOKUP(B4,داتا!$B$3:$D$42,2,FALSE)</f>
        <v>دبابة</v>
      </c>
      <c r="D4" s="18">
        <f>VLOOKUP(B4,داتا!$B$3:$D$42,3,FALSE)</f>
        <v>2.0833333333333332E-2</v>
      </c>
      <c r="E4" s="17" t="s">
        <v>40</v>
      </c>
      <c r="F4" s="17" t="s">
        <v>39</v>
      </c>
      <c r="G4" s="19">
        <v>0.25</v>
      </c>
      <c r="H4" s="19">
        <v>0.2638888888888889</v>
      </c>
      <c r="I4" s="19">
        <f t="shared" ref="I4:I28" si="2">H4-G4</f>
        <v>1.3888888888888895E-2</v>
      </c>
      <c r="J4" s="19">
        <v>0.22916666666666666</v>
      </c>
      <c r="K4" s="19">
        <v>0.23958333333333334</v>
      </c>
      <c r="L4" s="14" t="s">
        <v>64</v>
      </c>
      <c r="M4" s="14" t="s">
        <v>65</v>
      </c>
      <c r="N4" s="19">
        <f>K4-J4</f>
        <v>1.0416666666666685E-2</v>
      </c>
      <c r="O4" s="19">
        <v>0</v>
      </c>
      <c r="P4" s="19">
        <v>6.9444444444444441E-3</v>
      </c>
      <c r="Q4" s="19">
        <v>0.2673611111111111</v>
      </c>
      <c r="R4" s="19">
        <f t="shared" si="0"/>
        <v>2.0833333333333343E-2</v>
      </c>
      <c r="S4" s="19">
        <v>0.2673611111111111</v>
      </c>
      <c r="T4" s="19">
        <v>2.0833333333333332E-2</v>
      </c>
      <c r="U4" s="19">
        <v>0.375</v>
      </c>
      <c r="V4" s="19">
        <v>0</v>
      </c>
      <c r="W4" s="19">
        <v>3.125E-2</v>
      </c>
      <c r="X4" s="19">
        <v>0.41666666666666669</v>
      </c>
      <c r="Y4" s="19">
        <v>0.4375</v>
      </c>
      <c r="Z4" s="19">
        <f t="shared" ref="Z4:Z28" si="3">Y4-X4</f>
        <v>2.0833333333333315E-2</v>
      </c>
      <c r="AA4" s="19">
        <v>0</v>
      </c>
      <c r="AB4" s="19">
        <v>0.44097222222222227</v>
      </c>
      <c r="AC4" s="20"/>
      <c r="AD4" s="52"/>
    </row>
    <row r="5" spans="1:30" ht="20.25" thickTop="1" thickBot="1" x14ac:dyDescent="0.3">
      <c r="A5" s="16">
        <v>3</v>
      </c>
      <c r="B5" s="17">
        <v>892</v>
      </c>
      <c r="C5" s="17" t="str">
        <f>VLOOKUP(B5,داتا!$B$3:$D$42,2,FALSE)</f>
        <v>تلتين</v>
      </c>
      <c r="D5" s="18">
        <f>VLOOKUP(B5,داتا!$B$3:$D$42,3,FALSE)</f>
        <v>3.125E-2</v>
      </c>
      <c r="E5" s="17" t="s">
        <v>30</v>
      </c>
      <c r="F5" s="17" t="s">
        <v>63</v>
      </c>
      <c r="G5" s="19">
        <v>0.25</v>
      </c>
      <c r="H5" s="19">
        <v>0.2638888888888889</v>
      </c>
      <c r="I5" s="19">
        <f t="shared" si="2"/>
        <v>1.3888888888888895E-2</v>
      </c>
      <c r="J5" s="19">
        <v>0.22916666666666666</v>
      </c>
      <c r="K5" s="19">
        <v>0.23958333333333334</v>
      </c>
      <c r="L5" s="14" t="s">
        <v>64</v>
      </c>
      <c r="M5" s="14" t="s">
        <v>65</v>
      </c>
      <c r="N5" s="19">
        <f t="shared" ref="N5:N28" si="4">K5-J5</f>
        <v>1.0416666666666685E-2</v>
      </c>
      <c r="O5" s="19">
        <v>0</v>
      </c>
      <c r="P5" s="19">
        <v>6.9444444444444441E-3</v>
      </c>
      <c r="Q5" s="19">
        <v>0.2673611111111111</v>
      </c>
      <c r="R5" s="19">
        <f t="shared" si="0"/>
        <v>2.0833333333333343E-2</v>
      </c>
      <c r="S5" s="19">
        <v>0.2673611111111111</v>
      </c>
      <c r="T5" s="19">
        <f>VLOOKUP(E5,'[1]22-1-2026'!$E$3:$T$13,16,FALSE)</f>
        <v>2.4305555555555556E-2</v>
      </c>
      <c r="U5" s="19">
        <v>0.29166666666666669</v>
      </c>
      <c r="V5" s="19">
        <f t="shared" ref="V5:V20" si="5">U5-T5-S5</f>
        <v>0</v>
      </c>
      <c r="W5" s="19">
        <v>3.125E-2</v>
      </c>
      <c r="X5" s="19">
        <v>0.30555555555555552</v>
      </c>
      <c r="Y5" s="19">
        <v>0.34513888888888888</v>
      </c>
      <c r="Z5" s="19">
        <f t="shared" si="3"/>
        <v>3.9583333333333359E-2</v>
      </c>
      <c r="AA5" s="19">
        <f t="shared" si="1"/>
        <v>8.3333333333333592E-3</v>
      </c>
      <c r="AB5" s="19">
        <v>0.3520833333333333</v>
      </c>
      <c r="AC5" s="20"/>
      <c r="AD5" s="52"/>
    </row>
    <row r="6" spans="1:30" ht="20.25" thickTop="1" thickBot="1" x14ac:dyDescent="0.3">
      <c r="A6" s="16">
        <v>4</v>
      </c>
      <c r="B6" s="17">
        <v>892</v>
      </c>
      <c r="C6" s="17" t="str">
        <f>VLOOKUP(B6,داتا!$B$3:$D$42,2,FALSE)</f>
        <v>تلتين</v>
      </c>
      <c r="D6" s="18">
        <f>VLOOKUP(B6,داتا!$B$3:$D$42,3,FALSE)</f>
        <v>3.125E-2</v>
      </c>
      <c r="E6" s="17" t="s">
        <v>33</v>
      </c>
      <c r="F6" s="17" t="s">
        <v>63</v>
      </c>
      <c r="G6" s="19">
        <v>0.25</v>
      </c>
      <c r="H6" s="19">
        <v>0.2638888888888889</v>
      </c>
      <c r="I6" s="19">
        <f t="shared" si="2"/>
        <v>1.3888888888888895E-2</v>
      </c>
      <c r="J6" s="19">
        <v>0.22916666666666666</v>
      </c>
      <c r="K6" s="19">
        <v>0.23958333333333334</v>
      </c>
      <c r="L6" s="14" t="s">
        <v>64</v>
      </c>
      <c r="M6" s="14" t="s">
        <v>65</v>
      </c>
      <c r="N6" s="19">
        <f t="shared" si="4"/>
        <v>1.0416666666666685E-2</v>
      </c>
      <c r="O6" s="19">
        <v>0</v>
      </c>
      <c r="P6" s="19">
        <v>6.9444444444444441E-3</v>
      </c>
      <c r="Q6" s="19">
        <v>0.2673611111111111</v>
      </c>
      <c r="R6" s="19">
        <f t="shared" si="0"/>
        <v>2.0833333333333343E-2</v>
      </c>
      <c r="S6" s="19">
        <v>0.2673611111111111</v>
      </c>
      <c r="T6" s="19">
        <f>VLOOKUP(E6,'[1]22-1-2026'!$E$3:$T$13,16,FALSE)</f>
        <v>2.7777777777777776E-2</v>
      </c>
      <c r="U6" s="19">
        <v>0.36249999999999999</v>
      </c>
      <c r="V6" s="19">
        <v>0</v>
      </c>
      <c r="W6" s="19">
        <v>4.1666666666666664E-2</v>
      </c>
      <c r="X6" s="19">
        <v>0.36805555555555558</v>
      </c>
      <c r="Y6" s="19">
        <v>0.38958333333333334</v>
      </c>
      <c r="Z6" s="19">
        <f t="shared" si="3"/>
        <v>2.1527777777777757E-2</v>
      </c>
      <c r="AA6" s="19">
        <v>0</v>
      </c>
      <c r="AB6" s="19">
        <v>0.39583333333333331</v>
      </c>
      <c r="AC6" s="20"/>
      <c r="AD6" s="52"/>
    </row>
    <row r="7" spans="1:30" ht="20.25" thickTop="1" thickBot="1" x14ac:dyDescent="0.3">
      <c r="A7" s="16">
        <v>5</v>
      </c>
      <c r="B7" s="17">
        <v>876</v>
      </c>
      <c r="C7" s="17" t="str">
        <f>VLOOKUP(B7,داتا!$B$3:$D$42,2,FALSE)</f>
        <v>دبابة</v>
      </c>
      <c r="D7" s="18">
        <f>VLOOKUP(B7,داتا!$B$3:$D$42,3,FALSE)</f>
        <v>2.0833333333333332E-2</v>
      </c>
      <c r="E7" s="17" t="s">
        <v>49</v>
      </c>
      <c r="F7" s="17" t="s">
        <v>62</v>
      </c>
      <c r="G7" s="19">
        <v>0.25</v>
      </c>
      <c r="H7" s="19">
        <v>0.25</v>
      </c>
      <c r="I7" s="19">
        <f t="shared" si="2"/>
        <v>0</v>
      </c>
      <c r="J7" s="19">
        <v>0.25</v>
      </c>
      <c r="K7" s="19">
        <v>0.25694444444444448</v>
      </c>
      <c r="L7" s="14" t="s">
        <v>64</v>
      </c>
      <c r="M7" s="14" t="s">
        <v>65</v>
      </c>
      <c r="N7" s="19">
        <f t="shared" si="4"/>
        <v>6.9444444444444753E-3</v>
      </c>
      <c r="O7" s="19">
        <v>0</v>
      </c>
      <c r="P7" s="19">
        <v>6.9444444444444441E-3</v>
      </c>
      <c r="Q7" s="19">
        <v>0.2638888888888889</v>
      </c>
      <c r="R7" s="19">
        <f t="shared" si="0"/>
        <v>0</v>
      </c>
      <c r="S7" s="19">
        <v>0.2638888888888889</v>
      </c>
      <c r="T7" s="19">
        <f>VLOOKUP(E7,'[1]22-1-2026'!$E$3:$T$13,16,FALSE)</f>
        <v>4.1666666666666664E-2</v>
      </c>
      <c r="U7" s="19">
        <v>0.28819444444444448</v>
      </c>
      <c r="V7" s="19">
        <v>0</v>
      </c>
      <c r="W7" s="19">
        <v>2.0833333333333332E-2</v>
      </c>
      <c r="X7" s="19">
        <v>0.33194444444444443</v>
      </c>
      <c r="Y7" s="19">
        <v>0.3527777777777778</v>
      </c>
      <c r="Z7" s="19">
        <f t="shared" si="3"/>
        <v>2.083333333333337E-2</v>
      </c>
      <c r="AA7" s="19">
        <f t="shared" si="1"/>
        <v>3.8163916471489756E-17</v>
      </c>
      <c r="AB7" s="19">
        <v>0.35833333333333334</v>
      </c>
      <c r="AC7" s="20"/>
      <c r="AD7" s="52"/>
    </row>
    <row r="8" spans="1:30" ht="20.25" thickTop="1" thickBot="1" x14ac:dyDescent="0.3">
      <c r="A8" s="16">
        <v>6</v>
      </c>
      <c r="B8" s="17">
        <v>876</v>
      </c>
      <c r="C8" s="17" t="str">
        <f>VLOOKUP(B8,داتا!$B$3:$D$42,2,FALSE)</f>
        <v>دبابة</v>
      </c>
      <c r="D8" s="18">
        <f>VLOOKUP(B8,داتا!$B$3:$D$42,3,FALSE)</f>
        <v>2.0833333333333332E-2</v>
      </c>
      <c r="E8" s="17" t="s">
        <v>51</v>
      </c>
      <c r="F8" s="17" t="s">
        <v>62</v>
      </c>
      <c r="G8" s="19">
        <v>0.25</v>
      </c>
      <c r="H8" s="19">
        <v>0.25</v>
      </c>
      <c r="I8" s="19">
        <f t="shared" si="2"/>
        <v>0</v>
      </c>
      <c r="J8" s="19">
        <v>0.25</v>
      </c>
      <c r="K8" s="19">
        <v>0.25694444444444448</v>
      </c>
      <c r="L8" s="14" t="s">
        <v>64</v>
      </c>
      <c r="M8" s="14" t="s">
        <v>65</v>
      </c>
      <c r="N8" s="19">
        <f t="shared" si="4"/>
        <v>6.9444444444444753E-3</v>
      </c>
      <c r="O8" s="19">
        <v>0</v>
      </c>
      <c r="P8" s="19">
        <v>6.9444444444444441E-3</v>
      </c>
      <c r="Q8" s="19">
        <v>0.2638888888888889</v>
      </c>
      <c r="R8" s="19">
        <f t="shared" si="0"/>
        <v>0</v>
      </c>
      <c r="S8" s="19">
        <v>0.2638888888888889</v>
      </c>
      <c r="T8" s="19">
        <f>VLOOKUP(E8,'[1]22-1-2026'!$E$3:$T$13,16,FALSE)</f>
        <v>6.9444444444444441E-3</v>
      </c>
      <c r="U8" s="19">
        <v>0.36458333333333331</v>
      </c>
      <c r="V8" s="19">
        <v>0</v>
      </c>
      <c r="W8" s="19">
        <v>3.125E-2</v>
      </c>
      <c r="X8" s="19">
        <v>0.37152777777777773</v>
      </c>
      <c r="Y8" s="19">
        <v>0.3888888888888889</v>
      </c>
      <c r="Z8" s="19">
        <f t="shared" si="3"/>
        <v>1.736111111111116E-2</v>
      </c>
      <c r="AA8" s="19">
        <v>0</v>
      </c>
      <c r="AB8" s="19">
        <v>0.39444444444444443</v>
      </c>
      <c r="AC8" s="20"/>
      <c r="AD8" s="52"/>
    </row>
    <row r="9" spans="1:30" ht="20.25" thickTop="1" thickBot="1" x14ac:dyDescent="0.3">
      <c r="A9" s="16">
        <v>7</v>
      </c>
      <c r="B9" s="17">
        <v>7435</v>
      </c>
      <c r="C9" s="17" t="str">
        <f>VLOOKUP(B9,داتا!$B$3:$D$42,2,FALSE)</f>
        <v>تلتين</v>
      </c>
      <c r="D9" s="18">
        <f>VLOOKUP(B9,داتا!$B$3:$D$42,3,FALSE)</f>
        <v>3.125E-2</v>
      </c>
      <c r="E9" s="17" t="s">
        <v>35</v>
      </c>
      <c r="F9" s="17" t="s">
        <v>61</v>
      </c>
      <c r="G9" s="19">
        <v>0.25</v>
      </c>
      <c r="H9" s="19">
        <v>0.25347222222222221</v>
      </c>
      <c r="I9" s="19">
        <f t="shared" si="2"/>
        <v>3.4722222222222099E-3</v>
      </c>
      <c r="J9" s="19">
        <v>0.24305555555555555</v>
      </c>
      <c r="K9" s="19">
        <v>0.25694444444444448</v>
      </c>
      <c r="L9" s="14" t="s">
        <v>64</v>
      </c>
      <c r="M9" s="14" t="s">
        <v>65</v>
      </c>
      <c r="N9" s="19">
        <f t="shared" si="4"/>
        <v>1.3888888888888923E-2</v>
      </c>
      <c r="O9" s="19">
        <v>0</v>
      </c>
      <c r="P9" s="19">
        <v>6.9444444444444441E-3</v>
      </c>
      <c r="Q9" s="19">
        <v>0.2673611111111111</v>
      </c>
      <c r="R9" s="19">
        <f t="shared" si="0"/>
        <v>3.4722222222222099E-3</v>
      </c>
      <c r="S9" s="19">
        <v>0.2673611111111111</v>
      </c>
      <c r="T9" s="19">
        <f>VLOOKUP(E9,'[1]22-1-2026'!$E$3:$T$13,16,FALSE)</f>
        <v>1.3888888888888888E-2</v>
      </c>
      <c r="U9" s="19">
        <v>0.28472222222222221</v>
      </c>
      <c r="V9" s="19">
        <f t="shared" si="5"/>
        <v>3.4722222222222099E-3</v>
      </c>
      <c r="W9" s="19">
        <v>3.125E-2</v>
      </c>
      <c r="X9" s="19">
        <v>0.33333333333333331</v>
      </c>
      <c r="Y9" s="19">
        <v>0.3576388888888889</v>
      </c>
      <c r="Z9" s="19">
        <f t="shared" si="3"/>
        <v>2.430555555555558E-2</v>
      </c>
      <c r="AA9" s="19">
        <v>0</v>
      </c>
      <c r="AB9" s="19">
        <v>0.3611111111111111</v>
      </c>
      <c r="AC9" s="20"/>
      <c r="AD9" s="52"/>
    </row>
    <row r="10" spans="1:30" ht="20.25" thickTop="1" thickBot="1" x14ac:dyDescent="0.3">
      <c r="A10" s="16">
        <v>8</v>
      </c>
      <c r="B10" s="17">
        <v>7435</v>
      </c>
      <c r="C10" s="17" t="str">
        <f>VLOOKUP(B10,داتا!$B$3:$D$42,2,FALSE)</f>
        <v>تلتين</v>
      </c>
      <c r="D10" s="18">
        <f>VLOOKUP(B10,داتا!$B$3:$D$42,3,FALSE)</f>
        <v>3.125E-2</v>
      </c>
      <c r="E10" s="17" t="s">
        <v>37</v>
      </c>
      <c r="F10" s="17" t="s">
        <v>61</v>
      </c>
      <c r="G10" s="19">
        <v>0.25</v>
      </c>
      <c r="H10" s="19">
        <v>0.25347222222222221</v>
      </c>
      <c r="I10" s="19">
        <f t="shared" si="2"/>
        <v>3.4722222222222099E-3</v>
      </c>
      <c r="J10" s="19">
        <v>0.24305555555555555</v>
      </c>
      <c r="K10" s="19">
        <v>0.25694444444444448</v>
      </c>
      <c r="L10" s="14" t="s">
        <v>64</v>
      </c>
      <c r="M10" s="14" t="s">
        <v>65</v>
      </c>
      <c r="N10" s="19">
        <f t="shared" si="4"/>
        <v>1.3888888888888923E-2</v>
      </c>
      <c r="O10" s="19">
        <v>0</v>
      </c>
      <c r="P10" s="19">
        <v>6.9444444444444441E-3</v>
      </c>
      <c r="Q10" s="19">
        <v>0.2673611111111111</v>
      </c>
      <c r="R10" s="19">
        <f t="shared" si="0"/>
        <v>3.4722222222222099E-3</v>
      </c>
      <c r="S10" s="19">
        <v>0.2673611111111111</v>
      </c>
      <c r="T10" s="19">
        <f>VLOOKUP(E10,'[1]22-1-2026'!$E$3:$T$13,16,FALSE)</f>
        <v>1.3888888888888888E-2</v>
      </c>
      <c r="U10" s="19">
        <v>0.375</v>
      </c>
      <c r="V10" s="19">
        <v>0</v>
      </c>
      <c r="W10" s="19">
        <v>4.1666666666666664E-2</v>
      </c>
      <c r="X10" s="19">
        <v>0.37708333333333338</v>
      </c>
      <c r="Y10" s="19">
        <v>0.39930555555555558</v>
      </c>
      <c r="Z10" s="19">
        <f t="shared" si="3"/>
        <v>2.2222222222222199E-2</v>
      </c>
      <c r="AA10" s="19">
        <v>0</v>
      </c>
      <c r="AB10" s="19">
        <v>0.40277777777777773</v>
      </c>
      <c r="AC10" s="20"/>
      <c r="AD10" s="52"/>
    </row>
    <row r="11" spans="1:30" ht="20.25" thickTop="1" thickBot="1" x14ac:dyDescent="0.3">
      <c r="A11" s="16">
        <v>9</v>
      </c>
      <c r="B11" s="17">
        <v>762</v>
      </c>
      <c r="C11" s="17" t="str">
        <f>VLOOKUP(B11,داتا!$B$3:$D$42,2,FALSE)</f>
        <v>دبابة</v>
      </c>
      <c r="D11" s="18">
        <f>VLOOKUP(B11,داتا!$B$3:$D$42,3,FALSE)</f>
        <v>2.0833333333333332E-2</v>
      </c>
      <c r="E11" s="17" t="s">
        <v>41</v>
      </c>
      <c r="F11" s="17" t="s">
        <v>60</v>
      </c>
      <c r="G11" s="19">
        <v>0.25</v>
      </c>
      <c r="H11" s="19">
        <v>0.20833333333333334</v>
      </c>
      <c r="I11" s="19">
        <v>0</v>
      </c>
      <c r="J11" s="19">
        <v>0.25694444444444448</v>
      </c>
      <c r="K11" s="19">
        <v>0.2638888888888889</v>
      </c>
      <c r="L11" s="14" t="s">
        <v>64</v>
      </c>
      <c r="M11" s="14" t="s">
        <v>65</v>
      </c>
      <c r="N11" s="19">
        <f t="shared" si="4"/>
        <v>6.9444444444444198E-3</v>
      </c>
      <c r="O11" s="19">
        <v>0</v>
      </c>
      <c r="P11" s="19">
        <v>6.9444444444444441E-3</v>
      </c>
      <c r="Q11" s="19">
        <v>0.2638888888888889</v>
      </c>
      <c r="R11" s="19">
        <v>0</v>
      </c>
      <c r="S11" s="19">
        <v>0.2638888888888889</v>
      </c>
      <c r="T11" s="19">
        <f>VLOOKUP(E11,'[1]22-1-2026'!$E$3:$T$13,16,FALSE)</f>
        <v>1.7361111111111112E-2</v>
      </c>
      <c r="U11" s="19">
        <v>0.2951388888888889</v>
      </c>
      <c r="V11" s="19">
        <f t="shared" si="5"/>
        <v>1.3888888888888895E-2</v>
      </c>
      <c r="W11" s="19">
        <v>3.125E-2</v>
      </c>
      <c r="X11" s="19">
        <v>0.34027777777777773</v>
      </c>
      <c r="Y11" s="19">
        <v>0.3611111111111111</v>
      </c>
      <c r="Z11" s="19">
        <f t="shared" si="3"/>
        <v>2.083333333333337E-2</v>
      </c>
      <c r="AA11" s="19">
        <v>0</v>
      </c>
      <c r="AB11" s="19">
        <v>0.36458333333333331</v>
      </c>
      <c r="AC11" s="21"/>
      <c r="AD11" s="52"/>
    </row>
    <row r="12" spans="1:30" ht="22.5" thickTop="1" thickBot="1" x14ac:dyDescent="0.3">
      <c r="A12" s="16">
        <v>10</v>
      </c>
      <c r="B12" s="17">
        <v>529</v>
      </c>
      <c r="C12" s="17" t="str">
        <f>VLOOKUP(B12,داتا!$B$3:$D$42,2,FALSE)</f>
        <v>دبابة</v>
      </c>
      <c r="D12" s="18">
        <f>VLOOKUP(B12,داتا!$B$3:$D$42,3,FALSE)</f>
        <v>2.0833333333333332E-2</v>
      </c>
      <c r="E12" s="17" t="s">
        <v>47</v>
      </c>
      <c r="F12" s="17" t="s">
        <v>59</v>
      </c>
      <c r="G12" s="19">
        <v>0.25</v>
      </c>
      <c r="H12" s="19">
        <v>0.25</v>
      </c>
      <c r="I12" s="19">
        <f t="shared" si="2"/>
        <v>0</v>
      </c>
      <c r="J12" s="19">
        <v>0.25694444444444448</v>
      </c>
      <c r="K12" s="19">
        <v>0.26041666666666669</v>
      </c>
      <c r="L12" s="14" t="s">
        <v>64</v>
      </c>
      <c r="M12" s="14" t="s">
        <v>65</v>
      </c>
      <c r="N12" s="19">
        <f t="shared" si="4"/>
        <v>3.4722222222222099E-3</v>
      </c>
      <c r="O12" s="19">
        <v>0</v>
      </c>
      <c r="P12" s="19">
        <v>6.9444444444444441E-3</v>
      </c>
      <c r="Q12" s="19">
        <v>0.2638888888888889</v>
      </c>
      <c r="R12" s="19">
        <v>0</v>
      </c>
      <c r="S12" s="19">
        <v>0.2638888888888889</v>
      </c>
      <c r="T12" s="19">
        <f>VLOOKUP(E12,'[1]22-1-2026'!$E$3:$T$13,16,FALSE)</f>
        <v>1.3888888888888888E-2</v>
      </c>
      <c r="U12" s="19">
        <v>0.27430555555555552</v>
      </c>
      <c r="V12" s="19">
        <v>0</v>
      </c>
      <c r="W12" s="19">
        <v>3.125E-2</v>
      </c>
      <c r="X12" s="19">
        <v>0.31944444444444448</v>
      </c>
      <c r="Y12" s="19">
        <v>0.34513888888888888</v>
      </c>
      <c r="Z12" s="19">
        <f t="shared" si="3"/>
        <v>2.5694444444444409E-2</v>
      </c>
      <c r="AA12" s="19">
        <v>0</v>
      </c>
      <c r="AB12" s="19">
        <v>0.35069444444444442</v>
      </c>
      <c r="AC12" s="22"/>
      <c r="AD12" s="52"/>
    </row>
    <row r="13" spans="1:30" ht="22.5" thickTop="1" thickBot="1" x14ac:dyDescent="0.3">
      <c r="A13" s="16">
        <v>11</v>
      </c>
      <c r="B13" s="17">
        <v>249</v>
      </c>
      <c r="C13" s="17" t="str">
        <f>VLOOKUP(B13,داتا!$B$3:$D$42,2,FALSE)</f>
        <v>دبابة</v>
      </c>
      <c r="D13" s="18">
        <f>VLOOKUP(B13,داتا!$B$3:$D$42,3,FALSE)</f>
        <v>2.0833333333333332E-2</v>
      </c>
      <c r="E13" s="17" t="s">
        <v>45</v>
      </c>
      <c r="F13" s="17" t="s">
        <v>53</v>
      </c>
      <c r="G13" s="19">
        <v>0.25</v>
      </c>
      <c r="H13" s="19">
        <v>0.25</v>
      </c>
      <c r="I13" s="19">
        <f t="shared" si="2"/>
        <v>0</v>
      </c>
      <c r="J13" s="19">
        <v>0.2638888888888889</v>
      </c>
      <c r="K13" s="19">
        <v>0.27083333333333331</v>
      </c>
      <c r="L13" s="14" t="s">
        <v>64</v>
      </c>
      <c r="M13" s="14" t="s">
        <v>65</v>
      </c>
      <c r="N13" s="19">
        <f t="shared" si="4"/>
        <v>6.9444444444444198E-3</v>
      </c>
      <c r="O13" s="19">
        <v>0</v>
      </c>
      <c r="P13" s="19">
        <v>6.9444444444444441E-3</v>
      </c>
      <c r="Q13" s="19">
        <v>0.27083333333333331</v>
      </c>
      <c r="R13" s="19">
        <v>0</v>
      </c>
      <c r="S13" s="19">
        <v>0.27083333333333331</v>
      </c>
      <c r="T13" s="19">
        <f>VLOOKUP(E13,'[1]22-1-2026'!$E$3:$T$13,16,FALSE)</f>
        <v>1.3888888888888888E-2</v>
      </c>
      <c r="U13" s="19">
        <v>0.28472222222222221</v>
      </c>
      <c r="V13" s="19">
        <f t="shared" si="5"/>
        <v>0</v>
      </c>
      <c r="W13" s="19">
        <v>3.125E-2</v>
      </c>
      <c r="X13" s="19">
        <v>0.30555555555555552</v>
      </c>
      <c r="Y13" s="19">
        <v>0.34027777777777773</v>
      </c>
      <c r="Z13" s="19">
        <f t="shared" si="3"/>
        <v>3.472222222222221E-2</v>
      </c>
      <c r="AA13" s="19">
        <f t="shared" si="1"/>
        <v>3.4722222222222099E-3</v>
      </c>
      <c r="AB13" s="19">
        <v>0.34375</v>
      </c>
      <c r="AC13" s="22"/>
      <c r="AD13" s="52"/>
    </row>
    <row r="14" spans="1:30" ht="22.5" thickTop="1" thickBot="1" x14ac:dyDescent="0.3">
      <c r="A14" s="16">
        <v>12</v>
      </c>
      <c r="B14" s="17">
        <v>529</v>
      </c>
      <c r="C14" s="17" t="s">
        <v>57</v>
      </c>
      <c r="D14" s="18">
        <f>VLOOKUP(B14,داتا!$B$3:$D$42,3,FALSE)</f>
        <v>2.0833333333333332E-2</v>
      </c>
      <c r="E14" s="17" t="s">
        <v>58</v>
      </c>
      <c r="F14" s="17" t="s">
        <v>44</v>
      </c>
      <c r="G14" s="19">
        <v>0.25</v>
      </c>
      <c r="H14" s="19">
        <v>0.24652777777777779</v>
      </c>
      <c r="I14" s="19">
        <v>0</v>
      </c>
      <c r="J14" s="19">
        <v>0.2638888888888889</v>
      </c>
      <c r="K14" s="19">
        <v>0.28472222222222221</v>
      </c>
      <c r="L14" s="14" t="s">
        <v>64</v>
      </c>
      <c r="M14" s="14" t="s">
        <v>65</v>
      </c>
      <c r="N14" s="19">
        <f t="shared" si="4"/>
        <v>2.0833333333333315E-2</v>
      </c>
      <c r="O14" s="19">
        <v>0</v>
      </c>
      <c r="P14" s="19">
        <v>6.9444444444444441E-3</v>
      </c>
      <c r="Q14" s="19">
        <v>0.28472222222222221</v>
      </c>
      <c r="R14" s="19">
        <v>0</v>
      </c>
      <c r="S14" s="19">
        <v>0.28472222222222221</v>
      </c>
      <c r="T14" s="19">
        <v>1.3888888888888888E-2</v>
      </c>
      <c r="U14" s="19">
        <v>0.30555555555555552</v>
      </c>
      <c r="V14" s="19">
        <f t="shared" si="5"/>
        <v>6.9444444444444198E-3</v>
      </c>
      <c r="W14" s="19">
        <v>3.125E-2</v>
      </c>
      <c r="X14" s="19">
        <v>0.34722222222222227</v>
      </c>
      <c r="Y14" s="19">
        <v>0.37152777777777773</v>
      </c>
      <c r="Z14" s="19">
        <f t="shared" si="3"/>
        <v>2.4305555555555469E-2</v>
      </c>
      <c r="AA14" s="19">
        <v>0</v>
      </c>
      <c r="AB14" s="19">
        <v>0.375</v>
      </c>
      <c r="AC14" s="22"/>
      <c r="AD14" s="52"/>
    </row>
    <row r="15" spans="1:30" ht="22.5" thickTop="1" thickBot="1" x14ac:dyDescent="0.3">
      <c r="A15" s="33">
        <v>13</v>
      </c>
      <c r="B15" s="34">
        <v>492</v>
      </c>
      <c r="C15" s="34" t="str">
        <f>VLOOKUP(B15,داتا!$B$3:$D$42,2,FALSE)</f>
        <v>دبابة</v>
      </c>
      <c r="D15" s="35">
        <f>VLOOKUP(B15,داتا!$B$3:$D$42,3,FALSE)</f>
        <v>2.0833333333333332E-2</v>
      </c>
      <c r="E15" s="34" t="s">
        <v>52</v>
      </c>
      <c r="F15" s="34" t="s">
        <v>46</v>
      </c>
      <c r="G15" s="36">
        <v>0.25</v>
      </c>
      <c r="H15" s="36">
        <v>0.27777777777777779</v>
      </c>
      <c r="I15" s="36">
        <f t="shared" si="2"/>
        <v>2.777777777777779E-2</v>
      </c>
      <c r="J15" s="36">
        <v>0.27430555555555552</v>
      </c>
      <c r="K15" s="36">
        <v>0.28472222222222221</v>
      </c>
      <c r="L15" s="37" t="s">
        <v>64</v>
      </c>
      <c r="M15" s="37" t="s">
        <v>65</v>
      </c>
      <c r="N15" s="36">
        <f t="shared" si="4"/>
        <v>1.0416666666666685E-2</v>
      </c>
      <c r="O15" s="36">
        <v>0</v>
      </c>
      <c r="P15" s="36">
        <v>6.9444444444444441E-3</v>
      </c>
      <c r="Q15" s="36">
        <v>0.2951388888888889</v>
      </c>
      <c r="R15" s="36">
        <f t="shared" si="0"/>
        <v>3.4722222222222654E-3</v>
      </c>
      <c r="S15" s="36">
        <v>0.2951388888888889</v>
      </c>
      <c r="T15" s="36">
        <f>VLOOKUP(E15,'[1]22-1-2026'!$E$3:$T$13,16,FALSE)</f>
        <v>3.472222222222222E-3</v>
      </c>
      <c r="U15" s="36">
        <v>0.29166666666666669</v>
      </c>
      <c r="V15" s="36">
        <v>0</v>
      </c>
      <c r="W15" s="36">
        <v>3.125E-2</v>
      </c>
      <c r="X15" s="36">
        <v>0.34375</v>
      </c>
      <c r="Y15" s="36">
        <v>0.3611111111111111</v>
      </c>
      <c r="Z15" s="36">
        <f t="shared" si="3"/>
        <v>1.7361111111111105E-2</v>
      </c>
      <c r="AA15" s="36">
        <v>0</v>
      </c>
      <c r="AB15" s="36">
        <v>0.36249999999999999</v>
      </c>
      <c r="AC15" s="38"/>
      <c r="AD15" s="53"/>
    </row>
    <row r="16" spans="1:30" ht="20.25" thickTop="1" thickBot="1" x14ac:dyDescent="0.3">
      <c r="A16" s="11">
        <v>1</v>
      </c>
      <c r="B16" s="12">
        <v>492</v>
      </c>
      <c r="C16" s="12" t="str">
        <f>VLOOKUP(B16,داتا!$B$3:$D$42,2,FALSE)</f>
        <v>دبابة</v>
      </c>
      <c r="D16" s="13">
        <f>VLOOKUP(B16,داتا!$B$3:$D$42,3,FALSE)</f>
        <v>2.0833333333333332E-2</v>
      </c>
      <c r="E16" s="12" t="s">
        <v>38</v>
      </c>
      <c r="F16" s="12" t="s">
        <v>46</v>
      </c>
      <c r="G16" s="14">
        <v>0.25</v>
      </c>
      <c r="H16" s="14">
        <v>0.25</v>
      </c>
      <c r="I16" s="14">
        <f t="shared" si="2"/>
        <v>0</v>
      </c>
      <c r="J16" s="14">
        <v>0.41666666666666669</v>
      </c>
      <c r="K16" s="14">
        <v>0.4513888888888889</v>
      </c>
      <c r="L16" s="14" t="s">
        <v>66</v>
      </c>
      <c r="M16" s="14" t="s">
        <v>69</v>
      </c>
      <c r="N16" s="14">
        <f t="shared" si="4"/>
        <v>3.472222222222221E-2</v>
      </c>
      <c r="O16" s="14">
        <f t="shared" ref="O16:O21" si="6">N16-D16</f>
        <v>1.3888888888888878E-2</v>
      </c>
      <c r="P16" s="14">
        <v>6.9444444444444441E-3</v>
      </c>
      <c r="Q16" s="14">
        <v>0.4513888888888889</v>
      </c>
      <c r="R16" s="14">
        <v>0</v>
      </c>
      <c r="S16" s="14">
        <v>0.4513888888888889</v>
      </c>
      <c r="T16" s="14">
        <f>VLOOKUP(E16,'[1]22-1-2026'!$E$3:$T$13,16,FALSE)</f>
        <v>3.4722222222222224E-2</v>
      </c>
      <c r="U16" s="14">
        <v>0.49305555555555558</v>
      </c>
      <c r="V16" s="14">
        <f t="shared" si="5"/>
        <v>6.9444444444444753E-3</v>
      </c>
      <c r="W16" s="14">
        <v>2.0833333333333332E-2</v>
      </c>
      <c r="X16" s="14">
        <v>0.49444444444444446</v>
      </c>
      <c r="Y16" s="14">
        <v>0.5083333333333333</v>
      </c>
      <c r="Z16" s="14">
        <f t="shared" si="3"/>
        <v>1.388888888888884E-2</v>
      </c>
      <c r="AA16" s="14">
        <v>0</v>
      </c>
      <c r="AB16" s="14">
        <v>0.51041666666666663</v>
      </c>
      <c r="AC16" s="27"/>
      <c r="AD16" s="51" t="s">
        <v>54</v>
      </c>
    </row>
    <row r="17" spans="1:30" ht="19.5" thickBot="1" x14ac:dyDescent="0.3">
      <c r="A17" s="16">
        <v>2</v>
      </c>
      <c r="B17" s="17">
        <v>492</v>
      </c>
      <c r="C17" s="17" t="str">
        <f>VLOOKUP(B17,داتا!$B$3:$D$42,2,FALSE)</f>
        <v>دبابة</v>
      </c>
      <c r="D17" s="18">
        <f>VLOOKUP(B17,داتا!$B$3:$D$42,3,FALSE)</f>
        <v>2.0833333333333332E-2</v>
      </c>
      <c r="E17" s="17" t="s">
        <v>40</v>
      </c>
      <c r="F17" s="17" t="s">
        <v>46</v>
      </c>
      <c r="G17" s="19">
        <v>0.25</v>
      </c>
      <c r="H17" s="19">
        <v>0.25</v>
      </c>
      <c r="I17" s="19">
        <f t="shared" si="2"/>
        <v>0</v>
      </c>
      <c r="J17" s="19">
        <v>0.41666666666666669</v>
      </c>
      <c r="K17" s="19">
        <v>0.4513888888888889</v>
      </c>
      <c r="L17" s="19" t="s">
        <v>66</v>
      </c>
      <c r="M17" s="19" t="s">
        <v>69</v>
      </c>
      <c r="N17" s="19">
        <f t="shared" si="4"/>
        <v>3.472222222222221E-2</v>
      </c>
      <c r="O17" s="19">
        <f t="shared" si="6"/>
        <v>1.3888888888888878E-2</v>
      </c>
      <c r="P17" s="19">
        <v>6.9444444444444441E-3</v>
      </c>
      <c r="Q17" s="19">
        <v>0.4513888888888889</v>
      </c>
      <c r="R17" s="19">
        <v>0</v>
      </c>
      <c r="S17" s="19">
        <v>0.4513888888888889</v>
      </c>
      <c r="T17" s="19">
        <v>2.0833333333333332E-2</v>
      </c>
      <c r="U17" s="19">
        <v>0.52430555555555558</v>
      </c>
      <c r="V17" s="19">
        <v>0</v>
      </c>
      <c r="W17" s="19">
        <v>3.125E-2</v>
      </c>
      <c r="X17" s="19">
        <v>0.52777777777777779</v>
      </c>
      <c r="Y17" s="19">
        <v>0.54999999999999993</v>
      </c>
      <c r="Z17" s="19">
        <f t="shared" si="3"/>
        <v>2.2222222222222143E-2</v>
      </c>
      <c r="AA17" s="19">
        <v>0</v>
      </c>
      <c r="AB17" s="19">
        <v>0.55208333333333337</v>
      </c>
      <c r="AC17" s="20"/>
      <c r="AD17" s="52"/>
    </row>
    <row r="18" spans="1:30" ht="21.75" thickBot="1" x14ac:dyDescent="0.3">
      <c r="A18" s="16">
        <v>3</v>
      </c>
      <c r="B18" s="17">
        <v>249</v>
      </c>
      <c r="C18" s="17" t="str">
        <f>VLOOKUP(B18,داتا!$B$3:$D$42,2,FALSE)</f>
        <v>دبابة</v>
      </c>
      <c r="D18" s="18">
        <f>VLOOKUP(B18,داتا!$B$3:$D$42,3,FALSE)</f>
        <v>2.0833333333333332E-2</v>
      </c>
      <c r="E18" s="17" t="s">
        <v>49</v>
      </c>
      <c r="F18" s="17" t="s">
        <v>53</v>
      </c>
      <c r="G18" s="19">
        <v>0.25</v>
      </c>
      <c r="H18" s="19">
        <v>0.24305555555555555</v>
      </c>
      <c r="I18" s="19">
        <v>0</v>
      </c>
      <c r="J18" s="19">
        <v>0.41666666666666669</v>
      </c>
      <c r="K18" s="19">
        <v>0.4513888888888889</v>
      </c>
      <c r="L18" s="19" t="s">
        <v>67</v>
      </c>
      <c r="M18" s="19" t="s">
        <v>68</v>
      </c>
      <c r="N18" s="19">
        <f t="shared" si="4"/>
        <v>3.472222222222221E-2</v>
      </c>
      <c r="O18" s="19">
        <f t="shared" si="6"/>
        <v>1.3888888888888878E-2</v>
      </c>
      <c r="P18" s="19">
        <v>6.9444444444444441E-3</v>
      </c>
      <c r="Q18" s="19">
        <v>0.4548611111111111</v>
      </c>
      <c r="R18" s="19">
        <v>0</v>
      </c>
      <c r="S18" s="19">
        <v>0.4548611111111111</v>
      </c>
      <c r="T18" s="19">
        <f>VLOOKUP(E18,'[1]22-1-2026'!$E$3:$T$13,16,FALSE)</f>
        <v>4.1666666666666664E-2</v>
      </c>
      <c r="U18" s="19">
        <v>0.49444444444444446</v>
      </c>
      <c r="V18" s="19">
        <v>0</v>
      </c>
      <c r="W18" s="19">
        <v>2.0833333333333332E-2</v>
      </c>
      <c r="X18" s="19">
        <v>0.49583333333333335</v>
      </c>
      <c r="Y18" s="19">
        <v>0.50347222222222221</v>
      </c>
      <c r="Z18" s="19">
        <f t="shared" si="3"/>
        <v>7.6388888888888618E-3</v>
      </c>
      <c r="AA18" s="19">
        <v>0</v>
      </c>
      <c r="AB18" s="19">
        <v>0.50694444444444442</v>
      </c>
      <c r="AC18" s="22"/>
      <c r="AD18" s="52"/>
    </row>
    <row r="19" spans="1:30" ht="19.5" thickBot="1" x14ac:dyDescent="0.3">
      <c r="A19" s="16">
        <v>4</v>
      </c>
      <c r="B19" s="17">
        <v>249</v>
      </c>
      <c r="C19" s="17" t="str">
        <f>VLOOKUP(B19,داتا!$B$3:$D$42,2,FALSE)</f>
        <v>دبابة</v>
      </c>
      <c r="D19" s="18">
        <f>VLOOKUP(B19,داتا!$B$3:$D$42,3,FALSE)</f>
        <v>2.0833333333333332E-2</v>
      </c>
      <c r="E19" s="17" t="s">
        <v>51</v>
      </c>
      <c r="F19" s="17" t="s">
        <v>53</v>
      </c>
      <c r="G19" s="19">
        <v>0.25</v>
      </c>
      <c r="H19" s="19">
        <v>0.24305555555555555</v>
      </c>
      <c r="I19" s="19">
        <v>0</v>
      </c>
      <c r="J19" s="19">
        <v>0.41666666666666669</v>
      </c>
      <c r="K19" s="19">
        <v>0.4513888888888889</v>
      </c>
      <c r="L19" s="19" t="s">
        <v>67</v>
      </c>
      <c r="M19" s="19" t="s">
        <v>68</v>
      </c>
      <c r="N19" s="19">
        <f t="shared" si="4"/>
        <v>3.472222222222221E-2</v>
      </c>
      <c r="O19" s="19">
        <f t="shared" si="6"/>
        <v>1.3888888888888878E-2</v>
      </c>
      <c r="P19" s="19">
        <v>6.9444444444444441E-3</v>
      </c>
      <c r="Q19" s="19">
        <v>0.4548611111111111</v>
      </c>
      <c r="R19" s="19">
        <v>0</v>
      </c>
      <c r="S19" s="19">
        <v>0.4548611111111111</v>
      </c>
      <c r="T19" s="19">
        <f>VLOOKUP(E19,'[1]22-1-2026'!$E$3:$T$13,16,FALSE)</f>
        <v>6.9444444444444441E-3</v>
      </c>
      <c r="U19" s="19">
        <v>0.51388888888888895</v>
      </c>
      <c r="V19" s="19">
        <v>0</v>
      </c>
      <c r="W19" s="19">
        <v>3.125E-2</v>
      </c>
      <c r="X19" s="19">
        <v>0.51736111111111105</v>
      </c>
      <c r="Y19" s="19">
        <v>0.53333333333333333</v>
      </c>
      <c r="Z19" s="19">
        <f t="shared" si="3"/>
        <v>1.5972222222222276E-2</v>
      </c>
      <c r="AA19" s="19">
        <v>0</v>
      </c>
      <c r="AB19" s="19">
        <v>0.53819444444444442</v>
      </c>
      <c r="AC19" s="20"/>
      <c r="AD19" s="52"/>
    </row>
    <row r="20" spans="1:30" ht="19.5" thickBot="1" x14ac:dyDescent="0.3">
      <c r="A20" s="16">
        <v>5</v>
      </c>
      <c r="B20" s="17">
        <v>876</v>
      </c>
      <c r="C20" s="17" t="str">
        <f>VLOOKUP(B20,داتا!$B$3:$D$42,2,FALSE)</f>
        <v>دبابة</v>
      </c>
      <c r="D20" s="18">
        <f>VLOOKUP(B20,داتا!$B$3:$D$42,3,FALSE)</f>
        <v>2.0833333333333332E-2</v>
      </c>
      <c r="E20" s="17" t="s">
        <v>47</v>
      </c>
      <c r="F20" s="17" t="s">
        <v>62</v>
      </c>
      <c r="G20" s="19">
        <v>0.25</v>
      </c>
      <c r="H20" s="19">
        <f t="shared" ref="H20:H28" si="7">VLOOKUP(F20,$F$3:$H$12,3,FALSE)</f>
        <v>0.25</v>
      </c>
      <c r="I20" s="19">
        <f t="shared" si="2"/>
        <v>0</v>
      </c>
      <c r="J20" s="19">
        <v>0.4513888888888889</v>
      </c>
      <c r="K20" s="19">
        <v>0.47222222222222227</v>
      </c>
      <c r="L20" s="19" t="s">
        <v>67</v>
      </c>
      <c r="M20" s="19" t="s">
        <v>68</v>
      </c>
      <c r="N20" s="19">
        <f t="shared" si="4"/>
        <v>2.083333333333337E-2</v>
      </c>
      <c r="O20" s="19">
        <f t="shared" si="6"/>
        <v>3.8163916471489756E-17</v>
      </c>
      <c r="P20" s="19">
        <v>6.9444444444444441E-3</v>
      </c>
      <c r="Q20" s="19">
        <v>0.47569444444444442</v>
      </c>
      <c r="R20" s="19">
        <v>0</v>
      </c>
      <c r="S20" s="19">
        <v>0.47569444444444442</v>
      </c>
      <c r="T20" s="19">
        <f>VLOOKUP(E20,'[1]22-1-2026'!$E$3:$T$13,16,FALSE)</f>
        <v>1.3888888888888888E-2</v>
      </c>
      <c r="U20" s="19">
        <v>0.49513888888888885</v>
      </c>
      <c r="V20" s="19">
        <f t="shared" si="5"/>
        <v>5.5555555555555358E-3</v>
      </c>
      <c r="W20" s="19">
        <v>2.0833333333333332E-2</v>
      </c>
      <c r="X20" s="19">
        <v>0.49583333333333335</v>
      </c>
      <c r="Y20" s="19">
        <v>0.51041666666666663</v>
      </c>
      <c r="Z20" s="19">
        <f t="shared" si="3"/>
        <v>1.4583333333333282E-2</v>
      </c>
      <c r="AA20" s="19">
        <v>0</v>
      </c>
      <c r="AB20" s="19">
        <v>0.51111111111111118</v>
      </c>
      <c r="AC20" s="20"/>
      <c r="AD20" s="52"/>
    </row>
    <row r="21" spans="1:30" ht="19.5" thickBot="1" x14ac:dyDescent="0.3">
      <c r="A21" s="16">
        <v>6</v>
      </c>
      <c r="B21" s="17">
        <v>876</v>
      </c>
      <c r="C21" s="17" t="str">
        <f>VLOOKUP(B21,داتا!$B$3:$D$42,2,FALSE)</f>
        <v>دبابة</v>
      </c>
      <c r="D21" s="18">
        <f>VLOOKUP(B21,داتا!$B$3:$D$42,3,FALSE)</f>
        <v>2.0833333333333332E-2</v>
      </c>
      <c r="E21" s="17" t="s">
        <v>45</v>
      </c>
      <c r="F21" s="17" t="s">
        <v>62</v>
      </c>
      <c r="G21" s="19">
        <v>0.25</v>
      </c>
      <c r="H21" s="19">
        <f t="shared" si="7"/>
        <v>0.25</v>
      </c>
      <c r="I21" s="19">
        <f t="shared" si="2"/>
        <v>0</v>
      </c>
      <c r="J21" s="19">
        <v>0.4513888888888889</v>
      </c>
      <c r="K21" s="19">
        <v>0.47222222222222227</v>
      </c>
      <c r="L21" s="19" t="s">
        <v>67</v>
      </c>
      <c r="M21" s="19" t="s">
        <v>68</v>
      </c>
      <c r="N21" s="19">
        <f t="shared" si="4"/>
        <v>2.083333333333337E-2</v>
      </c>
      <c r="O21" s="19">
        <f t="shared" si="6"/>
        <v>3.8163916471489756E-17</v>
      </c>
      <c r="P21" s="19">
        <v>6.9444444444444441E-3</v>
      </c>
      <c r="Q21" s="19">
        <v>0.47569444444444442</v>
      </c>
      <c r="R21" s="19">
        <v>0</v>
      </c>
      <c r="S21" s="19">
        <v>0.47569444444444442</v>
      </c>
      <c r="T21" s="19">
        <f>VLOOKUP(E21,'[1]22-1-2026'!$E$3:$T$13,16,FALSE)</f>
        <v>1.3888888888888888E-2</v>
      </c>
      <c r="U21" s="19">
        <v>0.52777777777777779</v>
      </c>
      <c r="V21" s="19">
        <v>0</v>
      </c>
      <c r="W21" s="19">
        <v>3.125E-2</v>
      </c>
      <c r="X21" s="19">
        <v>0.53125</v>
      </c>
      <c r="Y21" s="19">
        <v>0.54791666666666672</v>
      </c>
      <c r="Z21" s="19">
        <f t="shared" si="3"/>
        <v>1.6666666666666718E-2</v>
      </c>
      <c r="AA21" s="19">
        <v>0</v>
      </c>
      <c r="AB21" s="19">
        <v>0.54861111111111105</v>
      </c>
      <c r="AC21" s="20"/>
      <c r="AD21" s="52"/>
    </row>
    <row r="22" spans="1:30" ht="19.5" thickBot="1" x14ac:dyDescent="0.3">
      <c r="A22" s="16">
        <v>7</v>
      </c>
      <c r="B22" s="17">
        <v>7435</v>
      </c>
      <c r="C22" s="17" t="str">
        <f>VLOOKUP(B22,داتا!$B$3:$D$42,2,FALSE)</f>
        <v>تلتين</v>
      </c>
      <c r="D22" s="18">
        <f>VLOOKUP(B22,داتا!$B$3:$D$42,3,FALSE)</f>
        <v>3.125E-2</v>
      </c>
      <c r="E22" s="17" t="s">
        <v>33</v>
      </c>
      <c r="F22" s="17" t="s">
        <v>61</v>
      </c>
      <c r="G22" s="19">
        <v>0.25</v>
      </c>
      <c r="H22" s="19">
        <f t="shared" si="7"/>
        <v>0.25347222222222221</v>
      </c>
      <c r="I22" s="19">
        <f t="shared" si="2"/>
        <v>3.4722222222222099E-3</v>
      </c>
      <c r="J22" s="19">
        <v>0.4548611111111111</v>
      </c>
      <c r="K22" s="19">
        <v>0.47569444444444442</v>
      </c>
      <c r="L22" s="19" t="s">
        <v>66</v>
      </c>
      <c r="M22" s="19" t="s">
        <v>69</v>
      </c>
      <c r="N22" s="19">
        <f t="shared" si="4"/>
        <v>2.0833333333333315E-2</v>
      </c>
      <c r="O22" s="19">
        <v>0</v>
      </c>
      <c r="P22" s="19">
        <v>6.9444444444444441E-3</v>
      </c>
      <c r="Q22" s="19">
        <v>0.47916666666666669</v>
      </c>
      <c r="R22" s="19">
        <v>0</v>
      </c>
      <c r="S22" s="19">
        <v>0.47916666666666669</v>
      </c>
      <c r="T22" s="19">
        <f>VLOOKUP(E22,'[1]22-1-2026'!$E$3:$T$13,16,FALSE)</f>
        <v>2.7777777777777776E-2</v>
      </c>
      <c r="U22" s="19">
        <v>0.50347222222222221</v>
      </c>
      <c r="V22" s="19">
        <v>0</v>
      </c>
      <c r="W22" s="19">
        <v>3.125E-2</v>
      </c>
      <c r="X22" s="19">
        <v>0.50694444444444442</v>
      </c>
      <c r="Y22" s="19">
        <v>0.5229166666666667</v>
      </c>
      <c r="Z22" s="19">
        <f t="shared" si="3"/>
        <v>1.5972222222222276E-2</v>
      </c>
      <c r="AA22" s="19">
        <v>0</v>
      </c>
      <c r="AB22" s="19">
        <v>0.52430555555555558</v>
      </c>
      <c r="AC22" s="20"/>
      <c r="AD22" s="52"/>
    </row>
    <row r="23" spans="1:30" ht="19.5" thickBot="1" x14ac:dyDescent="0.3">
      <c r="A23" s="16">
        <v>8</v>
      </c>
      <c r="B23" s="17">
        <v>7435</v>
      </c>
      <c r="C23" s="17" t="str">
        <f>VLOOKUP(B23,داتا!$B$3:$D$42,2,FALSE)</f>
        <v>تلتين</v>
      </c>
      <c r="D23" s="18">
        <f>VLOOKUP(B23,داتا!$B$3:$D$42,3,FALSE)</f>
        <v>3.125E-2</v>
      </c>
      <c r="E23" s="17" t="s">
        <v>41</v>
      </c>
      <c r="F23" s="17" t="s">
        <v>61</v>
      </c>
      <c r="G23" s="19">
        <v>0.25</v>
      </c>
      <c r="H23" s="19">
        <f t="shared" si="7"/>
        <v>0.25347222222222221</v>
      </c>
      <c r="I23" s="19">
        <f t="shared" si="2"/>
        <v>3.4722222222222099E-3</v>
      </c>
      <c r="J23" s="19">
        <v>0.4548611111111111</v>
      </c>
      <c r="K23" s="19">
        <v>0.47569444444444442</v>
      </c>
      <c r="L23" s="19" t="s">
        <v>66</v>
      </c>
      <c r="M23" s="19" t="s">
        <v>69</v>
      </c>
      <c r="N23" s="19">
        <f t="shared" si="4"/>
        <v>2.0833333333333315E-2</v>
      </c>
      <c r="O23" s="19">
        <v>0</v>
      </c>
      <c r="P23" s="19">
        <v>6.9444444444444441E-3</v>
      </c>
      <c r="Q23" s="19">
        <v>0.47916666666666669</v>
      </c>
      <c r="R23" s="19">
        <v>0</v>
      </c>
      <c r="S23" s="19">
        <v>0.47916666666666669</v>
      </c>
      <c r="T23" s="19">
        <f>VLOOKUP(E23,'[1]22-1-2026'!$E$3:$T$13,16,FALSE)</f>
        <v>1.7361111111111112E-2</v>
      </c>
      <c r="U23" s="19">
        <v>0.57986111111111105</v>
      </c>
      <c r="V23" s="19">
        <v>0</v>
      </c>
      <c r="W23" s="19">
        <v>4.1666666666666664E-2</v>
      </c>
      <c r="X23" s="19">
        <v>0.58333333333333337</v>
      </c>
      <c r="Y23" s="19">
        <v>0.59027777777777779</v>
      </c>
      <c r="Z23" s="19">
        <f t="shared" si="3"/>
        <v>6.9444444444444198E-3</v>
      </c>
      <c r="AA23" s="19">
        <v>0</v>
      </c>
      <c r="AB23" s="19">
        <v>0.59375</v>
      </c>
      <c r="AC23" s="20"/>
      <c r="AD23" s="52"/>
    </row>
    <row r="24" spans="1:30" ht="19.5" thickBot="1" x14ac:dyDescent="0.3">
      <c r="A24" s="16">
        <v>9</v>
      </c>
      <c r="B24" s="17">
        <v>529</v>
      </c>
      <c r="C24" s="17" t="str">
        <f>VLOOKUP(B24,داتا!$B$3:$D$42,2,FALSE)</f>
        <v>دبابة</v>
      </c>
      <c r="D24" s="18">
        <f>VLOOKUP(B24,داتا!$B$3:$D$42,3,FALSE)</f>
        <v>2.0833333333333332E-2</v>
      </c>
      <c r="E24" s="17" t="s">
        <v>30</v>
      </c>
      <c r="F24" s="17" t="s">
        <v>59</v>
      </c>
      <c r="G24" s="19">
        <v>0.25</v>
      </c>
      <c r="H24" s="19">
        <f t="shared" si="7"/>
        <v>0.25</v>
      </c>
      <c r="I24" s="19">
        <f t="shared" si="2"/>
        <v>0</v>
      </c>
      <c r="J24" s="19">
        <v>0.47222222222222227</v>
      </c>
      <c r="K24" s="19">
        <v>0.4861111111111111</v>
      </c>
      <c r="L24" s="19" t="s">
        <v>67</v>
      </c>
      <c r="M24" s="19" t="s">
        <v>68</v>
      </c>
      <c r="N24" s="19">
        <f t="shared" si="4"/>
        <v>1.388888888888884E-2</v>
      </c>
      <c r="O24" s="19">
        <v>0</v>
      </c>
      <c r="P24" s="19">
        <v>6.9444444444444441E-3</v>
      </c>
      <c r="Q24" s="19">
        <v>0.49305555555555558</v>
      </c>
      <c r="R24" s="19">
        <f t="shared" si="0"/>
        <v>0</v>
      </c>
      <c r="S24" s="19">
        <v>0.49305555555555558</v>
      </c>
      <c r="T24" s="19">
        <f>VLOOKUP(E24,'[1]22-1-2026'!$E$3:$T$13,16,FALSE)</f>
        <v>2.4305555555555556E-2</v>
      </c>
      <c r="U24" s="19">
        <v>0.51041666666666663</v>
      </c>
      <c r="V24" s="19">
        <v>0</v>
      </c>
      <c r="W24" s="19">
        <v>2.0833333333333332E-2</v>
      </c>
      <c r="X24" s="19">
        <v>0.51388888888888895</v>
      </c>
      <c r="Y24" s="19">
        <v>0.53472222222222221</v>
      </c>
      <c r="Z24" s="19">
        <f t="shared" si="3"/>
        <v>2.0833333333333259E-2</v>
      </c>
      <c r="AA24" s="19">
        <v>0</v>
      </c>
      <c r="AB24" s="19">
        <v>0.53819444444444442</v>
      </c>
      <c r="AC24" s="20"/>
      <c r="AD24" s="52"/>
    </row>
    <row r="25" spans="1:30" ht="19.5" thickBot="1" x14ac:dyDescent="0.3">
      <c r="A25" s="16">
        <v>10</v>
      </c>
      <c r="B25" s="17">
        <v>529</v>
      </c>
      <c r="C25" s="17" t="str">
        <f>VLOOKUP(B25,داتا!$B$3:$D$42,2,FALSE)</f>
        <v>دبابة</v>
      </c>
      <c r="D25" s="18">
        <f>VLOOKUP(B25,داتا!$B$3:$D$42,3,FALSE)</f>
        <v>2.0833333333333332E-2</v>
      </c>
      <c r="E25" s="17" t="s">
        <v>58</v>
      </c>
      <c r="F25" s="17" t="s">
        <v>59</v>
      </c>
      <c r="G25" s="19">
        <v>0.25</v>
      </c>
      <c r="H25" s="19">
        <f t="shared" si="7"/>
        <v>0.25</v>
      </c>
      <c r="I25" s="19">
        <f t="shared" si="2"/>
        <v>0</v>
      </c>
      <c r="J25" s="19">
        <v>0.47222222222222227</v>
      </c>
      <c r="K25" s="19">
        <v>0.4861111111111111</v>
      </c>
      <c r="L25" s="19" t="s">
        <v>67</v>
      </c>
      <c r="M25" s="19" t="s">
        <v>68</v>
      </c>
      <c r="N25" s="19">
        <f t="shared" si="4"/>
        <v>1.388888888888884E-2</v>
      </c>
      <c r="O25" s="19">
        <v>0</v>
      </c>
      <c r="P25" s="19">
        <v>6.9444444444444441E-3</v>
      </c>
      <c r="Q25" s="19">
        <v>0.49305555555555558</v>
      </c>
      <c r="R25" s="19">
        <f t="shared" si="0"/>
        <v>0</v>
      </c>
      <c r="S25" s="19">
        <v>0.49305555555555558</v>
      </c>
      <c r="T25" s="19">
        <v>1.0416666666666666E-2</v>
      </c>
      <c r="U25" s="19">
        <v>0.55555555555555558</v>
      </c>
      <c r="V25" s="19">
        <v>0</v>
      </c>
      <c r="W25" s="19">
        <v>3.125E-2</v>
      </c>
      <c r="X25" s="19">
        <v>0.55902777777777779</v>
      </c>
      <c r="Y25" s="19">
        <v>0.56944444444444442</v>
      </c>
      <c r="Z25" s="19">
        <f t="shared" si="3"/>
        <v>1.041666666666663E-2</v>
      </c>
      <c r="AA25" s="19">
        <v>0</v>
      </c>
      <c r="AB25" s="19">
        <v>0.56944444444444442</v>
      </c>
      <c r="AC25" s="20"/>
      <c r="AD25" s="52"/>
    </row>
    <row r="26" spans="1:30" ht="19.5" thickBot="1" x14ac:dyDescent="0.3">
      <c r="A26" s="16">
        <v>11</v>
      </c>
      <c r="B26" s="17">
        <v>892</v>
      </c>
      <c r="C26" s="17" t="str">
        <f>VLOOKUP(B26,داتا!$B$3:$D$42,2,FALSE)</f>
        <v>تلتين</v>
      </c>
      <c r="D26" s="18">
        <f>VLOOKUP(B26,داتا!$B$3:$D$42,3,FALSE)</f>
        <v>3.125E-2</v>
      </c>
      <c r="E26" s="17" t="s">
        <v>37</v>
      </c>
      <c r="F26" s="17" t="s">
        <v>63</v>
      </c>
      <c r="G26" s="19">
        <v>0.25</v>
      </c>
      <c r="H26" s="19">
        <f t="shared" si="7"/>
        <v>0.2638888888888889</v>
      </c>
      <c r="I26" s="19">
        <f t="shared" si="2"/>
        <v>1.3888888888888895E-2</v>
      </c>
      <c r="J26" s="19">
        <v>0.47916666666666669</v>
      </c>
      <c r="K26" s="19">
        <v>0.49652777777777773</v>
      </c>
      <c r="L26" s="19" t="s">
        <v>66</v>
      </c>
      <c r="M26" s="19" t="s">
        <v>69</v>
      </c>
      <c r="N26" s="19">
        <f t="shared" si="4"/>
        <v>1.7361111111111049E-2</v>
      </c>
      <c r="O26" s="19">
        <v>0</v>
      </c>
      <c r="P26" s="19">
        <v>6.9444444444444441E-3</v>
      </c>
      <c r="Q26" s="19">
        <v>0.5</v>
      </c>
      <c r="R26" s="19">
        <v>0</v>
      </c>
      <c r="S26" s="19">
        <v>0.5</v>
      </c>
      <c r="T26" s="19">
        <f>VLOOKUP(E26,'[1]22-1-2026'!$E$3:$T$13,16,FALSE)</f>
        <v>1.3888888888888888E-2</v>
      </c>
      <c r="U26" s="19">
        <v>0.51041666666666663</v>
      </c>
      <c r="V26" s="19">
        <v>0</v>
      </c>
      <c r="W26" s="19">
        <v>3.125E-2</v>
      </c>
      <c r="X26" s="19">
        <v>0.51388888888888895</v>
      </c>
      <c r="Y26" s="19">
        <v>0.54166666666666663</v>
      </c>
      <c r="Z26" s="19">
        <f t="shared" si="3"/>
        <v>2.7777777777777679E-2</v>
      </c>
      <c r="AA26" s="19">
        <v>0</v>
      </c>
      <c r="AB26" s="19">
        <v>0.54791666666666672</v>
      </c>
      <c r="AC26" s="20"/>
      <c r="AD26" s="52"/>
    </row>
    <row r="27" spans="1:30" ht="19.5" thickBot="1" x14ac:dyDescent="0.3">
      <c r="A27" s="16">
        <v>12</v>
      </c>
      <c r="B27" s="17">
        <v>892</v>
      </c>
      <c r="C27" s="17" t="str">
        <f>VLOOKUP(B27,داتا!$B$3:$D$42,2,FALSE)</f>
        <v>تلتين</v>
      </c>
      <c r="D27" s="18">
        <f>VLOOKUP(B27,داتا!$B$3:$D$42,3,FALSE)</f>
        <v>3.125E-2</v>
      </c>
      <c r="E27" s="17" t="s">
        <v>35</v>
      </c>
      <c r="F27" s="17" t="s">
        <v>63</v>
      </c>
      <c r="G27" s="19">
        <v>0.25</v>
      </c>
      <c r="H27" s="19">
        <f t="shared" si="7"/>
        <v>0.2638888888888889</v>
      </c>
      <c r="I27" s="19">
        <f t="shared" si="2"/>
        <v>1.3888888888888895E-2</v>
      </c>
      <c r="J27" s="19">
        <v>0.47916666666666669</v>
      </c>
      <c r="K27" s="19">
        <v>0.49652777777777773</v>
      </c>
      <c r="L27" s="19" t="s">
        <v>66</v>
      </c>
      <c r="M27" s="19" t="s">
        <v>69</v>
      </c>
      <c r="N27" s="19">
        <f t="shared" si="4"/>
        <v>1.7361111111111049E-2</v>
      </c>
      <c r="O27" s="19">
        <v>0</v>
      </c>
      <c r="P27" s="19">
        <v>6.9444444444444441E-3</v>
      </c>
      <c r="Q27" s="19">
        <v>0.5</v>
      </c>
      <c r="R27" s="19">
        <v>0</v>
      </c>
      <c r="S27" s="19">
        <v>0.5</v>
      </c>
      <c r="T27" s="19">
        <f>VLOOKUP(E27,'[1]22-1-2026'!$E$3:$T$13,16,FALSE)</f>
        <v>1.3888888888888888E-2</v>
      </c>
      <c r="U27" s="19">
        <v>0.56041666666666667</v>
      </c>
      <c r="V27" s="19">
        <v>0</v>
      </c>
      <c r="W27" s="19">
        <v>4.1666666666666664E-2</v>
      </c>
      <c r="X27" s="19">
        <v>0.5625</v>
      </c>
      <c r="Y27" s="19">
        <v>0.57638888888888895</v>
      </c>
      <c r="Z27" s="19">
        <f t="shared" si="3"/>
        <v>1.3888888888888951E-2</v>
      </c>
      <c r="AA27" s="19">
        <v>0</v>
      </c>
      <c r="AB27" s="19">
        <v>0.57986111111111105</v>
      </c>
      <c r="AC27" s="20"/>
      <c r="AD27" s="52"/>
    </row>
    <row r="28" spans="1:30" ht="19.5" thickBot="1" x14ac:dyDescent="0.3">
      <c r="A28" s="32">
        <v>13</v>
      </c>
      <c r="B28" s="23">
        <v>539</v>
      </c>
      <c r="C28" s="23" t="str">
        <f>VLOOKUP(B28,داتا!$B$3:$D$42,2,FALSE)</f>
        <v>دبابة</v>
      </c>
      <c r="D28" s="24">
        <f>VLOOKUP(B28,داتا!$B$3:$D$42,3,FALSE)</f>
        <v>2.0833333333333332E-2</v>
      </c>
      <c r="E28" s="23" t="s">
        <v>52</v>
      </c>
      <c r="F28" s="23" t="s">
        <v>39</v>
      </c>
      <c r="G28" s="25">
        <v>0.25</v>
      </c>
      <c r="H28" s="25">
        <f t="shared" si="7"/>
        <v>0.2638888888888889</v>
      </c>
      <c r="I28" s="25">
        <f t="shared" si="2"/>
        <v>1.3888888888888895E-2</v>
      </c>
      <c r="J28" s="25">
        <v>0.4826388888888889</v>
      </c>
      <c r="K28" s="25">
        <v>0.49305555555555558</v>
      </c>
      <c r="L28" s="25" t="s">
        <v>67</v>
      </c>
      <c r="M28" s="25" t="s">
        <v>68</v>
      </c>
      <c r="N28" s="25">
        <f t="shared" si="4"/>
        <v>1.0416666666666685E-2</v>
      </c>
      <c r="O28" s="25">
        <v>0</v>
      </c>
      <c r="P28" s="25">
        <v>6.9444444444444441E-3</v>
      </c>
      <c r="Q28" s="25">
        <v>0.5</v>
      </c>
      <c r="R28" s="25">
        <f t="shared" si="0"/>
        <v>0</v>
      </c>
      <c r="S28" s="25">
        <v>0.5</v>
      </c>
      <c r="T28" s="25">
        <f>VLOOKUP(E28,'[1]22-1-2026'!$E$3:$T$13,16,FALSE)</f>
        <v>3.472222222222222E-3</v>
      </c>
      <c r="U28" s="25">
        <v>0.5</v>
      </c>
      <c r="V28" s="25">
        <v>0</v>
      </c>
      <c r="W28" s="25">
        <v>3.125E-2</v>
      </c>
      <c r="X28" s="25">
        <v>0.50138888888888888</v>
      </c>
      <c r="Y28" s="25">
        <v>0.51944444444444449</v>
      </c>
      <c r="Z28" s="25">
        <f t="shared" si="3"/>
        <v>1.8055555555555602E-2</v>
      </c>
      <c r="AA28" s="25">
        <v>0</v>
      </c>
      <c r="AB28" s="25">
        <v>0.52430555555555558</v>
      </c>
      <c r="AC28" s="28"/>
      <c r="AD28" s="53"/>
    </row>
    <row r="29" spans="1:30" ht="15.75" thickTop="1" x14ac:dyDescent="0.25"/>
  </sheetData>
  <mergeCells count="3">
    <mergeCell ref="A1:AC1"/>
    <mergeCell ref="AD3:AD15"/>
    <mergeCell ref="AD16:AD28"/>
  </mergeCells>
  <conditionalFormatting sqref="AA1:AA1048576 V1:V1048576 I1:I1048576 O1:O1048576 R1:R1048576">
    <cfRule type="cellIs" dxfId="171" priority="6" operator="between">
      <formula>0.00277777777777778</formula>
      <formula>1</formula>
    </cfRule>
  </conditionalFormatting>
  <conditionalFormatting sqref="AC3:AC28">
    <cfRule type="containsText" dxfId="170" priority="5" operator="containsText" text="ت">
      <formula>NOT(ISERROR(SEARCH("ت",AC3)))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rightToLeft="1" workbookViewId="0">
      <pane xSplit="6" ySplit="2" topLeftCell="J9" activePane="bottomRight" state="frozen"/>
      <selection pane="topRight" activeCell="G1" sqref="G1"/>
      <selection pane="bottomLeft" activeCell="A3" sqref="A3"/>
      <selection pane="bottomRight" activeCell="L16" sqref="L16:M28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762</v>
      </c>
      <c r="C3" s="12" t="str">
        <f>VLOOKUP(B3,داتا!$B$3:$D$42,2,FALSE)</f>
        <v>دبابة</v>
      </c>
      <c r="D3" s="13">
        <f>VLOOKUP(B3,داتا!$B$3:$D$42,3,FALSE)</f>
        <v>2.0833333333333332E-2</v>
      </c>
      <c r="E3" s="12" t="s">
        <v>38</v>
      </c>
      <c r="F3" s="12" t="s">
        <v>60</v>
      </c>
      <c r="G3" s="14">
        <v>0.25</v>
      </c>
      <c r="H3" s="14">
        <v>0.18055555555555555</v>
      </c>
      <c r="I3" s="19">
        <v>0</v>
      </c>
      <c r="J3" s="14">
        <v>0.22222222222222221</v>
      </c>
      <c r="K3" s="14">
        <v>0.23958333333333334</v>
      </c>
      <c r="L3" s="14" t="s">
        <v>72</v>
      </c>
      <c r="M3" s="14" t="s">
        <v>65</v>
      </c>
      <c r="N3" s="14">
        <f>K3-J3</f>
        <v>1.7361111111111133E-2</v>
      </c>
      <c r="O3" s="14">
        <v>0</v>
      </c>
      <c r="P3" s="14">
        <v>6.9444444444444441E-3</v>
      </c>
      <c r="Q3" s="14">
        <v>0.24652777777777779</v>
      </c>
      <c r="R3" s="14">
        <f t="shared" ref="R3:R27" si="0">Q3-P3-K3</f>
        <v>0</v>
      </c>
      <c r="S3" s="14">
        <v>0.24652777777777779</v>
      </c>
      <c r="T3" s="14">
        <f>VLOOKUP(E3,'[1]22-1-2026'!$E$3:$T$13,16,FALSE)</f>
        <v>3.4722222222222224E-2</v>
      </c>
      <c r="U3" s="14">
        <v>0.28194444444444444</v>
      </c>
      <c r="V3" s="14">
        <f>U3-T3-S3</f>
        <v>6.9444444444444198E-4</v>
      </c>
      <c r="W3" s="14">
        <v>2.0833333333333332E-2</v>
      </c>
      <c r="X3" s="14">
        <v>0.33055555555555555</v>
      </c>
      <c r="Y3" s="14">
        <v>0.3576388888888889</v>
      </c>
      <c r="Z3" s="14">
        <f>Y3-X3</f>
        <v>2.7083333333333348E-2</v>
      </c>
      <c r="AA3" s="14">
        <f t="shared" ref="AA3:AA13" si="1">Z3-W3</f>
        <v>6.250000000000016E-3</v>
      </c>
      <c r="AB3" s="14">
        <v>0.35972222222222222</v>
      </c>
      <c r="AC3" s="39"/>
      <c r="AD3" s="57" t="s">
        <v>32</v>
      </c>
    </row>
    <row r="4" spans="1:30" ht="20.25" thickTop="1" thickBot="1" x14ac:dyDescent="0.3">
      <c r="A4" s="16">
        <v>2</v>
      </c>
      <c r="B4" s="17">
        <v>762</v>
      </c>
      <c r="C4" s="17" t="str">
        <f>VLOOKUP(B4,داتا!$B$3:$D$42,2,FALSE)</f>
        <v>دبابة</v>
      </c>
      <c r="D4" s="18">
        <f>VLOOKUP(B4,داتا!$B$3:$D$42,3,FALSE)</f>
        <v>2.0833333333333332E-2</v>
      </c>
      <c r="E4" s="17" t="s">
        <v>40</v>
      </c>
      <c r="F4" s="17" t="s">
        <v>60</v>
      </c>
      <c r="G4" s="14">
        <v>0.25</v>
      </c>
      <c r="H4" s="19">
        <v>0.18055555555555555</v>
      </c>
      <c r="I4" s="19">
        <v>0</v>
      </c>
      <c r="J4" s="19">
        <v>0.22222222222222221</v>
      </c>
      <c r="K4" s="19">
        <v>0.23958333333333334</v>
      </c>
      <c r="L4" s="19" t="s">
        <v>72</v>
      </c>
      <c r="M4" s="19" t="s">
        <v>65</v>
      </c>
      <c r="N4" s="19">
        <f>K4-J4</f>
        <v>1.7361111111111133E-2</v>
      </c>
      <c r="O4" s="19">
        <v>0</v>
      </c>
      <c r="P4" s="19">
        <v>6.9444444444444441E-3</v>
      </c>
      <c r="Q4" s="19">
        <v>0.24652777777777779</v>
      </c>
      <c r="R4" s="19">
        <f t="shared" si="0"/>
        <v>0</v>
      </c>
      <c r="S4" s="19">
        <v>0.24652777777777779</v>
      </c>
      <c r="T4" s="19">
        <v>1.3888888888888888E-2</v>
      </c>
      <c r="U4" s="19">
        <v>0.375</v>
      </c>
      <c r="V4" s="19">
        <v>0</v>
      </c>
      <c r="W4" s="19">
        <v>3.125E-2</v>
      </c>
      <c r="X4" s="19">
        <v>0.37847222222222227</v>
      </c>
      <c r="Y4" s="19">
        <v>0.43472222222222223</v>
      </c>
      <c r="Z4" s="19">
        <f t="shared" ref="Z4:Z28" si="2">Y4-X4</f>
        <v>5.6249999999999967E-2</v>
      </c>
      <c r="AA4" s="19">
        <f t="shared" si="1"/>
        <v>2.4999999999999967E-2</v>
      </c>
      <c r="AB4" s="19">
        <v>0.4375</v>
      </c>
      <c r="AC4" s="40"/>
      <c r="AD4" s="58"/>
    </row>
    <row r="5" spans="1:30" ht="20.25" thickTop="1" thickBot="1" x14ac:dyDescent="0.3">
      <c r="A5" s="16">
        <v>3</v>
      </c>
      <c r="B5" s="17">
        <v>7435</v>
      </c>
      <c r="C5" s="17" t="str">
        <f>VLOOKUP(B5,داتا!$B$3:$D$42,2,FALSE)</f>
        <v>تلتين</v>
      </c>
      <c r="D5" s="18">
        <f>VLOOKUP(B5,داتا!$B$3:$D$42,3,FALSE)</f>
        <v>3.125E-2</v>
      </c>
      <c r="E5" s="17" t="s">
        <v>30</v>
      </c>
      <c r="F5" s="17" t="s">
        <v>61</v>
      </c>
      <c r="G5" s="14">
        <v>0.25</v>
      </c>
      <c r="H5" s="19">
        <v>0.25694444444444448</v>
      </c>
      <c r="I5" s="19">
        <f t="shared" ref="I5:I26" si="3">H5-G5</f>
        <v>6.9444444444444753E-3</v>
      </c>
      <c r="J5" s="19">
        <v>0.22222222222222221</v>
      </c>
      <c r="K5" s="19">
        <v>0.23958333333333334</v>
      </c>
      <c r="L5" s="19" t="s">
        <v>72</v>
      </c>
      <c r="M5" s="19" t="s">
        <v>65</v>
      </c>
      <c r="N5" s="19">
        <f t="shared" ref="N5:N28" si="4">K5-J5</f>
        <v>1.7361111111111133E-2</v>
      </c>
      <c r="O5" s="19">
        <v>0</v>
      </c>
      <c r="P5" s="19">
        <v>6.9444444444444441E-3</v>
      </c>
      <c r="Q5" s="19">
        <v>0.25</v>
      </c>
      <c r="R5" s="19">
        <f t="shared" si="0"/>
        <v>3.4722222222222099E-3</v>
      </c>
      <c r="S5" s="19">
        <v>0.25</v>
      </c>
      <c r="T5" s="19">
        <f>VLOOKUP(E5,'[1]22-1-2026'!$E$3:$T$13,16,FALSE)</f>
        <v>2.4305555555555556E-2</v>
      </c>
      <c r="U5" s="19">
        <v>0.28819444444444448</v>
      </c>
      <c r="V5" s="19">
        <f t="shared" ref="V5:V28" si="5">U5-T5-S5</f>
        <v>1.3888888888888895E-2</v>
      </c>
      <c r="W5" s="19">
        <v>3.125E-2</v>
      </c>
      <c r="X5" s="19">
        <v>0.31944444444444448</v>
      </c>
      <c r="Y5" s="19">
        <v>0.35416666666666669</v>
      </c>
      <c r="Z5" s="19">
        <f t="shared" si="2"/>
        <v>3.472222222222221E-2</v>
      </c>
      <c r="AA5" s="19">
        <f t="shared" si="1"/>
        <v>3.4722222222222099E-3</v>
      </c>
      <c r="AB5" s="19">
        <v>0.3576388888888889</v>
      </c>
      <c r="AC5" s="40"/>
      <c r="AD5" s="58"/>
    </row>
    <row r="6" spans="1:30" ht="20.25" thickTop="1" thickBot="1" x14ac:dyDescent="0.3">
      <c r="A6" s="16">
        <v>4</v>
      </c>
      <c r="B6" s="17">
        <v>7435</v>
      </c>
      <c r="C6" s="17" t="str">
        <f>VLOOKUP(B6,داتا!$B$3:$D$42,2,FALSE)</f>
        <v>تلتين</v>
      </c>
      <c r="D6" s="18">
        <f>VLOOKUP(B6,داتا!$B$3:$D$42,3,FALSE)</f>
        <v>3.125E-2</v>
      </c>
      <c r="E6" s="17" t="s">
        <v>33</v>
      </c>
      <c r="F6" s="17" t="s">
        <v>61</v>
      </c>
      <c r="G6" s="14">
        <v>0.25</v>
      </c>
      <c r="H6" s="19">
        <v>0.25694444444444448</v>
      </c>
      <c r="I6" s="19">
        <f t="shared" si="3"/>
        <v>6.9444444444444753E-3</v>
      </c>
      <c r="J6" s="19">
        <v>0.22222222222222221</v>
      </c>
      <c r="K6" s="19">
        <v>0.23958333333333334</v>
      </c>
      <c r="L6" s="19" t="s">
        <v>72</v>
      </c>
      <c r="M6" s="19" t="s">
        <v>65</v>
      </c>
      <c r="N6" s="19">
        <f t="shared" si="4"/>
        <v>1.7361111111111133E-2</v>
      </c>
      <c r="O6" s="19">
        <v>0</v>
      </c>
      <c r="P6" s="19">
        <v>6.9444444444444441E-3</v>
      </c>
      <c r="Q6" s="19">
        <v>0.25</v>
      </c>
      <c r="R6" s="19">
        <f t="shared" si="0"/>
        <v>3.4722222222222099E-3</v>
      </c>
      <c r="S6" s="19">
        <v>0.25</v>
      </c>
      <c r="T6" s="19">
        <f>VLOOKUP(E6,'[1]22-1-2026'!$E$3:$T$13,16,FALSE)</f>
        <v>2.7777777777777776E-2</v>
      </c>
      <c r="U6" s="19">
        <v>0.36805555555555558</v>
      </c>
      <c r="V6" s="19">
        <v>0</v>
      </c>
      <c r="W6" s="19">
        <v>4.1666666666666664E-2</v>
      </c>
      <c r="X6" s="19">
        <v>0.37152777777777773</v>
      </c>
      <c r="Y6" s="19">
        <v>0.39583333333333331</v>
      </c>
      <c r="Z6" s="19">
        <f t="shared" si="2"/>
        <v>2.430555555555558E-2</v>
      </c>
      <c r="AA6" s="19">
        <v>0</v>
      </c>
      <c r="AB6" s="19">
        <v>0.39930555555555558</v>
      </c>
      <c r="AC6" s="40"/>
      <c r="AD6" s="58"/>
    </row>
    <row r="7" spans="1:30" ht="20.25" thickTop="1" thickBot="1" x14ac:dyDescent="0.3">
      <c r="A7" s="16">
        <v>5</v>
      </c>
      <c r="B7" s="17">
        <v>876</v>
      </c>
      <c r="C7" s="17" t="str">
        <f>VLOOKUP(B7,داتا!$B$3:$D$42,2,FALSE)</f>
        <v>دبابة</v>
      </c>
      <c r="D7" s="18">
        <f>VLOOKUP(B7,داتا!$B$3:$D$42,3,FALSE)</f>
        <v>2.0833333333333332E-2</v>
      </c>
      <c r="E7" s="17" t="s">
        <v>49</v>
      </c>
      <c r="F7" s="17" t="s">
        <v>70</v>
      </c>
      <c r="G7" s="14">
        <v>0.25</v>
      </c>
      <c r="H7" s="19">
        <v>0.24305555555555555</v>
      </c>
      <c r="I7" s="19">
        <v>0</v>
      </c>
      <c r="J7" s="19">
        <v>0.24652777777777779</v>
      </c>
      <c r="K7" s="19">
        <v>0.25347222222222221</v>
      </c>
      <c r="L7" s="19" t="s">
        <v>72</v>
      </c>
      <c r="M7" s="19" t="s">
        <v>65</v>
      </c>
      <c r="N7" s="19">
        <f t="shared" si="4"/>
        <v>6.9444444444444198E-3</v>
      </c>
      <c r="O7" s="19">
        <v>0</v>
      </c>
      <c r="P7" s="19">
        <v>6.9444444444444441E-3</v>
      </c>
      <c r="Q7" s="19">
        <v>0.25694444444444448</v>
      </c>
      <c r="R7" s="19">
        <v>0</v>
      </c>
      <c r="S7" s="19">
        <v>0.25694444444444448</v>
      </c>
      <c r="T7" s="19">
        <f>VLOOKUP(E7,'[1]22-1-2026'!$E$3:$T$13,16,FALSE)</f>
        <v>4.1666666666666664E-2</v>
      </c>
      <c r="U7" s="19">
        <v>0.27777777777777779</v>
      </c>
      <c r="V7" s="19">
        <v>0</v>
      </c>
      <c r="W7" s="19">
        <v>2.0833333333333332E-2</v>
      </c>
      <c r="X7" s="19">
        <v>0.3347222222222222</v>
      </c>
      <c r="Y7" s="19">
        <v>0.35625000000000001</v>
      </c>
      <c r="Z7" s="19">
        <f t="shared" si="2"/>
        <v>2.1527777777777812E-2</v>
      </c>
      <c r="AA7" s="19">
        <f t="shared" si="1"/>
        <v>6.9444444444448014E-4</v>
      </c>
      <c r="AB7" s="19">
        <v>0.3576388888888889</v>
      </c>
      <c r="AC7" s="40"/>
      <c r="AD7" s="58"/>
    </row>
    <row r="8" spans="1:30" ht="20.25" thickTop="1" thickBot="1" x14ac:dyDescent="0.3">
      <c r="A8" s="16">
        <v>6</v>
      </c>
      <c r="B8" s="17">
        <v>876</v>
      </c>
      <c r="C8" s="17" t="str">
        <f>VLOOKUP(B8,داتا!$B$3:$D$42,2,FALSE)</f>
        <v>دبابة</v>
      </c>
      <c r="D8" s="18">
        <f>VLOOKUP(B8,داتا!$B$3:$D$42,3,FALSE)</f>
        <v>2.0833333333333332E-2</v>
      </c>
      <c r="E8" s="17" t="s">
        <v>51</v>
      </c>
      <c r="F8" s="17" t="s">
        <v>70</v>
      </c>
      <c r="G8" s="14">
        <v>0.25</v>
      </c>
      <c r="H8" s="19">
        <v>0.24305555555555555</v>
      </c>
      <c r="I8" s="19">
        <v>0</v>
      </c>
      <c r="J8" s="19">
        <v>0.24652777777777779</v>
      </c>
      <c r="K8" s="19">
        <v>0.25347222222222221</v>
      </c>
      <c r="L8" s="19" t="s">
        <v>72</v>
      </c>
      <c r="M8" s="19" t="s">
        <v>65</v>
      </c>
      <c r="N8" s="19">
        <f t="shared" si="4"/>
        <v>6.9444444444444198E-3</v>
      </c>
      <c r="O8" s="19">
        <v>0</v>
      </c>
      <c r="P8" s="19">
        <v>6.9444444444444441E-3</v>
      </c>
      <c r="Q8" s="19">
        <v>0.25694444444444448</v>
      </c>
      <c r="R8" s="19">
        <v>0</v>
      </c>
      <c r="S8" s="19">
        <v>0.25694444444444448</v>
      </c>
      <c r="T8" s="19">
        <f>VLOOKUP(E8,'[1]22-1-2026'!$E$3:$T$13,16,FALSE)</f>
        <v>6.9444444444444441E-3</v>
      </c>
      <c r="U8" s="19">
        <v>0.36805555555555558</v>
      </c>
      <c r="V8" s="19">
        <v>0</v>
      </c>
      <c r="W8" s="19">
        <v>3.125E-2</v>
      </c>
      <c r="X8" s="19">
        <v>0.37013888888888885</v>
      </c>
      <c r="Y8" s="19">
        <v>0.3888888888888889</v>
      </c>
      <c r="Z8" s="19">
        <f t="shared" si="2"/>
        <v>1.8750000000000044E-2</v>
      </c>
      <c r="AA8" s="19">
        <v>0</v>
      </c>
      <c r="AB8" s="19">
        <v>0.3923611111111111</v>
      </c>
      <c r="AC8" s="40"/>
      <c r="AD8" s="58"/>
    </row>
    <row r="9" spans="1:30" ht="20.25" thickTop="1" thickBot="1" x14ac:dyDescent="0.3">
      <c r="A9" s="16">
        <v>7</v>
      </c>
      <c r="B9" s="17">
        <v>539</v>
      </c>
      <c r="C9" s="17" t="str">
        <f>VLOOKUP(B9,داتا!$B$3:$D$42,2,FALSE)</f>
        <v>دبابة</v>
      </c>
      <c r="D9" s="18">
        <f>VLOOKUP(B9,داتا!$B$3:$D$42,3,FALSE)</f>
        <v>2.0833333333333332E-2</v>
      </c>
      <c r="E9" s="17" t="s">
        <v>41</v>
      </c>
      <c r="F9" s="17" t="s">
        <v>39</v>
      </c>
      <c r="G9" s="14">
        <v>0.25</v>
      </c>
      <c r="H9" s="19">
        <v>0.2638888888888889</v>
      </c>
      <c r="I9" s="19">
        <f t="shared" si="3"/>
        <v>1.3888888888888895E-2</v>
      </c>
      <c r="J9" s="19">
        <v>0.25347222222222221</v>
      </c>
      <c r="K9" s="19">
        <v>0.26041666666666669</v>
      </c>
      <c r="L9" s="19" t="s">
        <v>72</v>
      </c>
      <c r="M9" s="19" t="s">
        <v>65</v>
      </c>
      <c r="N9" s="19">
        <f t="shared" si="4"/>
        <v>6.9444444444444753E-3</v>
      </c>
      <c r="O9" s="19">
        <v>0</v>
      </c>
      <c r="P9" s="19">
        <v>6.9444444444444441E-3</v>
      </c>
      <c r="Q9" s="19">
        <v>0.2673611111111111</v>
      </c>
      <c r="R9" s="19">
        <f t="shared" si="0"/>
        <v>0</v>
      </c>
      <c r="S9" s="19">
        <v>0.2673611111111111</v>
      </c>
      <c r="T9" s="19">
        <f>VLOOKUP(E9,'[1]22-1-2026'!$E$3:$T$13,16,FALSE)</f>
        <v>1.7361111111111112E-2</v>
      </c>
      <c r="U9" s="19">
        <v>0.30902777777777779</v>
      </c>
      <c r="V9" s="19">
        <f t="shared" si="5"/>
        <v>2.430555555555558E-2</v>
      </c>
      <c r="W9" s="19">
        <v>3.125E-2</v>
      </c>
      <c r="X9" s="19">
        <v>0.34027777777777773</v>
      </c>
      <c r="Y9" s="19">
        <v>0.37013888888888885</v>
      </c>
      <c r="Z9" s="19">
        <f t="shared" si="2"/>
        <v>2.9861111111111116E-2</v>
      </c>
      <c r="AA9" s="19">
        <v>0</v>
      </c>
      <c r="AB9" s="19">
        <v>0.37152777777777773</v>
      </c>
      <c r="AC9" s="40"/>
      <c r="AD9" s="58"/>
    </row>
    <row r="10" spans="1:30" ht="20.25" thickTop="1" thickBot="1" x14ac:dyDescent="0.3">
      <c r="A10" s="16">
        <v>8</v>
      </c>
      <c r="B10" s="17">
        <v>249</v>
      </c>
      <c r="C10" s="17" t="str">
        <f>VLOOKUP(B10,داتا!$B$3:$D$42,2,FALSE)</f>
        <v>دبابة</v>
      </c>
      <c r="D10" s="18">
        <f>VLOOKUP(B10,داتا!$B$3:$D$42,3,FALSE)</f>
        <v>2.0833333333333332E-2</v>
      </c>
      <c r="E10" s="17" t="s">
        <v>47</v>
      </c>
      <c r="F10" s="17" t="s">
        <v>50</v>
      </c>
      <c r="G10" s="14">
        <v>0.25</v>
      </c>
      <c r="H10" s="19">
        <v>0.25694444444444448</v>
      </c>
      <c r="I10" s="19">
        <f t="shared" si="3"/>
        <v>6.9444444444444753E-3</v>
      </c>
      <c r="J10" s="19">
        <v>0.24305555555555555</v>
      </c>
      <c r="K10" s="19">
        <v>0.25</v>
      </c>
      <c r="L10" s="19" t="s">
        <v>72</v>
      </c>
      <c r="M10" s="19" t="s">
        <v>65</v>
      </c>
      <c r="N10" s="19">
        <f t="shared" si="4"/>
        <v>6.9444444444444475E-3</v>
      </c>
      <c r="O10" s="19">
        <v>0</v>
      </c>
      <c r="P10" s="19">
        <v>6.9444444444444441E-3</v>
      </c>
      <c r="Q10" s="19">
        <v>0.25347222222222221</v>
      </c>
      <c r="R10" s="19">
        <v>0</v>
      </c>
      <c r="S10" s="19">
        <v>0.25347222222222221</v>
      </c>
      <c r="T10" s="19">
        <f>VLOOKUP(E10,'[1]22-1-2026'!$E$3:$T$13,16,FALSE)</f>
        <v>1.3888888888888888E-2</v>
      </c>
      <c r="U10" s="19">
        <v>0.28472222222222221</v>
      </c>
      <c r="V10" s="19">
        <f t="shared" si="5"/>
        <v>1.7361111111111105E-2</v>
      </c>
      <c r="W10" s="19">
        <v>3.125E-2</v>
      </c>
      <c r="X10" s="19">
        <v>0.3263888888888889</v>
      </c>
      <c r="Y10" s="19">
        <v>0.3520833333333333</v>
      </c>
      <c r="Z10" s="19">
        <f t="shared" si="2"/>
        <v>2.5694444444444409E-2</v>
      </c>
      <c r="AA10" s="19">
        <v>0</v>
      </c>
      <c r="AB10" s="19">
        <v>0.35416666666666669</v>
      </c>
      <c r="AC10" s="40"/>
      <c r="AD10" s="58"/>
    </row>
    <row r="11" spans="1:30" ht="20.25" thickTop="1" thickBot="1" x14ac:dyDescent="0.3">
      <c r="A11" s="16">
        <v>9</v>
      </c>
      <c r="B11" s="17">
        <v>492</v>
      </c>
      <c r="C11" s="17" t="str">
        <f>VLOOKUP(B11,داتا!$B$3:$D$42,2,FALSE)</f>
        <v>دبابة</v>
      </c>
      <c r="D11" s="18">
        <f>VLOOKUP(B11,داتا!$B$3:$D$42,3,FALSE)</f>
        <v>2.0833333333333332E-2</v>
      </c>
      <c r="E11" s="17" t="s">
        <v>45</v>
      </c>
      <c r="F11" s="17" t="s">
        <v>44</v>
      </c>
      <c r="G11" s="14">
        <v>0.25</v>
      </c>
      <c r="H11" s="19">
        <v>0.25</v>
      </c>
      <c r="I11" s="19">
        <f t="shared" si="3"/>
        <v>0</v>
      </c>
      <c r="J11" s="19">
        <v>0.26041666666666669</v>
      </c>
      <c r="K11" s="19">
        <v>0.2673611111111111</v>
      </c>
      <c r="L11" s="19" t="s">
        <v>72</v>
      </c>
      <c r="M11" s="19" t="s">
        <v>65</v>
      </c>
      <c r="N11" s="19">
        <f t="shared" si="4"/>
        <v>6.9444444444444198E-3</v>
      </c>
      <c r="O11" s="19">
        <v>0</v>
      </c>
      <c r="P11" s="19">
        <v>6.9444444444444441E-3</v>
      </c>
      <c r="Q11" s="19">
        <v>0.27083333333333331</v>
      </c>
      <c r="R11" s="19">
        <v>0</v>
      </c>
      <c r="S11" s="19">
        <v>0.27083333333333331</v>
      </c>
      <c r="T11" s="19">
        <f>VLOOKUP(E11,'[1]22-1-2026'!$E$3:$T$13,16,FALSE)</f>
        <v>1.3888888888888888E-2</v>
      </c>
      <c r="U11" s="19">
        <v>0.28472222222222221</v>
      </c>
      <c r="V11" s="19">
        <f t="shared" si="5"/>
        <v>0</v>
      </c>
      <c r="W11" s="19">
        <v>3.125E-2</v>
      </c>
      <c r="X11" s="19">
        <v>0.3034722222222222</v>
      </c>
      <c r="Y11" s="19">
        <v>0.33333333333333331</v>
      </c>
      <c r="Z11" s="19">
        <f t="shared" si="2"/>
        <v>2.9861111111111116E-2</v>
      </c>
      <c r="AA11" s="19">
        <v>0</v>
      </c>
      <c r="AB11" s="19">
        <v>0.3354166666666667</v>
      </c>
      <c r="AC11" s="41"/>
      <c r="AD11" s="58"/>
    </row>
    <row r="12" spans="1:30" ht="22.5" thickTop="1" thickBot="1" x14ac:dyDescent="0.3">
      <c r="A12" s="16">
        <v>10</v>
      </c>
      <c r="B12" s="17">
        <v>529</v>
      </c>
      <c r="C12" s="17" t="str">
        <f>VLOOKUP(B12,داتا!$B$3:$D$42,2,FALSE)</f>
        <v>دبابة</v>
      </c>
      <c r="D12" s="18">
        <f>VLOOKUP(B12,داتا!$B$3:$D$42,3,FALSE)</f>
        <v>2.0833333333333332E-2</v>
      </c>
      <c r="E12" s="17" t="s">
        <v>58</v>
      </c>
      <c r="F12" s="17" t="s">
        <v>71</v>
      </c>
      <c r="G12" s="14">
        <v>0.25</v>
      </c>
      <c r="H12" s="19">
        <v>0.25347222222222221</v>
      </c>
      <c r="I12" s="19">
        <f t="shared" si="3"/>
        <v>3.4722222222222099E-3</v>
      </c>
      <c r="J12" s="19">
        <v>0.25347222222222221</v>
      </c>
      <c r="K12" s="19">
        <v>0.27083333333333331</v>
      </c>
      <c r="L12" s="19" t="s">
        <v>72</v>
      </c>
      <c r="M12" s="19" t="s">
        <v>65</v>
      </c>
      <c r="N12" s="19">
        <f t="shared" si="4"/>
        <v>1.7361111111111105E-2</v>
      </c>
      <c r="O12" s="19">
        <v>0</v>
      </c>
      <c r="P12" s="19">
        <v>6.9444444444444441E-3</v>
      </c>
      <c r="Q12" s="19">
        <v>0.27430555555555552</v>
      </c>
      <c r="R12" s="19">
        <v>0</v>
      </c>
      <c r="S12" s="19">
        <v>0.27430555555555552</v>
      </c>
      <c r="T12" s="19">
        <v>1.3888888888888888E-2</v>
      </c>
      <c r="U12" s="19">
        <v>0.30555555555555552</v>
      </c>
      <c r="V12" s="19">
        <f t="shared" si="5"/>
        <v>1.7361111111111105E-2</v>
      </c>
      <c r="W12" s="19">
        <v>3.125E-2</v>
      </c>
      <c r="X12" s="19">
        <v>0.34027777777777773</v>
      </c>
      <c r="Y12" s="19">
        <v>0.375</v>
      </c>
      <c r="Z12" s="19">
        <f t="shared" si="2"/>
        <v>3.4722222222222265E-2</v>
      </c>
      <c r="AA12" s="19">
        <f t="shared" si="1"/>
        <v>3.4722222222222654E-3</v>
      </c>
      <c r="AB12" s="19">
        <v>0.37847222222222227</v>
      </c>
      <c r="AC12" s="42"/>
      <c r="AD12" s="58"/>
    </row>
    <row r="13" spans="1:30" ht="22.5" thickTop="1" thickBot="1" x14ac:dyDescent="0.3">
      <c r="A13" s="16">
        <v>11</v>
      </c>
      <c r="B13" s="17">
        <v>892</v>
      </c>
      <c r="C13" s="17" t="str">
        <f>VLOOKUP(B13,داتا!$B$3:$D$42,2,FALSE)</f>
        <v>تلتين</v>
      </c>
      <c r="D13" s="18">
        <f>VLOOKUP(B13,داتا!$B$3:$D$42,3,FALSE)</f>
        <v>3.125E-2</v>
      </c>
      <c r="E13" s="17" t="s">
        <v>35</v>
      </c>
      <c r="F13" s="17" t="s">
        <v>63</v>
      </c>
      <c r="G13" s="14">
        <v>0.25</v>
      </c>
      <c r="H13" s="19">
        <v>0.27083333333333331</v>
      </c>
      <c r="I13" s="19">
        <f t="shared" si="3"/>
        <v>2.0833333333333315E-2</v>
      </c>
      <c r="J13" s="19">
        <v>0.27430555555555552</v>
      </c>
      <c r="K13" s="19">
        <v>0.29166666666666669</v>
      </c>
      <c r="L13" s="19" t="s">
        <v>72</v>
      </c>
      <c r="M13" s="19" t="s">
        <v>65</v>
      </c>
      <c r="N13" s="19">
        <f t="shared" si="4"/>
        <v>1.736111111111116E-2</v>
      </c>
      <c r="O13" s="19">
        <v>0</v>
      </c>
      <c r="P13" s="19">
        <v>6.9444444444444441E-3</v>
      </c>
      <c r="Q13" s="19">
        <v>0.29166666666666669</v>
      </c>
      <c r="R13" s="19">
        <v>0</v>
      </c>
      <c r="S13" s="19">
        <v>0.29166666666666669</v>
      </c>
      <c r="T13" s="19">
        <f>VLOOKUP(E13,'[1]22-1-2026'!$E$3:$T$13,16,FALSE)</f>
        <v>1.3888888888888888E-2</v>
      </c>
      <c r="U13" s="19">
        <v>0.29930555555555555</v>
      </c>
      <c r="V13" s="19">
        <v>0</v>
      </c>
      <c r="W13" s="19">
        <v>3.125E-2</v>
      </c>
      <c r="X13" s="19">
        <v>0.33333333333333331</v>
      </c>
      <c r="Y13" s="19">
        <v>0.36458333333333331</v>
      </c>
      <c r="Z13" s="19">
        <f t="shared" si="2"/>
        <v>3.125E-2</v>
      </c>
      <c r="AA13" s="19">
        <f t="shared" si="1"/>
        <v>0</v>
      </c>
      <c r="AB13" s="19">
        <v>0.37152777777777773</v>
      </c>
      <c r="AC13" s="42"/>
      <c r="AD13" s="58"/>
    </row>
    <row r="14" spans="1:30" ht="22.5" thickTop="1" thickBot="1" x14ac:dyDescent="0.3">
      <c r="A14" s="16">
        <v>12</v>
      </c>
      <c r="B14" s="17">
        <v>892</v>
      </c>
      <c r="C14" s="17" t="str">
        <f>VLOOKUP(B14,داتا!$B$3:$D$42,2,FALSE)</f>
        <v>تلتين</v>
      </c>
      <c r="D14" s="18">
        <f>VLOOKUP(B14,داتا!$B$3:$D$42,3,FALSE)</f>
        <v>3.125E-2</v>
      </c>
      <c r="E14" s="17" t="s">
        <v>37</v>
      </c>
      <c r="F14" s="17" t="s">
        <v>63</v>
      </c>
      <c r="G14" s="14">
        <v>0.25</v>
      </c>
      <c r="H14" s="19">
        <v>0.27083333333333331</v>
      </c>
      <c r="I14" s="19">
        <f t="shared" si="3"/>
        <v>2.0833333333333315E-2</v>
      </c>
      <c r="J14" s="19">
        <v>0.27430555555555552</v>
      </c>
      <c r="K14" s="19">
        <v>0.29166666666666669</v>
      </c>
      <c r="L14" s="19" t="s">
        <v>72</v>
      </c>
      <c r="M14" s="19" t="s">
        <v>65</v>
      </c>
      <c r="N14" s="19">
        <f t="shared" si="4"/>
        <v>1.736111111111116E-2</v>
      </c>
      <c r="O14" s="19">
        <v>0</v>
      </c>
      <c r="P14" s="19">
        <v>6.9444444444444441E-3</v>
      </c>
      <c r="Q14" s="19">
        <v>0.29166666666666669</v>
      </c>
      <c r="R14" s="19">
        <v>0</v>
      </c>
      <c r="S14" s="19">
        <v>0.29166666666666669</v>
      </c>
      <c r="T14" s="19">
        <f>VLOOKUP(E14,'[1]22-1-2026'!$E$3:$T$13,16,FALSE)</f>
        <v>1.3888888888888888E-2</v>
      </c>
      <c r="U14" s="19">
        <v>0.38680555555555557</v>
      </c>
      <c r="V14" s="19">
        <v>0</v>
      </c>
      <c r="W14" s="19">
        <v>4.1666666666666664E-2</v>
      </c>
      <c r="X14" s="19">
        <v>0.3888888888888889</v>
      </c>
      <c r="Y14" s="19">
        <v>0.40972222222222227</v>
      </c>
      <c r="Z14" s="19">
        <f t="shared" si="2"/>
        <v>2.083333333333337E-2</v>
      </c>
      <c r="AA14" s="19">
        <v>0</v>
      </c>
      <c r="AB14" s="19">
        <v>0.41180555555555554</v>
      </c>
      <c r="AC14" s="42"/>
      <c r="AD14" s="58"/>
    </row>
    <row r="15" spans="1:30" ht="22.5" thickTop="1" thickBot="1" x14ac:dyDescent="0.3">
      <c r="A15" s="33">
        <v>13</v>
      </c>
      <c r="B15" s="34">
        <v>529</v>
      </c>
      <c r="C15" s="34" t="str">
        <f>VLOOKUP(B15,داتا!$B$3:$D$42,2,FALSE)</f>
        <v>دبابة</v>
      </c>
      <c r="D15" s="35">
        <f>VLOOKUP(B15,داتا!$B$3:$D$42,3,FALSE)</f>
        <v>2.0833333333333332E-2</v>
      </c>
      <c r="E15" s="34" t="s">
        <v>52</v>
      </c>
      <c r="F15" s="34" t="s">
        <v>46</v>
      </c>
      <c r="G15" s="37">
        <v>0.29166666666666669</v>
      </c>
      <c r="H15" s="36">
        <v>0.28819444444444448</v>
      </c>
      <c r="I15" s="36">
        <v>0</v>
      </c>
      <c r="J15" s="36">
        <v>0.27083333333333331</v>
      </c>
      <c r="K15" s="36">
        <v>0.27777777777777779</v>
      </c>
      <c r="L15" s="36" t="s">
        <v>72</v>
      </c>
      <c r="M15" s="36" t="s">
        <v>65</v>
      </c>
      <c r="N15" s="36">
        <f t="shared" si="4"/>
        <v>6.9444444444444753E-3</v>
      </c>
      <c r="O15" s="36">
        <v>0</v>
      </c>
      <c r="P15" s="36">
        <v>6.9444444444444441E-3</v>
      </c>
      <c r="Q15" s="36">
        <v>0.27777777777777779</v>
      </c>
      <c r="R15" s="36">
        <v>0</v>
      </c>
      <c r="S15" s="36">
        <v>0.27777777777777779</v>
      </c>
      <c r="T15" s="36">
        <f>VLOOKUP(E15,'[1]22-1-2026'!$E$3:$T$13,16,FALSE)</f>
        <v>3.472222222222222E-3</v>
      </c>
      <c r="U15" s="36">
        <v>0.30208333333333331</v>
      </c>
      <c r="V15" s="36">
        <f t="shared" si="5"/>
        <v>2.0833333333333315E-2</v>
      </c>
      <c r="W15" s="36">
        <v>3.125E-2</v>
      </c>
      <c r="X15" s="36">
        <v>0.33680555555555558</v>
      </c>
      <c r="Y15" s="36">
        <v>0.3576388888888889</v>
      </c>
      <c r="Z15" s="36">
        <f t="shared" si="2"/>
        <v>2.0833333333333315E-2</v>
      </c>
      <c r="AA15" s="36">
        <v>0</v>
      </c>
      <c r="AB15" s="36">
        <v>0.3611111111111111</v>
      </c>
      <c r="AC15" s="43"/>
      <c r="AD15" s="59"/>
    </row>
    <row r="16" spans="1:30" ht="20.25" thickTop="1" thickBot="1" x14ac:dyDescent="0.3">
      <c r="A16" s="11">
        <v>1</v>
      </c>
      <c r="B16" s="12">
        <v>529</v>
      </c>
      <c r="C16" s="12" t="str">
        <f>VLOOKUP(B16,داتا!$B$3:$D$42,2,FALSE)</f>
        <v>دبابة</v>
      </c>
      <c r="D16" s="13">
        <f>VLOOKUP(B16,داتا!$B$3:$D$42,3,FALSE)</f>
        <v>2.0833333333333332E-2</v>
      </c>
      <c r="E16" s="12" t="s">
        <v>38</v>
      </c>
      <c r="F16" s="12" t="s">
        <v>46</v>
      </c>
      <c r="G16" s="14">
        <v>0.29166666666666669</v>
      </c>
      <c r="H16" s="14">
        <v>0.28819444444444448</v>
      </c>
      <c r="I16" s="14">
        <v>0</v>
      </c>
      <c r="J16" s="14">
        <v>0.41319444444444442</v>
      </c>
      <c r="K16" s="14">
        <v>0.44444444444444442</v>
      </c>
      <c r="L16" s="14" t="s">
        <v>66</v>
      </c>
      <c r="M16" s="14" t="s">
        <v>73</v>
      </c>
      <c r="N16" s="14">
        <f t="shared" si="4"/>
        <v>3.125E-2</v>
      </c>
      <c r="O16" s="14">
        <f t="shared" ref="O16:O27" si="6">N16-D16</f>
        <v>1.0416666666666668E-2</v>
      </c>
      <c r="P16" s="14">
        <v>6.9444444444444441E-3</v>
      </c>
      <c r="Q16" s="14">
        <v>0.44791666666666669</v>
      </c>
      <c r="R16" s="14">
        <v>0</v>
      </c>
      <c r="S16" s="14">
        <v>0.44791666666666669</v>
      </c>
      <c r="T16" s="14">
        <f>VLOOKUP(E16,'[1]22-1-2026'!$E$3:$T$13,16,FALSE)</f>
        <v>3.4722222222222224E-2</v>
      </c>
      <c r="U16" s="14">
        <v>0.49652777777777773</v>
      </c>
      <c r="V16" s="14">
        <f t="shared" si="5"/>
        <v>1.388888888888884E-2</v>
      </c>
      <c r="W16" s="14">
        <v>2.0833333333333332E-2</v>
      </c>
      <c r="X16" s="14">
        <v>0.5</v>
      </c>
      <c r="Y16" s="14">
        <v>0.51388888888888895</v>
      </c>
      <c r="Z16" s="14">
        <f t="shared" si="2"/>
        <v>1.3888888888888951E-2</v>
      </c>
      <c r="AA16" s="14">
        <v>0</v>
      </c>
      <c r="AB16" s="14">
        <v>0.51736111111111105</v>
      </c>
      <c r="AC16" s="27"/>
      <c r="AD16" s="52" t="s">
        <v>54</v>
      </c>
    </row>
    <row r="17" spans="1:30" ht="19.5" thickBot="1" x14ac:dyDescent="0.3">
      <c r="A17" s="16">
        <v>2</v>
      </c>
      <c r="B17" s="17">
        <v>529</v>
      </c>
      <c r="C17" s="17" t="str">
        <f>VLOOKUP(B17,داتا!$B$3:$D$42,2,FALSE)</f>
        <v>دبابة</v>
      </c>
      <c r="D17" s="18">
        <f>VLOOKUP(B17,داتا!$B$3:$D$42,3,FALSE)</f>
        <v>2.0833333333333332E-2</v>
      </c>
      <c r="E17" s="17" t="s">
        <v>40</v>
      </c>
      <c r="F17" s="17" t="s">
        <v>46</v>
      </c>
      <c r="G17" s="19">
        <v>0.29166666666666669</v>
      </c>
      <c r="H17" s="19">
        <v>0.28819444444444448</v>
      </c>
      <c r="I17" s="19">
        <v>0</v>
      </c>
      <c r="J17" s="19">
        <v>0.41319444444444442</v>
      </c>
      <c r="K17" s="19">
        <v>0.44444444444444442</v>
      </c>
      <c r="L17" s="19" t="s">
        <v>66</v>
      </c>
      <c r="M17" s="19" t="s">
        <v>73</v>
      </c>
      <c r="N17" s="19">
        <f t="shared" si="4"/>
        <v>3.125E-2</v>
      </c>
      <c r="O17" s="19">
        <f t="shared" si="6"/>
        <v>1.0416666666666668E-2</v>
      </c>
      <c r="P17" s="19">
        <v>6.9444444444444441E-3</v>
      </c>
      <c r="Q17" s="19">
        <v>0.44791666666666669</v>
      </c>
      <c r="R17" s="19">
        <v>0</v>
      </c>
      <c r="S17" s="19">
        <v>0.44791666666666669</v>
      </c>
      <c r="T17" s="19">
        <v>2.0833333333333332E-2</v>
      </c>
      <c r="U17" s="19">
        <v>0.53125</v>
      </c>
      <c r="V17" s="19">
        <v>0</v>
      </c>
      <c r="W17" s="19">
        <v>3.125E-2</v>
      </c>
      <c r="X17" s="19">
        <v>0.53472222222222221</v>
      </c>
      <c r="Y17" s="19">
        <v>0.54652777777777783</v>
      </c>
      <c r="Z17" s="19">
        <f t="shared" si="2"/>
        <v>1.1805555555555625E-2</v>
      </c>
      <c r="AA17" s="19">
        <v>0</v>
      </c>
      <c r="AB17" s="19">
        <v>0.54861111111111105</v>
      </c>
      <c r="AC17" s="20"/>
      <c r="AD17" s="52"/>
    </row>
    <row r="18" spans="1:30" ht="21.75" thickBot="1" x14ac:dyDescent="0.3">
      <c r="A18" s="16">
        <v>3</v>
      </c>
      <c r="B18" s="17">
        <v>492</v>
      </c>
      <c r="C18" s="17" t="str">
        <f>VLOOKUP(B18,داتا!$B$3:$D$42,2,FALSE)</f>
        <v>دبابة</v>
      </c>
      <c r="D18" s="18">
        <f>VLOOKUP(B18,داتا!$B$3:$D$42,3,FALSE)</f>
        <v>2.0833333333333332E-2</v>
      </c>
      <c r="E18" s="17" t="s">
        <v>49</v>
      </c>
      <c r="F18" s="17" t="s">
        <v>44</v>
      </c>
      <c r="G18" s="19">
        <v>0.25</v>
      </c>
      <c r="H18" s="19">
        <f t="shared" ref="H18:H28" si="7">VLOOKUP(F18,$F$3:$H$12,3,FALSE)</f>
        <v>0.25</v>
      </c>
      <c r="I18" s="19">
        <f t="shared" si="3"/>
        <v>0</v>
      </c>
      <c r="J18" s="19">
        <v>0.41319444444444442</v>
      </c>
      <c r="K18" s="19">
        <v>0.44444444444444442</v>
      </c>
      <c r="L18" s="19" t="s">
        <v>68</v>
      </c>
      <c r="M18" s="19" t="s">
        <v>69</v>
      </c>
      <c r="N18" s="19">
        <f t="shared" si="4"/>
        <v>3.125E-2</v>
      </c>
      <c r="O18" s="19">
        <f t="shared" si="6"/>
        <v>1.0416666666666668E-2</v>
      </c>
      <c r="P18" s="19">
        <v>6.9444444444444441E-3</v>
      </c>
      <c r="Q18" s="19">
        <v>0.44791666666666669</v>
      </c>
      <c r="R18" s="19">
        <v>0</v>
      </c>
      <c r="S18" s="19">
        <v>0.44791666666666669</v>
      </c>
      <c r="T18" s="19">
        <f>VLOOKUP(E18,'[1]22-1-2026'!$E$3:$T$13,16,FALSE)</f>
        <v>4.1666666666666664E-2</v>
      </c>
      <c r="U18" s="19">
        <v>0.47916666666666669</v>
      </c>
      <c r="V18" s="19">
        <v>0</v>
      </c>
      <c r="W18" s="19">
        <v>2.0833333333333332E-2</v>
      </c>
      <c r="X18" s="19">
        <v>0.48055555555555557</v>
      </c>
      <c r="Y18" s="19">
        <v>0.48819444444444443</v>
      </c>
      <c r="Z18" s="19">
        <f t="shared" si="2"/>
        <v>7.6388888888888618E-3</v>
      </c>
      <c r="AA18" s="19">
        <v>0</v>
      </c>
      <c r="AB18" s="19">
        <v>0.48958333333333331</v>
      </c>
      <c r="AC18" s="22"/>
      <c r="AD18" s="52"/>
    </row>
    <row r="19" spans="1:30" ht="19.5" thickBot="1" x14ac:dyDescent="0.3">
      <c r="A19" s="16">
        <v>4</v>
      </c>
      <c r="B19" s="17">
        <v>492</v>
      </c>
      <c r="C19" s="17" t="str">
        <f>VLOOKUP(B19,داتا!$B$3:$D$42,2,FALSE)</f>
        <v>دبابة</v>
      </c>
      <c r="D19" s="18">
        <f>VLOOKUP(B19,داتا!$B$3:$D$42,3,FALSE)</f>
        <v>2.0833333333333332E-2</v>
      </c>
      <c r="E19" s="17" t="s">
        <v>51</v>
      </c>
      <c r="F19" s="17" t="s">
        <v>44</v>
      </c>
      <c r="G19" s="19">
        <v>0.25</v>
      </c>
      <c r="H19" s="19">
        <f t="shared" si="7"/>
        <v>0.25</v>
      </c>
      <c r="I19" s="19">
        <f t="shared" si="3"/>
        <v>0</v>
      </c>
      <c r="J19" s="19">
        <v>0.41319444444444442</v>
      </c>
      <c r="K19" s="19">
        <v>0.44444444444444442</v>
      </c>
      <c r="L19" s="19" t="s">
        <v>68</v>
      </c>
      <c r="M19" s="19" t="s">
        <v>69</v>
      </c>
      <c r="N19" s="19">
        <f t="shared" si="4"/>
        <v>3.125E-2</v>
      </c>
      <c r="O19" s="19">
        <f t="shared" si="6"/>
        <v>1.0416666666666668E-2</v>
      </c>
      <c r="P19" s="19">
        <v>6.9444444444444441E-3</v>
      </c>
      <c r="Q19" s="19">
        <v>0.44791666666666669</v>
      </c>
      <c r="R19" s="19">
        <v>0</v>
      </c>
      <c r="S19" s="19">
        <v>0.44791666666666669</v>
      </c>
      <c r="T19" s="19">
        <f>VLOOKUP(E19,'[1]22-1-2026'!$E$3:$T$13,16,FALSE)</f>
        <v>6.9444444444444441E-3</v>
      </c>
      <c r="U19" s="19">
        <v>0.49305555555555558</v>
      </c>
      <c r="V19" s="19">
        <v>0</v>
      </c>
      <c r="W19" s="19">
        <v>3.125E-2</v>
      </c>
      <c r="X19" s="19">
        <v>0.49861111111111112</v>
      </c>
      <c r="Y19" s="19">
        <v>0.50347222222222221</v>
      </c>
      <c r="Z19" s="19">
        <f t="shared" si="2"/>
        <v>4.8611111111110938E-3</v>
      </c>
      <c r="AA19" s="19">
        <v>0</v>
      </c>
      <c r="AB19" s="19">
        <v>0.50694444444444442</v>
      </c>
      <c r="AC19" s="20"/>
      <c r="AD19" s="52"/>
    </row>
    <row r="20" spans="1:30" ht="19.5" thickBot="1" x14ac:dyDescent="0.3">
      <c r="A20" s="16">
        <v>5</v>
      </c>
      <c r="B20" s="17">
        <v>539</v>
      </c>
      <c r="C20" s="17" t="str">
        <f>VLOOKUP(B20,داتا!$B$3:$D$42,2,FALSE)</f>
        <v>دبابة</v>
      </c>
      <c r="D20" s="18">
        <f>VLOOKUP(B20,داتا!$B$3:$D$42,3,FALSE)</f>
        <v>2.0833333333333332E-2</v>
      </c>
      <c r="E20" s="17" t="s">
        <v>30</v>
      </c>
      <c r="F20" s="17" t="s">
        <v>39</v>
      </c>
      <c r="G20" s="19">
        <v>0.25</v>
      </c>
      <c r="H20" s="19">
        <f t="shared" si="7"/>
        <v>0.2638888888888889</v>
      </c>
      <c r="I20" s="19">
        <f t="shared" si="3"/>
        <v>1.3888888888888895E-2</v>
      </c>
      <c r="J20" s="19">
        <v>0.44791666666666669</v>
      </c>
      <c r="K20" s="19">
        <v>0.46875</v>
      </c>
      <c r="L20" s="19" t="s">
        <v>68</v>
      </c>
      <c r="M20" s="19" t="s">
        <v>69</v>
      </c>
      <c r="N20" s="19">
        <f t="shared" si="4"/>
        <v>2.0833333333333315E-2</v>
      </c>
      <c r="O20" s="19">
        <f t="shared" si="6"/>
        <v>0</v>
      </c>
      <c r="P20" s="19">
        <v>6.9444444444444441E-3</v>
      </c>
      <c r="Q20" s="19">
        <v>0.47222222222222227</v>
      </c>
      <c r="R20" s="19">
        <v>0</v>
      </c>
      <c r="S20" s="19">
        <v>0.47222222222222227</v>
      </c>
      <c r="T20" s="19">
        <f>VLOOKUP(E20,'[1]22-1-2026'!$E$3:$T$13,16,FALSE)</f>
        <v>2.4305555555555556E-2</v>
      </c>
      <c r="U20" s="19">
        <v>0.47569444444444442</v>
      </c>
      <c r="V20" s="19">
        <v>0</v>
      </c>
      <c r="W20" s="19">
        <v>2.0833333333333332E-2</v>
      </c>
      <c r="X20" s="19">
        <v>0.49722222222222223</v>
      </c>
      <c r="Y20" s="19">
        <v>0.50208333333333333</v>
      </c>
      <c r="Z20" s="19">
        <f t="shared" si="2"/>
        <v>4.8611111111110938E-3</v>
      </c>
      <c r="AA20" s="19">
        <v>0</v>
      </c>
      <c r="AB20" s="19">
        <v>0.50347222222222221</v>
      </c>
      <c r="AC20" s="20"/>
      <c r="AD20" s="52"/>
    </row>
    <row r="21" spans="1:30" ht="19.5" thickBot="1" x14ac:dyDescent="0.3">
      <c r="A21" s="16">
        <v>6</v>
      </c>
      <c r="B21" s="17">
        <v>539</v>
      </c>
      <c r="C21" s="17" t="str">
        <f>VLOOKUP(B21,داتا!$B$3:$D$42,2,FALSE)</f>
        <v>دبابة</v>
      </c>
      <c r="D21" s="18">
        <f>VLOOKUP(B21,داتا!$B$3:$D$42,3,FALSE)</f>
        <v>2.0833333333333332E-2</v>
      </c>
      <c r="E21" s="17" t="s">
        <v>58</v>
      </c>
      <c r="F21" s="17" t="s">
        <v>39</v>
      </c>
      <c r="G21" s="19">
        <v>0.25</v>
      </c>
      <c r="H21" s="19">
        <f t="shared" si="7"/>
        <v>0.2638888888888889</v>
      </c>
      <c r="I21" s="19">
        <f t="shared" si="3"/>
        <v>1.3888888888888895E-2</v>
      </c>
      <c r="J21" s="19">
        <v>0.44791666666666669</v>
      </c>
      <c r="K21" s="19">
        <v>0.46875</v>
      </c>
      <c r="L21" s="19" t="s">
        <v>68</v>
      </c>
      <c r="M21" s="19" t="s">
        <v>69</v>
      </c>
      <c r="N21" s="19">
        <f t="shared" si="4"/>
        <v>2.0833333333333315E-2</v>
      </c>
      <c r="O21" s="19">
        <f t="shared" si="6"/>
        <v>0</v>
      </c>
      <c r="P21" s="19">
        <v>6.9444444444444441E-3</v>
      </c>
      <c r="Q21" s="19">
        <v>0.47222222222222227</v>
      </c>
      <c r="R21" s="19">
        <v>0</v>
      </c>
      <c r="S21" s="19">
        <v>0.47222222222222227</v>
      </c>
      <c r="T21" s="19">
        <v>1.0416666666666666E-2</v>
      </c>
      <c r="U21" s="19">
        <v>0.51736111111111105</v>
      </c>
      <c r="V21" s="19">
        <v>0</v>
      </c>
      <c r="W21" s="19">
        <v>3.125E-2</v>
      </c>
      <c r="X21" s="19">
        <v>0.52083333333333337</v>
      </c>
      <c r="Y21" s="19">
        <v>0.54166666666666663</v>
      </c>
      <c r="Z21" s="19">
        <f t="shared" si="2"/>
        <v>2.0833333333333259E-2</v>
      </c>
      <c r="AA21" s="19">
        <v>0</v>
      </c>
      <c r="AB21" s="19">
        <v>0.54513888888888895</v>
      </c>
      <c r="AC21" s="20"/>
      <c r="AD21" s="52"/>
    </row>
    <row r="22" spans="1:30" ht="19.5" thickBot="1" x14ac:dyDescent="0.3">
      <c r="A22" s="16">
        <v>7</v>
      </c>
      <c r="B22" s="17">
        <v>892</v>
      </c>
      <c r="C22" s="17" t="str">
        <f>VLOOKUP(B22,داتا!$B$3:$D$42,2,FALSE)</f>
        <v>تلتين</v>
      </c>
      <c r="D22" s="18">
        <f>VLOOKUP(B22,داتا!$B$3:$D$42,3,FALSE)</f>
        <v>3.125E-2</v>
      </c>
      <c r="E22" s="17" t="s">
        <v>33</v>
      </c>
      <c r="F22" s="17" t="s">
        <v>63</v>
      </c>
      <c r="G22" s="19">
        <v>0.25</v>
      </c>
      <c r="H22" s="19">
        <v>0.27083333333333331</v>
      </c>
      <c r="I22" s="19">
        <f t="shared" si="3"/>
        <v>2.0833333333333315E-2</v>
      </c>
      <c r="J22" s="19">
        <v>0.44791666666666669</v>
      </c>
      <c r="K22" s="19">
        <v>0.46875</v>
      </c>
      <c r="L22" s="19" t="s">
        <v>66</v>
      </c>
      <c r="M22" s="19" t="s">
        <v>73</v>
      </c>
      <c r="N22" s="19">
        <f t="shared" si="4"/>
        <v>2.0833333333333315E-2</v>
      </c>
      <c r="O22" s="19">
        <v>0</v>
      </c>
      <c r="P22" s="19">
        <v>6.9444444444444441E-3</v>
      </c>
      <c r="Q22" s="19">
        <v>0.47222222222222227</v>
      </c>
      <c r="R22" s="19">
        <v>0</v>
      </c>
      <c r="S22" s="19">
        <v>0.47222222222222227</v>
      </c>
      <c r="T22" s="19">
        <f>VLOOKUP(E22,'[1]22-1-2026'!$E$3:$T$13,16,FALSE)</f>
        <v>2.7777777777777776E-2</v>
      </c>
      <c r="U22" s="19">
        <v>0.50347222222222221</v>
      </c>
      <c r="V22" s="19">
        <f t="shared" si="5"/>
        <v>3.4722222222221544E-3</v>
      </c>
      <c r="W22" s="19">
        <v>3.125E-2</v>
      </c>
      <c r="X22" s="19">
        <v>0.50694444444444442</v>
      </c>
      <c r="Y22" s="19">
        <v>0.52430555555555558</v>
      </c>
      <c r="Z22" s="19">
        <f t="shared" si="2"/>
        <v>1.736111111111116E-2</v>
      </c>
      <c r="AA22" s="19">
        <v>0</v>
      </c>
      <c r="AB22" s="19">
        <v>0.52777777777777779</v>
      </c>
      <c r="AC22" s="20"/>
      <c r="AD22" s="52"/>
    </row>
    <row r="23" spans="1:30" ht="19.5" thickBot="1" x14ac:dyDescent="0.3">
      <c r="A23" s="16">
        <v>8</v>
      </c>
      <c r="B23" s="17">
        <v>892</v>
      </c>
      <c r="C23" s="17" t="str">
        <f>VLOOKUP(B23,داتا!$B$3:$D$42,2,FALSE)</f>
        <v>تلتين</v>
      </c>
      <c r="D23" s="18">
        <f>VLOOKUP(B23,داتا!$B$3:$D$42,3,FALSE)</f>
        <v>3.125E-2</v>
      </c>
      <c r="E23" s="17" t="s">
        <v>41</v>
      </c>
      <c r="F23" s="17" t="s">
        <v>63</v>
      </c>
      <c r="G23" s="19">
        <v>0.25</v>
      </c>
      <c r="H23" s="19">
        <v>0.27083333333333331</v>
      </c>
      <c r="I23" s="19">
        <f t="shared" si="3"/>
        <v>2.0833333333333315E-2</v>
      </c>
      <c r="J23" s="19">
        <v>0.44791666666666669</v>
      </c>
      <c r="K23" s="19">
        <v>0.46875</v>
      </c>
      <c r="L23" s="19" t="s">
        <v>66</v>
      </c>
      <c r="M23" s="19" t="s">
        <v>73</v>
      </c>
      <c r="N23" s="19">
        <f t="shared" si="4"/>
        <v>2.0833333333333315E-2</v>
      </c>
      <c r="O23" s="19">
        <v>0</v>
      </c>
      <c r="P23" s="19">
        <v>6.9444444444444441E-3</v>
      </c>
      <c r="Q23" s="19">
        <v>0.47222222222222227</v>
      </c>
      <c r="R23" s="19">
        <v>0</v>
      </c>
      <c r="S23" s="19">
        <v>0.47222222222222227</v>
      </c>
      <c r="T23" s="19">
        <f>VLOOKUP(E23,'[1]22-1-2026'!$E$3:$T$13,16,FALSE)</f>
        <v>1.7361111111111112E-2</v>
      </c>
      <c r="U23" s="19">
        <v>0.54861111111111105</v>
      </c>
      <c r="V23" s="19">
        <v>0</v>
      </c>
      <c r="W23" s="19">
        <v>4.1666666666666664E-2</v>
      </c>
      <c r="X23" s="19">
        <v>0.55347222222222225</v>
      </c>
      <c r="Y23" s="19">
        <v>0.57291666666666663</v>
      </c>
      <c r="Z23" s="19">
        <f t="shared" si="2"/>
        <v>1.9444444444444375E-2</v>
      </c>
      <c r="AA23" s="19">
        <v>0</v>
      </c>
      <c r="AB23" s="19">
        <v>0.57638888888888895</v>
      </c>
      <c r="AC23" s="20"/>
      <c r="AD23" s="52"/>
    </row>
    <row r="24" spans="1:30" ht="19.5" thickBot="1" x14ac:dyDescent="0.3">
      <c r="A24" s="16">
        <v>9</v>
      </c>
      <c r="B24" s="17">
        <v>7435</v>
      </c>
      <c r="C24" s="17" t="str">
        <f>VLOOKUP(B24,داتا!$B$3:$D$42,2,FALSE)</f>
        <v>تلتين</v>
      </c>
      <c r="D24" s="18">
        <f>VLOOKUP(B24,داتا!$B$3:$D$42,3,FALSE)</f>
        <v>3.125E-2</v>
      </c>
      <c r="E24" s="17" t="s">
        <v>35</v>
      </c>
      <c r="F24" s="17" t="s">
        <v>61</v>
      </c>
      <c r="G24" s="19">
        <v>0.25</v>
      </c>
      <c r="H24" s="19">
        <f t="shared" si="7"/>
        <v>0.25694444444444448</v>
      </c>
      <c r="I24" s="19">
        <f t="shared" si="3"/>
        <v>6.9444444444444753E-3</v>
      </c>
      <c r="J24" s="19">
        <v>0.46875</v>
      </c>
      <c r="K24" s="19">
        <v>0.48958333333333331</v>
      </c>
      <c r="L24" s="19" t="s">
        <v>68</v>
      </c>
      <c r="M24" s="19" t="s">
        <v>69</v>
      </c>
      <c r="N24" s="19">
        <f t="shared" si="4"/>
        <v>2.0833333333333315E-2</v>
      </c>
      <c r="O24" s="19">
        <v>0</v>
      </c>
      <c r="P24" s="19">
        <v>6.9444444444444441E-3</v>
      </c>
      <c r="Q24" s="19">
        <v>0.48958333333333331</v>
      </c>
      <c r="R24" s="19">
        <v>0</v>
      </c>
      <c r="S24" s="19">
        <v>0.48958333333333331</v>
      </c>
      <c r="T24" s="19">
        <f>VLOOKUP(E24,'[1]22-1-2026'!$E$3:$T$13,16,FALSE)</f>
        <v>1.3888888888888888E-2</v>
      </c>
      <c r="U24" s="19">
        <v>0.50347222222222221</v>
      </c>
      <c r="V24" s="19">
        <f t="shared" si="5"/>
        <v>0</v>
      </c>
      <c r="W24" s="19">
        <v>3.125E-2</v>
      </c>
      <c r="X24" s="19">
        <v>0.50694444444444442</v>
      </c>
      <c r="Y24" s="19">
        <v>0.52083333333333337</v>
      </c>
      <c r="Z24" s="19">
        <f t="shared" si="2"/>
        <v>1.3888888888888951E-2</v>
      </c>
      <c r="AA24" s="19">
        <v>0</v>
      </c>
      <c r="AB24" s="19">
        <v>0.52430555555555558</v>
      </c>
      <c r="AC24" s="20"/>
      <c r="AD24" s="52"/>
    </row>
    <row r="25" spans="1:30" ht="19.5" thickBot="1" x14ac:dyDescent="0.3">
      <c r="A25" s="16">
        <v>10</v>
      </c>
      <c r="B25" s="17">
        <v>7435</v>
      </c>
      <c r="C25" s="17" t="str">
        <f>VLOOKUP(B25,داتا!$B$3:$D$42,2,FALSE)</f>
        <v>تلتين</v>
      </c>
      <c r="D25" s="18">
        <f>VLOOKUP(B25,داتا!$B$3:$D$42,3,FALSE)</f>
        <v>3.125E-2</v>
      </c>
      <c r="E25" s="17" t="s">
        <v>37</v>
      </c>
      <c r="F25" s="17" t="s">
        <v>61</v>
      </c>
      <c r="G25" s="19">
        <v>0.25</v>
      </c>
      <c r="H25" s="19">
        <f t="shared" si="7"/>
        <v>0.25694444444444448</v>
      </c>
      <c r="I25" s="19">
        <f t="shared" si="3"/>
        <v>6.9444444444444753E-3</v>
      </c>
      <c r="J25" s="19">
        <v>0.46875</v>
      </c>
      <c r="K25" s="19">
        <v>0.48958333333333331</v>
      </c>
      <c r="L25" s="19" t="s">
        <v>68</v>
      </c>
      <c r="M25" s="19" t="s">
        <v>69</v>
      </c>
      <c r="N25" s="19">
        <f t="shared" si="4"/>
        <v>2.0833333333333315E-2</v>
      </c>
      <c r="O25" s="19">
        <v>0</v>
      </c>
      <c r="P25" s="19">
        <v>6.9444444444444441E-3</v>
      </c>
      <c r="Q25" s="19">
        <v>0.48958333333333331</v>
      </c>
      <c r="R25" s="19">
        <v>0</v>
      </c>
      <c r="S25" s="19">
        <v>0.48958333333333331</v>
      </c>
      <c r="T25" s="19">
        <f>VLOOKUP(E25,'[1]22-1-2026'!$E$3:$T$13,16,FALSE)</f>
        <v>1.3888888888888888E-2</v>
      </c>
      <c r="U25" s="19">
        <v>0.53819444444444442</v>
      </c>
      <c r="V25" s="19">
        <v>0</v>
      </c>
      <c r="W25" s="19">
        <v>4.1666666666666664E-2</v>
      </c>
      <c r="X25" s="19">
        <v>0.54027777777777775</v>
      </c>
      <c r="Y25" s="19">
        <v>0.56458333333333333</v>
      </c>
      <c r="Z25" s="19">
        <f t="shared" si="2"/>
        <v>2.430555555555558E-2</v>
      </c>
      <c r="AA25" s="19">
        <v>0</v>
      </c>
      <c r="AB25" s="19">
        <v>0.56597222222222221</v>
      </c>
      <c r="AC25" s="20"/>
      <c r="AD25" s="52"/>
    </row>
    <row r="26" spans="1:30" ht="19.5" thickBot="1" x14ac:dyDescent="0.3">
      <c r="A26" s="16">
        <v>11</v>
      </c>
      <c r="B26" s="17">
        <v>249</v>
      </c>
      <c r="C26" s="17" t="str">
        <f>VLOOKUP(B26,داتا!$B$3:$D$42,2,FALSE)</f>
        <v>دبابة</v>
      </c>
      <c r="D26" s="18">
        <f>VLOOKUP(B26,داتا!$B$3:$D$42,3,FALSE)</f>
        <v>2.0833333333333332E-2</v>
      </c>
      <c r="E26" s="17" t="s">
        <v>47</v>
      </c>
      <c r="F26" s="17" t="s">
        <v>50</v>
      </c>
      <c r="G26" s="19">
        <v>0.25</v>
      </c>
      <c r="H26" s="19">
        <f t="shared" si="7"/>
        <v>0.25694444444444448</v>
      </c>
      <c r="I26" s="19">
        <f t="shared" si="3"/>
        <v>6.9444444444444753E-3</v>
      </c>
      <c r="J26" s="19">
        <v>0.46875</v>
      </c>
      <c r="K26" s="19">
        <v>0.48958333333333331</v>
      </c>
      <c r="L26" s="19" t="s">
        <v>66</v>
      </c>
      <c r="M26" s="19" t="s">
        <v>73</v>
      </c>
      <c r="N26" s="19">
        <f t="shared" si="4"/>
        <v>2.0833333333333315E-2</v>
      </c>
      <c r="O26" s="19">
        <f t="shared" si="6"/>
        <v>0</v>
      </c>
      <c r="P26" s="19">
        <v>6.9444444444444441E-3</v>
      </c>
      <c r="Q26" s="19">
        <v>0.48958333333333331</v>
      </c>
      <c r="R26" s="19">
        <v>0</v>
      </c>
      <c r="S26" s="19">
        <v>0.48958333333333331</v>
      </c>
      <c r="T26" s="19">
        <f>VLOOKUP(E26,'[1]22-1-2026'!$E$3:$T$13,16,FALSE)</f>
        <v>1.3888888888888888E-2</v>
      </c>
      <c r="U26" s="19">
        <v>0.51527777777777783</v>
      </c>
      <c r="V26" s="19">
        <f t="shared" si="5"/>
        <v>1.180555555555568E-2</v>
      </c>
      <c r="W26" s="19">
        <v>3.125E-2</v>
      </c>
      <c r="X26" s="19">
        <v>0.51597222222222217</v>
      </c>
      <c r="Y26" s="19">
        <v>0.54027777777777775</v>
      </c>
      <c r="Z26" s="19">
        <f t="shared" si="2"/>
        <v>2.430555555555558E-2</v>
      </c>
      <c r="AA26" s="19">
        <v>0</v>
      </c>
      <c r="AB26" s="19">
        <v>0.54236111111111118</v>
      </c>
      <c r="AC26" s="20"/>
      <c r="AD26" s="52"/>
    </row>
    <row r="27" spans="1:30" ht="19.5" thickBot="1" x14ac:dyDescent="0.3">
      <c r="A27" s="16">
        <v>12</v>
      </c>
      <c r="B27" s="17">
        <v>876</v>
      </c>
      <c r="C27" s="17" t="str">
        <f>VLOOKUP(B27,داتا!$B$3:$D$42,2,FALSE)</f>
        <v>دبابة</v>
      </c>
      <c r="D27" s="18">
        <f>VLOOKUP(B27,داتا!$B$3:$D$42,3,FALSE)</f>
        <v>2.0833333333333332E-2</v>
      </c>
      <c r="E27" s="17" t="s">
        <v>45</v>
      </c>
      <c r="F27" s="17" t="s">
        <v>70</v>
      </c>
      <c r="G27" s="19">
        <v>0.25</v>
      </c>
      <c r="H27" s="19">
        <f t="shared" si="7"/>
        <v>0.24305555555555555</v>
      </c>
      <c r="I27" s="19">
        <v>0</v>
      </c>
      <c r="J27" s="19">
        <v>0.46875</v>
      </c>
      <c r="K27" s="19">
        <v>0.48958333333333331</v>
      </c>
      <c r="L27" s="19" t="s">
        <v>66</v>
      </c>
      <c r="M27" s="19" t="s">
        <v>73</v>
      </c>
      <c r="N27" s="19">
        <f t="shared" si="4"/>
        <v>2.0833333333333315E-2</v>
      </c>
      <c r="O27" s="19">
        <f t="shared" si="6"/>
        <v>0</v>
      </c>
      <c r="P27" s="19">
        <v>6.9444444444444441E-3</v>
      </c>
      <c r="Q27" s="19">
        <v>0.52777777777777779</v>
      </c>
      <c r="R27" s="19">
        <f t="shared" si="0"/>
        <v>3.1250000000000056E-2</v>
      </c>
      <c r="S27" s="19">
        <v>0.52777777777777779</v>
      </c>
      <c r="T27" s="19">
        <f>VLOOKUP(E27,'[1]22-1-2026'!$E$3:$T$13,16,FALSE)</f>
        <v>1.3888888888888888E-2</v>
      </c>
      <c r="U27" s="19">
        <v>0.54305555555555551</v>
      </c>
      <c r="V27" s="19">
        <f t="shared" si="5"/>
        <v>1.388888888888884E-3</v>
      </c>
      <c r="W27" s="19">
        <v>3.125E-2</v>
      </c>
      <c r="X27" s="19">
        <v>0.54513888888888895</v>
      </c>
      <c r="Y27" s="19">
        <v>0.5625</v>
      </c>
      <c r="Z27" s="19">
        <f t="shared" si="2"/>
        <v>1.7361111111111049E-2</v>
      </c>
      <c r="AA27" s="19">
        <v>0</v>
      </c>
      <c r="AB27" s="19">
        <v>0.56597222222222221</v>
      </c>
      <c r="AC27" s="20"/>
      <c r="AD27" s="52"/>
    </row>
    <row r="28" spans="1:30" ht="19.5" thickBot="1" x14ac:dyDescent="0.3">
      <c r="A28" s="32">
        <v>13</v>
      </c>
      <c r="B28" s="23">
        <v>762</v>
      </c>
      <c r="C28" s="23" t="str">
        <f>VLOOKUP(B28,داتا!$B$3:$D$42,2,FALSE)</f>
        <v>دبابة</v>
      </c>
      <c r="D28" s="24">
        <f>VLOOKUP(B28,داتا!$B$3:$D$42,3,FALSE)</f>
        <v>2.0833333333333332E-2</v>
      </c>
      <c r="E28" s="23" t="s">
        <v>52</v>
      </c>
      <c r="F28" s="23" t="s">
        <v>60</v>
      </c>
      <c r="G28" s="25">
        <v>0.25</v>
      </c>
      <c r="H28" s="25">
        <f t="shared" si="7"/>
        <v>0.18055555555555555</v>
      </c>
      <c r="I28" s="25">
        <v>0</v>
      </c>
      <c r="J28" s="25">
        <v>0.48958333333333331</v>
      </c>
      <c r="K28" s="25">
        <v>0.5</v>
      </c>
      <c r="L28" s="25" t="s">
        <v>68</v>
      </c>
      <c r="M28" s="25" t="s">
        <v>69</v>
      </c>
      <c r="N28" s="25">
        <f t="shared" si="4"/>
        <v>1.0416666666666685E-2</v>
      </c>
      <c r="O28" s="25">
        <v>0</v>
      </c>
      <c r="P28" s="25">
        <v>6.9444444444444441E-3</v>
      </c>
      <c r="Q28" s="25">
        <v>0.50347222222222221</v>
      </c>
      <c r="R28" s="25">
        <v>0</v>
      </c>
      <c r="S28" s="25">
        <v>0.50347222222222221</v>
      </c>
      <c r="T28" s="25">
        <f>VLOOKUP(E28,'[1]22-1-2026'!$E$3:$T$13,16,FALSE)</f>
        <v>3.472222222222222E-3</v>
      </c>
      <c r="U28" s="25">
        <v>0.50694444444444442</v>
      </c>
      <c r="V28" s="25">
        <f t="shared" si="5"/>
        <v>0</v>
      </c>
      <c r="W28" s="25">
        <v>3.125E-2</v>
      </c>
      <c r="X28" s="25">
        <v>0.50902777777777775</v>
      </c>
      <c r="Y28" s="25">
        <v>0.52916666666666667</v>
      </c>
      <c r="Z28" s="25">
        <f t="shared" si="2"/>
        <v>2.0138888888888928E-2</v>
      </c>
      <c r="AA28" s="25">
        <v>0</v>
      </c>
      <c r="AB28" s="25">
        <v>0.53125</v>
      </c>
      <c r="AC28" s="28"/>
      <c r="AD28" s="53"/>
    </row>
    <row r="29" spans="1:30" ht="15.75" thickTop="1" x14ac:dyDescent="0.25"/>
  </sheetData>
  <mergeCells count="3">
    <mergeCell ref="A1:AC1"/>
    <mergeCell ref="AD3:AD15"/>
    <mergeCell ref="AD16:AD28"/>
  </mergeCells>
  <conditionalFormatting sqref="O2:O1048576 R2:R1048576 V2:V1048576 I2:I1048576 AA2:AA1048576">
    <cfRule type="cellIs" dxfId="169" priority="7" operator="between">
      <formula>0.00277777777777778</formula>
      <formula>1</formula>
    </cfRule>
  </conditionalFormatting>
  <conditionalFormatting sqref="AC3:AC28">
    <cfRule type="containsText" dxfId="168" priority="6" operator="containsText" text="ت">
      <formula>NOT(ISERROR(SEARCH("ت",AC3)))</formula>
    </cfRule>
  </conditionalFormatting>
  <conditionalFormatting sqref="AA1 I1 O1 R1 V1">
    <cfRule type="cellIs" dxfId="167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rightToLeft="1" workbookViewId="0">
      <pane xSplit="6" ySplit="2" topLeftCell="L3" activePane="bottomRight" state="frozen"/>
      <selection pane="topRight" activeCell="G1" sqref="G1"/>
      <selection pane="bottomLeft" activeCell="A3" sqref="A3"/>
      <selection pane="bottomRight" activeCell="V8" sqref="V8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762</v>
      </c>
      <c r="C3" s="12" t="str">
        <f>VLOOKUP(B3,داتا!$B$3:$D$42,2,FALSE)</f>
        <v>دبابة</v>
      </c>
      <c r="D3" s="13">
        <f>VLOOKUP(B3,داتا!$B$3:$D$42,3,FALSE)</f>
        <v>2.0833333333333332E-2</v>
      </c>
      <c r="E3" s="12" t="s">
        <v>38</v>
      </c>
      <c r="F3" s="12" t="s">
        <v>44</v>
      </c>
      <c r="G3" s="14">
        <v>0.25</v>
      </c>
      <c r="H3" s="14">
        <v>0.25347222222222221</v>
      </c>
      <c r="I3" s="14">
        <f>H3-G3</f>
        <v>3.4722222222222099E-3</v>
      </c>
      <c r="J3" s="14">
        <v>0.25</v>
      </c>
      <c r="K3" s="14">
        <v>0.27083333333333331</v>
      </c>
      <c r="L3" s="14" t="s">
        <v>72</v>
      </c>
      <c r="M3" s="14" t="s">
        <v>65</v>
      </c>
      <c r="N3" s="14">
        <f>K3-J3</f>
        <v>2.0833333333333315E-2</v>
      </c>
      <c r="O3" s="14">
        <f t="shared" ref="O3:O28" si="0">N3-D3</f>
        <v>0</v>
      </c>
      <c r="P3" s="14">
        <v>6.9444444444444441E-3</v>
      </c>
      <c r="Q3" s="14">
        <v>0.30902777777777779</v>
      </c>
      <c r="R3" s="14">
        <f t="shared" ref="R3:R26" si="1">Q3-P3-K3</f>
        <v>3.1250000000000056E-2</v>
      </c>
      <c r="S3" s="14">
        <v>0.30902777777777779</v>
      </c>
      <c r="T3" s="14">
        <f>VLOOKUP(E3,'[1]22-1-2026'!$E$3:$T$13,16,FALSE)</f>
        <v>3.4722222222222224E-2</v>
      </c>
      <c r="U3" s="14">
        <v>0.36041666666666666</v>
      </c>
      <c r="V3" s="14">
        <f>U3-T3-S3</f>
        <v>1.6666666666666663E-2</v>
      </c>
      <c r="W3" s="14">
        <v>2.0833333333333332E-2</v>
      </c>
      <c r="X3" s="14">
        <v>0.3611111111111111</v>
      </c>
      <c r="Y3" s="14">
        <v>0.38541666666666669</v>
      </c>
      <c r="Z3" s="14">
        <f>Y3-X3</f>
        <v>2.430555555555558E-2</v>
      </c>
      <c r="AA3" s="14">
        <f t="shared" ref="AA3:AA24" si="2">Z3-W3</f>
        <v>3.4722222222222481E-3</v>
      </c>
      <c r="AB3" s="14">
        <v>0.3888888888888889</v>
      </c>
      <c r="AC3" s="15"/>
      <c r="AD3" s="60" t="s">
        <v>32</v>
      </c>
    </row>
    <row r="4" spans="1:30" ht="19.5" thickBot="1" x14ac:dyDescent="0.3">
      <c r="A4" s="16">
        <v>2</v>
      </c>
      <c r="B4" s="17">
        <v>762</v>
      </c>
      <c r="C4" s="17" t="str">
        <f>VLOOKUP(B4,داتا!$B$3:$D$42,2,FALSE)</f>
        <v>دبابة</v>
      </c>
      <c r="D4" s="18">
        <f>VLOOKUP(B4,داتا!$B$3:$D$42,3,FALSE)</f>
        <v>2.0833333333333332E-2</v>
      </c>
      <c r="E4" s="17" t="s">
        <v>40</v>
      </c>
      <c r="F4" s="17" t="s">
        <v>44</v>
      </c>
      <c r="G4" s="19">
        <v>0.25</v>
      </c>
      <c r="H4" s="19">
        <v>0.25347222222222221</v>
      </c>
      <c r="I4" s="19">
        <f t="shared" ref="I4:I34" si="3">H4-G4</f>
        <v>3.4722222222222099E-3</v>
      </c>
      <c r="J4" s="19">
        <v>0.25</v>
      </c>
      <c r="K4" s="19">
        <v>0.27083333333333331</v>
      </c>
      <c r="L4" s="19" t="s">
        <v>72</v>
      </c>
      <c r="M4" s="19" t="s">
        <v>65</v>
      </c>
      <c r="N4" s="19">
        <f>K4-J4</f>
        <v>2.0833333333333315E-2</v>
      </c>
      <c r="O4" s="19">
        <f t="shared" si="0"/>
        <v>0</v>
      </c>
      <c r="P4" s="19">
        <v>6.9444444444444441E-3</v>
      </c>
      <c r="Q4" s="19">
        <v>0.30902777777777779</v>
      </c>
      <c r="R4" s="19">
        <f t="shared" si="1"/>
        <v>3.1250000000000056E-2</v>
      </c>
      <c r="S4" s="19">
        <v>0.27430555555555552</v>
      </c>
      <c r="T4" s="19">
        <v>2.0833333333333332E-2</v>
      </c>
      <c r="U4" s="19">
        <v>0.41111111111111115</v>
      </c>
      <c r="V4" s="19">
        <v>0</v>
      </c>
      <c r="W4" s="19">
        <v>3.125E-2</v>
      </c>
      <c r="X4" s="19">
        <v>0.41319444444444442</v>
      </c>
      <c r="Y4" s="19">
        <v>0.45833333333333331</v>
      </c>
      <c r="Z4" s="19">
        <f t="shared" ref="Z4:Z36" si="4">Y4-X4</f>
        <v>4.5138888888888895E-2</v>
      </c>
      <c r="AA4" s="19">
        <f t="shared" si="2"/>
        <v>1.3888888888888895E-2</v>
      </c>
      <c r="AB4" s="19">
        <v>0.46180555555555558</v>
      </c>
      <c r="AC4" s="20"/>
      <c r="AD4" s="61"/>
    </row>
    <row r="5" spans="1:30" ht="19.5" thickBot="1" x14ac:dyDescent="0.3">
      <c r="A5" s="16">
        <v>3</v>
      </c>
      <c r="B5" s="17">
        <v>892</v>
      </c>
      <c r="C5" s="17" t="str">
        <f>VLOOKUP(B5,داتا!$B$3:$D$42,2,FALSE)</f>
        <v>تلتين</v>
      </c>
      <c r="D5" s="18">
        <f>VLOOKUP(B5,داتا!$B$3:$D$42,3,FALSE)</f>
        <v>3.125E-2</v>
      </c>
      <c r="E5" s="17" t="s">
        <v>30</v>
      </c>
      <c r="F5" s="17" t="s">
        <v>63</v>
      </c>
      <c r="G5" s="19">
        <v>0.25</v>
      </c>
      <c r="H5" s="19">
        <v>0.26041666666666669</v>
      </c>
      <c r="I5" s="19">
        <f t="shared" si="3"/>
        <v>1.0416666666666685E-2</v>
      </c>
      <c r="J5" s="19">
        <v>0.25</v>
      </c>
      <c r="K5" s="19">
        <v>0.27430555555555552</v>
      </c>
      <c r="L5" s="19" t="s">
        <v>72</v>
      </c>
      <c r="M5" s="19" t="s">
        <v>65</v>
      </c>
      <c r="N5" s="19">
        <f t="shared" ref="N5:N36" si="5">K5-J5</f>
        <v>2.4305555555555525E-2</v>
      </c>
      <c r="O5" s="19">
        <v>0</v>
      </c>
      <c r="P5" s="19">
        <v>6.9444444444444441E-3</v>
      </c>
      <c r="Q5" s="19">
        <v>0.27430555555555552</v>
      </c>
      <c r="R5" s="19">
        <v>0</v>
      </c>
      <c r="S5" s="19">
        <v>0.27430555555555552</v>
      </c>
      <c r="T5" s="19">
        <f>VLOOKUP(E5,'[1]22-1-2026'!$E$3:$T$13,16,FALSE)</f>
        <v>2.4305555555555556E-2</v>
      </c>
      <c r="U5" s="19">
        <v>0.2986111111111111</v>
      </c>
      <c r="V5" s="19">
        <f t="shared" ref="V5:V36" si="6">U5-T5-S5</f>
        <v>0</v>
      </c>
      <c r="W5" s="19">
        <v>3.125E-2</v>
      </c>
      <c r="X5" s="19">
        <v>0.32291666666666669</v>
      </c>
      <c r="Y5" s="19">
        <v>0.35416666666666669</v>
      </c>
      <c r="Z5" s="19">
        <f t="shared" si="4"/>
        <v>3.125E-2</v>
      </c>
      <c r="AA5" s="19">
        <f t="shared" si="2"/>
        <v>0</v>
      </c>
      <c r="AB5" s="19">
        <v>0.3576388888888889</v>
      </c>
      <c r="AC5" s="20"/>
      <c r="AD5" s="61"/>
    </row>
    <row r="6" spans="1:30" ht="19.5" thickBot="1" x14ac:dyDescent="0.3">
      <c r="A6" s="16">
        <v>4</v>
      </c>
      <c r="B6" s="17">
        <v>892</v>
      </c>
      <c r="C6" s="17" t="str">
        <f>VLOOKUP(B6,داتا!$B$3:$D$42,2,FALSE)</f>
        <v>تلتين</v>
      </c>
      <c r="D6" s="18">
        <f>VLOOKUP(B6,داتا!$B$3:$D$42,3,FALSE)</f>
        <v>3.125E-2</v>
      </c>
      <c r="E6" s="17" t="s">
        <v>33</v>
      </c>
      <c r="F6" s="17" t="s">
        <v>63</v>
      </c>
      <c r="G6" s="19">
        <v>0.25</v>
      </c>
      <c r="H6" s="19">
        <v>0.26041666666666669</v>
      </c>
      <c r="I6" s="19">
        <f t="shared" si="3"/>
        <v>1.0416666666666685E-2</v>
      </c>
      <c r="J6" s="19">
        <v>0.25</v>
      </c>
      <c r="K6" s="19">
        <v>0.27430555555555552</v>
      </c>
      <c r="L6" s="19" t="s">
        <v>72</v>
      </c>
      <c r="M6" s="19" t="s">
        <v>65</v>
      </c>
      <c r="N6" s="19">
        <f t="shared" si="5"/>
        <v>2.4305555555555525E-2</v>
      </c>
      <c r="O6" s="19">
        <v>0</v>
      </c>
      <c r="P6" s="19">
        <v>6.9444444444444441E-3</v>
      </c>
      <c r="Q6" s="19">
        <v>0.27430555555555552</v>
      </c>
      <c r="R6" s="19">
        <v>0</v>
      </c>
      <c r="S6" s="19">
        <v>0.28819444444444448</v>
      </c>
      <c r="T6" s="19">
        <f>VLOOKUP(E6,'[1]22-1-2026'!$E$3:$T$13,16,FALSE)</f>
        <v>2.7777777777777776E-2</v>
      </c>
      <c r="U6" s="19">
        <v>0.37152777777777773</v>
      </c>
      <c r="V6" s="19">
        <v>0</v>
      </c>
      <c r="W6" s="19">
        <v>4.1666666666666664E-2</v>
      </c>
      <c r="X6" s="19">
        <v>0.375</v>
      </c>
      <c r="Y6" s="19">
        <v>0.3923611111111111</v>
      </c>
      <c r="Z6" s="19">
        <f t="shared" si="4"/>
        <v>1.7361111111111105E-2</v>
      </c>
      <c r="AA6" s="19">
        <v>0</v>
      </c>
      <c r="AB6" s="19">
        <v>0.39583333333333331</v>
      </c>
      <c r="AC6" s="20"/>
      <c r="AD6" s="61"/>
    </row>
    <row r="7" spans="1:30" ht="19.5" thickBot="1" x14ac:dyDescent="0.3">
      <c r="A7" s="16">
        <v>5</v>
      </c>
      <c r="B7" s="17">
        <v>529</v>
      </c>
      <c r="C7" s="17" t="str">
        <f>VLOOKUP(B7,داتا!$B$3:$D$42,2,FALSE)</f>
        <v>دبابة</v>
      </c>
      <c r="D7" s="18">
        <f>VLOOKUP(B7,داتا!$B$3:$D$42,3,FALSE)</f>
        <v>2.0833333333333332E-2</v>
      </c>
      <c r="E7" s="17" t="s">
        <v>49</v>
      </c>
      <c r="F7" s="17" t="s">
        <v>59</v>
      </c>
      <c r="G7" s="19">
        <v>0.25</v>
      </c>
      <c r="H7" s="19">
        <v>0.22569444444444445</v>
      </c>
      <c r="I7" s="19">
        <v>0</v>
      </c>
      <c r="J7" s="19">
        <v>0.27430555555555552</v>
      </c>
      <c r="K7" s="19">
        <v>0.28819444444444448</v>
      </c>
      <c r="L7" s="19" t="s">
        <v>72</v>
      </c>
      <c r="M7" s="19" t="s">
        <v>65</v>
      </c>
      <c r="N7" s="19">
        <f t="shared" si="5"/>
        <v>1.3888888888888951E-2</v>
      </c>
      <c r="O7" s="19">
        <v>0</v>
      </c>
      <c r="P7" s="19">
        <v>6.9444444444444441E-3</v>
      </c>
      <c r="Q7" s="19">
        <v>0.28819444444444448</v>
      </c>
      <c r="R7" s="19">
        <v>0</v>
      </c>
      <c r="S7" s="19">
        <v>0.28819444444444448</v>
      </c>
      <c r="T7" s="19">
        <f>VLOOKUP(E7,'[1]22-1-2026'!$E$3:$T$13,16,FALSE)</f>
        <v>4.1666666666666664E-2</v>
      </c>
      <c r="U7" s="19">
        <v>0.32291666666666669</v>
      </c>
      <c r="V7" s="19">
        <v>0</v>
      </c>
      <c r="W7" s="19">
        <v>2.0833333333333332E-2</v>
      </c>
      <c r="X7" s="19">
        <v>0.33958333333333335</v>
      </c>
      <c r="Y7" s="19">
        <v>0.36041666666666666</v>
      </c>
      <c r="Z7" s="19">
        <f t="shared" si="4"/>
        <v>2.0833333333333315E-2</v>
      </c>
      <c r="AA7" s="19">
        <f t="shared" si="2"/>
        <v>0</v>
      </c>
      <c r="AB7" s="19">
        <v>0.36319444444444443</v>
      </c>
      <c r="AC7" s="20"/>
      <c r="AD7" s="61"/>
    </row>
    <row r="8" spans="1:30" ht="19.5" thickBot="1" x14ac:dyDescent="0.3">
      <c r="A8" s="16">
        <v>6</v>
      </c>
      <c r="B8" s="17">
        <v>529</v>
      </c>
      <c r="C8" s="17" t="str">
        <f>VLOOKUP(B8,داتا!$B$3:$D$42,2,FALSE)</f>
        <v>دبابة</v>
      </c>
      <c r="D8" s="18">
        <f>VLOOKUP(B8,داتا!$B$3:$D$42,3,FALSE)</f>
        <v>2.0833333333333332E-2</v>
      </c>
      <c r="E8" s="17" t="s">
        <v>51</v>
      </c>
      <c r="F8" s="17" t="s">
        <v>59</v>
      </c>
      <c r="G8" s="19">
        <v>0.25</v>
      </c>
      <c r="H8" s="19">
        <v>0.22569444444444445</v>
      </c>
      <c r="I8" s="19">
        <v>0</v>
      </c>
      <c r="J8" s="19">
        <v>0.27430555555555552</v>
      </c>
      <c r="K8" s="19">
        <v>0.28819444444444448</v>
      </c>
      <c r="L8" s="19" t="s">
        <v>72</v>
      </c>
      <c r="M8" s="19" t="s">
        <v>65</v>
      </c>
      <c r="N8" s="19">
        <f t="shared" si="5"/>
        <v>1.3888888888888951E-2</v>
      </c>
      <c r="O8" s="19">
        <v>0</v>
      </c>
      <c r="P8" s="19">
        <v>6.9444444444444441E-3</v>
      </c>
      <c r="Q8" s="19">
        <v>0.28819444444444448</v>
      </c>
      <c r="R8" s="19">
        <v>0</v>
      </c>
      <c r="S8" s="19">
        <v>0.2951388888888889</v>
      </c>
      <c r="T8" s="19">
        <f>VLOOKUP(E8,'[1]22-1-2026'!$E$3:$T$13,16,FALSE)</f>
        <v>6.9444444444444441E-3</v>
      </c>
      <c r="U8" s="19">
        <v>0.36805555555555558</v>
      </c>
      <c r="V8" s="19">
        <v>0</v>
      </c>
      <c r="W8" s="19">
        <v>3.125E-2</v>
      </c>
      <c r="X8" s="19">
        <v>0.37152777777777773</v>
      </c>
      <c r="Y8" s="19">
        <v>0.3923611111111111</v>
      </c>
      <c r="Z8" s="19">
        <f t="shared" si="4"/>
        <v>2.083333333333337E-2</v>
      </c>
      <c r="AA8" s="19">
        <v>0</v>
      </c>
      <c r="AB8" s="19">
        <v>0.39583333333333331</v>
      </c>
      <c r="AC8" s="20"/>
      <c r="AD8" s="61"/>
    </row>
    <row r="9" spans="1:30" ht="19.5" thickBot="1" x14ac:dyDescent="0.3">
      <c r="A9" s="16">
        <v>7</v>
      </c>
      <c r="B9" s="17">
        <v>249</v>
      </c>
      <c r="C9" s="17" t="str">
        <f>VLOOKUP(B9,داتا!$B$3:$D$42,2,FALSE)</f>
        <v>دبابة</v>
      </c>
      <c r="D9" s="18">
        <f>VLOOKUP(B9,داتا!$B$3:$D$42,3,FALSE)</f>
        <v>2.0833333333333332E-2</v>
      </c>
      <c r="E9" s="17" t="s">
        <v>41</v>
      </c>
      <c r="F9" s="17" t="s">
        <v>50</v>
      </c>
      <c r="G9" s="19">
        <v>0.25</v>
      </c>
      <c r="H9" s="19">
        <v>0.25347222222222221</v>
      </c>
      <c r="I9" s="19">
        <f t="shared" si="3"/>
        <v>3.4722222222222099E-3</v>
      </c>
      <c r="J9" s="19">
        <v>0.28819444444444448</v>
      </c>
      <c r="K9" s="19">
        <v>0.2951388888888889</v>
      </c>
      <c r="L9" s="19" t="s">
        <v>72</v>
      </c>
      <c r="M9" s="19" t="s">
        <v>65</v>
      </c>
      <c r="N9" s="19">
        <f t="shared" si="5"/>
        <v>6.9444444444444198E-3</v>
      </c>
      <c r="O9" s="19">
        <v>0</v>
      </c>
      <c r="P9" s="19">
        <v>6.9444444444444441E-3</v>
      </c>
      <c r="Q9" s="19">
        <v>0.2951388888888889</v>
      </c>
      <c r="R9" s="19">
        <v>0</v>
      </c>
      <c r="S9" s="19">
        <v>0.30902777777777779</v>
      </c>
      <c r="T9" s="19">
        <f>VLOOKUP(E9,'[1]22-1-2026'!$E$3:$T$13,16,FALSE)</f>
        <v>1.7361111111111112E-2</v>
      </c>
      <c r="U9" s="19">
        <v>0.33333333333333331</v>
      </c>
      <c r="V9" s="19">
        <f t="shared" si="6"/>
        <v>6.9444444444444198E-3</v>
      </c>
      <c r="W9" s="19">
        <v>3.125E-2</v>
      </c>
      <c r="X9" s="19">
        <v>0.34166666666666662</v>
      </c>
      <c r="Y9" s="19">
        <v>0.37361111111111112</v>
      </c>
      <c r="Z9" s="19">
        <f t="shared" si="4"/>
        <v>3.1944444444444497E-2</v>
      </c>
      <c r="AA9" s="19">
        <f t="shared" si="2"/>
        <v>6.9444444444449749E-4</v>
      </c>
      <c r="AB9" s="19">
        <v>0.375</v>
      </c>
      <c r="AC9" s="20"/>
      <c r="AD9" s="61"/>
    </row>
    <row r="10" spans="1:30" ht="19.5" thickBot="1" x14ac:dyDescent="0.3">
      <c r="A10" s="16">
        <v>8</v>
      </c>
      <c r="B10" s="17">
        <v>7435</v>
      </c>
      <c r="C10" s="17" t="str">
        <f>VLOOKUP(B10,داتا!$B$3:$D$42,2,FALSE)</f>
        <v>تلتين</v>
      </c>
      <c r="D10" s="18">
        <f>VLOOKUP(B10,داتا!$B$3:$D$42,3,FALSE)</f>
        <v>3.125E-2</v>
      </c>
      <c r="E10" s="17" t="s">
        <v>35</v>
      </c>
      <c r="F10" s="17" t="s">
        <v>61</v>
      </c>
      <c r="G10" s="19">
        <v>0.25</v>
      </c>
      <c r="H10" s="19">
        <v>0.26041666666666669</v>
      </c>
      <c r="I10" s="19">
        <f t="shared" si="3"/>
        <v>1.0416666666666685E-2</v>
      </c>
      <c r="J10" s="19">
        <v>0.27430555555555552</v>
      </c>
      <c r="K10" s="19">
        <v>0.2951388888888889</v>
      </c>
      <c r="L10" s="19" t="s">
        <v>72</v>
      </c>
      <c r="M10" s="19" t="s">
        <v>65</v>
      </c>
      <c r="N10" s="19">
        <f t="shared" si="5"/>
        <v>2.083333333333337E-2</v>
      </c>
      <c r="O10" s="19">
        <v>0</v>
      </c>
      <c r="P10" s="19">
        <v>6.9444444444444441E-3</v>
      </c>
      <c r="Q10" s="19">
        <v>0.30902777777777779</v>
      </c>
      <c r="R10" s="19">
        <f t="shared" si="1"/>
        <v>6.9444444444444753E-3</v>
      </c>
      <c r="S10" s="19">
        <v>0.30902777777777779</v>
      </c>
      <c r="T10" s="19">
        <f>VLOOKUP(E10,'[1]22-1-2026'!$E$3:$T$13,16,FALSE)</f>
        <v>1.3888888888888888E-2</v>
      </c>
      <c r="U10" s="19">
        <v>0.31944444444444448</v>
      </c>
      <c r="V10" s="19">
        <v>0</v>
      </c>
      <c r="W10" s="19">
        <v>3.125E-2</v>
      </c>
      <c r="X10" s="19">
        <v>0.32291666666666669</v>
      </c>
      <c r="Y10" s="19">
        <v>0.3576388888888889</v>
      </c>
      <c r="Z10" s="19">
        <f t="shared" si="4"/>
        <v>3.472222222222221E-2</v>
      </c>
      <c r="AA10" s="19">
        <f t="shared" si="2"/>
        <v>3.4722222222222099E-3</v>
      </c>
      <c r="AB10" s="19">
        <v>0.3611111111111111</v>
      </c>
      <c r="AC10" s="20"/>
      <c r="AD10" s="61"/>
    </row>
    <row r="11" spans="1:30" ht="19.5" thickBot="1" x14ac:dyDescent="0.3">
      <c r="A11" s="16">
        <v>9</v>
      </c>
      <c r="B11" s="17">
        <v>7435</v>
      </c>
      <c r="C11" s="17" t="str">
        <f>VLOOKUP(B11,داتا!$B$3:$D$42,2,FALSE)</f>
        <v>تلتين</v>
      </c>
      <c r="D11" s="18">
        <f>VLOOKUP(B11,داتا!$B$3:$D$42,3,FALSE)</f>
        <v>3.125E-2</v>
      </c>
      <c r="E11" s="17" t="s">
        <v>37</v>
      </c>
      <c r="F11" s="17" t="s">
        <v>61</v>
      </c>
      <c r="G11" s="19">
        <v>0.25</v>
      </c>
      <c r="H11" s="19">
        <v>0.26041666666666669</v>
      </c>
      <c r="I11" s="19">
        <f t="shared" si="3"/>
        <v>1.0416666666666685E-2</v>
      </c>
      <c r="J11" s="19">
        <v>0.27430555555555552</v>
      </c>
      <c r="K11" s="19">
        <v>0.2951388888888889</v>
      </c>
      <c r="L11" s="19" t="s">
        <v>72</v>
      </c>
      <c r="M11" s="19" t="s">
        <v>65</v>
      </c>
      <c r="N11" s="19">
        <f t="shared" si="5"/>
        <v>2.083333333333337E-2</v>
      </c>
      <c r="O11" s="19">
        <v>0</v>
      </c>
      <c r="P11" s="19">
        <v>6.9444444444444441E-3</v>
      </c>
      <c r="Q11" s="19">
        <v>0.30902777777777779</v>
      </c>
      <c r="R11" s="19">
        <f t="shared" si="1"/>
        <v>6.9444444444444753E-3</v>
      </c>
      <c r="S11" s="19">
        <v>0.30208333333333331</v>
      </c>
      <c r="T11" s="19">
        <f>VLOOKUP(E11,'[1]22-1-2026'!$E$3:$T$13,16,FALSE)</f>
        <v>1.3888888888888888E-2</v>
      </c>
      <c r="U11" s="19">
        <v>0.375</v>
      </c>
      <c r="V11" s="19">
        <v>0</v>
      </c>
      <c r="W11" s="19">
        <v>4.1666666666666664E-2</v>
      </c>
      <c r="X11" s="19">
        <v>0.37708333333333338</v>
      </c>
      <c r="Y11" s="19">
        <v>0.40763888888888888</v>
      </c>
      <c r="Z11" s="19">
        <f t="shared" si="4"/>
        <v>3.0555555555555503E-2</v>
      </c>
      <c r="AA11" s="19">
        <v>0</v>
      </c>
      <c r="AB11" s="19">
        <v>0.40972222222222227</v>
      </c>
      <c r="AC11" s="21"/>
      <c r="AD11" s="61"/>
    </row>
    <row r="12" spans="1:30" ht="21.75" thickBot="1" x14ac:dyDescent="0.3">
      <c r="A12" s="16">
        <v>10</v>
      </c>
      <c r="B12" s="17">
        <v>539</v>
      </c>
      <c r="C12" s="17" t="str">
        <f>VLOOKUP(B12,داتا!$B$3:$D$42,2,FALSE)</f>
        <v>دبابة</v>
      </c>
      <c r="D12" s="18">
        <f>VLOOKUP(B12,داتا!$B$3:$D$42,3,FALSE)</f>
        <v>2.0833333333333332E-2</v>
      </c>
      <c r="E12" s="17" t="s">
        <v>45</v>
      </c>
      <c r="F12" s="17" t="s">
        <v>39</v>
      </c>
      <c r="G12" s="19">
        <v>0.25</v>
      </c>
      <c r="H12" s="19">
        <v>0.26041666666666669</v>
      </c>
      <c r="I12" s="19">
        <f t="shared" si="3"/>
        <v>1.0416666666666685E-2</v>
      </c>
      <c r="J12" s="19">
        <v>0.2951388888888889</v>
      </c>
      <c r="K12" s="19">
        <v>0.30208333333333331</v>
      </c>
      <c r="L12" s="19" t="s">
        <v>72</v>
      </c>
      <c r="M12" s="19" t="s">
        <v>65</v>
      </c>
      <c r="N12" s="19">
        <f t="shared" si="5"/>
        <v>6.9444444444444198E-3</v>
      </c>
      <c r="O12" s="19">
        <v>0</v>
      </c>
      <c r="P12" s="19">
        <v>6.9444444444444441E-3</v>
      </c>
      <c r="Q12" s="19">
        <v>0.30208333333333331</v>
      </c>
      <c r="R12" s="19">
        <v>0</v>
      </c>
      <c r="S12" s="19">
        <v>0.30208333333333331</v>
      </c>
      <c r="T12" s="19">
        <f>VLOOKUP(E12,'[1]22-1-2026'!$E$3:$T$13,16,FALSE)</f>
        <v>1.3888888888888888E-2</v>
      </c>
      <c r="U12" s="19">
        <v>0.30694444444444441</v>
      </c>
      <c r="V12" s="19">
        <v>0</v>
      </c>
      <c r="W12" s="19">
        <v>3.125E-2</v>
      </c>
      <c r="X12" s="19">
        <v>0.31597222222222221</v>
      </c>
      <c r="Y12" s="19">
        <v>0.34861111111111115</v>
      </c>
      <c r="Z12" s="19">
        <f t="shared" si="4"/>
        <v>3.2638888888888939E-2</v>
      </c>
      <c r="AA12" s="19">
        <f t="shared" si="2"/>
        <v>1.3888888888889395E-3</v>
      </c>
      <c r="AB12" s="19">
        <v>0.35069444444444442</v>
      </c>
      <c r="AC12" s="22"/>
      <c r="AD12" s="61"/>
    </row>
    <row r="13" spans="1:30" ht="21.75" thickBot="1" x14ac:dyDescent="0.3">
      <c r="A13" s="16">
        <v>11</v>
      </c>
      <c r="B13" s="17">
        <v>876</v>
      </c>
      <c r="C13" s="17" t="str">
        <f>VLOOKUP(B13,داتا!$B$3:$D$42,2,FALSE)</f>
        <v>دبابة</v>
      </c>
      <c r="D13" s="18">
        <f>VLOOKUP(B13,داتا!$B$3:$D$42,3,FALSE)</f>
        <v>2.0833333333333332E-2</v>
      </c>
      <c r="E13" s="17" t="s">
        <v>47</v>
      </c>
      <c r="F13" s="17" t="s">
        <v>74</v>
      </c>
      <c r="G13" s="19">
        <v>0.25</v>
      </c>
      <c r="H13" s="19">
        <v>0.25347222222222221</v>
      </c>
      <c r="I13" s="19">
        <f t="shared" si="3"/>
        <v>3.4722222222222099E-3</v>
      </c>
      <c r="J13" s="19">
        <v>0.2951388888888889</v>
      </c>
      <c r="K13" s="19">
        <v>0.30208333333333331</v>
      </c>
      <c r="L13" s="19" t="s">
        <v>72</v>
      </c>
      <c r="M13" s="19" t="s">
        <v>65</v>
      </c>
      <c r="N13" s="19">
        <f t="shared" si="5"/>
        <v>6.9444444444444198E-3</v>
      </c>
      <c r="O13" s="19">
        <v>0</v>
      </c>
      <c r="P13" s="19">
        <v>6.9444444444444441E-3</v>
      </c>
      <c r="Q13" s="19">
        <v>0.30208333333333331</v>
      </c>
      <c r="R13" s="19">
        <v>0</v>
      </c>
      <c r="S13" s="19">
        <v>0.31597222222222221</v>
      </c>
      <c r="T13" s="19">
        <f>VLOOKUP(E13,'[1]22-1-2026'!$E$3:$T$13,16,FALSE)</f>
        <v>1.3888888888888888E-2</v>
      </c>
      <c r="U13" s="19">
        <v>0.31944444444444448</v>
      </c>
      <c r="V13" s="19">
        <v>0</v>
      </c>
      <c r="W13" s="19">
        <v>3.125E-2</v>
      </c>
      <c r="X13" s="19">
        <v>0.32916666666666666</v>
      </c>
      <c r="Y13" s="19">
        <v>0.36458333333333331</v>
      </c>
      <c r="Z13" s="19">
        <f t="shared" si="4"/>
        <v>3.5416666666666652E-2</v>
      </c>
      <c r="AA13" s="19">
        <f t="shared" si="2"/>
        <v>4.1666666666666519E-3</v>
      </c>
      <c r="AB13" s="19">
        <v>0.36805555555555558</v>
      </c>
      <c r="AC13" s="22"/>
      <c r="AD13" s="61"/>
    </row>
    <row r="14" spans="1:30" ht="21.75" thickBot="1" x14ac:dyDescent="0.3">
      <c r="A14" s="16">
        <v>12</v>
      </c>
      <c r="B14" s="17">
        <v>529</v>
      </c>
      <c r="C14" s="17" t="str">
        <f>VLOOKUP(B14,داتا!$B$3:$D$42,2,FALSE)</f>
        <v>دبابة</v>
      </c>
      <c r="D14" s="18">
        <f>VLOOKUP(B14,داتا!$B$3:$D$42,3,FALSE)</f>
        <v>2.0833333333333332E-2</v>
      </c>
      <c r="E14" s="17" t="s">
        <v>58</v>
      </c>
      <c r="F14" s="17" t="s">
        <v>71</v>
      </c>
      <c r="G14" s="19">
        <v>0.25</v>
      </c>
      <c r="H14" s="19">
        <v>0.23958333333333334</v>
      </c>
      <c r="I14" s="19">
        <v>0</v>
      </c>
      <c r="J14" s="19">
        <v>0.30208333333333331</v>
      </c>
      <c r="K14" s="19">
        <v>0.31597222222222221</v>
      </c>
      <c r="L14" s="19" t="s">
        <v>72</v>
      </c>
      <c r="M14" s="19" t="s">
        <v>65</v>
      </c>
      <c r="N14" s="19">
        <f t="shared" si="5"/>
        <v>1.3888888888888895E-2</v>
      </c>
      <c r="O14" s="19">
        <v>0</v>
      </c>
      <c r="P14" s="19">
        <v>6.9444444444444441E-3</v>
      </c>
      <c r="Q14" s="19">
        <v>0.31597222222222221</v>
      </c>
      <c r="R14" s="19">
        <v>0</v>
      </c>
      <c r="S14" s="19">
        <v>0.3263888888888889</v>
      </c>
      <c r="T14" s="19">
        <v>1.3888888888888888E-2</v>
      </c>
      <c r="U14" s="19">
        <v>0.34513888888888888</v>
      </c>
      <c r="V14" s="19">
        <f t="shared" si="6"/>
        <v>4.8611111111110938E-3</v>
      </c>
      <c r="W14" s="19">
        <v>3.125E-2</v>
      </c>
      <c r="X14" s="19">
        <v>0.34722222222222227</v>
      </c>
      <c r="Y14" s="19">
        <v>0.37152777777777773</v>
      </c>
      <c r="Z14" s="19">
        <f t="shared" si="4"/>
        <v>2.4305555555555469E-2</v>
      </c>
      <c r="AA14" s="19">
        <v>0</v>
      </c>
      <c r="AB14" s="19">
        <v>0.375</v>
      </c>
      <c r="AC14" s="22"/>
      <c r="AD14" s="61"/>
    </row>
    <row r="15" spans="1:30" ht="21.75" thickBot="1" x14ac:dyDescent="0.3">
      <c r="A15" s="32">
        <v>13</v>
      </c>
      <c r="B15" s="23">
        <v>492</v>
      </c>
      <c r="C15" s="23" t="str">
        <f>VLOOKUP(B15,داتا!$B$3:$D$42,2,FALSE)</f>
        <v>دبابة</v>
      </c>
      <c r="D15" s="24">
        <f>VLOOKUP(B15,داتا!$B$3:$D$42,3,FALSE)</f>
        <v>2.0833333333333332E-2</v>
      </c>
      <c r="E15" s="23" t="s">
        <v>52</v>
      </c>
      <c r="F15" s="23" t="s">
        <v>46</v>
      </c>
      <c r="G15" s="25">
        <v>0.29166666666666669</v>
      </c>
      <c r="H15" s="25">
        <v>0.28819444444444448</v>
      </c>
      <c r="I15" s="25">
        <v>0</v>
      </c>
      <c r="J15" s="25">
        <v>0.30208333333333331</v>
      </c>
      <c r="K15" s="25">
        <v>0.32291666666666669</v>
      </c>
      <c r="L15" s="25" t="s">
        <v>72</v>
      </c>
      <c r="M15" s="25" t="s">
        <v>65</v>
      </c>
      <c r="N15" s="25">
        <f t="shared" si="5"/>
        <v>2.083333333333337E-2</v>
      </c>
      <c r="O15" s="25">
        <f t="shared" si="0"/>
        <v>3.8163916471489756E-17</v>
      </c>
      <c r="P15" s="25">
        <v>6.9444444444444441E-3</v>
      </c>
      <c r="Q15" s="25">
        <v>0.3263888888888889</v>
      </c>
      <c r="R15" s="25">
        <v>0</v>
      </c>
      <c r="S15" s="25">
        <v>0.3263888888888889</v>
      </c>
      <c r="T15" s="25">
        <f>VLOOKUP(E15,'[1]22-1-2026'!$E$3:$T$13,16,FALSE)</f>
        <v>3.472222222222222E-3</v>
      </c>
      <c r="U15" s="25">
        <v>0.3263888888888889</v>
      </c>
      <c r="V15" s="25">
        <v>0</v>
      </c>
      <c r="W15" s="25">
        <v>3.125E-2</v>
      </c>
      <c r="X15" s="25">
        <v>0.33680555555555558</v>
      </c>
      <c r="Y15" s="25">
        <v>0.36458333333333331</v>
      </c>
      <c r="Z15" s="25">
        <f t="shared" si="4"/>
        <v>2.7777777777777735E-2</v>
      </c>
      <c r="AA15" s="25">
        <v>0</v>
      </c>
      <c r="AB15" s="25">
        <v>0.36458333333333331</v>
      </c>
      <c r="AC15" s="26"/>
      <c r="AD15" s="62"/>
    </row>
    <row r="16" spans="1:30" ht="20.25" thickTop="1" thickBot="1" x14ac:dyDescent="0.3">
      <c r="A16" s="11">
        <v>1</v>
      </c>
      <c r="B16" s="12">
        <v>529</v>
      </c>
      <c r="C16" s="12" t="str">
        <f>VLOOKUP(B16,داتا!$B$3:$D$42,2,FALSE)</f>
        <v>دبابة</v>
      </c>
      <c r="D16" s="13">
        <f>VLOOKUP(B16,داتا!$B$3:$D$42,3,FALSE)</f>
        <v>2.0833333333333332E-2</v>
      </c>
      <c r="E16" s="12" t="s">
        <v>47</v>
      </c>
      <c r="F16" s="12" t="s">
        <v>59</v>
      </c>
      <c r="G16" s="14">
        <v>0.25</v>
      </c>
      <c r="H16" s="14">
        <f>VLOOKUP(F16,$F$3:$H$12,3,FALSE)</f>
        <v>0.22569444444444445</v>
      </c>
      <c r="I16" s="14">
        <v>0</v>
      </c>
      <c r="J16" s="14">
        <v>0.47222222222222227</v>
      </c>
      <c r="K16" s="14">
        <v>0.47916666666666669</v>
      </c>
      <c r="L16" s="14" t="s">
        <v>66</v>
      </c>
      <c r="M16" s="14" t="s">
        <v>73</v>
      </c>
      <c r="N16" s="14">
        <f t="shared" si="5"/>
        <v>6.9444444444444198E-3</v>
      </c>
      <c r="O16" s="14">
        <v>0</v>
      </c>
      <c r="P16" s="14">
        <v>6.9444444444444441E-3</v>
      </c>
      <c r="Q16" s="14">
        <v>0.4826388888888889</v>
      </c>
      <c r="R16" s="14">
        <v>0</v>
      </c>
      <c r="S16" s="14">
        <v>0.4826388888888889</v>
      </c>
      <c r="T16" s="14">
        <f>VLOOKUP(E16,'[1]22-1-2026'!$E$3:$T$13,16,FALSE)</f>
        <v>1.3888888888888888E-2</v>
      </c>
      <c r="U16" s="14">
        <v>0.50347222222222221</v>
      </c>
      <c r="V16" s="14">
        <f t="shared" si="6"/>
        <v>6.9444444444444198E-3</v>
      </c>
      <c r="W16" s="14">
        <v>3.125E-2</v>
      </c>
      <c r="X16" s="14">
        <v>0.50694444444444442</v>
      </c>
      <c r="Y16" s="14">
        <v>0.52777777777777779</v>
      </c>
      <c r="Z16" s="14">
        <f t="shared" si="4"/>
        <v>2.083333333333337E-2</v>
      </c>
      <c r="AA16" s="14">
        <v>0</v>
      </c>
      <c r="AB16" s="14">
        <v>0.53125</v>
      </c>
      <c r="AC16" s="27"/>
      <c r="AD16" s="60" t="s">
        <v>54</v>
      </c>
    </row>
    <row r="17" spans="1:30" ht="19.5" thickBot="1" x14ac:dyDescent="0.3">
      <c r="A17" s="16">
        <v>2</v>
      </c>
      <c r="B17" s="17">
        <v>876</v>
      </c>
      <c r="C17" s="17" t="str">
        <f>VLOOKUP(B17,داتا!$B$3:$D$42,2,FALSE)</f>
        <v>دبابة</v>
      </c>
      <c r="D17" s="18">
        <f>VLOOKUP(B17,داتا!$B$3:$D$42,3,FALSE)</f>
        <v>2.0833333333333332E-2</v>
      </c>
      <c r="E17" s="17" t="s">
        <v>33</v>
      </c>
      <c r="F17" s="17" t="s">
        <v>62</v>
      </c>
      <c r="G17" s="19">
        <v>0.25</v>
      </c>
      <c r="H17" s="19">
        <v>0.25347222222222221</v>
      </c>
      <c r="I17" s="19">
        <f t="shared" si="3"/>
        <v>3.4722222222222099E-3</v>
      </c>
      <c r="J17" s="19">
        <v>0.40277777777777773</v>
      </c>
      <c r="K17" s="19">
        <v>0.4236111111111111</v>
      </c>
      <c r="L17" s="19" t="s">
        <v>66</v>
      </c>
      <c r="M17" s="19" t="s">
        <v>73</v>
      </c>
      <c r="N17" s="19">
        <f t="shared" si="5"/>
        <v>2.083333333333337E-2</v>
      </c>
      <c r="O17" s="19">
        <f t="shared" si="0"/>
        <v>3.8163916471489756E-17</v>
      </c>
      <c r="P17" s="19">
        <v>6.9444444444444441E-3</v>
      </c>
      <c r="Q17" s="19">
        <v>0.43055555555555558</v>
      </c>
      <c r="R17" s="19">
        <f t="shared" si="1"/>
        <v>0</v>
      </c>
      <c r="S17" s="19">
        <v>0.43055555555555558</v>
      </c>
      <c r="T17" s="19">
        <f>VLOOKUP(E17,'[1]22-1-2026'!$E$3:$T$13,16,FALSE)</f>
        <v>2.7777777777777776E-2</v>
      </c>
      <c r="U17" s="19">
        <v>0.4548611111111111</v>
      </c>
      <c r="V17" s="19">
        <v>0</v>
      </c>
      <c r="W17" s="19">
        <v>2.0833333333333332E-2</v>
      </c>
      <c r="X17" s="19">
        <v>0.45833333333333331</v>
      </c>
      <c r="Y17" s="19">
        <v>0.4680555555555555</v>
      </c>
      <c r="Z17" s="19">
        <f t="shared" si="4"/>
        <v>9.7222222222221877E-3</v>
      </c>
      <c r="AA17" s="19">
        <v>0</v>
      </c>
      <c r="AB17" s="19">
        <v>0.47500000000000003</v>
      </c>
      <c r="AC17" s="20"/>
      <c r="AD17" s="61"/>
    </row>
    <row r="18" spans="1:30" ht="21.75" thickBot="1" x14ac:dyDescent="0.3">
      <c r="A18" s="16">
        <v>3</v>
      </c>
      <c r="B18" s="17">
        <v>876</v>
      </c>
      <c r="C18" s="17" t="str">
        <f>VLOOKUP(B18,داتا!$B$3:$D$42,2,FALSE)</f>
        <v>دبابة</v>
      </c>
      <c r="D18" s="18">
        <f>VLOOKUP(B18,داتا!$B$3:$D$42,3,FALSE)</f>
        <v>2.0833333333333332E-2</v>
      </c>
      <c r="E18" s="17" t="s">
        <v>41</v>
      </c>
      <c r="F18" s="17" t="s">
        <v>62</v>
      </c>
      <c r="G18" s="19">
        <v>0.25</v>
      </c>
      <c r="H18" s="19">
        <v>0.25347222222222221</v>
      </c>
      <c r="I18" s="19">
        <f t="shared" si="3"/>
        <v>3.4722222222222099E-3</v>
      </c>
      <c r="J18" s="19">
        <v>0.40277777777777773</v>
      </c>
      <c r="K18" s="19">
        <v>0.4236111111111111</v>
      </c>
      <c r="L18" s="19" t="s">
        <v>66</v>
      </c>
      <c r="M18" s="19" t="s">
        <v>73</v>
      </c>
      <c r="N18" s="19">
        <f t="shared" si="5"/>
        <v>2.083333333333337E-2</v>
      </c>
      <c r="O18" s="19">
        <f t="shared" si="0"/>
        <v>3.8163916471489756E-17</v>
      </c>
      <c r="P18" s="19">
        <v>6.9444444444444441E-3</v>
      </c>
      <c r="Q18" s="19">
        <v>0.43055555555555558</v>
      </c>
      <c r="R18" s="19">
        <f t="shared" si="1"/>
        <v>0</v>
      </c>
      <c r="S18" s="19">
        <v>0.43055555555555558</v>
      </c>
      <c r="T18" s="19">
        <f>VLOOKUP(E18,'[1]22-1-2026'!$E$3:$T$13,16,FALSE)</f>
        <v>1.7361111111111112E-2</v>
      </c>
      <c r="U18" s="19">
        <v>0.49305555555555558</v>
      </c>
      <c r="V18" s="19">
        <v>0</v>
      </c>
      <c r="W18" s="19">
        <v>3.125E-2</v>
      </c>
      <c r="X18" s="19">
        <v>0.49444444444444446</v>
      </c>
      <c r="Y18" s="19">
        <v>0.50486111111111109</v>
      </c>
      <c r="Z18" s="19">
        <f t="shared" si="4"/>
        <v>1.041666666666663E-2</v>
      </c>
      <c r="AA18" s="19">
        <v>0</v>
      </c>
      <c r="AB18" s="19">
        <v>0.50694444444444442</v>
      </c>
      <c r="AC18" s="22"/>
      <c r="AD18" s="61"/>
    </row>
    <row r="19" spans="1:30" ht="19.5" thickBot="1" x14ac:dyDescent="0.3">
      <c r="A19" s="16">
        <v>4</v>
      </c>
      <c r="B19" s="17">
        <v>529</v>
      </c>
      <c r="C19" s="17" t="s">
        <v>57</v>
      </c>
      <c r="D19" s="18">
        <f>VLOOKUP(B19,داتا!$B$3:$D$42,3,FALSE)</f>
        <v>2.0833333333333332E-2</v>
      </c>
      <c r="E19" s="17" t="s">
        <v>52</v>
      </c>
      <c r="F19" s="17" t="s">
        <v>46</v>
      </c>
      <c r="G19" s="19">
        <v>0.29166666666666669</v>
      </c>
      <c r="H19" s="19">
        <v>0.28819444444444448</v>
      </c>
      <c r="I19" s="19">
        <v>0</v>
      </c>
      <c r="J19" s="19">
        <v>0.40277777777777773</v>
      </c>
      <c r="K19" s="19">
        <v>0.42708333333333331</v>
      </c>
      <c r="L19" s="19" t="s">
        <v>68</v>
      </c>
      <c r="M19" s="19" t="s">
        <v>69</v>
      </c>
      <c r="N19" s="19">
        <f t="shared" si="5"/>
        <v>2.430555555555558E-2</v>
      </c>
      <c r="O19" s="19">
        <f t="shared" si="0"/>
        <v>3.4722222222222481E-3</v>
      </c>
      <c r="P19" s="19">
        <v>6.9444444444444441E-3</v>
      </c>
      <c r="Q19" s="19">
        <v>0.43402777777777773</v>
      </c>
      <c r="R19" s="19">
        <f t="shared" si="1"/>
        <v>0</v>
      </c>
      <c r="S19" s="19">
        <v>0.43402777777777773</v>
      </c>
      <c r="T19" s="19">
        <f>VLOOKUP(E19,'[1]22-1-2026'!$E$3:$T$13,16,FALSE)</f>
        <v>3.472222222222222E-3</v>
      </c>
      <c r="U19" s="19">
        <v>0.4375</v>
      </c>
      <c r="V19" s="19">
        <f t="shared" si="6"/>
        <v>0</v>
      </c>
      <c r="W19" s="19">
        <v>3.125E-2</v>
      </c>
      <c r="X19" s="19">
        <v>0.44097222222222227</v>
      </c>
      <c r="Y19" s="19">
        <v>0.45833333333333331</v>
      </c>
      <c r="Z19" s="19">
        <f t="shared" si="4"/>
        <v>1.7361111111111049E-2</v>
      </c>
      <c r="AA19" s="19">
        <v>0</v>
      </c>
      <c r="AB19" s="19">
        <v>0.46180555555555558</v>
      </c>
      <c r="AC19" s="20"/>
      <c r="AD19" s="61"/>
    </row>
    <row r="20" spans="1:30" ht="19.5" thickBot="1" x14ac:dyDescent="0.3">
      <c r="A20" s="16">
        <v>5</v>
      </c>
      <c r="B20" s="17">
        <v>492</v>
      </c>
      <c r="C20" s="17" t="str">
        <f>VLOOKUP(B20,داتا!$B$3:$D$42,2,FALSE)</f>
        <v>دبابة</v>
      </c>
      <c r="D20" s="18">
        <f>VLOOKUP(B20,داتا!$B$3:$D$42,3,FALSE)</f>
        <v>2.0833333333333332E-2</v>
      </c>
      <c r="E20" s="17" t="s">
        <v>38</v>
      </c>
      <c r="F20" s="17" t="s">
        <v>71</v>
      </c>
      <c r="G20" s="19">
        <v>0.25</v>
      </c>
      <c r="H20" s="19">
        <v>0.23958333333333334</v>
      </c>
      <c r="I20" s="19">
        <v>0</v>
      </c>
      <c r="J20" s="19">
        <v>0.44791666666666669</v>
      </c>
      <c r="K20" s="19">
        <v>0.44791666666666669</v>
      </c>
      <c r="L20" s="19" t="s">
        <v>68</v>
      </c>
      <c r="M20" s="19" t="s">
        <v>69</v>
      </c>
      <c r="N20" s="19">
        <f t="shared" si="5"/>
        <v>0</v>
      </c>
      <c r="O20" s="19">
        <v>0</v>
      </c>
      <c r="P20" s="19">
        <v>6.9444444444444441E-3</v>
      </c>
      <c r="Q20" s="19">
        <v>0.4513888888888889</v>
      </c>
      <c r="R20" s="19">
        <v>0</v>
      </c>
      <c r="S20" s="19">
        <v>0.4513888888888889</v>
      </c>
      <c r="T20" s="19">
        <f>VLOOKUP(E20,'[1]22-1-2026'!$E$3:$T$13,16,FALSE)</f>
        <v>3.4722222222222224E-2</v>
      </c>
      <c r="U20" s="19">
        <v>0.49305555555555558</v>
      </c>
      <c r="V20" s="19">
        <f t="shared" si="6"/>
        <v>6.9444444444444753E-3</v>
      </c>
      <c r="W20" s="19">
        <v>2.0833333333333332E-2</v>
      </c>
      <c r="X20" s="19">
        <v>0.49652777777777773</v>
      </c>
      <c r="Y20" s="19">
        <v>0.50347222222222221</v>
      </c>
      <c r="Z20" s="19">
        <f t="shared" si="4"/>
        <v>6.9444444444444753E-3</v>
      </c>
      <c r="AA20" s="19">
        <v>0</v>
      </c>
      <c r="AB20" s="19">
        <v>0.50694444444444442</v>
      </c>
      <c r="AC20" s="20"/>
      <c r="AD20" s="61"/>
    </row>
    <row r="21" spans="1:30" ht="19.5" thickBot="1" x14ac:dyDescent="0.3">
      <c r="A21" s="16">
        <v>6</v>
      </c>
      <c r="B21" s="17">
        <v>492</v>
      </c>
      <c r="C21" s="17" t="str">
        <f>VLOOKUP(B21,داتا!$B$3:$D$42,2,FALSE)</f>
        <v>دبابة</v>
      </c>
      <c r="D21" s="18">
        <f>VLOOKUP(B21,داتا!$B$3:$D$42,3,FALSE)</f>
        <v>2.0833333333333332E-2</v>
      </c>
      <c r="E21" s="17" t="s">
        <v>40</v>
      </c>
      <c r="F21" s="17" t="s">
        <v>71</v>
      </c>
      <c r="G21" s="19">
        <v>0.25</v>
      </c>
      <c r="H21" s="19">
        <v>0.23958333333333334</v>
      </c>
      <c r="I21" s="19">
        <v>0</v>
      </c>
      <c r="J21" s="19">
        <v>0.44791666666666669</v>
      </c>
      <c r="K21" s="19">
        <v>0.44791666666666669</v>
      </c>
      <c r="L21" s="19" t="s">
        <v>68</v>
      </c>
      <c r="M21" s="19" t="s">
        <v>69</v>
      </c>
      <c r="N21" s="19">
        <f t="shared" si="5"/>
        <v>0</v>
      </c>
      <c r="O21" s="19">
        <v>0</v>
      </c>
      <c r="P21" s="19">
        <v>6.9444444444444441E-3</v>
      </c>
      <c r="Q21" s="19">
        <v>0.4513888888888889</v>
      </c>
      <c r="R21" s="19">
        <v>0</v>
      </c>
      <c r="S21" s="19">
        <v>0.4513888888888889</v>
      </c>
      <c r="T21" s="19">
        <v>2.0833333333333332E-2</v>
      </c>
      <c r="U21" s="19">
        <v>0.52430555555555558</v>
      </c>
      <c r="V21" s="19">
        <v>0</v>
      </c>
      <c r="W21" s="19">
        <v>3.125E-2</v>
      </c>
      <c r="X21" s="19">
        <v>0.52777777777777779</v>
      </c>
      <c r="Y21" s="19">
        <v>0.55902777777777779</v>
      </c>
      <c r="Z21" s="19">
        <f t="shared" si="4"/>
        <v>3.125E-2</v>
      </c>
      <c r="AA21" s="19">
        <f t="shared" si="2"/>
        <v>0</v>
      </c>
      <c r="AB21" s="19">
        <v>0.55972222222222223</v>
      </c>
      <c r="AC21" s="20"/>
      <c r="AD21" s="61"/>
    </row>
    <row r="22" spans="1:30" ht="19.5" thickBot="1" x14ac:dyDescent="0.3">
      <c r="A22" s="16">
        <v>7</v>
      </c>
      <c r="B22" s="17">
        <v>7435</v>
      </c>
      <c r="C22" s="17" t="str">
        <f>VLOOKUP(B22,داتا!$B$3:$D$42,2,FALSE)</f>
        <v>تلتين</v>
      </c>
      <c r="D22" s="18">
        <f>VLOOKUP(B22,داتا!$B$3:$D$42,3,FALSE)</f>
        <v>3.125E-2</v>
      </c>
      <c r="E22" s="17" t="s">
        <v>58</v>
      </c>
      <c r="F22" s="17" t="s">
        <v>61</v>
      </c>
      <c r="G22" s="19">
        <v>0.25</v>
      </c>
      <c r="H22" s="19">
        <f t="shared" ref="H22:H33" si="7">VLOOKUP(F22,$F$3:$H$12,3,FALSE)</f>
        <v>0.26041666666666669</v>
      </c>
      <c r="I22" s="19">
        <f t="shared" si="3"/>
        <v>1.0416666666666685E-2</v>
      </c>
      <c r="J22" s="19">
        <v>0.4513888888888889</v>
      </c>
      <c r="K22" s="19">
        <v>0.4513888888888889</v>
      </c>
      <c r="L22" s="19" t="s">
        <v>66</v>
      </c>
      <c r="M22" s="19" t="s">
        <v>73</v>
      </c>
      <c r="N22" s="19">
        <f t="shared" si="5"/>
        <v>0</v>
      </c>
      <c r="O22" s="19">
        <v>0</v>
      </c>
      <c r="P22" s="19">
        <v>6.9444444444444441E-3</v>
      </c>
      <c r="Q22" s="19">
        <v>0.4548611111111111</v>
      </c>
      <c r="R22" s="19">
        <v>0</v>
      </c>
      <c r="S22" s="19">
        <v>0.4548611111111111</v>
      </c>
      <c r="T22" s="19">
        <v>1.3888888888888888E-2</v>
      </c>
      <c r="U22" s="19">
        <v>0.47916666666666669</v>
      </c>
      <c r="V22" s="19">
        <f t="shared" si="6"/>
        <v>1.0416666666666685E-2</v>
      </c>
      <c r="W22" s="19">
        <v>3.125E-2</v>
      </c>
      <c r="X22" s="19">
        <v>0.4826388888888889</v>
      </c>
      <c r="Y22" s="19">
        <v>0.48749999999999999</v>
      </c>
      <c r="Z22" s="19">
        <f t="shared" si="4"/>
        <v>4.8611111111110938E-3</v>
      </c>
      <c r="AA22" s="19">
        <v>0</v>
      </c>
      <c r="AB22" s="19">
        <v>0.48958333333333331</v>
      </c>
      <c r="AC22" s="20"/>
      <c r="AD22" s="61"/>
    </row>
    <row r="23" spans="1:30" ht="19.5" thickBot="1" x14ac:dyDescent="0.3">
      <c r="A23" s="16">
        <v>8</v>
      </c>
      <c r="B23" s="17">
        <v>7435</v>
      </c>
      <c r="C23" s="17" t="str">
        <f>VLOOKUP(B23,داتا!$B$3:$D$42,2,FALSE)</f>
        <v>تلتين</v>
      </c>
      <c r="D23" s="18">
        <f>VLOOKUP(B23,داتا!$B$3:$D$42,3,FALSE)</f>
        <v>3.125E-2</v>
      </c>
      <c r="E23" s="17" t="s">
        <v>30</v>
      </c>
      <c r="F23" s="17" t="s">
        <v>61</v>
      </c>
      <c r="G23" s="19">
        <v>0.25</v>
      </c>
      <c r="H23" s="19">
        <f t="shared" si="7"/>
        <v>0.26041666666666669</v>
      </c>
      <c r="I23" s="19">
        <f t="shared" si="3"/>
        <v>1.0416666666666685E-2</v>
      </c>
      <c r="J23" s="19">
        <v>0.4513888888888889</v>
      </c>
      <c r="K23" s="19">
        <v>0.4513888888888889</v>
      </c>
      <c r="L23" s="19" t="s">
        <v>66</v>
      </c>
      <c r="M23" s="19" t="s">
        <v>73</v>
      </c>
      <c r="N23" s="19">
        <f t="shared" si="5"/>
        <v>0</v>
      </c>
      <c r="O23" s="19">
        <v>0</v>
      </c>
      <c r="P23" s="19">
        <v>6.9444444444444441E-3</v>
      </c>
      <c r="Q23" s="19">
        <v>0.4548611111111111</v>
      </c>
      <c r="R23" s="19">
        <v>0</v>
      </c>
      <c r="S23" s="19">
        <v>0.4548611111111111</v>
      </c>
      <c r="T23" s="19">
        <v>1.3888888888888888E-2</v>
      </c>
      <c r="U23" s="19">
        <v>0.5</v>
      </c>
      <c r="V23" s="19">
        <v>0</v>
      </c>
      <c r="W23" s="19">
        <v>4.1666666666666664E-2</v>
      </c>
      <c r="X23" s="19">
        <v>0.50347222222222221</v>
      </c>
      <c r="Y23" s="19">
        <v>0.51736111111111105</v>
      </c>
      <c r="Z23" s="19">
        <f t="shared" si="4"/>
        <v>1.388888888888884E-2</v>
      </c>
      <c r="AA23" s="19">
        <v>0</v>
      </c>
      <c r="AB23" s="19">
        <v>0.52083333333333337</v>
      </c>
      <c r="AC23" s="20"/>
      <c r="AD23" s="61"/>
    </row>
    <row r="24" spans="1:30" ht="19.5" thickBot="1" x14ac:dyDescent="0.3">
      <c r="A24" s="16">
        <v>9</v>
      </c>
      <c r="B24" s="17">
        <v>892</v>
      </c>
      <c r="C24" s="17" t="str">
        <f>VLOOKUP(B24,داتا!$B$3:$D$42,2,FALSE)</f>
        <v>تلتين</v>
      </c>
      <c r="D24" s="18">
        <f>VLOOKUP(B24,داتا!$B$3:$D$42,3,FALSE)</f>
        <v>3.125E-2</v>
      </c>
      <c r="E24" s="17" t="s">
        <v>37</v>
      </c>
      <c r="F24" s="17" t="s">
        <v>63</v>
      </c>
      <c r="G24" s="19">
        <v>0.25</v>
      </c>
      <c r="H24" s="19">
        <f t="shared" si="7"/>
        <v>0.26041666666666669</v>
      </c>
      <c r="I24" s="19">
        <f t="shared" si="3"/>
        <v>1.0416666666666685E-2</v>
      </c>
      <c r="J24" s="19">
        <v>0.47916666666666669</v>
      </c>
      <c r="K24" s="19">
        <v>0.4861111111111111</v>
      </c>
      <c r="L24" s="19" t="s">
        <v>68</v>
      </c>
      <c r="M24" s="19" t="s">
        <v>69</v>
      </c>
      <c r="N24" s="19">
        <f t="shared" si="5"/>
        <v>6.9444444444444198E-3</v>
      </c>
      <c r="O24" s="19">
        <v>0</v>
      </c>
      <c r="P24" s="19">
        <v>6.9444444444444441E-3</v>
      </c>
      <c r="Q24" s="19">
        <v>0.4861111111111111</v>
      </c>
      <c r="R24" s="19">
        <v>0</v>
      </c>
      <c r="S24" s="19">
        <v>0.4861111111111111</v>
      </c>
      <c r="T24" s="19">
        <f>VLOOKUP(E24,'[1]22-1-2026'!$E$3:$T$13,16,FALSE)</f>
        <v>1.3888888888888888E-2</v>
      </c>
      <c r="U24" s="19">
        <v>0.49305555555555558</v>
      </c>
      <c r="V24" s="19">
        <v>0</v>
      </c>
      <c r="W24" s="19">
        <v>3.125E-2</v>
      </c>
      <c r="X24" s="19">
        <v>0.49652777777777773</v>
      </c>
      <c r="Y24" s="19">
        <v>0.53125</v>
      </c>
      <c r="Z24" s="19">
        <f t="shared" si="4"/>
        <v>3.4722222222222265E-2</v>
      </c>
      <c r="AA24" s="19">
        <f t="shared" si="2"/>
        <v>3.4722222222222654E-3</v>
      </c>
      <c r="AB24" s="19">
        <v>0.53472222222222221</v>
      </c>
      <c r="AC24" s="20"/>
      <c r="AD24" s="61"/>
    </row>
    <row r="25" spans="1:30" ht="19.5" thickBot="1" x14ac:dyDescent="0.3">
      <c r="A25" s="16">
        <v>10</v>
      </c>
      <c r="B25" s="17">
        <v>892</v>
      </c>
      <c r="C25" s="17" t="str">
        <f>VLOOKUP(B25,داتا!$B$3:$D$42,2,FALSE)</f>
        <v>تلتين</v>
      </c>
      <c r="D25" s="18">
        <f>VLOOKUP(B25,داتا!$B$3:$D$42,3,FALSE)</f>
        <v>3.125E-2</v>
      </c>
      <c r="E25" s="17" t="s">
        <v>35</v>
      </c>
      <c r="F25" s="17" t="s">
        <v>63</v>
      </c>
      <c r="G25" s="19">
        <v>0.25</v>
      </c>
      <c r="H25" s="19">
        <f t="shared" si="7"/>
        <v>0.26041666666666669</v>
      </c>
      <c r="I25" s="19">
        <f t="shared" si="3"/>
        <v>1.0416666666666685E-2</v>
      </c>
      <c r="J25" s="19">
        <v>0.47916666666666669</v>
      </c>
      <c r="K25" s="19">
        <v>0.4861111111111111</v>
      </c>
      <c r="L25" s="19" t="s">
        <v>68</v>
      </c>
      <c r="M25" s="19" t="s">
        <v>69</v>
      </c>
      <c r="N25" s="19">
        <f t="shared" si="5"/>
        <v>6.9444444444444198E-3</v>
      </c>
      <c r="O25" s="19">
        <v>0</v>
      </c>
      <c r="P25" s="19">
        <v>6.9444444444444441E-3</v>
      </c>
      <c r="Q25" s="19">
        <v>0.4861111111111111</v>
      </c>
      <c r="R25" s="19">
        <v>0</v>
      </c>
      <c r="S25" s="19">
        <v>0.4861111111111111</v>
      </c>
      <c r="T25" s="19">
        <f>VLOOKUP(E25,'[1]22-1-2026'!$E$3:$T$13,16,FALSE)</f>
        <v>1.3888888888888888E-2</v>
      </c>
      <c r="U25" s="19">
        <v>0.55208333333333337</v>
      </c>
      <c r="V25" s="19">
        <v>0</v>
      </c>
      <c r="W25" s="19">
        <v>4.1666666666666664E-2</v>
      </c>
      <c r="X25" s="19">
        <v>0.55555555555555558</v>
      </c>
      <c r="Y25" s="19">
        <v>0.57638888888888895</v>
      </c>
      <c r="Z25" s="19">
        <f t="shared" si="4"/>
        <v>2.083333333333337E-2</v>
      </c>
      <c r="AA25" s="19">
        <v>0</v>
      </c>
      <c r="AB25" s="19">
        <v>0.57986111111111105</v>
      </c>
      <c r="AC25" s="20"/>
      <c r="AD25" s="61"/>
    </row>
    <row r="26" spans="1:30" ht="19.5" thickBot="1" x14ac:dyDescent="0.3">
      <c r="A26" s="16">
        <v>11</v>
      </c>
      <c r="B26" s="17">
        <v>249</v>
      </c>
      <c r="C26" s="17" t="str">
        <f>VLOOKUP(B26,داتا!$B$3:$D$42,2,FALSE)</f>
        <v>دبابة</v>
      </c>
      <c r="D26" s="18">
        <f>VLOOKUP(B26,داتا!$B$3:$D$42,3,FALSE)</f>
        <v>2.0833333333333332E-2</v>
      </c>
      <c r="E26" s="17" t="s">
        <v>45</v>
      </c>
      <c r="F26" s="17" t="s">
        <v>50</v>
      </c>
      <c r="G26" s="19">
        <v>0.25</v>
      </c>
      <c r="H26" s="19">
        <f t="shared" si="7"/>
        <v>0.25347222222222221</v>
      </c>
      <c r="I26" s="19">
        <f t="shared" si="3"/>
        <v>3.4722222222222099E-3</v>
      </c>
      <c r="J26" s="19">
        <v>0.4548611111111111</v>
      </c>
      <c r="K26" s="19">
        <v>0.46180555555555558</v>
      </c>
      <c r="L26" s="19" t="s">
        <v>66</v>
      </c>
      <c r="M26" s="19" t="s">
        <v>73</v>
      </c>
      <c r="N26" s="19">
        <f t="shared" si="5"/>
        <v>6.9444444444444753E-3</v>
      </c>
      <c r="O26" s="19">
        <v>0</v>
      </c>
      <c r="P26" s="19">
        <v>6.9444444444444441E-3</v>
      </c>
      <c r="Q26" s="19">
        <v>0.46875</v>
      </c>
      <c r="R26" s="19">
        <f t="shared" si="1"/>
        <v>0</v>
      </c>
      <c r="S26" s="19">
        <v>0.46875</v>
      </c>
      <c r="T26" s="19">
        <f>VLOOKUP(E26,'[1]22-1-2026'!$E$3:$T$13,16,FALSE)</f>
        <v>1.3888888888888888E-2</v>
      </c>
      <c r="U26" s="19">
        <v>0.47569444444444442</v>
      </c>
      <c r="V26" s="19">
        <v>0</v>
      </c>
      <c r="W26" s="19">
        <v>3.125E-2</v>
      </c>
      <c r="X26" s="19">
        <v>0.47916666666666669</v>
      </c>
      <c r="Y26" s="19">
        <v>0.49652777777777773</v>
      </c>
      <c r="Z26" s="19">
        <f t="shared" si="4"/>
        <v>1.7361111111111049E-2</v>
      </c>
      <c r="AA26" s="19">
        <v>0</v>
      </c>
      <c r="AB26" s="19">
        <v>0.5</v>
      </c>
      <c r="AC26" s="20"/>
      <c r="AD26" s="61"/>
    </row>
    <row r="27" spans="1:30" ht="19.5" thickBot="1" x14ac:dyDescent="0.3">
      <c r="A27" s="16">
        <v>12</v>
      </c>
      <c r="B27" s="17">
        <v>539</v>
      </c>
      <c r="C27" s="17" t="str">
        <f>VLOOKUP(B27,داتا!$B$3:$D$42,2,FALSE)</f>
        <v>دبابة</v>
      </c>
      <c r="D27" s="18">
        <f>VLOOKUP(B27,داتا!$B$3:$D$42,3,FALSE)</f>
        <v>2.0833333333333332E-2</v>
      </c>
      <c r="E27" s="17" t="s">
        <v>49</v>
      </c>
      <c r="F27" s="17" t="s">
        <v>39</v>
      </c>
      <c r="G27" s="19">
        <v>0.25</v>
      </c>
      <c r="H27" s="19">
        <f t="shared" si="7"/>
        <v>0.26041666666666669</v>
      </c>
      <c r="I27" s="19">
        <f t="shared" si="3"/>
        <v>1.0416666666666685E-2</v>
      </c>
      <c r="J27" s="19">
        <v>0.47916666666666669</v>
      </c>
      <c r="K27" s="19">
        <v>0.50347222222222221</v>
      </c>
      <c r="L27" s="19" t="s">
        <v>66</v>
      </c>
      <c r="M27" s="19" t="s">
        <v>73</v>
      </c>
      <c r="N27" s="19">
        <f t="shared" si="5"/>
        <v>2.4305555555555525E-2</v>
      </c>
      <c r="O27" s="19">
        <f t="shared" si="0"/>
        <v>3.4722222222221925E-3</v>
      </c>
      <c r="P27" s="19">
        <v>6.9444444444444441E-3</v>
      </c>
      <c r="Q27" s="19">
        <v>0.50486111111111109</v>
      </c>
      <c r="R27" s="19">
        <v>0</v>
      </c>
      <c r="S27" s="19">
        <v>0.50486111111111109</v>
      </c>
      <c r="T27" s="19">
        <f>VLOOKUP(E27,'[1]22-1-2026'!$E$3:$T$13,16,FALSE)</f>
        <v>4.1666666666666664E-2</v>
      </c>
      <c r="U27" s="19">
        <v>0.53472222222222221</v>
      </c>
      <c r="V27" s="19">
        <v>0</v>
      </c>
      <c r="W27" s="19">
        <v>2.0833333333333332E-2</v>
      </c>
      <c r="X27" s="19">
        <v>0.53611111111111109</v>
      </c>
      <c r="Y27" s="19">
        <v>0.54861111111111105</v>
      </c>
      <c r="Z27" s="19">
        <f t="shared" si="4"/>
        <v>1.2499999999999956E-2</v>
      </c>
      <c r="AA27" s="19">
        <v>0</v>
      </c>
      <c r="AB27" s="19">
        <v>0.55069444444444449</v>
      </c>
      <c r="AC27" s="20"/>
      <c r="AD27" s="61"/>
    </row>
    <row r="28" spans="1:30" ht="19.5" thickBot="1" x14ac:dyDescent="0.3">
      <c r="A28" s="32">
        <v>13</v>
      </c>
      <c r="B28" s="23">
        <v>539</v>
      </c>
      <c r="C28" s="23" t="str">
        <f>VLOOKUP(B28,داتا!$B$3:$D$42,2,FALSE)</f>
        <v>دبابة</v>
      </c>
      <c r="D28" s="24">
        <f>VLOOKUP(B28,داتا!$B$3:$D$42,3,FALSE)</f>
        <v>2.0833333333333332E-2</v>
      </c>
      <c r="E28" s="23" t="s">
        <v>51</v>
      </c>
      <c r="F28" s="23" t="s">
        <v>39</v>
      </c>
      <c r="G28" s="25">
        <v>0.25</v>
      </c>
      <c r="H28" s="25">
        <f t="shared" si="7"/>
        <v>0.26041666666666669</v>
      </c>
      <c r="I28" s="25">
        <f t="shared" si="3"/>
        <v>1.0416666666666685E-2</v>
      </c>
      <c r="J28" s="25">
        <v>0.47916666666666669</v>
      </c>
      <c r="K28" s="25">
        <v>0.50347222222222221</v>
      </c>
      <c r="L28" s="25" t="s">
        <v>68</v>
      </c>
      <c r="M28" s="25" t="s">
        <v>69</v>
      </c>
      <c r="N28" s="25">
        <f t="shared" si="5"/>
        <v>2.4305555555555525E-2</v>
      </c>
      <c r="O28" s="25">
        <f t="shared" si="0"/>
        <v>3.4722222222221925E-3</v>
      </c>
      <c r="P28" s="25">
        <v>6.9444444444444441E-3</v>
      </c>
      <c r="Q28" s="25">
        <v>0.50486111111111109</v>
      </c>
      <c r="R28" s="25">
        <v>0</v>
      </c>
      <c r="S28" s="25">
        <v>0.50486111111111109</v>
      </c>
      <c r="T28" s="25">
        <f>VLOOKUP(E28,'[1]22-1-2026'!$E$3:$T$13,16,FALSE)</f>
        <v>6.9444444444444441E-3</v>
      </c>
      <c r="U28" s="25">
        <v>0.55902777777777779</v>
      </c>
      <c r="V28" s="25">
        <v>0</v>
      </c>
      <c r="W28" s="25">
        <v>3.125E-2</v>
      </c>
      <c r="X28" s="25">
        <v>0.5625</v>
      </c>
      <c r="Y28" s="25">
        <v>0.57986111111111105</v>
      </c>
      <c r="Z28" s="25">
        <f t="shared" si="4"/>
        <v>1.7361111111111049E-2</v>
      </c>
      <c r="AA28" s="25">
        <v>0</v>
      </c>
      <c r="AB28" s="25">
        <v>0.58333333333333337</v>
      </c>
      <c r="AC28" s="28"/>
      <c r="AD28" s="62"/>
    </row>
    <row r="29" spans="1:30" ht="20.25" customHeight="1" thickTop="1" thickBot="1" x14ac:dyDescent="0.3">
      <c r="A29" s="11">
        <v>1</v>
      </c>
      <c r="B29" s="12">
        <v>762</v>
      </c>
      <c r="C29" s="12" t="str">
        <f>VLOOKUP(B29,داتا!$B$3:$D$42,2,FALSE)</f>
        <v>دبابة</v>
      </c>
      <c r="D29" s="13">
        <f>VLOOKUP(B29,داتا!$B$3:$D$42,3,FALSE)</f>
        <v>2.0833333333333332E-2</v>
      </c>
      <c r="E29" s="12" t="s">
        <v>35</v>
      </c>
      <c r="F29" s="12" t="s">
        <v>44</v>
      </c>
      <c r="G29" s="14">
        <v>0.25</v>
      </c>
      <c r="H29" s="14">
        <f t="shared" si="7"/>
        <v>0.25347222222222221</v>
      </c>
      <c r="I29" s="14">
        <f t="shared" si="3"/>
        <v>3.4722222222222099E-3</v>
      </c>
      <c r="J29" s="14">
        <v>0.52083333333333337</v>
      </c>
      <c r="K29" s="14">
        <v>0.53472222222222221</v>
      </c>
      <c r="L29" s="14" t="s">
        <v>66</v>
      </c>
      <c r="M29" s="14" t="s">
        <v>73</v>
      </c>
      <c r="N29" s="14">
        <f t="shared" si="5"/>
        <v>1.388888888888884E-2</v>
      </c>
      <c r="O29" s="14">
        <v>0</v>
      </c>
      <c r="P29" s="14">
        <v>6.9444444444444441E-3</v>
      </c>
      <c r="Q29" s="14">
        <v>0.53819444444444442</v>
      </c>
      <c r="R29" s="14">
        <v>0</v>
      </c>
      <c r="S29" s="14">
        <v>0.53819444444444442</v>
      </c>
      <c r="T29" s="14">
        <f>VLOOKUP(E29,'[1]22-1-2026'!$E$3:$T$13,16,FALSE)</f>
        <v>1.3888888888888888E-2</v>
      </c>
      <c r="U29" s="14">
        <v>0.54861111111111105</v>
      </c>
      <c r="V29" s="14">
        <v>0</v>
      </c>
      <c r="W29" s="14">
        <v>2.0833333333333332E-2</v>
      </c>
      <c r="X29" s="14">
        <v>0.55208333333333337</v>
      </c>
      <c r="Y29" s="14">
        <v>0.56111111111111112</v>
      </c>
      <c r="Z29" s="14">
        <f t="shared" si="4"/>
        <v>9.0277777777777457E-3</v>
      </c>
      <c r="AA29" s="14">
        <v>0</v>
      </c>
      <c r="AB29" s="14">
        <v>0.5625</v>
      </c>
      <c r="AC29" s="27"/>
      <c r="AD29" s="63" t="s">
        <v>55</v>
      </c>
    </row>
    <row r="30" spans="1:30" ht="19.5" thickBot="1" x14ac:dyDescent="0.3">
      <c r="A30" s="16">
        <v>2</v>
      </c>
      <c r="B30" s="17">
        <v>762</v>
      </c>
      <c r="C30" s="17" t="str">
        <f>VLOOKUP(B30,داتا!$B$3:$D$42,2,FALSE)</f>
        <v>دبابة</v>
      </c>
      <c r="D30" s="18">
        <f>VLOOKUP(B30,داتا!$B$3:$D$42,3,FALSE)</f>
        <v>2.0833333333333332E-2</v>
      </c>
      <c r="E30" s="17" t="s">
        <v>37</v>
      </c>
      <c r="F30" s="17" t="s">
        <v>44</v>
      </c>
      <c r="G30" s="19">
        <v>0.25</v>
      </c>
      <c r="H30" s="19">
        <f t="shared" si="7"/>
        <v>0.25347222222222221</v>
      </c>
      <c r="I30" s="19">
        <f t="shared" si="3"/>
        <v>3.4722222222222099E-3</v>
      </c>
      <c r="J30" s="19">
        <v>0.52083333333333337</v>
      </c>
      <c r="K30" s="19">
        <v>0.53472222222222221</v>
      </c>
      <c r="L30" s="19" t="s">
        <v>66</v>
      </c>
      <c r="M30" s="19" t="s">
        <v>73</v>
      </c>
      <c r="N30" s="19">
        <f t="shared" si="5"/>
        <v>1.388888888888884E-2</v>
      </c>
      <c r="O30" s="19">
        <v>0</v>
      </c>
      <c r="P30" s="19">
        <v>6.9444444444444441E-3</v>
      </c>
      <c r="Q30" s="19">
        <v>0.53819444444444442</v>
      </c>
      <c r="R30" s="19">
        <v>0</v>
      </c>
      <c r="S30" s="19">
        <v>0.53819444444444442</v>
      </c>
      <c r="T30" s="19">
        <f>VLOOKUP(E30,'[1]22-1-2026'!$E$3:$T$13,16,FALSE)</f>
        <v>1.3888888888888888E-2</v>
      </c>
      <c r="U30" s="19">
        <v>0.57986111111111105</v>
      </c>
      <c r="V30" s="19">
        <v>0</v>
      </c>
      <c r="W30" s="19">
        <v>3.125E-2</v>
      </c>
      <c r="X30" s="19">
        <v>0.58124999999999993</v>
      </c>
      <c r="Y30" s="19">
        <v>0.58333333333333337</v>
      </c>
      <c r="Z30" s="19">
        <f t="shared" si="4"/>
        <v>2.083333333333437E-3</v>
      </c>
      <c r="AA30" s="19">
        <v>0</v>
      </c>
      <c r="AB30" s="19">
        <v>0.58680555555555558</v>
      </c>
      <c r="AC30" s="20"/>
      <c r="AD30" s="64"/>
    </row>
    <row r="31" spans="1:30" ht="19.5" thickBot="1" x14ac:dyDescent="0.3">
      <c r="A31" s="16">
        <v>3</v>
      </c>
      <c r="B31" s="17">
        <v>249</v>
      </c>
      <c r="C31" s="17" t="str">
        <f>VLOOKUP(B31,داتا!$B$3:$D$42,2,FALSE)</f>
        <v>دبابة</v>
      </c>
      <c r="D31" s="18">
        <f>VLOOKUP(B31,داتا!$B$3:$D$42,3,FALSE)</f>
        <v>2.0833333333333332E-2</v>
      </c>
      <c r="E31" s="17" t="s">
        <v>41</v>
      </c>
      <c r="F31" s="17" t="s">
        <v>50</v>
      </c>
      <c r="G31" s="19">
        <v>0.25</v>
      </c>
      <c r="H31" s="19">
        <f t="shared" si="7"/>
        <v>0.25347222222222221</v>
      </c>
      <c r="I31" s="19">
        <f t="shared" si="3"/>
        <v>3.4722222222222099E-3</v>
      </c>
      <c r="J31" s="19">
        <v>0.52083333333333337</v>
      </c>
      <c r="K31" s="19">
        <v>0.53472222222222221</v>
      </c>
      <c r="L31" s="19" t="s">
        <v>68</v>
      </c>
      <c r="M31" s="19" t="s">
        <v>69</v>
      </c>
      <c r="N31" s="19">
        <f t="shared" si="5"/>
        <v>1.388888888888884E-2</v>
      </c>
      <c r="O31" s="19">
        <v>0</v>
      </c>
      <c r="P31" s="19">
        <v>6.9444444444444441E-3</v>
      </c>
      <c r="Q31" s="19">
        <v>0.53819444444444442</v>
      </c>
      <c r="R31" s="19">
        <v>0</v>
      </c>
      <c r="S31" s="19">
        <v>0.53819444444444442</v>
      </c>
      <c r="T31" s="19">
        <f>VLOOKUP(E31,'[1]22-1-2026'!$E$3:$T$13,16,FALSE)</f>
        <v>1.7361111111111112E-2</v>
      </c>
      <c r="U31" s="19">
        <v>0.56944444444444442</v>
      </c>
      <c r="V31" s="19">
        <f t="shared" si="6"/>
        <v>1.388888888888884E-2</v>
      </c>
      <c r="W31" s="19">
        <v>3.125E-2</v>
      </c>
      <c r="X31" s="19">
        <v>0.57291666666666663</v>
      </c>
      <c r="Y31" s="19">
        <v>0.5854166666666667</v>
      </c>
      <c r="Z31" s="19">
        <f t="shared" si="4"/>
        <v>1.2500000000000067E-2</v>
      </c>
      <c r="AA31" s="19">
        <v>0</v>
      </c>
      <c r="AB31" s="19">
        <v>0.58680555555555558</v>
      </c>
      <c r="AC31" s="20"/>
      <c r="AD31" s="64"/>
    </row>
    <row r="32" spans="1:30" ht="19.5" thickBot="1" x14ac:dyDescent="0.3">
      <c r="A32" s="16">
        <v>4</v>
      </c>
      <c r="B32" s="17">
        <v>876</v>
      </c>
      <c r="C32" s="17" t="str">
        <f>VLOOKUP(B32,داتا!$B$3:$D$42,2,FALSE)</f>
        <v>دبابة</v>
      </c>
      <c r="D32" s="18">
        <f>VLOOKUP(B32,داتا!$B$3:$D$42,3,FALSE)</f>
        <v>2.0833333333333332E-2</v>
      </c>
      <c r="E32" s="17" t="s">
        <v>33</v>
      </c>
      <c r="F32" s="17" t="s">
        <v>61</v>
      </c>
      <c r="G32" s="19">
        <v>0.25</v>
      </c>
      <c r="H32" s="19">
        <f t="shared" si="7"/>
        <v>0.26041666666666669</v>
      </c>
      <c r="I32" s="19">
        <f t="shared" si="3"/>
        <v>1.0416666666666685E-2</v>
      </c>
      <c r="J32" s="19">
        <v>0.52083333333333337</v>
      </c>
      <c r="K32" s="19">
        <v>0.53472222222222221</v>
      </c>
      <c r="L32" s="19" t="s">
        <v>68</v>
      </c>
      <c r="M32" s="19" t="s">
        <v>69</v>
      </c>
      <c r="N32" s="19">
        <f t="shared" si="5"/>
        <v>1.388888888888884E-2</v>
      </c>
      <c r="O32" s="19">
        <v>0</v>
      </c>
      <c r="P32" s="19">
        <v>6.9444444444444441E-3</v>
      </c>
      <c r="Q32" s="19">
        <v>0.53819444444444442</v>
      </c>
      <c r="R32" s="19">
        <v>0</v>
      </c>
      <c r="S32" s="19">
        <v>0.53819444444444442</v>
      </c>
      <c r="T32" s="19">
        <f>VLOOKUP(E32,'[1]22-1-2026'!$E$3:$T$13,16,FALSE)</f>
        <v>2.7777777777777776E-2</v>
      </c>
      <c r="U32" s="19">
        <v>0</v>
      </c>
      <c r="V32" s="19">
        <v>0</v>
      </c>
      <c r="W32" s="19">
        <v>2.0833333333333332E-2</v>
      </c>
      <c r="X32" s="19">
        <v>0</v>
      </c>
      <c r="Y32" s="19">
        <v>0</v>
      </c>
      <c r="Z32" s="19">
        <f t="shared" si="4"/>
        <v>0</v>
      </c>
      <c r="AA32" s="19">
        <v>0</v>
      </c>
      <c r="AB32" s="19">
        <v>0</v>
      </c>
      <c r="AC32" s="20"/>
      <c r="AD32" s="64"/>
    </row>
    <row r="33" spans="1:30" ht="19.5" thickBot="1" x14ac:dyDescent="0.3">
      <c r="A33" s="16">
        <v>5</v>
      </c>
      <c r="B33" s="17">
        <v>876</v>
      </c>
      <c r="C33" s="17" t="str">
        <f>VLOOKUP(B33,داتا!$B$3:$D$42,2,FALSE)</f>
        <v>دبابة</v>
      </c>
      <c r="D33" s="18">
        <f>VLOOKUP(B33,داتا!$B$3:$D$42,3,FALSE)</f>
        <v>2.0833333333333332E-2</v>
      </c>
      <c r="E33" s="17" t="s">
        <v>30</v>
      </c>
      <c r="F33" s="17" t="s">
        <v>61</v>
      </c>
      <c r="G33" s="19">
        <v>0.25</v>
      </c>
      <c r="H33" s="19">
        <f t="shared" si="7"/>
        <v>0.26041666666666669</v>
      </c>
      <c r="I33" s="19">
        <f t="shared" si="3"/>
        <v>1.0416666666666685E-2</v>
      </c>
      <c r="J33" s="19">
        <v>0.52083333333333337</v>
      </c>
      <c r="K33" s="19">
        <v>0.53472222222222221</v>
      </c>
      <c r="L33" s="19" t="s">
        <v>66</v>
      </c>
      <c r="M33" s="19" t="s">
        <v>73</v>
      </c>
      <c r="N33" s="19">
        <f t="shared" si="5"/>
        <v>1.388888888888884E-2</v>
      </c>
      <c r="O33" s="19">
        <v>0</v>
      </c>
      <c r="P33" s="19">
        <v>6.9444444444444441E-3</v>
      </c>
      <c r="Q33" s="19">
        <v>0.53819444444444442</v>
      </c>
      <c r="R33" s="19">
        <v>0</v>
      </c>
      <c r="S33" s="19">
        <v>0.53819444444444442</v>
      </c>
      <c r="T33" s="19">
        <v>1.0416666666666666E-2</v>
      </c>
      <c r="U33" s="19">
        <v>0</v>
      </c>
      <c r="V33" s="19">
        <v>0</v>
      </c>
      <c r="W33" s="19">
        <v>2.0833333333333332E-2</v>
      </c>
      <c r="X33" s="19">
        <v>0</v>
      </c>
      <c r="Y33" s="19">
        <v>0</v>
      </c>
      <c r="Z33" s="19">
        <f t="shared" si="4"/>
        <v>0</v>
      </c>
      <c r="AA33" s="19">
        <v>0</v>
      </c>
      <c r="AB33" s="19">
        <v>0</v>
      </c>
      <c r="AC33" s="20"/>
      <c r="AD33" s="64"/>
    </row>
    <row r="34" spans="1:30" ht="19.5" thickBot="1" x14ac:dyDescent="0.3">
      <c r="A34" s="16">
        <v>6</v>
      </c>
      <c r="B34" s="17">
        <v>876</v>
      </c>
      <c r="C34" s="17" t="str">
        <f>VLOOKUP(B34,داتا!$B$3:$D$42,2,FALSE)</f>
        <v>دبابة</v>
      </c>
      <c r="D34" s="18">
        <f>VLOOKUP(B34,داتا!$B$3:$D$42,3,FALSE)</f>
        <v>2.0833333333333332E-2</v>
      </c>
      <c r="E34" s="17" t="s">
        <v>58</v>
      </c>
      <c r="F34" s="17" t="s">
        <v>61</v>
      </c>
      <c r="G34" s="19">
        <v>0.25</v>
      </c>
      <c r="H34" s="19">
        <v>0.26041666666666669</v>
      </c>
      <c r="I34" s="19">
        <f t="shared" si="3"/>
        <v>1.0416666666666685E-2</v>
      </c>
      <c r="J34" s="19">
        <v>0.52083333333333337</v>
      </c>
      <c r="K34" s="19">
        <v>0.53472222222222221</v>
      </c>
      <c r="L34" s="19" t="s">
        <v>66</v>
      </c>
      <c r="M34" s="19" t="s">
        <v>73</v>
      </c>
      <c r="N34" s="19">
        <f t="shared" si="5"/>
        <v>1.388888888888884E-2</v>
      </c>
      <c r="O34" s="19">
        <v>0</v>
      </c>
      <c r="P34" s="19">
        <v>6.9444444444444441E-3</v>
      </c>
      <c r="Q34" s="19">
        <v>0.53819444444444442</v>
      </c>
      <c r="R34" s="19">
        <v>0</v>
      </c>
      <c r="S34" s="19">
        <v>0.53819444444444442</v>
      </c>
      <c r="T34" s="19">
        <v>1.0416666666666666E-2</v>
      </c>
      <c r="U34" s="19">
        <v>0</v>
      </c>
      <c r="V34" s="19">
        <v>0</v>
      </c>
      <c r="W34" s="19">
        <v>3.125E-2</v>
      </c>
      <c r="X34" s="19">
        <v>0</v>
      </c>
      <c r="Y34" s="19">
        <v>0</v>
      </c>
      <c r="Z34" s="19">
        <f t="shared" si="4"/>
        <v>0</v>
      </c>
      <c r="AA34" s="19">
        <v>0</v>
      </c>
      <c r="AB34" s="19">
        <v>0</v>
      </c>
      <c r="AC34" s="20"/>
      <c r="AD34" s="64"/>
    </row>
    <row r="35" spans="1:30" ht="19.5" thickBot="1" x14ac:dyDescent="0.3">
      <c r="A35" s="16">
        <v>7</v>
      </c>
      <c r="B35" s="17">
        <v>529</v>
      </c>
      <c r="C35" s="17" t="s">
        <v>57</v>
      </c>
      <c r="D35" s="18">
        <f>VLOOKUP(B35,داتا!$B$3:$D$42,3,FALSE)</f>
        <v>2.0833333333333332E-2</v>
      </c>
      <c r="E35" s="17" t="s">
        <v>52</v>
      </c>
      <c r="F35" s="17" t="s">
        <v>46</v>
      </c>
      <c r="G35" s="19">
        <v>0.29166666666666669</v>
      </c>
      <c r="H35" s="19">
        <v>0.28819444444444448</v>
      </c>
      <c r="I35" s="19">
        <v>0</v>
      </c>
      <c r="J35" s="19">
        <v>0.54652777777777783</v>
      </c>
      <c r="K35" s="19">
        <v>0.55208333333333337</v>
      </c>
      <c r="L35" s="19" t="s">
        <v>68</v>
      </c>
      <c r="M35" s="19" t="s">
        <v>69</v>
      </c>
      <c r="N35" s="19">
        <f t="shared" si="5"/>
        <v>5.5555555555555358E-3</v>
      </c>
      <c r="O35" s="19">
        <v>0</v>
      </c>
      <c r="P35" s="19">
        <v>6.9444444444444441E-3</v>
      </c>
      <c r="Q35" s="19">
        <v>0.54513888888888895</v>
      </c>
      <c r="R35" s="19">
        <v>0</v>
      </c>
      <c r="S35" s="19">
        <v>0.54513888888888895</v>
      </c>
      <c r="T35" s="19">
        <f>VLOOKUP(E35,'[1]22-1-2026'!$E$3:$T$13,16,FALSE)</f>
        <v>3.472222222222222E-3</v>
      </c>
      <c r="U35" s="19">
        <v>0.55208333333333337</v>
      </c>
      <c r="V35" s="19">
        <f t="shared" si="6"/>
        <v>3.4722222222222099E-3</v>
      </c>
      <c r="W35" s="19">
        <v>2.0833333333333332E-2</v>
      </c>
      <c r="X35" s="19">
        <v>0.55555555555555558</v>
      </c>
      <c r="Y35" s="19">
        <v>0.57291666666666663</v>
      </c>
      <c r="Z35" s="19">
        <f t="shared" si="4"/>
        <v>1.7361111111111049E-2</v>
      </c>
      <c r="AA35" s="19">
        <v>0</v>
      </c>
      <c r="AB35" s="19">
        <v>0.57500000000000007</v>
      </c>
      <c r="AC35" s="20"/>
      <c r="AD35" s="64"/>
    </row>
    <row r="36" spans="1:30" ht="19.5" thickBot="1" x14ac:dyDescent="0.3">
      <c r="A36" s="16">
        <v>8</v>
      </c>
      <c r="B36" s="17">
        <v>529</v>
      </c>
      <c r="C36" s="17" t="str">
        <f>VLOOKUP(B36,داتا!$B$3:$D$42,2,FALSE)</f>
        <v>دبابة</v>
      </c>
      <c r="D36" s="18">
        <f>VLOOKUP(B36,داتا!$B$3:$D$42,3,FALSE)</f>
        <v>2.0833333333333332E-2</v>
      </c>
      <c r="E36" s="17" t="s">
        <v>47</v>
      </c>
      <c r="F36" s="17" t="s">
        <v>75</v>
      </c>
      <c r="G36" s="19">
        <v>0.54166666666666663</v>
      </c>
      <c r="H36" s="19">
        <v>0.53125</v>
      </c>
      <c r="I36" s="19">
        <v>0</v>
      </c>
      <c r="J36" s="19">
        <v>0.5625</v>
      </c>
      <c r="K36" s="19">
        <v>0.56597222222222221</v>
      </c>
      <c r="L36" s="19" t="s">
        <v>78</v>
      </c>
      <c r="M36" s="19" t="s">
        <v>73</v>
      </c>
      <c r="N36" s="19">
        <f t="shared" si="5"/>
        <v>3.4722222222222099E-3</v>
      </c>
      <c r="O36" s="19">
        <v>0</v>
      </c>
      <c r="P36" s="19">
        <v>6.9444444444444441E-3</v>
      </c>
      <c r="Q36" s="19">
        <v>0.5625</v>
      </c>
      <c r="R36" s="19">
        <v>0</v>
      </c>
      <c r="S36" s="19">
        <v>0.5625</v>
      </c>
      <c r="T36" s="19">
        <f>VLOOKUP(E36,'[1]22-1-2026'!$E$3:$T$13,16,FALSE)</f>
        <v>1.3888888888888888E-2</v>
      </c>
      <c r="U36" s="19">
        <v>0.57986111111111105</v>
      </c>
      <c r="V36" s="19">
        <f t="shared" si="6"/>
        <v>3.4722222222222099E-3</v>
      </c>
      <c r="W36" s="19">
        <v>3.125E-2</v>
      </c>
      <c r="X36" s="19">
        <v>0.58333333333333337</v>
      </c>
      <c r="Y36" s="19">
        <v>0.58680555555555558</v>
      </c>
      <c r="Z36" s="19">
        <f t="shared" si="4"/>
        <v>3.4722222222222099E-3</v>
      </c>
      <c r="AA36" s="19">
        <v>0</v>
      </c>
      <c r="AB36" s="19">
        <v>0.59027777777777779</v>
      </c>
      <c r="AC36" s="20"/>
      <c r="AD36" s="64"/>
    </row>
    <row r="37" spans="1:30" ht="19.5" thickBot="1" x14ac:dyDescent="0.3">
      <c r="A37" s="32">
        <v>9</v>
      </c>
      <c r="B37" s="23">
        <v>529</v>
      </c>
      <c r="C37" s="23" t="str">
        <f>VLOOKUP(B37,داتا!$B$3:$D$42,2,FALSE)</f>
        <v>دبابة</v>
      </c>
      <c r="D37" s="24">
        <f>VLOOKUP(B37,داتا!$B$3:$D$42,3,FALSE)</f>
        <v>2.0833333333333332E-2</v>
      </c>
      <c r="E37" s="23" t="s">
        <v>45</v>
      </c>
      <c r="F37" s="23" t="s">
        <v>75</v>
      </c>
      <c r="G37" s="25">
        <v>0.54166666666666663</v>
      </c>
      <c r="H37" s="25">
        <v>0.53125</v>
      </c>
      <c r="I37" s="25">
        <v>0</v>
      </c>
      <c r="J37" s="25">
        <v>0.5625</v>
      </c>
      <c r="K37" s="25">
        <v>0.56597222222222221</v>
      </c>
      <c r="L37" s="25" t="s">
        <v>78</v>
      </c>
      <c r="M37" s="25" t="s">
        <v>73</v>
      </c>
      <c r="N37" s="25">
        <f t="shared" ref="N37" si="8">K37-J37</f>
        <v>3.4722222222222099E-3</v>
      </c>
      <c r="O37" s="25">
        <v>0</v>
      </c>
      <c r="P37" s="25">
        <v>6.9444444444444441E-3</v>
      </c>
      <c r="Q37" s="25">
        <v>0.5625</v>
      </c>
      <c r="R37" s="25">
        <v>0</v>
      </c>
      <c r="S37" s="25">
        <v>0.5625</v>
      </c>
      <c r="T37" s="25">
        <f>VLOOKUP(E37,'[1]22-1-2026'!$E$3:$T$13,16,FALSE)</f>
        <v>1.3888888888888888E-2</v>
      </c>
      <c r="U37" s="25">
        <v>0.60763888888888895</v>
      </c>
      <c r="V37" s="25">
        <v>3.472222222222222E-3</v>
      </c>
      <c r="W37" s="25">
        <v>3.125E-2</v>
      </c>
      <c r="X37" s="25">
        <v>0.61111111111111105</v>
      </c>
      <c r="Y37" s="25">
        <v>0.61458333333333337</v>
      </c>
      <c r="Z37" s="25">
        <f t="shared" ref="Z37" si="9">Y37-X37</f>
        <v>3.4722222222223209E-3</v>
      </c>
      <c r="AA37" s="25">
        <v>0</v>
      </c>
      <c r="AB37" s="25">
        <v>0.61805555555555558</v>
      </c>
      <c r="AC37" s="28"/>
      <c r="AD37" s="65"/>
    </row>
    <row r="38" spans="1:30" ht="15.75" thickTop="1" x14ac:dyDescent="0.25"/>
  </sheetData>
  <mergeCells count="4">
    <mergeCell ref="A1:AC1"/>
    <mergeCell ref="AD3:AD15"/>
    <mergeCell ref="AD16:AD28"/>
    <mergeCell ref="AD29:AD37"/>
  </mergeCells>
  <conditionalFormatting sqref="I2:I36 O2:O36 R2:R36 V2:V36 AA2:AA36 AA38:AA1048576 V38:V1048576 R38:R1048576 O38:O1048576 I38:I1048576">
    <cfRule type="cellIs" dxfId="166" priority="9" operator="between">
      <formula>0.00277777777777778</formula>
      <formula>1</formula>
    </cfRule>
  </conditionalFormatting>
  <conditionalFormatting sqref="AC3:AC36">
    <cfRule type="containsText" dxfId="165" priority="8" operator="containsText" text="ت">
      <formula>NOT(ISERROR(SEARCH("ت",AC3)))</formula>
    </cfRule>
  </conditionalFormatting>
  <conditionalFormatting sqref="AA1 I1 O1 R1 V1">
    <cfRule type="cellIs" dxfId="164" priority="3" operator="between">
      <formula>0.00277777777777778</formula>
      <formula>1</formula>
    </cfRule>
  </conditionalFormatting>
  <conditionalFormatting sqref="I37 O37 R37 V37 AA37">
    <cfRule type="cellIs" dxfId="163" priority="2" operator="between">
      <formula>0.00277777777777778</formula>
      <formula>1</formula>
    </cfRule>
  </conditionalFormatting>
  <conditionalFormatting sqref="AC37">
    <cfRule type="containsText" dxfId="162" priority="1" operator="containsText" text="ت">
      <formula>NOT(ISERROR(SEARCH("ت",AC37)))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rightToLeft="1" workbookViewId="0">
      <pane xSplit="6" ySplit="2" topLeftCell="K3" activePane="bottomRight" state="frozen"/>
      <selection pane="topRight" activeCell="G1" sqref="G1"/>
      <selection pane="bottomLeft" activeCell="A3" sqref="A3"/>
      <selection pane="bottomRight" activeCell="R10" sqref="R10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0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529</v>
      </c>
      <c r="C3" s="12" t="str">
        <f>VLOOKUP(B3,داتا!$B$3:$D$42,2,FALSE)</f>
        <v>دبابة</v>
      </c>
      <c r="D3" s="13">
        <f>VLOOKUP(B3,داتا!$B$3:$D$42,3,FALSE)</f>
        <v>2.0833333333333332E-2</v>
      </c>
      <c r="E3" s="12" t="s">
        <v>38</v>
      </c>
      <c r="F3" s="12" t="s">
        <v>59</v>
      </c>
      <c r="G3" s="14">
        <v>0.25</v>
      </c>
      <c r="H3" s="14">
        <v>0.23611111111111113</v>
      </c>
      <c r="I3" s="14">
        <v>0</v>
      </c>
      <c r="J3" s="14">
        <v>0.2638888888888889</v>
      </c>
      <c r="K3" s="14">
        <v>0.27430555555555552</v>
      </c>
      <c r="L3" s="14" t="s">
        <v>64</v>
      </c>
      <c r="M3" s="14" t="s">
        <v>65</v>
      </c>
      <c r="N3" s="14">
        <f>K3-J3</f>
        <v>1.041666666666663E-2</v>
      </c>
      <c r="O3" s="14">
        <v>0</v>
      </c>
      <c r="P3" s="14">
        <v>6.9444444444444441E-3</v>
      </c>
      <c r="Q3" s="14">
        <v>0.27430555555555552</v>
      </c>
      <c r="R3" s="14">
        <v>0</v>
      </c>
      <c r="S3" s="14">
        <v>0.27430555555555552</v>
      </c>
      <c r="T3" s="14">
        <f>VLOOKUP(E3,'[1]22-1-2026'!$E$3:$T$13,16,FALSE)</f>
        <v>3.4722222222222224E-2</v>
      </c>
      <c r="U3" s="14">
        <v>0.30555555555555552</v>
      </c>
      <c r="V3" s="14">
        <v>0</v>
      </c>
      <c r="W3" s="14">
        <v>2.0833333333333332E-2</v>
      </c>
      <c r="X3" s="14">
        <v>0.33888888888888885</v>
      </c>
      <c r="Y3" s="14">
        <v>0.3611111111111111</v>
      </c>
      <c r="Z3" s="14">
        <f>Y3-X3</f>
        <v>2.2222222222222254E-2</v>
      </c>
      <c r="AA3" s="44">
        <f t="shared" ref="AA3:AA24" si="0">Z3-W3</f>
        <v>1.3888888888889221E-3</v>
      </c>
      <c r="AB3" s="14">
        <v>0.36458333333333331</v>
      </c>
      <c r="AC3" s="15"/>
      <c r="AD3" s="60" t="s">
        <v>32</v>
      </c>
    </row>
    <row r="4" spans="1:30" ht="19.5" thickBot="1" x14ac:dyDescent="0.3">
      <c r="A4" s="16">
        <v>2</v>
      </c>
      <c r="B4" s="17">
        <v>529</v>
      </c>
      <c r="C4" s="17" t="str">
        <f>VLOOKUP(B4,داتا!$B$3:$D$42,2,FALSE)</f>
        <v>دبابة</v>
      </c>
      <c r="D4" s="18">
        <f>VLOOKUP(B4,داتا!$B$3:$D$42,3,FALSE)</f>
        <v>2.0833333333333332E-2</v>
      </c>
      <c r="E4" s="17" t="s">
        <v>40</v>
      </c>
      <c r="F4" s="17" t="s">
        <v>59</v>
      </c>
      <c r="G4" s="19">
        <v>0.25</v>
      </c>
      <c r="H4" s="19">
        <v>0.23611111111111113</v>
      </c>
      <c r="I4" s="19">
        <v>0</v>
      </c>
      <c r="J4" s="19">
        <v>0.2638888888888889</v>
      </c>
      <c r="K4" s="19">
        <v>0.27430555555555552</v>
      </c>
      <c r="L4" s="19" t="s">
        <v>64</v>
      </c>
      <c r="M4" s="19" t="s">
        <v>65</v>
      </c>
      <c r="N4" s="19">
        <f>K4-J4</f>
        <v>1.041666666666663E-2</v>
      </c>
      <c r="O4" s="19">
        <v>0</v>
      </c>
      <c r="P4" s="19">
        <v>6.9444444444444441E-3</v>
      </c>
      <c r="Q4" s="19">
        <v>0.27430555555555552</v>
      </c>
      <c r="R4" s="19">
        <v>0</v>
      </c>
      <c r="S4" s="19">
        <v>0.27430555555555552</v>
      </c>
      <c r="T4" s="19">
        <v>1.3888888888888888E-2</v>
      </c>
      <c r="U4" s="19">
        <v>0.37847222222222227</v>
      </c>
      <c r="V4" s="19">
        <v>0</v>
      </c>
      <c r="W4" s="19">
        <v>3.125E-2</v>
      </c>
      <c r="X4" s="19">
        <v>0.38194444444444442</v>
      </c>
      <c r="Y4" s="19">
        <v>0.4236111111111111</v>
      </c>
      <c r="Z4" s="19">
        <f t="shared" ref="Z4:Z39" si="1">Y4-X4</f>
        <v>4.1666666666666685E-2</v>
      </c>
      <c r="AA4" s="19">
        <f t="shared" si="0"/>
        <v>1.0416666666666685E-2</v>
      </c>
      <c r="AB4" s="19">
        <v>0.42708333333333331</v>
      </c>
      <c r="AC4" s="20"/>
      <c r="AD4" s="61"/>
    </row>
    <row r="5" spans="1:30" ht="19.5" thickBot="1" x14ac:dyDescent="0.3">
      <c r="A5" s="16">
        <v>3</v>
      </c>
      <c r="B5" s="17">
        <v>876</v>
      </c>
      <c r="C5" s="17" t="str">
        <f>VLOOKUP(B5,داتا!$B$3:$D$42,2,FALSE)</f>
        <v>دبابة</v>
      </c>
      <c r="D5" s="18">
        <f>VLOOKUP(B5,داتا!$B$3:$D$42,3,FALSE)</f>
        <v>2.0833333333333332E-2</v>
      </c>
      <c r="E5" s="17" t="s">
        <v>76</v>
      </c>
      <c r="F5" s="17" t="s">
        <v>62</v>
      </c>
      <c r="G5" s="19">
        <v>0.25</v>
      </c>
      <c r="H5" s="19">
        <v>0.25694444444444448</v>
      </c>
      <c r="I5" s="19">
        <f t="shared" ref="I5:I39" si="2">H5-G5</f>
        <v>6.9444444444444753E-3</v>
      </c>
      <c r="J5" s="19">
        <v>0.2638888888888889</v>
      </c>
      <c r="K5" s="19">
        <v>0.28125</v>
      </c>
      <c r="L5" s="19" t="s">
        <v>64</v>
      </c>
      <c r="M5" s="19" t="s">
        <v>65</v>
      </c>
      <c r="N5" s="19">
        <f t="shared" ref="N5:N39" si="3">K5-J5</f>
        <v>1.7361111111111105E-2</v>
      </c>
      <c r="O5" s="19">
        <v>0</v>
      </c>
      <c r="P5" s="19">
        <v>6.9444444444444441E-3</v>
      </c>
      <c r="Q5" s="19">
        <v>0.28472222222222221</v>
      </c>
      <c r="R5" s="19">
        <v>0</v>
      </c>
      <c r="S5" s="19">
        <v>0.28472222222222221</v>
      </c>
      <c r="T5" s="19">
        <v>4.1666666666666664E-2</v>
      </c>
      <c r="U5" s="19">
        <v>0.31041666666666667</v>
      </c>
      <c r="V5" s="19">
        <v>0</v>
      </c>
      <c r="W5" s="19">
        <v>2.0833333333333332E-2</v>
      </c>
      <c r="X5" s="19">
        <v>0.3354166666666667</v>
      </c>
      <c r="Y5" s="19">
        <v>0.35416666666666669</v>
      </c>
      <c r="Z5" s="19">
        <f t="shared" si="1"/>
        <v>1.8749999999999989E-2</v>
      </c>
      <c r="AA5" s="19">
        <v>0</v>
      </c>
      <c r="AB5" s="19">
        <v>0.3576388888888889</v>
      </c>
      <c r="AC5" s="20"/>
      <c r="AD5" s="61"/>
    </row>
    <row r="6" spans="1:30" ht="19.5" thickBot="1" x14ac:dyDescent="0.3">
      <c r="A6" s="16">
        <v>4</v>
      </c>
      <c r="B6" s="17">
        <v>876</v>
      </c>
      <c r="C6" s="17" t="str">
        <f>VLOOKUP(B6,داتا!$B$3:$D$42,2,FALSE)</f>
        <v>دبابة</v>
      </c>
      <c r="D6" s="18">
        <f>VLOOKUP(B6,داتا!$B$3:$D$42,3,FALSE)</f>
        <v>2.0833333333333332E-2</v>
      </c>
      <c r="E6" s="17" t="s">
        <v>51</v>
      </c>
      <c r="F6" s="17" t="s">
        <v>62</v>
      </c>
      <c r="G6" s="19">
        <v>0.25</v>
      </c>
      <c r="H6" s="19">
        <v>0.25694444444444448</v>
      </c>
      <c r="I6" s="19">
        <f t="shared" si="2"/>
        <v>6.9444444444444753E-3</v>
      </c>
      <c r="J6" s="19">
        <v>0.2638888888888889</v>
      </c>
      <c r="K6" s="19">
        <v>0.28125</v>
      </c>
      <c r="L6" s="19" t="s">
        <v>64</v>
      </c>
      <c r="M6" s="19" t="s">
        <v>65</v>
      </c>
      <c r="N6" s="19">
        <f t="shared" si="3"/>
        <v>1.7361111111111105E-2</v>
      </c>
      <c r="O6" s="19">
        <v>0</v>
      </c>
      <c r="P6" s="19">
        <v>6.9444444444444441E-3</v>
      </c>
      <c r="Q6" s="19">
        <v>0.28472222222222221</v>
      </c>
      <c r="R6" s="19">
        <v>0</v>
      </c>
      <c r="S6" s="19">
        <v>0.28472222222222221</v>
      </c>
      <c r="T6" s="19">
        <f>VLOOKUP(E6,'[1]22-1-2026'!$E$3:$T$13,16,FALSE)</f>
        <v>6.9444444444444441E-3</v>
      </c>
      <c r="U6" s="19">
        <v>0.36319444444444443</v>
      </c>
      <c r="V6" s="19">
        <v>0</v>
      </c>
      <c r="W6" s="19">
        <v>3.125E-2</v>
      </c>
      <c r="X6" s="19">
        <v>0.36458333333333331</v>
      </c>
      <c r="Y6" s="19">
        <v>0.3840277777777778</v>
      </c>
      <c r="Z6" s="19">
        <f t="shared" si="1"/>
        <v>1.9444444444444486E-2</v>
      </c>
      <c r="AA6" s="19">
        <v>0</v>
      </c>
      <c r="AB6" s="19">
        <v>0.38541666666666669</v>
      </c>
      <c r="AC6" s="20"/>
      <c r="AD6" s="61"/>
    </row>
    <row r="7" spans="1:30" ht="19.5" thickBot="1" x14ac:dyDescent="0.3">
      <c r="A7" s="16">
        <v>5</v>
      </c>
      <c r="B7" s="17">
        <v>249</v>
      </c>
      <c r="C7" s="17" t="str">
        <f>VLOOKUP(B7,داتا!$B$3:$D$42,2,FALSE)</f>
        <v>دبابة</v>
      </c>
      <c r="D7" s="18">
        <f>VLOOKUP(B7,داتا!$B$3:$D$42,3,FALSE)</f>
        <v>2.0833333333333332E-2</v>
      </c>
      <c r="E7" s="17" t="s">
        <v>47</v>
      </c>
      <c r="F7" s="17" t="s">
        <v>50</v>
      </c>
      <c r="G7" s="19">
        <v>0.25</v>
      </c>
      <c r="H7" s="19">
        <v>0.25</v>
      </c>
      <c r="I7" s="19">
        <f t="shared" si="2"/>
        <v>0</v>
      </c>
      <c r="J7" s="19">
        <v>0.27083333333333331</v>
      </c>
      <c r="K7" s="19">
        <v>0.28125</v>
      </c>
      <c r="L7" s="19" t="s">
        <v>64</v>
      </c>
      <c r="M7" s="19" t="s">
        <v>65</v>
      </c>
      <c r="N7" s="19">
        <f t="shared" si="3"/>
        <v>1.0416666666666685E-2</v>
      </c>
      <c r="O7" s="19">
        <v>0</v>
      </c>
      <c r="P7" s="19">
        <v>6.9444444444444441E-3</v>
      </c>
      <c r="Q7" s="19">
        <v>0.29166666666666669</v>
      </c>
      <c r="R7" s="19">
        <f t="shared" ref="R7:R9" si="4">Q7-P7-K7</f>
        <v>3.4722222222222654E-3</v>
      </c>
      <c r="S7" s="19">
        <v>0.29166666666666669</v>
      </c>
      <c r="T7" s="19">
        <f>VLOOKUP(E7,'[1]22-1-2026'!$E$3:$T$13,16,FALSE)</f>
        <v>1.3888888888888888E-2</v>
      </c>
      <c r="U7" s="19">
        <v>0.30069444444444443</v>
      </c>
      <c r="V7" s="19">
        <v>0</v>
      </c>
      <c r="W7" s="19">
        <v>3.125E-2</v>
      </c>
      <c r="X7" s="19">
        <v>0.33402777777777781</v>
      </c>
      <c r="Y7" s="19">
        <v>0.37361111111111112</v>
      </c>
      <c r="Z7" s="19">
        <f t="shared" si="1"/>
        <v>3.9583333333333304E-2</v>
      </c>
      <c r="AA7" s="19">
        <f t="shared" si="0"/>
        <v>8.3333333333333037E-3</v>
      </c>
      <c r="AB7" s="19">
        <v>0.375</v>
      </c>
      <c r="AC7" s="20"/>
      <c r="AD7" s="61"/>
    </row>
    <row r="8" spans="1:30" ht="19.5" thickBot="1" x14ac:dyDescent="0.3">
      <c r="A8" s="16">
        <v>6</v>
      </c>
      <c r="B8" s="17">
        <v>892</v>
      </c>
      <c r="C8" s="17" t="str">
        <f>VLOOKUP(B8,داتا!$B$3:$D$42,2,FALSE)</f>
        <v>تلتين</v>
      </c>
      <c r="D8" s="18">
        <f>VLOOKUP(B8,داتا!$B$3:$D$42,3,FALSE)</f>
        <v>3.125E-2</v>
      </c>
      <c r="E8" s="17" t="s">
        <v>30</v>
      </c>
      <c r="F8" s="17" t="s">
        <v>63</v>
      </c>
      <c r="G8" s="19">
        <v>0.25</v>
      </c>
      <c r="H8" s="19">
        <v>0.27083333333333331</v>
      </c>
      <c r="I8" s="19">
        <f t="shared" si="2"/>
        <v>2.0833333333333315E-2</v>
      </c>
      <c r="J8" s="19">
        <v>0.23611111111111113</v>
      </c>
      <c r="K8" s="19">
        <v>0.27430555555555552</v>
      </c>
      <c r="L8" s="19" t="s">
        <v>64</v>
      </c>
      <c r="M8" s="19" t="s">
        <v>65</v>
      </c>
      <c r="N8" s="19">
        <f t="shared" si="3"/>
        <v>3.8194444444444392E-2</v>
      </c>
      <c r="O8" s="19">
        <f t="shared" ref="O8:O28" si="5">N8-D8</f>
        <v>6.944444444444392E-3</v>
      </c>
      <c r="P8" s="19">
        <v>6.9444444444444441E-3</v>
      </c>
      <c r="Q8" s="19">
        <v>0.28125</v>
      </c>
      <c r="R8" s="19">
        <f t="shared" si="4"/>
        <v>0</v>
      </c>
      <c r="S8" s="19">
        <v>0.28125</v>
      </c>
      <c r="T8" s="19">
        <f>VLOOKUP(E8,'[1]22-1-2026'!$E$3:$T$13,16,FALSE)</f>
        <v>2.4305555555555556E-2</v>
      </c>
      <c r="U8" s="19">
        <v>0.30555555555555552</v>
      </c>
      <c r="V8" s="19">
        <f t="shared" ref="V8:V38" si="6">U8-T8-S8</f>
        <v>0</v>
      </c>
      <c r="W8" s="19">
        <v>3.125E-2</v>
      </c>
      <c r="X8" s="19">
        <v>0.30902777777777779</v>
      </c>
      <c r="Y8" s="19">
        <v>0.34375</v>
      </c>
      <c r="Z8" s="19">
        <f t="shared" si="1"/>
        <v>3.472222222222221E-2</v>
      </c>
      <c r="AA8" s="19">
        <f t="shared" si="0"/>
        <v>3.4722222222222099E-3</v>
      </c>
      <c r="AB8" s="19">
        <v>0.3520833333333333</v>
      </c>
      <c r="AC8" s="20"/>
      <c r="AD8" s="61"/>
    </row>
    <row r="9" spans="1:30" ht="19.5" thickBot="1" x14ac:dyDescent="0.3">
      <c r="A9" s="16">
        <v>7</v>
      </c>
      <c r="B9" s="17">
        <v>892</v>
      </c>
      <c r="C9" s="17" t="str">
        <f>VLOOKUP(B9,داتا!$B$3:$D$42,2,FALSE)</f>
        <v>تلتين</v>
      </c>
      <c r="D9" s="18">
        <f>VLOOKUP(B9,داتا!$B$3:$D$42,3,FALSE)</f>
        <v>3.125E-2</v>
      </c>
      <c r="E9" s="17" t="s">
        <v>33</v>
      </c>
      <c r="F9" s="17" t="s">
        <v>63</v>
      </c>
      <c r="G9" s="19">
        <v>0.25</v>
      </c>
      <c r="H9" s="19">
        <v>0.27083333333333331</v>
      </c>
      <c r="I9" s="19">
        <f t="shared" si="2"/>
        <v>2.0833333333333315E-2</v>
      </c>
      <c r="J9" s="19">
        <v>0.23611111111111113</v>
      </c>
      <c r="K9" s="19">
        <v>0.27430555555555552</v>
      </c>
      <c r="L9" s="19" t="s">
        <v>64</v>
      </c>
      <c r="M9" s="19" t="s">
        <v>65</v>
      </c>
      <c r="N9" s="19">
        <f t="shared" si="3"/>
        <v>3.8194444444444392E-2</v>
      </c>
      <c r="O9" s="19">
        <f t="shared" si="5"/>
        <v>6.944444444444392E-3</v>
      </c>
      <c r="P9" s="19">
        <v>6.9444444444444441E-3</v>
      </c>
      <c r="Q9" s="19">
        <v>0.28125</v>
      </c>
      <c r="R9" s="19">
        <f t="shared" si="4"/>
        <v>0</v>
      </c>
      <c r="S9" s="19">
        <v>0.28125</v>
      </c>
      <c r="T9" s="19">
        <f>VLOOKUP(E9,'[1]22-1-2026'!$E$3:$T$13,16,FALSE)</f>
        <v>2.7777777777777776E-2</v>
      </c>
      <c r="U9" s="19">
        <v>0.36249999999999999</v>
      </c>
      <c r="V9" s="19">
        <v>0</v>
      </c>
      <c r="W9" s="19">
        <v>4.1666666666666664E-2</v>
      </c>
      <c r="X9" s="19">
        <v>0.36805555555555558</v>
      </c>
      <c r="Y9" s="19">
        <v>0.39513888888888887</v>
      </c>
      <c r="Z9" s="19">
        <f t="shared" si="1"/>
        <v>2.7083333333333293E-2</v>
      </c>
      <c r="AA9" s="19">
        <v>0</v>
      </c>
      <c r="AB9" s="19">
        <v>0.39930555555555558</v>
      </c>
      <c r="AC9" s="20"/>
      <c r="AD9" s="61"/>
    </row>
    <row r="10" spans="1:30" ht="19.5" thickBot="1" x14ac:dyDescent="0.3">
      <c r="A10" s="16">
        <v>8</v>
      </c>
      <c r="B10" s="17">
        <v>529</v>
      </c>
      <c r="C10" s="17" t="s">
        <v>57</v>
      </c>
      <c r="D10" s="18">
        <f>VLOOKUP(B10,داتا!$B$3:$D$42,3,FALSE)</f>
        <v>2.0833333333333332E-2</v>
      </c>
      <c r="E10" s="17" t="s">
        <v>58</v>
      </c>
      <c r="F10" s="17" t="s">
        <v>71</v>
      </c>
      <c r="G10" s="19">
        <v>0.25</v>
      </c>
      <c r="H10" s="19">
        <v>0.25694444444444448</v>
      </c>
      <c r="I10" s="19">
        <f t="shared" si="2"/>
        <v>6.9444444444444753E-3</v>
      </c>
      <c r="J10" s="19">
        <v>0.28125</v>
      </c>
      <c r="K10" s="19">
        <v>0.29166666666666669</v>
      </c>
      <c r="L10" s="19" t="s">
        <v>64</v>
      </c>
      <c r="M10" s="19" t="s">
        <v>65</v>
      </c>
      <c r="N10" s="19">
        <f t="shared" si="3"/>
        <v>1.0416666666666685E-2</v>
      </c>
      <c r="O10" s="19">
        <v>0</v>
      </c>
      <c r="P10" s="19">
        <v>6.9444444444444441E-3</v>
      </c>
      <c r="Q10" s="19">
        <v>0.29166666666666669</v>
      </c>
      <c r="R10" s="19">
        <v>0</v>
      </c>
      <c r="S10" s="19">
        <v>0.29166666666666669</v>
      </c>
      <c r="T10" s="19">
        <v>2.0833333333333332E-2</v>
      </c>
      <c r="U10" s="19">
        <v>0.31944444444444448</v>
      </c>
      <c r="V10" s="19">
        <f t="shared" si="6"/>
        <v>6.9444444444444753E-3</v>
      </c>
      <c r="W10" s="19">
        <v>3.125E-2</v>
      </c>
      <c r="X10" s="19">
        <v>0.33680555555555558</v>
      </c>
      <c r="Y10" s="19">
        <v>0.3576388888888889</v>
      </c>
      <c r="Z10" s="19">
        <f t="shared" si="1"/>
        <v>2.0833333333333315E-2</v>
      </c>
      <c r="AA10" s="19">
        <v>0</v>
      </c>
      <c r="AB10" s="19">
        <v>0.3611111111111111</v>
      </c>
      <c r="AC10" s="20"/>
      <c r="AD10" s="61"/>
    </row>
    <row r="11" spans="1:30" ht="19.5" thickBot="1" x14ac:dyDescent="0.3">
      <c r="A11" s="16">
        <v>9</v>
      </c>
      <c r="B11" s="17">
        <v>539</v>
      </c>
      <c r="C11" s="17" t="str">
        <f>VLOOKUP(B11,داتا!$B$3:$D$42,2,FALSE)</f>
        <v>دبابة</v>
      </c>
      <c r="D11" s="18">
        <f>VLOOKUP(B11,داتا!$B$3:$D$42,3,FALSE)</f>
        <v>2.0833333333333332E-2</v>
      </c>
      <c r="E11" s="17" t="s">
        <v>45</v>
      </c>
      <c r="F11" s="17" t="s">
        <v>39</v>
      </c>
      <c r="G11" s="19">
        <v>0.25</v>
      </c>
      <c r="H11" s="19">
        <v>0.27430555555555552</v>
      </c>
      <c r="I11" s="19">
        <f t="shared" si="2"/>
        <v>2.4305555555555525E-2</v>
      </c>
      <c r="J11" s="19">
        <v>0.2951388888888889</v>
      </c>
      <c r="K11" s="19">
        <v>0.2986111111111111</v>
      </c>
      <c r="L11" s="19" t="s">
        <v>64</v>
      </c>
      <c r="M11" s="19" t="s">
        <v>65</v>
      </c>
      <c r="N11" s="19">
        <f t="shared" si="3"/>
        <v>3.4722222222222099E-3</v>
      </c>
      <c r="O11" s="19">
        <v>0</v>
      </c>
      <c r="P11" s="19">
        <v>6.9444444444444441E-3</v>
      </c>
      <c r="Q11" s="19">
        <v>0.2986111111111111</v>
      </c>
      <c r="R11" s="19">
        <v>0</v>
      </c>
      <c r="S11" s="19">
        <v>0.2986111111111111</v>
      </c>
      <c r="T11" s="19">
        <f>VLOOKUP(E11,'[1]22-1-2026'!$E$3:$T$13,16,FALSE)</f>
        <v>1.3888888888888888E-2</v>
      </c>
      <c r="U11" s="19">
        <v>0.3125</v>
      </c>
      <c r="V11" s="19">
        <f t="shared" si="6"/>
        <v>0</v>
      </c>
      <c r="W11" s="19">
        <v>3.125E-2</v>
      </c>
      <c r="X11" s="19">
        <v>0.3125</v>
      </c>
      <c r="Y11" s="19">
        <v>0.34375</v>
      </c>
      <c r="Z11" s="19">
        <f t="shared" si="1"/>
        <v>3.125E-2</v>
      </c>
      <c r="AA11" s="19">
        <f t="shared" si="0"/>
        <v>0</v>
      </c>
      <c r="AB11" s="19">
        <v>0.34722222222222227</v>
      </c>
      <c r="AC11" s="21"/>
      <c r="AD11" s="61"/>
    </row>
    <row r="12" spans="1:30" ht="21.75" thickBot="1" x14ac:dyDescent="0.3">
      <c r="A12" s="16">
        <v>10</v>
      </c>
      <c r="B12" s="17">
        <v>492</v>
      </c>
      <c r="C12" s="17" t="str">
        <f>VLOOKUP(B12,داتا!$B$3:$D$42,2,FALSE)</f>
        <v>دبابة</v>
      </c>
      <c r="D12" s="18">
        <f>VLOOKUP(B12,داتا!$B$3:$D$42,3,FALSE)</f>
        <v>2.0833333333333332E-2</v>
      </c>
      <c r="E12" s="17" t="s">
        <v>41</v>
      </c>
      <c r="F12" s="17" t="s">
        <v>77</v>
      </c>
      <c r="G12" s="19">
        <v>0.25</v>
      </c>
      <c r="H12" s="19">
        <v>0.2951388888888889</v>
      </c>
      <c r="I12" s="19">
        <f t="shared" si="2"/>
        <v>4.5138888888888895E-2</v>
      </c>
      <c r="J12" s="19">
        <v>0.28125</v>
      </c>
      <c r="K12" s="19">
        <v>0.29166666666666669</v>
      </c>
      <c r="L12" s="19" t="s">
        <v>64</v>
      </c>
      <c r="M12" s="19" t="s">
        <v>65</v>
      </c>
      <c r="N12" s="19">
        <f t="shared" si="3"/>
        <v>1.0416666666666685E-2</v>
      </c>
      <c r="O12" s="19">
        <v>0</v>
      </c>
      <c r="P12" s="19">
        <v>6.9444444444444441E-3</v>
      </c>
      <c r="Q12" s="19">
        <v>0.2951388888888889</v>
      </c>
      <c r="R12" s="19">
        <v>0</v>
      </c>
      <c r="S12" s="19">
        <v>0.2951388888888889</v>
      </c>
      <c r="T12" s="19">
        <f>VLOOKUP(E12,'[1]22-1-2026'!$E$3:$T$13,16,FALSE)</f>
        <v>1.7361111111111112E-2</v>
      </c>
      <c r="U12" s="19">
        <v>0.33333333333333331</v>
      </c>
      <c r="V12" s="19">
        <f t="shared" si="6"/>
        <v>2.0833333333333315E-2</v>
      </c>
      <c r="W12" s="19">
        <v>3.125E-2</v>
      </c>
      <c r="X12" s="19">
        <v>0.33680555555555558</v>
      </c>
      <c r="Y12" s="19">
        <v>0.36805555555555558</v>
      </c>
      <c r="Z12" s="19">
        <f t="shared" si="1"/>
        <v>3.125E-2</v>
      </c>
      <c r="AA12" s="19">
        <f t="shared" si="0"/>
        <v>0</v>
      </c>
      <c r="AB12" s="19">
        <v>0.36944444444444446</v>
      </c>
      <c r="AC12" s="22"/>
      <c r="AD12" s="61"/>
    </row>
    <row r="13" spans="1:30" ht="21.75" thickBot="1" x14ac:dyDescent="0.3">
      <c r="A13" s="16">
        <v>11</v>
      </c>
      <c r="B13" s="17">
        <v>762</v>
      </c>
      <c r="C13" s="17" t="str">
        <f>VLOOKUP(B13,داتا!$B$3:$D$42,2,FALSE)</f>
        <v>دبابة</v>
      </c>
      <c r="D13" s="18">
        <f>VLOOKUP(B13,داتا!$B$3:$D$42,3,FALSE)</f>
        <v>2.0833333333333332E-2</v>
      </c>
      <c r="E13" s="17" t="s">
        <v>52</v>
      </c>
      <c r="F13" s="17" t="s">
        <v>42</v>
      </c>
      <c r="G13" s="19">
        <v>0.20833333333333334</v>
      </c>
      <c r="H13" s="19">
        <v>0.16666666666666666</v>
      </c>
      <c r="I13" s="19">
        <v>0</v>
      </c>
      <c r="J13" s="19">
        <v>0.30208333333333331</v>
      </c>
      <c r="K13" s="19">
        <v>0.30555555555555552</v>
      </c>
      <c r="L13" s="19" t="s">
        <v>64</v>
      </c>
      <c r="M13" s="19" t="s">
        <v>65</v>
      </c>
      <c r="N13" s="19">
        <f t="shared" si="3"/>
        <v>3.4722222222222099E-3</v>
      </c>
      <c r="O13" s="19">
        <v>0</v>
      </c>
      <c r="P13" s="19">
        <v>6.9444444444444441E-3</v>
      </c>
      <c r="Q13" s="19">
        <v>0.30902777777777779</v>
      </c>
      <c r="R13" s="19">
        <v>0</v>
      </c>
      <c r="S13" s="19">
        <v>0.30902777777777779</v>
      </c>
      <c r="T13" s="19">
        <f>VLOOKUP(E13,'[1]22-1-2026'!$E$3:$T$13,16,FALSE)</f>
        <v>3.472222222222222E-3</v>
      </c>
      <c r="U13" s="19">
        <v>0.3125</v>
      </c>
      <c r="V13" s="19">
        <f t="shared" si="6"/>
        <v>0</v>
      </c>
      <c r="W13" s="19">
        <v>3.125E-2</v>
      </c>
      <c r="X13" s="19">
        <v>0.34027777777777773</v>
      </c>
      <c r="Y13" s="19">
        <v>0.375</v>
      </c>
      <c r="Z13" s="19">
        <f t="shared" si="1"/>
        <v>3.4722222222222265E-2</v>
      </c>
      <c r="AA13" s="19">
        <f t="shared" si="0"/>
        <v>3.4722222222222654E-3</v>
      </c>
      <c r="AB13" s="19">
        <v>0.37847222222222227</v>
      </c>
      <c r="AC13" s="22"/>
      <c r="AD13" s="61"/>
    </row>
    <row r="14" spans="1:30" ht="21.75" thickBot="1" x14ac:dyDescent="0.3">
      <c r="A14" s="16">
        <v>12</v>
      </c>
      <c r="B14" s="17">
        <v>7435</v>
      </c>
      <c r="C14" s="17" t="str">
        <f>VLOOKUP(B14,داتا!$B$3:$D$42,2,FALSE)</f>
        <v>تلتين</v>
      </c>
      <c r="D14" s="18">
        <f>VLOOKUP(B14,داتا!$B$3:$D$42,3,FALSE)</f>
        <v>3.125E-2</v>
      </c>
      <c r="E14" s="17" t="s">
        <v>35</v>
      </c>
      <c r="F14" s="17" t="s">
        <v>61</v>
      </c>
      <c r="G14" s="19">
        <v>0.25</v>
      </c>
      <c r="H14" s="19">
        <v>0.25694444444444448</v>
      </c>
      <c r="I14" s="19">
        <f t="shared" si="2"/>
        <v>6.9444444444444753E-3</v>
      </c>
      <c r="J14" s="19">
        <v>0.2951388888888889</v>
      </c>
      <c r="K14" s="19">
        <v>0.3125</v>
      </c>
      <c r="L14" s="19" t="s">
        <v>64</v>
      </c>
      <c r="M14" s="19" t="s">
        <v>65</v>
      </c>
      <c r="N14" s="19">
        <f t="shared" si="3"/>
        <v>1.7361111111111105E-2</v>
      </c>
      <c r="O14" s="19">
        <v>0</v>
      </c>
      <c r="P14" s="19">
        <v>6.9444444444444441E-3</v>
      </c>
      <c r="Q14" s="19">
        <v>0.30555555555555552</v>
      </c>
      <c r="R14" s="19">
        <v>0</v>
      </c>
      <c r="S14" s="19">
        <v>0.30555555555555552</v>
      </c>
      <c r="T14" s="19">
        <f>VLOOKUP(E14,'[1]22-1-2026'!$E$3:$T$13,16,FALSE)</f>
        <v>1.3888888888888888E-2</v>
      </c>
      <c r="U14" s="19">
        <v>0.32291666666666669</v>
      </c>
      <c r="V14" s="19">
        <f t="shared" si="6"/>
        <v>3.4722222222222654E-3</v>
      </c>
      <c r="W14" s="19">
        <v>3.125E-2</v>
      </c>
      <c r="X14" s="19">
        <v>0.33333333333333331</v>
      </c>
      <c r="Y14" s="19">
        <v>0.36805555555555558</v>
      </c>
      <c r="Z14" s="19">
        <f t="shared" si="1"/>
        <v>3.4722222222222265E-2</v>
      </c>
      <c r="AA14" s="19">
        <f t="shared" si="0"/>
        <v>3.4722222222222654E-3</v>
      </c>
      <c r="AB14" s="19">
        <v>0.37152777777777773</v>
      </c>
      <c r="AC14" s="22"/>
      <c r="AD14" s="61"/>
    </row>
    <row r="15" spans="1:30" ht="21.75" thickBot="1" x14ac:dyDescent="0.3">
      <c r="A15" s="32">
        <v>13</v>
      </c>
      <c r="B15" s="23">
        <v>7435</v>
      </c>
      <c r="C15" s="23" t="str">
        <f>VLOOKUP(B15,داتا!$B$3:$D$42,2,FALSE)</f>
        <v>تلتين</v>
      </c>
      <c r="D15" s="24">
        <f>VLOOKUP(B15,داتا!$B$3:$D$42,3,FALSE)</f>
        <v>3.125E-2</v>
      </c>
      <c r="E15" s="23" t="s">
        <v>37</v>
      </c>
      <c r="F15" s="23" t="s">
        <v>61</v>
      </c>
      <c r="G15" s="25">
        <v>0.25</v>
      </c>
      <c r="H15" s="25">
        <v>0.25694444444444448</v>
      </c>
      <c r="I15" s="25">
        <f t="shared" si="2"/>
        <v>6.9444444444444753E-3</v>
      </c>
      <c r="J15" s="25">
        <v>0.2951388888888889</v>
      </c>
      <c r="K15" s="25">
        <v>0.3125</v>
      </c>
      <c r="L15" s="25" t="s">
        <v>64</v>
      </c>
      <c r="M15" s="25" t="s">
        <v>65</v>
      </c>
      <c r="N15" s="25">
        <f t="shared" si="3"/>
        <v>1.7361111111111105E-2</v>
      </c>
      <c r="O15" s="25">
        <v>0</v>
      </c>
      <c r="P15" s="25">
        <v>6.9444444444444441E-3</v>
      </c>
      <c r="Q15" s="25">
        <v>0.30555555555555552</v>
      </c>
      <c r="R15" s="25">
        <v>0</v>
      </c>
      <c r="S15" s="25">
        <v>0.30555555555555552</v>
      </c>
      <c r="T15" s="25">
        <f>VLOOKUP(E15,'[1]22-1-2026'!$E$3:$T$13,16,FALSE)</f>
        <v>1.3888888888888888E-2</v>
      </c>
      <c r="U15" s="25">
        <v>0.37847222222222227</v>
      </c>
      <c r="V15" s="25">
        <v>0</v>
      </c>
      <c r="W15" s="25">
        <v>4.1666666666666664E-2</v>
      </c>
      <c r="X15" s="25">
        <v>0.37986111111111115</v>
      </c>
      <c r="Y15" s="25">
        <v>0.41250000000000003</v>
      </c>
      <c r="Z15" s="25">
        <f t="shared" si="1"/>
        <v>3.2638888888888884E-2</v>
      </c>
      <c r="AA15" s="19">
        <v>0</v>
      </c>
      <c r="AB15" s="25">
        <v>0.41666666666666669</v>
      </c>
      <c r="AC15" s="26"/>
      <c r="AD15" s="62"/>
    </row>
    <row r="16" spans="1:30" ht="20.25" thickTop="1" thickBot="1" x14ac:dyDescent="0.3">
      <c r="A16" s="11">
        <v>1</v>
      </c>
      <c r="B16" s="12">
        <v>762</v>
      </c>
      <c r="C16" s="12" t="str">
        <f>VLOOKUP(B16,داتا!$B$3:$D$42,2,FALSE)</f>
        <v>دبابة</v>
      </c>
      <c r="D16" s="13">
        <f>VLOOKUP(B16,داتا!$B$3:$D$42,3,FALSE)</f>
        <v>2.0833333333333332E-2</v>
      </c>
      <c r="E16" s="12" t="s">
        <v>47</v>
      </c>
      <c r="F16" s="12" t="s">
        <v>79</v>
      </c>
      <c r="G16" s="14">
        <v>0.25</v>
      </c>
      <c r="H16" s="14">
        <v>0.25</v>
      </c>
      <c r="I16" s="14">
        <f t="shared" si="2"/>
        <v>0</v>
      </c>
      <c r="J16" s="14">
        <v>0.37847222222222227</v>
      </c>
      <c r="K16" s="14">
        <v>0.40972222222222227</v>
      </c>
      <c r="L16" s="14" t="s">
        <v>66</v>
      </c>
      <c r="M16" s="14" t="s">
        <v>82</v>
      </c>
      <c r="N16" s="14">
        <f t="shared" si="3"/>
        <v>3.125E-2</v>
      </c>
      <c r="O16" s="14">
        <f t="shared" si="5"/>
        <v>1.0416666666666668E-2</v>
      </c>
      <c r="P16" s="14">
        <v>6.9444444444444441E-3</v>
      </c>
      <c r="Q16" s="14">
        <v>0.40972222222222227</v>
      </c>
      <c r="R16" s="14">
        <v>0</v>
      </c>
      <c r="S16" s="14">
        <v>0.40972222222222227</v>
      </c>
      <c r="T16" s="14">
        <f>VLOOKUP(E16,'[1]22-1-2026'!$E$3:$T$13,16,FALSE)</f>
        <v>1.3888888888888888E-2</v>
      </c>
      <c r="U16" s="14">
        <v>0.42222222222222222</v>
      </c>
      <c r="V16" s="14">
        <v>0</v>
      </c>
      <c r="W16" s="14">
        <v>2.0833333333333332E-2</v>
      </c>
      <c r="X16" s="14">
        <v>0.42291666666666666</v>
      </c>
      <c r="Y16" s="14">
        <v>0.43402777777777773</v>
      </c>
      <c r="Z16" s="14">
        <f t="shared" si="1"/>
        <v>1.1111111111111072E-2</v>
      </c>
      <c r="AA16" s="14">
        <v>0</v>
      </c>
      <c r="AB16" s="14">
        <v>0.4368055555555555</v>
      </c>
      <c r="AC16" s="27"/>
      <c r="AD16" s="60" t="s">
        <v>54</v>
      </c>
    </row>
    <row r="17" spans="1:30" ht="19.5" thickBot="1" x14ac:dyDescent="0.3">
      <c r="A17" s="16">
        <v>2</v>
      </c>
      <c r="B17" s="17">
        <v>762</v>
      </c>
      <c r="C17" s="17" t="str">
        <f>VLOOKUP(B17,داتا!$B$3:$D$42,2,FALSE)</f>
        <v>دبابة</v>
      </c>
      <c r="D17" s="18">
        <f>VLOOKUP(B17,داتا!$B$3:$D$42,3,FALSE)</f>
        <v>2.0833333333333332E-2</v>
      </c>
      <c r="E17" s="17" t="s">
        <v>45</v>
      </c>
      <c r="F17" s="17" t="s">
        <v>79</v>
      </c>
      <c r="G17" s="19">
        <v>0.25</v>
      </c>
      <c r="H17" s="19">
        <v>0.25</v>
      </c>
      <c r="I17" s="19">
        <f t="shared" si="2"/>
        <v>0</v>
      </c>
      <c r="J17" s="19">
        <v>0.37847222222222227</v>
      </c>
      <c r="K17" s="19">
        <v>0.40972222222222227</v>
      </c>
      <c r="L17" s="19" t="s">
        <v>66</v>
      </c>
      <c r="M17" s="19" t="s">
        <v>82</v>
      </c>
      <c r="N17" s="19">
        <f t="shared" si="3"/>
        <v>3.125E-2</v>
      </c>
      <c r="O17" s="19">
        <f t="shared" si="5"/>
        <v>1.0416666666666668E-2</v>
      </c>
      <c r="P17" s="19">
        <v>6.9444444444444441E-3</v>
      </c>
      <c r="Q17" s="19">
        <v>0.40972222222222227</v>
      </c>
      <c r="R17" s="19">
        <v>0</v>
      </c>
      <c r="S17" s="19">
        <v>0.40972222222222227</v>
      </c>
      <c r="T17" s="19">
        <f>VLOOKUP(E17,'[1]22-1-2026'!$E$3:$T$13,16,FALSE)</f>
        <v>1.3888888888888888E-2</v>
      </c>
      <c r="U17" s="19">
        <v>0.44791666666666669</v>
      </c>
      <c r="V17" s="19">
        <v>0</v>
      </c>
      <c r="W17" s="19">
        <v>3.125E-2</v>
      </c>
      <c r="X17" s="19">
        <v>0.44861111111111113</v>
      </c>
      <c r="Y17" s="19">
        <v>0.46875</v>
      </c>
      <c r="Z17" s="19">
        <f t="shared" si="1"/>
        <v>2.0138888888888873E-2</v>
      </c>
      <c r="AA17" s="19">
        <v>0</v>
      </c>
      <c r="AB17" s="19">
        <v>0.47222222222222227</v>
      </c>
      <c r="AC17" s="20"/>
      <c r="AD17" s="61"/>
    </row>
    <row r="18" spans="1:30" ht="21.75" thickBot="1" x14ac:dyDescent="0.3">
      <c r="A18" s="16">
        <v>3</v>
      </c>
      <c r="B18" s="17">
        <v>249</v>
      </c>
      <c r="C18" s="17" t="str">
        <f>VLOOKUP(B18,داتا!$B$3:$D$42,2,FALSE)</f>
        <v>دبابة</v>
      </c>
      <c r="D18" s="18">
        <f>VLOOKUP(B18,داتا!$B$3:$D$42,3,FALSE)</f>
        <v>2.0833333333333332E-2</v>
      </c>
      <c r="E18" s="17" t="s">
        <v>38</v>
      </c>
      <c r="F18" s="17" t="s">
        <v>50</v>
      </c>
      <c r="G18" s="19">
        <v>0.25</v>
      </c>
      <c r="H18" s="19">
        <f t="shared" ref="H18:H39" si="7">VLOOKUP(F18,$F$3:$H$12,3,FALSE)</f>
        <v>0.25</v>
      </c>
      <c r="I18" s="19">
        <f t="shared" si="2"/>
        <v>0</v>
      </c>
      <c r="J18" s="19">
        <v>0.3888888888888889</v>
      </c>
      <c r="K18" s="19">
        <v>0.43055555555555558</v>
      </c>
      <c r="L18" s="19" t="s">
        <v>83</v>
      </c>
      <c r="M18" s="19" t="s">
        <v>82</v>
      </c>
      <c r="N18" s="19">
        <f t="shared" si="3"/>
        <v>4.1666666666666685E-2</v>
      </c>
      <c r="O18" s="19">
        <f t="shared" si="5"/>
        <v>2.0833333333333353E-2</v>
      </c>
      <c r="P18" s="19">
        <v>6.9444444444444441E-3</v>
      </c>
      <c r="Q18" s="19">
        <v>0.43055555555555558</v>
      </c>
      <c r="R18" s="19">
        <v>0</v>
      </c>
      <c r="S18" s="19">
        <v>0.43055555555555558</v>
      </c>
      <c r="T18" s="19">
        <f>VLOOKUP(E18,'[1]22-1-2026'!$E$3:$T$13,16,FALSE)</f>
        <v>3.4722222222222224E-2</v>
      </c>
      <c r="U18" s="19">
        <v>0.47222222222222227</v>
      </c>
      <c r="V18" s="19">
        <f t="shared" si="6"/>
        <v>6.9444444444444753E-3</v>
      </c>
      <c r="W18" s="19">
        <v>2.0833333333333332E-2</v>
      </c>
      <c r="X18" s="19">
        <v>0.47430555555555554</v>
      </c>
      <c r="Y18" s="19">
        <v>0.48958333333333331</v>
      </c>
      <c r="Z18" s="19">
        <f t="shared" si="1"/>
        <v>1.5277777777777779E-2</v>
      </c>
      <c r="AA18" s="19">
        <v>0</v>
      </c>
      <c r="AB18" s="19">
        <v>0.49305555555555558</v>
      </c>
      <c r="AC18" s="22"/>
      <c r="AD18" s="61"/>
    </row>
    <row r="19" spans="1:30" ht="19.5" thickBot="1" x14ac:dyDescent="0.3">
      <c r="A19" s="16">
        <v>4</v>
      </c>
      <c r="B19" s="17">
        <v>249</v>
      </c>
      <c r="C19" s="17" t="str">
        <f>VLOOKUP(B19,داتا!$B$3:$D$42,2,FALSE)</f>
        <v>دبابة</v>
      </c>
      <c r="D19" s="18">
        <f>VLOOKUP(B19,داتا!$B$3:$D$42,3,FALSE)</f>
        <v>2.0833333333333332E-2</v>
      </c>
      <c r="E19" s="17" t="s">
        <v>40</v>
      </c>
      <c r="F19" s="17" t="s">
        <v>50</v>
      </c>
      <c r="G19" s="19">
        <v>0.25</v>
      </c>
      <c r="H19" s="19">
        <f t="shared" si="7"/>
        <v>0.25</v>
      </c>
      <c r="I19" s="19">
        <f t="shared" si="2"/>
        <v>0</v>
      </c>
      <c r="J19" s="19">
        <v>0.3888888888888889</v>
      </c>
      <c r="K19" s="19">
        <v>0.43055555555555558</v>
      </c>
      <c r="L19" s="19" t="s">
        <v>83</v>
      </c>
      <c r="M19" s="19" t="s">
        <v>82</v>
      </c>
      <c r="N19" s="19">
        <f t="shared" si="3"/>
        <v>4.1666666666666685E-2</v>
      </c>
      <c r="O19" s="19">
        <f t="shared" si="5"/>
        <v>2.0833333333333353E-2</v>
      </c>
      <c r="P19" s="19">
        <v>6.9444444444444441E-3</v>
      </c>
      <c r="Q19" s="19">
        <v>0.43055555555555558</v>
      </c>
      <c r="R19" s="19">
        <v>0</v>
      </c>
      <c r="S19" s="19">
        <v>0.43055555555555558</v>
      </c>
      <c r="T19" s="19">
        <v>2.0833333333333332E-2</v>
      </c>
      <c r="U19" s="19">
        <v>0.51041666666666663</v>
      </c>
      <c r="V19" s="19">
        <v>0</v>
      </c>
      <c r="W19" s="19">
        <v>3.125E-2</v>
      </c>
      <c r="X19" s="19">
        <v>0.51388888888888895</v>
      </c>
      <c r="Y19" s="19">
        <v>0.54166666666666663</v>
      </c>
      <c r="Z19" s="19">
        <f t="shared" si="1"/>
        <v>2.7777777777777679E-2</v>
      </c>
      <c r="AA19" s="19">
        <v>0</v>
      </c>
      <c r="AB19" s="19">
        <v>0.54513888888888895</v>
      </c>
      <c r="AC19" s="20"/>
      <c r="AD19" s="61"/>
    </row>
    <row r="20" spans="1:30" ht="19.5" thickBot="1" x14ac:dyDescent="0.3">
      <c r="A20" s="16">
        <v>5</v>
      </c>
      <c r="B20" s="17">
        <v>539</v>
      </c>
      <c r="C20" s="17" t="str">
        <f>VLOOKUP(B20,داتا!$B$3:$D$42,2,FALSE)</f>
        <v>دبابة</v>
      </c>
      <c r="D20" s="18">
        <f>VLOOKUP(B20,داتا!$B$3:$D$42,3,FALSE)</f>
        <v>2.0833333333333332E-2</v>
      </c>
      <c r="E20" s="17" t="s">
        <v>58</v>
      </c>
      <c r="F20" s="17" t="s">
        <v>39</v>
      </c>
      <c r="G20" s="19">
        <v>0.25</v>
      </c>
      <c r="H20" s="19">
        <f t="shared" si="7"/>
        <v>0.27430555555555552</v>
      </c>
      <c r="I20" s="19">
        <f t="shared" si="2"/>
        <v>2.4305555555555525E-2</v>
      </c>
      <c r="J20" s="19">
        <v>0.41319444444444442</v>
      </c>
      <c r="K20" s="19">
        <v>0.4375</v>
      </c>
      <c r="L20" s="19" t="s">
        <v>83</v>
      </c>
      <c r="M20" s="19" t="s">
        <v>82</v>
      </c>
      <c r="N20" s="19">
        <f t="shared" si="3"/>
        <v>2.430555555555558E-2</v>
      </c>
      <c r="O20" s="19">
        <f t="shared" si="5"/>
        <v>3.4722222222222481E-3</v>
      </c>
      <c r="P20" s="19">
        <v>6.9444444444444441E-3</v>
      </c>
      <c r="Q20" s="19">
        <v>0.4375</v>
      </c>
      <c r="R20" s="19">
        <v>0</v>
      </c>
      <c r="S20" s="19">
        <v>0.4375</v>
      </c>
      <c r="T20" s="19">
        <v>2.4305555555555556E-2</v>
      </c>
      <c r="U20" s="19">
        <v>0.45833333333333331</v>
      </c>
      <c r="V20" s="19">
        <v>0</v>
      </c>
      <c r="W20" s="19">
        <v>2.0833333333333332E-2</v>
      </c>
      <c r="X20" s="19">
        <v>0.46180555555555558</v>
      </c>
      <c r="Y20" s="19">
        <v>0.46875</v>
      </c>
      <c r="Z20" s="19">
        <f t="shared" si="1"/>
        <v>6.9444444444444198E-3</v>
      </c>
      <c r="AA20" s="19">
        <v>0</v>
      </c>
      <c r="AB20" s="19">
        <v>0.47222222222222227</v>
      </c>
      <c r="AC20" s="20"/>
      <c r="AD20" s="61"/>
    </row>
    <row r="21" spans="1:30" ht="19.5" thickBot="1" x14ac:dyDescent="0.3">
      <c r="A21" s="16">
        <v>6</v>
      </c>
      <c r="B21" s="17">
        <v>539</v>
      </c>
      <c r="C21" s="17" t="str">
        <f>VLOOKUP(B21,داتا!$B$3:$D$42,2,FALSE)</f>
        <v>دبابة</v>
      </c>
      <c r="D21" s="18">
        <f>VLOOKUP(B21,داتا!$B$3:$D$42,3,FALSE)</f>
        <v>2.0833333333333332E-2</v>
      </c>
      <c r="E21" s="17" t="s">
        <v>30</v>
      </c>
      <c r="F21" s="17" t="s">
        <v>39</v>
      </c>
      <c r="G21" s="19">
        <v>0.25</v>
      </c>
      <c r="H21" s="19">
        <f t="shared" si="7"/>
        <v>0.27430555555555552</v>
      </c>
      <c r="I21" s="19">
        <f t="shared" si="2"/>
        <v>2.4305555555555525E-2</v>
      </c>
      <c r="J21" s="19">
        <v>0.41319444444444442</v>
      </c>
      <c r="K21" s="19">
        <v>0.4375</v>
      </c>
      <c r="L21" s="19" t="s">
        <v>83</v>
      </c>
      <c r="M21" s="19" t="s">
        <v>82</v>
      </c>
      <c r="N21" s="19">
        <f t="shared" si="3"/>
        <v>2.430555555555558E-2</v>
      </c>
      <c r="O21" s="19">
        <f t="shared" si="5"/>
        <v>3.4722222222222481E-3</v>
      </c>
      <c r="P21" s="19">
        <v>6.9444444444444441E-3</v>
      </c>
      <c r="Q21" s="19">
        <v>0.4375</v>
      </c>
      <c r="R21" s="19">
        <v>0</v>
      </c>
      <c r="S21" s="19">
        <v>0.4375</v>
      </c>
      <c r="T21" s="19">
        <v>1.7361111111111112E-2</v>
      </c>
      <c r="U21" s="19">
        <v>0.4861111111111111</v>
      </c>
      <c r="V21" s="19">
        <v>0</v>
      </c>
      <c r="W21" s="19">
        <v>3.125E-2</v>
      </c>
      <c r="X21" s="19">
        <v>0.48749999999999999</v>
      </c>
      <c r="Y21" s="19">
        <v>0.51388888888888895</v>
      </c>
      <c r="Z21" s="19">
        <f t="shared" si="1"/>
        <v>2.6388888888888962E-2</v>
      </c>
      <c r="AA21" s="19">
        <v>0</v>
      </c>
      <c r="AB21" s="19">
        <v>0.51736111111111105</v>
      </c>
      <c r="AC21" s="20"/>
      <c r="AD21" s="61"/>
    </row>
    <row r="22" spans="1:30" ht="19.5" thickBot="1" x14ac:dyDescent="0.3">
      <c r="A22" s="16">
        <v>7</v>
      </c>
      <c r="B22" s="17">
        <v>7435</v>
      </c>
      <c r="C22" s="17" t="str">
        <f>VLOOKUP(B22,داتا!$B$3:$D$42,2,FALSE)</f>
        <v>تلتين</v>
      </c>
      <c r="D22" s="18">
        <f>VLOOKUP(B22,داتا!$B$3:$D$42,3,FALSE)</f>
        <v>3.125E-2</v>
      </c>
      <c r="E22" s="17" t="s">
        <v>41</v>
      </c>
      <c r="F22" s="17" t="s">
        <v>61</v>
      </c>
      <c r="G22" s="19">
        <v>0.25</v>
      </c>
      <c r="H22" s="19">
        <v>0.25694444444444448</v>
      </c>
      <c r="I22" s="19">
        <f t="shared" si="2"/>
        <v>6.9444444444444753E-3</v>
      </c>
      <c r="J22" s="19">
        <v>0.42708333333333331</v>
      </c>
      <c r="K22" s="19">
        <v>0.46875</v>
      </c>
      <c r="L22" s="19" t="s">
        <v>66</v>
      </c>
      <c r="M22" s="19" t="s">
        <v>82</v>
      </c>
      <c r="N22" s="19">
        <f t="shared" si="3"/>
        <v>4.1666666666666685E-2</v>
      </c>
      <c r="O22" s="19">
        <f t="shared" si="5"/>
        <v>1.0416666666666685E-2</v>
      </c>
      <c r="P22" s="19">
        <v>6.9444444444444441E-3</v>
      </c>
      <c r="Q22" s="19">
        <v>0.46875</v>
      </c>
      <c r="R22" s="19">
        <v>0</v>
      </c>
      <c r="S22" s="19">
        <v>0.46875</v>
      </c>
      <c r="T22" s="19">
        <f>VLOOKUP(E22,'[1]22-1-2026'!$E$3:$T$13,16,FALSE)</f>
        <v>1.7361111111111112E-2</v>
      </c>
      <c r="U22" s="19">
        <v>0.52777777777777779</v>
      </c>
      <c r="V22" s="19">
        <f t="shared" si="6"/>
        <v>4.166666666666663E-2</v>
      </c>
      <c r="W22" s="19">
        <v>3.125E-2</v>
      </c>
      <c r="X22" s="19">
        <v>0.53125</v>
      </c>
      <c r="Y22" s="19">
        <v>0.54513888888888895</v>
      </c>
      <c r="Z22" s="19">
        <f t="shared" si="1"/>
        <v>1.3888888888888951E-2</v>
      </c>
      <c r="AA22" s="19">
        <v>0</v>
      </c>
      <c r="AB22" s="19">
        <v>0.54861111111111105</v>
      </c>
      <c r="AC22" s="20"/>
      <c r="AD22" s="61"/>
    </row>
    <row r="23" spans="1:30" ht="19.5" thickBot="1" x14ac:dyDescent="0.3">
      <c r="A23" s="16">
        <v>8</v>
      </c>
      <c r="B23" s="17">
        <v>7435</v>
      </c>
      <c r="C23" s="17" t="str">
        <f>VLOOKUP(B23,داتا!$B$3:$D$42,2,FALSE)</f>
        <v>تلتين</v>
      </c>
      <c r="D23" s="18">
        <f>VLOOKUP(B23,داتا!$B$3:$D$42,3,FALSE)</f>
        <v>3.125E-2</v>
      </c>
      <c r="E23" s="17" t="s">
        <v>33</v>
      </c>
      <c r="F23" s="17" t="s">
        <v>61</v>
      </c>
      <c r="G23" s="19">
        <v>0.25</v>
      </c>
      <c r="H23" s="19">
        <v>0.25694444444444448</v>
      </c>
      <c r="I23" s="19">
        <f t="shared" si="2"/>
        <v>6.9444444444444753E-3</v>
      </c>
      <c r="J23" s="19">
        <v>0.42708333333333331</v>
      </c>
      <c r="K23" s="19">
        <v>0.46875</v>
      </c>
      <c r="L23" s="19" t="s">
        <v>66</v>
      </c>
      <c r="M23" s="19" t="s">
        <v>82</v>
      </c>
      <c r="N23" s="19">
        <f t="shared" si="3"/>
        <v>4.1666666666666685E-2</v>
      </c>
      <c r="O23" s="19">
        <f t="shared" si="5"/>
        <v>1.0416666666666685E-2</v>
      </c>
      <c r="P23" s="19">
        <v>6.9444444444444441E-3</v>
      </c>
      <c r="Q23" s="19">
        <v>0.46875</v>
      </c>
      <c r="R23" s="19">
        <v>0</v>
      </c>
      <c r="S23" s="19">
        <v>0.46875</v>
      </c>
      <c r="T23" s="19">
        <f>VLOOKUP(E23,'[1]22-1-2026'!$E$3:$T$13,16,FALSE)</f>
        <v>2.7777777777777776E-2</v>
      </c>
      <c r="U23" s="19">
        <v>0.56944444444444442</v>
      </c>
      <c r="V23" s="19">
        <v>0</v>
      </c>
      <c r="W23" s="19">
        <v>4.1666666666666664E-2</v>
      </c>
      <c r="X23" s="19">
        <v>0.57986111111111105</v>
      </c>
      <c r="Y23" s="19">
        <v>0.6777777777777777</v>
      </c>
      <c r="Z23" s="19">
        <f t="shared" si="1"/>
        <v>9.7916666666666652E-2</v>
      </c>
      <c r="AA23" s="19">
        <f t="shared" si="0"/>
        <v>5.6249999999999988E-2</v>
      </c>
      <c r="AB23" s="19">
        <v>0.68125000000000002</v>
      </c>
      <c r="AC23" s="20"/>
      <c r="AD23" s="61"/>
    </row>
    <row r="24" spans="1:30" ht="19.5" thickBot="1" x14ac:dyDescent="0.3">
      <c r="A24" s="16">
        <v>9</v>
      </c>
      <c r="B24" s="17">
        <v>892</v>
      </c>
      <c r="C24" s="17" t="str">
        <f>VLOOKUP(B24,داتا!$B$3:$D$42,2,FALSE)</f>
        <v>تلتين</v>
      </c>
      <c r="D24" s="18">
        <f>VLOOKUP(B24,داتا!$B$3:$D$42,3,FALSE)</f>
        <v>3.125E-2</v>
      </c>
      <c r="E24" s="17" t="s">
        <v>37</v>
      </c>
      <c r="F24" s="17" t="s">
        <v>63</v>
      </c>
      <c r="G24" s="19">
        <v>0.25</v>
      </c>
      <c r="H24" s="19">
        <f t="shared" si="7"/>
        <v>0.27083333333333331</v>
      </c>
      <c r="I24" s="19">
        <f t="shared" si="2"/>
        <v>2.0833333333333315E-2</v>
      </c>
      <c r="J24" s="19">
        <v>0.44097222222222227</v>
      </c>
      <c r="K24" s="19">
        <v>0.4826388888888889</v>
      </c>
      <c r="L24" s="19" t="s">
        <v>66</v>
      </c>
      <c r="M24" s="19" t="s">
        <v>82</v>
      </c>
      <c r="N24" s="19">
        <f t="shared" si="3"/>
        <v>4.166666666666663E-2</v>
      </c>
      <c r="O24" s="19">
        <f t="shared" si="5"/>
        <v>1.041666666666663E-2</v>
      </c>
      <c r="P24" s="19">
        <v>6.9444444444444441E-3</v>
      </c>
      <c r="Q24" s="19">
        <v>0.4826388888888889</v>
      </c>
      <c r="R24" s="19">
        <v>0</v>
      </c>
      <c r="S24" s="19">
        <v>0.4826388888888889</v>
      </c>
      <c r="T24" s="19">
        <f>VLOOKUP(E24,'[1]22-1-2026'!$E$3:$T$13,16,FALSE)</f>
        <v>1.3888888888888888E-2</v>
      </c>
      <c r="U24" s="19">
        <v>0.49305555555555558</v>
      </c>
      <c r="V24" s="19">
        <v>0</v>
      </c>
      <c r="W24" s="19">
        <v>3.125E-2</v>
      </c>
      <c r="X24" s="19">
        <v>0.5</v>
      </c>
      <c r="Y24" s="19">
        <v>0.5395833333333333</v>
      </c>
      <c r="Z24" s="19">
        <f t="shared" si="1"/>
        <v>3.9583333333333304E-2</v>
      </c>
      <c r="AA24" s="19">
        <f t="shared" si="0"/>
        <v>8.3333333333333037E-3</v>
      </c>
      <c r="AB24" s="19">
        <v>0.54166666666666663</v>
      </c>
      <c r="AC24" s="20"/>
      <c r="AD24" s="61"/>
    </row>
    <row r="25" spans="1:30" ht="19.5" thickBot="1" x14ac:dyDescent="0.3">
      <c r="A25" s="16">
        <v>10</v>
      </c>
      <c r="B25" s="17">
        <v>892</v>
      </c>
      <c r="C25" s="17" t="str">
        <f>VLOOKUP(B25,داتا!$B$3:$D$42,2,FALSE)</f>
        <v>تلتين</v>
      </c>
      <c r="D25" s="18">
        <f>VLOOKUP(B25,داتا!$B$3:$D$42,3,FALSE)</f>
        <v>3.125E-2</v>
      </c>
      <c r="E25" s="17" t="s">
        <v>35</v>
      </c>
      <c r="F25" s="17" t="s">
        <v>63</v>
      </c>
      <c r="G25" s="19">
        <v>0.25</v>
      </c>
      <c r="H25" s="19">
        <f t="shared" si="7"/>
        <v>0.27083333333333331</v>
      </c>
      <c r="I25" s="19">
        <f t="shared" si="2"/>
        <v>2.0833333333333315E-2</v>
      </c>
      <c r="J25" s="19">
        <v>0.44097222222222227</v>
      </c>
      <c r="K25" s="19">
        <v>0.4826388888888889</v>
      </c>
      <c r="L25" s="19" t="s">
        <v>66</v>
      </c>
      <c r="M25" s="19" t="s">
        <v>82</v>
      </c>
      <c r="N25" s="19">
        <f t="shared" si="3"/>
        <v>4.166666666666663E-2</v>
      </c>
      <c r="O25" s="19">
        <f t="shared" si="5"/>
        <v>1.041666666666663E-2</v>
      </c>
      <c r="P25" s="19">
        <v>6.9444444444444441E-3</v>
      </c>
      <c r="Q25" s="19">
        <v>0.4826388888888889</v>
      </c>
      <c r="R25" s="19">
        <v>0</v>
      </c>
      <c r="S25" s="19">
        <v>0.4826388888888889</v>
      </c>
      <c r="T25" s="19">
        <f>VLOOKUP(E25,'[1]22-1-2026'!$E$3:$T$13,16,FALSE)</f>
        <v>1.3888888888888888E-2</v>
      </c>
      <c r="U25" s="19">
        <v>0.55208333333333337</v>
      </c>
      <c r="V25" s="19">
        <v>0</v>
      </c>
      <c r="W25" s="19">
        <v>4.1666666666666664E-2</v>
      </c>
      <c r="X25" s="19">
        <v>0.56944444444444442</v>
      </c>
      <c r="Y25" s="19">
        <v>0.59722222222222221</v>
      </c>
      <c r="Z25" s="19">
        <f t="shared" si="1"/>
        <v>2.777777777777779E-2</v>
      </c>
      <c r="AA25" s="19">
        <v>0</v>
      </c>
      <c r="AB25" s="19">
        <v>0.60069444444444442</v>
      </c>
      <c r="AC25" s="20"/>
      <c r="AD25" s="61"/>
    </row>
    <row r="26" spans="1:30" ht="19.5" thickBot="1" x14ac:dyDescent="0.3">
      <c r="A26" s="16">
        <v>11</v>
      </c>
      <c r="B26" s="17">
        <v>492</v>
      </c>
      <c r="C26" s="17" t="str">
        <f>VLOOKUP(B26,داتا!$B$3:$D$42,2,FALSE)</f>
        <v>دبابة</v>
      </c>
      <c r="D26" s="18">
        <f>VLOOKUP(B26,داتا!$B$3:$D$42,3,FALSE)</f>
        <v>2.0833333333333332E-2</v>
      </c>
      <c r="E26" s="17" t="s">
        <v>76</v>
      </c>
      <c r="F26" s="17" t="s">
        <v>77</v>
      </c>
      <c r="G26" s="19">
        <v>0.25</v>
      </c>
      <c r="H26" s="19">
        <f t="shared" si="7"/>
        <v>0.2951388888888889</v>
      </c>
      <c r="I26" s="19">
        <f t="shared" si="2"/>
        <v>4.5138888888888895E-2</v>
      </c>
      <c r="J26" s="19">
        <v>0.46875</v>
      </c>
      <c r="K26" s="19">
        <v>0.50347222222222221</v>
      </c>
      <c r="L26" s="19" t="s">
        <v>83</v>
      </c>
      <c r="M26" s="19" t="s">
        <v>82</v>
      </c>
      <c r="N26" s="19">
        <f t="shared" si="3"/>
        <v>3.472222222222221E-2</v>
      </c>
      <c r="O26" s="19">
        <f t="shared" si="5"/>
        <v>1.3888888888888878E-2</v>
      </c>
      <c r="P26" s="19">
        <v>6.9444444444444441E-3</v>
      </c>
      <c r="Q26" s="19">
        <v>0.50347222222222221</v>
      </c>
      <c r="R26" s="19">
        <v>0</v>
      </c>
      <c r="S26" s="19">
        <v>0.50347222222222221</v>
      </c>
      <c r="T26" s="19">
        <v>4.1666666666666664E-2</v>
      </c>
      <c r="U26" s="19">
        <v>0.53819444444444442</v>
      </c>
      <c r="V26" s="19">
        <v>0</v>
      </c>
      <c r="W26" s="19">
        <v>2.0833333333333332E-2</v>
      </c>
      <c r="X26" s="19">
        <v>0.54166666666666663</v>
      </c>
      <c r="Y26" s="19">
        <v>0.54861111111111105</v>
      </c>
      <c r="Z26" s="19">
        <f t="shared" si="1"/>
        <v>6.9444444444444198E-3</v>
      </c>
      <c r="AA26" s="19">
        <v>0</v>
      </c>
      <c r="AB26" s="19">
        <v>0.55208333333333337</v>
      </c>
      <c r="AC26" s="20"/>
      <c r="AD26" s="61"/>
    </row>
    <row r="27" spans="1:30" ht="19.5" thickBot="1" x14ac:dyDescent="0.3">
      <c r="A27" s="16">
        <v>12</v>
      </c>
      <c r="B27" s="17">
        <v>492</v>
      </c>
      <c r="C27" s="17" t="str">
        <f>VLOOKUP(B27,داتا!$B$3:$D$42,2,FALSE)</f>
        <v>دبابة</v>
      </c>
      <c r="D27" s="18">
        <f>VLOOKUP(B27,داتا!$B$3:$D$42,3,FALSE)</f>
        <v>2.0833333333333332E-2</v>
      </c>
      <c r="E27" s="17" t="s">
        <v>51</v>
      </c>
      <c r="F27" s="17" t="s">
        <v>77</v>
      </c>
      <c r="G27" s="19">
        <v>0.25</v>
      </c>
      <c r="H27" s="19">
        <f t="shared" si="7"/>
        <v>0.2951388888888889</v>
      </c>
      <c r="I27" s="19">
        <f t="shared" si="2"/>
        <v>4.5138888888888895E-2</v>
      </c>
      <c r="J27" s="19">
        <v>0.46875</v>
      </c>
      <c r="K27" s="19">
        <v>0.50347222222222221</v>
      </c>
      <c r="L27" s="19" t="s">
        <v>83</v>
      </c>
      <c r="M27" s="19" t="s">
        <v>82</v>
      </c>
      <c r="N27" s="19">
        <f t="shared" si="3"/>
        <v>3.472222222222221E-2</v>
      </c>
      <c r="O27" s="19">
        <f t="shared" si="5"/>
        <v>1.3888888888888878E-2</v>
      </c>
      <c r="P27" s="19">
        <v>6.9444444444444441E-3</v>
      </c>
      <c r="Q27" s="19">
        <v>0.50347222222222221</v>
      </c>
      <c r="R27" s="19">
        <v>0</v>
      </c>
      <c r="S27" s="19">
        <v>0.50347222222222221</v>
      </c>
      <c r="T27" s="19">
        <f>VLOOKUP(E27,'[1]22-1-2026'!$E$3:$T$13,16,FALSE)</f>
        <v>6.9444444444444441E-3</v>
      </c>
      <c r="U27" s="19">
        <v>0.5625</v>
      </c>
      <c r="V27" s="19">
        <v>3.472222222222222E-3</v>
      </c>
      <c r="W27" s="19">
        <v>3.125E-2</v>
      </c>
      <c r="X27" s="19">
        <v>0.57500000000000007</v>
      </c>
      <c r="Y27" s="19">
        <v>0.58819444444444446</v>
      </c>
      <c r="Z27" s="19">
        <f t="shared" si="1"/>
        <v>1.3194444444444398E-2</v>
      </c>
      <c r="AA27" s="19">
        <v>0</v>
      </c>
      <c r="AB27" s="19">
        <v>0.58888888888888891</v>
      </c>
      <c r="AC27" s="20"/>
      <c r="AD27" s="61"/>
    </row>
    <row r="28" spans="1:30" ht="19.5" thickBot="1" x14ac:dyDescent="0.3">
      <c r="A28" s="32">
        <v>13</v>
      </c>
      <c r="B28" s="23">
        <v>876</v>
      </c>
      <c r="C28" s="23" t="str">
        <f>VLOOKUP(B28,داتا!$B$3:$D$42,2,FALSE)</f>
        <v>دبابة</v>
      </c>
      <c r="D28" s="24">
        <f>VLOOKUP(B28,داتا!$B$3:$D$42,3,FALSE)</f>
        <v>2.0833333333333332E-2</v>
      </c>
      <c r="E28" s="23" t="s">
        <v>52</v>
      </c>
      <c r="F28" s="23" t="s">
        <v>62</v>
      </c>
      <c r="G28" s="19">
        <v>0.25</v>
      </c>
      <c r="H28" s="25">
        <f t="shared" si="7"/>
        <v>0.25694444444444448</v>
      </c>
      <c r="I28" s="25">
        <f t="shared" si="2"/>
        <v>6.9444444444444753E-3</v>
      </c>
      <c r="J28" s="25">
        <v>0.4826388888888889</v>
      </c>
      <c r="K28" s="25">
        <v>0.50694444444444442</v>
      </c>
      <c r="L28" s="25" t="s">
        <v>66</v>
      </c>
      <c r="M28" s="25" t="s">
        <v>82</v>
      </c>
      <c r="N28" s="25">
        <f t="shared" si="3"/>
        <v>2.4305555555555525E-2</v>
      </c>
      <c r="O28" s="25">
        <f t="shared" si="5"/>
        <v>3.4722222222221925E-3</v>
      </c>
      <c r="P28" s="25">
        <v>6.9444444444444441E-3</v>
      </c>
      <c r="Q28" s="25">
        <v>0.50694444444444442</v>
      </c>
      <c r="R28" s="25">
        <v>0</v>
      </c>
      <c r="S28" s="25">
        <v>0.50694444444444442</v>
      </c>
      <c r="T28" s="25">
        <f>VLOOKUP(E28,'[1]22-1-2026'!$E$3:$T$13,16,FALSE)</f>
        <v>3.472222222222222E-3</v>
      </c>
      <c r="U28" s="25">
        <v>0.51041666666666663</v>
      </c>
      <c r="V28" s="25">
        <f t="shared" si="6"/>
        <v>0</v>
      </c>
      <c r="W28" s="25">
        <v>3.125E-2</v>
      </c>
      <c r="X28" s="25">
        <v>0.51180555555555551</v>
      </c>
      <c r="Y28" s="25">
        <v>0.53125</v>
      </c>
      <c r="Z28" s="25">
        <f t="shared" si="1"/>
        <v>1.9444444444444486E-2</v>
      </c>
      <c r="AA28" s="25">
        <v>0</v>
      </c>
      <c r="AB28" s="25">
        <v>0.53472222222222221</v>
      </c>
      <c r="AC28" s="28"/>
      <c r="AD28" s="62"/>
    </row>
    <row r="29" spans="1:30" ht="20.25" customHeight="1" thickTop="1" thickBot="1" x14ac:dyDescent="0.3">
      <c r="A29" s="11">
        <v>1</v>
      </c>
      <c r="B29" s="12">
        <v>762</v>
      </c>
      <c r="C29" s="12" t="str">
        <f>VLOOKUP(B29,داتا!$B$3:$D$42,2,FALSE)</f>
        <v>دبابة</v>
      </c>
      <c r="D29" s="13">
        <f>VLOOKUP(B29,داتا!$B$3:$D$42,3,FALSE)</f>
        <v>2.0833333333333332E-2</v>
      </c>
      <c r="E29" s="12" t="s">
        <v>38</v>
      </c>
      <c r="F29" s="12" t="s">
        <v>80</v>
      </c>
      <c r="G29" s="14">
        <v>0.54166666666666663</v>
      </c>
      <c r="H29" s="14">
        <v>0.54166666666666663</v>
      </c>
      <c r="I29" s="14">
        <f t="shared" si="2"/>
        <v>0</v>
      </c>
      <c r="J29" s="14">
        <v>0.59722222222222221</v>
      </c>
      <c r="K29" s="14">
        <v>0.61111111111111105</v>
      </c>
      <c r="L29" s="45" t="s">
        <v>66</v>
      </c>
      <c r="M29" s="14" t="s">
        <v>78</v>
      </c>
      <c r="N29" s="14">
        <f t="shared" si="3"/>
        <v>1.388888888888884E-2</v>
      </c>
      <c r="O29" s="14">
        <v>0</v>
      </c>
      <c r="P29" s="14">
        <v>6.9444444444444441E-3</v>
      </c>
      <c r="Q29" s="14">
        <v>0.61111111111111105</v>
      </c>
      <c r="R29" s="14">
        <v>0</v>
      </c>
      <c r="S29" s="14">
        <v>0.61111111111111105</v>
      </c>
      <c r="T29" s="14">
        <f>VLOOKUP(E29,'[1]22-1-2026'!$E$3:$T$13,16,FALSE)</f>
        <v>3.4722222222222224E-2</v>
      </c>
      <c r="U29" s="14">
        <v>0.64583333333333337</v>
      </c>
      <c r="V29" s="14">
        <f t="shared" si="6"/>
        <v>0</v>
      </c>
      <c r="W29" s="14">
        <v>2.0833333333333332E-2</v>
      </c>
      <c r="X29" s="14">
        <v>0.64722222222222225</v>
      </c>
      <c r="Y29" s="14">
        <v>0.65277777777777779</v>
      </c>
      <c r="Z29" s="14">
        <f t="shared" si="1"/>
        <v>5.5555555555555358E-3</v>
      </c>
      <c r="AA29" s="45">
        <v>0</v>
      </c>
      <c r="AB29" s="14">
        <v>0.65625</v>
      </c>
      <c r="AC29" s="27"/>
      <c r="AD29" s="66" t="s">
        <v>55</v>
      </c>
    </row>
    <row r="30" spans="1:30" ht="19.5" thickBot="1" x14ac:dyDescent="0.3">
      <c r="A30" s="16">
        <v>2</v>
      </c>
      <c r="B30" s="17">
        <v>762</v>
      </c>
      <c r="C30" s="17" t="str">
        <f>VLOOKUP(B30,داتا!$B$3:$D$42,2,FALSE)</f>
        <v>دبابة</v>
      </c>
      <c r="D30" s="18">
        <f>VLOOKUP(B30,داتا!$B$3:$D$42,3,FALSE)</f>
        <v>2.0833333333333332E-2</v>
      </c>
      <c r="E30" s="17" t="s">
        <v>40</v>
      </c>
      <c r="F30" s="17" t="s">
        <v>80</v>
      </c>
      <c r="G30" s="19">
        <v>0.54166666666666663</v>
      </c>
      <c r="H30" s="19">
        <v>0.54166666666666663</v>
      </c>
      <c r="I30" s="19">
        <f t="shared" si="2"/>
        <v>0</v>
      </c>
      <c r="J30" s="19">
        <v>0.59722222222222221</v>
      </c>
      <c r="K30" s="19">
        <v>0.61111111111111105</v>
      </c>
      <c r="L30" s="19" t="s">
        <v>66</v>
      </c>
      <c r="M30" s="19" t="s">
        <v>78</v>
      </c>
      <c r="N30" s="19">
        <f t="shared" si="3"/>
        <v>1.388888888888884E-2</v>
      </c>
      <c r="O30" s="19">
        <v>0</v>
      </c>
      <c r="P30" s="19">
        <v>6.9444444444444441E-3</v>
      </c>
      <c r="Q30" s="19">
        <v>0.61111111111111105</v>
      </c>
      <c r="R30" s="19">
        <v>0</v>
      </c>
      <c r="S30" s="19">
        <v>0.61111111111111105</v>
      </c>
      <c r="T30" s="19">
        <v>1.7361111111111112E-2</v>
      </c>
      <c r="U30" s="19">
        <v>0.66666666666666663</v>
      </c>
      <c r="V30" s="19">
        <v>0</v>
      </c>
      <c r="W30" s="19">
        <v>3.125E-2</v>
      </c>
      <c r="X30" s="19">
        <v>0.67013888888888884</v>
      </c>
      <c r="Y30" s="19">
        <v>0.6875</v>
      </c>
      <c r="Z30" s="19">
        <f t="shared" si="1"/>
        <v>1.736111111111116E-2</v>
      </c>
      <c r="AA30" s="19">
        <v>0</v>
      </c>
      <c r="AB30" s="19">
        <v>0.69097222222222221</v>
      </c>
      <c r="AC30" s="20"/>
      <c r="AD30" s="67"/>
    </row>
    <row r="31" spans="1:30" ht="19.5" thickBot="1" x14ac:dyDescent="0.3">
      <c r="A31" s="16">
        <v>3</v>
      </c>
      <c r="B31" s="17">
        <v>529</v>
      </c>
      <c r="C31" s="17" t="str">
        <f>VLOOKUP(B31,داتا!$B$3:$D$42,2,FALSE)</f>
        <v>دبابة</v>
      </c>
      <c r="D31" s="18">
        <f>VLOOKUP(B31,داتا!$B$3:$D$42,3,FALSE)</f>
        <v>2.0833333333333332E-2</v>
      </c>
      <c r="E31" s="17" t="s">
        <v>45</v>
      </c>
      <c r="F31" s="17" t="s">
        <v>59</v>
      </c>
      <c r="G31" s="19">
        <v>0.25</v>
      </c>
      <c r="H31" s="19">
        <f t="shared" si="7"/>
        <v>0.23611111111111113</v>
      </c>
      <c r="I31" s="19">
        <v>0</v>
      </c>
      <c r="J31" s="19">
        <v>0.59722222222222221</v>
      </c>
      <c r="K31" s="19">
        <v>0.61111111111111105</v>
      </c>
      <c r="L31" s="19" t="s">
        <v>83</v>
      </c>
      <c r="M31" s="19" t="s">
        <v>78</v>
      </c>
      <c r="N31" s="19">
        <f t="shared" si="3"/>
        <v>1.388888888888884E-2</v>
      </c>
      <c r="O31" s="19">
        <v>0</v>
      </c>
      <c r="P31" s="19">
        <v>6.9444444444444441E-3</v>
      </c>
      <c r="Q31" s="19">
        <v>0.61111111111111105</v>
      </c>
      <c r="R31" s="19">
        <v>0</v>
      </c>
      <c r="S31" s="19">
        <v>0.61111111111111105</v>
      </c>
      <c r="T31" s="19">
        <f>VLOOKUP(E31,'[1]22-1-2026'!$E$3:$T$13,16,FALSE)</f>
        <v>1.3888888888888888E-2</v>
      </c>
      <c r="U31" s="19">
        <v>0.63541666666666663</v>
      </c>
      <c r="V31" s="19">
        <f t="shared" si="6"/>
        <v>1.0416666666666741E-2</v>
      </c>
      <c r="W31" s="19">
        <v>3.125E-2</v>
      </c>
      <c r="X31" s="19">
        <v>0.63680555555555551</v>
      </c>
      <c r="Y31" s="19">
        <v>0.64930555555555558</v>
      </c>
      <c r="Z31" s="19">
        <f t="shared" si="1"/>
        <v>1.2500000000000067E-2</v>
      </c>
      <c r="AA31" s="19">
        <v>0</v>
      </c>
      <c r="AB31" s="19">
        <v>0.65277777777777779</v>
      </c>
      <c r="AC31" s="20"/>
      <c r="AD31" s="67"/>
    </row>
    <row r="32" spans="1:30" ht="19.5" thickBot="1" x14ac:dyDescent="0.3">
      <c r="A32" s="16">
        <v>4</v>
      </c>
      <c r="B32" s="17">
        <v>539</v>
      </c>
      <c r="C32" s="17" t="str">
        <f>VLOOKUP(B32,داتا!$B$3:$D$42,2,FALSE)</f>
        <v>دبابة</v>
      </c>
      <c r="D32" s="18">
        <f>VLOOKUP(B32,داتا!$B$3:$D$42,3,FALSE)</f>
        <v>2.0833333333333332E-2</v>
      </c>
      <c r="E32" s="17" t="s">
        <v>47</v>
      </c>
      <c r="F32" s="17" t="s">
        <v>39</v>
      </c>
      <c r="G32" s="19">
        <v>0.25</v>
      </c>
      <c r="H32" s="19">
        <f t="shared" si="7"/>
        <v>0.27430555555555552</v>
      </c>
      <c r="I32" s="19">
        <f t="shared" si="2"/>
        <v>2.4305555555555525E-2</v>
      </c>
      <c r="J32" s="19">
        <v>0.61458333333333337</v>
      </c>
      <c r="K32" s="19">
        <v>0.625</v>
      </c>
      <c r="L32" s="19" t="s">
        <v>83</v>
      </c>
      <c r="M32" s="19" t="s">
        <v>78</v>
      </c>
      <c r="N32" s="19">
        <f t="shared" si="3"/>
        <v>1.041666666666663E-2</v>
      </c>
      <c r="O32" s="19">
        <v>0</v>
      </c>
      <c r="P32" s="19">
        <v>6.9444444444444441E-3</v>
      </c>
      <c r="Q32" s="19">
        <v>0.625</v>
      </c>
      <c r="R32" s="19">
        <v>0</v>
      </c>
      <c r="S32" s="19">
        <v>0.625</v>
      </c>
      <c r="T32" s="19">
        <f>VLOOKUP(E32,'[1]22-1-2026'!$E$3:$T$13,16,FALSE)</f>
        <v>1.3888888888888888E-2</v>
      </c>
      <c r="U32" s="19">
        <v>0.63541666666666663</v>
      </c>
      <c r="V32" s="19">
        <v>0</v>
      </c>
      <c r="W32" s="19">
        <v>3.125E-2</v>
      </c>
      <c r="X32" s="19">
        <v>0.63611111111111118</v>
      </c>
      <c r="Y32" s="19">
        <v>0.64583333333333337</v>
      </c>
      <c r="Z32" s="19">
        <f t="shared" si="1"/>
        <v>9.7222222222221877E-3</v>
      </c>
      <c r="AA32" s="19">
        <v>0</v>
      </c>
      <c r="AB32" s="19">
        <v>0.64722222222222225</v>
      </c>
      <c r="AC32" s="20"/>
      <c r="AD32" s="67"/>
    </row>
    <row r="33" spans="1:30" ht="19.5" thickBot="1" x14ac:dyDescent="0.3">
      <c r="A33" s="16">
        <v>5</v>
      </c>
      <c r="B33" s="17">
        <v>249</v>
      </c>
      <c r="C33" s="17" t="str">
        <f>VLOOKUP(B33,داتا!$B$3:$D$42,2,FALSE)</f>
        <v>دبابة</v>
      </c>
      <c r="D33" s="18">
        <f>VLOOKUP(B33,داتا!$B$3:$D$42,3,FALSE)</f>
        <v>2.0833333333333332E-2</v>
      </c>
      <c r="E33" s="17" t="s">
        <v>33</v>
      </c>
      <c r="F33" s="17" t="s">
        <v>81</v>
      </c>
      <c r="G33" s="19">
        <v>0.25</v>
      </c>
      <c r="H33" s="19">
        <v>0.25694444444444448</v>
      </c>
      <c r="I33" s="19">
        <f t="shared" si="2"/>
        <v>6.9444444444444753E-3</v>
      </c>
      <c r="J33" s="19">
        <v>0.61805555555555558</v>
      </c>
      <c r="K33" s="19">
        <v>0.62152777777777779</v>
      </c>
      <c r="L33" s="19" t="s">
        <v>66</v>
      </c>
      <c r="M33" s="19" t="s">
        <v>78</v>
      </c>
      <c r="N33" s="19">
        <f t="shared" si="3"/>
        <v>3.4722222222222099E-3</v>
      </c>
      <c r="O33" s="19">
        <v>0</v>
      </c>
      <c r="P33" s="19">
        <v>6.9444444444444441E-3</v>
      </c>
      <c r="Q33" s="19">
        <v>0.62152777777777779</v>
      </c>
      <c r="R33" s="19">
        <v>0</v>
      </c>
      <c r="S33" s="19">
        <v>0.62152777777777779</v>
      </c>
      <c r="T33" s="19">
        <f>VLOOKUP(E33,'[1]22-1-2026'!$E$3:$T$13,16,FALSE)</f>
        <v>2.7777777777777776E-2</v>
      </c>
      <c r="U33" s="19">
        <v>0.65138888888888891</v>
      </c>
      <c r="V33" s="44">
        <f t="shared" si="6"/>
        <v>2.0833333333333259E-3</v>
      </c>
      <c r="W33" s="19">
        <v>2.0833333333333332E-2</v>
      </c>
      <c r="X33" s="19">
        <v>0.65486111111111112</v>
      </c>
      <c r="Y33" s="19">
        <v>0.65902777777777777</v>
      </c>
      <c r="Z33" s="19">
        <f t="shared" si="1"/>
        <v>4.1666666666666519E-3</v>
      </c>
      <c r="AA33" s="19">
        <v>0</v>
      </c>
      <c r="AB33" s="19">
        <v>0.65902777777777777</v>
      </c>
      <c r="AC33" s="20"/>
      <c r="AD33" s="67"/>
    </row>
    <row r="34" spans="1:30" ht="19.5" thickBot="1" x14ac:dyDescent="0.3">
      <c r="A34" s="16">
        <v>6</v>
      </c>
      <c r="B34" s="17">
        <v>249</v>
      </c>
      <c r="C34" s="17" t="str">
        <f>VLOOKUP(B34,داتا!$B$3:$D$42,2,FALSE)</f>
        <v>دبابة</v>
      </c>
      <c r="D34" s="18">
        <f>VLOOKUP(B34,داتا!$B$3:$D$42,3,FALSE)</f>
        <v>2.0833333333333332E-2</v>
      </c>
      <c r="E34" s="17" t="s">
        <v>41</v>
      </c>
      <c r="F34" s="17" t="s">
        <v>81</v>
      </c>
      <c r="G34" s="19">
        <v>0.25</v>
      </c>
      <c r="H34" s="19">
        <v>0.25694444444444448</v>
      </c>
      <c r="I34" s="19">
        <f t="shared" si="2"/>
        <v>6.9444444444444753E-3</v>
      </c>
      <c r="J34" s="19">
        <v>0.61805555555555558</v>
      </c>
      <c r="K34" s="19">
        <v>0.62152777777777779</v>
      </c>
      <c r="L34" s="19" t="s">
        <v>66</v>
      </c>
      <c r="M34" s="19" t="s">
        <v>78</v>
      </c>
      <c r="N34" s="19">
        <f t="shared" si="3"/>
        <v>3.4722222222222099E-3</v>
      </c>
      <c r="O34" s="19">
        <v>0</v>
      </c>
      <c r="P34" s="19">
        <v>6.9444444444444441E-3</v>
      </c>
      <c r="Q34" s="19">
        <v>0.62152777777777779</v>
      </c>
      <c r="R34" s="19">
        <v>0</v>
      </c>
      <c r="S34" s="19">
        <v>0.62152777777777779</v>
      </c>
      <c r="T34" s="19">
        <f>VLOOKUP(E34,'[1]22-1-2026'!$E$3:$T$13,16,FALSE)</f>
        <v>1.7361111111111112E-2</v>
      </c>
      <c r="U34" s="19">
        <v>0.68402777777777779</v>
      </c>
      <c r="V34" s="19">
        <v>7.6388888888888886E-3</v>
      </c>
      <c r="W34" s="19">
        <v>3.125E-2</v>
      </c>
      <c r="X34" s="19">
        <v>0.6875</v>
      </c>
      <c r="Y34" s="19">
        <v>0.69097222222222221</v>
      </c>
      <c r="Z34" s="19">
        <f t="shared" si="1"/>
        <v>3.4722222222222099E-3</v>
      </c>
      <c r="AA34" s="19">
        <v>0</v>
      </c>
      <c r="AB34" s="19">
        <v>0.69444444444444453</v>
      </c>
      <c r="AC34" s="20"/>
      <c r="AD34" s="67"/>
    </row>
    <row r="35" spans="1:30" ht="19.5" thickBot="1" x14ac:dyDescent="0.3">
      <c r="A35" s="16">
        <v>7</v>
      </c>
      <c r="B35" s="17">
        <v>876</v>
      </c>
      <c r="C35" s="17" t="str">
        <f>VLOOKUP(B35,داتا!$B$3:$D$42,2,FALSE)</f>
        <v>دبابة</v>
      </c>
      <c r="D35" s="18">
        <f>VLOOKUP(B35,داتا!$B$3:$D$42,3,FALSE)</f>
        <v>2.0833333333333332E-2</v>
      </c>
      <c r="E35" s="17" t="s">
        <v>30</v>
      </c>
      <c r="F35" s="17" t="s">
        <v>71</v>
      </c>
      <c r="G35" s="19">
        <v>0.25</v>
      </c>
      <c r="H35" s="19">
        <f t="shared" si="7"/>
        <v>0.25694444444444448</v>
      </c>
      <c r="I35" s="19">
        <f t="shared" si="2"/>
        <v>6.9444444444444753E-3</v>
      </c>
      <c r="J35" s="19">
        <v>0.625</v>
      </c>
      <c r="K35" s="19">
        <v>0.63541666666666663</v>
      </c>
      <c r="L35" s="19" t="s">
        <v>66</v>
      </c>
      <c r="M35" s="19" t="s">
        <v>78</v>
      </c>
      <c r="N35" s="19">
        <f t="shared" si="3"/>
        <v>1.041666666666663E-2</v>
      </c>
      <c r="O35" s="19">
        <v>0</v>
      </c>
      <c r="P35" s="19">
        <v>6.9444444444444441E-3</v>
      </c>
      <c r="Q35" s="19">
        <v>0.63541666666666663</v>
      </c>
      <c r="R35" s="19">
        <v>0</v>
      </c>
      <c r="S35" s="19">
        <v>0.63541666666666663</v>
      </c>
      <c r="T35" s="19">
        <f>VLOOKUP(E35,'[1]22-1-2026'!$E$3:$T$13,16,FALSE)</f>
        <v>2.4305555555555556E-2</v>
      </c>
      <c r="U35" s="19">
        <v>0.65972222222222221</v>
      </c>
      <c r="V35" s="19">
        <f t="shared" si="6"/>
        <v>0</v>
      </c>
      <c r="W35" s="19">
        <v>2.0833333333333332E-2</v>
      </c>
      <c r="X35" s="19">
        <v>0.66319444444444442</v>
      </c>
      <c r="Y35" s="19">
        <v>0.67013888888888884</v>
      </c>
      <c r="Z35" s="19">
        <f t="shared" si="1"/>
        <v>6.9444444444444198E-3</v>
      </c>
      <c r="AA35" s="19">
        <v>0</v>
      </c>
      <c r="AB35" s="19">
        <v>0.67152777777777783</v>
      </c>
      <c r="AC35" s="20"/>
      <c r="AD35" s="67"/>
    </row>
    <row r="36" spans="1:30" ht="19.5" thickBot="1" x14ac:dyDescent="0.3">
      <c r="A36" s="16">
        <v>8</v>
      </c>
      <c r="B36" s="17">
        <v>876</v>
      </c>
      <c r="C36" s="17" t="str">
        <f>VLOOKUP(B36,داتا!$B$3:$D$42,2,FALSE)</f>
        <v>دبابة</v>
      </c>
      <c r="D36" s="18">
        <f>VLOOKUP(B36,داتا!$B$3:$D$42,3,FALSE)</f>
        <v>2.0833333333333332E-2</v>
      </c>
      <c r="E36" s="17" t="s">
        <v>58</v>
      </c>
      <c r="F36" s="17" t="s">
        <v>71</v>
      </c>
      <c r="G36" s="19">
        <v>0.25</v>
      </c>
      <c r="H36" s="19">
        <f t="shared" si="7"/>
        <v>0.25694444444444448</v>
      </c>
      <c r="I36" s="19">
        <f t="shared" si="2"/>
        <v>6.9444444444444753E-3</v>
      </c>
      <c r="J36" s="19">
        <v>0.625</v>
      </c>
      <c r="K36" s="19">
        <v>0.63541666666666663</v>
      </c>
      <c r="L36" s="19" t="s">
        <v>66</v>
      </c>
      <c r="M36" s="19" t="s">
        <v>78</v>
      </c>
      <c r="N36" s="19">
        <f t="shared" si="3"/>
        <v>1.041666666666663E-2</v>
      </c>
      <c r="O36" s="19">
        <v>0</v>
      </c>
      <c r="P36" s="19">
        <v>6.9444444444444441E-3</v>
      </c>
      <c r="Q36" s="19">
        <v>0.63541666666666663</v>
      </c>
      <c r="R36" s="19">
        <v>0</v>
      </c>
      <c r="S36" s="19">
        <v>0.63541666666666663</v>
      </c>
      <c r="T36" s="19">
        <v>1.7361111111111112E-2</v>
      </c>
      <c r="U36" s="19">
        <v>0.68402777777777779</v>
      </c>
      <c r="V36" s="19">
        <v>0</v>
      </c>
      <c r="W36" s="19">
        <v>3.125E-2</v>
      </c>
      <c r="X36" s="19">
        <v>0.68402777777777779</v>
      </c>
      <c r="Y36" s="19">
        <v>0.69097222222222221</v>
      </c>
      <c r="Z36" s="19">
        <f t="shared" si="1"/>
        <v>6.9444444444444198E-3</v>
      </c>
      <c r="AA36" s="19">
        <v>0</v>
      </c>
      <c r="AB36" s="19">
        <v>0.69444444444444453</v>
      </c>
      <c r="AC36" s="20"/>
      <c r="AD36" s="67"/>
    </row>
    <row r="37" spans="1:30" ht="19.5" thickBot="1" x14ac:dyDescent="0.3">
      <c r="A37" s="16">
        <v>9</v>
      </c>
      <c r="B37" s="17">
        <v>892</v>
      </c>
      <c r="C37" s="17" t="str">
        <f>VLOOKUP(B37,داتا!$B$3:$D$42,2,FALSE)</f>
        <v>تلتين</v>
      </c>
      <c r="D37" s="18">
        <f>VLOOKUP(B37,داتا!$B$3:$D$42,3,FALSE)</f>
        <v>3.125E-2</v>
      </c>
      <c r="E37" s="17" t="s">
        <v>37</v>
      </c>
      <c r="F37" s="17" t="s">
        <v>63</v>
      </c>
      <c r="G37" s="19">
        <v>0.25</v>
      </c>
      <c r="H37" s="19">
        <v>0.27083333333333331</v>
      </c>
      <c r="I37" s="19">
        <f t="shared" si="2"/>
        <v>2.0833333333333315E-2</v>
      </c>
      <c r="J37" s="19">
        <v>0.62847222222222221</v>
      </c>
      <c r="K37" s="19">
        <v>0.64583333333333337</v>
      </c>
      <c r="L37" s="19" t="s">
        <v>83</v>
      </c>
      <c r="M37" s="19" t="s">
        <v>78</v>
      </c>
      <c r="N37" s="19">
        <f t="shared" si="3"/>
        <v>1.736111111111116E-2</v>
      </c>
      <c r="O37" s="19">
        <v>0</v>
      </c>
      <c r="P37" s="19">
        <v>6.9444444444444441E-3</v>
      </c>
      <c r="Q37" s="19">
        <v>0.64583333333333337</v>
      </c>
      <c r="R37" s="19">
        <v>0</v>
      </c>
      <c r="S37" s="19">
        <v>0.64583333333333337</v>
      </c>
      <c r="T37" s="19">
        <f>VLOOKUP(E37,'[1]22-1-2026'!$E$3:$T$13,16,FALSE)</f>
        <v>1.3888888888888888E-2</v>
      </c>
      <c r="U37" s="19">
        <v>0.65625</v>
      </c>
      <c r="V37" s="19">
        <v>0</v>
      </c>
      <c r="W37" s="19">
        <v>4.1666666666666664E-2</v>
      </c>
      <c r="X37" s="19">
        <v>0.65833333333333333</v>
      </c>
      <c r="Y37" s="19">
        <v>0.67708333333333337</v>
      </c>
      <c r="Z37" s="19">
        <f t="shared" si="1"/>
        <v>1.8750000000000044E-2</v>
      </c>
      <c r="AA37" s="19">
        <v>0</v>
      </c>
      <c r="AB37" s="19">
        <v>0.6791666666666667</v>
      </c>
      <c r="AC37" s="20"/>
      <c r="AD37" s="67"/>
    </row>
    <row r="38" spans="1:30" ht="19.5" thickBot="1" x14ac:dyDescent="0.3">
      <c r="A38" s="16">
        <v>10</v>
      </c>
      <c r="B38" s="17">
        <v>529</v>
      </c>
      <c r="C38" s="17" t="s">
        <v>57</v>
      </c>
      <c r="D38" s="18">
        <f>VLOOKUP(B38,داتا!$B$3:$D$42,3,FALSE)</f>
        <v>2.0833333333333332E-2</v>
      </c>
      <c r="E38" s="17" t="s">
        <v>52</v>
      </c>
      <c r="F38" s="17" t="s">
        <v>62</v>
      </c>
      <c r="G38" s="19">
        <v>0.25</v>
      </c>
      <c r="H38" s="19">
        <v>0.25694444444444448</v>
      </c>
      <c r="I38" s="19">
        <f t="shared" si="2"/>
        <v>6.9444444444444753E-3</v>
      </c>
      <c r="J38" s="19">
        <v>0.63888888888888895</v>
      </c>
      <c r="K38" s="19">
        <v>0.64583333333333337</v>
      </c>
      <c r="L38" s="19" t="s">
        <v>83</v>
      </c>
      <c r="M38" s="19" t="s">
        <v>78</v>
      </c>
      <c r="N38" s="19">
        <f t="shared" si="3"/>
        <v>6.9444444444444198E-3</v>
      </c>
      <c r="O38" s="19">
        <v>0</v>
      </c>
      <c r="P38" s="19">
        <v>6.9444444444444441E-3</v>
      </c>
      <c r="Q38" s="19">
        <v>0.64583333333333337</v>
      </c>
      <c r="R38" s="19">
        <v>0</v>
      </c>
      <c r="S38" s="19">
        <v>0.64583333333333337</v>
      </c>
      <c r="T38" s="19">
        <f>VLOOKUP(E38,'[1]22-1-2026'!$E$3:$T$13,16,FALSE)</f>
        <v>3.472222222222222E-3</v>
      </c>
      <c r="U38" s="19">
        <v>0.64930555555555558</v>
      </c>
      <c r="V38" s="19">
        <f t="shared" si="6"/>
        <v>0</v>
      </c>
      <c r="W38" s="19">
        <v>3.125E-2</v>
      </c>
      <c r="X38" s="19">
        <v>0.65069444444444446</v>
      </c>
      <c r="Y38" s="19">
        <v>0.66666666666666663</v>
      </c>
      <c r="Z38" s="19">
        <f t="shared" si="1"/>
        <v>1.5972222222222165E-2</v>
      </c>
      <c r="AA38" s="19">
        <v>0</v>
      </c>
      <c r="AB38" s="19">
        <v>0.67013888888888884</v>
      </c>
      <c r="AC38" s="20"/>
      <c r="AD38" s="67"/>
    </row>
    <row r="39" spans="1:30" ht="19.5" thickBot="1" x14ac:dyDescent="0.3">
      <c r="A39" s="32">
        <v>11</v>
      </c>
      <c r="B39" s="23">
        <v>492</v>
      </c>
      <c r="C39" s="23" t="str">
        <f>VLOOKUP(B39,داتا!$B$3:$D$42,2,FALSE)</f>
        <v>دبابة</v>
      </c>
      <c r="D39" s="24">
        <f>VLOOKUP(B39,داتا!$B$3:$D$42,3,FALSE)</f>
        <v>2.0833333333333332E-2</v>
      </c>
      <c r="E39" s="23" t="s">
        <v>35</v>
      </c>
      <c r="F39" s="23" t="s">
        <v>77</v>
      </c>
      <c r="G39" s="25">
        <v>0.25</v>
      </c>
      <c r="H39" s="25">
        <f t="shared" si="7"/>
        <v>0.2951388888888889</v>
      </c>
      <c r="I39" s="25">
        <f t="shared" si="2"/>
        <v>4.5138888888888895E-2</v>
      </c>
      <c r="J39" s="25">
        <v>0.64583333333333337</v>
      </c>
      <c r="K39" s="25">
        <v>0.65625</v>
      </c>
      <c r="L39" s="25" t="s">
        <v>83</v>
      </c>
      <c r="M39" s="25" t="s">
        <v>78</v>
      </c>
      <c r="N39" s="25">
        <f t="shared" si="3"/>
        <v>1.041666666666663E-2</v>
      </c>
      <c r="O39" s="25">
        <v>0</v>
      </c>
      <c r="P39" s="25">
        <v>6.9444444444444441E-3</v>
      </c>
      <c r="Q39" s="25">
        <v>0.65625</v>
      </c>
      <c r="R39" s="25">
        <v>0</v>
      </c>
      <c r="S39" s="25">
        <v>0.65625</v>
      </c>
      <c r="T39" s="25">
        <f>VLOOKUP(E39,'[1]22-1-2026'!$E$3:$T$13,16,FALSE)</f>
        <v>1.3888888888888888E-2</v>
      </c>
      <c r="U39" s="25">
        <v>0.65972222222222221</v>
      </c>
      <c r="V39" s="25">
        <v>0</v>
      </c>
      <c r="W39" s="25">
        <v>3.125E-2</v>
      </c>
      <c r="X39" s="25">
        <v>0.66319444444444442</v>
      </c>
      <c r="Y39" s="25">
        <v>0.67708333333333337</v>
      </c>
      <c r="Z39" s="25">
        <f t="shared" si="1"/>
        <v>1.3888888888888951E-2</v>
      </c>
      <c r="AA39" s="25">
        <v>0</v>
      </c>
      <c r="AB39" s="25">
        <v>0.68055555555555547</v>
      </c>
      <c r="AC39" s="28"/>
      <c r="AD39" s="68"/>
    </row>
    <row r="40" spans="1:30" ht="15.75" thickTop="1" x14ac:dyDescent="0.25"/>
  </sheetData>
  <mergeCells count="4">
    <mergeCell ref="A1:AC1"/>
    <mergeCell ref="AD3:AD15"/>
    <mergeCell ref="AD16:AD28"/>
    <mergeCell ref="AD29:AD39"/>
  </mergeCells>
  <conditionalFormatting sqref="I2:I1048576 O2:O1048576 R2:R1048576 V2:V1048576 AA2:AA1048576">
    <cfRule type="cellIs" dxfId="161" priority="7" operator="between">
      <formula>0.00277777777777778</formula>
      <formula>1</formula>
    </cfRule>
  </conditionalFormatting>
  <conditionalFormatting sqref="AC3:AC39">
    <cfRule type="containsText" dxfId="160" priority="6" operator="containsText" text="ت">
      <formula>NOT(ISERROR(SEARCH("ت",AC3)))</formula>
    </cfRule>
  </conditionalFormatting>
  <conditionalFormatting sqref="AA1 I1 O1 R1 V1">
    <cfRule type="cellIs" dxfId="159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rightToLeft="1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E8" sqref="E8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539</v>
      </c>
      <c r="C3" s="12" t="str">
        <f>VLOOKUP(B3,داتا!$B$3:$D$42,2,FALSE)</f>
        <v>دبابة</v>
      </c>
      <c r="D3" s="13">
        <f>VLOOKUP(B3,داتا!$B$3:$D$42,3,FALSE)</f>
        <v>2.0833333333333332E-2</v>
      </c>
      <c r="E3" s="12" t="s">
        <v>38</v>
      </c>
      <c r="F3" s="12" t="s">
        <v>79</v>
      </c>
      <c r="G3" s="14">
        <v>0.25</v>
      </c>
      <c r="H3" s="14">
        <v>0.24652777777777779</v>
      </c>
      <c r="I3" s="14">
        <v>0</v>
      </c>
      <c r="J3" s="14">
        <v>0.22916666666666666</v>
      </c>
      <c r="K3" s="14">
        <v>0.24652777777777779</v>
      </c>
      <c r="L3" s="14" t="s">
        <v>65</v>
      </c>
      <c r="M3" s="14" t="s">
        <v>84</v>
      </c>
      <c r="N3" s="14">
        <f>K3-J3</f>
        <v>1.7361111111111133E-2</v>
      </c>
      <c r="O3" s="14">
        <v>0</v>
      </c>
      <c r="P3" s="14">
        <v>6.9444444444444441E-3</v>
      </c>
      <c r="Q3" s="14">
        <v>0.29166666666666669</v>
      </c>
      <c r="R3" s="14">
        <f t="shared" ref="R3:R13" si="0">Q3-P3-K3</f>
        <v>3.8194444444444475E-2</v>
      </c>
      <c r="S3" s="14">
        <v>0.29166666666666669</v>
      </c>
      <c r="T3" s="14">
        <f>VLOOKUP(E3,'[1]22-1-2026'!$E$3:$T$13,16,FALSE)</f>
        <v>3.4722222222222224E-2</v>
      </c>
      <c r="U3" s="14">
        <v>0.34375</v>
      </c>
      <c r="V3" s="14">
        <f>U3-T3-S3</f>
        <v>1.7361111111111105E-2</v>
      </c>
      <c r="W3" s="14">
        <v>2.0833333333333332E-2</v>
      </c>
      <c r="X3" s="14">
        <v>0.34375</v>
      </c>
      <c r="Y3" s="14">
        <v>0.37361111111111112</v>
      </c>
      <c r="Z3" s="14">
        <f>Y3-X3</f>
        <v>2.9861111111111116E-2</v>
      </c>
      <c r="AA3" s="19">
        <f t="shared" ref="AA3:AA21" si="1">Z3-W3</f>
        <v>9.0277777777777839E-3</v>
      </c>
      <c r="AB3" s="14">
        <v>0.375</v>
      </c>
      <c r="AC3" s="39"/>
      <c r="AD3" s="57" t="s">
        <v>32</v>
      </c>
    </row>
    <row r="4" spans="1:30" ht="19.5" thickBot="1" x14ac:dyDescent="0.3">
      <c r="A4" s="16">
        <v>2</v>
      </c>
      <c r="B4" s="17">
        <v>539</v>
      </c>
      <c r="C4" s="17" t="str">
        <f>VLOOKUP(B4,داتا!$B$3:$D$42,2,FALSE)</f>
        <v>دبابة</v>
      </c>
      <c r="D4" s="18">
        <f>VLOOKUP(B4,داتا!$B$3:$D$42,3,FALSE)</f>
        <v>2.0833333333333332E-2</v>
      </c>
      <c r="E4" s="17" t="s">
        <v>40</v>
      </c>
      <c r="F4" s="17" t="s">
        <v>79</v>
      </c>
      <c r="G4" s="45">
        <v>0.25</v>
      </c>
      <c r="H4" s="19">
        <v>0.24652777777777779</v>
      </c>
      <c r="I4" s="19">
        <v>0</v>
      </c>
      <c r="J4" s="19">
        <v>0.22916666666666666</v>
      </c>
      <c r="K4" s="19">
        <v>0.24652777777777779</v>
      </c>
      <c r="L4" s="19" t="s">
        <v>65</v>
      </c>
      <c r="M4" s="19" t="s">
        <v>84</v>
      </c>
      <c r="N4" s="19">
        <f>K4-J4</f>
        <v>1.7361111111111133E-2</v>
      </c>
      <c r="O4" s="19">
        <v>0</v>
      </c>
      <c r="P4" s="19">
        <v>6.9444444444444441E-3</v>
      </c>
      <c r="Q4" s="19">
        <v>0.29166666666666669</v>
      </c>
      <c r="R4" s="19">
        <f t="shared" si="0"/>
        <v>3.8194444444444475E-2</v>
      </c>
      <c r="S4" s="19">
        <v>0.29166666666666669</v>
      </c>
      <c r="T4" s="19">
        <v>1.3888888888888888E-2</v>
      </c>
      <c r="U4" s="19">
        <v>0.3888888888888889</v>
      </c>
      <c r="V4" s="19">
        <v>0</v>
      </c>
      <c r="W4" s="19">
        <v>3.125E-2</v>
      </c>
      <c r="X4" s="19">
        <v>0.3923611111111111</v>
      </c>
      <c r="Y4" s="19">
        <v>0.41875000000000001</v>
      </c>
      <c r="Z4" s="19">
        <f t="shared" ref="Z4:Z28" si="2">Y4-X4</f>
        <v>2.6388888888888906E-2</v>
      </c>
      <c r="AA4" s="19">
        <v>0</v>
      </c>
      <c r="AB4" s="19">
        <v>0.4201388888888889</v>
      </c>
      <c r="AC4" s="40"/>
      <c r="AD4" s="58"/>
    </row>
    <row r="5" spans="1:30" ht="19.5" thickBot="1" x14ac:dyDescent="0.3">
      <c r="A5" s="16">
        <v>3</v>
      </c>
      <c r="B5" s="17">
        <v>7435</v>
      </c>
      <c r="C5" s="17" t="str">
        <f>VLOOKUP(B5,داتا!$B$3:$D$42,2,FALSE)</f>
        <v>تلتين</v>
      </c>
      <c r="D5" s="18">
        <f>VLOOKUP(B5,داتا!$B$3:$D$42,3,FALSE)</f>
        <v>3.125E-2</v>
      </c>
      <c r="E5" s="17" t="s">
        <v>30</v>
      </c>
      <c r="F5" s="17" t="s">
        <v>61</v>
      </c>
      <c r="G5" s="19">
        <v>0.25</v>
      </c>
      <c r="H5" s="19">
        <v>0.25</v>
      </c>
      <c r="I5" s="19">
        <f t="shared" ref="I5:I27" si="3">H5-G5</f>
        <v>0</v>
      </c>
      <c r="J5" s="19">
        <v>0.22916666666666666</v>
      </c>
      <c r="K5" s="19">
        <v>0.25347222222222221</v>
      </c>
      <c r="L5" s="19" t="s">
        <v>65</v>
      </c>
      <c r="M5" s="19" t="s">
        <v>84</v>
      </c>
      <c r="N5" s="19">
        <f t="shared" ref="N5:N28" si="4">K5-J5</f>
        <v>2.4305555555555552E-2</v>
      </c>
      <c r="O5" s="19">
        <v>0</v>
      </c>
      <c r="P5" s="19">
        <v>6.9444444444444441E-3</v>
      </c>
      <c r="Q5" s="19">
        <v>0.29166666666666669</v>
      </c>
      <c r="R5" s="19">
        <f t="shared" si="0"/>
        <v>3.1250000000000056E-2</v>
      </c>
      <c r="S5" s="19">
        <v>0.29166666666666669</v>
      </c>
      <c r="T5" s="19">
        <f>VLOOKUP(E5,'[1]22-1-2026'!$E$3:$T$13,16,FALSE)</f>
        <v>2.4305555555555556E-2</v>
      </c>
      <c r="U5" s="19">
        <v>0.30902777777777779</v>
      </c>
      <c r="V5" s="19">
        <v>0</v>
      </c>
      <c r="W5" s="19">
        <v>3.125E-2</v>
      </c>
      <c r="X5" s="19">
        <v>0.3263888888888889</v>
      </c>
      <c r="Y5" s="19">
        <v>0.34722222222222227</v>
      </c>
      <c r="Z5" s="19">
        <f t="shared" si="2"/>
        <v>2.083333333333337E-2</v>
      </c>
      <c r="AA5" s="19">
        <v>0</v>
      </c>
      <c r="AB5" s="19">
        <v>0.35069444444444442</v>
      </c>
      <c r="AC5" s="40"/>
      <c r="AD5" s="58"/>
    </row>
    <row r="6" spans="1:30" ht="19.5" thickBot="1" x14ac:dyDescent="0.3">
      <c r="A6" s="16">
        <v>4</v>
      </c>
      <c r="B6" s="17">
        <v>7435</v>
      </c>
      <c r="C6" s="17" t="str">
        <f>VLOOKUP(B6,داتا!$B$3:$D$42,2,FALSE)</f>
        <v>تلتين</v>
      </c>
      <c r="D6" s="18">
        <f>VLOOKUP(B6,داتا!$B$3:$D$42,3,FALSE)</f>
        <v>3.125E-2</v>
      </c>
      <c r="E6" s="17" t="s">
        <v>33</v>
      </c>
      <c r="F6" s="17" t="s">
        <v>61</v>
      </c>
      <c r="G6" s="19">
        <v>0.25</v>
      </c>
      <c r="H6" s="19">
        <v>0.25</v>
      </c>
      <c r="I6" s="19">
        <f t="shared" si="3"/>
        <v>0</v>
      </c>
      <c r="J6" s="19">
        <v>0.22916666666666666</v>
      </c>
      <c r="K6" s="19">
        <v>0.25347222222222221</v>
      </c>
      <c r="L6" s="19" t="s">
        <v>65</v>
      </c>
      <c r="M6" s="19" t="s">
        <v>84</v>
      </c>
      <c r="N6" s="19">
        <f t="shared" si="4"/>
        <v>2.4305555555555552E-2</v>
      </c>
      <c r="O6" s="19">
        <v>0</v>
      </c>
      <c r="P6" s="19">
        <v>6.9444444444444441E-3</v>
      </c>
      <c r="Q6" s="19">
        <v>0.29166666666666669</v>
      </c>
      <c r="R6" s="19">
        <f t="shared" si="0"/>
        <v>3.1250000000000056E-2</v>
      </c>
      <c r="S6" s="19">
        <v>0.29166666666666669</v>
      </c>
      <c r="T6" s="19">
        <f>VLOOKUP(E6,'[1]22-1-2026'!$E$3:$T$13,16,FALSE)</f>
        <v>2.7777777777777776E-2</v>
      </c>
      <c r="U6" s="19">
        <v>0.3611111111111111</v>
      </c>
      <c r="V6" s="19">
        <v>0</v>
      </c>
      <c r="W6" s="19">
        <v>4.1666666666666664E-2</v>
      </c>
      <c r="X6" s="19">
        <v>0.36458333333333331</v>
      </c>
      <c r="Y6" s="19">
        <v>0.38541666666666669</v>
      </c>
      <c r="Z6" s="19">
        <f t="shared" si="2"/>
        <v>2.083333333333337E-2</v>
      </c>
      <c r="AA6" s="19">
        <v>0</v>
      </c>
      <c r="AB6" s="19">
        <v>0.3888888888888889</v>
      </c>
      <c r="AC6" s="40"/>
      <c r="AD6" s="58"/>
    </row>
    <row r="7" spans="1:30" ht="19.5" thickBot="1" x14ac:dyDescent="0.3">
      <c r="A7" s="16">
        <v>5</v>
      </c>
      <c r="B7" s="17">
        <v>892</v>
      </c>
      <c r="C7" s="17" t="str">
        <f>VLOOKUP(B7,داتا!$B$3:$D$42,2,FALSE)</f>
        <v>تلتين</v>
      </c>
      <c r="D7" s="18">
        <f>VLOOKUP(B7,داتا!$B$3:$D$42,3,FALSE)</f>
        <v>3.125E-2</v>
      </c>
      <c r="E7" s="17" t="s">
        <v>35</v>
      </c>
      <c r="F7" s="17" t="s">
        <v>63</v>
      </c>
      <c r="G7" s="19">
        <v>0.25</v>
      </c>
      <c r="H7" s="19">
        <v>0.25347222222222221</v>
      </c>
      <c r="I7" s="19">
        <f t="shared" si="3"/>
        <v>3.4722222222222099E-3</v>
      </c>
      <c r="J7" s="19">
        <v>0.25</v>
      </c>
      <c r="K7" s="19">
        <v>0.25694444444444448</v>
      </c>
      <c r="L7" s="19" t="s">
        <v>65</v>
      </c>
      <c r="M7" s="19" t="s">
        <v>84</v>
      </c>
      <c r="N7" s="19">
        <f t="shared" si="4"/>
        <v>6.9444444444444753E-3</v>
      </c>
      <c r="O7" s="19">
        <v>0</v>
      </c>
      <c r="P7" s="19">
        <v>6.9444444444444441E-3</v>
      </c>
      <c r="Q7" s="19">
        <v>0.3125</v>
      </c>
      <c r="R7" s="19">
        <f t="shared" si="0"/>
        <v>4.8611111111111105E-2</v>
      </c>
      <c r="S7" s="19">
        <v>0.3125</v>
      </c>
      <c r="T7" s="19">
        <f>VLOOKUP(E7,'[1]22-1-2026'!$E$3:$T$13,16,FALSE)</f>
        <v>1.3888888888888888E-2</v>
      </c>
      <c r="U7" s="19">
        <v>0.32291666666666669</v>
      </c>
      <c r="V7" s="19">
        <v>0</v>
      </c>
      <c r="W7" s="19">
        <v>3.125E-2</v>
      </c>
      <c r="X7" s="19">
        <v>0.33680555555555558</v>
      </c>
      <c r="Y7" s="19">
        <v>0.36249999999999999</v>
      </c>
      <c r="Z7" s="19">
        <f t="shared" si="2"/>
        <v>2.5694444444444409E-2</v>
      </c>
      <c r="AA7" s="19">
        <v>0</v>
      </c>
      <c r="AB7" s="19">
        <v>0.36736111111111108</v>
      </c>
      <c r="AC7" s="40"/>
      <c r="AD7" s="58"/>
    </row>
    <row r="8" spans="1:30" ht="19.5" thickBot="1" x14ac:dyDescent="0.3">
      <c r="A8" s="16">
        <v>6</v>
      </c>
      <c r="B8" s="17">
        <v>892</v>
      </c>
      <c r="C8" s="17" t="str">
        <f>VLOOKUP(B8,داتا!$B$3:$D$42,2,FALSE)</f>
        <v>تلتين</v>
      </c>
      <c r="D8" s="18">
        <f>VLOOKUP(B8,داتا!$B$3:$D$42,3,FALSE)</f>
        <v>3.125E-2</v>
      </c>
      <c r="E8" s="17" t="s">
        <v>37</v>
      </c>
      <c r="F8" s="17" t="s">
        <v>63</v>
      </c>
      <c r="G8" s="19">
        <v>0.25</v>
      </c>
      <c r="H8" s="19">
        <v>0.25347222222222221</v>
      </c>
      <c r="I8" s="19">
        <f t="shared" si="3"/>
        <v>3.4722222222222099E-3</v>
      </c>
      <c r="J8" s="19">
        <v>0.25</v>
      </c>
      <c r="K8" s="19">
        <v>0.25694444444444448</v>
      </c>
      <c r="L8" s="19" t="s">
        <v>65</v>
      </c>
      <c r="M8" s="19" t="s">
        <v>84</v>
      </c>
      <c r="N8" s="19">
        <f t="shared" si="4"/>
        <v>6.9444444444444753E-3</v>
      </c>
      <c r="O8" s="19">
        <v>0</v>
      </c>
      <c r="P8" s="19">
        <v>6.9444444444444441E-3</v>
      </c>
      <c r="Q8" s="19">
        <v>0.3125</v>
      </c>
      <c r="R8" s="19">
        <f t="shared" si="0"/>
        <v>4.8611111111111105E-2</v>
      </c>
      <c r="S8" s="19">
        <v>0.3125</v>
      </c>
      <c r="T8" s="19">
        <f>VLOOKUP(E8,'[1]22-1-2026'!$E$3:$T$13,16,FALSE)</f>
        <v>1.3888888888888888E-2</v>
      </c>
      <c r="U8" s="19">
        <v>0.37847222222222227</v>
      </c>
      <c r="V8" s="19">
        <v>0</v>
      </c>
      <c r="W8" s="19">
        <v>4.1666666666666664E-2</v>
      </c>
      <c r="X8" s="19">
        <v>0.38194444444444442</v>
      </c>
      <c r="Y8" s="19">
        <v>0.41319444444444442</v>
      </c>
      <c r="Z8" s="19">
        <f t="shared" si="2"/>
        <v>3.125E-2</v>
      </c>
      <c r="AA8" s="19">
        <v>0</v>
      </c>
      <c r="AB8" s="19">
        <v>0.41666666666666669</v>
      </c>
      <c r="AC8" s="40"/>
      <c r="AD8" s="58"/>
    </row>
    <row r="9" spans="1:30" ht="19.5" thickBot="1" x14ac:dyDescent="0.3">
      <c r="A9" s="16">
        <v>7</v>
      </c>
      <c r="B9" s="17">
        <v>529</v>
      </c>
      <c r="C9" s="17" t="str">
        <f>VLOOKUP(B9,داتا!$B$3:$D$42,2,FALSE)</f>
        <v>دبابة</v>
      </c>
      <c r="D9" s="18">
        <f>VLOOKUP(B9,داتا!$B$3:$D$42,3,FALSE)</f>
        <v>2.0833333333333332E-2</v>
      </c>
      <c r="E9" s="17" t="s">
        <v>76</v>
      </c>
      <c r="F9" s="17" t="s">
        <v>59</v>
      </c>
      <c r="G9" s="19">
        <v>0.25</v>
      </c>
      <c r="H9" s="19">
        <v>0.25</v>
      </c>
      <c r="I9" s="19">
        <f t="shared" si="3"/>
        <v>0</v>
      </c>
      <c r="J9" s="19">
        <v>0.25347222222222221</v>
      </c>
      <c r="K9" s="19">
        <v>0.26041666666666669</v>
      </c>
      <c r="L9" s="19" t="s">
        <v>65</v>
      </c>
      <c r="M9" s="19" t="s">
        <v>84</v>
      </c>
      <c r="N9" s="19">
        <f t="shared" si="4"/>
        <v>6.9444444444444753E-3</v>
      </c>
      <c r="O9" s="19">
        <v>0</v>
      </c>
      <c r="P9" s="19">
        <v>6.9444444444444441E-3</v>
      </c>
      <c r="Q9" s="19">
        <v>0.2986111111111111</v>
      </c>
      <c r="R9" s="19">
        <f t="shared" si="0"/>
        <v>3.125E-2</v>
      </c>
      <c r="S9" s="19">
        <v>0.2986111111111111</v>
      </c>
      <c r="T9" s="19">
        <v>4.1666666666666664E-2</v>
      </c>
      <c r="U9" s="19">
        <v>0.33333333333333331</v>
      </c>
      <c r="V9" s="19">
        <v>0</v>
      </c>
      <c r="W9" s="19">
        <v>2.0833333333333332E-2</v>
      </c>
      <c r="X9" s="19">
        <v>0.33819444444444446</v>
      </c>
      <c r="Y9" s="19">
        <v>0.36944444444444446</v>
      </c>
      <c r="Z9" s="19">
        <f t="shared" si="2"/>
        <v>3.125E-2</v>
      </c>
      <c r="AA9" s="19">
        <f t="shared" si="1"/>
        <v>1.0416666666666668E-2</v>
      </c>
      <c r="AB9" s="19">
        <v>0.37708333333333338</v>
      </c>
      <c r="AC9" s="40"/>
      <c r="AD9" s="58"/>
    </row>
    <row r="10" spans="1:30" ht="19.5" thickBot="1" x14ac:dyDescent="0.3">
      <c r="A10" s="16">
        <v>8</v>
      </c>
      <c r="B10" s="17">
        <v>529</v>
      </c>
      <c r="C10" s="17" t="str">
        <f>VLOOKUP(B10,داتا!$B$3:$D$42,2,FALSE)</f>
        <v>دبابة</v>
      </c>
      <c r="D10" s="18">
        <f>VLOOKUP(B10,داتا!$B$3:$D$42,3,FALSE)</f>
        <v>2.0833333333333332E-2</v>
      </c>
      <c r="E10" s="17" t="s">
        <v>51</v>
      </c>
      <c r="F10" s="17" t="s">
        <v>59</v>
      </c>
      <c r="G10" s="19">
        <v>0.25</v>
      </c>
      <c r="H10" s="19">
        <v>0.25</v>
      </c>
      <c r="I10" s="19">
        <f t="shared" si="3"/>
        <v>0</v>
      </c>
      <c r="J10" s="19">
        <v>0.25347222222222221</v>
      </c>
      <c r="K10" s="19">
        <v>0.26041666666666669</v>
      </c>
      <c r="L10" s="19" t="s">
        <v>65</v>
      </c>
      <c r="M10" s="19" t="s">
        <v>84</v>
      </c>
      <c r="N10" s="19">
        <f t="shared" si="4"/>
        <v>6.9444444444444753E-3</v>
      </c>
      <c r="O10" s="19">
        <v>0</v>
      </c>
      <c r="P10" s="19">
        <v>6.9444444444444441E-3</v>
      </c>
      <c r="Q10" s="19">
        <v>0.2986111111111111</v>
      </c>
      <c r="R10" s="19">
        <f t="shared" si="0"/>
        <v>3.125E-2</v>
      </c>
      <c r="S10" s="19">
        <v>0.2986111111111111</v>
      </c>
      <c r="T10" s="19">
        <f>VLOOKUP(E10,'[1]22-1-2026'!$E$3:$T$13,16,FALSE)</f>
        <v>6.9444444444444441E-3</v>
      </c>
      <c r="U10" s="19">
        <v>0.38263888888888892</v>
      </c>
      <c r="V10" s="19">
        <v>0</v>
      </c>
      <c r="W10" s="19">
        <v>3.125E-2</v>
      </c>
      <c r="X10" s="19">
        <v>0.3840277777777778</v>
      </c>
      <c r="Y10" s="19">
        <v>0.41111111111111115</v>
      </c>
      <c r="Z10" s="19">
        <f t="shared" si="2"/>
        <v>2.7083333333333348E-2</v>
      </c>
      <c r="AA10" s="19">
        <v>0</v>
      </c>
      <c r="AB10" s="19">
        <v>0.41319444444444442</v>
      </c>
      <c r="AC10" s="40"/>
      <c r="AD10" s="58"/>
    </row>
    <row r="11" spans="1:30" ht="19.5" thickBot="1" x14ac:dyDescent="0.3">
      <c r="A11" s="16">
        <v>9</v>
      </c>
      <c r="B11" s="17">
        <v>876</v>
      </c>
      <c r="C11" s="17" t="str">
        <f>VLOOKUP(B11,داتا!$B$3:$D$42,2,FALSE)</f>
        <v>دبابة</v>
      </c>
      <c r="D11" s="18">
        <f>VLOOKUP(B11,داتا!$B$3:$D$42,3,FALSE)</f>
        <v>2.0833333333333332E-2</v>
      </c>
      <c r="E11" s="17" t="s">
        <v>41</v>
      </c>
      <c r="F11" s="17" t="s">
        <v>62</v>
      </c>
      <c r="G11" s="19">
        <v>0.25</v>
      </c>
      <c r="H11" s="19">
        <v>0.25</v>
      </c>
      <c r="I11" s="19">
        <f t="shared" si="3"/>
        <v>0</v>
      </c>
      <c r="J11" s="19">
        <v>0.26041666666666669</v>
      </c>
      <c r="K11" s="19">
        <v>0.2673611111111111</v>
      </c>
      <c r="L11" s="19" t="s">
        <v>65</v>
      </c>
      <c r="M11" s="19" t="s">
        <v>84</v>
      </c>
      <c r="N11" s="19">
        <f t="shared" si="4"/>
        <v>6.9444444444444198E-3</v>
      </c>
      <c r="O11" s="19">
        <v>0</v>
      </c>
      <c r="P11" s="19">
        <v>6.9444444444444441E-3</v>
      </c>
      <c r="Q11" s="19">
        <v>0.2986111111111111</v>
      </c>
      <c r="R11" s="19">
        <f t="shared" si="0"/>
        <v>2.430555555555558E-2</v>
      </c>
      <c r="S11" s="19">
        <v>0.2986111111111111</v>
      </c>
      <c r="T11" s="19">
        <f>VLOOKUP(E11,'[1]22-1-2026'!$E$3:$T$13,16,FALSE)</f>
        <v>1.7361111111111112E-2</v>
      </c>
      <c r="U11" s="19">
        <v>0.3298611111111111</v>
      </c>
      <c r="V11" s="19">
        <f t="shared" ref="V11:V26" si="5">U11-T11-S11</f>
        <v>1.3888888888888895E-2</v>
      </c>
      <c r="W11" s="19">
        <v>3.125E-2</v>
      </c>
      <c r="X11" s="19">
        <v>0.34027777777777773</v>
      </c>
      <c r="Y11" s="19">
        <v>0.37013888888888885</v>
      </c>
      <c r="Z11" s="19">
        <f t="shared" si="2"/>
        <v>2.9861111111111116E-2</v>
      </c>
      <c r="AA11" s="19">
        <v>0</v>
      </c>
      <c r="AB11" s="19">
        <v>0.37152777777777773</v>
      </c>
      <c r="AC11" s="41"/>
      <c r="AD11" s="58"/>
    </row>
    <row r="12" spans="1:30" ht="21.75" thickBot="1" x14ac:dyDescent="0.3">
      <c r="A12" s="16">
        <v>10</v>
      </c>
      <c r="B12" s="17">
        <v>249</v>
      </c>
      <c r="C12" s="17" t="str">
        <f>VLOOKUP(B12,داتا!$B$3:$D$42,2,FALSE)</f>
        <v>دبابة</v>
      </c>
      <c r="D12" s="18">
        <f>VLOOKUP(B12,داتا!$B$3:$D$42,3,FALSE)</f>
        <v>2.0833333333333332E-2</v>
      </c>
      <c r="E12" s="17" t="s">
        <v>47</v>
      </c>
      <c r="F12" s="17" t="s">
        <v>77</v>
      </c>
      <c r="G12" s="19">
        <v>0.25</v>
      </c>
      <c r="H12" s="19">
        <v>0.25347222222222221</v>
      </c>
      <c r="I12" s="19">
        <f t="shared" si="3"/>
        <v>3.4722222222222099E-3</v>
      </c>
      <c r="J12" s="19">
        <v>0.25694444444444448</v>
      </c>
      <c r="K12" s="19">
        <v>0.2638888888888889</v>
      </c>
      <c r="L12" s="19" t="s">
        <v>65</v>
      </c>
      <c r="M12" s="19" t="s">
        <v>84</v>
      </c>
      <c r="N12" s="19">
        <f t="shared" si="4"/>
        <v>6.9444444444444198E-3</v>
      </c>
      <c r="O12" s="19">
        <v>0</v>
      </c>
      <c r="P12" s="19">
        <v>6.9444444444444441E-3</v>
      </c>
      <c r="Q12" s="19">
        <v>0.30208333333333331</v>
      </c>
      <c r="R12" s="19">
        <f t="shared" si="0"/>
        <v>3.125E-2</v>
      </c>
      <c r="S12" s="19">
        <v>0.30208333333333331</v>
      </c>
      <c r="T12" s="19">
        <f>VLOOKUP(E12,'[1]22-1-2026'!$E$3:$T$13,16,FALSE)</f>
        <v>1.3888888888888888E-2</v>
      </c>
      <c r="U12" s="19">
        <v>0.3125</v>
      </c>
      <c r="V12" s="19">
        <v>0</v>
      </c>
      <c r="W12" s="19">
        <v>3.125E-2</v>
      </c>
      <c r="X12" s="19">
        <v>0.3347222222222222</v>
      </c>
      <c r="Y12" s="19">
        <v>0.37361111111111112</v>
      </c>
      <c r="Z12" s="19">
        <f t="shared" si="2"/>
        <v>3.8888888888888917E-2</v>
      </c>
      <c r="AA12" s="19">
        <f t="shared" si="1"/>
        <v>7.6388888888889173E-3</v>
      </c>
      <c r="AB12" s="19">
        <v>0.37847222222222227</v>
      </c>
      <c r="AC12" s="42"/>
      <c r="AD12" s="58"/>
    </row>
    <row r="13" spans="1:30" ht="21.75" thickBot="1" x14ac:dyDescent="0.3">
      <c r="A13" s="16">
        <v>11</v>
      </c>
      <c r="B13" s="17">
        <v>762</v>
      </c>
      <c r="C13" s="17" t="str">
        <f>VLOOKUP(B13,داتا!$B$3:$D$42,2,FALSE)</f>
        <v>دبابة</v>
      </c>
      <c r="D13" s="18">
        <f>VLOOKUP(B13,داتا!$B$3:$D$42,3,FALSE)</f>
        <v>2.0833333333333332E-2</v>
      </c>
      <c r="E13" s="17" t="s">
        <v>45</v>
      </c>
      <c r="F13" s="17" t="s">
        <v>50</v>
      </c>
      <c r="G13" s="19">
        <v>0.25</v>
      </c>
      <c r="H13" s="19">
        <v>0.25347222222222221</v>
      </c>
      <c r="I13" s="19">
        <f t="shared" si="3"/>
        <v>3.4722222222222099E-3</v>
      </c>
      <c r="J13" s="19">
        <v>0.2673611111111111</v>
      </c>
      <c r="K13" s="19">
        <v>0.27430555555555552</v>
      </c>
      <c r="L13" s="19" t="s">
        <v>65</v>
      </c>
      <c r="M13" s="19" t="s">
        <v>84</v>
      </c>
      <c r="N13" s="19">
        <f t="shared" si="4"/>
        <v>6.9444444444444198E-3</v>
      </c>
      <c r="O13" s="19">
        <v>0</v>
      </c>
      <c r="P13" s="19">
        <v>6.9444444444444441E-3</v>
      </c>
      <c r="Q13" s="19">
        <v>0.30208333333333331</v>
      </c>
      <c r="R13" s="19">
        <f t="shared" si="0"/>
        <v>2.083333333333337E-2</v>
      </c>
      <c r="S13" s="19">
        <v>0.30208333333333331</v>
      </c>
      <c r="T13" s="19">
        <f>VLOOKUP(E13,'[1]22-1-2026'!$E$3:$T$13,16,FALSE)</f>
        <v>1.3888888888888888E-2</v>
      </c>
      <c r="U13" s="19">
        <v>0.3263888888888889</v>
      </c>
      <c r="V13" s="19">
        <f t="shared" si="5"/>
        <v>1.0416666666666685E-2</v>
      </c>
      <c r="W13" s="19">
        <v>3.125E-2</v>
      </c>
      <c r="X13" s="19">
        <v>0.3298611111111111</v>
      </c>
      <c r="Y13" s="19">
        <v>0.3666666666666667</v>
      </c>
      <c r="Z13" s="19">
        <f t="shared" si="2"/>
        <v>3.6805555555555591E-2</v>
      </c>
      <c r="AA13" s="19">
        <f t="shared" si="1"/>
        <v>5.5555555555555913E-3</v>
      </c>
      <c r="AB13" s="19">
        <v>0.36805555555555558</v>
      </c>
      <c r="AC13" s="42"/>
      <c r="AD13" s="58"/>
    </row>
    <row r="14" spans="1:30" ht="21.75" thickBot="1" x14ac:dyDescent="0.3">
      <c r="A14" s="16">
        <v>12</v>
      </c>
      <c r="B14" s="17">
        <v>529</v>
      </c>
      <c r="C14" s="17" t="s">
        <v>57</v>
      </c>
      <c r="D14" s="18">
        <f>VLOOKUP(B14,داتا!$B$3:$D$42,3,FALSE)</f>
        <v>2.0833333333333332E-2</v>
      </c>
      <c r="E14" s="17" t="s">
        <v>58</v>
      </c>
      <c r="F14" s="17" t="s">
        <v>71</v>
      </c>
      <c r="G14" s="19">
        <v>0.25</v>
      </c>
      <c r="H14" s="19">
        <v>0.25</v>
      </c>
      <c r="I14" s="19">
        <f t="shared" si="3"/>
        <v>0</v>
      </c>
      <c r="J14" s="19">
        <v>0.27430555555555552</v>
      </c>
      <c r="K14" s="19">
        <v>0.28472222222222221</v>
      </c>
      <c r="L14" s="19" t="s">
        <v>65</v>
      </c>
      <c r="M14" s="19" t="s">
        <v>84</v>
      </c>
      <c r="N14" s="19">
        <f t="shared" si="4"/>
        <v>1.0416666666666685E-2</v>
      </c>
      <c r="O14" s="19">
        <v>0</v>
      </c>
      <c r="P14" s="19">
        <v>6.9444444444444441E-3</v>
      </c>
      <c r="Q14" s="19">
        <v>0.28472222222222221</v>
      </c>
      <c r="R14" s="19">
        <v>0</v>
      </c>
      <c r="S14" s="19">
        <v>0.28472222222222221</v>
      </c>
      <c r="T14" s="19">
        <v>2.4305555555555556E-2</v>
      </c>
      <c r="U14" s="19">
        <v>0.31597222222222221</v>
      </c>
      <c r="V14" s="19">
        <f t="shared" si="5"/>
        <v>6.9444444444444198E-3</v>
      </c>
      <c r="W14" s="19">
        <v>3.125E-2</v>
      </c>
      <c r="X14" s="19">
        <v>0.33680555555555558</v>
      </c>
      <c r="Y14" s="19">
        <v>0.36458333333333331</v>
      </c>
      <c r="Z14" s="19">
        <f t="shared" si="2"/>
        <v>2.7777777777777735E-2</v>
      </c>
      <c r="AA14" s="19">
        <v>0</v>
      </c>
      <c r="AB14" s="19">
        <v>0.36805555555555558</v>
      </c>
      <c r="AC14" s="42"/>
      <c r="AD14" s="58"/>
    </row>
    <row r="15" spans="1:30" ht="21.75" thickBot="1" x14ac:dyDescent="0.3">
      <c r="A15" s="32">
        <v>13</v>
      </c>
      <c r="B15" s="23">
        <v>762</v>
      </c>
      <c r="C15" s="23" t="str">
        <f>VLOOKUP(B15,داتا!$B$3:$D$42,2,FALSE)</f>
        <v>دبابة</v>
      </c>
      <c r="D15" s="24">
        <f>VLOOKUP(B15,داتا!$B$3:$D$42,3,FALSE)</f>
        <v>2.0833333333333332E-2</v>
      </c>
      <c r="E15" s="23" t="s">
        <v>52</v>
      </c>
      <c r="F15" s="23" t="s">
        <v>50</v>
      </c>
      <c r="G15" s="25">
        <v>0.25</v>
      </c>
      <c r="H15" s="25">
        <v>0.25347222222222221</v>
      </c>
      <c r="I15" s="25">
        <f t="shared" si="3"/>
        <v>3.4722222222222099E-3</v>
      </c>
      <c r="J15" s="25">
        <v>0.38541666666666669</v>
      </c>
      <c r="K15" s="25">
        <v>0.39583333333333331</v>
      </c>
      <c r="L15" s="25" t="s">
        <v>65</v>
      </c>
      <c r="M15" s="25" t="s">
        <v>84</v>
      </c>
      <c r="N15" s="25">
        <f t="shared" si="4"/>
        <v>1.041666666666663E-2</v>
      </c>
      <c r="O15" s="25">
        <v>0</v>
      </c>
      <c r="P15" s="25">
        <v>6.9444444444444441E-3</v>
      </c>
      <c r="Q15" s="25">
        <v>0.39583333333333331</v>
      </c>
      <c r="R15" s="25">
        <v>0</v>
      </c>
      <c r="S15" s="25">
        <v>0.39930555555555558</v>
      </c>
      <c r="T15" s="25">
        <v>3.472222222222222E-3</v>
      </c>
      <c r="U15" s="25">
        <v>0.39583333333333331</v>
      </c>
      <c r="V15" s="25">
        <v>0</v>
      </c>
      <c r="W15" s="25">
        <v>3.125E-2</v>
      </c>
      <c r="X15" s="25">
        <v>0.39930555555555558</v>
      </c>
      <c r="Y15" s="25">
        <v>0.41666666666666669</v>
      </c>
      <c r="Z15" s="25">
        <f t="shared" si="2"/>
        <v>1.7361111111111105E-2</v>
      </c>
      <c r="AA15" s="19">
        <v>0</v>
      </c>
      <c r="AB15" s="25">
        <v>0.4201388888888889</v>
      </c>
      <c r="AC15" s="48"/>
      <c r="AD15" s="59"/>
    </row>
    <row r="16" spans="1:30" ht="20.25" thickTop="1" thickBot="1" x14ac:dyDescent="0.3">
      <c r="A16" s="11">
        <v>1</v>
      </c>
      <c r="B16" s="12">
        <v>762</v>
      </c>
      <c r="C16" s="12" t="str">
        <f>VLOOKUP(B16,داتا!$B$3:$D$42,2,FALSE)</f>
        <v>دبابة</v>
      </c>
      <c r="D16" s="13">
        <f>VLOOKUP(B16,داتا!$B$3:$D$42,3,FALSE)</f>
        <v>2.0833333333333332E-2</v>
      </c>
      <c r="E16" s="12" t="s">
        <v>76</v>
      </c>
      <c r="F16" s="12" t="s">
        <v>50</v>
      </c>
      <c r="G16" s="14">
        <v>0.25</v>
      </c>
      <c r="H16" s="14">
        <v>0.25347222222222221</v>
      </c>
      <c r="I16" s="14">
        <f t="shared" si="3"/>
        <v>3.4722222222222099E-3</v>
      </c>
      <c r="J16" s="14">
        <v>0.4548611111111111</v>
      </c>
      <c r="K16" s="14">
        <v>0.50694444444444442</v>
      </c>
      <c r="L16" s="14" t="s">
        <v>83</v>
      </c>
      <c r="M16" s="19" t="s">
        <v>84</v>
      </c>
      <c r="N16" s="14">
        <f t="shared" si="4"/>
        <v>5.2083333333333315E-2</v>
      </c>
      <c r="O16" s="14">
        <f t="shared" ref="O16:O28" si="6">N16-D16</f>
        <v>3.1249999999999983E-2</v>
      </c>
      <c r="P16" s="14">
        <v>6.9444444444444441E-3</v>
      </c>
      <c r="Q16" s="14">
        <v>0.50694444444444442</v>
      </c>
      <c r="R16" s="14">
        <v>0</v>
      </c>
      <c r="S16" s="14">
        <v>0.50694444444444442</v>
      </c>
      <c r="T16" s="14">
        <v>4.1666666666666664E-2</v>
      </c>
      <c r="U16" s="14">
        <v>0.53611111111111109</v>
      </c>
      <c r="V16" s="14">
        <v>0</v>
      </c>
      <c r="W16" s="14">
        <v>2.0833333333333332E-2</v>
      </c>
      <c r="X16" s="14">
        <v>0.53749999999999998</v>
      </c>
      <c r="Y16" s="14">
        <v>0.55208333333333337</v>
      </c>
      <c r="Z16" s="14">
        <f t="shared" si="2"/>
        <v>1.4583333333333393E-2</v>
      </c>
      <c r="AA16" s="14">
        <v>0</v>
      </c>
      <c r="AB16" s="14">
        <v>0.55555555555555558</v>
      </c>
      <c r="AC16" s="46"/>
      <c r="AD16" s="57" t="s">
        <v>54</v>
      </c>
    </row>
    <row r="17" spans="1:30" ht="19.5" thickBot="1" x14ac:dyDescent="0.3">
      <c r="A17" s="16">
        <v>2</v>
      </c>
      <c r="B17" s="17">
        <v>762</v>
      </c>
      <c r="C17" s="17" t="str">
        <f>VLOOKUP(B17,داتا!$B$3:$D$42,2,FALSE)</f>
        <v>دبابة</v>
      </c>
      <c r="D17" s="18">
        <f>VLOOKUP(B17,داتا!$B$3:$D$42,3,FALSE)</f>
        <v>2.0833333333333332E-2</v>
      </c>
      <c r="E17" s="17" t="s">
        <v>51</v>
      </c>
      <c r="F17" s="17" t="s">
        <v>50</v>
      </c>
      <c r="G17" s="19">
        <v>0.25</v>
      </c>
      <c r="H17" s="19">
        <v>0.25347222222222221</v>
      </c>
      <c r="I17" s="19">
        <f t="shared" si="3"/>
        <v>3.4722222222222099E-3</v>
      </c>
      <c r="J17" s="19">
        <v>0.4548611111111111</v>
      </c>
      <c r="K17" s="19">
        <v>0.50694444444444442</v>
      </c>
      <c r="L17" s="19" t="s">
        <v>83</v>
      </c>
      <c r="M17" s="19" t="s">
        <v>84</v>
      </c>
      <c r="N17" s="19">
        <f t="shared" si="4"/>
        <v>5.2083333333333315E-2</v>
      </c>
      <c r="O17" s="19">
        <f t="shared" si="6"/>
        <v>3.1249999999999983E-2</v>
      </c>
      <c r="P17" s="19">
        <v>6.9444444444444441E-3</v>
      </c>
      <c r="Q17" s="19">
        <v>0.50694444444444442</v>
      </c>
      <c r="R17" s="19">
        <v>0</v>
      </c>
      <c r="S17" s="19">
        <v>0.50694444444444442</v>
      </c>
      <c r="T17" s="19">
        <f>VLOOKUP(E17,'[1]22-1-2026'!$E$3:$T$13,16,FALSE)</f>
        <v>6.9444444444444441E-3</v>
      </c>
      <c r="U17" s="19">
        <v>0.5625</v>
      </c>
      <c r="V17" s="19">
        <v>0</v>
      </c>
      <c r="W17" s="19">
        <v>3.125E-2</v>
      </c>
      <c r="X17" s="19">
        <v>0.56388888888888888</v>
      </c>
      <c r="Y17" s="19">
        <v>0.57500000000000007</v>
      </c>
      <c r="Z17" s="19">
        <f t="shared" si="2"/>
        <v>1.1111111111111183E-2</v>
      </c>
      <c r="AA17" s="19">
        <v>0</v>
      </c>
      <c r="AB17" s="19">
        <v>0.57638888888888895</v>
      </c>
      <c r="AC17" s="40"/>
      <c r="AD17" s="58"/>
    </row>
    <row r="18" spans="1:30" ht="21.75" thickBot="1" x14ac:dyDescent="0.3">
      <c r="A18" s="16">
        <v>3</v>
      </c>
      <c r="B18" s="17">
        <v>492</v>
      </c>
      <c r="C18" s="17" t="str">
        <f>VLOOKUP(B18,داتا!$B$3:$D$42,2,FALSE)</f>
        <v>دبابة</v>
      </c>
      <c r="D18" s="18">
        <f>VLOOKUP(B18,داتا!$B$3:$D$42,3,FALSE)</f>
        <v>2.0833333333333332E-2</v>
      </c>
      <c r="E18" s="17" t="s">
        <v>38</v>
      </c>
      <c r="F18" s="17" t="s">
        <v>71</v>
      </c>
      <c r="G18" s="19">
        <v>0.25</v>
      </c>
      <c r="H18" s="19">
        <v>0.25</v>
      </c>
      <c r="I18" s="19">
        <f t="shared" si="3"/>
        <v>0</v>
      </c>
      <c r="J18" s="19">
        <v>0.4861111111111111</v>
      </c>
      <c r="K18" s="19">
        <v>0.51041666666666663</v>
      </c>
      <c r="L18" s="19" t="s">
        <v>85</v>
      </c>
      <c r="M18" s="19" t="s">
        <v>84</v>
      </c>
      <c r="N18" s="19">
        <f t="shared" si="4"/>
        <v>2.4305555555555525E-2</v>
      </c>
      <c r="O18" s="19">
        <f t="shared" si="6"/>
        <v>3.4722222222221925E-3</v>
      </c>
      <c r="P18" s="19">
        <v>6.9444444444444441E-3</v>
      </c>
      <c r="Q18" s="19">
        <v>0.51041666666666663</v>
      </c>
      <c r="R18" s="19">
        <v>0</v>
      </c>
      <c r="S18" s="19">
        <v>0.51041666666666663</v>
      </c>
      <c r="T18" s="19">
        <f>VLOOKUP(E18,'[1]22-1-2026'!$E$3:$T$13,16,FALSE)</f>
        <v>3.4722222222222224E-2</v>
      </c>
      <c r="U18" s="19">
        <v>0.54513888888888895</v>
      </c>
      <c r="V18" s="19">
        <f t="shared" si="5"/>
        <v>0</v>
      </c>
      <c r="W18" s="19">
        <v>2.0833333333333332E-2</v>
      </c>
      <c r="X18" s="19">
        <v>0.54722222222222217</v>
      </c>
      <c r="Y18" s="19">
        <v>0.5625</v>
      </c>
      <c r="Z18" s="19">
        <f t="shared" si="2"/>
        <v>1.5277777777777835E-2</v>
      </c>
      <c r="AA18" s="19">
        <v>0</v>
      </c>
      <c r="AB18" s="19">
        <v>0.56597222222222221</v>
      </c>
      <c r="AC18" s="42"/>
      <c r="AD18" s="58"/>
    </row>
    <row r="19" spans="1:30" ht="19.5" thickBot="1" x14ac:dyDescent="0.3">
      <c r="A19" s="16">
        <v>4</v>
      </c>
      <c r="B19" s="17">
        <v>492</v>
      </c>
      <c r="C19" s="17" t="str">
        <f>VLOOKUP(B19,داتا!$B$3:$D$42,2,FALSE)</f>
        <v>دبابة</v>
      </c>
      <c r="D19" s="18">
        <f>VLOOKUP(B19,داتا!$B$3:$D$42,3,FALSE)</f>
        <v>2.0833333333333332E-2</v>
      </c>
      <c r="E19" s="17" t="s">
        <v>40</v>
      </c>
      <c r="F19" s="17" t="s">
        <v>71</v>
      </c>
      <c r="G19" s="19">
        <v>0.25</v>
      </c>
      <c r="H19" s="19">
        <v>0.25</v>
      </c>
      <c r="I19" s="19">
        <f t="shared" si="3"/>
        <v>0</v>
      </c>
      <c r="J19" s="19">
        <v>0.4861111111111111</v>
      </c>
      <c r="K19" s="19">
        <v>0.51041666666666663</v>
      </c>
      <c r="L19" s="19" t="s">
        <v>85</v>
      </c>
      <c r="M19" s="19" t="s">
        <v>84</v>
      </c>
      <c r="N19" s="19">
        <f t="shared" si="4"/>
        <v>2.4305555555555525E-2</v>
      </c>
      <c r="O19" s="19">
        <f t="shared" si="6"/>
        <v>3.4722222222221925E-3</v>
      </c>
      <c r="P19" s="19">
        <v>6.9444444444444441E-3</v>
      </c>
      <c r="Q19" s="19">
        <v>0.51041666666666663</v>
      </c>
      <c r="R19" s="19">
        <v>0</v>
      </c>
      <c r="S19" s="19">
        <v>0.51041666666666663</v>
      </c>
      <c r="T19" s="19">
        <v>1.7361111111111112E-2</v>
      </c>
      <c r="U19" s="19">
        <v>0.57638888888888895</v>
      </c>
      <c r="V19" s="19">
        <v>0</v>
      </c>
      <c r="W19" s="19">
        <v>3.125E-2</v>
      </c>
      <c r="X19" s="19">
        <v>0.57986111111111105</v>
      </c>
      <c r="Y19" s="19">
        <v>0.60763888888888895</v>
      </c>
      <c r="Z19" s="19">
        <f t="shared" si="2"/>
        <v>2.7777777777777901E-2</v>
      </c>
      <c r="AA19" s="19">
        <v>0</v>
      </c>
      <c r="AB19" s="19">
        <v>0.61111111111111105</v>
      </c>
      <c r="AC19" s="40"/>
      <c r="AD19" s="58"/>
    </row>
    <row r="20" spans="1:30" ht="19.5" thickBot="1" x14ac:dyDescent="0.3">
      <c r="A20" s="16">
        <v>5</v>
      </c>
      <c r="B20" s="17">
        <v>529</v>
      </c>
      <c r="C20" s="17" t="str">
        <f>VLOOKUP(B20,داتا!$B$3:$D$42,2,FALSE)</f>
        <v>دبابة</v>
      </c>
      <c r="D20" s="18">
        <f>VLOOKUP(B20,داتا!$B$3:$D$42,3,FALSE)</f>
        <v>2.0833333333333332E-2</v>
      </c>
      <c r="E20" s="17" t="s">
        <v>58</v>
      </c>
      <c r="F20" s="17" t="s">
        <v>59</v>
      </c>
      <c r="G20" s="19">
        <v>0.25</v>
      </c>
      <c r="H20" s="19">
        <f t="shared" ref="H20:H28" si="7">VLOOKUP(F20,$F$3:$H$12,3,FALSE)</f>
        <v>0.25</v>
      </c>
      <c r="I20" s="19">
        <f t="shared" si="3"/>
        <v>0</v>
      </c>
      <c r="J20" s="19">
        <v>0.51041666666666663</v>
      </c>
      <c r="K20" s="19">
        <v>0.53125</v>
      </c>
      <c r="L20" s="19" t="s">
        <v>83</v>
      </c>
      <c r="M20" s="19" t="s">
        <v>84</v>
      </c>
      <c r="N20" s="19">
        <f t="shared" si="4"/>
        <v>2.083333333333337E-2</v>
      </c>
      <c r="O20" s="19">
        <f t="shared" si="6"/>
        <v>3.8163916471489756E-17</v>
      </c>
      <c r="P20" s="19">
        <v>6.9444444444444441E-3</v>
      </c>
      <c r="Q20" s="19">
        <v>0.53125</v>
      </c>
      <c r="R20" s="19">
        <v>0</v>
      </c>
      <c r="S20" s="19">
        <v>0.53125</v>
      </c>
      <c r="T20" s="19">
        <v>2.4305555555555556E-2</v>
      </c>
      <c r="U20" s="19">
        <v>0.55902777777777779</v>
      </c>
      <c r="V20" s="19">
        <f t="shared" si="5"/>
        <v>3.4722222222222099E-3</v>
      </c>
      <c r="W20" s="19">
        <v>2.0833333333333332E-2</v>
      </c>
      <c r="X20" s="19">
        <v>0.55902777777777779</v>
      </c>
      <c r="Y20" s="19">
        <v>0.56944444444444442</v>
      </c>
      <c r="Z20" s="19">
        <f t="shared" si="2"/>
        <v>1.041666666666663E-2</v>
      </c>
      <c r="AA20" s="19">
        <v>0</v>
      </c>
      <c r="AB20" s="19">
        <v>0.57291666666666663</v>
      </c>
      <c r="AC20" s="40"/>
      <c r="AD20" s="58"/>
    </row>
    <row r="21" spans="1:30" ht="19.5" thickBot="1" x14ac:dyDescent="0.3">
      <c r="A21" s="16">
        <v>6</v>
      </c>
      <c r="B21" s="17">
        <v>529</v>
      </c>
      <c r="C21" s="17" t="str">
        <f>VLOOKUP(B21,داتا!$B$3:$D$42,2,FALSE)</f>
        <v>دبابة</v>
      </c>
      <c r="D21" s="18">
        <f>VLOOKUP(B21,داتا!$B$3:$D$42,3,FALSE)</f>
        <v>2.0833333333333332E-2</v>
      </c>
      <c r="E21" s="17" t="s">
        <v>30</v>
      </c>
      <c r="F21" s="17" t="s">
        <v>59</v>
      </c>
      <c r="G21" s="19">
        <v>0.25</v>
      </c>
      <c r="H21" s="19">
        <f t="shared" si="7"/>
        <v>0.25</v>
      </c>
      <c r="I21" s="19">
        <f t="shared" si="3"/>
        <v>0</v>
      </c>
      <c r="J21" s="19">
        <v>0.51041666666666663</v>
      </c>
      <c r="K21" s="19">
        <v>0.53125</v>
      </c>
      <c r="L21" s="19" t="s">
        <v>83</v>
      </c>
      <c r="M21" s="19" t="s">
        <v>84</v>
      </c>
      <c r="N21" s="19">
        <f t="shared" si="4"/>
        <v>2.083333333333337E-2</v>
      </c>
      <c r="O21" s="19">
        <f t="shared" si="6"/>
        <v>3.8163916471489756E-17</v>
      </c>
      <c r="P21" s="19">
        <v>6.9444444444444441E-3</v>
      </c>
      <c r="Q21" s="19">
        <v>0.53125</v>
      </c>
      <c r="R21" s="19">
        <v>0</v>
      </c>
      <c r="S21" s="19">
        <v>0.53125</v>
      </c>
      <c r="T21" s="19">
        <v>1.3888888888888888E-2</v>
      </c>
      <c r="U21" s="19">
        <v>0.58333333333333337</v>
      </c>
      <c r="V21" s="19">
        <v>0</v>
      </c>
      <c r="W21" s="19">
        <v>3.125E-2</v>
      </c>
      <c r="X21" s="19">
        <v>0.58680555555555558</v>
      </c>
      <c r="Y21" s="19">
        <v>0.61805555555555558</v>
      </c>
      <c r="Z21" s="19">
        <f t="shared" si="2"/>
        <v>3.125E-2</v>
      </c>
      <c r="AA21" s="19">
        <f t="shared" si="1"/>
        <v>0</v>
      </c>
      <c r="AB21" s="19">
        <v>0.62152777777777779</v>
      </c>
      <c r="AC21" s="40"/>
      <c r="AD21" s="58"/>
    </row>
    <row r="22" spans="1:30" ht="19.5" thickBot="1" x14ac:dyDescent="0.3">
      <c r="A22" s="16">
        <v>7</v>
      </c>
      <c r="B22" s="17">
        <v>892</v>
      </c>
      <c r="C22" s="17" t="str">
        <f>VLOOKUP(B22,داتا!$B$3:$D$42,2,FALSE)</f>
        <v>تلتين</v>
      </c>
      <c r="D22" s="18">
        <f>VLOOKUP(B22,داتا!$B$3:$D$42,3,FALSE)</f>
        <v>3.125E-2</v>
      </c>
      <c r="E22" s="17" t="s">
        <v>33</v>
      </c>
      <c r="F22" s="17" t="s">
        <v>63</v>
      </c>
      <c r="G22" s="19">
        <v>0.25</v>
      </c>
      <c r="H22" s="19">
        <f t="shared" si="7"/>
        <v>0.25347222222222221</v>
      </c>
      <c r="I22" s="19">
        <f t="shared" si="3"/>
        <v>3.4722222222222099E-3</v>
      </c>
      <c r="J22" s="19">
        <v>0.51388888888888895</v>
      </c>
      <c r="K22" s="19">
        <v>0.52777777777777779</v>
      </c>
      <c r="L22" s="19" t="s">
        <v>85</v>
      </c>
      <c r="M22" s="19" t="s">
        <v>84</v>
      </c>
      <c r="N22" s="19">
        <f t="shared" si="4"/>
        <v>1.388888888888884E-2</v>
      </c>
      <c r="O22" s="19">
        <v>0</v>
      </c>
      <c r="P22" s="19">
        <v>6.9444444444444441E-3</v>
      </c>
      <c r="Q22" s="19">
        <v>0.52777777777777779</v>
      </c>
      <c r="R22" s="19">
        <v>0</v>
      </c>
      <c r="S22" s="19">
        <v>0.52777777777777779</v>
      </c>
      <c r="T22" s="19">
        <f>VLOOKUP(E22,'[1]22-1-2026'!$E$3:$T$13,16,FALSE)</f>
        <v>2.7777777777777776E-2</v>
      </c>
      <c r="U22" s="19">
        <v>0.56597222222222221</v>
      </c>
      <c r="V22" s="19">
        <f t="shared" si="5"/>
        <v>1.041666666666663E-2</v>
      </c>
      <c r="W22" s="19">
        <v>3.125E-2</v>
      </c>
      <c r="X22" s="19">
        <v>0.56944444444444442</v>
      </c>
      <c r="Y22" s="19">
        <v>0.58680555555555558</v>
      </c>
      <c r="Z22" s="19">
        <f t="shared" si="2"/>
        <v>1.736111111111116E-2</v>
      </c>
      <c r="AA22" s="19">
        <v>0</v>
      </c>
      <c r="AB22" s="19">
        <v>0.59027777777777779</v>
      </c>
      <c r="AC22" s="40"/>
      <c r="AD22" s="58"/>
    </row>
    <row r="23" spans="1:30" ht="19.5" thickBot="1" x14ac:dyDescent="0.3">
      <c r="A23" s="16">
        <v>8</v>
      </c>
      <c r="B23" s="17">
        <v>892</v>
      </c>
      <c r="C23" s="17" t="str">
        <f>VLOOKUP(B23,داتا!$B$3:$D$42,2,FALSE)</f>
        <v>تلتين</v>
      </c>
      <c r="D23" s="18">
        <f>VLOOKUP(B23,داتا!$B$3:$D$42,3,FALSE)</f>
        <v>3.125E-2</v>
      </c>
      <c r="E23" s="17" t="s">
        <v>41</v>
      </c>
      <c r="F23" s="17" t="s">
        <v>63</v>
      </c>
      <c r="G23" s="19">
        <v>0.25</v>
      </c>
      <c r="H23" s="19">
        <f t="shared" si="7"/>
        <v>0.25347222222222221</v>
      </c>
      <c r="I23" s="19">
        <f t="shared" si="3"/>
        <v>3.4722222222222099E-3</v>
      </c>
      <c r="J23" s="19">
        <v>0.51388888888888895</v>
      </c>
      <c r="K23" s="19">
        <v>0.52777777777777779</v>
      </c>
      <c r="L23" s="19" t="s">
        <v>85</v>
      </c>
      <c r="M23" s="19" t="s">
        <v>84</v>
      </c>
      <c r="N23" s="19">
        <f t="shared" si="4"/>
        <v>1.388888888888884E-2</v>
      </c>
      <c r="O23" s="19">
        <v>0</v>
      </c>
      <c r="P23" s="19">
        <v>6.9444444444444441E-3</v>
      </c>
      <c r="Q23" s="19">
        <v>0.52777777777777779</v>
      </c>
      <c r="R23" s="19">
        <v>0</v>
      </c>
      <c r="S23" s="19">
        <v>0.52777777777777779</v>
      </c>
      <c r="T23" s="19">
        <f>VLOOKUP(E23,'[1]22-1-2026'!$E$3:$T$13,16,FALSE)</f>
        <v>1.7361111111111112E-2</v>
      </c>
      <c r="U23" s="19">
        <v>0.60763888888888895</v>
      </c>
      <c r="V23" s="19">
        <v>0</v>
      </c>
      <c r="W23" s="19">
        <v>4.1666666666666664E-2</v>
      </c>
      <c r="X23" s="19">
        <v>0.61388888888888882</v>
      </c>
      <c r="Y23" s="19">
        <v>0.63194444444444442</v>
      </c>
      <c r="Z23" s="19">
        <f t="shared" si="2"/>
        <v>1.8055555555555602E-2</v>
      </c>
      <c r="AA23" s="19">
        <v>0</v>
      </c>
      <c r="AB23" s="19">
        <v>0.63541666666666663</v>
      </c>
      <c r="AC23" s="40"/>
      <c r="AD23" s="58"/>
    </row>
    <row r="24" spans="1:30" ht="19.5" thickBot="1" x14ac:dyDescent="0.3">
      <c r="A24" s="16">
        <v>9</v>
      </c>
      <c r="B24" s="17">
        <v>7435</v>
      </c>
      <c r="C24" s="17" t="str">
        <f>VLOOKUP(B24,داتا!$B$3:$D$42,2,FALSE)</f>
        <v>تلتين</v>
      </c>
      <c r="D24" s="18">
        <f>VLOOKUP(B24,داتا!$B$3:$D$42,3,FALSE)</f>
        <v>3.125E-2</v>
      </c>
      <c r="E24" s="17" t="s">
        <v>37</v>
      </c>
      <c r="F24" s="17" t="s">
        <v>77</v>
      </c>
      <c r="G24" s="19">
        <v>0.25</v>
      </c>
      <c r="H24" s="19">
        <f t="shared" si="7"/>
        <v>0.25347222222222221</v>
      </c>
      <c r="I24" s="19">
        <f t="shared" si="3"/>
        <v>3.4722222222222099E-3</v>
      </c>
      <c r="J24" s="19">
        <v>0.53125</v>
      </c>
      <c r="K24" s="19">
        <v>0.54861111111111105</v>
      </c>
      <c r="L24" s="19" t="s">
        <v>85</v>
      </c>
      <c r="M24" s="19" t="s">
        <v>84</v>
      </c>
      <c r="N24" s="19">
        <f t="shared" si="4"/>
        <v>1.7361111111111049E-2</v>
      </c>
      <c r="O24" s="19">
        <v>0</v>
      </c>
      <c r="P24" s="19">
        <v>6.9444444444444441E-3</v>
      </c>
      <c r="Q24" s="19">
        <v>0.54861111111111105</v>
      </c>
      <c r="R24" s="19">
        <v>0</v>
      </c>
      <c r="S24" s="19">
        <v>0.54861111111111105</v>
      </c>
      <c r="T24" s="19">
        <f>VLOOKUP(E24,'[1]22-1-2026'!$E$3:$T$13,16,FALSE)</f>
        <v>1.3888888888888888E-2</v>
      </c>
      <c r="U24" s="19">
        <v>0.5625</v>
      </c>
      <c r="V24" s="19">
        <f t="shared" si="5"/>
        <v>0</v>
      </c>
      <c r="W24" s="19">
        <v>3.125E-2</v>
      </c>
      <c r="X24" s="19">
        <v>0.56597222222222221</v>
      </c>
      <c r="Y24" s="19">
        <v>0.57291666666666663</v>
      </c>
      <c r="Z24" s="19">
        <f t="shared" si="2"/>
        <v>6.9444444444444198E-3</v>
      </c>
      <c r="AA24" s="19">
        <v>0</v>
      </c>
      <c r="AB24" s="19">
        <v>0.57638888888888895</v>
      </c>
      <c r="AC24" s="40"/>
      <c r="AD24" s="58"/>
    </row>
    <row r="25" spans="1:30" ht="19.5" thickBot="1" x14ac:dyDescent="0.3">
      <c r="A25" s="16">
        <v>10</v>
      </c>
      <c r="B25" s="17">
        <v>7435</v>
      </c>
      <c r="C25" s="17" t="str">
        <f>VLOOKUP(B25,داتا!$B$3:$D$42,2,FALSE)</f>
        <v>تلتين</v>
      </c>
      <c r="D25" s="18">
        <f>VLOOKUP(B25,داتا!$B$3:$D$42,3,FALSE)</f>
        <v>3.125E-2</v>
      </c>
      <c r="E25" s="17" t="s">
        <v>35</v>
      </c>
      <c r="F25" s="17" t="s">
        <v>77</v>
      </c>
      <c r="G25" s="19">
        <v>0.25</v>
      </c>
      <c r="H25" s="19">
        <f t="shared" si="7"/>
        <v>0.25347222222222221</v>
      </c>
      <c r="I25" s="19">
        <f t="shared" si="3"/>
        <v>3.4722222222222099E-3</v>
      </c>
      <c r="J25" s="19">
        <v>0.53125</v>
      </c>
      <c r="K25" s="19">
        <v>0.54861111111111105</v>
      </c>
      <c r="L25" s="19" t="s">
        <v>85</v>
      </c>
      <c r="M25" s="19" t="s">
        <v>84</v>
      </c>
      <c r="N25" s="19">
        <f t="shared" si="4"/>
        <v>1.7361111111111049E-2</v>
      </c>
      <c r="O25" s="19">
        <v>0</v>
      </c>
      <c r="P25" s="19">
        <v>6.9444444444444441E-3</v>
      </c>
      <c r="Q25" s="19">
        <v>0.54861111111111105</v>
      </c>
      <c r="R25" s="19">
        <v>0</v>
      </c>
      <c r="S25" s="19">
        <v>0.54861111111111105</v>
      </c>
      <c r="T25" s="19">
        <f>VLOOKUP(E25,'[1]22-1-2026'!$E$3:$T$13,16,FALSE)</f>
        <v>1.3888888888888888E-2</v>
      </c>
      <c r="U25" s="19">
        <v>0.60416666666666663</v>
      </c>
      <c r="V25" s="19">
        <v>1.3888888888888888E-2</v>
      </c>
      <c r="W25" s="19">
        <v>4.1666666666666664E-2</v>
      </c>
      <c r="X25" s="19">
        <v>0.60763888888888895</v>
      </c>
      <c r="Y25" s="19">
        <v>0.63541666666666663</v>
      </c>
      <c r="Z25" s="19">
        <f t="shared" si="2"/>
        <v>2.7777777777777679E-2</v>
      </c>
      <c r="AA25" s="19">
        <v>0</v>
      </c>
      <c r="AB25" s="19">
        <v>0.63680555555555551</v>
      </c>
      <c r="AC25" s="40"/>
      <c r="AD25" s="58"/>
    </row>
    <row r="26" spans="1:30" ht="19.5" thickBot="1" x14ac:dyDescent="0.3">
      <c r="A26" s="16">
        <v>11</v>
      </c>
      <c r="B26" s="17">
        <v>876</v>
      </c>
      <c r="C26" s="17" t="str">
        <f>VLOOKUP(B26,داتا!$B$3:$D$42,2,FALSE)</f>
        <v>دبابة</v>
      </c>
      <c r="D26" s="18">
        <f>VLOOKUP(B26,داتا!$B$3:$D$42,3,FALSE)</f>
        <v>2.0833333333333332E-2</v>
      </c>
      <c r="E26" s="17" t="s">
        <v>47</v>
      </c>
      <c r="F26" s="17" t="s">
        <v>62</v>
      </c>
      <c r="G26" s="19">
        <v>0.25</v>
      </c>
      <c r="H26" s="19">
        <f t="shared" si="7"/>
        <v>0.25</v>
      </c>
      <c r="I26" s="19">
        <f t="shared" si="3"/>
        <v>0</v>
      </c>
      <c r="J26" s="19">
        <v>0.53819444444444442</v>
      </c>
      <c r="K26" s="19">
        <v>0.55555555555555558</v>
      </c>
      <c r="L26" s="19" t="s">
        <v>83</v>
      </c>
      <c r="M26" s="19" t="s">
        <v>84</v>
      </c>
      <c r="N26" s="19">
        <f t="shared" si="4"/>
        <v>1.736111111111116E-2</v>
      </c>
      <c r="O26" s="19">
        <v>0</v>
      </c>
      <c r="P26" s="19">
        <v>6.9444444444444441E-3</v>
      </c>
      <c r="Q26" s="19">
        <v>0.55555555555555558</v>
      </c>
      <c r="R26" s="19">
        <v>0</v>
      </c>
      <c r="S26" s="19">
        <v>0.55555555555555558</v>
      </c>
      <c r="T26" s="19">
        <f>VLOOKUP(E26,'[1]22-1-2026'!$E$3:$T$13,16,FALSE)</f>
        <v>1.3888888888888888E-2</v>
      </c>
      <c r="U26" s="19">
        <v>0.56944444444444442</v>
      </c>
      <c r="V26" s="19">
        <f t="shared" si="5"/>
        <v>0</v>
      </c>
      <c r="W26" s="19">
        <v>2.0833333333333332E-2</v>
      </c>
      <c r="X26" s="19">
        <v>0.57013888888888886</v>
      </c>
      <c r="Y26" s="19">
        <v>0.58472222222222225</v>
      </c>
      <c r="Z26" s="19">
        <f t="shared" si="2"/>
        <v>1.4583333333333393E-2</v>
      </c>
      <c r="AA26" s="19">
        <v>0</v>
      </c>
      <c r="AB26" s="19">
        <v>0.58680555555555558</v>
      </c>
      <c r="AC26" s="40"/>
      <c r="AD26" s="58"/>
    </row>
    <row r="27" spans="1:30" ht="19.5" thickBot="1" x14ac:dyDescent="0.3">
      <c r="A27" s="16">
        <v>12</v>
      </c>
      <c r="B27" s="17">
        <v>876</v>
      </c>
      <c r="C27" s="17" t="str">
        <f>VLOOKUP(B27,داتا!$B$3:$D$42,2,FALSE)</f>
        <v>دبابة</v>
      </c>
      <c r="D27" s="18">
        <f>VLOOKUP(B27,داتا!$B$3:$D$42,3,FALSE)</f>
        <v>2.0833333333333332E-2</v>
      </c>
      <c r="E27" s="17" t="s">
        <v>45</v>
      </c>
      <c r="F27" s="17" t="s">
        <v>62</v>
      </c>
      <c r="G27" s="19">
        <v>0.25</v>
      </c>
      <c r="H27" s="19">
        <f t="shared" si="7"/>
        <v>0.25</v>
      </c>
      <c r="I27" s="19">
        <f t="shared" si="3"/>
        <v>0</v>
      </c>
      <c r="J27" s="19">
        <v>0.53819444444444442</v>
      </c>
      <c r="K27" s="19">
        <v>0.55555555555555558</v>
      </c>
      <c r="L27" s="19" t="s">
        <v>83</v>
      </c>
      <c r="M27" s="19" t="s">
        <v>84</v>
      </c>
      <c r="N27" s="19">
        <f t="shared" si="4"/>
        <v>1.736111111111116E-2</v>
      </c>
      <c r="O27" s="19">
        <v>0</v>
      </c>
      <c r="P27" s="19">
        <v>6.9444444444444441E-3</v>
      </c>
      <c r="Q27" s="19">
        <v>0.55555555555555558</v>
      </c>
      <c r="R27" s="19">
        <v>0</v>
      </c>
      <c r="S27" s="19">
        <v>0.55555555555555558</v>
      </c>
      <c r="T27" s="19">
        <f>VLOOKUP(E27,'[1]22-1-2026'!$E$3:$T$13,16,FALSE)</f>
        <v>1.3888888888888888E-2</v>
      </c>
      <c r="U27" s="19">
        <v>0.60069444444444442</v>
      </c>
      <c r="V27" s="19">
        <v>0</v>
      </c>
      <c r="W27" s="19">
        <v>3.125E-2</v>
      </c>
      <c r="X27" s="19">
        <v>0.60763888888888895</v>
      </c>
      <c r="Y27" s="19">
        <v>0.63194444444444442</v>
      </c>
      <c r="Z27" s="19">
        <f t="shared" si="2"/>
        <v>2.4305555555555469E-2</v>
      </c>
      <c r="AA27" s="19">
        <v>0</v>
      </c>
      <c r="AB27" s="19">
        <v>0.63541666666666663</v>
      </c>
      <c r="AC27" s="40"/>
      <c r="AD27" s="58"/>
    </row>
    <row r="28" spans="1:30" ht="19.5" thickBot="1" x14ac:dyDescent="0.3">
      <c r="A28" s="32">
        <v>13</v>
      </c>
      <c r="B28" s="23">
        <v>539</v>
      </c>
      <c r="C28" s="23" t="str">
        <f>VLOOKUP(B28,داتا!$B$3:$D$42,2,FALSE)</f>
        <v>دبابة</v>
      </c>
      <c r="D28" s="24">
        <f>VLOOKUP(B28,داتا!$B$3:$D$42,3,FALSE)</f>
        <v>2.0833333333333332E-2</v>
      </c>
      <c r="E28" s="23" t="s">
        <v>52</v>
      </c>
      <c r="F28" s="23" t="s">
        <v>79</v>
      </c>
      <c r="G28" s="25">
        <v>0.25</v>
      </c>
      <c r="H28" s="25">
        <f t="shared" si="7"/>
        <v>0.24652777777777779</v>
      </c>
      <c r="I28" s="25">
        <v>0</v>
      </c>
      <c r="J28" s="25">
        <v>0.53819444444444442</v>
      </c>
      <c r="K28" s="25">
        <v>0.55902777777777779</v>
      </c>
      <c r="L28" s="25" t="s">
        <v>85</v>
      </c>
      <c r="M28" s="25" t="s">
        <v>84</v>
      </c>
      <c r="N28" s="25">
        <f t="shared" si="4"/>
        <v>2.083333333333337E-2</v>
      </c>
      <c r="O28" s="25">
        <f t="shared" si="6"/>
        <v>3.8163916471489756E-17</v>
      </c>
      <c r="P28" s="25">
        <v>6.9444444444444441E-3</v>
      </c>
      <c r="Q28" s="25">
        <v>0.55902777777777779</v>
      </c>
      <c r="R28" s="25">
        <v>0</v>
      </c>
      <c r="S28" s="25">
        <v>0.55902777777777779</v>
      </c>
      <c r="T28" s="25">
        <f>VLOOKUP(E28,'[1]22-1-2026'!$E$3:$T$13,16,FALSE)</f>
        <v>3.472222222222222E-3</v>
      </c>
      <c r="U28" s="25">
        <v>0.55972222222222223</v>
      </c>
      <c r="V28" s="25">
        <v>0</v>
      </c>
      <c r="W28" s="25">
        <v>3.125E-2</v>
      </c>
      <c r="X28" s="25">
        <v>0.56180555555555556</v>
      </c>
      <c r="Y28" s="25">
        <v>0.57986111111111105</v>
      </c>
      <c r="Z28" s="25">
        <f t="shared" si="2"/>
        <v>1.8055555555555491E-2</v>
      </c>
      <c r="AA28" s="25">
        <v>0</v>
      </c>
      <c r="AB28" s="25">
        <v>0.58333333333333337</v>
      </c>
      <c r="AC28" s="47"/>
      <c r="AD28" s="59"/>
    </row>
    <row r="29" spans="1:30" ht="15.75" thickTop="1" x14ac:dyDescent="0.25"/>
  </sheetData>
  <mergeCells count="3">
    <mergeCell ref="A1:AC1"/>
    <mergeCell ref="AD3:AD15"/>
    <mergeCell ref="AD16:AD28"/>
  </mergeCells>
  <conditionalFormatting sqref="AA2:AA1048576 I2:I1048576 O2:O1048576 R2:R1048576 V2:V1048576">
    <cfRule type="cellIs" dxfId="158" priority="7" operator="between">
      <formula>0.00277777777777778</formula>
      <formula>1</formula>
    </cfRule>
  </conditionalFormatting>
  <conditionalFormatting sqref="AC3:AC28">
    <cfRule type="containsText" dxfId="157" priority="6" operator="containsText" text="ت">
      <formula>NOT(ISERROR(SEARCH("ت",AC3)))</formula>
    </cfRule>
  </conditionalFormatting>
  <conditionalFormatting sqref="AA1 I1 O1 R1 V1">
    <cfRule type="cellIs" dxfId="156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rightToLeft="1" workbookViewId="0">
      <pane xSplit="6" ySplit="2" topLeftCell="S6" activePane="bottomRight" state="frozen"/>
      <selection pane="topRight" activeCell="G1" sqref="G1"/>
      <selection pane="bottomLeft" activeCell="A3" sqref="A3"/>
      <selection pane="bottomRight" activeCell="F31" sqref="F3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539</v>
      </c>
      <c r="C3" s="12" t="str">
        <f>VLOOKUP(B3,داتا!$B$3:$D$42,2,FALSE)</f>
        <v>دبابة</v>
      </c>
      <c r="D3" s="13">
        <f>VLOOKUP(B3,داتا!$B$3:$D$42,3,FALSE)</f>
        <v>2.0833333333333332E-2</v>
      </c>
      <c r="E3" s="12" t="s">
        <v>38</v>
      </c>
      <c r="F3" s="12" t="s">
        <v>79</v>
      </c>
      <c r="G3" s="14">
        <v>0.29166666666666669</v>
      </c>
      <c r="H3" s="14">
        <v>0.24652777777777779</v>
      </c>
      <c r="I3" s="14">
        <v>0</v>
      </c>
      <c r="J3" s="14">
        <v>0.25</v>
      </c>
      <c r="K3" s="14">
        <v>0.27430555555555558</v>
      </c>
      <c r="L3" s="14" t="s">
        <v>92</v>
      </c>
      <c r="M3" s="14" t="s">
        <v>65</v>
      </c>
      <c r="N3" s="14">
        <f>K3-J3</f>
        <v>2.430555555555558E-2</v>
      </c>
      <c r="O3" s="14">
        <f t="shared" ref="O3:O24" si="0">N3-D3</f>
        <v>3.4722222222222481E-3</v>
      </c>
      <c r="P3" s="14">
        <v>6.9444444444444441E-3</v>
      </c>
      <c r="Q3" s="14">
        <v>0.28125</v>
      </c>
      <c r="R3" s="14">
        <v>0</v>
      </c>
      <c r="S3" s="14">
        <v>0.28125</v>
      </c>
      <c r="T3" s="14">
        <f>VLOOKUP(E3,'[1]22-1-2026'!$E$3:$T$13,16,FALSE)</f>
        <v>3.4722222222222224E-2</v>
      </c>
      <c r="U3" s="14">
        <v>0.33680555555555558</v>
      </c>
      <c r="V3" s="14">
        <f>U3-T3-S3</f>
        <v>2.083333333333337E-2</v>
      </c>
      <c r="W3" s="14">
        <v>2.0833333333333332E-2</v>
      </c>
      <c r="X3" s="14">
        <v>0.34027777777777779</v>
      </c>
      <c r="Y3" s="14">
        <v>0.36458333333333331</v>
      </c>
      <c r="Z3" s="14">
        <f>Y3-X3</f>
        <v>2.4305555555555525E-2</v>
      </c>
      <c r="AA3" s="14">
        <v>0</v>
      </c>
      <c r="AB3" s="14">
        <v>0.36805555555555558</v>
      </c>
      <c r="AC3" s="15"/>
      <c r="AD3" s="51" t="s">
        <v>32</v>
      </c>
    </row>
    <row r="4" spans="1:30" ht="19.5" thickBot="1" x14ac:dyDescent="0.3">
      <c r="A4" s="16">
        <v>2</v>
      </c>
      <c r="B4" s="17">
        <v>539</v>
      </c>
      <c r="C4" s="17" t="str">
        <f>VLOOKUP(B4,داتا!$B$3:$D$42,2,FALSE)</f>
        <v>دبابة</v>
      </c>
      <c r="D4" s="18">
        <f>VLOOKUP(B4,داتا!$B$3:$D$42,3,FALSE)</f>
        <v>2.0833333333333332E-2</v>
      </c>
      <c r="E4" s="17" t="s">
        <v>40</v>
      </c>
      <c r="F4" s="17" t="s">
        <v>79</v>
      </c>
      <c r="G4" s="19">
        <v>0.29166666666666669</v>
      </c>
      <c r="H4" s="19">
        <v>0.24652777777777779</v>
      </c>
      <c r="I4" s="19">
        <v>0</v>
      </c>
      <c r="J4" s="19">
        <v>0.25</v>
      </c>
      <c r="K4" s="19">
        <v>0.27430555555555558</v>
      </c>
      <c r="L4" s="19" t="s">
        <v>92</v>
      </c>
      <c r="M4" s="19" t="s">
        <v>65</v>
      </c>
      <c r="N4" s="19">
        <f>K4-J4</f>
        <v>2.430555555555558E-2</v>
      </c>
      <c r="O4" s="19">
        <f t="shared" si="0"/>
        <v>3.4722222222222481E-3</v>
      </c>
      <c r="P4" s="19">
        <v>6.9444444444444441E-3</v>
      </c>
      <c r="Q4" s="19">
        <v>0.28125</v>
      </c>
      <c r="R4" s="19">
        <v>0</v>
      </c>
      <c r="S4" s="19">
        <v>0.28125</v>
      </c>
      <c r="T4" s="19">
        <v>1.0416666666666666E-2</v>
      </c>
      <c r="U4" s="19">
        <v>0.37847222222222221</v>
      </c>
      <c r="V4" s="19">
        <v>0</v>
      </c>
      <c r="W4" s="19">
        <v>3.125E-2</v>
      </c>
      <c r="X4" s="19">
        <v>0.38194444444444442</v>
      </c>
      <c r="Y4" s="19">
        <v>0.40486111111111112</v>
      </c>
      <c r="Z4" s="19">
        <f t="shared" ref="Z4:Z28" si="1">Y4-X4</f>
        <v>2.2916666666666696E-2</v>
      </c>
      <c r="AA4" s="19">
        <v>0</v>
      </c>
      <c r="AB4" s="19">
        <v>0.40625</v>
      </c>
      <c r="AC4" s="20"/>
      <c r="AD4" s="52"/>
    </row>
    <row r="5" spans="1:30" ht="19.5" thickBot="1" x14ac:dyDescent="0.3">
      <c r="A5" s="16">
        <v>3</v>
      </c>
      <c r="B5" s="17">
        <v>892</v>
      </c>
      <c r="C5" s="17" t="str">
        <f>VLOOKUP(B5,داتا!$B$3:$D$42,2,FALSE)</f>
        <v>تلتين</v>
      </c>
      <c r="D5" s="18">
        <f>VLOOKUP(B5,داتا!$B$3:$D$42,3,FALSE)</f>
        <v>3.125E-2</v>
      </c>
      <c r="E5" s="17" t="s">
        <v>86</v>
      </c>
      <c r="F5" s="17" t="s">
        <v>88</v>
      </c>
      <c r="G5" s="19">
        <v>0.29166666666666669</v>
      </c>
      <c r="H5" s="19">
        <v>0.25</v>
      </c>
      <c r="I5" s="19">
        <v>0</v>
      </c>
      <c r="J5" s="19">
        <v>0.25</v>
      </c>
      <c r="K5" s="19">
        <v>0.27430555555555558</v>
      </c>
      <c r="L5" s="19" t="s">
        <v>92</v>
      </c>
      <c r="M5" s="19" t="s">
        <v>65</v>
      </c>
      <c r="N5" s="19">
        <f t="shared" ref="N5:N28" si="2">K5-J5</f>
        <v>2.430555555555558E-2</v>
      </c>
      <c r="O5" s="19">
        <v>0</v>
      </c>
      <c r="P5" s="19">
        <v>6.9444444444444441E-3</v>
      </c>
      <c r="Q5" s="19">
        <v>0.28125</v>
      </c>
      <c r="R5" s="19">
        <v>0</v>
      </c>
      <c r="S5" s="19">
        <v>0.28125</v>
      </c>
      <c r="T5" s="19">
        <v>2.4305555555555556E-2</v>
      </c>
      <c r="U5" s="19">
        <v>0.32291666666666669</v>
      </c>
      <c r="V5" s="19">
        <f t="shared" ref="V5:V27" si="3">U5-T5-S5</f>
        <v>1.7361111111111105E-2</v>
      </c>
      <c r="W5" s="19">
        <v>3.125E-2</v>
      </c>
      <c r="X5" s="19">
        <v>0.3263888888888889</v>
      </c>
      <c r="Y5" s="19">
        <v>0.3576388888888889</v>
      </c>
      <c r="Z5" s="19">
        <f t="shared" si="1"/>
        <v>3.125E-2</v>
      </c>
      <c r="AA5" s="19">
        <f t="shared" ref="AA5:AA7" si="4">Z5-W5</f>
        <v>0</v>
      </c>
      <c r="AB5" s="19">
        <v>0.36458333333333331</v>
      </c>
      <c r="AC5" s="20"/>
      <c r="AD5" s="52"/>
    </row>
    <row r="6" spans="1:30" ht="19.5" thickBot="1" x14ac:dyDescent="0.3">
      <c r="A6" s="16">
        <v>4</v>
      </c>
      <c r="B6" s="17">
        <v>892</v>
      </c>
      <c r="C6" s="17" t="str">
        <f>VLOOKUP(B6,داتا!$B$3:$D$42,2,FALSE)</f>
        <v>تلتين</v>
      </c>
      <c r="D6" s="18">
        <f>VLOOKUP(B6,داتا!$B$3:$D$42,3,FALSE)</f>
        <v>3.125E-2</v>
      </c>
      <c r="E6" s="17" t="s">
        <v>33</v>
      </c>
      <c r="F6" s="17" t="s">
        <v>88</v>
      </c>
      <c r="G6" s="19">
        <v>0.29166666666666669</v>
      </c>
      <c r="H6" s="19">
        <v>0.25</v>
      </c>
      <c r="I6" s="19">
        <v>0</v>
      </c>
      <c r="J6" s="19">
        <v>0.25</v>
      </c>
      <c r="K6" s="19">
        <v>0.27430555555555558</v>
      </c>
      <c r="L6" s="19" t="s">
        <v>92</v>
      </c>
      <c r="M6" s="19" t="s">
        <v>65</v>
      </c>
      <c r="N6" s="19">
        <f t="shared" si="2"/>
        <v>2.430555555555558E-2</v>
      </c>
      <c r="O6" s="19">
        <v>0</v>
      </c>
      <c r="P6" s="19">
        <v>6.9444444444444441E-3</v>
      </c>
      <c r="Q6" s="19">
        <v>0.28125</v>
      </c>
      <c r="R6" s="19">
        <v>0</v>
      </c>
      <c r="S6" s="19">
        <v>0.28125</v>
      </c>
      <c r="T6" s="19">
        <v>1.3888888888888888E-2</v>
      </c>
      <c r="U6" s="19">
        <v>0.37291666666666667</v>
      </c>
      <c r="V6" s="19">
        <v>0</v>
      </c>
      <c r="W6" s="19">
        <v>4.1666666666666664E-2</v>
      </c>
      <c r="X6" s="19">
        <v>0.37847222222222221</v>
      </c>
      <c r="Y6" s="19">
        <v>0.40138888888888891</v>
      </c>
      <c r="Z6" s="19">
        <f t="shared" si="1"/>
        <v>2.2916666666666696E-2</v>
      </c>
      <c r="AA6" s="19">
        <v>0</v>
      </c>
      <c r="AB6" s="19">
        <v>0.40486111111111112</v>
      </c>
      <c r="AC6" s="20"/>
      <c r="AD6" s="52"/>
    </row>
    <row r="7" spans="1:30" ht="19.5" thickBot="1" x14ac:dyDescent="0.3">
      <c r="A7" s="16">
        <v>5</v>
      </c>
      <c r="B7" s="17">
        <v>7435</v>
      </c>
      <c r="C7" s="17" t="str">
        <f>VLOOKUP(B7,داتا!$B$3:$D$42,2,FALSE)</f>
        <v>تلتين</v>
      </c>
      <c r="D7" s="18">
        <f>VLOOKUP(B7,داتا!$B$3:$D$42,3,FALSE)</f>
        <v>3.125E-2</v>
      </c>
      <c r="E7" s="17" t="s">
        <v>35</v>
      </c>
      <c r="F7" s="17" t="s">
        <v>89</v>
      </c>
      <c r="G7" s="19">
        <v>0.29166666666666669</v>
      </c>
      <c r="H7" s="19">
        <v>0.30208333333333331</v>
      </c>
      <c r="I7" s="19">
        <f t="shared" ref="I7:I8" si="5">H7-G7</f>
        <v>1.041666666666663E-2</v>
      </c>
      <c r="J7" s="19">
        <v>0.28125</v>
      </c>
      <c r="K7" s="19">
        <v>0.2951388888888889</v>
      </c>
      <c r="L7" s="19" t="s">
        <v>92</v>
      </c>
      <c r="M7" s="19" t="s">
        <v>65</v>
      </c>
      <c r="N7" s="19">
        <f t="shared" si="2"/>
        <v>1.3888888888888895E-2</v>
      </c>
      <c r="O7" s="19">
        <v>0</v>
      </c>
      <c r="P7" s="19">
        <v>6.9444444444444441E-3</v>
      </c>
      <c r="Q7" s="19">
        <v>0.30555555555555558</v>
      </c>
      <c r="R7" s="19">
        <v>0</v>
      </c>
      <c r="S7" s="19">
        <v>0.30555555555555558</v>
      </c>
      <c r="T7" s="19">
        <f>VLOOKUP(E7,'[1]22-1-2026'!$E$3:$T$13,16,FALSE)</f>
        <v>1.3888888888888888E-2</v>
      </c>
      <c r="U7" s="19">
        <v>0.31597222222222221</v>
      </c>
      <c r="V7" s="19">
        <v>0</v>
      </c>
      <c r="W7" s="19">
        <v>3.125E-2</v>
      </c>
      <c r="X7" s="19">
        <v>0.33333333333333331</v>
      </c>
      <c r="Y7" s="19">
        <v>0.36736111111111114</v>
      </c>
      <c r="Z7" s="19">
        <f t="shared" si="1"/>
        <v>3.4027777777777823E-2</v>
      </c>
      <c r="AA7" s="19">
        <f t="shared" si="4"/>
        <v>2.7777777777778234E-3</v>
      </c>
      <c r="AB7" s="19">
        <v>0.36805555555555558</v>
      </c>
      <c r="AC7" s="20"/>
      <c r="AD7" s="52"/>
    </row>
    <row r="8" spans="1:30" ht="19.5" thickBot="1" x14ac:dyDescent="0.3">
      <c r="A8" s="16">
        <v>6</v>
      </c>
      <c r="B8" s="17">
        <v>7435</v>
      </c>
      <c r="C8" s="17" t="str">
        <f>VLOOKUP(B8,داتا!$B$3:$D$42,2,FALSE)</f>
        <v>تلتين</v>
      </c>
      <c r="D8" s="18">
        <f>VLOOKUP(B8,داتا!$B$3:$D$42,3,FALSE)</f>
        <v>3.125E-2</v>
      </c>
      <c r="E8" s="17" t="s">
        <v>37</v>
      </c>
      <c r="F8" s="17" t="s">
        <v>89</v>
      </c>
      <c r="G8" s="19">
        <v>0.29166666666666669</v>
      </c>
      <c r="H8" s="19">
        <v>0.30208333333333331</v>
      </c>
      <c r="I8" s="19">
        <f t="shared" si="5"/>
        <v>1.041666666666663E-2</v>
      </c>
      <c r="J8" s="19">
        <v>0.28125</v>
      </c>
      <c r="K8" s="19">
        <v>0.2951388888888889</v>
      </c>
      <c r="L8" s="19" t="s">
        <v>92</v>
      </c>
      <c r="M8" s="19" t="s">
        <v>65</v>
      </c>
      <c r="N8" s="19">
        <f t="shared" si="2"/>
        <v>1.3888888888888895E-2</v>
      </c>
      <c r="O8" s="19">
        <v>0</v>
      </c>
      <c r="P8" s="19">
        <v>6.9444444444444441E-3</v>
      </c>
      <c r="Q8" s="19">
        <v>0.30555555555555558</v>
      </c>
      <c r="R8" s="19">
        <v>0</v>
      </c>
      <c r="S8" s="19">
        <v>0.30555555555555558</v>
      </c>
      <c r="T8" s="19">
        <f>VLOOKUP(E8,'[1]22-1-2026'!$E$3:$T$13,16,FALSE)</f>
        <v>1.3888888888888888E-2</v>
      </c>
      <c r="U8" s="19">
        <v>0.38541666666666669</v>
      </c>
      <c r="V8" s="19">
        <v>0</v>
      </c>
      <c r="W8" s="19">
        <v>4.1666666666666664E-2</v>
      </c>
      <c r="X8" s="19">
        <v>0.38680555555555557</v>
      </c>
      <c r="Y8" s="19">
        <v>0.41666666666666669</v>
      </c>
      <c r="Z8" s="19">
        <f t="shared" si="1"/>
        <v>2.9861111111111116E-2</v>
      </c>
      <c r="AA8" s="19">
        <v>0</v>
      </c>
      <c r="AB8" s="19">
        <v>0.4201388888888889</v>
      </c>
      <c r="AC8" s="20"/>
      <c r="AD8" s="52"/>
    </row>
    <row r="9" spans="1:30" ht="19.5" thickBot="1" x14ac:dyDescent="0.3">
      <c r="A9" s="16">
        <v>7</v>
      </c>
      <c r="B9" s="17">
        <v>876</v>
      </c>
      <c r="C9" s="17" t="str">
        <f>VLOOKUP(B9,داتا!$B$3:$D$42,2,FALSE)</f>
        <v>دبابة</v>
      </c>
      <c r="D9" s="18">
        <f>VLOOKUP(B9,داتا!$B$3:$D$42,3,FALSE)</f>
        <v>2.0833333333333332E-2</v>
      </c>
      <c r="E9" s="17" t="s">
        <v>76</v>
      </c>
      <c r="F9" s="17" t="s">
        <v>50</v>
      </c>
      <c r="G9" s="19">
        <v>0.29166666666666669</v>
      </c>
      <c r="H9" s="19">
        <v>0.24652777777777779</v>
      </c>
      <c r="I9" s="19">
        <v>0</v>
      </c>
      <c r="J9" s="19">
        <v>0.27777777777777779</v>
      </c>
      <c r="K9" s="19">
        <v>0.28472222222222221</v>
      </c>
      <c r="L9" s="19" t="s">
        <v>92</v>
      </c>
      <c r="M9" s="19" t="s">
        <v>65</v>
      </c>
      <c r="N9" s="19">
        <f t="shared" si="2"/>
        <v>6.9444444444444198E-3</v>
      </c>
      <c r="O9" s="19">
        <v>0</v>
      </c>
      <c r="P9" s="19">
        <v>6.9444444444444441E-3</v>
      </c>
      <c r="Q9" s="19">
        <v>0.28472222222222221</v>
      </c>
      <c r="R9" s="19">
        <v>0</v>
      </c>
      <c r="S9" s="19">
        <v>0.28472222222222221</v>
      </c>
      <c r="T9" s="19">
        <v>4.1666666666666664E-2</v>
      </c>
      <c r="U9" s="19">
        <v>0.32291666666666669</v>
      </c>
      <c r="V9" s="19">
        <v>0</v>
      </c>
      <c r="W9" s="19">
        <v>2.0833333333333332E-2</v>
      </c>
      <c r="X9" s="19">
        <v>0.33680555555555558</v>
      </c>
      <c r="Y9" s="19">
        <v>0.35902777777777778</v>
      </c>
      <c r="Z9" s="19">
        <f t="shared" si="1"/>
        <v>2.2222222222222199E-2</v>
      </c>
      <c r="AA9" s="19">
        <v>0</v>
      </c>
      <c r="AB9" s="19">
        <v>0.3611111111111111</v>
      </c>
      <c r="AC9" s="20"/>
      <c r="AD9" s="52"/>
    </row>
    <row r="10" spans="1:30" ht="19.5" thickBot="1" x14ac:dyDescent="0.3">
      <c r="A10" s="16">
        <v>8</v>
      </c>
      <c r="B10" s="17">
        <v>876</v>
      </c>
      <c r="C10" s="17" t="str">
        <f>VLOOKUP(B10,داتا!$B$3:$D$42,2,FALSE)</f>
        <v>دبابة</v>
      </c>
      <c r="D10" s="18">
        <f>VLOOKUP(B10,داتا!$B$3:$D$42,3,FALSE)</f>
        <v>2.0833333333333332E-2</v>
      </c>
      <c r="E10" s="17" t="s">
        <v>51</v>
      </c>
      <c r="F10" s="17" t="s">
        <v>50</v>
      </c>
      <c r="G10" s="19">
        <v>0.29166666666666669</v>
      </c>
      <c r="H10" s="19">
        <v>0.24652777777777779</v>
      </c>
      <c r="I10" s="19">
        <v>0</v>
      </c>
      <c r="J10" s="19">
        <v>0.27777777777777779</v>
      </c>
      <c r="K10" s="19">
        <v>0.28472222222222221</v>
      </c>
      <c r="L10" s="19" t="s">
        <v>92</v>
      </c>
      <c r="M10" s="19" t="s">
        <v>65</v>
      </c>
      <c r="N10" s="19">
        <f t="shared" si="2"/>
        <v>6.9444444444444198E-3</v>
      </c>
      <c r="O10" s="19">
        <v>0</v>
      </c>
      <c r="P10" s="19">
        <v>6.9444444444444441E-3</v>
      </c>
      <c r="Q10" s="19">
        <v>0.28472222222222221</v>
      </c>
      <c r="R10" s="19">
        <v>0</v>
      </c>
      <c r="S10" s="19">
        <v>0.28472222222222221</v>
      </c>
      <c r="T10" s="19">
        <v>1.0416666666666666E-2</v>
      </c>
      <c r="U10" s="19">
        <v>0.33680555555555558</v>
      </c>
      <c r="V10" s="19">
        <v>6.9444444444444441E-3</v>
      </c>
      <c r="W10" s="19">
        <v>3.125E-2</v>
      </c>
      <c r="X10" s="19">
        <v>0.37152777777777779</v>
      </c>
      <c r="Y10" s="19">
        <v>0.3888888888888889</v>
      </c>
      <c r="Z10" s="19">
        <f t="shared" si="1"/>
        <v>1.7361111111111105E-2</v>
      </c>
      <c r="AA10" s="19">
        <v>0</v>
      </c>
      <c r="AB10" s="19">
        <v>0.3923611111111111</v>
      </c>
      <c r="AC10" s="20"/>
      <c r="AD10" s="52"/>
    </row>
    <row r="11" spans="1:30" ht="19.5" thickBot="1" x14ac:dyDescent="0.3">
      <c r="A11" s="16">
        <v>9</v>
      </c>
      <c r="B11" s="17">
        <v>762</v>
      </c>
      <c r="C11" s="17" t="str">
        <f>VLOOKUP(B11,داتا!$B$3:$D$42,2,FALSE)</f>
        <v>دبابة</v>
      </c>
      <c r="D11" s="18">
        <f>VLOOKUP(B11,داتا!$B$3:$D$42,3,FALSE)</f>
        <v>2.0833333333333332E-2</v>
      </c>
      <c r="E11" s="17" t="s">
        <v>41</v>
      </c>
      <c r="F11" s="17" t="s">
        <v>42</v>
      </c>
      <c r="G11" s="19">
        <v>0.29166666666666669</v>
      </c>
      <c r="H11" s="19">
        <v>0.20833333333333334</v>
      </c>
      <c r="I11" s="19">
        <v>0</v>
      </c>
      <c r="J11" s="19">
        <v>0.28472222222222221</v>
      </c>
      <c r="K11" s="19">
        <v>0.29166666666666669</v>
      </c>
      <c r="L11" s="19" t="s">
        <v>92</v>
      </c>
      <c r="M11" s="19" t="s">
        <v>65</v>
      </c>
      <c r="N11" s="19">
        <f t="shared" si="2"/>
        <v>6.9444444444444753E-3</v>
      </c>
      <c r="O11" s="19">
        <v>0</v>
      </c>
      <c r="P11" s="19">
        <v>6.9444444444444441E-3</v>
      </c>
      <c r="Q11" s="19">
        <v>0.29166666666666669</v>
      </c>
      <c r="R11" s="19">
        <v>0</v>
      </c>
      <c r="S11" s="19">
        <v>0.29166666666666669</v>
      </c>
      <c r="T11" s="19">
        <f>VLOOKUP(E11,'[1]22-1-2026'!$E$3:$T$13,16,FALSE)</f>
        <v>1.7361111111111112E-2</v>
      </c>
      <c r="U11" s="19">
        <v>0.3263888888888889</v>
      </c>
      <c r="V11" s="19">
        <f t="shared" si="3"/>
        <v>1.7361111111111105E-2</v>
      </c>
      <c r="W11" s="19">
        <v>3.125E-2</v>
      </c>
      <c r="X11" s="19">
        <v>0.34236111111111112</v>
      </c>
      <c r="Y11" s="19">
        <v>0.37361111111111112</v>
      </c>
      <c r="Z11" s="19">
        <f t="shared" si="1"/>
        <v>3.125E-2</v>
      </c>
      <c r="AA11" s="19">
        <v>0</v>
      </c>
      <c r="AB11" s="19">
        <v>0.375</v>
      </c>
      <c r="AC11" s="21"/>
      <c r="AD11" s="52"/>
    </row>
    <row r="12" spans="1:30" ht="21.75" thickBot="1" x14ac:dyDescent="0.3">
      <c r="A12" s="16">
        <v>10</v>
      </c>
      <c r="B12" s="17">
        <v>249</v>
      </c>
      <c r="C12" s="17" t="str">
        <f>VLOOKUP(B12,داتا!$B$3:$D$42,2,FALSE)</f>
        <v>دبابة</v>
      </c>
      <c r="D12" s="18">
        <f>VLOOKUP(B12,داتا!$B$3:$D$42,3,FALSE)</f>
        <v>2.0833333333333332E-2</v>
      </c>
      <c r="E12" s="17" t="s">
        <v>47</v>
      </c>
      <c r="F12" s="17" t="s">
        <v>77</v>
      </c>
      <c r="G12" s="19">
        <v>0.29166666666666669</v>
      </c>
      <c r="H12" s="19">
        <v>0.25</v>
      </c>
      <c r="I12" s="19">
        <v>0</v>
      </c>
      <c r="J12" s="19">
        <v>0.27777777777777779</v>
      </c>
      <c r="K12" s="19">
        <v>0.28125</v>
      </c>
      <c r="L12" s="19" t="s">
        <v>92</v>
      </c>
      <c r="M12" s="19" t="s">
        <v>65</v>
      </c>
      <c r="N12" s="19">
        <f t="shared" si="2"/>
        <v>3.4722222222222099E-3</v>
      </c>
      <c r="O12" s="19">
        <v>0</v>
      </c>
      <c r="P12" s="19">
        <v>6.9444444444444441E-3</v>
      </c>
      <c r="Q12" s="19">
        <v>0.28125</v>
      </c>
      <c r="R12" s="19">
        <v>0</v>
      </c>
      <c r="S12" s="19">
        <v>0.28125</v>
      </c>
      <c r="T12" s="19">
        <f>VLOOKUP(E12,'[1]22-1-2026'!$E$3:$T$13,16,FALSE)</f>
        <v>1.3888888888888888E-2</v>
      </c>
      <c r="U12" s="19">
        <v>0.30555555555555558</v>
      </c>
      <c r="V12" s="19">
        <f t="shared" si="3"/>
        <v>1.0416666666666685E-2</v>
      </c>
      <c r="W12" s="19">
        <v>3.125E-2</v>
      </c>
      <c r="X12" s="19">
        <v>0.33680555555555558</v>
      </c>
      <c r="Y12" s="19">
        <v>0.34027777777777779</v>
      </c>
      <c r="Z12" s="19">
        <f t="shared" si="1"/>
        <v>3.4722222222222099E-3</v>
      </c>
      <c r="AA12" s="19">
        <v>0</v>
      </c>
      <c r="AB12" s="19">
        <v>0.37152777777777779</v>
      </c>
      <c r="AC12" s="22"/>
      <c r="AD12" s="52"/>
    </row>
    <row r="13" spans="1:30" ht="21.75" thickBot="1" x14ac:dyDescent="0.3">
      <c r="A13" s="16">
        <v>11</v>
      </c>
      <c r="B13" s="17">
        <v>529</v>
      </c>
      <c r="C13" s="17" t="str">
        <f>VLOOKUP(B13,داتا!$B$3:$D$42,2,FALSE)</f>
        <v>دبابة</v>
      </c>
      <c r="D13" s="18">
        <f>VLOOKUP(B13,داتا!$B$3:$D$42,3,FALSE)</f>
        <v>2.0833333333333332E-2</v>
      </c>
      <c r="E13" s="17" t="s">
        <v>45</v>
      </c>
      <c r="F13" s="17" t="s">
        <v>59</v>
      </c>
      <c r="G13" s="19">
        <v>0.29166666666666669</v>
      </c>
      <c r="H13" s="19">
        <v>0.25</v>
      </c>
      <c r="I13" s="19">
        <v>0</v>
      </c>
      <c r="J13" s="19">
        <v>0.29166666666666669</v>
      </c>
      <c r="K13" s="19">
        <v>0.2986111111111111</v>
      </c>
      <c r="L13" s="19" t="s">
        <v>92</v>
      </c>
      <c r="M13" s="19" t="s">
        <v>65</v>
      </c>
      <c r="N13" s="19">
        <f t="shared" si="2"/>
        <v>6.9444444444444198E-3</v>
      </c>
      <c r="O13" s="19">
        <v>0</v>
      </c>
      <c r="P13" s="19">
        <v>6.9444444444444441E-3</v>
      </c>
      <c r="Q13" s="19">
        <v>0.2986111111111111</v>
      </c>
      <c r="R13" s="19">
        <v>0</v>
      </c>
      <c r="S13" s="19">
        <v>0.2986111111111111</v>
      </c>
      <c r="T13" s="19">
        <f>VLOOKUP(E13,'[1]22-1-2026'!$E$3:$T$13,16,FALSE)</f>
        <v>1.3888888888888888E-2</v>
      </c>
      <c r="U13" s="19">
        <v>0.30902777777777779</v>
      </c>
      <c r="V13" s="19">
        <v>0</v>
      </c>
      <c r="W13" s="19">
        <v>3.125E-2</v>
      </c>
      <c r="X13" s="19">
        <v>0.33333333333333331</v>
      </c>
      <c r="Y13" s="19">
        <v>0.34722222222222221</v>
      </c>
      <c r="Z13" s="19">
        <f t="shared" si="1"/>
        <v>1.3888888888888895E-2</v>
      </c>
      <c r="AA13" s="19">
        <v>0</v>
      </c>
      <c r="AB13" s="19">
        <v>0.35416666666666669</v>
      </c>
      <c r="AC13" s="22"/>
      <c r="AD13" s="52"/>
    </row>
    <row r="14" spans="1:30" ht="21.75" thickBot="1" x14ac:dyDescent="0.3">
      <c r="A14" s="16">
        <v>12</v>
      </c>
      <c r="B14" s="17">
        <v>529</v>
      </c>
      <c r="C14" s="17" t="s">
        <v>57</v>
      </c>
      <c r="D14" s="18">
        <f>VLOOKUP(B14,داتا!$B$3:$D$42,3,FALSE)</f>
        <v>2.0833333333333332E-2</v>
      </c>
      <c r="E14" s="17" t="s">
        <v>87</v>
      </c>
      <c r="F14" s="17" t="s">
        <v>71</v>
      </c>
      <c r="G14" s="19">
        <v>0.29166666666666669</v>
      </c>
      <c r="H14" s="19">
        <v>0.25</v>
      </c>
      <c r="I14" s="19">
        <v>0</v>
      </c>
      <c r="J14" s="19">
        <v>0.2986111111111111</v>
      </c>
      <c r="K14" s="19">
        <v>0.31597222222222221</v>
      </c>
      <c r="L14" s="19" t="s">
        <v>92</v>
      </c>
      <c r="M14" s="19" t="s">
        <v>65</v>
      </c>
      <c r="N14" s="19">
        <f t="shared" si="2"/>
        <v>1.7361111111111105E-2</v>
      </c>
      <c r="O14" s="19">
        <v>0</v>
      </c>
      <c r="P14" s="19">
        <v>6.9444444444444441E-3</v>
      </c>
      <c r="Q14" s="19">
        <v>0.31597222222222221</v>
      </c>
      <c r="R14" s="19">
        <v>0</v>
      </c>
      <c r="S14" s="19">
        <v>0.31597222222222221</v>
      </c>
      <c r="T14" s="19">
        <v>1.7361111111111112E-2</v>
      </c>
      <c r="U14" s="19">
        <v>0.34027777777777779</v>
      </c>
      <c r="V14" s="19">
        <f t="shared" si="3"/>
        <v>6.9444444444444753E-3</v>
      </c>
      <c r="W14" s="19">
        <v>3.125E-2</v>
      </c>
      <c r="X14" s="19">
        <v>0.34444444444444444</v>
      </c>
      <c r="Y14" s="19">
        <v>0.37013888888888891</v>
      </c>
      <c r="Z14" s="19">
        <f t="shared" si="1"/>
        <v>2.5694444444444464E-2</v>
      </c>
      <c r="AA14" s="19">
        <v>0</v>
      </c>
      <c r="AB14" s="19">
        <v>0.375</v>
      </c>
      <c r="AC14" s="22"/>
      <c r="AD14" s="52"/>
    </row>
    <row r="15" spans="1:30" ht="21.75" thickBot="1" x14ac:dyDescent="0.3">
      <c r="A15" s="32">
        <v>13</v>
      </c>
      <c r="B15" s="23">
        <v>492</v>
      </c>
      <c r="C15" s="23" t="str">
        <f>VLOOKUP(B15,داتا!$B$3:$D$42,2,FALSE)</f>
        <v>دبابة</v>
      </c>
      <c r="D15" s="24">
        <f>VLOOKUP(B15,داتا!$B$3:$D$42,3,FALSE)</f>
        <v>2.0833333333333332E-2</v>
      </c>
      <c r="E15" s="23" t="s">
        <v>52</v>
      </c>
      <c r="F15" s="23" t="s">
        <v>90</v>
      </c>
      <c r="G15" s="25">
        <v>0.29166666666666669</v>
      </c>
      <c r="H15" s="25">
        <v>0.1736111111111111</v>
      </c>
      <c r="I15" s="25">
        <v>0</v>
      </c>
      <c r="J15" s="25">
        <v>0.31597222222222221</v>
      </c>
      <c r="K15" s="25">
        <v>0.33680555555555558</v>
      </c>
      <c r="L15" s="25" t="s">
        <v>92</v>
      </c>
      <c r="M15" s="25" t="s">
        <v>65</v>
      </c>
      <c r="N15" s="25">
        <f t="shared" si="2"/>
        <v>2.083333333333337E-2</v>
      </c>
      <c r="O15" s="25">
        <f t="shared" si="0"/>
        <v>3.8163916471489756E-17</v>
      </c>
      <c r="P15" s="25">
        <v>6.9444444444444441E-3</v>
      </c>
      <c r="Q15" s="25">
        <v>0.33680555555555558</v>
      </c>
      <c r="R15" s="25">
        <v>0</v>
      </c>
      <c r="S15" s="25">
        <v>0.33680555555555558</v>
      </c>
      <c r="T15" s="25">
        <f>VLOOKUP(E15,'[1]22-1-2026'!$E$3:$T$13,16,FALSE)</f>
        <v>3.472222222222222E-3</v>
      </c>
      <c r="U15" s="25">
        <v>0.34027777777777779</v>
      </c>
      <c r="V15" s="25">
        <f t="shared" si="3"/>
        <v>0</v>
      </c>
      <c r="W15" s="25">
        <v>3.125E-2</v>
      </c>
      <c r="X15" s="25">
        <v>0.34583333333333333</v>
      </c>
      <c r="Y15" s="25">
        <v>0.37152777777777779</v>
      </c>
      <c r="Z15" s="25">
        <f t="shared" si="1"/>
        <v>2.5694444444444464E-2</v>
      </c>
      <c r="AA15" s="19">
        <v>0</v>
      </c>
      <c r="AB15" s="25">
        <v>0.375</v>
      </c>
      <c r="AC15" s="26"/>
      <c r="AD15" s="53"/>
    </row>
    <row r="16" spans="1:30" ht="20.25" thickTop="1" thickBot="1" x14ac:dyDescent="0.3">
      <c r="A16" s="11">
        <v>1</v>
      </c>
      <c r="B16" s="12">
        <v>7435</v>
      </c>
      <c r="C16" s="12" t="str">
        <f>VLOOKUP(B16,داتا!$B$3:$D$42,2,FALSE)</f>
        <v>تلتين</v>
      </c>
      <c r="D16" s="13">
        <f>VLOOKUP(B16,داتا!$B$3:$D$42,3,FALSE)</f>
        <v>3.125E-2</v>
      </c>
      <c r="E16" s="12" t="s">
        <v>33</v>
      </c>
      <c r="F16" s="12" t="s">
        <v>46</v>
      </c>
      <c r="G16" s="14">
        <v>0.29166666666666669</v>
      </c>
      <c r="H16" s="14">
        <v>0.25</v>
      </c>
      <c r="I16" s="14">
        <v>0</v>
      </c>
      <c r="J16" s="14">
        <v>0.44791666666666669</v>
      </c>
      <c r="K16" s="14">
        <v>0.5</v>
      </c>
      <c r="L16" s="14" t="s">
        <v>66</v>
      </c>
      <c r="M16" s="14" t="s">
        <v>73</v>
      </c>
      <c r="N16" s="14">
        <f t="shared" si="2"/>
        <v>5.2083333333333315E-2</v>
      </c>
      <c r="O16" s="14">
        <f t="shared" si="0"/>
        <v>2.0833333333333315E-2</v>
      </c>
      <c r="P16" s="14">
        <v>6.9444444444444441E-3</v>
      </c>
      <c r="Q16" s="14">
        <v>0.50347222222222221</v>
      </c>
      <c r="R16" s="14">
        <v>0</v>
      </c>
      <c r="S16" s="14">
        <v>0.50347222222222221</v>
      </c>
      <c r="T16" s="14">
        <f>VLOOKUP(E16,'[1]22-1-2026'!$E$3:$T$13,16,FALSE)</f>
        <v>2.7777777777777776E-2</v>
      </c>
      <c r="U16" s="14">
        <v>0.53125</v>
      </c>
      <c r="V16" s="14">
        <f t="shared" si="3"/>
        <v>0</v>
      </c>
      <c r="W16" s="14">
        <v>3.125E-2</v>
      </c>
      <c r="X16" s="14">
        <v>0.53472222222222221</v>
      </c>
      <c r="Y16" s="14">
        <v>0.5541666666666667</v>
      </c>
      <c r="Z16" s="14">
        <f t="shared" si="1"/>
        <v>1.9444444444444486E-2</v>
      </c>
      <c r="AA16" s="19">
        <v>0</v>
      </c>
      <c r="AB16" s="14">
        <v>0.55902777777777779</v>
      </c>
      <c r="AC16" s="27"/>
      <c r="AD16" s="51" t="s">
        <v>54</v>
      </c>
    </row>
    <row r="17" spans="1:30" ht="19.5" thickBot="1" x14ac:dyDescent="0.3">
      <c r="A17" s="16">
        <v>2</v>
      </c>
      <c r="B17" s="17">
        <v>7435</v>
      </c>
      <c r="C17" s="17" t="str">
        <f>VLOOKUP(B17,داتا!$B$3:$D$42,2,FALSE)</f>
        <v>تلتين</v>
      </c>
      <c r="D17" s="18">
        <f>VLOOKUP(B17,داتا!$B$3:$D$42,3,FALSE)</f>
        <v>3.125E-2</v>
      </c>
      <c r="E17" s="17" t="s">
        <v>41</v>
      </c>
      <c r="F17" s="17" t="s">
        <v>46</v>
      </c>
      <c r="G17" s="19">
        <v>0.29166666666666669</v>
      </c>
      <c r="H17" s="19">
        <v>0.25</v>
      </c>
      <c r="I17" s="19">
        <v>0</v>
      </c>
      <c r="J17" s="19">
        <v>0.44791666666666669</v>
      </c>
      <c r="K17" s="19">
        <v>0.5</v>
      </c>
      <c r="L17" s="19" t="s">
        <v>66</v>
      </c>
      <c r="M17" s="19" t="s">
        <v>73</v>
      </c>
      <c r="N17" s="19">
        <f t="shared" si="2"/>
        <v>5.2083333333333315E-2</v>
      </c>
      <c r="O17" s="19">
        <f t="shared" si="0"/>
        <v>2.0833333333333315E-2</v>
      </c>
      <c r="P17" s="19">
        <v>6.9444444444444441E-3</v>
      </c>
      <c r="Q17" s="19">
        <v>0.50347222222222221</v>
      </c>
      <c r="R17" s="19">
        <v>0</v>
      </c>
      <c r="S17" s="19">
        <v>0.50347222222222221</v>
      </c>
      <c r="T17" s="19">
        <f>VLOOKUP(E17,'[1]22-1-2026'!$E$3:$T$13,16,FALSE)</f>
        <v>1.7361111111111112E-2</v>
      </c>
      <c r="U17" s="19">
        <v>0.57638888888888884</v>
      </c>
      <c r="V17" s="19">
        <v>0</v>
      </c>
      <c r="W17" s="19">
        <v>4.1666666666666664E-2</v>
      </c>
      <c r="X17" s="19">
        <v>0.57777777777777772</v>
      </c>
      <c r="Y17" s="19">
        <v>0.59583333333333333</v>
      </c>
      <c r="Z17" s="19">
        <f t="shared" si="1"/>
        <v>1.8055555555555602E-2</v>
      </c>
      <c r="AA17" s="19">
        <v>0</v>
      </c>
      <c r="AB17" s="19">
        <v>0.59722222222222221</v>
      </c>
      <c r="AC17" s="20"/>
      <c r="AD17" s="52"/>
    </row>
    <row r="18" spans="1:30" ht="21.75" thickBot="1" x14ac:dyDescent="0.3">
      <c r="A18" s="16">
        <v>3</v>
      </c>
      <c r="B18" s="17">
        <v>762</v>
      </c>
      <c r="C18" s="17" t="str">
        <f>VLOOKUP(B18,داتا!$B$3:$D$42,2,FALSE)</f>
        <v>دبابة</v>
      </c>
      <c r="D18" s="18">
        <f>VLOOKUP(B18,داتا!$B$3:$D$42,3,FALSE)</f>
        <v>2.0833333333333332E-2</v>
      </c>
      <c r="E18" s="17" t="s">
        <v>52</v>
      </c>
      <c r="F18" s="17" t="s">
        <v>42</v>
      </c>
      <c r="G18" s="19">
        <v>0.29166666666666669</v>
      </c>
      <c r="H18" s="19">
        <f t="shared" ref="H18:H27" si="6">VLOOKUP(F18,$F$3:$H$12,3,FALSE)</f>
        <v>0.20833333333333334</v>
      </c>
      <c r="I18" s="19">
        <v>0</v>
      </c>
      <c r="J18" s="19">
        <v>0.44791666666666669</v>
      </c>
      <c r="K18" s="19">
        <v>0.4548611111111111</v>
      </c>
      <c r="L18" s="19" t="s">
        <v>66</v>
      </c>
      <c r="M18" s="19" t="s">
        <v>73</v>
      </c>
      <c r="N18" s="19">
        <f t="shared" si="2"/>
        <v>6.9444444444444198E-3</v>
      </c>
      <c r="O18" s="19">
        <v>0</v>
      </c>
      <c r="P18" s="19">
        <v>6.9444444444444441E-3</v>
      </c>
      <c r="Q18" s="19">
        <v>0.46180555555555558</v>
      </c>
      <c r="R18" s="19">
        <f t="shared" ref="R18:R22" si="7">Q18-P18-K18</f>
        <v>0</v>
      </c>
      <c r="S18" s="19">
        <v>0.46180555555555558</v>
      </c>
      <c r="T18" s="19">
        <f>VLOOKUP(E18,'[1]22-1-2026'!$E$3:$T$13,16,FALSE)</f>
        <v>3.472222222222222E-3</v>
      </c>
      <c r="U18" s="19">
        <v>0.45833333333333331</v>
      </c>
      <c r="V18" s="19">
        <v>0</v>
      </c>
      <c r="W18" s="19">
        <v>3.125E-2</v>
      </c>
      <c r="X18" s="19">
        <v>0.46180555555555558</v>
      </c>
      <c r="Y18" s="19">
        <v>0.47361111111111109</v>
      </c>
      <c r="Z18" s="19">
        <f t="shared" si="1"/>
        <v>1.1805555555555514E-2</v>
      </c>
      <c r="AA18" s="19">
        <v>0</v>
      </c>
      <c r="AB18" s="19">
        <v>0.47569444444444442</v>
      </c>
      <c r="AC18" s="22"/>
      <c r="AD18" s="52"/>
    </row>
    <row r="19" spans="1:30" ht="19.5" thickBot="1" x14ac:dyDescent="0.3">
      <c r="A19" s="16">
        <v>4</v>
      </c>
      <c r="B19" s="17">
        <v>249</v>
      </c>
      <c r="C19" s="17" t="str">
        <f>VLOOKUP(B19,داتا!$B$3:$D$42,2,FALSE)</f>
        <v>دبابة</v>
      </c>
      <c r="D19" s="18">
        <f>VLOOKUP(B19,داتا!$B$3:$D$42,3,FALSE)</f>
        <v>2.0833333333333332E-2</v>
      </c>
      <c r="E19" s="17" t="s">
        <v>38</v>
      </c>
      <c r="F19" s="17" t="s">
        <v>77</v>
      </c>
      <c r="G19" s="19">
        <v>0.29166666666666669</v>
      </c>
      <c r="H19" s="19">
        <f t="shared" si="6"/>
        <v>0.25</v>
      </c>
      <c r="I19" s="19">
        <v>0</v>
      </c>
      <c r="J19" s="19">
        <v>0.4548611111111111</v>
      </c>
      <c r="K19" s="19">
        <v>0.49305555555555558</v>
      </c>
      <c r="L19" s="19" t="s">
        <v>66</v>
      </c>
      <c r="M19" s="19" t="s">
        <v>73</v>
      </c>
      <c r="N19" s="19">
        <f t="shared" si="2"/>
        <v>3.8194444444444475E-2</v>
      </c>
      <c r="O19" s="19">
        <f t="shared" si="0"/>
        <v>1.7361111111111143E-2</v>
      </c>
      <c r="P19" s="19">
        <v>6.9444444444444441E-3</v>
      </c>
      <c r="Q19" s="19">
        <v>0.49305555555555558</v>
      </c>
      <c r="R19" s="19">
        <v>0</v>
      </c>
      <c r="S19" s="19">
        <v>0.49305555555555558</v>
      </c>
      <c r="T19" s="19">
        <f>VLOOKUP(E19,'[1]22-1-2026'!$E$3:$T$13,16,FALSE)</f>
        <v>3.4722222222222224E-2</v>
      </c>
      <c r="U19" s="19">
        <v>0.54166666666666663</v>
      </c>
      <c r="V19" s="19">
        <f t="shared" si="3"/>
        <v>1.388888888888884E-2</v>
      </c>
      <c r="W19" s="19">
        <v>2.0833333333333332E-2</v>
      </c>
      <c r="X19" s="19">
        <v>0.54513888888888884</v>
      </c>
      <c r="Y19" s="19">
        <v>0.55902777777777779</v>
      </c>
      <c r="Z19" s="19">
        <f t="shared" si="1"/>
        <v>1.3888888888888951E-2</v>
      </c>
      <c r="AA19" s="19">
        <v>0</v>
      </c>
      <c r="AB19" s="19">
        <v>0.5625</v>
      </c>
      <c r="AC19" s="20"/>
      <c r="AD19" s="52"/>
    </row>
    <row r="20" spans="1:30" ht="19.5" thickBot="1" x14ac:dyDescent="0.3">
      <c r="A20" s="16">
        <v>5</v>
      </c>
      <c r="B20" s="17">
        <v>249</v>
      </c>
      <c r="C20" s="17" t="str">
        <f>VLOOKUP(B20,داتا!$B$3:$D$42,2,FALSE)</f>
        <v>دبابة</v>
      </c>
      <c r="D20" s="18">
        <f>VLOOKUP(B20,داتا!$B$3:$D$42,3,FALSE)</f>
        <v>2.0833333333333332E-2</v>
      </c>
      <c r="E20" s="17" t="s">
        <v>40</v>
      </c>
      <c r="F20" s="17" t="s">
        <v>77</v>
      </c>
      <c r="G20" s="19">
        <v>0.29166666666666669</v>
      </c>
      <c r="H20" s="19">
        <f t="shared" si="6"/>
        <v>0.25</v>
      </c>
      <c r="I20" s="19">
        <v>0</v>
      </c>
      <c r="J20" s="19">
        <v>0.4548611111111111</v>
      </c>
      <c r="K20" s="19">
        <v>0.49305555555555558</v>
      </c>
      <c r="L20" s="19" t="s">
        <v>66</v>
      </c>
      <c r="M20" s="19" t="s">
        <v>73</v>
      </c>
      <c r="N20" s="19">
        <f t="shared" si="2"/>
        <v>3.8194444444444475E-2</v>
      </c>
      <c r="O20" s="19">
        <f t="shared" si="0"/>
        <v>1.7361111111111143E-2</v>
      </c>
      <c r="P20" s="19">
        <v>6.9444444444444441E-3</v>
      </c>
      <c r="Q20" s="19">
        <v>0.49305555555555558</v>
      </c>
      <c r="R20" s="19">
        <v>0</v>
      </c>
      <c r="S20" s="19">
        <v>0.49305555555555558</v>
      </c>
      <c r="T20" s="19">
        <v>1.3888888888888888E-2</v>
      </c>
      <c r="U20" s="19">
        <v>0.57986111111111116</v>
      </c>
      <c r="V20" s="19">
        <v>3.472222222222222E-3</v>
      </c>
      <c r="W20" s="19">
        <v>3.125E-2</v>
      </c>
      <c r="X20" s="19">
        <v>0.58333333333333337</v>
      </c>
      <c r="Y20" s="19">
        <v>0.6020833333333333</v>
      </c>
      <c r="Z20" s="19">
        <f t="shared" si="1"/>
        <v>1.8749999999999933E-2</v>
      </c>
      <c r="AA20" s="19">
        <v>0</v>
      </c>
      <c r="AB20" s="19">
        <v>0.60416666666666663</v>
      </c>
      <c r="AC20" s="20"/>
      <c r="AD20" s="52"/>
    </row>
    <row r="21" spans="1:30" ht="19.5" thickBot="1" x14ac:dyDescent="0.3">
      <c r="A21" s="16">
        <v>6</v>
      </c>
      <c r="B21" s="17">
        <v>492</v>
      </c>
      <c r="C21" s="17" t="str">
        <f>VLOOKUP(B21,داتا!$B$3:$D$42,2,FALSE)</f>
        <v>دبابة</v>
      </c>
      <c r="D21" s="18">
        <f>VLOOKUP(B21,داتا!$B$3:$D$42,3,FALSE)</f>
        <v>2.0833333333333332E-2</v>
      </c>
      <c r="E21" s="17" t="s">
        <v>76</v>
      </c>
      <c r="F21" s="17" t="s">
        <v>71</v>
      </c>
      <c r="G21" s="19">
        <v>0.29166666666666669</v>
      </c>
      <c r="H21" s="19">
        <v>0.25</v>
      </c>
      <c r="I21" s="19">
        <v>0</v>
      </c>
      <c r="J21" s="19">
        <v>0.49305555555555558</v>
      </c>
      <c r="K21" s="19">
        <v>0.50347222222222221</v>
      </c>
      <c r="L21" s="19" t="s">
        <v>66</v>
      </c>
      <c r="M21" s="19" t="s">
        <v>73</v>
      </c>
      <c r="N21" s="19">
        <f t="shared" si="2"/>
        <v>1.041666666666663E-2</v>
      </c>
      <c r="O21" s="19">
        <v>0</v>
      </c>
      <c r="P21" s="19">
        <v>6.9444444444444441E-3</v>
      </c>
      <c r="Q21" s="19">
        <v>0.51041666666666663</v>
      </c>
      <c r="R21" s="19">
        <f t="shared" si="7"/>
        <v>0</v>
      </c>
      <c r="S21" s="19">
        <v>0.51041666666666663</v>
      </c>
      <c r="T21" s="19">
        <v>3.8194444444444448E-2</v>
      </c>
      <c r="U21" s="19">
        <v>0.54513888888888884</v>
      </c>
      <c r="V21" s="19">
        <v>0</v>
      </c>
      <c r="W21" s="19">
        <v>2.0833333333333332E-2</v>
      </c>
      <c r="X21" s="19">
        <v>0.54861111111111116</v>
      </c>
      <c r="Y21" s="19">
        <v>0.56111111111111112</v>
      </c>
      <c r="Z21" s="19">
        <f t="shared" si="1"/>
        <v>1.2499999999999956E-2</v>
      </c>
      <c r="AA21" s="19">
        <v>0</v>
      </c>
      <c r="AB21" s="19">
        <v>0.5625</v>
      </c>
      <c r="AC21" s="20"/>
      <c r="AD21" s="52"/>
    </row>
    <row r="22" spans="1:30" ht="19.5" thickBot="1" x14ac:dyDescent="0.3">
      <c r="A22" s="16">
        <v>7</v>
      </c>
      <c r="B22" s="17">
        <v>492</v>
      </c>
      <c r="C22" s="17" t="str">
        <f>VLOOKUP(B22,داتا!$B$3:$D$42,2,FALSE)</f>
        <v>دبابة</v>
      </c>
      <c r="D22" s="18">
        <f>VLOOKUP(B22,داتا!$B$3:$D$42,3,FALSE)</f>
        <v>2.0833333333333332E-2</v>
      </c>
      <c r="E22" s="17" t="s">
        <v>51</v>
      </c>
      <c r="F22" s="17" t="s">
        <v>71</v>
      </c>
      <c r="G22" s="19">
        <v>0.29166666666666669</v>
      </c>
      <c r="H22" s="19">
        <v>0.25</v>
      </c>
      <c r="I22" s="19">
        <v>0</v>
      </c>
      <c r="J22" s="19">
        <v>0.49305555555555558</v>
      </c>
      <c r="K22" s="19">
        <v>0.50347222222222221</v>
      </c>
      <c r="L22" s="19" t="s">
        <v>66</v>
      </c>
      <c r="M22" s="19" t="s">
        <v>73</v>
      </c>
      <c r="N22" s="19">
        <f t="shared" si="2"/>
        <v>1.041666666666663E-2</v>
      </c>
      <c r="O22" s="19">
        <v>2</v>
      </c>
      <c r="P22" s="19">
        <v>6.9444444444444441E-3</v>
      </c>
      <c r="Q22" s="19">
        <v>0.51041666666666663</v>
      </c>
      <c r="R22" s="19">
        <f t="shared" si="7"/>
        <v>0</v>
      </c>
      <c r="S22" s="19">
        <v>0.51041666666666663</v>
      </c>
      <c r="T22" s="19">
        <f>VLOOKUP(E22,'[1]22-1-2026'!$E$3:$T$13,16,FALSE)</f>
        <v>6.9444444444444441E-3</v>
      </c>
      <c r="U22" s="19">
        <v>0.56944444444444442</v>
      </c>
      <c r="V22" s="19">
        <v>0</v>
      </c>
      <c r="W22" s="19">
        <v>3.125E-2</v>
      </c>
      <c r="X22" s="19">
        <v>0.57291666666666663</v>
      </c>
      <c r="Y22" s="19">
        <v>0.57986111111111116</v>
      </c>
      <c r="Z22" s="19">
        <f t="shared" si="1"/>
        <v>6.9444444444445308E-3</v>
      </c>
      <c r="AA22" s="19">
        <v>0</v>
      </c>
      <c r="AB22" s="19">
        <v>0.58333333333333337</v>
      </c>
      <c r="AC22" s="20"/>
      <c r="AD22" s="52"/>
    </row>
    <row r="23" spans="1:30" ht="19.5" thickBot="1" x14ac:dyDescent="0.3">
      <c r="A23" s="16">
        <v>8</v>
      </c>
      <c r="B23" s="17">
        <v>876</v>
      </c>
      <c r="C23" s="17" t="str">
        <f>VLOOKUP(B23,داتا!$B$3:$D$42,2,FALSE)</f>
        <v>دبابة</v>
      </c>
      <c r="D23" s="18">
        <f>VLOOKUP(B23,داتا!$B$3:$D$42,3,FALSE)</f>
        <v>2.0833333333333332E-2</v>
      </c>
      <c r="E23" s="17" t="s">
        <v>47</v>
      </c>
      <c r="F23" s="17" t="s">
        <v>50</v>
      </c>
      <c r="G23" s="19">
        <v>0.29166666666666669</v>
      </c>
      <c r="H23" s="19">
        <f t="shared" si="6"/>
        <v>0.24652777777777779</v>
      </c>
      <c r="I23" s="19">
        <v>0</v>
      </c>
      <c r="J23" s="19">
        <v>0.5</v>
      </c>
      <c r="K23" s="19">
        <v>0.52430555555555558</v>
      </c>
      <c r="L23" s="19" t="s">
        <v>66</v>
      </c>
      <c r="M23" s="19" t="s">
        <v>93</v>
      </c>
      <c r="N23" s="19">
        <f t="shared" si="2"/>
        <v>2.430555555555558E-2</v>
      </c>
      <c r="O23" s="19">
        <f t="shared" si="0"/>
        <v>3.4722222222222481E-3</v>
      </c>
      <c r="P23" s="19">
        <v>6.9444444444444441E-3</v>
      </c>
      <c r="Q23" s="19">
        <v>0.52430555555555558</v>
      </c>
      <c r="R23" s="19">
        <v>0</v>
      </c>
      <c r="S23" s="19">
        <v>0.52430555555555558</v>
      </c>
      <c r="T23" s="19">
        <f>VLOOKUP(E23,'[1]22-1-2026'!$E$3:$T$13,16,FALSE)</f>
        <v>1.3888888888888888E-2</v>
      </c>
      <c r="U23" s="19">
        <v>0.53680555555555554</v>
      </c>
      <c r="V23" s="19">
        <v>0</v>
      </c>
      <c r="W23" s="19">
        <v>2.0833333333333332E-2</v>
      </c>
      <c r="X23" s="19">
        <v>0.53749999999999998</v>
      </c>
      <c r="Y23" s="19">
        <v>0.54652777777777772</v>
      </c>
      <c r="Z23" s="19">
        <f t="shared" si="1"/>
        <v>9.0277777777777457E-3</v>
      </c>
      <c r="AA23" s="19">
        <v>0</v>
      </c>
      <c r="AB23" s="19">
        <v>0.5493055555555556</v>
      </c>
      <c r="AC23" s="20"/>
      <c r="AD23" s="52"/>
    </row>
    <row r="24" spans="1:30" ht="19.5" thickBot="1" x14ac:dyDescent="0.3">
      <c r="A24" s="16">
        <v>9</v>
      </c>
      <c r="B24" s="17">
        <v>876</v>
      </c>
      <c r="C24" s="17" t="str">
        <f>VLOOKUP(B24,داتا!$B$3:$D$42,2,FALSE)</f>
        <v>دبابة</v>
      </c>
      <c r="D24" s="18">
        <f>VLOOKUP(B24,داتا!$B$3:$D$42,3,FALSE)</f>
        <v>2.0833333333333332E-2</v>
      </c>
      <c r="E24" s="17" t="s">
        <v>45</v>
      </c>
      <c r="F24" s="17" t="s">
        <v>50</v>
      </c>
      <c r="G24" s="19">
        <v>0.29166666666666669</v>
      </c>
      <c r="H24" s="19">
        <f t="shared" si="6"/>
        <v>0.24652777777777779</v>
      </c>
      <c r="I24" s="19">
        <v>0</v>
      </c>
      <c r="J24" s="19">
        <v>0.5</v>
      </c>
      <c r="K24" s="19">
        <v>0.52430555555555558</v>
      </c>
      <c r="L24" s="19" t="s">
        <v>66</v>
      </c>
      <c r="M24" s="19" t="s">
        <v>93</v>
      </c>
      <c r="N24" s="19">
        <f t="shared" si="2"/>
        <v>2.430555555555558E-2</v>
      </c>
      <c r="O24" s="19">
        <f t="shared" si="0"/>
        <v>3.4722222222222481E-3</v>
      </c>
      <c r="P24" s="19">
        <v>6.9444444444444441E-3</v>
      </c>
      <c r="Q24" s="19">
        <v>0.52430555555555558</v>
      </c>
      <c r="R24" s="19">
        <v>0</v>
      </c>
      <c r="S24" s="19">
        <v>0.52430555555555558</v>
      </c>
      <c r="T24" s="19">
        <f>VLOOKUP(E24,'[1]22-1-2026'!$E$3:$T$13,16,FALSE)</f>
        <v>1.3888888888888888E-2</v>
      </c>
      <c r="U24" s="19">
        <v>0.56458333333333333</v>
      </c>
      <c r="V24" s="19">
        <v>1.3888888888888889E-3</v>
      </c>
      <c r="W24" s="19">
        <v>3.125E-2</v>
      </c>
      <c r="X24" s="19">
        <v>0.56597222222222221</v>
      </c>
      <c r="Y24" s="19">
        <v>0.59027777777777779</v>
      </c>
      <c r="Z24" s="19">
        <f t="shared" si="1"/>
        <v>2.430555555555558E-2</v>
      </c>
      <c r="AA24" s="19">
        <v>0</v>
      </c>
      <c r="AB24" s="19">
        <v>0.59166666666666667</v>
      </c>
      <c r="AC24" s="20"/>
      <c r="AD24" s="52"/>
    </row>
    <row r="25" spans="1:30" ht="19.5" thickBot="1" x14ac:dyDescent="0.3">
      <c r="A25" s="16">
        <v>10</v>
      </c>
      <c r="B25" s="17">
        <v>892</v>
      </c>
      <c r="C25" s="17" t="str">
        <f>VLOOKUP(B25,داتا!$B$3:$D$42,2,FALSE)</f>
        <v>تلتين</v>
      </c>
      <c r="D25" s="18">
        <f>VLOOKUP(B25,داتا!$B$3:$D$42,3,FALSE)</f>
        <v>3.125E-2</v>
      </c>
      <c r="E25" s="17" t="s">
        <v>91</v>
      </c>
      <c r="F25" s="17" t="s">
        <v>63</v>
      </c>
      <c r="G25" s="19">
        <v>0.29166666666666669</v>
      </c>
      <c r="H25" s="19">
        <v>0.25</v>
      </c>
      <c r="I25" s="19">
        <v>0</v>
      </c>
      <c r="J25" s="19">
        <v>0.50694444444444442</v>
      </c>
      <c r="K25" s="19">
        <v>0.52777777777777779</v>
      </c>
      <c r="L25" s="19" t="s">
        <v>66</v>
      </c>
      <c r="M25" s="19" t="s">
        <v>93</v>
      </c>
      <c r="N25" s="19">
        <f t="shared" si="2"/>
        <v>2.083333333333337E-2</v>
      </c>
      <c r="O25" s="19">
        <v>0</v>
      </c>
      <c r="P25" s="19">
        <v>6.9444444444444441E-3</v>
      </c>
      <c r="Q25" s="19">
        <v>0.53125</v>
      </c>
      <c r="R25" s="19">
        <v>0</v>
      </c>
      <c r="S25" s="19">
        <v>0.53125</v>
      </c>
      <c r="T25" s="19">
        <f>VLOOKUP(E25,'[1]22-1-2026'!$E$3:$T$13,16,FALSE)</f>
        <v>2.4305555555555556E-2</v>
      </c>
      <c r="U25" s="19">
        <v>0.55902777777777779</v>
      </c>
      <c r="V25" s="19">
        <f t="shared" si="3"/>
        <v>3.4722222222222099E-3</v>
      </c>
      <c r="W25" s="19">
        <v>3.125E-2</v>
      </c>
      <c r="X25" s="19">
        <v>0.5625</v>
      </c>
      <c r="Y25" s="19">
        <v>0.59027777777777779</v>
      </c>
      <c r="Z25" s="19">
        <f t="shared" si="1"/>
        <v>2.777777777777779E-2</v>
      </c>
      <c r="AA25" s="19">
        <v>0</v>
      </c>
      <c r="AB25" s="19">
        <v>0.59375</v>
      </c>
      <c r="AC25" s="20"/>
      <c r="AD25" s="52"/>
    </row>
    <row r="26" spans="1:30" ht="19.5" thickBot="1" x14ac:dyDescent="0.3">
      <c r="A26" s="16">
        <v>11</v>
      </c>
      <c r="B26" s="17">
        <v>892</v>
      </c>
      <c r="C26" s="17" t="str">
        <f>VLOOKUP(B26,داتا!$B$3:$D$42,2,FALSE)</f>
        <v>تلتين</v>
      </c>
      <c r="D26" s="18">
        <f>VLOOKUP(B26,داتا!$B$3:$D$42,3,FALSE)</f>
        <v>3.125E-2</v>
      </c>
      <c r="E26" s="17" t="s">
        <v>43</v>
      </c>
      <c r="F26" s="17" t="s">
        <v>63</v>
      </c>
      <c r="G26" s="19">
        <v>0.29166666666666669</v>
      </c>
      <c r="H26" s="19">
        <v>0.25</v>
      </c>
      <c r="I26" s="19">
        <v>0</v>
      </c>
      <c r="J26" s="19">
        <v>0.50694444444444442</v>
      </c>
      <c r="K26" s="19">
        <v>0.52777777777777779</v>
      </c>
      <c r="L26" s="19" t="s">
        <v>66</v>
      </c>
      <c r="M26" s="19" t="s">
        <v>93</v>
      </c>
      <c r="N26" s="19">
        <f t="shared" si="2"/>
        <v>2.083333333333337E-2</v>
      </c>
      <c r="O26" s="19">
        <v>0</v>
      </c>
      <c r="P26" s="19">
        <v>6.9444444444444441E-3</v>
      </c>
      <c r="Q26" s="19">
        <v>0.53125</v>
      </c>
      <c r="R26" s="19">
        <v>0</v>
      </c>
      <c r="S26" s="19">
        <v>0.53125</v>
      </c>
      <c r="T26" s="19">
        <v>1.3888888888888888E-2</v>
      </c>
      <c r="U26" s="19">
        <v>0.6020833333333333</v>
      </c>
      <c r="V26" s="19">
        <v>0</v>
      </c>
      <c r="W26" s="19">
        <v>4.1666666666666664E-2</v>
      </c>
      <c r="X26" s="19">
        <v>0.60416666666666663</v>
      </c>
      <c r="Y26" s="19">
        <v>0.62291666666666667</v>
      </c>
      <c r="Z26" s="19">
        <f t="shared" si="1"/>
        <v>1.8750000000000044E-2</v>
      </c>
      <c r="AA26" s="19">
        <v>0</v>
      </c>
      <c r="AB26" s="19">
        <v>0.62847222222222221</v>
      </c>
      <c r="AC26" s="20"/>
      <c r="AD26" s="52"/>
    </row>
    <row r="27" spans="1:30" ht="19.5" thickBot="1" x14ac:dyDescent="0.3">
      <c r="A27" s="16">
        <v>12</v>
      </c>
      <c r="B27" s="17">
        <v>539</v>
      </c>
      <c r="C27" s="17" t="str">
        <f>VLOOKUP(B27,داتا!$B$3:$D$42,2,FALSE)</f>
        <v>دبابة</v>
      </c>
      <c r="D27" s="18">
        <f>VLOOKUP(B27,داتا!$B$3:$D$42,3,FALSE)</f>
        <v>2.0833333333333332E-2</v>
      </c>
      <c r="E27" s="17" t="s">
        <v>35</v>
      </c>
      <c r="F27" s="17" t="s">
        <v>79</v>
      </c>
      <c r="G27" s="19">
        <v>0.29166666666666669</v>
      </c>
      <c r="H27" s="19">
        <f t="shared" si="6"/>
        <v>0.24652777777777779</v>
      </c>
      <c r="I27" s="19">
        <v>0</v>
      </c>
      <c r="J27" s="19">
        <v>0.52430555555555558</v>
      </c>
      <c r="K27" s="19">
        <v>0.54166666666666663</v>
      </c>
      <c r="L27" s="19" t="s">
        <v>66</v>
      </c>
      <c r="M27" s="19" t="s">
        <v>93</v>
      </c>
      <c r="N27" s="19">
        <f t="shared" si="2"/>
        <v>1.7361111111111049E-2</v>
      </c>
      <c r="O27" s="19">
        <v>0</v>
      </c>
      <c r="P27" s="19">
        <v>6.9444444444444441E-3</v>
      </c>
      <c r="Q27" s="19">
        <v>0.54166666666666663</v>
      </c>
      <c r="R27" s="19">
        <v>0</v>
      </c>
      <c r="S27" s="19">
        <v>0.54166666666666663</v>
      </c>
      <c r="T27" s="19">
        <f>VLOOKUP(E27,'[1]22-1-2026'!$E$3:$T$13,16,FALSE)</f>
        <v>1.3888888888888888E-2</v>
      </c>
      <c r="U27" s="19">
        <v>0.55902777777777779</v>
      </c>
      <c r="V27" s="19">
        <f t="shared" si="3"/>
        <v>3.4722222222223209E-3</v>
      </c>
      <c r="W27" s="19">
        <v>3.125E-2</v>
      </c>
      <c r="X27" s="19">
        <v>0.56041666666666667</v>
      </c>
      <c r="Y27" s="19">
        <v>0.57916666666666672</v>
      </c>
      <c r="Z27" s="19">
        <f t="shared" si="1"/>
        <v>1.8750000000000044E-2</v>
      </c>
      <c r="AA27" s="19">
        <v>0</v>
      </c>
      <c r="AB27" s="19">
        <v>0.57986111111111116</v>
      </c>
      <c r="AC27" s="20"/>
      <c r="AD27" s="52"/>
    </row>
    <row r="28" spans="1:30" ht="19.5" thickBot="1" x14ac:dyDescent="0.3">
      <c r="A28" s="32">
        <v>13</v>
      </c>
      <c r="B28" s="23">
        <v>529</v>
      </c>
      <c r="C28" s="23" t="str">
        <f>VLOOKUP(B28,داتا!$B$3:$D$42,2,FALSE)</f>
        <v>دبابة</v>
      </c>
      <c r="D28" s="24">
        <f>VLOOKUP(B28,داتا!$B$3:$D$42,3,FALSE)</f>
        <v>2.0833333333333332E-2</v>
      </c>
      <c r="E28" s="23" t="s">
        <v>37</v>
      </c>
      <c r="F28" s="23" t="s">
        <v>59</v>
      </c>
      <c r="G28" s="25">
        <v>0.29166666666666669</v>
      </c>
      <c r="H28" s="25">
        <v>0.25</v>
      </c>
      <c r="I28" s="25">
        <v>0</v>
      </c>
      <c r="J28" s="25">
        <v>0.52430555555555558</v>
      </c>
      <c r="K28" s="25">
        <v>0.54166666666666663</v>
      </c>
      <c r="L28" s="25" t="s">
        <v>66</v>
      </c>
      <c r="M28" s="25" t="s">
        <v>93</v>
      </c>
      <c r="N28" s="25">
        <f t="shared" si="2"/>
        <v>1.7361111111111049E-2</v>
      </c>
      <c r="O28" s="25">
        <v>0</v>
      </c>
      <c r="P28" s="25">
        <v>6.9444444444444441E-3</v>
      </c>
      <c r="Q28" s="25">
        <v>0.54166666666666663</v>
      </c>
      <c r="R28" s="25">
        <v>0</v>
      </c>
      <c r="S28" s="25">
        <v>0.54166666666666663</v>
      </c>
      <c r="T28" s="25">
        <f>VLOOKUP(E28,'[1]22-1-2026'!$E$3:$T$13,16,FALSE)</f>
        <v>1.3888888888888888E-2</v>
      </c>
      <c r="U28" s="25">
        <v>0.55208333333333337</v>
      </c>
      <c r="V28" s="25">
        <v>0</v>
      </c>
      <c r="W28" s="25">
        <v>3.125E-2</v>
      </c>
      <c r="X28" s="25">
        <v>0.5541666666666667</v>
      </c>
      <c r="Y28" s="25">
        <v>0.58888888888888891</v>
      </c>
      <c r="Z28" s="25">
        <f t="shared" si="1"/>
        <v>3.472222222222221E-2</v>
      </c>
      <c r="AA28" s="19">
        <v>0</v>
      </c>
      <c r="AB28" s="25">
        <v>0.59027777777777779</v>
      </c>
      <c r="AC28" s="28"/>
      <c r="AD28" s="53"/>
    </row>
    <row r="29" spans="1:30" ht="15.75" thickTop="1" x14ac:dyDescent="0.25"/>
  </sheetData>
  <mergeCells count="3">
    <mergeCell ref="A1:AC1"/>
    <mergeCell ref="AD3:AD15"/>
    <mergeCell ref="AD16:AD28"/>
  </mergeCells>
  <conditionalFormatting sqref="I2:I1048576 O2:O1048576 R2:R1048576 V2:V1048576 AA2:AA1048576">
    <cfRule type="cellIs" dxfId="155" priority="7" operator="between">
      <formula>0.00277777777777778</formula>
      <formula>1</formula>
    </cfRule>
  </conditionalFormatting>
  <conditionalFormatting sqref="AC3:AC28">
    <cfRule type="containsText" dxfId="154" priority="6" operator="containsText" text="ت">
      <formula>NOT(ISERROR(SEARCH("ت",AC3)))</formula>
    </cfRule>
  </conditionalFormatting>
  <conditionalFormatting sqref="AA1 I1 O1 R1 V1">
    <cfRule type="cellIs" dxfId="153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rightToLeft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K19" sqref="K19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17.5703125" bestFit="1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529</v>
      </c>
      <c r="C3" s="12" t="str">
        <f>VLOOKUP(B3,داتا!$B$3:$D$42,2,FALSE)</f>
        <v>دبابة</v>
      </c>
      <c r="D3" s="13">
        <f>VLOOKUP(B3,داتا!$B$3:$D$42,3,FALSE)</f>
        <v>2.0833333333333332E-2</v>
      </c>
      <c r="E3" s="12" t="s">
        <v>38</v>
      </c>
      <c r="F3" s="12" t="s">
        <v>59</v>
      </c>
      <c r="G3" s="14">
        <v>0.25</v>
      </c>
      <c r="H3" s="14">
        <v>0.24652777777777779</v>
      </c>
      <c r="I3" s="14">
        <v>0</v>
      </c>
      <c r="J3" s="14">
        <v>0.2638888888888889</v>
      </c>
      <c r="K3" s="14">
        <v>0.27083333333333331</v>
      </c>
      <c r="L3" s="14" t="s">
        <v>92</v>
      </c>
      <c r="M3" s="14" t="s">
        <v>64</v>
      </c>
      <c r="N3" s="14">
        <f>K3-J3</f>
        <v>6.9444444444444198E-3</v>
      </c>
      <c r="O3" s="14">
        <v>0</v>
      </c>
      <c r="P3" s="14">
        <v>6.9444444444444441E-3</v>
      </c>
      <c r="Q3" s="14">
        <v>0.27083333333333331</v>
      </c>
      <c r="R3" s="14">
        <v>0</v>
      </c>
      <c r="S3" s="14">
        <v>0.27083333333333331</v>
      </c>
      <c r="T3" s="14">
        <f>VLOOKUP(E3,'[1]22-1-2026'!$E$3:$T$13,16,FALSE)</f>
        <v>3.4722222222222224E-2</v>
      </c>
      <c r="U3" s="14">
        <v>0.32291666666666669</v>
      </c>
      <c r="V3" s="14">
        <f>U3-T3-S3</f>
        <v>1.736111111111116E-2</v>
      </c>
      <c r="W3" s="14">
        <v>2.0833333333333332E-2</v>
      </c>
      <c r="X3" s="14">
        <v>0.33333333333333331</v>
      </c>
      <c r="Y3" s="14">
        <v>0.36458333333333331</v>
      </c>
      <c r="Z3" s="14">
        <f>Y3-X3</f>
        <v>3.125E-2</v>
      </c>
      <c r="AA3" s="14">
        <f t="shared" ref="AA3:AA13" si="0">Z3-W3</f>
        <v>1.0416666666666668E-2</v>
      </c>
      <c r="AB3" s="14">
        <v>0.36805555555555558</v>
      </c>
      <c r="AC3" s="39"/>
      <c r="AD3" s="57" t="s">
        <v>32</v>
      </c>
    </row>
    <row r="4" spans="1:30" ht="19.5" thickBot="1" x14ac:dyDescent="0.3">
      <c r="A4" s="16">
        <v>2</v>
      </c>
      <c r="B4" s="17">
        <v>529</v>
      </c>
      <c r="C4" s="17" t="str">
        <f>VLOOKUP(B4,داتا!$B$3:$D$42,2,FALSE)</f>
        <v>دبابة</v>
      </c>
      <c r="D4" s="18">
        <f>VLOOKUP(B4,داتا!$B$3:$D$42,3,FALSE)</f>
        <v>2.0833333333333332E-2</v>
      </c>
      <c r="E4" s="17" t="s">
        <v>40</v>
      </c>
      <c r="F4" s="17" t="s">
        <v>59</v>
      </c>
      <c r="G4" s="19">
        <v>0.25</v>
      </c>
      <c r="H4" s="19">
        <v>0.24652777777777779</v>
      </c>
      <c r="I4" s="19">
        <v>0</v>
      </c>
      <c r="J4" s="19">
        <v>0.2638888888888889</v>
      </c>
      <c r="K4" s="19">
        <v>0.27083333333333331</v>
      </c>
      <c r="L4" s="19" t="s">
        <v>92</v>
      </c>
      <c r="M4" s="19" t="s">
        <v>64</v>
      </c>
      <c r="N4" s="19">
        <f>K4-J4</f>
        <v>6.9444444444444198E-3</v>
      </c>
      <c r="O4" s="19">
        <v>0</v>
      </c>
      <c r="P4" s="19">
        <v>6.9444444444444441E-3</v>
      </c>
      <c r="Q4" s="19">
        <v>0.27083333333333331</v>
      </c>
      <c r="R4" s="19">
        <v>0</v>
      </c>
      <c r="S4" s="19">
        <v>0.27083333333333331</v>
      </c>
      <c r="T4" s="19">
        <v>1.3888888888888888E-2</v>
      </c>
      <c r="U4" s="19">
        <v>0.38541666666666669</v>
      </c>
      <c r="V4" s="19">
        <v>3.472222222222222E-3</v>
      </c>
      <c r="W4" s="19">
        <v>3.125E-2</v>
      </c>
      <c r="X4" s="19">
        <v>0.3888888888888889</v>
      </c>
      <c r="Y4" s="19">
        <v>0.42777777777777776</v>
      </c>
      <c r="Z4" s="19">
        <f t="shared" ref="Z4:Z28" si="1">Y4-X4</f>
        <v>3.8888888888888862E-2</v>
      </c>
      <c r="AA4" s="19">
        <f t="shared" si="0"/>
        <v>7.6388888888888618E-3</v>
      </c>
      <c r="AB4" s="19">
        <v>0.43055555555555558</v>
      </c>
      <c r="AC4" s="40"/>
      <c r="AD4" s="58"/>
    </row>
    <row r="5" spans="1:30" ht="19.5" thickBot="1" x14ac:dyDescent="0.3">
      <c r="A5" s="16">
        <v>3</v>
      </c>
      <c r="B5" s="17">
        <v>249</v>
      </c>
      <c r="C5" s="17" t="str">
        <f>VLOOKUP(B5,داتا!$B$3:$D$42,2,FALSE)</f>
        <v>دبابة</v>
      </c>
      <c r="D5" s="18">
        <f>VLOOKUP(B5,داتا!$B$3:$D$42,3,FALSE)</f>
        <v>2.0833333333333332E-2</v>
      </c>
      <c r="E5" s="17" t="s">
        <v>49</v>
      </c>
      <c r="F5" s="17" t="s">
        <v>50</v>
      </c>
      <c r="G5" s="19">
        <v>0.25</v>
      </c>
      <c r="H5" s="19">
        <v>0.25</v>
      </c>
      <c r="I5" s="19">
        <f t="shared" ref="I5:I15" si="2">H5-G5</f>
        <v>0</v>
      </c>
      <c r="J5" s="19">
        <v>0.27083333333333331</v>
      </c>
      <c r="K5" s="19">
        <v>0.27777777777777779</v>
      </c>
      <c r="L5" s="19" t="s">
        <v>92</v>
      </c>
      <c r="M5" s="19" t="s">
        <v>64</v>
      </c>
      <c r="N5" s="19">
        <f t="shared" ref="N5:N27" si="3">K5-J5</f>
        <v>6.9444444444444753E-3</v>
      </c>
      <c r="O5" s="19">
        <v>0</v>
      </c>
      <c r="P5" s="19">
        <v>6.9444444444444441E-3</v>
      </c>
      <c r="Q5" s="19">
        <v>0.28472222222222221</v>
      </c>
      <c r="R5" s="19">
        <f t="shared" ref="R5:R15" si="4">Q5-P5-K5</f>
        <v>0</v>
      </c>
      <c r="S5" s="19">
        <v>0.28472222222222221</v>
      </c>
      <c r="T5" s="19">
        <f>VLOOKUP(E5,'[1]22-1-2026'!$E$3:$T$13,16,FALSE)</f>
        <v>4.1666666666666664E-2</v>
      </c>
      <c r="U5" s="19">
        <v>0.31736111111111109</v>
      </c>
      <c r="V5" s="19">
        <v>0</v>
      </c>
      <c r="W5" s="19">
        <v>2.0833333333333332E-2</v>
      </c>
      <c r="X5" s="19">
        <v>0.31944444444444442</v>
      </c>
      <c r="Y5" s="19">
        <v>0.35555555555555557</v>
      </c>
      <c r="Z5" s="19">
        <f t="shared" si="1"/>
        <v>3.6111111111111149E-2</v>
      </c>
      <c r="AA5" s="19">
        <f t="shared" si="0"/>
        <v>1.5277777777777817E-2</v>
      </c>
      <c r="AB5" s="19">
        <v>0.35625000000000001</v>
      </c>
      <c r="AC5" s="40"/>
      <c r="AD5" s="58"/>
    </row>
    <row r="6" spans="1:30" ht="19.5" thickBot="1" x14ac:dyDescent="0.3">
      <c r="A6" s="16">
        <v>4</v>
      </c>
      <c r="B6" s="17">
        <v>249</v>
      </c>
      <c r="C6" s="17" t="str">
        <f>VLOOKUP(B6,داتا!$B$3:$D$42,2,FALSE)</f>
        <v>دبابة</v>
      </c>
      <c r="D6" s="18">
        <f>VLOOKUP(B6,داتا!$B$3:$D$42,3,FALSE)</f>
        <v>2.0833333333333332E-2</v>
      </c>
      <c r="E6" s="17" t="s">
        <v>51</v>
      </c>
      <c r="F6" s="17" t="s">
        <v>50</v>
      </c>
      <c r="G6" s="19">
        <v>0.25</v>
      </c>
      <c r="H6" s="19">
        <v>0.25</v>
      </c>
      <c r="I6" s="19">
        <f t="shared" si="2"/>
        <v>0</v>
      </c>
      <c r="J6" s="19">
        <v>0.27083333333333331</v>
      </c>
      <c r="K6" s="19">
        <v>0.27777777777777779</v>
      </c>
      <c r="L6" s="19" t="s">
        <v>92</v>
      </c>
      <c r="M6" s="19" t="s">
        <v>64</v>
      </c>
      <c r="N6" s="19">
        <f t="shared" si="3"/>
        <v>6.9444444444444753E-3</v>
      </c>
      <c r="O6" s="19">
        <v>0</v>
      </c>
      <c r="P6" s="19">
        <v>6.9444444444444441E-3</v>
      </c>
      <c r="Q6" s="19">
        <v>0.28472222222222221</v>
      </c>
      <c r="R6" s="19">
        <f t="shared" si="4"/>
        <v>0</v>
      </c>
      <c r="S6" s="19">
        <v>0.28472222222222221</v>
      </c>
      <c r="T6" s="19">
        <f>VLOOKUP(E6,'[1]22-1-2026'!$E$3:$T$13,16,FALSE)</f>
        <v>6.9444444444444441E-3</v>
      </c>
      <c r="U6" s="19">
        <v>0.36319444444444443</v>
      </c>
      <c r="V6" s="19">
        <v>0</v>
      </c>
      <c r="W6" s="19">
        <v>3.125E-2</v>
      </c>
      <c r="X6" s="19">
        <v>0.3659722222222222</v>
      </c>
      <c r="Y6" s="19">
        <v>0.38194444444444442</v>
      </c>
      <c r="Z6" s="19">
        <f t="shared" si="1"/>
        <v>1.5972222222222221E-2</v>
      </c>
      <c r="AA6" s="19">
        <v>0</v>
      </c>
      <c r="AB6" s="19">
        <v>0.38541666666666669</v>
      </c>
      <c r="AC6" s="40"/>
      <c r="AD6" s="58"/>
    </row>
    <row r="7" spans="1:30" ht="19.5" thickBot="1" x14ac:dyDescent="0.3">
      <c r="A7" s="16">
        <v>5</v>
      </c>
      <c r="B7" s="17">
        <v>892</v>
      </c>
      <c r="C7" s="17" t="str">
        <f>VLOOKUP(B7,داتا!$B$3:$D$42,2,FALSE)</f>
        <v>تلتين</v>
      </c>
      <c r="D7" s="18">
        <f>VLOOKUP(B7,داتا!$B$3:$D$42,3,FALSE)</f>
        <v>3.125E-2</v>
      </c>
      <c r="E7" s="17" t="s">
        <v>30</v>
      </c>
      <c r="F7" s="17" t="s">
        <v>36</v>
      </c>
      <c r="G7" s="19">
        <v>0.25</v>
      </c>
      <c r="H7" s="19">
        <v>0.25</v>
      </c>
      <c r="I7" s="19">
        <f t="shared" si="2"/>
        <v>0</v>
      </c>
      <c r="J7" s="19">
        <v>0.20833333333333334</v>
      </c>
      <c r="K7" s="19">
        <v>0.27083333333333331</v>
      </c>
      <c r="L7" s="19" t="s">
        <v>92</v>
      </c>
      <c r="M7" s="19" t="s">
        <v>64</v>
      </c>
      <c r="N7" s="19">
        <f t="shared" si="3"/>
        <v>6.2499999999999972E-2</v>
      </c>
      <c r="O7" s="19">
        <f t="shared" ref="O7:O27" si="5">N7-D7</f>
        <v>3.1249999999999972E-2</v>
      </c>
      <c r="P7" s="19">
        <v>6.9444444444444441E-3</v>
      </c>
      <c r="Q7" s="19">
        <v>0.27083333333333331</v>
      </c>
      <c r="R7" s="19">
        <v>0</v>
      </c>
      <c r="S7" s="19">
        <v>0.27083333333333331</v>
      </c>
      <c r="T7" s="19">
        <f>VLOOKUP(E7,'[1]22-1-2026'!$E$3:$T$13,16,FALSE)</f>
        <v>2.4305555555555556E-2</v>
      </c>
      <c r="U7" s="19">
        <v>0.30555555555555558</v>
      </c>
      <c r="V7" s="19">
        <f t="shared" ref="V7:V28" si="6">U7-T7-S7</f>
        <v>1.0416666666666685E-2</v>
      </c>
      <c r="W7" s="19">
        <v>3.125E-2</v>
      </c>
      <c r="X7" s="19">
        <v>0.30902777777777779</v>
      </c>
      <c r="Y7" s="19">
        <v>0.33333333333333331</v>
      </c>
      <c r="Z7" s="19">
        <f t="shared" si="1"/>
        <v>2.4305555555555525E-2</v>
      </c>
      <c r="AA7" s="19">
        <v>0</v>
      </c>
      <c r="AB7" s="19">
        <v>0.33333333333333331</v>
      </c>
      <c r="AC7" s="40"/>
      <c r="AD7" s="58"/>
    </row>
    <row r="8" spans="1:30" ht="19.5" thickBot="1" x14ac:dyDescent="0.3">
      <c r="A8" s="16">
        <v>6</v>
      </c>
      <c r="B8" s="17">
        <v>892</v>
      </c>
      <c r="C8" s="17" t="str">
        <f>VLOOKUP(B8,داتا!$B$3:$D$42,2,FALSE)</f>
        <v>تلتين</v>
      </c>
      <c r="D8" s="18">
        <f>VLOOKUP(B8,داتا!$B$3:$D$42,3,FALSE)</f>
        <v>3.125E-2</v>
      </c>
      <c r="E8" s="17" t="s">
        <v>33</v>
      </c>
      <c r="F8" s="17" t="s">
        <v>36</v>
      </c>
      <c r="G8" s="19">
        <v>0.25</v>
      </c>
      <c r="H8" s="19">
        <v>0.25</v>
      </c>
      <c r="I8" s="19">
        <f t="shared" si="2"/>
        <v>0</v>
      </c>
      <c r="J8" s="19">
        <v>0.20833333333333334</v>
      </c>
      <c r="K8" s="19">
        <v>0.27083333333333331</v>
      </c>
      <c r="L8" s="19" t="s">
        <v>92</v>
      </c>
      <c r="M8" s="19" t="s">
        <v>64</v>
      </c>
      <c r="N8" s="19">
        <f t="shared" si="3"/>
        <v>6.2499999999999972E-2</v>
      </c>
      <c r="O8" s="19">
        <f t="shared" si="5"/>
        <v>3.1249999999999972E-2</v>
      </c>
      <c r="P8" s="19">
        <v>6.9444444444444441E-3</v>
      </c>
      <c r="Q8" s="19">
        <v>0.27083333333333331</v>
      </c>
      <c r="R8" s="19">
        <v>0</v>
      </c>
      <c r="S8" s="19">
        <v>0.27083333333333331</v>
      </c>
      <c r="T8" s="19">
        <v>1.3888888888888888E-2</v>
      </c>
      <c r="U8" s="19">
        <v>0.34513888888888888</v>
      </c>
      <c r="V8" s="19">
        <v>0</v>
      </c>
      <c r="W8" s="19">
        <v>4.1666666666666664E-2</v>
      </c>
      <c r="X8" s="19">
        <v>0.34722222222222221</v>
      </c>
      <c r="Y8" s="19">
        <v>0.37916666666666665</v>
      </c>
      <c r="Z8" s="19">
        <f t="shared" si="1"/>
        <v>3.1944444444444442E-2</v>
      </c>
      <c r="AA8" s="19">
        <v>0</v>
      </c>
      <c r="AB8" s="19">
        <v>0.38333333333333336</v>
      </c>
      <c r="AC8" s="40"/>
      <c r="AD8" s="58"/>
    </row>
    <row r="9" spans="1:30" ht="19.5" thickBot="1" x14ac:dyDescent="0.3">
      <c r="A9" s="16">
        <v>7</v>
      </c>
      <c r="B9" s="17">
        <v>7435</v>
      </c>
      <c r="C9" s="17" t="str">
        <f>VLOOKUP(B9,داتا!$B$3:$D$42,2,FALSE)</f>
        <v>تلتين</v>
      </c>
      <c r="D9" s="18">
        <f>VLOOKUP(B9,داتا!$B$3:$D$42,3,FALSE)</f>
        <v>3.125E-2</v>
      </c>
      <c r="E9" s="17" t="s">
        <v>35</v>
      </c>
      <c r="F9" s="17" t="s">
        <v>46</v>
      </c>
      <c r="G9" s="19">
        <v>0.25</v>
      </c>
      <c r="H9" s="19">
        <v>0.25347222222222221</v>
      </c>
      <c r="I9" s="19">
        <f t="shared" si="2"/>
        <v>3.4722222222222099E-3</v>
      </c>
      <c r="J9" s="19">
        <v>0.27430555555555558</v>
      </c>
      <c r="K9" s="19">
        <v>0.28125</v>
      </c>
      <c r="L9" s="19" t="s">
        <v>92</v>
      </c>
      <c r="M9" s="19" t="s">
        <v>64</v>
      </c>
      <c r="N9" s="19">
        <f t="shared" si="3"/>
        <v>6.9444444444444198E-3</v>
      </c>
      <c r="O9" s="19">
        <v>0</v>
      </c>
      <c r="P9" s="19">
        <v>6.9444444444444441E-3</v>
      </c>
      <c r="Q9" s="19">
        <v>0.30208333333333331</v>
      </c>
      <c r="R9" s="19">
        <f t="shared" si="4"/>
        <v>1.3888888888888895E-2</v>
      </c>
      <c r="S9" s="19">
        <v>0.30208333333333331</v>
      </c>
      <c r="T9" s="19">
        <f>VLOOKUP(E9,'[1]22-1-2026'!$E$3:$T$13,16,FALSE)</f>
        <v>1.3888888888888888E-2</v>
      </c>
      <c r="U9" s="19">
        <v>0.3125</v>
      </c>
      <c r="V9" s="19">
        <v>0</v>
      </c>
      <c r="W9" s="19">
        <v>3.125E-2</v>
      </c>
      <c r="X9" s="19">
        <v>0.31597222222222221</v>
      </c>
      <c r="Y9" s="19">
        <v>0.35069444444444442</v>
      </c>
      <c r="Z9" s="19">
        <f t="shared" si="1"/>
        <v>3.472222222222221E-2</v>
      </c>
      <c r="AA9" s="19">
        <f t="shared" si="0"/>
        <v>3.4722222222222099E-3</v>
      </c>
      <c r="AB9" s="19">
        <v>0.35416666666666669</v>
      </c>
      <c r="AC9" s="40"/>
      <c r="AD9" s="58"/>
    </row>
    <row r="10" spans="1:30" ht="19.5" thickBot="1" x14ac:dyDescent="0.3">
      <c r="A10" s="16">
        <v>8</v>
      </c>
      <c r="B10" s="17">
        <v>7435</v>
      </c>
      <c r="C10" s="17" t="str">
        <f>VLOOKUP(B10,داتا!$B$3:$D$42,2,FALSE)</f>
        <v>تلتين</v>
      </c>
      <c r="D10" s="18">
        <f>VLOOKUP(B10,داتا!$B$3:$D$42,3,FALSE)</f>
        <v>3.125E-2</v>
      </c>
      <c r="E10" s="17" t="s">
        <v>37</v>
      </c>
      <c r="F10" s="17" t="s">
        <v>46</v>
      </c>
      <c r="G10" s="19">
        <v>0.25</v>
      </c>
      <c r="H10" s="19">
        <v>0.25347222222222221</v>
      </c>
      <c r="I10" s="19">
        <f t="shared" si="2"/>
        <v>3.4722222222222099E-3</v>
      </c>
      <c r="J10" s="19">
        <v>0.27430555555555558</v>
      </c>
      <c r="K10" s="19">
        <v>0.28125</v>
      </c>
      <c r="L10" s="19" t="s">
        <v>92</v>
      </c>
      <c r="M10" s="19" t="s">
        <v>64</v>
      </c>
      <c r="N10" s="19">
        <f t="shared" si="3"/>
        <v>6.9444444444444198E-3</v>
      </c>
      <c r="O10" s="19">
        <v>0</v>
      </c>
      <c r="P10" s="19">
        <v>6.9444444444444441E-3</v>
      </c>
      <c r="Q10" s="19">
        <v>0.30208333333333331</v>
      </c>
      <c r="R10" s="19">
        <f t="shared" si="4"/>
        <v>1.3888888888888895E-2</v>
      </c>
      <c r="S10" s="19">
        <v>0.30208333333333331</v>
      </c>
      <c r="T10" s="19">
        <f>VLOOKUP(E10,'[1]22-1-2026'!$E$3:$T$13,16,FALSE)</f>
        <v>1.3888888888888888E-2</v>
      </c>
      <c r="U10" s="19">
        <v>0.37152777777777779</v>
      </c>
      <c r="V10" s="19">
        <v>3.472222222222222E-3</v>
      </c>
      <c r="W10" s="19">
        <v>4.1666666666666664E-2</v>
      </c>
      <c r="X10" s="19">
        <v>0.37291666666666667</v>
      </c>
      <c r="Y10" s="19">
        <v>0.40138888888888891</v>
      </c>
      <c r="Z10" s="19">
        <f t="shared" si="1"/>
        <v>2.8472222222222232E-2</v>
      </c>
      <c r="AA10" s="19">
        <v>0</v>
      </c>
      <c r="AB10" s="19">
        <v>0.40277777777777779</v>
      </c>
      <c r="AC10" s="40"/>
      <c r="AD10" s="58"/>
    </row>
    <row r="11" spans="1:30" ht="19.5" thickBot="1" x14ac:dyDescent="0.3">
      <c r="A11" s="16">
        <v>9</v>
      </c>
      <c r="B11" s="17">
        <v>876</v>
      </c>
      <c r="C11" s="17" t="str">
        <f>VLOOKUP(B11,داتا!$B$3:$D$42,2,FALSE)</f>
        <v>دبابة</v>
      </c>
      <c r="D11" s="18">
        <f>VLOOKUP(B11,داتا!$B$3:$D$42,3,FALSE)</f>
        <v>2.0833333333333332E-2</v>
      </c>
      <c r="E11" s="17" t="s">
        <v>45</v>
      </c>
      <c r="F11" s="17" t="s">
        <v>70</v>
      </c>
      <c r="G11" s="19">
        <v>0.25</v>
      </c>
      <c r="H11" s="19">
        <v>0.25</v>
      </c>
      <c r="I11" s="19">
        <f t="shared" si="2"/>
        <v>0</v>
      </c>
      <c r="J11" s="19">
        <v>0.28819444444444442</v>
      </c>
      <c r="K11" s="19">
        <v>0.28819444444444442</v>
      </c>
      <c r="L11" s="19" t="s">
        <v>92</v>
      </c>
      <c r="M11" s="19" t="s">
        <v>64</v>
      </c>
      <c r="N11" s="19">
        <f t="shared" si="3"/>
        <v>0</v>
      </c>
      <c r="O11" s="19">
        <v>0</v>
      </c>
      <c r="P11" s="19">
        <v>6.9444444444444441E-3</v>
      </c>
      <c r="Q11" s="19">
        <v>0.2951388888888889</v>
      </c>
      <c r="R11" s="19">
        <f t="shared" si="4"/>
        <v>0</v>
      </c>
      <c r="S11" s="19">
        <v>0.2951388888888889</v>
      </c>
      <c r="T11" s="19">
        <f>VLOOKUP(E11,'[1]22-1-2026'!$E$3:$T$13,16,FALSE)</f>
        <v>1.3888888888888888E-2</v>
      </c>
      <c r="U11" s="19">
        <v>0.30555555555555558</v>
      </c>
      <c r="V11" s="19">
        <v>0</v>
      </c>
      <c r="W11" s="19">
        <v>3.125E-2</v>
      </c>
      <c r="X11" s="19">
        <v>0.31597222222222221</v>
      </c>
      <c r="Y11" s="19">
        <v>0.34305555555555556</v>
      </c>
      <c r="Z11" s="19">
        <f t="shared" si="1"/>
        <v>2.7083333333333348E-2</v>
      </c>
      <c r="AA11" s="19">
        <v>0</v>
      </c>
      <c r="AB11" s="19">
        <v>0.34444444444444444</v>
      </c>
      <c r="AC11" s="41"/>
      <c r="AD11" s="58"/>
    </row>
    <row r="12" spans="1:30" ht="21.75" thickBot="1" x14ac:dyDescent="0.3">
      <c r="A12" s="16">
        <v>10</v>
      </c>
      <c r="B12" s="17">
        <v>539</v>
      </c>
      <c r="C12" s="17" t="str">
        <f>VLOOKUP(B12,داتا!$B$3:$D$42,2,FALSE)</f>
        <v>دبابة</v>
      </c>
      <c r="D12" s="18">
        <f>VLOOKUP(B12,داتا!$B$3:$D$42,3,FALSE)</f>
        <v>2.0833333333333332E-2</v>
      </c>
      <c r="E12" s="17" t="s">
        <v>47</v>
      </c>
      <c r="F12" s="17" t="s">
        <v>39</v>
      </c>
      <c r="G12" s="19">
        <v>0.25</v>
      </c>
      <c r="H12" s="19">
        <v>0.25</v>
      </c>
      <c r="I12" s="19">
        <f t="shared" si="2"/>
        <v>0</v>
      </c>
      <c r="J12" s="19">
        <v>0.28472222222222221</v>
      </c>
      <c r="K12" s="19">
        <v>0.28472222222222221</v>
      </c>
      <c r="L12" s="19" t="s">
        <v>92</v>
      </c>
      <c r="M12" s="19" t="s">
        <v>64</v>
      </c>
      <c r="N12" s="19">
        <f t="shared" si="3"/>
        <v>0</v>
      </c>
      <c r="O12" s="19">
        <v>0</v>
      </c>
      <c r="P12" s="19">
        <v>6.9444444444444441E-3</v>
      </c>
      <c r="Q12" s="19">
        <v>0.28680555555555554</v>
      </c>
      <c r="R12" s="19">
        <v>0</v>
      </c>
      <c r="S12" s="19">
        <v>0.28680555555555554</v>
      </c>
      <c r="T12" s="19">
        <f>VLOOKUP(E12,'[1]22-1-2026'!$E$3:$T$13,16,FALSE)</f>
        <v>1.3888888888888888E-2</v>
      </c>
      <c r="U12" s="19">
        <v>0.30555555555555558</v>
      </c>
      <c r="V12" s="19">
        <f t="shared" si="6"/>
        <v>4.8611111111111494E-3</v>
      </c>
      <c r="W12" s="19">
        <v>3.125E-2</v>
      </c>
      <c r="X12" s="19">
        <v>0.3263888888888889</v>
      </c>
      <c r="Y12" s="19">
        <v>0.35972222222222222</v>
      </c>
      <c r="Z12" s="19">
        <f t="shared" si="1"/>
        <v>3.3333333333333326E-2</v>
      </c>
      <c r="AA12" s="19">
        <f t="shared" si="0"/>
        <v>2.0833333333333259E-3</v>
      </c>
      <c r="AB12" s="19">
        <v>0.36805555555555558</v>
      </c>
      <c r="AC12" s="42"/>
      <c r="AD12" s="58"/>
    </row>
    <row r="13" spans="1:30" ht="21.75" thickBot="1" x14ac:dyDescent="0.3">
      <c r="A13" s="16">
        <v>11</v>
      </c>
      <c r="B13" s="17">
        <v>492</v>
      </c>
      <c r="C13" s="17" t="str">
        <f>VLOOKUP(B13,داتا!$B$3:$D$42,2,FALSE)</f>
        <v>دبابة</v>
      </c>
      <c r="D13" s="18">
        <f>VLOOKUP(B13,داتا!$B$3:$D$42,3,FALSE)</f>
        <v>2.0833333333333332E-2</v>
      </c>
      <c r="E13" s="17" t="s">
        <v>41</v>
      </c>
      <c r="F13" s="17" t="s">
        <v>53</v>
      </c>
      <c r="G13" s="19">
        <v>0.25</v>
      </c>
      <c r="H13" s="19">
        <v>0.25</v>
      </c>
      <c r="I13" s="19">
        <f t="shared" si="2"/>
        <v>0</v>
      </c>
      <c r="J13" s="19">
        <v>0.27777777777777779</v>
      </c>
      <c r="K13" s="19">
        <v>0.28472222222222221</v>
      </c>
      <c r="L13" s="19" t="s">
        <v>92</v>
      </c>
      <c r="M13" s="19" t="s">
        <v>64</v>
      </c>
      <c r="N13" s="19">
        <f t="shared" si="3"/>
        <v>6.9444444444444198E-3</v>
      </c>
      <c r="O13" s="19">
        <v>0</v>
      </c>
      <c r="P13" s="19">
        <v>6.9444444444444441E-3</v>
      </c>
      <c r="Q13" s="19">
        <v>0.28819444444444442</v>
      </c>
      <c r="R13" s="19">
        <v>0</v>
      </c>
      <c r="S13" s="19">
        <v>0.28819444444444442</v>
      </c>
      <c r="T13" s="19">
        <f>VLOOKUP(E13,'[1]22-1-2026'!$E$3:$T$13,16,FALSE)</f>
        <v>1.7361111111111112E-2</v>
      </c>
      <c r="U13" s="19">
        <v>0.3263888888888889</v>
      </c>
      <c r="V13" s="19">
        <f t="shared" si="6"/>
        <v>2.083333333333337E-2</v>
      </c>
      <c r="W13" s="19">
        <v>3.125E-2</v>
      </c>
      <c r="X13" s="19">
        <v>0.34027777777777779</v>
      </c>
      <c r="Y13" s="19">
        <v>0.37361111111111112</v>
      </c>
      <c r="Z13" s="19">
        <f t="shared" si="1"/>
        <v>3.3333333333333326E-2</v>
      </c>
      <c r="AA13" s="19">
        <f t="shared" si="0"/>
        <v>2.0833333333333259E-3</v>
      </c>
      <c r="AB13" s="19">
        <v>0.37847222222222221</v>
      </c>
      <c r="AC13" s="42"/>
      <c r="AD13" s="58"/>
    </row>
    <row r="14" spans="1:30" ht="21.75" thickBot="1" x14ac:dyDescent="0.3">
      <c r="A14" s="16">
        <v>12</v>
      </c>
      <c r="B14" s="17">
        <v>529</v>
      </c>
      <c r="C14" s="17" t="str">
        <f>VLOOKUP(B14,داتا!$B$3:$D$42,2,FALSE)</f>
        <v>دبابة</v>
      </c>
      <c r="D14" s="18">
        <f>VLOOKUP(B14,داتا!$B$3:$D$42,3,FALSE)</f>
        <v>2.0833333333333332E-2</v>
      </c>
      <c r="E14" s="17" t="s">
        <v>43</v>
      </c>
      <c r="F14" s="17" t="s">
        <v>71</v>
      </c>
      <c r="G14" s="19">
        <v>0.25</v>
      </c>
      <c r="H14" s="19">
        <v>0.25</v>
      </c>
      <c r="I14" s="19">
        <f>H14-G14</f>
        <v>0</v>
      </c>
      <c r="J14" s="19">
        <v>0.28819444444444442</v>
      </c>
      <c r="K14" s="19">
        <v>0.2951388888888889</v>
      </c>
      <c r="L14" s="19" t="s">
        <v>92</v>
      </c>
      <c r="M14" s="19" t="s">
        <v>64</v>
      </c>
      <c r="N14" s="19">
        <f t="shared" si="3"/>
        <v>6.9444444444444753E-3</v>
      </c>
      <c r="O14" s="19">
        <v>0</v>
      </c>
      <c r="P14" s="19">
        <v>6.9444444444444441E-3</v>
      </c>
      <c r="Q14" s="19">
        <v>0.2951388888888889</v>
      </c>
      <c r="R14" s="19">
        <v>0</v>
      </c>
      <c r="S14" s="19">
        <v>0.2951388888888889</v>
      </c>
      <c r="T14" s="19">
        <v>1.7361111111111112E-2</v>
      </c>
      <c r="U14" s="19">
        <v>0.32291666666666669</v>
      </c>
      <c r="V14" s="19">
        <f t="shared" si="6"/>
        <v>1.0416666666666685E-2</v>
      </c>
      <c r="W14" s="19">
        <v>3.125E-2</v>
      </c>
      <c r="X14" s="19">
        <v>0.34375</v>
      </c>
      <c r="Y14" s="19">
        <v>0.37152777777777779</v>
      </c>
      <c r="Z14" s="19">
        <f t="shared" si="1"/>
        <v>2.777777777777779E-2</v>
      </c>
      <c r="AA14" s="19">
        <v>0</v>
      </c>
      <c r="AB14" s="19">
        <v>0.375</v>
      </c>
      <c r="AC14" s="42"/>
      <c r="AD14" s="58"/>
    </row>
    <row r="15" spans="1:30" ht="21.75" thickBot="1" x14ac:dyDescent="0.3">
      <c r="A15" s="32">
        <v>13</v>
      </c>
      <c r="B15" s="23">
        <v>762</v>
      </c>
      <c r="C15" s="23" t="str">
        <f>VLOOKUP(B15,داتا!$B$3:$D$42,2,FALSE)</f>
        <v>دبابة</v>
      </c>
      <c r="D15" s="24">
        <f>VLOOKUP(B15,داتا!$B$3:$D$42,3,FALSE)</f>
        <v>2.0833333333333332E-2</v>
      </c>
      <c r="E15" s="23" t="s">
        <v>52</v>
      </c>
      <c r="F15" s="23" t="s">
        <v>42</v>
      </c>
      <c r="G15" s="25">
        <v>0.25</v>
      </c>
      <c r="H15" s="25">
        <v>0.25</v>
      </c>
      <c r="I15" s="25">
        <f t="shared" si="2"/>
        <v>0</v>
      </c>
      <c r="J15" s="25">
        <v>0.29166666666666669</v>
      </c>
      <c r="K15" s="25">
        <v>0.2986111111111111</v>
      </c>
      <c r="L15" s="25" t="s">
        <v>92</v>
      </c>
      <c r="M15" s="25" t="s">
        <v>64</v>
      </c>
      <c r="N15" s="25">
        <f t="shared" si="3"/>
        <v>6.9444444444444198E-3</v>
      </c>
      <c r="O15" s="25">
        <v>0</v>
      </c>
      <c r="P15" s="25">
        <v>6.9444444444444441E-3</v>
      </c>
      <c r="Q15" s="25">
        <v>0.30555555555555558</v>
      </c>
      <c r="R15" s="25">
        <f t="shared" si="4"/>
        <v>0</v>
      </c>
      <c r="S15" s="25">
        <v>0.30555555555555558</v>
      </c>
      <c r="T15" s="25">
        <f>VLOOKUP(E15,'[1]22-1-2026'!$E$3:$T$13,16,FALSE)</f>
        <v>3.472222222222222E-3</v>
      </c>
      <c r="U15" s="25">
        <v>0.30902777777777779</v>
      </c>
      <c r="V15" s="25">
        <f t="shared" si="6"/>
        <v>0</v>
      </c>
      <c r="W15" s="25">
        <v>3.125E-2</v>
      </c>
      <c r="X15" s="25">
        <v>0.33680555555555558</v>
      </c>
      <c r="Y15" s="25">
        <v>0.3611111111111111</v>
      </c>
      <c r="Z15" s="25">
        <f t="shared" si="1"/>
        <v>2.4305555555555525E-2</v>
      </c>
      <c r="AA15" s="25">
        <v>0</v>
      </c>
      <c r="AB15" s="25">
        <v>0.36458333333333331</v>
      </c>
      <c r="AC15" s="48"/>
      <c r="AD15" s="59"/>
    </row>
    <row r="16" spans="1:30" ht="20.25" thickTop="1" thickBot="1" x14ac:dyDescent="0.3">
      <c r="A16" s="11">
        <v>1</v>
      </c>
      <c r="B16" s="12">
        <v>249</v>
      </c>
      <c r="C16" s="12" t="str">
        <f>VLOOKUP(B16,داتا!$B$3:$D$42,2,FALSE)</f>
        <v>دبابة</v>
      </c>
      <c r="D16" s="13">
        <f>VLOOKUP(B16,داتا!$B$3:$D$42,3,FALSE)</f>
        <v>2.0833333333333332E-2</v>
      </c>
      <c r="E16" s="12" t="s">
        <v>52</v>
      </c>
      <c r="F16" s="12" t="s">
        <v>50</v>
      </c>
      <c r="G16" s="14">
        <v>0.29166666666666669</v>
      </c>
      <c r="H16" s="14">
        <f>VLOOKUP(F16,$F$3:$H$12,3,FALSE)</f>
        <v>0.25</v>
      </c>
      <c r="I16" s="14">
        <v>0</v>
      </c>
      <c r="J16" s="14">
        <v>0.41666666666666669</v>
      </c>
      <c r="K16" s="14">
        <v>0.4375</v>
      </c>
      <c r="L16" s="14" t="s">
        <v>94</v>
      </c>
      <c r="M16" s="14" t="s">
        <v>68</v>
      </c>
      <c r="N16" s="14">
        <f t="shared" si="3"/>
        <v>2.0833333333333315E-2</v>
      </c>
      <c r="O16" s="14">
        <f t="shared" si="5"/>
        <v>0</v>
      </c>
      <c r="P16" s="14">
        <v>6.9444444444444441E-3</v>
      </c>
      <c r="Q16" s="14">
        <v>0.4375</v>
      </c>
      <c r="R16" s="14">
        <v>0</v>
      </c>
      <c r="S16" s="14">
        <v>0.4375</v>
      </c>
      <c r="T16" s="14">
        <f>VLOOKUP(E16,'[1]22-1-2026'!$E$3:$T$13,16,FALSE)</f>
        <v>3.472222222222222E-3</v>
      </c>
      <c r="U16" s="14">
        <v>0.44097222222222221</v>
      </c>
      <c r="V16" s="14">
        <f t="shared" si="6"/>
        <v>0</v>
      </c>
      <c r="W16" s="14">
        <v>3.125E-2</v>
      </c>
      <c r="X16" s="14">
        <v>0.44236111111111109</v>
      </c>
      <c r="Y16" s="14">
        <v>0.4513888888888889</v>
      </c>
      <c r="Z16" s="14">
        <f t="shared" si="1"/>
        <v>9.0277777777778012E-3</v>
      </c>
      <c r="AA16" s="14">
        <v>0</v>
      </c>
      <c r="AB16" s="14">
        <v>0.4548611111111111</v>
      </c>
      <c r="AC16" s="46"/>
      <c r="AD16" s="57" t="s">
        <v>54</v>
      </c>
    </row>
    <row r="17" spans="1:30" ht="19.5" thickBot="1" x14ac:dyDescent="0.3">
      <c r="A17" s="16">
        <v>2</v>
      </c>
      <c r="B17" s="17">
        <v>7435</v>
      </c>
      <c r="C17" s="17" t="str">
        <f>VLOOKUP(B17,داتا!$B$3:$D$42,2,FALSE)</f>
        <v>تلتين</v>
      </c>
      <c r="D17" s="18">
        <f>VLOOKUP(B17,داتا!$B$3:$D$42,3,FALSE)</f>
        <v>3.125E-2</v>
      </c>
      <c r="E17" s="17" t="s">
        <v>33</v>
      </c>
      <c r="F17" s="17" t="s">
        <v>46</v>
      </c>
      <c r="G17" s="19">
        <v>0.29166666666666669</v>
      </c>
      <c r="H17" s="19">
        <f t="shared" ref="H17:H28" si="7">VLOOKUP(F17,$F$3:$H$12,3,FALSE)</f>
        <v>0.25347222222222221</v>
      </c>
      <c r="I17" s="19">
        <v>3.472222222222222E-3</v>
      </c>
      <c r="J17" s="19">
        <v>0.44097222222222221</v>
      </c>
      <c r="K17" s="19">
        <v>0.4861111111111111</v>
      </c>
      <c r="L17" s="19" t="s">
        <v>94</v>
      </c>
      <c r="M17" s="19" t="s">
        <v>68</v>
      </c>
      <c r="N17" s="19">
        <f t="shared" si="3"/>
        <v>4.5138888888888895E-2</v>
      </c>
      <c r="O17" s="19">
        <f t="shared" si="5"/>
        <v>1.3888888888888895E-2</v>
      </c>
      <c r="P17" s="19">
        <v>6.9444444444444441E-3</v>
      </c>
      <c r="Q17" s="19">
        <v>0.4861111111111111</v>
      </c>
      <c r="R17" s="19">
        <v>0</v>
      </c>
      <c r="S17" s="19">
        <v>0.4861111111111111</v>
      </c>
      <c r="T17" s="19">
        <f>VLOOKUP(E17,'[1]22-1-2026'!$E$3:$T$13,16,FALSE)</f>
        <v>2.7777777777777776E-2</v>
      </c>
      <c r="U17" s="19">
        <v>0.51388888888888884</v>
      </c>
      <c r="V17" s="19">
        <f t="shared" si="6"/>
        <v>0</v>
      </c>
      <c r="W17" s="19">
        <v>3.125E-2</v>
      </c>
      <c r="X17" s="19">
        <v>0.51736111111111116</v>
      </c>
      <c r="Y17" s="19">
        <v>0.53263888888888888</v>
      </c>
      <c r="Z17" s="19">
        <f t="shared" si="1"/>
        <v>1.5277777777777724E-2</v>
      </c>
      <c r="AA17" s="19">
        <v>0</v>
      </c>
      <c r="AB17" s="19">
        <v>0.52986111111111112</v>
      </c>
      <c r="AC17" s="40"/>
      <c r="AD17" s="58"/>
    </row>
    <row r="18" spans="1:30" ht="21.75" thickBot="1" x14ac:dyDescent="0.3">
      <c r="A18" s="16">
        <v>3</v>
      </c>
      <c r="B18" s="17">
        <v>7435</v>
      </c>
      <c r="C18" s="17" t="str">
        <f>VLOOKUP(B18,داتا!$B$3:$D$42,2,FALSE)</f>
        <v>تلتين</v>
      </c>
      <c r="D18" s="18">
        <f>VLOOKUP(B18,داتا!$B$3:$D$42,3,FALSE)</f>
        <v>3.125E-2</v>
      </c>
      <c r="E18" s="17" t="s">
        <v>41</v>
      </c>
      <c r="F18" s="17" t="s">
        <v>46</v>
      </c>
      <c r="G18" s="19">
        <v>0.29166666666666669</v>
      </c>
      <c r="H18" s="19">
        <f t="shared" si="7"/>
        <v>0.25347222222222221</v>
      </c>
      <c r="I18" s="19">
        <v>3.472222222222222E-3</v>
      </c>
      <c r="J18" s="19">
        <v>0.44097222222222221</v>
      </c>
      <c r="K18" s="19">
        <v>0.4861111111111111</v>
      </c>
      <c r="L18" s="19" t="s">
        <v>94</v>
      </c>
      <c r="M18" s="19" t="s">
        <v>68</v>
      </c>
      <c r="N18" s="19">
        <f t="shared" si="3"/>
        <v>4.5138888888888895E-2</v>
      </c>
      <c r="O18" s="19">
        <f t="shared" si="5"/>
        <v>1.3888888888888895E-2</v>
      </c>
      <c r="P18" s="19">
        <v>6.9444444444444441E-3</v>
      </c>
      <c r="Q18" s="19">
        <v>0.4861111111111111</v>
      </c>
      <c r="R18" s="19">
        <v>0</v>
      </c>
      <c r="S18" s="19">
        <v>0.4861111111111111</v>
      </c>
      <c r="T18" s="19">
        <f>VLOOKUP(E18,'[1]22-1-2026'!$E$3:$T$13,16,FALSE)</f>
        <v>1.7361111111111112E-2</v>
      </c>
      <c r="U18" s="19">
        <v>0.55208333333333337</v>
      </c>
      <c r="V18" s="19">
        <v>4.8611111111111112E-3</v>
      </c>
      <c r="W18" s="19">
        <v>4.1666666666666664E-2</v>
      </c>
      <c r="X18" s="19">
        <v>0.5541666666666667</v>
      </c>
      <c r="Y18" s="19">
        <v>0.56805555555555554</v>
      </c>
      <c r="Z18" s="19">
        <f t="shared" si="1"/>
        <v>1.388888888888884E-2</v>
      </c>
      <c r="AA18" s="19">
        <v>0</v>
      </c>
      <c r="AB18" s="19">
        <v>0.56944444444444442</v>
      </c>
      <c r="AC18" s="42"/>
      <c r="AD18" s="58"/>
    </row>
    <row r="19" spans="1:30" ht="19.5" thickBot="1" x14ac:dyDescent="0.3">
      <c r="A19" s="16">
        <v>4</v>
      </c>
      <c r="B19" s="17">
        <v>762</v>
      </c>
      <c r="C19" s="17" t="str">
        <f>VLOOKUP(B19,داتا!$B$3:$D$42,2,FALSE)</f>
        <v>دبابة</v>
      </c>
      <c r="D19" s="18">
        <f>VLOOKUP(B19,داتا!$B$3:$D$42,3,FALSE)</f>
        <v>2.0833333333333332E-2</v>
      </c>
      <c r="E19" s="17" t="s">
        <v>38</v>
      </c>
      <c r="F19" s="17" t="s">
        <v>71</v>
      </c>
      <c r="G19" s="19">
        <v>0.29166666666666669</v>
      </c>
      <c r="H19" s="19">
        <v>0.25</v>
      </c>
      <c r="I19" s="19">
        <v>0</v>
      </c>
      <c r="J19" s="19">
        <v>0.43402777777777779</v>
      </c>
      <c r="K19" s="19">
        <v>0.4826388888888889</v>
      </c>
      <c r="L19" s="19" t="s">
        <v>66</v>
      </c>
      <c r="M19" s="19" t="s">
        <v>73</v>
      </c>
      <c r="N19" s="19">
        <f t="shared" si="3"/>
        <v>4.8611111111111105E-2</v>
      </c>
      <c r="O19" s="19">
        <f t="shared" si="5"/>
        <v>2.7777777777777773E-2</v>
      </c>
      <c r="P19" s="19">
        <v>6.9444444444444441E-3</v>
      </c>
      <c r="Q19" s="19">
        <v>0.4826388888888889</v>
      </c>
      <c r="R19" s="19">
        <v>0</v>
      </c>
      <c r="S19" s="19">
        <v>0.4826388888888889</v>
      </c>
      <c r="T19" s="19">
        <v>3.4722222222222224E-2</v>
      </c>
      <c r="U19" s="19">
        <v>0.51736111111111116</v>
      </c>
      <c r="V19" s="19">
        <f t="shared" si="6"/>
        <v>0</v>
      </c>
      <c r="W19" s="19">
        <v>2.0833333333333332E-2</v>
      </c>
      <c r="X19" s="19">
        <v>0.52083333333333337</v>
      </c>
      <c r="Y19" s="19">
        <v>0.53472222222222221</v>
      </c>
      <c r="Z19" s="19">
        <f t="shared" si="1"/>
        <v>1.388888888888884E-2</v>
      </c>
      <c r="AA19" s="19">
        <v>0</v>
      </c>
      <c r="AB19" s="19">
        <v>0.53819444444444442</v>
      </c>
      <c r="AC19" s="40"/>
      <c r="AD19" s="58"/>
    </row>
    <row r="20" spans="1:30" ht="19.5" thickBot="1" x14ac:dyDescent="0.3">
      <c r="A20" s="16">
        <v>5</v>
      </c>
      <c r="B20" s="17">
        <v>762</v>
      </c>
      <c r="C20" s="17" t="str">
        <f>VLOOKUP(B20,داتا!$B$3:$D$42,2,FALSE)</f>
        <v>دبابة</v>
      </c>
      <c r="D20" s="18">
        <f>VLOOKUP(B20,داتا!$B$3:$D$42,3,FALSE)</f>
        <v>2.0833333333333332E-2</v>
      </c>
      <c r="E20" s="17" t="s">
        <v>40</v>
      </c>
      <c r="F20" s="17" t="s">
        <v>71</v>
      </c>
      <c r="G20" s="19">
        <v>0.29166666666666669</v>
      </c>
      <c r="H20" s="19">
        <v>0.25</v>
      </c>
      <c r="I20" s="19">
        <v>0</v>
      </c>
      <c r="J20" s="19">
        <v>0.43402777777777779</v>
      </c>
      <c r="K20" s="19">
        <v>0.4826388888888889</v>
      </c>
      <c r="L20" s="19" t="s">
        <v>66</v>
      </c>
      <c r="M20" s="19" t="s">
        <v>73</v>
      </c>
      <c r="N20" s="19">
        <f t="shared" si="3"/>
        <v>4.8611111111111105E-2</v>
      </c>
      <c r="O20" s="19">
        <f t="shared" si="5"/>
        <v>2.7777777777777773E-2</v>
      </c>
      <c r="P20" s="19">
        <v>6.9444444444444441E-3</v>
      </c>
      <c r="Q20" s="19">
        <v>0.4826388888888889</v>
      </c>
      <c r="R20" s="19">
        <v>0</v>
      </c>
      <c r="S20" s="19">
        <v>0.4826388888888889</v>
      </c>
      <c r="T20" s="19">
        <v>1.3888888888888888E-2</v>
      </c>
      <c r="U20" s="19">
        <v>0.55555555555555558</v>
      </c>
      <c r="V20" s="19">
        <v>3.472222222222222E-3</v>
      </c>
      <c r="W20" s="19">
        <v>3.125E-2</v>
      </c>
      <c r="X20" s="19">
        <v>0.55902777777777779</v>
      </c>
      <c r="Y20" s="19">
        <v>0.58333333333333337</v>
      </c>
      <c r="Z20" s="19">
        <f t="shared" si="1"/>
        <v>2.430555555555558E-2</v>
      </c>
      <c r="AA20" s="19">
        <v>0</v>
      </c>
      <c r="AB20" s="19">
        <v>0.58680555555555558</v>
      </c>
      <c r="AC20" s="40"/>
      <c r="AD20" s="58"/>
    </row>
    <row r="21" spans="1:30" ht="19.5" thickBot="1" x14ac:dyDescent="0.3">
      <c r="A21" s="16">
        <v>6</v>
      </c>
      <c r="B21" s="17">
        <v>876</v>
      </c>
      <c r="C21" s="17" t="str">
        <f>VLOOKUP(B21,داتا!$B$3:$D$42,2,FALSE)</f>
        <v>دبابة</v>
      </c>
      <c r="D21" s="18">
        <f>VLOOKUP(B21,داتا!$B$3:$D$42,3,FALSE)</f>
        <v>2.0833333333333332E-2</v>
      </c>
      <c r="E21" s="17" t="s">
        <v>49</v>
      </c>
      <c r="F21" s="17" t="s">
        <v>70</v>
      </c>
      <c r="G21" s="19">
        <v>0.29166666666666669</v>
      </c>
      <c r="H21" s="19">
        <f t="shared" si="7"/>
        <v>0.25</v>
      </c>
      <c r="I21" s="19">
        <v>0</v>
      </c>
      <c r="J21" s="19">
        <v>0.4826388888888889</v>
      </c>
      <c r="K21" s="19">
        <v>0.49305555555555558</v>
      </c>
      <c r="L21" s="19" t="s">
        <v>66</v>
      </c>
      <c r="M21" s="19" t="s">
        <v>73</v>
      </c>
      <c r="N21" s="19">
        <f t="shared" si="3"/>
        <v>1.0416666666666685E-2</v>
      </c>
      <c r="O21" s="19">
        <v>0</v>
      </c>
      <c r="P21" s="19">
        <v>6.9444444444444441E-3</v>
      </c>
      <c r="Q21" s="19">
        <v>0.49305555555555558</v>
      </c>
      <c r="R21" s="19">
        <v>0</v>
      </c>
      <c r="S21" s="19">
        <v>0.49305555555555558</v>
      </c>
      <c r="T21" s="19">
        <f>VLOOKUP(E21,'[1]22-1-2026'!$E$3:$T$13,16,FALSE)</f>
        <v>4.1666666666666664E-2</v>
      </c>
      <c r="U21" s="19">
        <v>0.52777777777777779</v>
      </c>
      <c r="V21" s="19">
        <v>0</v>
      </c>
      <c r="W21" s="19">
        <v>2.0833333333333332E-2</v>
      </c>
      <c r="X21" s="19">
        <v>0.52847222222222223</v>
      </c>
      <c r="Y21" s="19">
        <v>0.53611111111111109</v>
      </c>
      <c r="Z21" s="19">
        <f t="shared" si="1"/>
        <v>7.6388888888888618E-3</v>
      </c>
      <c r="AA21" s="19">
        <v>0</v>
      </c>
      <c r="AB21" s="19">
        <v>0.53749999999999998</v>
      </c>
      <c r="AC21" s="40"/>
      <c r="AD21" s="58"/>
    </row>
    <row r="22" spans="1:30" ht="19.5" thickBot="1" x14ac:dyDescent="0.3">
      <c r="A22" s="16">
        <v>7</v>
      </c>
      <c r="B22" s="17">
        <v>876</v>
      </c>
      <c r="C22" s="17" t="str">
        <f>VLOOKUP(B22,داتا!$B$3:$D$42,2,FALSE)</f>
        <v>دبابة</v>
      </c>
      <c r="D22" s="18">
        <f>VLOOKUP(B22,داتا!$B$3:$D$42,3,FALSE)</f>
        <v>2.0833333333333332E-2</v>
      </c>
      <c r="E22" s="17" t="s">
        <v>51</v>
      </c>
      <c r="F22" s="17" t="s">
        <v>70</v>
      </c>
      <c r="G22" s="19">
        <v>0.29166666666666669</v>
      </c>
      <c r="H22" s="19">
        <f t="shared" si="7"/>
        <v>0.25</v>
      </c>
      <c r="I22" s="19">
        <v>0</v>
      </c>
      <c r="J22" s="19">
        <v>0.4826388888888889</v>
      </c>
      <c r="K22" s="19">
        <v>0.49305555555555558</v>
      </c>
      <c r="L22" s="19" t="s">
        <v>66</v>
      </c>
      <c r="M22" s="19" t="s">
        <v>73</v>
      </c>
      <c r="N22" s="19">
        <f t="shared" si="3"/>
        <v>1.0416666666666685E-2</v>
      </c>
      <c r="O22" s="19">
        <v>0</v>
      </c>
      <c r="P22" s="19">
        <v>6.9444444444444441E-3</v>
      </c>
      <c r="Q22" s="19">
        <v>0.49305555555555558</v>
      </c>
      <c r="R22" s="19">
        <v>0</v>
      </c>
      <c r="S22" s="19">
        <v>0.49305555555555558</v>
      </c>
      <c r="T22" s="19">
        <f>VLOOKUP(E22,'[1]22-1-2026'!$E$3:$T$13,16,FALSE)</f>
        <v>6.9444444444444441E-3</v>
      </c>
      <c r="U22" s="19">
        <v>0.54166666666666663</v>
      </c>
      <c r="V22" s="19">
        <v>0</v>
      </c>
      <c r="W22" s="19">
        <v>3.125E-2</v>
      </c>
      <c r="X22" s="19">
        <v>0.54513888888888884</v>
      </c>
      <c r="Y22" s="19">
        <v>0.55208333333333337</v>
      </c>
      <c r="Z22" s="19">
        <f t="shared" si="1"/>
        <v>6.9444444444445308E-3</v>
      </c>
      <c r="AA22" s="19">
        <v>0</v>
      </c>
      <c r="AB22" s="19">
        <v>0.55555555555555558</v>
      </c>
      <c r="AC22" s="40"/>
      <c r="AD22" s="58"/>
    </row>
    <row r="23" spans="1:30" ht="19.5" thickBot="1" x14ac:dyDescent="0.3">
      <c r="A23" s="16">
        <v>8</v>
      </c>
      <c r="B23" s="17">
        <v>249</v>
      </c>
      <c r="C23" s="17" t="str">
        <f>VLOOKUP(B23,داتا!$B$3:$D$42,2,FALSE)</f>
        <v>دبابة</v>
      </c>
      <c r="D23" s="18">
        <f>VLOOKUP(B23,داتا!$B$3:$D$42,3,FALSE)</f>
        <v>2.0833333333333332E-2</v>
      </c>
      <c r="E23" s="17" t="s">
        <v>35</v>
      </c>
      <c r="F23" s="17" t="s">
        <v>50</v>
      </c>
      <c r="G23" s="19">
        <v>0.29166666666666669</v>
      </c>
      <c r="H23" s="19">
        <f t="shared" si="7"/>
        <v>0.25</v>
      </c>
      <c r="I23" s="19">
        <v>0</v>
      </c>
      <c r="J23" s="19">
        <v>0.4861111111111111</v>
      </c>
      <c r="K23" s="19">
        <v>0.5</v>
      </c>
      <c r="L23" s="19" t="s">
        <v>94</v>
      </c>
      <c r="M23" s="19" t="s">
        <v>68</v>
      </c>
      <c r="N23" s="19">
        <f t="shared" si="3"/>
        <v>1.3888888888888895E-2</v>
      </c>
      <c r="O23" s="19">
        <v>0</v>
      </c>
      <c r="P23" s="19">
        <v>6.9444444444444441E-3</v>
      </c>
      <c r="Q23" s="19">
        <v>0.5</v>
      </c>
      <c r="R23" s="19">
        <v>0</v>
      </c>
      <c r="S23" s="19">
        <v>0.5</v>
      </c>
      <c r="T23" s="19">
        <f>VLOOKUP(E23,'[1]22-1-2026'!$E$3:$T$13,16,FALSE)</f>
        <v>1.3888888888888888E-2</v>
      </c>
      <c r="U23" s="19">
        <v>0.51041666666666663</v>
      </c>
      <c r="V23" s="19">
        <v>0</v>
      </c>
      <c r="W23" s="19">
        <v>3.125E-2</v>
      </c>
      <c r="X23" s="19">
        <v>0.51388888888888884</v>
      </c>
      <c r="Y23" s="19">
        <v>0.52430555555555558</v>
      </c>
      <c r="Z23" s="19">
        <f t="shared" si="1"/>
        <v>1.0416666666666741E-2</v>
      </c>
      <c r="AA23" s="19">
        <v>0</v>
      </c>
      <c r="AB23" s="19">
        <v>0.52777777777777779</v>
      </c>
      <c r="AC23" s="40"/>
      <c r="AD23" s="58"/>
    </row>
    <row r="24" spans="1:30" ht="19.5" thickBot="1" x14ac:dyDescent="0.3">
      <c r="A24" s="16">
        <v>9</v>
      </c>
      <c r="B24" s="17">
        <v>539</v>
      </c>
      <c r="C24" s="17" t="str">
        <f>VLOOKUP(B24,داتا!$B$3:$D$42,2,FALSE)</f>
        <v>دبابة</v>
      </c>
      <c r="D24" s="18">
        <f>VLOOKUP(B24,داتا!$B$3:$D$42,3,FALSE)</f>
        <v>2.0833333333333332E-2</v>
      </c>
      <c r="E24" s="17" t="s">
        <v>47</v>
      </c>
      <c r="F24" s="17" t="s">
        <v>39</v>
      </c>
      <c r="G24" s="19">
        <v>0.29166666666666669</v>
      </c>
      <c r="H24" s="19">
        <f t="shared" si="7"/>
        <v>0.25</v>
      </c>
      <c r="I24" s="19">
        <v>0</v>
      </c>
      <c r="J24" s="19">
        <v>0.49652777777777779</v>
      </c>
      <c r="K24" s="19">
        <v>0.51388888888888884</v>
      </c>
      <c r="L24" s="19" t="s">
        <v>66</v>
      </c>
      <c r="M24" s="19" t="s">
        <v>73</v>
      </c>
      <c r="N24" s="19">
        <f t="shared" si="3"/>
        <v>1.7361111111111049E-2</v>
      </c>
      <c r="O24" s="19">
        <v>0</v>
      </c>
      <c r="P24" s="19">
        <v>6.9444444444444441E-3</v>
      </c>
      <c r="Q24" s="19">
        <v>0.51388888888888884</v>
      </c>
      <c r="R24" s="19">
        <v>0</v>
      </c>
      <c r="S24" s="19">
        <v>0.51388888888888884</v>
      </c>
      <c r="T24" s="19">
        <f>VLOOKUP(E24,'[1]22-1-2026'!$E$3:$T$13,16,FALSE)</f>
        <v>1.3888888888888888E-2</v>
      </c>
      <c r="U24" s="19">
        <v>0.53541666666666665</v>
      </c>
      <c r="V24" s="19">
        <f t="shared" si="6"/>
        <v>7.6388888888889728E-3</v>
      </c>
      <c r="W24" s="19">
        <v>2.0833333333333332E-2</v>
      </c>
      <c r="X24" s="19">
        <v>0.53749999999999998</v>
      </c>
      <c r="Y24" s="19">
        <v>0.55277777777777781</v>
      </c>
      <c r="Z24" s="19">
        <f t="shared" si="1"/>
        <v>1.5277777777777835E-2</v>
      </c>
      <c r="AA24" s="19">
        <v>0</v>
      </c>
      <c r="AB24" s="19">
        <v>0.55902777777777779</v>
      </c>
      <c r="AC24" s="40"/>
      <c r="AD24" s="58"/>
    </row>
    <row r="25" spans="1:30" ht="19.5" thickBot="1" x14ac:dyDescent="0.3">
      <c r="A25" s="16">
        <v>10</v>
      </c>
      <c r="B25" s="17">
        <v>539</v>
      </c>
      <c r="C25" s="17" t="str">
        <f>VLOOKUP(B25,داتا!$B$3:$D$42,2,FALSE)</f>
        <v>دبابة</v>
      </c>
      <c r="D25" s="18">
        <f>VLOOKUP(B25,داتا!$B$3:$D$42,3,FALSE)</f>
        <v>2.0833333333333332E-2</v>
      </c>
      <c r="E25" s="17" t="s">
        <v>45</v>
      </c>
      <c r="F25" s="17" t="s">
        <v>39</v>
      </c>
      <c r="G25" s="19">
        <v>0.29166666666666669</v>
      </c>
      <c r="H25" s="19">
        <f t="shared" si="7"/>
        <v>0.25</v>
      </c>
      <c r="I25" s="19">
        <v>0</v>
      </c>
      <c r="J25" s="19">
        <v>0.49652777777777779</v>
      </c>
      <c r="K25" s="19">
        <v>0.51388888888888884</v>
      </c>
      <c r="L25" s="19" t="s">
        <v>66</v>
      </c>
      <c r="M25" s="19" t="s">
        <v>73</v>
      </c>
      <c r="N25" s="19">
        <f t="shared" si="3"/>
        <v>1.7361111111111049E-2</v>
      </c>
      <c r="O25" s="19">
        <v>0</v>
      </c>
      <c r="P25" s="19">
        <v>6.9444444444444441E-3</v>
      </c>
      <c r="Q25" s="19">
        <v>0.51388888888888884</v>
      </c>
      <c r="R25" s="19">
        <v>0</v>
      </c>
      <c r="S25" s="19">
        <v>0.51388888888888884</v>
      </c>
      <c r="T25" s="19">
        <f>VLOOKUP(E25,'[1]22-1-2026'!$E$3:$T$13,16,FALSE)</f>
        <v>1.3888888888888888E-2</v>
      </c>
      <c r="U25" s="19">
        <v>0.56944444444444442</v>
      </c>
      <c r="V25" s="19">
        <v>0</v>
      </c>
      <c r="W25" s="19">
        <v>3.125E-2</v>
      </c>
      <c r="X25" s="19">
        <v>0.57291666666666663</v>
      </c>
      <c r="Y25" s="19">
        <v>0.59027777777777779</v>
      </c>
      <c r="Z25" s="19">
        <f t="shared" si="1"/>
        <v>1.736111111111116E-2</v>
      </c>
      <c r="AA25" s="19">
        <v>0</v>
      </c>
      <c r="AB25" s="19">
        <v>0.59375</v>
      </c>
      <c r="AC25" s="40"/>
      <c r="AD25" s="58"/>
    </row>
    <row r="26" spans="1:30" ht="19.5" thickBot="1" x14ac:dyDescent="0.3">
      <c r="A26" s="16">
        <v>11</v>
      </c>
      <c r="B26" s="17">
        <v>492</v>
      </c>
      <c r="C26" s="17" t="str">
        <f>VLOOKUP(B26,داتا!$B$3:$D$42,2,FALSE)</f>
        <v>دبابة</v>
      </c>
      <c r="D26" s="18">
        <f>VLOOKUP(B26,داتا!$B$3:$D$42,3,FALSE)</f>
        <v>2.0833333333333332E-2</v>
      </c>
      <c r="E26" s="17" t="s">
        <v>30</v>
      </c>
      <c r="F26" s="17" t="s">
        <v>53</v>
      </c>
      <c r="G26" s="19">
        <v>0.29166666666666669</v>
      </c>
      <c r="H26" s="19">
        <v>0.25</v>
      </c>
      <c r="I26" s="19">
        <v>0</v>
      </c>
      <c r="J26" s="19">
        <v>0.5</v>
      </c>
      <c r="K26" s="19">
        <v>0.52083333333333337</v>
      </c>
      <c r="L26" s="19" t="s">
        <v>94</v>
      </c>
      <c r="M26" s="19" t="s">
        <v>68</v>
      </c>
      <c r="N26" s="19">
        <f t="shared" si="3"/>
        <v>2.083333333333337E-2</v>
      </c>
      <c r="O26" s="19">
        <f t="shared" si="5"/>
        <v>3.8163916471489756E-17</v>
      </c>
      <c r="P26" s="19">
        <v>6.9444444444444441E-3</v>
      </c>
      <c r="Q26" s="19">
        <v>0.52083333333333337</v>
      </c>
      <c r="R26" s="19">
        <v>0</v>
      </c>
      <c r="S26" s="19">
        <v>0.52083333333333337</v>
      </c>
      <c r="T26" s="19">
        <f>VLOOKUP(E26,'[1]22-1-2026'!$E$3:$T$13,16,FALSE)</f>
        <v>2.4305555555555556E-2</v>
      </c>
      <c r="U26" s="19">
        <v>0.55208333333333337</v>
      </c>
      <c r="V26" s="19">
        <f t="shared" si="6"/>
        <v>6.9444444444444198E-3</v>
      </c>
      <c r="W26" s="19">
        <v>2.0833333333333332E-2</v>
      </c>
      <c r="X26" s="19">
        <v>0.55555555555555558</v>
      </c>
      <c r="Y26" s="19">
        <v>0.57222222222222219</v>
      </c>
      <c r="Z26" s="19">
        <f t="shared" si="1"/>
        <v>1.6666666666666607E-2</v>
      </c>
      <c r="AA26" s="19">
        <v>0</v>
      </c>
      <c r="AB26" s="19">
        <v>0.57638888888888884</v>
      </c>
      <c r="AC26" s="40"/>
      <c r="AD26" s="58"/>
    </row>
    <row r="27" spans="1:30" ht="19.5" thickBot="1" x14ac:dyDescent="0.3">
      <c r="A27" s="16">
        <v>12</v>
      </c>
      <c r="B27" s="17">
        <v>492</v>
      </c>
      <c r="C27" s="17" t="str">
        <f>VLOOKUP(B27,داتا!$B$3:$D$42,2,FALSE)</f>
        <v>دبابة</v>
      </c>
      <c r="D27" s="18">
        <f>VLOOKUP(B27,داتا!$B$3:$D$42,3,FALSE)</f>
        <v>2.0833333333333332E-2</v>
      </c>
      <c r="E27" s="17" t="s">
        <v>43</v>
      </c>
      <c r="F27" s="17" t="s">
        <v>53</v>
      </c>
      <c r="G27" s="19">
        <v>0.29166666666666669</v>
      </c>
      <c r="H27" s="19">
        <v>0.25</v>
      </c>
      <c r="I27" s="19">
        <v>0</v>
      </c>
      <c r="J27" s="19">
        <v>0.5</v>
      </c>
      <c r="K27" s="19">
        <v>0.52083333333333337</v>
      </c>
      <c r="L27" s="19" t="s">
        <v>94</v>
      </c>
      <c r="M27" s="19" t="s">
        <v>68</v>
      </c>
      <c r="N27" s="19">
        <f t="shared" si="3"/>
        <v>2.083333333333337E-2</v>
      </c>
      <c r="O27" s="19">
        <f t="shared" si="5"/>
        <v>3.8163916471489756E-17</v>
      </c>
      <c r="P27" s="19">
        <v>6.9444444444444441E-3</v>
      </c>
      <c r="Q27" s="19">
        <v>0.52083333333333337</v>
      </c>
      <c r="R27" s="19">
        <v>0</v>
      </c>
      <c r="S27" s="19">
        <v>0.52083333333333337</v>
      </c>
      <c r="T27" s="19">
        <v>1.0416666666666666E-2</v>
      </c>
      <c r="U27" s="19">
        <v>0.58333333333333337</v>
      </c>
      <c r="V27" s="19">
        <v>0</v>
      </c>
      <c r="W27" s="19">
        <v>3.125E-2</v>
      </c>
      <c r="X27" s="19">
        <v>0.58680555555555558</v>
      </c>
      <c r="Y27" s="19">
        <v>0.59722222222222221</v>
      </c>
      <c r="Z27" s="19">
        <f t="shared" si="1"/>
        <v>1.041666666666663E-2</v>
      </c>
      <c r="AA27" s="19">
        <v>0</v>
      </c>
      <c r="AB27" s="19">
        <v>0.60069444444444442</v>
      </c>
      <c r="AC27" s="40"/>
      <c r="AD27" s="58"/>
    </row>
    <row r="28" spans="1:30" ht="19.5" thickBot="1" x14ac:dyDescent="0.3">
      <c r="A28" s="32">
        <v>13</v>
      </c>
      <c r="B28" s="23">
        <v>892</v>
      </c>
      <c r="C28" s="23" t="str">
        <f>VLOOKUP(B28,داتا!$B$3:$D$42,2,FALSE)</f>
        <v>تلتين</v>
      </c>
      <c r="D28" s="24">
        <f>VLOOKUP(B28,داتا!$B$3:$D$42,3,FALSE)</f>
        <v>3.125E-2</v>
      </c>
      <c r="E28" s="23" t="s">
        <v>37</v>
      </c>
      <c r="F28" s="23" t="s">
        <v>36</v>
      </c>
      <c r="G28" s="25">
        <v>0.29166666666666669</v>
      </c>
      <c r="H28" s="25">
        <f t="shared" si="7"/>
        <v>0.25</v>
      </c>
      <c r="I28" s="25">
        <v>0</v>
      </c>
      <c r="J28" s="25">
        <v>0.51736111111111116</v>
      </c>
      <c r="K28" s="25">
        <v>0.52430555555555558</v>
      </c>
      <c r="L28" s="25" t="s">
        <v>66</v>
      </c>
      <c r="M28" s="25" t="s">
        <v>73</v>
      </c>
      <c r="N28" s="25">
        <v>0</v>
      </c>
      <c r="O28" s="25">
        <v>0</v>
      </c>
      <c r="P28" s="25">
        <v>6.9444444444444441E-3</v>
      </c>
      <c r="Q28" s="25">
        <v>0.52777777777777779</v>
      </c>
      <c r="R28" s="25">
        <v>0</v>
      </c>
      <c r="S28" s="25">
        <v>0.52777777777777779</v>
      </c>
      <c r="T28" s="25">
        <f>VLOOKUP(E28,'[1]22-1-2026'!$E$3:$T$13,16,FALSE)</f>
        <v>1.3888888888888888E-2</v>
      </c>
      <c r="U28" s="25">
        <v>0.54166666666666663</v>
      </c>
      <c r="V28" s="25">
        <f t="shared" si="6"/>
        <v>0</v>
      </c>
      <c r="W28" s="25">
        <v>3.125E-2</v>
      </c>
      <c r="X28" s="25">
        <v>0.54374999999999996</v>
      </c>
      <c r="Y28" s="25">
        <v>0.55763888888888891</v>
      </c>
      <c r="Z28" s="25">
        <f t="shared" si="1"/>
        <v>1.3888888888888951E-2</v>
      </c>
      <c r="AA28" s="25">
        <v>0</v>
      </c>
      <c r="AB28" s="25">
        <v>0.55902777777777779</v>
      </c>
      <c r="AC28" s="47"/>
      <c r="AD28" s="59"/>
    </row>
    <row r="29" spans="1:30" ht="15.75" thickTop="1" x14ac:dyDescent="0.25"/>
    <row r="32" spans="1:30" ht="15.75" x14ac:dyDescent="0.25">
      <c r="F32" s="49"/>
    </row>
  </sheetData>
  <mergeCells count="3">
    <mergeCell ref="A1:AC1"/>
    <mergeCell ref="AD3:AD15"/>
    <mergeCell ref="AD16:AD28"/>
  </mergeCells>
  <conditionalFormatting sqref="I2:I1048576 O2:O1048576 R2:R1048576 V2:V1048576 AA2:AA1048576">
    <cfRule type="cellIs" dxfId="152" priority="7" operator="between">
      <formula>0.00277777777777778</formula>
      <formula>1</formula>
    </cfRule>
  </conditionalFormatting>
  <conditionalFormatting sqref="AC3:AC28">
    <cfRule type="containsText" dxfId="151" priority="6" operator="containsText" text="ت">
      <formula>NOT(ISERROR(SEARCH("ت",AC3)))</formula>
    </cfRule>
  </conditionalFormatting>
  <conditionalFormatting sqref="AA1 I1 O1 R1 V1">
    <cfRule type="cellIs" dxfId="150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rightToLeft="1"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F11" sqref="F1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>
        <v>762</v>
      </c>
      <c r="C3" s="12" t="s">
        <v>95</v>
      </c>
      <c r="D3" s="13">
        <v>2.0833333333333332E-2</v>
      </c>
      <c r="E3" s="12" t="s">
        <v>38</v>
      </c>
      <c r="F3" s="12" t="s">
        <v>44</v>
      </c>
      <c r="G3" s="14">
        <v>0.25</v>
      </c>
      <c r="H3" s="14">
        <v>0.25</v>
      </c>
      <c r="I3" s="14">
        <v>0</v>
      </c>
      <c r="J3" s="14">
        <v>0.25</v>
      </c>
      <c r="K3" s="14">
        <v>0.25694444444444442</v>
      </c>
      <c r="L3" s="14" t="s">
        <v>72</v>
      </c>
      <c r="M3" s="14" t="s">
        <v>64</v>
      </c>
      <c r="N3" s="14">
        <v>6.9444444444444198E-3</v>
      </c>
      <c r="O3" s="14">
        <v>0</v>
      </c>
      <c r="P3" s="14">
        <v>6.9444444444444441E-3</v>
      </c>
      <c r="Q3" s="14">
        <v>0.27083333333333331</v>
      </c>
      <c r="R3" s="14">
        <v>6.9444444444444753E-3</v>
      </c>
      <c r="S3" s="14">
        <v>0.27083333333333331</v>
      </c>
      <c r="T3" s="14">
        <v>3.4722222222222224E-2</v>
      </c>
      <c r="U3" s="14">
        <v>0.31944444444444448</v>
      </c>
      <c r="V3" s="14">
        <v>1.3888888888888951E-2</v>
      </c>
      <c r="W3" s="14">
        <v>2.0833333333333332E-2</v>
      </c>
      <c r="X3" s="14">
        <v>0.3347222222222222</v>
      </c>
      <c r="Y3" s="14">
        <v>0.36249999999999999</v>
      </c>
      <c r="Z3" s="14">
        <v>2.777777777777779E-2</v>
      </c>
      <c r="AA3" s="14">
        <v>0</v>
      </c>
      <c r="AB3" s="14">
        <v>0.36458333333333331</v>
      </c>
      <c r="AC3" s="39"/>
      <c r="AD3" s="57" t="s">
        <v>32</v>
      </c>
    </row>
    <row r="4" spans="1:30" ht="19.5" thickBot="1" x14ac:dyDescent="0.3">
      <c r="A4" s="16">
        <v>2</v>
      </c>
      <c r="B4" s="17">
        <v>762</v>
      </c>
      <c r="C4" s="17" t="s">
        <v>95</v>
      </c>
      <c r="D4" s="18">
        <v>2.0833333333333332E-2</v>
      </c>
      <c r="E4" s="17" t="s">
        <v>40</v>
      </c>
      <c r="F4" s="17" t="s">
        <v>44</v>
      </c>
      <c r="G4" s="19">
        <v>0.25</v>
      </c>
      <c r="H4" s="19">
        <v>0.25</v>
      </c>
      <c r="I4" s="19">
        <v>0</v>
      </c>
      <c r="J4" s="19">
        <v>0.25</v>
      </c>
      <c r="K4" s="19">
        <v>0.25694444444444442</v>
      </c>
      <c r="L4" s="19" t="s">
        <v>72</v>
      </c>
      <c r="M4" s="19" t="s">
        <v>64</v>
      </c>
      <c r="N4" s="19">
        <v>6.9444444444444198E-3</v>
      </c>
      <c r="O4" s="19">
        <v>0</v>
      </c>
      <c r="P4" s="19">
        <v>6.9444444444444441E-3</v>
      </c>
      <c r="Q4" s="19">
        <v>0.27083333333333331</v>
      </c>
      <c r="R4" s="19">
        <v>6.9444444444444753E-3</v>
      </c>
      <c r="S4" s="19">
        <v>0.27083333333333331</v>
      </c>
      <c r="T4" s="19">
        <v>2.0833333333333332E-2</v>
      </c>
      <c r="U4" s="19">
        <v>0.38194444444444442</v>
      </c>
      <c r="V4" s="19">
        <v>0</v>
      </c>
      <c r="W4" s="19">
        <v>3.125E-2</v>
      </c>
      <c r="X4" s="19">
        <v>0.38541666666666669</v>
      </c>
      <c r="Y4" s="19">
        <v>0.40972222222222227</v>
      </c>
      <c r="Z4" s="19">
        <v>2.430555555555558E-2</v>
      </c>
      <c r="AA4" s="19">
        <v>0</v>
      </c>
      <c r="AB4" s="19">
        <v>0.41319444444444442</v>
      </c>
      <c r="AC4" s="40"/>
      <c r="AD4" s="58"/>
    </row>
    <row r="5" spans="1:30" ht="19.5" thickBot="1" x14ac:dyDescent="0.3">
      <c r="A5" s="16">
        <v>3</v>
      </c>
      <c r="B5" s="17">
        <v>892</v>
      </c>
      <c r="C5" s="17" t="s">
        <v>34</v>
      </c>
      <c r="D5" s="18">
        <v>3.125E-2</v>
      </c>
      <c r="E5" s="17" t="s">
        <v>91</v>
      </c>
      <c r="F5" s="17" t="s">
        <v>53</v>
      </c>
      <c r="G5" s="19">
        <v>0.25</v>
      </c>
      <c r="H5" s="19">
        <v>0.25</v>
      </c>
      <c r="I5" s="19">
        <v>0</v>
      </c>
      <c r="J5" s="19">
        <v>0.25</v>
      </c>
      <c r="K5" s="19">
        <v>0.25694444444444442</v>
      </c>
      <c r="L5" s="19" t="s">
        <v>72</v>
      </c>
      <c r="M5" s="19" t="s">
        <v>64</v>
      </c>
      <c r="N5" s="19">
        <v>6.9444444444444198E-3</v>
      </c>
      <c r="O5" s="19">
        <v>0</v>
      </c>
      <c r="P5" s="19">
        <v>6.9444444444444441E-3</v>
      </c>
      <c r="Q5" s="19">
        <v>0.27083333333333331</v>
      </c>
      <c r="R5" s="19">
        <v>6.9444444444444753E-3</v>
      </c>
      <c r="S5" s="19">
        <v>0.27083333333333331</v>
      </c>
      <c r="T5" s="19">
        <v>2.4305555555555556E-2</v>
      </c>
      <c r="U5" s="19">
        <v>0.29166666666666669</v>
      </c>
      <c r="V5" s="19">
        <v>0</v>
      </c>
      <c r="W5" s="19">
        <v>3.125E-2</v>
      </c>
      <c r="X5" s="19">
        <v>0.30555555555555552</v>
      </c>
      <c r="Y5" s="19">
        <v>0.34027777777777773</v>
      </c>
      <c r="Z5" s="19">
        <v>3.472222222222221E-2</v>
      </c>
      <c r="AA5" s="19">
        <v>3.4722222222222099E-3</v>
      </c>
      <c r="AB5" s="19">
        <v>0.34375</v>
      </c>
      <c r="AC5" s="40"/>
      <c r="AD5" s="58"/>
    </row>
    <row r="6" spans="1:30" ht="19.5" thickBot="1" x14ac:dyDescent="0.3">
      <c r="A6" s="16">
        <v>4</v>
      </c>
      <c r="B6" s="17">
        <v>892</v>
      </c>
      <c r="C6" s="17" t="s">
        <v>34</v>
      </c>
      <c r="D6" s="18">
        <v>3.125E-2</v>
      </c>
      <c r="E6" s="17" t="s">
        <v>33</v>
      </c>
      <c r="F6" s="17" t="s">
        <v>53</v>
      </c>
      <c r="G6" s="19">
        <v>0.25</v>
      </c>
      <c r="H6" s="19">
        <v>0.25</v>
      </c>
      <c r="I6" s="19">
        <v>0</v>
      </c>
      <c r="J6" s="19">
        <v>0.25</v>
      </c>
      <c r="K6" s="19">
        <v>0.25694444444444442</v>
      </c>
      <c r="L6" s="19" t="s">
        <v>72</v>
      </c>
      <c r="M6" s="19" t="s">
        <v>64</v>
      </c>
      <c r="N6" s="19">
        <v>6.9444444444444198E-3</v>
      </c>
      <c r="O6" s="19">
        <v>0</v>
      </c>
      <c r="P6" s="19">
        <v>6.9444444444444441E-3</v>
      </c>
      <c r="Q6" s="19">
        <v>0.27083333333333331</v>
      </c>
      <c r="R6" s="19">
        <v>6.9444444444444753E-3</v>
      </c>
      <c r="S6" s="19">
        <v>0.27083333333333331</v>
      </c>
      <c r="T6" s="19">
        <v>2.7777777777777776E-2</v>
      </c>
      <c r="U6" s="19">
        <v>0.35416666666666669</v>
      </c>
      <c r="V6" s="19">
        <v>0</v>
      </c>
      <c r="W6" s="19">
        <v>4.1666666666666664E-2</v>
      </c>
      <c r="X6" s="19">
        <v>0.3576388888888889</v>
      </c>
      <c r="Y6" s="19">
        <v>0.39583333333333331</v>
      </c>
      <c r="Z6" s="19">
        <v>3.819444444444442E-2</v>
      </c>
      <c r="AA6" s="19">
        <v>0</v>
      </c>
      <c r="AB6" s="19">
        <v>0.39930555555555558</v>
      </c>
      <c r="AC6" s="40"/>
      <c r="AD6" s="58"/>
    </row>
    <row r="7" spans="1:30" ht="19.5" thickBot="1" x14ac:dyDescent="0.3">
      <c r="A7" s="16">
        <v>5</v>
      </c>
      <c r="B7" s="17">
        <v>7435</v>
      </c>
      <c r="C7" s="17" t="s">
        <v>34</v>
      </c>
      <c r="D7" s="18">
        <v>3.125E-2</v>
      </c>
      <c r="E7" s="17" t="s">
        <v>35</v>
      </c>
      <c r="F7" s="17" t="s">
        <v>36</v>
      </c>
      <c r="G7" s="19">
        <v>0.25</v>
      </c>
      <c r="H7" s="19">
        <v>0.25</v>
      </c>
      <c r="I7" s="19">
        <v>0</v>
      </c>
      <c r="J7" s="19">
        <v>0.25694444444444442</v>
      </c>
      <c r="K7" s="19">
        <v>0.2638888888888889</v>
      </c>
      <c r="L7" s="19" t="s">
        <v>72</v>
      </c>
      <c r="M7" s="19" t="s">
        <v>64</v>
      </c>
      <c r="N7" s="19">
        <v>6.9444444444444753E-3</v>
      </c>
      <c r="O7" s="19">
        <v>0</v>
      </c>
      <c r="P7" s="19">
        <v>6.9444444444444441E-3</v>
      </c>
      <c r="Q7" s="19">
        <v>0.30902777777777779</v>
      </c>
      <c r="R7" s="19">
        <v>3.8194444444444475E-2</v>
      </c>
      <c r="S7" s="19">
        <v>0.30902777777777779</v>
      </c>
      <c r="T7" s="19">
        <v>1.3888888888888888E-2</v>
      </c>
      <c r="U7" s="19">
        <v>0.32291666666666669</v>
      </c>
      <c r="V7" s="19">
        <v>0</v>
      </c>
      <c r="W7" s="19">
        <v>3.125E-2</v>
      </c>
      <c r="X7" s="19">
        <v>0.3263888888888889</v>
      </c>
      <c r="Y7" s="19">
        <v>0.35069444444444442</v>
      </c>
      <c r="Z7" s="19">
        <v>2.4305555555555525E-2</v>
      </c>
      <c r="AA7" s="19">
        <v>0</v>
      </c>
      <c r="AB7" s="19">
        <v>0.35416666666666669</v>
      </c>
      <c r="AC7" s="40"/>
      <c r="AD7" s="58"/>
    </row>
    <row r="8" spans="1:30" ht="19.5" thickBot="1" x14ac:dyDescent="0.3">
      <c r="A8" s="16">
        <v>6</v>
      </c>
      <c r="B8" s="17">
        <v>7435</v>
      </c>
      <c r="C8" s="17" t="s">
        <v>34</v>
      </c>
      <c r="D8" s="18">
        <v>3.125E-2</v>
      </c>
      <c r="E8" s="17" t="s">
        <v>37</v>
      </c>
      <c r="F8" s="17" t="s">
        <v>36</v>
      </c>
      <c r="G8" s="19">
        <v>0.25</v>
      </c>
      <c r="H8" s="19">
        <v>0.25</v>
      </c>
      <c r="I8" s="19">
        <v>0</v>
      </c>
      <c r="J8" s="19">
        <v>0.25694444444444442</v>
      </c>
      <c r="K8" s="19">
        <v>0.2638888888888889</v>
      </c>
      <c r="L8" s="19" t="s">
        <v>72</v>
      </c>
      <c r="M8" s="19" t="s">
        <v>64</v>
      </c>
      <c r="N8" s="19">
        <v>6.9444444444444753E-3</v>
      </c>
      <c r="O8" s="19">
        <v>0</v>
      </c>
      <c r="P8" s="19">
        <v>6.9444444444444441E-3</v>
      </c>
      <c r="Q8" s="19">
        <v>0.30902777777777779</v>
      </c>
      <c r="R8" s="19">
        <v>3.8194444444444475E-2</v>
      </c>
      <c r="S8" s="19">
        <v>0.30902777777777779</v>
      </c>
      <c r="T8" s="19">
        <v>1.3888888888888888E-2</v>
      </c>
      <c r="U8" s="19">
        <v>0.36458333333333331</v>
      </c>
      <c r="V8" s="19">
        <v>0</v>
      </c>
      <c r="W8" s="19">
        <v>4.1666666666666664E-2</v>
      </c>
      <c r="X8" s="19">
        <v>0.36805555555555558</v>
      </c>
      <c r="Y8" s="19">
        <v>0.39583333333333331</v>
      </c>
      <c r="Z8" s="19">
        <v>2.7777777777777735E-2</v>
      </c>
      <c r="AA8" s="19">
        <v>0</v>
      </c>
      <c r="AB8" s="19">
        <v>0.39930555555555558</v>
      </c>
      <c r="AC8" s="40"/>
      <c r="AD8" s="58"/>
    </row>
    <row r="9" spans="1:30" ht="19.5" thickBot="1" x14ac:dyDescent="0.3">
      <c r="A9" s="16">
        <v>7</v>
      </c>
      <c r="B9" s="17">
        <v>529</v>
      </c>
      <c r="C9" s="17" t="s">
        <v>95</v>
      </c>
      <c r="D9" s="18">
        <v>2.0833333333333332E-2</v>
      </c>
      <c r="E9" s="17" t="s">
        <v>49</v>
      </c>
      <c r="F9" s="17" t="s">
        <v>59</v>
      </c>
      <c r="G9" s="19">
        <v>0.25</v>
      </c>
      <c r="H9" s="19">
        <v>0.25</v>
      </c>
      <c r="I9" s="19">
        <v>0</v>
      </c>
      <c r="J9" s="19">
        <v>0.25694444444444442</v>
      </c>
      <c r="K9" s="19">
        <v>0.2638888888888889</v>
      </c>
      <c r="L9" s="19" t="s">
        <v>72</v>
      </c>
      <c r="M9" s="19" t="s">
        <v>64</v>
      </c>
      <c r="N9" s="19">
        <v>6.9444444444444753E-3</v>
      </c>
      <c r="O9" s="19">
        <v>0</v>
      </c>
      <c r="P9" s="19">
        <v>6.9444444444444441E-3</v>
      </c>
      <c r="Q9" s="19">
        <v>0.27777777777777779</v>
      </c>
      <c r="R9" s="19">
        <v>6.9444444444444753E-3</v>
      </c>
      <c r="S9" s="19">
        <v>0.27777777777777779</v>
      </c>
      <c r="T9" s="19">
        <v>4.1666666666666664E-2</v>
      </c>
      <c r="U9" s="19">
        <v>0.35902777777777778</v>
      </c>
      <c r="V9" s="19">
        <v>3.9583333333333304E-2</v>
      </c>
      <c r="W9" s="19">
        <v>2.0833333333333332E-2</v>
      </c>
      <c r="X9" s="19">
        <v>0.3611111111111111</v>
      </c>
      <c r="Y9" s="19">
        <v>0.38680555555555557</v>
      </c>
      <c r="Z9" s="19">
        <v>2.5694444444444464E-2</v>
      </c>
      <c r="AA9" s="19">
        <v>0</v>
      </c>
      <c r="AB9" s="19">
        <v>0.3888888888888889</v>
      </c>
      <c r="AC9" s="40"/>
      <c r="AD9" s="58"/>
    </row>
    <row r="10" spans="1:30" ht="19.5" thickBot="1" x14ac:dyDescent="0.3">
      <c r="A10" s="16">
        <v>8</v>
      </c>
      <c r="B10" s="17">
        <v>529</v>
      </c>
      <c r="C10" s="17" t="s">
        <v>95</v>
      </c>
      <c r="D10" s="18">
        <v>2.0833333333333332E-2</v>
      </c>
      <c r="E10" s="17" t="s">
        <v>51</v>
      </c>
      <c r="F10" s="17" t="s">
        <v>59</v>
      </c>
      <c r="G10" s="19">
        <v>0.25</v>
      </c>
      <c r="H10" s="19">
        <v>0.25</v>
      </c>
      <c r="I10" s="19">
        <v>0</v>
      </c>
      <c r="J10" s="19">
        <v>0.25694444444444442</v>
      </c>
      <c r="K10" s="19">
        <v>0.2638888888888889</v>
      </c>
      <c r="L10" s="19" t="s">
        <v>72</v>
      </c>
      <c r="M10" s="19" t="s">
        <v>64</v>
      </c>
      <c r="N10" s="19">
        <v>6.9444444444444753E-3</v>
      </c>
      <c r="O10" s="19">
        <v>0</v>
      </c>
      <c r="P10" s="19">
        <v>6.9444444444444441E-3</v>
      </c>
      <c r="Q10" s="19">
        <v>0.27777777777777779</v>
      </c>
      <c r="R10" s="19">
        <v>6.9444444444444753E-3</v>
      </c>
      <c r="S10" s="19">
        <v>0.27777777777777779</v>
      </c>
      <c r="T10" s="19">
        <v>6.9444444444444441E-3</v>
      </c>
      <c r="U10" s="19">
        <v>0.3923611111111111</v>
      </c>
      <c r="V10" s="19">
        <v>0</v>
      </c>
      <c r="W10" s="19">
        <v>3.125E-2</v>
      </c>
      <c r="X10" s="19">
        <v>0.39583333333333331</v>
      </c>
      <c r="Y10" s="19">
        <v>0.41666666666666669</v>
      </c>
      <c r="Z10" s="19">
        <v>2.083333333333337E-2</v>
      </c>
      <c r="AA10" s="19">
        <v>0</v>
      </c>
      <c r="AB10" s="19">
        <v>0.4201388888888889</v>
      </c>
      <c r="AC10" s="40"/>
      <c r="AD10" s="58"/>
    </row>
    <row r="11" spans="1:30" ht="19.5" thickBot="1" x14ac:dyDescent="0.3">
      <c r="A11" s="16">
        <v>9</v>
      </c>
      <c r="B11" s="17">
        <v>539</v>
      </c>
      <c r="C11" s="17" t="s">
        <v>95</v>
      </c>
      <c r="D11" s="18">
        <v>2.0833333333333332E-2</v>
      </c>
      <c r="E11" s="17" t="s">
        <v>41</v>
      </c>
      <c r="F11" s="17" t="s">
        <v>39</v>
      </c>
      <c r="G11" s="19">
        <v>0.25</v>
      </c>
      <c r="H11" s="19">
        <v>0.25</v>
      </c>
      <c r="I11" s="19">
        <v>0</v>
      </c>
      <c r="J11" s="19">
        <v>0.2673611111111111</v>
      </c>
      <c r="K11" s="19">
        <v>0.2673611111111111</v>
      </c>
      <c r="L11" s="19" t="s">
        <v>72</v>
      </c>
      <c r="M11" s="19" t="s">
        <v>64</v>
      </c>
      <c r="N11" s="19">
        <v>0</v>
      </c>
      <c r="O11" s="19">
        <v>0</v>
      </c>
      <c r="P11" s="19">
        <v>6.9444444444444441E-3</v>
      </c>
      <c r="Q11" s="19">
        <v>0.28472222222222221</v>
      </c>
      <c r="R11" s="19">
        <v>1.0416666666666685E-2</v>
      </c>
      <c r="S11" s="19">
        <v>0.28472222222222221</v>
      </c>
      <c r="T11" s="19">
        <v>1.7361111111111112E-2</v>
      </c>
      <c r="U11" s="19">
        <v>0.32291666666666669</v>
      </c>
      <c r="V11" s="19">
        <v>2.083333333333337E-2</v>
      </c>
      <c r="W11" s="19">
        <v>3.125E-2</v>
      </c>
      <c r="X11" s="19">
        <v>0.33680555555555558</v>
      </c>
      <c r="Y11" s="19">
        <v>0.37291666666666662</v>
      </c>
      <c r="Z11" s="19">
        <v>3.6111111111111038E-2</v>
      </c>
      <c r="AA11" s="19">
        <v>4.8611111111110383E-3</v>
      </c>
      <c r="AB11" s="19">
        <v>0.375</v>
      </c>
      <c r="AC11" s="41"/>
      <c r="AD11" s="58"/>
    </row>
    <row r="12" spans="1:30" ht="21.75" thickBot="1" x14ac:dyDescent="0.3">
      <c r="A12" s="16">
        <v>10</v>
      </c>
      <c r="B12" s="17">
        <v>876</v>
      </c>
      <c r="C12" s="17" t="s">
        <v>95</v>
      </c>
      <c r="D12" s="18">
        <v>2.0833333333333332E-2</v>
      </c>
      <c r="E12" s="17" t="s">
        <v>47</v>
      </c>
      <c r="F12" s="17" t="s">
        <v>62</v>
      </c>
      <c r="G12" s="19">
        <v>0.25</v>
      </c>
      <c r="H12" s="19">
        <v>0.25</v>
      </c>
      <c r="I12" s="19">
        <v>0</v>
      </c>
      <c r="J12" s="19">
        <v>0.2673611111111111</v>
      </c>
      <c r="K12" s="19">
        <v>0.2673611111111111</v>
      </c>
      <c r="L12" s="19" t="s">
        <v>72</v>
      </c>
      <c r="M12" s="19" t="s">
        <v>64</v>
      </c>
      <c r="N12" s="19">
        <v>0</v>
      </c>
      <c r="O12" s="19">
        <v>0</v>
      </c>
      <c r="P12" s="19">
        <v>6.9444444444444441E-3</v>
      </c>
      <c r="Q12" s="19">
        <v>0.28472222222222221</v>
      </c>
      <c r="R12" s="19">
        <v>1.0416666666666685E-2</v>
      </c>
      <c r="S12" s="19">
        <v>0.28472222222222221</v>
      </c>
      <c r="T12" s="19">
        <v>1.3888888888888888E-2</v>
      </c>
      <c r="U12" s="19">
        <v>0.2986111111111111</v>
      </c>
      <c r="V12" s="19">
        <v>0</v>
      </c>
      <c r="W12" s="19">
        <v>3.125E-2</v>
      </c>
      <c r="X12" s="19">
        <v>0.32708333333333334</v>
      </c>
      <c r="Y12" s="19">
        <v>0.36458333333333331</v>
      </c>
      <c r="Z12" s="19">
        <v>3.7499999999999978E-2</v>
      </c>
      <c r="AA12" s="19">
        <v>0</v>
      </c>
      <c r="AB12" s="19">
        <v>0.36805555555555558</v>
      </c>
      <c r="AC12" s="42"/>
      <c r="AD12" s="58"/>
    </row>
    <row r="13" spans="1:30" ht="21.75" thickBot="1" x14ac:dyDescent="0.3">
      <c r="A13" s="16">
        <v>11</v>
      </c>
      <c r="B13" s="17">
        <v>249</v>
      </c>
      <c r="C13" s="17" t="s">
        <v>95</v>
      </c>
      <c r="D13" s="18">
        <v>2.0833333333333332E-2</v>
      </c>
      <c r="E13" s="17" t="s">
        <v>45</v>
      </c>
      <c r="F13" s="17" t="s">
        <v>46</v>
      </c>
      <c r="G13" s="19">
        <v>0.25</v>
      </c>
      <c r="H13" s="19">
        <v>0.25</v>
      </c>
      <c r="I13" s="19">
        <v>0</v>
      </c>
      <c r="J13" s="19">
        <v>0.27083333333333331</v>
      </c>
      <c r="K13" s="19">
        <v>0.30902777777777779</v>
      </c>
      <c r="L13" s="19" t="s">
        <v>72</v>
      </c>
      <c r="M13" s="19" t="s">
        <v>64</v>
      </c>
      <c r="N13" s="19">
        <v>3.8194444444444475E-2</v>
      </c>
      <c r="O13" s="19">
        <v>1.7361111111111143E-2</v>
      </c>
      <c r="P13" s="19">
        <v>6.9444444444444441E-3</v>
      </c>
      <c r="Q13" s="19">
        <v>0.30902777777777779</v>
      </c>
      <c r="R13" s="19">
        <v>0</v>
      </c>
      <c r="S13" s="19">
        <v>0.30902777777777779</v>
      </c>
      <c r="T13" s="19">
        <v>1.3888888888888888E-2</v>
      </c>
      <c r="U13" s="19">
        <v>0.31944444444444448</v>
      </c>
      <c r="V13" s="19">
        <v>0</v>
      </c>
      <c r="W13" s="19">
        <v>3.125E-2</v>
      </c>
      <c r="X13" s="19">
        <v>0.32291666666666669</v>
      </c>
      <c r="Y13" s="19">
        <v>0.34722222222222227</v>
      </c>
      <c r="Z13" s="19">
        <v>2.430555555555558E-2</v>
      </c>
      <c r="AA13" s="19">
        <v>0</v>
      </c>
      <c r="AB13" s="19">
        <v>0.35069444444444442</v>
      </c>
      <c r="AC13" s="42"/>
      <c r="AD13" s="58"/>
    </row>
    <row r="14" spans="1:30" ht="21.75" thickBot="1" x14ac:dyDescent="0.3">
      <c r="A14" s="16">
        <v>12</v>
      </c>
      <c r="B14" s="17">
        <v>529</v>
      </c>
      <c r="C14" s="17" t="s">
        <v>95</v>
      </c>
      <c r="D14" s="18">
        <v>2.0833333333333332E-2</v>
      </c>
      <c r="E14" s="17" t="s">
        <v>58</v>
      </c>
      <c r="F14" s="17" t="s">
        <v>48</v>
      </c>
      <c r="G14" s="19">
        <v>0.25</v>
      </c>
      <c r="H14" s="19">
        <v>0.25</v>
      </c>
      <c r="I14" s="19">
        <v>0</v>
      </c>
      <c r="J14" s="19">
        <v>0.27083333333333331</v>
      </c>
      <c r="K14" s="19">
        <v>0.28819444444444442</v>
      </c>
      <c r="L14" s="19" t="s">
        <v>72</v>
      </c>
      <c r="M14" s="19" t="s">
        <v>64</v>
      </c>
      <c r="N14" s="19">
        <v>1.7361111111111105E-2</v>
      </c>
      <c r="O14" s="19">
        <v>0</v>
      </c>
      <c r="P14" s="19">
        <v>6.9444444444444441E-3</v>
      </c>
      <c r="Q14" s="19">
        <v>0.29166666666666669</v>
      </c>
      <c r="R14" s="19">
        <v>0</v>
      </c>
      <c r="S14" s="19">
        <v>0.29166666666666669</v>
      </c>
      <c r="T14" s="19">
        <v>1.3888888888888888E-2</v>
      </c>
      <c r="U14" s="19">
        <v>0.3263888888888889</v>
      </c>
      <c r="V14" s="19">
        <v>2.0833333333333315E-2</v>
      </c>
      <c r="W14" s="19">
        <v>3.125E-2</v>
      </c>
      <c r="X14" s="19">
        <v>0.34027777777777773</v>
      </c>
      <c r="Y14" s="19">
        <v>0.36805555555555558</v>
      </c>
      <c r="Z14" s="19">
        <v>2.7777777777777846E-2</v>
      </c>
      <c r="AA14" s="19">
        <v>0</v>
      </c>
      <c r="AB14" s="19">
        <v>0.37152777777777773</v>
      </c>
      <c r="AC14" s="42"/>
      <c r="AD14" s="58"/>
    </row>
    <row r="15" spans="1:30" ht="21.75" thickBot="1" x14ac:dyDescent="0.3">
      <c r="A15" s="32">
        <v>13</v>
      </c>
      <c r="B15" s="23">
        <v>492</v>
      </c>
      <c r="C15" s="23" t="s">
        <v>95</v>
      </c>
      <c r="D15" s="24">
        <v>2.0833333333333332E-2</v>
      </c>
      <c r="E15" s="23" t="s">
        <v>52</v>
      </c>
      <c r="F15" s="23" t="s">
        <v>90</v>
      </c>
      <c r="G15" s="25">
        <v>0.25</v>
      </c>
      <c r="H15" s="25">
        <v>0.25</v>
      </c>
      <c r="I15" s="25">
        <v>0</v>
      </c>
      <c r="J15" s="25">
        <v>0.28819444444444442</v>
      </c>
      <c r="K15" s="25">
        <v>0.2951388888888889</v>
      </c>
      <c r="L15" s="25" t="s">
        <v>72</v>
      </c>
      <c r="M15" s="25" t="s">
        <v>64</v>
      </c>
      <c r="N15" s="25">
        <v>6.9444444444444753E-3</v>
      </c>
      <c r="O15" s="25">
        <v>0</v>
      </c>
      <c r="P15" s="25">
        <v>6.9444444444444441E-3</v>
      </c>
      <c r="Q15" s="25">
        <v>0.32291666666666669</v>
      </c>
      <c r="R15" s="25">
        <v>2.083333333333337E-2</v>
      </c>
      <c r="S15" s="25">
        <v>0.32291666666666669</v>
      </c>
      <c r="T15" s="25">
        <v>3.472222222222222E-3</v>
      </c>
      <c r="U15" s="25">
        <v>0.32500000000000001</v>
      </c>
      <c r="V15" s="25">
        <v>0</v>
      </c>
      <c r="W15" s="25">
        <v>3.125E-2</v>
      </c>
      <c r="X15" s="25">
        <v>0.33680555555555558</v>
      </c>
      <c r="Y15" s="25">
        <v>0.36458333333333331</v>
      </c>
      <c r="Z15" s="25">
        <v>2.7777777777777735E-2</v>
      </c>
      <c r="AA15" s="25">
        <v>0</v>
      </c>
      <c r="AB15" s="25">
        <v>0.3659722222222222</v>
      </c>
      <c r="AC15" s="48"/>
      <c r="AD15" s="59"/>
    </row>
    <row r="16" spans="1:30" ht="20.25" thickTop="1" thickBot="1" x14ac:dyDescent="0.3">
      <c r="A16" s="11">
        <v>1</v>
      </c>
      <c r="B16" s="12">
        <v>249</v>
      </c>
      <c r="C16" s="12" t="str">
        <f>VLOOKUP(B16,داتا!$B$3:$D$42,2,FALSE)</f>
        <v>دبابة</v>
      </c>
      <c r="D16" s="13">
        <f>VLOOKUP(B16,داتا!$B$3:$D$42,3,FALSE)</f>
        <v>2.0833333333333332E-2</v>
      </c>
      <c r="E16" s="12" t="s">
        <v>51</v>
      </c>
      <c r="F16" s="12" t="s">
        <v>46</v>
      </c>
      <c r="G16" s="14">
        <v>0.29166666666666669</v>
      </c>
      <c r="H16" s="14">
        <v>0.25</v>
      </c>
      <c r="I16" s="14">
        <v>0</v>
      </c>
      <c r="J16" s="14">
        <v>0.4375</v>
      </c>
      <c r="K16" s="14">
        <v>0.45833333333333331</v>
      </c>
      <c r="L16" s="14" t="s">
        <v>66</v>
      </c>
      <c r="M16" s="14" t="s">
        <v>73</v>
      </c>
      <c r="N16" s="14">
        <f t="shared" ref="N16:N28" si="0">K16-J16</f>
        <v>2.0833333333333315E-2</v>
      </c>
      <c r="O16" s="14">
        <f t="shared" ref="O16:O21" si="1">N16-D16</f>
        <v>0</v>
      </c>
      <c r="P16" s="14">
        <v>6.9444444444444441E-3</v>
      </c>
      <c r="Q16" s="14">
        <v>0.45833333333333331</v>
      </c>
      <c r="R16" s="14">
        <v>0</v>
      </c>
      <c r="S16" s="14">
        <v>0.45833333333333331</v>
      </c>
      <c r="T16" s="14">
        <v>4.1666666666666664E-2</v>
      </c>
      <c r="U16" s="14">
        <v>0.49305555555555558</v>
      </c>
      <c r="V16" s="14">
        <v>0</v>
      </c>
      <c r="W16" s="14">
        <v>2.0833333333333332E-2</v>
      </c>
      <c r="X16" s="14">
        <v>0.49861111111111112</v>
      </c>
      <c r="Y16" s="14">
        <v>0.50347222222222221</v>
      </c>
      <c r="Z16" s="14">
        <f t="shared" ref="Z16:Z28" si="2">Y16-X16</f>
        <v>4.8611111111110938E-3</v>
      </c>
      <c r="AA16" s="14">
        <v>0</v>
      </c>
      <c r="AB16" s="14">
        <v>0.51041666666666663</v>
      </c>
      <c r="AC16" s="46"/>
      <c r="AD16" s="57" t="s">
        <v>54</v>
      </c>
    </row>
    <row r="17" spans="1:30" ht="19.5" thickBot="1" x14ac:dyDescent="0.3">
      <c r="A17" s="16">
        <v>2</v>
      </c>
      <c r="B17" s="17">
        <v>249</v>
      </c>
      <c r="C17" s="17" t="str">
        <f>VLOOKUP(B17,داتا!$B$3:$D$42,2,FALSE)</f>
        <v>دبابة</v>
      </c>
      <c r="D17" s="18">
        <f>VLOOKUP(B17,داتا!$B$3:$D$42,3,FALSE)</f>
        <v>2.0833333333333332E-2</v>
      </c>
      <c r="E17" s="17" t="s">
        <v>49</v>
      </c>
      <c r="F17" s="17" t="s">
        <v>46</v>
      </c>
      <c r="G17" s="19">
        <v>0.29166666666666669</v>
      </c>
      <c r="H17" s="19">
        <v>0.25</v>
      </c>
      <c r="I17" s="19">
        <v>0</v>
      </c>
      <c r="J17" s="19">
        <v>0.4375</v>
      </c>
      <c r="K17" s="19">
        <v>0.45833333333333331</v>
      </c>
      <c r="L17" s="19" t="s">
        <v>66</v>
      </c>
      <c r="M17" s="19" t="s">
        <v>73</v>
      </c>
      <c r="N17" s="19">
        <f t="shared" si="0"/>
        <v>2.0833333333333315E-2</v>
      </c>
      <c r="O17" s="19">
        <f t="shared" si="1"/>
        <v>0</v>
      </c>
      <c r="P17" s="19">
        <v>6.9444444444444441E-3</v>
      </c>
      <c r="Q17" s="19">
        <v>0.45833333333333331</v>
      </c>
      <c r="R17" s="19">
        <v>0</v>
      </c>
      <c r="S17" s="19">
        <v>0.45833333333333331</v>
      </c>
      <c r="T17" s="19">
        <v>6.9444444444444441E-3</v>
      </c>
      <c r="U17" s="19">
        <v>0.51458333333333328</v>
      </c>
      <c r="V17" s="19">
        <v>0</v>
      </c>
      <c r="W17" s="19">
        <v>3.125E-2</v>
      </c>
      <c r="X17" s="19">
        <v>0.51527777777777783</v>
      </c>
      <c r="Y17" s="19">
        <v>0.52708333333333335</v>
      </c>
      <c r="Z17" s="19">
        <f t="shared" si="2"/>
        <v>1.1805555555555514E-2</v>
      </c>
      <c r="AA17" s="19">
        <v>0</v>
      </c>
      <c r="AB17" s="19">
        <v>0.52847222222222223</v>
      </c>
      <c r="AC17" s="40"/>
      <c r="AD17" s="58"/>
    </row>
    <row r="18" spans="1:30" ht="21.75" thickBot="1" x14ac:dyDescent="0.3">
      <c r="A18" s="16">
        <v>3</v>
      </c>
      <c r="B18" s="17">
        <v>539</v>
      </c>
      <c r="C18" s="17" t="str">
        <f>VLOOKUP(B18,داتا!$B$3:$D$42,2,FALSE)</f>
        <v>دبابة</v>
      </c>
      <c r="D18" s="18">
        <f>VLOOKUP(B18,داتا!$B$3:$D$42,3,FALSE)</f>
        <v>2.0833333333333332E-2</v>
      </c>
      <c r="E18" s="17" t="s">
        <v>47</v>
      </c>
      <c r="F18" s="17" t="s">
        <v>39</v>
      </c>
      <c r="G18" s="19">
        <v>0.29166666666666669</v>
      </c>
      <c r="H18" s="19">
        <f t="shared" ref="H18:H28" si="3">VLOOKUP(F18,$F$3:$H$12,3,FALSE)</f>
        <v>0.25</v>
      </c>
      <c r="I18" s="19">
        <v>0</v>
      </c>
      <c r="J18" s="19">
        <v>0.4375</v>
      </c>
      <c r="K18" s="19">
        <v>0.45833333333333331</v>
      </c>
      <c r="L18" s="19" t="s">
        <v>96</v>
      </c>
      <c r="M18" s="19" t="s">
        <v>69</v>
      </c>
      <c r="N18" s="19">
        <f t="shared" si="0"/>
        <v>2.0833333333333315E-2</v>
      </c>
      <c r="O18" s="19">
        <f t="shared" si="1"/>
        <v>0</v>
      </c>
      <c r="P18" s="19">
        <v>6.9444444444444441E-3</v>
      </c>
      <c r="Q18" s="19">
        <v>0.46527777777777773</v>
      </c>
      <c r="R18" s="19">
        <f t="shared" ref="R18:R28" si="4">Q18-P18-K18</f>
        <v>0</v>
      </c>
      <c r="S18" s="19">
        <v>0.46527777777777773</v>
      </c>
      <c r="T18" s="19">
        <f>VLOOKUP(E18,'[1]22-1-2026'!$E$3:$T$13,16,FALSE)</f>
        <v>1.3888888888888888E-2</v>
      </c>
      <c r="U18" s="19">
        <v>0.48958333333333331</v>
      </c>
      <c r="V18" s="19">
        <f t="shared" ref="V18:V28" si="5">U18-T18-S18</f>
        <v>1.0416666666666685E-2</v>
      </c>
      <c r="W18" s="19">
        <v>2.0833333333333332E-2</v>
      </c>
      <c r="X18" s="19">
        <v>0.49305555555555558</v>
      </c>
      <c r="Y18" s="19">
        <v>0.50347222222222221</v>
      </c>
      <c r="Z18" s="19">
        <f t="shared" si="2"/>
        <v>1.041666666666663E-2</v>
      </c>
      <c r="AA18" s="19">
        <v>0</v>
      </c>
      <c r="AB18" s="19">
        <v>0.50694444444444442</v>
      </c>
      <c r="AC18" s="42"/>
      <c r="AD18" s="58"/>
    </row>
    <row r="19" spans="1:30" ht="19.5" thickBot="1" x14ac:dyDescent="0.3">
      <c r="A19" s="16">
        <v>4</v>
      </c>
      <c r="B19" s="17">
        <v>539</v>
      </c>
      <c r="C19" s="17" t="str">
        <f>VLOOKUP(B19,داتا!$B$3:$D$42,2,FALSE)</f>
        <v>دبابة</v>
      </c>
      <c r="D19" s="18">
        <f>VLOOKUP(B19,داتا!$B$3:$D$42,3,FALSE)</f>
        <v>2.0833333333333332E-2</v>
      </c>
      <c r="E19" s="17" t="s">
        <v>45</v>
      </c>
      <c r="F19" s="17" t="s">
        <v>39</v>
      </c>
      <c r="G19" s="19">
        <v>0.29166666666666669</v>
      </c>
      <c r="H19" s="19">
        <f t="shared" si="3"/>
        <v>0.25</v>
      </c>
      <c r="I19" s="19">
        <v>0</v>
      </c>
      <c r="J19" s="19">
        <v>0.4375</v>
      </c>
      <c r="K19" s="19">
        <v>0.45833333333333331</v>
      </c>
      <c r="L19" s="19" t="s">
        <v>96</v>
      </c>
      <c r="M19" s="19" t="s">
        <v>69</v>
      </c>
      <c r="N19" s="19">
        <f t="shared" si="0"/>
        <v>2.0833333333333315E-2</v>
      </c>
      <c r="O19" s="19">
        <f t="shared" si="1"/>
        <v>0</v>
      </c>
      <c r="P19" s="19">
        <v>6.9444444444444441E-3</v>
      </c>
      <c r="Q19" s="19">
        <v>0.46527777777777773</v>
      </c>
      <c r="R19" s="19">
        <f t="shared" si="4"/>
        <v>0</v>
      </c>
      <c r="S19" s="19">
        <v>0.46527777777777773</v>
      </c>
      <c r="T19" s="19">
        <f>VLOOKUP(E19,'[1]22-1-2026'!$E$3:$T$13,16,FALSE)</f>
        <v>1.3888888888888888E-2</v>
      </c>
      <c r="U19" s="19">
        <v>0.52777777777777779</v>
      </c>
      <c r="V19" s="19">
        <v>0</v>
      </c>
      <c r="W19" s="19">
        <v>3.125E-2</v>
      </c>
      <c r="X19" s="19">
        <v>0.52916666666666667</v>
      </c>
      <c r="Y19" s="19">
        <v>0.54305555555555551</v>
      </c>
      <c r="Z19" s="19">
        <f t="shared" si="2"/>
        <v>1.388888888888884E-2</v>
      </c>
      <c r="AA19" s="19">
        <v>0</v>
      </c>
      <c r="AB19" s="19">
        <v>0.54513888888888895</v>
      </c>
      <c r="AC19" s="40"/>
      <c r="AD19" s="58"/>
    </row>
    <row r="20" spans="1:30" ht="19.5" thickBot="1" x14ac:dyDescent="0.3">
      <c r="A20" s="16">
        <v>5</v>
      </c>
      <c r="B20" s="17">
        <v>492</v>
      </c>
      <c r="C20" s="17" t="str">
        <f>VLOOKUP(B20,داتا!$B$3:$D$42,2,FALSE)</f>
        <v>دبابة</v>
      </c>
      <c r="D20" s="18">
        <f>VLOOKUP(B20,داتا!$B$3:$D$42,3,FALSE)</f>
        <v>2.0833333333333332E-2</v>
      </c>
      <c r="E20" s="17" t="s">
        <v>38</v>
      </c>
      <c r="F20" s="17" t="s">
        <v>48</v>
      </c>
      <c r="G20" s="19">
        <v>0.54166666666666663</v>
      </c>
      <c r="H20" s="19">
        <v>0.54166666666666663</v>
      </c>
      <c r="I20" s="19">
        <f t="shared" ref="I20:I21" si="6">H20-G20</f>
        <v>0</v>
      </c>
      <c r="J20" s="19">
        <v>0.45833333333333331</v>
      </c>
      <c r="K20" s="19">
        <v>0.4861111111111111</v>
      </c>
      <c r="L20" s="19" t="s">
        <v>66</v>
      </c>
      <c r="M20" s="19" t="s">
        <v>73</v>
      </c>
      <c r="N20" s="19">
        <f t="shared" si="0"/>
        <v>2.777777777777779E-2</v>
      </c>
      <c r="O20" s="19">
        <f t="shared" si="1"/>
        <v>6.9444444444444579E-3</v>
      </c>
      <c r="P20" s="19">
        <v>6.9444444444444441E-3</v>
      </c>
      <c r="Q20" s="19">
        <v>0.4861111111111111</v>
      </c>
      <c r="R20" s="19">
        <v>0</v>
      </c>
      <c r="S20" s="19">
        <v>0.4861111111111111</v>
      </c>
      <c r="T20" s="19">
        <f>VLOOKUP(E20,'[1]22-1-2026'!$E$3:$T$13,16,FALSE)</f>
        <v>3.4722222222222224E-2</v>
      </c>
      <c r="U20" s="19">
        <v>0.52430555555555558</v>
      </c>
      <c r="V20" s="19">
        <f t="shared" si="5"/>
        <v>3.4722222222222654E-3</v>
      </c>
      <c r="W20" s="19">
        <v>2.0833333333333332E-2</v>
      </c>
      <c r="X20" s="19">
        <v>0.52708333333333335</v>
      </c>
      <c r="Y20" s="19">
        <v>0.54652777777777783</v>
      </c>
      <c r="Z20" s="19">
        <f t="shared" si="2"/>
        <v>1.9444444444444486E-2</v>
      </c>
      <c r="AA20" s="19">
        <v>0</v>
      </c>
      <c r="AB20" s="19">
        <v>0.54861111111111105</v>
      </c>
      <c r="AC20" s="40"/>
      <c r="AD20" s="58"/>
    </row>
    <row r="21" spans="1:30" ht="19.5" thickBot="1" x14ac:dyDescent="0.3">
      <c r="A21" s="16">
        <v>6</v>
      </c>
      <c r="B21" s="17">
        <v>492</v>
      </c>
      <c r="C21" s="17" t="str">
        <f>VLOOKUP(B21,داتا!$B$3:$D$42,2,FALSE)</f>
        <v>دبابة</v>
      </c>
      <c r="D21" s="18">
        <f>VLOOKUP(B21,داتا!$B$3:$D$42,3,FALSE)</f>
        <v>2.0833333333333332E-2</v>
      </c>
      <c r="E21" s="17" t="s">
        <v>40</v>
      </c>
      <c r="F21" s="17" t="s">
        <v>48</v>
      </c>
      <c r="G21" s="19">
        <v>0.54166666666666663</v>
      </c>
      <c r="H21" s="19">
        <v>0.54166666666666663</v>
      </c>
      <c r="I21" s="19">
        <f t="shared" si="6"/>
        <v>0</v>
      </c>
      <c r="J21" s="19">
        <v>0.45833333333333331</v>
      </c>
      <c r="K21" s="19">
        <v>0.4861111111111111</v>
      </c>
      <c r="L21" s="19" t="s">
        <v>66</v>
      </c>
      <c r="M21" s="19" t="s">
        <v>73</v>
      </c>
      <c r="N21" s="19">
        <f t="shared" si="0"/>
        <v>2.777777777777779E-2</v>
      </c>
      <c r="O21" s="19">
        <f t="shared" si="1"/>
        <v>6.9444444444444579E-3</v>
      </c>
      <c r="P21" s="19">
        <v>6.9444444444444441E-3</v>
      </c>
      <c r="Q21" s="19">
        <v>0.4861111111111111</v>
      </c>
      <c r="R21" s="19">
        <v>0</v>
      </c>
      <c r="S21" s="19">
        <v>0.4861111111111111</v>
      </c>
      <c r="T21" s="19">
        <v>2.0833333333333332E-2</v>
      </c>
      <c r="U21" s="19">
        <v>0.56597222222222221</v>
      </c>
      <c r="V21" s="19">
        <v>0</v>
      </c>
      <c r="W21" s="19">
        <v>3.125E-2</v>
      </c>
      <c r="X21" s="19">
        <v>0.56944444444444442</v>
      </c>
      <c r="Y21" s="19">
        <v>0.60069444444444442</v>
      </c>
      <c r="Z21" s="19">
        <f t="shared" si="2"/>
        <v>3.125E-2</v>
      </c>
      <c r="AA21" s="19">
        <f t="shared" ref="AA21" si="7">Z21-W21</f>
        <v>0</v>
      </c>
      <c r="AB21" s="19">
        <v>0.60416666666666663</v>
      </c>
      <c r="AC21" s="40"/>
      <c r="AD21" s="58"/>
    </row>
    <row r="22" spans="1:30" ht="19.5" thickBot="1" x14ac:dyDescent="0.3">
      <c r="A22" s="16">
        <v>7</v>
      </c>
      <c r="B22" s="17">
        <v>7435</v>
      </c>
      <c r="C22" s="17" t="str">
        <f>VLOOKUP(B22,داتا!$B$3:$D$42,2,FALSE)</f>
        <v>تلتين</v>
      </c>
      <c r="D22" s="18">
        <f>VLOOKUP(B22,داتا!$B$3:$D$42,3,FALSE)</f>
        <v>3.125E-2</v>
      </c>
      <c r="E22" s="17" t="s">
        <v>33</v>
      </c>
      <c r="F22" s="17" t="s">
        <v>36</v>
      </c>
      <c r="G22" s="19">
        <v>0.29166666666666669</v>
      </c>
      <c r="H22" s="19">
        <f t="shared" si="3"/>
        <v>0.25</v>
      </c>
      <c r="I22" s="19">
        <v>0</v>
      </c>
      <c r="J22" s="19">
        <v>0.45833333333333331</v>
      </c>
      <c r="K22" s="19">
        <v>0.47916666666666669</v>
      </c>
      <c r="L22" s="19" t="s">
        <v>96</v>
      </c>
      <c r="M22" s="19" t="s">
        <v>69</v>
      </c>
      <c r="N22" s="19">
        <f t="shared" si="0"/>
        <v>2.083333333333337E-2</v>
      </c>
      <c r="O22" s="19">
        <v>0</v>
      </c>
      <c r="P22" s="19">
        <v>6.9444444444444441E-3</v>
      </c>
      <c r="Q22" s="19">
        <v>0.49305555555555558</v>
      </c>
      <c r="R22" s="19">
        <f t="shared" si="4"/>
        <v>6.9444444444444753E-3</v>
      </c>
      <c r="S22" s="19">
        <v>0.49305555555555558</v>
      </c>
      <c r="T22" s="19">
        <f>VLOOKUP(E22,'[1]22-1-2026'!$E$3:$T$13,16,FALSE)</f>
        <v>2.7777777777777776E-2</v>
      </c>
      <c r="U22" s="19">
        <v>0.51388888888888895</v>
      </c>
      <c r="V22" s="19">
        <v>0</v>
      </c>
      <c r="W22" s="19">
        <v>3.125E-2</v>
      </c>
      <c r="X22" s="19">
        <v>0.51736111111111105</v>
      </c>
      <c r="Y22" s="19">
        <v>0.53472222222222221</v>
      </c>
      <c r="Z22" s="19">
        <f t="shared" si="2"/>
        <v>1.736111111111116E-2</v>
      </c>
      <c r="AA22" s="19">
        <v>0</v>
      </c>
      <c r="AB22" s="19">
        <v>0.53819444444444442</v>
      </c>
      <c r="AC22" s="40"/>
      <c r="AD22" s="58"/>
    </row>
    <row r="23" spans="1:30" ht="19.5" thickBot="1" x14ac:dyDescent="0.3">
      <c r="A23" s="16">
        <v>8</v>
      </c>
      <c r="B23" s="17">
        <v>7435</v>
      </c>
      <c r="C23" s="17" t="str">
        <f>VLOOKUP(B23,داتا!$B$3:$D$42,2,FALSE)</f>
        <v>تلتين</v>
      </c>
      <c r="D23" s="18">
        <f>VLOOKUP(B23,داتا!$B$3:$D$42,3,FALSE)</f>
        <v>3.125E-2</v>
      </c>
      <c r="E23" s="17" t="s">
        <v>41</v>
      </c>
      <c r="F23" s="17" t="s">
        <v>36</v>
      </c>
      <c r="G23" s="19">
        <v>0.29166666666666669</v>
      </c>
      <c r="H23" s="19">
        <f t="shared" si="3"/>
        <v>0.25</v>
      </c>
      <c r="I23" s="19">
        <v>0</v>
      </c>
      <c r="J23" s="19">
        <v>0.45833333333333331</v>
      </c>
      <c r="K23" s="19">
        <v>0.47916666666666669</v>
      </c>
      <c r="L23" s="19" t="s">
        <v>96</v>
      </c>
      <c r="M23" s="19" t="s">
        <v>69</v>
      </c>
      <c r="N23" s="19">
        <f t="shared" si="0"/>
        <v>2.083333333333337E-2</v>
      </c>
      <c r="O23" s="19">
        <v>0</v>
      </c>
      <c r="P23" s="19">
        <v>6.9444444444444441E-3</v>
      </c>
      <c r="Q23" s="19">
        <v>0.49305555555555558</v>
      </c>
      <c r="R23" s="19">
        <f t="shared" si="4"/>
        <v>6.9444444444444753E-3</v>
      </c>
      <c r="S23" s="19">
        <v>0.49305555555555558</v>
      </c>
      <c r="T23" s="19">
        <f>VLOOKUP(E23,'[1]22-1-2026'!$E$3:$T$13,16,FALSE)</f>
        <v>1.7361111111111112E-2</v>
      </c>
      <c r="U23" s="19">
        <v>0.55763888888888891</v>
      </c>
      <c r="V23" s="19">
        <v>0</v>
      </c>
      <c r="W23" s="19">
        <v>4.1666666666666664E-2</v>
      </c>
      <c r="X23" s="19">
        <v>0.55902777777777779</v>
      </c>
      <c r="Y23" s="19">
        <v>0.57638888888888895</v>
      </c>
      <c r="Z23" s="19">
        <f t="shared" si="2"/>
        <v>1.736111111111116E-2</v>
      </c>
      <c r="AA23" s="19">
        <v>0</v>
      </c>
      <c r="AB23" s="19">
        <v>0.57847222222222217</v>
      </c>
      <c r="AC23" s="40"/>
      <c r="AD23" s="58"/>
    </row>
    <row r="24" spans="1:30" ht="19.5" thickBot="1" x14ac:dyDescent="0.3">
      <c r="A24" s="16">
        <v>9</v>
      </c>
      <c r="B24" s="17">
        <v>762</v>
      </c>
      <c r="C24" s="17" t="str">
        <f>VLOOKUP(B24,داتا!$B$3:$D$42,2,FALSE)</f>
        <v>دبابة</v>
      </c>
      <c r="D24" s="18">
        <f>VLOOKUP(B24,داتا!$B$3:$D$42,3,FALSE)</f>
        <v>2.0833333333333332E-2</v>
      </c>
      <c r="E24" s="17" t="s">
        <v>52</v>
      </c>
      <c r="F24" s="17" t="s">
        <v>44</v>
      </c>
      <c r="G24" s="19">
        <v>0.29166666666666669</v>
      </c>
      <c r="H24" s="19">
        <f t="shared" si="3"/>
        <v>0.25</v>
      </c>
      <c r="I24" s="19">
        <v>0</v>
      </c>
      <c r="J24" s="19">
        <v>0.49652777777777773</v>
      </c>
      <c r="K24" s="19">
        <v>0.51041666666666663</v>
      </c>
      <c r="L24" s="19" t="s">
        <v>96</v>
      </c>
      <c r="M24" s="19" t="s">
        <v>69</v>
      </c>
      <c r="N24" s="19">
        <f t="shared" si="0"/>
        <v>1.3888888888888895E-2</v>
      </c>
      <c r="O24" s="19">
        <v>0</v>
      </c>
      <c r="P24" s="19">
        <v>6.9444444444444441E-3</v>
      </c>
      <c r="Q24" s="19">
        <v>0.51041666666666663</v>
      </c>
      <c r="R24" s="19">
        <v>0</v>
      </c>
      <c r="S24" s="19">
        <v>0.51041666666666663</v>
      </c>
      <c r="T24" s="19">
        <f>VLOOKUP(E24,'[1]22-1-2026'!$E$3:$T$13,16,FALSE)</f>
        <v>3.472222222222222E-3</v>
      </c>
      <c r="U24" s="19">
        <v>0.51250000000000007</v>
      </c>
      <c r="V24" s="19">
        <v>0</v>
      </c>
      <c r="W24" s="19">
        <v>3.125E-2</v>
      </c>
      <c r="X24" s="19">
        <v>0.51527777777777783</v>
      </c>
      <c r="Y24" s="19">
        <v>0.53125</v>
      </c>
      <c r="Z24" s="19">
        <f t="shared" si="2"/>
        <v>1.5972222222222165E-2</v>
      </c>
      <c r="AA24" s="19">
        <v>0</v>
      </c>
      <c r="AB24" s="19">
        <v>0.53333333333333333</v>
      </c>
      <c r="AC24" s="40"/>
      <c r="AD24" s="58"/>
    </row>
    <row r="25" spans="1:30" ht="19.5" thickBot="1" x14ac:dyDescent="0.3">
      <c r="A25" s="16">
        <v>10</v>
      </c>
      <c r="B25" s="17">
        <v>876</v>
      </c>
      <c r="C25" s="17" t="str">
        <f>VLOOKUP(B25,داتا!$B$3:$D$42,2,FALSE)</f>
        <v>دبابة</v>
      </c>
      <c r="D25" s="18">
        <f>VLOOKUP(B25,داتا!$B$3:$D$42,3,FALSE)</f>
        <v>2.0833333333333332E-2</v>
      </c>
      <c r="E25" s="17" t="s">
        <v>30</v>
      </c>
      <c r="F25" s="17" t="s">
        <v>62</v>
      </c>
      <c r="G25" s="19">
        <v>0.29166666666666669</v>
      </c>
      <c r="H25" s="19">
        <f t="shared" si="3"/>
        <v>0.25</v>
      </c>
      <c r="I25" s="19">
        <v>0</v>
      </c>
      <c r="J25" s="19">
        <v>0.49652777777777773</v>
      </c>
      <c r="K25" s="19">
        <v>0.51041666666666663</v>
      </c>
      <c r="L25" s="19" t="s">
        <v>96</v>
      </c>
      <c r="M25" s="19" t="s">
        <v>69</v>
      </c>
      <c r="N25" s="19">
        <f t="shared" si="0"/>
        <v>1.3888888888888895E-2</v>
      </c>
      <c r="O25" s="19">
        <v>0</v>
      </c>
      <c r="P25" s="19">
        <v>6.9444444444444441E-3</v>
      </c>
      <c r="Q25" s="19">
        <v>0.49652777777777773</v>
      </c>
      <c r="R25" s="19">
        <v>0</v>
      </c>
      <c r="S25" s="19">
        <v>0.49652777777777773</v>
      </c>
      <c r="T25" s="19">
        <f>VLOOKUP(E25,'[1]22-1-2026'!$E$3:$T$13,16,FALSE)</f>
        <v>2.4305555555555556E-2</v>
      </c>
      <c r="U25" s="19">
        <v>0.51736111111111105</v>
      </c>
      <c r="V25" s="19">
        <v>0</v>
      </c>
      <c r="W25" s="19">
        <v>2.0833333333333332E-2</v>
      </c>
      <c r="X25" s="19">
        <v>0.52152777777777781</v>
      </c>
      <c r="Y25" s="19">
        <v>0.52777777777777779</v>
      </c>
      <c r="Z25" s="19">
        <f t="shared" si="2"/>
        <v>6.2499999999999778E-3</v>
      </c>
      <c r="AA25" s="19">
        <v>0</v>
      </c>
      <c r="AB25" s="19">
        <v>0.53125</v>
      </c>
      <c r="AC25" s="40"/>
      <c r="AD25" s="58"/>
    </row>
    <row r="26" spans="1:30" ht="19.5" thickBot="1" x14ac:dyDescent="0.3">
      <c r="A26" s="16">
        <v>11</v>
      </c>
      <c r="B26" s="17">
        <v>876</v>
      </c>
      <c r="C26" s="17" t="str">
        <f>VLOOKUP(B26,داتا!$B$3:$D$42,2,FALSE)</f>
        <v>دبابة</v>
      </c>
      <c r="D26" s="18">
        <f>VLOOKUP(B26,داتا!$B$3:$D$42,3,FALSE)</f>
        <v>2.0833333333333332E-2</v>
      </c>
      <c r="E26" s="17" t="s">
        <v>58</v>
      </c>
      <c r="F26" s="17" t="s">
        <v>62</v>
      </c>
      <c r="G26" s="19">
        <v>0.29166666666666669</v>
      </c>
      <c r="H26" s="19">
        <f t="shared" si="3"/>
        <v>0.25</v>
      </c>
      <c r="I26" s="19">
        <v>0</v>
      </c>
      <c r="J26" s="19">
        <v>0.47916666666666669</v>
      </c>
      <c r="K26" s="19">
        <v>0.49305555555555558</v>
      </c>
      <c r="L26" s="19" t="s">
        <v>96</v>
      </c>
      <c r="M26" s="19" t="s">
        <v>69</v>
      </c>
      <c r="N26" s="19">
        <f t="shared" si="0"/>
        <v>1.3888888888888895E-2</v>
      </c>
      <c r="O26" s="19">
        <v>0</v>
      </c>
      <c r="P26" s="19">
        <v>6.9444444444444441E-3</v>
      </c>
      <c r="Q26" s="19">
        <v>0.49652777777777773</v>
      </c>
      <c r="R26" s="19">
        <v>0</v>
      </c>
      <c r="S26" s="19">
        <v>0.49652777777777773</v>
      </c>
      <c r="T26" s="19">
        <v>1.0416666666666666E-2</v>
      </c>
      <c r="U26" s="19">
        <v>0.54166666666666663</v>
      </c>
      <c r="V26" s="19">
        <v>0</v>
      </c>
      <c r="W26" s="19">
        <v>3.125E-2</v>
      </c>
      <c r="X26" s="19">
        <v>0.54513888888888895</v>
      </c>
      <c r="Y26" s="19">
        <v>0.55208333333333337</v>
      </c>
      <c r="Z26" s="19">
        <f t="shared" si="2"/>
        <v>6.9444444444444198E-3</v>
      </c>
      <c r="AA26" s="19">
        <v>0</v>
      </c>
      <c r="AB26" s="19">
        <v>0.55555555555555558</v>
      </c>
      <c r="AC26" s="40"/>
      <c r="AD26" s="58"/>
    </row>
    <row r="27" spans="1:30" ht="19.5" thickBot="1" x14ac:dyDescent="0.3">
      <c r="A27" s="16">
        <v>12</v>
      </c>
      <c r="B27" s="17">
        <v>892</v>
      </c>
      <c r="C27" s="17" t="str">
        <f>VLOOKUP(B27,داتا!$B$3:$D$42,2,FALSE)</f>
        <v>تلتين</v>
      </c>
      <c r="D27" s="18">
        <f>VLOOKUP(B27,داتا!$B$3:$D$42,3,FALSE)</f>
        <v>3.125E-2</v>
      </c>
      <c r="E27" s="17" t="s">
        <v>37</v>
      </c>
      <c r="F27" s="17" t="s">
        <v>53</v>
      </c>
      <c r="G27" s="19">
        <v>0.29166666666666669</v>
      </c>
      <c r="H27" s="19">
        <f t="shared" si="3"/>
        <v>0.25</v>
      </c>
      <c r="I27" s="19">
        <v>0</v>
      </c>
      <c r="J27" s="19">
        <v>0.49305555555555558</v>
      </c>
      <c r="K27" s="19">
        <v>0.49652777777777773</v>
      </c>
      <c r="L27" s="19" t="s">
        <v>66</v>
      </c>
      <c r="M27" s="19" t="s">
        <v>73</v>
      </c>
      <c r="N27" s="19">
        <f t="shared" si="0"/>
        <v>3.4722222222221544E-3</v>
      </c>
      <c r="O27" s="19">
        <v>0</v>
      </c>
      <c r="P27" s="19">
        <v>6.9444444444444441E-3</v>
      </c>
      <c r="Q27" s="19">
        <v>0.50347222222222221</v>
      </c>
      <c r="R27" s="19">
        <f t="shared" si="4"/>
        <v>0</v>
      </c>
      <c r="S27" s="19">
        <v>0.50347222222222221</v>
      </c>
      <c r="T27" s="19">
        <f>VLOOKUP(E27,'[1]22-1-2026'!$E$3:$T$13,16,FALSE)</f>
        <v>1.3888888888888888E-2</v>
      </c>
      <c r="U27" s="19">
        <v>0.51736111111111105</v>
      </c>
      <c r="V27" s="19">
        <f t="shared" si="5"/>
        <v>0</v>
      </c>
      <c r="W27" s="19">
        <v>4.1666666666666664E-2</v>
      </c>
      <c r="X27" s="19">
        <v>0.51944444444444449</v>
      </c>
      <c r="Y27" s="19">
        <v>0.53611111111111109</v>
      </c>
      <c r="Z27" s="19">
        <f t="shared" si="2"/>
        <v>1.6666666666666607E-2</v>
      </c>
      <c r="AA27" s="19">
        <v>0</v>
      </c>
      <c r="AB27" s="19">
        <v>0.53819444444444442</v>
      </c>
      <c r="AC27" s="40"/>
      <c r="AD27" s="58"/>
    </row>
    <row r="28" spans="1:30" ht="19.5" thickBot="1" x14ac:dyDescent="0.3">
      <c r="A28" s="32">
        <v>13</v>
      </c>
      <c r="B28" s="23">
        <v>529</v>
      </c>
      <c r="C28" s="23" t="str">
        <f>VLOOKUP(B28,داتا!$B$3:$D$42,2,FALSE)</f>
        <v>دبابة</v>
      </c>
      <c r="D28" s="24">
        <f>VLOOKUP(B28,داتا!$B$3:$D$42,3,FALSE)</f>
        <v>2.0833333333333332E-2</v>
      </c>
      <c r="E28" s="23" t="s">
        <v>35</v>
      </c>
      <c r="F28" s="23" t="s">
        <v>59</v>
      </c>
      <c r="G28" s="25">
        <v>0.29166666666666669</v>
      </c>
      <c r="H28" s="25">
        <f t="shared" si="3"/>
        <v>0.25</v>
      </c>
      <c r="I28" s="25">
        <v>0</v>
      </c>
      <c r="J28" s="25">
        <v>0.49305555555555558</v>
      </c>
      <c r="K28" s="25">
        <v>0.49652777777777773</v>
      </c>
      <c r="L28" s="25" t="s">
        <v>66</v>
      </c>
      <c r="M28" s="25" t="s">
        <v>73</v>
      </c>
      <c r="N28" s="25">
        <f t="shared" si="0"/>
        <v>3.4722222222221544E-3</v>
      </c>
      <c r="O28" s="25">
        <v>0</v>
      </c>
      <c r="P28" s="25">
        <v>6.9444444444444441E-3</v>
      </c>
      <c r="Q28" s="25">
        <v>0.50347222222222221</v>
      </c>
      <c r="R28" s="25">
        <f t="shared" si="4"/>
        <v>0</v>
      </c>
      <c r="S28" s="25">
        <v>0.50347222222222221</v>
      </c>
      <c r="T28" s="25">
        <f>VLOOKUP(E28,'[1]22-1-2026'!$E$3:$T$13,16,FALSE)</f>
        <v>1.3888888888888888E-2</v>
      </c>
      <c r="U28" s="25">
        <v>0.52430555555555558</v>
      </c>
      <c r="V28" s="25">
        <f t="shared" si="5"/>
        <v>6.9444444444445308E-3</v>
      </c>
      <c r="W28" s="25">
        <v>3.125E-2</v>
      </c>
      <c r="X28" s="25">
        <v>0.52569444444444446</v>
      </c>
      <c r="Y28" s="25">
        <v>0.53819444444444442</v>
      </c>
      <c r="Z28" s="25">
        <f t="shared" si="2"/>
        <v>1.2499999999999956E-2</v>
      </c>
      <c r="AA28" s="25">
        <v>0</v>
      </c>
      <c r="AB28" s="25">
        <v>0.54166666666666663</v>
      </c>
      <c r="AC28" s="47"/>
      <c r="AD28" s="59"/>
    </row>
    <row r="29" spans="1:30" ht="15.75" thickTop="1" x14ac:dyDescent="0.25"/>
  </sheetData>
  <mergeCells count="3">
    <mergeCell ref="A1:AC1"/>
    <mergeCell ref="AD3:AD15"/>
    <mergeCell ref="AD16:AD28"/>
  </mergeCells>
  <conditionalFormatting sqref="I2:I1048576 O2:O1048576 R2:R1048576 V2:V1048576 AA2:AA1048576">
    <cfRule type="cellIs" dxfId="149" priority="7" operator="between">
      <formula>0.00277777777777778</formula>
      <formula>1</formula>
    </cfRule>
  </conditionalFormatting>
  <conditionalFormatting sqref="AC3:AC28">
    <cfRule type="containsText" dxfId="148" priority="6" operator="containsText" text="ت">
      <formula>NOT(ISERROR(SEARCH("ت",AC3)))</formula>
    </cfRule>
  </conditionalFormatting>
  <conditionalFormatting sqref="AA1 I1 O1 R1 V1">
    <cfRule type="cellIs" dxfId="147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146" priority="7" operator="between">
      <formula>0.00277777777777778</formula>
      <formula>1</formula>
    </cfRule>
  </conditionalFormatting>
  <conditionalFormatting sqref="AC3:AC40">
    <cfRule type="containsText" dxfId="145" priority="6" operator="containsText" text="ت">
      <formula>NOT(ISERROR(SEARCH("ت",AC3)))</formula>
    </cfRule>
  </conditionalFormatting>
  <conditionalFormatting sqref="AA41">
    <cfRule type="cellIs" dxfId="144" priority="5" operator="between">
      <formula>0.00277777777777778</formula>
      <formula>1</formula>
    </cfRule>
  </conditionalFormatting>
  <conditionalFormatting sqref="AC41">
    <cfRule type="containsText" dxfId="143" priority="4" operator="containsText" text="ت">
      <formula>NOT(ISERROR(SEARCH("ت",AC41)))</formula>
    </cfRule>
  </conditionalFormatting>
  <conditionalFormatting sqref="I42 O42 R42 V42 AA42">
    <cfRule type="cellIs" dxfId="142" priority="3" operator="between">
      <formula>0.00277777777777778</formula>
      <formula>1</formula>
    </cfRule>
  </conditionalFormatting>
  <conditionalFormatting sqref="AC42">
    <cfRule type="containsText" dxfId="141" priority="2" operator="containsText" text="ت">
      <formula>NOT(ISERROR(SEARCH("ت",AC42)))</formula>
    </cfRule>
  </conditionalFormatting>
  <conditionalFormatting sqref="AA1 I1 O1 R1 V1">
    <cfRule type="cellIs" dxfId="140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139" priority="7" operator="between">
      <formula>0.00277777777777778</formula>
      <formula>1</formula>
    </cfRule>
  </conditionalFormatting>
  <conditionalFormatting sqref="AC3:AC40">
    <cfRule type="containsText" dxfId="138" priority="6" operator="containsText" text="ت">
      <formula>NOT(ISERROR(SEARCH("ت",AC3)))</formula>
    </cfRule>
  </conditionalFormatting>
  <conditionalFormatting sqref="AA41">
    <cfRule type="cellIs" dxfId="137" priority="5" operator="between">
      <formula>0.00277777777777778</formula>
      <formula>1</formula>
    </cfRule>
  </conditionalFormatting>
  <conditionalFormatting sqref="AC41">
    <cfRule type="containsText" dxfId="136" priority="4" operator="containsText" text="ت">
      <formula>NOT(ISERROR(SEARCH("ت",AC41)))</formula>
    </cfRule>
  </conditionalFormatting>
  <conditionalFormatting sqref="I42 O42 R42 V42 AA42">
    <cfRule type="cellIs" dxfId="135" priority="3" operator="between">
      <formula>0.00277777777777778</formula>
      <formula>1</formula>
    </cfRule>
  </conditionalFormatting>
  <conditionalFormatting sqref="AC42">
    <cfRule type="containsText" dxfId="134" priority="2" operator="containsText" text="ت">
      <formula>NOT(ISERROR(SEARCH("ت",AC42)))</formula>
    </cfRule>
  </conditionalFormatting>
  <conditionalFormatting sqref="AA1 I1 O1 R1 V1">
    <cfRule type="cellIs" dxfId="133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69">
        <v>43866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132" priority="7" operator="between">
      <formula>0.00277777777777778</formula>
      <formula>1</formula>
    </cfRule>
  </conditionalFormatting>
  <conditionalFormatting sqref="AC3:AC40">
    <cfRule type="containsText" dxfId="131" priority="6" operator="containsText" text="ت">
      <formula>NOT(ISERROR(SEARCH("ت",AC3)))</formula>
    </cfRule>
  </conditionalFormatting>
  <conditionalFormatting sqref="AA41">
    <cfRule type="cellIs" dxfId="130" priority="5" operator="between">
      <formula>0.00277777777777778</formula>
      <formula>1</formula>
    </cfRule>
  </conditionalFormatting>
  <conditionalFormatting sqref="AC41">
    <cfRule type="containsText" dxfId="129" priority="4" operator="containsText" text="ت">
      <formula>NOT(ISERROR(SEARCH("ت",AC41)))</formula>
    </cfRule>
  </conditionalFormatting>
  <conditionalFormatting sqref="I42 O42 R42 V42 AA42">
    <cfRule type="cellIs" dxfId="128" priority="3" operator="between">
      <formula>0.00277777777777778</formula>
      <formula>1</formula>
    </cfRule>
  </conditionalFormatting>
  <conditionalFormatting sqref="AC42">
    <cfRule type="containsText" dxfId="127" priority="2" operator="containsText" text="ت">
      <formula>NOT(ISERROR(SEARCH("ت",AC42)))</formula>
    </cfRule>
  </conditionalFormatting>
  <conditionalFormatting sqref="AA1 I1 O1 R1 V1">
    <cfRule type="cellIs" dxfId="126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125" priority="7" operator="between">
      <formula>0.00277777777777778</formula>
      <formula>1</formula>
    </cfRule>
  </conditionalFormatting>
  <conditionalFormatting sqref="AC3:AC40">
    <cfRule type="containsText" dxfId="124" priority="6" operator="containsText" text="ت">
      <formula>NOT(ISERROR(SEARCH("ت",AC3)))</formula>
    </cfRule>
  </conditionalFormatting>
  <conditionalFormatting sqref="AA41">
    <cfRule type="cellIs" dxfId="123" priority="5" operator="between">
      <formula>0.00277777777777778</formula>
      <formula>1</formula>
    </cfRule>
  </conditionalFormatting>
  <conditionalFormatting sqref="AC41">
    <cfRule type="containsText" dxfId="122" priority="4" operator="containsText" text="ت">
      <formula>NOT(ISERROR(SEARCH("ت",AC41)))</formula>
    </cfRule>
  </conditionalFormatting>
  <conditionalFormatting sqref="I42 O42 R42 V42 AA42">
    <cfRule type="cellIs" dxfId="121" priority="3" operator="between">
      <formula>0.00277777777777778</formula>
      <formula>1</formula>
    </cfRule>
  </conditionalFormatting>
  <conditionalFormatting sqref="AC42">
    <cfRule type="containsText" dxfId="120" priority="2" operator="containsText" text="ت">
      <formula>NOT(ISERROR(SEARCH("ت",AC42)))</formula>
    </cfRule>
  </conditionalFormatting>
  <conditionalFormatting sqref="AA1 I1 O1 R1 V1">
    <cfRule type="cellIs" dxfId="119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118" priority="7" operator="between">
      <formula>0.00277777777777778</formula>
      <formula>1</formula>
    </cfRule>
  </conditionalFormatting>
  <conditionalFormatting sqref="AC3:AC40">
    <cfRule type="containsText" dxfId="117" priority="6" operator="containsText" text="ت">
      <formula>NOT(ISERROR(SEARCH("ت",AC3)))</formula>
    </cfRule>
  </conditionalFormatting>
  <conditionalFormatting sqref="AA41">
    <cfRule type="cellIs" dxfId="116" priority="5" operator="between">
      <formula>0.00277777777777778</formula>
      <formula>1</formula>
    </cfRule>
  </conditionalFormatting>
  <conditionalFormatting sqref="AC41">
    <cfRule type="containsText" dxfId="115" priority="4" operator="containsText" text="ت">
      <formula>NOT(ISERROR(SEARCH("ت",AC41)))</formula>
    </cfRule>
  </conditionalFormatting>
  <conditionalFormatting sqref="I42 O42 R42 V42 AA42">
    <cfRule type="cellIs" dxfId="114" priority="3" operator="between">
      <formula>0.00277777777777778</formula>
      <formula>1</formula>
    </cfRule>
  </conditionalFormatting>
  <conditionalFormatting sqref="AC42">
    <cfRule type="containsText" dxfId="113" priority="2" operator="containsText" text="ت">
      <formula>NOT(ISERROR(SEARCH("ت",AC42)))</formula>
    </cfRule>
  </conditionalFormatting>
  <conditionalFormatting sqref="AA1 I1 O1 R1 V1">
    <cfRule type="cellIs" dxfId="112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111" priority="7" operator="between">
      <formula>0.00277777777777778</formula>
      <formula>1</formula>
    </cfRule>
  </conditionalFormatting>
  <conditionalFormatting sqref="AC3:AC40">
    <cfRule type="containsText" dxfId="110" priority="6" operator="containsText" text="ت">
      <formula>NOT(ISERROR(SEARCH("ت",AC3)))</formula>
    </cfRule>
  </conditionalFormatting>
  <conditionalFormatting sqref="AA41">
    <cfRule type="cellIs" dxfId="109" priority="5" operator="between">
      <formula>0.00277777777777778</formula>
      <formula>1</formula>
    </cfRule>
  </conditionalFormatting>
  <conditionalFormatting sqref="AC41">
    <cfRule type="containsText" dxfId="108" priority="4" operator="containsText" text="ت">
      <formula>NOT(ISERROR(SEARCH("ت",AC41)))</formula>
    </cfRule>
  </conditionalFormatting>
  <conditionalFormatting sqref="I42 O42 R42 V42 AA42">
    <cfRule type="cellIs" dxfId="107" priority="3" operator="between">
      <formula>0.00277777777777778</formula>
      <formula>1</formula>
    </cfRule>
  </conditionalFormatting>
  <conditionalFormatting sqref="AC42">
    <cfRule type="containsText" dxfId="106" priority="2" operator="containsText" text="ت">
      <formula>NOT(ISERROR(SEARCH("ت",AC42)))</formula>
    </cfRule>
  </conditionalFormatting>
  <conditionalFormatting sqref="AA1 I1 O1 R1 V1">
    <cfRule type="cellIs" dxfId="105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104" priority="7" operator="between">
      <formula>0.00277777777777778</formula>
      <formula>1</formula>
    </cfRule>
  </conditionalFormatting>
  <conditionalFormatting sqref="AC3:AC40">
    <cfRule type="containsText" dxfId="103" priority="6" operator="containsText" text="ت">
      <formula>NOT(ISERROR(SEARCH("ت",AC3)))</formula>
    </cfRule>
  </conditionalFormatting>
  <conditionalFormatting sqref="AA41">
    <cfRule type="cellIs" dxfId="102" priority="5" operator="between">
      <formula>0.00277777777777778</formula>
      <formula>1</formula>
    </cfRule>
  </conditionalFormatting>
  <conditionalFormatting sqref="AC41">
    <cfRule type="containsText" dxfId="101" priority="4" operator="containsText" text="ت">
      <formula>NOT(ISERROR(SEARCH("ت",AC41)))</formula>
    </cfRule>
  </conditionalFormatting>
  <conditionalFormatting sqref="I42 O42 R42 V42 AA42">
    <cfRule type="cellIs" dxfId="100" priority="3" operator="between">
      <formula>0.00277777777777778</formula>
      <formula>1</formula>
    </cfRule>
  </conditionalFormatting>
  <conditionalFormatting sqref="AC42">
    <cfRule type="containsText" dxfId="99" priority="2" operator="containsText" text="ت">
      <formula>NOT(ISERROR(SEARCH("ت",AC42)))</formula>
    </cfRule>
  </conditionalFormatting>
  <conditionalFormatting sqref="AA1 I1 O1 R1 V1">
    <cfRule type="cellIs" dxfId="98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97" priority="7" operator="between">
      <formula>0.00277777777777778</formula>
      <formula>1</formula>
    </cfRule>
  </conditionalFormatting>
  <conditionalFormatting sqref="AC3:AC40">
    <cfRule type="containsText" dxfId="96" priority="6" operator="containsText" text="ت">
      <formula>NOT(ISERROR(SEARCH("ت",AC3)))</formula>
    </cfRule>
  </conditionalFormatting>
  <conditionalFormatting sqref="AA41">
    <cfRule type="cellIs" dxfId="95" priority="5" operator="between">
      <formula>0.00277777777777778</formula>
      <formula>1</formula>
    </cfRule>
  </conditionalFormatting>
  <conditionalFormatting sqref="AC41">
    <cfRule type="containsText" dxfId="94" priority="4" operator="containsText" text="ت">
      <formula>NOT(ISERROR(SEARCH("ت",AC41)))</formula>
    </cfRule>
  </conditionalFormatting>
  <conditionalFormatting sqref="I42 O42 R42 V42 AA42">
    <cfRule type="cellIs" dxfId="93" priority="3" operator="between">
      <formula>0.00277777777777778</formula>
      <formula>1</formula>
    </cfRule>
  </conditionalFormatting>
  <conditionalFormatting sqref="AC42">
    <cfRule type="containsText" dxfId="92" priority="2" operator="containsText" text="ت">
      <formula>NOT(ISERROR(SEARCH("ت",AC42)))</formula>
    </cfRule>
  </conditionalFormatting>
  <conditionalFormatting sqref="AA1 I1 O1 R1 V1">
    <cfRule type="cellIs" dxfId="91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90" priority="7" operator="between">
      <formula>0.00277777777777778</formula>
      <formula>1</formula>
    </cfRule>
  </conditionalFormatting>
  <conditionalFormatting sqref="AC3:AC40">
    <cfRule type="containsText" dxfId="89" priority="6" operator="containsText" text="ت">
      <formula>NOT(ISERROR(SEARCH("ت",AC3)))</formula>
    </cfRule>
  </conditionalFormatting>
  <conditionalFormatting sqref="AA41">
    <cfRule type="cellIs" dxfId="88" priority="5" operator="between">
      <formula>0.00277777777777778</formula>
      <formula>1</formula>
    </cfRule>
  </conditionalFormatting>
  <conditionalFormatting sqref="AC41">
    <cfRule type="containsText" dxfId="87" priority="4" operator="containsText" text="ت">
      <formula>NOT(ISERROR(SEARCH("ت",AC41)))</formula>
    </cfRule>
  </conditionalFormatting>
  <conditionalFormatting sqref="I42 O42 R42 V42 AA42">
    <cfRule type="cellIs" dxfId="86" priority="3" operator="between">
      <formula>0.00277777777777778</formula>
      <formula>1</formula>
    </cfRule>
  </conditionalFormatting>
  <conditionalFormatting sqref="AC42">
    <cfRule type="containsText" dxfId="85" priority="2" operator="containsText" text="ت">
      <formula>NOT(ISERROR(SEARCH("ت",AC42)))</formula>
    </cfRule>
  </conditionalFormatting>
  <conditionalFormatting sqref="AA1 I1 O1 R1 V1">
    <cfRule type="cellIs" dxfId="84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83" priority="7" operator="between">
      <formula>0.00277777777777778</formula>
      <formula>1</formula>
    </cfRule>
  </conditionalFormatting>
  <conditionalFormatting sqref="AC3:AC40">
    <cfRule type="containsText" dxfId="82" priority="6" operator="containsText" text="ت">
      <formula>NOT(ISERROR(SEARCH("ت",AC3)))</formula>
    </cfRule>
  </conditionalFormatting>
  <conditionalFormatting sqref="AA41">
    <cfRule type="cellIs" dxfId="81" priority="5" operator="between">
      <formula>0.00277777777777778</formula>
      <formula>1</formula>
    </cfRule>
  </conditionalFormatting>
  <conditionalFormatting sqref="AC41">
    <cfRule type="containsText" dxfId="80" priority="4" operator="containsText" text="ت">
      <formula>NOT(ISERROR(SEARCH("ت",AC41)))</formula>
    </cfRule>
  </conditionalFormatting>
  <conditionalFormatting sqref="I42 O42 R42 V42 AA42">
    <cfRule type="cellIs" dxfId="79" priority="3" operator="between">
      <formula>0.00277777777777778</formula>
      <formula>1</formula>
    </cfRule>
  </conditionalFormatting>
  <conditionalFormatting sqref="AC42">
    <cfRule type="containsText" dxfId="78" priority="2" operator="containsText" text="ت">
      <formula>NOT(ISERROR(SEARCH("ت",AC42)))</formula>
    </cfRule>
  </conditionalFormatting>
  <conditionalFormatting sqref="AA1 I1 O1 R1 V1">
    <cfRule type="cellIs" dxfId="77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76" priority="7" operator="between">
      <formula>0.00277777777777778</formula>
      <formula>1</formula>
    </cfRule>
  </conditionalFormatting>
  <conditionalFormatting sqref="AC3:AC40">
    <cfRule type="containsText" dxfId="75" priority="6" operator="containsText" text="ت">
      <formula>NOT(ISERROR(SEARCH("ت",AC3)))</formula>
    </cfRule>
  </conditionalFormatting>
  <conditionalFormatting sqref="AA41">
    <cfRule type="cellIs" dxfId="74" priority="5" operator="between">
      <formula>0.00277777777777778</formula>
      <formula>1</formula>
    </cfRule>
  </conditionalFormatting>
  <conditionalFormatting sqref="AC41">
    <cfRule type="containsText" dxfId="73" priority="4" operator="containsText" text="ت">
      <formula>NOT(ISERROR(SEARCH("ت",AC41)))</formula>
    </cfRule>
  </conditionalFormatting>
  <conditionalFormatting sqref="I42 O42 R42 V42 AA42">
    <cfRule type="cellIs" dxfId="72" priority="3" operator="between">
      <formula>0.00277777777777778</formula>
      <formula>1</formula>
    </cfRule>
  </conditionalFormatting>
  <conditionalFormatting sqref="AC42">
    <cfRule type="containsText" dxfId="71" priority="2" operator="containsText" text="ت">
      <formula>NOT(ISERROR(SEARCH("ت",AC42)))</formula>
    </cfRule>
  </conditionalFormatting>
  <conditionalFormatting sqref="AA1 I1 O1 R1 V1">
    <cfRule type="cellIs" dxfId="70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69" priority="7" operator="between">
      <formula>0.00277777777777778</formula>
      <formula>1</formula>
    </cfRule>
  </conditionalFormatting>
  <conditionalFormatting sqref="AC3:AC40">
    <cfRule type="containsText" dxfId="68" priority="6" operator="containsText" text="ت">
      <formula>NOT(ISERROR(SEARCH("ت",AC3)))</formula>
    </cfRule>
  </conditionalFormatting>
  <conditionalFormatting sqref="AA41">
    <cfRule type="cellIs" dxfId="67" priority="5" operator="between">
      <formula>0.00277777777777778</formula>
      <formula>1</formula>
    </cfRule>
  </conditionalFormatting>
  <conditionalFormatting sqref="AC41">
    <cfRule type="containsText" dxfId="66" priority="4" operator="containsText" text="ت">
      <formula>NOT(ISERROR(SEARCH("ت",AC41)))</formula>
    </cfRule>
  </conditionalFormatting>
  <conditionalFormatting sqref="I42 O42 R42 V42 AA42">
    <cfRule type="cellIs" dxfId="65" priority="3" operator="between">
      <formula>0.00277777777777778</formula>
      <formula>1</formula>
    </cfRule>
  </conditionalFormatting>
  <conditionalFormatting sqref="AC42">
    <cfRule type="containsText" dxfId="64" priority="2" operator="containsText" text="ت">
      <formula>NOT(ISERROR(SEARCH("ت",AC42)))</formula>
    </cfRule>
  </conditionalFormatting>
  <conditionalFormatting sqref="AA1 I1 O1 R1 V1">
    <cfRule type="cellIs" dxfId="63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62" priority="7" operator="between">
      <formula>0.00277777777777778</formula>
      <formula>1</formula>
    </cfRule>
  </conditionalFormatting>
  <conditionalFormatting sqref="AC3:AC40">
    <cfRule type="containsText" dxfId="61" priority="6" operator="containsText" text="ت">
      <formula>NOT(ISERROR(SEARCH("ت",AC3)))</formula>
    </cfRule>
  </conditionalFormatting>
  <conditionalFormatting sqref="AA41">
    <cfRule type="cellIs" dxfId="60" priority="5" operator="between">
      <formula>0.00277777777777778</formula>
      <formula>1</formula>
    </cfRule>
  </conditionalFormatting>
  <conditionalFormatting sqref="AC41">
    <cfRule type="containsText" dxfId="59" priority="4" operator="containsText" text="ت">
      <formula>NOT(ISERROR(SEARCH("ت",AC41)))</formula>
    </cfRule>
  </conditionalFormatting>
  <conditionalFormatting sqref="I42 O42 R42 V42 AA42">
    <cfRule type="cellIs" dxfId="58" priority="3" operator="between">
      <formula>0.00277777777777778</formula>
      <formula>1</formula>
    </cfRule>
  </conditionalFormatting>
  <conditionalFormatting sqref="AC42">
    <cfRule type="containsText" dxfId="57" priority="2" operator="containsText" text="ت">
      <formula>NOT(ISERROR(SEARCH("ت",AC42)))</formula>
    </cfRule>
  </conditionalFormatting>
  <conditionalFormatting sqref="AA1 I1 O1 R1 V1">
    <cfRule type="cellIs" dxfId="56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55" priority="7" operator="between">
      <formula>0.00277777777777778</formula>
      <formula>1</formula>
    </cfRule>
  </conditionalFormatting>
  <conditionalFormatting sqref="AC3:AC40">
    <cfRule type="containsText" dxfId="54" priority="6" operator="containsText" text="ت">
      <formula>NOT(ISERROR(SEARCH("ت",AC3)))</formula>
    </cfRule>
  </conditionalFormatting>
  <conditionalFormatting sqref="AA41">
    <cfRule type="cellIs" dxfId="53" priority="5" operator="between">
      <formula>0.00277777777777778</formula>
      <formula>1</formula>
    </cfRule>
  </conditionalFormatting>
  <conditionalFormatting sqref="AC41">
    <cfRule type="containsText" dxfId="52" priority="4" operator="containsText" text="ت">
      <formula>NOT(ISERROR(SEARCH("ت",AC41)))</formula>
    </cfRule>
  </conditionalFormatting>
  <conditionalFormatting sqref="I42 O42 R42 V42 AA42">
    <cfRule type="cellIs" dxfId="51" priority="3" operator="between">
      <formula>0.00277777777777778</formula>
      <formula>1</formula>
    </cfRule>
  </conditionalFormatting>
  <conditionalFormatting sqref="AC42">
    <cfRule type="containsText" dxfId="50" priority="2" operator="containsText" text="ت">
      <formula>NOT(ISERROR(SEARCH("ت",AC42)))</formula>
    </cfRule>
  </conditionalFormatting>
  <conditionalFormatting sqref="AA1 I1 O1 R1 V1">
    <cfRule type="cellIs" dxfId="49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sqref="A1:AC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48" priority="7" operator="between">
      <formula>0.00277777777777778</formula>
      <formula>1</formula>
    </cfRule>
  </conditionalFormatting>
  <conditionalFormatting sqref="AC3:AC40">
    <cfRule type="containsText" dxfId="47" priority="6" operator="containsText" text="ت">
      <formula>NOT(ISERROR(SEARCH("ت",AC3)))</formula>
    </cfRule>
  </conditionalFormatting>
  <conditionalFormatting sqref="AA41">
    <cfRule type="cellIs" dxfId="46" priority="5" operator="between">
      <formula>0.00277777777777778</formula>
      <formula>1</formula>
    </cfRule>
  </conditionalFormatting>
  <conditionalFormatting sqref="AC41">
    <cfRule type="containsText" dxfId="45" priority="4" operator="containsText" text="ت">
      <formula>NOT(ISERROR(SEARCH("ت",AC41)))</formula>
    </cfRule>
  </conditionalFormatting>
  <conditionalFormatting sqref="I42 O42 R42 V42 AA42">
    <cfRule type="cellIs" dxfId="44" priority="3" operator="between">
      <formula>0.00277777777777778</formula>
      <formula>1</formula>
    </cfRule>
  </conditionalFormatting>
  <conditionalFormatting sqref="AC42">
    <cfRule type="containsText" dxfId="43" priority="2" operator="containsText" text="ت">
      <formula>NOT(ISERROR(SEARCH("ت",AC42)))</formula>
    </cfRule>
  </conditionalFormatting>
  <conditionalFormatting sqref="AA1 I1 O1 R1 V1">
    <cfRule type="cellIs" dxfId="42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topLeftCell="O1" workbookViewId="0">
      <selection activeCell="AD1" sqref="AD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41" priority="7" operator="between">
      <formula>0.00277777777777778</formula>
      <formula>1</formula>
    </cfRule>
  </conditionalFormatting>
  <conditionalFormatting sqref="AC3:AC40">
    <cfRule type="containsText" dxfId="40" priority="6" operator="containsText" text="ت">
      <formula>NOT(ISERROR(SEARCH("ت",AC3)))</formula>
    </cfRule>
  </conditionalFormatting>
  <conditionalFormatting sqref="AA41">
    <cfRule type="cellIs" dxfId="39" priority="5" operator="between">
      <formula>0.00277777777777778</formula>
      <formula>1</formula>
    </cfRule>
  </conditionalFormatting>
  <conditionalFormatting sqref="AC41">
    <cfRule type="containsText" dxfId="38" priority="4" operator="containsText" text="ت">
      <formula>NOT(ISERROR(SEARCH("ت",AC41)))</formula>
    </cfRule>
  </conditionalFormatting>
  <conditionalFormatting sqref="I42 O42 R42 V42 AA42">
    <cfRule type="cellIs" dxfId="37" priority="3" operator="between">
      <formula>0.00277777777777778</formula>
      <formula>1</formula>
    </cfRule>
  </conditionalFormatting>
  <conditionalFormatting sqref="AC42">
    <cfRule type="containsText" dxfId="36" priority="2" operator="containsText" text="ت">
      <formula>NOT(ISERROR(SEARCH("ت",AC42)))</formula>
    </cfRule>
  </conditionalFormatting>
  <conditionalFormatting sqref="AA1 I1 O1 R1 V1">
    <cfRule type="cellIs" dxfId="35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activeCell="AD1" sqref="AD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34" priority="7" operator="between">
      <formula>0.00277777777777778</formula>
      <formula>1</formula>
    </cfRule>
  </conditionalFormatting>
  <conditionalFormatting sqref="AC3:AC40">
    <cfRule type="containsText" dxfId="33" priority="6" operator="containsText" text="ت">
      <formula>NOT(ISERROR(SEARCH("ت",AC3)))</formula>
    </cfRule>
  </conditionalFormatting>
  <conditionalFormatting sqref="AA41">
    <cfRule type="cellIs" dxfId="32" priority="5" operator="between">
      <formula>0.00277777777777778</formula>
      <formula>1</formula>
    </cfRule>
  </conditionalFormatting>
  <conditionalFormatting sqref="AC41">
    <cfRule type="containsText" dxfId="31" priority="4" operator="containsText" text="ت">
      <formula>NOT(ISERROR(SEARCH("ت",AC41)))</formula>
    </cfRule>
  </conditionalFormatting>
  <conditionalFormatting sqref="I42 O42 R42 V42 AA42">
    <cfRule type="cellIs" dxfId="30" priority="3" operator="between">
      <formula>0.00277777777777778</formula>
      <formula>1</formula>
    </cfRule>
  </conditionalFormatting>
  <conditionalFormatting sqref="AC42">
    <cfRule type="containsText" dxfId="29" priority="2" operator="containsText" text="ت">
      <formula>NOT(ISERROR(SEARCH("ت",AC42)))</formula>
    </cfRule>
  </conditionalFormatting>
  <conditionalFormatting sqref="AA1 I1 O1 R1 V1">
    <cfRule type="cellIs" dxfId="28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activeCell="AD1" sqref="AD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27" priority="7" operator="between">
      <formula>0.00277777777777778</formula>
      <formula>1</formula>
    </cfRule>
  </conditionalFormatting>
  <conditionalFormatting sqref="AC3:AC40">
    <cfRule type="containsText" dxfId="26" priority="6" operator="containsText" text="ت">
      <formula>NOT(ISERROR(SEARCH("ت",AC3)))</formula>
    </cfRule>
  </conditionalFormatting>
  <conditionalFormatting sqref="AA41">
    <cfRule type="cellIs" dxfId="25" priority="5" operator="between">
      <formula>0.00277777777777778</formula>
      <formula>1</formula>
    </cfRule>
  </conditionalFormatting>
  <conditionalFormatting sqref="AC41">
    <cfRule type="containsText" dxfId="24" priority="4" operator="containsText" text="ت">
      <formula>NOT(ISERROR(SEARCH("ت",AC41)))</formula>
    </cfRule>
  </conditionalFormatting>
  <conditionalFormatting sqref="I42 O42 R42 V42 AA42">
    <cfRule type="cellIs" dxfId="23" priority="3" operator="between">
      <formula>0.00277777777777778</formula>
      <formula>1</formula>
    </cfRule>
  </conditionalFormatting>
  <conditionalFormatting sqref="AC42">
    <cfRule type="containsText" dxfId="22" priority="2" operator="containsText" text="ت">
      <formula>NOT(ISERROR(SEARCH("ت",AC42)))</formula>
    </cfRule>
  </conditionalFormatting>
  <conditionalFormatting sqref="AA1 I1 O1 R1 V1">
    <cfRule type="cellIs" dxfId="21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topLeftCell="O1" workbookViewId="0">
      <selection activeCell="AD1" sqref="AD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20" priority="7" operator="between">
      <formula>0.00277777777777778</formula>
      <formula>1</formula>
    </cfRule>
  </conditionalFormatting>
  <conditionalFormatting sqref="AC3:AC40">
    <cfRule type="containsText" dxfId="19" priority="6" operator="containsText" text="ت">
      <formula>NOT(ISERROR(SEARCH("ت",AC3)))</formula>
    </cfRule>
  </conditionalFormatting>
  <conditionalFormatting sqref="AA41">
    <cfRule type="cellIs" dxfId="18" priority="5" operator="between">
      <formula>0.00277777777777778</formula>
      <formula>1</formula>
    </cfRule>
  </conditionalFormatting>
  <conditionalFormatting sqref="AC41">
    <cfRule type="containsText" dxfId="17" priority="4" operator="containsText" text="ت">
      <formula>NOT(ISERROR(SEARCH("ت",AC41)))</formula>
    </cfRule>
  </conditionalFormatting>
  <conditionalFormatting sqref="I42 O42 R42 V42 AA42">
    <cfRule type="cellIs" dxfId="16" priority="3" operator="between">
      <formula>0.00277777777777778</formula>
      <formula>1</formula>
    </cfRule>
  </conditionalFormatting>
  <conditionalFormatting sqref="AC42">
    <cfRule type="containsText" dxfId="15" priority="2" operator="containsText" text="ت">
      <formula>NOT(ISERROR(SEARCH("ت",AC42)))</formula>
    </cfRule>
  </conditionalFormatting>
  <conditionalFormatting sqref="AA1 I1 O1 R1 V1">
    <cfRule type="cellIs" dxfId="14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activeCell="AD1" sqref="AD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13" priority="7" operator="between">
      <formula>0.00277777777777778</formula>
      <formula>1</formula>
    </cfRule>
  </conditionalFormatting>
  <conditionalFormatting sqref="AC3:AC40">
    <cfRule type="containsText" dxfId="12" priority="6" operator="containsText" text="ت">
      <formula>NOT(ISERROR(SEARCH("ت",AC3)))</formula>
    </cfRule>
  </conditionalFormatting>
  <conditionalFormatting sqref="AA41">
    <cfRule type="cellIs" dxfId="11" priority="5" operator="between">
      <formula>0.00277777777777778</formula>
      <formula>1</formula>
    </cfRule>
  </conditionalFormatting>
  <conditionalFormatting sqref="AC41">
    <cfRule type="containsText" dxfId="10" priority="4" operator="containsText" text="ت">
      <formula>NOT(ISERROR(SEARCH("ت",AC41)))</formula>
    </cfRule>
  </conditionalFormatting>
  <conditionalFormatting sqref="I42 O42 R42 V42 AA42">
    <cfRule type="cellIs" dxfId="9" priority="3" operator="between">
      <formula>0.00277777777777778</formula>
      <formula>1</formula>
    </cfRule>
  </conditionalFormatting>
  <conditionalFormatting sqref="AC42">
    <cfRule type="containsText" dxfId="8" priority="2" operator="containsText" text="ت">
      <formula>NOT(ISERROR(SEARCH("ت",AC42)))</formula>
    </cfRule>
  </conditionalFormatting>
  <conditionalFormatting sqref="AA1 I1 O1 R1 V1">
    <cfRule type="cellIs" dxfId="7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rightToLeft="1" workbookViewId="0">
      <selection activeCell="AD1" sqref="AD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style="30" customWidth="1"/>
    <col min="5" max="5" width="17.140625" customWidth="1"/>
    <col min="6" max="6" width="20.85546875" customWidth="1"/>
    <col min="7" max="7" width="12.7109375" customWidth="1"/>
    <col min="8" max="8" width="12.85546875" customWidth="1"/>
    <col min="9" max="9" width="12.85546875" style="31" customWidth="1"/>
    <col min="10" max="10" width="12.5703125" customWidth="1"/>
    <col min="11" max="11" width="14.28515625" customWidth="1"/>
    <col min="12" max="12" width="22.7109375" customWidth="1"/>
    <col min="13" max="13" width="17.570312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bestFit="1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1" customWidth="1"/>
    <col min="30" max="30" width="20.7109375" customWidth="1"/>
  </cols>
  <sheetData>
    <row r="1" spans="1:30" ht="21.75" thickBot="1" x14ac:dyDescent="0.3">
      <c r="A1" s="50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0" ht="43.5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2" t="s">
        <v>17</v>
      </c>
      <c r="R2" s="9" t="s">
        <v>18</v>
      </c>
      <c r="S2" s="2" t="s">
        <v>19</v>
      </c>
      <c r="T2" s="9" t="s">
        <v>20</v>
      </c>
      <c r="U2" s="2" t="s">
        <v>21</v>
      </c>
      <c r="V2" s="9" t="s">
        <v>22</v>
      </c>
      <c r="W2" s="9" t="s">
        <v>23</v>
      </c>
      <c r="X2" s="2" t="s">
        <v>24</v>
      </c>
      <c r="Y2" s="2" t="s">
        <v>25</v>
      </c>
      <c r="Z2" s="2" t="s">
        <v>26</v>
      </c>
      <c r="AA2" s="9" t="s">
        <v>27</v>
      </c>
      <c r="AB2" s="2" t="s">
        <v>28</v>
      </c>
      <c r="AC2" s="10" t="s">
        <v>29</v>
      </c>
    </row>
    <row r="3" spans="1:30" ht="20.25" thickTop="1" thickBot="1" x14ac:dyDescent="0.3">
      <c r="A3" s="11">
        <v>1</v>
      </c>
      <c r="B3" s="12"/>
      <c r="C3" s="12" t="e">
        <f>VLOOKUP(B3,داتا!$B$3:$D$42,2,FALSE)</f>
        <v>#N/A</v>
      </c>
      <c r="D3" s="13" t="e">
        <f>VLOOKUP(B3,داتا!$B$3:$D$42,3,FALSE)</f>
        <v>#N/A</v>
      </c>
      <c r="E3" s="12"/>
      <c r="F3" s="12"/>
      <c r="G3" s="14">
        <v>0.29166666666666669</v>
      </c>
      <c r="H3" s="14"/>
      <c r="I3" s="14">
        <f>H3-G3</f>
        <v>-0.29166666666666669</v>
      </c>
      <c r="J3" s="14"/>
      <c r="K3" s="14"/>
      <c r="L3" s="14"/>
      <c r="M3" s="14"/>
      <c r="N3" s="14">
        <f>K3-J3</f>
        <v>0</v>
      </c>
      <c r="O3" s="19" t="e">
        <f t="shared" ref="O3:O41" si="0">N3-D3</f>
        <v>#N/A</v>
      </c>
      <c r="P3" s="14">
        <v>6.9444444444444441E-3</v>
      </c>
      <c r="Q3" s="14"/>
      <c r="R3" s="14">
        <f t="shared" ref="R3:R41" si="1">Q3-P3-K3</f>
        <v>-6.9444444444444441E-3</v>
      </c>
      <c r="S3" s="14"/>
      <c r="T3" s="14" t="e">
        <f>VLOOKUP(E3,'[1]22-1-2026'!$E$3:$T$13,16,FALSE)</f>
        <v>#N/A</v>
      </c>
      <c r="U3" s="14"/>
      <c r="V3" s="14" t="e">
        <f>U3-T3-S3</f>
        <v>#N/A</v>
      </c>
      <c r="W3" s="14"/>
      <c r="X3" s="14"/>
      <c r="Y3" s="14"/>
      <c r="Z3" s="14">
        <f>Y3-X3</f>
        <v>0</v>
      </c>
      <c r="AA3" s="14">
        <v>0</v>
      </c>
      <c r="AB3" s="14"/>
      <c r="AC3" s="15"/>
      <c r="AD3" s="51" t="s">
        <v>32</v>
      </c>
    </row>
    <row r="4" spans="1:30" ht="20.25" thickTop="1" thickBot="1" x14ac:dyDescent="0.3">
      <c r="A4" s="16">
        <v>2</v>
      </c>
      <c r="B4" s="17"/>
      <c r="C4" s="12" t="e">
        <f>VLOOKUP(B4,داتا!$B$3:$D$42,2,FALSE)</f>
        <v>#N/A</v>
      </c>
      <c r="D4" s="13" t="e">
        <f>VLOOKUP(B4,داتا!$B$3:$D$42,3,FALSE)</f>
        <v>#N/A</v>
      </c>
      <c r="E4" s="17"/>
      <c r="F4" s="17"/>
      <c r="G4" s="19">
        <v>0.29166666666666669</v>
      </c>
      <c r="H4" s="19"/>
      <c r="I4" s="19">
        <f t="shared" ref="I4:I41" si="2">H4-G4</f>
        <v>-0.29166666666666669</v>
      </c>
      <c r="J4" s="19"/>
      <c r="K4" s="19"/>
      <c r="L4" s="19"/>
      <c r="M4" s="19"/>
      <c r="N4" s="19">
        <f>K4-J4</f>
        <v>0</v>
      </c>
      <c r="O4" s="19" t="e">
        <f t="shared" si="0"/>
        <v>#N/A</v>
      </c>
      <c r="P4" s="19">
        <v>6.9444444444444441E-3</v>
      </c>
      <c r="Q4" s="19"/>
      <c r="R4" s="14">
        <f t="shared" si="1"/>
        <v>-6.9444444444444441E-3</v>
      </c>
      <c r="S4" s="19"/>
      <c r="T4" s="14" t="e">
        <f>VLOOKUP(E4,'[1]22-1-2026'!$E$3:$T$13,16,FALSE)</f>
        <v>#N/A</v>
      </c>
      <c r="U4" s="19"/>
      <c r="V4" s="14" t="e">
        <f t="shared" ref="V4:V41" si="3">U4-T4-S4</f>
        <v>#N/A</v>
      </c>
      <c r="W4" s="19"/>
      <c r="X4" s="19"/>
      <c r="Y4" s="19"/>
      <c r="Z4" s="19">
        <f t="shared" ref="Z4:Z41" si="4">Y4-X4</f>
        <v>0</v>
      </c>
      <c r="AA4" s="19">
        <f t="shared" ref="AA4:AA36" si="5">Z4-W4</f>
        <v>0</v>
      </c>
      <c r="AB4" s="19"/>
      <c r="AC4" s="20"/>
      <c r="AD4" s="52"/>
    </row>
    <row r="5" spans="1:30" ht="20.25" thickTop="1" thickBot="1" x14ac:dyDescent="0.3">
      <c r="A5" s="11">
        <v>3</v>
      </c>
      <c r="B5" s="17"/>
      <c r="C5" s="12" t="e">
        <f>VLOOKUP(B5,داتا!$B$3:$D$42,2,FALSE)</f>
        <v>#N/A</v>
      </c>
      <c r="D5" s="13" t="e">
        <f>VLOOKUP(B5,داتا!$B$3:$D$42,3,FALSE)</f>
        <v>#N/A</v>
      </c>
      <c r="E5" s="17"/>
      <c r="F5" s="17"/>
      <c r="G5" s="19">
        <v>0.29166666666666669</v>
      </c>
      <c r="H5" s="19"/>
      <c r="I5" s="19">
        <f t="shared" si="2"/>
        <v>-0.29166666666666669</v>
      </c>
      <c r="J5" s="19"/>
      <c r="K5" s="19"/>
      <c r="L5" s="19"/>
      <c r="M5" s="19"/>
      <c r="N5" s="19">
        <f t="shared" ref="N5:N41" si="6">K5-J5</f>
        <v>0</v>
      </c>
      <c r="O5" s="19" t="e">
        <f t="shared" si="0"/>
        <v>#N/A</v>
      </c>
      <c r="P5" s="19">
        <v>6.9444444444444441E-3</v>
      </c>
      <c r="Q5" s="19"/>
      <c r="R5" s="14">
        <f t="shared" si="1"/>
        <v>-6.9444444444444441E-3</v>
      </c>
      <c r="S5" s="19"/>
      <c r="T5" s="14" t="e">
        <f>VLOOKUP(E5,'[1]22-1-2026'!$E$3:$T$13,16,FALSE)</f>
        <v>#N/A</v>
      </c>
      <c r="U5" s="19"/>
      <c r="V5" s="14" t="e">
        <f t="shared" si="3"/>
        <v>#N/A</v>
      </c>
      <c r="W5" s="19"/>
      <c r="X5" s="19"/>
      <c r="Y5" s="19"/>
      <c r="Z5" s="19">
        <f t="shared" si="4"/>
        <v>0</v>
      </c>
      <c r="AA5" s="19">
        <f t="shared" si="5"/>
        <v>0</v>
      </c>
      <c r="AB5" s="19"/>
      <c r="AC5" s="20"/>
      <c r="AD5" s="52"/>
    </row>
    <row r="6" spans="1:30" ht="20.25" thickTop="1" thickBot="1" x14ac:dyDescent="0.3">
      <c r="A6" s="16">
        <v>4</v>
      </c>
      <c r="B6" s="17"/>
      <c r="C6" s="12" t="e">
        <f>VLOOKUP(B6,داتا!$B$3:$D$42,2,FALSE)</f>
        <v>#N/A</v>
      </c>
      <c r="D6" s="13" t="e">
        <f>VLOOKUP(B6,داتا!$B$3:$D$42,3,FALSE)</f>
        <v>#N/A</v>
      </c>
      <c r="E6" s="17"/>
      <c r="F6" s="17"/>
      <c r="G6" s="19">
        <v>0.29166666666666669</v>
      </c>
      <c r="H6" s="19"/>
      <c r="I6" s="19">
        <f t="shared" si="2"/>
        <v>-0.29166666666666669</v>
      </c>
      <c r="J6" s="19"/>
      <c r="K6" s="19"/>
      <c r="L6" s="19"/>
      <c r="M6" s="19"/>
      <c r="N6" s="19">
        <f t="shared" si="6"/>
        <v>0</v>
      </c>
      <c r="O6" s="19" t="e">
        <f t="shared" si="0"/>
        <v>#N/A</v>
      </c>
      <c r="P6" s="19">
        <v>6.9444444444444441E-3</v>
      </c>
      <c r="Q6" s="19"/>
      <c r="R6" s="14">
        <f t="shared" si="1"/>
        <v>-6.9444444444444441E-3</v>
      </c>
      <c r="S6" s="19"/>
      <c r="T6" s="14" t="e">
        <f>VLOOKUP(E6,'[1]22-1-2026'!$E$3:$T$13,16,FALSE)</f>
        <v>#N/A</v>
      </c>
      <c r="U6" s="19"/>
      <c r="V6" s="14" t="e">
        <f t="shared" si="3"/>
        <v>#N/A</v>
      </c>
      <c r="W6" s="19"/>
      <c r="X6" s="19"/>
      <c r="Y6" s="19"/>
      <c r="Z6" s="19">
        <f t="shared" si="4"/>
        <v>0</v>
      </c>
      <c r="AA6" s="19">
        <v>0</v>
      </c>
      <c r="AB6" s="19"/>
      <c r="AC6" s="20"/>
      <c r="AD6" s="52"/>
    </row>
    <row r="7" spans="1:30" ht="20.25" thickTop="1" thickBot="1" x14ac:dyDescent="0.3">
      <c r="A7" s="11">
        <v>5</v>
      </c>
      <c r="B7" s="17"/>
      <c r="C7" s="12" t="e">
        <f>VLOOKUP(B7,داتا!$B$3:$D$42,2,FALSE)</f>
        <v>#N/A</v>
      </c>
      <c r="D7" s="13" t="e">
        <f>VLOOKUP(B7,داتا!$B$3:$D$42,3,FALSE)</f>
        <v>#N/A</v>
      </c>
      <c r="E7" s="17"/>
      <c r="F7" s="17"/>
      <c r="G7" s="19">
        <v>0.29166666666666669</v>
      </c>
      <c r="H7" s="19"/>
      <c r="I7" s="19">
        <f t="shared" si="2"/>
        <v>-0.29166666666666669</v>
      </c>
      <c r="J7" s="19"/>
      <c r="K7" s="19"/>
      <c r="L7" s="19"/>
      <c r="M7" s="19"/>
      <c r="N7" s="19">
        <f t="shared" si="6"/>
        <v>0</v>
      </c>
      <c r="O7" s="19" t="e">
        <f t="shared" si="0"/>
        <v>#N/A</v>
      </c>
      <c r="P7" s="19">
        <v>6.9444444444444441E-3</v>
      </c>
      <c r="Q7" s="19"/>
      <c r="R7" s="14">
        <f t="shared" si="1"/>
        <v>-6.9444444444444441E-3</v>
      </c>
      <c r="S7" s="19"/>
      <c r="T7" s="14" t="e">
        <f>VLOOKUP(E7,'[1]22-1-2026'!$E$3:$T$13,16,FALSE)</f>
        <v>#N/A</v>
      </c>
      <c r="U7" s="19"/>
      <c r="V7" s="14" t="e">
        <f t="shared" si="3"/>
        <v>#N/A</v>
      </c>
      <c r="W7" s="19"/>
      <c r="X7" s="19"/>
      <c r="Y7" s="19"/>
      <c r="Z7" s="19">
        <f t="shared" si="4"/>
        <v>0</v>
      </c>
      <c r="AA7" s="19">
        <f t="shared" si="5"/>
        <v>0</v>
      </c>
      <c r="AB7" s="19"/>
      <c r="AC7" s="20"/>
      <c r="AD7" s="52"/>
    </row>
    <row r="8" spans="1:30" ht="20.25" thickTop="1" thickBot="1" x14ac:dyDescent="0.3">
      <c r="A8" s="16">
        <v>6</v>
      </c>
      <c r="B8" s="17"/>
      <c r="C8" s="12" t="e">
        <f>VLOOKUP(B8,داتا!$B$3:$D$42,2,FALSE)</f>
        <v>#N/A</v>
      </c>
      <c r="D8" s="13" t="e">
        <f>VLOOKUP(B8,داتا!$B$3:$D$42,3,FALSE)</f>
        <v>#N/A</v>
      </c>
      <c r="E8" s="17"/>
      <c r="F8" s="17"/>
      <c r="G8" s="19">
        <v>0.29166666666666669</v>
      </c>
      <c r="H8" s="19"/>
      <c r="I8" s="19">
        <f t="shared" si="2"/>
        <v>-0.29166666666666669</v>
      </c>
      <c r="J8" s="19"/>
      <c r="K8" s="19"/>
      <c r="L8" s="19"/>
      <c r="M8" s="19"/>
      <c r="N8" s="19">
        <f t="shared" si="6"/>
        <v>0</v>
      </c>
      <c r="O8" s="19" t="e">
        <f t="shared" si="0"/>
        <v>#N/A</v>
      </c>
      <c r="P8" s="19">
        <v>6.9444444444444441E-3</v>
      </c>
      <c r="Q8" s="19"/>
      <c r="R8" s="14">
        <f t="shared" si="1"/>
        <v>-6.9444444444444441E-3</v>
      </c>
      <c r="S8" s="19"/>
      <c r="T8" s="14" t="e">
        <f>VLOOKUP(E8,'[1]22-1-2026'!$E$3:$T$13,16,FALSE)</f>
        <v>#N/A</v>
      </c>
      <c r="U8" s="19"/>
      <c r="V8" s="14" t="e">
        <f t="shared" si="3"/>
        <v>#N/A</v>
      </c>
      <c r="W8" s="19"/>
      <c r="X8" s="19"/>
      <c r="Y8" s="19"/>
      <c r="Z8" s="19">
        <f t="shared" si="4"/>
        <v>0</v>
      </c>
      <c r="AA8" s="19">
        <f t="shared" si="5"/>
        <v>0</v>
      </c>
      <c r="AB8" s="19"/>
      <c r="AC8" s="20"/>
      <c r="AD8" s="52"/>
    </row>
    <row r="9" spans="1:30" ht="20.25" thickTop="1" thickBot="1" x14ac:dyDescent="0.3">
      <c r="A9" s="11">
        <v>7</v>
      </c>
      <c r="B9" s="17"/>
      <c r="C9" s="12" t="e">
        <f>VLOOKUP(B9,داتا!$B$3:$D$42,2,FALSE)</f>
        <v>#N/A</v>
      </c>
      <c r="D9" s="13" t="e">
        <f>VLOOKUP(B9,داتا!$B$3:$D$42,3,FALSE)</f>
        <v>#N/A</v>
      </c>
      <c r="E9" s="17"/>
      <c r="F9" s="17"/>
      <c r="G9" s="19">
        <v>0.29166666666666669</v>
      </c>
      <c r="H9" s="19"/>
      <c r="I9" s="19">
        <f t="shared" si="2"/>
        <v>-0.29166666666666669</v>
      </c>
      <c r="J9" s="19"/>
      <c r="K9" s="19"/>
      <c r="L9" s="19"/>
      <c r="M9" s="19"/>
      <c r="N9" s="19">
        <f t="shared" si="6"/>
        <v>0</v>
      </c>
      <c r="O9" s="19" t="e">
        <f t="shared" si="0"/>
        <v>#N/A</v>
      </c>
      <c r="P9" s="19">
        <v>6.9444444444444441E-3</v>
      </c>
      <c r="Q9" s="19"/>
      <c r="R9" s="14">
        <f t="shared" si="1"/>
        <v>-6.9444444444444441E-3</v>
      </c>
      <c r="S9" s="19"/>
      <c r="T9" s="14" t="e">
        <f>VLOOKUP(E9,'[1]22-1-2026'!$E$3:$T$13,16,FALSE)</f>
        <v>#N/A</v>
      </c>
      <c r="U9" s="19"/>
      <c r="V9" s="14" t="e">
        <f t="shared" si="3"/>
        <v>#N/A</v>
      </c>
      <c r="W9" s="19"/>
      <c r="X9" s="19"/>
      <c r="Y9" s="19"/>
      <c r="Z9" s="19">
        <f t="shared" si="4"/>
        <v>0</v>
      </c>
      <c r="AA9" s="19">
        <v>0</v>
      </c>
      <c r="AB9" s="19"/>
      <c r="AC9" s="20"/>
      <c r="AD9" s="52"/>
    </row>
    <row r="10" spans="1:30" ht="20.25" thickTop="1" thickBot="1" x14ac:dyDescent="0.3">
      <c r="A10" s="16">
        <v>8</v>
      </c>
      <c r="B10" s="17"/>
      <c r="C10" s="12" t="e">
        <f>VLOOKUP(B10,داتا!$B$3:$D$42,2,FALSE)</f>
        <v>#N/A</v>
      </c>
      <c r="D10" s="13" t="e">
        <f>VLOOKUP(B10,داتا!$B$3:$D$42,3,FALSE)</f>
        <v>#N/A</v>
      </c>
      <c r="E10" s="17"/>
      <c r="F10" s="17"/>
      <c r="G10" s="19">
        <v>0.29166666666666669</v>
      </c>
      <c r="H10" s="19"/>
      <c r="I10" s="19">
        <f t="shared" si="2"/>
        <v>-0.29166666666666669</v>
      </c>
      <c r="J10" s="19"/>
      <c r="K10" s="19"/>
      <c r="L10" s="19"/>
      <c r="M10" s="19"/>
      <c r="N10" s="19">
        <f t="shared" si="6"/>
        <v>0</v>
      </c>
      <c r="O10" s="19" t="e">
        <f t="shared" si="0"/>
        <v>#N/A</v>
      </c>
      <c r="P10" s="19">
        <v>6.9444444444444441E-3</v>
      </c>
      <c r="Q10" s="19"/>
      <c r="R10" s="14">
        <f t="shared" si="1"/>
        <v>-6.9444444444444441E-3</v>
      </c>
      <c r="S10" s="19"/>
      <c r="T10" s="14" t="e">
        <f>VLOOKUP(E10,'[1]22-1-2026'!$E$3:$T$13,16,FALSE)</f>
        <v>#N/A</v>
      </c>
      <c r="U10" s="19"/>
      <c r="V10" s="14" t="e">
        <f t="shared" si="3"/>
        <v>#N/A</v>
      </c>
      <c r="W10" s="19"/>
      <c r="X10" s="19"/>
      <c r="Y10" s="19"/>
      <c r="Z10" s="19">
        <f t="shared" si="4"/>
        <v>0</v>
      </c>
      <c r="AA10" s="19">
        <v>0</v>
      </c>
      <c r="AB10" s="19"/>
      <c r="AC10" s="20"/>
      <c r="AD10" s="52"/>
    </row>
    <row r="11" spans="1:30" ht="20.25" thickTop="1" thickBot="1" x14ac:dyDescent="0.3">
      <c r="A11" s="11">
        <v>9</v>
      </c>
      <c r="B11" s="17"/>
      <c r="C11" s="12" t="e">
        <f>VLOOKUP(B11,داتا!$B$3:$D$42,2,FALSE)</f>
        <v>#N/A</v>
      </c>
      <c r="D11" s="13" t="e">
        <f>VLOOKUP(B11,داتا!$B$3:$D$42,3,FALSE)</f>
        <v>#N/A</v>
      </c>
      <c r="E11" s="17"/>
      <c r="F11" s="17"/>
      <c r="G11" s="19">
        <v>0.29166666666666669</v>
      </c>
      <c r="H11" s="19"/>
      <c r="I11" s="19">
        <f t="shared" si="2"/>
        <v>-0.29166666666666669</v>
      </c>
      <c r="J11" s="19"/>
      <c r="K11" s="19"/>
      <c r="L11" s="19"/>
      <c r="M11" s="19"/>
      <c r="N11" s="19">
        <f t="shared" si="6"/>
        <v>0</v>
      </c>
      <c r="O11" s="19" t="e">
        <f t="shared" si="0"/>
        <v>#N/A</v>
      </c>
      <c r="P11" s="19">
        <v>6.9444444444444441E-3</v>
      </c>
      <c r="Q11" s="19"/>
      <c r="R11" s="14">
        <f t="shared" si="1"/>
        <v>-6.9444444444444441E-3</v>
      </c>
      <c r="S11" s="19"/>
      <c r="T11" s="14" t="e">
        <f>VLOOKUP(E11,'[1]22-1-2026'!$E$3:$T$13,16,FALSE)</f>
        <v>#N/A</v>
      </c>
      <c r="U11" s="19"/>
      <c r="V11" s="14" t="e">
        <f t="shared" si="3"/>
        <v>#N/A</v>
      </c>
      <c r="W11" s="19"/>
      <c r="X11" s="19"/>
      <c r="Y11" s="19"/>
      <c r="Z11" s="19">
        <f t="shared" si="4"/>
        <v>0</v>
      </c>
      <c r="AA11" s="19">
        <f t="shared" si="5"/>
        <v>0</v>
      </c>
      <c r="AB11" s="19"/>
      <c r="AC11" s="21"/>
      <c r="AD11" s="52"/>
    </row>
    <row r="12" spans="1:30" ht="22.5" thickTop="1" thickBot="1" x14ac:dyDescent="0.3">
      <c r="A12" s="16">
        <v>10</v>
      </c>
      <c r="B12" s="17"/>
      <c r="C12" s="12" t="e">
        <f>VLOOKUP(B12,داتا!$B$3:$D$42,2,FALSE)</f>
        <v>#N/A</v>
      </c>
      <c r="D12" s="13" t="e">
        <f>VLOOKUP(B12,داتا!$B$3:$D$42,3,FALSE)</f>
        <v>#N/A</v>
      </c>
      <c r="E12" s="17"/>
      <c r="F12" s="17"/>
      <c r="G12" s="19">
        <v>0.29166666666666669</v>
      </c>
      <c r="H12" s="19"/>
      <c r="I12" s="19">
        <f t="shared" si="2"/>
        <v>-0.29166666666666669</v>
      </c>
      <c r="J12" s="19"/>
      <c r="K12" s="19"/>
      <c r="L12" s="19"/>
      <c r="M12" s="19"/>
      <c r="N12" s="19">
        <f t="shared" si="6"/>
        <v>0</v>
      </c>
      <c r="O12" s="19" t="e">
        <f t="shared" si="0"/>
        <v>#N/A</v>
      </c>
      <c r="P12" s="19">
        <v>6.9444444444444441E-3</v>
      </c>
      <c r="Q12" s="19"/>
      <c r="R12" s="14">
        <f t="shared" si="1"/>
        <v>-6.9444444444444441E-3</v>
      </c>
      <c r="S12" s="19"/>
      <c r="T12" s="14" t="e">
        <f>VLOOKUP(E12,'[1]22-1-2026'!$E$3:$T$13,16,FALSE)</f>
        <v>#N/A</v>
      </c>
      <c r="U12" s="19"/>
      <c r="V12" s="14" t="e">
        <f t="shared" si="3"/>
        <v>#N/A</v>
      </c>
      <c r="W12" s="19"/>
      <c r="X12" s="19"/>
      <c r="Y12" s="19"/>
      <c r="Z12" s="19">
        <f t="shared" si="4"/>
        <v>0</v>
      </c>
      <c r="AA12" s="19">
        <v>0</v>
      </c>
      <c r="AB12" s="19"/>
      <c r="AC12" s="22"/>
      <c r="AD12" s="52"/>
    </row>
    <row r="13" spans="1:30" ht="22.5" thickTop="1" thickBot="1" x14ac:dyDescent="0.3">
      <c r="A13" s="11">
        <v>11</v>
      </c>
      <c r="B13" s="17"/>
      <c r="C13" s="12" t="e">
        <f>VLOOKUP(B13,داتا!$B$3:$D$42,2,FALSE)</f>
        <v>#N/A</v>
      </c>
      <c r="D13" s="13" t="e">
        <f>VLOOKUP(B13,داتا!$B$3:$D$42,3,FALSE)</f>
        <v>#N/A</v>
      </c>
      <c r="E13" s="17"/>
      <c r="F13" s="17"/>
      <c r="G13" s="19">
        <v>0.29166666666666669</v>
      </c>
      <c r="H13" s="19"/>
      <c r="I13" s="19">
        <f t="shared" si="2"/>
        <v>-0.29166666666666669</v>
      </c>
      <c r="J13" s="19"/>
      <c r="K13" s="19"/>
      <c r="L13" s="19"/>
      <c r="M13" s="19"/>
      <c r="N13" s="19">
        <f t="shared" si="6"/>
        <v>0</v>
      </c>
      <c r="O13" s="19" t="e">
        <f t="shared" si="0"/>
        <v>#N/A</v>
      </c>
      <c r="P13" s="19">
        <v>6.9444444444444441E-3</v>
      </c>
      <c r="Q13" s="19"/>
      <c r="R13" s="14">
        <f t="shared" si="1"/>
        <v>-6.9444444444444441E-3</v>
      </c>
      <c r="S13" s="19"/>
      <c r="T13" s="14" t="e">
        <f>VLOOKUP(E13,'[1]22-1-2026'!$E$3:$T$13,16,FALSE)</f>
        <v>#N/A</v>
      </c>
      <c r="U13" s="19"/>
      <c r="V13" s="14" t="e">
        <f t="shared" si="3"/>
        <v>#N/A</v>
      </c>
      <c r="W13" s="19"/>
      <c r="X13" s="19"/>
      <c r="Y13" s="19"/>
      <c r="Z13" s="19">
        <f t="shared" si="4"/>
        <v>0</v>
      </c>
      <c r="AA13" s="19">
        <f t="shared" si="5"/>
        <v>0</v>
      </c>
      <c r="AB13" s="19"/>
      <c r="AC13" s="22"/>
      <c r="AD13" s="52"/>
    </row>
    <row r="14" spans="1:30" ht="22.5" thickTop="1" thickBot="1" x14ac:dyDescent="0.3">
      <c r="A14" s="16">
        <v>12</v>
      </c>
      <c r="B14" s="17"/>
      <c r="C14" s="12" t="e">
        <f>VLOOKUP(B14,داتا!$B$3:$D$42,2,FALSE)</f>
        <v>#N/A</v>
      </c>
      <c r="D14" s="13" t="e">
        <f>VLOOKUP(B14,داتا!$B$3:$D$42,3,FALSE)</f>
        <v>#N/A</v>
      </c>
      <c r="E14" s="17"/>
      <c r="F14" s="17"/>
      <c r="G14" s="19">
        <v>0.29166666666666669</v>
      </c>
      <c r="H14" s="19"/>
      <c r="I14" s="19">
        <f t="shared" si="2"/>
        <v>-0.29166666666666669</v>
      </c>
      <c r="J14" s="19"/>
      <c r="K14" s="19"/>
      <c r="L14" s="19"/>
      <c r="M14" s="19"/>
      <c r="N14" s="19">
        <f t="shared" si="6"/>
        <v>0</v>
      </c>
      <c r="O14" s="19" t="e">
        <f t="shared" si="0"/>
        <v>#N/A</v>
      </c>
      <c r="P14" s="19">
        <v>6.9444444444444441E-3</v>
      </c>
      <c r="Q14" s="19"/>
      <c r="R14" s="14">
        <f t="shared" si="1"/>
        <v>-6.9444444444444441E-3</v>
      </c>
      <c r="S14" s="19"/>
      <c r="T14" s="14" t="e">
        <f>VLOOKUP(E14,'[1]22-1-2026'!$E$3:$T$13,16,FALSE)</f>
        <v>#N/A</v>
      </c>
      <c r="U14" s="19"/>
      <c r="V14" s="14" t="e">
        <f t="shared" si="3"/>
        <v>#N/A</v>
      </c>
      <c r="W14" s="19"/>
      <c r="X14" s="19"/>
      <c r="Y14" s="19"/>
      <c r="Z14" s="19">
        <f t="shared" si="4"/>
        <v>0</v>
      </c>
      <c r="AA14" s="19">
        <f t="shared" si="5"/>
        <v>0</v>
      </c>
      <c r="AB14" s="19"/>
      <c r="AC14" s="22"/>
      <c r="AD14" s="52"/>
    </row>
    <row r="15" spans="1:30" ht="22.5" thickTop="1" thickBot="1" x14ac:dyDescent="0.3">
      <c r="A15" s="11">
        <v>13</v>
      </c>
      <c r="B15" s="23"/>
      <c r="C15" s="12" t="e">
        <f>VLOOKUP(B15,داتا!$B$3:$D$42,2,FALSE)</f>
        <v>#N/A</v>
      </c>
      <c r="D15" s="13" t="e">
        <f>VLOOKUP(B15,داتا!$B$3:$D$42,3,FALSE)</f>
        <v>#N/A</v>
      </c>
      <c r="E15" s="23"/>
      <c r="F15" s="23"/>
      <c r="G15" s="25">
        <v>0.29166666666666669</v>
      </c>
      <c r="H15" s="25"/>
      <c r="I15" s="19">
        <f t="shared" si="2"/>
        <v>-0.29166666666666669</v>
      </c>
      <c r="J15" s="25"/>
      <c r="K15" s="25"/>
      <c r="L15" s="25"/>
      <c r="M15" s="25"/>
      <c r="N15" s="25">
        <f t="shared" si="6"/>
        <v>0</v>
      </c>
      <c r="O15" s="19" t="e">
        <f t="shared" si="0"/>
        <v>#N/A</v>
      </c>
      <c r="P15" s="25">
        <v>6.9444444444444441E-3</v>
      </c>
      <c r="Q15" s="25"/>
      <c r="R15" s="14">
        <f t="shared" si="1"/>
        <v>-6.9444444444444441E-3</v>
      </c>
      <c r="S15" s="25"/>
      <c r="T15" s="14" t="e">
        <f>VLOOKUP(E15,'[1]22-1-2026'!$E$3:$T$13,16,FALSE)</f>
        <v>#N/A</v>
      </c>
      <c r="U15" s="25"/>
      <c r="V15" s="14" t="e">
        <f t="shared" si="3"/>
        <v>#N/A</v>
      </c>
      <c r="W15" s="25"/>
      <c r="X15" s="25"/>
      <c r="Y15" s="25"/>
      <c r="Z15" s="25">
        <f t="shared" si="4"/>
        <v>0</v>
      </c>
      <c r="AA15" s="25">
        <f t="shared" si="5"/>
        <v>0</v>
      </c>
      <c r="AB15" s="25"/>
      <c r="AC15" s="26"/>
      <c r="AD15" s="53"/>
    </row>
    <row r="16" spans="1:30" ht="20.25" thickTop="1" thickBot="1" x14ac:dyDescent="0.3">
      <c r="A16" s="16">
        <v>1</v>
      </c>
      <c r="B16" s="12"/>
      <c r="C16" s="12" t="e">
        <f>VLOOKUP(B16,داتا!$B$3:$D$42,2,FALSE)</f>
        <v>#N/A</v>
      </c>
      <c r="D16" s="13" t="e">
        <f>VLOOKUP(B16,داتا!$B$3:$D$42,3,FALSE)</f>
        <v>#N/A</v>
      </c>
      <c r="E16" s="12"/>
      <c r="F16" s="12"/>
      <c r="G16" s="14">
        <v>0.29166666666666669</v>
      </c>
      <c r="H16" s="14" t="e">
        <f>VLOOKUP(F16,$F$3:$H$12,3,FALSE)</f>
        <v>#N/A</v>
      </c>
      <c r="I16" s="19" t="e">
        <f t="shared" si="2"/>
        <v>#N/A</v>
      </c>
      <c r="J16" s="14"/>
      <c r="K16" s="14"/>
      <c r="L16" s="14"/>
      <c r="M16" s="14"/>
      <c r="N16" s="14">
        <f t="shared" si="6"/>
        <v>0</v>
      </c>
      <c r="O16" s="19" t="e">
        <f t="shared" si="0"/>
        <v>#N/A</v>
      </c>
      <c r="P16" s="14">
        <v>6.9444444444444441E-3</v>
      </c>
      <c r="Q16" s="14"/>
      <c r="R16" s="14">
        <f t="shared" si="1"/>
        <v>-6.9444444444444441E-3</v>
      </c>
      <c r="S16" s="14"/>
      <c r="T16" s="14" t="e">
        <f>VLOOKUP(E16,'[1]22-1-2026'!$E$3:$T$13,16,FALSE)</f>
        <v>#N/A</v>
      </c>
      <c r="U16" s="14"/>
      <c r="V16" s="14" t="e">
        <f t="shared" si="3"/>
        <v>#N/A</v>
      </c>
      <c r="W16" s="14"/>
      <c r="X16" s="14"/>
      <c r="Y16" s="14"/>
      <c r="Z16" s="14">
        <f t="shared" si="4"/>
        <v>0</v>
      </c>
      <c r="AA16" s="14">
        <f t="shared" si="5"/>
        <v>0</v>
      </c>
      <c r="AB16" s="14"/>
      <c r="AC16" s="27"/>
      <c r="AD16" s="51" t="s">
        <v>54</v>
      </c>
    </row>
    <row r="17" spans="1:30" ht="20.25" thickTop="1" thickBot="1" x14ac:dyDescent="0.3">
      <c r="A17" s="11">
        <v>2</v>
      </c>
      <c r="B17" s="17"/>
      <c r="C17" s="12" t="e">
        <f>VLOOKUP(B17,داتا!$B$3:$D$42,2,FALSE)</f>
        <v>#N/A</v>
      </c>
      <c r="D17" s="13" t="e">
        <f>VLOOKUP(B17,داتا!$B$3:$D$42,3,FALSE)</f>
        <v>#N/A</v>
      </c>
      <c r="E17" s="17"/>
      <c r="F17" s="17"/>
      <c r="G17" s="19">
        <v>0.29166666666666669</v>
      </c>
      <c r="H17" s="14" t="e">
        <f t="shared" ref="H17:H41" si="7">VLOOKUP(F17,$F$3:$H$12,3,FALSE)</f>
        <v>#N/A</v>
      </c>
      <c r="I17" s="19" t="e">
        <f t="shared" si="2"/>
        <v>#N/A</v>
      </c>
      <c r="J17" s="19"/>
      <c r="K17" s="19"/>
      <c r="L17" s="19"/>
      <c r="M17" s="19"/>
      <c r="N17" s="19">
        <f t="shared" si="6"/>
        <v>0</v>
      </c>
      <c r="O17" s="19" t="e">
        <f t="shared" si="0"/>
        <v>#N/A</v>
      </c>
      <c r="P17" s="19">
        <v>6.9444444444444441E-3</v>
      </c>
      <c r="Q17" s="19"/>
      <c r="R17" s="14">
        <f t="shared" si="1"/>
        <v>-6.9444444444444441E-3</v>
      </c>
      <c r="S17" s="19"/>
      <c r="T17" s="14" t="e">
        <f>VLOOKUP(E17,'[1]22-1-2026'!$E$3:$T$13,16,FALSE)</f>
        <v>#N/A</v>
      </c>
      <c r="U17" s="19"/>
      <c r="V17" s="14" t="e">
        <f t="shared" si="3"/>
        <v>#N/A</v>
      </c>
      <c r="W17" s="19"/>
      <c r="X17" s="19"/>
      <c r="Y17" s="19"/>
      <c r="Z17" s="19">
        <f t="shared" si="4"/>
        <v>0</v>
      </c>
      <c r="AA17" s="19">
        <f t="shared" si="5"/>
        <v>0</v>
      </c>
      <c r="AB17" s="19"/>
      <c r="AC17" s="20"/>
      <c r="AD17" s="52"/>
    </row>
    <row r="18" spans="1:30" ht="22.5" thickTop="1" thickBot="1" x14ac:dyDescent="0.3">
      <c r="A18" s="16">
        <v>3</v>
      </c>
      <c r="B18" s="17"/>
      <c r="C18" s="12" t="e">
        <f>VLOOKUP(B18,داتا!$B$3:$D$42,2,FALSE)</f>
        <v>#N/A</v>
      </c>
      <c r="D18" s="13" t="e">
        <f>VLOOKUP(B18,داتا!$B$3:$D$42,3,FALSE)</f>
        <v>#N/A</v>
      </c>
      <c r="E18" s="17"/>
      <c r="F18" s="17"/>
      <c r="G18" s="19">
        <v>0.29166666666666669</v>
      </c>
      <c r="H18" s="14" t="e">
        <f t="shared" si="7"/>
        <v>#N/A</v>
      </c>
      <c r="I18" s="19" t="e">
        <f t="shared" si="2"/>
        <v>#N/A</v>
      </c>
      <c r="J18" s="19"/>
      <c r="K18" s="19"/>
      <c r="L18" s="19"/>
      <c r="M18" s="19"/>
      <c r="N18" s="19">
        <f t="shared" si="6"/>
        <v>0</v>
      </c>
      <c r="O18" s="19" t="e">
        <f t="shared" si="0"/>
        <v>#N/A</v>
      </c>
      <c r="P18" s="19">
        <v>6.9444444444444441E-3</v>
      </c>
      <c r="Q18" s="19"/>
      <c r="R18" s="14">
        <f t="shared" si="1"/>
        <v>-6.9444444444444441E-3</v>
      </c>
      <c r="S18" s="19"/>
      <c r="T18" s="14" t="e">
        <f>VLOOKUP(E18,'[1]22-1-2026'!$E$3:$T$13,16,FALSE)</f>
        <v>#N/A</v>
      </c>
      <c r="U18" s="19"/>
      <c r="V18" s="14" t="e">
        <f t="shared" si="3"/>
        <v>#N/A</v>
      </c>
      <c r="W18" s="19"/>
      <c r="X18" s="19"/>
      <c r="Y18" s="19"/>
      <c r="Z18" s="19">
        <f t="shared" si="4"/>
        <v>0</v>
      </c>
      <c r="AA18" s="19">
        <f t="shared" si="5"/>
        <v>0</v>
      </c>
      <c r="AB18" s="19"/>
      <c r="AC18" s="22"/>
      <c r="AD18" s="52"/>
    </row>
    <row r="19" spans="1:30" ht="20.25" thickTop="1" thickBot="1" x14ac:dyDescent="0.3">
      <c r="A19" s="16">
        <v>4</v>
      </c>
      <c r="B19" s="17"/>
      <c r="C19" s="12" t="e">
        <f>VLOOKUP(B19,داتا!$B$3:$D$42,2,FALSE)</f>
        <v>#N/A</v>
      </c>
      <c r="D19" s="13" t="e">
        <f>VLOOKUP(B19,داتا!$B$3:$D$42,3,FALSE)</f>
        <v>#N/A</v>
      </c>
      <c r="E19" s="17"/>
      <c r="F19" s="17"/>
      <c r="G19" s="19">
        <v>0.29166666666666669</v>
      </c>
      <c r="H19" s="14" t="e">
        <f t="shared" si="7"/>
        <v>#N/A</v>
      </c>
      <c r="I19" s="19" t="e">
        <f t="shared" si="2"/>
        <v>#N/A</v>
      </c>
      <c r="J19" s="19"/>
      <c r="K19" s="19"/>
      <c r="L19" s="19"/>
      <c r="M19" s="19"/>
      <c r="N19" s="19">
        <f t="shared" si="6"/>
        <v>0</v>
      </c>
      <c r="O19" s="19" t="e">
        <f t="shared" si="0"/>
        <v>#N/A</v>
      </c>
      <c r="P19" s="19">
        <v>6.9444444444444441E-3</v>
      </c>
      <c r="Q19" s="19"/>
      <c r="R19" s="14">
        <f t="shared" si="1"/>
        <v>-6.9444444444444441E-3</v>
      </c>
      <c r="S19" s="19"/>
      <c r="T19" s="14" t="e">
        <f>VLOOKUP(E19,'[1]22-1-2026'!$E$3:$T$13,16,FALSE)</f>
        <v>#N/A</v>
      </c>
      <c r="U19" s="19"/>
      <c r="V19" s="14" t="e">
        <f t="shared" si="3"/>
        <v>#N/A</v>
      </c>
      <c r="W19" s="19"/>
      <c r="X19" s="19"/>
      <c r="Y19" s="19"/>
      <c r="Z19" s="19">
        <f t="shared" si="4"/>
        <v>0</v>
      </c>
      <c r="AA19" s="19">
        <f t="shared" si="5"/>
        <v>0</v>
      </c>
      <c r="AB19" s="19"/>
      <c r="AC19" s="20"/>
      <c r="AD19" s="52"/>
    </row>
    <row r="20" spans="1:30" ht="20.25" thickTop="1" thickBot="1" x14ac:dyDescent="0.3">
      <c r="A20" s="11">
        <v>5</v>
      </c>
      <c r="B20" s="17"/>
      <c r="C20" s="12" t="e">
        <f>VLOOKUP(B20,داتا!$B$3:$D$42,2,FALSE)</f>
        <v>#N/A</v>
      </c>
      <c r="D20" s="13" t="e">
        <f>VLOOKUP(B20,داتا!$B$3:$D$42,3,FALSE)</f>
        <v>#N/A</v>
      </c>
      <c r="E20" s="17"/>
      <c r="F20" s="17"/>
      <c r="G20" s="19">
        <v>0.29166666666666669</v>
      </c>
      <c r="H20" s="14" t="e">
        <f t="shared" si="7"/>
        <v>#N/A</v>
      </c>
      <c r="I20" s="19" t="e">
        <f t="shared" si="2"/>
        <v>#N/A</v>
      </c>
      <c r="J20" s="19"/>
      <c r="K20" s="19"/>
      <c r="L20" s="19"/>
      <c r="M20" s="19"/>
      <c r="N20" s="19">
        <f t="shared" si="6"/>
        <v>0</v>
      </c>
      <c r="O20" s="19" t="e">
        <f t="shared" si="0"/>
        <v>#N/A</v>
      </c>
      <c r="P20" s="19">
        <v>6.9444444444444441E-3</v>
      </c>
      <c r="Q20" s="19"/>
      <c r="R20" s="14">
        <f t="shared" si="1"/>
        <v>-6.9444444444444441E-3</v>
      </c>
      <c r="S20" s="19"/>
      <c r="T20" s="14" t="e">
        <f>VLOOKUP(E20,'[1]22-1-2026'!$E$3:$T$13,16,FALSE)</f>
        <v>#N/A</v>
      </c>
      <c r="U20" s="19"/>
      <c r="V20" s="14" t="e">
        <f t="shared" si="3"/>
        <v>#N/A</v>
      </c>
      <c r="W20" s="19"/>
      <c r="X20" s="19"/>
      <c r="Y20" s="19"/>
      <c r="Z20" s="19">
        <f t="shared" si="4"/>
        <v>0</v>
      </c>
      <c r="AA20" s="19">
        <v>0</v>
      </c>
      <c r="AB20" s="19"/>
      <c r="AC20" s="20"/>
      <c r="AD20" s="52"/>
    </row>
    <row r="21" spans="1:30" ht="20.25" thickTop="1" thickBot="1" x14ac:dyDescent="0.3">
      <c r="A21" s="16">
        <v>6</v>
      </c>
      <c r="B21" s="17"/>
      <c r="C21" s="12" t="e">
        <f>VLOOKUP(B21,داتا!$B$3:$D$42,2,FALSE)</f>
        <v>#N/A</v>
      </c>
      <c r="D21" s="13" t="e">
        <f>VLOOKUP(B21,داتا!$B$3:$D$42,3,FALSE)</f>
        <v>#N/A</v>
      </c>
      <c r="E21" s="17"/>
      <c r="F21" s="17"/>
      <c r="G21" s="19">
        <v>0.29166666666666669</v>
      </c>
      <c r="H21" s="14" t="e">
        <f t="shared" si="7"/>
        <v>#N/A</v>
      </c>
      <c r="I21" s="19" t="e">
        <f t="shared" si="2"/>
        <v>#N/A</v>
      </c>
      <c r="J21" s="19"/>
      <c r="K21" s="19"/>
      <c r="L21" s="19"/>
      <c r="M21" s="19"/>
      <c r="N21" s="19">
        <f t="shared" si="6"/>
        <v>0</v>
      </c>
      <c r="O21" s="19" t="e">
        <f t="shared" si="0"/>
        <v>#N/A</v>
      </c>
      <c r="P21" s="19">
        <v>6.9444444444444441E-3</v>
      </c>
      <c r="Q21" s="19"/>
      <c r="R21" s="14">
        <f t="shared" si="1"/>
        <v>-6.9444444444444441E-3</v>
      </c>
      <c r="S21" s="19"/>
      <c r="T21" s="14" t="e">
        <f>VLOOKUP(E21,'[1]22-1-2026'!$E$3:$T$13,16,FALSE)</f>
        <v>#N/A</v>
      </c>
      <c r="U21" s="19"/>
      <c r="V21" s="14" t="e">
        <f t="shared" si="3"/>
        <v>#N/A</v>
      </c>
      <c r="W21" s="19"/>
      <c r="X21" s="19"/>
      <c r="Y21" s="19"/>
      <c r="Z21" s="19">
        <f t="shared" si="4"/>
        <v>0</v>
      </c>
      <c r="AA21" s="19">
        <f t="shared" si="5"/>
        <v>0</v>
      </c>
      <c r="AB21" s="19"/>
      <c r="AC21" s="20"/>
      <c r="AD21" s="52"/>
    </row>
    <row r="22" spans="1:30" ht="20.25" thickTop="1" thickBot="1" x14ac:dyDescent="0.3">
      <c r="A22" s="16">
        <v>7</v>
      </c>
      <c r="B22" s="17"/>
      <c r="C22" s="12" t="e">
        <f>VLOOKUP(B22,داتا!$B$3:$D$42,2,FALSE)</f>
        <v>#N/A</v>
      </c>
      <c r="D22" s="13" t="e">
        <f>VLOOKUP(B22,داتا!$B$3:$D$42,3,FALSE)</f>
        <v>#N/A</v>
      </c>
      <c r="E22" s="17"/>
      <c r="F22" s="17"/>
      <c r="G22" s="19">
        <v>0.29166666666666669</v>
      </c>
      <c r="H22" s="14" t="e">
        <f t="shared" si="7"/>
        <v>#N/A</v>
      </c>
      <c r="I22" s="19" t="e">
        <f t="shared" si="2"/>
        <v>#N/A</v>
      </c>
      <c r="J22" s="19"/>
      <c r="K22" s="19"/>
      <c r="L22" s="19"/>
      <c r="M22" s="19"/>
      <c r="N22" s="19">
        <f t="shared" si="6"/>
        <v>0</v>
      </c>
      <c r="O22" s="19" t="e">
        <f t="shared" si="0"/>
        <v>#N/A</v>
      </c>
      <c r="P22" s="19">
        <v>6.9444444444444441E-3</v>
      </c>
      <c r="Q22" s="19"/>
      <c r="R22" s="14">
        <f t="shared" si="1"/>
        <v>-6.9444444444444441E-3</v>
      </c>
      <c r="S22" s="19"/>
      <c r="T22" s="14" t="e">
        <f>VLOOKUP(E22,'[1]22-1-2026'!$E$3:$T$13,16,FALSE)</f>
        <v>#N/A</v>
      </c>
      <c r="U22" s="19"/>
      <c r="V22" s="14" t="e">
        <f t="shared" si="3"/>
        <v>#N/A</v>
      </c>
      <c r="W22" s="19"/>
      <c r="X22" s="19"/>
      <c r="Y22" s="19"/>
      <c r="Z22" s="19">
        <f t="shared" si="4"/>
        <v>0</v>
      </c>
      <c r="AA22" s="19">
        <v>0</v>
      </c>
      <c r="AB22" s="19"/>
      <c r="AC22" s="20"/>
      <c r="AD22" s="52"/>
    </row>
    <row r="23" spans="1:30" ht="20.25" thickTop="1" thickBot="1" x14ac:dyDescent="0.3">
      <c r="A23" s="11">
        <v>8</v>
      </c>
      <c r="B23" s="17"/>
      <c r="C23" s="12" t="e">
        <f>VLOOKUP(B23,داتا!$B$3:$D$42,2,FALSE)</f>
        <v>#N/A</v>
      </c>
      <c r="D23" s="13" t="e">
        <f>VLOOKUP(B23,داتا!$B$3:$D$42,3,FALSE)</f>
        <v>#N/A</v>
      </c>
      <c r="E23" s="17"/>
      <c r="F23" s="17"/>
      <c r="G23" s="19">
        <v>0.29166666666666669</v>
      </c>
      <c r="H23" s="14" t="e">
        <f t="shared" si="7"/>
        <v>#N/A</v>
      </c>
      <c r="I23" s="19" t="e">
        <f t="shared" si="2"/>
        <v>#N/A</v>
      </c>
      <c r="J23" s="19"/>
      <c r="K23" s="19"/>
      <c r="L23" s="19"/>
      <c r="M23" s="19"/>
      <c r="N23" s="19">
        <f t="shared" si="6"/>
        <v>0</v>
      </c>
      <c r="O23" s="19" t="e">
        <f t="shared" si="0"/>
        <v>#N/A</v>
      </c>
      <c r="P23" s="19">
        <v>6.9444444444444441E-3</v>
      </c>
      <c r="Q23" s="19"/>
      <c r="R23" s="14">
        <f t="shared" si="1"/>
        <v>-6.9444444444444441E-3</v>
      </c>
      <c r="S23" s="19"/>
      <c r="T23" s="14" t="e">
        <f>VLOOKUP(E23,'[1]22-1-2026'!$E$3:$T$13,16,FALSE)</f>
        <v>#N/A</v>
      </c>
      <c r="U23" s="19"/>
      <c r="V23" s="14" t="e">
        <f t="shared" si="3"/>
        <v>#N/A</v>
      </c>
      <c r="W23" s="19"/>
      <c r="X23" s="19"/>
      <c r="Y23" s="19"/>
      <c r="Z23" s="19">
        <f t="shared" si="4"/>
        <v>0</v>
      </c>
      <c r="AA23" s="19">
        <v>0</v>
      </c>
      <c r="AB23" s="19"/>
      <c r="AC23" s="20"/>
      <c r="AD23" s="52"/>
    </row>
    <row r="24" spans="1:30" ht="20.25" thickTop="1" thickBot="1" x14ac:dyDescent="0.3">
      <c r="A24" s="16">
        <v>9</v>
      </c>
      <c r="B24" s="17"/>
      <c r="C24" s="12" t="e">
        <f>VLOOKUP(B24,داتا!$B$3:$D$42,2,FALSE)</f>
        <v>#N/A</v>
      </c>
      <c r="D24" s="13" t="e">
        <f>VLOOKUP(B24,داتا!$B$3:$D$42,3,FALSE)</f>
        <v>#N/A</v>
      </c>
      <c r="E24" s="17"/>
      <c r="F24" s="17"/>
      <c r="G24" s="19">
        <v>0.29166666666666669</v>
      </c>
      <c r="H24" s="14" t="e">
        <f t="shared" si="7"/>
        <v>#N/A</v>
      </c>
      <c r="I24" s="19" t="e">
        <f t="shared" si="2"/>
        <v>#N/A</v>
      </c>
      <c r="J24" s="19"/>
      <c r="K24" s="19"/>
      <c r="L24" s="19"/>
      <c r="M24" s="19"/>
      <c r="N24" s="19">
        <f t="shared" si="6"/>
        <v>0</v>
      </c>
      <c r="O24" s="19" t="e">
        <f t="shared" si="0"/>
        <v>#N/A</v>
      </c>
      <c r="P24" s="19">
        <v>6.9444444444444441E-3</v>
      </c>
      <c r="Q24" s="19"/>
      <c r="R24" s="14">
        <f t="shared" si="1"/>
        <v>-6.9444444444444441E-3</v>
      </c>
      <c r="S24" s="19"/>
      <c r="T24" s="14" t="e">
        <f>VLOOKUP(E24,'[1]22-1-2026'!$E$3:$T$13,16,FALSE)</f>
        <v>#N/A</v>
      </c>
      <c r="U24" s="19"/>
      <c r="V24" s="14" t="e">
        <f t="shared" si="3"/>
        <v>#N/A</v>
      </c>
      <c r="W24" s="19"/>
      <c r="X24" s="19"/>
      <c r="Y24" s="19"/>
      <c r="Z24" s="19">
        <f t="shared" si="4"/>
        <v>0</v>
      </c>
      <c r="AA24" s="19">
        <f t="shared" si="5"/>
        <v>0</v>
      </c>
      <c r="AB24" s="19"/>
      <c r="AC24" s="20"/>
      <c r="AD24" s="52"/>
    </row>
    <row r="25" spans="1:30" ht="20.25" thickTop="1" thickBot="1" x14ac:dyDescent="0.3">
      <c r="A25" s="16">
        <v>10</v>
      </c>
      <c r="B25" s="17"/>
      <c r="C25" s="12" t="e">
        <f>VLOOKUP(B25,داتا!$B$3:$D$42,2,FALSE)</f>
        <v>#N/A</v>
      </c>
      <c r="D25" s="13" t="e">
        <f>VLOOKUP(B25,داتا!$B$3:$D$42,3,FALSE)</f>
        <v>#N/A</v>
      </c>
      <c r="E25" s="17"/>
      <c r="F25" s="17"/>
      <c r="G25" s="19">
        <v>0.29166666666666669</v>
      </c>
      <c r="H25" s="14" t="e">
        <f t="shared" si="7"/>
        <v>#N/A</v>
      </c>
      <c r="I25" s="19" t="e">
        <f t="shared" si="2"/>
        <v>#N/A</v>
      </c>
      <c r="J25" s="19"/>
      <c r="K25" s="19"/>
      <c r="L25" s="19"/>
      <c r="M25" s="19"/>
      <c r="N25" s="19">
        <f t="shared" si="6"/>
        <v>0</v>
      </c>
      <c r="O25" s="19" t="e">
        <f t="shared" si="0"/>
        <v>#N/A</v>
      </c>
      <c r="P25" s="19">
        <v>6.9444444444444441E-3</v>
      </c>
      <c r="Q25" s="19"/>
      <c r="R25" s="14">
        <f t="shared" si="1"/>
        <v>-6.9444444444444441E-3</v>
      </c>
      <c r="S25" s="19"/>
      <c r="T25" s="14" t="e">
        <f>VLOOKUP(E25,'[1]22-1-2026'!$E$3:$T$13,16,FALSE)</f>
        <v>#N/A</v>
      </c>
      <c r="U25" s="19"/>
      <c r="V25" s="14" t="e">
        <f t="shared" si="3"/>
        <v>#N/A</v>
      </c>
      <c r="W25" s="19"/>
      <c r="X25" s="19"/>
      <c r="Y25" s="19"/>
      <c r="Z25" s="19">
        <f t="shared" si="4"/>
        <v>0</v>
      </c>
      <c r="AA25" s="19">
        <v>0</v>
      </c>
      <c r="AB25" s="19"/>
      <c r="AC25" s="20"/>
      <c r="AD25" s="52"/>
    </row>
    <row r="26" spans="1:30" ht="20.25" thickTop="1" thickBot="1" x14ac:dyDescent="0.3">
      <c r="A26" s="11">
        <v>11</v>
      </c>
      <c r="B26" s="17"/>
      <c r="C26" s="12" t="e">
        <f>VLOOKUP(B26,داتا!$B$3:$D$42,2,FALSE)</f>
        <v>#N/A</v>
      </c>
      <c r="D26" s="13" t="e">
        <f>VLOOKUP(B26,داتا!$B$3:$D$42,3,FALSE)</f>
        <v>#N/A</v>
      </c>
      <c r="E26" s="17"/>
      <c r="F26" s="17"/>
      <c r="G26" s="19">
        <v>0.29166666666666669</v>
      </c>
      <c r="H26" s="14" t="e">
        <f t="shared" si="7"/>
        <v>#N/A</v>
      </c>
      <c r="I26" s="19" t="e">
        <f t="shared" si="2"/>
        <v>#N/A</v>
      </c>
      <c r="J26" s="19"/>
      <c r="K26" s="19"/>
      <c r="L26" s="19"/>
      <c r="M26" s="19"/>
      <c r="N26" s="19">
        <f t="shared" si="6"/>
        <v>0</v>
      </c>
      <c r="O26" s="19" t="e">
        <f t="shared" si="0"/>
        <v>#N/A</v>
      </c>
      <c r="P26" s="19">
        <v>6.9444444444444441E-3</v>
      </c>
      <c r="Q26" s="19"/>
      <c r="R26" s="14">
        <f t="shared" si="1"/>
        <v>-6.9444444444444441E-3</v>
      </c>
      <c r="S26" s="19"/>
      <c r="T26" s="14" t="e">
        <f>VLOOKUP(E26,'[1]22-1-2026'!$E$3:$T$13,16,FALSE)</f>
        <v>#N/A</v>
      </c>
      <c r="U26" s="19"/>
      <c r="V26" s="14" t="e">
        <f t="shared" si="3"/>
        <v>#N/A</v>
      </c>
      <c r="W26" s="19"/>
      <c r="X26" s="19"/>
      <c r="Y26" s="19"/>
      <c r="Z26" s="19">
        <f t="shared" si="4"/>
        <v>0</v>
      </c>
      <c r="AA26" s="19">
        <v>0</v>
      </c>
      <c r="AB26" s="19"/>
      <c r="AC26" s="20"/>
      <c r="AD26" s="52"/>
    </row>
    <row r="27" spans="1:30" ht="20.25" thickTop="1" thickBot="1" x14ac:dyDescent="0.3">
      <c r="A27" s="16">
        <v>12</v>
      </c>
      <c r="B27" s="17"/>
      <c r="C27" s="12" t="e">
        <f>VLOOKUP(B27,داتا!$B$3:$D$42,2,FALSE)</f>
        <v>#N/A</v>
      </c>
      <c r="D27" s="13" t="e">
        <f>VLOOKUP(B27,داتا!$B$3:$D$42,3,FALSE)</f>
        <v>#N/A</v>
      </c>
      <c r="E27" s="17"/>
      <c r="F27" s="17"/>
      <c r="G27" s="19">
        <v>0.29166666666666669</v>
      </c>
      <c r="H27" s="14" t="e">
        <f t="shared" si="7"/>
        <v>#N/A</v>
      </c>
      <c r="I27" s="19" t="e">
        <f t="shared" si="2"/>
        <v>#N/A</v>
      </c>
      <c r="J27" s="19"/>
      <c r="K27" s="19"/>
      <c r="L27" s="19"/>
      <c r="M27" s="19"/>
      <c r="N27" s="19">
        <f t="shared" si="6"/>
        <v>0</v>
      </c>
      <c r="O27" s="19" t="e">
        <f t="shared" si="0"/>
        <v>#N/A</v>
      </c>
      <c r="P27" s="19">
        <v>6.9444444444444441E-3</v>
      </c>
      <c r="Q27" s="19"/>
      <c r="R27" s="14">
        <f t="shared" si="1"/>
        <v>-6.9444444444444441E-3</v>
      </c>
      <c r="S27" s="19"/>
      <c r="T27" s="14" t="e">
        <f>VLOOKUP(E27,'[1]22-1-2026'!$E$3:$T$13,16,FALSE)</f>
        <v>#N/A</v>
      </c>
      <c r="U27" s="19"/>
      <c r="V27" s="14" t="e">
        <f t="shared" si="3"/>
        <v>#N/A</v>
      </c>
      <c r="W27" s="19"/>
      <c r="X27" s="19"/>
      <c r="Y27" s="19"/>
      <c r="Z27" s="19">
        <f t="shared" si="4"/>
        <v>0</v>
      </c>
      <c r="AA27" s="19">
        <f t="shared" si="5"/>
        <v>0</v>
      </c>
      <c r="AB27" s="19"/>
      <c r="AC27" s="20"/>
      <c r="AD27" s="52"/>
    </row>
    <row r="28" spans="1:30" ht="20.25" thickTop="1" thickBot="1" x14ac:dyDescent="0.3">
      <c r="A28" s="16">
        <v>13</v>
      </c>
      <c r="B28" s="23"/>
      <c r="C28" s="12" t="e">
        <f>VLOOKUP(B28,داتا!$B$3:$D$42,2,FALSE)</f>
        <v>#N/A</v>
      </c>
      <c r="D28" s="13" t="e">
        <f>VLOOKUP(B28,داتا!$B$3:$D$42,3,FALSE)</f>
        <v>#N/A</v>
      </c>
      <c r="E28" s="23"/>
      <c r="F28" s="23"/>
      <c r="G28" s="25">
        <v>0.29166666666666669</v>
      </c>
      <c r="H28" s="14" t="e">
        <f t="shared" si="7"/>
        <v>#N/A</v>
      </c>
      <c r="I28" s="19" t="e">
        <f t="shared" si="2"/>
        <v>#N/A</v>
      </c>
      <c r="J28" s="25"/>
      <c r="K28" s="25"/>
      <c r="L28" s="25"/>
      <c r="M28" s="25"/>
      <c r="N28" s="25">
        <f t="shared" si="6"/>
        <v>0</v>
      </c>
      <c r="O28" s="19" t="e">
        <f t="shared" si="0"/>
        <v>#N/A</v>
      </c>
      <c r="P28" s="25">
        <v>6.9444444444444441E-3</v>
      </c>
      <c r="Q28" s="25"/>
      <c r="R28" s="14">
        <f t="shared" si="1"/>
        <v>-6.9444444444444441E-3</v>
      </c>
      <c r="S28" s="25"/>
      <c r="T28" s="14" t="e">
        <f>VLOOKUP(E28,'[1]22-1-2026'!$E$3:$T$13,16,FALSE)</f>
        <v>#N/A</v>
      </c>
      <c r="U28" s="25"/>
      <c r="V28" s="14" t="e">
        <f t="shared" si="3"/>
        <v>#N/A</v>
      </c>
      <c r="W28" s="25"/>
      <c r="X28" s="25"/>
      <c r="Y28" s="25"/>
      <c r="Z28" s="25">
        <f t="shared" si="4"/>
        <v>0</v>
      </c>
      <c r="AA28" s="25">
        <v>0</v>
      </c>
      <c r="AB28" s="25"/>
      <c r="AC28" s="28"/>
      <c r="AD28" s="53"/>
    </row>
    <row r="29" spans="1:30" ht="20.25" thickTop="1" thickBot="1" x14ac:dyDescent="0.3">
      <c r="A29" s="11">
        <v>1</v>
      </c>
      <c r="B29" s="12"/>
      <c r="C29" s="12" t="e">
        <f>VLOOKUP(B29,داتا!$B$3:$D$42,2,FALSE)</f>
        <v>#N/A</v>
      </c>
      <c r="D29" s="13" t="e">
        <f>VLOOKUP(B29,داتا!$B$3:$D$42,3,FALSE)</f>
        <v>#N/A</v>
      </c>
      <c r="E29" s="12"/>
      <c r="F29" s="12"/>
      <c r="G29" s="14">
        <v>0.29166666666666669</v>
      </c>
      <c r="H29" s="14" t="e">
        <f t="shared" si="7"/>
        <v>#N/A</v>
      </c>
      <c r="I29" s="19" t="e">
        <f t="shared" si="2"/>
        <v>#N/A</v>
      </c>
      <c r="J29" s="14"/>
      <c r="K29" s="14"/>
      <c r="L29" s="14"/>
      <c r="M29" s="14"/>
      <c r="N29" s="14">
        <f t="shared" si="6"/>
        <v>0</v>
      </c>
      <c r="O29" s="19" t="e">
        <f t="shared" si="0"/>
        <v>#N/A</v>
      </c>
      <c r="P29" s="14">
        <v>6.9444444444444441E-3</v>
      </c>
      <c r="Q29" s="14"/>
      <c r="R29" s="14">
        <f t="shared" si="1"/>
        <v>-6.9444444444444441E-3</v>
      </c>
      <c r="S29" s="14"/>
      <c r="T29" s="14" t="e">
        <f>VLOOKUP(E29,'[1]22-1-2026'!$E$3:$T$13,16,FALSE)</f>
        <v>#N/A</v>
      </c>
      <c r="U29" s="14"/>
      <c r="V29" s="14" t="e">
        <f t="shared" si="3"/>
        <v>#N/A</v>
      </c>
      <c r="W29" s="14"/>
      <c r="X29" s="14"/>
      <c r="Y29" s="14"/>
      <c r="Z29" s="14">
        <f t="shared" si="4"/>
        <v>0</v>
      </c>
      <c r="AA29" s="14">
        <v>0</v>
      </c>
      <c r="AB29" s="14"/>
      <c r="AC29" s="27"/>
      <c r="AD29" s="54" t="s">
        <v>55</v>
      </c>
    </row>
    <row r="30" spans="1:30" ht="20.25" thickTop="1" thickBot="1" x14ac:dyDescent="0.3">
      <c r="A30" s="16">
        <v>2</v>
      </c>
      <c r="B30" s="17"/>
      <c r="C30" s="12" t="e">
        <f>VLOOKUP(B30,داتا!$B$3:$D$42,2,FALSE)</f>
        <v>#N/A</v>
      </c>
      <c r="D30" s="13" t="e">
        <f>VLOOKUP(B30,داتا!$B$3:$D$42,3,FALSE)</f>
        <v>#N/A</v>
      </c>
      <c r="E30" s="17"/>
      <c r="F30" s="17"/>
      <c r="G30" s="19">
        <v>0.29166666666666669</v>
      </c>
      <c r="H30" s="14" t="e">
        <f t="shared" si="7"/>
        <v>#N/A</v>
      </c>
      <c r="I30" s="19" t="e">
        <f t="shared" si="2"/>
        <v>#N/A</v>
      </c>
      <c r="J30" s="19"/>
      <c r="K30" s="19"/>
      <c r="L30" s="19"/>
      <c r="M30" s="19"/>
      <c r="N30" s="19">
        <f t="shared" si="6"/>
        <v>0</v>
      </c>
      <c r="O30" s="19" t="e">
        <f t="shared" si="0"/>
        <v>#N/A</v>
      </c>
      <c r="P30" s="19">
        <v>6.9444444444444441E-3</v>
      </c>
      <c r="Q30" s="19"/>
      <c r="R30" s="14">
        <f t="shared" si="1"/>
        <v>-6.9444444444444441E-3</v>
      </c>
      <c r="S30" s="19"/>
      <c r="T30" s="14" t="e">
        <f>VLOOKUP(E30,'[1]22-1-2026'!$E$3:$T$13,16,FALSE)</f>
        <v>#N/A</v>
      </c>
      <c r="U30" s="19"/>
      <c r="V30" s="14" t="e">
        <f t="shared" si="3"/>
        <v>#N/A</v>
      </c>
      <c r="W30" s="19"/>
      <c r="X30" s="19"/>
      <c r="Y30" s="19"/>
      <c r="Z30" s="19">
        <f t="shared" si="4"/>
        <v>0</v>
      </c>
      <c r="AA30" s="19">
        <f t="shared" si="5"/>
        <v>0</v>
      </c>
      <c r="AB30" s="19"/>
      <c r="AC30" s="20"/>
      <c r="AD30" s="55"/>
    </row>
    <row r="31" spans="1:30" ht="20.25" thickTop="1" thickBot="1" x14ac:dyDescent="0.3">
      <c r="A31" s="16">
        <v>3</v>
      </c>
      <c r="B31" s="17"/>
      <c r="C31" s="12" t="e">
        <f>VLOOKUP(B31,داتا!$B$3:$D$42,2,FALSE)</f>
        <v>#N/A</v>
      </c>
      <c r="D31" s="13" t="e">
        <f>VLOOKUP(B31,داتا!$B$3:$D$42,3,FALSE)</f>
        <v>#N/A</v>
      </c>
      <c r="E31" s="17"/>
      <c r="F31" s="17"/>
      <c r="G31" s="19">
        <v>0.29166666666666669</v>
      </c>
      <c r="H31" s="14" t="e">
        <f t="shared" si="7"/>
        <v>#N/A</v>
      </c>
      <c r="I31" s="19" t="e">
        <f t="shared" si="2"/>
        <v>#N/A</v>
      </c>
      <c r="J31" s="19"/>
      <c r="K31" s="19"/>
      <c r="L31" s="19"/>
      <c r="M31" s="19"/>
      <c r="N31" s="19">
        <f t="shared" si="6"/>
        <v>0</v>
      </c>
      <c r="O31" s="19" t="e">
        <f t="shared" si="0"/>
        <v>#N/A</v>
      </c>
      <c r="P31" s="19">
        <v>6.9444444444444441E-3</v>
      </c>
      <c r="Q31" s="19"/>
      <c r="R31" s="14">
        <f t="shared" si="1"/>
        <v>-6.9444444444444441E-3</v>
      </c>
      <c r="S31" s="19"/>
      <c r="T31" s="14" t="e">
        <f>VLOOKUP(E31,'[1]22-1-2026'!$E$3:$T$13,16,FALSE)</f>
        <v>#N/A</v>
      </c>
      <c r="U31" s="19"/>
      <c r="V31" s="14" t="e">
        <f t="shared" si="3"/>
        <v>#N/A</v>
      </c>
      <c r="W31" s="19"/>
      <c r="X31" s="19"/>
      <c r="Y31" s="19"/>
      <c r="Z31" s="19">
        <f t="shared" si="4"/>
        <v>0</v>
      </c>
      <c r="AA31" s="19">
        <f t="shared" si="5"/>
        <v>0</v>
      </c>
      <c r="AB31" s="19"/>
      <c r="AC31" s="20"/>
      <c r="AD31" s="55"/>
    </row>
    <row r="32" spans="1:30" ht="20.25" thickTop="1" thickBot="1" x14ac:dyDescent="0.3">
      <c r="A32" s="11">
        <v>4</v>
      </c>
      <c r="B32" s="17"/>
      <c r="C32" s="12" t="e">
        <f>VLOOKUP(B32,داتا!$B$3:$D$42,2,FALSE)</f>
        <v>#N/A</v>
      </c>
      <c r="D32" s="13" t="e">
        <f>VLOOKUP(B32,داتا!$B$3:$D$42,3,FALSE)</f>
        <v>#N/A</v>
      </c>
      <c r="E32" s="17"/>
      <c r="F32" s="17"/>
      <c r="G32" s="19">
        <v>0.29166666666666669</v>
      </c>
      <c r="H32" s="14" t="e">
        <f t="shared" si="7"/>
        <v>#N/A</v>
      </c>
      <c r="I32" s="19" t="e">
        <f t="shared" si="2"/>
        <v>#N/A</v>
      </c>
      <c r="J32" s="19"/>
      <c r="K32" s="19"/>
      <c r="L32" s="19"/>
      <c r="M32" s="19"/>
      <c r="N32" s="19">
        <f t="shared" si="6"/>
        <v>0</v>
      </c>
      <c r="O32" s="19" t="e">
        <f t="shared" si="0"/>
        <v>#N/A</v>
      </c>
      <c r="P32" s="19">
        <v>6.9444444444444441E-3</v>
      </c>
      <c r="Q32" s="19"/>
      <c r="R32" s="14">
        <f t="shared" si="1"/>
        <v>-6.9444444444444441E-3</v>
      </c>
      <c r="S32" s="19"/>
      <c r="T32" s="14" t="e">
        <f>VLOOKUP(E32,'[1]22-1-2026'!$E$3:$T$13,16,FALSE)</f>
        <v>#N/A</v>
      </c>
      <c r="U32" s="19"/>
      <c r="V32" s="14" t="e">
        <f t="shared" si="3"/>
        <v>#N/A</v>
      </c>
      <c r="W32" s="19"/>
      <c r="X32" s="19"/>
      <c r="Y32" s="19"/>
      <c r="Z32" s="19">
        <f t="shared" si="4"/>
        <v>0</v>
      </c>
      <c r="AA32" s="19">
        <v>0</v>
      </c>
      <c r="AB32" s="19"/>
      <c r="AC32" s="20"/>
      <c r="AD32" s="55"/>
    </row>
    <row r="33" spans="1:30" ht="20.25" thickTop="1" thickBot="1" x14ac:dyDescent="0.3">
      <c r="A33" s="16">
        <v>5</v>
      </c>
      <c r="B33" s="17"/>
      <c r="C33" s="12" t="e">
        <f>VLOOKUP(B33,داتا!$B$3:$D$42,2,FALSE)</f>
        <v>#N/A</v>
      </c>
      <c r="D33" s="13" t="e">
        <f>VLOOKUP(B33,داتا!$B$3:$D$42,3,FALSE)</f>
        <v>#N/A</v>
      </c>
      <c r="E33" s="17"/>
      <c r="F33" s="17"/>
      <c r="G33" s="19">
        <v>0.29166666666666669</v>
      </c>
      <c r="H33" s="14" t="e">
        <f t="shared" si="7"/>
        <v>#N/A</v>
      </c>
      <c r="I33" s="19" t="e">
        <f t="shared" si="2"/>
        <v>#N/A</v>
      </c>
      <c r="J33" s="19"/>
      <c r="K33" s="19"/>
      <c r="L33" s="19"/>
      <c r="M33" s="19"/>
      <c r="N33" s="19">
        <f t="shared" si="6"/>
        <v>0</v>
      </c>
      <c r="O33" s="19" t="e">
        <f t="shared" si="0"/>
        <v>#N/A</v>
      </c>
      <c r="P33" s="19">
        <v>6.9444444444444441E-3</v>
      </c>
      <c r="Q33" s="19"/>
      <c r="R33" s="14">
        <f t="shared" si="1"/>
        <v>-6.9444444444444441E-3</v>
      </c>
      <c r="S33" s="19"/>
      <c r="T33" s="14" t="e">
        <f>VLOOKUP(E33,'[1]22-1-2026'!$E$3:$T$13,16,FALSE)</f>
        <v>#N/A</v>
      </c>
      <c r="U33" s="19"/>
      <c r="V33" s="14" t="e">
        <f t="shared" si="3"/>
        <v>#N/A</v>
      </c>
      <c r="W33" s="19"/>
      <c r="X33" s="19"/>
      <c r="Y33" s="19"/>
      <c r="Z33" s="19">
        <f t="shared" si="4"/>
        <v>0</v>
      </c>
      <c r="AA33" s="19">
        <v>0</v>
      </c>
      <c r="AB33" s="19"/>
      <c r="AC33" s="20"/>
      <c r="AD33" s="55"/>
    </row>
    <row r="34" spans="1:30" ht="20.25" thickTop="1" thickBot="1" x14ac:dyDescent="0.3">
      <c r="A34" s="16">
        <v>6</v>
      </c>
      <c r="B34" s="17"/>
      <c r="C34" s="12" t="e">
        <f>VLOOKUP(B34,داتا!$B$3:$D$42,2,FALSE)</f>
        <v>#N/A</v>
      </c>
      <c r="D34" s="13" t="e">
        <f>VLOOKUP(B34,داتا!$B$3:$D$42,3,FALSE)</f>
        <v>#N/A</v>
      </c>
      <c r="E34" s="17"/>
      <c r="F34" s="17"/>
      <c r="G34" s="19">
        <v>0.29166666666666669</v>
      </c>
      <c r="H34" s="14" t="e">
        <f t="shared" si="7"/>
        <v>#N/A</v>
      </c>
      <c r="I34" s="19" t="e">
        <f t="shared" si="2"/>
        <v>#N/A</v>
      </c>
      <c r="J34" s="19"/>
      <c r="K34" s="19"/>
      <c r="L34" s="19"/>
      <c r="M34" s="19"/>
      <c r="N34" s="19">
        <f t="shared" si="6"/>
        <v>0</v>
      </c>
      <c r="O34" s="19" t="e">
        <f t="shared" si="0"/>
        <v>#N/A</v>
      </c>
      <c r="P34" s="19">
        <v>6.9444444444444441E-3</v>
      </c>
      <c r="Q34" s="19"/>
      <c r="R34" s="14">
        <f t="shared" si="1"/>
        <v>-6.9444444444444441E-3</v>
      </c>
      <c r="S34" s="19"/>
      <c r="T34" s="14" t="e">
        <f>VLOOKUP(E34,'[1]22-1-2026'!$E$3:$T$13,16,FALSE)</f>
        <v>#N/A</v>
      </c>
      <c r="U34" s="19"/>
      <c r="V34" s="14" t="e">
        <f t="shared" si="3"/>
        <v>#N/A</v>
      </c>
      <c r="W34" s="19"/>
      <c r="X34" s="19"/>
      <c r="Y34" s="19"/>
      <c r="Z34" s="19">
        <f t="shared" si="4"/>
        <v>0</v>
      </c>
      <c r="AA34" s="19">
        <v>0</v>
      </c>
      <c r="AB34" s="19"/>
      <c r="AC34" s="20"/>
      <c r="AD34" s="55"/>
    </row>
    <row r="35" spans="1:30" ht="20.25" thickTop="1" thickBot="1" x14ac:dyDescent="0.3">
      <c r="A35" s="11">
        <v>7</v>
      </c>
      <c r="B35" s="17"/>
      <c r="C35" s="12" t="e">
        <f>VLOOKUP(B35,داتا!$B$3:$D$42,2,FALSE)</f>
        <v>#N/A</v>
      </c>
      <c r="D35" s="13" t="e">
        <f>VLOOKUP(B35,داتا!$B$3:$D$42,3,FALSE)</f>
        <v>#N/A</v>
      </c>
      <c r="E35" s="17"/>
      <c r="F35" s="17"/>
      <c r="G35" s="19">
        <v>0.29166666666666669</v>
      </c>
      <c r="H35" s="14" t="e">
        <f t="shared" si="7"/>
        <v>#N/A</v>
      </c>
      <c r="I35" s="19" t="e">
        <f t="shared" si="2"/>
        <v>#N/A</v>
      </c>
      <c r="J35" s="19"/>
      <c r="K35" s="19"/>
      <c r="L35" s="19"/>
      <c r="M35" s="19"/>
      <c r="N35" s="19">
        <f t="shared" si="6"/>
        <v>0</v>
      </c>
      <c r="O35" s="19" t="e">
        <f t="shared" si="0"/>
        <v>#N/A</v>
      </c>
      <c r="P35" s="19">
        <v>6.9444444444444441E-3</v>
      </c>
      <c r="Q35" s="19"/>
      <c r="R35" s="14">
        <f t="shared" si="1"/>
        <v>-6.9444444444444441E-3</v>
      </c>
      <c r="S35" s="19"/>
      <c r="T35" s="14" t="e">
        <f>VLOOKUP(E35,'[1]22-1-2026'!$E$3:$T$13,16,FALSE)</f>
        <v>#N/A</v>
      </c>
      <c r="U35" s="19"/>
      <c r="V35" s="14" t="e">
        <f t="shared" si="3"/>
        <v>#N/A</v>
      </c>
      <c r="W35" s="19"/>
      <c r="X35" s="19"/>
      <c r="Y35" s="19"/>
      <c r="Z35" s="19">
        <f t="shared" si="4"/>
        <v>0</v>
      </c>
      <c r="AA35" s="19">
        <v>0</v>
      </c>
      <c r="AB35" s="19"/>
      <c r="AC35" s="20"/>
      <c r="AD35" s="55"/>
    </row>
    <row r="36" spans="1:30" ht="20.25" thickTop="1" thickBot="1" x14ac:dyDescent="0.3">
      <c r="A36" s="16">
        <v>8</v>
      </c>
      <c r="B36" s="17"/>
      <c r="C36" s="12" t="e">
        <f>VLOOKUP(B36,داتا!$B$3:$D$42,2,FALSE)</f>
        <v>#N/A</v>
      </c>
      <c r="D36" s="13" t="e">
        <f>VLOOKUP(B36,داتا!$B$3:$D$42,3,FALSE)</f>
        <v>#N/A</v>
      </c>
      <c r="E36" s="17"/>
      <c r="F36" s="17"/>
      <c r="G36" s="19">
        <v>0.29166666666666669</v>
      </c>
      <c r="H36" s="14" t="e">
        <f t="shared" si="7"/>
        <v>#N/A</v>
      </c>
      <c r="I36" s="19" t="e">
        <f t="shared" si="2"/>
        <v>#N/A</v>
      </c>
      <c r="J36" s="19"/>
      <c r="K36" s="19"/>
      <c r="L36" s="19"/>
      <c r="M36" s="19"/>
      <c r="N36" s="19">
        <f t="shared" si="6"/>
        <v>0</v>
      </c>
      <c r="O36" s="19" t="e">
        <f t="shared" si="0"/>
        <v>#N/A</v>
      </c>
      <c r="P36" s="19">
        <v>6.9444444444444441E-3</v>
      </c>
      <c r="Q36" s="19"/>
      <c r="R36" s="14">
        <f t="shared" si="1"/>
        <v>-6.9444444444444441E-3</v>
      </c>
      <c r="S36" s="19"/>
      <c r="T36" s="14" t="e">
        <f>VLOOKUP(E36,'[1]22-1-2026'!$E$3:$T$13,16,FALSE)</f>
        <v>#N/A</v>
      </c>
      <c r="U36" s="19"/>
      <c r="V36" s="14" t="e">
        <f t="shared" si="3"/>
        <v>#N/A</v>
      </c>
      <c r="W36" s="19"/>
      <c r="X36" s="19"/>
      <c r="Y36" s="19"/>
      <c r="Z36" s="19">
        <f t="shared" si="4"/>
        <v>0</v>
      </c>
      <c r="AA36" s="19">
        <f t="shared" si="5"/>
        <v>0</v>
      </c>
      <c r="AB36" s="19"/>
      <c r="AC36" s="20"/>
      <c r="AD36" s="55"/>
    </row>
    <row r="37" spans="1:30" ht="20.25" thickTop="1" thickBot="1" x14ac:dyDescent="0.3">
      <c r="A37" s="16">
        <v>9</v>
      </c>
      <c r="B37" s="17"/>
      <c r="C37" s="12" t="e">
        <f>VLOOKUP(B37,داتا!$B$3:$D$42,2,FALSE)</f>
        <v>#N/A</v>
      </c>
      <c r="D37" s="13" t="e">
        <f>VLOOKUP(B37,داتا!$B$3:$D$42,3,FALSE)</f>
        <v>#N/A</v>
      </c>
      <c r="E37" s="17"/>
      <c r="F37" s="17"/>
      <c r="G37" s="19">
        <v>0.29166666666666669</v>
      </c>
      <c r="H37" s="14" t="e">
        <f t="shared" si="7"/>
        <v>#N/A</v>
      </c>
      <c r="I37" s="19" t="e">
        <f t="shared" si="2"/>
        <v>#N/A</v>
      </c>
      <c r="J37" s="19"/>
      <c r="K37" s="19"/>
      <c r="L37" s="19"/>
      <c r="M37" s="19"/>
      <c r="N37" s="19">
        <f t="shared" si="6"/>
        <v>0</v>
      </c>
      <c r="O37" s="19" t="e">
        <f t="shared" si="0"/>
        <v>#N/A</v>
      </c>
      <c r="P37" s="19">
        <v>6.9444444444444441E-3</v>
      </c>
      <c r="Q37" s="19"/>
      <c r="R37" s="14">
        <f t="shared" si="1"/>
        <v>-6.9444444444444441E-3</v>
      </c>
      <c r="S37" s="19"/>
      <c r="T37" s="14" t="e">
        <f>VLOOKUP(E37,'[1]22-1-2026'!$E$3:$T$13,16,FALSE)</f>
        <v>#N/A</v>
      </c>
      <c r="U37" s="19"/>
      <c r="V37" s="14" t="e">
        <f t="shared" si="3"/>
        <v>#N/A</v>
      </c>
      <c r="W37" s="19"/>
      <c r="X37" s="19"/>
      <c r="Y37" s="19"/>
      <c r="Z37" s="19">
        <f t="shared" si="4"/>
        <v>0</v>
      </c>
      <c r="AA37" s="19">
        <v>0</v>
      </c>
      <c r="AB37" s="19"/>
      <c r="AC37" s="20"/>
      <c r="AD37" s="55"/>
    </row>
    <row r="38" spans="1:30" ht="20.25" thickTop="1" thickBot="1" x14ac:dyDescent="0.3">
      <c r="A38" s="11">
        <v>10</v>
      </c>
      <c r="B38" s="17"/>
      <c r="C38" s="12" t="e">
        <f>VLOOKUP(B38,داتا!$B$3:$D$42,2,FALSE)</f>
        <v>#N/A</v>
      </c>
      <c r="D38" s="13" t="e">
        <f>VLOOKUP(B38,داتا!$B$3:$D$42,3,FALSE)</f>
        <v>#N/A</v>
      </c>
      <c r="E38" s="17"/>
      <c r="F38" s="17"/>
      <c r="G38" s="19">
        <v>0.29166666666666669</v>
      </c>
      <c r="H38" s="14" t="e">
        <f t="shared" si="7"/>
        <v>#N/A</v>
      </c>
      <c r="I38" s="19" t="e">
        <f t="shared" si="2"/>
        <v>#N/A</v>
      </c>
      <c r="J38" s="19"/>
      <c r="K38" s="19"/>
      <c r="L38" s="19"/>
      <c r="M38" s="19"/>
      <c r="N38" s="19">
        <f t="shared" si="6"/>
        <v>0</v>
      </c>
      <c r="O38" s="19" t="e">
        <f t="shared" si="0"/>
        <v>#N/A</v>
      </c>
      <c r="P38" s="19">
        <v>6.9444444444444441E-3</v>
      </c>
      <c r="Q38" s="19"/>
      <c r="R38" s="14">
        <f t="shared" si="1"/>
        <v>-6.9444444444444441E-3</v>
      </c>
      <c r="S38" s="19"/>
      <c r="T38" s="14" t="e">
        <f>VLOOKUP(E38,'[1]22-1-2026'!$E$3:$T$13,16,FALSE)</f>
        <v>#N/A</v>
      </c>
      <c r="U38" s="19"/>
      <c r="V38" s="14" t="e">
        <f t="shared" si="3"/>
        <v>#N/A</v>
      </c>
      <c r="W38" s="19"/>
      <c r="X38" s="19"/>
      <c r="Y38" s="19"/>
      <c r="Z38" s="19">
        <f t="shared" si="4"/>
        <v>0</v>
      </c>
      <c r="AA38" s="19">
        <v>0</v>
      </c>
      <c r="AB38" s="19"/>
      <c r="AC38" s="20"/>
      <c r="AD38" s="55"/>
    </row>
    <row r="39" spans="1:30" ht="20.25" thickTop="1" thickBot="1" x14ac:dyDescent="0.3">
      <c r="A39" s="16">
        <v>11</v>
      </c>
      <c r="B39" s="17"/>
      <c r="C39" s="12" t="e">
        <f>VLOOKUP(B39,داتا!$B$3:$D$42,2,FALSE)</f>
        <v>#N/A</v>
      </c>
      <c r="D39" s="13" t="e">
        <f>VLOOKUP(B39,داتا!$B$3:$D$42,3,FALSE)</f>
        <v>#N/A</v>
      </c>
      <c r="E39" s="17"/>
      <c r="F39" s="17"/>
      <c r="G39" s="19">
        <v>0.29166666666666669</v>
      </c>
      <c r="H39" s="14" t="e">
        <f t="shared" si="7"/>
        <v>#N/A</v>
      </c>
      <c r="I39" s="19" t="e">
        <f t="shared" si="2"/>
        <v>#N/A</v>
      </c>
      <c r="J39" s="19"/>
      <c r="K39" s="19"/>
      <c r="L39" s="19"/>
      <c r="M39" s="19"/>
      <c r="N39" s="19">
        <f t="shared" si="6"/>
        <v>0</v>
      </c>
      <c r="O39" s="19" t="e">
        <f t="shared" si="0"/>
        <v>#N/A</v>
      </c>
      <c r="P39" s="19">
        <v>6.9444444444444441E-3</v>
      </c>
      <c r="Q39" s="19"/>
      <c r="R39" s="14">
        <f t="shared" si="1"/>
        <v>-6.9444444444444441E-3</v>
      </c>
      <c r="S39" s="19"/>
      <c r="T39" s="14" t="e">
        <f>VLOOKUP(E39,'[1]22-1-2026'!$E$3:$T$13,16,FALSE)</f>
        <v>#N/A</v>
      </c>
      <c r="U39" s="19"/>
      <c r="V39" s="14" t="e">
        <f t="shared" si="3"/>
        <v>#N/A</v>
      </c>
      <c r="W39" s="19"/>
      <c r="X39" s="19"/>
      <c r="Y39" s="19"/>
      <c r="Z39" s="19">
        <f t="shared" si="4"/>
        <v>0</v>
      </c>
      <c r="AA39" s="19">
        <v>0</v>
      </c>
      <c r="AB39" s="19"/>
      <c r="AC39" s="20"/>
      <c r="AD39" s="55"/>
    </row>
    <row r="40" spans="1:30" ht="20.25" thickTop="1" thickBot="1" x14ac:dyDescent="0.3">
      <c r="A40" s="16">
        <v>12</v>
      </c>
      <c r="B40" s="17"/>
      <c r="C40" s="12" t="e">
        <f>VLOOKUP(B40,داتا!$B$3:$D$42,2,FALSE)</f>
        <v>#N/A</v>
      </c>
      <c r="D40" s="13" t="e">
        <f>VLOOKUP(B40,داتا!$B$3:$D$42,3,FALSE)</f>
        <v>#N/A</v>
      </c>
      <c r="E40" s="17"/>
      <c r="F40" s="17"/>
      <c r="G40" s="19">
        <v>0.29166666666666669</v>
      </c>
      <c r="H40" s="14" t="e">
        <f t="shared" si="7"/>
        <v>#N/A</v>
      </c>
      <c r="I40" s="19" t="e">
        <f t="shared" si="2"/>
        <v>#N/A</v>
      </c>
      <c r="J40" s="19"/>
      <c r="K40" s="19"/>
      <c r="L40" s="19"/>
      <c r="M40" s="19"/>
      <c r="N40" s="19">
        <f t="shared" si="6"/>
        <v>0</v>
      </c>
      <c r="O40" s="19" t="e">
        <f t="shared" si="0"/>
        <v>#N/A</v>
      </c>
      <c r="P40" s="19">
        <v>6.9444444444444441E-3</v>
      </c>
      <c r="Q40" s="19"/>
      <c r="R40" s="14">
        <f t="shared" si="1"/>
        <v>-6.9444444444444441E-3</v>
      </c>
      <c r="S40" s="19"/>
      <c r="T40" s="14" t="e">
        <f>VLOOKUP(E40,'[1]22-1-2026'!$E$3:$T$13,16,FALSE)</f>
        <v>#N/A</v>
      </c>
      <c r="U40" s="19"/>
      <c r="V40" s="14" t="e">
        <f t="shared" si="3"/>
        <v>#N/A</v>
      </c>
      <c r="W40" s="19"/>
      <c r="X40" s="19"/>
      <c r="Y40" s="19"/>
      <c r="Z40" s="19">
        <f t="shared" si="4"/>
        <v>0</v>
      </c>
      <c r="AA40" s="19">
        <v>0</v>
      </c>
      <c r="AB40" s="19"/>
      <c r="AC40" s="20"/>
      <c r="AD40" s="56"/>
    </row>
    <row r="41" spans="1:30" ht="20.25" thickTop="1" thickBot="1" x14ac:dyDescent="0.3">
      <c r="A41" s="11">
        <v>13</v>
      </c>
      <c r="B41" s="23"/>
      <c r="C41" s="12" t="e">
        <f>VLOOKUP(B41,داتا!$B$3:$D$42,2,FALSE)</f>
        <v>#N/A</v>
      </c>
      <c r="D41" s="13" t="e">
        <f>VLOOKUP(B41,داتا!$B$3:$D$42,3,FALSE)</f>
        <v>#N/A</v>
      </c>
      <c r="E41" s="23"/>
      <c r="F41" s="23"/>
      <c r="G41" s="25">
        <v>0.29166666666666669</v>
      </c>
      <c r="H41" s="14" t="e">
        <f t="shared" si="7"/>
        <v>#N/A</v>
      </c>
      <c r="I41" s="19" t="e">
        <f t="shared" si="2"/>
        <v>#N/A</v>
      </c>
      <c r="J41" s="25"/>
      <c r="K41" s="25"/>
      <c r="L41" s="25"/>
      <c r="M41" s="25"/>
      <c r="N41" s="25">
        <f t="shared" si="6"/>
        <v>0</v>
      </c>
      <c r="O41" s="19" t="e">
        <f t="shared" si="0"/>
        <v>#N/A</v>
      </c>
      <c r="P41" s="25">
        <v>6.9444444444444441E-3</v>
      </c>
      <c r="Q41" s="25"/>
      <c r="R41" s="14">
        <f t="shared" si="1"/>
        <v>-6.9444444444444441E-3</v>
      </c>
      <c r="S41" s="25"/>
      <c r="T41" s="14" t="e">
        <f>VLOOKUP(E41,'[1]22-1-2026'!$E$3:$T$13,16,FALSE)</f>
        <v>#N/A</v>
      </c>
      <c r="U41" s="25"/>
      <c r="V41" s="14" t="e">
        <f t="shared" si="3"/>
        <v>#N/A</v>
      </c>
      <c r="W41" s="25"/>
      <c r="X41" s="25"/>
      <c r="Y41" s="25"/>
      <c r="Z41" s="25">
        <f t="shared" si="4"/>
        <v>0</v>
      </c>
      <c r="AA41" s="25">
        <v>0</v>
      </c>
      <c r="AB41" s="25"/>
      <c r="AC41" s="28"/>
      <c r="AD41" s="29"/>
    </row>
    <row r="42" spans="1:30" ht="20.25" thickTop="1" thickBot="1" x14ac:dyDescent="0.3">
      <c r="A42" s="16">
        <v>14</v>
      </c>
      <c r="B42" s="23"/>
      <c r="C42" s="12" t="e">
        <f>VLOOKUP(B42,داتا!$B$3:$D$42,2,FALSE)</f>
        <v>#N/A</v>
      </c>
      <c r="D42" s="13" t="e">
        <f>VLOOKUP(B42,داتا!$B$3:$D$42,3,FALSE)</f>
        <v>#N/A</v>
      </c>
      <c r="E42" s="23"/>
      <c r="F42" s="2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8"/>
      <c r="AD42" s="29"/>
    </row>
  </sheetData>
  <mergeCells count="4">
    <mergeCell ref="A1:AC1"/>
    <mergeCell ref="AD3:AD15"/>
    <mergeCell ref="AD16:AD28"/>
    <mergeCell ref="AD29:AD40"/>
  </mergeCells>
  <conditionalFormatting sqref="AA2:AA40 AA43:AA1048576 V43:V1048576 R43:R1048576 O43:O1048576 I43:I1048576 I2:I41 O2:O41 R2:R41 V2:V41">
    <cfRule type="cellIs" dxfId="6" priority="7" operator="between">
      <formula>0.00277777777777778</formula>
      <formula>1</formula>
    </cfRule>
  </conditionalFormatting>
  <conditionalFormatting sqref="AC3:AC40">
    <cfRule type="containsText" dxfId="5" priority="6" operator="containsText" text="ت">
      <formula>NOT(ISERROR(SEARCH("ت",AC3)))</formula>
    </cfRule>
  </conditionalFormatting>
  <conditionalFormatting sqref="AA41">
    <cfRule type="cellIs" dxfId="4" priority="5" operator="between">
      <formula>0.00277777777777778</formula>
      <formula>1</formula>
    </cfRule>
  </conditionalFormatting>
  <conditionalFormatting sqref="AC41">
    <cfRule type="containsText" dxfId="3" priority="4" operator="containsText" text="ت">
      <formula>NOT(ISERROR(SEARCH("ت",AC41)))</formula>
    </cfRule>
  </conditionalFormatting>
  <conditionalFormatting sqref="I42 O42 R42 V42 AA42">
    <cfRule type="cellIs" dxfId="2" priority="3" operator="between">
      <formula>0.00277777777777778</formula>
      <formula>1</formula>
    </cfRule>
  </conditionalFormatting>
  <conditionalFormatting sqref="AC42">
    <cfRule type="containsText" dxfId="1" priority="2" operator="containsText" text="ت">
      <formula>NOT(ISERROR(SEARCH("ت",AC42)))</formula>
    </cfRule>
  </conditionalFormatting>
  <conditionalFormatting sqref="AA1 I1 O1 R1 V1">
    <cfRule type="cellIs" dxfId="0" priority="1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داتا</vt:lpstr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4-5-2026</vt:lpstr>
      <vt:lpstr>5-5-2026</vt:lpstr>
      <vt:lpstr>6-5-2026</vt:lpstr>
      <vt:lpstr>7-5-2026</vt:lpstr>
      <vt:lpstr>8-5-2026</vt:lpstr>
      <vt:lpstr>9-5-2026</vt:lpstr>
      <vt:lpstr>10-5-2026</vt:lpstr>
      <vt:lpstr>11-5-2026</vt:lpstr>
      <vt:lpstr>12-5-2026</vt:lpstr>
      <vt:lpstr>13-5-2026</vt:lpstr>
      <vt:lpstr>14-5-2026</vt:lpstr>
      <vt:lpstr>15-5-2026</vt:lpstr>
      <vt:lpstr>16-5-2026</vt:lpstr>
      <vt:lpstr>17-5-2026</vt:lpstr>
      <vt:lpstr>18-5-2026</vt:lpstr>
      <vt:lpstr>19-5-2026</vt:lpstr>
      <vt:lpstr>20-5-2026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2026-04-29T07:33:30Z</dcterms:modified>
</cp:coreProperties>
</file>
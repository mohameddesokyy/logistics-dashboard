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folder\شهر مايو 2026\رصد أبو محرم\"/>
    </mc:Choice>
  </mc:AlternateContent>
  <bookViews>
    <workbookView xWindow="0" yWindow="0" windowWidth="28800" windowHeight="12435"/>
  </bookViews>
  <sheets>
    <sheet name="مايو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X4" i="2" l="1"/>
  <c r="CX5" i="2"/>
  <c r="CX6" i="2"/>
  <c r="CX7" i="2"/>
  <c r="CX8" i="2"/>
  <c r="CX9" i="2"/>
  <c r="CX10" i="2"/>
  <c r="CX11" i="2"/>
  <c r="CX12" i="2"/>
  <c r="CX13" i="2"/>
  <c r="CX3" i="2"/>
  <c r="CW4" i="2"/>
  <c r="CW5" i="2"/>
  <c r="CW6" i="2"/>
  <c r="CW7" i="2"/>
  <c r="CW8" i="2"/>
  <c r="CW9" i="2"/>
  <c r="CW10" i="2"/>
  <c r="CW11" i="2"/>
  <c r="CW12" i="2"/>
  <c r="CW13" i="2"/>
  <c r="CW3" i="2"/>
  <c r="AA4" i="2" l="1"/>
  <c r="AA5" i="2"/>
  <c r="AA6" i="2"/>
  <c r="AA7" i="2"/>
  <c r="AA8" i="2"/>
  <c r="AA9" i="2"/>
  <c r="AA10" i="2"/>
  <c r="AA11" i="2"/>
  <c r="AA12" i="2"/>
  <c r="AA13" i="2"/>
  <c r="Z4" i="2"/>
  <c r="Z5" i="2"/>
  <c r="Z6" i="2"/>
  <c r="Z7" i="2"/>
  <c r="Z8" i="2"/>
  <c r="Z9" i="2"/>
  <c r="CY9" i="2" s="1"/>
  <c r="Z10" i="2"/>
  <c r="Z11" i="2"/>
  <c r="Z12" i="2"/>
  <c r="Z13" i="2"/>
  <c r="CZ7" i="2" l="1"/>
  <c r="CZ13" i="2"/>
  <c r="CZ10" i="2"/>
  <c r="CZ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BU13" i="2"/>
  <c r="BT13" i="2"/>
  <c r="AX13" i="2"/>
  <c r="AW13" i="2"/>
  <c r="BU12" i="2"/>
  <c r="BT12" i="2"/>
  <c r="AX12" i="2"/>
  <c r="CZ12" i="2" s="1"/>
  <c r="AW12" i="2"/>
  <c r="BU11" i="2"/>
  <c r="BT11" i="2"/>
  <c r="AX11" i="2"/>
  <c r="CZ11" i="2" s="1"/>
  <c r="AW11" i="2"/>
  <c r="BU10" i="2"/>
  <c r="BT10" i="2"/>
  <c r="AX10" i="2"/>
  <c r="AW10" i="2"/>
  <c r="BU9" i="2"/>
  <c r="AX9" i="2"/>
  <c r="CZ9" i="2" s="1"/>
  <c r="BU8" i="2"/>
  <c r="BT8" i="2"/>
  <c r="AX8" i="2"/>
  <c r="CZ8" i="2" s="1"/>
  <c r="AW8" i="2"/>
  <c r="BU7" i="2"/>
  <c r="BT7" i="2"/>
  <c r="AX7" i="2"/>
  <c r="AW7" i="2"/>
  <c r="BU6" i="2"/>
  <c r="BT6" i="2"/>
  <c r="AX6" i="2"/>
  <c r="CZ6" i="2" s="1"/>
  <c r="AW6" i="2"/>
  <c r="BU5" i="2"/>
  <c r="BT5" i="2"/>
  <c r="AX5" i="2"/>
  <c r="CZ5" i="2" s="1"/>
  <c r="AW5" i="2"/>
  <c r="BU4" i="2"/>
  <c r="BT4" i="2"/>
  <c r="AX4" i="2"/>
  <c r="AW4" i="2"/>
  <c r="BU3" i="2"/>
  <c r="BT3" i="2"/>
  <c r="AX3" i="2"/>
  <c r="AW3" i="2"/>
  <c r="AA3" i="2"/>
  <c r="CZ3" i="2" s="1"/>
  <c r="Z3" i="2"/>
  <c r="CY11" i="2" l="1"/>
  <c r="CY13" i="2"/>
  <c r="CY5" i="2"/>
  <c r="CY7" i="2"/>
  <c r="CY6" i="2"/>
  <c r="CY12" i="2"/>
  <c r="CY3" i="2"/>
  <c r="CY4" i="2"/>
  <c r="CY8" i="2"/>
  <c r="CY10" i="2"/>
  <c r="CW14" i="2"/>
  <c r="Z14" i="2"/>
  <c r="AW14" i="2"/>
  <c r="CX14" i="2"/>
  <c r="BT14" i="2"/>
  <c r="BU14" i="2"/>
  <c r="AX14" i="2"/>
  <c r="AA14" i="2"/>
  <c r="CY14" i="2" l="1"/>
  <c r="CZ14" i="2"/>
</calcChain>
</file>

<file path=xl/sharedStrings.xml><?xml version="1.0" encoding="utf-8"?>
<sst xmlns="http://schemas.openxmlformats.org/spreadsheetml/2006/main" count="128" uniqueCount="27">
  <si>
    <t>اخطاء</t>
  </si>
  <si>
    <t>سيارات</t>
  </si>
  <si>
    <t>ط.ع</t>
  </si>
  <si>
    <t>اجمالي اخطاء</t>
  </si>
  <si>
    <t>اجمالي عربيات</t>
  </si>
  <si>
    <t>اجمالي اخطاء الشهر</t>
  </si>
  <si>
    <t>اجمالي عدد السيارات الشهر</t>
  </si>
  <si>
    <t>م</t>
  </si>
  <si>
    <t>الكود</t>
  </si>
  <si>
    <t xml:space="preserve">الوظيفة </t>
  </si>
  <si>
    <t>الاسم</t>
  </si>
  <si>
    <t>أخصائى شحن</t>
  </si>
  <si>
    <t>اسلام حمدان</t>
  </si>
  <si>
    <t>كريم سمير</t>
  </si>
  <si>
    <t>صفوت سعد</t>
  </si>
  <si>
    <t>ايمن عبد القادر</t>
  </si>
  <si>
    <t>مشرف</t>
  </si>
  <si>
    <t>على ممدوح</t>
  </si>
  <si>
    <t>عبد المنعم اسامة</t>
  </si>
  <si>
    <t>عمرو محمد</t>
  </si>
  <si>
    <t>خالد عبد السلام</t>
  </si>
  <si>
    <t>الاجمالى اليومى عدد الأخطاء</t>
  </si>
  <si>
    <t>احمد عبد المنعم</t>
  </si>
  <si>
    <t>أخطاء التسجيل شهر مارس  2026/3</t>
  </si>
  <si>
    <t>عامل</t>
  </si>
  <si>
    <t>محمود على</t>
  </si>
  <si>
    <t>محمد هشام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</si>
</sst>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indexed="64"/>
      </right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auto="1"/>
      </top>
      <bottom style="thin">
        <color indexed="64"/>
      </bottom>
      <diagonal/>
    </border>
    <border>
      <left/>
      <right style="thick">
        <color auto="1"/>
      </right>
      <top style="medium">
        <color auto="1"/>
      </top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1" fillId="6" borderId="24" xfId="0" applyFont="1" applyFill="1" applyBorder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18" xfId="0" applyFont="1" applyBorder="1" applyAlignment="1"/>
    <xf numFmtId="0" fontId="2" fillId="0" borderId="19" xfId="0" applyFont="1" applyBorder="1" applyAlignment="1"/>
    <xf numFmtId="0" fontId="2" fillId="4" borderId="17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7" borderId="32" xfId="0" applyFont="1" applyFill="1" applyBorder="1" applyAlignment="1">
      <alignment vertical="center"/>
    </xf>
    <xf numFmtId="0" fontId="2" fillId="4" borderId="13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2" fillId="0" borderId="31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5"/>
  <sheetViews>
    <sheetView rightToLeft="1" tabSelected="1" workbookViewId="0">
      <pane xSplit="4" topLeftCell="E1" activePane="topRight" state="frozen"/>
      <selection pane="topRight" activeCell="AA5" sqref="AA5"/>
    </sheetView>
  </sheetViews>
  <sheetFormatPr defaultColWidth="9.140625" defaultRowHeight="15.75" x14ac:dyDescent="0.25"/>
  <cols>
    <col min="1" max="1" width="6.5703125" style="12" bestFit="1" customWidth="1"/>
    <col min="2" max="2" width="9.5703125" style="12" bestFit="1" customWidth="1"/>
    <col min="3" max="3" width="15.140625" style="12" bestFit="1" customWidth="1"/>
    <col min="4" max="4" width="27.28515625" style="12" bestFit="1" customWidth="1"/>
    <col min="5" max="5" width="5.7109375" style="12" customWidth="1"/>
    <col min="6" max="6" width="6.85546875" style="12" customWidth="1"/>
    <col min="7" max="7" width="4.85546875" style="12" customWidth="1"/>
    <col min="8" max="8" width="5.7109375" style="12" customWidth="1"/>
    <col min="9" max="9" width="6.85546875" style="12" customWidth="1"/>
    <col min="10" max="10" width="4.85546875" style="12" customWidth="1"/>
    <col min="11" max="11" width="5.7109375" style="12" customWidth="1"/>
    <col min="12" max="12" width="6.85546875" style="12" customWidth="1"/>
    <col min="13" max="13" width="4.85546875" style="12" customWidth="1"/>
    <col min="14" max="14" width="5.7109375" style="12" customWidth="1"/>
    <col min="15" max="15" width="6.85546875" style="12" customWidth="1"/>
    <col min="16" max="16" width="4.85546875" style="12" customWidth="1"/>
    <col min="17" max="17" width="5.7109375" style="12" customWidth="1"/>
    <col min="18" max="18" width="6.85546875" style="12" customWidth="1"/>
    <col min="19" max="19" width="4.85546875" style="12" customWidth="1"/>
    <col min="20" max="20" width="5.7109375" style="12" customWidth="1"/>
    <col min="21" max="21" width="6.85546875" style="12" customWidth="1"/>
    <col min="22" max="22" width="4.85546875" style="12" customWidth="1"/>
    <col min="23" max="23" width="5.7109375" style="12" customWidth="1"/>
    <col min="24" max="24" width="6.85546875" style="12" customWidth="1"/>
    <col min="25" max="25" width="4.85546875" style="12" customWidth="1"/>
    <col min="26" max="26" width="11.28515625" style="12" customWidth="1"/>
    <col min="27" max="27" width="12.28515625" style="12" customWidth="1"/>
    <col min="28" max="28" width="5.7109375" style="12" customWidth="1"/>
    <col min="29" max="29" width="6.85546875" style="12" customWidth="1"/>
    <col min="30" max="30" width="4.85546875" style="12" customWidth="1"/>
    <col min="31" max="31" width="5.7109375" style="12" customWidth="1"/>
    <col min="32" max="32" width="6.85546875" style="12" customWidth="1"/>
    <col min="33" max="33" width="4.85546875" style="12" customWidth="1"/>
    <col min="34" max="34" width="5.7109375" style="12" customWidth="1"/>
    <col min="35" max="35" width="6.85546875" style="12" customWidth="1"/>
    <col min="36" max="36" width="4.85546875" style="12" customWidth="1"/>
    <col min="37" max="37" width="5.7109375" style="12" customWidth="1"/>
    <col min="38" max="38" width="8.7109375" style="12" customWidth="1"/>
    <col min="39" max="39" width="4.85546875" style="12" customWidth="1"/>
    <col min="40" max="40" width="5.7109375" style="12" customWidth="1"/>
    <col min="41" max="41" width="6.85546875" style="12" customWidth="1"/>
    <col min="42" max="42" width="4.85546875" style="12" customWidth="1"/>
    <col min="43" max="44" width="6.85546875" style="12" customWidth="1"/>
    <col min="45" max="45" width="4.85546875" style="12" customWidth="1"/>
    <col min="46" max="46" width="5.7109375" style="12" customWidth="1"/>
    <col min="47" max="47" width="6.85546875" style="12" customWidth="1"/>
    <col min="48" max="48" width="4.85546875" style="12" customWidth="1"/>
    <col min="49" max="49" width="11.28515625" style="12" customWidth="1"/>
    <col min="50" max="50" width="12.28515625" style="12" customWidth="1"/>
    <col min="51" max="51" width="5.7109375" style="12" customWidth="1"/>
    <col min="52" max="52" width="6.85546875" style="12" customWidth="1"/>
    <col min="53" max="53" width="4.85546875" style="12" customWidth="1"/>
    <col min="54" max="54" width="5.7109375" style="12" customWidth="1"/>
    <col min="55" max="55" width="6.85546875" style="12" customWidth="1"/>
    <col min="56" max="56" width="4.85546875" style="12" customWidth="1"/>
    <col min="57" max="57" width="5.7109375" style="12" customWidth="1"/>
    <col min="58" max="58" width="6.85546875" style="12" customWidth="1"/>
    <col min="59" max="59" width="4.85546875" style="12" customWidth="1"/>
    <col min="60" max="60" width="5.7109375" style="12" bestFit="1" customWidth="1"/>
    <col min="61" max="61" width="6.85546875" style="12" bestFit="1" customWidth="1"/>
    <col min="62" max="62" width="4.85546875" style="12" bestFit="1" customWidth="1"/>
    <col min="63" max="63" width="5.7109375" style="12" bestFit="1" customWidth="1"/>
    <col min="64" max="64" width="6.85546875" style="12" bestFit="1" customWidth="1"/>
    <col min="65" max="65" width="4.85546875" style="12" bestFit="1" customWidth="1"/>
    <col min="66" max="66" width="5.7109375" style="12" bestFit="1" customWidth="1"/>
    <col min="67" max="67" width="6.85546875" style="12" bestFit="1" customWidth="1"/>
    <col min="68" max="68" width="4.85546875" style="12" bestFit="1" customWidth="1"/>
    <col min="69" max="69" width="5.7109375" style="12" bestFit="1" customWidth="1"/>
    <col min="70" max="70" width="6.85546875" style="12" bestFit="1" customWidth="1"/>
    <col min="71" max="71" width="4.85546875" style="12" bestFit="1" customWidth="1"/>
    <col min="72" max="72" width="11.28515625" style="12" bestFit="1" customWidth="1"/>
    <col min="73" max="73" width="12.28515625" style="12" bestFit="1" customWidth="1"/>
    <col min="74" max="74" width="5.7109375" style="12" bestFit="1" customWidth="1"/>
    <col min="75" max="75" width="6.85546875" style="12" bestFit="1" customWidth="1"/>
    <col min="76" max="76" width="4.85546875" style="12" bestFit="1" customWidth="1"/>
    <col min="77" max="77" width="5.7109375" style="12" bestFit="1" customWidth="1"/>
    <col min="78" max="78" width="6.85546875" style="12" bestFit="1" customWidth="1"/>
    <col min="79" max="79" width="4.85546875" style="12" bestFit="1" customWidth="1"/>
    <col min="80" max="80" width="5.7109375" style="12" bestFit="1" customWidth="1"/>
    <col min="81" max="81" width="6.85546875" style="12" bestFit="1" customWidth="1"/>
    <col min="82" max="82" width="4.85546875" style="12" bestFit="1" customWidth="1"/>
    <col min="83" max="83" width="5.7109375" style="12" bestFit="1" customWidth="1"/>
    <col min="84" max="84" width="6.85546875" style="12" bestFit="1" customWidth="1"/>
    <col min="85" max="85" width="4.85546875" style="12" bestFit="1" customWidth="1"/>
    <col min="86" max="86" width="5.7109375" style="12" bestFit="1" customWidth="1"/>
    <col min="87" max="87" width="6.85546875" style="12" bestFit="1" customWidth="1"/>
    <col min="88" max="88" width="4.85546875" style="12" bestFit="1" customWidth="1"/>
    <col min="89" max="89" width="5.7109375" style="12" bestFit="1" customWidth="1"/>
    <col min="90" max="90" width="6.85546875" style="12" bestFit="1" customWidth="1"/>
    <col min="91" max="91" width="4.85546875" style="12" bestFit="1" customWidth="1"/>
    <col min="92" max="92" width="5.7109375" style="12" bestFit="1" customWidth="1"/>
    <col min="93" max="93" width="6.85546875" style="12" bestFit="1" customWidth="1"/>
    <col min="94" max="94" width="4.85546875" style="12" bestFit="1" customWidth="1"/>
    <col min="95" max="95" width="5.7109375" style="12" bestFit="1" customWidth="1"/>
    <col min="96" max="96" width="6.85546875" style="12" bestFit="1" customWidth="1"/>
    <col min="97" max="97" width="4.85546875" style="12" bestFit="1" customWidth="1"/>
    <col min="98" max="98" width="5.7109375" style="12" bestFit="1" customWidth="1"/>
    <col min="99" max="99" width="6.85546875" style="12" bestFit="1" customWidth="1"/>
    <col min="100" max="100" width="4.85546875" style="12" bestFit="1" customWidth="1"/>
    <col min="101" max="101" width="11.28515625" style="12" bestFit="1" customWidth="1"/>
    <col min="102" max="102" width="12.28515625" style="12" bestFit="1" customWidth="1"/>
    <col min="103" max="103" width="16.42578125" style="12" bestFit="1" customWidth="1"/>
    <col min="104" max="104" width="22.7109375" style="12" bestFit="1" customWidth="1"/>
    <col min="105" max="16384" width="9.140625" style="12"/>
  </cols>
  <sheetData>
    <row r="1" spans="1:104" s="8" customFormat="1" ht="20.25" thickTop="1" thickBot="1" x14ac:dyDescent="0.3">
      <c r="A1" s="41" t="s">
        <v>23</v>
      </c>
      <c r="B1" s="41"/>
      <c r="C1" s="41"/>
      <c r="D1" s="41"/>
      <c r="E1" s="1" t="s">
        <v>0</v>
      </c>
      <c r="F1" s="2" t="s">
        <v>1</v>
      </c>
      <c r="G1" s="4" t="s">
        <v>2</v>
      </c>
      <c r="H1" s="5" t="s">
        <v>0</v>
      </c>
      <c r="I1" s="2" t="s">
        <v>1</v>
      </c>
      <c r="J1" s="4" t="s">
        <v>2</v>
      </c>
      <c r="K1" s="5" t="s">
        <v>0</v>
      </c>
      <c r="L1" s="2" t="s">
        <v>1</v>
      </c>
      <c r="M1" s="4" t="s">
        <v>2</v>
      </c>
      <c r="N1" s="5" t="s">
        <v>0</v>
      </c>
      <c r="O1" s="2" t="s">
        <v>1</v>
      </c>
      <c r="P1" s="4" t="s">
        <v>2</v>
      </c>
      <c r="Q1" s="5" t="s">
        <v>0</v>
      </c>
      <c r="R1" s="2" t="s">
        <v>1</v>
      </c>
      <c r="S1" s="4" t="s">
        <v>2</v>
      </c>
      <c r="T1" s="5" t="s">
        <v>0</v>
      </c>
      <c r="U1" s="2" t="s">
        <v>1</v>
      </c>
      <c r="V1" s="4" t="s">
        <v>2</v>
      </c>
      <c r="W1" s="5" t="s">
        <v>0</v>
      </c>
      <c r="X1" s="2" t="s">
        <v>1</v>
      </c>
      <c r="Y1" s="4" t="s">
        <v>2</v>
      </c>
      <c r="Z1" s="29" t="s">
        <v>3</v>
      </c>
      <c r="AA1" s="37" t="s">
        <v>4</v>
      </c>
      <c r="AB1" s="6" t="s">
        <v>0</v>
      </c>
      <c r="AC1" s="2" t="s">
        <v>1</v>
      </c>
      <c r="AD1" s="4" t="s">
        <v>2</v>
      </c>
      <c r="AE1" s="5" t="s">
        <v>0</v>
      </c>
      <c r="AF1" s="2" t="s">
        <v>1</v>
      </c>
      <c r="AG1" s="4" t="s">
        <v>2</v>
      </c>
      <c r="AH1" s="5" t="s">
        <v>0</v>
      </c>
      <c r="AI1" s="2" t="s">
        <v>1</v>
      </c>
      <c r="AJ1" s="4" t="s">
        <v>2</v>
      </c>
      <c r="AK1" s="5" t="s">
        <v>0</v>
      </c>
      <c r="AL1" s="2" t="s">
        <v>1</v>
      </c>
      <c r="AM1" s="4" t="s">
        <v>2</v>
      </c>
      <c r="AN1" s="5" t="s">
        <v>0</v>
      </c>
      <c r="AO1" s="2" t="s">
        <v>1</v>
      </c>
      <c r="AP1" s="4" t="s">
        <v>2</v>
      </c>
      <c r="AQ1" s="5" t="s">
        <v>0</v>
      </c>
      <c r="AR1" s="2" t="s">
        <v>1</v>
      </c>
      <c r="AS1" s="4" t="s">
        <v>2</v>
      </c>
      <c r="AT1" s="5" t="s">
        <v>0</v>
      </c>
      <c r="AU1" s="2" t="s">
        <v>1</v>
      </c>
      <c r="AV1" s="4" t="s">
        <v>2</v>
      </c>
      <c r="AW1" s="29" t="s">
        <v>3</v>
      </c>
      <c r="AX1" s="35" t="s">
        <v>4</v>
      </c>
      <c r="AY1" s="6" t="s">
        <v>0</v>
      </c>
      <c r="AZ1" s="2" t="s">
        <v>1</v>
      </c>
      <c r="BA1" s="4" t="s">
        <v>2</v>
      </c>
      <c r="BB1" s="5" t="s">
        <v>0</v>
      </c>
      <c r="BC1" s="2" t="s">
        <v>1</v>
      </c>
      <c r="BD1" s="4" t="s">
        <v>2</v>
      </c>
      <c r="BE1" s="5" t="s">
        <v>0</v>
      </c>
      <c r="BF1" s="2" t="s">
        <v>1</v>
      </c>
      <c r="BG1" s="4" t="s">
        <v>2</v>
      </c>
      <c r="BH1" s="6" t="s">
        <v>0</v>
      </c>
      <c r="BI1" s="2" t="s">
        <v>1</v>
      </c>
      <c r="BJ1" s="4" t="s">
        <v>2</v>
      </c>
      <c r="BK1" s="5" t="s">
        <v>0</v>
      </c>
      <c r="BL1" s="2" t="s">
        <v>1</v>
      </c>
      <c r="BM1" s="4" t="s">
        <v>2</v>
      </c>
      <c r="BN1" s="5" t="s">
        <v>0</v>
      </c>
      <c r="BO1" s="2" t="s">
        <v>1</v>
      </c>
      <c r="BP1" s="4" t="s">
        <v>2</v>
      </c>
      <c r="BQ1" s="5" t="s">
        <v>0</v>
      </c>
      <c r="BR1" s="2" t="s">
        <v>1</v>
      </c>
      <c r="BS1" s="4" t="s">
        <v>2</v>
      </c>
      <c r="BT1" s="29" t="s">
        <v>3</v>
      </c>
      <c r="BU1" s="35" t="s">
        <v>4</v>
      </c>
      <c r="BV1" s="6" t="s">
        <v>0</v>
      </c>
      <c r="BW1" s="2" t="s">
        <v>1</v>
      </c>
      <c r="BX1" s="4" t="s">
        <v>2</v>
      </c>
      <c r="BY1" s="5" t="s">
        <v>0</v>
      </c>
      <c r="BZ1" s="2" t="s">
        <v>1</v>
      </c>
      <c r="CA1" s="4" t="s">
        <v>2</v>
      </c>
      <c r="CB1" s="5" t="s">
        <v>0</v>
      </c>
      <c r="CC1" s="2" t="s">
        <v>1</v>
      </c>
      <c r="CD1" s="4" t="s">
        <v>2</v>
      </c>
      <c r="CE1" s="5" t="s">
        <v>0</v>
      </c>
      <c r="CF1" s="2" t="s">
        <v>1</v>
      </c>
      <c r="CG1" s="4" t="s">
        <v>2</v>
      </c>
      <c r="CH1" s="5" t="s">
        <v>0</v>
      </c>
      <c r="CI1" s="2" t="s">
        <v>1</v>
      </c>
      <c r="CJ1" s="4" t="s">
        <v>2</v>
      </c>
      <c r="CK1" s="5" t="s">
        <v>0</v>
      </c>
      <c r="CL1" s="2" t="s">
        <v>1</v>
      </c>
      <c r="CM1" s="4" t="s">
        <v>2</v>
      </c>
      <c r="CN1" s="5" t="s">
        <v>0</v>
      </c>
      <c r="CO1" s="2" t="s">
        <v>1</v>
      </c>
      <c r="CP1" s="4" t="s">
        <v>2</v>
      </c>
      <c r="CQ1" s="5" t="s">
        <v>0</v>
      </c>
      <c r="CR1" s="2" t="s">
        <v>1</v>
      </c>
      <c r="CS1" s="4" t="s">
        <v>2</v>
      </c>
      <c r="CT1" s="5" t="s">
        <v>0</v>
      </c>
      <c r="CU1" s="2" t="s">
        <v>1</v>
      </c>
      <c r="CV1" s="4" t="s">
        <v>2</v>
      </c>
      <c r="CW1" s="29" t="s">
        <v>3</v>
      </c>
      <c r="CX1" s="3" t="s">
        <v>4</v>
      </c>
      <c r="CY1" s="7" t="s">
        <v>5</v>
      </c>
      <c r="CZ1" s="3" t="s">
        <v>6</v>
      </c>
    </row>
    <row r="2" spans="1:104" ht="17.25" thickTop="1" thickBot="1" x14ac:dyDescent="0.3">
      <c r="A2" s="9" t="s">
        <v>7</v>
      </c>
      <c r="B2" s="10" t="s">
        <v>8</v>
      </c>
      <c r="C2" s="10" t="s">
        <v>9</v>
      </c>
      <c r="D2" s="11" t="s">
        <v>10</v>
      </c>
      <c r="E2" s="38">
        <v>46133</v>
      </c>
      <c r="F2" s="39"/>
      <c r="G2" s="40"/>
      <c r="H2" s="38">
        <v>46134</v>
      </c>
      <c r="I2" s="39"/>
      <c r="J2" s="40"/>
      <c r="K2" s="38">
        <v>46135</v>
      </c>
      <c r="L2" s="39"/>
      <c r="M2" s="40"/>
      <c r="N2" s="38">
        <v>46136</v>
      </c>
      <c r="O2" s="39"/>
      <c r="P2" s="40"/>
      <c r="Q2" s="38">
        <v>46137</v>
      </c>
      <c r="R2" s="39"/>
      <c r="S2" s="40"/>
      <c r="T2" s="38">
        <v>46138</v>
      </c>
      <c r="U2" s="39"/>
      <c r="V2" s="40"/>
      <c r="W2" s="38">
        <v>46139</v>
      </c>
      <c r="X2" s="39"/>
      <c r="Y2" s="40"/>
      <c r="Z2" s="42"/>
      <c r="AA2" s="43"/>
      <c r="AB2" s="39">
        <v>46140</v>
      </c>
      <c r="AC2" s="39"/>
      <c r="AD2" s="40"/>
      <c r="AE2" s="39">
        <v>46141</v>
      </c>
      <c r="AF2" s="39"/>
      <c r="AG2" s="40"/>
      <c r="AH2" s="39">
        <v>46142</v>
      </c>
      <c r="AI2" s="39"/>
      <c r="AJ2" s="40"/>
      <c r="AK2" s="39">
        <v>46143</v>
      </c>
      <c r="AL2" s="39"/>
      <c r="AM2" s="40"/>
      <c r="AN2" s="39">
        <v>46144</v>
      </c>
      <c r="AO2" s="39"/>
      <c r="AP2" s="40"/>
      <c r="AQ2" s="39">
        <v>46145</v>
      </c>
      <c r="AR2" s="39"/>
      <c r="AS2" s="40"/>
      <c r="AT2" s="39">
        <v>46146</v>
      </c>
      <c r="AU2" s="39"/>
      <c r="AV2" s="40"/>
      <c r="AW2" s="42"/>
      <c r="AX2" s="43"/>
      <c r="AY2" s="39">
        <v>46147</v>
      </c>
      <c r="AZ2" s="39"/>
      <c r="BA2" s="40"/>
      <c r="BB2" s="44">
        <v>46148</v>
      </c>
      <c r="BC2" s="39"/>
      <c r="BD2" s="40"/>
      <c r="BE2" s="44">
        <v>46149</v>
      </c>
      <c r="BF2" s="39"/>
      <c r="BG2" s="40"/>
      <c r="BH2" s="44">
        <v>46150</v>
      </c>
      <c r="BI2" s="39"/>
      <c r="BJ2" s="40"/>
      <c r="BK2" s="44">
        <v>46151</v>
      </c>
      <c r="BL2" s="39"/>
      <c r="BM2" s="40"/>
      <c r="BN2" s="44">
        <v>46152</v>
      </c>
      <c r="BO2" s="39"/>
      <c r="BP2" s="40"/>
      <c r="BQ2" s="44">
        <v>46153</v>
      </c>
      <c r="BR2" s="39"/>
      <c r="BS2" s="40"/>
      <c r="BT2" s="42"/>
      <c r="BU2" s="43"/>
      <c r="BV2" s="39">
        <v>46154</v>
      </c>
      <c r="BW2" s="39"/>
      <c r="BX2" s="40"/>
      <c r="BY2" s="39">
        <v>46155</v>
      </c>
      <c r="BZ2" s="39"/>
      <c r="CA2" s="40"/>
      <c r="CB2" s="39">
        <v>46156</v>
      </c>
      <c r="CC2" s="39"/>
      <c r="CD2" s="40"/>
      <c r="CE2" s="39">
        <v>46157</v>
      </c>
      <c r="CF2" s="39"/>
      <c r="CG2" s="40"/>
      <c r="CH2" s="39">
        <v>46158</v>
      </c>
      <c r="CI2" s="39"/>
      <c r="CJ2" s="40"/>
      <c r="CK2" s="39">
        <v>46159</v>
      </c>
      <c r="CL2" s="39"/>
      <c r="CM2" s="40"/>
      <c r="CN2" s="39">
        <v>46160</v>
      </c>
      <c r="CO2" s="39"/>
      <c r="CP2" s="40"/>
      <c r="CQ2" s="39">
        <v>46161</v>
      </c>
      <c r="CR2" s="39"/>
      <c r="CS2" s="40"/>
      <c r="CT2" s="39">
        <v>46162</v>
      </c>
      <c r="CU2" s="39"/>
      <c r="CV2" s="40"/>
      <c r="CW2" s="42"/>
      <c r="CX2" s="45"/>
      <c r="CY2" s="27"/>
      <c r="CZ2" s="28"/>
    </row>
    <row r="3" spans="1:104" ht="17.25" thickTop="1" thickBot="1" x14ac:dyDescent="0.3">
      <c r="A3" s="9">
        <v>1</v>
      </c>
      <c r="B3" s="10">
        <v>19312</v>
      </c>
      <c r="C3" s="10" t="s">
        <v>11</v>
      </c>
      <c r="D3" s="11" t="s">
        <v>12</v>
      </c>
      <c r="E3" s="13">
        <v>2</v>
      </c>
      <c r="F3" s="13">
        <v>9</v>
      </c>
      <c r="G3" s="16"/>
      <c r="H3" s="13">
        <v>2</v>
      </c>
      <c r="I3" s="13">
        <v>9</v>
      </c>
      <c r="J3" s="16"/>
      <c r="K3" s="13">
        <v>1</v>
      </c>
      <c r="L3" s="13">
        <v>9</v>
      </c>
      <c r="M3" s="16"/>
      <c r="N3" s="13">
        <v>2</v>
      </c>
      <c r="O3" s="13">
        <v>9</v>
      </c>
      <c r="P3" s="16"/>
      <c r="Q3" s="13">
        <v>2</v>
      </c>
      <c r="R3" s="13">
        <v>9</v>
      </c>
      <c r="S3" s="16">
        <v>1</v>
      </c>
      <c r="T3" s="13">
        <v>2</v>
      </c>
      <c r="U3" s="13">
        <v>8</v>
      </c>
      <c r="V3" s="16"/>
      <c r="W3" s="17">
        <v>0</v>
      </c>
      <c r="X3" s="13">
        <v>0</v>
      </c>
      <c r="Y3" s="16"/>
      <c r="Z3" s="30">
        <f>IF(G3=0,E3,IF(G3=1,E3/2,0))+IF(J3=0,H3,IF(J3=1,H3/2,0))+IF(M3=0,K3,IF(M3=1,K3/2,0))+IF(P3=0,N3,IF(P3=1,E4/2,0))+IF(S3=0,Q3,IF(S3=1,E4/2,0))+IF(V3=0,T3,IF(V3=1,T3/2,0))+IF(Y3=0,W3,IF(Y3=1,W3/2,0))</f>
        <v>10.5</v>
      </c>
      <c r="AA3" s="34">
        <f>F3+I3+L3+O3+R3+U3+X3</f>
        <v>53</v>
      </c>
      <c r="AB3" s="17">
        <v>0</v>
      </c>
      <c r="AC3" s="13">
        <v>0</v>
      </c>
      <c r="AD3" s="16"/>
      <c r="AE3" s="13"/>
      <c r="AF3" s="13"/>
      <c r="AG3" s="16"/>
      <c r="AH3" s="13"/>
      <c r="AI3" s="13"/>
      <c r="AJ3" s="16"/>
      <c r="AK3" s="13"/>
      <c r="AL3" s="13"/>
      <c r="AM3" s="16"/>
      <c r="AN3" s="13"/>
      <c r="AO3" s="13"/>
      <c r="AP3" s="16"/>
      <c r="AQ3" s="13"/>
      <c r="AR3" s="13"/>
      <c r="AS3" s="16"/>
      <c r="AT3" s="13"/>
      <c r="AU3" s="13"/>
      <c r="AV3" s="16"/>
      <c r="AW3" s="30">
        <f>IF(AD3=0,AB3,IF(AD3=1,AB3/2,0))+IF(AG3=0,AE3,IF(AG3=1,AE3/2,0))+IF(AJ3=0,AH3,IF(AJ3=1,AH3/2,0))+IF(AM3=0,AK3,IF(AM3=1,AB4/2,0))+IF(AP3=0,AN3,IF(AP3=1,AB4/2,0))+IF(AS3=0,AQ3,IF(AS3=1,AQ3/2,0))+IF(AV3=0,AT3,IF(AV3=1,AT3/2,0))</f>
        <v>0</v>
      </c>
      <c r="AX3" s="34">
        <f>AC3+AF3+AI3+AL3+AO3+AR3+AU3</f>
        <v>0</v>
      </c>
      <c r="AY3" s="14"/>
      <c r="AZ3" s="13"/>
      <c r="BA3" s="16"/>
      <c r="BB3" s="17"/>
      <c r="BC3" s="13"/>
      <c r="BD3" s="16"/>
      <c r="BE3" s="17"/>
      <c r="BF3" s="13"/>
      <c r="BG3" s="16"/>
      <c r="BH3" s="14"/>
      <c r="BI3" s="13"/>
      <c r="BJ3" s="16"/>
      <c r="BK3" s="17"/>
      <c r="BL3" s="13"/>
      <c r="BM3" s="16"/>
      <c r="BN3" s="17"/>
      <c r="BO3" s="13"/>
      <c r="BP3" s="16"/>
      <c r="BQ3" s="17"/>
      <c r="BR3" s="13"/>
      <c r="BS3" s="16"/>
      <c r="BT3" s="30">
        <f t="shared" ref="BT3:BT12" si="0">IF(BA3=0,AY3,IF(BA3=1,AY3/2,0))+IF(BD3=0,BB3,IF(BD3=1,BB3/2,0))+IF(BG3=0,BE3,IF(BG3=1,BE3/2,0))+IF(BJ3=0,BH3,IF(BJ3=1,BH3/2,0))+IF(BM3=0,BK3,IF(BM3=1,AY4/2,0))+IF(BP3=0,BN3,IF(BP3=1,BN3/2,0))+IF(BS3=0,BQ3,IF(BS3=1,BQ3/2,0))</f>
        <v>0</v>
      </c>
      <c r="BU3" s="34">
        <f t="shared" ref="BU3:BU13" si="1">AZ3+BC3+BF3+BI3+BL3+BO3+BR3</f>
        <v>0</v>
      </c>
      <c r="BV3" s="14"/>
      <c r="BW3" s="13"/>
      <c r="BX3" s="16"/>
      <c r="BY3" s="17"/>
      <c r="BZ3" s="13"/>
      <c r="CA3" s="16"/>
      <c r="CB3" s="17"/>
      <c r="CC3" s="13"/>
      <c r="CD3" s="16"/>
      <c r="CE3" s="17"/>
      <c r="CF3" s="13"/>
      <c r="CG3" s="16"/>
      <c r="CH3" s="17"/>
      <c r="CI3" s="13"/>
      <c r="CJ3" s="16"/>
      <c r="CK3" s="17"/>
      <c r="CL3" s="13"/>
      <c r="CM3" s="16"/>
      <c r="CN3" s="17"/>
      <c r="CO3" s="13"/>
      <c r="CP3" s="16"/>
      <c r="CQ3" s="17"/>
      <c r="CR3" s="13"/>
      <c r="CS3" s="16"/>
      <c r="CT3" s="17"/>
      <c r="CU3" s="13"/>
      <c r="CV3" s="32"/>
      <c r="CW3" s="33">
        <f>CT3+CQ3+CN3+CK3+CH3+CE3+CB3+BY3+BV3</f>
        <v>0</v>
      </c>
      <c r="CX3" s="34">
        <f>CU3+CR3+CO3+CL3+CI3+CF3+CC3+BZ3+BW3</f>
        <v>0</v>
      </c>
      <c r="CY3" s="18">
        <f>CW3+BT3+AW3+Z3</f>
        <v>10.5</v>
      </c>
      <c r="CZ3" s="19">
        <f>CX3+BU3+AX3+AA3</f>
        <v>53</v>
      </c>
    </row>
    <row r="4" spans="1:104" ht="17.25" thickTop="1" thickBot="1" x14ac:dyDescent="0.3">
      <c r="A4" s="9">
        <v>2</v>
      </c>
      <c r="B4" s="10">
        <v>19859</v>
      </c>
      <c r="C4" s="10" t="s">
        <v>11</v>
      </c>
      <c r="D4" s="11" t="s">
        <v>13</v>
      </c>
      <c r="E4" s="13">
        <v>3</v>
      </c>
      <c r="F4" s="13">
        <v>9</v>
      </c>
      <c r="G4" s="16">
        <v>1</v>
      </c>
      <c r="H4" s="17">
        <v>0</v>
      </c>
      <c r="I4" s="13">
        <v>0</v>
      </c>
      <c r="J4" s="16"/>
      <c r="K4" s="17">
        <v>0</v>
      </c>
      <c r="L4" s="13">
        <v>0</v>
      </c>
      <c r="M4" s="16"/>
      <c r="N4" s="17">
        <v>3</v>
      </c>
      <c r="O4" s="13">
        <v>9</v>
      </c>
      <c r="P4" s="16">
        <v>1</v>
      </c>
      <c r="Q4" s="17">
        <v>0</v>
      </c>
      <c r="R4" s="13">
        <v>0</v>
      </c>
      <c r="S4" s="16"/>
      <c r="T4" s="17">
        <v>0</v>
      </c>
      <c r="U4" s="13">
        <v>0</v>
      </c>
      <c r="V4" s="16"/>
      <c r="W4" s="17">
        <v>2</v>
      </c>
      <c r="X4" s="13">
        <v>9</v>
      </c>
      <c r="Y4" s="16"/>
      <c r="Z4" s="30">
        <f t="shared" ref="Z4:Z13" si="2">IF(G4=0,E4,IF(G4=1,E4/2,0))+IF(J4=0,H4,IF(J4=1,H4/2,0))+IF(M4=0,K4,IF(M4=1,K4/2,0))+IF(P4=0,N4,IF(P4=1,E5/2,0))+IF(S4=0,Q4,IF(S4=1,E5/2,0))+IF(V4=0,T4,IF(V4=1,T4/2,0))+IF(Y4=0,W4,IF(Y4=1,W4/2,0))</f>
        <v>3.5</v>
      </c>
      <c r="AA4" s="34">
        <f t="shared" ref="AA4:AA13" si="3">F4+I4+L4+O4+R4+U4+X4</f>
        <v>27</v>
      </c>
      <c r="AB4" s="14">
        <v>1</v>
      </c>
      <c r="AC4" s="13">
        <v>9</v>
      </c>
      <c r="AD4" s="16"/>
      <c r="AE4" s="17"/>
      <c r="AF4" s="13"/>
      <c r="AG4" s="16"/>
      <c r="AH4" s="17"/>
      <c r="AI4" s="13"/>
      <c r="AJ4" s="16"/>
      <c r="AK4" s="17"/>
      <c r="AL4" s="13"/>
      <c r="AM4" s="16"/>
      <c r="AN4" s="13"/>
      <c r="AO4" s="13"/>
      <c r="AP4" s="16"/>
      <c r="AQ4" s="17"/>
      <c r="AR4" s="13"/>
      <c r="AS4" s="16"/>
      <c r="AT4" s="17"/>
      <c r="AU4" s="13"/>
      <c r="AV4" s="16"/>
      <c r="AW4" s="30">
        <f t="shared" ref="AW4:AW12" si="4">IF(AD4=0,AB4,IF(AD4=1,AB4/2,0))+IF(AG4=0,AE4,IF(AG4=1,AE4/2,0))+IF(AJ4=0,AH4,IF(AJ4=1,AH4/2,0))+IF(AM4=0,AK4,IF(AM4=1,AB5/2,0))+IF(AP4=0,AN4,IF(AP4=1,AB5/2,0))+IF(AS4=0,AQ4,IF(AS4=1,AQ4/2,0))+IF(AV4=0,AT4,IF(AV4=1,AT4/2,0))</f>
        <v>1</v>
      </c>
      <c r="AX4" s="34">
        <f t="shared" ref="AX4:AX13" si="5">AC4+AF4+AI4+AL4+AO4+AR4+AU4</f>
        <v>9</v>
      </c>
      <c r="AY4" s="14"/>
      <c r="AZ4" s="13"/>
      <c r="BA4" s="16"/>
      <c r="BB4" s="17"/>
      <c r="BC4" s="13"/>
      <c r="BD4" s="16"/>
      <c r="BE4" s="17"/>
      <c r="BF4" s="13"/>
      <c r="BG4" s="16"/>
      <c r="BH4" s="14"/>
      <c r="BI4" s="13"/>
      <c r="BJ4" s="16"/>
      <c r="BK4" s="17"/>
      <c r="BL4" s="13"/>
      <c r="BM4" s="16"/>
      <c r="BN4" s="17"/>
      <c r="BO4" s="13"/>
      <c r="BP4" s="16"/>
      <c r="BQ4" s="17"/>
      <c r="BR4" s="13"/>
      <c r="BS4" s="16"/>
      <c r="BT4" s="30">
        <f t="shared" si="0"/>
        <v>0</v>
      </c>
      <c r="BU4" s="34">
        <f t="shared" si="1"/>
        <v>0</v>
      </c>
      <c r="BV4" s="14"/>
      <c r="BW4" s="13"/>
      <c r="BX4" s="16"/>
      <c r="BY4" s="17"/>
      <c r="BZ4" s="13"/>
      <c r="CA4" s="16"/>
      <c r="CB4" s="17"/>
      <c r="CC4" s="13"/>
      <c r="CD4" s="16"/>
      <c r="CE4" s="17"/>
      <c r="CF4" s="13"/>
      <c r="CG4" s="16"/>
      <c r="CH4" s="17"/>
      <c r="CI4" s="13"/>
      <c r="CJ4" s="16"/>
      <c r="CK4" s="17"/>
      <c r="CL4" s="13"/>
      <c r="CM4" s="16"/>
      <c r="CN4" s="17"/>
      <c r="CO4" s="13"/>
      <c r="CP4" s="16"/>
      <c r="CQ4" s="17"/>
      <c r="CR4" s="13"/>
      <c r="CS4" s="16"/>
      <c r="CT4" s="17"/>
      <c r="CU4" s="13"/>
      <c r="CV4" s="16"/>
      <c r="CW4" s="15">
        <f t="shared" ref="CW4:CW13" si="6">CT4+CQ4+CN4+CK4+CH4+CE4+CB4+BY4+BV4</f>
        <v>0</v>
      </c>
      <c r="CX4" s="34">
        <f t="shared" ref="CX4:CX13" si="7">CU4+CR4+CO4+CL4+CI4+CF4+CC4+BZ4+BW4</f>
        <v>0</v>
      </c>
      <c r="CY4" s="18">
        <f t="shared" ref="CY4:CY13" si="8">CW4+BT4+AW4+Z4</f>
        <v>4.5</v>
      </c>
      <c r="CZ4" s="19">
        <f t="shared" ref="CZ4:CZ13" si="9">CX4+BU4+AX4+AA4</f>
        <v>36</v>
      </c>
    </row>
    <row r="5" spans="1:104" ht="17.25" thickTop="1" thickBot="1" x14ac:dyDescent="0.3">
      <c r="A5" s="9">
        <v>3</v>
      </c>
      <c r="B5" s="10"/>
      <c r="C5" s="10" t="s">
        <v>11</v>
      </c>
      <c r="D5" s="11" t="s">
        <v>14</v>
      </c>
      <c r="E5" s="13">
        <v>0</v>
      </c>
      <c r="F5" s="13">
        <v>0</v>
      </c>
      <c r="G5" s="16"/>
      <c r="H5" s="13">
        <v>0</v>
      </c>
      <c r="I5" s="13">
        <v>0</v>
      </c>
      <c r="J5" s="16"/>
      <c r="K5" s="17">
        <v>0</v>
      </c>
      <c r="L5" s="13">
        <v>0</v>
      </c>
      <c r="M5" s="16"/>
      <c r="N5" s="17">
        <v>0</v>
      </c>
      <c r="O5" s="13">
        <v>0</v>
      </c>
      <c r="P5" s="16"/>
      <c r="Q5" s="17">
        <v>0</v>
      </c>
      <c r="R5" s="13">
        <v>0</v>
      </c>
      <c r="S5" s="16"/>
      <c r="T5" s="17">
        <v>0</v>
      </c>
      <c r="U5" s="13">
        <v>0</v>
      </c>
      <c r="V5" s="16"/>
      <c r="W5" s="17">
        <v>0</v>
      </c>
      <c r="X5" s="13">
        <v>0</v>
      </c>
      <c r="Y5" s="16"/>
      <c r="Z5" s="30">
        <f t="shared" si="2"/>
        <v>0</v>
      </c>
      <c r="AA5" s="34">
        <f t="shared" si="3"/>
        <v>0</v>
      </c>
      <c r="AB5" s="17">
        <v>0</v>
      </c>
      <c r="AC5" s="13">
        <v>0</v>
      </c>
      <c r="AD5" s="16"/>
      <c r="AE5" s="13"/>
      <c r="AF5" s="13"/>
      <c r="AG5" s="16"/>
      <c r="AH5" s="13"/>
      <c r="AI5" s="13"/>
      <c r="AJ5" s="16"/>
      <c r="AK5" s="13"/>
      <c r="AL5" s="13"/>
      <c r="AM5" s="16"/>
      <c r="AN5" s="13"/>
      <c r="AO5" s="13"/>
      <c r="AP5" s="16"/>
      <c r="AQ5" s="13"/>
      <c r="AR5" s="13"/>
      <c r="AS5" s="16"/>
      <c r="AT5" s="13"/>
      <c r="AU5" s="13"/>
      <c r="AV5" s="16"/>
      <c r="AW5" s="30">
        <f t="shared" si="4"/>
        <v>0</v>
      </c>
      <c r="AX5" s="34">
        <f t="shared" si="5"/>
        <v>0</v>
      </c>
      <c r="AY5" s="14"/>
      <c r="AZ5" s="13"/>
      <c r="BA5" s="16"/>
      <c r="BB5" s="17"/>
      <c r="BC5" s="13"/>
      <c r="BD5" s="16"/>
      <c r="BE5" s="17"/>
      <c r="BF5" s="13"/>
      <c r="BG5" s="16"/>
      <c r="BH5" s="17"/>
      <c r="BI5" s="13"/>
      <c r="BJ5" s="16"/>
      <c r="BK5" s="17"/>
      <c r="BL5" s="13"/>
      <c r="BM5" s="16"/>
      <c r="BN5" s="17"/>
      <c r="BO5" s="13"/>
      <c r="BP5" s="16"/>
      <c r="BQ5" s="17"/>
      <c r="BR5" s="13"/>
      <c r="BS5" s="16"/>
      <c r="BT5" s="30">
        <f t="shared" si="0"/>
        <v>0</v>
      </c>
      <c r="BU5" s="34">
        <f t="shared" si="1"/>
        <v>0</v>
      </c>
      <c r="BV5" s="14"/>
      <c r="BW5" s="13"/>
      <c r="BX5" s="16"/>
      <c r="BY5" s="17"/>
      <c r="BZ5" s="13"/>
      <c r="CA5" s="16"/>
      <c r="CB5" s="17"/>
      <c r="CC5" s="13"/>
      <c r="CD5" s="16"/>
      <c r="CE5" s="17"/>
      <c r="CF5" s="13"/>
      <c r="CG5" s="16"/>
      <c r="CH5" s="17"/>
      <c r="CI5" s="13"/>
      <c r="CJ5" s="16"/>
      <c r="CK5" s="17"/>
      <c r="CL5" s="13"/>
      <c r="CM5" s="16"/>
      <c r="CN5" s="17"/>
      <c r="CO5" s="13"/>
      <c r="CP5" s="16"/>
      <c r="CQ5" s="17"/>
      <c r="CR5" s="13"/>
      <c r="CS5" s="16"/>
      <c r="CT5" s="17"/>
      <c r="CU5" s="13"/>
      <c r="CV5" s="16"/>
      <c r="CW5" s="15">
        <f t="shared" si="6"/>
        <v>0</v>
      </c>
      <c r="CX5" s="34">
        <f t="shared" si="7"/>
        <v>0</v>
      </c>
      <c r="CY5" s="18">
        <f t="shared" si="8"/>
        <v>0</v>
      </c>
      <c r="CZ5" s="19">
        <f t="shared" si="9"/>
        <v>0</v>
      </c>
    </row>
    <row r="6" spans="1:104" ht="17.25" thickTop="1" thickBot="1" x14ac:dyDescent="0.3">
      <c r="A6" s="9">
        <v>4</v>
      </c>
      <c r="B6" s="10"/>
      <c r="C6" s="10" t="s">
        <v>11</v>
      </c>
      <c r="D6" s="11" t="s">
        <v>15</v>
      </c>
      <c r="E6" s="13">
        <v>0</v>
      </c>
      <c r="F6" s="13">
        <v>0</v>
      </c>
      <c r="G6" s="16"/>
      <c r="H6" s="13">
        <v>0</v>
      </c>
      <c r="I6" s="13">
        <v>9</v>
      </c>
      <c r="J6" s="16">
        <v>1</v>
      </c>
      <c r="K6" s="13">
        <v>0</v>
      </c>
      <c r="L6" s="13">
        <v>9</v>
      </c>
      <c r="M6" s="16">
        <v>1</v>
      </c>
      <c r="N6" s="17">
        <v>0</v>
      </c>
      <c r="O6" s="13">
        <v>0</v>
      </c>
      <c r="P6" s="16"/>
      <c r="Q6" s="17">
        <v>0</v>
      </c>
      <c r="R6" s="13">
        <v>0</v>
      </c>
      <c r="S6" s="16"/>
      <c r="T6" s="13">
        <v>0</v>
      </c>
      <c r="U6" s="13">
        <v>8</v>
      </c>
      <c r="V6" s="16">
        <v>1</v>
      </c>
      <c r="W6" s="13">
        <v>0</v>
      </c>
      <c r="X6" s="13">
        <v>9</v>
      </c>
      <c r="Y6" s="16">
        <v>1</v>
      </c>
      <c r="Z6" s="30">
        <f t="shared" si="2"/>
        <v>0</v>
      </c>
      <c r="AA6" s="34">
        <f t="shared" si="3"/>
        <v>35</v>
      </c>
      <c r="AB6" s="14">
        <v>0</v>
      </c>
      <c r="AC6" s="13">
        <v>9</v>
      </c>
      <c r="AD6" s="16">
        <v>1</v>
      </c>
      <c r="AE6" s="13"/>
      <c r="AF6" s="13"/>
      <c r="AG6" s="16"/>
      <c r="AH6" s="13"/>
      <c r="AI6" s="13"/>
      <c r="AJ6" s="16"/>
      <c r="AK6" s="13"/>
      <c r="AL6" s="13"/>
      <c r="AM6" s="16"/>
      <c r="AN6" s="13"/>
      <c r="AO6" s="13"/>
      <c r="AP6" s="16"/>
      <c r="AQ6" s="13"/>
      <c r="AR6" s="13"/>
      <c r="AS6" s="16"/>
      <c r="AT6" s="13"/>
      <c r="AU6" s="13"/>
      <c r="AV6" s="16"/>
      <c r="AW6" s="30">
        <f>IF(AD6=0,AB6,IF(AD6=1,AB6/2,0))+IF(AG6=0,AE6,IF(AG6=1,AE6/2,0))+IF(AJ6=0,AH6,IF(AJ6=1,AH6/2,0))+IF(AM6=0,AK6,IF(AM6=1,#REF!/2,0))+IF(AP6=0,AN6,IF(AP6=1,#REF!/2,0))+IF(AS6=0,AQ6,IF(AS6=1,AQ6/2,0))+IF(AV6=0,AT6,IF(AV6=1,AT6/2,0))</f>
        <v>0</v>
      </c>
      <c r="AX6" s="34">
        <f t="shared" si="5"/>
        <v>9</v>
      </c>
      <c r="AY6" s="14"/>
      <c r="AZ6" s="13"/>
      <c r="BA6" s="16"/>
      <c r="BB6" s="17"/>
      <c r="BC6" s="13"/>
      <c r="BD6" s="16"/>
      <c r="BE6" s="17"/>
      <c r="BF6" s="13"/>
      <c r="BG6" s="16"/>
      <c r="BH6" s="17"/>
      <c r="BI6" s="13"/>
      <c r="BJ6" s="16"/>
      <c r="BK6" s="17"/>
      <c r="BL6" s="13"/>
      <c r="BM6" s="16"/>
      <c r="BN6" s="17"/>
      <c r="BO6" s="13"/>
      <c r="BP6" s="16"/>
      <c r="BQ6" s="17"/>
      <c r="BR6" s="13"/>
      <c r="BS6" s="16"/>
      <c r="BT6" s="30">
        <f>IF(BA6=0,AY6,IF(BA6=1,AY6/2,0))+IF(BD6=0,BB6,IF(BD6=1,BB6/2,0))+IF(BG6=0,BE6,IF(BG6=1,BE6/2,0))+IF(BJ6=0,BH6,IF(BJ6=1,BH6/2,0))+IF(BM6=0,BK6,IF(BM6=1,#REF!/2,0))+IF(BP6=0,BN6,IF(BP6=1,BN6/2,0))+IF(BS6=0,BQ6,IF(BS6=1,BQ6/2,0))</f>
        <v>0</v>
      </c>
      <c r="BU6" s="34">
        <f t="shared" si="1"/>
        <v>0</v>
      </c>
      <c r="BV6" s="14"/>
      <c r="BW6" s="13"/>
      <c r="BX6" s="16"/>
      <c r="BY6" s="17"/>
      <c r="BZ6" s="13"/>
      <c r="CA6" s="16"/>
      <c r="CB6" s="17"/>
      <c r="CC6" s="13"/>
      <c r="CD6" s="16"/>
      <c r="CE6" s="17"/>
      <c r="CF6" s="13"/>
      <c r="CG6" s="16"/>
      <c r="CH6" s="17"/>
      <c r="CI6" s="13"/>
      <c r="CJ6" s="16"/>
      <c r="CK6" s="17"/>
      <c r="CL6" s="13"/>
      <c r="CM6" s="16"/>
      <c r="CN6" s="17"/>
      <c r="CO6" s="13"/>
      <c r="CP6" s="16"/>
      <c r="CQ6" s="17"/>
      <c r="CR6" s="13"/>
      <c r="CS6" s="16"/>
      <c r="CT6" s="17"/>
      <c r="CU6" s="13"/>
      <c r="CV6" s="16"/>
      <c r="CW6" s="15">
        <f t="shared" si="6"/>
        <v>0</v>
      </c>
      <c r="CX6" s="34">
        <f t="shared" si="7"/>
        <v>0</v>
      </c>
      <c r="CY6" s="18">
        <f t="shared" si="8"/>
        <v>0</v>
      </c>
      <c r="CZ6" s="19">
        <f t="shared" si="9"/>
        <v>44</v>
      </c>
    </row>
    <row r="7" spans="1:104" ht="17.25" thickTop="1" thickBot="1" x14ac:dyDescent="0.3">
      <c r="A7" s="9">
        <v>5</v>
      </c>
      <c r="B7" s="10"/>
      <c r="C7" s="10" t="s">
        <v>11</v>
      </c>
      <c r="D7" s="11" t="s">
        <v>26</v>
      </c>
      <c r="E7" s="13">
        <v>1</v>
      </c>
      <c r="F7" s="13">
        <v>4</v>
      </c>
      <c r="G7" s="16"/>
      <c r="H7" s="13">
        <v>1</v>
      </c>
      <c r="I7" s="13">
        <v>4</v>
      </c>
      <c r="J7" s="16">
        <v>1</v>
      </c>
      <c r="K7" s="13">
        <v>1</v>
      </c>
      <c r="L7" s="13">
        <v>6</v>
      </c>
      <c r="M7" s="16">
        <v>1</v>
      </c>
      <c r="N7" s="17">
        <v>0</v>
      </c>
      <c r="O7" s="13">
        <v>0</v>
      </c>
      <c r="P7" s="16"/>
      <c r="Q7" s="17">
        <v>0</v>
      </c>
      <c r="R7" s="13">
        <v>0</v>
      </c>
      <c r="S7" s="16"/>
      <c r="T7" s="17">
        <v>0</v>
      </c>
      <c r="U7" s="13">
        <v>0</v>
      </c>
      <c r="V7" s="16"/>
      <c r="W7" s="13">
        <v>1</v>
      </c>
      <c r="X7" s="13">
        <v>4</v>
      </c>
      <c r="Y7" s="16"/>
      <c r="Z7" s="30">
        <f t="shared" si="2"/>
        <v>3</v>
      </c>
      <c r="AA7" s="34">
        <f t="shared" si="3"/>
        <v>18</v>
      </c>
      <c r="AB7" s="17">
        <v>0</v>
      </c>
      <c r="AC7" s="13">
        <v>0</v>
      </c>
      <c r="AD7" s="16"/>
      <c r="AE7" s="13"/>
      <c r="AF7" s="13"/>
      <c r="AG7" s="16"/>
      <c r="AH7" s="13"/>
      <c r="AI7" s="13"/>
      <c r="AJ7" s="16"/>
      <c r="AK7" s="13"/>
      <c r="AL7" s="13"/>
      <c r="AM7" s="16"/>
      <c r="AN7" s="13"/>
      <c r="AO7" s="13"/>
      <c r="AP7" s="16"/>
      <c r="AQ7" s="13"/>
      <c r="AR7" s="13"/>
      <c r="AS7" s="16"/>
      <c r="AT7" s="13"/>
      <c r="AU7" s="13"/>
      <c r="AV7" s="16"/>
      <c r="AW7" s="30">
        <f>IF(AD7=0,AB7,IF(AD7=1,AB7/2,0))+IF(AG7=0,AE7,IF(AG7=1,AE7/2,0))+IF(AJ7=0,AH7,IF(AJ7=1,AH7/2,0))+IF(AM7=0,AK7,IF(AM7=1,AB10/2,0))+IF(AP7=0,AN7,IF(AP7=1,AB10/2,0))+IF(AS7=0,AQ7,IF(AS7=1,AQ7/2,0))+IF(AV7=0,AT7,IF(AV7=1,AT7/2,0))</f>
        <v>0</v>
      </c>
      <c r="AX7" s="34">
        <f t="shared" si="5"/>
        <v>0</v>
      </c>
      <c r="AY7" s="14"/>
      <c r="AZ7" s="13"/>
      <c r="BA7" s="16"/>
      <c r="BB7" s="17"/>
      <c r="BC7" s="13"/>
      <c r="BD7" s="16"/>
      <c r="BE7" s="17"/>
      <c r="BF7" s="13"/>
      <c r="BG7" s="16"/>
      <c r="BH7" s="17"/>
      <c r="BI7" s="13"/>
      <c r="BJ7" s="16"/>
      <c r="BK7" s="17"/>
      <c r="BL7" s="13"/>
      <c r="BM7" s="16"/>
      <c r="BN7" s="17"/>
      <c r="BO7" s="13"/>
      <c r="BP7" s="16"/>
      <c r="BQ7" s="17"/>
      <c r="BR7" s="13"/>
      <c r="BS7" s="16"/>
      <c r="BT7" s="30">
        <f>IF(BA7=0,AY7,IF(BA7=1,AY7/2,0))+IF(BD7=0,BB7,IF(BD7=1,BB7/2,0))+IF(BG7=0,BE7,IF(BG7=1,BE7/2,0))+IF(BJ7=0,BH7,IF(BJ7=1,BH7/2,0))+IF(BM7=0,BK7,IF(BM7=1,AY10/2,0))+IF(BP7=0,BN7,IF(BP7=1,BN7/2,0))+IF(BS7=0,BQ7,IF(BS7=1,BQ7/2,0))</f>
        <v>0</v>
      </c>
      <c r="BU7" s="34">
        <f t="shared" si="1"/>
        <v>0</v>
      </c>
      <c r="BV7" s="14"/>
      <c r="BW7" s="13"/>
      <c r="BX7" s="16"/>
      <c r="BY7" s="17"/>
      <c r="BZ7" s="13"/>
      <c r="CA7" s="16"/>
      <c r="CB7" s="17"/>
      <c r="CC7" s="13"/>
      <c r="CD7" s="16"/>
      <c r="CE7" s="17"/>
      <c r="CF7" s="13"/>
      <c r="CG7" s="16"/>
      <c r="CH7" s="17"/>
      <c r="CI7" s="13"/>
      <c r="CJ7" s="16"/>
      <c r="CK7" s="17"/>
      <c r="CL7" s="13"/>
      <c r="CM7" s="16"/>
      <c r="CN7" s="17"/>
      <c r="CO7" s="13"/>
      <c r="CP7" s="16"/>
      <c r="CQ7" s="17"/>
      <c r="CR7" s="13"/>
      <c r="CS7" s="16"/>
      <c r="CT7" s="17"/>
      <c r="CU7" s="13"/>
      <c r="CV7" s="16"/>
      <c r="CW7" s="15">
        <f t="shared" si="6"/>
        <v>0</v>
      </c>
      <c r="CX7" s="34">
        <f t="shared" si="7"/>
        <v>0</v>
      </c>
      <c r="CY7" s="18">
        <f t="shared" si="8"/>
        <v>3</v>
      </c>
      <c r="CZ7" s="19">
        <f t="shared" si="9"/>
        <v>18</v>
      </c>
    </row>
    <row r="8" spans="1:104" ht="17.25" thickTop="1" thickBot="1" x14ac:dyDescent="0.3">
      <c r="A8" s="9">
        <v>6</v>
      </c>
      <c r="B8" s="10"/>
      <c r="C8" s="10" t="s">
        <v>11</v>
      </c>
      <c r="D8" s="11" t="s">
        <v>22</v>
      </c>
      <c r="E8" s="13">
        <v>0</v>
      </c>
      <c r="F8" s="13">
        <v>0</v>
      </c>
      <c r="G8" s="16"/>
      <c r="H8" s="13">
        <v>0</v>
      </c>
      <c r="I8" s="13">
        <v>0</v>
      </c>
      <c r="J8" s="16"/>
      <c r="K8" s="17">
        <v>0</v>
      </c>
      <c r="L8" s="13">
        <v>0</v>
      </c>
      <c r="M8" s="16"/>
      <c r="N8" s="17">
        <v>0</v>
      </c>
      <c r="O8" s="13">
        <v>0</v>
      </c>
      <c r="P8" s="16"/>
      <c r="Q8" s="17">
        <v>1</v>
      </c>
      <c r="R8" s="13">
        <v>3</v>
      </c>
      <c r="S8" s="16">
        <v>1</v>
      </c>
      <c r="T8" s="17">
        <v>0</v>
      </c>
      <c r="U8" s="13">
        <v>0</v>
      </c>
      <c r="V8" s="16"/>
      <c r="W8" s="17">
        <v>0</v>
      </c>
      <c r="X8" s="13">
        <v>0</v>
      </c>
      <c r="Y8" s="16"/>
      <c r="Z8" s="30">
        <f t="shared" si="2"/>
        <v>0</v>
      </c>
      <c r="AA8" s="34">
        <f t="shared" si="3"/>
        <v>3</v>
      </c>
      <c r="AB8" s="14">
        <v>2</v>
      </c>
      <c r="AC8" s="13">
        <v>4</v>
      </c>
      <c r="AD8" s="16">
        <v>1</v>
      </c>
      <c r="AE8" s="17"/>
      <c r="AF8" s="13"/>
      <c r="AG8" s="16"/>
      <c r="AH8" s="13"/>
      <c r="AI8" s="13"/>
      <c r="AJ8" s="16"/>
      <c r="AK8" s="13"/>
      <c r="AL8" s="13"/>
      <c r="AM8" s="16"/>
      <c r="AN8" s="17"/>
      <c r="AO8" s="13"/>
      <c r="AP8" s="16"/>
      <c r="AQ8" s="13"/>
      <c r="AR8" s="13"/>
      <c r="AS8" s="16"/>
      <c r="AT8" s="17"/>
      <c r="AU8" s="13"/>
      <c r="AV8" s="16"/>
      <c r="AW8" s="30">
        <f>IF(AD8=0,AB8,IF(AD8=1,AB8/2,0))+IF(AG8=0,AE8,IF(AG8=1,AE8/2,0))+IF(AJ8=0,AH8,IF(AJ8=1,AH8/2,0))+IF(AM8=0,AK8,IF(AM8=1,AB11/2,0))+IF(AP8=0,AN8,IF(AP8=1,AB11/2,0))+IF(AS8=0,AQ8,IF(AS8=1,AQ8/2,0))+IF(AV8=0,AT8,IF(AV8=1,AT8/2,0))</f>
        <v>1</v>
      </c>
      <c r="AX8" s="34">
        <f t="shared" si="5"/>
        <v>4</v>
      </c>
      <c r="AY8" s="14"/>
      <c r="AZ8" s="13"/>
      <c r="BA8" s="16"/>
      <c r="BB8" s="17"/>
      <c r="BC8" s="13"/>
      <c r="BD8" s="16"/>
      <c r="BE8" s="17"/>
      <c r="BF8" s="13"/>
      <c r="BG8" s="16"/>
      <c r="BH8" s="14"/>
      <c r="BI8" s="13"/>
      <c r="BJ8" s="16"/>
      <c r="BK8" s="14"/>
      <c r="BL8" s="13"/>
      <c r="BM8" s="16"/>
      <c r="BN8" s="17"/>
      <c r="BO8" s="13"/>
      <c r="BP8" s="16"/>
      <c r="BQ8" s="17"/>
      <c r="BR8" s="13"/>
      <c r="BS8" s="16"/>
      <c r="BT8" s="30">
        <f>IF(BA8=0,AY8,IF(BA8=1,AY8/2,0))+IF(BD8=0,BB8,IF(BD8=1,BB8/2,0))+IF(BG8=0,BE8,IF(BG8=1,BE8/2,0))+IF(BJ8=0,BH8,IF(BJ8=1,BH8/2,0))+IF(BM8=0,BK8,IF(BM8=1,AY11/2,0))+IF(BP8=0,BN8,IF(BP8=1,BN8/2,0))+IF(BS8=0,BQ8,IF(BS8=1,BQ8/2,0))</f>
        <v>0</v>
      </c>
      <c r="BU8" s="34">
        <f t="shared" si="1"/>
        <v>0</v>
      </c>
      <c r="BV8" s="14"/>
      <c r="BW8" s="13"/>
      <c r="BX8" s="16"/>
      <c r="BY8" s="17"/>
      <c r="BZ8" s="13"/>
      <c r="CA8" s="16"/>
      <c r="CB8" s="17"/>
      <c r="CC8" s="13"/>
      <c r="CD8" s="16"/>
      <c r="CE8" s="17"/>
      <c r="CF8" s="13"/>
      <c r="CG8" s="16"/>
      <c r="CH8" s="17"/>
      <c r="CI8" s="13"/>
      <c r="CJ8" s="16"/>
      <c r="CK8" s="17"/>
      <c r="CL8" s="13"/>
      <c r="CM8" s="16"/>
      <c r="CN8" s="17"/>
      <c r="CO8" s="13"/>
      <c r="CP8" s="16"/>
      <c r="CQ8" s="17"/>
      <c r="CR8" s="13"/>
      <c r="CS8" s="16"/>
      <c r="CT8" s="17"/>
      <c r="CU8" s="13"/>
      <c r="CV8" s="16"/>
      <c r="CW8" s="15">
        <f t="shared" si="6"/>
        <v>0</v>
      </c>
      <c r="CX8" s="34">
        <f t="shared" si="7"/>
        <v>0</v>
      </c>
      <c r="CY8" s="18">
        <f t="shared" si="8"/>
        <v>1</v>
      </c>
      <c r="CZ8" s="19">
        <f t="shared" si="9"/>
        <v>7</v>
      </c>
    </row>
    <row r="9" spans="1:104" ht="17.25" thickTop="1" thickBot="1" x14ac:dyDescent="0.3">
      <c r="A9" s="9">
        <v>7</v>
      </c>
      <c r="B9" s="10"/>
      <c r="C9" s="10" t="s">
        <v>24</v>
      </c>
      <c r="D9" s="11" t="s">
        <v>25</v>
      </c>
      <c r="E9" s="13">
        <v>0</v>
      </c>
      <c r="F9" s="13">
        <v>0</v>
      </c>
      <c r="G9" s="16"/>
      <c r="H9" s="13">
        <v>0</v>
      </c>
      <c r="I9" s="13">
        <v>0</v>
      </c>
      <c r="J9" s="16"/>
      <c r="K9" s="17">
        <v>0</v>
      </c>
      <c r="L9" s="13">
        <v>0</v>
      </c>
      <c r="M9" s="16"/>
      <c r="N9" s="13">
        <v>0</v>
      </c>
      <c r="O9" s="13">
        <v>7</v>
      </c>
      <c r="P9" s="16">
        <v>1</v>
      </c>
      <c r="Q9" s="14">
        <v>0</v>
      </c>
      <c r="R9" s="13">
        <v>4</v>
      </c>
      <c r="S9" s="16">
        <v>1</v>
      </c>
      <c r="T9" s="14">
        <v>0</v>
      </c>
      <c r="U9" s="13">
        <v>4</v>
      </c>
      <c r="V9" s="16">
        <v>1</v>
      </c>
      <c r="W9" s="17">
        <v>0</v>
      </c>
      <c r="X9" s="13">
        <v>4</v>
      </c>
      <c r="Y9" s="16">
        <v>1</v>
      </c>
      <c r="Z9" s="30">
        <f t="shared" si="2"/>
        <v>0</v>
      </c>
      <c r="AA9" s="34">
        <f t="shared" si="3"/>
        <v>19</v>
      </c>
      <c r="AB9" s="17">
        <v>0</v>
      </c>
      <c r="AC9" s="13">
        <v>0</v>
      </c>
      <c r="AD9" s="16"/>
      <c r="AE9" s="17"/>
      <c r="AF9" s="13"/>
      <c r="AG9" s="16"/>
      <c r="AH9" s="14"/>
      <c r="AI9" s="13"/>
      <c r="AJ9" s="16"/>
      <c r="AK9" s="14"/>
      <c r="AL9" s="13"/>
      <c r="AM9" s="16"/>
      <c r="AN9" s="17"/>
      <c r="AO9" s="13"/>
      <c r="AP9" s="16"/>
      <c r="AQ9" s="14"/>
      <c r="AR9" s="13"/>
      <c r="AS9" s="16"/>
      <c r="AT9" s="17"/>
      <c r="AU9" s="13"/>
      <c r="AV9" s="16"/>
      <c r="AW9" s="30">
        <v>0</v>
      </c>
      <c r="AX9" s="34">
        <f t="shared" si="5"/>
        <v>0</v>
      </c>
      <c r="AY9" s="14"/>
      <c r="AZ9" s="13"/>
      <c r="BA9" s="16"/>
      <c r="BB9" s="17"/>
      <c r="BC9" s="13"/>
      <c r="BD9" s="16"/>
      <c r="BE9" s="17"/>
      <c r="BF9" s="13"/>
      <c r="BG9" s="16"/>
      <c r="BH9" s="14"/>
      <c r="BI9" s="13"/>
      <c r="BJ9" s="16"/>
      <c r="BK9" s="14"/>
      <c r="BL9" s="13"/>
      <c r="BM9" s="16"/>
      <c r="BN9" s="17"/>
      <c r="BO9" s="13"/>
      <c r="BP9" s="16"/>
      <c r="BQ9" s="17"/>
      <c r="BR9" s="13"/>
      <c r="BS9" s="16"/>
      <c r="BT9" s="30">
        <v>0</v>
      </c>
      <c r="BU9" s="34">
        <f t="shared" si="1"/>
        <v>0</v>
      </c>
      <c r="BV9" s="14"/>
      <c r="BW9" s="13"/>
      <c r="BX9" s="16"/>
      <c r="BY9" s="17"/>
      <c r="BZ9" s="13"/>
      <c r="CA9" s="16"/>
      <c r="CB9" s="17"/>
      <c r="CC9" s="13"/>
      <c r="CD9" s="16"/>
      <c r="CE9" s="17"/>
      <c r="CF9" s="13"/>
      <c r="CG9" s="16"/>
      <c r="CH9" s="17"/>
      <c r="CI9" s="13"/>
      <c r="CJ9" s="16"/>
      <c r="CK9" s="17"/>
      <c r="CL9" s="13"/>
      <c r="CM9" s="16"/>
      <c r="CN9" s="17"/>
      <c r="CO9" s="13"/>
      <c r="CP9" s="16"/>
      <c r="CQ9" s="17"/>
      <c r="CR9" s="13"/>
      <c r="CS9" s="16"/>
      <c r="CT9" s="17"/>
      <c r="CU9" s="13"/>
      <c r="CV9" s="16"/>
      <c r="CW9" s="15">
        <f t="shared" si="6"/>
        <v>0</v>
      </c>
      <c r="CX9" s="34">
        <f t="shared" si="7"/>
        <v>0</v>
      </c>
      <c r="CY9" s="18">
        <f t="shared" si="8"/>
        <v>0</v>
      </c>
      <c r="CZ9" s="19">
        <f t="shared" si="9"/>
        <v>19</v>
      </c>
    </row>
    <row r="10" spans="1:104" ht="17.25" thickTop="1" thickBot="1" x14ac:dyDescent="0.3">
      <c r="A10" s="9">
        <v>8</v>
      </c>
      <c r="B10" s="10"/>
      <c r="C10" s="10" t="s">
        <v>16</v>
      </c>
      <c r="D10" s="11" t="s">
        <v>17</v>
      </c>
      <c r="E10" s="13">
        <v>0</v>
      </c>
      <c r="F10" s="13">
        <v>0</v>
      </c>
      <c r="G10" s="16"/>
      <c r="H10" s="13">
        <v>0</v>
      </c>
      <c r="I10" s="13">
        <v>4</v>
      </c>
      <c r="J10" s="16"/>
      <c r="K10" s="17">
        <v>0</v>
      </c>
      <c r="L10" s="13">
        <v>8</v>
      </c>
      <c r="M10" s="16"/>
      <c r="N10" s="13">
        <v>0</v>
      </c>
      <c r="O10" s="13">
        <v>7</v>
      </c>
      <c r="P10" s="16"/>
      <c r="Q10" s="17">
        <v>0</v>
      </c>
      <c r="R10" s="13">
        <v>0</v>
      </c>
      <c r="S10" s="16"/>
      <c r="T10" s="13">
        <v>0</v>
      </c>
      <c r="U10" s="13">
        <v>4</v>
      </c>
      <c r="V10" s="16"/>
      <c r="W10" s="17">
        <v>0</v>
      </c>
      <c r="X10" s="13">
        <v>4</v>
      </c>
      <c r="Y10" s="16"/>
      <c r="Z10" s="30">
        <f t="shared" si="2"/>
        <v>0</v>
      </c>
      <c r="AA10" s="34">
        <f t="shared" si="3"/>
        <v>27</v>
      </c>
      <c r="AB10" s="14">
        <v>0</v>
      </c>
      <c r="AC10" s="13">
        <v>4</v>
      </c>
      <c r="AD10" s="16"/>
      <c r="AE10" s="17"/>
      <c r="AF10" s="13"/>
      <c r="AG10" s="16"/>
      <c r="AH10" s="17"/>
      <c r="AI10" s="13"/>
      <c r="AJ10" s="16"/>
      <c r="AK10" s="17"/>
      <c r="AL10" s="13"/>
      <c r="AM10" s="16"/>
      <c r="AN10" s="17"/>
      <c r="AO10" s="13"/>
      <c r="AP10" s="16"/>
      <c r="AQ10" s="17"/>
      <c r="AR10" s="13"/>
      <c r="AS10" s="16"/>
      <c r="AT10" s="17"/>
      <c r="AU10" s="13"/>
      <c r="AV10" s="16"/>
      <c r="AW10" s="30">
        <f t="shared" si="4"/>
        <v>0</v>
      </c>
      <c r="AX10" s="34">
        <f t="shared" si="5"/>
        <v>4</v>
      </c>
      <c r="AY10" s="14"/>
      <c r="AZ10" s="13"/>
      <c r="BA10" s="16"/>
      <c r="BB10" s="17"/>
      <c r="BC10" s="13"/>
      <c r="BD10" s="16"/>
      <c r="BE10" s="17"/>
      <c r="BF10" s="13"/>
      <c r="BG10" s="16"/>
      <c r="BH10" s="17"/>
      <c r="BI10" s="13"/>
      <c r="BJ10" s="16"/>
      <c r="BK10" s="17"/>
      <c r="BL10" s="13"/>
      <c r="BM10" s="16"/>
      <c r="BN10" s="17"/>
      <c r="BO10" s="13"/>
      <c r="BP10" s="16"/>
      <c r="BQ10" s="17"/>
      <c r="BR10" s="13"/>
      <c r="BS10" s="16"/>
      <c r="BT10" s="30">
        <f>IF(BA10=0,AY10,IF(BA10=1,AY10/2,0))+IF(BD10=0,BB10,IF(BD10=1,BB10/2,0))+IF(BG10=0,BE10,IF(BG10=1,BE10/2,0))+IF(BJ10=0,BH10,IF(BJ10=1,BH10/2,0))+IF(BM10=0,,IF(BM10=1,AY11/2,0))+IF(BP10=0,BN10,IF(BP10=1,BN10/2,0))+IF(BS10=0,BQ10,IF(BS10=1,BQ10/2,0))</f>
        <v>0</v>
      </c>
      <c r="BU10" s="34">
        <f t="shared" si="1"/>
        <v>0</v>
      </c>
      <c r="BV10" s="14"/>
      <c r="BW10" s="13"/>
      <c r="BX10" s="16"/>
      <c r="BY10" s="17"/>
      <c r="BZ10" s="13"/>
      <c r="CA10" s="16"/>
      <c r="CB10" s="17"/>
      <c r="CC10" s="13"/>
      <c r="CD10" s="16"/>
      <c r="CE10" s="17"/>
      <c r="CF10" s="13"/>
      <c r="CG10" s="16"/>
      <c r="CH10" s="17"/>
      <c r="CI10" s="13"/>
      <c r="CJ10" s="16"/>
      <c r="CK10" s="17"/>
      <c r="CL10" s="13"/>
      <c r="CM10" s="16"/>
      <c r="CN10" s="17"/>
      <c r="CO10" s="13"/>
      <c r="CP10" s="16"/>
      <c r="CQ10" s="17"/>
      <c r="CR10" s="13"/>
      <c r="CS10" s="16"/>
      <c r="CT10" s="17"/>
      <c r="CU10" s="13"/>
      <c r="CV10" s="16"/>
      <c r="CW10" s="15">
        <f t="shared" si="6"/>
        <v>0</v>
      </c>
      <c r="CX10" s="34">
        <f t="shared" si="7"/>
        <v>0</v>
      </c>
      <c r="CY10" s="18">
        <f t="shared" si="8"/>
        <v>0</v>
      </c>
      <c r="CZ10" s="19">
        <f t="shared" si="9"/>
        <v>31</v>
      </c>
    </row>
    <row r="11" spans="1:104" ht="17.25" thickTop="1" thickBot="1" x14ac:dyDescent="0.3">
      <c r="A11" s="9">
        <v>9</v>
      </c>
      <c r="B11" s="10"/>
      <c r="C11" s="10" t="s">
        <v>11</v>
      </c>
      <c r="D11" s="11" t="s">
        <v>18</v>
      </c>
      <c r="E11" s="13">
        <v>1</v>
      </c>
      <c r="F11" s="13">
        <v>4</v>
      </c>
      <c r="G11" s="16">
        <v>1</v>
      </c>
      <c r="H11" s="17">
        <v>0</v>
      </c>
      <c r="I11" s="13">
        <v>0</v>
      </c>
      <c r="J11" s="16"/>
      <c r="K11" s="17">
        <v>0</v>
      </c>
      <c r="L11" s="13">
        <v>0</v>
      </c>
      <c r="M11" s="16"/>
      <c r="N11" s="17">
        <v>0</v>
      </c>
      <c r="O11" s="13">
        <v>0</v>
      </c>
      <c r="P11" s="16"/>
      <c r="Q11" s="17">
        <v>0</v>
      </c>
      <c r="R11" s="13">
        <v>0</v>
      </c>
      <c r="S11" s="16"/>
      <c r="T11" s="17">
        <v>0</v>
      </c>
      <c r="U11" s="13">
        <v>0</v>
      </c>
      <c r="V11" s="16"/>
      <c r="W11" s="17">
        <v>0</v>
      </c>
      <c r="X11" s="13">
        <v>0</v>
      </c>
      <c r="Y11" s="16"/>
      <c r="Z11" s="30">
        <f t="shared" si="2"/>
        <v>0.5</v>
      </c>
      <c r="AA11" s="34">
        <f t="shared" si="3"/>
        <v>4</v>
      </c>
      <c r="AB11" s="17">
        <v>0</v>
      </c>
      <c r="AC11" s="13">
        <v>0</v>
      </c>
      <c r="AD11" s="16"/>
      <c r="AE11" s="17"/>
      <c r="AF11" s="13"/>
      <c r="AG11" s="16"/>
      <c r="AH11" s="17"/>
      <c r="AI11" s="13"/>
      <c r="AJ11" s="16"/>
      <c r="AK11" s="17"/>
      <c r="AL11" s="13"/>
      <c r="AM11" s="16"/>
      <c r="AN11" s="17"/>
      <c r="AO11" s="13"/>
      <c r="AP11" s="16"/>
      <c r="AQ11" s="13"/>
      <c r="AR11" s="13"/>
      <c r="AS11" s="16"/>
      <c r="AT11" s="13"/>
      <c r="AU11" s="13"/>
      <c r="AV11" s="16"/>
      <c r="AW11" s="30">
        <f t="shared" si="4"/>
        <v>0</v>
      </c>
      <c r="AX11" s="34">
        <f t="shared" si="5"/>
        <v>0</v>
      </c>
      <c r="AY11" s="14"/>
      <c r="AZ11" s="13"/>
      <c r="BA11" s="16"/>
      <c r="BB11" s="17"/>
      <c r="BC11" s="13"/>
      <c r="BD11" s="16"/>
      <c r="BE11" s="17"/>
      <c r="BF11" s="13"/>
      <c r="BG11" s="16"/>
      <c r="BH11" s="14"/>
      <c r="BI11" s="13"/>
      <c r="BJ11" s="16"/>
      <c r="BK11" s="17"/>
      <c r="BL11" s="13"/>
      <c r="BM11" s="16"/>
      <c r="BN11" s="17"/>
      <c r="BO11" s="13"/>
      <c r="BP11" s="16"/>
      <c r="BQ11" s="17"/>
      <c r="BR11" s="13"/>
      <c r="BS11" s="16"/>
      <c r="BT11" s="30">
        <f t="shared" si="0"/>
        <v>0</v>
      </c>
      <c r="BU11" s="34">
        <f t="shared" si="1"/>
        <v>0</v>
      </c>
      <c r="BV11" s="14"/>
      <c r="BW11" s="13"/>
      <c r="BX11" s="16"/>
      <c r="BY11" s="17"/>
      <c r="BZ11" s="13"/>
      <c r="CA11" s="16"/>
      <c r="CB11" s="17"/>
      <c r="CC11" s="13"/>
      <c r="CD11" s="16"/>
      <c r="CE11" s="17"/>
      <c r="CF11" s="13"/>
      <c r="CG11" s="16"/>
      <c r="CH11" s="17"/>
      <c r="CI11" s="13"/>
      <c r="CJ11" s="16"/>
      <c r="CK11" s="17"/>
      <c r="CL11" s="13"/>
      <c r="CM11" s="16"/>
      <c r="CN11" s="17"/>
      <c r="CO11" s="13"/>
      <c r="CP11" s="16"/>
      <c r="CQ11" s="17"/>
      <c r="CR11" s="13"/>
      <c r="CS11" s="16"/>
      <c r="CT11" s="17"/>
      <c r="CU11" s="13"/>
      <c r="CV11" s="16"/>
      <c r="CW11" s="15">
        <f t="shared" si="6"/>
        <v>0</v>
      </c>
      <c r="CX11" s="34">
        <f t="shared" si="7"/>
        <v>0</v>
      </c>
      <c r="CY11" s="18">
        <f t="shared" si="8"/>
        <v>0.5</v>
      </c>
      <c r="CZ11" s="19">
        <f t="shared" si="9"/>
        <v>4</v>
      </c>
    </row>
    <row r="12" spans="1:104" ht="17.25" thickTop="1" thickBot="1" x14ac:dyDescent="0.3">
      <c r="A12" s="9">
        <v>10</v>
      </c>
      <c r="B12" s="10"/>
      <c r="C12" s="10" t="s">
        <v>11</v>
      </c>
      <c r="D12" s="11" t="s">
        <v>19</v>
      </c>
      <c r="E12" s="13">
        <v>2</v>
      </c>
      <c r="F12" s="13">
        <v>3</v>
      </c>
      <c r="G12" s="16">
        <v>1</v>
      </c>
      <c r="H12" s="17">
        <v>1</v>
      </c>
      <c r="I12" s="13">
        <v>4</v>
      </c>
      <c r="J12" s="16">
        <v>1</v>
      </c>
      <c r="K12" s="13">
        <v>2</v>
      </c>
      <c r="L12" s="13">
        <v>7</v>
      </c>
      <c r="M12" s="16">
        <v>1</v>
      </c>
      <c r="N12" s="17">
        <v>3</v>
      </c>
      <c r="O12" s="13">
        <v>8</v>
      </c>
      <c r="P12" s="16">
        <v>1</v>
      </c>
      <c r="Q12" s="17">
        <v>0</v>
      </c>
      <c r="R12" s="13">
        <v>0</v>
      </c>
      <c r="S12" s="16"/>
      <c r="T12" s="17">
        <v>2</v>
      </c>
      <c r="U12" s="13">
        <v>4</v>
      </c>
      <c r="V12" s="16">
        <v>1</v>
      </c>
      <c r="W12" s="17">
        <v>1</v>
      </c>
      <c r="X12" s="13">
        <v>4</v>
      </c>
      <c r="Y12" s="16">
        <v>1</v>
      </c>
      <c r="Z12" s="30">
        <f t="shared" si="2"/>
        <v>4.5</v>
      </c>
      <c r="AA12" s="34">
        <f t="shared" si="3"/>
        <v>30</v>
      </c>
      <c r="AB12" s="14">
        <v>1</v>
      </c>
      <c r="AC12" s="13">
        <v>4</v>
      </c>
      <c r="AD12" s="16">
        <v>1</v>
      </c>
      <c r="AE12" s="17"/>
      <c r="AF12" s="13"/>
      <c r="AG12" s="16"/>
      <c r="AH12" s="17"/>
      <c r="AI12" s="13"/>
      <c r="AJ12" s="16"/>
      <c r="AK12" s="17"/>
      <c r="AL12" s="13"/>
      <c r="AM12" s="16"/>
      <c r="AN12" s="13"/>
      <c r="AO12" s="13"/>
      <c r="AP12" s="16"/>
      <c r="AQ12" s="17"/>
      <c r="AR12" s="13"/>
      <c r="AS12" s="16"/>
      <c r="AT12" s="17"/>
      <c r="AU12" s="13"/>
      <c r="AV12" s="16"/>
      <c r="AW12" s="30">
        <f t="shared" si="4"/>
        <v>0.5</v>
      </c>
      <c r="AX12" s="34">
        <f t="shared" si="5"/>
        <v>4</v>
      </c>
      <c r="AY12" s="14"/>
      <c r="AZ12" s="13"/>
      <c r="BA12" s="16"/>
      <c r="BB12" s="17"/>
      <c r="BC12" s="13"/>
      <c r="BD12" s="16"/>
      <c r="BE12" s="17"/>
      <c r="BF12" s="13"/>
      <c r="BG12" s="16"/>
      <c r="BH12" s="14"/>
      <c r="BI12" s="13"/>
      <c r="BJ12" s="16"/>
      <c r="BK12" s="17"/>
      <c r="BL12" s="13"/>
      <c r="BM12" s="16"/>
      <c r="BN12" s="17"/>
      <c r="BO12" s="13"/>
      <c r="BP12" s="16"/>
      <c r="BQ12" s="17"/>
      <c r="BR12" s="13"/>
      <c r="BS12" s="16"/>
      <c r="BT12" s="30">
        <f t="shared" si="0"/>
        <v>0</v>
      </c>
      <c r="BU12" s="34">
        <f t="shared" si="1"/>
        <v>0</v>
      </c>
      <c r="BV12" s="14"/>
      <c r="BW12" s="13"/>
      <c r="BX12" s="16"/>
      <c r="BY12" s="17"/>
      <c r="BZ12" s="13"/>
      <c r="CA12" s="16"/>
      <c r="CB12" s="17"/>
      <c r="CC12" s="13"/>
      <c r="CD12" s="16"/>
      <c r="CE12" s="17"/>
      <c r="CF12" s="13"/>
      <c r="CG12" s="16"/>
      <c r="CH12" s="17"/>
      <c r="CI12" s="13"/>
      <c r="CJ12" s="16"/>
      <c r="CK12" s="17"/>
      <c r="CL12" s="13"/>
      <c r="CM12" s="16"/>
      <c r="CN12" s="17"/>
      <c r="CO12" s="13"/>
      <c r="CP12" s="16"/>
      <c r="CQ12" s="17"/>
      <c r="CR12" s="13"/>
      <c r="CS12" s="16"/>
      <c r="CT12" s="17"/>
      <c r="CU12" s="13"/>
      <c r="CV12" s="16"/>
      <c r="CW12" s="15">
        <f t="shared" si="6"/>
        <v>0</v>
      </c>
      <c r="CX12" s="34">
        <f t="shared" si="7"/>
        <v>0</v>
      </c>
      <c r="CY12" s="18">
        <f t="shared" si="8"/>
        <v>5</v>
      </c>
      <c r="CZ12" s="19">
        <f t="shared" si="9"/>
        <v>34</v>
      </c>
    </row>
    <row r="13" spans="1:104" ht="17.25" thickTop="1" thickBot="1" x14ac:dyDescent="0.3">
      <c r="A13" s="9">
        <v>11</v>
      </c>
      <c r="B13" s="10"/>
      <c r="C13" s="10" t="s">
        <v>11</v>
      </c>
      <c r="D13" s="11" t="s">
        <v>20</v>
      </c>
      <c r="E13" s="13">
        <v>1</v>
      </c>
      <c r="F13" s="13">
        <v>3</v>
      </c>
      <c r="G13" s="16"/>
      <c r="H13" s="13">
        <v>1</v>
      </c>
      <c r="I13" s="13">
        <v>4</v>
      </c>
      <c r="J13" s="16"/>
      <c r="K13" s="13">
        <v>1</v>
      </c>
      <c r="L13" s="13">
        <v>7</v>
      </c>
      <c r="M13" s="16"/>
      <c r="N13" s="13">
        <v>2</v>
      </c>
      <c r="O13" s="13">
        <v>8</v>
      </c>
      <c r="P13" s="16"/>
      <c r="Q13" s="17">
        <v>0</v>
      </c>
      <c r="R13" s="13">
        <v>0</v>
      </c>
      <c r="S13" s="16"/>
      <c r="T13" s="13">
        <v>1</v>
      </c>
      <c r="U13" s="13">
        <v>4</v>
      </c>
      <c r="V13" s="16"/>
      <c r="W13" s="17">
        <v>0</v>
      </c>
      <c r="X13" s="13">
        <v>0</v>
      </c>
      <c r="Y13" s="16"/>
      <c r="Z13" s="30">
        <f t="shared" si="2"/>
        <v>6</v>
      </c>
      <c r="AA13" s="34">
        <f t="shared" si="3"/>
        <v>26</v>
      </c>
      <c r="AB13" s="14">
        <v>1</v>
      </c>
      <c r="AC13" s="13">
        <v>4</v>
      </c>
      <c r="AD13" s="16"/>
      <c r="AE13" s="13"/>
      <c r="AF13" s="13"/>
      <c r="AG13" s="16"/>
      <c r="AH13" s="13"/>
      <c r="AI13" s="13"/>
      <c r="AJ13" s="16"/>
      <c r="AK13" s="13"/>
      <c r="AL13" s="13"/>
      <c r="AM13" s="16"/>
      <c r="AN13" s="13"/>
      <c r="AO13" s="13"/>
      <c r="AP13" s="16"/>
      <c r="AQ13" s="13"/>
      <c r="AR13" s="13"/>
      <c r="AS13" s="16"/>
      <c r="AT13" s="13"/>
      <c r="AU13" s="13"/>
      <c r="AV13" s="16"/>
      <c r="AW13" s="30">
        <f>IF(AD13=0,AB13,IF(AD13=1,AB13/2,0))+IF(AG13=0,AE13,IF(AG13=1,AE13/2,0))+IF(AJ13=0,AH13,IF(AJ13=1,AH13/2,0))+IF(AM13=0,AK13,IF(AM13=1,#REF!/2,0))+IF(AP13=0,AN13,IF(AP13=1,#REF!/2,0))+IF(AS13=0,AQ13,IF(AS13=1,AQ13/2,0))+IF(AV13=0,AT13,IF(AV13=1,AT13/2,0))</f>
        <v>1</v>
      </c>
      <c r="AX13" s="34">
        <f t="shared" si="5"/>
        <v>4</v>
      </c>
      <c r="AY13" s="14"/>
      <c r="AZ13" s="13"/>
      <c r="BA13" s="16"/>
      <c r="BB13" s="17"/>
      <c r="BC13" s="13"/>
      <c r="BD13" s="16"/>
      <c r="BE13" s="17"/>
      <c r="BF13" s="13"/>
      <c r="BG13" s="16"/>
      <c r="BH13" s="17"/>
      <c r="BI13" s="13"/>
      <c r="BJ13" s="16"/>
      <c r="BK13" s="17"/>
      <c r="BL13" s="13"/>
      <c r="BM13" s="16"/>
      <c r="BN13" s="17"/>
      <c r="BO13" s="13"/>
      <c r="BP13" s="16"/>
      <c r="BQ13" s="17"/>
      <c r="BR13" s="13"/>
      <c r="BS13" s="16"/>
      <c r="BT13" s="31">
        <f>IF(BA13=0,AY13,IF(BA13=1,AY13/2,0))+IF(BD13=0,BB13,IF(BD13=1,BB13/2,0))+IF(BG13=0,BE13,IF(BG13=1,BE13/2,0))+IF(BJ13=0,BH13,IF(BJ13=1,BH13/2,0))+IF(BM13=0,BK13,IF(BM13=1,#REF!/2,0))+IF(BP13=0,BN13,IF(BP13=1,BN13/2,0))+IF(BS13=0,BQ13,IF(BS13=1,BQ13/2,0))</f>
        <v>0</v>
      </c>
      <c r="BU13" s="36">
        <f t="shared" si="1"/>
        <v>0</v>
      </c>
      <c r="BV13" s="14"/>
      <c r="BW13" s="13"/>
      <c r="BX13" s="16"/>
      <c r="BY13" s="17"/>
      <c r="BZ13" s="13"/>
      <c r="CA13" s="16"/>
      <c r="CB13" s="17"/>
      <c r="CC13" s="13"/>
      <c r="CD13" s="16"/>
      <c r="CE13" s="17"/>
      <c r="CF13" s="13"/>
      <c r="CG13" s="16"/>
      <c r="CH13" s="17"/>
      <c r="CI13" s="13"/>
      <c r="CJ13" s="16"/>
      <c r="CK13" s="17"/>
      <c r="CL13" s="13"/>
      <c r="CM13" s="16"/>
      <c r="CN13" s="17"/>
      <c r="CO13" s="13"/>
      <c r="CP13" s="16"/>
      <c r="CQ13" s="17"/>
      <c r="CR13" s="13"/>
      <c r="CS13" s="16"/>
      <c r="CT13" s="17"/>
      <c r="CU13" s="13"/>
      <c r="CV13" s="16"/>
      <c r="CW13" s="15">
        <f t="shared" si="6"/>
        <v>0</v>
      </c>
      <c r="CX13" s="34">
        <f t="shared" si="7"/>
        <v>0</v>
      </c>
      <c r="CY13" s="18">
        <f t="shared" si="8"/>
        <v>7</v>
      </c>
      <c r="CZ13" s="19">
        <f t="shared" si="9"/>
        <v>30</v>
      </c>
    </row>
    <row r="14" spans="1:104" ht="20.25" thickTop="1" thickBot="1" x14ac:dyDescent="0.35">
      <c r="D14" s="20" t="s">
        <v>21</v>
      </c>
      <c r="E14" s="21">
        <f t="shared" ref="E14:AI14" si="10">SUM(E3:E13)</f>
        <v>10</v>
      </c>
      <c r="F14" s="21">
        <f t="shared" si="10"/>
        <v>32</v>
      </c>
      <c r="G14" s="22">
        <f t="shared" si="10"/>
        <v>3</v>
      </c>
      <c r="H14" s="23">
        <f t="shared" si="10"/>
        <v>5</v>
      </c>
      <c r="I14" s="21">
        <f t="shared" si="10"/>
        <v>34</v>
      </c>
      <c r="J14" s="22">
        <f t="shared" si="10"/>
        <v>3</v>
      </c>
      <c r="K14" s="23">
        <f t="shared" si="10"/>
        <v>5</v>
      </c>
      <c r="L14" s="21">
        <f t="shared" si="10"/>
        <v>46</v>
      </c>
      <c r="M14" s="22">
        <f t="shared" si="10"/>
        <v>3</v>
      </c>
      <c r="N14" s="23">
        <f t="shared" si="10"/>
        <v>10</v>
      </c>
      <c r="O14" s="21">
        <f t="shared" si="10"/>
        <v>48</v>
      </c>
      <c r="P14" s="22">
        <f t="shared" si="10"/>
        <v>3</v>
      </c>
      <c r="Q14" s="23">
        <f t="shared" si="10"/>
        <v>3</v>
      </c>
      <c r="R14" s="21">
        <f t="shared" si="10"/>
        <v>16</v>
      </c>
      <c r="S14" s="22">
        <f t="shared" si="10"/>
        <v>3</v>
      </c>
      <c r="T14" s="23">
        <f t="shared" si="10"/>
        <v>5</v>
      </c>
      <c r="U14" s="21">
        <f t="shared" si="10"/>
        <v>32</v>
      </c>
      <c r="V14" s="22">
        <f t="shared" si="10"/>
        <v>3</v>
      </c>
      <c r="W14" s="23">
        <f t="shared" si="10"/>
        <v>4</v>
      </c>
      <c r="X14" s="21">
        <f t="shared" si="10"/>
        <v>34</v>
      </c>
      <c r="Y14" s="22">
        <f t="shared" si="10"/>
        <v>3</v>
      </c>
      <c r="Z14" s="23">
        <f t="shared" si="10"/>
        <v>28</v>
      </c>
      <c r="AA14" s="22">
        <f t="shared" si="10"/>
        <v>242</v>
      </c>
      <c r="AB14" s="24">
        <f t="shared" si="10"/>
        <v>5</v>
      </c>
      <c r="AC14" s="21">
        <f t="shared" si="10"/>
        <v>34</v>
      </c>
      <c r="AD14" s="22">
        <f t="shared" si="10"/>
        <v>3</v>
      </c>
      <c r="AE14" s="23">
        <f t="shared" si="10"/>
        <v>0</v>
      </c>
      <c r="AF14" s="21">
        <f t="shared" si="10"/>
        <v>0</v>
      </c>
      <c r="AG14" s="22">
        <f t="shared" si="10"/>
        <v>0</v>
      </c>
      <c r="AH14" s="23">
        <f t="shared" si="10"/>
        <v>0</v>
      </c>
      <c r="AI14" s="21">
        <f t="shared" si="10"/>
        <v>0</v>
      </c>
      <c r="AJ14" s="22">
        <f t="shared" ref="AJ14:BN14" si="11">SUM(AJ3:AJ13)</f>
        <v>0</v>
      </c>
      <c r="AK14" s="23">
        <f t="shared" si="11"/>
        <v>0</v>
      </c>
      <c r="AL14" s="21">
        <f t="shared" si="11"/>
        <v>0</v>
      </c>
      <c r="AM14" s="22">
        <f t="shared" si="11"/>
        <v>0</v>
      </c>
      <c r="AN14" s="23">
        <f t="shared" si="11"/>
        <v>0</v>
      </c>
      <c r="AO14" s="21">
        <f t="shared" si="11"/>
        <v>0</v>
      </c>
      <c r="AP14" s="22">
        <f t="shared" si="11"/>
        <v>0</v>
      </c>
      <c r="AQ14" s="23">
        <f t="shared" si="11"/>
        <v>0</v>
      </c>
      <c r="AR14" s="21">
        <f t="shared" si="11"/>
        <v>0</v>
      </c>
      <c r="AS14" s="22">
        <f t="shared" si="11"/>
        <v>0</v>
      </c>
      <c r="AT14" s="23">
        <f t="shared" si="11"/>
        <v>0</v>
      </c>
      <c r="AU14" s="21">
        <f t="shared" si="11"/>
        <v>0</v>
      </c>
      <c r="AV14" s="22">
        <f t="shared" si="11"/>
        <v>0</v>
      </c>
      <c r="AW14" s="23">
        <f t="shared" si="11"/>
        <v>3.5</v>
      </c>
      <c r="AX14" s="22">
        <f t="shared" si="11"/>
        <v>34</v>
      </c>
      <c r="AY14" s="24">
        <f t="shared" si="11"/>
        <v>0</v>
      </c>
      <c r="AZ14" s="21">
        <f t="shared" si="11"/>
        <v>0</v>
      </c>
      <c r="BA14" s="22">
        <f t="shared" si="11"/>
        <v>0</v>
      </c>
      <c r="BB14" s="23">
        <f t="shared" si="11"/>
        <v>0</v>
      </c>
      <c r="BC14" s="21">
        <f t="shared" si="11"/>
        <v>0</v>
      </c>
      <c r="BD14" s="22">
        <f t="shared" si="11"/>
        <v>0</v>
      </c>
      <c r="BE14" s="23">
        <f t="shared" si="11"/>
        <v>0</v>
      </c>
      <c r="BF14" s="21">
        <f t="shared" si="11"/>
        <v>0</v>
      </c>
      <c r="BG14" s="22">
        <f t="shared" si="11"/>
        <v>0</v>
      </c>
      <c r="BH14" s="24">
        <f t="shared" si="11"/>
        <v>0</v>
      </c>
      <c r="BI14" s="21">
        <f t="shared" si="11"/>
        <v>0</v>
      </c>
      <c r="BJ14" s="22">
        <f t="shared" si="11"/>
        <v>0</v>
      </c>
      <c r="BK14" s="23">
        <f t="shared" si="11"/>
        <v>0</v>
      </c>
      <c r="BL14" s="21">
        <f t="shared" si="11"/>
        <v>0</v>
      </c>
      <c r="BM14" s="22">
        <f t="shared" si="11"/>
        <v>0</v>
      </c>
      <c r="BN14" s="23">
        <f t="shared" si="11"/>
        <v>0</v>
      </c>
      <c r="BO14" s="21">
        <f t="shared" ref="BO14:CS14" si="12">SUM(BO3:BO13)</f>
        <v>0</v>
      </c>
      <c r="BP14" s="22">
        <f t="shared" si="12"/>
        <v>0</v>
      </c>
      <c r="BQ14" s="23">
        <f t="shared" si="12"/>
        <v>0</v>
      </c>
      <c r="BR14" s="21">
        <f t="shared" si="12"/>
        <v>0</v>
      </c>
      <c r="BS14" s="22">
        <f t="shared" si="12"/>
        <v>0</v>
      </c>
      <c r="BT14" s="23">
        <f t="shared" si="12"/>
        <v>0</v>
      </c>
      <c r="BU14" s="22">
        <f t="shared" si="12"/>
        <v>0</v>
      </c>
      <c r="BV14" s="24">
        <f t="shared" si="12"/>
        <v>0</v>
      </c>
      <c r="BW14" s="21">
        <f t="shared" si="12"/>
        <v>0</v>
      </c>
      <c r="BX14" s="22">
        <f t="shared" si="12"/>
        <v>0</v>
      </c>
      <c r="BY14" s="23">
        <f t="shared" si="12"/>
        <v>0</v>
      </c>
      <c r="BZ14" s="21">
        <f t="shared" si="12"/>
        <v>0</v>
      </c>
      <c r="CA14" s="22">
        <f t="shared" si="12"/>
        <v>0</v>
      </c>
      <c r="CB14" s="23">
        <f t="shared" si="12"/>
        <v>0</v>
      </c>
      <c r="CC14" s="21">
        <f t="shared" si="12"/>
        <v>0</v>
      </c>
      <c r="CD14" s="22">
        <f t="shared" si="12"/>
        <v>0</v>
      </c>
      <c r="CE14" s="23">
        <f t="shared" si="12"/>
        <v>0</v>
      </c>
      <c r="CF14" s="21">
        <f t="shared" si="12"/>
        <v>0</v>
      </c>
      <c r="CG14" s="22">
        <f t="shared" si="12"/>
        <v>0</v>
      </c>
      <c r="CH14" s="23">
        <f t="shared" si="12"/>
        <v>0</v>
      </c>
      <c r="CI14" s="21">
        <f t="shared" si="12"/>
        <v>0</v>
      </c>
      <c r="CJ14" s="22">
        <f t="shared" si="12"/>
        <v>0</v>
      </c>
      <c r="CK14" s="23">
        <f t="shared" si="12"/>
        <v>0</v>
      </c>
      <c r="CL14" s="21">
        <f t="shared" si="12"/>
        <v>0</v>
      </c>
      <c r="CM14" s="22">
        <f t="shared" si="12"/>
        <v>0</v>
      </c>
      <c r="CN14" s="23">
        <f t="shared" si="12"/>
        <v>0</v>
      </c>
      <c r="CO14" s="21">
        <f t="shared" si="12"/>
        <v>0</v>
      </c>
      <c r="CP14" s="22">
        <f t="shared" si="12"/>
        <v>0</v>
      </c>
      <c r="CQ14" s="23">
        <f t="shared" si="12"/>
        <v>0</v>
      </c>
      <c r="CR14" s="21">
        <f t="shared" si="12"/>
        <v>0</v>
      </c>
      <c r="CS14" s="22">
        <f t="shared" si="12"/>
        <v>0</v>
      </c>
      <c r="CT14" s="23">
        <f t="shared" ref="CT14:CZ14" si="13">SUM(CT3:CT13)</f>
        <v>0</v>
      </c>
      <c r="CU14" s="21">
        <f t="shared" si="13"/>
        <v>0</v>
      </c>
      <c r="CV14" s="22">
        <f>SUM(CV3:CV13)</f>
        <v>0</v>
      </c>
      <c r="CW14" s="23">
        <f t="shared" si="13"/>
        <v>0</v>
      </c>
      <c r="CX14" s="21">
        <f t="shared" si="13"/>
        <v>0</v>
      </c>
      <c r="CY14" s="25">
        <f t="shared" si="13"/>
        <v>31.5</v>
      </c>
      <c r="CZ14" s="26">
        <f t="shared" si="13"/>
        <v>276</v>
      </c>
    </row>
    <row r="15" spans="1:104" ht="16.5" thickTop="1" x14ac:dyDescent="0.25"/>
  </sheetData>
  <mergeCells count="35">
    <mergeCell ref="CK2:CM2"/>
    <mergeCell ref="CN2:CP2"/>
    <mergeCell ref="CQ2:CS2"/>
    <mergeCell ref="CW2:CX2"/>
    <mergeCell ref="CT2:CV2"/>
    <mergeCell ref="CH2:CJ2"/>
    <mergeCell ref="BB2:BD2"/>
    <mergeCell ref="BE2:BG2"/>
    <mergeCell ref="BH2:BJ2"/>
    <mergeCell ref="BK2:BM2"/>
    <mergeCell ref="BN2:BP2"/>
    <mergeCell ref="BQ2:BS2"/>
    <mergeCell ref="BT2:BU2"/>
    <mergeCell ref="BV2:BX2"/>
    <mergeCell ref="BY2:CA2"/>
    <mergeCell ref="CB2:CD2"/>
    <mergeCell ref="CE2:CG2"/>
    <mergeCell ref="AY2:BA2"/>
    <mergeCell ref="T2:V2"/>
    <mergeCell ref="W2:Y2"/>
    <mergeCell ref="Z2:AA2"/>
    <mergeCell ref="AB2:AD2"/>
    <mergeCell ref="AE2:AG2"/>
    <mergeCell ref="AH2:AJ2"/>
    <mergeCell ref="AK2:AM2"/>
    <mergeCell ref="AN2:AP2"/>
    <mergeCell ref="AQ2:AS2"/>
    <mergeCell ref="AT2:AV2"/>
    <mergeCell ref="AW2:AX2"/>
    <mergeCell ref="Q2:S2"/>
    <mergeCell ref="A1:D1"/>
    <mergeCell ref="E2:G2"/>
    <mergeCell ref="H2:J2"/>
    <mergeCell ref="K2:M2"/>
    <mergeCell ref="N2:P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مايو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hussini</dc:creator>
  <cp:lastModifiedBy>mohamed hussini</cp:lastModifiedBy>
  <dcterms:created xsi:type="dcterms:W3CDTF">2025-12-14T11:35:51Z</dcterms:created>
  <dcterms:modified xsi:type="dcterms:W3CDTF">2026-04-29T07:31:47Z</dcterms:modified>
</cp:coreProperties>
</file>
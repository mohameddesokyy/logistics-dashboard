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lam.ibrahim\Desktop\شيتات خاصة بمستر احمد\"/>
    </mc:Choice>
  </mc:AlternateContent>
  <xr:revisionPtr revIDLastSave="0" documentId="13_ncr:1_{A6A8906F-0992-4A8C-BE04-48E7652E591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تحليل الاداء" sheetId="4" r:id="rId1"/>
    <sheet name="تحليل الاداء " sheetId="169" r:id="rId2"/>
    <sheet name="تحليل الاداء  " sheetId="170" r:id="rId3"/>
    <sheet name="تحليل الاداء   " sheetId="167" r:id="rId4"/>
  </sheets>
  <definedNames>
    <definedName name="_xlnm._FilterDatabase" localSheetId="0" hidden="1">'تحليل الاداء'!$A$1:$B$86</definedName>
    <definedName name="_xlnm._FilterDatabase" localSheetId="1" hidden="1">'تحليل الاداء '!$A$1:$B$85</definedName>
    <definedName name="_xlnm._FilterDatabase" localSheetId="2" hidden="1">'تحليل الاداء  '!$A$1:$B$84</definedName>
    <definedName name="_xlnm._FilterDatabase" localSheetId="3" hidden="1">'تحليل الاداء   '!$A$1:$B$84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87" i="169" l="1"/>
  <c r="AN87" i="169"/>
  <c r="AM83" i="169"/>
  <c r="AN83" i="169"/>
  <c r="AN55" i="4"/>
  <c r="AM55" i="4"/>
  <c r="AN85" i="4"/>
  <c r="AM85" i="4"/>
  <c r="AN3" i="170"/>
  <c r="AN4" i="170"/>
  <c r="AN5" i="170"/>
  <c r="AN6" i="170"/>
  <c r="AN7" i="170"/>
  <c r="AN8" i="170"/>
  <c r="AN9" i="170"/>
  <c r="AN10" i="170"/>
  <c r="AN11" i="170"/>
  <c r="AN12" i="170"/>
  <c r="AN13" i="170"/>
  <c r="AN14" i="170"/>
  <c r="AN15" i="170"/>
  <c r="AN16" i="170"/>
  <c r="AN17" i="170"/>
  <c r="AN18" i="170"/>
  <c r="AN19" i="170"/>
  <c r="AN20" i="170"/>
  <c r="AN21" i="170"/>
  <c r="AN22" i="170"/>
  <c r="AN23" i="170"/>
  <c r="AN24" i="170"/>
  <c r="AN25" i="170"/>
  <c r="AN26" i="170"/>
  <c r="AN27" i="170"/>
  <c r="AN28" i="170"/>
  <c r="AN29" i="170"/>
  <c r="AN30" i="170"/>
  <c r="AN31" i="170"/>
  <c r="AN32" i="170"/>
  <c r="AN33" i="170"/>
  <c r="AN34" i="170"/>
  <c r="AN35" i="170"/>
  <c r="AN36" i="170"/>
  <c r="AN37" i="170"/>
  <c r="AN38" i="170"/>
  <c r="AN39" i="170"/>
  <c r="AN40" i="170"/>
  <c r="AN41" i="170"/>
  <c r="AN42" i="170"/>
  <c r="AN43" i="170"/>
  <c r="AN44" i="170"/>
  <c r="AN45" i="170"/>
  <c r="AN46" i="170"/>
  <c r="AN47" i="170"/>
  <c r="AN48" i="170"/>
  <c r="AN49" i="170"/>
  <c r="AN50" i="170"/>
  <c r="AN51" i="170"/>
  <c r="AN52" i="170"/>
  <c r="AN53" i="170"/>
  <c r="AN54" i="170"/>
  <c r="AN55" i="170"/>
  <c r="AN56" i="170"/>
  <c r="AN57" i="170"/>
  <c r="AN58" i="170"/>
  <c r="AN59" i="170"/>
  <c r="AN60" i="170"/>
  <c r="AN61" i="170"/>
  <c r="AN62" i="170"/>
  <c r="AN63" i="170"/>
  <c r="AN64" i="170"/>
  <c r="AN65" i="170"/>
  <c r="AN66" i="170"/>
  <c r="AN67" i="170"/>
  <c r="AN68" i="170"/>
  <c r="AN69" i="170"/>
  <c r="AN70" i="170"/>
  <c r="AN71" i="170"/>
  <c r="AN72" i="170"/>
  <c r="AN73" i="170"/>
  <c r="AN74" i="170"/>
  <c r="AN75" i="170"/>
  <c r="AN76" i="170"/>
  <c r="AN77" i="170"/>
  <c r="AN78" i="170"/>
  <c r="AN79" i="170"/>
  <c r="AN80" i="170"/>
  <c r="AN81" i="170"/>
  <c r="AN82" i="170"/>
  <c r="AN83" i="170"/>
  <c r="AN84" i="170"/>
  <c r="AN85" i="170"/>
  <c r="AM3" i="170"/>
  <c r="AM4" i="170"/>
  <c r="AM5" i="170"/>
  <c r="AM6" i="170"/>
  <c r="AM7" i="170"/>
  <c r="AM8" i="170"/>
  <c r="AM9" i="170"/>
  <c r="AM10" i="170"/>
  <c r="AM11" i="170"/>
  <c r="AM12" i="170"/>
  <c r="AM13" i="170"/>
  <c r="AM14" i="170"/>
  <c r="AM15" i="170"/>
  <c r="AM16" i="170"/>
  <c r="AM17" i="170"/>
  <c r="AM18" i="170"/>
  <c r="AM19" i="170"/>
  <c r="AM20" i="170"/>
  <c r="AM21" i="170"/>
  <c r="AM22" i="170"/>
  <c r="AM23" i="170"/>
  <c r="AM24" i="170"/>
  <c r="AM25" i="170"/>
  <c r="AM26" i="170"/>
  <c r="AM27" i="170"/>
  <c r="AM28" i="170"/>
  <c r="AM29" i="170"/>
  <c r="AM30" i="170"/>
  <c r="AM31" i="170"/>
  <c r="AM32" i="170"/>
  <c r="AM33" i="170"/>
  <c r="AM34" i="170"/>
  <c r="AM35" i="170"/>
  <c r="AM36" i="170"/>
  <c r="AM37" i="170"/>
  <c r="AM38" i="170"/>
  <c r="AM39" i="170"/>
  <c r="AM40" i="170"/>
  <c r="AM41" i="170"/>
  <c r="AM42" i="170"/>
  <c r="AM43" i="170"/>
  <c r="AM44" i="170"/>
  <c r="AM45" i="170"/>
  <c r="AM46" i="170"/>
  <c r="AM47" i="170"/>
  <c r="AM48" i="170"/>
  <c r="AM49" i="170"/>
  <c r="AM50" i="170"/>
  <c r="AM51" i="170"/>
  <c r="AM52" i="170"/>
  <c r="AM53" i="170"/>
  <c r="AM54" i="170"/>
  <c r="AM55" i="170"/>
  <c r="AM56" i="170"/>
  <c r="AM57" i="170"/>
  <c r="AM58" i="170"/>
  <c r="AM59" i="170"/>
  <c r="AM60" i="170"/>
  <c r="AM61" i="170"/>
  <c r="AM62" i="170"/>
  <c r="AM63" i="170"/>
  <c r="AM64" i="170"/>
  <c r="AM65" i="170"/>
  <c r="AM66" i="170"/>
  <c r="AM67" i="170"/>
  <c r="AM68" i="170"/>
  <c r="AM69" i="170"/>
  <c r="AM70" i="170"/>
  <c r="AM71" i="170"/>
  <c r="AM72" i="170"/>
  <c r="AM73" i="170"/>
  <c r="AM74" i="170"/>
  <c r="AM75" i="170"/>
  <c r="AM76" i="170"/>
  <c r="AM77" i="170"/>
  <c r="AM78" i="170"/>
  <c r="AM79" i="170"/>
  <c r="AM80" i="170"/>
  <c r="AM81" i="170"/>
  <c r="AM82" i="170"/>
  <c r="AM83" i="170"/>
  <c r="AM84" i="170"/>
  <c r="AM85" i="170"/>
  <c r="AN3" i="169"/>
  <c r="AN4" i="169"/>
  <c r="AN5" i="169"/>
  <c r="AN6" i="169"/>
  <c r="AN7" i="169"/>
  <c r="AN8" i="169"/>
  <c r="AN9" i="169"/>
  <c r="AN10" i="169"/>
  <c r="AN11" i="169"/>
  <c r="AN12" i="169"/>
  <c r="AN13" i="169"/>
  <c r="AN14" i="169"/>
  <c r="AN15" i="169"/>
  <c r="AN16" i="169"/>
  <c r="AN17" i="169"/>
  <c r="AN18" i="169"/>
  <c r="AN19" i="169"/>
  <c r="AN20" i="169"/>
  <c r="AN21" i="169"/>
  <c r="AN22" i="169"/>
  <c r="AN23" i="169"/>
  <c r="AN24" i="169"/>
  <c r="AN25" i="169"/>
  <c r="AN26" i="169"/>
  <c r="AN27" i="169"/>
  <c r="AN28" i="169"/>
  <c r="AN29" i="169"/>
  <c r="AN30" i="169"/>
  <c r="AN31" i="169"/>
  <c r="AN32" i="169"/>
  <c r="AN33" i="169"/>
  <c r="AN34" i="169"/>
  <c r="AN35" i="169"/>
  <c r="AN36" i="169"/>
  <c r="AN37" i="169"/>
  <c r="AN38" i="169"/>
  <c r="AN39" i="169"/>
  <c r="AN40" i="169"/>
  <c r="AN41" i="169"/>
  <c r="AN42" i="169"/>
  <c r="AN43" i="169"/>
  <c r="AN44" i="169"/>
  <c r="AN45" i="169"/>
  <c r="AN46" i="169"/>
  <c r="AN47" i="169"/>
  <c r="AN48" i="169"/>
  <c r="AN49" i="169"/>
  <c r="AN50" i="169"/>
  <c r="AN51" i="169"/>
  <c r="AM3" i="169"/>
  <c r="AM4" i="169"/>
  <c r="AM5" i="169"/>
  <c r="AM6" i="169"/>
  <c r="AM7" i="169"/>
  <c r="AM8" i="169"/>
  <c r="AM9" i="169"/>
  <c r="AM10" i="169"/>
  <c r="AM11" i="169"/>
  <c r="AM12" i="169"/>
  <c r="AM13" i="169"/>
  <c r="AM14" i="169"/>
  <c r="AM15" i="169"/>
  <c r="AM16" i="169"/>
  <c r="AM17" i="169"/>
  <c r="AM18" i="169"/>
  <c r="AM19" i="169"/>
  <c r="AM20" i="169"/>
  <c r="AM21" i="169"/>
  <c r="AM22" i="169"/>
  <c r="AM23" i="169"/>
  <c r="AM24" i="169"/>
  <c r="AM25" i="169"/>
  <c r="AM26" i="169"/>
  <c r="AM27" i="169"/>
  <c r="AM28" i="169"/>
  <c r="AM29" i="169"/>
  <c r="AM30" i="169"/>
  <c r="AM31" i="169"/>
  <c r="AM32" i="169"/>
  <c r="AM33" i="169"/>
  <c r="AM34" i="169"/>
  <c r="AM35" i="169"/>
  <c r="AM36" i="169"/>
  <c r="AM37" i="169"/>
  <c r="AM38" i="169"/>
  <c r="AM39" i="169"/>
  <c r="AM40" i="169"/>
  <c r="AM41" i="169"/>
  <c r="AM42" i="169"/>
  <c r="AM43" i="169"/>
  <c r="AM44" i="169"/>
  <c r="AM45" i="169"/>
  <c r="AM46" i="169"/>
  <c r="AM47" i="169"/>
  <c r="AM48" i="169"/>
  <c r="AM49" i="169"/>
  <c r="AM50" i="169"/>
  <c r="AM51" i="169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6" i="4"/>
  <c r="AN57" i="4"/>
  <c r="AN58" i="4"/>
  <c r="AN59" i="4"/>
  <c r="AN60" i="4"/>
  <c r="AN61" i="4"/>
  <c r="AN62" i="4"/>
  <c r="AN63" i="4"/>
  <c r="AN64" i="4"/>
  <c r="AN65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6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6" i="4"/>
  <c r="AM57" i="4"/>
  <c r="AM58" i="4"/>
  <c r="AM59" i="4"/>
  <c r="AM60" i="4"/>
  <c r="AM61" i="4"/>
  <c r="AM62" i="4"/>
  <c r="AM63" i="4"/>
  <c r="AM64" i="4"/>
  <c r="AM65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6" i="4"/>
  <c r="AW3" i="167"/>
  <c r="AW4" i="167"/>
  <c r="AW5" i="167"/>
  <c r="AW6" i="167"/>
  <c r="AW7" i="167"/>
  <c r="AW8" i="167"/>
  <c r="AW9" i="167"/>
  <c r="AW10" i="167"/>
  <c r="AW11" i="167"/>
  <c r="AW12" i="167"/>
  <c r="AW13" i="167"/>
  <c r="AW14" i="167"/>
  <c r="AW15" i="167"/>
  <c r="AW16" i="167"/>
  <c r="AW17" i="167"/>
  <c r="AW18" i="167"/>
  <c r="AW19" i="167"/>
  <c r="AW20" i="167"/>
  <c r="AW21" i="167"/>
  <c r="AW22" i="167"/>
  <c r="AW23" i="167"/>
  <c r="AW24" i="167"/>
  <c r="AW25" i="167"/>
  <c r="AW26" i="167"/>
  <c r="AW27" i="167"/>
  <c r="AW28" i="167"/>
  <c r="AW29" i="167"/>
  <c r="AW30" i="167"/>
  <c r="AW31" i="167"/>
  <c r="AW32" i="167"/>
  <c r="AW33" i="167"/>
  <c r="AW34" i="167"/>
  <c r="AW35" i="167"/>
  <c r="AW36" i="167"/>
  <c r="AW37" i="167"/>
  <c r="AW38" i="167"/>
  <c r="AW39" i="167"/>
  <c r="AW40" i="167"/>
  <c r="AW41" i="167"/>
  <c r="AW42" i="167"/>
  <c r="AW43" i="167"/>
  <c r="AW44" i="167"/>
  <c r="AW45" i="167"/>
  <c r="AW46" i="167"/>
  <c r="AW47" i="167"/>
  <c r="AW48" i="167"/>
  <c r="AW49" i="167"/>
  <c r="AW50" i="167"/>
  <c r="AW51" i="167"/>
  <c r="AW53" i="167"/>
  <c r="AW54" i="167"/>
  <c r="AW55" i="167"/>
  <c r="AW56" i="167"/>
  <c r="AW57" i="167"/>
  <c r="AW58" i="167"/>
  <c r="AW59" i="167"/>
  <c r="AW60" i="167"/>
  <c r="AW61" i="167"/>
  <c r="AW62" i="167"/>
  <c r="AW63" i="167"/>
  <c r="AW64" i="167"/>
  <c r="AW65" i="167"/>
  <c r="AW66" i="167"/>
  <c r="AW67" i="167"/>
  <c r="AW68" i="167"/>
  <c r="AW69" i="167"/>
  <c r="AW70" i="167"/>
  <c r="AW71" i="167"/>
  <c r="AW72" i="167"/>
  <c r="AW73" i="167"/>
  <c r="AW74" i="167"/>
  <c r="AW75" i="167"/>
  <c r="AW76" i="167"/>
  <c r="AW77" i="167"/>
  <c r="AW78" i="167"/>
  <c r="AW79" i="167"/>
  <c r="AW80" i="167"/>
  <c r="AW81" i="167"/>
  <c r="AW82" i="167"/>
  <c r="AW83" i="167"/>
  <c r="AW84" i="167"/>
  <c r="AW85" i="167"/>
  <c r="AV3" i="167"/>
  <c r="AV4" i="167"/>
  <c r="AV5" i="167"/>
  <c r="AV6" i="167"/>
  <c r="AV7" i="167"/>
  <c r="AV8" i="167"/>
  <c r="AV9" i="167"/>
  <c r="AV10" i="167"/>
  <c r="AV11" i="167"/>
  <c r="AV12" i="167"/>
  <c r="AV13" i="167"/>
  <c r="AV14" i="167"/>
  <c r="AV15" i="167"/>
  <c r="AV16" i="167"/>
  <c r="AV17" i="167"/>
  <c r="AV18" i="167"/>
  <c r="AV19" i="167"/>
  <c r="AV20" i="167"/>
  <c r="AV21" i="167"/>
  <c r="AV22" i="167"/>
  <c r="AV23" i="167"/>
  <c r="AV24" i="167"/>
  <c r="AV25" i="167"/>
  <c r="AV26" i="167"/>
  <c r="AV27" i="167"/>
  <c r="AV28" i="167"/>
  <c r="AV29" i="167"/>
  <c r="AV30" i="167"/>
  <c r="AV31" i="167"/>
  <c r="AV32" i="167"/>
  <c r="AV33" i="167"/>
  <c r="AV34" i="167"/>
  <c r="AV35" i="167"/>
  <c r="AV36" i="167"/>
  <c r="AV37" i="167"/>
  <c r="AV38" i="167"/>
  <c r="AV39" i="167"/>
  <c r="AV40" i="167"/>
  <c r="AV41" i="167"/>
  <c r="AV42" i="167"/>
  <c r="AV43" i="167"/>
  <c r="AV44" i="167"/>
  <c r="AV45" i="167"/>
  <c r="AV46" i="167"/>
  <c r="AV47" i="167"/>
  <c r="AV48" i="167"/>
  <c r="AV49" i="167"/>
  <c r="AV50" i="167"/>
  <c r="AV51" i="167"/>
  <c r="AV53" i="167"/>
  <c r="AV54" i="167"/>
  <c r="AV55" i="167"/>
  <c r="AV56" i="167"/>
  <c r="AV57" i="167"/>
  <c r="AV58" i="167"/>
  <c r="AV59" i="167"/>
  <c r="AV60" i="167"/>
  <c r="AV61" i="167"/>
  <c r="AV62" i="167"/>
  <c r="AV63" i="167"/>
  <c r="AV64" i="167"/>
  <c r="AV65" i="167"/>
  <c r="AV66" i="167"/>
  <c r="AV67" i="167"/>
  <c r="AV68" i="167"/>
  <c r="AV69" i="167"/>
  <c r="AV70" i="167"/>
  <c r="AV71" i="167"/>
  <c r="AV72" i="167"/>
  <c r="AV73" i="167"/>
  <c r="AV74" i="167"/>
  <c r="AV75" i="167"/>
  <c r="AV76" i="167"/>
  <c r="AV77" i="167"/>
  <c r="AV78" i="167"/>
  <c r="AV79" i="167"/>
  <c r="AV80" i="167"/>
  <c r="AV81" i="167"/>
  <c r="AV82" i="167"/>
  <c r="AV83" i="167"/>
  <c r="AV84" i="167"/>
  <c r="AV85" i="167"/>
  <c r="AY77" i="167" l="1"/>
  <c r="AY22" i="167"/>
  <c r="AX77" i="167"/>
  <c r="AY32" i="167"/>
  <c r="AY16" i="167"/>
  <c r="AX28" i="167"/>
  <c r="AX4" i="167"/>
  <c r="AY39" i="167"/>
  <c r="AY35" i="167"/>
  <c r="AY27" i="167"/>
  <c r="AY23" i="167"/>
  <c r="AY15" i="167"/>
  <c r="AY11" i="167"/>
  <c r="AY7" i="167"/>
  <c r="AY36" i="167"/>
  <c r="AY28" i="167"/>
  <c r="AY24" i="167"/>
  <c r="AY12" i="167"/>
  <c r="AY8" i="167"/>
  <c r="AY4" i="167"/>
  <c r="AX40" i="167"/>
  <c r="AX36" i="167"/>
  <c r="AX32" i="167"/>
  <c r="AX24" i="167"/>
  <c r="AX16" i="167"/>
  <c r="AX12" i="167"/>
  <c r="AX8" i="167"/>
  <c r="AY31" i="167"/>
  <c r="AY19" i="167"/>
  <c r="AY3" i="167"/>
  <c r="AY20" i="167"/>
  <c r="AX20" i="167"/>
  <c r="AY40" i="167"/>
  <c r="AY30" i="167"/>
  <c r="AY6" i="167"/>
  <c r="AY38" i="167"/>
  <c r="AY14" i="167"/>
  <c r="AY26" i="167"/>
  <c r="AY18" i="167"/>
  <c r="AY10" i="167"/>
  <c r="AY34" i="167"/>
  <c r="AY37" i="167"/>
  <c r="AY33" i="167"/>
  <c r="AY29" i="167"/>
  <c r="AY25" i="167"/>
  <c r="AY21" i="167"/>
  <c r="AY17" i="167"/>
  <c r="AY13" i="167"/>
  <c r="AY9" i="167"/>
  <c r="AY5" i="167"/>
  <c r="AX38" i="167"/>
  <c r="AX30" i="167"/>
  <c r="AX22" i="167"/>
  <c r="AX18" i="167"/>
  <c r="AX10" i="167"/>
  <c r="AX37" i="167"/>
  <c r="AX33" i="167"/>
  <c r="AX29" i="167"/>
  <c r="AX25" i="167"/>
  <c r="AX21" i="167"/>
  <c r="AX17" i="167"/>
  <c r="AX13" i="167"/>
  <c r="AX9" i="167"/>
  <c r="AX5" i="167"/>
  <c r="AX34" i="167"/>
  <c r="AX26" i="167"/>
  <c r="AX14" i="167"/>
  <c r="AX6" i="167"/>
  <c r="AX39" i="167"/>
  <c r="AX35" i="167"/>
  <c r="AX31" i="167"/>
  <c r="AX27" i="167"/>
  <c r="AX23" i="167"/>
  <c r="AX19" i="167"/>
  <c r="AX15" i="167"/>
  <c r="AX11" i="167"/>
  <c r="AX7" i="167"/>
  <c r="AX3" i="167"/>
  <c r="AM86" i="169"/>
  <c r="AX85" i="167" s="1"/>
  <c r="AN86" i="169"/>
  <c r="AY85" i="167" s="1"/>
  <c r="AW2" i="167"/>
  <c r="AV2" i="167"/>
  <c r="AM82" i="169" l="1"/>
  <c r="AX82" i="167" s="1"/>
  <c r="AN82" i="169"/>
  <c r="AY82" i="167" s="1"/>
  <c r="AM84" i="169"/>
  <c r="AX83" i="167" s="1"/>
  <c r="AN84" i="169"/>
  <c r="AY83" i="167" s="1"/>
  <c r="AM85" i="169"/>
  <c r="AX84" i="167" s="1"/>
  <c r="AN85" i="169"/>
  <c r="AY84" i="167" s="1"/>
  <c r="AX41" i="167"/>
  <c r="AY41" i="167"/>
  <c r="AX42" i="167"/>
  <c r="AY42" i="167"/>
  <c r="AX43" i="167"/>
  <c r="AY43" i="167"/>
  <c r="AX44" i="167"/>
  <c r="AY44" i="167"/>
  <c r="AX45" i="167"/>
  <c r="AY45" i="167"/>
  <c r="AX46" i="167"/>
  <c r="AY46" i="167"/>
  <c r="AX47" i="167"/>
  <c r="AY47" i="167"/>
  <c r="AX48" i="167"/>
  <c r="AY48" i="167"/>
  <c r="AX49" i="167"/>
  <c r="AY49" i="167"/>
  <c r="AX50" i="167"/>
  <c r="AY50" i="167"/>
  <c r="AX51" i="167"/>
  <c r="AY51" i="167"/>
  <c r="AM53" i="169"/>
  <c r="AX53" i="167" s="1"/>
  <c r="AN53" i="169"/>
  <c r="AY53" i="167" s="1"/>
  <c r="AM54" i="169"/>
  <c r="AX54" i="167" s="1"/>
  <c r="AN54" i="169"/>
  <c r="AY54" i="167" s="1"/>
  <c r="AM55" i="169"/>
  <c r="AX55" i="167" s="1"/>
  <c r="AN55" i="169"/>
  <c r="AY55" i="167" s="1"/>
  <c r="AM56" i="169"/>
  <c r="AX56" i="167" s="1"/>
  <c r="AN56" i="169"/>
  <c r="AY56" i="167" s="1"/>
  <c r="AM57" i="169"/>
  <c r="AX57" i="167" s="1"/>
  <c r="AN57" i="169"/>
  <c r="AY57" i="167" s="1"/>
  <c r="AM58" i="169"/>
  <c r="AX58" i="167" s="1"/>
  <c r="AN58" i="169"/>
  <c r="AY58" i="167" s="1"/>
  <c r="AM59" i="169"/>
  <c r="AX59" i="167" s="1"/>
  <c r="AN59" i="169"/>
  <c r="AY59" i="167" s="1"/>
  <c r="AM60" i="169"/>
  <c r="AX60" i="167" s="1"/>
  <c r="AN60" i="169"/>
  <c r="AY60" i="167" s="1"/>
  <c r="AM61" i="169"/>
  <c r="AX61" i="167" s="1"/>
  <c r="AN61" i="169"/>
  <c r="AY61" i="167" s="1"/>
  <c r="AM62" i="169"/>
  <c r="AX62" i="167" s="1"/>
  <c r="AN62" i="169"/>
  <c r="AY62" i="167" s="1"/>
  <c r="AM63" i="169"/>
  <c r="AX63" i="167" s="1"/>
  <c r="AN63" i="169"/>
  <c r="AY63" i="167" s="1"/>
  <c r="AM64" i="169"/>
  <c r="AX64" i="167" s="1"/>
  <c r="AN64" i="169"/>
  <c r="AY64" i="167" s="1"/>
  <c r="AM65" i="169"/>
  <c r="AX65" i="167" s="1"/>
  <c r="AN65" i="169"/>
  <c r="AY65" i="167" s="1"/>
  <c r="AM66" i="169"/>
  <c r="AX66" i="167" s="1"/>
  <c r="AN66" i="169"/>
  <c r="AY66" i="167" s="1"/>
  <c r="AM67" i="169"/>
  <c r="AX67" i="167" s="1"/>
  <c r="AN67" i="169"/>
  <c r="AY67" i="167" s="1"/>
  <c r="AM68" i="169"/>
  <c r="AX68" i="167" s="1"/>
  <c r="AN68" i="169"/>
  <c r="AY68" i="167" s="1"/>
  <c r="AM69" i="169"/>
  <c r="AX69" i="167" s="1"/>
  <c r="AN69" i="169"/>
  <c r="AY69" i="167" s="1"/>
  <c r="AM70" i="169"/>
  <c r="AX70" i="167" s="1"/>
  <c r="AN70" i="169"/>
  <c r="AY70" i="167" s="1"/>
  <c r="AM71" i="169"/>
  <c r="AX71" i="167" s="1"/>
  <c r="AN71" i="169"/>
  <c r="AY71" i="167" s="1"/>
  <c r="AM72" i="169"/>
  <c r="AX72" i="167" s="1"/>
  <c r="AN72" i="169"/>
  <c r="AY72" i="167" s="1"/>
  <c r="AM73" i="169"/>
  <c r="AX73" i="167" s="1"/>
  <c r="AN73" i="169"/>
  <c r="AY73" i="167" s="1"/>
  <c r="AM74" i="169"/>
  <c r="AX74" i="167" s="1"/>
  <c r="AN74" i="169"/>
  <c r="AY74" i="167" s="1"/>
  <c r="AM75" i="169"/>
  <c r="AX75" i="167" s="1"/>
  <c r="AN75" i="169"/>
  <c r="AY75" i="167" s="1"/>
  <c r="AM76" i="169"/>
  <c r="AX76" i="167" s="1"/>
  <c r="AN76" i="169"/>
  <c r="AY76" i="167" s="1"/>
  <c r="AM78" i="169"/>
  <c r="AX78" i="167" s="1"/>
  <c r="AN78" i="169"/>
  <c r="AY78" i="167" s="1"/>
  <c r="AM79" i="169"/>
  <c r="AX79" i="167" s="1"/>
  <c r="AN79" i="169"/>
  <c r="AY79" i="167" s="1"/>
  <c r="AM80" i="169"/>
  <c r="AX80" i="167" s="1"/>
  <c r="AN80" i="169"/>
  <c r="AY80" i="167" s="1"/>
  <c r="AM81" i="169"/>
  <c r="AX81" i="167" s="1"/>
  <c r="AN81" i="169"/>
  <c r="AY81" i="167" s="1"/>
  <c r="AN2" i="170" l="1"/>
  <c r="AM2" i="170"/>
  <c r="AN2" i="169"/>
  <c r="AM2" i="169"/>
  <c r="AN2" i="4"/>
  <c r="AM2" i="4"/>
  <c r="AX2" i="167" l="1"/>
  <c r="AY2" i="167"/>
</calcChain>
</file>

<file path=xl/sharedStrings.xml><?xml version="1.0" encoding="utf-8"?>
<sst xmlns="http://schemas.openxmlformats.org/spreadsheetml/2006/main" count="1625" uniqueCount="393">
  <si>
    <t>م</t>
  </si>
  <si>
    <t>اسم السائق</t>
  </si>
  <si>
    <t>مواعيد الحضور</t>
  </si>
  <si>
    <t>عدد الرحلات</t>
  </si>
  <si>
    <t>عدد الفروع</t>
  </si>
  <si>
    <t>عدد الرحلات
المجمع اسبوعى</t>
  </si>
  <si>
    <t>عدد الفروع
المجمع اسبوعى</t>
  </si>
  <si>
    <t>عمرو محمد حسنى</t>
  </si>
  <si>
    <t>محمد حسن حسان</t>
  </si>
  <si>
    <t>احمد حسن</t>
  </si>
  <si>
    <t>عمرو عبد الرحمن</t>
  </si>
  <si>
    <t>على حمدى</t>
  </si>
  <si>
    <t>رضا معروف</t>
  </si>
  <si>
    <t>وائل على</t>
  </si>
  <si>
    <t>رجب محمد مصطفى</t>
  </si>
  <si>
    <t>محمد صلاح</t>
  </si>
  <si>
    <t>علاء مجدى</t>
  </si>
  <si>
    <t>مصطفى احمد</t>
  </si>
  <si>
    <t>الشناوى سرور</t>
  </si>
  <si>
    <t>احمد عواد</t>
  </si>
  <si>
    <t>محمد مراد</t>
  </si>
  <si>
    <t>خالد عبده</t>
  </si>
  <si>
    <t>سيد محمد العسال</t>
  </si>
  <si>
    <t>صبري امام</t>
  </si>
  <si>
    <t>جمعه السيد</t>
  </si>
  <si>
    <t>خالد صبرى</t>
  </si>
  <si>
    <t>محمود أبو طالب</t>
  </si>
  <si>
    <t>سيد على</t>
  </si>
  <si>
    <t>عبد الرحمن محمد</t>
  </si>
  <si>
    <t>خالد محمد ابراهيم</t>
  </si>
  <si>
    <t>رامى حسن محمد</t>
  </si>
  <si>
    <t>احمد سعيد سالم</t>
  </si>
  <si>
    <t>رامى عادل</t>
  </si>
  <si>
    <t>محمود عادل حلمى</t>
  </si>
  <si>
    <t>عبد الرحمن عاطف</t>
  </si>
  <si>
    <t>جمال فؤاد</t>
  </si>
  <si>
    <t>على النبوى</t>
  </si>
  <si>
    <t>احمد فوزى</t>
  </si>
  <si>
    <t>محمود عبد الفتاح</t>
  </si>
  <si>
    <t>السيد محمد</t>
  </si>
  <si>
    <t>جمال حامد</t>
  </si>
  <si>
    <t>عمار حامد عمار</t>
  </si>
  <si>
    <t>حسين حامد محمد</t>
  </si>
  <si>
    <t>سعيد محمد منصور</t>
  </si>
  <si>
    <t>احمد فتحى</t>
  </si>
  <si>
    <t>خضر محمد</t>
  </si>
  <si>
    <t>محمد السيد عطية</t>
  </si>
  <si>
    <t>شوقى فوزى</t>
  </si>
  <si>
    <t>محمود رجب عبد الحميد</t>
  </si>
  <si>
    <t>إبراهيم المغاورى المغاورى</t>
  </si>
  <si>
    <t xml:space="preserve">مدحت محمد </t>
  </si>
  <si>
    <t>شريف حسنى جابر</t>
  </si>
  <si>
    <t>احمد عبد الرحمن الهوارى</t>
  </si>
  <si>
    <t>محمد صلاح محمد اسماعيل</t>
  </si>
  <si>
    <t>شريف محمد احمد</t>
  </si>
  <si>
    <t>محمد عباس</t>
  </si>
  <si>
    <t>مدحت محمداحمد السيد</t>
  </si>
  <si>
    <t>طه صابر</t>
  </si>
  <si>
    <t>محمد جمعة</t>
  </si>
  <si>
    <t>سامح عبد السميع</t>
  </si>
  <si>
    <t>ممدوح عبد العال</t>
  </si>
  <si>
    <t>مصطفى عادل</t>
  </si>
  <si>
    <t>مجدى صبحى سالم</t>
  </si>
  <si>
    <t>محمد صديق فهمى</t>
  </si>
  <si>
    <t>اسلام سلطان</t>
  </si>
  <si>
    <t>حسن على عبد الله</t>
  </si>
  <si>
    <t>محمد احمد محمد</t>
  </si>
  <si>
    <t>ايمن سعيد معوض</t>
  </si>
  <si>
    <t>محمود سيد</t>
  </si>
  <si>
    <t>محمد عبد الرحمن</t>
  </si>
  <si>
    <t>حسام سلامة بيومى</t>
  </si>
  <si>
    <t>عدد الرحلات
المجمع شهرى</t>
  </si>
  <si>
    <t>عدد الفروع
المجمع شهرى</t>
  </si>
  <si>
    <t>على عادل عبد الفتاح</t>
  </si>
  <si>
    <t>سيف موافى خيرى</t>
  </si>
  <si>
    <t xml:space="preserve"> </t>
  </si>
  <si>
    <t>احمد شحات محمد</t>
  </si>
  <si>
    <t>\</t>
  </si>
  <si>
    <t>محمد احمد حجازى</t>
  </si>
  <si>
    <t>مصطفى عيسى</t>
  </si>
  <si>
    <t>اسلام عبدالرازق عبدالجواد</t>
  </si>
  <si>
    <t>كارم سعيد</t>
  </si>
  <si>
    <t>كريم محمود</t>
  </si>
  <si>
    <t>ناصر ابو السعود</t>
  </si>
  <si>
    <t>محمد ابراهيم فهيم</t>
  </si>
  <si>
    <t>احمد السعيد</t>
  </si>
  <si>
    <t>احمد جمعه</t>
  </si>
  <si>
    <t>عمرو المهدي</t>
  </si>
  <si>
    <t>اسامة مصطفي</t>
  </si>
  <si>
    <t>احمد محمد حسين</t>
  </si>
  <si>
    <t>طارق عزت</t>
  </si>
  <si>
    <t>احمداشرف احمد</t>
  </si>
  <si>
    <t>راحة</t>
  </si>
  <si>
    <t>سنوى</t>
  </si>
  <si>
    <t>اسامه مصطفى</t>
  </si>
  <si>
    <t>على الشحات</t>
  </si>
  <si>
    <t>غياب</t>
  </si>
  <si>
    <t>مرضى</t>
  </si>
  <si>
    <t>الشروق-بدر</t>
  </si>
  <si>
    <t>اول جمال-السلام</t>
  </si>
  <si>
    <t>اللبينى-ترسا</t>
  </si>
  <si>
    <t>الشارع-التعاون</t>
  </si>
  <si>
    <t>عبور</t>
  </si>
  <si>
    <t>عباسيه</t>
  </si>
  <si>
    <t>مسره</t>
  </si>
  <si>
    <t>النزهه</t>
  </si>
  <si>
    <t>بورسعيد</t>
  </si>
  <si>
    <t>العاشر</t>
  </si>
  <si>
    <t>جاردنيا-مكرم</t>
  </si>
  <si>
    <t>عباس-المرغنى</t>
  </si>
  <si>
    <t>عرابى-الدقى</t>
  </si>
  <si>
    <t>فيصل</t>
  </si>
  <si>
    <t>التجمع1-التجمع5</t>
  </si>
  <si>
    <t>اكتوبر</t>
  </si>
  <si>
    <t>الوسط</t>
  </si>
  <si>
    <t>الشروق1-الشروق3</t>
  </si>
  <si>
    <t>العاشر من رمضان</t>
  </si>
  <si>
    <t>منتزه-وايلى</t>
  </si>
  <si>
    <t>الطوابق</t>
  </si>
  <si>
    <t>الدوران</t>
  </si>
  <si>
    <t>الجسر</t>
  </si>
  <si>
    <t>الشريف</t>
  </si>
  <si>
    <t>الشيراتون</t>
  </si>
  <si>
    <t>شبرا-الدوران</t>
  </si>
  <si>
    <t>المعادى2</t>
  </si>
  <si>
    <t>السواح</t>
  </si>
  <si>
    <t>مسطرد</t>
  </si>
  <si>
    <t>مبيعات</t>
  </si>
  <si>
    <t>الكوربه</t>
  </si>
  <si>
    <t>اسكندريه</t>
  </si>
  <si>
    <t>ابس كريم(3فروع)</t>
  </si>
  <si>
    <t>المطريه</t>
  </si>
  <si>
    <t>العبور</t>
  </si>
  <si>
    <t>المعادى1-المعادى2</t>
  </si>
  <si>
    <t>الوسط-الشريف</t>
  </si>
  <si>
    <t>الدقى-عرابى</t>
  </si>
  <si>
    <t>جاردنبا-الشيراتون</t>
  </si>
  <si>
    <t>العثيم كارفور</t>
  </si>
  <si>
    <t>العبور-بهتيم</t>
  </si>
  <si>
    <t>مدينه بدر</t>
  </si>
  <si>
    <t>الكوربه-منتزه</t>
  </si>
  <si>
    <t>عباسيه-وايلى</t>
  </si>
  <si>
    <t>العاشر-مكرم</t>
  </si>
  <si>
    <t>السواح-المطريه</t>
  </si>
  <si>
    <t>عبور2</t>
  </si>
  <si>
    <t>عباسيه-مسره</t>
  </si>
  <si>
    <t>السلام-العبور</t>
  </si>
  <si>
    <t>اول جمال-النزهه</t>
  </si>
  <si>
    <t>عباس-المرغنى
بهتيم</t>
  </si>
  <si>
    <t>الجسر-النزهه</t>
  </si>
  <si>
    <t>فيصل-الطوابق</t>
  </si>
  <si>
    <t>سرياقوس</t>
  </si>
  <si>
    <t>منفذ المصنع
بهتيم</t>
  </si>
  <si>
    <t>الكيلو4.5</t>
  </si>
  <si>
    <t>المعادى1-المعادى2-العاشر</t>
  </si>
  <si>
    <t>مكرم-عباس-المرعنى</t>
  </si>
  <si>
    <t>مأموريه</t>
  </si>
  <si>
    <t>الترعه</t>
  </si>
  <si>
    <t>منطقه العاشر</t>
  </si>
  <si>
    <t>خامات(3فروع)</t>
  </si>
  <si>
    <t>خامات(2فروع)</t>
  </si>
  <si>
    <t>بهتيم</t>
  </si>
  <si>
    <t>الترعه-الكوربه-السواح</t>
  </si>
  <si>
    <t>الترعه-وايلى-منتزه-المرغنى</t>
  </si>
  <si>
    <t>السواح-الكوربه-الشيراتون</t>
  </si>
  <si>
    <t>ايس كريم(3فروع)</t>
  </si>
  <si>
    <t>اول جمال-مسره</t>
  </si>
  <si>
    <t>ورشه خارجيه</t>
  </si>
  <si>
    <t>بهتيم-مأموريه
ماموريه</t>
  </si>
  <si>
    <t>النزهه-الشروق1-الشروق3</t>
  </si>
  <si>
    <t>التجمع1-التجمع5-جاردنيا</t>
  </si>
  <si>
    <t>ابو محرم</t>
  </si>
  <si>
    <t>جاردنيا-الشيراتون-الكوربه</t>
  </si>
  <si>
    <t>شبرا-الدوران-مسطرد</t>
  </si>
  <si>
    <t>منطقه</t>
  </si>
  <si>
    <t>محمد زينهم السيد</t>
  </si>
  <si>
    <t>اسماعليه</t>
  </si>
  <si>
    <t>المعادى-العاشر</t>
  </si>
  <si>
    <t>المعادى</t>
  </si>
  <si>
    <t>مرور(هيئه السلامه الغذاء)</t>
  </si>
  <si>
    <t>مدينه بدر(امن الفروع)</t>
  </si>
  <si>
    <t>ثلاجه العبور</t>
  </si>
  <si>
    <t>منفذ المصنع</t>
  </si>
  <si>
    <t>الشروق-بدر
مسطرد</t>
  </si>
  <si>
    <t>كرتون(5فروع)</t>
  </si>
  <si>
    <t>الكوربه-منتزه
منفذ المصنع</t>
  </si>
  <si>
    <t>جاردنيا-الشيراتون-الكوربه-منتزه</t>
  </si>
  <si>
    <t>مكرم-عباس-المرغنى</t>
  </si>
  <si>
    <t>الدقى -عرابى</t>
  </si>
  <si>
    <t>عباسيه- وايلى</t>
  </si>
  <si>
    <t>عبور-التجمع1</t>
  </si>
  <si>
    <t>خامات(3فرع)</t>
  </si>
  <si>
    <t>مصنع فكره</t>
  </si>
  <si>
    <t>الترعه-السواح-التجمع5</t>
  </si>
  <si>
    <t>خامات(2فرع)</t>
  </si>
  <si>
    <t>خامات الكوربه</t>
  </si>
  <si>
    <t>ايس كريم(6فروع)</t>
  </si>
  <si>
    <t>منطقه اكتوبر</t>
  </si>
  <si>
    <t>ورشه خارجيه
مكرم
ورشه خارجيه</t>
  </si>
  <si>
    <t>منطقه السواح</t>
  </si>
  <si>
    <t>ايس كريم(3فروع)
مصنع ابو محرم</t>
  </si>
  <si>
    <t xml:space="preserve">العاشر </t>
  </si>
  <si>
    <t>الدقى</t>
  </si>
  <si>
    <t>عرابى</t>
  </si>
  <si>
    <t>عطل سياره مأموريه</t>
  </si>
  <si>
    <t>مأموريه(hr)</t>
  </si>
  <si>
    <t>مصر للطيران</t>
  </si>
  <si>
    <t>مكرم</t>
  </si>
  <si>
    <t>العاشر 
سرياقوس</t>
  </si>
  <si>
    <t>المقطم</t>
  </si>
  <si>
    <t>الوسط-الشريف
بهتيم</t>
  </si>
  <si>
    <t>بهتيم
منفذ المصنع</t>
  </si>
  <si>
    <t>اول جمال-النزهه
السلام-اول جمال</t>
  </si>
  <si>
    <t>بورسعيد
بورسعيد</t>
  </si>
  <si>
    <t>مسره-عباسيه</t>
  </si>
  <si>
    <t>عبور
عبور</t>
  </si>
  <si>
    <t>الجسر-النزهه-المطريه</t>
  </si>
  <si>
    <t>عبور-قاعه</t>
  </si>
  <si>
    <t>الدقى - عرابى</t>
  </si>
  <si>
    <t>الوسط - الشريف</t>
  </si>
  <si>
    <t>المرغنى - عباس - مكرم</t>
  </si>
  <si>
    <t>الشروق 1- الشروق 2</t>
  </si>
  <si>
    <t>الشيراتون - جاردينيا</t>
  </si>
  <si>
    <t>التجمع 5</t>
  </si>
  <si>
    <t>التجمع 1</t>
  </si>
  <si>
    <t>شبرا - الدوران</t>
  </si>
  <si>
    <t>المنتزه - الكوربة</t>
  </si>
  <si>
    <t>العباسيه</t>
  </si>
  <si>
    <t>الوايلى - العباسية</t>
  </si>
  <si>
    <t>العباسية - الوايلى</t>
  </si>
  <si>
    <t>العباسية</t>
  </si>
  <si>
    <t>مصنع ابو محرم</t>
  </si>
  <si>
    <t>مسطرد - السواح</t>
  </si>
  <si>
    <t>ورشه خارجيه
ايس كريم ( 4 فروع )</t>
  </si>
  <si>
    <t>خامات ( 4 فروع )</t>
  </si>
  <si>
    <t>خامات ( 3 فروع )</t>
  </si>
  <si>
    <t>مأمورية السراج مول</t>
  </si>
  <si>
    <t>الترعة</t>
  </si>
  <si>
    <t>ورشة خارجية</t>
  </si>
  <si>
    <t>عارضة</t>
  </si>
  <si>
    <t>حالة وفاة</t>
  </si>
  <si>
    <t>الوايلى - المنتزه</t>
  </si>
  <si>
    <t>احمد صادق</t>
  </si>
  <si>
    <t>عمرو المهدى</t>
  </si>
  <si>
    <t>محمد زينهم</t>
  </si>
  <si>
    <t>النزهة</t>
  </si>
  <si>
    <t>مكرم - جاردينيا</t>
  </si>
  <si>
    <t>المرغنى - عباس</t>
  </si>
  <si>
    <t>الشروق 2 - الشروق 3</t>
  </si>
  <si>
    <t>المعادى 1</t>
  </si>
  <si>
    <t>المعادى 2</t>
  </si>
  <si>
    <t>العبور 2</t>
  </si>
  <si>
    <t>الكوربة</t>
  </si>
  <si>
    <t>المطرية</t>
  </si>
  <si>
    <t>مسطرد / العاشر من رمضان</t>
  </si>
  <si>
    <t>التجمع 1 - التجمع 5</t>
  </si>
  <si>
    <t>الشروق - بدر</t>
  </si>
  <si>
    <t>اللبينى - ترسا</t>
  </si>
  <si>
    <t>اول جمال - السلام</t>
  </si>
  <si>
    <t>مسرة</t>
  </si>
  <si>
    <t>الشارع - التعاون</t>
  </si>
  <si>
    <t>المعادى 1 - المعادى 2</t>
  </si>
  <si>
    <t>الشروق 1 - الشروق 2</t>
  </si>
  <si>
    <t>الكيلو 4.5</t>
  </si>
  <si>
    <t>ايس كريم ( 7 فروع )</t>
  </si>
  <si>
    <t>مصنع ابو محرم
السواح</t>
  </si>
  <si>
    <t>العباسية - مسرة</t>
  </si>
  <si>
    <t>السلام - العبور</t>
  </si>
  <si>
    <t>اول جمال - النزهة
العباسية</t>
  </si>
  <si>
    <t>مصنع ابو محرم
اول جمال - النزهة</t>
  </si>
  <si>
    <t>الشارع - التعاون
التعاون</t>
  </si>
  <si>
    <t>بورسعيد / بورسعيد</t>
  </si>
  <si>
    <t>اللبينى - ترسا
الشارع</t>
  </si>
  <si>
    <t>منفذ بورسعيد</t>
  </si>
  <si>
    <t>غياب بدون اذن</t>
  </si>
  <si>
    <t>عباس</t>
  </si>
  <si>
    <t>المرغنى</t>
  </si>
  <si>
    <t>الوسط / بهتيم</t>
  </si>
  <si>
    <t>العاشر من رمضان - الشروق 2 - الشروق 3</t>
  </si>
  <si>
    <t>العبور - القاعة</t>
  </si>
  <si>
    <t>المنتزه - الكوربة - الشيراتون - جاردينيا</t>
  </si>
  <si>
    <t>العاشر - المعادى 1 - المعادى 2</t>
  </si>
  <si>
    <t>فيصل - الطوابق</t>
  </si>
  <si>
    <t>مسطرد - شبرا - الدوران</t>
  </si>
  <si>
    <t>مدينة بدر</t>
  </si>
  <si>
    <t>الجسر - النزهة</t>
  </si>
  <si>
    <t>المطرية - السواح</t>
  </si>
  <si>
    <t>ايس كريم ( 6 فروع )</t>
  </si>
  <si>
    <t>ورشة خارجية السلام</t>
  </si>
  <si>
    <t>السيارة فارغة ( الدوران - العاشر من رمضان )</t>
  </si>
  <si>
    <t>السيارة فارغة ( الدوران )</t>
  </si>
  <si>
    <t>شبرا - العباسية</t>
  </si>
  <si>
    <t>مسطرد - النزهة</t>
  </si>
  <si>
    <t>منطقة السواح</t>
  </si>
  <si>
    <t>السواح
ورشة خارجية</t>
  </si>
  <si>
    <t>المرج(مصنع فكره)</t>
  </si>
  <si>
    <t>بهتيم
مسطرد</t>
  </si>
  <si>
    <t>توكيل</t>
  </si>
  <si>
    <t xml:space="preserve">مصطفى احمد احمد
</t>
  </si>
  <si>
    <t>بورسعيد
ترسا-اللبينى</t>
  </si>
  <si>
    <t>العباسية - مسرة
بورسعيد</t>
  </si>
  <si>
    <t>كرتون(4فروع)</t>
  </si>
  <si>
    <t>منطقه الجيزه</t>
  </si>
  <si>
    <t>بدل راحه</t>
  </si>
  <si>
    <t>العاشر من رمضان
الكيلو4.5</t>
  </si>
  <si>
    <t>الكوربه-منتزه-جاردنيا-الشيراتون</t>
  </si>
  <si>
    <t>العبور-قاعه</t>
  </si>
  <si>
    <t>العاشر -مسطرد</t>
  </si>
  <si>
    <t>الترعه-عبور</t>
  </si>
  <si>
    <t>الترعه-الجسر</t>
  </si>
  <si>
    <t>بهتيم-الترعه</t>
  </si>
  <si>
    <t>اكتوبر-عباسيه
منفذ المصنع</t>
  </si>
  <si>
    <t>التجمع1</t>
  </si>
  <si>
    <t>الترعه-النزهه-الشيراتون</t>
  </si>
  <si>
    <t>ابومحرم
وايلى-الدوران-شبرا-وسط-الشريف</t>
  </si>
  <si>
    <t>ايس كريم ابو محرم(3فروع)</t>
  </si>
  <si>
    <t>ورشه خارجيه
ايس كريم مسره
ايس كريم الشريف</t>
  </si>
  <si>
    <t>ايس كريم(4فروع)
ايس كريم المعادى1</t>
  </si>
  <si>
    <t>المعادى1</t>
  </si>
  <si>
    <t>ايس كريم(11فرع)</t>
  </si>
  <si>
    <t>عباس- المرغنى</t>
  </si>
  <si>
    <t>الكوربه-المنتزه</t>
  </si>
  <si>
    <t>ايس كريم(5فروع)</t>
  </si>
  <si>
    <t>الوايلى - عباسيه</t>
  </si>
  <si>
    <t>مكرم-العاشر</t>
  </si>
  <si>
    <t>الشروق 1 - الشروق 3</t>
  </si>
  <si>
    <t>ورشه كاوتش</t>
  </si>
  <si>
    <t>الوسط-الشريف
منفذ المصنع</t>
  </si>
  <si>
    <t>شبرا - الدوران
بهتيم</t>
  </si>
  <si>
    <t>اول جمال - النزهه</t>
  </si>
  <si>
    <t>الشارع</t>
  </si>
  <si>
    <t>التعاون</t>
  </si>
  <si>
    <t>الشروق - بدر
مسطرد</t>
  </si>
  <si>
    <t>منطقه القاهره</t>
  </si>
  <si>
    <t>كرتون منطقه القاهره</t>
  </si>
  <si>
    <t>الشيراتون - جاردنيا
الترعه</t>
  </si>
  <si>
    <t>السواح-الشيراتون</t>
  </si>
  <si>
    <t>منطقه الجسر</t>
  </si>
  <si>
    <t>العاشر من رمضان-الشروق(خامات)</t>
  </si>
  <si>
    <t>الترعه-عرابى-اكتوبر</t>
  </si>
  <si>
    <t>خامات(الكوربه)</t>
  </si>
  <si>
    <t>الترعه-التجمع1</t>
  </si>
  <si>
    <t>ايس كربم(مسره)</t>
  </si>
  <si>
    <t>ورشه خارجيه
ايس كريم(3فروع)</t>
  </si>
  <si>
    <t>الترعه-الدوران-شبرا</t>
  </si>
  <si>
    <t>جاردنيا-الشيراتون</t>
  </si>
  <si>
    <t>العبور2</t>
  </si>
  <si>
    <t>عبور ثلاجه</t>
  </si>
  <si>
    <t>شبرا-الدوران
بهتيم</t>
  </si>
  <si>
    <t>عباس-المرغنى
سرياقوس</t>
  </si>
  <si>
    <t>مسطرد
بهتيم</t>
  </si>
  <si>
    <t>الكيلو-4.5</t>
  </si>
  <si>
    <t>بافاريا</t>
  </si>
  <si>
    <t>بورسعيد
الشارع</t>
  </si>
  <si>
    <t>السادات</t>
  </si>
  <si>
    <t>ايس كريم(2فرع)</t>
  </si>
  <si>
    <t>الترعه-منفذ المصنع</t>
  </si>
  <si>
    <t>السلام ورشه خارجيه</t>
  </si>
  <si>
    <t>فكره-السواح</t>
  </si>
  <si>
    <t>منفذالمصنع
الترعه
ورشه كاوتش</t>
  </si>
  <si>
    <t>بهتيم
المعادى</t>
  </si>
  <si>
    <t>بهتيم -الترعه</t>
  </si>
  <si>
    <t>كرتون</t>
  </si>
  <si>
    <t>استقاله</t>
  </si>
  <si>
    <t>جاردنيا -مكرم</t>
  </si>
  <si>
    <t>المرغنى-عباس</t>
  </si>
  <si>
    <t>منتزه -وايلى</t>
  </si>
  <si>
    <t>الدوران شبرا</t>
  </si>
  <si>
    <t>المطريه-مسطرد</t>
  </si>
  <si>
    <t>مسطرد-المطريه</t>
  </si>
  <si>
    <t>محمد ابراهيم محمد</t>
  </si>
  <si>
    <t>جاردنيا-الشيرتون</t>
  </si>
  <si>
    <t>وايلى-عباسيه</t>
  </si>
  <si>
    <t>مسطرد
مأموريه</t>
  </si>
  <si>
    <t>فبصل- الطوابق</t>
  </si>
  <si>
    <t>اوجمال-النزهه</t>
  </si>
  <si>
    <t>كرتون منطقه الجيزه</t>
  </si>
  <si>
    <t>مصر للطيران
سرياقوس</t>
  </si>
  <si>
    <t>مسطرد
الكوربه-منتزه
بهتيم</t>
  </si>
  <si>
    <t>منفذ المصنع
ابومحرم</t>
  </si>
  <si>
    <t>الجسر- النزهه</t>
  </si>
  <si>
    <t>الكوربه-توكيل</t>
  </si>
  <si>
    <t>مكرم- عباس-المرغنى</t>
  </si>
  <si>
    <t>ورشه المصنع</t>
  </si>
  <si>
    <t>خامات(4فروع)</t>
  </si>
  <si>
    <t>منفذ المصنع
ابومحرم
بهتيم</t>
  </si>
  <si>
    <t>النزهه-الشيراتون</t>
  </si>
  <si>
    <t>الترعه
الترعه
المعادى1-المعادى2</t>
  </si>
  <si>
    <t>بهتيم
ورشه خارجيه</t>
  </si>
  <si>
    <t>مسطرد-وايلى</t>
  </si>
  <si>
    <t>ابومحرم</t>
  </si>
  <si>
    <t>الشارع الجديد</t>
  </si>
  <si>
    <t>اكتوبر-عباسيه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</si>
</sst>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0" fontId="1" fillId="7" borderId="1" xfId="0" applyNumberFormat="1" applyFont="1" applyFill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20" fontId="1" fillId="8" borderId="1" xfId="0" applyNumberFormat="1" applyFont="1" applyFill="1" applyBorder="1" applyAlignment="1">
      <alignment horizontal="center" vertical="center"/>
    </xf>
    <xf numFmtId="20" fontId="1" fillId="9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/>
    </xf>
    <xf numFmtId="20" fontId="1" fillId="8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0" fontId="1" fillId="7" borderId="1" xfId="0" applyNumberFormat="1" applyFont="1" applyFill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0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20" fontId="1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17"/>
  <sheetViews>
    <sheetView rightToLeft="1" topLeftCell="B43" zoomScaleNormal="100" workbookViewId="0">
      <pane xSplit="1" topLeftCell="C1" activePane="topRight" state="frozen"/>
      <selection pane="topRight" activeCell="AG58" sqref="AG58:AI58"/>
    </sheetView>
  </sheetViews>
  <sheetFormatPr defaultColWidth="9" defaultRowHeight="18.75"/>
  <cols>
    <col min="1" max="1" width="4.85546875" style="1" hidden="1" customWidth="1"/>
    <col min="2" max="2" width="28.42578125" customWidth="1"/>
    <col min="3" max="3" width="15.5703125" customWidth="1"/>
    <col min="4" max="4" width="36.42578125" customWidth="1"/>
    <col min="5" max="5" width="31" customWidth="1"/>
    <col min="6" max="6" width="11.5703125" customWidth="1"/>
    <col min="7" max="7" width="12.85546875" customWidth="1"/>
    <col min="8" max="8" width="12" customWidth="1"/>
    <col min="9" max="9" width="29.5703125" customWidth="1"/>
    <col min="10" max="10" width="33.5703125" customWidth="1"/>
    <col min="11" max="11" width="11.5703125" customWidth="1"/>
    <col min="12" max="12" width="12.85546875" customWidth="1"/>
    <col min="13" max="13" width="12" customWidth="1"/>
    <col min="14" max="14" width="40.5703125" customWidth="1"/>
    <col min="15" max="15" width="29.5703125" customWidth="1"/>
    <col min="16" max="16" width="11.5703125" customWidth="1"/>
    <col min="17" max="17" width="12.85546875" customWidth="1"/>
    <col min="18" max="18" width="12.7109375" customWidth="1"/>
    <col min="19" max="19" width="46.140625" bestFit="1" customWidth="1"/>
    <col min="20" max="20" width="33.7109375" customWidth="1"/>
    <col min="21" max="21" width="11.5703125" customWidth="1"/>
    <col min="22" max="22" width="12.85546875" customWidth="1"/>
    <col min="23" max="23" width="12" customWidth="1"/>
    <col min="24" max="24" width="36.5703125" customWidth="1"/>
    <col min="25" max="25" width="39.5703125" customWidth="1"/>
    <col min="26" max="26" width="11.5703125" customWidth="1"/>
    <col min="27" max="27" width="12.85546875" customWidth="1"/>
    <col min="28" max="28" width="12" customWidth="1"/>
    <col min="29" max="29" width="36.5703125" customWidth="1"/>
    <col min="30" max="30" width="29.5703125" customWidth="1"/>
    <col min="31" max="31" width="11.5703125" customWidth="1"/>
    <col min="32" max="32" width="12.85546875" customWidth="1"/>
    <col min="33" max="33" width="12" customWidth="1"/>
    <col min="34" max="34" width="32.7109375" customWidth="1"/>
    <col min="35" max="35" width="29.5703125" customWidth="1"/>
    <col min="36" max="36" width="11.5703125" customWidth="1"/>
    <col min="37" max="37" width="12.85546875" customWidth="1"/>
    <col min="38" max="38" width="0.85546875" style="16" customWidth="1"/>
    <col min="39" max="39" width="16.28515625" customWidth="1"/>
    <col min="40" max="40" width="17.140625" customWidth="1"/>
  </cols>
  <sheetData>
    <row r="1" spans="1:40" ht="63">
      <c r="A1" s="1" t="s">
        <v>0</v>
      </c>
      <c r="B1" s="2" t="s">
        <v>1</v>
      </c>
      <c r="C1" s="3" t="s">
        <v>2</v>
      </c>
      <c r="D1" s="4">
        <v>46133</v>
      </c>
      <c r="E1" s="4">
        <v>46133</v>
      </c>
      <c r="F1" s="5" t="s">
        <v>3</v>
      </c>
      <c r="G1" s="5" t="s">
        <v>4</v>
      </c>
      <c r="H1" s="3" t="s">
        <v>2</v>
      </c>
      <c r="I1" s="4">
        <v>46134</v>
      </c>
      <c r="J1" s="4">
        <v>46134</v>
      </c>
      <c r="K1" s="5" t="s">
        <v>3</v>
      </c>
      <c r="L1" s="5" t="s">
        <v>4</v>
      </c>
      <c r="M1" s="3" t="s">
        <v>2</v>
      </c>
      <c r="N1" s="4">
        <v>46135</v>
      </c>
      <c r="O1" s="4">
        <v>46135</v>
      </c>
      <c r="P1" s="5" t="s">
        <v>3</v>
      </c>
      <c r="Q1" s="5" t="s">
        <v>4</v>
      </c>
      <c r="R1" s="3" t="s">
        <v>2</v>
      </c>
      <c r="S1" s="4">
        <v>46136</v>
      </c>
      <c r="T1" s="4">
        <v>46136</v>
      </c>
      <c r="U1" s="5" t="s">
        <v>3</v>
      </c>
      <c r="V1" s="5" t="s">
        <v>4</v>
      </c>
      <c r="W1" s="3" t="s">
        <v>2</v>
      </c>
      <c r="X1" s="4">
        <v>46137</v>
      </c>
      <c r="Y1" s="4">
        <v>46137</v>
      </c>
      <c r="Z1" s="5" t="s">
        <v>3</v>
      </c>
      <c r="AA1" s="5" t="s">
        <v>4</v>
      </c>
      <c r="AB1" s="3" t="s">
        <v>2</v>
      </c>
      <c r="AC1" s="4">
        <v>46138</v>
      </c>
      <c r="AD1" s="4">
        <v>46138</v>
      </c>
      <c r="AE1" s="5" t="s">
        <v>3</v>
      </c>
      <c r="AF1" s="5" t="s">
        <v>4</v>
      </c>
      <c r="AG1" s="3" t="s">
        <v>2</v>
      </c>
      <c r="AH1" s="4">
        <v>46139</v>
      </c>
      <c r="AI1" s="4">
        <v>46139</v>
      </c>
      <c r="AJ1" s="5" t="s">
        <v>3</v>
      </c>
      <c r="AK1" s="5" t="s">
        <v>4</v>
      </c>
      <c r="AM1" s="3" t="s">
        <v>5</v>
      </c>
      <c r="AN1" s="5" t="s">
        <v>6</v>
      </c>
    </row>
    <row r="2" spans="1:40">
      <c r="A2" s="1">
        <v>2</v>
      </c>
      <c r="B2" s="6" t="s">
        <v>7</v>
      </c>
      <c r="C2" s="7">
        <v>0.25347222222222221</v>
      </c>
      <c r="D2" s="8" t="s">
        <v>112</v>
      </c>
      <c r="E2" s="8" t="s">
        <v>151</v>
      </c>
      <c r="F2" s="9">
        <v>2</v>
      </c>
      <c r="G2" s="9">
        <v>3</v>
      </c>
      <c r="H2" s="7">
        <v>0.25</v>
      </c>
      <c r="I2" s="8" t="s">
        <v>115</v>
      </c>
      <c r="J2" s="8" t="s">
        <v>151</v>
      </c>
      <c r="K2" s="9">
        <v>2</v>
      </c>
      <c r="L2" s="9">
        <v>3</v>
      </c>
      <c r="M2" s="7">
        <v>0.25347222222222221</v>
      </c>
      <c r="N2" s="8" t="s">
        <v>123</v>
      </c>
      <c r="O2" s="8" t="s">
        <v>126</v>
      </c>
      <c r="P2" s="9">
        <v>2</v>
      </c>
      <c r="Q2" s="9">
        <v>3</v>
      </c>
      <c r="R2" s="7">
        <v>0.25694444444444448</v>
      </c>
      <c r="S2" s="8" t="s">
        <v>107</v>
      </c>
      <c r="T2" s="8" t="s">
        <v>218</v>
      </c>
      <c r="U2" s="9">
        <v>2</v>
      </c>
      <c r="V2" s="9">
        <v>3</v>
      </c>
      <c r="W2" s="21" t="s">
        <v>92</v>
      </c>
      <c r="X2" s="39" t="s">
        <v>92</v>
      </c>
      <c r="Y2" s="40"/>
      <c r="Z2" s="9">
        <v>0</v>
      </c>
      <c r="AA2" s="9">
        <v>0</v>
      </c>
      <c r="AB2" s="7">
        <v>0.25</v>
      </c>
      <c r="AC2" s="33" t="s">
        <v>120</v>
      </c>
      <c r="AD2" s="8" t="s">
        <v>149</v>
      </c>
      <c r="AE2" s="9">
        <v>2</v>
      </c>
      <c r="AF2" s="9">
        <v>3</v>
      </c>
      <c r="AG2" s="7">
        <v>0.25</v>
      </c>
      <c r="AH2" s="8" t="s">
        <v>108</v>
      </c>
      <c r="AI2" s="7" t="s">
        <v>150</v>
      </c>
      <c r="AJ2" s="9">
        <v>2</v>
      </c>
      <c r="AK2" s="9">
        <v>4</v>
      </c>
      <c r="AM2" s="9">
        <f t="shared" ref="AM2:AM65" si="0">AJ2+AE2+Z2+U2+P2+K2+F2</f>
        <v>12</v>
      </c>
      <c r="AN2" s="9">
        <f t="shared" ref="AN2:AN65" si="1">AK2+AF2+AA2+V2+Q2+L2+G2</f>
        <v>19</v>
      </c>
    </row>
    <row r="3" spans="1:40" ht="37.5">
      <c r="A3" s="1">
        <v>3</v>
      </c>
      <c r="B3" s="6" t="s">
        <v>8</v>
      </c>
      <c r="C3" s="7">
        <v>0.23958333333333334</v>
      </c>
      <c r="D3" s="8" t="s">
        <v>108</v>
      </c>
      <c r="E3" s="8" t="s">
        <v>149</v>
      </c>
      <c r="F3" s="9">
        <v>2</v>
      </c>
      <c r="G3" s="9">
        <v>4</v>
      </c>
      <c r="H3" s="7">
        <v>0.23958333333333334</v>
      </c>
      <c r="I3" s="8" t="s">
        <v>123</v>
      </c>
      <c r="J3" s="8" t="s">
        <v>161</v>
      </c>
      <c r="K3" s="9">
        <v>2</v>
      </c>
      <c r="L3" s="9">
        <v>3</v>
      </c>
      <c r="M3" s="7">
        <v>0.25</v>
      </c>
      <c r="N3" s="8" t="s">
        <v>120</v>
      </c>
      <c r="O3" s="8" t="s">
        <v>125</v>
      </c>
      <c r="P3" s="9">
        <v>2</v>
      </c>
      <c r="Q3" s="9">
        <v>2</v>
      </c>
      <c r="R3" s="7">
        <v>0.25</v>
      </c>
      <c r="S3" s="8" t="s">
        <v>247</v>
      </c>
      <c r="T3" s="8" t="s">
        <v>111</v>
      </c>
      <c r="U3" s="9">
        <v>2</v>
      </c>
      <c r="V3" s="9">
        <v>3</v>
      </c>
      <c r="W3" s="21" t="s">
        <v>92</v>
      </c>
      <c r="X3" s="39" t="s">
        <v>92</v>
      </c>
      <c r="Y3" s="40"/>
      <c r="Z3" s="9">
        <v>0</v>
      </c>
      <c r="AA3" s="9">
        <v>0</v>
      </c>
      <c r="AB3" s="7">
        <v>0.24652777777777779</v>
      </c>
      <c r="AC3" s="8" t="s">
        <v>177</v>
      </c>
      <c r="AD3" s="8" t="s">
        <v>113</v>
      </c>
      <c r="AE3" s="9">
        <v>2</v>
      </c>
      <c r="AF3" s="9">
        <v>3</v>
      </c>
      <c r="AG3" s="7">
        <v>0.25</v>
      </c>
      <c r="AH3" s="8" t="s">
        <v>111</v>
      </c>
      <c r="AI3" s="35" t="s">
        <v>348</v>
      </c>
      <c r="AJ3" s="9">
        <v>3</v>
      </c>
      <c r="AK3" s="9">
        <v>4</v>
      </c>
      <c r="AM3" s="9">
        <f t="shared" si="0"/>
        <v>13</v>
      </c>
      <c r="AN3" s="9">
        <f t="shared" si="1"/>
        <v>19</v>
      </c>
    </row>
    <row r="4" spans="1:40">
      <c r="A4" s="1">
        <v>7</v>
      </c>
      <c r="B4" s="6" t="s">
        <v>9</v>
      </c>
      <c r="C4" s="22" t="s">
        <v>93</v>
      </c>
      <c r="D4" s="41" t="s">
        <v>93</v>
      </c>
      <c r="E4" s="42"/>
      <c r="F4" s="9">
        <v>0</v>
      </c>
      <c r="G4" s="9">
        <v>0</v>
      </c>
      <c r="H4" s="22" t="s">
        <v>93</v>
      </c>
      <c r="I4" s="41" t="s">
        <v>93</v>
      </c>
      <c r="J4" s="42"/>
      <c r="K4" s="9">
        <v>0</v>
      </c>
      <c r="L4" s="9">
        <v>0</v>
      </c>
      <c r="M4" s="22" t="s">
        <v>93</v>
      </c>
      <c r="N4" s="41" t="s">
        <v>93</v>
      </c>
      <c r="O4" s="42"/>
      <c r="P4" s="9">
        <v>0</v>
      </c>
      <c r="Q4" s="9">
        <v>0</v>
      </c>
      <c r="R4" s="22" t="s">
        <v>93</v>
      </c>
      <c r="S4" s="41" t="s">
        <v>93</v>
      </c>
      <c r="T4" s="42"/>
      <c r="U4" s="9">
        <v>0</v>
      </c>
      <c r="V4" s="9">
        <v>0</v>
      </c>
      <c r="W4" s="21" t="s">
        <v>92</v>
      </c>
      <c r="X4" s="39" t="s">
        <v>92</v>
      </c>
      <c r="Y4" s="40"/>
      <c r="Z4" s="9">
        <v>0</v>
      </c>
      <c r="AA4" s="9">
        <v>0</v>
      </c>
      <c r="AB4" s="7">
        <v>0.25347222222222221</v>
      </c>
      <c r="AC4" s="8" t="s">
        <v>118</v>
      </c>
      <c r="AD4" s="8" t="s">
        <v>326</v>
      </c>
      <c r="AE4" s="9">
        <v>2</v>
      </c>
      <c r="AF4" s="9">
        <v>2</v>
      </c>
      <c r="AG4" s="7">
        <v>0.25694444444444442</v>
      </c>
      <c r="AH4" s="8" t="s">
        <v>144</v>
      </c>
      <c r="AI4" s="32" t="s">
        <v>151</v>
      </c>
      <c r="AJ4" s="9">
        <v>2</v>
      </c>
      <c r="AK4" s="9">
        <v>2</v>
      </c>
      <c r="AM4" s="9">
        <f t="shared" si="0"/>
        <v>4</v>
      </c>
      <c r="AN4" s="9">
        <f t="shared" si="1"/>
        <v>4</v>
      </c>
    </row>
    <row r="5" spans="1:40" ht="37.5">
      <c r="B5" s="6" t="s">
        <v>10</v>
      </c>
      <c r="C5" s="23" t="s">
        <v>96</v>
      </c>
      <c r="D5" s="45" t="s">
        <v>96</v>
      </c>
      <c r="E5" s="46"/>
      <c r="F5" s="9">
        <v>0</v>
      </c>
      <c r="G5" s="9">
        <v>0</v>
      </c>
      <c r="H5" s="7">
        <v>0.27083333333333331</v>
      </c>
      <c r="I5" s="8" t="s">
        <v>121</v>
      </c>
      <c r="J5" s="8" t="s">
        <v>116</v>
      </c>
      <c r="K5" s="9">
        <v>2</v>
      </c>
      <c r="L5" s="9">
        <v>2</v>
      </c>
      <c r="M5" s="7">
        <v>0.28472222222222221</v>
      </c>
      <c r="N5" s="8" t="s">
        <v>205</v>
      </c>
      <c r="O5" s="8"/>
      <c r="P5" s="9">
        <v>1</v>
      </c>
      <c r="Q5" s="9">
        <v>1</v>
      </c>
      <c r="R5" s="7">
        <v>0.27083333333333331</v>
      </c>
      <c r="S5" s="8" t="s">
        <v>121</v>
      </c>
      <c r="T5" s="8" t="s">
        <v>264</v>
      </c>
      <c r="U5" s="9">
        <v>2</v>
      </c>
      <c r="V5" s="9">
        <v>8</v>
      </c>
      <c r="W5" s="21" t="s">
        <v>92</v>
      </c>
      <c r="X5" s="39" t="s">
        <v>92</v>
      </c>
      <c r="Y5" s="40"/>
      <c r="Z5" s="9">
        <v>0</v>
      </c>
      <c r="AA5" s="9">
        <v>0</v>
      </c>
      <c r="AB5" s="7">
        <v>0.27430555555555558</v>
      </c>
      <c r="AC5" s="8" t="s">
        <v>131</v>
      </c>
      <c r="AD5" s="8" t="s">
        <v>327</v>
      </c>
      <c r="AE5" s="9">
        <v>3</v>
      </c>
      <c r="AF5" s="9">
        <v>4</v>
      </c>
      <c r="AG5" s="28" t="s">
        <v>96</v>
      </c>
      <c r="AH5" s="45" t="s">
        <v>274</v>
      </c>
      <c r="AI5" s="46"/>
      <c r="AJ5" s="9">
        <v>0</v>
      </c>
      <c r="AK5" s="9">
        <v>0</v>
      </c>
      <c r="AM5" s="9">
        <f t="shared" si="0"/>
        <v>8</v>
      </c>
      <c r="AN5" s="9">
        <f t="shared" si="1"/>
        <v>15</v>
      </c>
    </row>
    <row r="6" spans="1:40" ht="37.5">
      <c r="B6" s="6" t="s">
        <v>82</v>
      </c>
      <c r="C6" s="7">
        <v>0.27083333333333331</v>
      </c>
      <c r="D6" s="8" t="s">
        <v>126</v>
      </c>
      <c r="E6" s="8" t="s">
        <v>152</v>
      </c>
      <c r="F6" s="9">
        <v>3</v>
      </c>
      <c r="G6" s="9">
        <v>3</v>
      </c>
      <c r="H6" s="7">
        <v>0.27083333333333331</v>
      </c>
      <c r="I6" s="8" t="s">
        <v>126</v>
      </c>
      <c r="J6" s="8" t="s">
        <v>144</v>
      </c>
      <c r="K6" s="9">
        <v>2</v>
      </c>
      <c r="L6" s="9">
        <v>2</v>
      </c>
      <c r="M6" s="7">
        <v>0.27430555555555558</v>
      </c>
      <c r="N6" s="8" t="s">
        <v>128</v>
      </c>
      <c r="O6" s="8" t="s">
        <v>113</v>
      </c>
      <c r="P6" s="9">
        <v>2</v>
      </c>
      <c r="Q6" s="9">
        <v>2</v>
      </c>
      <c r="R6" s="7">
        <v>0.27777777777777779</v>
      </c>
      <c r="S6" s="8" t="s">
        <v>253</v>
      </c>
      <c r="T6" s="8" t="s">
        <v>222</v>
      </c>
      <c r="U6" s="9">
        <v>2</v>
      </c>
      <c r="V6" s="9">
        <v>3</v>
      </c>
      <c r="W6" s="21" t="s">
        <v>92</v>
      </c>
      <c r="X6" s="39" t="s">
        <v>92</v>
      </c>
      <c r="Y6" s="40"/>
      <c r="Z6" s="9">
        <v>0</v>
      </c>
      <c r="AA6" s="9">
        <v>0</v>
      </c>
      <c r="AB6" s="7">
        <v>0.27083333333333331</v>
      </c>
      <c r="AC6" s="8" t="s">
        <v>276</v>
      </c>
      <c r="AD6" s="8" t="s">
        <v>322</v>
      </c>
      <c r="AE6" s="9">
        <v>2</v>
      </c>
      <c r="AF6" s="9">
        <v>6</v>
      </c>
      <c r="AG6" s="7">
        <v>0.27430555555555558</v>
      </c>
      <c r="AH6" s="8" t="s">
        <v>128</v>
      </c>
      <c r="AI6" s="7" t="s">
        <v>322</v>
      </c>
      <c r="AJ6" s="9">
        <v>2</v>
      </c>
      <c r="AK6" s="9">
        <v>6</v>
      </c>
      <c r="AM6" s="9">
        <f t="shared" si="0"/>
        <v>13</v>
      </c>
      <c r="AN6" s="9">
        <f t="shared" si="1"/>
        <v>22</v>
      </c>
    </row>
    <row r="7" spans="1:40">
      <c r="A7" s="1">
        <v>8</v>
      </c>
      <c r="B7" s="6" t="s">
        <v>11</v>
      </c>
      <c r="C7" s="22" t="s">
        <v>93</v>
      </c>
      <c r="D7" s="41" t="s">
        <v>93</v>
      </c>
      <c r="E7" s="42"/>
      <c r="F7" s="9">
        <v>0</v>
      </c>
      <c r="G7" s="9">
        <v>0</v>
      </c>
      <c r="H7" s="22" t="s">
        <v>93</v>
      </c>
      <c r="I7" s="41" t="s">
        <v>93</v>
      </c>
      <c r="J7" s="42"/>
      <c r="K7" s="9">
        <v>0</v>
      </c>
      <c r="L7" s="9">
        <v>0</v>
      </c>
      <c r="M7" s="22" t="s">
        <v>93</v>
      </c>
      <c r="N7" s="41" t="s">
        <v>93</v>
      </c>
      <c r="O7" s="42"/>
      <c r="P7" s="9">
        <v>0</v>
      </c>
      <c r="Q7" s="9">
        <v>0</v>
      </c>
      <c r="R7" s="22" t="s">
        <v>93</v>
      </c>
      <c r="S7" s="41" t="s">
        <v>93</v>
      </c>
      <c r="T7" s="42"/>
      <c r="U7" s="9">
        <v>0</v>
      </c>
      <c r="V7" s="9">
        <v>0</v>
      </c>
      <c r="W7" s="22" t="s">
        <v>93</v>
      </c>
      <c r="X7" s="41" t="s">
        <v>93</v>
      </c>
      <c r="Y7" s="42"/>
      <c r="Z7" s="9">
        <v>0</v>
      </c>
      <c r="AA7" s="9">
        <v>0</v>
      </c>
      <c r="AB7" s="37" t="s">
        <v>92</v>
      </c>
      <c r="AC7" s="39" t="s">
        <v>92</v>
      </c>
      <c r="AD7" s="40"/>
      <c r="AE7" s="9">
        <v>0</v>
      </c>
      <c r="AF7" s="9">
        <v>0</v>
      </c>
      <c r="AG7" s="7">
        <v>0.27083333333333331</v>
      </c>
      <c r="AH7" s="8" t="s">
        <v>124</v>
      </c>
      <c r="AI7" s="7" t="s">
        <v>116</v>
      </c>
      <c r="AJ7" s="17">
        <v>2</v>
      </c>
      <c r="AK7" s="9">
        <v>2</v>
      </c>
      <c r="AM7" s="9">
        <f t="shared" si="0"/>
        <v>2</v>
      </c>
      <c r="AN7" s="9">
        <f t="shared" si="1"/>
        <v>2</v>
      </c>
    </row>
    <row r="8" spans="1:40" ht="37.5">
      <c r="A8" s="1">
        <v>10</v>
      </c>
      <c r="B8" s="6" t="s">
        <v>12</v>
      </c>
      <c r="C8" s="7">
        <v>0.2638888888888889</v>
      </c>
      <c r="D8" s="8" t="s">
        <v>118</v>
      </c>
      <c r="E8" s="8" t="s">
        <v>144</v>
      </c>
      <c r="F8" s="9">
        <v>2</v>
      </c>
      <c r="G8" s="9">
        <v>2</v>
      </c>
      <c r="H8" s="7">
        <v>0.25</v>
      </c>
      <c r="I8" s="8" t="s">
        <v>117</v>
      </c>
      <c r="J8" s="8" t="s">
        <v>118</v>
      </c>
      <c r="K8" s="9">
        <v>2</v>
      </c>
      <c r="L8" s="9">
        <v>2</v>
      </c>
      <c r="M8" s="7">
        <v>0.2638888888888889</v>
      </c>
      <c r="N8" s="8" t="s">
        <v>203</v>
      </c>
      <c r="O8" s="8" t="s">
        <v>208</v>
      </c>
      <c r="P8" s="9">
        <v>3</v>
      </c>
      <c r="Q8" s="9">
        <v>3</v>
      </c>
      <c r="R8" s="7">
        <v>0.2638888888888889</v>
      </c>
      <c r="S8" s="8" t="s">
        <v>111</v>
      </c>
      <c r="T8" s="8" t="s">
        <v>261</v>
      </c>
      <c r="U8" s="9">
        <v>2</v>
      </c>
      <c r="V8" s="9">
        <v>3</v>
      </c>
      <c r="W8" s="10">
        <v>0.2638888888888889</v>
      </c>
      <c r="X8" s="8" t="s">
        <v>113</v>
      </c>
      <c r="Y8" s="8" t="s">
        <v>262</v>
      </c>
      <c r="Z8" s="9">
        <v>2</v>
      </c>
      <c r="AA8" s="9">
        <v>3</v>
      </c>
      <c r="AB8" s="37" t="s">
        <v>92</v>
      </c>
      <c r="AC8" s="39" t="s">
        <v>92</v>
      </c>
      <c r="AD8" s="40"/>
      <c r="AE8" s="9">
        <v>0</v>
      </c>
      <c r="AF8" s="9">
        <v>0</v>
      </c>
      <c r="AG8" s="38" t="s">
        <v>93</v>
      </c>
      <c r="AH8" s="41" t="s">
        <v>93</v>
      </c>
      <c r="AI8" s="42"/>
      <c r="AJ8" s="17">
        <v>0</v>
      </c>
      <c r="AK8" s="9">
        <v>0</v>
      </c>
      <c r="AM8" s="9">
        <f t="shared" si="0"/>
        <v>11</v>
      </c>
      <c r="AN8" s="9">
        <f t="shared" si="1"/>
        <v>13</v>
      </c>
    </row>
    <row r="9" spans="1:40">
      <c r="A9" s="1">
        <v>11</v>
      </c>
      <c r="B9" s="6" t="s">
        <v>13</v>
      </c>
      <c r="C9" s="7">
        <v>0.25</v>
      </c>
      <c r="D9" s="8" t="s">
        <v>129</v>
      </c>
      <c r="E9" s="8"/>
      <c r="F9" s="9">
        <v>1</v>
      </c>
      <c r="G9" s="9">
        <v>1</v>
      </c>
      <c r="H9" s="7">
        <v>0.25</v>
      </c>
      <c r="I9" s="8" t="s">
        <v>112</v>
      </c>
      <c r="J9" s="8" t="s">
        <v>126</v>
      </c>
      <c r="K9" s="9">
        <v>2</v>
      </c>
      <c r="L9" s="9">
        <v>3</v>
      </c>
      <c r="M9" s="7">
        <v>0.25</v>
      </c>
      <c r="N9" s="8" t="s">
        <v>115</v>
      </c>
      <c r="O9" s="8" t="s">
        <v>105</v>
      </c>
      <c r="P9" s="9">
        <v>2</v>
      </c>
      <c r="Q9" s="9">
        <v>3</v>
      </c>
      <c r="R9" s="7">
        <v>0.22916666666666666</v>
      </c>
      <c r="S9" s="8" t="s">
        <v>225</v>
      </c>
      <c r="T9" s="8" t="s">
        <v>207</v>
      </c>
      <c r="U9" s="9">
        <v>2</v>
      </c>
      <c r="V9" s="9">
        <v>3</v>
      </c>
      <c r="W9" s="10">
        <v>0.25</v>
      </c>
      <c r="X9" s="8" t="s">
        <v>241</v>
      </c>
      <c r="Y9" s="11" t="s">
        <v>149</v>
      </c>
      <c r="Z9" s="9">
        <v>2</v>
      </c>
      <c r="AA9" s="9">
        <v>4</v>
      </c>
      <c r="AB9" s="37" t="s">
        <v>92</v>
      </c>
      <c r="AC9" s="39" t="s">
        <v>92</v>
      </c>
      <c r="AD9" s="40"/>
      <c r="AE9" s="9">
        <v>0</v>
      </c>
      <c r="AF9" s="9">
        <v>0</v>
      </c>
      <c r="AG9" s="7">
        <v>0.25347222222222221</v>
      </c>
      <c r="AH9" s="8" t="s">
        <v>112</v>
      </c>
      <c r="AI9" s="7" t="s">
        <v>143</v>
      </c>
      <c r="AJ9" s="17">
        <v>2</v>
      </c>
      <c r="AK9" s="9">
        <v>4</v>
      </c>
      <c r="AM9" s="9">
        <f t="shared" si="0"/>
        <v>11</v>
      </c>
      <c r="AN9" s="9">
        <f t="shared" si="1"/>
        <v>18</v>
      </c>
    </row>
    <row r="10" spans="1:40">
      <c r="A10" s="1">
        <v>41</v>
      </c>
      <c r="B10" s="6" t="s">
        <v>94</v>
      </c>
      <c r="C10" s="7">
        <v>0.24305555555555555</v>
      </c>
      <c r="D10" s="8" t="s">
        <v>111</v>
      </c>
      <c r="E10" s="8" t="s">
        <v>135</v>
      </c>
      <c r="F10" s="9">
        <v>2</v>
      </c>
      <c r="G10" s="9">
        <v>3</v>
      </c>
      <c r="H10" s="7">
        <v>0.24305555555555555</v>
      </c>
      <c r="I10" s="8" t="s">
        <v>111</v>
      </c>
      <c r="J10" s="8" t="s">
        <v>123</v>
      </c>
      <c r="K10" s="9">
        <v>2</v>
      </c>
      <c r="L10" s="9">
        <v>3</v>
      </c>
      <c r="M10" s="7">
        <v>0.25</v>
      </c>
      <c r="N10" s="8" t="s">
        <v>113</v>
      </c>
      <c r="O10" s="8" t="s">
        <v>144</v>
      </c>
      <c r="P10" s="9">
        <v>2</v>
      </c>
      <c r="Q10" s="9">
        <v>2</v>
      </c>
      <c r="R10" s="7">
        <v>0.24652777777777779</v>
      </c>
      <c r="S10" s="8" t="s">
        <v>245</v>
      </c>
      <c r="T10" s="8" t="s">
        <v>118</v>
      </c>
      <c r="U10" s="9">
        <v>2</v>
      </c>
      <c r="V10" s="9">
        <v>2</v>
      </c>
      <c r="W10" s="10">
        <v>0.24305555555555555</v>
      </c>
      <c r="X10" s="8" t="s">
        <v>202</v>
      </c>
      <c r="Y10" s="8" t="s">
        <v>225</v>
      </c>
      <c r="Z10" s="9">
        <v>2</v>
      </c>
      <c r="AA10" s="9">
        <v>3</v>
      </c>
      <c r="AB10" s="37" t="s">
        <v>92</v>
      </c>
      <c r="AC10" s="39" t="s">
        <v>92</v>
      </c>
      <c r="AD10" s="40"/>
      <c r="AE10" s="9">
        <v>0</v>
      </c>
      <c r="AF10" s="9">
        <v>0</v>
      </c>
      <c r="AG10" s="7">
        <v>0.24305555555555555</v>
      </c>
      <c r="AH10" s="33" t="s">
        <v>105</v>
      </c>
      <c r="AI10" s="7" t="s">
        <v>141</v>
      </c>
      <c r="AJ10" s="17">
        <v>2</v>
      </c>
      <c r="AK10" s="9">
        <v>3</v>
      </c>
      <c r="AM10" s="9">
        <f t="shared" si="0"/>
        <v>12</v>
      </c>
      <c r="AN10" s="9">
        <f t="shared" si="1"/>
        <v>16</v>
      </c>
    </row>
    <row r="11" spans="1:40">
      <c r="B11" s="6" t="s">
        <v>73</v>
      </c>
      <c r="C11" s="7">
        <v>0.25</v>
      </c>
      <c r="D11" s="8" t="s">
        <v>109</v>
      </c>
      <c r="E11" s="8" t="s">
        <v>137</v>
      </c>
      <c r="F11" s="9">
        <v>2</v>
      </c>
      <c r="G11" s="9">
        <v>3</v>
      </c>
      <c r="H11" s="22" t="s">
        <v>93</v>
      </c>
      <c r="I11" s="41" t="s">
        <v>93</v>
      </c>
      <c r="J11" s="42"/>
      <c r="K11" s="9">
        <v>0</v>
      </c>
      <c r="L11" s="9">
        <v>0</v>
      </c>
      <c r="M11" s="7">
        <v>0.2326388888888889</v>
      </c>
      <c r="N11" s="8" t="s">
        <v>201</v>
      </c>
      <c r="O11" s="8" t="s">
        <v>204</v>
      </c>
      <c r="P11" s="9">
        <v>2</v>
      </c>
      <c r="Q11" s="9">
        <v>2</v>
      </c>
      <c r="R11" s="7">
        <v>0.25</v>
      </c>
      <c r="S11" s="8" t="s">
        <v>120</v>
      </c>
      <c r="T11" s="8" t="s">
        <v>245</v>
      </c>
      <c r="U11" s="9">
        <v>2</v>
      </c>
      <c r="V11" s="9">
        <v>2</v>
      </c>
      <c r="W11" s="10">
        <v>0.24652777777777779</v>
      </c>
      <c r="X11" s="8" t="s">
        <v>246</v>
      </c>
      <c r="Y11" s="11" t="s">
        <v>142</v>
      </c>
      <c r="Z11" s="9">
        <v>2</v>
      </c>
      <c r="AA11" s="9">
        <v>4</v>
      </c>
      <c r="AB11" s="37" t="s">
        <v>92</v>
      </c>
      <c r="AC11" s="39" t="s">
        <v>92</v>
      </c>
      <c r="AD11" s="40"/>
      <c r="AE11" s="9">
        <v>0</v>
      </c>
      <c r="AF11" s="9">
        <v>0</v>
      </c>
      <c r="AG11" s="38" t="s">
        <v>93</v>
      </c>
      <c r="AH11" s="41" t="s">
        <v>93</v>
      </c>
      <c r="AI11" s="42"/>
      <c r="AJ11" s="9">
        <v>0</v>
      </c>
      <c r="AK11" s="9">
        <v>0</v>
      </c>
      <c r="AM11" s="9">
        <f t="shared" si="0"/>
        <v>8</v>
      </c>
      <c r="AN11" s="9">
        <f t="shared" si="1"/>
        <v>11</v>
      </c>
    </row>
    <row r="12" spans="1:40" ht="18.75" customHeight="1">
      <c r="A12" s="1">
        <v>13</v>
      </c>
      <c r="B12" s="6" t="s">
        <v>14</v>
      </c>
      <c r="C12" s="7">
        <v>0.24305555555555555</v>
      </c>
      <c r="D12" s="8" t="s">
        <v>115</v>
      </c>
      <c r="E12" s="8"/>
      <c r="F12" s="9">
        <v>1</v>
      </c>
      <c r="G12" s="9">
        <v>2</v>
      </c>
      <c r="H12" s="7">
        <v>0.23958333333333334</v>
      </c>
      <c r="I12" s="8" t="s">
        <v>177</v>
      </c>
      <c r="J12" s="8" t="s">
        <v>143</v>
      </c>
      <c r="K12" s="9">
        <v>2</v>
      </c>
      <c r="L12" s="9">
        <v>4</v>
      </c>
      <c r="M12" s="7">
        <v>0.24305555555555555</v>
      </c>
      <c r="N12" s="8" t="s">
        <v>109</v>
      </c>
      <c r="O12" s="8" t="s">
        <v>120</v>
      </c>
      <c r="P12" s="9">
        <v>2</v>
      </c>
      <c r="Q12" s="9">
        <v>3</v>
      </c>
      <c r="R12" s="7">
        <v>0.24652777777777779</v>
      </c>
      <c r="S12" s="8" t="s">
        <v>224</v>
      </c>
      <c r="T12" s="8" t="s">
        <v>253</v>
      </c>
      <c r="U12" s="9">
        <v>2</v>
      </c>
      <c r="V12" s="9">
        <v>2</v>
      </c>
      <c r="W12" s="10">
        <v>0.24305555555555555</v>
      </c>
      <c r="X12" s="8" t="s">
        <v>111</v>
      </c>
      <c r="Y12" s="8" t="s">
        <v>296</v>
      </c>
      <c r="Z12" s="9">
        <v>2</v>
      </c>
      <c r="AA12" s="9">
        <v>2</v>
      </c>
      <c r="AB12" s="7">
        <v>0.24305555555555555</v>
      </c>
      <c r="AC12" s="33" t="s">
        <v>255</v>
      </c>
      <c r="AD12" s="8" t="s">
        <v>143</v>
      </c>
      <c r="AE12" s="9">
        <v>2</v>
      </c>
      <c r="AF12" s="9">
        <v>4</v>
      </c>
      <c r="AG12" s="37" t="s">
        <v>92</v>
      </c>
      <c r="AH12" s="39" t="s">
        <v>92</v>
      </c>
      <c r="AI12" s="40"/>
      <c r="AJ12" s="9">
        <v>0</v>
      </c>
      <c r="AK12" s="9">
        <v>0</v>
      </c>
      <c r="AM12" s="9">
        <f t="shared" si="0"/>
        <v>11</v>
      </c>
      <c r="AN12" s="9">
        <f t="shared" si="1"/>
        <v>17</v>
      </c>
    </row>
    <row r="13" spans="1:40">
      <c r="A13" s="1">
        <v>14</v>
      </c>
      <c r="B13" s="6" t="s">
        <v>15</v>
      </c>
      <c r="C13" s="7">
        <v>0.24305555555555555</v>
      </c>
      <c r="D13" s="8" t="s">
        <v>107</v>
      </c>
      <c r="E13" s="8" t="s">
        <v>133</v>
      </c>
      <c r="F13" s="9">
        <v>2</v>
      </c>
      <c r="G13" s="9">
        <v>3</v>
      </c>
      <c r="H13" s="7">
        <v>0.23958333333333334</v>
      </c>
      <c r="I13" s="8" t="s">
        <v>132</v>
      </c>
      <c r="J13" s="8" t="s">
        <v>112</v>
      </c>
      <c r="K13" s="9">
        <v>2</v>
      </c>
      <c r="L13" s="9">
        <v>3</v>
      </c>
      <c r="M13" s="7">
        <v>0.25</v>
      </c>
      <c r="N13" s="8" t="s">
        <v>202</v>
      </c>
      <c r="O13" s="8" t="s">
        <v>133</v>
      </c>
      <c r="P13" s="9">
        <v>2</v>
      </c>
      <c r="Q13" s="9">
        <v>3</v>
      </c>
      <c r="R13" s="7">
        <v>0.24305555555555555</v>
      </c>
      <c r="S13" s="8" t="s">
        <v>251</v>
      </c>
      <c r="T13" s="8" t="s">
        <v>107</v>
      </c>
      <c r="U13" s="9">
        <v>2</v>
      </c>
      <c r="V13" s="9">
        <v>2</v>
      </c>
      <c r="W13" s="10">
        <v>0.25</v>
      </c>
      <c r="X13" s="8" t="s">
        <v>249</v>
      </c>
      <c r="Y13" s="11" t="s">
        <v>118</v>
      </c>
      <c r="Z13" s="9">
        <v>2</v>
      </c>
      <c r="AA13" s="9">
        <v>2</v>
      </c>
      <c r="AB13" s="38" t="s">
        <v>93</v>
      </c>
      <c r="AC13" s="41" t="s">
        <v>93</v>
      </c>
      <c r="AD13" s="42"/>
      <c r="AE13" s="9">
        <v>0</v>
      </c>
      <c r="AF13" s="9">
        <v>0</v>
      </c>
      <c r="AG13" s="37" t="s">
        <v>92</v>
      </c>
      <c r="AH13" s="39" t="s">
        <v>92</v>
      </c>
      <c r="AI13" s="40"/>
      <c r="AJ13" s="9">
        <v>0</v>
      </c>
      <c r="AK13" s="9">
        <v>0</v>
      </c>
      <c r="AM13" s="9">
        <f t="shared" si="0"/>
        <v>10</v>
      </c>
      <c r="AN13" s="9">
        <f t="shared" si="1"/>
        <v>13</v>
      </c>
    </row>
    <row r="14" spans="1:40">
      <c r="A14" s="1">
        <v>17</v>
      </c>
      <c r="B14" s="6" t="s">
        <v>16</v>
      </c>
      <c r="C14" s="7">
        <v>0.23958333333333334</v>
      </c>
      <c r="D14" s="8" t="s">
        <v>110</v>
      </c>
      <c r="E14" s="8" t="s">
        <v>150</v>
      </c>
      <c r="F14" s="9">
        <v>2</v>
      </c>
      <c r="G14" s="9">
        <v>4</v>
      </c>
      <c r="H14" s="7">
        <v>0.23958333333333334</v>
      </c>
      <c r="I14" s="8" t="s">
        <v>108</v>
      </c>
      <c r="J14" s="8" t="s">
        <v>120</v>
      </c>
      <c r="K14" s="9">
        <v>2</v>
      </c>
      <c r="L14" s="9">
        <v>3</v>
      </c>
      <c r="M14" s="7">
        <v>0.23958333333333334</v>
      </c>
      <c r="N14" s="8" t="s">
        <v>241</v>
      </c>
      <c r="O14" s="8" t="s">
        <v>150</v>
      </c>
      <c r="P14" s="9">
        <v>2</v>
      </c>
      <c r="Q14" s="9">
        <v>4</v>
      </c>
      <c r="R14" s="7">
        <v>0.25</v>
      </c>
      <c r="S14" s="8" t="s">
        <v>248</v>
      </c>
      <c r="T14" s="8" t="s">
        <v>126</v>
      </c>
      <c r="U14" s="9">
        <v>2</v>
      </c>
      <c r="V14" s="9">
        <v>3</v>
      </c>
      <c r="W14" s="10">
        <v>0.25</v>
      </c>
      <c r="X14" s="8" t="s">
        <v>120</v>
      </c>
      <c r="Y14" s="11" t="s">
        <v>143</v>
      </c>
      <c r="Z14" s="9">
        <v>2</v>
      </c>
      <c r="AA14" s="9">
        <v>3</v>
      </c>
      <c r="AB14" s="7">
        <v>0.24305555555555555</v>
      </c>
      <c r="AC14" s="33" t="s">
        <v>325</v>
      </c>
      <c r="AD14" s="8" t="s">
        <v>151</v>
      </c>
      <c r="AE14" s="9">
        <v>2</v>
      </c>
      <c r="AF14" s="9">
        <v>3</v>
      </c>
      <c r="AG14" s="37" t="s">
        <v>92</v>
      </c>
      <c r="AH14" s="39" t="s">
        <v>92</v>
      </c>
      <c r="AI14" s="40"/>
      <c r="AJ14" s="9">
        <v>0</v>
      </c>
      <c r="AK14" s="9">
        <v>0</v>
      </c>
      <c r="AM14" s="9">
        <f t="shared" si="0"/>
        <v>12</v>
      </c>
      <c r="AN14" s="9">
        <f t="shared" si="1"/>
        <v>20</v>
      </c>
    </row>
    <row r="15" spans="1:40" ht="37.5">
      <c r="A15" s="1">
        <v>18</v>
      </c>
      <c r="B15" s="6" t="s">
        <v>17</v>
      </c>
      <c r="C15" s="7">
        <v>0.25</v>
      </c>
      <c r="D15" s="8" t="s">
        <v>120</v>
      </c>
      <c r="E15" s="8" t="s">
        <v>153</v>
      </c>
      <c r="F15" s="9">
        <v>2</v>
      </c>
      <c r="G15" s="9">
        <v>2</v>
      </c>
      <c r="H15" s="7">
        <v>0.25</v>
      </c>
      <c r="I15" s="8" t="s">
        <v>179</v>
      </c>
      <c r="J15" s="8"/>
      <c r="K15" s="9">
        <v>1</v>
      </c>
      <c r="L15" s="9">
        <v>1</v>
      </c>
      <c r="M15" s="7">
        <v>0.25</v>
      </c>
      <c r="N15" s="8" t="s">
        <v>108</v>
      </c>
      <c r="O15" s="8" t="s">
        <v>161</v>
      </c>
      <c r="P15" s="9">
        <v>2</v>
      </c>
      <c r="Q15" s="9">
        <v>3</v>
      </c>
      <c r="R15" s="7">
        <v>0.25347222222222221</v>
      </c>
      <c r="S15" s="8" t="s">
        <v>241</v>
      </c>
      <c r="T15" s="8" t="s">
        <v>120</v>
      </c>
      <c r="U15" s="9">
        <v>2</v>
      </c>
      <c r="V15" s="9">
        <v>3</v>
      </c>
      <c r="W15" s="10">
        <v>0.25</v>
      </c>
      <c r="X15" s="8" t="s">
        <v>225</v>
      </c>
      <c r="Y15" s="8" t="s">
        <v>304</v>
      </c>
      <c r="Z15" s="9">
        <v>3</v>
      </c>
      <c r="AA15" s="9">
        <v>4</v>
      </c>
      <c r="AB15" s="7">
        <v>0.25347222222222221</v>
      </c>
      <c r="AC15" s="33" t="s">
        <v>241</v>
      </c>
      <c r="AD15" s="8" t="s">
        <v>157</v>
      </c>
      <c r="AE15" s="9">
        <v>2</v>
      </c>
      <c r="AF15" s="9">
        <v>3</v>
      </c>
      <c r="AG15" s="37" t="s">
        <v>92</v>
      </c>
      <c r="AH15" s="39" t="s">
        <v>92</v>
      </c>
      <c r="AI15" s="40"/>
      <c r="AJ15" s="9">
        <v>0</v>
      </c>
      <c r="AK15" s="9">
        <v>0</v>
      </c>
      <c r="AM15" s="9">
        <f t="shared" si="0"/>
        <v>12</v>
      </c>
      <c r="AN15" s="9">
        <f t="shared" si="1"/>
        <v>16</v>
      </c>
    </row>
    <row r="16" spans="1:40">
      <c r="B16" s="6" t="s">
        <v>18</v>
      </c>
      <c r="C16" s="7">
        <v>0.25347222222222221</v>
      </c>
      <c r="D16" s="8" t="s">
        <v>124</v>
      </c>
      <c r="E16" s="8" t="s">
        <v>115</v>
      </c>
      <c r="F16" s="9">
        <v>2</v>
      </c>
      <c r="G16" s="9">
        <v>3</v>
      </c>
      <c r="H16" s="7">
        <v>0.25</v>
      </c>
      <c r="I16" s="8" t="s">
        <v>114</v>
      </c>
      <c r="J16" s="8" t="s">
        <v>136</v>
      </c>
      <c r="K16" s="9">
        <v>2</v>
      </c>
      <c r="L16" s="9">
        <v>3</v>
      </c>
      <c r="M16" s="7">
        <v>0.25347222222222221</v>
      </c>
      <c r="N16" s="8" t="s">
        <v>116</v>
      </c>
      <c r="O16" s="8" t="s">
        <v>140</v>
      </c>
      <c r="P16" s="9">
        <v>2</v>
      </c>
      <c r="Q16" s="9">
        <v>3</v>
      </c>
      <c r="R16" s="7">
        <v>0.25694444444444448</v>
      </c>
      <c r="S16" s="8" t="s">
        <v>250</v>
      </c>
      <c r="T16" s="8" t="s">
        <v>182</v>
      </c>
      <c r="U16" s="9">
        <v>2</v>
      </c>
      <c r="V16" s="9">
        <v>2</v>
      </c>
      <c r="W16" s="10">
        <v>0.25</v>
      </c>
      <c r="X16" s="8" t="s">
        <v>121</v>
      </c>
      <c r="Y16" s="8" t="s">
        <v>116</v>
      </c>
      <c r="Z16" s="9">
        <v>2</v>
      </c>
      <c r="AA16" s="9">
        <v>2</v>
      </c>
      <c r="AB16" s="7">
        <v>0.25</v>
      </c>
      <c r="AC16" s="33" t="s">
        <v>116</v>
      </c>
      <c r="AD16" s="33" t="s">
        <v>151</v>
      </c>
      <c r="AE16" s="9">
        <v>2</v>
      </c>
      <c r="AF16" s="9">
        <v>2</v>
      </c>
      <c r="AG16" s="37" t="s">
        <v>92</v>
      </c>
      <c r="AH16" s="39" t="s">
        <v>92</v>
      </c>
      <c r="AI16" s="40"/>
      <c r="AJ16" s="9">
        <v>0</v>
      </c>
      <c r="AK16" s="9">
        <v>0</v>
      </c>
      <c r="AM16" s="9">
        <f t="shared" si="0"/>
        <v>12</v>
      </c>
      <c r="AN16" s="9">
        <f t="shared" si="1"/>
        <v>15</v>
      </c>
    </row>
    <row r="17" spans="1:40" ht="37.5">
      <c r="A17" s="1">
        <v>19</v>
      </c>
      <c r="B17" s="6" t="s">
        <v>19</v>
      </c>
      <c r="C17" s="21" t="s">
        <v>92</v>
      </c>
      <c r="D17" s="39" t="s">
        <v>92</v>
      </c>
      <c r="E17" s="40"/>
      <c r="F17" s="9">
        <v>0</v>
      </c>
      <c r="G17" s="9">
        <v>0</v>
      </c>
      <c r="H17" s="7">
        <v>0.22222222222222221</v>
      </c>
      <c r="I17" s="8" t="s">
        <v>122</v>
      </c>
      <c r="J17" s="8" t="s">
        <v>115</v>
      </c>
      <c r="K17" s="9">
        <v>2</v>
      </c>
      <c r="L17" s="9">
        <v>3</v>
      </c>
      <c r="M17" s="7">
        <v>0.22222222222222221</v>
      </c>
      <c r="N17" s="8" t="s">
        <v>131</v>
      </c>
      <c r="O17" s="8" t="s">
        <v>210</v>
      </c>
      <c r="P17" s="9">
        <v>3</v>
      </c>
      <c r="Q17" s="9">
        <v>4</v>
      </c>
      <c r="R17" s="7">
        <v>0.23958333333333334</v>
      </c>
      <c r="S17" s="8" t="s">
        <v>114</v>
      </c>
      <c r="T17" s="8" t="s">
        <v>254</v>
      </c>
      <c r="U17" s="9">
        <v>3</v>
      </c>
      <c r="V17" s="9">
        <v>3</v>
      </c>
      <c r="W17" s="10">
        <v>0.23611111111111113</v>
      </c>
      <c r="X17" s="8" t="s">
        <v>253</v>
      </c>
      <c r="Y17" s="11" t="s">
        <v>113</v>
      </c>
      <c r="Z17" s="9">
        <v>2</v>
      </c>
      <c r="AA17" s="9">
        <v>2</v>
      </c>
      <c r="AB17" s="7">
        <v>0.25</v>
      </c>
      <c r="AC17" s="8" t="s">
        <v>103</v>
      </c>
      <c r="AD17" s="33" t="s">
        <v>116</v>
      </c>
      <c r="AE17" s="9">
        <v>2</v>
      </c>
      <c r="AF17" s="9">
        <v>2</v>
      </c>
      <c r="AG17" s="7">
        <v>0.23958333333333334</v>
      </c>
      <c r="AH17" s="8" t="s">
        <v>121</v>
      </c>
      <c r="AI17" s="35" t="s">
        <v>185</v>
      </c>
      <c r="AJ17" s="17">
        <v>3</v>
      </c>
      <c r="AK17" s="9">
        <v>4</v>
      </c>
      <c r="AM17" s="9">
        <f t="shared" si="0"/>
        <v>15</v>
      </c>
      <c r="AN17" s="9">
        <f t="shared" si="1"/>
        <v>18</v>
      </c>
    </row>
    <row r="18" spans="1:40">
      <c r="A18" s="1">
        <v>20</v>
      </c>
      <c r="B18" s="6" t="s">
        <v>20</v>
      </c>
      <c r="C18" s="21" t="s">
        <v>92</v>
      </c>
      <c r="D18" s="39" t="s">
        <v>92</v>
      </c>
      <c r="E18" s="40"/>
      <c r="F18" s="9">
        <v>0</v>
      </c>
      <c r="G18" s="9">
        <v>0</v>
      </c>
      <c r="H18" s="7">
        <v>0.2638888888888889</v>
      </c>
      <c r="I18" s="8" t="s">
        <v>178</v>
      </c>
      <c r="J18" s="8" t="s">
        <v>113</v>
      </c>
      <c r="K18" s="9">
        <v>2</v>
      </c>
      <c r="L18" s="9">
        <v>2</v>
      </c>
      <c r="M18" s="7">
        <v>0.25347222222222221</v>
      </c>
      <c r="N18" s="8" t="s">
        <v>124</v>
      </c>
      <c r="O18" s="8" t="s">
        <v>207</v>
      </c>
      <c r="P18" s="9">
        <v>2</v>
      </c>
      <c r="Q18" s="9">
        <v>2</v>
      </c>
      <c r="R18" s="7">
        <v>0.26041666666666669</v>
      </c>
      <c r="S18" s="8" t="s">
        <v>223</v>
      </c>
      <c r="T18" s="8" t="s">
        <v>226</v>
      </c>
      <c r="U18" s="9">
        <v>2</v>
      </c>
      <c r="V18" s="9">
        <v>3</v>
      </c>
      <c r="W18" s="10">
        <v>0.26041666666666669</v>
      </c>
      <c r="X18" s="8" t="s">
        <v>276</v>
      </c>
      <c r="Y18" s="8" t="s">
        <v>226</v>
      </c>
      <c r="Z18" s="9">
        <v>2</v>
      </c>
      <c r="AA18" s="9">
        <v>3</v>
      </c>
      <c r="AB18" s="7">
        <v>0.28472222222222221</v>
      </c>
      <c r="AC18" s="8" t="s">
        <v>318</v>
      </c>
      <c r="AD18" s="33" t="s">
        <v>325</v>
      </c>
      <c r="AE18" s="9">
        <v>2</v>
      </c>
      <c r="AF18" s="9">
        <v>3</v>
      </c>
      <c r="AG18" s="7">
        <v>0.24305555555555555</v>
      </c>
      <c r="AH18" s="8" t="s">
        <v>116</v>
      </c>
      <c r="AI18" s="7" t="s">
        <v>276</v>
      </c>
      <c r="AJ18" s="17">
        <v>2</v>
      </c>
      <c r="AK18" s="9">
        <v>2</v>
      </c>
      <c r="AM18" s="9">
        <f t="shared" si="0"/>
        <v>12</v>
      </c>
      <c r="AN18" s="9">
        <f t="shared" si="1"/>
        <v>15</v>
      </c>
    </row>
    <row r="19" spans="1:40" ht="26.25" customHeight="1">
      <c r="A19" s="1">
        <v>22</v>
      </c>
      <c r="B19" s="6" t="s">
        <v>21</v>
      </c>
      <c r="C19" s="21" t="s">
        <v>92</v>
      </c>
      <c r="D19" s="39" t="s">
        <v>92</v>
      </c>
      <c r="E19" s="40"/>
      <c r="F19" s="9">
        <v>0</v>
      </c>
      <c r="G19" s="9">
        <v>0</v>
      </c>
      <c r="H19" s="7">
        <v>0.2638888888888889</v>
      </c>
      <c r="I19" s="8" t="s">
        <v>119</v>
      </c>
      <c r="J19" s="8"/>
      <c r="K19" s="9">
        <v>1</v>
      </c>
      <c r="L19" s="9">
        <v>1</v>
      </c>
      <c r="M19" s="7">
        <v>0.26041666666666669</v>
      </c>
      <c r="N19" s="8" t="s">
        <v>119</v>
      </c>
      <c r="O19" s="8" t="s">
        <v>209</v>
      </c>
      <c r="P19" s="9">
        <v>2</v>
      </c>
      <c r="Q19" s="9">
        <v>2</v>
      </c>
      <c r="R19" s="7">
        <v>0.25347222222222221</v>
      </c>
      <c r="S19" s="8" t="s">
        <v>230</v>
      </c>
      <c r="T19" s="8" t="s">
        <v>277</v>
      </c>
      <c r="U19" s="9">
        <v>3</v>
      </c>
      <c r="V19" s="9">
        <v>3</v>
      </c>
      <c r="W19" s="10">
        <v>0.2673611111111111</v>
      </c>
      <c r="X19" s="8" t="s">
        <v>122</v>
      </c>
      <c r="Y19" s="11" t="s">
        <v>182</v>
      </c>
      <c r="Z19" s="9">
        <v>2</v>
      </c>
      <c r="AA19" s="9">
        <v>2</v>
      </c>
      <c r="AB19" s="7">
        <v>0.25347222222222221</v>
      </c>
      <c r="AC19" s="8" t="s">
        <v>122</v>
      </c>
      <c r="AD19" s="8" t="s">
        <v>156</v>
      </c>
      <c r="AE19" s="9">
        <v>2</v>
      </c>
      <c r="AF19" s="9">
        <v>2</v>
      </c>
      <c r="AG19" s="28" t="s">
        <v>96</v>
      </c>
      <c r="AH19" s="45" t="s">
        <v>274</v>
      </c>
      <c r="AI19" s="46"/>
      <c r="AJ19" s="17">
        <v>0</v>
      </c>
      <c r="AK19" s="9">
        <v>0</v>
      </c>
      <c r="AM19" s="9">
        <f t="shared" si="0"/>
        <v>10</v>
      </c>
      <c r="AN19" s="9">
        <f t="shared" si="1"/>
        <v>10</v>
      </c>
    </row>
    <row r="20" spans="1:40">
      <c r="A20" s="1">
        <v>23</v>
      </c>
      <c r="B20" s="6" t="s">
        <v>22</v>
      </c>
      <c r="C20" s="21" t="s">
        <v>92</v>
      </c>
      <c r="D20" s="39" t="s">
        <v>92</v>
      </c>
      <c r="E20" s="40"/>
      <c r="F20" s="9">
        <v>0</v>
      </c>
      <c r="G20" s="9">
        <v>0</v>
      </c>
      <c r="H20" s="7">
        <v>0.25</v>
      </c>
      <c r="I20" s="8" t="s">
        <v>109</v>
      </c>
      <c r="J20" s="8" t="s">
        <v>133</v>
      </c>
      <c r="K20" s="9">
        <v>2</v>
      </c>
      <c r="L20" s="9">
        <v>4</v>
      </c>
      <c r="M20" s="7">
        <v>0.26041666666666669</v>
      </c>
      <c r="N20" s="8" t="s">
        <v>112</v>
      </c>
      <c r="O20" s="8"/>
      <c r="P20" s="9">
        <v>1</v>
      </c>
      <c r="Q20" s="9">
        <v>2</v>
      </c>
      <c r="R20" s="7">
        <v>0.26041666666666669</v>
      </c>
      <c r="S20" s="8" t="s">
        <v>246</v>
      </c>
      <c r="T20" s="8" t="s">
        <v>225</v>
      </c>
      <c r="U20" s="9">
        <v>2</v>
      </c>
      <c r="V20" s="9">
        <v>4</v>
      </c>
      <c r="W20" s="10">
        <v>0.2638888888888889</v>
      </c>
      <c r="X20" s="8" t="s">
        <v>248</v>
      </c>
      <c r="Y20" s="11" t="s">
        <v>297</v>
      </c>
      <c r="Z20" s="9">
        <v>2</v>
      </c>
      <c r="AA20" s="9">
        <v>3</v>
      </c>
      <c r="AB20" s="7">
        <v>0.26041666666666669</v>
      </c>
      <c r="AC20" s="8" t="s">
        <v>119</v>
      </c>
      <c r="AD20" s="11" t="s">
        <v>297</v>
      </c>
      <c r="AE20" s="9">
        <v>2</v>
      </c>
      <c r="AF20" s="9">
        <v>2</v>
      </c>
      <c r="AG20" s="7">
        <v>0.2673611111111111</v>
      </c>
      <c r="AH20" s="8" t="s">
        <v>122</v>
      </c>
      <c r="AI20" s="7" t="s">
        <v>149</v>
      </c>
      <c r="AJ20" s="17">
        <v>2</v>
      </c>
      <c r="AK20" s="9">
        <v>3</v>
      </c>
      <c r="AM20" s="9">
        <f t="shared" si="0"/>
        <v>11</v>
      </c>
      <c r="AN20" s="9">
        <f t="shared" si="1"/>
        <v>18</v>
      </c>
    </row>
    <row r="21" spans="1:40" ht="37.5">
      <c r="B21" s="6" t="s">
        <v>23</v>
      </c>
      <c r="C21" s="21" t="s">
        <v>92</v>
      </c>
      <c r="D21" s="39" t="s">
        <v>92</v>
      </c>
      <c r="E21" s="40"/>
      <c r="F21" s="9">
        <v>0</v>
      </c>
      <c r="G21" s="9">
        <v>0</v>
      </c>
      <c r="H21" s="7">
        <v>0.25</v>
      </c>
      <c r="I21" s="8" t="s">
        <v>116</v>
      </c>
      <c r="J21" s="8" t="s">
        <v>126</v>
      </c>
      <c r="K21" s="9">
        <v>2</v>
      </c>
      <c r="L21" s="9">
        <v>2</v>
      </c>
      <c r="M21" s="7">
        <v>0.2638888888888889</v>
      </c>
      <c r="N21" s="8" t="s">
        <v>114</v>
      </c>
      <c r="O21" s="8" t="s">
        <v>115</v>
      </c>
      <c r="P21" s="9">
        <v>2</v>
      </c>
      <c r="Q21" s="9">
        <v>3</v>
      </c>
      <c r="R21" s="7">
        <v>0.26041666666666669</v>
      </c>
      <c r="S21" s="8" t="s">
        <v>116</v>
      </c>
      <c r="T21" s="8" t="s">
        <v>161</v>
      </c>
      <c r="U21" s="9">
        <v>2</v>
      </c>
      <c r="V21" s="9">
        <v>2</v>
      </c>
      <c r="W21" s="10">
        <v>0.26041666666666669</v>
      </c>
      <c r="X21" s="8" t="s">
        <v>250</v>
      </c>
      <c r="Y21" s="11"/>
      <c r="Z21" s="9">
        <v>1</v>
      </c>
      <c r="AA21" s="9">
        <v>1</v>
      </c>
      <c r="AB21" s="7">
        <v>0.2673611111111111</v>
      </c>
      <c r="AC21" s="8" t="s">
        <v>121</v>
      </c>
      <c r="AD21" s="33" t="s">
        <v>335</v>
      </c>
      <c r="AE21" s="9">
        <v>3</v>
      </c>
      <c r="AF21" s="9">
        <v>4</v>
      </c>
      <c r="AG21" s="7">
        <v>0.27083333333333331</v>
      </c>
      <c r="AH21" s="8" t="s">
        <v>276</v>
      </c>
      <c r="AI21" s="7" t="s">
        <v>113</v>
      </c>
      <c r="AJ21" s="17">
        <v>2</v>
      </c>
      <c r="AK21" s="9">
        <v>2</v>
      </c>
      <c r="AM21" s="9">
        <f t="shared" si="0"/>
        <v>12</v>
      </c>
      <c r="AN21" s="9">
        <f t="shared" si="1"/>
        <v>14</v>
      </c>
    </row>
    <row r="22" spans="1:40" ht="37.5">
      <c r="A22" s="1">
        <v>24</v>
      </c>
      <c r="B22" s="6" t="s">
        <v>59</v>
      </c>
      <c r="C22" s="21" t="s">
        <v>92</v>
      </c>
      <c r="D22" s="39" t="s">
        <v>92</v>
      </c>
      <c r="E22" s="40"/>
      <c r="F22" s="9">
        <v>0</v>
      </c>
      <c r="G22" s="9">
        <v>0</v>
      </c>
      <c r="H22" s="7">
        <v>0.25</v>
      </c>
      <c r="I22" s="8" t="s">
        <v>180</v>
      </c>
      <c r="J22" s="8"/>
      <c r="K22" s="9">
        <v>1</v>
      </c>
      <c r="L22" s="9">
        <v>1</v>
      </c>
      <c r="M22" s="7">
        <v>0.25694444444444442</v>
      </c>
      <c r="N22" s="8" t="s">
        <v>178</v>
      </c>
      <c r="O22" s="8" t="s">
        <v>229</v>
      </c>
      <c r="P22" s="9">
        <v>2</v>
      </c>
      <c r="Q22" s="9">
        <v>3</v>
      </c>
      <c r="R22" s="7">
        <v>0.26041666666666669</v>
      </c>
      <c r="S22" s="8" t="s">
        <v>249</v>
      </c>
      <c r="T22" s="8" t="s">
        <v>247</v>
      </c>
      <c r="U22" s="9">
        <v>2</v>
      </c>
      <c r="V22" s="9">
        <v>3</v>
      </c>
      <c r="W22" s="10">
        <v>0.25</v>
      </c>
      <c r="X22" s="8" t="s">
        <v>252</v>
      </c>
      <c r="Y22" s="11" t="s">
        <v>295</v>
      </c>
      <c r="Z22" s="9">
        <v>2</v>
      </c>
      <c r="AA22" s="9">
        <v>2</v>
      </c>
      <c r="AB22" s="7">
        <v>0.25694444444444442</v>
      </c>
      <c r="AC22" s="33" t="s">
        <v>246</v>
      </c>
      <c r="AD22" s="8" t="s">
        <v>126</v>
      </c>
      <c r="AE22" s="9">
        <v>2</v>
      </c>
      <c r="AF22" s="9">
        <v>3</v>
      </c>
      <c r="AG22" s="7">
        <v>0.25347222222222221</v>
      </c>
      <c r="AH22" s="8" t="s">
        <v>275</v>
      </c>
      <c r="AI22" s="35" t="s">
        <v>349</v>
      </c>
      <c r="AJ22" s="17">
        <v>3</v>
      </c>
      <c r="AK22" s="9">
        <v>4</v>
      </c>
      <c r="AM22" s="9">
        <f t="shared" si="0"/>
        <v>12</v>
      </c>
      <c r="AN22" s="9">
        <f t="shared" si="1"/>
        <v>16</v>
      </c>
    </row>
    <row r="23" spans="1:40">
      <c r="A23" s="1">
        <v>25</v>
      </c>
      <c r="B23" s="6" t="s">
        <v>24</v>
      </c>
      <c r="C23" s="7">
        <v>0.23958333333333334</v>
      </c>
      <c r="D23" s="8" t="s">
        <v>114</v>
      </c>
      <c r="E23" s="8" t="s">
        <v>134</v>
      </c>
      <c r="F23" s="9">
        <v>2</v>
      </c>
      <c r="G23" s="9">
        <v>3</v>
      </c>
      <c r="H23" s="21" t="s">
        <v>92</v>
      </c>
      <c r="I23" s="39" t="s">
        <v>92</v>
      </c>
      <c r="J23" s="40"/>
      <c r="K23" s="9">
        <v>0</v>
      </c>
      <c r="L23" s="9">
        <v>0</v>
      </c>
      <c r="M23" s="7">
        <v>0.24305555555555555</v>
      </c>
      <c r="N23" s="8" t="s">
        <v>230</v>
      </c>
      <c r="O23" s="8" t="s">
        <v>116</v>
      </c>
      <c r="P23" s="9">
        <v>2</v>
      </c>
      <c r="Q23" s="9">
        <v>2</v>
      </c>
      <c r="R23" s="7">
        <v>0.24652777777777779</v>
      </c>
      <c r="S23" s="8" t="s">
        <v>252</v>
      </c>
      <c r="T23" s="8" t="s">
        <v>113</v>
      </c>
      <c r="U23" s="9">
        <v>2</v>
      </c>
      <c r="V23" s="9">
        <v>2</v>
      </c>
      <c r="W23" s="10">
        <v>0.25</v>
      </c>
      <c r="X23" s="8" t="s">
        <v>116</v>
      </c>
      <c r="Y23" s="11"/>
      <c r="Z23" s="9">
        <v>1</v>
      </c>
      <c r="AA23" s="9">
        <v>1</v>
      </c>
      <c r="AB23" s="7">
        <v>0.2361111111111111</v>
      </c>
      <c r="AC23" s="8" t="s">
        <v>114</v>
      </c>
      <c r="AD23" s="8" t="s">
        <v>206</v>
      </c>
      <c r="AE23" s="9">
        <v>2</v>
      </c>
      <c r="AF23" s="9">
        <v>2</v>
      </c>
      <c r="AG23" s="7">
        <v>0.23958333333333334</v>
      </c>
      <c r="AH23" s="8" t="s">
        <v>122</v>
      </c>
      <c r="AI23" s="7" t="s">
        <v>346</v>
      </c>
      <c r="AJ23" s="9">
        <v>2</v>
      </c>
      <c r="AK23" s="9">
        <v>2</v>
      </c>
      <c r="AM23" s="9">
        <f t="shared" si="0"/>
        <v>11</v>
      </c>
      <c r="AN23" s="9">
        <f t="shared" si="1"/>
        <v>12</v>
      </c>
    </row>
    <row r="24" spans="1:40">
      <c r="A24" s="1">
        <v>26</v>
      </c>
      <c r="B24" s="6" t="s">
        <v>25</v>
      </c>
      <c r="C24" s="7">
        <v>0.2638888888888889</v>
      </c>
      <c r="D24" s="8" t="s">
        <v>119</v>
      </c>
      <c r="E24" s="8" t="s">
        <v>139</v>
      </c>
      <c r="F24" s="9">
        <v>2</v>
      </c>
      <c r="G24" s="9">
        <v>2</v>
      </c>
      <c r="H24" s="21" t="s">
        <v>92</v>
      </c>
      <c r="I24" s="39" t="s">
        <v>92</v>
      </c>
      <c r="J24" s="40"/>
      <c r="K24" s="9">
        <v>0</v>
      </c>
      <c r="L24" s="9">
        <v>0</v>
      </c>
      <c r="M24" s="22" t="s">
        <v>93</v>
      </c>
      <c r="N24" s="41" t="s">
        <v>93</v>
      </c>
      <c r="O24" s="42"/>
      <c r="P24" s="9">
        <v>0</v>
      </c>
      <c r="Q24" s="9">
        <v>0</v>
      </c>
      <c r="R24" s="22" t="s">
        <v>93</v>
      </c>
      <c r="S24" s="41" t="s">
        <v>93</v>
      </c>
      <c r="T24" s="42"/>
      <c r="U24" s="9">
        <v>0</v>
      </c>
      <c r="V24" s="9">
        <v>0</v>
      </c>
      <c r="W24" s="22" t="s">
        <v>93</v>
      </c>
      <c r="X24" s="41" t="s">
        <v>93</v>
      </c>
      <c r="Y24" s="42"/>
      <c r="Z24" s="9">
        <v>0</v>
      </c>
      <c r="AA24" s="9">
        <v>0</v>
      </c>
      <c r="AB24" s="38" t="s">
        <v>93</v>
      </c>
      <c r="AC24" s="41" t="s">
        <v>93</v>
      </c>
      <c r="AD24" s="42"/>
      <c r="AE24" s="9">
        <v>0</v>
      </c>
      <c r="AF24" s="9">
        <v>0</v>
      </c>
      <c r="AG24" s="38" t="s">
        <v>93</v>
      </c>
      <c r="AH24" s="41" t="s">
        <v>93</v>
      </c>
      <c r="AI24" s="42"/>
      <c r="AJ24" s="17">
        <v>0</v>
      </c>
      <c r="AK24" s="9">
        <v>0</v>
      </c>
      <c r="AM24" s="9">
        <f t="shared" si="0"/>
        <v>2</v>
      </c>
      <c r="AN24" s="9">
        <f t="shared" si="1"/>
        <v>2</v>
      </c>
    </row>
    <row r="25" spans="1:40">
      <c r="A25" s="1">
        <v>27</v>
      </c>
      <c r="B25" s="6" t="s">
        <v>26</v>
      </c>
      <c r="C25" s="7">
        <v>0.25347222222222221</v>
      </c>
      <c r="D25" s="8" t="s">
        <v>132</v>
      </c>
      <c r="E25" s="8" t="s">
        <v>143</v>
      </c>
      <c r="F25" s="9">
        <v>2</v>
      </c>
      <c r="G25" s="9">
        <v>3</v>
      </c>
      <c r="H25" s="21" t="s">
        <v>92</v>
      </c>
      <c r="I25" s="39" t="s">
        <v>92</v>
      </c>
      <c r="J25" s="40"/>
      <c r="K25" s="9">
        <v>0</v>
      </c>
      <c r="L25" s="9">
        <v>0</v>
      </c>
      <c r="M25" s="22" t="s">
        <v>93</v>
      </c>
      <c r="N25" s="41" t="s">
        <v>93</v>
      </c>
      <c r="O25" s="42"/>
      <c r="P25" s="9">
        <v>0</v>
      </c>
      <c r="Q25" s="9">
        <v>0</v>
      </c>
      <c r="R25" s="22" t="s">
        <v>93</v>
      </c>
      <c r="S25" s="41" t="s">
        <v>93</v>
      </c>
      <c r="T25" s="42"/>
      <c r="U25" s="9">
        <v>0</v>
      </c>
      <c r="V25" s="9">
        <v>0</v>
      </c>
      <c r="W25" s="22" t="s">
        <v>93</v>
      </c>
      <c r="X25" s="41" t="s">
        <v>93</v>
      </c>
      <c r="Y25" s="42"/>
      <c r="Z25" s="9">
        <v>0</v>
      </c>
      <c r="AA25" s="9">
        <v>0</v>
      </c>
      <c r="AB25" s="38" t="s">
        <v>93</v>
      </c>
      <c r="AC25" s="41" t="s">
        <v>93</v>
      </c>
      <c r="AD25" s="42"/>
      <c r="AE25" s="9">
        <v>0</v>
      </c>
      <c r="AF25" s="9">
        <v>0</v>
      </c>
      <c r="AG25" s="38" t="s">
        <v>93</v>
      </c>
      <c r="AH25" s="41" t="s">
        <v>93</v>
      </c>
      <c r="AI25" s="42"/>
      <c r="AJ25" s="17">
        <v>0</v>
      </c>
      <c r="AK25" s="9">
        <v>0</v>
      </c>
      <c r="AM25" s="9">
        <f t="shared" si="0"/>
        <v>2</v>
      </c>
      <c r="AN25" s="9">
        <f t="shared" si="1"/>
        <v>3</v>
      </c>
    </row>
    <row r="26" spans="1:40">
      <c r="A26" s="1">
        <v>33</v>
      </c>
      <c r="B26" s="6" t="s">
        <v>28</v>
      </c>
      <c r="C26" s="7">
        <v>0.26041666666666669</v>
      </c>
      <c r="D26" s="8" t="s">
        <v>121</v>
      </c>
      <c r="E26" s="8" t="s">
        <v>140</v>
      </c>
      <c r="F26" s="9">
        <v>2</v>
      </c>
      <c r="G26" s="9">
        <v>3</v>
      </c>
      <c r="H26" s="21" t="s">
        <v>92</v>
      </c>
      <c r="I26" s="39" t="s">
        <v>92</v>
      </c>
      <c r="J26" s="40"/>
      <c r="K26" s="9">
        <v>0</v>
      </c>
      <c r="L26" s="9">
        <v>0</v>
      </c>
      <c r="M26" s="7">
        <v>0.2638888888888889</v>
      </c>
      <c r="N26" s="8" t="s">
        <v>122</v>
      </c>
      <c r="O26" s="8" t="s">
        <v>222</v>
      </c>
      <c r="P26" s="9">
        <v>2</v>
      </c>
      <c r="Q26" s="9">
        <v>3</v>
      </c>
      <c r="R26" s="7">
        <v>0.27777777777777779</v>
      </c>
      <c r="S26" s="8" t="s">
        <v>122</v>
      </c>
      <c r="T26" s="8" t="s">
        <v>121</v>
      </c>
      <c r="U26" s="9">
        <v>2</v>
      </c>
      <c r="V26" s="9">
        <v>2</v>
      </c>
      <c r="W26" s="10">
        <v>0.2673611111111111</v>
      </c>
      <c r="X26" s="8" t="s">
        <v>203</v>
      </c>
      <c r="Y26" s="8" t="s">
        <v>228</v>
      </c>
      <c r="Z26" s="9">
        <v>2</v>
      </c>
      <c r="AA26" s="9">
        <v>3</v>
      </c>
      <c r="AB26" s="7">
        <v>0.26041666666666669</v>
      </c>
      <c r="AC26" s="8" t="s">
        <v>203</v>
      </c>
      <c r="AD26" s="8" t="s">
        <v>161</v>
      </c>
      <c r="AE26" s="9">
        <v>2</v>
      </c>
      <c r="AF26" s="9">
        <v>2</v>
      </c>
      <c r="AG26" s="7">
        <v>0.2638888888888889</v>
      </c>
      <c r="AH26" s="8" t="s">
        <v>178</v>
      </c>
      <c r="AI26" s="7" t="s">
        <v>115</v>
      </c>
      <c r="AJ26" s="9">
        <v>2</v>
      </c>
      <c r="AK26" s="9">
        <v>3</v>
      </c>
      <c r="AM26" s="9">
        <f t="shared" si="0"/>
        <v>12</v>
      </c>
      <c r="AN26" s="9">
        <f t="shared" si="1"/>
        <v>16</v>
      </c>
    </row>
    <row r="27" spans="1:40" ht="21.75" customHeight="1">
      <c r="A27" s="1">
        <v>35</v>
      </c>
      <c r="B27" s="6" t="s">
        <v>29</v>
      </c>
      <c r="C27" s="7">
        <v>0.25694444444444442</v>
      </c>
      <c r="D27" s="8" t="s">
        <v>124</v>
      </c>
      <c r="E27" s="8" t="s">
        <v>141</v>
      </c>
      <c r="F27" s="9">
        <v>2</v>
      </c>
      <c r="G27" s="9">
        <v>3</v>
      </c>
      <c r="H27" s="21" t="s">
        <v>92</v>
      </c>
      <c r="I27" s="39" t="s">
        <v>92</v>
      </c>
      <c r="J27" s="40"/>
      <c r="K27" s="9">
        <v>0</v>
      </c>
      <c r="L27" s="9">
        <v>0</v>
      </c>
      <c r="M27" s="7">
        <v>0.25694444444444442</v>
      </c>
      <c r="N27" s="8" t="s">
        <v>132</v>
      </c>
      <c r="O27" s="8" t="s">
        <v>109</v>
      </c>
      <c r="P27" s="9">
        <v>2</v>
      </c>
      <c r="Q27" s="9">
        <v>3</v>
      </c>
      <c r="R27" s="27" t="s">
        <v>239</v>
      </c>
      <c r="S27" s="41" t="s">
        <v>240</v>
      </c>
      <c r="T27" s="42"/>
      <c r="U27" s="9">
        <v>0</v>
      </c>
      <c r="V27" s="9">
        <v>0</v>
      </c>
      <c r="W27" s="22" t="s">
        <v>93</v>
      </c>
      <c r="X27" s="41" t="s">
        <v>93</v>
      </c>
      <c r="Y27" s="42"/>
      <c r="Z27" s="9">
        <v>0</v>
      </c>
      <c r="AA27" s="9">
        <v>0</v>
      </c>
      <c r="AB27" s="7">
        <v>0.25347222222222221</v>
      </c>
      <c r="AC27" s="8" t="s">
        <v>132</v>
      </c>
      <c r="AD27" s="33" t="s">
        <v>255</v>
      </c>
      <c r="AE27" s="9">
        <v>2</v>
      </c>
      <c r="AF27" s="9">
        <v>3</v>
      </c>
      <c r="AG27" s="7">
        <v>0.25694444444444442</v>
      </c>
      <c r="AH27" s="8" t="s">
        <v>202</v>
      </c>
      <c r="AI27" s="7" t="s">
        <v>133</v>
      </c>
      <c r="AJ27" s="9">
        <v>2</v>
      </c>
      <c r="AK27" s="9">
        <v>3</v>
      </c>
      <c r="AM27" s="9">
        <f t="shared" si="0"/>
        <v>8</v>
      </c>
      <c r="AN27" s="9">
        <f t="shared" si="1"/>
        <v>12</v>
      </c>
    </row>
    <row r="28" spans="1:40">
      <c r="B28" s="6" t="s">
        <v>30</v>
      </c>
      <c r="C28" s="7">
        <v>0.22916666666666666</v>
      </c>
      <c r="D28" s="8" t="s">
        <v>113</v>
      </c>
      <c r="E28" s="8" t="s">
        <v>105</v>
      </c>
      <c r="F28" s="9">
        <v>2</v>
      </c>
      <c r="G28" s="9">
        <v>2</v>
      </c>
      <c r="H28" s="7">
        <v>0.22569444444444445</v>
      </c>
      <c r="I28" s="8" t="s">
        <v>105</v>
      </c>
      <c r="J28" s="8" t="s">
        <v>109</v>
      </c>
      <c r="K28" s="9">
        <v>2</v>
      </c>
      <c r="L28" s="9">
        <v>3</v>
      </c>
      <c r="M28" s="21" t="s">
        <v>92</v>
      </c>
      <c r="N28" s="39" t="s">
        <v>92</v>
      </c>
      <c r="O28" s="40"/>
      <c r="P28" s="9">
        <v>0</v>
      </c>
      <c r="Q28" s="9">
        <v>0</v>
      </c>
      <c r="R28" s="7">
        <v>0.26041666666666669</v>
      </c>
      <c r="S28" s="8" t="s">
        <v>203</v>
      </c>
      <c r="T28" s="8" t="s">
        <v>262</v>
      </c>
      <c r="U28" s="9">
        <v>2</v>
      </c>
      <c r="V28" s="9">
        <v>3</v>
      </c>
      <c r="W28" s="10">
        <v>0.24305555555555555</v>
      </c>
      <c r="X28" s="8" t="s">
        <v>132</v>
      </c>
      <c r="Y28" s="8" t="s">
        <v>132</v>
      </c>
      <c r="Z28" s="9">
        <v>2</v>
      </c>
      <c r="AA28" s="9">
        <v>2</v>
      </c>
      <c r="AB28" s="7">
        <v>0.24305555555555555</v>
      </c>
      <c r="AC28" s="8" t="s">
        <v>275</v>
      </c>
      <c r="AD28" s="33" t="s">
        <v>218</v>
      </c>
      <c r="AE28" s="9">
        <v>2</v>
      </c>
      <c r="AF28" s="9">
        <v>3</v>
      </c>
      <c r="AG28" s="7">
        <v>0.23958333333333334</v>
      </c>
      <c r="AH28" s="8" t="s">
        <v>203</v>
      </c>
      <c r="AI28" s="33" t="s">
        <v>112</v>
      </c>
      <c r="AJ28" s="17">
        <v>2</v>
      </c>
      <c r="AK28" s="9">
        <v>3</v>
      </c>
      <c r="AM28" s="9">
        <f t="shared" si="0"/>
        <v>12</v>
      </c>
      <c r="AN28" s="9">
        <f t="shared" si="1"/>
        <v>16</v>
      </c>
    </row>
    <row r="29" spans="1:40" ht="37.5">
      <c r="B29" s="6" t="s">
        <v>31</v>
      </c>
      <c r="C29" s="7">
        <v>0.25347222222222221</v>
      </c>
      <c r="D29" s="8" t="s">
        <v>116</v>
      </c>
      <c r="E29" s="8" t="s">
        <v>144</v>
      </c>
      <c r="F29" s="9">
        <v>2</v>
      </c>
      <c r="G29" s="9">
        <v>2</v>
      </c>
      <c r="H29" s="7">
        <v>0.25</v>
      </c>
      <c r="I29" s="8" t="s">
        <v>176</v>
      </c>
      <c r="J29" s="8"/>
      <c r="K29" s="9">
        <v>1</v>
      </c>
      <c r="L29" s="9">
        <v>1</v>
      </c>
      <c r="M29" s="21" t="s">
        <v>92</v>
      </c>
      <c r="N29" s="39" t="s">
        <v>92</v>
      </c>
      <c r="O29" s="40"/>
      <c r="P29" s="9">
        <v>0</v>
      </c>
      <c r="Q29" s="9">
        <v>0</v>
      </c>
      <c r="R29" s="7">
        <v>0.27083333333333331</v>
      </c>
      <c r="S29" s="8" t="s">
        <v>125</v>
      </c>
      <c r="T29" s="8" t="s">
        <v>265</v>
      </c>
      <c r="U29" s="9">
        <v>3</v>
      </c>
      <c r="V29" s="9">
        <v>3</v>
      </c>
      <c r="W29" s="22" t="s">
        <v>93</v>
      </c>
      <c r="X29" s="41" t="s">
        <v>239</v>
      </c>
      <c r="Y29" s="42"/>
      <c r="Z29" s="9">
        <v>0</v>
      </c>
      <c r="AA29" s="9">
        <v>0</v>
      </c>
      <c r="AB29" s="28" t="s">
        <v>96</v>
      </c>
      <c r="AC29" s="45" t="s">
        <v>274</v>
      </c>
      <c r="AD29" s="46"/>
      <c r="AE29" s="9">
        <v>0</v>
      </c>
      <c r="AF29" s="9">
        <v>0</v>
      </c>
      <c r="AG29" s="7">
        <v>0.25</v>
      </c>
      <c r="AH29" s="8" t="s">
        <v>107</v>
      </c>
      <c r="AI29" s="7" t="s">
        <v>135</v>
      </c>
      <c r="AJ29" s="9">
        <v>2</v>
      </c>
      <c r="AK29" s="9">
        <v>3</v>
      </c>
      <c r="AM29" s="9">
        <f t="shared" si="0"/>
        <v>8</v>
      </c>
      <c r="AN29" s="9">
        <f t="shared" si="1"/>
        <v>9</v>
      </c>
    </row>
    <row r="30" spans="1:40" ht="37.5">
      <c r="B30" s="6" t="s">
        <v>32</v>
      </c>
      <c r="C30" s="7">
        <v>0.25347222222222221</v>
      </c>
      <c r="D30" s="8" t="s">
        <v>117</v>
      </c>
      <c r="E30" s="8" t="s">
        <v>123</v>
      </c>
      <c r="F30" s="9">
        <v>2</v>
      </c>
      <c r="G30" s="9">
        <v>4</v>
      </c>
      <c r="H30" s="22" t="s">
        <v>93</v>
      </c>
      <c r="I30" s="41" t="s">
        <v>93</v>
      </c>
      <c r="J30" s="42"/>
      <c r="K30" s="9">
        <v>0</v>
      </c>
      <c r="L30" s="9">
        <v>0</v>
      </c>
      <c r="M30" s="21" t="s">
        <v>92</v>
      </c>
      <c r="N30" s="39" t="s">
        <v>92</v>
      </c>
      <c r="O30" s="40"/>
      <c r="P30" s="9">
        <v>0</v>
      </c>
      <c r="Q30" s="9">
        <v>0</v>
      </c>
      <c r="R30" s="7">
        <v>0.25694444444444448</v>
      </c>
      <c r="S30" s="8" t="s">
        <v>202</v>
      </c>
      <c r="T30" s="8" t="s">
        <v>255</v>
      </c>
      <c r="U30" s="9">
        <v>2</v>
      </c>
      <c r="V30" s="9">
        <v>3</v>
      </c>
      <c r="W30" s="10">
        <v>0.25</v>
      </c>
      <c r="X30" s="8" t="s">
        <v>255</v>
      </c>
      <c r="Y30" s="11" t="s">
        <v>111</v>
      </c>
      <c r="Z30" s="9">
        <v>2</v>
      </c>
      <c r="AA30" s="9">
        <v>3</v>
      </c>
      <c r="AB30" s="7">
        <v>0.26041666666666669</v>
      </c>
      <c r="AC30" s="8" t="s">
        <v>202</v>
      </c>
      <c r="AD30" s="33" t="s">
        <v>328</v>
      </c>
      <c r="AE30" s="9">
        <v>3</v>
      </c>
      <c r="AF30" s="9">
        <v>4</v>
      </c>
      <c r="AG30" s="7">
        <v>0.25694444444444442</v>
      </c>
      <c r="AH30" s="8" t="s">
        <v>115</v>
      </c>
      <c r="AI30" s="7" t="s">
        <v>151</v>
      </c>
      <c r="AJ30" s="9">
        <v>2</v>
      </c>
      <c r="AK30" s="9">
        <v>3</v>
      </c>
      <c r="AM30" s="9">
        <f t="shared" si="0"/>
        <v>11</v>
      </c>
      <c r="AN30" s="9">
        <f t="shared" si="1"/>
        <v>17</v>
      </c>
    </row>
    <row r="31" spans="1:40">
      <c r="B31" s="6" t="s">
        <v>55</v>
      </c>
      <c r="C31" s="7">
        <v>0.26041666666666669</v>
      </c>
      <c r="D31" s="8" t="s">
        <v>128</v>
      </c>
      <c r="E31" s="8" t="s">
        <v>113</v>
      </c>
      <c r="F31" s="9">
        <v>2</v>
      </c>
      <c r="G31" s="9">
        <v>2</v>
      </c>
      <c r="H31" s="7">
        <v>0.26041666666666669</v>
      </c>
      <c r="I31" s="8" t="s">
        <v>103</v>
      </c>
      <c r="J31" s="8" t="s">
        <v>110</v>
      </c>
      <c r="K31" s="9">
        <v>2</v>
      </c>
      <c r="L31" s="9">
        <v>3</v>
      </c>
      <c r="M31" s="21" t="s">
        <v>92</v>
      </c>
      <c r="N31" s="39" t="s">
        <v>92</v>
      </c>
      <c r="O31" s="40"/>
      <c r="P31" s="9">
        <v>0</v>
      </c>
      <c r="Q31" s="9">
        <v>0</v>
      </c>
      <c r="R31" s="7">
        <v>0.28472222222222221</v>
      </c>
      <c r="S31" s="8" t="s">
        <v>119</v>
      </c>
      <c r="T31" s="8" t="s">
        <v>263</v>
      </c>
      <c r="U31" s="9">
        <v>2</v>
      </c>
      <c r="V31" s="9">
        <v>2</v>
      </c>
      <c r="W31" s="10">
        <v>0.27083333333333331</v>
      </c>
      <c r="X31" s="8" t="s">
        <v>230</v>
      </c>
      <c r="Y31" s="11" t="s">
        <v>171</v>
      </c>
      <c r="Z31" s="9">
        <v>2</v>
      </c>
      <c r="AA31" s="9">
        <v>2</v>
      </c>
      <c r="AB31" s="7">
        <v>0.2638888888888889</v>
      </c>
      <c r="AC31" s="8" t="s">
        <v>126</v>
      </c>
      <c r="AD31" s="8" t="s">
        <v>321</v>
      </c>
      <c r="AE31" s="9">
        <v>2</v>
      </c>
      <c r="AF31" s="9">
        <v>3</v>
      </c>
      <c r="AG31" s="7">
        <v>0.27083333333333331</v>
      </c>
      <c r="AH31" s="8" t="s">
        <v>103</v>
      </c>
      <c r="AI31" s="7" t="s">
        <v>322</v>
      </c>
      <c r="AJ31" s="9">
        <v>2</v>
      </c>
      <c r="AK31" s="9">
        <v>6</v>
      </c>
      <c r="AM31" s="9">
        <f t="shared" si="0"/>
        <v>12</v>
      </c>
      <c r="AN31" s="9">
        <f t="shared" si="1"/>
        <v>18</v>
      </c>
    </row>
    <row r="32" spans="1:40" ht="37.5">
      <c r="B32" s="12" t="s">
        <v>243</v>
      </c>
      <c r="C32" s="7">
        <v>0.23958333333333334</v>
      </c>
      <c r="D32" s="8" t="s">
        <v>105</v>
      </c>
      <c r="E32" s="8" t="s">
        <v>148</v>
      </c>
      <c r="F32" s="9">
        <v>3</v>
      </c>
      <c r="G32" s="9">
        <v>4</v>
      </c>
      <c r="H32" s="7">
        <v>0.24097222222222223</v>
      </c>
      <c r="I32" s="8" t="s">
        <v>113</v>
      </c>
      <c r="J32" s="8" t="s">
        <v>141</v>
      </c>
      <c r="K32" s="9">
        <v>2</v>
      </c>
      <c r="L32" s="9">
        <v>3</v>
      </c>
      <c r="M32" s="7">
        <v>0.2326388888888889</v>
      </c>
      <c r="N32" s="8" t="s">
        <v>111</v>
      </c>
      <c r="O32" s="8" t="s">
        <v>112</v>
      </c>
      <c r="P32" s="9">
        <v>2</v>
      </c>
      <c r="Q32" s="9">
        <v>3</v>
      </c>
      <c r="R32" s="7">
        <v>0.24652777777777779</v>
      </c>
      <c r="S32" s="8" t="s">
        <v>113</v>
      </c>
      <c r="T32" s="8" t="s">
        <v>228</v>
      </c>
      <c r="U32" s="9">
        <v>2</v>
      </c>
      <c r="V32" s="9">
        <v>3</v>
      </c>
      <c r="W32" s="10">
        <v>0.23958333333333334</v>
      </c>
      <c r="X32" s="8" t="s">
        <v>275</v>
      </c>
      <c r="Y32" s="8" t="s">
        <v>247</v>
      </c>
      <c r="Z32" s="9">
        <v>2</v>
      </c>
      <c r="AA32" s="9">
        <v>3</v>
      </c>
      <c r="AB32" s="7">
        <v>0.25</v>
      </c>
      <c r="AC32" s="8" t="s">
        <v>113</v>
      </c>
      <c r="AD32" s="33" t="s">
        <v>323</v>
      </c>
      <c r="AE32" s="9">
        <v>2</v>
      </c>
      <c r="AF32" s="9">
        <v>3</v>
      </c>
      <c r="AG32" s="7">
        <v>0.23958333333333334</v>
      </c>
      <c r="AH32" s="8" t="s">
        <v>113</v>
      </c>
      <c r="AI32" s="7" t="s">
        <v>361</v>
      </c>
      <c r="AJ32" s="9">
        <v>1</v>
      </c>
      <c r="AK32" s="9">
        <v>1</v>
      </c>
      <c r="AM32" s="9">
        <f t="shared" si="0"/>
        <v>14</v>
      </c>
      <c r="AN32" s="9">
        <f t="shared" si="1"/>
        <v>20</v>
      </c>
    </row>
    <row r="33" spans="1:40">
      <c r="A33" s="1">
        <v>34</v>
      </c>
      <c r="B33" s="12" t="s">
        <v>95</v>
      </c>
      <c r="C33" s="7">
        <v>0.2361111111111111</v>
      </c>
      <c r="D33" s="8" t="s">
        <v>130</v>
      </c>
      <c r="E33" s="8" t="s">
        <v>144</v>
      </c>
      <c r="F33" s="9">
        <v>2</v>
      </c>
      <c r="G33" s="9">
        <v>4</v>
      </c>
      <c r="H33" s="7">
        <v>0.24305555555555555</v>
      </c>
      <c r="I33" s="8" t="s">
        <v>118</v>
      </c>
      <c r="J33" s="8" t="s">
        <v>105</v>
      </c>
      <c r="K33" s="9">
        <v>2</v>
      </c>
      <c r="L33" s="9">
        <v>2</v>
      </c>
      <c r="M33" s="7">
        <v>0.25</v>
      </c>
      <c r="N33" s="8" t="s">
        <v>118</v>
      </c>
      <c r="O33" s="8" t="s">
        <v>131</v>
      </c>
      <c r="P33" s="9">
        <v>2</v>
      </c>
      <c r="Q33" s="9">
        <v>2</v>
      </c>
      <c r="R33" s="7">
        <v>0.25</v>
      </c>
      <c r="S33" s="8" t="s">
        <v>118</v>
      </c>
      <c r="T33" s="8" t="s">
        <v>132</v>
      </c>
      <c r="U33" s="9">
        <v>2</v>
      </c>
      <c r="V33" s="9">
        <v>2</v>
      </c>
      <c r="W33" s="10">
        <v>0.25</v>
      </c>
      <c r="X33" s="8" t="s">
        <v>118</v>
      </c>
      <c r="Y33" s="8" t="s">
        <v>255</v>
      </c>
      <c r="Z33" s="9">
        <v>2</v>
      </c>
      <c r="AA33" s="9">
        <v>3</v>
      </c>
      <c r="AB33" s="7">
        <v>0.24652777777777779</v>
      </c>
      <c r="AC33" s="8" t="s">
        <v>105</v>
      </c>
      <c r="AD33" s="33" t="s">
        <v>261</v>
      </c>
      <c r="AE33" s="9">
        <v>2</v>
      </c>
      <c r="AF33" s="9">
        <v>3</v>
      </c>
      <c r="AG33" s="7">
        <v>0.25</v>
      </c>
      <c r="AH33" s="8" t="s">
        <v>117</v>
      </c>
      <c r="AI33" s="7" t="s">
        <v>161</v>
      </c>
      <c r="AJ33" s="9">
        <v>2</v>
      </c>
      <c r="AK33" s="9">
        <v>3</v>
      </c>
      <c r="AM33" s="9">
        <f t="shared" si="0"/>
        <v>14</v>
      </c>
      <c r="AN33" s="9">
        <f t="shared" si="1"/>
        <v>19</v>
      </c>
    </row>
    <row r="34" spans="1:40">
      <c r="A34" s="1">
        <v>55</v>
      </c>
      <c r="B34" s="12" t="s">
        <v>33</v>
      </c>
      <c r="C34" s="22" t="s">
        <v>93</v>
      </c>
      <c r="D34" s="41" t="s">
        <v>93</v>
      </c>
      <c r="E34" s="42"/>
      <c r="F34" s="9">
        <v>0</v>
      </c>
      <c r="G34" s="9">
        <v>0</v>
      </c>
      <c r="H34" s="23" t="s">
        <v>96</v>
      </c>
      <c r="I34" s="45" t="s">
        <v>96</v>
      </c>
      <c r="J34" s="46"/>
      <c r="K34" s="9">
        <v>0</v>
      </c>
      <c r="L34" s="9">
        <v>0</v>
      </c>
      <c r="M34" s="23" t="s">
        <v>96</v>
      </c>
      <c r="N34" s="45" t="s">
        <v>96</v>
      </c>
      <c r="O34" s="46"/>
      <c r="P34" s="9">
        <v>0</v>
      </c>
      <c r="Q34" s="9">
        <v>0</v>
      </c>
      <c r="R34" s="21" t="s">
        <v>92</v>
      </c>
      <c r="S34" s="39" t="s">
        <v>92</v>
      </c>
      <c r="T34" s="40"/>
      <c r="U34" s="9">
        <v>0</v>
      </c>
      <c r="V34" s="9">
        <v>0</v>
      </c>
      <c r="W34" s="28" t="s">
        <v>96</v>
      </c>
      <c r="X34" s="45" t="s">
        <v>274</v>
      </c>
      <c r="Y34" s="46"/>
      <c r="Z34" s="9">
        <v>0</v>
      </c>
      <c r="AA34" s="9">
        <v>0</v>
      </c>
      <c r="AB34" s="28" t="s">
        <v>96</v>
      </c>
      <c r="AC34" s="45" t="s">
        <v>274</v>
      </c>
      <c r="AD34" s="46"/>
      <c r="AE34" s="9">
        <v>0</v>
      </c>
      <c r="AF34" s="9">
        <v>0</v>
      </c>
      <c r="AG34" s="28" t="s">
        <v>96</v>
      </c>
      <c r="AH34" s="45" t="s">
        <v>274</v>
      </c>
      <c r="AI34" s="46"/>
      <c r="AJ34" s="9">
        <v>0</v>
      </c>
      <c r="AK34" s="9">
        <v>0</v>
      </c>
      <c r="AM34" s="9">
        <f t="shared" si="0"/>
        <v>0</v>
      </c>
      <c r="AN34" s="9">
        <f t="shared" si="1"/>
        <v>0</v>
      </c>
    </row>
    <row r="35" spans="1:40">
      <c r="A35" s="1">
        <v>37</v>
      </c>
      <c r="B35" s="6" t="s">
        <v>34</v>
      </c>
      <c r="C35" s="7">
        <v>0.26180555555555557</v>
      </c>
      <c r="D35" s="8" t="s">
        <v>125</v>
      </c>
      <c r="E35" s="8" t="s">
        <v>138</v>
      </c>
      <c r="F35" s="9">
        <v>2</v>
      </c>
      <c r="G35" s="9">
        <v>3</v>
      </c>
      <c r="H35" s="7">
        <v>0.25</v>
      </c>
      <c r="I35" s="8" t="s">
        <v>125</v>
      </c>
      <c r="J35" s="8" t="s">
        <v>181</v>
      </c>
      <c r="K35" s="9">
        <v>2</v>
      </c>
      <c r="L35" s="9">
        <v>2</v>
      </c>
      <c r="M35" s="7">
        <v>0.25694444444444442</v>
      </c>
      <c r="N35" s="8" t="s">
        <v>125</v>
      </c>
      <c r="O35" s="8" t="s">
        <v>123</v>
      </c>
      <c r="P35" s="9">
        <v>2</v>
      </c>
      <c r="Q35" s="9">
        <v>3</v>
      </c>
      <c r="R35" s="21" t="s">
        <v>92</v>
      </c>
      <c r="S35" s="39" t="s">
        <v>92</v>
      </c>
      <c r="T35" s="40"/>
      <c r="U35" s="9">
        <v>0</v>
      </c>
      <c r="V35" s="9">
        <v>0</v>
      </c>
      <c r="W35" s="10">
        <v>0.2638888888888889</v>
      </c>
      <c r="X35" s="8" t="s">
        <v>125</v>
      </c>
      <c r="Y35" s="11" t="s">
        <v>181</v>
      </c>
      <c r="Z35" s="9">
        <v>2</v>
      </c>
      <c r="AA35" s="9">
        <v>2</v>
      </c>
      <c r="AB35" s="7">
        <v>0.26041666666666669</v>
      </c>
      <c r="AC35" s="8" t="s">
        <v>125</v>
      </c>
      <c r="AD35" s="8" t="s">
        <v>150</v>
      </c>
      <c r="AE35" s="9">
        <v>2</v>
      </c>
      <c r="AF35" s="9">
        <v>3</v>
      </c>
      <c r="AG35" s="7">
        <v>0.26041666666666669</v>
      </c>
      <c r="AH35" s="8" t="s">
        <v>125</v>
      </c>
      <c r="AI35" s="7" t="s">
        <v>347</v>
      </c>
      <c r="AJ35" s="9">
        <v>2</v>
      </c>
      <c r="AK35" s="9">
        <v>2</v>
      </c>
      <c r="AM35" s="9">
        <f t="shared" si="0"/>
        <v>12</v>
      </c>
      <c r="AN35" s="9">
        <f t="shared" si="1"/>
        <v>15</v>
      </c>
    </row>
    <row r="36" spans="1:40" ht="37.5">
      <c r="A36" s="1">
        <v>38</v>
      </c>
      <c r="B36" s="6" t="s">
        <v>35</v>
      </c>
      <c r="C36" s="7">
        <v>0.25</v>
      </c>
      <c r="D36" s="8" t="s">
        <v>122</v>
      </c>
      <c r="E36" s="8" t="s">
        <v>116</v>
      </c>
      <c r="F36" s="9">
        <v>2</v>
      </c>
      <c r="G36" s="9">
        <v>2</v>
      </c>
      <c r="H36" s="7">
        <v>0.25</v>
      </c>
      <c r="I36" s="8" t="s">
        <v>131</v>
      </c>
      <c r="J36" s="8" t="s">
        <v>185</v>
      </c>
      <c r="K36" s="9">
        <v>2</v>
      </c>
      <c r="L36" s="9">
        <v>3</v>
      </c>
      <c r="M36" s="7">
        <v>0.25</v>
      </c>
      <c r="N36" s="8" t="s">
        <v>121</v>
      </c>
      <c r="O36" s="8" t="s">
        <v>211</v>
      </c>
      <c r="P36" s="9">
        <v>3</v>
      </c>
      <c r="Q36" s="9">
        <v>3</v>
      </c>
      <c r="R36" s="21" t="s">
        <v>92</v>
      </c>
      <c r="S36" s="39" t="s">
        <v>92</v>
      </c>
      <c r="T36" s="40"/>
      <c r="U36" s="9">
        <v>0</v>
      </c>
      <c r="V36" s="9">
        <v>0</v>
      </c>
      <c r="W36" s="10">
        <v>0.25</v>
      </c>
      <c r="X36" s="8" t="s">
        <v>114</v>
      </c>
      <c r="Y36" s="11" t="s">
        <v>134</v>
      </c>
      <c r="Z36" s="9">
        <v>2</v>
      </c>
      <c r="AA36" s="9">
        <v>3</v>
      </c>
      <c r="AB36" s="7">
        <v>0.25</v>
      </c>
      <c r="AC36" s="8" t="s">
        <v>128</v>
      </c>
      <c r="AD36" s="8" t="s">
        <v>132</v>
      </c>
      <c r="AE36" s="9">
        <v>2</v>
      </c>
      <c r="AF36" s="9">
        <v>2</v>
      </c>
      <c r="AG36" s="7">
        <v>0.25</v>
      </c>
      <c r="AH36" s="8" t="s">
        <v>114</v>
      </c>
      <c r="AI36" s="35" t="s">
        <v>210</v>
      </c>
      <c r="AJ36" s="17">
        <v>3</v>
      </c>
      <c r="AK36" s="9">
        <v>4</v>
      </c>
      <c r="AM36" s="9">
        <f t="shared" si="0"/>
        <v>14</v>
      </c>
      <c r="AN36" s="9">
        <f t="shared" si="1"/>
        <v>17</v>
      </c>
    </row>
    <row r="37" spans="1:40" ht="37.5">
      <c r="A37" s="1">
        <v>39</v>
      </c>
      <c r="B37" s="6" t="s">
        <v>36</v>
      </c>
      <c r="C37" s="7">
        <v>0.26180555555555557</v>
      </c>
      <c r="D37" s="8" t="s">
        <v>103</v>
      </c>
      <c r="E37" s="8" t="s">
        <v>142</v>
      </c>
      <c r="F37" s="9">
        <v>2</v>
      </c>
      <c r="G37" s="9">
        <v>3</v>
      </c>
      <c r="H37" s="7">
        <v>0.2673611111111111</v>
      </c>
      <c r="I37" s="8" t="s">
        <v>120</v>
      </c>
      <c r="J37" s="8" t="s">
        <v>111</v>
      </c>
      <c r="K37" s="9">
        <v>2</v>
      </c>
      <c r="L37" s="9">
        <v>2</v>
      </c>
      <c r="M37" s="7">
        <v>0.2638888888888889</v>
      </c>
      <c r="N37" s="8" t="s">
        <v>105</v>
      </c>
      <c r="O37" s="8" t="s">
        <v>110</v>
      </c>
      <c r="P37" s="9">
        <v>2</v>
      </c>
      <c r="Q37" s="9">
        <v>3</v>
      </c>
      <c r="R37" s="21" t="s">
        <v>92</v>
      </c>
      <c r="S37" s="39" t="s">
        <v>92</v>
      </c>
      <c r="T37" s="40"/>
      <c r="U37" s="9">
        <v>0</v>
      </c>
      <c r="V37" s="9">
        <v>0</v>
      </c>
      <c r="W37" s="10">
        <v>0.25347222222222221</v>
      </c>
      <c r="X37" s="8" t="s">
        <v>245</v>
      </c>
      <c r="Y37" s="8" t="s">
        <v>261</v>
      </c>
      <c r="Z37" s="9">
        <v>2</v>
      </c>
      <c r="AA37" s="9">
        <v>3</v>
      </c>
      <c r="AB37" s="7">
        <v>0.25</v>
      </c>
      <c r="AC37" s="8" t="s">
        <v>111</v>
      </c>
      <c r="AD37" s="8" t="s">
        <v>320</v>
      </c>
      <c r="AE37" s="9">
        <v>2</v>
      </c>
      <c r="AF37" s="9">
        <v>3</v>
      </c>
      <c r="AG37" s="7">
        <v>0.2673611111111111</v>
      </c>
      <c r="AH37" s="8" t="s">
        <v>118</v>
      </c>
      <c r="AI37" s="35" t="s">
        <v>350</v>
      </c>
      <c r="AJ37" s="17">
        <v>3</v>
      </c>
      <c r="AK37" s="9">
        <v>3</v>
      </c>
      <c r="AM37" s="9">
        <f t="shared" si="0"/>
        <v>13</v>
      </c>
      <c r="AN37" s="9">
        <f t="shared" si="1"/>
        <v>17</v>
      </c>
    </row>
    <row r="38" spans="1:40">
      <c r="A38" s="1">
        <v>40</v>
      </c>
      <c r="B38" s="6" t="s">
        <v>37</v>
      </c>
      <c r="C38" s="7">
        <v>0.26319444444444445</v>
      </c>
      <c r="D38" s="8" t="s">
        <v>123</v>
      </c>
      <c r="E38" s="8" t="s">
        <v>112</v>
      </c>
      <c r="F38" s="9">
        <v>2</v>
      </c>
      <c r="G38" s="9">
        <v>4</v>
      </c>
      <c r="H38" s="7">
        <v>0.25</v>
      </c>
      <c r="I38" s="8" t="s">
        <v>110</v>
      </c>
      <c r="J38" s="8" t="s">
        <v>142</v>
      </c>
      <c r="K38" s="9">
        <v>2</v>
      </c>
      <c r="L38" s="9">
        <v>4</v>
      </c>
      <c r="M38" s="22" t="s">
        <v>93</v>
      </c>
      <c r="N38" s="41" t="s">
        <v>93</v>
      </c>
      <c r="O38" s="42"/>
      <c r="P38" s="9">
        <v>0</v>
      </c>
      <c r="Q38" s="9">
        <v>0</v>
      </c>
      <c r="R38" s="21" t="s">
        <v>92</v>
      </c>
      <c r="S38" s="39" t="s">
        <v>92</v>
      </c>
      <c r="T38" s="40"/>
      <c r="U38" s="9">
        <v>0</v>
      </c>
      <c r="V38" s="9">
        <v>0</v>
      </c>
      <c r="W38" s="10">
        <v>0.25694444444444448</v>
      </c>
      <c r="X38" s="8" t="s">
        <v>107</v>
      </c>
      <c r="Y38" s="8" t="s">
        <v>218</v>
      </c>
      <c r="Z38" s="9">
        <v>2</v>
      </c>
      <c r="AA38" s="9">
        <v>3</v>
      </c>
      <c r="AB38" s="7">
        <v>0.26041666666666669</v>
      </c>
      <c r="AC38" s="33" t="s">
        <v>225</v>
      </c>
      <c r="AD38" s="8" t="s">
        <v>324</v>
      </c>
      <c r="AE38" s="9">
        <v>2</v>
      </c>
      <c r="AF38" s="9">
        <v>4</v>
      </c>
      <c r="AG38" s="7">
        <v>0.2638888888888889</v>
      </c>
      <c r="AH38" s="8" t="s">
        <v>120</v>
      </c>
      <c r="AI38" s="7" t="s">
        <v>324</v>
      </c>
      <c r="AJ38" s="17">
        <v>2</v>
      </c>
      <c r="AK38" s="9">
        <v>3</v>
      </c>
      <c r="AM38" s="9">
        <f t="shared" si="0"/>
        <v>10</v>
      </c>
      <c r="AN38" s="9">
        <f t="shared" si="1"/>
        <v>18</v>
      </c>
    </row>
    <row r="39" spans="1:40">
      <c r="A39" s="1">
        <v>65</v>
      </c>
      <c r="B39" s="6" t="s">
        <v>38</v>
      </c>
      <c r="C39" s="7">
        <v>0.28472222222222221</v>
      </c>
      <c r="D39" s="8" t="s">
        <v>131</v>
      </c>
      <c r="E39" s="8" t="s">
        <v>136</v>
      </c>
      <c r="F39" s="9">
        <v>2</v>
      </c>
      <c r="G39" s="9">
        <v>3</v>
      </c>
      <c r="H39" s="7">
        <v>0.29166666666666669</v>
      </c>
      <c r="I39" s="8" t="s">
        <v>128</v>
      </c>
      <c r="J39" s="8" t="s">
        <v>134</v>
      </c>
      <c r="K39" s="9">
        <v>2</v>
      </c>
      <c r="L39" s="9">
        <v>3</v>
      </c>
      <c r="M39" s="7">
        <v>0.28472222222222221</v>
      </c>
      <c r="N39" s="8" t="s">
        <v>126</v>
      </c>
      <c r="O39" s="8" t="s">
        <v>206</v>
      </c>
      <c r="P39" s="9">
        <v>2</v>
      </c>
      <c r="Q39" s="9">
        <v>2</v>
      </c>
      <c r="R39" s="21" t="s">
        <v>92</v>
      </c>
      <c r="S39" s="39" t="s">
        <v>92</v>
      </c>
      <c r="T39" s="40"/>
      <c r="U39" s="9">
        <v>0</v>
      </c>
      <c r="V39" s="9">
        <v>0</v>
      </c>
      <c r="W39" s="10">
        <v>0.28472222222222221</v>
      </c>
      <c r="X39" s="8" t="s">
        <v>119</v>
      </c>
      <c r="Y39" s="8" t="s">
        <v>222</v>
      </c>
      <c r="Z39" s="9">
        <v>2</v>
      </c>
      <c r="AA39" s="9">
        <v>3</v>
      </c>
      <c r="AB39" s="7">
        <v>0.29166666666666669</v>
      </c>
      <c r="AC39" s="8" t="s">
        <v>319</v>
      </c>
      <c r="AD39" s="8"/>
      <c r="AE39" s="9">
        <v>1</v>
      </c>
      <c r="AF39" s="9">
        <v>11</v>
      </c>
      <c r="AG39" s="7">
        <v>0.28472222222222221</v>
      </c>
      <c r="AH39" s="8" t="s">
        <v>131</v>
      </c>
      <c r="AI39" s="7" t="s">
        <v>345</v>
      </c>
      <c r="AJ39" s="17">
        <v>2</v>
      </c>
      <c r="AK39" s="9">
        <v>3</v>
      </c>
      <c r="AM39" s="9">
        <f t="shared" si="0"/>
        <v>11</v>
      </c>
      <c r="AN39" s="9">
        <f t="shared" si="1"/>
        <v>25</v>
      </c>
    </row>
    <row r="40" spans="1:40">
      <c r="A40" s="1">
        <v>28</v>
      </c>
      <c r="B40" s="6" t="s">
        <v>27</v>
      </c>
      <c r="C40" s="7">
        <v>0.375</v>
      </c>
      <c r="D40" s="8" t="s">
        <v>127</v>
      </c>
      <c r="E40" s="8"/>
      <c r="F40" s="9">
        <v>1</v>
      </c>
      <c r="G40" s="9">
        <v>1</v>
      </c>
      <c r="H40" s="7">
        <v>0.375</v>
      </c>
      <c r="I40" s="8"/>
      <c r="J40" s="8"/>
      <c r="K40" s="9">
        <v>1</v>
      </c>
      <c r="L40" s="9">
        <v>1</v>
      </c>
      <c r="M40" s="7">
        <v>0.375</v>
      </c>
      <c r="N40" s="8" t="s">
        <v>127</v>
      </c>
      <c r="O40" s="8"/>
      <c r="P40" s="9">
        <v>1</v>
      </c>
      <c r="Q40" s="9">
        <v>1</v>
      </c>
      <c r="R40" s="21" t="s">
        <v>92</v>
      </c>
      <c r="S40" s="39" t="s">
        <v>92</v>
      </c>
      <c r="T40" s="40"/>
      <c r="U40" s="9">
        <v>0</v>
      </c>
      <c r="V40" s="9">
        <v>0</v>
      </c>
      <c r="W40" s="22" t="s">
        <v>93</v>
      </c>
      <c r="X40" s="41" t="s">
        <v>239</v>
      </c>
      <c r="Y40" s="42"/>
      <c r="Z40" s="9">
        <v>0</v>
      </c>
      <c r="AA40" s="9">
        <v>0</v>
      </c>
      <c r="AB40" s="7">
        <v>0.375</v>
      </c>
      <c r="AC40" s="8" t="s">
        <v>127</v>
      </c>
      <c r="AD40" s="8"/>
      <c r="AE40" s="9">
        <v>1</v>
      </c>
      <c r="AF40" s="9">
        <v>1</v>
      </c>
      <c r="AG40" s="7">
        <v>0.375</v>
      </c>
      <c r="AH40" s="8" t="s">
        <v>354</v>
      </c>
      <c r="AI40" s="7"/>
      <c r="AJ40" s="17">
        <v>1</v>
      </c>
      <c r="AK40" s="9">
        <v>1</v>
      </c>
      <c r="AM40" s="9">
        <f t="shared" si="0"/>
        <v>5</v>
      </c>
      <c r="AN40" s="9">
        <f t="shared" si="1"/>
        <v>5</v>
      </c>
    </row>
    <row r="41" spans="1:40">
      <c r="B41" s="6" t="s">
        <v>39</v>
      </c>
      <c r="C41" s="22" t="s">
        <v>93</v>
      </c>
      <c r="D41" s="41" t="s">
        <v>93</v>
      </c>
      <c r="E41" s="42"/>
      <c r="F41" s="9">
        <v>0</v>
      </c>
      <c r="G41" s="9">
        <v>0</v>
      </c>
      <c r="H41" s="22" t="s">
        <v>93</v>
      </c>
      <c r="I41" s="41" t="s">
        <v>93</v>
      </c>
      <c r="J41" s="42"/>
      <c r="K41" s="9">
        <v>0</v>
      </c>
      <c r="L41" s="9">
        <v>0</v>
      </c>
      <c r="M41" s="22" t="s">
        <v>93</v>
      </c>
      <c r="N41" s="41" t="s">
        <v>93</v>
      </c>
      <c r="O41" s="42"/>
      <c r="P41" s="9">
        <v>0</v>
      </c>
      <c r="Q41" s="9">
        <v>0</v>
      </c>
      <c r="R41" s="7">
        <v>8.3333333333333329E-2</v>
      </c>
      <c r="S41" s="8" t="s">
        <v>280</v>
      </c>
      <c r="T41" s="8"/>
      <c r="U41" s="9">
        <v>1</v>
      </c>
      <c r="V41" s="9">
        <v>4</v>
      </c>
      <c r="W41" s="21" t="s">
        <v>92</v>
      </c>
      <c r="X41" s="39" t="s">
        <v>92</v>
      </c>
      <c r="Y41" s="40"/>
      <c r="Z41" s="9">
        <v>0</v>
      </c>
      <c r="AA41" s="9">
        <v>0</v>
      </c>
      <c r="AB41" s="7">
        <v>7.6388888888888895E-2</v>
      </c>
      <c r="AC41" s="8" t="s">
        <v>132</v>
      </c>
      <c r="AD41" s="8" t="s">
        <v>342</v>
      </c>
      <c r="AE41" s="9">
        <v>2</v>
      </c>
      <c r="AF41" s="9">
        <v>2</v>
      </c>
      <c r="AG41" s="7">
        <v>8.3333333333333329E-2</v>
      </c>
      <c r="AH41" s="8" t="s">
        <v>141</v>
      </c>
      <c r="AI41" s="7"/>
      <c r="AJ41" s="17">
        <v>1</v>
      </c>
      <c r="AK41" s="9">
        <v>2</v>
      </c>
      <c r="AM41" s="9">
        <f t="shared" si="0"/>
        <v>4</v>
      </c>
      <c r="AN41" s="9">
        <f t="shared" si="1"/>
        <v>8</v>
      </c>
    </row>
    <row r="42" spans="1:40">
      <c r="A42" s="1">
        <v>67</v>
      </c>
      <c r="B42" s="6" t="s">
        <v>40</v>
      </c>
      <c r="C42" s="7">
        <v>7.6388888888888895E-2</v>
      </c>
      <c r="D42" s="8" t="s">
        <v>154</v>
      </c>
      <c r="E42" s="8"/>
      <c r="F42" s="9">
        <v>1</v>
      </c>
      <c r="G42" s="9">
        <v>3</v>
      </c>
      <c r="H42" s="7">
        <v>8.3333333333333329E-2</v>
      </c>
      <c r="I42" s="8" t="s">
        <v>191</v>
      </c>
      <c r="J42" s="8"/>
      <c r="K42" s="9">
        <v>1</v>
      </c>
      <c r="L42" s="9">
        <v>3</v>
      </c>
      <c r="M42" s="7">
        <v>7.6388888888888895E-2</v>
      </c>
      <c r="N42" s="8" t="s">
        <v>133</v>
      </c>
      <c r="O42" s="8"/>
      <c r="P42" s="9">
        <v>1</v>
      </c>
      <c r="Q42" s="9">
        <v>2</v>
      </c>
      <c r="R42" s="7">
        <v>7.6388888888888895E-2</v>
      </c>
      <c r="S42" s="8" t="s">
        <v>281</v>
      </c>
      <c r="T42" s="8"/>
      <c r="U42" s="9">
        <v>1</v>
      </c>
      <c r="V42" s="9">
        <v>3</v>
      </c>
      <c r="W42" s="21" t="s">
        <v>92</v>
      </c>
      <c r="X42" s="39" t="s">
        <v>92</v>
      </c>
      <c r="Y42" s="40"/>
      <c r="Z42" s="9">
        <v>0</v>
      </c>
      <c r="AA42" s="9">
        <v>0</v>
      </c>
      <c r="AB42" s="7">
        <v>7.6388888888888895E-2</v>
      </c>
      <c r="AC42" s="33" t="s">
        <v>154</v>
      </c>
      <c r="AD42" s="8"/>
      <c r="AE42" s="9">
        <v>1</v>
      </c>
      <c r="AF42" s="9">
        <v>3</v>
      </c>
      <c r="AG42" s="7">
        <v>6.25E-2</v>
      </c>
      <c r="AH42" s="33" t="s">
        <v>154</v>
      </c>
      <c r="AI42" s="7"/>
      <c r="AJ42" s="17">
        <v>1</v>
      </c>
      <c r="AK42" s="9">
        <v>3</v>
      </c>
      <c r="AM42" s="9">
        <f t="shared" si="0"/>
        <v>6</v>
      </c>
      <c r="AN42" s="9">
        <f t="shared" si="1"/>
        <v>17</v>
      </c>
    </row>
    <row r="43" spans="1:40">
      <c r="A43" s="1">
        <v>5</v>
      </c>
      <c r="B43" s="6" t="s">
        <v>41</v>
      </c>
      <c r="C43" s="7">
        <v>7.6388888888888895E-2</v>
      </c>
      <c r="D43" s="8" t="s">
        <v>161</v>
      </c>
      <c r="E43" s="8" t="s">
        <v>163</v>
      </c>
      <c r="F43" s="9">
        <v>2</v>
      </c>
      <c r="G43" s="9">
        <v>5</v>
      </c>
      <c r="H43" s="7">
        <v>8.3333333333333329E-2</v>
      </c>
      <c r="I43" s="8" t="s">
        <v>161</v>
      </c>
      <c r="J43" s="8"/>
      <c r="K43" s="9">
        <v>1</v>
      </c>
      <c r="L43" s="9">
        <v>1</v>
      </c>
      <c r="M43" s="7">
        <v>8.3333333333333329E-2</v>
      </c>
      <c r="N43" s="8" t="s">
        <v>161</v>
      </c>
      <c r="O43" s="8" t="s">
        <v>161</v>
      </c>
      <c r="P43" s="9">
        <v>2</v>
      </c>
      <c r="Q43" s="9">
        <v>2</v>
      </c>
      <c r="R43" s="7">
        <v>8.3333333333333329E-2</v>
      </c>
      <c r="S43" s="8" t="s">
        <v>279</v>
      </c>
      <c r="T43" s="8"/>
      <c r="U43" s="9">
        <v>1</v>
      </c>
      <c r="V43" s="9">
        <v>2</v>
      </c>
      <c r="W43" s="21" t="s">
        <v>92</v>
      </c>
      <c r="X43" s="39" t="s">
        <v>92</v>
      </c>
      <c r="Y43" s="40"/>
      <c r="Z43" s="9">
        <v>0</v>
      </c>
      <c r="AA43" s="9">
        <v>0</v>
      </c>
      <c r="AB43" s="7">
        <v>8.3333333333333329E-2</v>
      </c>
      <c r="AC43" s="8" t="s">
        <v>182</v>
      </c>
      <c r="AD43" s="8" t="s">
        <v>165</v>
      </c>
      <c r="AE43" s="9">
        <v>2</v>
      </c>
      <c r="AF43" s="9">
        <v>4</v>
      </c>
      <c r="AG43" s="7">
        <v>8.3333333333333329E-2</v>
      </c>
      <c r="AH43" s="33" t="s">
        <v>143</v>
      </c>
      <c r="AI43" s="7"/>
      <c r="AJ43" s="17">
        <v>1</v>
      </c>
      <c r="AK43" s="9">
        <v>2</v>
      </c>
      <c r="AM43" s="9">
        <f t="shared" si="0"/>
        <v>9</v>
      </c>
      <c r="AN43" s="9">
        <f t="shared" si="1"/>
        <v>16</v>
      </c>
    </row>
    <row r="44" spans="1:40">
      <c r="A44" s="1">
        <v>45</v>
      </c>
      <c r="B44" s="11" t="s">
        <v>68</v>
      </c>
      <c r="C44" s="24" t="s">
        <v>97</v>
      </c>
      <c r="D44" s="43" t="s">
        <v>97</v>
      </c>
      <c r="E44" s="44"/>
      <c r="F44" s="9">
        <v>0</v>
      </c>
      <c r="G44" s="9">
        <v>0</v>
      </c>
      <c r="H44" s="24" t="s">
        <v>97</v>
      </c>
      <c r="I44" s="43" t="s">
        <v>97</v>
      </c>
      <c r="J44" s="44"/>
      <c r="K44" s="9">
        <v>0</v>
      </c>
      <c r="L44" s="9">
        <v>0</v>
      </c>
      <c r="M44" s="24" t="s">
        <v>97</v>
      </c>
      <c r="N44" s="43" t="s">
        <v>97</v>
      </c>
      <c r="O44" s="44"/>
      <c r="P44" s="9">
        <v>0</v>
      </c>
      <c r="Q44" s="9">
        <v>0</v>
      </c>
      <c r="R44" s="24" t="s">
        <v>97</v>
      </c>
      <c r="S44" s="43" t="s">
        <v>97</v>
      </c>
      <c r="T44" s="44"/>
      <c r="U44" s="9">
        <v>0</v>
      </c>
      <c r="V44" s="9">
        <v>0</v>
      </c>
      <c r="W44" s="21" t="s">
        <v>92</v>
      </c>
      <c r="X44" s="39" t="s">
        <v>92</v>
      </c>
      <c r="Y44" s="40"/>
      <c r="Z44" s="9">
        <v>0</v>
      </c>
      <c r="AA44" s="9">
        <v>0</v>
      </c>
      <c r="AB44" s="24" t="s">
        <v>97</v>
      </c>
      <c r="AC44" s="43" t="s">
        <v>97</v>
      </c>
      <c r="AD44" s="44"/>
      <c r="AE44" s="9">
        <v>0</v>
      </c>
      <c r="AF44" s="9">
        <v>0</v>
      </c>
      <c r="AG44" s="24" t="s">
        <v>97</v>
      </c>
      <c r="AH44" s="43" t="s">
        <v>97</v>
      </c>
      <c r="AI44" s="44"/>
      <c r="AJ44" s="17">
        <v>0</v>
      </c>
      <c r="AK44" s="9">
        <v>0</v>
      </c>
      <c r="AM44" s="9">
        <f t="shared" si="0"/>
        <v>0</v>
      </c>
      <c r="AN44" s="9">
        <f t="shared" si="1"/>
        <v>0</v>
      </c>
    </row>
    <row r="45" spans="1:40" ht="37.5">
      <c r="A45" s="1">
        <v>46</v>
      </c>
      <c r="B45" s="6" t="s">
        <v>42</v>
      </c>
      <c r="C45" s="7">
        <v>7.2916666666666671E-2</v>
      </c>
      <c r="D45" s="8" t="s">
        <v>172</v>
      </c>
      <c r="E45" s="8"/>
      <c r="F45" s="9">
        <v>2</v>
      </c>
      <c r="G45" s="9">
        <v>3</v>
      </c>
      <c r="H45" s="7">
        <v>7.2916666666666671E-2</v>
      </c>
      <c r="I45" s="8" t="s">
        <v>186</v>
      </c>
      <c r="J45" s="8"/>
      <c r="K45" s="9">
        <v>1</v>
      </c>
      <c r="L45" s="9">
        <v>4</v>
      </c>
      <c r="M45" s="7">
        <v>7.2916666666666671E-2</v>
      </c>
      <c r="N45" s="8" t="s">
        <v>107</v>
      </c>
      <c r="O45" s="8"/>
      <c r="P45" s="9">
        <v>1</v>
      </c>
      <c r="Q45" s="9">
        <v>1</v>
      </c>
      <c r="R45" s="7">
        <v>8.3333333333333329E-2</v>
      </c>
      <c r="S45" s="8" t="s">
        <v>278</v>
      </c>
      <c r="T45" s="8"/>
      <c r="U45" s="9">
        <v>1</v>
      </c>
      <c r="V45" s="9">
        <v>3</v>
      </c>
      <c r="W45" s="10">
        <v>7.6388888888888895E-2</v>
      </c>
      <c r="X45" s="8" t="s">
        <v>306</v>
      </c>
      <c r="Y45" s="11"/>
      <c r="Z45" s="9">
        <v>1</v>
      </c>
      <c r="AA45" s="9">
        <v>2</v>
      </c>
      <c r="AB45" s="37" t="s">
        <v>92</v>
      </c>
      <c r="AC45" s="39" t="s">
        <v>92</v>
      </c>
      <c r="AD45" s="40"/>
      <c r="AE45" s="9">
        <v>0</v>
      </c>
      <c r="AF45" s="9">
        <v>0</v>
      </c>
      <c r="AG45" s="7">
        <v>6.9444444444444448E-2</v>
      </c>
      <c r="AH45" s="8" t="s">
        <v>132</v>
      </c>
      <c r="AI45" s="7"/>
      <c r="AJ45" s="17">
        <v>1</v>
      </c>
      <c r="AK45" s="9">
        <v>1</v>
      </c>
      <c r="AM45" s="9">
        <f t="shared" si="0"/>
        <v>7</v>
      </c>
      <c r="AN45" s="9">
        <f t="shared" si="1"/>
        <v>14</v>
      </c>
    </row>
    <row r="46" spans="1:40">
      <c r="A46" s="1">
        <v>72</v>
      </c>
      <c r="B46" s="12" t="s">
        <v>43</v>
      </c>
      <c r="C46" s="7">
        <v>8.3333333333333329E-2</v>
      </c>
      <c r="D46" s="8" t="s">
        <v>141</v>
      </c>
      <c r="E46" s="8" t="s">
        <v>157</v>
      </c>
      <c r="F46" s="9">
        <v>2</v>
      </c>
      <c r="G46" s="9">
        <v>3</v>
      </c>
      <c r="H46" s="7">
        <v>8.3333333333333329E-2</v>
      </c>
      <c r="I46" s="8" t="s">
        <v>153</v>
      </c>
      <c r="J46" s="8"/>
      <c r="K46" s="9">
        <v>1</v>
      </c>
      <c r="L46" s="9">
        <v>1</v>
      </c>
      <c r="M46" s="7">
        <v>8.3333333333333329E-2</v>
      </c>
      <c r="N46" s="8" t="s">
        <v>231</v>
      </c>
      <c r="O46" s="8"/>
      <c r="P46" s="9">
        <v>1</v>
      </c>
      <c r="Q46" s="9">
        <v>1</v>
      </c>
      <c r="R46" s="7">
        <v>9.375E-2</v>
      </c>
      <c r="S46" s="8" t="s">
        <v>284</v>
      </c>
      <c r="T46" s="8"/>
      <c r="U46" s="9">
        <v>1</v>
      </c>
      <c r="V46" s="9">
        <v>1</v>
      </c>
      <c r="W46" s="22" t="s">
        <v>93</v>
      </c>
      <c r="X46" s="41" t="s">
        <v>93</v>
      </c>
      <c r="Y46" s="42"/>
      <c r="Z46" s="9">
        <v>0</v>
      </c>
      <c r="AA46" s="9">
        <v>0</v>
      </c>
      <c r="AB46" s="37" t="s">
        <v>92</v>
      </c>
      <c r="AC46" s="39" t="s">
        <v>92</v>
      </c>
      <c r="AD46" s="40"/>
      <c r="AE46" s="9">
        <v>0</v>
      </c>
      <c r="AF46" s="9">
        <v>0</v>
      </c>
      <c r="AG46" s="7">
        <v>7.9861111111111105E-2</v>
      </c>
      <c r="AH46" s="8" t="s">
        <v>161</v>
      </c>
      <c r="AI46" s="7" t="s">
        <v>357</v>
      </c>
      <c r="AJ46" s="17">
        <v>2</v>
      </c>
      <c r="AK46" s="9">
        <v>2</v>
      </c>
      <c r="AM46" s="9">
        <f t="shared" si="0"/>
        <v>7</v>
      </c>
      <c r="AN46" s="9">
        <f t="shared" si="1"/>
        <v>8</v>
      </c>
    </row>
    <row r="47" spans="1:40">
      <c r="A47" s="1">
        <v>51</v>
      </c>
      <c r="B47" s="6" t="s">
        <v>44</v>
      </c>
      <c r="C47" s="7">
        <v>8.3333333333333329E-2</v>
      </c>
      <c r="D47" s="8" t="s">
        <v>156</v>
      </c>
      <c r="E47" s="8" t="s">
        <v>169</v>
      </c>
      <c r="F47" s="9">
        <v>2</v>
      </c>
      <c r="G47" s="9">
        <v>4</v>
      </c>
      <c r="H47" s="7">
        <v>8.3333333333333329E-2</v>
      </c>
      <c r="I47" s="8" t="s">
        <v>192</v>
      </c>
      <c r="J47" s="8" t="s">
        <v>156</v>
      </c>
      <c r="K47" s="9">
        <v>2</v>
      </c>
      <c r="L47" s="9">
        <v>2</v>
      </c>
      <c r="M47" s="7">
        <v>8.3333333333333329E-2</v>
      </c>
      <c r="N47" s="8" t="s">
        <v>150</v>
      </c>
      <c r="O47" s="8"/>
      <c r="P47" s="9">
        <v>1</v>
      </c>
      <c r="Q47" s="9">
        <v>2</v>
      </c>
      <c r="R47" s="7">
        <v>8.3333333333333329E-2</v>
      </c>
      <c r="S47" s="8" t="s">
        <v>182</v>
      </c>
      <c r="T47" s="8" t="s">
        <v>288</v>
      </c>
      <c r="U47" s="9">
        <v>2</v>
      </c>
      <c r="V47" s="9">
        <v>2</v>
      </c>
      <c r="W47" s="22" t="s">
        <v>93</v>
      </c>
      <c r="X47" s="41" t="s">
        <v>93</v>
      </c>
      <c r="Y47" s="42"/>
      <c r="Z47" s="9">
        <v>0</v>
      </c>
      <c r="AA47" s="9">
        <v>0</v>
      </c>
      <c r="AB47" s="37" t="s">
        <v>92</v>
      </c>
      <c r="AC47" s="39" t="s">
        <v>92</v>
      </c>
      <c r="AD47" s="40"/>
      <c r="AE47" s="9">
        <v>0</v>
      </c>
      <c r="AF47" s="9">
        <v>0</v>
      </c>
      <c r="AG47" s="7"/>
      <c r="AH47" s="8"/>
      <c r="AI47" s="7"/>
      <c r="AJ47" s="9">
        <v>0</v>
      </c>
      <c r="AK47" s="9">
        <v>0</v>
      </c>
      <c r="AM47" s="9">
        <f t="shared" si="0"/>
        <v>7</v>
      </c>
      <c r="AN47" s="9">
        <f t="shared" si="1"/>
        <v>10</v>
      </c>
    </row>
    <row r="48" spans="1:40">
      <c r="A48" s="1">
        <v>56</v>
      </c>
      <c r="B48" s="6" t="s">
        <v>89</v>
      </c>
      <c r="C48" s="7">
        <v>9.0277777777777776E-2</v>
      </c>
      <c r="D48" s="8" t="s">
        <v>167</v>
      </c>
      <c r="E48" s="8"/>
      <c r="F48" s="9">
        <v>1</v>
      </c>
      <c r="G48" s="9">
        <v>1</v>
      </c>
      <c r="H48" s="7">
        <v>8.3333333333333329E-2</v>
      </c>
      <c r="I48" s="8" t="s">
        <v>157</v>
      </c>
      <c r="J48" s="8"/>
      <c r="K48" s="9">
        <v>1</v>
      </c>
      <c r="L48" s="9">
        <v>1</v>
      </c>
      <c r="M48" s="7">
        <v>8.3333333333333329E-2</v>
      </c>
      <c r="N48" s="8" t="s">
        <v>220</v>
      </c>
      <c r="O48" s="8"/>
      <c r="P48" s="9">
        <v>1</v>
      </c>
      <c r="Q48" s="9">
        <v>3</v>
      </c>
      <c r="R48" s="7">
        <v>8.3333333333333329E-2</v>
      </c>
      <c r="S48" s="8" t="s">
        <v>286</v>
      </c>
      <c r="T48" s="8" t="s">
        <v>292</v>
      </c>
      <c r="U48" s="9">
        <v>2</v>
      </c>
      <c r="V48" s="9">
        <v>4</v>
      </c>
      <c r="W48" s="10">
        <v>8.3333333333333329E-2</v>
      </c>
      <c r="X48" s="8" t="s">
        <v>308</v>
      </c>
      <c r="Y48" s="11"/>
      <c r="Z48" s="9">
        <v>1</v>
      </c>
      <c r="AA48" s="9">
        <v>2</v>
      </c>
      <c r="AB48" s="37" t="s">
        <v>92</v>
      </c>
      <c r="AC48" s="39" t="s">
        <v>92</v>
      </c>
      <c r="AD48" s="40"/>
      <c r="AE48" s="9">
        <v>0</v>
      </c>
      <c r="AF48" s="9">
        <v>0</v>
      </c>
      <c r="AG48" s="7">
        <v>8.3333333333333329E-2</v>
      </c>
      <c r="AH48" s="8" t="s">
        <v>135</v>
      </c>
      <c r="AI48" s="7" t="s">
        <v>355</v>
      </c>
      <c r="AJ48" s="17">
        <v>2</v>
      </c>
      <c r="AK48" s="9">
        <v>4</v>
      </c>
      <c r="AM48" s="9">
        <f t="shared" si="0"/>
        <v>8</v>
      </c>
      <c r="AN48" s="9">
        <f t="shared" si="1"/>
        <v>15</v>
      </c>
    </row>
    <row r="49" spans="1:40">
      <c r="B49" s="6" t="s">
        <v>45</v>
      </c>
      <c r="C49" s="7">
        <v>0.1111111111111111</v>
      </c>
      <c r="D49" s="8" t="s">
        <v>159</v>
      </c>
      <c r="E49" s="8"/>
      <c r="F49" s="9">
        <v>1</v>
      </c>
      <c r="G49" s="9">
        <v>3</v>
      </c>
      <c r="H49" s="22" t="s">
        <v>93</v>
      </c>
      <c r="I49" s="41" t="s">
        <v>93</v>
      </c>
      <c r="J49" s="42"/>
      <c r="K49" s="9">
        <v>0</v>
      </c>
      <c r="L49" s="9">
        <v>0</v>
      </c>
      <c r="M49" s="7">
        <v>0.10069444444444443</v>
      </c>
      <c r="N49" s="8" t="s">
        <v>223</v>
      </c>
      <c r="O49" s="8"/>
      <c r="P49" s="9">
        <v>1</v>
      </c>
      <c r="Q49" s="9">
        <v>1</v>
      </c>
      <c r="R49" s="7">
        <v>8.3333333333333329E-2</v>
      </c>
      <c r="S49" s="8" t="s">
        <v>282</v>
      </c>
      <c r="T49" s="8" t="s">
        <v>291</v>
      </c>
      <c r="U49" s="9">
        <v>2</v>
      </c>
      <c r="V49" s="9">
        <v>4</v>
      </c>
      <c r="W49" s="10">
        <v>9.0277777777777776E-2</v>
      </c>
      <c r="X49" s="8" t="s">
        <v>159</v>
      </c>
      <c r="Y49" s="11"/>
      <c r="Z49" s="9">
        <v>1</v>
      </c>
      <c r="AA49" s="9">
        <v>3</v>
      </c>
      <c r="AB49" s="38" t="s">
        <v>93</v>
      </c>
      <c r="AC49" s="41" t="s">
        <v>93</v>
      </c>
      <c r="AD49" s="42"/>
      <c r="AE49" s="9">
        <v>0</v>
      </c>
      <c r="AF49" s="9">
        <v>0</v>
      </c>
      <c r="AG49" s="37" t="s">
        <v>92</v>
      </c>
      <c r="AH49" s="39" t="s">
        <v>92</v>
      </c>
      <c r="AI49" s="40"/>
      <c r="AJ49" s="17">
        <v>0</v>
      </c>
      <c r="AK49" s="9">
        <v>0</v>
      </c>
      <c r="AM49" s="9">
        <f t="shared" si="0"/>
        <v>5</v>
      </c>
      <c r="AN49" s="9">
        <f t="shared" si="1"/>
        <v>11</v>
      </c>
    </row>
    <row r="50" spans="1:40" ht="56.25">
      <c r="B50" s="6" t="s">
        <v>46</v>
      </c>
      <c r="C50" s="7">
        <v>9.0277777777777776E-2</v>
      </c>
      <c r="D50" s="8" t="s">
        <v>143</v>
      </c>
      <c r="E50" s="8" t="s">
        <v>168</v>
      </c>
      <c r="F50" s="9">
        <v>3</v>
      </c>
      <c r="G50" s="9">
        <v>5</v>
      </c>
      <c r="H50" s="7">
        <v>9.0277777777777776E-2</v>
      </c>
      <c r="I50" s="8" t="s">
        <v>182</v>
      </c>
      <c r="J50" s="8" t="s">
        <v>198</v>
      </c>
      <c r="K50" s="9">
        <v>4</v>
      </c>
      <c r="L50" s="9">
        <v>4</v>
      </c>
      <c r="M50" s="7">
        <v>8.3333333333333329E-2</v>
      </c>
      <c r="N50" s="8" t="s">
        <v>113</v>
      </c>
      <c r="O50" s="8" t="s">
        <v>238</v>
      </c>
      <c r="P50" s="9">
        <v>2</v>
      </c>
      <c r="Q50" s="9">
        <v>2</v>
      </c>
      <c r="R50" s="22" t="s">
        <v>93</v>
      </c>
      <c r="S50" s="41" t="s">
        <v>93</v>
      </c>
      <c r="T50" s="42"/>
      <c r="U50" s="9">
        <v>0</v>
      </c>
      <c r="V50" s="9">
        <v>0</v>
      </c>
      <c r="W50" s="10">
        <v>9.0277777777777776E-2</v>
      </c>
      <c r="X50" s="8" t="s">
        <v>310</v>
      </c>
      <c r="Y50" s="11" t="s">
        <v>315</v>
      </c>
      <c r="Z50" s="9">
        <v>2</v>
      </c>
      <c r="AA50" s="9">
        <v>5</v>
      </c>
      <c r="AB50" s="7">
        <v>9.0277777777777776E-2</v>
      </c>
      <c r="AC50" s="8" t="s">
        <v>161</v>
      </c>
      <c r="AD50" s="8" t="s">
        <v>341</v>
      </c>
      <c r="AE50" s="9">
        <v>2</v>
      </c>
      <c r="AF50" s="9">
        <v>3</v>
      </c>
      <c r="AG50" s="37" t="s">
        <v>92</v>
      </c>
      <c r="AH50" s="39" t="s">
        <v>92</v>
      </c>
      <c r="AI50" s="40"/>
      <c r="AJ50" s="17">
        <v>0</v>
      </c>
      <c r="AK50" s="9">
        <v>0</v>
      </c>
      <c r="AM50" s="9">
        <f t="shared" si="0"/>
        <v>13</v>
      </c>
      <c r="AN50" s="9">
        <f t="shared" si="1"/>
        <v>19</v>
      </c>
    </row>
    <row r="51" spans="1:40">
      <c r="B51" s="6" t="s">
        <v>175</v>
      </c>
      <c r="C51" s="7">
        <v>7.2916666666666671E-2</v>
      </c>
      <c r="D51" s="25"/>
      <c r="E51" s="26"/>
      <c r="F51" s="9">
        <v>0</v>
      </c>
      <c r="G51" s="9">
        <v>0</v>
      </c>
      <c r="H51" s="7">
        <v>8.3333333333333329E-2</v>
      </c>
      <c r="I51" s="8" t="s">
        <v>187</v>
      </c>
      <c r="J51" s="8"/>
      <c r="K51" s="9">
        <v>1</v>
      </c>
      <c r="L51" s="9">
        <v>2</v>
      </c>
      <c r="M51" s="7">
        <v>7.6388888888888895E-2</v>
      </c>
      <c r="N51" s="8"/>
      <c r="O51" s="8"/>
      <c r="P51" s="9">
        <v>0</v>
      </c>
      <c r="Q51" s="9">
        <v>0</v>
      </c>
      <c r="R51" s="7">
        <v>6.9444444444444434E-2</v>
      </c>
      <c r="S51" s="8" t="s">
        <v>283</v>
      </c>
      <c r="T51" s="8"/>
      <c r="U51" s="9">
        <v>1</v>
      </c>
      <c r="V51" s="9">
        <v>3</v>
      </c>
      <c r="W51" s="10">
        <v>7.2916666666666671E-2</v>
      </c>
      <c r="X51" s="8" t="s">
        <v>149</v>
      </c>
      <c r="Y51" s="11" t="s">
        <v>313</v>
      </c>
      <c r="Z51" s="9">
        <v>2</v>
      </c>
      <c r="AA51" s="9">
        <v>5</v>
      </c>
      <c r="AB51" s="7">
        <v>7.9861111111111105E-2</v>
      </c>
      <c r="AC51" s="33" t="s">
        <v>173</v>
      </c>
      <c r="AD51" s="8"/>
      <c r="AE51" s="9">
        <v>1</v>
      </c>
      <c r="AF51" s="9">
        <v>3</v>
      </c>
      <c r="AG51" s="37" t="s">
        <v>92</v>
      </c>
      <c r="AH51" s="39" t="s">
        <v>92</v>
      </c>
      <c r="AI51" s="40"/>
      <c r="AJ51" s="17">
        <v>0</v>
      </c>
      <c r="AK51" s="9">
        <v>0</v>
      </c>
      <c r="AM51" s="9">
        <f t="shared" si="0"/>
        <v>5</v>
      </c>
      <c r="AN51" s="9">
        <f t="shared" si="1"/>
        <v>13</v>
      </c>
    </row>
    <row r="52" spans="1:40" ht="56.25">
      <c r="A52" s="1">
        <v>42</v>
      </c>
      <c r="B52" s="6" t="s">
        <v>47</v>
      </c>
      <c r="C52" s="21" t="s">
        <v>92</v>
      </c>
      <c r="D52" s="39" t="s">
        <v>92</v>
      </c>
      <c r="E52" s="40"/>
      <c r="F52" s="9">
        <v>0</v>
      </c>
      <c r="G52" s="9">
        <v>0</v>
      </c>
      <c r="H52" s="7">
        <v>8.3333333333333329E-2</v>
      </c>
      <c r="I52" s="8" t="s">
        <v>154</v>
      </c>
      <c r="J52" s="8" t="s">
        <v>165</v>
      </c>
      <c r="K52" s="9">
        <v>2</v>
      </c>
      <c r="L52" s="9">
        <v>6</v>
      </c>
      <c r="M52" s="7">
        <v>7.2916666666666671E-2</v>
      </c>
      <c r="N52" s="8" t="s">
        <v>216</v>
      </c>
      <c r="O52" s="8" t="s">
        <v>235</v>
      </c>
      <c r="P52" s="9">
        <v>2</v>
      </c>
      <c r="Q52" s="9">
        <v>6</v>
      </c>
      <c r="R52" s="7">
        <v>7.2916666666666671E-2</v>
      </c>
      <c r="S52" s="8" t="s">
        <v>218</v>
      </c>
      <c r="T52" s="8"/>
      <c r="U52" s="9">
        <v>1</v>
      </c>
      <c r="V52" s="9">
        <v>2</v>
      </c>
      <c r="W52" s="10">
        <v>7.2916666666666671E-2</v>
      </c>
      <c r="X52" s="8" t="s">
        <v>133</v>
      </c>
      <c r="Y52" s="8" t="s">
        <v>316</v>
      </c>
      <c r="Z52" s="9">
        <v>4</v>
      </c>
      <c r="AA52" s="9">
        <v>5</v>
      </c>
      <c r="AB52" s="7">
        <v>7.2916666666666671E-2</v>
      </c>
      <c r="AC52" s="33" t="s">
        <v>187</v>
      </c>
      <c r="AD52" s="8"/>
      <c r="AE52" s="9">
        <v>1</v>
      </c>
      <c r="AF52" s="9">
        <v>3</v>
      </c>
      <c r="AG52" s="7">
        <v>6.9444444444444448E-2</v>
      </c>
      <c r="AH52" s="8" t="s">
        <v>351</v>
      </c>
      <c r="AI52" s="7" t="s">
        <v>357</v>
      </c>
      <c r="AJ52" s="9">
        <v>2</v>
      </c>
      <c r="AK52" s="9">
        <v>2</v>
      </c>
      <c r="AM52" s="9">
        <f t="shared" si="0"/>
        <v>12</v>
      </c>
      <c r="AN52" s="9">
        <f t="shared" si="1"/>
        <v>24</v>
      </c>
    </row>
    <row r="53" spans="1:40">
      <c r="B53" s="6" t="s">
        <v>48</v>
      </c>
      <c r="C53" s="21" t="s">
        <v>92</v>
      </c>
      <c r="D53" s="39" t="s">
        <v>92</v>
      </c>
      <c r="E53" s="40"/>
      <c r="F53" s="9">
        <v>0</v>
      </c>
      <c r="G53" s="9">
        <v>0</v>
      </c>
      <c r="H53" s="22" t="s">
        <v>93</v>
      </c>
      <c r="I53" s="41" t="s">
        <v>93</v>
      </c>
      <c r="J53" s="42"/>
      <c r="K53" s="9">
        <v>0</v>
      </c>
      <c r="L53" s="9">
        <v>0</v>
      </c>
      <c r="M53" s="22" t="s">
        <v>93</v>
      </c>
      <c r="N53" s="41" t="s">
        <v>93</v>
      </c>
      <c r="O53" s="42"/>
      <c r="P53" s="9">
        <v>0</v>
      </c>
      <c r="Q53" s="9">
        <v>0</v>
      </c>
      <c r="R53" s="22" t="s">
        <v>93</v>
      </c>
      <c r="S53" s="41" t="s">
        <v>93</v>
      </c>
      <c r="T53" s="42"/>
      <c r="U53" s="9">
        <v>0</v>
      </c>
      <c r="V53" s="9">
        <v>0</v>
      </c>
      <c r="W53" s="22" t="s">
        <v>93</v>
      </c>
      <c r="X53" s="41" t="s">
        <v>93</v>
      </c>
      <c r="Y53" s="42"/>
      <c r="Z53" s="9">
        <v>0</v>
      </c>
      <c r="AA53" s="9">
        <v>0</v>
      </c>
      <c r="AB53" s="7">
        <v>7.6388888888888895E-2</v>
      </c>
      <c r="AC53" s="8" t="s">
        <v>339</v>
      </c>
      <c r="AD53" s="8"/>
      <c r="AE53" s="9">
        <v>1</v>
      </c>
      <c r="AF53" s="9">
        <v>3</v>
      </c>
      <c r="AG53" s="7">
        <v>7.2916666666666671E-2</v>
      </c>
      <c r="AH53" s="33" t="s">
        <v>173</v>
      </c>
      <c r="AI53" s="33" t="s">
        <v>159</v>
      </c>
      <c r="AJ53" s="9">
        <v>2</v>
      </c>
      <c r="AK53" s="9">
        <v>6</v>
      </c>
      <c r="AM53" s="9">
        <f t="shared" si="0"/>
        <v>3</v>
      </c>
      <c r="AN53" s="9">
        <f t="shared" si="1"/>
        <v>9</v>
      </c>
    </row>
    <row r="54" spans="1:40" ht="37.5">
      <c r="A54" s="1">
        <v>61</v>
      </c>
      <c r="B54" s="6" t="s">
        <v>83</v>
      </c>
      <c r="C54" s="21" t="s">
        <v>92</v>
      </c>
      <c r="D54" s="39" t="s">
        <v>92</v>
      </c>
      <c r="E54" s="40"/>
      <c r="F54" s="9">
        <v>0</v>
      </c>
      <c r="G54" s="9">
        <v>0</v>
      </c>
      <c r="H54" s="7">
        <v>7.6388888888888895E-2</v>
      </c>
      <c r="I54" s="8" t="s">
        <v>149</v>
      </c>
      <c r="J54" s="8"/>
      <c r="K54" s="9">
        <v>1</v>
      </c>
      <c r="L54" s="9">
        <v>2</v>
      </c>
      <c r="M54" s="7">
        <v>9.375E-2</v>
      </c>
      <c r="N54" s="8" t="s">
        <v>224</v>
      </c>
      <c r="O54" s="8"/>
      <c r="P54" s="9">
        <v>1</v>
      </c>
      <c r="Q54" s="9">
        <v>1</v>
      </c>
      <c r="R54" s="22" t="s">
        <v>93</v>
      </c>
      <c r="S54" s="41" t="s">
        <v>93</v>
      </c>
      <c r="T54" s="42"/>
      <c r="U54" s="9">
        <v>0</v>
      </c>
      <c r="V54" s="9">
        <v>0</v>
      </c>
      <c r="W54" s="10">
        <v>0.10416666666666667</v>
      </c>
      <c r="X54" s="8" t="s">
        <v>143</v>
      </c>
      <c r="Y54" s="8" t="s">
        <v>311</v>
      </c>
      <c r="Z54" s="9">
        <v>3</v>
      </c>
      <c r="AA54" s="9">
        <v>5</v>
      </c>
      <c r="AB54" s="7">
        <v>0.10069444444444445</v>
      </c>
      <c r="AC54" s="33" t="s">
        <v>143</v>
      </c>
      <c r="AD54" s="8" t="s">
        <v>343</v>
      </c>
      <c r="AE54" s="9">
        <v>3</v>
      </c>
      <c r="AF54" s="9">
        <v>6</v>
      </c>
      <c r="AG54" s="7"/>
      <c r="AH54" s="8"/>
      <c r="AI54" s="7"/>
      <c r="AJ54" s="9">
        <v>0</v>
      </c>
      <c r="AK54" s="9">
        <v>0</v>
      </c>
      <c r="AM54" s="9">
        <f t="shared" si="0"/>
        <v>8</v>
      </c>
      <c r="AN54" s="9">
        <f t="shared" si="1"/>
        <v>14</v>
      </c>
    </row>
    <row r="55" spans="1:40" s="30" customFormat="1">
      <c r="A55" s="1"/>
      <c r="B55" s="11" t="s">
        <v>80</v>
      </c>
      <c r="C55" s="32">
        <v>7.6388888888888895E-2</v>
      </c>
      <c r="D55" s="33" t="s">
        <v>162</v>
      </c>
      <c r="E55" s="33"/>
      <c r="F55" s="34">
        <v>1</v>
      </c>
      <c r="G55" s="34">
        <v>3</v>
      </c>
      <c r="H55" s="32">
        <v>7.2916666666666671E-2</v>
      </c>
      <c r="I55" s="33" t="s">
        <v>189</v>
      </c>
      <c r="J55" s="33" t="s">
        <v>199</v>
      </c>
      <c r="K55" s="34">
        <v>2</v>
      </c>
      <c r="L55" s="34">
        <v>3</v>
      </c>
      <c r="M55" s="32">
        <v>7.6388888888888895E-2</v>
      </c>
      <c r="N55" s="33" t="s">
        <v>226</v>
      </c>
      <c r="O55" s="33" t="s">
        <v>236</v>
      </c>
      <c r="P55" s="34">
        <v>2</v>
      </c>
      <c r="Q55" s="34">
        <v>3</v>
      </c>
      <c r="R55" s="32">
        <v>0.15277777777777776</v>
      </c>
      <c r="S55" s="33" t="s">
        <v>219</v>
      </c>
      <c r="T55" s="33"/>
      <c r="U55" s="34">
        <v>1</v>
      </c>
      <c r="V55" s="34">
        <v>2</v>
      </c>
      <c r="W55" s="35">
        <v>8.3333333333333329E-2</v>
      </c>
      <c r="X55" s="33" t="s">
        <v>141</v>
      </c>
      <c r="Y55" s="11"/>
      <c r="Z55" s="34">
        <v>1</v>
      </c>
      <c r="AA55" s="34">
        <v>2</v>
      </c>
      <c r="AB55" s="32">
        <v>8.3333333333333329E-2</v>
      </c>
      <c r="AC55" s="33" t="s">
        <v>160</v>
      </c>
      <c r="AD55" s="33"/>
      <c r="AE55" s="34">
        <v>1</v>
      </c>
      <c r="AF55" s="34">
        <v>2</v>
      </c>
      <c r="AG55" s="32">
        <v>6.9444444444444448E-2</v>
      </c>
      <c r="AH55" s="33" t="s">
        <v>161</v>
      </c>
      <c r="AI55" s="32"/>
      <c r="AJ55" s="34">
        <v>1</v>
      </c>
      <c r="AK55" s="34">
        <v>1</v>
      </c>
      <c r="AL55" s="16"/>
      <c r="AM55" s="34">
        <f t="shared" si="0"/>
        <v>9</v>
      </c>
      <c r="AN55" s="34">
        <f t="shared" si="1"/>
        <v>16</v>
      </c>
    </row>
    <row r="56" spans="1:40" ht="49.5" customHeight="1">
      <c r="A56" s="1">
        <v>49</v>
      </c>
      <c r="B56" s="6" t="s">
        <v>49</v>
      </c>
      <c r="C56" s="7">
        <v>7.6388888888888895E-2</v>
      </c>
      <c r="D56" s="8" t="s">
        <v>157</v>
      </c>
      <c r="E56" s="8"/>
      <c r="F56" s="9">
        <v>1</v>
      </c>
      <c r="G56" s="9">
        <v>1</v>
      </c>
      <c r="H56" s="21" t="s">
        <v>92</v>
      </c>
      <c r="I56" s="39" t="s">
        <v>92</v>
      </c>
      <c r="J56" s="40"/>
      <c r="K56" s="9">
        <v>0</v>
      </c>
      <c r="L56" s="9">
        <v>0</v>
      </c>
      <c r="M56" s="7">
        <v>8.3333333333333329E-2</v>
      </c>
      <c r="N56" s="8" t="s">
        <v>217</v>
      </c>
      <c r="O56" s="8"/>
      <c r="P56" s="9">
        <v>1</v>
      </c>
      <c r="Q56" s="9">
        <v>2</v>
      </c>
      <c r="R56" s="7">
        <v>8.3333333333333329E-2</v>
      </c>
      <c r="S56" s="8" t="s">
        <v>285</v>
      </c>
      <c r="T56" s="8" t="s">
        <v>294</v>
      </c>
      <c r="U56" s="9">
        <v>3</v>
      </c>
      <c r="V56" s="9">
        <v>4</v>
      </c>
      <c r="W56" s="10">
        <v>8.3333333333333329E-2</v>
      </c>
      <c r="X56" s="8" t="s">
        <v>151</v>
      </c>
      <c r="Y56" s="11" t="s">
        <v>312</v>
      </c>
      <c r="Z56" s="9">
        <v>2</v>
      </c>
      <c r="AA56" s="9">
        <v>2</v>
      </c>
      <c r="AB56" s="7">
        <v>7.9861111111111105E-2</v>
      </c>
      <c r="AC56" s="8" t="s">
        <v>157</v>
      </c>
      <c r="AD56" s="8" t="s">
        <v>125</v>
      </c>
      <c r="AE56" s="9">
        <v>2</v>
      </c>
      <c r="AF56" s="9">
        <v>2</v>
      </c>
      <c r="AG56" s="7">
        <v>7.9861111111111105E-2</v>
      </c>
      <c r="AH56" s="33" t="s">
        <v>159</v>
      </c>
      <c r="AI56" s="7"/>
      <c r="AJ56" s="9">
        <v>1</v>
      </c>
      <c r="AK56" s="9">
        <v>3</v>
      </c>
      <c r="AM56" s="9">
        <f t="shared" si="0"/>
        <v>10</v>
      </c>
      <c r="AN56" s="9">
        <f t="shared" si="1"/>
        <v>14</v>
      </c>
    </row>
    <row r="57" spans="1:40">
      <c r="A57" s="1">
        <v>16</v>
      </c>
      <c r="B57" s="6" t="s">
        <v>50</v>
      </c>
      <c r="C57" s="7">
        <v>9.7222222222222224E-2</v>
      </c>
      <c r="D57" s="8" t="s">
        <v>173</v>
      </c>
      <c r="E57" s="8" t="s">
        <v>165</v>
      </c>
      <c r="F57" s="9">
        <v>2</v>
      </c>
      <c r="G57" s="9">
        <v>6</v>
      </c>
      <c r="H57" s="7">
        <v>0.10416666666666667</v>
      </c>
      <c r="I57" s="8" t="s">
        <v>193</v>
      </c>
      <c r="J57" s="8"/>
      <c r="K57" s="9">
        <v>1</v>
      </c>
      <c r="L57" s="9">
        <v>3</v>
      </c>
      <c r="M57" s="7">
        <v>0.10416666666666667</v>
      </c>
      <c r="N57" s="8" t="s">
        <v>225</v>
      </c>
      <c r="O57" s="8" t="s">
        <v>237</v>
      </c>
      <c r="P57" s="9">
        <v>2</v>
      </c>
      <c r="Q57" s="9">
        <v>3</v>
      </c>
      <c r="R57" s="7">
        <v>0.1388888888888889</v>
      </c>
      <c r="S57" s="8" t="s">
        <v>220</v>
      </c>
      <c r="T57" s="8" t="s">
        <v>290</v>
      </c>
      <c r="U57" s="9">
        <v>2</v>
      </c>
      <c r="V57" s="9">
        <v>4</v>
      </c>
      <c r="W57" s="10">
        <v>8.3333333333333329E-2</v>
      </c>
      <c r="X57" s="8" t="s">
        <v>123</v>
      </c>
      <c r="Y57" s="11" t="s">
        <v>165</v>
      </c>
      <c r="Z57" s="9">
        <v>2</v>
      </c>
      <c r="AA57" s="9">
        <v>5</v>
      </c>
      <c r="AB57" s="7">
        <v>9.375E-2</v>
      </c>
      <c r="AC57" s="33" t="s">
        <v>110</v>
      </c>
      <c r="AD57" s="8"/>
      <c r="AE57" s="9">
        <v>1</v>
      </c>
      <c r="AF57" s="9">
        <v>2</v>
      </c>
      <c r="AG57" s="38" t="s">
        <v>93</v>
      </c>
      <c r="AH57" s="41" t="s">
        <v>93</v>
      </c>
      <c r="AI57" s="42"/>
      <c r="AJ57" s="9">
        <v>0</v>
      </c>
      <c r="AK57" s="9">
        <v>0</v>
      </c>
      <c r="AM57" s="9">
        <f t="shared" si="0"/>
        <v>10</v>
      </c>
      <c r="AN57" s="9">
        <f t="shared" si="1"/>
        <v>23</v>
      </c>
    </row>
    <row r="58" spans="1:40">
      <c r="A58" s="1">
        <v>64</v>
      </c>
      <c r="B58" s="6" t="s">
        <v>51</v>
      </c>
      <c r="C58" s="24" t="s">
        <v>97</v>
      </c>
      <c r="D58" s="43" t="s">
        <v>97</v>
      </c>
      <c r="E58" s="44"/>
      <c r="F58" s="9">
        <v>0</v>
      </c>
      <c r="G58" s="9">
        <v>0</v>
      </c>
      <c r="H58" s="24" t="s">
        <v>97</v>
      </c>
      <c r="I58" s="43" t="s">
        <v>97</v>
      </c>
      <c r="J58" s="44"/>
      <c r="K58" s="9">
        <v>0</v>
      </c>
      <c r="L58" s="9">
        <v>0</v>
      </c>
      <c r="M58" s="24" t="s">
        <v>97</v>
      </c>
      <c r="N58" s="43" t="s">
        <v>97</v>
      </c>
      <c r="O58" s="44"/>
      <c r="P58" s="9">
        <v>0</v>
      </c>
      <c r="Q58" s="9">
        <v>0</v>
      </c>
      <c r="R58" s="24" t="s">
        <v>97</v>
      </c>
      <c r="S58" s="43" t="s">
        <v>97</v>
      </c>
      <c r="T58" s="44"/>
      <c r="U58" s="9">
        <v>0</v>
      </c>
      <c r="V58" s="9">
        <v>0</v>
      </c>
      <c r="W58" s="24" t="s">
        <v>97</v>
      </c>
      <c r="X58" s="43" t="s">
        <v>97</v>
      </c>
      <c r="Y58" s="44"/>
      <c r="Z58" s="9">
        <v>0</v>
      </c>
      <c r="AA58" s="9">
        <v>0</v>
      </c>
      <c r="AB58" s="24" t="s">
        <v>97</v>
      </c>
      <c r="AC58" s="43" t="s">
        <v>97</v>
      </c>
      <c r="AD58" s="44"/>
      <c r="AE58" s="9">
        <v>0</v>
      </c>
      <c r="AF58" s="9">
        <v>0</v>
      </c>
      <c r="AG58" s="24" t="s">
        <v>97</v>
      </c>
      <c r="AH58" s="43" t="s">
        <v>97</v>
      </c>
      <c r="AI58" s="44"/>
      <c r="AJ58" s="9">
        <v>0</v>
      </c>
      <c r="AK58" s="9">
        <v>0</v>
      </c>
      <c r="AM58" s="9">
        <f t="shared" si="0"/>
        <v>0</v>
      </c>
      <c r="AN58" s="9">
        <f t="shared" si="1"/>
        <v>0</v>
      </c>
    </row>
    <row r="59" spans="1:40">
      <c r="A59" s="1">
        <v>68</v>
      </c>
      <c r="B59" s="6" t="s">
        <v>78</v>
      </c>
      <c r="C59" s="7">
        <v>9.7222222222222224E-2</v>
      </c>
      <c r="D59" s="8" t="s">
        <v>134</v>
      </c>
      <c r="E59" s="8"/>
      <c r="F59" s="9">
        <v>1</v>
      </c>
      <c r="G59" s="9">
        <v>2</v>
      </c>
      <c r="H59" s="7">
        <v>9.7222222222222224E-2</v>
      </c>
      <c r="I59" s="8" t="s">
        <v>194</v>
      </c>
      <c r="J59" s="8"/>
      <c r="K59" s="9">
        <v>1</v>
      </c>
      <c r="L59" s="9">
        <v>2</v>
      </c>
      <c r="M59" s="7">
        <v>9.7222222222222224E-2</v>
      </c>
      <c r="N59" s="8" t="s">
        <v>221</v>
      </c>
      <c r="O59" s="8"/>
      <c r="P59" s="9">
        <v>1</v>
      </c>
      <c r="Q59" s="9">
        <v>2</v>
      </c>
      <c r="R59" s="7">
        <v>9.375E-2</v>
      </c>
      <c r="S59" s="8" t="s">
        <v>255</v>
      </c>
      <c r="T59" s="8"/>
      <c r="U59" s="9">
        <v>1</v>
      </c>
      <c r="V59" s="9">
        <v>2</v>
      </c>
      <c r="W59" s="22" t="s">
        <v>303</v>
      </c>
      <c r="X59" s="41" t="s">
        <v>303</v>
      </c>
      <c r="Y59" s="42"/>
      <c r="Z59" s="9">
        <v>0</v>
      </c>
      <c r="AA59" s="9">
        <v>0</v>
      </c>
      <c r="AB59" s="7">
        <v>0.10416666666666667</v>
      </c>
      <c r="AC59" s="8" t="s">
        <v>336</v>
      </c>
      <c r="AD59" s="33" t="s">
        <v>125</v>
      </c>
      <c r="AE59" s="9">
        <v>2</v>
      </c>
      <c r="AF59" s="9">
        <v>3</v>
      </c>
      <c r="AG59" s="7">
        <v>8.3333333333333329E-2</v>
      </c>
      <c r="AH59" s="8" t="s">
        <v>186</v>
      </c>
      <c r="AI59" s="7" t="s">
        <v>358</v>
      </c>
      <c r="AJ59" s="9">
        <v>2</v>
      </c>
      <c r="AK59" s="9">
        <v>6</v>
      </c>
      <c r="AM59" s="9">
        <f t="shared" si="0"/>
        <v>8</v>
      </c>
      <c r="AN59" s="9">
        <f t="shared" si="1"/>
        <v>17</v>
      </c>
    </row>
    <row r="60" spans="1:40" ht="37.5">
      <c r="B60" s="6" t="s">
        <v>52</v>
      </c>
      <c r="C60" s="22" t="s">
        <v>93</v>
      </c>
      <c r="D60" s="41" t="s">
        <v>93</v>
      </c>
      <c r="E60" s="42"/>
      <c r="F60" s="9">
        <v>0</v>
      </c>
      <c r="G60" s="9">
        <v>0</v>
      </c>
      <c r="H60" s="7">
        <v>0.13194444444444445</v>
      </c>
      <c r="I60" s="8" t="s">
        <v>161</v>
      </c>
      <c r="J60" s="8" t="s">
        <v>200</v>
      </c>
      <c r="K60" s="9">
        <v>3</v>
      </c>
      <c r="L60" s="9">
        <v>5</v>
      </c>
      <c r="M60" s="21" t="s">
        <v>92</v>
      </c>
      <c r="N60" s="39" t="s">
        <v>92</v>
      </c>
      <c r="O60" s="40"/>
      <c r="P60" s="9">
        <v>0</v>
      </c>
      <c r="Q60" s="9">
        <v>0</v>
      </c>
      <c r="R60" s="7">
        <v>0.125</v>
      </c>
      <c r="S60" s="8" t="s">
        <v>287</v>
      </c>
      <c r="T60" s="8"/>
      <c r="U60" s="9">
        <v>1</v>
      </c>
      <c r="V60" s="9">
        <v>6</v>
      </c>
      <c r="W60" s="10">
        <v>0.125</v>
      </c>
      <c r="X60" s="8" t="s">
        <v>309</v>
      </c>
      <c r="Y60" s="11"/>
      <c r="Z60" s="9">
        <v>1</v>
      </c>
      <c r="AA60" s="9">
        <v>2</v>
      </c>
      <c r="AB60" s="7">
        <v>0.125</v>
      </c>
      <c r="AC60" s="8" t="s">
        <v>340</v>
      </c>
      <c r="AD60" s="8"/>
      <c r="AE60" s="9">
        <v>1</v>
      </c>
      <c r="AF60" s="9">
        <v>1</v>
      </c>
      <c r="AG60" s="7">
        <v>8.6805555555555552E-2</v>
      </c>
      <c r="AH60" s="8" t="s">
        <v>157</v>
      </c>
      <c r="AI60" s="7" t="s">
        <v>167</v>
      </c>
      <c r="AJ60" s="9">
        <v>2</v>
      </c>
      <c r="AK60" s="9">
        <v>2</v>
      </c>
      <c r="AM60" s="9">
        <f t="shared" si="0"/>
        <v>8</v>
      </c>
      <c r="AN60" s="9">
        <f t="shared" si="1"/>
        <v>16</v>
      </c>
    </row>
    <row r="61" spans="1:40">
      <c r="A61" s="1">
        <v>71</v>
      </c>
      <c r="B61" s="6" t="s">
        <v>53</v>
      </c>
      <c r="C61" s="7">
        <v>0.125</v>
      </c>
      <c r="D61" s="8" t="s">
        <v>153</v>
      </c>
      <c r="E61" s="8" t="s">
        <v>170</v>
      </c>
      <c r="F61" s="9">
        <v>2</v>
      </c>
      <c r="G61" s="9">
        <v>4</v>
      </c>
      <c r="H61" s="7">
        <v>0.125</v>
      </c>
      <c r="I61" s="8" t="s">
        <v>196</v>
      </c>
      <c r="J61" s="8"/>
      <c r="K61" s="9">
        <v>1</v>
      </c>
      <c r="L61" s="9">
        <v>6</v>
      </c>
      <c r="M61" s="21" t="s">
        <v>92</v>
      </c>
      <c r="N61" s="39" t="s">
        <v>92</v>
      </c>
      <c r="O61" s="40"/>
      <c r="P61" s="9">
        <v>0</v>
      </c>
      <c r="Q61" s="9">
        <v>0</v>
      </c>
      <c r="R61" s="7">
        <v>0.13541666666666666</v>
      </c>
      <c r="S61" s="8" t="s">
        <v>228</v>
      </c>
      <c r="T61" s="8" t="s">
        <v>293</v>
      </c>
      <c r="U61" s="9">
        <v>2</v>
      </c>
      <c r="V61" s="9">
        <v>3</v>
      </c>
      <c r="W61" s="28" t="s">
        <v>96</v>
      </c>
      <c r="X61" s="45" t="s">
        <v>274</v>
      </c>
      <c r="Y61" s="46"/>
      <c r="Z61" s="9">
        <v>0</v>
      </c>
      <c r="AA61" s="9">
        <v>0</v>
      </c>
      <c r="AB61" s="7">
        <v>0.125</v>
      </c>
      <c r="AC61" s="8" t="s">
        <v>337</v>
      </c>
      <c r="AD61" s="8"/>
      <c r="AE61" s="9">
        <v>1</v>
      </c>
      <c r="AF61" s="9">
        <v>1</v>
      </c>
      <c r="AG61" s="7">
        <v>8.6805555555555552E-2</v>
      </c>
      <c r="AH61" s="8"/>
      <c r="AI61" s="7"/>
      <c r="AJ61" s="17">
        <v>0</v>
      </c>
      <c r="AK61" s="9">
        <v>0</v>
      </c>
      <c r="AM61" s="9">
        <f t="shared" si="0"/>
        <v>6</v>
      </c>
      <c r="AN61" s="9">
        <f t="shared" si="1"/>
        <v>14</v>
      </c>
    </row>
    <row r="62" spans="1:40" ht="56.25">
      <c r="A62" s="1">
        <v>57</v>
      </c>
      <c r="B62" s="6" t="s">
        <v>74</v>
      </c>
      <c r="C62" s="7">
        <v>9.0277777777777776E-2</v>
      </c>
      <c r="D62" s="8" t="s">
        <v>160</v>
      </c>
      <c r="E62" s="8"/>
      <c r="F62" s="9">
        <v>1</v>
      </c>
      <c r="G62" s="9">
        <v>2</v>
      </c>
      <c r="H62" s="7">
        <v>9.0277777777777776E-2</v>
      </c>
      <c r="I62" s="8" t="s">
        <v>159</v>
      </c>
      <c r="J62" s="8"/>
      <c r="K62" s="9">
        <v>1</v>
      </c>
      <c r="L62" s="9">
        <v>3</v>
      </c>
      <c r="M62" s="21" t="s">
        <v>92</v>
      </c>
      <c r="N62" s="39" t="s">
        <v>92</v>
      </c>
      <c r="O62" s="40"/>
      <c r="P62" s="9">
        <v>0</v>
      </c>
      <c r="Q62" s="9">
        <v>0</v>
      </c>
      <c r="R62" s="7">
        <v>8.3333333333333329E-2</v>
      </c>
      <c r="S62" s="8" t="s">
        <v>113</v>
      </c>
      <c r="T62" s="8" t="s">
        <v>289</v>
      </c>
      <c r="U62" s="9">
        <v>2</v>
      </c>
      <c r="V62" s="9">
        <v>3</v>
      </c>
      <c r="W62" s="10">
        <v>9.0277777777777776E-2</v>
      </c>
      <c r="X62" s="8" t="s">
        <v>157</v>
      </c>
      <c r="Y62" s="8" t="s">
        <v>314</v>
      </c>
      <c r="Z62" s="9">
        <v>2</v>
      </c>
      <c r="AA62" s="9">
        <v>8</v>
      </c>
      <c r="AB62" s="7">
        <v>9.0277777777777776E-2</v>
      </c>
      <c r="AC62" s="8" t="s">
        <v>338</v>
      </c>
      <c r="AD62" s="8"/>
      <c r="AE62" s="9">
        <v>1</v>
      </c>
      <c r="AF62" s="9">
        <v>2</v>
      </c>
      <c r="AG62" s="7">
        <v>7.6388888888888895E-2</v>
      </c>
      <c r="AH62" s="8" t="s">
        <v>157</v>
      </c>
      <c r="AI62" s="35" t="s">
        <v>359</v>
      </c>
      <c r="AJ62" s="9">
        <v>4</v>
      </c>
      <c r="AK62" s="9">
        <v>4</v>
      </c>
      <c r="AM62" s="9">
        <f t="shared" si="0"/>
        <v>11</v>
      </c>
      <c r="AN62" s="9">
        <f t="shared" si="1"/>
        <v>22</v>
      </c>
    </row>
    <row r="63" spans="1:40">
      <c r="B63" s="6" t="s">
        <v>54</v>
      </c>
      <c r="C63" s="7">
        <v>9.7222222222222224E-2</v>
      </c>
      <c r="D63" s="8" t="s">
        <v>158</v>
      </c>
      <c r="E63" s="8"/>
      <c r="F63" s="9">
        <v>1</v>
      </c>
      <c r="G63" s="9">
        <v>1</v>
      </c>
      <c r="H63" s="7">
        <v>9.375E-2</v>
      </c>
      <c r="I63" s="8" t="s">
        <v>190</v>
      </c>
      <c r="J63" s="8"/>
      <c r="K63" s="9">
        <v>1</v>
      </c>
      <c r="L63" s="9">
        <v>2</v>
      </c>
      <c r="M63" s="7">
        <v>0.10069444444444443</v>
      </c>
      <c r="N63" s="8" t="s">
        <v>222</v>
      </c>
      <c r="O63" s="8"/>
      <c r="P63" s="9">
        <v>1</v>
      </c>
      <c r="Q63" s="9">
        <v>2</v>
      </c>
      <c r="R63" s="21" t="s">
        <v>92</v>
      </c>
      <c r="S63" s="39" t="s">
        <v>92</v>
      </c>
      <c r="T63" s="40"/>
      <c r="U63" s="9">
        <v>0</v>
      </c>
      <c r="V63" s="9">
        <v>0</v>
      </c>
      <c r="W63" s="10">
        <v>8.3333333333333329E-2</v>
      </c>
      <c r="X63" s="8" t="s">
        <v>305</v>
      </c>
      <c r="Y63" s="11"/>
      <c r="Z63" s="9">
        <v>1</v>
      </c>
      <c r="AA63" s="9">
        <v>4</v>
      </c>
      <c r="AB63" s="7">
        <v>9.375E-2</v>
      </c>
      <c r="AC63" s="33" t="s">
        <v>305</v>
      </c>
      <c r="AD63" s="8"/>
      <c r="AE63" s="9">
        <v>1</v>
      </c>
      <c r="AF63" s="9">
        <v>4</v>
      </c>
      <c r="AG63" s="7">
        <v>8.3333333333333329E-2</v>
      </c>
      <c r="AH63" s="8" t="s">
        <v>355</v>
      </c>
      <c r="AI63" s="7"/>
      <c r="AJ63" s="17">
        <v>1</v>
      </c>
      <c r="AK63" s="9">
        <v>2</v>
      </c>
      <c r="AM63" s="9">
        <f t="shared" si="0"/>
        <v>6</v>
      </c>
      <c r="AN63" s="9">
        <f t="shared" si="1"/>
        <v>15</v>
      </c>
    </row>
    <row r="64" spans="1:40">
      <c r="B64" s="11" t="s">
        <v>79</v>
      </c>
      <c r="C64" s="7">
        <v>8.3333333333333329E-2</v>
      </c>
      <c r="D64" s="8" t="s">
        <v>155</v>
      </c>
      <c r="E64" s="8" t="s">
        <v>166</v>
      </c>
      <c r="F64" s="9">
        <v>2</v>
      </c>
      <c r="G64" s="9">
        <v>5</v>
      </c>
      <c r="H64" s="7">
        <v>8.3333333333333329E-2</v>
      </c>
      <c r="I64" s="8" t="s">
        <v>188</v>
      </c>
      <c r="J64" s="8"/>
      <c r="K64" s="9">
        <v>1</v>
      </c>
      <c r="L64" s="9">
        <v>2</v>
      </c>
      <c r="M64" s="7">
        <v>8.3333333333333329E-2</v>
      </c>
      <c r="N64" s="8" t="s">
        <v>232</v>
      </c>
      <c r="O64" s="8" t="s">
        <v>234</v>
      </c>
      <c r="P64" s="9">
        <v>2</v>
      </c>
      <c r="Q64" s="9">
        <v>6</v>
      </c>
      <c r="R64" s="21" t="s">
        <v>92</v>
      </c>
      <c r="S64" s="39" t="s">
        <v>92</v>
      </c>
      <c r="T64" s="40"/>
      <c r="U64" s="9">
        <v>0</v>
      </c>
      <c r="V64" s="9">
        <v>0</v>
      </c>
      <c r="W64" s="10">
        <v>8.3333333333333329E-2</v>
      </c>
      <c r="X64" s="8" t="s">
        <v>187</v>
      </c>
      <c r="Y64" s="11" t="s">
        <v>194</v>
      </c>
      <c r="Z64" s="9">
        <v>2</v>
      </c>
      <c r="AA64" s="9">
        <v>5</v>
      </c>
      <c r="AB64" s="7">
        <v>8.3333333333333329E-2</v>
      </c>
      <c r="AC64" s="33" t="s">
        <v>149</v>
      </c>
      <c r="AD64" s="8" t="s">
        <v>344</v>
      </c>
      <c r="AE64" s="9">
        <v>2</v>
      </c>
      <c r="AF64" s="9">
        <v>5</v>
      </c>
      <c r="AG64" s="7">
        <v>8.3333333333333329E-2</v>
      </c>
      <c r="AH64" s="33" t="s">
        <v>187</v>
      </c>
      <c r="AI64" s="7"/>
      <c r="AJ64" s="17">
        <v>1</v>
      </c>
      <c r="AK64" s="9">
        <v>3</v>
      </c>
      <c r="AM64" s="9">
        <f t="shared" si="0"/>
        <v>10</v>
      </c>
      <c r="AN64" s="9">
        <f t="shared" si="1"/>
        <v>26</v>
      </c>
    </row>
    <row r="65" spans="1:40">
      <c r="B65" s="11" t="s">
        <v>81</v>
      </c>
      <c r="C65" s="7">
        <v>9.0277777777777776E-2</v>
      </c>
      <c r="D65" s="8" t="s">
        <v>134</v>
      </c>
      <c r="E65" s="8" t="s">
        <v>171</v>
      </c>
      <c r="F65" s="9">
        <v>2</v>
      </c>
      <c r="G65" s="9">
        <v>3</v>
      </c>
      <c r="H65" s="7">
        <v>8.3333333333333329E-2</v>
      </c>
      <c r="I65" s="8" t="s">
        <v>134</v>
      </c>
      <c r="J65" s="8" t="s">
        <v>197</v>
      </c>
      <c r="K65" s="9">
        <v>2</v>
      </c>
      <c r="L65" s="9">
        <v>3</v>
      </c>
      <c r="M65" s="7">
        <v>0.10416666666666667</v>
      </c>
      <c r="N65" s="8" t="s">
        <v>219</v>
      </c>
      <c r="O65" s="8"/>
      <c r="P65" s="9">
        <v>1</v>
      </c>
      <c r="Q65" s="9">
        <v>2</v>
      </c>
      <c r="R65" s="21" t="s">
        <v>92</v>
      </c>
      <c r="S65" s="39" t="s">
        <v>92</v>
      </c>
      <c r="T65" s="40"/>
      <c r="U65" s="9">
        <v>0</v>
      </c>
      <c r="V65" s="9">
        <v>0</v>
      </c>
      <c r="W65" s="10">
        <v>0.10416666666666667</v>
      </c>
      <c r="X65" s="8" t="s">
        <v>134</v>
      </c>
      <c r="Y65" s="11"/>
      <c r="Z65" s="9">
        <v>1</v>
      </c>
      <c r="AA65" s="9">
        <v>2</v>
      </c>
      <c r="AB65" s="7">
        <v>8.3333333333333329E-2</v>
      </c>
      <c r="AC65" s="8" t="s">
        <v>134</v>
      </c>
      <c r="AD65" s="8"/>
      <c r="AE65" s="9">
        <v>1</v>
      </c>
      <c r="AF65" s="9">
        <v>2</v>
      </c>
      <c r="AG65" s="7">
        <v>8.3333333333333329E-2</v>
      </c>
      <c r="AH65" s="8" t="s">
        <v>134</v>
      </c>
      <c r="AI65" s="7"/>
      <c r="AJ65" s="17">
        <v>1</v>
      </c>
      <c r="AK65" s="9">
        <v>2</v>
      </c>
      <c r="AM65" s="9">
        <f t="shared" si="0"/>
        <v>8</v>
      </c>
      <c r="AN65" s="9">
        <f t="shared" si="1"/>
        <v>14</v>
      </c>
    </row>
    <row r="66" spans="1:40" ht="37.5">
      <c r="A66" s="30"/>
      <c r="B66" s="31" t="s">
        <v>90</v>
      </c>
      <c r="C66" s="38" t="s">
        <v>93</v>
      </c>
      <c r="D66" s="41" t="s">
        <v>93</v>
      </c>
      <c r="E66" s="42"/>
      <c r="F66" s="34">
        <v>0</v>
      </c>
      <c r="G66" s="34">
        <v>0</v>
      </c>
      <c r="H66" s="32">
        <v>8.3333333333333329E-2</v>
      </c>
      <c r="I66" s="33" t="s">
        <v>123</v>
      </c>
      <c r="J66" s="33" t="s">
        <v>116</v>
      </c>
      <c r="K66" s="34">
        <v>2</v>
      </c>
      <c r="L66" s="34">
        <v>3</v>
      </c>
      <c r="M66" s="32">
        <v>8.3333333333333329E-2</v>
      </c>
      <c r="N66" s="33" t="s">
        <v>218</v>
      </c>
      <c r="O66" s="33"/>
      <c r="P66" s="34">
        <v>1</v>
      </c>
      <c r="Q66" s="34">
        <v>2</v>
      </c>
      <c r="R66" s="37" t="s">
        <v>92</v>
      </c>
      <c r="S66" s="39" t="s">
        <v>92</v>
      </c>
      <c r="T66" s="40"/>
      <c r="U66" s="34">
        <v>0</v>
      </c>
      <c r="V66" s="34">
        <v>0</v>
      </c>
      <c r="W66" s="35">
        <v>8.3333333333333329E-2</v>
      </c>
      <c r="X66" s="33" t="s">
        <v>188</v>
      </c>
      <c r="Y66" s="33" t="s">
        <v>255</v>
      </c>
      <c r="Z66" s="34">
        <v>2</v>
      </c>
      <c r="AA66" s="34">
        <v>4</v>
      </c>
      <c r="AB66" s="32">
        <v>7.2916666666666671E-2</v>
      </c>
      <c r="AC66" s="33" t="s">
        <v>159</v>
      </c>
      <c r="AD66" s="33"/>
      <c r="AE66" s="34">
        <v>1</v>
      </c>
      <c r="AF66" s="34">
        <v>3</v>
      </c>
      <c r="AG66" s="32">
        <v>7.9861111111111105E-2</v>
      </c>
      <c r="AH66" s="33" t="s">
        <v>157</v>
      </c>
      <c r="AI66" s="35" t="s">
        <v>360</v>
      </c>
      <c r="AJ66" s="36">
        <v>3</v>
      </c>
      <c r="AK66" s="34">
        <v>3</v>
      </c>
      <c r="AL66" s="30"/>
      <c r="AM66" s="34">
        <v>3</v>
      </c>
      <c r="AN66" s="34">
        <v>5</v>
      </c>
    </row>
    <row r="67" spans="1:40" ht="37.5">
      <c r="B67" s="11" t="s">
        <v>84</v>
      </c>
      <c r="C67" s="7">
        <v>8.3333333333333329E-2</v>
      </c>
      <c r="D67" s="8" t="s">
        <v>149</v>
      </c>
      <c r="E67" s="8" t="s">
        <v>164</v>
      </c>
      <c r="F67" s="9">
        <v>2</v>
      </c>
      <c r="G67" s="9">
        <v>5</v>
      </c>
      <c r="H67" s="7">
        <v>9.375E-2</v>
      </c>
      <c r="I67" s="8" t="s">
        <v>143</v>
      </c>
      <c r="J67" s="8" t="s">
        <v>195</v>
      </c>
      <c r="K67" s="9">
        <v>2</v>
      </c>
      <c r="L67" s="9">
        <v>3</v>
      </c>
      <c r="M67" s="7">
        <v>8.3333333333333329E-2</v>
      </c>
      <c r="N67" s="8" t="s">
        <v>107</v>
      </c>
      <c r="O67" s="8" t="s">
        <v>228</v>
      </c>
      <c r="P67" s="9">
        <v>2</v>
      </c>
      <c r="Q67" s="9">
        <v>3</v>
      </c>
      <c r="R67" s="21" t="s">
        <v>92</v>
      </c>
      <c r="S67" s="39" t="s">
        <v>92</v>
      </c>
      <c r="T67" s="40"/>
      <c r="U67" s="9">
        <v>0</v>
      </c>
      <c r="V67" s="9">
        <v>0</v>
      </c>
      <c r="W67" s="10">
        <v>8.3333333333333329E-2</v>
      </c>
      <c r="X67" s="8" t="s">
        <v>307</v>
      </c>
      <c r="Y67" s="8" t="s">
        <v>317</v>
      </c>
      <c r="Z67" s="9">
        <v>3</v>
      </c>
      <c r="AA67" s="9">
        <v>7</v>
      </c>
      <c r="AB67" s="7">
        <v>9.0277777777777776E-2</v>
      </c>
      <c r="AC67" s="33" t="s">
        <v>141</v>
      </c>
      <c r="AD67" s="8" t="s">
        <v>157</v>
      </c>
      <c r="AE67" s="9">
        <v>2</v>
      </c>
      <c r="AF67" s="9">
        <v>3</v>
      </c>
      <c r="AG67" s="7">
        <v>8.3333333333333329E-2</v>
      </c>
      <c r="AH67" s="33" t="s">
        <v>149</v>
      </c>
      <c r="AI67" s="7" t="s">
        <v>356</v>
      </c>
      <c r="AJ67" s="17">
        <v>2</v>
      </c>
      <c r="AK67" s="9">
        <v>4</v>
      </c>
      <c r="AM67" s="9">
        <f t="shared" ref="AM67:AN86" si="2">AJ67+AE67+Z67+U67+P67+K67+F67</f>
        <v>13</v>
      </c>
      <c r="AN67" s="9">
        <f t="shared" si="2"/>
        <v>25</v>
      </c>
    </row>
    <row r="68" spans="1:40">
      <c r="B68" s="6" t="s">
        <v>56</v>
      </c>
      <c r="C68" s="7">
        <v>0.375</v>
      </c>
      <c r="D68" s="8" t="s">
        <v>171</v>
      </c>
      <c r="E68" s="8"/>
      <c r="F68" s="9">
        <v>1</v>
      </c>
      <c r="G68" s="9">
        <v>1</v>
      </c>
      <c r="H68" s="7">
        <v>0.3888888888888889</v>
      </c>
      <c r="I68" s="8" t="s">
        <v>171</v>
      </c>
      <c r="J68" s="8"/>
      <c r="K68" s="9">
        <v>1</v>
      </c>
      <c r="L68" s="9">
        <v>1</v>
      </c>
      <c r="M68" s="7">
        <v>0.39583333333333331</v>
      </c>
      <c r="N68" s="8"/>
      <c r="O68" s="8"/>
      <c r="P68" s="9">
        <v>0</v>
      </c>
      <c r="Q68" s="9">
        <v>0</v>
      </c>
      <c r="R68" s="7">
        <v>0.375</v>
      </c>
      <c r="S68" s="8"/>
      <c r="T68" s="8"/>
      <c r="U68" s="9">
        <v>0</v>
      </c>
      <c r="V68" s="9">
        <v>0</v>
      </c>
      <c r="W68" s="10">
        <v>0.375</v>
      </c>
      <c r="X68" s="8"/>
      <c r="Y68" s="11"/>
      <c r="Z68" s="9">
        <v>0</v>
      </c>
      <c r="AA68" s="9">
        <v>0</v>
      </c>
      <c r="AB68" s="7">
        <v>0.375</v>
      </c>
      <c r="AC68" s="8" t="s">
        <v>171</v>
      </c>
      <c r="AD68" s="8"/>
      <c r="AE68" s="9">
        <v>1</v>
      </c>
      <c r="AF68" s="9">
        <v>1</v>
      </c>
      <c r="AG68" s="37" t="s">
        <v>92</v>
      </c>
      <c r="AH68" s="39" t="s">
        <v>92</v>
      </c>
      <c r="AI68" s="40"/>
      <c r="AJ68" s="17">
        <v>0</v>
      </c>
      <c r="AK68" s="9">
        <v>0</v>
      </c>
      <c r="AM68" s="9">
        <f t="shared" si="2"/>
        <v>3</v>
      </c>
      <c r="AN68" s="9">
        <f t="shared" si="2"/>
        <v>3</v>
      </c>
    </row>
    <row r="69" spans="1:40">
      <c r="B69" s="6" t="s">
        <v>57</v>
      </c>
      <c r="C69" s="21" t="s">
        <v>92</v>
      </c>
      <c r="D69" s="39" t="s">
        <v>92</v>
      </c>
      <c r="E69" s="40"/>
      <c r="F69" s="9">
        <v>0</v>
      </c>
      <c r="G69" s="9">
        <v>0</v>
      </c>
      <c r="H69" s="7">
        <v>0.36805555555555558</v>
      </c>
      <c r="I69" s="8" t="s">
        <v>171</v>
      </c>
      <c r="J69" s="8"/>
      <c r="K69" s="9">
        <v>1</v>
      </c>
      <c r="L69" s="9">
        <v>1</v>
      </c>
      <c r="M69" s="22" t="s">
        <v>93</v>
      </c>
      <c r="N69" s="41" t="s">
        <v>93</v>
      </c>
      <c r="O69" s="42"/>
      <c r="P69" s="9">
        <v>0</v>
      </c>
      <c r="Q69" s="9">
        <v>0</v>
      </c>
      <c r="R69" s="7">
        <v>0.375</v>
      </c>
      <c r="S69" s="8"/>
      <c r="T69" s="8"/>
      <c r="U69" s="9">
        <v>0</v>
      </c>
      <c r="V69" s="9">
        <v>0</v>
      </c>
      <c r="W69" s="10">
        <v>0.3611111111111111</v>
      </c>
      <c r="X69" s="8" t="s">
        <v>167</v>
      </c>
      <c r="Y69" s="11" t="s">
        <v>171</v>
      </c>
      <c r="Z69" s="9">
        <v>2</v>
      </c>
      <c r="AA69" s="9">
        <v>2</v>
      </c>
      <c r="AB69" s="7">
        <v>0.375</v>
      </c>
      <c r="AC69" s="8"/>
      <c r="AD69" s="8"/>
      <c r="AE69" s="9">
        <v>0</v>
      </c>
      <c r="AF69" s="9">
        <v>0</v>
      </c>
      <c r="AG69" s="7">
        <v>0.375</v>
      </c>
      <c r="AH69" s="8" t="s">
        <v>171</v>
      </c>
      <c r="AI69" s="7"/>
      <c r="AJ69" s="17">
        <v>1</v>
      </c>
      <c r="AK69" s="9">
        <v>1</v>
      </c>
      <c r="AM69" s="9">
        <f t="shared" si="2"/>
        <v>4</v>
      </c>
      <c r="AN69" s="9">
        <f t="shared" si="2"/>
        <v>4</v>
      </c>
    </row>
    <row r="70" spans="1:40">
      <c r="A70" s="1">
        <v>60</v>
      </c>
      <c r="B70" s="6" t="s">
        <v>58</v>
      </c>
      <c r="C70" s="22" t="s">
        <v>93</v>
      </c>
      <c r="D70" s="41" t="s">
        <v>93</v>
      </c>
      <c r="E70" s="42"/>
      <c r="F70" s="9">
        <v>0</v>
      </c>
      <c r="G70" s="9">
        <v>0</v>
      </c>
      <c r="H70" s="7">
        <v>0.375</v>
      </c>
      <c r="I70" s="8"/>
      <c r="J70" s="8"/>
      <c r="K70" s="9">
        <v>0</v>
      </c>
      <c r="L70" s="9">
        <v>0</v>
      </c>
      <c r="M70" s="7">
        <v>0.375</v>
      </c>
      <c r="N70" s="8"/>
      <c r="O70" s="8"/>
      <c r="P70" s="9">
        <v>0</v>
      </c>
      <c r="Q70" s="9">
        <v>0</v>
      </c>
      <c r="R70" s="21" t="s">
        <v>92</v>
      </c>
      <c r="S70" s="39" t="s">
        <v>92</v>
      </c>
      <c r="T70" s="40"/>
      <c r="U70" s="9">
        <v>0</v>
      </c>
      <c r="V70" s="9">
        <v>0</v>
      </c>
      <c r="W70" s="10">
        <v>0.375</v>
      </c>
      <c r="X70" s="8"/>
      <c r="Y70" s="11"/>
      <c r="Z70" s="9">
        <v>0</v>
      </c>
      <c r="AA70" s="9">
        <v>0</v>
      </c>
      <c r="AB70" s="7">
        <v>0.375</v>
      </c>
      <c r="AC70" s="8"/>
      <c r="AD70" s="8"/>
      <c r="AE70" s="9">
        <v>0</v>
      </c>
      <c r="AF70" s="9">
        <v>0</v>
      </c>
      <c r="AG70" s="7">
        <v>0.375</v>
      </c>
      <c r="AH70" s="8"/>
      <c r="AI70" s="7"/>
      <c r="AJ70" s="17">
        <v>0</v>
      </c>
      <c r="AK70" s="9">
        <v>0</v>
      </c>
      <c r="AM70" s="9">
        <f t="shared" si="2"/>
        <v>0</v>
      </c>
      <c r="AN70" s="9">
        <f t="shared" si="2"/>
        <v>0</v>
      </c>
    </row>
    <row r="71" spans="1:40">
      <c r="A71" s="1">
        <v>1</v>
      </c>
      <c r="B71" s="15" t="s">
        <v>60</v>
      </c>
      <c r="C71" s="7">
        <v>0.20833333333333334</v>
      </c>
      <c r="D71" s="8" t="s">
        <v>102</v>
      </c>
      <c r="E71" s="8"/>
      <c r="F71" s="9">
        <v>1</v>
      </c>
      <c r="G71" s="9">
        <v>1</v>
      </c>
      <c r="H71" s="7">
        <v>0.18055555555555555</v>
      </c>
      <c r="I71" s="8" t="s">
        <v>98</v>
      </c>
      <c r="J71" s="8" t="s">
        <v>106</v>
      </c>
      <c r="K71" s="9">
        <v>2</v>
      </c>
      <c r="L71" s="9">
        <v>3</v>
      </c>
      <c r="M71" s="22" t="s">
        <v>93</v>
      </c>
      <c r="N71" s="41" t="s">
        <v>93</v>
      </c>
      <c r="O71" s="42"/>
      <c r="P71" s="9">
        <v>0</v>
      </c>
      <c r="Q71" s="9">
        <v>0</v>
      </c>
      <c r="R71" s="7">
        <v>0.16666666666666666</v>
      </c>
      <c r="S71" s="8" t="s">
        <v>106</v>
      </c>
      <c r="T71" s="8"/>
      <c r="U71" s="9">
        <v>1</v>
      </c>
      <c r="V71" s="9">
        <v>1</v>
      </c>
      <c r="W71" s="21" t="s">
        <v>92</v>
      </c>
      <c r="X71" s="39" t="s">
        <v>92</v>
      </c>
      <c r="Y71" s="40"/>
      <c r="Z71" s="9">
        <v>0</v>
      </c>
      <c r="AA71" s="9">
        <v>0</v>
      </c>
      <c r="AB71" s="7">
        <v>0.20833333333333334</v>
      </c>
      <c r="AC71" s="8" t="s">
        <v>102</v>
      </c>
      <c r="AD71" s="33" t="s">
        <v>106</v>
      </c>
      <c r="AE71" s="9">
        <v>2</v>
      </c>
      <c r="AF71" s="9">
        <v>2</v>
      </c>
      <c r="AG71" s="7">
        <v>0.20833333333333334</v>
      </c>
      <c r="AH71" s="33" t="s">
        <v>106</v>
      </c>
      <c r="AI71" s="7"/>
      <c r="AJ71" s="17">
        <v>1</v>
      </c>
      <c r="AK71" s="9">
        <v>1</v>
      </c>
      <c r="AM71" s="9">
        <f t="shared" si="2"/>
        <v>7</v>
      </c>
      <c r="AN71" s="9">
        <f t="shared" si="2"/>
        <v>8</v>
      </c>
    </row>
    <row r="72" spans="1:40" ht="37.5">
      <c r="A72" s="1">
        <v>15</v>
      </c>
      <c r="B72" s="15" t="s">
        <v>91</v>
      </c>
      <c r="C72" s="7">
        <v>0.2638888888888889</v>
      </c>
      <c r="D72" s="8" t="s">
        <v>98</v>
      </c>
      <c r="E72" s="8" t="s">
        <v>106</v>
      </c>
      <c r="F72" s="9">
        <v>2</v>
      </c>
      <c r="G72" s="9">
        <v>3</v>
      </c>
      <c r="H72" s="7">
        <v>0.2638888888888889</v>
      </c>
      <c r="I72" s="8" t="s">
        <v>102</v>
      </c>
      <c r="J72" s="8" t="s">
        <v>147</v>
      </c>
      <c r="K72" s="9">
        <v>2</v>
      </c>
      <c r="L72" s="9">
        <v>3</v>
      </c>
      <c r="M72" s="7">
        <v>0.26041666666666669</v>
      </c>
      <c r="N72" s="8" t="s">
        <v>104</v>
      </c>
      <c r="O72" s="11" t="s">
        <v>100</v>
      </c>
      <c r="P72" s="9">
        <v>2</v>
      </c>
      <c r="Q72" s="9">
        <v>3</v>
      </c>
      <c r="R72" s="7">
        <v>0.27430555555555552</v>
      </c>
      <c r="S72" s="8" t="s">
        <v>259</v>
      </c>
      <c r="T72" s="8" t="s">
        <v>268</v>
      </c>
      <c r="U72" s="9">
        <v>3</v>
      </c>
      <c r="V72" s="9">
        <v>4</v>
      </c>
      <c r="W72" s="21" t="s">
        <v>92</v>
      </c>
      <c r="X72" s="39" t="s">
        <v>92</v>
      </c>
      <c r="Y72" s="40"/>
      <c r="Z72" s="9">
        <v>0</v>
      </c>
      <c r="AA72" s="9">
        <v>0</v>
      </c>
      <c r="AB72" s="38" t="s">
        <v>93</v>
      </c>
      <c r="AC72" s="41" t="s">
        <v>93</v>
      </c>
      <c r="AD72" s="42"/>
      <c r="AE72" s="9">
        <v>0</v>
      </c>
      <c r="AF72" s="9">
        <v>0</v>
      </c>
      <c r="AG72" s="7">
        <v>0.26041666666666669</v>
      </c>
      <c r="AH72" s="33" t="s">
        <v>103</v>
      </c>
      <c r="AI72" s="7" t="s">
        <v>214</v>
      </c>
      <c r="AJ72" s="17">
        <v>2</v>
      </c>
      <c r="AK72" s="9">
        <v>3</v>
      </c>
      <c r="AM72" s="9">
        <f t="shared" si="2"/>
        <v>11</v>
      </c>
      <c r="AN72" s="9">
        <f t="shared" si="2"/>
        <v>16</v>
      </c>
    </row>
    <row r="73" spans="1:40" ht="37.5">
      <c r="B73" s="20" t="s">
        <v>61</v>
      </c>
      <c r="C73" s="7">
        <v>0.25347222222222221</v>
      </c>
      <c r="D73" s="8" t="s">
        <v>101</v>
      </c>
      <c r="E73" s="8" t="s">
        <v>146</v>
      </c>
      <c r="F73" s="9">
        <v>2</v>
      </c>
      <c r="G73" s="9">
        <v>4</v>
      </c>
      <c r="H73" s="7">
        <v>0.25694444444444442</v>
      </c>
      <c r="I73" s="8" t="s">
        <v>99</v>
      </c>
      <c r="J73" s="8" t="s">
        <v>101</v>
      </c>
      <c r="K73" s="9">
        <v>2</v>
      </c>
      <c r="L73" s="9">
        <v>4</v>
      </c>
      <c r="M73" s="7">
        <v>0.26041666666666669</v>
      </c>
      <c r="N73" s="8" t="s">
        <v>101</v>
      </c>
      <c r="O73" s="8" t="s">
        <v>212</v>
      </c>
      <c r="P73" s="9">
        <v>3</v>
      </c>
      <c r="Q73" s="9">
        <v>6</v>
      </c>
      <c r="R73" s="7">
        <v>0.26041666666666669</v>
      </c>
      <c r="S73" s="8" t="s">
        <v>260</v>
      </c>
      <c r="T73" s="8" t="s">
        <v>267</v>
      </c>
      <c r="U73" s="9">
        <v>2</v>
      </c>
      <c r="V73" s="9">
        <v>4</v>
      </c>
      <c r="W73" s="10">
        <v>0.25</v>
      </c>
      <c r="X73" s="8" t="s">
        <v>258</v>
      </c>
      <c r="Y73" s="11"/>
      <c r="Z73" s="9">
        <v>1</v>
      </c>
      <c r="AA73" s="9">
        <v>2</v>
      </c>
      <c r="AB73" s="37" t="s">
        <v>92</v>
      </c>
      <c r="AC73" s="39" t="s">
        <v>92</v>
      </c>
      <c r="AD73" s="40"/>
      <c r="AE73" s="9">
        <v>0</v>
      </c>
      <c r="AF73" s="9">
        <v>0</v>
      </c>
      <c r="AG73" s="7">
        <v>0.25694444444444442</v>
      </c>
      <c r="AH73" s="33" t="s">
        <v>258</v>
      </c>
      <c r="AI73" s="7" t="s">
        <v>331</v>
      </c>
      <c r="AJ73" s="17">
        <v>2</v>
      </c>
      <c r="AK73" s="9">
        <v>3</v>
      </c>
      <c r="AM73" s="9">
        <f t="shared" si="2"/>
        <v>12</v>
      </c>
      <c r="AN73" s="9">
        <f t="shared" si="2"/>
        <v>23</v>
      </c>
    </row>
    <row r="74" spans="1:40">
      <c r="A74" s="1">
        <v>9</v>
      </c>
      <c r="B74" s="15" t="s">
        <v>85</v>
      </c>
      <c r="C74" s="7">
        <v>0.25</v>
      </c>
      <c r="D74" s="11" t="s">
        <v>100</v>
      </c>
      <c r="E74" s="8" t="s">
        <v>145</v>
      </c>
      <c r="F74" s="9">
        <v>2</v>
      </c>
      <c r="G74" s="9">
        <v>4</v>
      </c>
      <c r="H74" s="7">
        <v>0.24305555555555555</v>
      </c>
      <c r="I74" s="11" t="s">
        <v>100</v>
      </c>
      <c r="J74" s="8" t="s">
        <v>104</v>
      </c>
      <c r="K74" s="9">
        <v>2</v>
      </c>
      <c r="L74" s="9">
        <v>3</v>
      </c>
      <c r="M74" s="7">
        <v>0.25347222222222221</v>
      </c>
      <c r="N74" s="8" t="s">
        <v>230</v>
      </c>
      <c r="O74" s="8" t="s">
        <v>146</v>
      </c>
      <c r="P74" s="9">
        <v>2</v>
      </c>
      <c r="Q74" s="9">
        <v>3</v>
      </c>
      <c r="R74" s="7">
        <v>0.25694444444444448</v>
      </c>
      <c r="S74" s="8" t="s">
        <v>257</v>
      </c>
      <c r="T74" s="8" t="s">
        <v>271</v>
      </c>
      <c r="U74" s="9">
        <v>3</v>
      </c>
      <c r="V74" s="9">
        <v>4</v>
      </c>
      <c r="W74" s="10">
        <v>0.25</v>
      </c>
      <c r="X74" s="8" t="s">
        <v>132</v>
      </c>
      <c r="Y74" s="11"/>
      <c r="Z74" s="9">
        <v>1</v>
      </c>
      <c r="AA74" s="9">
        <v>1</v>
      </c>
      <c r="AB74" s="37" t="s">
        <v>92</v>
      </c>
      <c r="AC74" s="39" t="s">
        <v>92</v>
      </c>
      <c r="AD74" s="40"/>
      <c r="AE74" s="9">
        <v>0</v>
      </c>
      <c r="AF74" s="9">
        <v>0</v>
      </c>
      <c r="AG74" s="7">
        <v>0.26041666666666669</v>
      </c>
      <c r="AH74" s="33" t="s">
        <v>104</v>
      </c>
      <c r="AI74" s="33" t="s">
        <v>256</v>
      </c>
      <c r="AJ74" s="17">
        <v>2</v>
      </c>
      <c r="AK74" s="9">
        <v>3</v>
      </c>
      <c r="AM74" s="9">
        <f t="shared" si="2"/>
        <v>12</v>
      </c>
      <c r="AN74" s="9">
        <f t="shared" si="2"/>
        <v>18</v>
      </c>
    </row>
    <row r="75" spans="1:40" ht="37.5">
      <c r="A75" s="1">
        <v>54</v>
      </c>
      <c r="B75" s="15" t="s">
        <v>62</v>
      </c>
      <c r="C75" s="7">
        <v>0.24652777777777779</v>
      </c>
      <c r="D75" s="8" t="s">
        <v>105</v>
      </c>
      <c r="E75" s="8"/>
      <c r="F75" s="9">
        <v>1</v>
      </c>
      <c r="G75" s="9">
        <v>1</v>
      </c>
      <c r="H75" s="7">
        <v>0.25</v>
      </c>
      <c r="I75" s="8" t="s">
        <v>104</v>
      </c>
      <c r="J75" s="11" t="s">
        <v>100</v>
      </c>
      <c r="K75" s="9">
        <v>2</v>
      </c>
      <c r="L75" s="9">
        <v>3</v>
      </c>
      <c r="M75" s="7">
        <v>0.25347222222222221</v>
      </c>
      <c r="N75" s="8" t="s">
        <v>98</v>
      </c>
      <c r="O75" s="8" t="s">
        <v>101</v>
      </c>
      <c r="P75" s="9">
        <v>2</v>
      </c>
      <c r="Q75" s="9">
        <v>4</v>
      </c>
      <c r="R75" s="7">
        <v>0.25</v>
      </c>
      <c r="S75" s="8" t="s">
        <v>266</v>
      </c>
      <c r="T75" s="8"/>
      <c r="U75" s="9">
        <v>1</v>
      </c>
      <c r="V75" s="9">
        <v>2</v>
      </c>
      <c r="W75" s="10">
        <v>0.24652777777777779</v>
      </c>
      <c r="X75" s="8" t="s">
        <v>256</v>
      </c>
      <c r="Y75" s="8" t="s">
        <v>300</v>
      </c>
      <c r="Z75" s="9">
        <v>3</v>
      </c>
      <c r="AA75" s="9">
        <v>5</v>
      </c>
      <c r="AB75" s="7">
        <v>0.24652777777777779</v>
      </c>
      <c r="AC75" s="33" t="s">
        <v>256</v>
      </c>
      <c r="AD75" s="8" t="s">
        <v>330</v>
      </c>
      <c r="AE75" s="9">
        <v>2</v>
      </c>
      <c r="AF75" s="9">
        <v>3</v>
      </c>
      <c r="AG75" s="37" t="s">
        <v>92</v>
      </c>
      <c r="AH75" s="39" t="s">
        <v>92</v>
      </c>
      <c r="AI75" s="40"/>
      <c r="AJ75" s="17">
        <v>0</v>
      </c>
      <c r="AK75" s="9">
        <v>0</v>
      </c>
      <c r="AM75" s="9">
        <f t="shared" si="2"/>
        <v>11</v>
      </c>
      <c r="AN75" s="9">
        <f t="shared" si="2"/>
        <v>18</v>
      </c>
    </row>
    <row r="76" spans="1:40" ht="50.25" customHeight="1">
      <c r="A76" s="1">
        <v>47</v>
      </c>
      <c r="B76" s="15" t="s">
        <v>86</v>
      </c>
      <c r="C76" s="7">
        <v>0.2638888888888889</v>
      </c>
      <c r="D76" s="8" t="s">
        <v>99</v>
      </c>
      <c r="E76" s="8" t="s">
        <v>101</v>
      </c>
      <c r="F76" s="9">
        <v>2</v>
      </c>
      <c r="G76" s="9">
        <v>4</v>
      </c>
      <c r="H76" s="7">
        <v>0.27083333333333331</v>
      </c>
      <c r="I76" s="8" t="s">
        <v>101</v>
      </c>
      <c r="J76" s="8" t="s">
        <v>146</v>
      </c>
      <c r="K76" s="9">
        <v>2</v>
      </c>
      <c r="L76" s="9">
        <v>4</v>
      </c>
      <c r="M76" s="7">
        <v>0.26041666666666669</v>
      </c>
      <c r="N76" s="8" t="s">
        <v>99</v>
      </c>
      <c r="O76" s="8" t="s">
        <v>101</v>
      </c>
      <c r="P76" s="9">
        <v>2</v>
      </c>
      <c r="Q76" s="9">
        <v>4</v>
      </c>
      <c r="R76" s="7">
        <v>0.27083333333333331</v>
      </c>
      <c r="S76" s="8" t="s">
        <v>258</v>
      </c>
      <c r="T76" s="8" t="s">
        <v>270</v>
      </c>
      <c r="U76" s="9">
        <v>3</v>
      </c>
      <c r="V76" s="9">
        <v>5</v>
      </c>
      <c r="W76" s="10">
        <v>0.25347222222222221</v>
      </c>
      <c r="X76" s="8" t="s">
        <v>260</v>
      </c>
      <c r="Y76" s="8" t="s">
        <v>267</v>
      </c>
      <c r="Z76" s="9">
        <v>2</v>
      </c>
      <c r="AA76" s="9">
        <v>4</v>
      </c>
      <c r="AB76" s="7">
        <v>0.25</v>
      </c>
      <c r="AC76" s="33" t="s">
        <v>258</v>
      </c>
      <c r="AD76" s="33" t="s">
        <v>329</v>
      </c>
      <c r="AE76" s="9">
        <v>2</v>
      </c>
      <c r="AF76" s="9">
        <v>4</v>
      </c>
      <c r="AG76" s="37" t="s">
        <v>92</v>
      </c>
      <c r="AH76" s="39" t="s">
        <v>92</v>
      </c>
      <c r="AI76" s="40"/>
      <c r="AJ76" s="17">
        <v>0</v>
      </c>
      <c r="AK76" s="9">
        <v>0</v>
      </c>
      <c r="AM76" s="9">
        <f t="shared" si="2"/>
        <v>13</v>
      </c>
      <c r="AN76" s="9">
        <f t="shared" si="2"/>
        <v>25</v>
      </c>
    </row>
    <row r="77" spans="1:40" ht="37.5">
      <c r="B77" s="15" t="s">
        <v>242</v>
      </c>
      <c r="C77" s="7">
        <v>0.25347222222222221</v>
      </c>
      <c r="D77" s="8"/>
      <c r="E77" s="8"/>
      <c r="F77" s="9">
        <v>0</v>
      </c>
      <c r="G77" s="9">
        <v>0</v>
      </c>
      <c r="H77" s="7">
        <v>0.25347222222222221</v>
      </c>
      <c r="I77" s="8" t="s">
        <v>105</v>
      </c>
      <c r="J77" s="8" t="s">
        <v>126</v>
      </c>
      <c r="K77" s="9">
        <v>2</v>
      </c>
      <c r="L77" s="9">
        <v>2</v>
      </c>
      <c r="M77" s="7">
        <v>0.23958333333333334</v>
      </c>
      <c r="N77" s="8" t="s">
        <v>105</v>
      </c>
      <c r="O77" s="8" t="s">
        <v>98</v>
      </c>
      <c r="P77" s="9">
        <v>2</v>
      </c>
      <c r="Q77" s="9">
        <v>3</v>
      </c>
      <c r="R77" s="7">
        <v>0.25694444444444448</v>
      </c>
      <c r="S77" s="8" t="s">
        <v>245</v>
      </c>
      <c r="T77" s="8" t="s">
        <v>269</v>
      </c>
      <c r="U77" s="9">
        <v>2</v>
      </c>
      <c r="V77" s="9">
        <v>2</v>
      </c>
      <c r="W77" s="10">
        <v>0.25</v>
      </c>
      <c r="X77" s="8" t="s">
        <v>245</v>
      </c>
      <c r="Y77" s="8" t="s">
        <v>256</v>
      </c>
      <c r="Z77" s="9">
        <v>2</v>
      </c>
      <c r="AA77" s="9">
        <v>3</v>
      </c>
      <c r="AB77" s="7">
        <v>0.24652777777777779</v>
      </c>
      <c r="AC77" s="33" t="s">
        <v>245</v>
      </c>
      <c r="AD77" s="33" t="s">
        <v>257</v>
      </c>
      <c r="AE77" s="9">
        <v>2</v>
      </c>
      <c r="AF77" s="9">
        <v>3</v>
      </c>
      <c r="AG77" s="7">
        <v>0.25694444444444442</v>
      </c>
      <c r="AH77" s="8" t="s">
        <v>352</v>
      </c>
      <c r="AI77" s="33" t="s">
        <v>256</v>
      </c>
      <c r="AJ77" s="17">
        <v>2</v>
      </c>
      <c r="AK77" s="9">
        <v>3</v>
      </c>
      <c r="AM77" s="9">
        <f t="shared" si="2"/>
        <v>12</v>
      </c>
      <c r="AN77" s="9">
        <f t="shared" si="2"/>
        <v>16</v>
      </c>
    </row>
    <row r="78" spans="1:40" ht="37.5">
      <c r="B78" s="15" t="s">
        <v>63</v>
      </c>
      <c r="C78" s="21" t="s">
        <v>92</v>
      </c>
      <c r="D78" s="39" t="s">
        <v>92</v>
      </c>
      <c r="E78" s="40"/>
      <c r="F78" s="9">
        <v>0</v>
      </c>
      <c r="G78" s="9">
        <v>0</v>
      </c>
      <c r="H78" s="7">
        <v>0.25694444444444442</v>
      </c>
      <c r="I78" s="8" t="s">
        <v>103</v>
      </c>
      <c r="J78" s="8" t="s">
        <v>103</v>
      </c>
      <c r="K78" s="9">
        <v>2</v>
      </c>
      <c r="L78" s="9">
        <v>2</v>
      </c>
      <c r="M78" s="7">
        <v>0.25347222222222221</v>
      </c>
      <c r="N78" s="8" t="s">
        <v>104</v>
      </c>
      <c r="O78" s="8" t="s">
        <v>215</v>
      </c>
      <c r="P78" s="9">
        <v>3</v>
      </c>
      <c r="Q78" s="9">
        <v>3</v>
      </c>
      <c r="R78" s="7">
        <v>0.25</v>
      </c>
      <c r="S78" s="8" t="s">
        <v>230</v>
      </c>
      <c r="T78" s="8" t="s">
        <v>256</v>
      </c>
      <c r="U78" s="9">
        <v>2</v>
      </c>
      <c r="V78" s="9">
        <v>3</v>
      </c>
      <c r="W78" s="10">
        <v>0.25347222222222221</v>
      </c>
      <c r="X78" s="8" t="s">
        <v>259</v>
      </c>
      <c r="Y78" s="8" t="s">
        <v>299</v>
      </c>
      <c r="Z78" s="9">
        <v>3</v>
      </c>
      <c r="AA78" s="9">
        <v>4</v>
      </c>
      <c r="AB78" s="7">
        <v>0.24652777777777779</v>
      </c>
      <c r="AC78" s="33" t="s">
        <v>257</v>
      </c>
      <c r="AD78" s="33" t="s">
        <v>103</v>
      </c>
      <c r="AE78" s="9">
        <v>2</v>
      </c>
      <c r="AF78" s="9">
        <v>3</v>
      </c>
      <c r="AG78" s="7">
        <v>0.24652777777777779</v>
      </c>
      <c r="AH78" s="33" t="s">
        <v>257</v>
      </c>
      <c r="AI78" s="33" t="s">
        <v>353</v>
      </c>
      <c r="AJ78" s="17">
        <v>3</v>
      </c>
      <c r="AK78" s="9">
        <v>4</v>
      </c>
      <c r="AM78" s="9">
        <f t="shared" si="2"/>
        <v>15</v>
      </c>
      <c r="AN78" s="9">
        <f t="shared" si="2"/>
        <v>19</v>
      </c>
    </row>
    <row r="79" spans="1:40">
      <c r="B79" s="15" t="s">
        <v>64</v>
      </c>
      <c r="C79" s="7">
        <v>0.25</v>
      </c>
      <c r="D79" s="8" t="s">
        <v>103</v>
      </c>
      <c r="E79" s="8" t="s">
        <v>147</v>
      </c>
      <c r="F79" s="9">
        <v>2</v>
      </c>
      <c r="G79" s="9">
        <v>3</v>
      </c>
      <c r="H79" s="21" t="s">
        <v>92</v>
      </c>
      <c r="I79" s="39" t="s">
        <v>92</v>
      </c>
      <c r="J79" s="40"/>
      <c r="K79" s="9">
        <v>0</v>
      </c>
      <c r="L79" s="9">
        <v>0</v>
      </c>
      <c r="M79" s="7">
        <v>0.22569444444444445</v>
      </c>
      <c r="N79" s="11" t="s">
        <v>100</v>
      </c>
      <c r="O79" s="8" t="s">
        <v>227</v>
      </c>
      <c r="P79" s="9">
        <v>2</v>
      </c>
      <c r="Q79" s="9">
        <v>3</v>
      </c>
      <c r="R79" s="7">
        <v>0.23611111111111113</v>
      </c>
      <c r="S79" s="8" t="s">
        <v>256</v>
      </c>
      <c r="T79" s="8" t="s">
        <v>259</v>
      </c>
      <c r="U79" s="9">
        <v>2</v>
      </c>
      <c r="V79" s="9">
        <v>3</v>
      </c>
      <c r="W79" s="10">
        <v>0.25</v>
      </c>
      <c r="X79" s="8" t="s">
        <v>257</v>
      </c>
      <c r="Y79" s="11"/>
      <c r="Z79" s="9">
        <v>1</v>
      </c>
      <c r="AA79" s="9">
        <v>2</v>
      </c>
      <c r="AB79" s="7">
        <v>0.23958333333333334</v>
      </c>
      <c r="AC79" s="8" t="s">
        <v>104</v>
      </c>
      <c r="AD79" s="8" t="s">
        <v>331</v>
      </c>
      <c r="AE79" s="9">
        <v>2</v>
      </c>
      <c r="AF79" s="9">
        <v>2</v>
      </c>
      <c r="AG79" s="7">
        <v>0.24652777777777779</v>
      </c>
      <c r="AH79" s="33" t="s">
        <v>256</v>
      </c>
      <c r="AI79" s="7" t="s">
        <v>273</v>
      </c>
      <c r="AJ79" s="17">
        <v>2</v>
      </c>
      <c r="AK79" s="9">
        <v>3</v>
      </c>
      <c r="AM79" s="9">
        <f t="shared" si="2"/>
        <v>11</v>
      </c>
      <c r="AN79" s="9">
        <f t="shared" si="2"/>
        <v>16</v>
      </c>
    </row>
    <row r="80" spans="1:40" ht="37.5">
      <c r="B80" s="15" t="s">
        <v>65</v>
      </c>
      <c r="C80" s="7">
        <v>0.25</v>
      </c>
      <c r="D80" s="8" t="s">
        <v>104</v>
      </c>
      <c r="E80" s="11" t="s">
        <v>100</v>
      </c>
      <c r="F80" s="9">
        <v>2</v>
      </c>
      <c r="G80" s="9">
        <v>3</v>
      </c>
      <c r="H80" s="22" t="s">
        <v>93</v>
      </c>
      <c r="I80" s="41" t="s">
        <v>93</v>
      </c>
      <c r="J80" s="42"/>
      <c r="K80" s="9">
        <v>0</v>
      </c>
      <c r="L80" s="9">
        <v>0</v>
      </c>
      <c r="M80" s="21" t="s">
        <v>92</v>
      </c>
      <c r="N80" s="39" t="s">
        <v>92</v>
      </c>
      <c r="O80" s="40"/>
      <c r="P80" s="9">
        <v>0</v>
      </c>
      <c r="Q80" s="9">
        <v>0</v>
      </c>
      <c r="R80" s="7">
        <v>0.2951388888888889</v>
      </c>
      <c r="S80" s="8" t="s">
        <v>132</v>
      </c>
      <c r="T80" s="8" t="s">
        <v>272</v>
      </c>
      <c r="U80" s="9">
        <v>3</v>
      </c>
      <c r="V80" s="9">
        <v>4</v>
      </c>
      <c r="W80" s="10">
        <v>0.25347222222222221</v>
      </c>
      <c r="X80" s="8" t="s">
        <v>230</v>
      </c>
      <c r="Y80" s="8" t="s">
        <v>260</v>
      </c>
      <c r="Z80" s="9">
        <v>2</v>
      </c>
      <c r="AA80" s="9">
        <v>3</v>
      </c>
      <c r="AB80" s="7">
        <v>0.25</v>
      </c>
      <c r="AC80" s="8" t="s">
        <v>103</v>
      </c>
      <c r="AD80" s="33" t="s">
        <v>332</v>
      </c>
      <c r="AE80" s="9">
        <v>3</v>
      </c>
      <c r="AF80" s="9">
        <v>4</v>
      </c>
      <c r="AG80" s="7">
        <v>0.26041666666666669</v>
      </c>
      <c r="AH80" s="33" t="s">
        <v>102</v>
      </c>
      <c r="AI80" s="33" t="s">
        <v>329</v>
      </c>
      <c r="AJ80" s="17">
        <v>2</v>
      </c>
      <c r="AK80" s="9">
        <v>3</v>
      </c>
      <c r="AM80" s="9">
        <f t="shared" si="2"/>
        <v>12</v>
      </c>
      <c r="AN80" s="9">
        <f t="shared" si="2"/>
        <v>17</v>
      </c>
    </row>
    <row r="81" spans="2:40" ht="37.5">
      <c r="B81" s="15" t="s">
        <v>66</v>
      </c>
      <c r="C81" s="7">
        <v>0.27777777777777779</v>
      </c>
      <c r="D81" s="8" t="s">
        <v>106</v>
      </c>
      <c r="E81" s="8" t="s">
        <v>98</v>
      </c>
      <c r="F81" s="9">
        <v>2</v>
      </c>
      <c r="G81" s="9">
        <v>3</v>
      </c>
      <c r="H81" s="7">
        <v>0.28819444444444442</v>
      </c>
      <c r="I81" s="8" t="s">
        <v>106</v>
      </c>
      <c r="J81" s="8" t="s">
        <v>183</v>
      </c>
      <c r="K81" s="9">
        <v>3</v>
      </c>
      <c r="L81" s="9">
        <v>4</v>
      </c>
      <c r="M81" s="7">
        <v>0.28819444444444442</v>
      </c>
      <c r="N81" s="8" t="s">
        <v>106</v>
      </c>
      <c r="O81" s="8" t="s">
        <v>213</v>
      </c>
      <c r="P81" s="9">
        <v>3</v>
      </c>
      <c r="Q81" s="9">
        <v>3</v>
      </c>
      <c r="R81" s="21" t="s">
        <v>92</v>
      </c>
      <c r="S81" s="39" t="s">
        <v>92</v>
      </c>
      <c r="T81" s="40"/>
      <c r="U81" s="9">
        <v>0</v>
      </c>
      <c r="V81" s="9">
        <v>0</v>
      </c>
      <c r="W81" s="10">
        <v>0.28819444444444448</v>
      </c>
      <c r="X81" s="8"/>
      <c r="Y81" s="11"/>
      <c r="Z81" s="9">
        <v>0</v>
      </c>
      <c r="AA81" s="9">
        <v>0</v>
      </c>
      <c r="AB81" s="7">
        <v>0.30208333333333331</v>
      </c>
      <c r="AC81" s="33" t="s">
        <v>260</v>
      </c>
      <c r="AD81" s="33" t="s">
        <v>267</v>
      </c>
      <c r="AE81" s="9">
        <v>2</v>
      </c>
      <c r="AF81" s="9">
        <v>4</v>
      </c>
      <c r="AG81" s="7">
        <v>0.27777777777777779</v>
      </c>
      <c r="AH81" s="33" t="s">
        <v>260</v>
      </c>
      <c r="AI81" s="33" t="s">
        <v>267</v>
      </c>
      <c r="AJ81" s="17">
        <v>2</v>
      </c>
      <c r="AK81" s="9">
        <v>4</v>
      </c>
      <c r="AM81" s="9">
        <f t="shared" si="2"/>
        <v>12</v>
      </c>
      <c r="AN81" s="9">
        <f t="shared" si="2"/>
        <v>18</v>
      </c>
    </row>
    <row r="82" spans="2:40">
      <c r="B82" s="15" t="s">
        <v>67</v>
      </c>
      <c r="C82" s="7">
        <v>0.16666666666666666</v>
      </c>
      <c r="D82" s="8"/>
      <c r="E82" s="8"/>
      <c r="F82" s="9">
        <v>0</v>
      </c>
      <c r="G82" s="9">
        <v>0</v>
      </c>
      <c r="H82" s="22" t="s">
        <v>93</v>
      </c>
      <c r="I82" s="41" t="s">
        <v>93</v>
      </c>
      <c r="J82" s="42"/>
      <c r="K82" s="9">
        <v>0</v>
      </c>
      <c r="L82" s="9">
        <v>0</v>
      </c>
      <c r="M82" s="7">
        <v>0.16666666666666666</v>
      </c>
      <c r="N82" s="8"/>
      <c r="O82" s="8"/>
      <c r="P82" s="9">
        <v>0</v>
      </c>
      <c r="Q82" s="9">
        <v>0</v>
      </c>
      <c r="R82" s="21" t="s">
        <v>92</v>
      </c>
      <c r="S82" s="39" t="s">
        <v>92</v>
      </c>
      <c r="T82" s="40"/>
      <c r="U82" s="9">
        <v>0</v>
      </c>
      <c r="V82" s="9">
        <v>0</v>
      </c>
      <c r="W82" s="10">
        <v>0.18402777777777779</v>
      </c>
      <c r="X82" s="8"/>
      <c r="Y82" s="11"/>
      <c r="Z82" s="9">
        <v>0</v>
      </c>
      <c r="AA82" s="9">
        <v>0</v>
      </c>
      <c r="AB82" s="7">
        <v>0.1736111111111111</v>
      </c>
      <c r="AC82" s="33" t="s">
        <v>106</v>
      </c>
      <c r="AD82" s="8"/>
      <c r="AE82" s="9">
        <v>1</v>
      </c>
      <c r="AF82" s="9">
        <v>1</v>
      </c>
      <c r="AG82" s="38" t="s">
        <v>93</v>
      </c>
      <c r="AH82" s="41" t="s">
        <v>93</v>
      </c>
      <c r="AI82" s="42"/>
      <c r="AJ82" s="17">
        <v>0</v>
      </c>
      <c r="AK82" s="9">
        <v>0</v>
      </c>
      <c r="AM82" s="9">
        <f t="shared" si="2"/>
        <v>1</v>
      </c>
      <c r="AN82" s="9">
        <f t="shared" si="2"/>
        <v>1</v>
      </c>
    </row>
    <row r="83" spans="2:40">
      <c r="B83" s="15" t="s">
        <v>70</v>
      </c>
      <c r="C83" s="7">
        <v>0.53125</v>
      </c>
      <c r="D83" s="8" t="s">
        <v>126</v>
      </c>
      <c r="E83" s="8"/>
      <c r="F83" s="9">
        <v>1</v>
      </c>
      <c r="G83" s="9">
        <v>1</v>
      </c>
      <c r="H83" s="7">
        <v>0.52777777777777779</v>
      </c>
      <c r="I83" s="8" t="s">
        <v>182</v>
      </c>
      <c r="J83" s="8"/>
      <c r="K83" s="9">
        <v>1</v>
      </c>
      <c r="L83" s="9">
        <v>1</v>
      </c>
      <c r="M83" s="7">
        <v>0.53472222222222221</v>
      </c>
      <c r="N83" s="8" t="s">
        <v>214</v>
      </c>
      <c r="O83" s="8" t="s">
        <v>174</v>
      </c>
      <c r="P83" s="9">
        <v>2</v>
      </c>
      <c r="Q83" s="9">
        <v>3</v>
      </c>
      <c r="R83" s="7">
        <v>4.1666666666666664E-2</v>
      </c>
      <c r="S83" s="8" t="s">
        <v>273</v>
      </c>
      <c r="T83" s="8"/>
      <c r="U83" s="9">
        <v>1</v>
      </c>
      <c r="V83" s="9">
        <v>1</v>
      </c>
      <c r="W83" s="21" t="s">
        <v>92</v>
      </c>
      <c r="X83" s="39" t="s">
        <v>92</v>
      </c>
      <c r="Y83" s="40"/>
      <c r="Z83" s="9">
        <v>0</v>
      </c>
      <c r="AA83" s="9">
        <v>0</v>
      </c>
      <c r="AB83" s="7">
        <v>0.52777777777777779</v>
      </c>
      <c r="AC83" s="8" t="s">
        <v>273</v>
      </c>
      <c r="AD83" s="8" t="s">
        <v>334</v>
      </c>
      <c r="AE83" s="9">
        <v>2</v>
      </c>
      <c r="AF83" s="9">
        <v>2</v>
      </c>
      <c r="AG83" s="7">
        <v>0.52777777777777779</v>
      </c>
      <c r="AH83" s="8" t="s">
        <v>126</v>
      </c>
      <c r="AI83" s="7"/>
      <c r="AJ83" s="17">
        <v>1</v>
      </c>
      <c r="AK83" s="9">
        <v>1</v>
      </c>
      <c r="AM83" s="9">
        <f t="shared" si="2"/>
        <v>8</v>
      </c>
      <c r="AN83" s="9">
        <f t="shared" si="2"/>
        <v>9</v>
      </c>
    </row>
    <row r="84" spans="2:40">
      <c r="B84" s="15" t="s">
        <v>76</v>
      </c>
      <c r="C84" s="7">
        <v>0.52777777777777779</v>
      </c>
      <c r="D84" s="8" t="s">
        <v>126</v>
      </c>
      <c r="E84" s="8"/>
      <c r="F84" s="9">
        <v>1</v>
      </c>
      <c r="G84" s="9">
        <v>1</v>
      </c>
      <c r="H84" s="7">
        <v>0.54166666666666663</v>
      </c>
      <c r="I84" s="8" t="s">
        <v>174</v>
      </c>
      <c r="J84" s="8"/>
      <c r="K84" s="9">
        <v>1</v>
      </c>
      <c r="L84" s="9">
        <v>1</v>
      </c>
      <c r="M84" s="7">
        <v>0.53472222222222221</v>
      </c>
      <c r="N84" s="8" t="s">
        <v>98</v>
      </c>
      <c r="O84" s="8" t="s">
        <v>174</v>
      </c>
      <c r="P84" s="9">
        <v>2</v>
      </c>
      <c r="Q84" s="9">
        <v>3</v>
      </c>
      <c r="R84" s="7">
        <v>4.1666666666666664E-2</v>
      </c>
      <c r="S84" s="8" t="s">
        <v>256</v>
      </c>
      <c r="T84" s="8"/>
      <c r="U84" s="9">
        <v>1</v>
      </c>
      <c r="V84" s="9">
        <v>2</v>
      </c>
      <c r="W84" s="10">
        <v>0.52083333333333337</v>
      </c>
      <c r="X84" s="8" t="s">
        <v>333</v>
      </c>
      <c r="Y84" s="11"/>
      <c r="Z84" s="9">
        <v>1</v>
      </c>
      <c r="AA84" s="9">
        <v>1</v>
      </c>
      <c r="AB84" s="37" t="s">
        <v>92</v>
      </c>
      <c r="AC84" s="39" t="s">
        <v>92</v>
      </c>
      <c r="AD84" s="40"/>
      <c r="AE84" s="9">
        <v>0</v>
      </c>
      <c r="AF84" s="9">
        <v>0</v>
      </c>
      <c r="AG84" s="7">
        <v>0.52430555555555558</v>
      </c>
      <c r="AH84" s="8" t="s">
        <v>362</v>
      </c>
      <c r="AI84" s="7"/>
      <c r="AJ84" s="17">
        <v>1</v>
      </c>
      <c r="AK84" s="9">
        <v>1</v>
      </c>
      <c r="AM84" s="9">
        <f t="shared" si="2"/>
        <v>7</v>
      </c>
      <c r="AN84" s="9">
        <f t="shared" si="2"/>
        <v>9</v>
      </c>
    </row>
    <row r="85" spans="2:40" ht="37.5">
      <c r="B85" s="15" t="s">
        <v>69</v>
      </c>
      <c r="C85" s="7">
        <v>0.53125</v>
      </c>
      <c r="D85" s="8" t="s">
        <v>174</v>
      </c>
      <c r="E85" s="8"/>
      <c r="F85" s="9">
        <v>1</v>
      </c>
      <c r="G85" s="9">
        <v>1</v>
      </c>
      <c r="H85" s="7">
        <v>0.53472222222222221</v>
      </c>
      <c r="I85" s="8" t="s">
        <v>184</v>
      </c>
      <c r="J85" s="8"/>
      <c r="K85" s="9">
        <v>1</v>
      </c>
      <c r="L85" s="9">
        <v>5</v>
      </c>
      <c r="M85" s="7">
        <v>0.52777777777777779</v>
      </c>
      <c r="N85" s="8" t="s">
        <v>126</v>
      </c>
      <c r="O85" s="8" t="s">
        <v>233</v>
      </c>
      <c r="P85" s="9">
        <v>3</v>
      </c>
      <c r="Q85" s="9">
        <v>6</v>
      </c>
      <c r="R85" s="21" t="s">
        <v>92</v>
      </c>
      <c r="S85" s="39" t="s">
        <v>92</v>
      </c>
      <c r="T85" s="40"/>
      <c r="U85" s="9">
        <v>0</v>
      </c>
      <c r="V85" s="9">
        <v>0</v>
      </c>
      <c r="W85" s="10">
        <v>0.52430555555555558</v>
      </c>
      <c r="X85" s="8" t="s">
        <v>302</v>
      </c>
      <c r="Y85" s="11"/>
      <c r="Z85" s="9">
        <v>1</v>
      </c>
      <c r="AA85" s="9">
        <v>1</v>
      </c>
      <c r="AB85" s="7">
        <v>0.54166666666666663</v>
      </c>
      <c r="AC85" s="33" t="s">
        <v>302</v>
      </c>
      <c r="AD85" s="8"/>
      <c r="AE85" s="9">
        <v>1</v>
      </c>
      <c r="AF85" s="9">
        <v>1</v>
      </c>
      <c r="AG85" s="7">
        <v>0.53819444444444442</v>
      </c>
      <c r="AH85" s="33" t="s">
        <v>302</v>
      </c>
      <c r="AI85" s="7"/>
      <c r="AJ85" s="17">
        <v>1</v>
      </c>
      <c r="AK85" s="9">
        <v>1</v>
      </c>
      <c r="AM85" s="9">
        <f t="shared" ref="AM85" si="3">AJ85+AE85+Z85+U85+P85+K85+F85</f>
        <v>8</v>
      </c>
      <c r="AN85" s="9">
        <f t="shared" ref="AN85" si="4">AK85+AF85+AA85+V85+Q85+L85+G85</f>
        <v>15</v>
      </c>
    </row>
    <row r="86" spans="2:40" ht="37.5">
      <c r="B86" s="29" t="s">
        <v>298</v>
      </c>
      <c r="C86" s="7">
        <v>0.53125</v>
      </c>
      <c r="D86" s="8" t="s">
        <v>174</v>
      </c>
      <c r="E86" s="8"/>
      <c r="F86" s="9">
        <v>1</v>
      </c>
      <c r="G86" s="9">
        <v>1</v>
      </c>
      <c r="H86" s="7">
        <v>0.53472222222222221</v>
      </c>
      <c r="I86" s="8" t="s">
        <v>184</v>
      </c>
      <c r="J86" s="8"/>
      <c r="K86" s="9">
        <v>1</v>
      </c>
      <c r="L86" s="9">
        <v>5</v>
      </c>
      <c r="M86" s="7">
        <v>0.52777777777777779</v>
      </c>
      <c r="N86" s="8" t="s">
        <v>126</v>
      </c>
      <c r="O86" s="8" t="s">
        <v>233</v>
      </c>
      <c r="P86" s="9">
        <v>3</v>
      </c>
      <c r="Q86" s="9">
        <v>6</v>
      </c>
      <c r="R86" s="7"/>
      <c r="S86" s="8"/>
      <c r="T86" s="8"/>
      <c r="U86" s="9">
        <v>0</v>
      </c>
      <c r="V86" s="9">
        <v>0</v>
      </c>
      <c r="W86" s="10">
        <v>0.53125</v>
      </c>
      <c r="X86" s="8" t="s">
        <v>301</v>
      </c>
      <c r="Y86" s="11"/>
      <c r="Z86" s="9">
        <v>1</v>
      </c>
      <c r="AA86" s="9">
        <v>4</v>
      </c>
      <c r="AB86" s="7">
        <v>0.54513888888888884</v>
      </c>
      <c r="AC86" s="33" t="s">
        <v>333</v>
      </c>
      <c r="AD86" s="8"/>
      <c r="AE86" s="9">
        <v>1</v>
      </c>
      <c r="AF86" s="9">
        <v>1</v>
      </c>
      <c r="AG86" s="7">
        <v>0.54166666666666663</v>
      </c>
      <c r="AH86" s="33" t="s">
        <v>333</v>
      </c>
      <c r="AI86" s="7"/>
      <c r="AJ86" s="17">
        <v>1</v>
      </c>
      <c r="AK86" s="9">
        <v>1</v>
      </c>
      <c r="AM86" s="9">
        <f t="shared" si="2"/>
        <v>8</v>
      </c>
      <c r="AN86" s="9">
        <f t="shared" si="2"/>
        <v>18</v>
      </c>
    </row>
    <row r="87" spans="2:40">
      <c r="AL87"/>
    </row>
    <row r="88" spans="2:40">
      <c r="AL88"/>
    </row>
    <row r="89" spans="2:40">
      <c r="O89" t="s">
        <v>75</v>
      </c>
      <c r="AL89"/>
    </row>
    <row r="90" spans="2:40">
      <c r="AL90"/>
    </row>
    <row r="91" spans="2:40">
      <c r="AL91"/>
    </row>
    <row r="92" spans="2:40">
      <c r="AL92"/>
    </row>
    <row r="93" spans="2:40">
      <c r="AL93"/>
    </row>
    <row r="94" spans="2:40">
      <c r="AL94"/>
    </row>
    <row r="95" spans="2:40">
      <c r="AL95"/>
    </row>
    <row r="96" spans="2:40">
      <c r="AL96"/>
    </row>
    <row r="97" spans="38:38">
      <c r="AL97"/>
    </row>
    <row r="98" spans="38:38">
      <c r="AL98"/>
    </row>
    <row r="99" spans="38:38">
      <c r="AL99"/>
    </row>
    <row r="100" spans="38:38">
      <c r="AL100"/>
    </row>
    <row r="101" spans="38:38">
      <c r="AL101"/>
    </row>
    <row r="102" spans="38:38">
      <c r="AL102"/>
    </row>
    <row r="103" spans="38:38">
      <c r="AL103"/>
    </row>
    <row r="104" spans="38:38">
      <c r="AL104"/>
    </row>
    <row r="105" spans="38:38">
      <c r="AL105"/>
    </row>
    <row r="106" spans="38:38">
      <c r="AL106"/>
    </row>
    <row r="107" spans="38:38">
      <c r="AL107"/>
    </row>
    <row r="108" spans="38:38">
      <c r="AL108"/>
    </row>
    <row r="109" spans="38:38">
      <c r="AL109"/>
    </row>
    <row r="110" spans="38:38">
      <c r="AL110"/>
    </row>
    <row r="111" spans="38:38">
      <c r="AL111"/>
    </row>
    <row r="112" spans="38:38">
      <c r="AL112"/>
    </row>
    <row r="113" spans="38:38">
      <c r="AL113"/>
    </row>
    <row r="114" spans="38:38">
      <c r="AL114"/>
    </row>
    <row r="115" spans="38:38">
      <c r="AL115"/>
    </row>
    <row r="116" spans="38:38">
      <c r="AL116"/>
    </row>
    <row r="117" spans="38:38">
      <c r="AL117"/>
    </row>
    <row r="118" spans="38:38">
      <c r="AL118"/>
    </row>
    <row r="119" spans="38:38">
      <c r="AL119"/>
    </row>
    <row r="120" spans="38:38">
      <c r="AL120"/>
    </row>
    <row r="121" spans="38:38">
      <c r="AL121"/>
    </row>
    <row r="122" spans="38:38">
      <c r="AL122"/>
    </row>
    <row r="123" spans="38:38">
      <c r="AL123"/>
    </row>
    <row r="124" spans="38:38">
      <c r="AL124"/>
    </row>
    <row r="125" spans="38:38">
      <c r="AL125"/>
    </row>
    <row r="126" spans="38:38">
      <c r="AL126"/>
    </row>
    <row r="127" spans="38:38">
      <c r="AL127"/>
    </row>
    <row r="128" spans="38:38">
      <c r="AL128"/>
    </row>
    <row r="129" spans="38:38">
      <c r="AL129"/>
    </row>
    <row r="130" spans="38:38">
      <c r="AL130"/>
    </row>
    <row r="131" spans="38:38">
      <c r="AL131"/>
    </row>
    <row r="132" spans="38:38">
      <c r="AL132"/>
    </row>
    <row r="133" spans="38:38">
      <c r="AL133"/>
    </row>
    <row r="134" spans="38:38">
      <c r="AL134"/>
    </row>
    <row r="135" spans="38:38">
      <c r="AL135"/>
    </row>
    <row r="136" spans="38:38">
      <c r="AL136"/>
    </row>
    <row r="137" spans="38:38">
      <c r="AL137"/>
    </row>
    <row r="138" spans="38:38">
      <c r="AL138"/>
    </row>
    <row r="139" spans="38:38">
      <c r="AL139"/>
    </row>
    <row r="140" spans="38:38">
      <c r="AL140"/>
    </row>
    <row r="141" spans="38:38">
      <c r="AL141"/>
    </row>
    <row r="142" spans="38:38">
      <c r="AL142"/>
    </row>
    <row r="143" spans="38:38">
      <c r="AL143"/>
    </row>
    <row r="144" spans="38:38">
      <c r="AL144"/>
    </row>
    <row r="145" spans="38:38">
      <c r="AL145"/>
    </row>
    <row r="146" spans="38:38">
      <c r="AL146"/>
    </row>
    <row r="147" spans="38:38">
      <c r="AL147"/>
    </row>
    <row r="148" spans="38:38">
      <c r="AL148"/>
    </row>
    <row r="149" spans="38:38">
      <c r="AL149"/>
    </row>
    <row r="150" spans="38:38">
      <c r="AL150"/>
    </row>
    <row r="151" spans="38:38">
      <c r="AL151"/>
    </row>
    <row r="152" spans="38:38">
      <c r="AL152"/>
    </row>
    <row r="153" spans="38:38">
      <c r="AL153"/>
    </row>
    <row r="154" spans="38:38">
      <c r="AL154"/>
    </row>
    <row r="155" spans="38:38">
      <c r="AL155"/>
    </row>
    <row r="156" spans="38:38">
      <c r="AL156"/>
    </row>
    <row r="157" spans="38:38">
      <c r="AL157"/>
    </row>
    <row r="158" spans="38:38">
      <c r="AL158"/>
    </row>
    <row r="159" spans="38:38">
      <c r="AL159"/>
    </row>
    <row r="160" spans="38:38">
      <c r="AL160"/>
    </row>
    <row r="161" spans="38:38">
      <c r="AL161"/>
    </row>
    <row r="162" spans="38:38">
      <c r="AL162"/>
    </row>
    <row r="163" spans="38:38">
      <c r="AL163"/>
    </row>
    <row r="164" spans="38:38">
      <c r="AL164"/>
    </row>
    <row r="165" spans="38:38">
      <c r="AL165"/>
    </row>
    <row r="166" spans="38:38">
      <c r="AL166"/>
    </row>
    <row r="167" spans="38:38">
      <c r="AL167"/>
    </row>
    <row r="168" spans="38:38">
      <c r="AL168"/>
    </row>
    <row r="169" spans="38:38">
      <c r="AL169"/>
    </row>
    <row r="170" spans="38:38">
      <c r="AL170"/>
    </row>
    <row r="171" spans="38:38">
      <c r="AL171"/>
    </row>
    <row r="172" spans="38:38">
      <c r="AL172"/>
    </row>
    <row r="173" spans="38:38">
      <c r="AL173"/>
    </row>
    <row r="174" spans="38:38">
      <c r="AL174"/>
    </row>
    <row r="175" spans="38:38">
      <c r="AL175"/>
    </row>
    <row r="176" spans="38:38">
      <c r="AL176"/>
    </row>
    <row r="177" spans="38:38">
      <c r="AL177"/>
    </row>
    <row r="178" spans="38:38">
      <c r="AL178"/>
    </row>
    <row r="179" spans="38:38">
      <c r="AL179"/>
    </row>
    <row r="180" spans="38:38">
      <c r="AL180"/>
    </row>
    <row r="181" spans="38:38">
      <c r="AL181"/>
    </row>
    <row r="182" spans="38:38">
      <c r="AL182"/>
    </row>
    <row r="183" spans="38:38">
      <c r="AL183"/>
    </row>
    <row r="184" spans="38:38">
      <c r="AL184"/>
    </row>
    <row r="185" spans="38:38">
      <c r="AL185"/>
    </row>
    <row r="186" spans="38:38">
      <c r="AL186"/>
    </row>
    <row r="187" spans="38:38">
      <c r="AL187"/>
    </row>
    <row r="188" spans="38:38">
      <c r="AL188"/>
    </row>
    <row r="189" spans="38:38">
      <c r="AL189"/>
    </row>
    <row r="190" spans="38:38">
      <c r="AL190"/>
    </row>
    <row r="191" spans="38:38">
      <c r="AL191"/>
    </row>
    <row r="192" spans="38:38">
      <c r="AL192"/>
    </row>
    <row r="193" spans="38:38">
      <c r="AL193"/>
    </row>
    <row r="194" spans="38:38">
      <c r="AL194"/>
    </row>
    <row r="195" spans="38:38">
      <c r="AL195"/>
    </row>
    <row r="196" spans="38:38">
      <c r="AL196"/>
    </row>
    <row r="197" spans="38:38">
      <c r="AL197"/>
    </row>
    <row r="198" spans="38:38">
      <c r="AL198"/>
    </row>
    <row r="199" spans="38:38">
      <c r="AL199"/>
    </row>
    <row r="200" spans="38:38">
      <c r="AL200"/>
    </row>
    <row r="201" spans="38:38">
      <c r="AL201"/>
    </row>
    <row r="202" spans="38:38">
      <c r="AL202"/>
    </row>
    <row r="203" spans="38:38">
      <c r="AL203"/>
    </row>
    <row r="204" spans="38:38">
      <c r="AL204"/>
    </row>
    <row r="205" spans="38:38">
      <c r="AL205"/>
    </row>
    <row r="206" spans="38:38">
      <c r="AL206"/>
    </row>
    <row r="207" spans="38:38">
      <c r="AL207"/>
    </row>
    <row r="208" spans="38:38">
      <c r="AL208"/>
    </row>
    <row r="209" spans="38:38">
      <c r="AL209"/>
    </row>
    <row r="210" spans="38:38">
      <c r="AL210"/>
    </row>
    <row r="211" spans="38:38">
      <c r="AL211"/>
    </row>
    <row r="212" spans="38:38">
      <c r="AL212"/>
    </row>
    <row r="213" spans="38:38">
      <c r="AL213"/>
    </row>
    <row r="214" spans="38:38">
      <c r="AL214"/>
    </row>
    <row r="215" spans="38:38">
      <c r="AL215"/>
    </row>
    <row r="216" spans="38:38">
      <c r="AL216"/>
    </row>
    <row r="217" spans="38:38">
      <c r="AL217"/>
    </row>
    <row r="218" spans="38:38">
      <c r="AL218"/>
    </row>
    <row r="219" spans="38:38">
      <c r="AL219"/>
    </row>
    <row r="220" spans="38:38">
      <c r="AL220"/>
    </row>
    <row r="221" spans="38:38">
      <c r="AL221"/>
    </row>
    <row r="222" spans="38:38">
      <c r="AL222"/>
    </row>
    <row r="223" spans="38:38">
      <c r="AL223"/>
    </row>
    <row r="224" spans="38:38">
      <c r="AL224"/>
    </row>
    <row r="225" spans="38:38">
      <c r="AL225"/>
    </row>
    <row r="226" spans="38:38">
      <c r="AL226"/>
    </row>
    <row r="227" spans="38:38">
      <c r="AL227"/>
    </row>
    <row r="228" spans="38:38">
      <c r="AL228"/>
    </row>
    <row r="229" spans="38:38">
      <c r="AL229"/>
    </row>
    <row r="230" spans="38:38">
      <c r="AL230"/>
    </row>
    <row r="231" spans="38:38">
      <c r="AL231"/>
    </row>
    <row r="232" spans="38:38">
      <c r="AL232"/>
    </row>
    <row r="233" spans="38:38">
      <c r="AL233"/>
    </row>
    <row r="234" spans="38:38">
      <c r="AL234"/>
    </row>
    <row r="235" spans="38:38">
      <c r="AL235"/>
    </row>
    <row r="236" spans="38:38">
      <c r="AL236"/>
    </row>
    <row r="237" spans="38:38">
      <c r="AL237"/>
    </row>
    <row r="238" spans="38:38">
      <c r="AL238"/>
    </row>
    <row r="239" spans="38:38">
      <c r="AL239"/>
    </row>
    <row r="240" spans="38:38">
      <c r="AL240"/>
    </row>
    <row r="241" spans="38:38">
      <c r="AL241"/>
    </row>
    <row r="242" spans="38:38">
      <c r="AL242"/>
    </row>
    <row r="243" spans="38:38">
      <c r="AL243"/>
    </row>
    <row r="244" spans="38:38">
      <c r="AL244"/>
    </row>
    <row r="245" spans="38:38">
      <c r="AL245"/>
    </row>
    <row r="246" spans="38:38">
      <c r="AL246"/>
    </row>
    <row r="247" spans="38:38">
      <c r="AL247"/>
    </row>
    <row r="248" spans="38:38">
      <c r="AL248"/>
    </row>
    <row r="249" spans="38:38">
      <c r="AL249"/>
    </row>
    <row r="250" spans="38:38">
      <c r="AL250"/>
    </row>
    <row r="251" spans="38:38">
      <c r="AL251"/>
    </row>
    <row r="252" spans="38:38">
      <c r="AL252"/>
    </row>
    <row r="253" spans="38:38">
      <c r="AL253"/>
    </row>
    <row r="254" spans="38:38">
      <c r="AL254"/>
    </row>
    <row r="255" spans="38:38">
      <c r="AL255"/>
    </row>
    <row r="256" spans="38:38">
      <c r="AL256"/>
    </row>
    <row r="257" spans="38:38">
      <c r="AL257"/>
    </row>
    <row r="258" spans="38:38">
      <c r="AL258"/>
    </row>
    <row r="259" spans="38:38">
      <c r="AL259"/>
    </row>
    <row r="260" spans="38:38">
      <c r="AL260"/>
    </row>
    <row r="261" spans="38:38">
      <c r="AL261"/>
    </row>
    <row r="262" spans="38:38">
      <c r="AL262"/>
    </row>
    <row r="263" spans="38:38">
      <c r="AL263"/>
    </row>
    <row r="264" spans="38:38">
      <c r="AL264"/>
    </row>
    <row r="265" spans="38:38">
      <c r="AL265"/>
    </row>
    <row r="266" spans="38:38">
      <c r="AL266"/>
    </row>
    <row r="267" spans="38:38">
      <c r="AL267"/>
    </row>
    <row r="268" spans="38:38">
      <c r="AL268"/>
    </row>
    <row r="269" spans="38:38">
      <c r="AL269"/>
    </row>
    <row r="270" spans="38:38">
      <c r="AL270"/>
    </row>
    <row r="271" spans="38:38">
      <c r="AL271"/>
    </row>
    <row r="272" spans="38:38">
      <c r="AL272"/>
    </row>
    <row r="273" spans="38:38">
      <c r="AL273"/>
    </row>
    <row r="274" spans="38:38">
      <c r="AL274"/>
    </row>
    <row r="275" spans="38:38">
      <c r="AL275"/>
    </row>
    <row r="276" spans="38:38">
      <c r="AL276"/>
    </row>
    <row r="277" spans="38:38">
      <c r="AL277"/>
    </row>
    <row r="278" spans="38:38">
      <c r="AL278"/>
    </row>
    <row r="279" spans="38:38">
      <c r="AL279"/>
    </row>
    <row r="280" spans="38:38">
      <c r="AL280"/>
    </row>
    <row r="281" spans="38:38">
      <c r="AL281"/>
    </row>
    <row r="282" spans="38:38">
      <c r="AL282"/>
    </row>
    <row r="283" spans="38:38">
      <c r="AL283"/>
    </row>
    <row r="284" spans="38:38">
      <c r="AL284"/>
    </row>
    <row r="285" spans="38:38">
      <c r="AL285"/>
    </row>
    <row r="286" spans="38:38">
      <c r="AL286"/>
    </row>
    <row r="287" spans="38:38">
      <c r="AL287"/>
    </row>
    <row r="288" spans="38:38">
      <c r="AL288"/>
    </row>
    <row r="289" spans="38:38">
      <c r="AL289"/>
    </row>
    <row r="290" spans="38:38">
      <c r="AL290"/>
    </row>
    <row r="291" spans="38:38">
      <c r="AL291"/>
    </row>
    <row r="292" spans="38:38">
      <c r="AL292"/>
    </row>
    <row r="293" spans="38:38">
      <c r="AL293"/>
    </row>
    <row r="294" spans="38:38">
      <c r="AL294"/>
    </row>
    <row r="295" spans="38:38">
      <c r="AL295"/>
    </row>
    <row r="296" spans="38:38">
      <c r="AL296"/>
    </row>
    <row r="297" spans="38:38">
      <c r="AL297"/>
    </row>
    <row r="298" spans="38:38">
      <c r="AL298"/>
    </row>
    <row r="299" spans="38:38">
      <c r="AL299"/>
    </row>
    <row r="300" spans="38:38">
      <c r="AL300"/>
    </row>
    <row r="301" spans="38:38">
      <c r="AL301"/>
    </row>
    <row r="302" spans="38:38">
      <c r="AL302"/>
    </row>
    <row r="303" spans="38:38">
      <c r="AL303"/>
    </row>
    <row r="304" spans="38:38">
      <c r="AL304"/>
    </row>
    <row r="305" spans="38:38">
      <c r="AL305"/>
    </row>
    <row r="306" spans="38:38">
      <c r="AL306"/>
    </row>
    <row r="307" spans="38:38">
      <c r="AL307"/>
    </row>
    <row r="308" spans="38:38">
      <c r="AL308"/>
    </row>
    <row r="309" spans="38:38">
      <c r="AL309"/>
    </row>
    <row r="310" spans="38:38">
      <c r="AL310"/>
    </row>
    <row r="311" spans="38:38">
      <c r="AL311"/>
    </row>
    <row r="312" spans="38:38">
      <c r="AL312"/>
    </row>
    <row r="313" spans="38:38">
      <c r="AL313"/>
    </row>
    <row r="314" spans="38:38">
      <c r="AL314"/>
    </row>
    <row r="315" spans="38:38">
      <c r="AL315"/>
    </row>
    <row r="316" spans="38:38">
      <c r="AL316"/>
    </row>
    <row r="317" spans="38:38">
      <c r="AL317"/>
    </row>
    <row r="318" spans="38:38">
      <c r="AL318"/>
    </row>
    <row r="319" spans="38:38">
      <c r="AL319"/>
    </row>
    <row r="320" spans="38:38">
      <c r="AL320"/>
    </row>
    <row r="321" spans="38:38">
      <c r="AL321"/>
    </row>
    <row r="322" spans="38:38">
      <c r="AL322"/>
    </row>
    <row r="323" spans="38:38">
      <c r="AL323"/>
    </row>
    <row r="324" spans="38:38">
      <c r="AL324"/>
    </row>
    <row r="325" spans="38:38">
      <c r="AL325"/>
    </row>
    <row r="326" spans="38:38">
      <c r="AL326"/>
    </row>
    <row r="327" spans="38:38">
      <c r="AL327"/>
    </row>
    <row r="328" spans="38:38">
      <c r="AL328"/>
    </row>
    <row r="329" spans="38:38">
      <c r="AL329"/>
    </row>
    <row r="330" spans="38:38">
      <c r="AL330"/>
    </row>
    <row r="331" spans="38:38">
      <c r="AL331"/>
    </row>
    <row r="332" spans="38:38">
      <c r="AL332"/>
    </row>
    <row r="333" spans="38:38">
      <c r="AL333"/>
    </row>
    <row r="334" spans="38:38">
      <c r="AL334"/>
    </row>
    <row r="335" spans="38:38">
      <c r="AL335"/>
    </row>
    <row r="336" spans="38:38">
      <c r="AL336"/>
    </row>
    <row r="337" spans="38:38">
      <c r="AL337"/>
    </row>
    <row r="338" spans="38:38">
      <c r="AL338"/>
    </row>
    <row r="339" spans="38:38">
      <c r="AL339"/>
    </row>
    <row r="340" spans="38:38">
      <c r="AL340"/>
    </row>
    <row r="341" spans="38:38">
      <c r="AL341"/>
    </row>
    <row r="342" spans="38:38">
      <c r="AL342"/>
    </row>
    <row r="343" spans="38:38">
      <c r="AL343"/>
    </row>
    <row r="344" spans="38:38">
      <c r="AL344"/>
    </row>
    <row r="345" spans="38:38">
      <c r="AL345"/>
    </row>
    <row r="346" spans="38:38">
      <c r="AL346"/>
    </row>
    <row r="347" spans="38:38">
      <c r="AL347"/>
    </row>
    <row r="348" spans="38:38">
      <c r="AL348"/>
    </row>
    <row r="349" spans="38:38">
      <c r="AL349"/>
    </row>
    <row r="350" spans="38:38">
      <c r="AL350"/>
    </row>
    <row r="351" spans="38:38">
      <c r="AL351"/>
    </row>
    <row r="352" spans="38:38">
      <c r="AL352"/>
    </row>
    <row r="353" spans="38:38">
      <c r="AL353"/>
    </row>
    <row r="354" spans="38:38">
      <c r="AL354"/>
    </row>
    <row r="355" spans="38:38">
      <c r="AL355"/>
    </row>
    <row r="356" spans="38:38">
      <c r="AL356"/>
    </row>
    <row r="357" spans="38:38">
      <c r="AL357"/>
    </row>
    <row r="358" spans="38:38">
      <c r="AL358"/>
    </row>
    <row r="359" spans="38:38">
      <c r="AL359"/>
    </row>
    <row r="360" spans="38:38">
      <c r="AL360"/>
    </row>
    <row r="361" spans="38:38">
      <c r="AL361"/>
    </row>
    <row r="362" spans="38:38">
      <c r="AL362"/>
    </row>
    <row r="363" spans="38:38">
      <c r="AL363"/>
    </row>
    <row r="364" spans="38:38">
      <c r="AL364"/>
    </row>
    <row r="365" spans="38:38">
      <c r="AL365"/>
    </row>
    <row r="366" spans="38:38">
      <c r="AL366"/>
    </row>
    <row r="367" spans="38:38">
      <c r="AL367"/>
    </row>
    <row r="368" spans="38:38">
      <c r="AL368"/>
    </row>
    <row r="369" spans="38:38">
      <c r="AL369"/>
    </row>
    <row r="370" spans="38:38">
      <c r="AL370"/>
    </row>
    <row r="371" spans="38:38">
      <c r="AL371"/>
    </row>
    <row r="372" spans="38:38">
      <c r="AL372"/>
    </row>
    <row r="373" spans="38:38">
      <c r="AL373"/>
    </row>
    <row r="374" spans="38:38">
      <c r="AL374"/>
    </row>
    <row r="375" spans="38:38">
      <c r="AL375"/>
    </row>
    <row r="376" spans="38:38">
      <c r="AL376"/>
    </row>
    <row r="377" spans="38:38">
      <c r="AL377"/>
    </row>
    <row r="378" spans="38:38">
      <c r="AL378"/>
    </row>
    <row r="379" spans="38:38">
      <c r="AL379"/>
    </row>
    <row r="380" spans="38:38">
      <c r="AL380"/>
    </row>
    <row r="381" spans="38:38">
      <c r="AL381"/>
    </row>
    <row r="382" spans="38:38">
      <c r="AL382"/>
    </row>
    <row r="383" spans="38:38">
      <c r="AL383"/>
    </row>
    <row r="384" spans="38:38">
      <c r="AL384"/>
    </row>
    <row r="385" spans="38:38">
      <c r="AL385"/>
    </row>
    <row r="386" spans="38:38">
      <c r="AL386"/>
    </row>
    <row r="387" spans="38:38">
      <c r="AL387"/>
    </row>
    <row r="388" spans="38:38">
      <c r="AL388"/>
    </row>
    <row r="389" spans="38:38">
      <c r="AL389"/>
    </row>
    <row r="390" spans="38:38">
      <c r="AL390"/>
    </row>
    <row r="391" spans="38:38">
      <c r="AL391"/>
    </row>
    <row r="392" spans="38:38">
      <c r="AL392"/>
    </row>
    <row r="393" spans="38:38">
      <c r="AL393"/>
    </row>
    <row r="394" spans="38:38">
      <c r="AL394"/>
    </row>
    <row r="395" spans="38:38">
      <c r="AL395"/>
    </row>
    <row r="396" spans="38:38">
      <c r="AL396"/>
    </row>
    <row r="397" spans="38:38">
      <c r="AL397"/>
    </row>
    <row r="398" spans="38:38">
      <c r="AL398"/>
    </row>
    <row r="399" spans="38:38">
      <c r="AL399"/>
    </row>
    <row r="400" spans="38:38">
      <c r="AL400"/>
    </row>
    <row r="401" spans="38:38">
      <c r="AL401"/>
    </row>
    <row r="402" spans="38:38">
      <c r="AL402"/>
    </row>
    <row r="403" spans="38:38">
      <c r="AL403"/>
    </row>
    <row r="404" spans="38:38">
      <c r="AL404"/>
    </row>
    <row r="405" spans="38:38">
      <c r="AL405"/>
    </row>
    <row r="406" spans="38:38">
      <c r="AL406"/>
    </row>
    <row r="407" spans="38:38">
      <c r="AL407"/>
    </row>
    <row r="408" spans="38:38">
      <c r="AL408"/>
    </row>
    <row r="409" spans="38:38">
      <c r="AL409"/>
    </row>
    <row r="410" spans="38:38">
      <c r="AL410"/>
    </row>
    <row r="411" spans="38:38">
      <c r="AL411"/>
    </row>
    <row r="412" spans="38:38">
      <c r="AL412"/>
    </row>
    <row r="413" spans="38:38">
      <c r="AL413"/>
    </row>
    <row r="414" spans="38:38">
      <c r="AL414"/>
    </row>
    <row r="415" spans="38:38">
      <c r="AL415"/>
    </row>
    <row r="416" spans="38:38">
      <c r="AL416"/>
    </row>
    <row r="417" spans="38:38">
      <c r="AL417"/>
    </row>
  </sheetData>
  <autoFilter ref="A1:B86" xr:uid="{00000000-0009-0000-0000-000000000000}">
    <sortState xmlns:xlrd2="http://schemas.microsoft.com/office/spreadsheetml/2017/richdata2" ref="A50:B50">
      <sortCondition descending="1" ref="B1:B89"/>
    </sortState>
  </autoFilter>
  <mergeCells count="154">
    <mergeCell ref="AH49:AI49"/>
    <mergeCell ref="AH50:AI50"/>
    <mergeCell ref="AH51:AI51"/>
    <mergeCell ref="AH57:AI57"/>
    <mergeCell ref="AH82:AI82"/>
    <mergeCell ref="AH75:AI75"/>
    <mergeCell ref="AH76:AI76"/>
    <mergeCell ref="AH34:AI34"/>
    <mergeCell ref="AH19:AI19"/>
    <mergeCell ref="AH68:AI68"/>
    <mergeCell ref="AH5:AI5"/>
    <mergeCell ref="AH12:AI12"/>
    <mergeCell ref="AH13:AI13"/>
    <mergeCell ref="AH14:AI14"/>
    <mergeCell ref="AH15:AI15"/>
    <mergeCell ref="AH16:AI16"/>
    <mergeCell ref="AH24:AI24"/>
    <mergeCell ref="AH25:AI25"/>
    <mergeCell ref="AH11:AI11"/>
    <mergeCell ref="AH8:AI8"/>
    <mergeCell ref="AC73:AD73"/>
    <mergeCell ref="AC74:AD74"/>
    <mergeCell ref="AC7:AD7"/>
    <mergeCell ref="AC8:AD8"/>
    <mergeCell ref="AC9:AD9"/>
    <mergeCell ref="AC10:AD10"/>
    <mergeCell ref="AC11:AD11"/>
    <mergeCell ref="AC13:AD13"/>
    <mergeCell ref="AC24:AD24"/>
    <mergeCell ref="AC25:AD25"/>
    <mergeCell ref="AC34:AD34"/>
    <mergeCell ref="AC29:AD29"/>
    <mergeCell ref="AC58:AD58"/>
    <mergeCell ref="AC44:AD44"/>
    <mergeCell ref="AC45:AD45"/>
    <mergeCell ref="AC46:AD46"/>
    <mergeCell ref="AC47:AD47"/>
    <mergeCell ref="AC48:AD48"/>
    <mergeCell ref="AC49:AD49"/>
    <mergeCell ref="N71:O71"/>
    <mergeCell ref="N80:O80"/>
    <mergeCell ref="N44:O44"/>
    <mergeCell ref="N58:O58"/>
    <mergeCell ref="N53:O53"/>
    <mergeCell ref="N69:O69"/>
    <mergeCell ref="N60:O60"/>
    <mergeCell ref="N61:O61"/>
    <mergeCell ref="N62:O62"/>
    <mergeCell ref="N24:O24"/>
    <mergeCell ref="N25:O25"/>
    <mergeCell ref="S4:T4"/>
    <mergeCell ref="S7:T7"/>
    <mergeCell ref="S24:T24"/>
    <mergeCell ref="S25:T25"/>
    <mergeCell ref="S34:T34"/>
    <mergeCell ref="S40:T40"/>
    <mergeCell ref="S27:T27"/>
    <mergeCell ref="S35:T35"/>
    <mergeCell ref="S36:T36"/>
    <mergeCell ref="S37:T37"/>
    <mergeCell ref="S38:T38"/>
    <mergeCell ref="S39:T39"/>
    <mergeCell ref="N41:O41"/>
    <mergeCell ref="I82:J82"/>
    <mergeCell ref="I80:J80"/>
    <mergeCell ref="I4:J4"/>
    <mergeCell ref="I7:J7"/>
    <mergeCell ref="I34:J34"/>
    <mergeCell ref="I30:J30"/>
    <mergeCell ref="I11:J11"/>
    <mergeCell ref="I23:J23"/>
    <mergeCell ref="I24:J24"/>
    <mergeCell ref="I25:J25"/>
    <mergeCell ref="I26:J26"/>
    <mergeCell ref="I27:J27"/>
    <mergeCell ref="I56:J56"/>
    <mergeCell ref="I41:J41"/>
    <mergeCell ref="I79:J79"/>
    <mergeCell ref="N38:O38"/>
    <mergeCell ref="N34:O34"/>
    <mergeCell ref="N28:O28"/>
    <mergeCell ref="N29:O29"/>
    <mergeCell ref="N30:O30"/>
    <mergeCell ref="N31:O31"/>
    <mergeCell ref="N4:O4"/>
    <mergeCell ref="N7:O7"/>
    <mergeCell ref="I58:J58"/>
    <mergeCell ref="D44:E44"/>
    <mergeCell ref="I44:J44"/>
    <mergeCell ref="D52:E52"/>
    <mergeCell ref="D53:E53"/>
    <mergeCell ref="D54:E54"/>
    <mergeCell ref="D69:E69"/>
    <mergeCell ref="D70:E70"/>
    <mergeCell ref="I49:J49"/>
    <mergeCell ref="I53:J53"/>
    <mergeCell ref="D60:E60"/>
    <mergeCell ref="D34:E34"/>
    <mergeCell ref="D5:E5"/>
    <mergeCell ref="D17:E17"/>
    <mergeCell ref="D18:E18"/>
    <mergeCell ref="D19:E19"/>
    <mergeCell ref="D20:E20"/>
    <mergeCell ref="D21:E21"/>
    <mergeCell ref="D22:E22"/>
    <mergeCell ref="D78:E78"/>
    <mergeCell ref="X71:Y71"/>
    <mergeCell ref="X72:Y72"/>
    <mergeCell ref="D41:E41"/>
    <mergeCell ref="D58:E58"/>
    <mergeCell ref="X2:Y2"/>
    <mergeCell ref="X3:Y3"/>
    <mergeCell ref="X4:Y4"/>
    <mergeCell ref="X5:Y5"/>
    <mergeCell ref="X6:Y6"/>
    <mergeCell ref="S50:T50"/>
    <mergeCell ref="S53:T53"/>
    <mergeCell ref="S54:T54"/>
    <mergeCell ref="S58:T58"/>
    <mergeCell ref="S44:T44"/>
    <mergeCell ref="X34:Y34"/>
    <mergeCell ref="X7:Y7"/>
    <mergeCell ref="X24:Y24"/>
    <mergeCell ref="X25:Y25"/>
    <mergeCell ref="X27:Y27"/>
    <mergeCell ref="X29:Y29"/>
    <mergeCell ref="X40:Y40"/>
    <mergeCell ref="X53:Y53"/>
    <mergeCell ref="D7:E7"/>
    <mergeCell ref="D4:E4"/>
    <mergeCell ref="AC84:AD84"/>
    <mergeCell ref="AC72:AD72"/>
    <mergeCell ref="AH58:AI58"/>
    <mergeCell ref="AH44:AI44"/>
    <mergeCell ref="S66:T66"/>
    <mergeCell ref="D66:E66"/>
    <mergeCell ref="S85:T85"/>
    <mergeCell ref="X83:Y83"/>
    <mergeCell ref="X41:Y41"/>
    <mergeCell ref="X42:Y42"/>
    <mergeCell ref="X43:Y43"/>
    <mergeCell ref="X44:Y44"/>
    <mergeCell ref="X58:Y58"/>
    <mergeCell ref="S63:T63"/>
    <mergeCell ref="S64:T64"/>
    <mergeCell ref="S65:T65"/>
    <mergeCell ref="S70:T70"/>
    <mergeCell ref="S67:T67"/>
    <mergeCell ref="S81:T81"/>
    <mergeCell ref="S82:T82"/>
    <mergeCell ref="X46:Y46"/>
    <mergeCell ref="X47:Y47"/>
    <mergeCell ref="X59:Y59"/>
    <mergeCell ref="X61:Y61"/>
  </mergeCells>
  <printOptions horizontalCentered="1" verticalCentered="1"/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39"/>
  <sheetViews>
    <sheetView rightToLeft="1" tabSelected="1" topLeftCell="B58" zoomScaleNormal="100" workbookViewId="0">
      <pane xSplit="1" topLeftCell="C1" activePane="topRight" state="frozen"/>
      <selection activeCell="AG76" sqref="AG76:AK76"/>
      <selection pane="topRight" activeCell="I68" sqref="I68"/>
    </sheetView>
  </sheetViews>
  <sheetFormatPr defaultColWidth="9" defaultRowHeight="18.75"/>
  <cols>
    <col min="1" max="1" width="4.85546875" style="1" hidden="1" customWidth="1"/>
    <col min="2" max="2" width="28.42578125" customWidth="1"/>
    <col min="3" max="3" width="15.5703125" customWidth="1"/>
    <col min="4" max="4" width="36.42578125" customWidth="1"/>
    <col min="5" max="5" width="33.7109375" customWidth="1"/>
    <col min="6" max="6" width="11.5703125" customWidth="1"/>
    <col min="7" max="7" width="12.85546875" customWidth="1"/>
    <col min="8" max="8" width="12" customWidth="1"/>
    <col min="9" max="9" width="36.5703125" customWidth="1"/>
    <col min="10" max="10" width="33.5703125" customWidth="1"/>
    <col min="11" max="11" width="11.5703125" customWidth="1"/>
    <col min="12" max="12" width="12.85546875" customWidth="1"/>
    <col min="13" max="13" width="12" customWidth="1"/>
    <col min="14" max="14" width="40.5703125" customWidth="1"/>
    <col min="15" max="15" width="33.28515625" customWidth="1"/>
    <col min="16" max="16" width="11.5703125" customWidth="1"/>
    <col min="17" max="17" width="12.85546875" customWidth="1"/>
    <col min="18" max="18" width="12" customWidth="1"/>
    <col min="19" max="19" width="38" customWidth="1"/>
    <col min="20" max="20" width="33.7109375" customWidth="1"/>
    <col min="21" max="21" width="11.5703125" customWidth="1"/>
    <col min="22" max="22" width="12.85546875" customWidth="1"/>
    <col min="23" max="23" width="12" customWidth="1"/>
    <col min="24" max="24" width="36.5703125" customWidth="1"/>
    <col min="25" max="25" width="29.5703125" customWidth="1"/>
    <col min="26" max="26" width="11.5703125" customWidth="1"/>
    <col min="27" max="27" width="12.85546875" customWidth="1"/>
    <col min="28" max="28" width="12" customWidth="1"/>
    <col min="29" max="29" width="36.5703125" customWidth="1"/>
    <col min="30" max="30" width="33.5703125" bestFit="1" customWidth="1"/>
    <col min="31" max="31" width="11.5703125" customWidth="1"/>
    <col min="32" max="32" width="12.85546875" customWidth="1"/>
    <col min="33" max="33" width="12" customWidth="1"/>
    <col min="34" max="34" width="32.7109375" customWidth="1"/>
    <col min="35" max="35" width="29.5703125" customWidth="1"/>
    <col min="36" max="36" width="11.5703125" customWidth="1"/>
    <col min="37" max="37" width="12.85546875" customWidth="1"/>
    <col min="38" max="38" width="0.85546875" style="16" customWidth="1"/>
    <col min="39" max="39" width="16.28515625" customWidth="1"/>
    <col min="40" max="40" width="17.140625" customWidth="1"/>
  </cols>
  <sheetData>
    <row r="1" spans="1:40" ht="63">
      <c r="A1" s="1" t="s">
        <v>0</v>
      </c>
      <c r="B1" s="2" t="s">
        <v>1</v>
      </c>
      <c r="C1" s="3" t="s">
        <v>2</v>
      </c>
      <c r="D1" s="4">
        <v>46140</v>
      </c>
      <c r="E1" s="4">
        <v>46140</v>
      </c>
      <c r="F1" s="5" t="s">
        <v>3</v>
      </c>
      <c r="G1" s="5" t="s">
        <v>4</v>
      </c>
      <c r="H1" s="3" t="s">
        <v>2</v>
      </c>
      <c r="I1" s="4">
        <v>46141</v>
      </c>
      <c r="J1" s="4">
        <v>46141</v>
      </c>
      <c r="K1" s="5" t="s">
        <v>3</v>
      </c>
      <c r="L1" s="5" t="s">
        <v>4</v>
      </c>
      <c r="M1" s="3" t="s">
        <v>2</v>
      </c>
      <c r="N1" s="4">
        <v>46142</v>
      </c>
      <c r="O1" s="4">
        <v>46142</v>
      </c>
      <c r="P1" s="5" t="s">
        <v>3</v>
      </c>
      <c r="Q1" s="5" t="s">
        <v>4</v>
      </c>
      <c r="R1" s="3" t="s">
        <v>2</v>
      </c>
      <c r="S1" s="4">
        <v>46143</v>
      </c>
      <c r="T1" s="4">
        <v>46143</v>
      </c>
      <c r="U1" s="5" t="s">
        <v>3</v>
      </c>
      <c r="V1" s="5" t="s">
        <v>4</v>
      </c>
      <c r="W1" s="3" t="s">
        <v>2</v>
      </c>
      <c r="X1" s="4">
        <v>46144</v>
      </c>
      <c r="Y1" s="4">
        <v>46144</v>
      </c>
      <c r="Z1" s="5" t="s">
        <v>3</v>
      </c>
      <c r="AA1" s="5" t="s">
        <v>4</v>
      </c>
      <c r="AB1" s="3" t="s">
        <v>2</v>
      </c>
      <c r="AC1" s="4">
        <v>46145</v>
      </c>
      <c r="AD1" s="4">
        <v>46145</v>
      </c>
      <c r="AE1" s="5" t="s">
        <v>3</v>
      </c>
      <c r="AF1" s="5" t="s">
        <v>4</v>
      </c>
      <c r="AG1" s="3" t="s">
        <v>2</v>
      </c>
      <c r="AH1" s="4">
        <v>46146</v>
      </c>
      <c r="AI1" s="4">
        <v>46146</v>
      </c>
      <c r="AJ1" s="5" t="s">
        <v>3</v>
      </c>
      <c r="AK1" s="5" t="s">
        <v>4</v>
      </c>
      <c r="AM1" s="3" t="s">
        <v>5</v>
      </c>
      <c r="AN1" s="5" t="s">
        <v>6</v>
      </c>
    </row>
    <row r="2" spans="1:40">
      <c r="A2" s="1">
        <v>2</v>
      </c>
      <c r="B2" s="31" t="s">
        <v>7</v>
      </c>
      <c r="C2" s="7">
        <v>0.25</v>
      </c>
      <c r="D2" s="8" t="s">
        <v>115</v>
      </c>
      <c r="E2" s="8" t="s">
        <v>151</v>
      </c>
      <c r="F2" s="9">
        <v>2</v>
      </c>
      <c r="G2" s="9">
        <v>3</v>
      </c>
      <c r="H2" s="7"/>
      <c r="I2" s="8"/>
      <c r="J2" s="8"/>
      <c r="K2" s="9"/>
      <c r="L2" s="9"/>
      <c r="M2" s="7"/>
      <c r="N2" s="8"/>
      <c r="O2" s="8"/>
      <c r="P2" s="9"/>
      <c r="Q2" s="9"/>
      <c r="R2" s="10"/>
      <c r="S2" s="11"/>
      <c r="T2" s="11"/>
      <c r="U2" s="9"/>
      <c r="V2" s="9"/>
      <c r="W2" s="7"/>
      <c r="X2" s="7"/>
      <c r="Y2" s="7"/>
      <c r="Z2" s="9"/>
      <c r="AA2" s="9"/>
      <c r="AB2" s="7"/>
      <c r="AC2" s="6"/>
      <c r="AD2" s="6"/>
      <c r="AE2" s="9"/>
      <c r="AF2" s="9"/>
      <c r="AG2" s="7"/>
      <c r="AH2" s="8"/>
      <c r="AI2" s="7"/>
      <c r="AJ2" s="9"/>
      <c r="AK2" s="9"/>
      <c r="AM2" s="9">
        <f>AJ2+AE2+Z2+U2+P2+K2+F2</f>
        <v>2</v>
      </c>
      <c r="AN2" s="9">
        <f>AK2+AF2+AA2+V2+Q2+L2+G2</f>
        <v>3</v>
      </c>
    </row>
    <row r="3" spans="1:40">
      <c r="A3" s="1">
        <v>3</v>
      </c>
      <c r="B3" s="31" t="s">
        <v>8</v>
      </c>
      <c r="C3" s="7">
        <v>0.23958333333333334</v>
      </c>
      <c r="D3" s="8" t="s">
        <v>120</v>
      </c>
      <c r="E3" s="8" t="s">
        <v>149</v>
      </c>
      <c r="F3" s="9">
        <v>2</v>
      </c>
      <c r="G3" s="9">
        <v>3</v>
      </c>
      <c r="H3" s="7"/>
      <c r="I3" s="8"/>
      <c r="J3" s="8"/>
      <c r="K3" s="9"/>
      <c r="L3" s="9"/>
      <c r="M3" s="7"/>
      <c r="N3" s="8"/>
      <c r="O3" s="8"/>
      <c r="P3" s="9"/>
      <c r="Q3" s="9"/>
      <c r="R3" s="10"/>
      <c r="S3" s="11"/>
      <c r="T3" s="11"/>
      <c r="U3" s="9"/>
      <c r="V3" s="9"/>
      <c r="W3" s="7"/>
      <c r="X3" s="7"/>
      <c r="Y3" s="7"/>
      <c r="Z3" s="9"/>
      <c r="AA3" s="9"/>
      <c r="AB3" s="7"/>
      <c r="AC3" s="6"/>
      <c r="AD3" s="6"/>
      <c r="AE3" s="9"/>
      <c r="AF3" s="9"/>
      <c r="AG3" s="7"/>
      <c r="AH3" s="8"/>
      <c r="AI3" s="7"/>
      <c r="AJ3" s="9"/>
      <c r="AK3" s="9"/>
      <c r="AM3" s="9">
        <f t="shared" ref="AM3:AM51" si="0">AJ3+AE3+Z3+U3+P3+K3+F3</f>
        <v>2</v>
      </c>
      <c r="AN3" s="9">
        <f t="shared" ref="AN3:AN51" si="1">AK3+AF3+AA3+V3+Q3+L3+G3</f>
        <v>3</v>
      </c>
    </row>
    <row r="4" spans="1:40" ht="18.75" customHeight="1">
      <c r="A4" s="1">
        <v>4</v>
      </c>
      <c r="B4" s="31" t="s">
        <v>9</v>
      </c>
      <c r="C4" s="7">
        <v>0.25347222222222221</v>
      </c>
      <c r="D4" s="8" t="s">
        <v>202</v>
      </c>
      <c r="E4" s="8" t="s">
        <v>133</v>
      </c>
      <c r="F4" s="14">
        <v>2</v>
      </c>
      <c r="G4" s="9">
        <v>3</v>
      </c>
      <c r="H4" s="7"/>
      <c r="I4" s="8"/>
      <c r="J4" s="8"/>
      <c r="K4" s="9"/>
      <c r="L4" s="9"/>
      <c r="M4" s="7"/>
      <c r="N4" s="8"/>
      <c r="O4" s="8"/>
      <c r="P4" s="9"/>
      <c r="Q4" s="9"/>
      <c r="R4" s="10"/>
      <c r="S4" s="11"/>
      <c r="T4" s="11"/>
      <c r="U4" s="9"/>
      <c r="V4" s="9"/>
      <c r="W4" s="7"/>
      <c r="X4" s="7"/>
      <c r="Y4" s="7"/>
      <c r="Z4" s="9"/>
      <c r="AA4" s="9"/>
      <c r="AB4" s="7"/>
      <c r="AC4" s="6"/>
      <c r="AD4" s="6"/>
      <c r="AE4" s="9"/>
      <c r="AF4" s="9"/>
      <c r="AG4" s="7"/>
      <c r="AH4" s="8"/>
      <c r="AI4" s="7"/>
      <c r="AJ4" s="9"/>
      <c r="AK4" s="9"/>
      <c r="AM4" s="9">
        <f t="shared" si="0"/>
        <v>2</v>
      </c>
      <c r="AN4" s="9">
        <f t="shared" si="1"/>
        <v>3</v>
      </c>
    </row>
    <row r="5" spans="1:40">
      <c r="A5" s="1">
        <v>7</v>
      </c>
      <c r="B5" s="31" t="s">
        <v>10</v>
      </c>
      <c r="C5" s="7">
        <v>0.25694444444444442</v>
      </c>
      <c r="D5" s="8" t="s">
        <v>118</v>
      </c>
      <c r="E5" s="8" t="s">
        <v>126</v>
      </c>
      <c r="F5" s="14">
        <v>2</v>
      </c>
      <c r="G5" s="9">
        <v>2</v>
      </c>
      <c r="H5" s="7"/>
      <c r="I5" s="8"/>
      <c r="J5" s="8"/>
      <c r="K5" s="9"/>
      <c r="L5" s="9"/>
      <c r="M5" s="7"/>
      <c r="N5" s="8"/>
      <c r="O5" s="8"/>
      <c r="P5" s="9"/>
      <c r="Q5" s="9"/>
      <c r="R5" s="10"/>
      <c r="S5" s="11"/>
      <c r="T5" s="11"/>
      <c r="U5" s="9"/>
      <c r="V5" s="9"/>
      <c r="W5" s="7"/>
      <c r="X5" s="7"/>
      <c r="Y5" s="7"/>
      <c r="Z5" s="9"/>
      <c r="AA5" s="9"/>
      <c r="AB5" s="7"/>
      <c r="AC5" s="6"/>
      <c r="AD5" s="6"/>
      <c r="AE5" s="9"/>
      <c r="AF5" s="9"/>
      <c r="AG5" s="7"/>
      <c r="AH5" s="8"/>
      <c r="AI5" s="7"/>
      <c r="AJ5" s="9"/>
      <c r="AK5" s="9"/>
      <c r="AM5" s="9">
        <f t="shared" si="0"/>
        <v>2</v>
      </c>
      <c r="AN5" s="9">
        <f t="shared" si="1"/>
        <v>2</v>
      </c>
    </row>
    <row r="6" spans="1:40">
      <c r="B6" s="31" t="s">
        <v>82</v>
      </c>
      <c r="C6" s="7">
        <v>0.27777777777777779</v>
      </c>
      <c r="D6" s="8" t="s">
        <v>121</v>
      </c>
      <c r="E6" s="33" t="s">
        <v>115</v>
      </c>
      <c r="F6" s="9">
        <v>2</v>
      </c>
      <c r="G6" s="9">
        <v>3</v>
      </c>
      <c r="H6" s="7"/>
      <c r="I6" s="8"/>
      <c r="J6" s="8"/>
      <c r="K6" s="9"/>
      <c r="L6" s="9"/>
      <c r="M6" s="7"/>
      <c r="N6" s="8"/>
      <c r="O6" s="8"/>
      <c r="P6" s="9"/>
      <c r="Q6" s="9"/>
      <c r="R6" s="10"/>
      <c r="S6" s="11"/>
      <c r="T6" s="11"/>
      <c r="U6" s="9"/>
      <c r="V6" s="9"/>
      <c r="W6" s="7"/>
      <c r="X6" s="7"/>
      <c r="Y6" s="7"/>
      <c r="Z6" s="9"/>
      <c r="AA6" s="9"/>
      <c r="AB6" s="7"/>
      <c r="AC6" s="6"/>
      <c r="AD6" s="6"/>
      <c r="AE6" s="9"/>
      <c r="AF6" s="9"/>
      <c r="AG6" s="7"/>
      <c r="AH6" s="8"/>
      <c r="AI6" s="7"/>
      <c r="AJ6" s="9"/>
      <c r="AK6" s="9"/>
      <c r="AM6" s="9">
        <f t="shared" si="0"/>
        <v>2</v>
      </c>
      <c r="AN6" s="9">
        <f t="shared" si="1"/>
        <v>3</v>
      </c>
    </row>
    <row r="7" spans="1:40">
      <c r="B7" s="31" t="s">
        <v>11</v>
      </c>
      <c r="C7" s="7">
        <v>0.26041666666666669</v>
      </c>
      <c r="D7" s="8" t="s">
        <v>203</v>
      </c>
      <c r="E7" s="8" t="s">
        <v>372</v>
      </c>
      <c r="F7" s="9">
        <v>2</v>
      </c>
      <c r="G7" s="9">
        <v>3</v>
      </c>
      <c r="H7" s="7"/>
      <c r="I7" s="8"/>
      <c r="J7" s="8"/>
      <c r="K7" s="9"/>
      <c r="L7" s="9"/>
      <c r="M7" s="7"/>
      <c r="N7" s="8"/>
      <c r="O7" s="8"/>
      <c r="P7" s="9"/>
      <c r="Q7" s="9"/>
      <c r="R7" s="10"/>
      <c r="S7" s="11"/>
      <c r="T7" s="11"/>
      <c r="U7" s="9"/>
      <c r="V7" s="9"/>
      <c r="W7" s="7"/>
      <c r="X7" s="7"/>
      <c r="Y7" s="7"/>
      <c r="Z7" s="9"/>
      <c r="AA7" s="9"/>
      <c r="AB7" s="7"/>
      <c r="AC7" s="6"/>
      <c r="AD7" s="6"/>
      <c r="AE7" s="9"/>
      <c r="AF7" s="9"/>
      <c r="AG7" s="7"/>
      <c r="AH7" s="8"/>
      <c r="AI7" s="7"/>
      <c r="AJ7" s="9"/>
      <c r="AK7" s="9"/>
      <c r="AM7" s="9">
        <f t="shared" si="0"/>
        <v>2</v>
      </c>
      <c r="AN7" s="9">
        <f t="shared" si="1"/>
        <v>3</v>
      </c>
    </row>
    <row r="8" spans="1:40">
      <c r="A8" s="1">
        <v>8</v>
      </c>
      <c r="B8" s="31" t="s">
        <v>12</v>
      </c>
      <c r="C8" s="38" t="s">
        <v>93</v>
      </c>
      <c r="D8" s="41" t="s">
        <v>93</v>
      </c>
      <c r="E8" s="42"/>
      <c r="F8" s="9">
        <v>0</v>
      </c>
      <c r="G8" s="9">
        <v>0</v>
      </c>
      <c r="H8" s="7"/>
      <c r="I8" s="8"/>
      <c r="J8" s="8"/>
      <c r="K8" s="9"/>
      <c r="L8" s="9"/>
      <c r="M8" s="7"/>
      <c r="N8" s="8"/>
      <c r="O8" s="8"/>
      <c r="P8" s="9"/>
      <c r="Q8" s="9"/>
      <c r="R8" s="10"/>
      <c r="S8" s="11"/>
      <c r="T8" s="11"/>
      <c r="U8" s="9"/>
      <c r="V8" s="9"/>
      <c r="W8" s="7"/>
      <c r="X8" s="7"/>
      <c r="Y8" s="7"/>
      <c r="Z8" s="9"/>
      <c r="AA8" s="9"/>
      <c r="AB8" s="7"/>
      <c r="AC8" s="6"/>
      <c r="AD8" s="6"/>
      <c r="AE8" s="9"/>
      <c r="AF8" s="9"/>
      <c r="AG8" s="7"/>
      <c r="AH8" s="8"/>
      <c r="AI8" s="7"/>
      <c r="AJ8" s="9"/>
      <c r="AK8" s="9"/>
      <c r="AM8" s="9">
        <f t="shared" si="0"/>
        <v>0</v>
      </c>
      <c r="AN8" s="9">
        <f t="shared" si="1"/>
        <v>0</v>
      </c>
    </row>
    <row r="9" spans="1:40">
      <c r="A9" s="1">
        <v>10</v>
      </c>
      <c r="B9" s="31" t="s">
        <v>13</v>
      </c>
      <c r="C9" s="7">
        <v>0.25</v>
      </c>
      <c r="D9" s="8" t="s">
        <v>364</v>
      </c>
      <c r="E9" s="8" t="s">
        <v>374</v>
      </c>
      <c r="F9" s="9">
        <v>2</v>
      </c>
      <c r="G9" s="9">
        <v>4</v>
      </c>
      <c r="H9" s="7"/>
      <c r="I9" s="8"/>
      <c r="J9" s="8"/>
      <c r="K9" s="9"/>
      <c r="L9" s="9"/>
      <c r="M9" s="7"/>
      <c r="N9" s="8"/>
      <c r="O9" s="8"/>
      <c r="P9" s="9"/>
      <c r="Q9" s="9"/>
      <c r="R9" s="10"/>
      <c r="S9" s="11"/>
      <c r="T9" s="11"/>
      <c r="U9" s="9"/>
      <c r="V9" s="9"/>
      <c r="W9" s="7"/>
      <c r="X9" s="7"/>
      <c r="Y9" s="7"/>
      <c r="Z9" s="9"/>
      <c r="AA9" s="9"/>
      <c r="AB9" s="7"/>
      <c r="AC9" s="6"/>
      <c r="AD9" s="6"/>
      <c r="AE9" s="9"/>
      <c r="AF9" s="9"/>
      <c r="AG9" s="7"/>
      <c r="AH9" s="8"/>
      <c r="AI9" s="7"/>
      <c r="AJ9" s="9"/>
      <c r="AK9" s="9"/>
      <c r="AM9" s="9">
        <f t="shared" si="0"/>
        <v>2</v>
      </c>
      <c r="AN9" s="9">
        <f t="shared" si="1"/>
        <v>4</v>
      </c>
    </row>
    <row r="10" spans="1:40">
      <c r="B10" s="31" t="s">
        <v>94</v>
      </c>
      <c r="C10" s="7">
        <v>0.24652777777777779</v>
      </c>
      <c r="D10" s="8" t="s">
        <v>369</v>
      </c>
      <c r="E10" s="8" t="s">
        <v>346</v>
      </c>
      <c r="F10" s="9">
        <v>2</v>
      </c>
      <c r="G10" s="9">
        <v>3</v>
      </c>
      <c r="H10" s="7"/>
      <c r="I10" s="8"/>
      <c r="J10" s="8"/>
      <c r="K10" s="9"/>
      <c r="L10" s="9"/>
      <c r="M10" s="7"/>
      <c r="N10" s="8"/>
      <c r="O10" s="8"/>
      <c r="P10" s="9"/>
      <c r="Q10" s="9"/>
      <c r="R10" s="10"/>
      <c r="S10" s="11"/>
      <c r="T10" s="11"/>
      <c r="U10" s="9"/>
      <c r="V10" s="9"/>
      <c r="W10" s="7"/>
      <c r="X10" s="7"/>
      <c r="Y10" s="7"/>
      <c r="Z10" s="9"/>
      <c r="AA10" s="9"/>
      <c r="AB10" s="7"/>
      <c r="AC10" s="6"/>
      <c r="AD10" s="6"/>
      <c r="AE10" s="9"/>
      <c r="AF10" s="9"/>
      <c r="AG10" s="7"/>
      <c r="AH10" s="8"/>
      <c r="AI10" s="7"/>
      <c r="AJ10" s="9"/>
      <c r="AK10" s="9"/>
      <c r="AM10" s="9">
        <f t="shared" si="0"/>
        <v>2</v>
      </c>
      <c r="AN10" s="9">
        <f t="shared" si="1"/>
        <v>3</v>
      </c>
    </row>
    <row r="11" spans="1:40">
      <c r="A11" s="1">
        <v>12</v>
      </c>
      <c r="B11" s="31" t="s">
        <v>73</v>
      </c>
      <c r="C11" s="7">
        <v>0.24652777777777779</v>
      </c>
      <c r="D11" s="8" t="s">
        <v>111</v>
      </c>
      <c r="E11" s="8" t="s">
        <v>110</v>
      </c>
      <c r="F11" s="9">
        <v>2</v>
      </c>
      <c r="G11" s="9">
        <v>3</v>
      </c>
      <c r="H11" s="7"/>
      <c r="I11" s="8"/>
      <c r="J11" s="8"/>
      <c r="K11" s="9"/>
      <c r="L11" s="9"/>
      <c r="M11" s="7"/>
      <c r="N11" s="8"/>
      <c r="O11" s="8"/>
      <c r="P11" s="9"/>
      <c r="Q11" s="9"/>
      <c r="R11" s="10"/>
      <c r="S11" s="11"/>
      <c r="T11" s="11"/>
      <c r="U11" s="9"/>
      <c r="V11" s="9"/>
      <c r="W11" s="7"/>
      <c r="X11" s="7"/>
      <c r="Y11" s="7"/>
      <c r="Z11" s="9"/>
      <c r="AA11" s="9"/>
      <c r="AB11" s="7"/>
      <c r="AC11" s="6"/>
      <c r="AD11" s="6"/>
      <c r="AE11" s="9"/>
      <c r="AF11" s="9"/>
      <c r="AG11" s="7"/>
      <c r="AH11" s="8"/>
      <c r="AI11" s="7"/>
      <c r="AJ11" s="9"/>
      <c r="AK11" s="9"/>
      <c r="AM11" s="9">
        <f t="shared" si="0"/>
        <v>2</v>
      </c>
      <c r="AN11" s="9">
        <f t="shared" si="1"/>
        <v>3</v>
      </c>
    </row>
    <row r="12" spans="1:40">
      <c r="A12" s="1">
        <v>41</v>
      </c>
      <c r="B12" s="31" t="s">
        <v>14</v>
      </c>
      <c r="C12" s="7">
        <v>0.24305555555555555</v>
      </c>
      <c r="D12" s="8" t="s">
        <v>367</v>
      </c>
      <c r="E12" s="8" t="s">
        <v>143</v>
      </c>
      <c r="F12" s="9">
        <v>2</v>
      </c>
      <c r="G12" s="9">
        <v>4</v>
      </c>
      <c r="H12" s="7"/>
      <c r="I12" s="8"/>
      <c r="J12" s="8"/>
      <c r="K12" s="9"/>
      <c r="L12" s="9"/>
      <c r="M12" s="7"/>
      <c r="N12" s="8"/>
      <c r="O12" s="8"/>
      <c r="P12" s="9"/>
      <c r="Q12" s="9"/>
      <c r="R12" s="10"/>
      <c r="S12" s="11"/>
      <c r="T12" s="11"/>
      <c r="U12" s="9"/>
      <c r="V12" s="9"/>
      <c r="W12" s="7"/>
      <c r="X12" s="7"/>
      <c r="Y12" s="7"/>
      <c r="Z12" s="9"/>
      <c r="AA12" s="9"/>
      <c r="AB12" s="7"/>
      <c r="AC12" s="6"/>
      <c r="AD12" s="6"/>
      <c r="AE12" s="9"/>
      <c r="AF12" s="9"/>
      <c r="AG12" s="7"/>
      <c r="AH12" s="8"/>
      <c r="AI12" s="7"/>
      <c r="AJ12" s="9"/>
      <c r="AK12" s="9"/>
      <c r="AM12" s="9">
        <f t="shared" si="0"/>
        <v>2</v>
      </c>
      <c r="AN12" s="9">
        <f t="shared" si="1"/>
        <v>4</v>
      </c>
    </row>
    <row r="13" spans="1:40">
      <c r="B13" s="31" t="s">
        <v>15</v>
      </c>
      <c r="C13" s="7">
        <v>0.25</v>
      </c>
      <c r="D13" s="8" t="s">
        <v>113</v>
      </c>
      <c r="E13" s="8" t="s">
        <v>116</v>
      </c>
      <c r="F13" s="9">
        <v>2</v>
      </c>
      <c r="G13" s="9">
        <v>2</v>
      </c>
      <c r="H13" s="7"/>
      <c r="I13" s="8"/>
      <c r="J13" s="8"/>
      <c r="K13" s="9"/>
      <c r="L13" s="9"/>
      <c r="M13" s="7"/>
      <c r="N13" s="8"/>
      <c r="O13" s="8"/>
      <c r="P13" s="9"/>
      <c r="Q13" s="9"/>
      <c r="R13" s="10"/>
      <c r="S13" s="11"/>
      <c r="T13" s="11"/>
      <c r="U13" s="9"/>
      <c r="V13" s="9"/>
      <c r="W13" s="7"/>
      <c r="X13" s="7"/>
      <c r="Y13" s="7"/>
      <c r="Z13" s="9"/>
      <c r="AA13" s="9"/>
      <c r="AB13" s="7"/>
      <c r="AC13" s="6"/>
      <c r="AD13" s="6"/>
      <c r="AE13" s="9"/>
      <c r="AF13" s="9"/>
      <c r="AG13" s="7"/>
      <c r="AH13" s="8"/>
      <c r="AI13" s="7"/>
      <c r="AJ13" s="9"/>
      <c r="AK13" s="9"/>
      <c r="AM13" s="9">
        <f t="shared" si="0"/>
        <v>2</v>
      </c>
      <c r="AN13" s="9">
        <f t="shared" si="1"/>
        <v>2</v>
      </c>
    </row>
    <row r="14" spans="1:40" ht="18.75" customHeight="1">
      <c r="A14" s="1">
        <v>13</v>
      </c>
      <c r="B14" s="31" t="s">
        <v>16</v>
      </c>
      <c r="C14" s="7">
        <v>0.2361111111111111</v>
      </c>
      <c r="D14" s="8" t="s">
        <v>365</v>
      </c>
      <c r="E14" s="8" t="s">
        <v>161</v>
      </c>
      <c r="F14" s="9">
        <v>2</v>
      </c>
      <c r="G14" s="9">
        <v>3</v>
      </c>
      <c r="H14" s="7"/>
      <c r="I14" s="8"/>
      <c r="J14" s="8"/>
      <c r="K14" s="9"/>
      <c r="L14" s="9"/>
      <c r="M14" s="7"/>
      <c r="N14" s="8"/>
      <c r="O14" s="8"/>
      <c r="P14" s="9"/>
      <c r="Q14" s="9"/>
      <c r="R14" s="10"/>
      <c r="S14" s="11"/>
      <c r="T14" s="11"/>
      <c r="U14" s="9"/>
      <c r="V14" s="9"/>
      <c r="W14" s="7"/>
      <c r="X14" s="7"/>
      <c r="Y14" s="7"/>
      <c r="Z14" s="9"/>
      <c r="AA14" s="9"/>
      <c r="AB14" s="7"/>
      <c r="AC14" s="6"/>
      <c r="AD14" s="6"/>
      <c r="AE14" s="9"/>
      <c r="AF14" s="9"/>
      <c r="AG14" s="7"/>
      <c r="AH14" s="8"/>
      <c r="AI14" s="7"/>
      <c r="AJ14" s="9"/>
      <c r="AK14" s="9"/>
      <c r="AM14" s="9">
        <f t="shared" si="0"/>
        <v>2</v>
      </c>
      <c r="AN14" s="9">
        <f t="shared" si="1"/>
        <v>3</v>
      </c>
    </row>
    <row r="15" spans="1:40" ht="37.5">
      <c r="A15" s="1">
        <v>14</v>
      </c>
      <c r="B15" s="31" t="s">
        <v>17</v>
      </c>
      <c r="C15" s="7">
        <v>0.25</v>
      </c>
      <c r="D15" s="8" t="s">
        <v>366</v>
      </c>
      <c r="E15" s="8" t="s">
        <v>379</v>
      </c>
      <c r="F15" s="9">
        <v>3</v>
      </c>
      <c r="G15" s="9">
        <v>4</v>
      </c>
      <c r="H15" s="7"/>
      <c r="I15" s="8"/>
      <c r="J15" s="8"/>
      <c r="K15" s="9"/>
      <c r="L15" s="9"/>
      <c r="M15" s="7"/>
      <c r="N15" s="8"/>
      <c r="O15" s="8"/>
      <c r="P15" s="9"/>
      <c r="Q15" s="9"/>
      <c r="R15" s="10"/>
      <c r="S15" s="11"/>
      <c r="T15" s="11"/>
      <c r="U15" s="9"/>
      <c r="V15" s="9"/>
      <c r="W15" s="7"/>
      <c r="X15" s="7"/>
      <c r="Y15" s="7"/>
      <c r="Z15" s="9"/>
      <c r="AA15" s="9"/>
      <c r="AB15" s="7"/>
      <c r="AC15" s="6"/>
      <c r="AD15" s="6"/>
      <c r="AE15" s="9"/>
      <c r="AF15" s="9"/>
      <c r="AG15" s="7"/>
      <c r="AH15" s="8"/>
      <c r="AI15" s="7"/>
      <c r="AJ15" s="9"/>
      <c r="AK15" s="9"/>
      <c r="AM15" s="9">
        <f t="shared" si="0"/>
        <v>3</v>
      </c>
      <c r="AN15" s="9">
        <f t="shared" si="1"/>
        <v>4</v>
      </c>
    </row>
    <row r="16" spans="1:40" ht="37.5" customHeight="1">
      <c r="A16" s="1">
        <v>17</v>
      </c>
      <c r="B16" s="31" t="s">
        <v>18</v>
      </c>
      <c r="C16" s="38" t="s">
        <v>93</v>
      </c>
      <c r="D16" s="41" t="s">
        <v>93</v>
      </c>
      <c r="E16" s="42"/>
      <c r="F16" s="9">
        <v>0</v>
      </c>
      <c r="G16" s="9">
        <v>0</v>
      </c>
      <c r="H16" s="7"/>
      <c r="I16" s="8"/>
      <c r="J16" s="8"/>
      <c r="K16" s="9"/>
      <c r="L16" s="9"/>
      <c r="M16" s="7"/>
      <c r="N16" s="8"/>
      <c r="O16" s="8"/>
      <c r="P16" s="9"/>
      <c r="Q16" s="9"/>
      <c r="R16" s="10"/>
      <c r="S16" s="11"/>
      <c r="T16" s="11"/>
      <c r="U16" s="9"/>
      <c r="V16" s="9"/>
      <c r="W16" s="7"/>
      <c r="X16" s="7"/>
      <c r="Y16" s="7"/>
      <c r="Z16" s="9"/>
      <c r="AA16" s="9"/>
      <c r="AB16" s="7"/>
      <c r="AC16" s="6"/>
      <c r="AD16" s="6"/>
      <c r="AE16" s="9"/>
      <c r="AF16" s="9"/>
      <c r="AG16" s="7"/>
      <c r="AH16" s="8"/>
      <c r="AI16" s="7"/>
      <c r="AJ16" s="9"/>
      <c r="AK16" s="9"/>
      <c r="AM16" s="9">
        <f t="shared" si="0"/>
        <v>0</v>
      </c>
      <c r="AN16" s="9">
        <f t="shared" si="1"/>
        <v>0</v>
      </c>
    </row>
    <row r="17" spans="1:40" ht="18.75" customHeight="1">
      <c r="A17" s="1">
        <v>18</v>
      </c>
      <c r="B17" s="31" t="s">
        <v>19</v>
      </c>
      <c r="C17" s="37" t="s">
        <v>92</v>
      </c>
      <c r="D17" s="39" t="s">
        <v>92</v>
      </c>
      <c r="E17" s="40"/>
      <c r="F17" s="34">
        <v>0</v>
      </c>
      <c r="G17" s="34">
        <v>0</v>
      </c>
      <c r="H17" s="7"/>
      <c r="I17" s="8"/>
      <c r="J17" s="8"/>
      <c r="K17" s="9"/>
      <c r="L17" s="9"/>
      <c r="M17" s="7"/>
      <c r="N17" s="8"/>
      <c r="O17" s="8"/>
      <c r="P17" s="9"/>
      <c r="Q17" s="9"/>
      <c r="R17" s="10"/>
      <c r="S17" s="11"/>
      <c r="T17" s="11"/>
      <c r="U17" s="9"/>
      <c r="V17" s="9"/>
      <c r="W17" s="7"/>
      <c r="X17" s="7"/>
      <c r="Y17" s="7"/>
      <c r="Z17" s="9"/>
      <c r="AA17" s="9"/>
      <c r="AB17" s="7"/>
      <c r="AC17" s="6"/>
      <c r="AD17" s="31"/>
      <c r="AE17" s="9"/>
      <c r="AF17" s="9"/>
      <c r="AG17" s="7"/>
      <c r="AH17" s="8"/>
      <c r="AI17" s="7"/>
      <c r="AJ17" s="9"/>
      <c r="AK17" s="9"/>
      <c r="AM17" s="9">
        <f t="shared" si="0"/>
        <v>0</v>
      </c>
      <c r="AN17" s="9">
        <f t="shared" si="1"/>
        <v>0</v>
      </c>
    </row>
    <row r="18" spans="1:40" ht="56.25" customHeight="1">
      <c r="B18" s="31" t="s">
        <v>20</v>
      </c>
      <c r="C18" s="37" t="s">
        <v>92</v>
      </c>
      <c r="D18" s="39" t="s">
        <v>92</v>
      </c>
      <c r="E18" s="40"/>
      <c r="F18" s="34">
        <v>0</v>
      </c>
      <c r="G18" s="34">
        <v>0</v>
      </c>
      <c r="H18" s="7"/>
      <c r="I18" s="8"/>
      <c r="J18" s="8"/>
      <c r="K18" s="9"/>
      <c r="L18" s="9"/>
      <c r="M18" s="7"/>
      <c r="N18" s="8"/>
      <c r="O18" s="8"/>
      <c r="P18" s="9"/>
      <c r="Q18" s="9"/>
      <c r="R18" s="10"/>
      <c r="S18" s="11"/>
      <c r="T18" s="11"/>
      <c r="U18" s="9"/>
      <c r="V18" s="9"/>
      <c r="W18" s="7"/>
      <c r="X18" s="7"/>
      <c r="Y18" s="7"/>
      <c r="Z18" s="9"/>
      <c r="AA18" s="9"/>
      <c r="AB18" s="7"/>
      <c r="AC18" s="6"/>
      <c r="AD18" s="31"/>
      <c r="AE18" s="9"/>
      <c r="AF18" s="9"/>
      <c r="AG18" s="7"/>
      <c r="AH18" s="8"/>
      <c r="AI18" s="7"/>
      <c r="AJ18" s="9"/>
      <c r="AK18" s="9"/>
      <c r="AM18" s="9">
        <f t="shared" si="0"/>
        <v>0</v>
      </c>
      <c r="AN18" s="9">
        <f t="shared" si="1"/>
        <v>0</v>
      </c>
    </row>
    <row r="19" spans="1:40" ht="37.5" customHeight="1">
      <c r="B19" s="31" t="s">
        <v>21</v>
      </c>
      <c r="C19" s="37" t="s">
        <v>92</v>
      </c>
      <c r="D19" s="39" t="s">
        <v>92</v>
      </c>
      <c r="E19" s="40"/>
      <c r="F19" s="34">
        <v>0</v>
      </c>
      <c r="G19" s="34">
        <v>0</v>
      </c>
      <c r="H19" s="7"/>
      <c r="I19" s="8"/>
      <c r="J19" s="8"/>
      <c r="K19" s="9"/>
      <c r="L19" s="9"/>
      <c r="M19" s="7"/>
      <c r="N19" s="8"/>
      <c r="O19" s="8"/>
      <c r="P19" s="9"/>
      <c r="Q19" s="9"/>
      <c r="R19" s="10"/>
      <c r="S19" s="11"/>
      <c r="T19" s="11"/>
      <c r="U19" s="9"/>
      <c r="V19" s="9"/>
      <c r="W19" s="7"/>
      <c r="X19" s="7"/>
      <c r="Y19" s="7"/>
      <c r="Z19" s="9"/>
      <c r="AA19" s="9"/>
      <c r="AB19" s="7"/>
      <c r="AC19" s="6"/>
      <c r="AD19" s="31"/>
      <c r="AE19" s="9"/>
      <c r="AF19" s="9"/>
      <c r="AG19" s="7"/>
      <c r="AH19" s="8"/>
      <c r="AI19" s="7"/>
      <c r="AJ19" s="9"/>
      <c r="AK19" s="9"/>
      <c r="AM19" s="9">
        <f t="shared" si="0"/>
        <v>0</v>
      </c>
      <c r="AN19" s="9">
        <f t="shared" si="1"/>
        <v>0</v>
      </c>
    </row>
    <row r="20" spans="1:40" ht="37.5" customHeight="1">
      <c r="A20" s="1">
        <v>19</v>
      </c>
      <c r="B20" s="31" t="s">
        <v>22</v>
      </c>
      <c r="C20" s="37" t="s">
        <v>92</v>
      </c>
      <c r="D20" s="39" t="s">
        <v>92</v>
      </c>
      <c r="E20" s="40"/>
      <c r="F20" s="34">
        <v>0</v>
      </c>
      <c r="G20" s="34">
        <v>0</v>
      </c>
      <c r="H20" s="7"/>
      <c r="I20" s="8"/>
      <c r="J20" s="8"/>
      <c r="K20" s="9"/>
      <c r="L20" s="9"/>
      <c r="M20" s="7"/>
      <c r="N20" s="8"/>
      <c r="O20" s="8"/>
      <c r="P20" s="9"/>
      <c r="Q20" s="9"/>
      <c r="R20" s="10"/>
      <c r="S20" s="11"/>
      <c r="T20" s="11"/>
      <c r="U20" s="9"/>
      <c r="V20" s="9"/>
      <c r="W20" s="7"/>
      <c r="X20" s="7"/>
      <c r="Y20" s="7"/>
      <c r="Z20" s="9"/>
      <c r="AA20" s="9"/>
      <c r="AB20" s="7"/>
      <c r="AC20" s="6"/>
      <c r="AD20" s="31"/>
      <c r="AE20" s="9"/>
      <c r="AF20" s="9"/>
      <c r="AG20" s="7"/>
      <c r="AH20" s="8"/>
      <c r="AI20" s="7"/>
      <c r="AJ20" s="9"/>
      <c r="AK20" s="9"/>
      <c r="AM20" s="9">
        <f t="shared" si="0"/>
        <v>0</v>
      </c>
      <c r="AN20" s="9">
        <f t="shared" si="1"/>
        <v>0</v>
      </c>
    </row>
    <row r="21" spans="1:40" ht="36.75" customHeight="1">
      <c r="A21" s="1">
        <v>20</v>
      </c>
      <c r="B21" s="31" t="s">
        <v>23</v>
      </c>
      <c r="C21" s="37" t="s">
        <v>92</v>
      </c>
      <c r="D21" s="39" t="s">
        <v>92</v>
      </c>
      <c r="E21" s="40"/>
      <c r="F21" s="34">
        <v>0</v>
      </c>
      <c r="G21" s="34">
        <v>0</v>
      </c>
      <c r="H21" s="7"/>
      <c r="I21" s="8"/>
      <c r="J21" s="8"/>
      <c r="K21" s="14"/>
      <c r="L21" s="9"/>
      <c r="M21" s="7"/>
      <c r="N21" s="8"/>
      <c r="O21" s="8"/>
      <c r="P21" s="9"/>
      <c r="Q21" s="9"/>
      <c r="R21" s="10"/>
      <c r="S21" s="11"/>
      <c r="T21" s="11"/>
      <c r="U21" s="9"/>
      <c r="V21" s="9"/>
      <c r="W21" s="7"/>
      <c r="X21" s="7"/>
      <c r="Y21" s="7"/>
      <c r="Z21" s="9"/>
      <c r="AA21" s="9"/>
      <c r="AB21" s="7"/>
      <c r="AC21" s="6"/>
      <c r="AD21" s="31"/>
      <c r="AE21" s="9"/>
      <c r="AF21" s="9"/>
      <c r="AG21" s="7"/>
      <c r="AH21" s="8"/>
      <c r="AI21" s="7"/>
      <c r="AJ21" s="9"/>
      <c r="AK21" s="9"/>
      <c r="AM21" s="9">
        <f t="shared" si="0"/>
        <v>0</v>
      </c>
      <c r="AN21" s="9">
        <f t="shared" si="1"/>
        <v>0</v>
      </c>
    </row>
    <row r="22" spans="1:40" ht="37.5" customHeight="1">
      <c r="A22" s="1">
        <v>22</v>
      </c>
      <c r="B22" s="31" t="s">
        <v>59</v>
      </c>
      <c r="C22" s="37" t="s">
        <v>92</v>
      </c>
      <c r="D22" s="39" t="s">
        <v>92</v>
      </c>
      <c r="E22" s="40"/>
      <c r="F22" s="34">
        <v>0</v>
      </c>
      <c r="G22" s="34">
        <v>0</v>
      </c>
      <c r="H22" s="7"/>
      <c r="I22" s="8"/>
      <c r="J22" s="8"/>
      <c r="K22" s="9"/>
      <c r="L22" s="9"/>
      <c r="M22" s="7"/>
      <c r="N22" s="8"/>
      <c r="O22" s="8"/>
      <c r="P22" s="9"/>
      <c r="Q22" s="9"/>
      <c r="R22" s="10"/>
      <c r="S22" s="11"/>
      <c r="T22" s="11"/>
      <c r="U22" s="9"/>
      <c r="V22" s="9"/>
      <c r="W22" s="7"/>
      <c r="X22" s="7"/>
      <c r="Y22" s="7"/>
      <c r="Z22" s="9"/>
      <c r="AA22" s="9"/>
      <c r="AB22" s="7"/>
      <c r="AC22" s="6"/>
      <c r="AD22" s="31"/>
      <c r="AE22" s="9"/>
      <c r="AF22" s="9"/>
      <c r="AG22" s="7"/>
      <c r="AH22" s="8"/>
      <c r="AI22" s="7"/>
      <c r="AJ22" s="9"/>
      <c r="AK22" s="9"/>
      <c r="AM22" s="9">
        <f t="shared" si="0"/>
        <v>0</v>
      </c>
      <c r="AN22" s="9">
        <f t="shared" si="1"/>
        <v>0</v>
      </c>
    </row>
    <row r="23" spans="1:40" ht="18.75" customHeight="1">
      <c r="A23" s="1">
        <v>23</v>
      </c>
      <c r="B23" s="31" t="s">
        <v>24</v>
      </c>
      <c r="C23" s="7">
        <v>0.25</v>
      </c>
      <c r="D23" s="8" t="s">
        <v>368</v>
      </c>
      <c r="E23" s="8" t="s">
        <v>377</v>
      </c>
      <c r="F23" s="9">
        <v>2</v>
      </c>
      <c r="G23" s="9">
        <v>3</v>
      </c>
      <c r="H23" s="7"/>
      <c r="I23" s="8"/>
      <c r="J23" s="8"/>
      <c r="K23" s="9"/>
      <c r="L23" s="9"/>
      <c r="M23" s="7"/>
      <c r="N23" s="8"/>
      <c r="O23" s="8"/>
      <c r="P23" s="9"/>
      <c r="Q23" s="9"/>
      <c r="R23" s="10"/>
      <c r="S23" s="11"/>
      <c r="T23" s="11"/>
      <c r="U23" s="9"/>
      <c r="V23" s="9"/>
      <c r="W23" s="7"/>
      <c r="X23" s="7"/>
      <c r="Y23" s="7"/>
      <c r="Z23" s="9"/>
      <c r="AA23" s="9"/>
      <c r="AB23" s="7"/>
      <c r="AC23" s="6"/>
      <c r="AD23" s="6"/>
      <c r="AE23" s="9"/>
      <c r="AF23" s="9"/>
      <c r="AG23" s="7"/>
      <c r="AH23" s="8"/>
      <c r="AI23" s="7"/>
      <c r="AJ23" s="9"/>
      <c r="AK23" s="9"/>
      <c r="AM23" s="9">
        <f t="shared" si="0"/>
        <v>2</v>
      </c>
      <c r="AN23" s="9">
        <f t="shared" si="1"/>
        <v>3</v>
      </c>
    </row>
    <row r="24" spans="1:40" ht="18.75" customHeight="1">
      <c r="B24" s="31" t="s">
        <v>25</v>
      </c>
      <c r="C24" s="38" t="s">
        <v>93</v>
      </c>
      <c r="D24" s="41" t="s">
        <v>93</v>
      </c>
      <c r="E24" s="42"/>
      <c r="F24" s="34">
        <v>0</v>
      </c>
      <c r="G24" s="34">
        <v>0</v>
      </c>
      <c r="H24" s="7"/>
      <c r="I24" s="8"/>
      <c r="J24" s="8"/>
      <c r="K24" s="9"/>
      <c r="L24" s="9"/>
      <c r="M24" s="7"/>
      <c r="N24" s="8"/>
      <c r="O24" s="8"/>
      <c r="P24" s="9"/>
      <c r="Q24" s="9"/>
      <c r="R24" s="10"/>
      <c r="S24" s="11"/>
      <c r="T24" s="11"/>
      <c r="U24" s="9"/>
      <c r="V24" s="9"/>
      <c r="W24" s="7"/>
      <c r="X24" s="7"/>
      <c r="Y24" s="7"/>
      <c r="Z24" s="9"/>
      <c r="AA24" s="9"/>
      <c r="AB24" s="7"/>
      <c r="AC24" s="6"/>
      <c r="AD24" s="6"/>
      <c r="AE24" s="9"/>
      <c r="AF24" s="9"/>
      <c r="AG24" s="7"/>
      <c r="AH24" s="8"/>
      <c r="AI24" s="7"/>
      <c r="AJ24" s="9"/>
      <c r="AK24" s="9"/>
      <c r="AM24" s="9">
        <f t="shared" si="0"/>
        <v>0</v>
      </c>
      <c r="AN24" s="9">
        <f t="shared" si="1"/>
        <v>0</v>
      </c>
    </row>
    <row r="25" spans="1:40" ht="50.25" customHeight="1">
      <c r="B25" s="31" t="s">
        <v>26</v>
      </c>
      <c r="C25" s="38" t="s">
        <v>93</v>
      </c>
      <c r="D25" s="41" t="s">
        <v>93</v>
      </c>
      <c r="E25" s="42"/>
      <c r="F25" s="34">
        <v>0</v>
      </c>
      <c r="G25" s="34">
        <v>0</v>
      </c>
      <c r="H25" s="7"/>
      <c r="I25" s="8"/>
      <c r="J25" s="8"/>
      <c r="K25" s="9"/>
      <c r="L25" s="9"/>
      <c r="M25" s="7"/>
      <c r="N25" s="8"/>
      <c r="O25" s="8"/>
      <c r="P25" s="9"/>
      <c r="Q25" s="9"/>
      <c r="R25" s="10"/>
      <c r="S25" s="11"/>
      <c r="T25" s="11"/>
      <c r="U25" s="9"/>
      <c r="V25" s="9"/>
      <c r="W25" s="7"/>
      <c r="X25" s="7"/>
      <c r="Y25" s="7"/>
      <c r="Z25" s="9"/>
      <c r="AA25" s="9"/>
      <c r="AB25" s="7"/>
      <c r="AC25" s="6"/>
      <c r="AD25" s="6"/>
      <c r="AE25" s="9"/>
      <c r="AF25" s="9"/>
      <c r="AG25" s="7"/>
      <c r="AH25" s="8"/>
      <c r="AI25" s="7"/>
      <c r="AJ25" s="9"/>
      <c r="AK25" s="9"/>
      <c r="AM25" s="9">
        <f t="shared" si="0"/>
        <v>0</v>
      </c>
      <c r="AN25" s="9">
        <f t="shared" si="1"/>
        <v>0</v>
      </c>
    </row>
    <row r="26" spans="1:40" ht="37.5" customHeight="1">
      <c r="A26" s="1">
        <v>25</v>
      </c>
      <c r="B26" s="31" t="s">
        <v>28</v>
      </c>
      <c r="C26" s="7">
        <v>0.25</v>
      </c>
      <c r="D26" s="33" t="s">
        <v>116</v>
      </c>
      <c r="E26" s="8" t="s">
        <v>371</v>
      </c>
      <c r="F26" s="9">
        <v>2</v>
      </c>
      <c r="G26" s="9">
        <v>3</v>
      </c>
      <c r="H26" s="7"/>
      <c r="I26" s="8"/>
      <c r="J26" s="8"/>
      <c r="K26" s="9"/>
      <c r="L26" s="9"/>
      <c r="M26" s="7"/>
      <c r="N26" s="8"/>
      <c r="O26" s="8"/>
      <c r="P26" s="9"/>
      <c r="Q26" s="9"/>
      <c r="R26" s="10"/>
      <c r="S26" s="11"/>
      <c r="T26" s="11"/>
      <c r="U26" s="9"/>
      <c r="V26" s="9"/>
      <c r="W26" s="7"/>
      <c r="X26" s="7"/>
      <c r="Y26" s="7"/>
      <c r="Z26" s="9"/>
      <c r="AA26" s="9"/>
      <c r="AB26" s="7"/>
      <c r="AC26" s="6"/>
      <c r="AD26" s="6"/>
      <c r="AE26" s="9"/>
      <c r="AF26" s="9"/>
      <c r="AG26" s="7"/>
      <c r="AH26" s="8"/>
      <c r="AI26" s="7"/>
      <c r="AJ26" s="9"/>
      <c r="AK26" s="9"/>
      <c r="AM26" s="9">
        <f t="shared" si="0"/>
        <v>2</v>
      </c>
      <c r="AN26" s="9">
        <f t="shared" si="1"/>
        <v>3</v>
      </c>
    </row>
    <row r="27" spans="1:40" ht="37.5" customHeight="1">
      <c r="A27" s="1">
        <v>26</v>
      </c>
      <c r="B27" s="31" t="s">
        <v>29</v>
      </c>
      <c r="C27" s="7">
        <v>0.26041666666666669</v>
      </c>
      <c r="D27" s="8" t="s">
        <v>178</v>
      </c>
      <c r="E27" s="8" t="s">
        <v>324</v>
      </c>
      <c r="F27" s="9">
        <v>2</v>
      </c>
      <c r="G27" s="9">
        <v>3</v>
      </c>
      <c r="H27" s="7"/>
      <c r="I27" s="8"/>
      <c r="J27" s="8"/>
      <c r="K27" s="9"/>
      <c r="L27" s="9"/>
      <c r="M27" s="7"/>
      <c r="N27" s="8"/>
      <c r="O27" s="8"/>
      <c r="P27" s="9"/>
      <c r="Q27" s="9"/>
      <c r="R27" s="10"/>
      <c r="S27" s="11"/>
      <c r="T27" s="11"/>
      <c r="U27" s="9"/>
      <c r="V27" s="9"/>
      <c r="W27" s="7"/>
      <c r="X27" s="7"/>
      <c r="Y27" s="7"/>
      <c r="Z27" s="9"/>
      <c r="AA27" s="9"/>
      <c r="AB27" s="7"/>
      <c r="AC27" s="6"/>
      <c r="AD27" s="6"/>
      <c r="AE27" s="9"/>
      <c r="AF27" s="9"/>
      <c r="AG27" s="7"/>
      <c r="AH27" s="8"/>
      <c r="AI27" s="7"/>
      <c r="AJ27" s="9"/>
      <c r="AK27" s="9"/>
      <c r="AM27" s="9">
        <f t="shared" si="0"/>
        <v>2</v>
      </c>
      <c r="AN27" s="9">
        <f t="shared" si="1"/>
        <v>3</v>
      </c>
    </row>
    <row r="28" spans="1:40" ht="56.25" customHeight="1">
      <c r="A28" s="1">
        <v>27</v>
      </c>
      <c r="B28" s="31" t="s">
        <v>30</v>
      </c>
      <c r="C28" s="7">
        <v>0.23958333333333334</v>
      </c>
      <c r="D28" s="8" t="s">
        <v>107</v>
      </c>
      <c r="E28" s="8" t="s">
        <v>109</v>
      </c>
      <c r="F28" s="9">
        <v>2</v>
      </c>
      <c r="G28" s="9">
        <v>3</v>
      </c>
      <c r="H28" s="7"/>
      <c r="I28" s="8"/>
      <c r="J28" s="8"/>
      <c r="K28" s="9"/>
      <c r="L28" s="9"/>
      <c r="M28" s="7"/>
      <c r="N28" s="8"/>
      <c r="O28" s="8"/>
      <c r="P28" s="9"/>
      <c r="Q28" s="9"/>
      <c r="R28" s="10"/>
      <c r="S28" s="11"/>
      <c r="T28" s="11"/>
      <c r="U28" s="9"/>
      <c r="V28" s="9"/>
      <c r="W28" s="7"/>
      <c r="X28" s="7"/>
      <c r="Y28" s="7"/>
      <c r="Z28" s="9"/>
      <c r="AA28" s="9"/>
      <c r="AB28" s="7"/>
      <c r="AC28" s="6"/>
      <c r="AD28" s="6"/>
      <c r="AE28" s="9"/>
      <c r="AF28" s="9"/>
      <c r="AG28" s="7"/>
      <c r="AH28" s="8"/>
      <c r="AI28" s="7"/>
      <c r="AJ28" s="9"/>
      <c r="AK28" s="9"/>
      <c r="AM28" s="9">
        <f t="shared" si="0"/>
        <v>2</v>
      </c>
      <c r="AN28" s="9">
        <f t="shared" si="1"/>
        <v>3</v>
      </c>
    </row>
    <row r="29" spans="1:40" ht="36.75" customHeight="1">
      <c r="A29" s="1">
        <v>28</v>
      </c>
      <c r="B29" s="31" t="s">
        <v>31</v>
      </c>
      <c r="C29" s="7">
        <v>0.26041666666666669</v>
      </c>
      <c r="D29" s="8" t="s">
        <v>381</v>
      </c>
      <c r="E29" s="8"/>
      <c r="F29" s="9">
        <v>1</v>
      </c>
      <c r="G29" s="9">
        <v>2</v>
      </c>
      <c r="H29" s="7"/>
      <c r="I29" s="8"/>
      <c r="J29" s="8"/>
      <c r="K29" s="9"/>
      <c r="L29" s="9"/>
      <c r="M29" s="7"/>
      <c r="N29" s="8"/>
      <c r="O29" s="8"/>
      <c r="P29" s="9"/>
      <c r="Q29" s="9"/>
      <c r="R29" s="10"/>
      <c r="S29" s="11"/>
      <c r="T29" s="11"/>
      <c r="U29" s="9"/>
      <c r="V29" s="9"/>
      <c r="W29" s="7"/>
      <c r="X29" s="7"/>
      <c r="Y29" s="7"/>
      <c r="Z29" s="9"/>
      <c r="AA29" s="9"/>
      <c r="AB29" s="7"/>
      <c r="AC29" s="6"/>
      <c r="AD29" s="6"/>
      <c r="AE29" s="9"/>
      <c r="AF29" s="9"/>
      <c r="AG29" s="7"/>
      <c r="AH29" s="8"/>
      <c r="AI29" s="7"/>
      <c r="AJ29" s="9"/>
      <c r="AK29" s="9"/>
      <c r="AM29" s="9">
        <f t="shared" si="0"/>
        <v>1</v>
      </c>
      <c r="AN29" s="9">
        <f t="shared" si="1"/>
        <v>2</v>
      </c>
    </row>
    <row r="30" spans="1:40" ht="37.5" customHeight="1">
      <c r="A30" s="1">
        <v>33</v>
      </c>
      <c r="B30" s="31" t="s">
        <v>32</v>
      </c>
      <c r="C30" s="7">
        <v>0.25694444444444442</v>
      </c>
      <c r="D30" s="8" t="s">
        <v>122</v>
      </c>
      <c r="E30" s="8" t="s">
        <v>75</v>
      </c>
      <c r="F30" s="9">
        <v>1</v>
      </c>
      <c r="G30" s="9">
        <v>1</v>
      </c>
      <c r="H30" s="7"/>
      <c r="I30" s="8"/>
      <c r="J30" s="8"/>
      <c r="K30" s="9"/>
      <c r="L30" s="9"/>
      <c r="M30" s="7"/>
      <c r="N30" s="8"/>
      <c r="O30" s="8"/>
      <c r="P30" s="9"/>
      <c r="Q30" s="9"/>
      <c r="R30" s="10"/>
      <c r="S30" s="11"/>
      <c r="T30" s="11"/>
      <c r="U30" s="9"/>
      <c r="V30" s="9"/>
      <c r="W30" s="7"/>
      <c r="X30" s="7"/>
      <c r="Y30" s="7"/>
      <c r="Z30" s="9"/>
      <c r="AA30" s="9"/>
      <c r="AB30" s="7"/>
      <c r="AC30" s="6"/>
      <c r="AD30" s="6"/>
      <c r="AE30" s="9"/>
      <c r="AF30" s="9"/>
      <c r="AG30" s="7"/>
      <c r="AH30" s="8"/>
      <c r="AI30" s="7"/>
      <c r="AJ30" s="9"/>
      <c r="AK30" s="9"/>
      <c r="AM30" s="9">
        <f t="shared" si="0"/>
        <v>1</v>
      </c>
      <c r="AN30" s="9">
        <f t="shared" si="1"/>
        <v>1</v>
      </c>
    </row>
    <row r="31" spans="1:40" ht="37.5" customHeight="1">
      <c r="A31" s="1">
        <v>35</v>
      </c>
      <c r="B31" s="31" t="s">
        <v>55</v>
      </c>
      <c r="C31" s="7">
        <v>0.2673611111111111</v>
      </c>
      <c r="D31" s="8" t="s">
        <v>119</v>
      </c>
      <c r="E31" s="8" t="s">
        <v>373</v>
      </c>
      <c r="F31" s="9">
        <v>3</v>
      </c>
      <c r="G31" s="9">
        <v>3</v>
      </c>
      <c r="H31" s="7"/>
      <c r="I31" s="8"/>
      <c r="J31" s="8"/>
      <c r="K31" s="9"/>
      <c r="L31" s="9"/>
      <c r="M31" s="7"/>
      <c r="N31" s="8"/>
      <c r="O31" s="8"/>
      <c r="P31" s="9"/>
      <c r="Q31" s="9"/>
      <c r="R31" s="10"/>
      <c r="S31" s="11"/>
      <c r="T31" s="11"/>
      <c r="U31" s="9"/>
      <c r="V31" s="9"/>
      <c r="W31" s="7"/>
      <c r="X31" s="7"/>
      <c r="Y31" s="7"/>
      <c r="Z31" s="9"/>
      <c r="AA31" s="9"/>
      <c r="AB31" s="7"/>
      <c r="AC31" s="6"/>
      <c r="AD31" s="6"/>
      <c r="AE31" s="9"/>
      <c r="AF31" s="9"/>
      <c r="AG31" s="7"/>
      <c r="AH31" s="8"/>
      <c r="AI31" s="7"/>
      <c r="AJ31" s="9"/>
      <c r="AK31" s="9"/>
      <c r="AM31" s="9">
        <f t="shared" si="0"/>
        <v>3</v>
      </c>
      <c r="AN31" s="9">
        <f t="shared" si="1"/>
        <v>3</v>
      </c>
    </row>
    <row r="32" spans="1:40" ht="37.5" customHeight="1">
      <c r="B32" s="12" t="s">
        <v>243</v>
      </c>
      <c r="C32" s="7">
        <v>0.25</v>
      </c>
      <c r="D32" s="8" t="s">
        <v>132</v>
      </c>
      <c r="E32" s="8" t="s">
        <v>161</v>
      </c>
      <c r="F32" s="9">
        <v>2</v>
      </c>
      <c r="G32" s="9">
        <v>2</v>
      </c>
      <c r="H32" s="7"/>
      <c r="I32" s="8"/>
      <c r="J32" s="8"/>
      <c r="K32" s="9"/>
      <c r="L32" s="9"/>
      <c r="M32" s="7"/>
      <c r="N32" s="8"/>
      <c r="O32" s="8"/>
      <c r="P32" s="9"/>
      <c r="Q32" s="9"/>
      <c r="R32" s="10"/>
      <c r="S32" s="11"/>
      <c r="T32" s="11"/>
      <c r="U32" s="9"/>
      <c r="V32" s="9"/>
      <c r="W32" s="7"/>
      <c r="X32" s="7"/>
      <c r="Y32" s="7"/>
      <c r="Z32" s="9"/>
      <c r="AA32" s="9"/>
      <c r="AB32" s="7"/>
      <c r="AC32" s="6"/>
      <c r="AD32" s="6"/>
      <c r="AE32" s="9"/>
      <c r="AF32" s="9"/>
      <c r="AG32" s="7"/>
      <c r="AH32" s="8"/>
      <c r="AI32" s="7"/>
      <c r="AJ32" s="9"/>
      <c r="AK32" s="9"/>
      <c r="AM32" s="9">
        <f t="shared" si="0"/>
        <v>2</v>
      </c>
      <c r="AN32" s="9">
        <f t="shared" si="1"/>
        <v>2</v>
      </c>
    </row>
    <row r="33" spans="1:40" ht="37.5" customHeight="1">
      <c r="B33" s="12" t="s">
        <v>95</v>
      </c>
      <c r="C33" s="7">
        <v>0.25347222222222221</v>
      </c>
      <c r="D33" s="8" t="s">
        <v>124</v>
      </c>
      <c r="E33" s="8" t="s">
        <v>113</v>
      </c>
      <c r="F33" s="9">
        <v>2</v>
      </c>
      <c r="G33" s="9">
        <v>2</v>
      </c>
      <c r="H33" s="7"/>
      <c r="I33" s="8"/>
      <c r="J33" s="8"/>
      <c r="K33" s="9"/>
      <c r="L33" s="9"/>
      <c r="M33" s="7"/>
      <c r="N33" s="8"/>
      <c r="O33" s="8"/>
      <c r="P33" s="9"/>
      <c r="Q33" s="9"/>
      <c r="R33" s="10"/>
      <c r="S33" s="11"/>
      <c r="T33" s="11"/>
      <c r="U33" s="9"/>
      <c r="V33" s="9"/>
      <c r="W33" s="7"/>
      <c r="X33" s="7"/>
      <c r="Y33" s="7"/>
      <c r="Z33" s="9"/>
      <c r="AA33" s="9"/>
      <c r="AB33" s="7"/>
      <c r="AC33" s="6"/>
      <c r="AD33" s="6"/>
      <c r="AE33" s="9"/>
      <c r="AF33" s="9"/>
      <c r="AG33" s="7"/>
      <c r="AH33" s="8"/>
      <c r="AI33" s="7"/>
      <c r="AJ33" s="9"/>
      <c r="AK33" s="9"/>
      <c r="AM33" s="9">
        <f t="shared" si="0"/>
        <v>2</v>
      </c>
      <c r="AN33" s="9">
        <f t="shared" si="1"/>
        <v>2</v>
      </c>
    </row>
    <row r="34" spans="1:40" ht="18.75" customHeight="1">
      <c r="B34" s="12" t="s">
        <v>33</v>
      </c>
      <c r="C34" s="23" t="s">
        <v>363</v>
      </c>
      <c r="D34" s="45" t="s">
        <v>363</v>
      </c>
      <c r="E34" s="46"/>
      <c r="F34" s="9">
        <v>0</v>
      </c>
      <c r="G34" s="9">
        <v>0</v>
      </c>
      <c r="H34" s="7"/>
      <c r="I34" s="8"/>
      <c r="J34" s="8"/>
      <c r="K34" s="9"/>
      <c r="L34" s="9"/>
      <c r="M34" s="7"/>
      <c r="N34" s="8"/>
      <c r="O34" s="8"/>
      <c r="P34" s="9"/>
      <c r="Q34" s="9"/>
      <c r="R34" s="10"/>
      <c r="S34" s="11"/>
      <c r="T34" s="11"/>
      <c r="U34" s="9"/>
      <c r="V34" s="9"/>
      <c r="W34" s="7"/>
      <c r="X34" s="7"/>
      <c r="Y34" s="7"/>
      <c r="Z34" s="9"/>
      <c r="AA34" s="9"/>
      <c r="AB34" s="7"/>
      <c r="AC34" s="6"/>
      <c r="AD34" s="6"/>
      <c r="AE34" s="9"/>
      <c r="AF34" s="9"/>
      <c r="AG34" s="7"/>
      <c r="AH34" s="8"/>
      <c r="AI34" s="7"/>
      <c r="AJ34" s="9"/>
      <c r="AK34" s="9"/>
      <c r="AM34" s="9">
        <f t="shared" si="0"/>
        <v>0</v>
      </c>
      <c r="AN34" s="9">
        <f t="shared" si="1"/>
        <v>0</v>
      </c>
    </row>
    <row r="35" spans="1:40" ht="56.25" customHeight="1">
      <c r="B35" s="31" t="s">
        <v>34</v>
      </c>
      <c r="C35" s="7">
        <v>0.26041666666666669</v>
      </c>
      <c r="D35" s="8" t="s">
        <v>125</v>
      </c>
      <c r="E35" s="8" t="s">
        <v>181</v>
      </c>
      <c r="F35" s="9">
        <v>2</v>
      </c>
      <c r="G35" s="9">
        <v>2</v>
      </c>
      <c r="H35" s="7"/>
      <c r="I35" s="8"/>
      <c r="J35" s="8"/>
      <c r="K35" s="9"/>
      <c r="L35" s="9"/>
      <c r="M35" s="7"/>
      <c r="N35" s="8"/>
      <c r="O35" s="8"/>
      <c r="P35" s="9"/>
      <c r="Q35" s="9"/>
      <c r="R35" s="10"/>
      <c r="S35" s="11"/>
      <c r="T35" s="11"/>
      <c r="U35" s="9"/>
      <c r="V35" s="9"/>
      <c r="W35" s="7"/>
      <c r="X35" s="7"/>
      <c r="Y35" s="7"/>
      <c r="Z35" s="9"/>
      <c r="AA35" s="9"/>
      <c r="AB35" s="7"/>
      <c r="AC35" s="6"/>
      <c r="AD35" s="6"/>
      <c r="AE35" s="9"/>
      <c r="AF35" s="9"/>
      <c r="AG35" s="7"/>
      <c r="AH35" s="8"/>
      <c r="AI35" s="7"/>
      <c r="AJ35" s="9"/>
      <c r="AK35" s="9"/>
      <c r="AM35" s="9">
        <f t="shared" si="0"/>
        <v>2</v>
      </c>
      <c r="AN35" s="9">
        <f t="shared" si="1"/>
        <v>2</v>
      </c>
    </row>
    <row r="36" spans="1:40" ht="37.5" customHeight="1">
      <c r="B36" s="31" t="s">
        <v>35</v>
      </c>
      <c r="C36" s="7">
        <v>0.25</v>
      </c>
      <c r="D36" s="8" t="s">
        <v>114</v>
      </c>
      <c r="E36" s="8" t="s">
        <v>378</v>
      </c>
      <c r="F36" s="9">
        <v>3</v>
      </c>
      <c r="G36" s="9">
        <v>4</v>
      </c>
      <c r="H36" s="7"/>
      <c r="I36" s="8"/>
      <c r="J36" s="8"/>
      <c r="K36" s="9"/>
      <c r="L36" s="9"/>
      <c r="M36" s="7"/>
      <c r="N36" s="8"/>
      <c r="O36" s="8"/>
      <c r="P36" s="9"/>
      <c r="Q36" s="9"/>
      <c r="R36" s="10"/>
      <c r="S36" s="11"/>
      <c r="T36" s="11"/>
      <c r="U36" s="9"/>
      <c r="V36" s="9"/>
      <c r="W36" s="7"/>
      <c r="X36" s="7"/>
      <c r="Y36" s="7"/>
      <c r="Z36" s="9"/>
      <c r="AA36" s="9"/>
      <c r="AB36" s="7"/>
      <c r="AC36" s="6"/>
      <c r="AD36" s="6"/>
      <c r="AE36" s="9"/>
      <c r="AF36" s="9"/>
      <c r="AG36" s="7"/>
      <c r="AH36" s="8"/>
      <c r="AI36" s="7"/>
      <c r="AJ36" s="9"/>
      <c r="AK36" s="9"/>
      <c r="AM36" s="9">
        <f t="shared" si="0"/>
        <v>3</v>
      </c>
      <c r="AN36" s="9">
        <f t="shared" si="1"/>
        <v>4</v>
      </c>
    </row>
    <row r="37" spans="1:40" ht="56.25" customHeight="1">
      <c r="B37" s="31" t="s">
        <v>36</v>
      </c>
      <c r="C37" s="7">
        <v>0.26041666666666669</v>
      </c>
      <c r="D37" s="8" t="s">
        <v>105</v>
      </c>
      <c r="E37" s="8" t="s">
        <v>123</v>
      </c>
      <c r="F37" s="9">
        <v>2</v>
      </c>
      <c r="G37" s="9">
        <v>3</v>
      </c>
      <c r="H37" s="7"/>
      <c r="I37" s="8"/>
      <c r="J37" s="8"/>
      <c r="K37" s="9"/>
      <c r="L37" s="9"/>
      <c r="M37" s="7"/>
      <c r="N37" s="8"/>
      <c r="O37" s="8"/>
      <c r="P37" s="9"/>
      <c r="Q37" s="9"/>
      <c r="R37" s="10"/>
      <c r="S37" s="11"/>
      <c r="T37" s="11"/>
      <c r="U37" s="9"/>
      <c r="V37" s="9"/>
      <c r="W37" s="7"/>
      <c r="X37" s="7"/>
      <c r="Y37" s="7"/>
      <c r="Z37" s="9"/>
      <c r="AA37" s="9"/>
      <c r="AB37" s="7"/>
      <c r="AC37" s="6"/>
      <c r="AD37" s="6"/>
      <c r="AE37" s="9"/>
      <c r="AF37" s="9"/>
      <c r="AG37" s="7"/>
      <c r="AH37" s="8"/>
      <c r="AI37" s="7"/>
      <c r="AJ37" s="9"/>
      <c r="AK37" s="9"/>
      <c r="AM37" s="9">
        <f t="shared" si="0"/>
        <v>2</v>
      </c>
      <c r="AN37" s="9">
        <f t="shared" si="1"/>
        <v>3</v>
      </c>
    </row>
    <row r="38" spans="1:40" ht="56.25" customHeight="1">
      <c r="B38" s="31" t="s">
        <v>37</v>
      </c>
      <c r="C38" s="7">
        <v>0.2638888888888889</v>
      </c>
      <c r="D38" s="8" t="s">
        <v>112</v>
      </c>
      <c r="E38" s="33" t="s">
        <v>112</v>
      </c>
      <c r="F38" s="9">
        <v>2</v>
      </c>
      <c r="G38" s="9">
        <v>4</v>
      </c>
      <c r="H38" s="7"/>
      <c r="I38" s="8"/>
      <c r="J38" s="8"/>
      <c r="K38" s="9"/>
      <c r="L38" s="9"/>
      <c r="M38" s="7"/>
      <c r="N38" s="8"/>
      <c r="O38" s="8"/>
      <c r="P38" s="9"/>
      <c r="Q38" s="9"/>
      <c r="R38" s="10"/>
      <c r="S38" s="11"/>
      <c r="T38" s="11"/>
      <c r="U38" s="9"/>
      <c r="V38" s="9"/>
      <c r="W38" s="7"/>
      <c r="X38" s="7"/>
      <c r="Y38" s="7"/>
      <c r="Z38" s="9"/>
      <c r="AA38" s="9"/>
      <c r="AB38" s="7"/>
      <c r="AC38" s="6"/>
      <c r="AD38" s="6"/>
      <c r="AE38" s="9"/>
      <c r="AF38" s="9"/>
      <c r="AG38" s="7"/>
      <c r="AH38" s="8"/>
      <c r="AI38" s="7"/>
      <c r="AJ38" s="9"/>
      <c r="AK38" s="9"/>
      <c r="AM38" s="9">
        <f t="shared" si="0"/>
        <v>2</v>
      </c>
      <c r="AN38" s="9">
        <f t="shared" si="1"/>
        <v>4</v>
      </c>
    </row>
    <row r="39" spans="1:40" ht="37.5" customHeight="1">
      <c r="A39" s="1">
        <v>34</v>
      </c>
      <c r="B39" s="31" t="s">
        <v>38</v>
      </c>
      <c r="C39" s="7">
        <v>0.29166666666666669</v>
      </c>
      <c r="D39" s="8" t="s">
        <v>103</v>
      </c>
      <c r="E39" s="8" t="s">
        <v>210</v>
      </c>
      <c r="F39" s="9">
        <v>3</v>
      </c>
      <c r="G39" s="9">
        <v>4</v>
      </c>
      <c r="H39" s="7"/>
      <c r="I39" s="8"/>
      <c r="J39" s="8"/>
      <c r="K39" s="9"/>
      <c r="L39" s="9"/>
      <c r="M39" s="7"/>
      <c r="N39" s="8"/>
      <c r="O39" s="8"/>
      <c r="P39" s="9"/>
      <c r="Q39" s="9"/>
      <c r="R39" s="10"/>
      <c r="S39" s="11"/>
      <c r="T39" s="11"/>
      <c r="U39" s="9"/>
      <c r="V39" s="9"/>
      <c r="W39" s="7"/>
      <c r="X39" s="7"/>
      <c r="Y39" s="7"/>
      <c r="Z39" s="9"/>
      <c r="AA39" s="9"/>
      <c r="AB39" s="7"/>
      <c r="AC39" s="6"/>
      <c r="AD39" s="6"/>
      <c r="AE39" s="9"/>
      <c r="AF39" s="9"/>
      <c r="AG39" s="7"/>
      <c r="AH39" s="8"/>
      <c r="AI39" s="7"/>
      <c r="AJ39" s="9"/>
      <c r="AK39" s="9"/>
      <c r="AM39" s="9">
        <f t="shared" si="0"/>
        <v>3</v>
      </c>
      <c r="AN39" s="9">
        <f t="shared" si="1"/>
        <v>4</v>
      </c>
    </row>
    <row r="40" spans="1:40" ht="37.5" customHeight="1">
      <c r="B40" s="31" t="s">
        <v>27</v>
      </c>
      <c r="C40" s="7">
        <v>0.375</v>
      </c>
      <c r="D40" s="8" t="s">
        <v>127</v>
      </c>
      <c r="E40" s="8"/>
      <c r="F40" s="9">
        <v>1</v>
      </c>
      <c r="G40" s="9">
        <v>1</v>
      </c>
      <c r="H40" s="7"/>
      <c r="I40" s="8"/>
      <c r="J40" s="8"/>
      <c r="K40" s="9"/>
      <c r="L40" s="9"/>
      <c r="M40" s="7"/>
      <c r="N40" s="8"/>
      <c r="O40" s="8"/>
      <c r="P40" s="9"/>
      <c r="Q40" s="9"/>
      <c r="R40" s="10"/>
      <c r="S40" s="11"/>
      <c r="T40" s="11"/>
      <c r="U40" s="9"/>
      <c r="V40" s="9"/>
      <c r="W40" s="7"/>
      <c r="X40" s="7"/>
      <c r="Y40" s="7"/>
      <c r="Z40" s="9"/>
      <c r="AA40" s="9"/>
      <c r="AB40" s="7"/>
      <c r="AC40" s="6"/>
      <c r="AD40" s="6"/>
      <c r="AE40" s="9"/>
      <c r="AF40" s="9"/>
      <c r="AG40" s="7"/>
      <c r="AH40" s="8"/>
      <c r="AI40" s="7"/>
      <c r="AJ40" s="9"/>
      <c r="AK40" s="9"/>
      <c r="AM40" s="9">
        <f t="shared" si="0"/>
        <v>1</v>
      </c>
      <c r="AN40" s="9">
        <f t="shared" si="1"/>
        <v>1</v>
      </c>
    </row>
    <row r="41" spans="1:40" ht="42.75" customHeight="1">
      <c r="A41" s="1">
        <v>38</v>
      </c>
      <c r="B41" s="31" t="s">
        <v>39</v>
      </c>
      <c r="C41" s="7">
        <v>8.3333333333333329E-2</v>
      </c>
      <c r="D41" s="8" t="s">
        <v>161</v>
      </c>
      <c r="E41" s="33" t="s">
        <v>388</v>
      </c>
      <c r="F41" s="9">
        <v>3</v>
      </c>
      <c r="G41" s="9">
        <v>3</v>
      </c>
      <c r="H41" s="7"/>
      <c r="I41" s="8"/>
      <c r="J41" s="8"/>
      <c r="K41" s="9"/>
      <c r="L41" s="9"/>
      <c r="M41" s="7"/>
      <c r="N41" s="8"/>
      <c r="O41" s="8"/>
      <c r="P41" s="9"/>
      <c r="Q41" s="9"/>
      <c r="R41" s="10"/>
      <c r="S41" s="11"/>
      <c r="T41" s="11"/>
      <c r="U41" s="9"/>
      <c r="V41" s="9"/>
      <c r="W41" s="7"/>
      <c r="X41" s="7"/>
      <c r="Y41" s="7"/>
      <c r="Z41" s="9"/>
      <c r="AA41" s="9"/>
      <c r="AB41" s="7"/>
      <c r="AC41" s="6"/>
      <c r="AD41" s="6"/>
      <c r="AE41" s="9"/>
      <c r="AF41" s="9"/>
      <c r="AG41" s="7"/>
      <c r="AH41" s="8"/>
      <c r="AI41" s="7"/>
      <c r="AJ41" s="9"/>
      <c r="AK41" s="9"/>
      <c r="AM41" s="9">
        <f t="shared" si="0"/>
        <v>3</v>
      </c>
      <c r="AN41" s="9">
        <f t="shared" si="1"/>
        <v>3</v>
      </c>
    </row>
    <row r="42" spans="1:40" ht="37.5" customHeight="1">
      <c r="A42" s="1">
        <v>39</v>
      </c>
      <c r="B42" s="31" t="s">
        <v>40</v>
      </c>
      <c r="C42" s="38" t="s">
        <v>93</v>
      </c>
      <c r="D42" s="41" t="s">
        <v>93</v>
      </c>
      <c r="E42" s="42"/>
      <c r="F42" s="9">
        <v>0</v>
      </c>
      <c r="G42" s="9">
        <v>0</v>
      </c>
      <c r="H42" s="7"/>
      <c r="I42" s="8"/>
      <c r="J42" s="8"/>
      <c r="K42" s="9"/>
      <c r="L42" s="9"/>
      <c r="M42" s="7"/>
      <c r="N42" s="8"/>
      <c r="O42" s="8"/>
      <c r="P42" s="9"/>
      <c r="Q42" s="9"/>
      <c r="R42" s="10"/>
      <c r="S42" s="11"/>
      <c r="T42" s="11"/>
      <c r="U42" s="9"/>
      <c r="V42" s="9"/>
      <c r="W42" s="7"/>
      <c r="X42" s="7"/>
      <c r="Y42" s="7"/>
      <c r="Z42" s="9"/>
      <c r="AA42" s="9"/>
      <c r="AB42" s="7"/>
      <c r="AC42" s="6"/>
      <c r="AD42" s="6"/>
      <c r="AE42" s="9"/>
      <c r="AF42" s="9"/>
      <c r="AG42" s="7"/>
      <c r="AH42" s="8"/>
      <c r="AI42" s="7"/>
      <c r="AJ42" s="9"/>
      <c r="AK42" s="9"/>
      <c r="AM42" s="9">
        <f t="shared" si="0"/>
        <v>0</v>
      </c>
      <c r="AN42" s="9">
        <f t="shared" si="1"/>
        <v>0</v>
      </c>
    </row>
    <row r="43" spans="1:40" ht="23.25" customHeight="1">
      <c r="A43" s="1">
        <v>40</v>
      </c>
      <c r="B43" s="31" t="s">
        <v>41</v>
      </c>
      <c r="C43" s="7">
        <v>8.3333333333333329E-2</v>
      </c>
      <c r="D43" s="8" t="s">
        <v>167</v>
      </c>
      <c r="E43" s="8" t="s">
        <v>385</v>
      </c>
      <c r="F43" s="9">
        <v>3</v>
      </c>
      <c r="G43" s="9">
        <v>3</v>
      </c>
      <c r="H43" s="7"/>
      <c r="I43" s="8"/>
      <c r="J43" s="8"/>
      <c r="K43" s="9"/>
      <c r="L43" s="9"/>
      <c r="M43" s="7"/>
      <c r="N43" s="8"/>
      <c r="O43" s="8"/>
      <c r="P43" s="9"/>
      <c r="Q43" s="9"/>
      <c r="R43" s="10"/>
      <c r="S43" s="11"/>
      <c r="T43" s="11"/>
      <c r="U43" s="9"/>
      <c r="V43" s="9"/>
      <c r="W43" s="7"/>
      <c r="X43" s="7"/>
      <c r="Y43" s="7"/>
      <c r="Z43" s="9"/>
      <c r="AA43" s="9"/>
      <c r="AB43" s="7"/>
      <c r="AC43" s="6"/>
      <c r="AD43" s="6"/>
      <c r="AE43" s="9"/>
      <c r="AF43" s="9"/>
      <c r="AG43" s="7"/>
      <c r="AH43" s="8"/>
      <c r="AI43" s="7"/>
      <c r="AJ43" s="9"/>
      <c r="AK43" s="9"/>
      <c r="AM43" s="9">
        <f t="shared" si="0"/>
        <v>3</v>
      </c>
      <c r="AN43" s="9">
        <f t="shared" si="1"/>
        <v>3</v>
      </c>
    </row>
    <row r="44" spans="1:40" ht="37.5" customHeight="1">
      <c r="A44" s="1">
        <v>65</v>
      </c>
      <c r="B44" s="11" t="s">
        <v>68</v>
      </c>
      <c r="C44" s="24" t="s">
        <v>97</v>
      </c>
      <c r="D44" s="43" t="s">
        <v>97</v>
      </c>
      <c r="E44" s="44"/>
      <c r="F44" s="34">
        <v>0</v>
      </c>
      <c r="G44" s="34">
        <v>0</v>
      </c>
      <c r="H44" s="7"/>
      <c r="I44" s="8"/>
      <c r="J44" s="8"/>
      <c r="K44" s="9"/>
      <c r="L44" s="9"/>
      <c r="M44" s="7"/>
      <c r="N44" s="8"/>
      <c r="O44" s="8"/>
      <c r="P44" s="9"/>
      <c r="Q44" s="9"/>
      <c r="R44" s="10"/>
      <c r="S44" s="11"/>
      <c r="T44" s="11"/>
      <c r="U44" s="9"/>
      <c r="V44" s="9"/>
      <c r="W44" s="7"/>
      <c r="X44" s="7"/>
      <c r="Y44" s="7"/>
      <c r="Z44" s="9"/>
      <c r="AA44" s="9"/>
      <c r="AB44" s="7"/>
      <c r="AC44" s="6"/>
      <c r="AD44" s="6"/>
      <c r="AE44" s="9"/>
      <c r="AF44" s="9"/>
      <c r="AG44" s="7"/>
      <c r="AH44" s="8"/>
      <c r="AI44" s="7"/>
      <c r="AJ44" s="9"/>
      <c r="AK44" s="9"/>
      <c r="AM44" s="9">
        <f t="shared" si="0"/>
        <v>0</v>
      </c>
      <c r="AN44" s="9">
        <f t="shared" si="1"/>
        <v>0</v>
      </c>
    </row>
    <row r="45" spans="1:40" ht="18.75" customHeight="1">
      <c r="B45" s="31" t="s">
        <v>42</v>
      </c>
      <c r="C45" s="7">
        <v>7.6388888888888895E-2</v>
      </c>
      <c r="D45" s="8" t="s">
        <v>132</v>
      </c>
      <c r="E45" s="8"/>
      <c r="F45" s="9">
        <v>1</v>
      </c>
      <c r="G45" s="9">
        <v>1</v>
      </c>
      <c r="H45" s="7"/>
      <c r="I45" s="8"/>
      <c r="J45" s="8"/>
      <c r="K45" s="9"/>
      <c r="L45" s="9"/>
      <c r="M45" s="7"/>
      <c r="N45" s="8"/>
      <c r="O45" s="8"/>
      <c r="P45" s="9"/>
      <c r="Q45" s="9"/>
      <c r="R45" s="10"/>
      <c r="S45" s="11"/>
      <c r="T45" s="11"/>
      <c r="U45" s="9"/>
      <c r="V45" s="9"/>
      <c r="W45" s="7"/>
      <c r="X45" s="7"/>
      <c r="Y45" s="7"/>
      <c r="Z45" s="9"/>
      <c r="AA45" s="9"/>
      <c r="AB45" s="7"/>
      <c r="AC45" s="6"/>
      <c r="AD45" s="6"/>
      <c r="AE45" s="9"/>
      <c r="AF45" s="9"/>
      <c r="AG45" s="7"/>
      <c r="AH45" s="8"/>
      <c r="AI45" s="7"/>
      <c r="AJ45" s="9"/>
      <c r="AK45" s="9"/>
      <c r="AM45" s="9">
        <f t="shared" si="0"/>
        <v>1</v>
      </c>
      <c r="AN45" s="9">
        <f t="shared" si="1"/>
        <v>1</v>
      </c>
    </row>
    <row r="46" spans="1:40" ht="37.5" customHeight="1">
      <c r="A46" s="1">
        <v>67</v>
      </c>
      <c r="B46" s="12" t="s">
        <v>43</v>
      </c>
      <c r="C46" s="7">
        <v>9.375E-2</v>
      </c>
      <c r="D46" s="8" t="s">
        <v>383</v>
      </c>
      <c r="E46" s="8" t="s">
        <v>387</v>
      </c>
      <c r="F46" s="9">
        <v>3</v>
      </c>
      <c r="G46" s="9">
        <v>3</v>
      </c>
      <c r="H46" s="7"/>
      <c r="I46" s="8"/>
      <c r="J46" s="8"/>
      <c r="K46" s="9"/>
      <c r="L46" s="9"/>
      <c r="M46" s="7"/>
      <c r="N46" s="8"/>
      <c r="O46" s="8"/>
      <c r="P46" s="9"/>
      <c r="Q46" s="9"/>
      <c r="R46" s="10"/>
      <c r="S46" s="11"/>
      <c r="T46" s="11"/>
      <c r="U46" s="9"/>
      <c r="V46" s="9"/>
      <c r="W46" s="7"/>
      <c r="X46" s="7"/>
      <c r="Y46" s="7"/>
      <c r="Z46" s="9"/>
      <c r="AA46" s="9"/>
      <c r="AB46" s="7"/>
      <c r="AC46" s="6"/>
      <c r="AD46" s="6"/>
      <c r="AE46" s="9"/>
      <c r="AF46" s="9"/>
      <c r="AG46" s="7"/>
      <c r="AH46" s="8"/>
      <c r="AI46" s="7"/>
      <c r="AJ46" s="9"/>
      <c r="AK46" s="9"/>
      <c r="AM46" s="9">
        <f t="shared" si="0"/>
        <v>3</v>
      </c>
      <c r="AN46" s="9">
        <f t="shared" si="1"/>
        <v>3</v>
      </c>
    </row>
    <row r="47" spans="1:40" s="16" customFormat="1" ht="18.75" customHeight="1">
      <c r="A47" s="47">
        <v>44</v>
      </c>
      <c r="B47" s="48" t="s">
        <v>44</v>
      </c>
      <c r="C47" s="49"/>
      <c r="D47" s="50"/>
      <c r="E47" s="50"/>
      <c r="F47" s="48">
        <v>0</v>
      </c>
      <c r="G47" s="48"/>
      <c r="H47" s="49"/>
      <c r="I47" s="50"/>
      <c r="J47" s="50"/>
      <c r="K47" s="48"/>
      <c r="L47" s="48"/>
      <c r="M47" s="49"/>
      <c r="N47" s="50"/>
      <c r="O47" s="50"/>
      <c r="P47" s="48"/>
      <c r="Q47" s="48"/>
      <c r="R47" s="51"/>
      <c r="S47" s="48"/>
      <c r="T47" s="48"/>
      <c r="U47" s="48"/>
      <c r="V47" s="48"/>
      <c r="W47" s="49"/>
      <c r="X47" s="49"/>
      <c r="Y47" s="49"/>
      <c r="Z47" s="48"/>
      <c r="AA47" s="48"/>
      <c r="AB47" s="49"/>
      <c r="AC47" s="48"/>
      <c r="AD47" s="48"/>
      <c r="AE47" s="48"/>
      <c r="AF47" s="48"/>
      <c r="AG47" s="49"/>
      <c r="AH47" s="50"/>
      <c r="AI47" s="49"/>
      <c r="AJ47" s="48"/>
      <c r="AK47" s="48"/>
      <c r="AM47" s="48">
        <f t="shared" si="0"/>
        <v>0</v>
      </c>
      <c r="AN47" s="48">
        <f t="shared" si="1"/>
        <v>0</v>
      </c>
    </row>
    <row r="48" spans="1:40" ht="18.75" customHeight="1">
      <c r="A48" s="1">
        <v>45</v>
      </c>
      <c r="B48" s="31" t="s">
        <v>89</v>
      </c>
      <c r="C48" s="7">
        <v>8.3333333333333329E-2</v>
      </c>
      <c r="D48" s="8" t="s">
        <v>135</v>
      </c>
      <c r="E48" s="8" t="s">
        <v>131</v>
      </c>
      <c r="F48" s="9">
        <v>2</v>
      </c>
      <c r="G48" s="9">
        <v>3</v>
      </c>
      <c r="H48" s="7"/>
      <c r="I48" s="8"/>
      <c r="J48" s="8"/>
      <c r="K48" s="9"/>
      <c r="L48" s="9"/>
      <c r="M48" s="7"/>
      <c r="N48" s="8"/>
      <c r="O48" s="8"/>
      <c r="P48" s="9"/>
      <c r="Q48" s="9"/>
      <c r="R48" s="10"/>
      <c r="S48" s="11"/>
      <c r="T48" s="11"/>
      <c r="U48" s="9"/>
      <c r="V48" s="9"/>
      <c r="W48" s="7"/>
      <c r="X48" s="7"/>
      <c r="Y48" s="7"/>
      <c r="Z48" s="9"/>
      <c r="AA48" s="9"/>
      <c r="AB48" s="7"/>
      <c r="AC48" s="6"/>
      <c r="AD48" s="6"/>
      <c r="AE48" s="9"/>
      <c r="AF48" s="9"/>
      <c r="AG48" s="7"/>
      <c r="AH48" s="8"/>
      <c r="AI48" s="7"/>
      <c r="AJ48" s="9"/>
      <c r="AK48" s="9"/>
      <c r="AM48" s="9">
        <f t="shared" si="0"/>
        <v>2</v>
      </c>
      <c r="AN48" s="9">
        <f t="shared" si="1"/>
        <v>3</v>
      </c>
    </row>
    <row r="49" spans="1:40" ht="18.75" customHeight="1">
      <c r="A49" s="1">
        <v>46</v>
      </c>
      <c r="B49" s="31" t="s">
        <v>45</v>
      </c>
      <c r="C49" s="7">
        <v>9.375E-2</v>
      </c>
      <c r="D49" s="8" t="s">
        <v>154</v>
      </c>
      <c r="E49" s="8"/>
      <c r="F49" s="9">
        <v>1</v>
      </c>
      <c r="G49" s="9">
        <v>3</v>
      </c>
      <c r="H49" s="7"/>
      <c r="I49" s="8"/>
      <c r="J49" s="8"/>
      <c r="K49" s="9"/>
      <c r="L49" s="9"/>
      <c r="M49" s="7"/>
      <c r="N49" s="8"/>
      <c r="O49" s="8"/>
      <c r="P49" s="9"/>
      <c r="Q49" s="9"/>
      <c r="R49" s="10"/>
      <c r="S49" s="11"/>
      <c r="T49" s="11"/>
      <c r="U49" s="9"/>
      <c r="V49" s="9"/>
      <c r="W49" s="7"/>
      <c r="X49" s="7"/>
      <c r="Y49" s="7"/>
      <c r="Z49" s="9"/>
      <c r="AA49" s="9"/>
      <c r="AB49" s="7"/>
      <c r="AC49" s="6"/>
      <c r="AD49" s="6"/>
      <c r="AE49" s="9"/>
      <c r="AF49" s="9"/>
      <c r="AG49" s="7"/>
      <c r="AH49" s="8"/>
      <c r="AI49" s="7"/>
      <c r="AJ49" s="9"/>
      <c r="AK49" s="9"/>
      <c r="AM49" s="9">
        <f t="shared" si="0"/>
        <v>1</v>
      </c>
      <c r="AN49" s="9">
        <f t="shared" si="1"/>
        <v>3</v>
      </c>
    </row>
    <row r="50" spans="1:40" ht="37.5" customHeight="1">
      <c r="A50" s="1">
        <v>72</v>
      </c>
      <c r="B50" s="31" t="s">
        <v>46</v>
      </c>
      <c r="C50" s="7">
        <v>8.3333333333333329E-2</v>
      </c>
      <c r="D50" s="8" t="s">
        <v>134</v>
      </c>
      <c r="E50" s="8"/>
      <c r="F50" s="9">
        <v>1</v>
      </c>
      <c r="G50" s="9">
        <v>2</v>
      </c>
      <c r="H50" s="7"/>
      <c r="I50" s="8"/>
      <c r="J50" s="8"/>
      <c r="K50" s="9"/>
      <c r="L50" s="9"/>
      <c r="M50" s="7"/>
      <c r="N50" s="8"/>
      <c r="O50" s="8"/>
      <c r="P50" s="9"/>
      <c r="Q50" s="9"/>
      <c r="R50" s="10"/>
      <c r="S50" s="11"/>
      <c r="T50" s="11"/>
      <c r="U50" s="9"/>
      <c r="V50" s="9"/>
      <c r="W50" s="7"/>
      <c r="X50" s="7"/>
      <c r="Y50" s="7"/>
      <c r="Z50" s="9"/>
      <c r="AA50" s="9"/>
      <c r="AB50" s="7"/>
      <c r="AC50" s="6"/>
      <c r="AD50" s="6"/>
      <c r="AE50" s="9"/>
      <c r="AF50" s="9"/>
      <c r="AG50" s="7"/>
      <c r="AH50" s="8"/>
      <c r="AI50" s="7"/>
      <c r="AJ50" s="9"/>
      <c r="AK50" s="9"/>
      <c r="AM50" s="9">
        <f t="shared" si="0"/>
        <v>1</v>
      </c>
      <c r="AN50" s="9">
        <f t="shared" si="1"/>
        <v>2</v>
      </c>
    </row>
    <row r="51" spans="1:40" ht="37.5" customHeight="1">
      <c r="A51" s="1">
        <v>51</v>
      </c>
      <c r="B51" s="31" t="s">
        <v>175</v>
      </c>
      <c r="C51" s="7">
        <v>7.6388888888888895E-2</v>
      </c>
      <c r="D51" s="8" t="s">
        <v>157</v>
      </c>
      <c r="E51" s="8"/>
      <c r="F51" s="9">
        <v>1</v>
      </c>
      <c r="G51" s="9">
        <v>1</v>
      </c>
      <c r="H51" s="7"/>
      <c r="I51" s="8"/>
      <c r="J51" s="8"/>
      <c r="K51" s="9"/>
      <c r="L51" s="9"/>
      <c r="M51" s="7"/>
      <c r="N51" s="8"/>
      <c r="O51" s="8"/>
      <c r="P51" s="9"/>
      <c r="Q51" s="9"/>
      <c r="R51" s="10"/>
      <c r="S51" s="11"/>
      <c r="T51" s="11"/>
      <c r="U51" s="9"/>
      <c r="V51" s="9"/>
      <c r="W51" s="7"/>
      <c r="X51" s="7"/>
      <c r="Y51" s="7"/>
      <c r="Z51" s="9"/>
      <c r="AA51" s="9"/>
      <c r="AB51" s="7"/>
      <c r="AC51" s="6"/>
      <c r="AD51" s="6"/>
      <c r="AE51" s="9"/>
      <c r="AF51" s="9"/>
      <c r="AG51" s="7"/>
      <c r="AH51" s="8"/>
      <c r="AI51" s="7"/>
      <c r="AJ51" s="9"/>
      <c r="AK51" s="9"/>
      <c r="AM51" s="9">
        <f t="shared" si="0"/>
        <v>1</v>
      </c>
      <c r="AN51" s="9">
        <f t="shared" si="1"/>
        <v>1</v>
      </c>
    </row>
    <row r="52" spans="1:40" ht="37.5" customHeight="1">
      <c r="B52" s="31" t="s">
        <v>47</v>
      </c>
      <c r="C52" s="37" t="s">
        <v>92</v>
      </c>
      <c r="D52" s="39" t="s">
        <v>92</v>
      </c>
      <c r="E52" s="40"/>
      <c r="F52" s="34">
        <v>0</v>
      </c>
      <c r="G52" s="34">
        <v>0</v>
      </c>
      <c r="H52" s="7"/>
      <c r="I52" s="8"/>
      <c r="J52" s="8"/>
      <c r="K52" s="9"/>
      <c r="L52" s="9"/>
      <c r="M52" s="7"/>
      <c r="N52" s="8"/>
      <c r="O52" s="8"/>
      <c r="P52" s="9"/>
      <c r="Q52" s="9"/>
      <c r="R52" s="10"/>
      <c r="S52" s="11"/>
      <c r="T52" s="11"/>
      <c r="U52" s="9"/>
      <c r="V52" s="9"/>
      <c r="W52" s="7"/>
      <c r="X52" s="7"/>
      <c r="Y52" s="7"/>
      <c r="Z52" s="9"/>
      <c r="AA52" s="9"/>
      <c r="AB52" s="7"/>
      <c r="AC52" s="6"/>
      <c r="AD52" s="6"/>
      <c r="AE52" s="9"/>
      <c r="AF52" s="9"/>
      <c r="AG52" s="7"/>
      <c r="AH52" s="8"/>
      <c r="AI52" s="7"/>
      <c r="AJ52" s="9"/>
      <c r="AK52" s="9"/>
      <c r="AM52" s="9"/>
      <c r="AN52" s="9"/>
    </row>
    <row r="53" spans="1:40" ht="45" customHeight="1">
      <c r="A53" s="1">
        <v>56</v>
      </c>
      <c r="B53" s="31" t="s">
        <v>48</v>
      </c>
      <c r="C53" s="37" t="s">
        <v>92</v>
      </c>
      <c r="D53" s="39" t="s">
        <v>92</v>
      </c>
      <c r="E53" s="40"/>
      <c r="F53" s="34">
        <v>0</v>
      </c>
      <c r="G53" s="34">
        <v>0</v>
      </c>
      <c r="H53" s="7"/>
      <c r="I53" s="8"/>
      <c r="J53" s="8"/>
      <c r="K53" s="9"/>
      <c r="L53" s="9"/>
      <c r="M53" s="7"/>
      <c r="N53" s="8"/>
      <c r="O53" s="8"/>
      <c r="P53" s="9"/>
      <c r="Q53" s="9"/>
      <c r="R53" s="10"/>
      <c r="S53" s="11"/>
      <c r="T53" s="11"/>
      <c r="U53" s="9"/>
      <c r="V53" s="9"/>
      <c r="W53" s="7"/>
      <c r="X53" s="7"/>
      <c r="Y53" s="7"/>
      <c r="Z53" s="9"/>
      <c r="AA53" s="9"/>
      <c r="AB53" s="7"/>
      <c r="AC53" s="6"/>
      <c r="AD53" s="6"/>
      <c r="AE53" s="9"/>
      <c r="AF53" s="9"/>
      <c r="AG53" s="7"/>
      <c r="AH53" s="8"/>
      <c r="AI53" s="7"/>
      <c r="AJ53" s="9"/>
      <c r="AK53" s="9"/>
      <c r="AM53" s="9">
        <f t="shared" ref="AM53:AM66" si="2">AJ53+AE53+Z53+U53+P53+K53+F53</f>
        <v>0</v>
      </c>
      <c r="AN53" s="9">
        <f t="shared" ref="AN53:AN66" si="3">AK53+AF53+AA53+V53+Q53+L53+G53</f>
        <v>0</v>
      </c>
    </row>
    <row r="54" spans="1:40" ht="37.5" customHeight="1">
      <c r="A54" s="1">
        <v>52</v>
      </c>
      <c r="B54" s="31" t="s">
        <v>83</v>
      </c>
      <c r="C54" s="7">
        <v>8.3333333333333329E-2</v>
      </c>
      <c r="D54" s="8" t="s">
        <v>382</v>
      </c>
      <c r="E54" s="8" t="s">
        <v>386</v>
      </c>
      <c r="F54" s="9">
        <v>2</v>
      </c>
      <c r="G54" s="9">
        <v>5</v>
      </c>
      <c r="H54" s="7"/>
      <c r="I54" s="8"/>
      <c r="J54" s="8"/>
      <c r="K54" s="9"/>
      <c r="L54" s="9"/>
      <c r="M54" s="7"/>
      <c r="N54" s="8"/>
      <c r="O54" s="8"/>
      <c r="P54" s="9"/>
      <c r="Q54" s="9"/>
      <c r="R54" s="10"/>
      <c r="S54" s="11"/>
      <c r="T54" s="11"/>
      <c r="U54" s="9"/>
      <c r="V54" s="9"/>
      <c r="W54" s="7"/>
      <c r="X54" s="7"/>
      <c r="Y54" s="7"/>
      <c r="Z54" s="9"/>
      <c r="AA54" s="9"/>
      <c r="AB54" s="7"/>
      <c r="AC54" s="6"/>
      <c r="AD54" s="6"/>
      <c r="AE54" s="9"/>
      <c r="AF54" s="9"/>
      <c r="AG54" s="7"/>
      <c r="AH54" s="8"/>
      <c r="AI54" s="7"/>
      <c r="AJ54" s="9"/>
      <c r="AK54" s="9"/>
      <c r="AM54" s="9">
        <f t="shared" si="2"/>
        <v>2</v>
      </c>
      <c r="AN54" s="9">
        <f t="shared" si="3"/>
        <v>5</v>
      </c>
    </row>
    <row r="55" spans="1:40" ht="22.5" customHeight="1">
      <c r="A55" s="1">
        <v>42</v>
      </c>
      <c r="B55" s="11" t="s">
        <v>80</v>
      </c>
      <c r="C55" s="37" t="s">
        <v>92</v>
      </c>
      <c r="D55" s="39" t="s">
        <v>92</v>
      </c>
      <c r="E55" s="40"/>
      <c r="F55" s="34">
        <v>0</v>
      </c>
      <c r="G55" s="34">
        <v>0</v>
      </c>
      <c r="H55" s="7"/>
      <c r="I55" s="8"/>
      <c r="J55" s="8"/>
      <c r="K55" s="9"/>
      <c r="L55" s="9"/>
      <c r="M55" s="7"/>
      <c r="N55" s="8"/>
      <c r="O55" s="8"/>
      <c r="P55" s="9"/>
      <c r="Q55" s="9"/>
      <c r="R55" s="10"/>
      <c r="S55" s="11"/>
      <c r="T55" s="11"/>
      <c r="U55" s="9"/>
      <c r="V55" s="9"/>
      <c r="W55" s="7"/>
      <c r="X55" s="7"/>
      <c r="Y55" s="7"/>
      <c r="Z55" s="9"/>
      <c r="AA55" s="9"/>
      <c r="AB55" s="7"/>
      <c r="AC55" s="6"/>
      <c r="AD55" s="6"/>
      <c r="AE55" s="9"/>
      <c r="AF55" s="9"/>
      <c r="AG55" s="7"/>
      <c r="AH55" s="8"/>
      <c r="AI55" s="7"/>
      <c r="AJ55" s="9"/>
      <c r="AK55" s="9"/>
      <c r="AM55" s="9">
        <f t="shared" si="2"/>
        <v>0</v>
      </c>
      <c r="AN55" s="9">
        <f t="shared" si="3"/>
        <v>0</v>
      </c>
    </row>
    <row r="56" spans="1:40" ht="37.5" customHeight="1">
      <c r="A56" s="1">
        <v>61</v>
      </c>
      <c r="B56" s="31" t="s">
        <v>49</v>
      </c>
      <c r="C56" s="7">
        <v>8.3333333333333329E-2</v>
      </c>
      <c r="D56" s="8" t="s">
        <v>157</v>
      </c>
      <c r="E56" s="8"/>
      <c r="F56" s="9">
        <v>1</v>
      </c>
      <c r="G56" s="9">
        <v>1</v>
      </c>
      <c r="H56" s="7"/>
      <c r="I56" s="8"/>
      <c r="J56" s="8"/>
      <c r="K56" s="9"/>
      <c r="L56" s="9"/>
      <c r="M56" s="7"/>
      <c r="N56" s="8"/>
      <c r="O56" s="8"/>
      <c r="P56" s="9"/>
      <c r="Q56" s="9"/>
      <c r="R56" s="10"/>
      <c r="S56" s="11"/>
      <c r="T56" s="11"/>
      <c r="U56" s="9"/>
      <c r="V56" s="9"/>
      <c r="W56" s="7"/>
      <c r="X56" s="7"/>
      <c r="Y56" s="7"/>
      <c r="Z56" s="9"/>
      <c r="AA56" s="9"/>
      <c r="AB56" s="7"/>
      <c r="AC56" s="6"/>
      <c r="AD56" s="6"/>
      <c r="AE56" s="9"/>
      <c r="AF56" s="9"/>
      <c r="AG56" s="7"/>
      <c r="AH56" s="8"/>
      <c r="AI56" s="7"/>
      <c r="AJ56" s="9"/>
      <c r="AK56" s="9"/>
      <c r="AM56" s="9">
        <f t="shared" si="2"/>
        <v>1</v>
      </c>
      <c r="AN56" s="9">
        <f t="shared" si="3"/>
        <v>1</v>
      </c>
    </row>
    <row r="57" spans="1:40" ht="37.5" customHeight="1">
      <c r="B57" s="31" t="s">
        <v>50</v>
      </c>
      <c r="C57" s="7">
        <v>0.10069444444444445</v>
      </c>
      <c r="D57" s="8" t="s">
        <v>173</v>
      </c>
      <c r="E57" s="8" t="s">
        <v>391</v>
      </c>
      <c r="F57" s="9">
        <v>2</v>
      </c>
      <c r="G57" s="9">
        <v>4</v>
      </c>
      <c r="H57" s="7"/>
      <c r="I57" s="8"/>
      <c r="J57" s="8"/>
      <c r="K57" s="9"/>
      <c r="L57" s="9"/>
      <c r="M57" s="7"/>
      <c r="N57" s="8"/>
      <c r="O57" s="8"/>
      <c r="P57" s="9"/>
      <c r="Q57" s="9"/>
      <c r="R57" s="10"/>
      <c r="S57" s="11"/>
      <c r="T57" s="11"/>
      <c r="U57" s="9"/>
      <c r="V57" s="9"/>
      <c r="W57" s="7"/>
      <c r="X57" s="7"/>
      <c r="Y57" s="7"/>
      <c r="Z57" s="9"/>
      <c r="AA57" s="9"/>
      <c r="AB57" s="7"/>
      <c r="AC57" s="6"/>
      <c r="AD57" s="6"/>
      <c r="AE57" s="9"/>
      <c r="AF57" s="9"/>
      <c r="AG57" s="7"/>
      <c r="AH57" s="8"/>
      <c r="AI57" s="7"/>
      <c r="AJ57" s="9"/>
      <c r="AK57" s="9"/>
      <c r="AM57" s="9">
        <f t="shared" si="2"/>
        <v>2</v>
      </c>
      <c r="AN57" s="9">
        <f t="shared" si="3"/>
        <v>4</v>
      </c>
    </row>
    <row r="58" spans="1:40" ht="56.25" customHeight="1">
      <c r="A58" s="1">
        <v>16</v>
      </c>
      <c r="B58" s="31" t="s">
        <v>51</v>
      </c>
      <c r="C58" s="24" t="s">
        <v>97</v>
      </c>
      <c r="D58" s="43" t="s">
        <v>97</v>
      </c>
      <c r="E58" s="44"/>
      <c r="F58" s="34">
        <v>0</v>
      </c>
      <c r="G58" s="34">
        <v>0</v>
      </c>
      <c r="H58" s="7"/>
      <c r="I58" s="8"/>
      <c r="J58" s="8"/>
      <c r="K58" s="9"/>
      <c r="L58" s="9"/>
      <c r="M58" s="7"/>
      <c r="N58" s="8"/>
      <c r="O58" s="8"/>
      <c r="P58" s="9"/>
      <c r="Q58" s="9"/>
      <c r="R58" s="10"/>
      <c r="S58" s="11"/>
      <c r="T58" s="11"/>
      <c r="U58" s="9"/>
      <c r="V58" s="9"/>
      <c r="W58" s="7"/>
      <c r="X58" s="7"/>
      <c r="Y58" s="7"/>
      <c r="Z58" s="9"/>
      <c r="AA58" s="9"/>
      <c r="AB58" s="7"/>
      <c r="AC58" s="6"/>
      <c r="AD58" s="6"/>
      <c r="AE58" s="9"/>
      <c r="AF58" s="9"/>
      <c r="AG58" s="7"/>
      <c r="AH58" s="8"/>
      <c r="AI58" s="7"/>
      <c r="AJ58" s="9"/>
      <c r="AK58" s="9"/>
      <c r="AM58" s="9">
        <f t="shared" si="2"/>
        <v>0</v>
      </c>
      <c r="AN58" s="9">
        <f t="shared" si="3"/>
        <v>0</v>
      </c>
    </row>
    <row r="59" spans="1:40" ht="56.25" customHeight="1">
      <c r="A59" s="1">
        <v>64</v>
      </c>
      <c r="B59" s="31" t="s">
        <v>78</v>
      </c>
      <c r="C59" s="7">
        <v>9.7222222222222224E-2</v>
      </c>
      <c r="D59" s="8" t="s">
        <v>134</v>
      </c>
      <c r="E59" s="8" t="s">
        <v>125</v>
      </c>
      <c r="F59" s="9">
        <v>2</v>
      </c>
      <c r="G59" s="9">
        <v>3</v>
      </c>
      <c r="H59" s="7"/>
      <c r="I59" s="8"/>
      <c r="J59" s="8"/>
      <c r="K59" s="9"/>
      <c r="L59" s="9"/>
      <c r="M59" s="7"/>
      <c r="N59" s="8"/>
      <c r="O59" s="8"/>
      <c r="P59" s="9"/>
      <c r="Q59" s="9"/>
      <c r="R59" s="10"/>
      <c r="S59" s="11"/>
      <c r="T59" s="11"/>
      <c r="U59" s="9"/>
      <c r="V59" s="9"/>
      <c r="W59" s="7"/>
      <c r="X59" s="7"/>
      <c r="Y59" s="7"/>
      <c r="Z59" s="9"/>
      <c r="AA59" s="9"/>
      <c r="AB59" s="7"/>
      <c r="AC59" s="6"/>
      <c r="AD59" s="6"/>
      <c r="AE59" s="9"/>
      <c r="AF59" s="9"/>
      <c r="AG59" s="7"/>
      <c r="AH59" s="8"/>
      <c r="AI59" s="7"/>
      <c r="AJ59" s="9"/>
      <c r="AK59" s="9"/>
      <c r="AM59" s="9">
        <f t="shared" si="2"/>
        <v>2</v>
      </c>
      <c r="AN59" s="9">
        <f t="shared" si="3"/>
        <v>3</v>
      </c>
    </row>
    <row r="60" spans="1:40" ht="38.25" customHeight="1">
      <c r="A60" s="1">
        <v>68</v>
      </c>
      <c r="B60" s="31" t="s">
        <v>52</v>
      </c>
      <c r="C60" s="7">
        <v>0.125</v>
      </c>
      <c r="D60" s="8" t="s">
        <v>159</v>
      </c>
      <c r="E60" s="8"/>
      <c r="F60" s="9">
        <v>1</v>
      </c>
      <c r="G60" s="9">
        <v>3</v>
      </c>
      <c r="H60" s="7"/>
      <c r="I60" s="8"/>
      <c r="J60" s="8"/>
      <c r="K60" s="9"/>
      <c r="L60" s="9"/>
      <c r="M60" s="7"/>
      <c r="N60" s="8"/>
      <c r="O60" s="8"/>
      <c r="P60" s="9"/>
      <c r="Q60" s="9"/>
      <c r="R60" s="10"/>
      <c r="S60" s="11"/>
      <c r="T60" s="11"/>
      <c r="U60" s="9"/>
      <c r="V60" s="9"/>
      <c r="W60" s="7"/>
      <c r="X60" s="7"/>
      <c r="Y60" s="7"/>
      <c r="Z60" s="9"/>
      <c r="AA60" s="9"/>
      <c r="AB60" s="7"/>
      <c r="AC60" s="6"/>
      <c r="AD60" s="6"/>
      <c r="AE60" s="9"/>
      <c r="AF60" s="9"/>
      <c r="AG60" s="7"/>
      <c r="AH60" s="8"/>
      <c r="AI60" s="7"/>
      <c r="AJ60" s="9"/>
      <c r="AK60" s="9"/>
      <c r="AM60" s="9">
        <f t="shared" si="2"/>
        <v>1</v>
      </c>
      <c r="AN60" s="9">
        <f t="shared" si="3"/>
        <v>3</v>
      </c>
    </row>
    <row r="61" spans="1:40" ht="37.5" customHeight="1">
      <c r="A61" s="1">
        <v>71</v>
      </c>
      <c r="B61" s="31" t="s">
        <v>53</v>
      </c>
      <c r="C61" s="7">
        <v>0.125</v>
      </c>
      <c r="D61" s="8" t="s">
        <v>143</v>
      </c>
      <c r="E61" s="8"/>
      <c r="F61" s="9">
        <v>1</v>
      </c>
      <c r="G61" s="9">
        <v>2</v>
      </c>
      <c r="H61" s="7"/>
      <c r="I61" s="8"/>
      <c r="J61" s="8"/>
      <c r="K61" s="9"/>
      <c r="L61" s="9"/>
      <c r="M61" s="7"/>
      <c r="N61" s="8"/>
      <c r="O61" s="8"/>
      <c r="P61" s="9"/>
      <c r="Q61" s="9"/>
      <c r="R61" s="10"/>
      <c r="S61" s="11"/>
      <c r="T61" s="11"/>
      <c r="U61" s="9"/>
      <c r="V61" s="9"/>
      <c r="W61" s="7"/>
      <c r="X61" s="7"/>
      <c r="Y61" s="7"/>
      <c r="Z61" s="9"/>
      <c r="AA61" s="9"/>
      <c r="AB61" s="7"/>
      <c r="AC61" s="6"/>
      <c r="AD61" s="6"/>
      <c r="AE61" s="9"/>
      <c r="AF61" s="9"/>
      <c r="AG61" s="7"/>
      <c r="AH61" s="8"/>
      <c r="AI61" s="7"/>
      <c r="AJ61" s="9"/>
      <c r="AK61" s="9"/>
      <c r="AM61" s="9">
        <f t="shared" si="2"/>
        <v>1</v>
      </c>
      <c r="AN61" s="9">
        <f t="shared" si="3"/>
        <v>2</v>
      </c>
    </row>
    <row r="62" spans="1:40" ht="18.75" customHeight="1">
      <c r="A62" s="1">
        <v>57</v>
      </c>
      <c r="B62" s="31" t="s">
        <v>74</v>
      </c>
      <c r="C62" s="7">
        <v>8.3333333333333329E-2</v>
      </c>
      <c r="D62" s="8" t="s">
        <v>392</v>
      </c>
      <c r="E62" s="8"/>
      <c r="F62" s="9">
        <v>1</v>
      </c>
      <c r="G62" s="9">
        <v>2</v>
      </c>
      <c r="H62" s="7"/>
      <c r="I62" s="8"/>
      <c r="J62" s="8"/>
      <c r="K62" s="9"/>
      <c r="L62" s="9"/>
      <c r="M62" s="7"/>
      <c r="N62" s="8"/>
      <c r="O62" s="8"/>
      <c r="P62" s="9"/>
      <c r="Q62" s="9"/>
      <c r="R62" s="10"/>
      <c r="S62" s="11"/>
      <c r="T62" s="11"/>
      <c r="U62" s="9"/>
      <c r="V62" s="9"/>
      <c r="W62" s="7"/>
      <c r="X62" s="7"/>
      <c r="Y62" s="7"/>
      <c r="Z62" s="9"/>
      <c r="AA62" s="9"/>
      <c r="AB62" s="7"/>
      <c r="AC62" s="6"/>
      <c r="AD62" s="6"/>
      <c r="AE62" s="9"/>
      <c r="AF62" s="9"/>
      <c r="AG62" s="7"/>
      <c r="AH62" s="8"/>
      <c r="AI62" s="7"/>
      <c r="AJ62" s="9"/>
      <c r="AK62" s="9"/>
      <c r="AM62" s="9">
        <f t="shared" si="2"/>
        <v>1</v>
      </c>
      <c r="AN62" s="9">
        <f t="shared" si="3"/>
        <v>2</v>
      </c>
    </row>
    <row r="63" spans="1:40">
      <c r="B63" s="31" t="s">
        <v>54</v>
      </c>
      <c r="C63" s="7">
        <v>9.0277777777777776E-2</v>
      </c>
      <c r="D63" s="33" t="s">
        <v>305</v>
      </c>
      <c r="E63" s="8"/>
      <c r="F63" s="9">
        <v>1</v>
      </c>
      <c r="G63" s="9">
        <v>4</v>
      </c>
      <c r="H63" s="7"/>
      <c r="I63" s="8"/>
      <c r="J63" s="8"/>
      <c r="K63" s="9"/>
      <c r="L63" s="9"/>
      <c r="M63" s="7"/>
      <c r="N63" s="8"/>
      <c r="O63" s="8"/>
      <c r="P63" s="9"/>
      <c r="Q63" s="9"/>
      <c r="R63" s="10"/>
      <c r="S63" s="11"/>
      <c r="T63" s="11"/>
      <c r="U63" s="9"/>
      <c r="V63" s="9"/>
      <c r="W63" s="7"/>
      <c r="X63" s="7"/>
      <c r="Y63" s="7"/>
      <c r="Z63" s="9"/>
      <c r="AA63" s="9"/>
      <c r="AB63" s="7"/>
      <c r="AC63" s="6"/>
      <c r="AD63" s="6"/>
      <c r="AE63" s="9"/>
      <c r="AF63" s="9"/>
      <c r="AG63" s="7"/>
      <c r="AH63" s="8"/>
      <c r="AI63" s="7"/>
      <c r="AJ63" s="9"/>
      <c r="AK63" s="9"/>
      <c r="AM63" s="9">
        <f t="shared" si="2"/>
        <v>1</v>
      </c>
      <c r="AN63" s="9">
        <f t="shared" si="3"/>
        <v>4</v>
      </c>
    </row>
    <row r="64" spans="1:40">
      <c r="B64" s="11" t="s">
        <v>79</v>
      </c>
      <c r="C64" s="7">
        <v>8.3333333333333329E-2</v>
      </c>
      <c r="D64" s="8" t="s">
        <v>380</v>
      </c>
      <c r="E64" s="8" t="s">
        <v>384</v>
      </c>
      <c r="F64" s="9">
        <v>2</v>
      </c>
      <c r="G64" s="9">
        <v>6</v>
      </c>
      <c r="H64" s="7"/>
      <c r="I64" s="8"/>
      <c r="J64" s="8"/>
      <c r="K64" s="9"/>
      <c r="L64" s="9"/>
      <c r="M64" s="7"/>
      <c r="N64" s="8"/>
      <c r="O64" s="8"/>
      <c r="P64" s="9"/>
      <c r="Q64" s="9"/>
      <c r="R64" s="10"/>
      <c r="S64" s="11"/>
      <c r="T64" s="11"/>
      <c r="U64" s="9"/>
      <c r="V64" s="9"/>
      <c r="W64" s="7"/>
      <c r="X64" s="7"/>
      <c r="Y64" s="7"/>
      <c r="Z64" s="9"/>
      <c r="AA64" s="9"/>
      <c r="AB64" s="7"/>
      <c r="AC64" s="6"/>
      <c r="AD64" s="6"/>
      <c r="AE64" s="9"/>
      <c r="AF64" s="9"/>
      <c r="AG64" s="7"/>
      <c r="AH64" s="8"/>
      <c r="AI64" s="7"/>
      <c r="AJ64" s="9"/>
      <c r="AK64" s="9"/>
      <c r="AM64" s="9">
        <f t="shared" si="2"/>
        <v>2</v>
      </c>
      <c r="AN64" s="9">
        <f t="shared" si="3"/>
        <v>6</v>
      </c>
    </row>
    <row r="65" spans="1:40" ht="21" customHeight="1">
      <c r="A65" s="1">
        <v>49</v>
      </c>
      <c r="B65" s="11" t="s">
        <v>81</v>
      </c>
      <c r="C65" s="7">
        <v>7.6388888888888895E-2</v>
      </c>
      <c r="D65" s="33" t="s">
        <v>372</v>
      </c>
      <c r="E65" s="8"/>
      <c r="F65" s="9">
        <v>1</v>
      </c>
      <c r="G65" s="9">
        <v>2</v>
      </c>
      <c r="H65" s="7"/>
      <c r="I65" s="8"/>
      <c r="J65" s="8"/>
      <c r="K65" s="9"/>
      <c r="L65" s="9"/>
      <c r="M65" s="7"/>
      <c r="N65" s="8"/>
      <c r="O65" s="8"/>
      <c r="P65" s="9"/>
      <c r="Q65" s="9"/>
      <c r="R65" s="10"/>
      <c r="S65" s="11"/>
      <c r="T65" s="11"/>
      <c r="U65" s="9"/>
      <c r="V65" s="9"/>
      <c r="W65" s="7"/>
      <c r="X65" s="7"/>
      <c r="Y65" s="7"/>
      <c r="Z65" s="9"/>
      <c r="AA65" s="9"/>
      <c r="AB65" s="7"/>
      <c r="AC65" s="6"/>
      <c r="AD65" s="6"/>
      <c r="AE65" s="9"/>
      <c r="AF65" s="9"/>
      <c r="AG65" s="7"/>
      <c r="AH65" s="8"/>
      <c r="AI65" s="7"/>
      <c r="AJ65" s="9"/>
      <c r="AK65" s="9"/>
      <c r="AM65" s="9">
        <f t="shared" si="2"/>
        <v>1</v>
      </c>
      <c r="AN65" s="9">
        <f t="shared" si="3"/>
        <v>2</v>
      </c>
    </row>
    <row r="66" spans="1:40">
      <c r="B66" s="31" t="s">
        <v>90</v>
      </c>
      <c r="C66" s="7">
        <v>8.3333333333333329E-2</v>
      </c>
      <c r="D66" s="8" t="s">
        <v>157</v>
      </c>
      <c r="E66" s="8" t="s">
        <v>167</v>
      </c>
      <c r="F66" s="9">
        <v>2</v>
      </c>
      <c r="G66" s="9">
        <v>2</v>
      </c>
      <c r="H66" s="7"/>
      <c r="I66" s="8"/>
      <c r="J66" s="8"/>
      <c r="K66" s="9"/>
      <c r="L66" s="9"/>
      <c r="M66" s="7"/>
      <c r="N66" s="8"/>
      <c r="O66" s="8"/>
      <c r="P66" s="9"/>
      <c r="Q66" s="9"/>
      <c r="R66" s="10"/>
      <c r="S66" s="11"/>
      <c r="T66" s="11"/>
      <c r="U66" s="9"/>
      <c r="V66" s="9"/>
      <c r="W66" s="7"/>
      <c r="X66" s="7"/>
      <c r="Y66" s="7"/>
      <c r="Z66" s="9"/>
      <c r="AA66" s="9"/>
      <c r="AB66" s="7"/>
      <c r="AC66" s="6"/>
      <c r="AD66" s="6"/>
      <c r="AE66" s="9"/>
      <c r="AF66" s="9"/>
      <c r="AG66" s="7"/>
      <c r="AH66" s="8"/>
      <c r="AI66" s="7"/>
      <c r="AJ66" s="9"/>
      <c r="AK66" s="9"/>
      <c r="AM66" s="9">
        <f t="shared" si="2"/>
        <v>2</v>
      </c>
      <c r="AN66" s="9">
        <f t="shared" si="3"/>
        <v>2</v>
      </c>
    </row>
    <row r="67" spans="1:40">
      <c r="A67" s="1">
        <v>60</v>
      </c>
      <c r="B67" s="11" t="s">
        <v>84</v>
      </c>
      <c r="C67" s="7">
        <v>9.0277777777777776E-2</v>
      </c>
      <c r="D67" s="8" t="s">
        <v>161</v>
      </c>
      <c r="E67" s="8" t="s">
        <v>389</v>
      </c>
      <c r="F67" s="9">
        <v>2</v>
      </c>
      <c r="G67" s="9">
        <v>3</v>
      </c>
      <c r="H67" s="7"/>
      <c r="I67" s="8"/>
      <c r="J67" s="8"/>
      <c r="K67" s="9"/>
      <c r="L67" s="9"/>
      <c r="M67" s="7"/>
      <c r="N67" s="8"/>
      <c r="O67" s="8"/>
      <c r="P67" s="9"/>
      <c r="Q67" s="9"/>
      <c r="R67" s="10"/>
      <c r="S67" s="11"/>
      <c r="T67" s="11"/>
      <c r="U67" s="9"/>
      <c r="V67" s="9"/>
      <c r="W67" s="7"/>
      <c r="X67" s="7"/>
      <c r="Y67" s="7"/>
      <c r="Z67" s="9"/>
      <c r="AA67" s="9"/>
      <c r="AB67" s="7"/>
      <c r="AC67" s="6"/>
      <c r="AD67" s="6"/>
      <c r="AE67" s="9"/>
      <c r="AF67" s="9"/>
      <c r="AG67" s="7"/>
      <c r="AH67" s="8"/>
      <c r="AI67" s="7"/>
      <c r="AJ67" s="9"/>
      <c r="AK67" s="9"/>
      <c r="AM67" s="9">
        <f t="shared" ref="AM67:AM81" si="4">AJ67+AE67+Z67+U67+P67+K67+F67</f>
        <v>2</v>
      </c>
      <c r="AN67" s="9">
        <f t="shared" ref="AN67:AN81" si="5">AK67+AF67+AA67+V67+Q67+L67+G67</f>
        <v>3</v>
      </c>
    </row>
    <row r="68" spans="1:40">
      <c r="A68" s="1">
        <v>1</v>
      </c>
      <c r="B68" s="31" t="s">
        <v>56</v>
      </c>
      <c r="C68" s="7">
        <v>0.375</v>
      </c>
      <c r="D68" s="8" t="s">
        <v>390</v>
      </c>
      <c r="E68" s="8"/>
      <c r="F68" s="9">
        <v>1</v>
      </c>
      <c r="G68" s="9">
        <v>1</v>
      </c>
      <c r="H68" s="7"/>
      <c r="I68" s="8"/>
      <c r="J68" s="8"/>
      <c r="K68" s="9"/>
      <c r="L68" s="9"/>
      <c r="M68" s="7"/>
      <c r="N68" s="8"/>
      <c r="O68" s="8"/>
      <c r="P68" s="9"/>
      <c r="Q68" s="9"/>
      <c r="R68" s="10"/>
      <c r="S68" s="11"/>
      <c r="T68" s="11"/>
      <c r="U68" s="9"/>
      <c r="V68" s="9"/>
      <c r="W68" s="7"/>
      <c r="X68" s="7"/>
      <c r="Y68" s="7"/>
      <c r="Z68" s="9"/>
      <c r="AA68" s="9"/>
      <c r="AB68" s="7"/>
      <c r="AC68" s="6"/>
      <c r="AD68" s="6"/>
      <c r="AE68" s="9"/>
      <c r="AF68" s="9"/>
      <c r="AG68" s="7"/>
      <c r="AH68" s="8"/>
      <c r="AI68" s="7"/>
      <c r="AJ68" s="9"/>
      <c r="AK68" s="9"/>
      <c r="AM68" s="9">
        <f t="shared" si="4"/>
        <v>1</v>
      </c>
      <c r="AN68" s="9">
        <f t="shared" si="5"/>
        <v>1</v>
      </c>
    </row>
    <row r="69" spans="1:40">
      <c r="A69" s="1">
        <v>15</v>
      </c>
      <c r="B69" s="31" t="s">
        <v>57</v>
      </c>
      <c r="C69" s="37" t="s">
        <v>92</v>
      </c>
      <c r="D69" s="39" t="s">
        <v>92</v>
      </c>
      <c r="E69" s="40"/>
      <c r="F69" s="34">
        <v>0</v>
      </c>
      <c r="G69" s="34">
        <v>0</v>
      </c>
      <c r="H69" s="7"/>
      <c r="I69" s="8"/>
      <c r="J69" s="8"/>
      <c r="K69" s="9"/>
      <c r="L69" s="9"/>
      <c r="M69" s="7"/>
      <c r="N69" s="8"/>
      <c r="O69" s="8"/>
      <c r="P69" s="9"/>
      <c r="Q69" s="9"/>
      <c r="R69" s="10"/>
      <c r="S69" s="11"/>
      <c r="T69" s="11"/>
      <c r="U69" s="9"/>
      <c r="V69" s="9"/>
      <c r="W69" s="7"/>
      <c r="X69" s="7"/>
      <c r="Y69" s="7"/>
      <c r="Z69" s="9"/>
      <c r="AA69" s="9"/>
      <c r="AB69" s="7"/>
      <c r="AC69" s="6"/>
      <c r="AD69" s="6"/>
      <c r="AE69" s="9"/>
      <c r="AF69" s="9"/>
      <c r="AG69" s="7"/>
      <c r="AH69" s="8"/>
      <c r="AI69" s="7"/>
      <c r="AJ69" s="9"/>
      <c r="AK69" s="9"/>
      <c r="AM69" s="9">
        <f t="shared" si="4"/>
        <v>0</v>
      </c>
      <c r="AN69" s="9">
        <f t="shared" si="5"/>
        <v>0</v>
      </c>
    </row>
    <row r="70" spans="1:40">
      <c r="B70" s="31" t="s">
        <v>58</v>
      </c>
      <c r="C70" s="7">
        <v>0.375</v>
      </c>
      <c r="D70" s="8"/>
      <c r="E70" s="8"/>
      <c r="F70" s="9">
        <v>0</v>
      </c>
      <c r="G70" s="9">
        <v>0</v>
      </c>
      <c r="H70" s="7"/>
      <c r="I70" s="8"/>
      <c r="J70" s="8"/>
      <c r="K70" s="9"/>
      <c r="L70" s="9"/>
      <c r="M70" s="7"/>
      <c r="N70" s="8"/>
      <c r="O70" s="8"/>
      <c r="P70" s="9"/>
      <c r="Q70" s="9"/>
      <c r="R70" s="10"/>
      <c r="S70" s="11"/>
      <c r="T70" s="11"/>
      <c r="U70" s="9"/>
      <c r="V70" s="9"/>
      <c r="W70" s="7"/>
      <c r="X70" s="7"/>
      <c r="Y70" s="7"/>
      <c r="Z70" s="9"/>
      <c r="AA70" s="9"/>
      <c r="AB70" s="7"/>
      <c r="AC70" s="6"/>
      <c r="AD70" s="6"/>
      <c r="AE70" s="9"/>
      <c r="AF70" s="9"/>
      <c r="AG70" s="7"/>
      <c r="AH70" s="8"/>
      <c r="AI70" s="7"/>
      <c r="AJ70" s="9"/>
      <c r="AK70" s="9"/>
      <c r="AM70" s="9">
        <f t="shared" si="4"/>
        <v>0</v>
      </c>
      <c r="AN70" s="9">
        <f t="shared" si="5"/>
        <v>0</v>
      </c>
    </row>
    <row r="71" spans="1:40">
      <c r="B71" s="15" t="s">
        <v>60</v>
      </c>
      <c r="C71" s="38" t="s">
        <v>93</v>
      </c>
      <c r="D71" s="41" t="s">
        <v>93</v>
      </c>
      <c r="E71" s="42"/>
      <c r="F71" s="34">
        <v>0</v>
      </c>
      <c r="G71" s="34">
        <v>0</v>
      </c>
      <c r="H71" s="7"/>
      <c r="I71" s="8"/>
      <c r="J71" s="8"/>
      <c r="K71" s="9"/>
      <c r="L71" s="9"/>
      <c r="M71" s="7"/>
      <c r="N71" s="8"/>
      <c r="O71" s="8"/>
      <c r="P71" s="9"/>
      <c r="Q71" s="9"/>
      <c r="R71" s="10"/>
      <c r="S71" s="11"/>
      <c r="T71" s="11"/>
      <c r="U71" s="9"/>
      <c r="V71" s="9"/>
      <c r="W71" s="7"/>
      <c r="X71" s="7"/>
      <c r="Y71" s="7"/>
      <c r="Z71" s="9"/>
      <c r="AA71" s="9"/>
      <c r="AB71" s="7"/>
      <c r="AC71" s="6"/>
      <c r="AD71" s="6"/>
      <c r="AE71" s="9"/>
      <c r="AF71" s="9"/>
      <c r="AG71" s="7"/>
      <c r="AH71" s="8"/>
      <c r="AI71" s="7"/>
      <c r="AJ71" s="9"/>
      <c r="AK71" s="9"/>
      <c r="AM71" s="9">
        <f t="shared" si="4"/>
        <v>0</v>
      </c>
      <c r="AN71" s="9">
        <f t="shared" si="5"/>
        <v>0</v>
      </c>
    </row>
    <row r="72" spans="1:40">
      <c r="A72" s="1">
        <v>9</v>
      </c>
      <c r="B72" s="15" t="s">
        <v>91</v>
      </c>
      <c r="C72" s="7">
        <v>0.2638888888888889</v>
      </c>
      <c r="D72" s="8" t="s">
        <v>102</v>
      </c>
      <c r="E72" s="33" t="s">
        <v>145</v>
      </c>
      <c r="F72" s="9">
        <v>2</v>
      </c>
      <c r="G72" s="9">
        <v>3</v>
      </c>
      <c r="H72" s="7"/>
      <c r="I72" s="8"/>
      <c r="J72" s="8"/>
      <c r="K72" s="9"/>
      <c r="L72" s="9"/>
      <c r="M72" s="7"/>
      <c r="N72" s="8"/>
      <c r="O72" s="8"/>
      <c r="P72" s="9"/>
      <c r="Q72" s="9"/>
      <c r="R72" s="10"/>
      <c r="S72" s="11"/>
      <c r="T72" s="11"/>
      <c r="U72" s="9"/>
      <c r="V72" s="9"/>
      <c r="W72" s="7"/>
      <c r="X72" s="7"/>
      <c r="Y72" s="7"/>
      <c r="Z72" s="9"/>
      <c r="AA72" s="9"/>
      <c r="AB72" s="7"/>
      <c r="AC72" s="6"/>
      <c r="AD72" s="6"/>
      <c r="AE72" s="9"/>
      <c r="AF72" s="9"/>
      <c r="AG72" s="7"/>
      <c r="AH72" s="8"/>
      <c r="AI72" s="7"/>
      <c r="AJ72" s="9"/>
      <c r="AK72" s="9"/>
      <c r="AM72" s="9">
        <f t="shared" si="4"/>
        <v>2</v>
      </c>
      <c r="AN72" s="9">
        <f t="shared" si="5"/>
        <v>3</v>
      </c>
    </row>
    <row r="73" spans="1:40">
      <c r="A73" s="1">
        <v>47</v>
      </c>
      <c r="B73" s="20" t="s">
        <v>61</v>
      </c>
      <c r="C73" s="7">
        <v>0.26250000000000001</v>
      </c>
      <c r="D73" s="33" t="s">
        <v>260</v>
      </c>
      <c r="E73" s="8" t="s">
        <v>146</v>
      </c>
      <c r="F73" s="9">
        <v>2</v>
      </c>
      <c r="G73" s="9">
        <v>4</v>
      </c>
      <c r="H73" s="7"/>
      <c r="I73" s="8"/>
      <c r="J73" s="8"/>
      <c r="K73" s="9"/>
      <c r="L73" s="9"/>
      <c r="M73" s="7"/>
      <c r="N73" s="8"/>
      <c r="O73" s="8"/>
      <c r="P73" s="9"/>
      <c r="Q73" s="9"/>
      <c r="R73" s="10"/>
      <c r="S73" s="11"/>
      <c r="T73" s="11"/>
      <c r="U73" s="9"/>
      <c r="V73" s="9"/>
      <c r="W73" s="7"/>
      <c r="X73" s="7"/>
      <c r="Y73" s="7"/>
      <c r="Z73" s="9"/>
      <c r="AA73" s="9"/>
      <c r="AB73" s="7"/>
      <c r="AC73" s="6"/>
      <c r="AD73" s="6"/>
      <c r="AE73" s="9"/>
      <c r="AF73" s="9"/>
      <c r="AG73" s="7"/>
      <c r="AH73" s="8"/>
      <c r="AI73" s="7"/>
      <c r="AJ73" s="9"/>
      <c r="AK73" s="9"/>
      <c r="AM73" s="9">
        <f t="shared" si="4"/>
        <v>2</v>
      </c>
      <c r="AN73" s="9">
        <f t="shared" si="5"/>
        <v>4</v>
      </c>
    </row>
    <row r="74" spans="1:40">
      <c r="B74" s="15" t="s">
        <v>85</v>
      </c>
      <c r="C74" s="7">
        <v>0.25347222222222221</v>
      </c>
      <c r="D74" s="8" t="s">
        <v>103</v>
      </c>
      <c r="E74" s="33" t="s">
        <v>375</v>
      </c>
      <c r="F74" s="9">
        <v>2</v>
      </c>
      <c r="G74" s="9">
        <v>3</v>
      </c>
      <c r="H74" s="7"/>
      <c r="I74" s="8"/>
      <c r="J74" s="8"/>
      <c r="K74" s="9"/>
      <c r="L74" s="9"/>
      <c r="M74" s="7"/>
      <c r="N74" s="8"/>
      <c r="O74" s="8"/>
      <c r="P74" s="9"/>
      <c r="Q74" s="9"/>
      <c r="R74" s="10"/>
      <c r="S74" s="11"/>
      <c r="T74" s="11"/>
      <c r="U74" s="9"/>
      <c r="V74" s="9"/>
      <c r="W74" s="7"/>
      <c r="X74" s="7"/>
      <c r="Y74" s="7"/>
      <c r="Z74" s="9"/>
      <c r="AA74" s="9"/>
      <c r="AB74" s="7"/>
      <c r="AC74" s="6"/>
      <c r="AD74" s="6"/>
      <c r="AE74" s="9"/>
      <c r="AF74" s="9"/>
      <c r="AG74" s="7"/>
      <c r="AH74" s="8"/>
      <c r="AI74" s="7"/>
      <c r="AJ74" s="9"/>
      <c r="AK74" s="9"/>
      <c r="AM74" s="9">
        <f t="shared" si="4"/>
        <v>2</v>
      </c>
      <c r="AN74" s="9">
        <f t="shared" si="5"/>
        <v>3</v>
      </c>
    </row>
    <row r="75" spans="1:40">
      <c r="A75" s="1">
        <v>29</v>
      </c>
      <c r="B75" s="15" t="s">
        <v>62</v>
      </c>
      <c r="C75" s="7">
        <v>0.24652777777777779</v>
      </c>
      <c r="D75" s="33" t="s">
        <v>256</v>
      </c>
      <c r="E75" s="8" t="s">
        <v>106</v>
      </c>
      <c r="F75" s="9">
        <v>2</v>
      </c>
      <c r="G75" s="9">
        <v>3</v>
      </c>
      <c r="H75" s="7"/>
      <c r="I75" s="8"/>
      <c r="J75" s="8"/>
      <c r="K75" s="9"/>
      <c r="L75" s="9"/>
      <c r="M75" s="7"/>
      <c r="N75" s="8"/>
      <c r="O75" s="8"/>
      <c r="P75" s="9"/>
      <c r="Q75" s="9"/>
      <c r="R75" s="10"/>
      <c r="S75" s="11"/>
      <c r="T75" s="11"/>
      <c r="U75" s="9"/>
      <c r="V75" s="9"/>
      <c r="W75" s="7"/>
      <c r="X75" s="7"/>
      <c r="Y75" s="7"/>
      <c r="Z75" s="9"/>
      <c r="AA75" s="9"/>
      <c r="AB75" s="7"/>
      <c r="AC75" s="6"/>
      <c r="AD75" s="6"/>
      <c r="AE75" s="9"/>
      <c r="AF75" s="9"/>
      <c r="AG75" s="7"/>
      <c r="AH75" s="8"/>
      <c r="AI75" s="7"/>
      <c r="AJ75" s="9"/>
      <c r="AK75" s="9"/>
      <c r="AM75" s="9">
        <f t="shared" si="4"/>
        <v>2</v>
      </c>
      <c r="AN75" s="9">
        <f t="shared" si="5"/>
        <v>3</v>
      </c>
    </row>
    <row r="76" spans="1:40">
      <c r="B76" s="15" t="s">
        <v>86</v>
      </c>
      <c r="C76" s="38" t="s">
        <v>93</v>
      </c>
      <c r="D76" s="41" t="s">
        <v>93</v>
      </c>
      <c r="E76" s="42"/>
      <c r="F76" s="34">
        <v>0</v>
      </c>
      <c r="G76" s="34">
        <v>0</v>
      </c>
      <c r="H76" s="7"/>
      <c r="I76" s="8"/>
      <c r="J76" s="8"/>
      <c r="K76" s="9"/>
      <c r="L76" s="9"/>
      <c r="M76" s="7"/>
      <c r="N76" s="8"/>
      <c r="O76" s="8"/>
      <c r="P76" s="9"/>
      <c r="Q76" s="9"/>
      <c r="R76" s="10"/>
      <c r="S76" s="11"/>
      <c r="T76" s="11"/>
      <c r="U76" s="9"/>
      <c r="V76" s="9"/>
      <c r="W76" s="7"/>
      <c r="X76" s="7"/>
      <c r="Y76" s="7"/>
      <c r="Z76" s="9"/>
      <c r="AA76" s="9"/>
      <c r="AB76" s="7"/>
      <c r="AC76" s="6"/>
      <c r="AD76" s="6"/>
      <c r="AE76" s="9"/>
      <c r="AF76" s="9"/>
      <c r="AG76" s="7"/>
      <c r="AH76" s="8"/>
      <c r="AI76" s="7"/>
      <c r="AJ76" s="9"/>
      <c r="AK76" s="9"/>
      <c r="AM76" s="9">
        <f t="shared" si="4"/>
        <v>0</v>
      </c>
      <c r="AN76" s="9">
        <f t="shared" si="5"/>
        <v>0</v>
      </c>
    </row>
    <row r="77" spans="1:40">
      <c r="B77" s="15" t="s">
        <v>242</v>
      </c>
      <c r="C77" s="37" t="s">
        <v>92</v>
      </c>
      <c r="D77" s="39" t="s">
        <v>92</v>
      </c>
      <c r="E77" s="40"/>
      <c r="F77" s="34">
        <v>0</v>
      </c>
      <c r="G77" s="34">
        <v>0</v>
      </c>
      <c r="H77" s="7"/>
      <c r="I77" s="8"/>
      <c r="J77" s="8"/>
      <c r="K77" s="9"/>
      <c r="L77" s="9"/>
      <c r="M77" s="7"/>
      <c r="N77" s="8"/>
      <c r="O77" s="8"/>
      <c r="P77" s="9"/>
      <c r="Q77" s="9"/>
      <c r="R77" s="10"/>
      <c r="S77" s="11"/>
      <c r="T77" s="11"/>
      <c r="U77" s="9"/>
      <c r="V77" s="9"/>
      <c r="W77" s="7"/>
      <c r="X77" s="7"/>
      <c r="Y77" s="7"/>
      <c r="Z77" s="9"/>
      <c r="AA77" s="9"/>
      <c r="AB77" s="7"/>
      <c r="AC77" s="6"/>
      <c r="AD77" s="6"/>
      <c r="AE77" s="9"/>
      <c r="AF77" s="9"/>
      <c r="AG77" s="7"/>
      <c r="AH77" s="8"/>
      <c r="AI77" s="7"/>
      <c r="AJ77" s="9"/>
      <c r="AK77" s="9"/>
      <c r="AM77" s="9">
        <v>0</v>
      </c>
      <c r="AN77" s="9">
        <v>0</v>
      </c>
    </row>
    <row r="78" spans="1:40">
      <c r="B78" s="15" t="s">
        <v>63</v>
      </c>
      <c r="C78" s="37" t="s">
        <v>92</v>
      </c>
      <c r="D78" s="39" t="s">
        <v>92</v>
      </c>
      <c r="E78" s="40"/>
      <c r="F78" s="34">
        <v>0</v>
      </c>
      <c r="G78" s="34">
        <v>0</v>
      </c>
      <c r="H78" s="7"/>
      <c r="I78" s="8"/>
      <c r="J78" s="8"/>
      <c r="K78" s="9"/>
      <c r="L78" s="9"/>
      <c r="M78" s="7"/>
      <c r="N78" s="8"/>
      <c r="O78" s="8"/>
      <c r="P78" s="9"/>
      <c r="Q78" s="9"/>
      <c r="R78" s="10"/>
      <c r="S78" s="11"/>
      <c r="T78" s="11"/>
      <c r="U78" s="9"/>
      <c r="V78" s="9"/>
      <c r="W78" s="7"/>
      <c r="X78" s="7"/>
      <c r="Y78" s="7"/>
      <c r="Z78" s="9"/>
      <c r="AA78" s="9"/>
      <c r="AB78" s="7"/>
      <c r="AC78" s="6"/>
      <c r="AD78" s="6"/>
      <c r="AE78" s="9"/>
      <c r="AF78" s="9"/>
      <c r="AG78" s="7"/>
      <c r="AH78" s="8"/>
      <c r="AI78" s="7"/>
      <c r="AJ78" s="9"/>
      <c r="AK78" s="9"/>
      <c r="AM78" s="9">
        <f t="shared" si="4"/>
        <v>0</v>
      </c>
      <c r="AN78" s="9">
        <f t="shared" si="5"/>
        <v>0</v>
      </c>
    </row>
    <row r="79" spans="1:40">
      <c r="B79" s="15" t="s">
        <v>64</v>
      </c>
      <c r="C79" s="7">
        <v>0.23958333333333334</v>
      </c>
      <c r="D79" s="33" t="s">
        <v>257</v>
      </c>
      <c r="E79" s="8" t="s">
        <v>330</v>
      </c>
      <c r="F79" s="9">
        <v>2</v>
      </c>
      <c r="G79" s="9">
        <v>3</v>
      </c>
      <c r="H79" s="7"/>
      <c r="I79" s="8"/>
      <c r="J79" s="8"/>
      <c r="K79" s="9"/>
      <c r="L79" s="9"/>
      <c r="M79" s="7"/>
      <c r="N79" s="8"/>
      <c r="O79" s="8"/>
      <c r="P79" s="9"/>
      <c r="Q79" s="9"/>
      <c r="R79" s="10"/>
      <c r="S79" s="11"/>
      <c r="T79" s="11"/>
      <c r="U79" s="9"/>
      <c r="V79" s="9"/>
      <c r="W79" s="7"/>
      <c r="X79" s="7"/>
      <c r="Y79" s="7"/>
      <c r="Z79" s="9"/>
      <c r="AA79" s="9"/>
      <c r="AB79" s="7"/>
      <c r="AC79" s="6"/>
      <c r="AD79" s="6"/>
      <c r="AE79" s="9"/>
      <c r="AF79" s="9"/>
      <c r="AG79" s="7"/>
      <c r="AH79" s="8"/>
      <c r="AI79" s="7"/>
      <c r="AJ79" s="9"/>
      <c r="AK79" s="9"/>
      <c r="AM79" s="9">
        <f t="shared" si="4"/>
        <v>2</v>
      </c>
      <c r="AN79" s="9">
        <f t="shared" si="5"/>
        <v>3</v>
      </c>
    </row>
    <row r="80" spans="1:40">
      <c r="B80" s="15" t="s">
        <v>65</v>
      </c>
      <c r="C80" s="7">
        <v>0.25347222222222221</v>
      </c>
      <c r="D80" s="33" t="s">
        <v>258</v>
      </c>
      <c r="E80" s="33" t="s">
        <v>331</v>
      </c>
      <c r="F80" s="9">
        <v>2</v>
      </c>
      <c r="G80" s="9">
        <v>3</v>
      </c>
      <c r="H80" s="7"/>
      <c r="I80" s="8"/>
      <c r="J80" s="8"/>
      <c r="K80" s="9"/>
      <c r="L80" s="9"/>
      <c r="M80" s="7"/>
      <c r="N80" s="8"/>
      <c r="O80" s="8"/>
      <c r="P80" s="9"/>
      <c r="Q80" s="9"/>
      <c r="R80" s="10"/>
      <c r="S80" s="11"/>
      <c r="T80" s="11"/>
      <c r="U80" s="9"/>
      <c r="V80" s="9"/>
      <c r="W80" s="7"/>
      <c r="X80" s="7"/>
      <c r="Y80" s="7"/>
      <c r="Z80" s="9"/>
      <c r="AA80" s="9"/>
      <c r="AB80" s="7"/>
      <c r="AC80" s="6"/>
      <c r="AD80" s="6"/>
      <c r="AE80" s="9"/>
      <c r="AF80" s="9"/>
      <c r="AG80" s="7"/>
      <c r="AH80" s="8"/>
      <c r="AI80" s="7"/>
      <c r="AJ80" s="9"/>
      <c r="AK80" s="9"/>
      <c r="AM80" s="9">
        <f t="shared" si="4"/>
        <v>2</v>
      </c>
      <c r="AN80" s="9">
        <f t="shared" si="5"/>
        <v>3</v>
      </c>
    </row>
    <row r="81" spans="1:40">
      <c r="B81" s="15" t="s">
        <v>66</v>
      </c>
      <c r="C81" s="7">
        <v>0.30555555555555558</v>
      </c>
      <c r="D81" s="8" t="s">
        <v>104</v>
      </c>
      <c r="E81" s="33" t="s">
        <v>257</v>
      </c>
      <c r="F81" s="9">
        <v>2</v>
      </c>
      <c r="G81" s="9">
        <v>3</v>
      </c>
      <c r="H81" s="7"/>
      <c r="I81" s="8"/>
      <c r="J81" s="8"/>
      <c r="K81" s="9"/>
      <c r="L81" s="9"/>
      <c r="M81" s="7"/>
      <c r="N81" s="8"/>
      <c r="O81" s="8"/>
      <c r="P81" s="9"/>
      <c r="Q81" s="9"/>
      <c r="R81" s="10"/>
      <c r="S81" s="11"/>
      <c r="T81" s="11"/>
      <c r="U81" s="9"/>
      <c r="V81" s="9"/>
      <c r="W81" s="7"/>
      <c r="X81" s="7"/>
      <c r="Y81" s="7"/>
      <c r="Z81" s="9"/>
      <c r="AA81" s="9"/>
      <c r="AB81" s="7"/>
      <c r="AC81" s="6"/>
      <c r="AD81" s="6"/>
      <c r="AE81" s="9"/>
      <c r="AF81" s="9"/>
      <c r="AG81" s="7"/>
      <c r="AH81" s="8"/>
      <c r="AI81" s="7"/>
      <c r="AJ81" s="9"/>
      <c r="AK81" s="9"/>
      <c r="AM81" s="9">
        <f t="shared" si="4"/>
        <v>2</v>
      </c>
      <c r="AN81" s="9">
        <f t="shared" si="5"/>
        <v>3</v>
      </c>
    </row>
    <row r="82" spans="1:40">
      <c r="B82" s="15" t="s">
        <v>67</v>
      </c>
      <c r="C82" s="7">
        <v>0.18402777777777779</v>
      </c>
      <c r="D82" s="8" t="s">
        <v>106</v>
      </c>
      <c r="E82" s="8"/>
      <c r="F82" s="9">
        <v>1</v>
      </c>
      <c r="G82" s="9">
        <v>1</v>
      </c>
      <c r="H82" s="7"/>
      <c r="I82" s="8"/>
      <c r="J82" s="8"/>
      <c r="K82" s="9"/>
      <c r="L82" s="9"/>
      <c r="M82" s="7"/>
      <c r="N82" s="8"/>
      <c r="O82" s="8"/>
      <c r="P82" s="9"/>
      <c r="Q82" s="9"/>
      <c r="R82" s="10"/>
      <c r="S82" s="11"/>
      <c r="T82" s="11"/>
      <c r="U82" s="9"/>
      <c r="V82" s="9"/>
      <c r="W82" s="7"/>
      <c r="X82" s="7"/>
      <c r="Y82" s="7"/>
      <c r="Z82" s="9"/>
      <c r="AA82" s="9"/>
      <c r="AB82" s="7"/>
      <c r="AC82" s="6"/>
      <c r="AD82" s="6"/>
      <c r="AE82" s="9"/>
      <c r="AF82" s="9"/>
      <c r="AG82" s="7"/>
      <c r="AH82" s="8"/>
      <c r="AI82" s="7"/>
      <c r="AJ82" s="9"/>
      <c r="AK82" s="9"/>
      <c r="AM82" s="9">
        <f t="shared" ref="AM82:AN85" si="6">AJ82+AE82+Z82+U82+P82+K82+F82</f>
        <v>1</v>
      </c>
      <c r="AN82" s="9">
        <f t="shared" si="6"/>
        <v>1</v>
      </c>
    </row>
    <row r="83" spans="1:40" s="30" customFormat="1">
      <c r="A83" s="1"/>
      <c r="B83" s="15" t="s">
        <v>370</v>
      </c>
      <c r="C83" s="32">
        <v>0.25347222222222221</v>
      </c>
      <c r="D83" s="33" t="s">
        <v>105</v>
      </c>
      <c r="E83" s="33" t="s">
        <v>256</v>
      </c>
      <c r="F83" s="34">
        <v>2</v>
      </c>
      <c r="G83" s="34">
        <v>3</v>
      </c>
      <c r="H83" s="32"/>
      <c r="I83" s="33"/>
      <c r="J83" s="33"/>
      <c r="K83" s="34"/>
      <c r="L83" s="34"/>
      <c r="M83" s="32"/>
      <c r="N83" s="33"/>
      <c r="O83" s="33"/>
      <c r="P83" s="34"/>
      <c r="Q83" s="34"/>
      <c r="R83" s="35"/>
      <c r="S83" s="11"/>
      <c r="T83" s="11"/>
      <c r="U83" s="34"/>
      <c r="V83" s="34"/>
      <c r="W83" s="32"/>
      <c r="X83" s="32"/>
      <c r="Y83" s="32"/>
      <c r="Z83" s="34"/>
      <c r="AA83" s="34"/>
      <c r="AB83" s="32"/>
      <c r="AC83" s="31"/>
      <c r="AD83" s="31"/>
      <c r="AE83" s="34"/>
      <c r="AF83" s="34"/>
      <c r="AG83" s="32"/>
      <c r="AH83" s="33"/>
      <c r="AI83" s="32"/>
      <c r="AJ83" s="34"/>
      <c r="AK83" s="34"/>
      <c r="AL83" s="16"/>
      <c r="AM83" s="34">
        <f t="shared" si="6"/>
        <v>2</v>
      </c>
      <c r="AN83" s="34">
        <f t="shared" si="6"/>
        <v>3</v>
      </c>
    </row>
    <row r="84" spans="1:40">
      <c r="B84" s="15" t="s">
        <v>70</v>
      </c>
      <c r="C84" s="7">
        <v>7.2916666666666671E-2</v>
      </c>
      <c r="D84" s="8" t="s">
        <v>376</v>
      </c>
      <c r="E84" s="8"/>
      <c r="F84" s="9">
        <v>1</v>
      </c>
      <c r="G84" s="9">
        <v>1</v>
      </c>
      <c r="H84" s="7"/>
      <c r="I84" s="8"/>
      <c r="J84" s="8"/>
      <c r="K84" s="9"/>
      <c r="L84" s="9"/>
      <c r="M84" s="7"/>
      <c r="N84" s="8"/>
      <c r="O84" s="8"/>
      <c r="P84" s="9"/>
      <c r="Q84" s="9"/>
      <c r="R84" s="10"/>
      <c r="S84" s="11"/>
      <c r="T84" s="11"/>
      <c r="U84" s="9"/>
      <c r="V84" s="9"/>
      <c r="W84" s="7"/>
      <c r="X84" s="7"/>
      <c r="Y84" s="7"/>
      <c r="Z84" s="9"/>
      <c r="AA84" s="9"/>
      <c r="AB84" s="7"/>
      <c r="AC84" s="6"/>
      <c r="AD84" s="6"/>
      <c r="AE84" s="9"/>
      <c r="AF84" s="9"/>
      <c r="AG84" s="7"/>
      <c r="AH84" s="8"/>
      <c r="AI84" s="7"/>
      <c r="AJ84" s="9"/>
      <c r="AK84" s="9"/>
      <c r="AM84" s="9">
        <f t="shared" si="6"/>
        <v>1</v>
      </c>
      <c r="AN84" s="9">
        <f t="shared" si="6"/>
        <v>1</v>
      </c>
    </row>
    <row r="85" spans="1:40">
      <c r="B85" s="15" t="s">
        <v>76</v>
      </c>
      <c r="C85" s="7">
        <v>0.53472222222222221</v>
      </c>
      <c r="D85" s="8" t="s">
        <v>333</v>
      </c>
      <c r="E85" s="8"/>
      <c r="F85" s="9">
        <v>1</v>
      </c>
      <c r="G85" s="9">
        <v>1</v>
      </c>
      <c r="H85" s="7"/>
      <c r="I85" s="8"/>
      <c r="J85" s="8"/>
      <c r="K85" s="9"/>
      <c r="L85" s="9"/>
      <c r="M85" s="7"/>
      <c r="N85" s="8"/>
      <c r="O85" s="8"/>
      <c r="P85" s="9"/>
      <c r="Q85" s="9"/>
      <c r="R85" s="10"/>
      <c r="S85" s="11"/>
      <c r="T85" s="11"/>
      <c r="U85" s="9"/>
      <c r="V85" s="9"/>
      <c r="W85" s="7"/>
      <c r="X85" s="7"/>
      <c r="Y85" s="7"/>
      <c r="Z85" s="9"/>
      <c r="AA85" s="9"/>
      <c r="AB85" s="7"/>
      <c r="AC85" s="6"/>
      <c r="AD85" s="6"/>
      <c r="AE85" s="9"/>
      <c r="AF85" s="9"/>
      <c r="AG85" s="7"/>
      <c r="AH85" s="8"/>
      <c r="AI85" s="7"/>
      <c r="AJ85" s="9"/>
      <c r="AK85" s="9"/>
      <c r="AM85" s="9">
        <f t="shared" si="6"/>
        <v>1</v>
      </c>
      <c r="AN85" s="9">
        <f t="shared" si="6"/>
        <v>1</v>
      </c>
    </row>
    <row r="86" spans="1:40">
      <c r="B86" s="15" t="s">
        <v>69</v>
      </c>
      <c r="C86" s="7">
        <v>0.52430555555555558</v>
      </c>
      <c r="D86" s="8" t="s">
        <v>273</v>
      </c>
      <c r="E86" s="8" t="s">
        <v>302</v>
      </c>
      <c r="F86" s="9">
        <v>2</v>
      </c>
      <c r="G86" s="9">
        <v>2</v>
      </c>
      <c r="H86" s="7"/>
      <c r="I86" s="8"/>
      <c r="J86" s="8"/>
      <c r="K86" s="9"/>
      <c r="L86" s="9"/>
      <c r="M86" s="7"/>
      <c r="N86" s="8"/>
      <c r="O86" s="8"/>
      <c r="P86" s="9"/>
      <c r="Q86" s="9"/>
      <c r="R86" s="10"/>
      <c r="S86" s="11"/>
      <c r="T86" s="11"/>
      <c r="U86" s="9"/>
      <c r="V86" s="9"/>
      <c r="W86" s="7"/>
      <c r="X86" s="7"/>
      <c r="Y86" s="7"/>
      <c r="Z86" s="9"/>
      <c r="AA86" s="9"/>
      <c r="AB86" s="7"/>
      <c r="AC86" s="6"/>
      <c r="AD86" s="6"/>
      <c r="AE86" s="9"/>
      <c r="AF86" s="9"/>
      <c r="AG86" s="7"/>
      <c r="AH86" s="8"/>
      <c r="AI86" s="7"/>
      <c r="AJ86" s="9"/>
      <c r="AK86" s="9"/>
      <c r="AM86" s="9">
        <f t="shared" ref="AM86:AM87" si="7">AJ86+AE86+Z86+U86+P86+K86+F86</f>
        <v>2</v>
      </c>
      <c r="AN86" s="9">
        <f t="shared" ref="AN86:AN87" si="8">AK86+AF86+AA86+V86+Q86+L86+G86</f>
        <v>2</v>
      </c>
    </row>
    <row r="87" spans="1:40" s="30" customFormat="1">
      <c r="A87" s="1"/>
      <c r="B87" s="15" t="s">
        <v>298</v>
      </c>
      <c r="C87" s="32">
        <v>0.54166666666666663</v>
      </c>
      <c r="D87" s="33"/>
      <c r="E87" s="33"/>
      <c r="F87" s="34">
        <v>0</v>
      </c>
      <c r="G87" s="34">
        <v>0</v>
      </c>
      <c r="H87" s="32"/>
      <c r="I87" s="33"/>
      <c r="J87" s="33"/>
      <c r="K87" s="34"/>
      <c r="L87" s="34"/>
      <c r="M87" s="32"/>
      <c r="N87" s="33"/>
      <c r="O87" s="33"/>
      <c r="P87" s="34"/>
      <c r="Q87" s="34"/>
      <c r="R87" s="35"/>
      <c r="S87" s="11"/>
      <c r="T87" s="11"/>
      <c r="U87" s="34"/>
      <c r="V87" s="34"/>
      <c r="W87" s="32"/>
      <c r="X87" s="32"/>
      <c r="Y87" s="32"/>
      <c r="Z87" s="34"/>
      <c r="AA87" s="34"/>
      <c r="AB87" s="32"/>
      <c r="AC87" s="31"/>
      <c r="AD87" s="31"/>
      <c r="AE87" s="34"/>
      <c r="AF87" s="34"/>
      <c r="AG87" s="32"/>
      <c r="AH87" s="33"/>
      <c r="AI87" s="32"/>
      <c r="AJ87" s="34"/>
      <c r="AK87" s="34"/>
      <c r="AL87" s="16"/>
      <c r="AM87" s="34">
        <f t="shared" si="7"/>
        <v>0</v>
      </c>
      <c r="AN87" s="34">
        <f t="shared" si="8"/>
        <v>0</v>
      </c>
    </row>
    <row r="88" spans="1:40">
      <c r="AL88"/>
    </row>
    <row r="89" spans="1:40">
      <c r="AL89"/>
    </row>
    <row r="90" spans="1:40">
      <c r="AL90"/>
    </row>
    <row r="91" spans="1:40">
      <c r="AL91"/>
    </row>
    <row r="92" spans="1:40">
      <c r="AL92"/>
    </row>
    <row r="93" spans="1:40">
      <c r="AL93"/>
    </row>
    <row r="94" spans="1:40">
      <c r="AL94"/>
    </row>
    <row r="95" spans="1:40">
      <c r="AL95"/>
    </row>
    <row r="96" spans="1:40">
      <c r="AL96"/>
    </row>
    <row r="97" spans="38:38">
      <c r="AL97"/>
    </row>
    <row r="98" spans="38:38">
      <c r="AL98"/>
    </row>
    <row r="99" spans="38:38">
      <c r="AL99"/>
    </row>
    <row r="100" spans="38:38">
      <c r="AL100"/>
    </row>
    <row r="101" spans="38:38">
      <c r="AL101"/>
    </row>
    <row r="102" spans="38:38">
      <c r="AL102"/>
    </row>
    <row r="103" spans="38:38">
      <c r="AL103"/>
    </row>
    <row r="104" spans="38:38">
      <c r="AL104"/>
    </row>
    <row r="105" spans="38:38">
      <c r="AL105"/>
    </row>
    <row r="106" spans="38:38">
      <c r="AL106"/>
    </row>
    <row r="107" spans="38:38">
      <c r="AL107"/>
    </row>
    <row r="108" spans="38:38">
      <c r="AL108"/>
    </row>
    <row r="109" spans="38:38">
      <c r="AL109"/>
    </row>
    <row r="110" spans="38:38">
      <c r="AL110"/>
    </row>
    <row r="111" spans="38:38">
      <c r="AL111"/>
    </row>
    <row r="112" spans="38:38">
      <c r="AL112"/>
    </row>
    <row r="113" spans="38:38">
      <c r="AL113"/>
    </row>
    <row r="114" spans="38:38">
      <c r="AL114"/>
    </row>
    <row r="115" spans="38:38">
      <c r="AL115"/>
    </row>
    <row r="138" spans="2:2">
      <c r="B138" t="s">
        <v>77</v>
      </c>
    </row>
    <row r="139" spans="2:2">
      <c r="B139">
        <v>1</v>
      </c>
    </row>
  </sheetData>
  <autoFilter ref="A1:B85" xr:uid="{00000000-0009-0000-0000-000001000000}">
    <sortState xmlns:xlrd2="http://schemas.microsoft.com/office/spreadsheetml/2017/richdata2" ref="A68:B68">
      <sortCondition ref="B1:B87"/>
    </sortState>
  </autoFilter>
  <mergeCells count="22">
    <mergeCell ref="D78:E78"/>
    <mergeCell ref="D71:E71"/>
    <mergeCell ref="D76:E76"/>
    <mergeCell ref="D24:E24"/>
    <mergeCell ref="D25:E25"/>
    <mergeCell ref="D55:E55"/>
    <mergeCell ref="D16:E16"/>
    <mergeCell ref="D8:E8"/>
    <mergeCell ref="D34:E34"/>
    <mergeCell ref="D77:E77"/>
    <mergeCell ref="D17:E17"/>
    <mergeCell ref="D18:E18"/>
    <mergeCell ref="D19:E19"/>
    <mergeCell ref="D20:E20"/>
    <mergeCell ref="D21:E21"/>
    <mergeCell ref="D22:E22"/>
    <mergeCell ref="D58:E58"/>
    <mergeCell ref="D44:E44"/>
    <mergeCell ref="D42:E42"/>
    <mergeCell ref="D52:E52"/>
    <mergeCell ref="D53:E53"/>
    <mergeCell ref="D69:E69"/>
  </mergeCells>
  <phoneticPr fontId="5" type="noConversion"/>
  <printOptions horizontalCentered="1" verticalCentered="1"/>
  <pageMargins left="0" right="0" top="0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85"/>
  <sheetViews>
    <sheetView rightToLeft="1" topLeftCell="B41" zoomScaleNormal="100" workbookViewId="0">
      <pane xSplit="1" topLeftCell="C1" activePane="topRight" state="frozen"/>
      <selection activeCell="AG76" sqref="AG76:AK76"/>
      <selection pane="topRight" activeCell="E61" sqref="E61"/>
    </sheetView>
  </sheetViews>
  <sheetFormatPr defaultColWidth="9" defaultRowHeight="18.75"/>
  <cols>
    <col min="1" max="1" width="4.85546875" style="1" hidden="1" customWidth="1"/>
    <col min="2" max="2" width="28.42578125" customWidth="1"/>
    <col min="3" max="3" width="15.5703125" customWidth="1"/>
    <col min="4" max="4" width="35.28515625" customWidth="1"/>
    <col min="5" max="5" width="32.7109375" customWidth="1"/>
    <col min="6" max="6" width="11.5703125" customWidth="1"/>
    <col min="7" max="7" width="12.85546875" customWidth="1"/>
    <col min="8" max="8" width="15.5703125" customWidth="1"/>
    <col min="9" max="9" width="36.5703125" customWidth="1"/>
    <col min="10" max="10" width="33.5703125" customWidth="1"/>
    <col min="11" max="11" width="11.5703125" customWidth="1"/>
    <col min="12" max="12" width="12.85546875" customWidth="1"/>
    <col min="13" max="13" width="15.5703125" customWidth="1"/>
    <col min="14" max="14" width="40.5703125" customWidth="1"/>
    <col min="15" max="15" width="29.5703125" customWidth="1"/>
    <col min="16" max="16" width="11.5703125" customWidth="1"/>
    <col min="17" max="17" width="12.85546875" customWidth="1"/>
    <col min="18" max="18" width="15.5703125" customWidth="1"/>
    <col min="19" max="19" width="38" customWidth="1"/>
    <col min="20" max="20" width="33.7109375" customWidth="1"/>
    <col min="21" max="21" width="11.5703125" customWidth="1"/>
    <col min="22" max="22" width="12.85546875" customWidth="1"/>
    <col min="23" max="23" width="12" customWidth="1"/>
    <col min="24" max="24" width="36.5703125" customWidth="1"/>
    <col min="25" max="25" width="29.5703125" customWidth="1"/>
    <col min="26" max="26" width="11.5703125" customWidth="1"/>
    <col min="27" max="27" width="12.85546875" customWidth="1"/>
    <col min="28" max="28" width="12" customWidth="1"/>
    <col min="29" max="30" width="29.5703125" customWidth="1"/>
    <col min="31" max="31" width="11.5703125" customWidth="1"/>
    <col min="32" max="32" width="12.85546875" customWidth="1"/>
    <col min="33" max="33" width="12" customWidth="1"/>
    <col min="34" max="34" width="32.7109375" customWidth="1"/>
    <col min="35" max="35" width="29.5703125" customWidth="1"/>
    <col min="36" max="36" width="11.5703125" customWidth="1"/>
    <col min="37" max="37" width="12.85546875" customWidth="1"/>
    <col min="38" max="38" width="0.85546875" style="16" customWidth="1"/>
    <col min="39" max="39" width="16.28515625" customWidth="1"/>
    <col min="40" max="40" width="17.140625" customWidth="1"/>
  </cols>
  <sheetData>
    <row r="1" spans="1:40" ht="63">
      <c r="A1" s="1" t="s">
        <v>0</v>
      </c>
      <c r="B1" s="2" t="s">
        <v>1</v>
      </c>
      <c r="C1" s="3" t="s">
        <v>2</v>
      </c>
      <c r="D1" s="4">
        <v>46147</v>
      </c>
      <c r="E1" s="4">
        <v>46147</v>
      </c>
      <c r="F1" s="5" t="s">
        <v>3</v>
      </c>
      <c r="G1" s="5" t="s">
        <v>4</v>
      </c>
      <c r="H1" s="3" t="s">
        <v>2</v>
      </c>
      <c r="I1" s="4">
        <v>46148</v>
      </c>
      <c r="J1" s="4">
        <v>46148</v>
      </c>
      <c r="K1" s="5" t="s">
        <v>3</v>
      </c>
      <c r="L1" s="5" t="s">
        <v>4</v>
      </c>
      <c r="M1" s="3" t="s">
        <v>2</v>
      </c>
      <c r="N1" s="4">
        <v>46149</v>
      </c>
      <c r="O1" s="4">
        <v>46149</v>
      </c>
      <c r="P1" s="5" t="s">
        <v>3</v>
      </c>
      <c r="Q1" s="5" t="s">
        <v>4</v>
      </c>
      <c r="R1" s="3" t="s">
        <v>2</v>
      </c>
      <c r="S1" s="4">
        <v>46150</v>
      </c>
      <c r="T1" s="4">
        <v>46150</v>
      </c>
      <c r="U1" s="5" t="s">
        <v>3</v>
      </c>
      <c r="V1" s="5" t="s">
        <v>4</v>
      </c>
      <c r="W1" s="3" t="s">
        <v>2</v>
      </c>
      <c r="X1" s="4">
        <v>46151</v>
      </c>
      <c r="Y1" s="4">
        <v>46151</v>
      </c>
      <c r="Z1" s="5" t="s">
        <v>3</v>
      </c>
      <c r="AA1" s="5" t="s">
        <v>4</v>
      </c>
      <c r="AB1" s="3" t="s">
        <v>2</v>
      </c>
      <c r="AC1" s="4">
        <v>46152</v>
      </c>
      <c r="AD1" s="4">
        <v>46152</v>
      </c>
      <c r="AE1" s="5" t="s">
        <v>3</v>
      </c>
      <c r="AF1" s="5" t="s">
        <v>4</v>
      </c>
      <c r="AG1" s="3" t="s">
        <v>2</v>
      </c>
      <c r="AH1" s="4">
        <v>46153</v>
      </c>
      <c r="AI1" s="4">
        <v>46153</v>
      </c>
      <c r="AJ1" s="5" t="s">
        <v>3</v>
      </c>
      <c r="AK1" s="5" t="s">
        <v>4</v>
      </c>
      <c r="AM1" s="3" t="s">
        <v>5</v>
      </c>
      <c r="AN1" s="5" t="s">
        <v>6</v>
      </c>
    </row>
    <row r="2" spans="1:40">
      <c r="A2" s="1">
        <v>2</v>
      </c>
      <c r="B2" s="6" t="s">
        <v>7</v>
      </c>
      <c r="C2" s="7"/>
      <c r="D2" s="8"/>
      <c r="E2" s="8"/>
      <c r="F2" s="9"/>
      <c r="G2" s="9"/>
      <c r="H2" s="7"/>
      <c r="I2" s="8"/>
      <c r="J2" s="8"/>
      <c r="K2" s="9"/>
      <c r="L2" s="9"/>
      <c r="M2" s="10"/>
      <c r="N2" s="8"/>
      <c r="O2" s="8"/>
      <c r="P2" s="9"/>
      <c r="Q2" s="9"/>
      <c r="R2" s="10"/>
      <c r="S2" s="11"/>
      <c r="T2" s="11"/>
      <c r="U2" s="14"/>
      <c r="V2" s="9"/>
      <c r="W2" s="10"/>
      <c r="X2" s="8"/>
      <c r="Y2" s="7"/>
      <c r="Z2" s="9"/>
      <c r="AA2" s="9"/>
      <c r="AB2" s="7"/>
      <c r="AC2" s="8"/>
      <c r="AD2" s="8"/>
      <c r="AE2" s="9"/>
      <c r="AF2" s="9"/>
      <c r="AG2" s="7"/>
      <c r="AH2" s="8"/>
      <c r="AI2" s="7"/>
      <c r="AJ2" s="9"/>
      <c r="AK2" s="9"/>
      <c r="AM2" s="9">
        <f>AJ2+AE2+Z2+U2+P2+K2+F2</f>
        <v>0</v>
      </c>
      <c r="AN2" s="9">
        <f>AK2+AF2+AA2+V2+Q2+L2+G2</f>
        <v>0</v>
      </c>
    </row>
    <row r="3" spans="1:40">
      <c r="A3" s="1">
        <v>3</v>
      </c>
      <c r="B3" s="6" t="s">
        <v>8</v>
      </c>
      <c r="C3" s="7"/>
      <c r="D3" s="8"/>
      <c r="E3" s="8"/>
      <c r="F3" s="9"/>
      <c r="G3" s="9"/>
      <c r="H3" s="7"/>
      <c r="I3" s="8"/>
      <c r="J3" s="8"/>
      <c r="K3" s="9"/>
      <c r="L3" s="9"/>
      <c r="M3" s="10"/>
      <c r="N3" s="8"/>
      <c r="O3" s="8"/>
      <c r="P3" s="9"/>
      <c r="Q3" s="9"/>
      <c r="R3" s="10"/>
      <c r="S3" s="11"/>
      <c r="T3" s="11"/>
      <c r="U3" s="19"/>
      <c r="V3" s="9"/>
      <c r="W3" s="10"/>
      <c r="X3" s="8"/>
      <c r="Y3" s="7"/>
      <c r="Z3" s="9"/>
      <c r="AA3" s="9"/>
      <c r="AB3" s="7"/>
      <c r="AC3" s="8"/>
      <c r="AD3" s="8"/>
      <c r="AE3" s="9"/>
      <c r="AF3" s="9"/>
      <c r="AG3" s="7"/>
      <c r="AH3" s="8"/>
      <c r="AI3" s="7"/>
      <c r="AJ3" s="9"/>
      <c r="AK3" s="9"/>
      <c r="AM3" s="9">
        <f t="shared" ref="AM3:AM66" si="0">AJ3+AE3+Z3+U3+P3+K3+F3</f>
        <v>0</v>
      </c>
      <c r="AN3" s="9">
        <f t="shared" ref="AN3:AN66" si="1">AK3+AF3+AA3+V3+Q3+L3+G3</f>
        <v>0</v>
      </c>
    </row>
    <row r="4" spans="1:40" ht="18.75" customHeight="1">
      <c r="A4" s="1">
        <v>4</v>
      </c>
      <c r="B4" s="6" t="s">
        <v>9</v>
      </c>
      <c r="C4" s="7"/>
      <c r="D4" s="8"/>
      <c r="E4" s="8"/>
      <c r="F4" s="9"/>
      <c r="G4" s="9"/>
      <c r="H4" s="7"/>
      <c r="I4" s="8"/>
      <c r="J4" s="8"/>
      <c r="K4" s="9"/>
      <c r="L4" s="9"/>
      <c r="M4" s="10"/>
      <c r="N4" s="8"/>
      <c r="O4" s="8"/>
      <c r="P4" s="9"/>
      <c r="Q4" s="9"/>
      <c r="R4" s="10"/>
      <c r="S4" s="11"/>
      <c r="T4" s="11"/>
      <c r="U4" s="19"/>
      <c r="V4" s="9"/>
      <c r="W4" s="10"/>
      <c r="X4" s="8"/>
      <c r="Y4" s="7"/>
      <c r="Z4" s="9"/>
      <c r="AA4" s="9"/>
      <c r="AB4" s="7"/>
      <c r="AC4" s="8"/>
      <c r="AD4" s="8"/>
      <c r="AE4" s="9"/>
      <c r="AF4" s="9"/>
      <c r="AG4" s="7"/>
      <c r="AH4" s="8"/>
      <c r="AI4" s="7"/>
      <c r="AJ4" s="9"/>
      <c r="AK4" s="9"/>
      <c r="AM4" s="9">
        <f t="shared" si="0"/>
        <v>0</v>
      </c>
      <c r="AN4" s="9">
        <f t="shared" si="1"/>
        <v>0</v>
      </c>
    </row>
    <row r="5" spans="1:40">
      <c r="A5" s="1">
        <v>7</v>
      </c>
      <c r="B5" s="6" t="s">
        <v>10</v>
      </c>
      <c r="C5" s="7"/>
      <c r="D5" s="8"/>
      <c r="E5" s="8"/>
      <c r="F5" s="9"/>
      <c r="G5" s="9"/>
      <c r="H5" s="7"/>
      <c r="I5" s="8"/>
      <c r="J5" s="8"/>
      <c r="K5" s="9"/>
      <c r="L5" s="9"/>
      <c r="M5" s="10"/>
      <c r="N5" s="8"/>
      <c r="O5" s="8"/>
      <c r="P5" s="9"/>
      <c r="Q5" s="9"/>
      <c r="R5" s="10"/>
      <c r="S5" s="11"/>
      <c r="T5" s="11"/>
      <c r="U5" s="19"/>
      <c r="V5" s="9"/>
      <c r="W5" s="10"/>
      <c r="X5" s="8"/>
      <c r="Y5" s="7"/>
      <c r="Z5" s="9"/>
      <c r="AA5" s="9"/>
      <c r="AB5" s="7"/>
      <c r="AC5" s="8"/>
      <c r="AD5" s="8"/>
      <c r="AE5" s="9"/>
      <c r="AF5" s="9"/>
      <c r="AG5" s="7"/>
      <c r="AH5" s="8"/>
      <c r="AI5" s="7"/>
      <c r="AJ5" s="9"/>
      <c r="AK5" s="9"/>
      <c r="AM5" s="9">
        <f t="shared" si="0"/>
        <v>0</v>
      </c>
      <c r="AN5" s="9">
        <f t="shared" si="1"/>
        <v>0</v>
      </c>
    </row>
    <row r="6" spans="1:40">
      <c r="B6" s="6" t="s">
        <v>82</v>
      </c>
      <c r="C6" s="7"/>
      <c r="D6" s="8"/>
      <c r="E6" s="8"/>
      <c r="F6" s="9"/>
      <c r="G6" s="9"/>
      <c r="H6" s="7"/>
      <c r="I6" s="8"/>
      <c r="J6" s="8"/>
      <c r="K6" s="9"/>
      <c r="L6" s="9"/>
      <c r="M6" s="10"/>
      <c r="N6" s="8"/>
      <c r="O6" s="8"/>
      <c r="P6" s="9"/>
      <c r="Q6" s="9"/>
      <c r="R6" s="10"/>
      <c r="S6" s="11"/>
      <c r="T6" s="11"/>
      <c r="U6" s="19"/>
      <c r="V6" s="9"/>
      <c r="W6" s="10"/>
      <c r="X6" s="8"/>
      <c r="Y6" s="7"/>
      <c r="Z6" s="9"/>
      <c r="AA6" s="9"/>
      <c r="AB6" s="7"/>
      <c r="AC6" s="8"/>
      <c r="AD6" s="8"/>
      <c r="AE6" s="9"/>
      <c r="AF6" s="9"/>
      <c r="AG6" s="7"/>
      <c r="AH6" s="8"/>
      <c r="AI6" s="7"/>
      <c r="AJ6" s="9"/>
      <c r="AK6" s="9"/>
      <c r="AM6" s="9">
        <f t="shared" si="0"/>
        <v>0</v>
      </c>
      <c r="AN6" s="9">
        <f t="shared" si="1"/>
        <v>0</v>
      </c>
    </row>
    <row r="7" spans="1:40">
      <c r="A7" s="1">
        <v>8</v>
      </c>
      <c r="B7" s="6" t="s">
        <v>11</v>
      </c>
      <c r="C7" s="7"/>
      <c r="D7" s="8"/>
      <c r="E7" s="8"/>
      <c r="F7" s="9"/>
      <c r="G7" s="9"/>
      <c r="H7" s="7"/>
      <c r="I7" s="8"/>
      <c r="J7" s="8"/>
      <c r="K7" s="9"/>
      <c r="L7" s="9"/>
      <c r="M7" s="10"/>
      <c r="N7" s="8"/>
      <c r="O7" s="8"/>
      <c r="P7" s="9"/>
      <c r="Q7" s="9"/>
      <c r="R7" s="10"/>
      <c r="S7" s="11"/>
      <c r="T7" s="11"/>
      <c r="U7" s="19"/>
      <c r="V7" s="9"/>
      <c r="W7" s="10"/>
      <c r="X7" s="8"/>
      <c r="Y7" s="7"/>
      <c r="Z7" s="9"/>
      <c r="AA7" s="9"/>
      <c r="AB7" s="7"/>
      <c r="AC7" s="8"/>
      <c r="AD7" s="8"/>
      <c r="AE7" s="9"/>
      <c r="AF7" s="9"/>
      <c r="AG7" s="7"/>
      <c r="AH7" s="8"/>
      <c r="AI7" s="7"/>
      <c r="AJ7" s="9"/>
      <c r="AK7" s="9"/>
      <c r="AM7" s="9">
        <f t="shared" si="0"/>
        <v>0</v>
      </c>
      <c r="AN7" s="9">
        <f t="shared" si="1"/>
        <v>0</v>
      </c>
    </row>
    <row r="8" spans="1:40">
      <c r="A8" s="1">
        <v>10</v>
      </c>
      <c r="B8" s="6" t="s">
        <v>12</v>
      </c>
      <c r="C8" s="7"/>
      <c r="D8" s="8"/>
      <c r="E8" s="8"/>
      <c r="F8" s="9"/>
      <c r="G8" s="9"/>
      <c r="H8" s="7"/>
      <c r="I8" s="8"/>
      <c r="J8" s="8"/>
      <c r="K8" s="9"/>
      <c r="L8" s="9"/>
      <c r="M8" s="10"/>
      <c r="N8" s="8"/>
      <c r="O8" s="8"/>
      <c r="P8" s="9"/>
      <c r="Q8" s="9"/>
      <c r="R8" s="10"/>
      <c r="S8" s="11"/>
      <c r="T8" s="11"/>
      <c r="U8" s="9"/>
      <c r="V8" s="9"/>
      <c r="W8" s="10"/>
      <c r="X8" s="8"/>
      <c r="Y8" s="7"/>
      <c r="Z8" s="9"/>
      <c r="AA8" s="9"/>
      <c r="AB8" s="7"/>
      <c r="AC8" s="8"/>
      <c r="AD8" s="8"/>
      <c r="AE8" s="9"/>
      <c r="AF8" s="9"/>
      <c r="AG8" s="7"/>
      <c r="AH8" s="8"/>
      <c r="AI8" s="7"/>
      <c r="AJ8" s="9"/>
      <c r="AK8" s="9"/>
      <c r="AM8" s="9">
        <f t="shared" si="0"/>
        <v>0</v>
      </c>
      <c r="AN8" s="9">
        <f t="shared" si="1"/>
        <v>0</v>
      </c>
    </row>
    <row r="9" spans="1:40">
      <c r="A9" s="1">
        <v>11</v>
      </c>
      <c r="B9" s="6" t="s">
        <v>13</v>
      </c>
      <c r="C9" s="7"/>
      <c r="D9" s="8"/>
      <c r="E9" s="8"/>
      <c r="F9" s="9"/>
      <c r="G9" s="9"/>
      <c r="H9" s="7"/>
      <c r="I9" s="8"/>
      <c r="J9" s="8"/>
      <c r="K9" s="9"/>
      <c r="L9" s="9"/>
      <c r="M9" s="10"/>
      <c r="N9" s="8"/>
      <c r="O9" s="8"/>
      <c r="P9" s="9"/>
      <c r="Q9" s="9"/>
      <c r="R9" s="10"/>
      <c r="S9" s="11"/>
      <c r="T9" s="11"/>
      <c r="U9" s="9"/>
      <c r="V9" s="9"/>
      <c r="W9" s="10"/>
      <c r="X9" s="8"/>
      <c r="Y9" s="7"/>
      <c r="Z9" s="9"/>
      <c r="AA9" s="9"/>
      <c r="AB9" s="7"/>
      <c r="AC9" s="8"/>
      <c r="AD9" s="8"/>
      <c r="AE9" s="9"/>
      <c r="AF9" s="9"/>
      <c r="AG9" s="7"/>
      <c r="AH9" s="8"/>
      <c r="AI9" s="7"/>
      <c r="AJ9" s="9"/>
      <c r="AK9" s="9"/>
      <c r="AM9" s="9">
        <f t="shared" si="0"/>
        <v>0</v>
      </c>
      <c r="AN9" s="9">
        <f t="shared" si="1"/>
        <v>0</v>
      </c>
    </row>
    <row r="10" spans="1:40">
      <c r="A10" s="1">
        <v>44</v>
      </c>
      <c r="B10" s="6" t="s">
        <v>88</v>
      </c>
      <c r="C10" s="7"/>
      <c r="D10" s="8"/>
      <c r="E10" s="8"/>
      <c r="F10" s="9"/>
      <c r="G10" s="9"/>
      <c r="H10" s="7"/>
      <c r="I10" s="8"/>
      <c r="J10" s="8"/>
      <c r="K10" s="9"/>
      <c r="L10" s="9"/>
      <c r="M10" s="10"/>
      <c r="N10" s="8"/>
      <c r="O10" s="8"/>
      <c r="P10" s="9"/>
      <c r="Q10" s="9"/>
      <c r="R10" s="10"/>
      <c r="S10" s="11"/>
      <c r="T10" s="11"/>
      <c r="U10" s="9"/>
      <c r="V10" s="9"/>
      <c r="W10" s="10"/>
      <c r="X10" s="8"/>
      <c r="Y10" s="7"/>
      <c r="Z10" s="9"/>
      <c r="AA10" s="9"/>
      <c r="AB10" s="7"/>
      <c r="AC10" s="8"/>
      <c r="AD10" s="8"/>
      <c r="AE10" s="9"/>
      <c r="AF10" s="9"/>
      <c r="AG10" s="7"/>
      <c r="AH10" s="8"/>
      <c r="AI10" s="7"/>
      <c r="AJ10" s="9"/>
      <c r="AK10" s="9"/>
      <c r="AM10" s="9">
        <f t="shared" si="0"/>
        <v>0</v>
      </c>
      <c r="AN10" s="9">
        <f t="shared" si="1"/>
        <v>0</v>
      </c>
    </row>
    <row r="11" spans="1:40" ht="18.75" customHeight="1">
      <c r="A11" s="1">
        <v>13</v>
      </c>
      <c r="B11" s="6" t="s">
        <v>73</v>
      </c>
      <c r="C11" s="7"/>
      <c r="D11" s="8"/>
      <c r="E11" s="8"/>
      <c r="F11" s="9"/>
      <c r="G11" s="9"/>
      <c r="H11" s="7"/>
      <c r="I11" s="8"/>
      <c r="J11" s="8"/>
      <c r="K11" s="9"/>
      <c r="L11" s="9"/>
      <c r="M11" s="10"/>
      <c r="N11" s="8"/>
      <c r="O11" s="8"/>
      <c r="P11" s="9"/>
      <c r="Q11" s="9"/>
      <c r="R11" s="10"/>
      <c r="S11" s="11"/>
      <c r="T11" s="11"/>
      <c r="U11" s="19"/>
      <c r="V11" s="9"/>
      <c r="W11" s="10"/>
      <c r="X11" s="8"/>
      <c r="Y11" s="7"/>
      <c r="Z11" s="9"/>
      <c r="AA11" s="9"/>
      <c r="AB11" s="7"/>
      <c r="AC11" s="8"/>
      <c r="AD11" s="8"/>
      <c r="AE11" s="9"/>
      <c r="AF11" s="9"/>
      <c r="AG11" s="7"/>
      <c r="AH11" s="8"/>
      <c r="AI11" s="7"/>
      <c r="AJ11" s="9"/>
      <c r="AK11" s="9"/>
      <c r="AM11" s="9">
        <f t="shared" si="0"/>
        <v>0</v>
      </c>
      <c r="AN11" s="9">
        <f t="shared" si="1"/>
        <v>0</v>
      </c>
    </row>
    <row r="12" spans="1:40">
      <c r="A12" s="1">
        <v>14</v>
      </c>
      <c r="B12" s="6" t="s">
        <v>14</v>
      </c>
      <c r="C12" s="7"/>
      <c r="D12" s="8"/>
      <c r="E12" s="8"/>
      <c r="F12" s="9"/>
      <c r="G12" s="9"/>
      <c r="H12" s="7"/>
      <c r="I12" s="8"/>
      <c r="J12" s="8"/>
      <c r="K12" s="9"/>
      <c r="L12" s="9"/>
      <c r="M12" s="10"/>
      <c r="N12" s="8"/>
      <c r="O12" s="8"/>
      <c r="P12" s="9"/>
      <c r="Q12" s="9"/>
      <c r="R12" s="10"/>
      <c r="S12" s="11"/>
      <c r="T12" s="11"/>
      <c r="U12" s="9"/>
      <c r="V12" s="9"/>
      <c r="W12" s="10"/>
      <c r="X12" s="8"/>
      <c r="Y12" s="7"/>
      <c r="Z12" s="9"/>
      <c r="AA12" s="9"/>
      <c r="AB12" s="7"/>
      <c r="AC12" s="8"/>
      <c r="AD12" s="8"/>
      <c r="AE12" s="9"/>
      <c r="AF12" s="9"/>
      <c r="AG12" s="7"/>
      <c r="AH12" s="8"/>
      <c r="AI12" s="7"/>
      <c r="AJ12" s="9"/>
      <c r="AK12" s="9"/>
      <c r="AM12" s="9">
        <f t="shared" si="0"/>
        <v>0</v>
      </c>
      <c r="AN12" s="9">
        <f t="shared" si="1"/>
        <v>0</v>
      </c>
    </row>
    <row r="13" spans="1:40">
      <c r="A13" s="1">
        <v>17</v>
      </c>
      <c r="B13" s="6" t="s">
        <v>15</v>
      </c>
      <c r="C13" s="7"/>
      <c r="D13" s="8"/>
      <c r="E13" s="8"/>
      <c r="F13" s="9"/>
      <c r="G13" s="9"/>
      <c r="H13" s="7"/>
      <c r="I13" s="8"/>
      <c r="J13" s="8"/>
      <c r="K13" s="9"/>
      <c r="L13" s="9"/>
      <c r="M13" s="10"/>
      <c r="N13" s="8"/>
      <c r="O13" s="8"/>
      <c r="P13" s="9"/>
      <c r="Q13" s="9"/>
      <c r="R13" s="10"/>
      <c r="S13" s="11"/>
      <c r="T13" s="11"/>
      <c r="U13" s="9"/>
      <c r="V13" s="9"/>
      <c r="W13" s="10"/>
      <c r="X13" s="8"/>
      <c r="Y13" s="7"/>
      <c r="Z13" s="9"/>
      <c r="AA13" s="9"/>
      <c r="AB13" s="7"/>
      <c r="AC13" s="8"/>
      <c r="AD13" s="8"/>
      <c r="AE13" s="9"/>
      <c r="AF13" s="9"/>
      <c r="AG13" s="7"/>
      <c r="AH13" s="8"/>
      <c r="AI13" s="7"/>
      <c r="AJ13" s="9"/>
      <c r="AK13" s="9"/>
      <c r="AM13" s="9">
        <f t="shared" si="0"/>
        <v>0</v>
      </c>
      <c r="AN13" s="9">
        <f t="shared" si="1"/>
        <v>0</v>
      </c>
    </row>
    <row r="14" spans="1:40">
      <c r="A14" s="1">
        <v>18</v>
      </c>
      <c r="B14" s="6" t="s">
        <v>16</v>
      </c>
      <c r="C14" s="7"/>
      <c r="D14" s="8"/>
      <c r="E14" s="8"/>
      <c r="F14" s="9"/>
      <c r="G14" s="9"/>
      <c r="H14" s="7"/>
      <c r="I14" s="8"/>
      <c r="J14" s="8"/>
      <c r="K14" s="9"/>
      <c r="L14" s="9"/>
      <c r="M14" s="10"/>
      <c r="N14" s="8"/>
      <c r="O14" s="8"/>
      <c r="P14" s="9"/>
      <c r="Q14" s="9"/>
      <c r="R14" s="10"/>
      <c r="S14" s="11"/>
      <c r="T14" s="11"/>
      <c r="U14" s="9"/>
      <c r="V14" s="9"/>
      <c r="W14" s="10"/>
      <c r="X14" s="8"/>
      <c r="Y14" s="7"/>
      <c r="Z14" s="9"/>
      <c r="AA14" s="9"/>
      <c r="AB14" s="7"/>
      <c r="AC14" s="8"/>
      <c r="AD14" s="8"/>
      <c r="AE14" s="9"/>
      <c r="AF14" s="9"/>
      <c r="AG14" s="7"/>
      <c r="AH14" s="8"/>
      <c r="AI14" s="7"/>
      <c r="AJ14" s="9"/>
      <c r="AK14" s="9"/>
      <c r="AM14" s="9">
        <f t="shared" si="0"/>
        <v>0</v>
      </c>
      <c r="AN14" s="9">
        <f t="shared" si="1"/>
        <v>0</v>
      </c>
    </row>
    <row r="15" spans="1:40">
      <c r="B15" s="6" t="s">
        <v>17</v>
      </c>
      <c r="C15" s="7"/>
      <c r="D15" s="8"/>
      <c r="E15" s="8"/>
      <c r="F15" s="9"/>
      <c r="G15" s="9"/>
      <c r="H15" s="7"/>
      <c r="I15" s="8"/>
      <c r="J15" s="8"/>
      <c r="K15" s="9"/>
      <c r="L15" s="9"/>
      <c r="M15" s="10"/>
      <c r="N15" s="8"/>
      <c r="O15" s="8"/>
      <c r="P15" s="9"/>
      <c r="Q15" s="9"/>
      <c r="R15" s="10"/>
      <c r="S15" s="11"/>
      <c r="T15" s="11"/>
      <c r="U15" s="9"/>
      <c r="V15" s="9"/>
      <c r="W15" s="10"/>
      <c r="X15" s="8"/>
      <c r="Y15" s="7"/>
      <c r="Z15" s="9"/>
      <c r="AA15" s="9"/>
      <c r="AB15" s="7"/>
      <c r="AC15" s="8"/>
      <c r="AD15" s="8"/>
      <c r="AE15" s="9"/>
      <c r="AF15" s="9"/>
      <c r="AG15" s="7"/>
      <c r="AH15" s="8"/>
      <c r="AI15" s="7"/>
      <c r="AJ15" s="9"/>
      <c r="AK15" s="9"/>
      <c r="AM15" s="9">
        <f t="shared" si="0"/>
        <v>0</v>
      </c>
      <c r="AN15" s="9">
        <f t="shared" si="1"/>
        <v>0</v>
      </c>
    </row>
    <row r="16" spans="1:40">
      <c r="A16" s="1">
        <v>19</v>
      </c>
      <c r="B16" s="6" t="s">
        <v>18</v>
      </c>
      <c r="C16" s="7"/>
      <c r="D16" s="8"/>
      <c r="E16" s="8"/>
      <c r="F16" s="9"/>
      <c r="G16" s="9"/>
      <c r="H16" s="7"/>
      <c r="I16" s="8"/>
      <c r="J16" s="8"/>
      <c r="K16" s="9"/>
      <c r="L16" s="9"/>
      <c r="M16" s="10"/>
      <c r="N16" s="8"/>
      <c r="O16" s="8"/>
      <c r="P16" s="9"/>
      <c r="Q16" s="9"/>
      <c r="R16" s="10"/>
      <c r="S16" s="11"/>
      <c r="T16" s="11"/>
      <c r="U16" s="9"/>
      <c r="V16" s="9"/>
      <c r="W16" s="10"/>
      <c r="X16" s="8"/>
      <c r="Y16" s="7"/>
      <c r="Z16" s="9"/>
      <c r="AA16" s="9"/>
      <c r="AB16" s="7"/>
      <c r="AC16" s="8"/>
      <c r="AD16" s="8"/>
      <c r="AE16" s="9"/>
      <c r="AF16" s="9"/>
      <c r="AG16" s="7"/>
      <c r="AH16" s="8"/>
      <c r="AI16" s="7"/>
      <c r="AJ16" s="9"/>
      <c r="AK16" s="9"/>
      <c r="AM16" s="9">
        <f t="shared" si="0"/>
        <v>0</v>
      </c>
      <c r="AN16" s="9">
        <f t="shared" si="1"/>
        <v>0</v>
      </c>
    </row>
    <row r="17" spans="1:40" ht="18.75" customHeight="1">
      <c r="A17" s="1">
        <v>20</v>
      </c>
      <c r="B17" s="6" t="s">
        <v>19</v>
      </c>
      <c r="C17" s="7"/>
      <c r="D17" s="8"/>
      <c r="E17" s="8"/>
      <c r="F17" s="9"/>
      <c r="G17" s="9"/>
      <c r="H17" s="7"/>
      <c r="I17" s="8"/>
      <c r="J17" s="8"/>
      <c r="K17" s="9"/>
      <c r="L17" s="9"/>
      <c r="M17" s="10"/>
      <c r="N17" s="8"/>
      <c r="O17" s="8"/>
      <c r="P17" s="9"/>
      <c r="Q17" s="9"/>
      <c r="R17" s="10"/>
      <c r="S17" s="11"/>
      <c r="T17" s="11"/>
      <c r="U17" s="9"/>
      <c r="V17" s="9"/>
      <c r="W17" s="10"/>
      <c r="X17" s="8"/>
      <c r="Y17" s="7"/>
      <c r="Z17" s="9"/>
      <c r="AA17" s="9"/>
      <c r="AB17" s="7"/>
      <c r="AC17" s="8"/>
      <c r="AD17" s="8"/>
      <c r="AE17" s="9"/>
      <c r="AF17" s="9"/>
      <c r="AG17" s="7"/>
      <c r="AH17" s="8"/>
      <c r="AI17" s="7"/>
      <c r="AJ17" s="9"/>
      <c r="AK17" s="9"/>
      <c r="AM17" s="9">
        <f t="shared" si="0"/>
        <v>0</v>
      </c>
      <c r="AN17" s="9">
        <f t="shared" si="1"/>
        <v>0</v>
      </c>
    </row>
    <row r="18" spans="1:40">
      <c r="A18" s="1">
        <v>22</v>
      </c>
      <c r="B18" s="6" t="s">
        <v>20</v>
      </c>
      <c r="C18" s="7"/>
      <c r="D18" s="8"/>
      <c r="E18" s="8"/>
      <c r="F18" s="9"/>
      <c r="G18" s="9"/>
      <c r="H18" s="7"/>
      <c r="I18" s="8"/>
      <c r="J18" s="8"/>
      <c r="K18" s="9"/>
      <c r="L18" s="9"/>
      <c r="M18" s="10"/>
      <c r="N18" s="8"/>
      <c r="O18" s="8"/>
      <c r="P18" s="9"/>
      <c r="Q18" s="9"/>
      <c r="R18" s="10"/>
      <c r="S18" s="11"/>
      <c r="T18" s="11"/>
      <c r="U18" s="9"/>
      <c r="V18" s="9"/>
      <c r="W18" s="10"/>
      <c r="X18" s="8"/>
      <c r="Y18" s="7"/>
      <c r="Z18" s="9"/>
      <c r="AA18" s="9"/>
      <c r="AB18" s="7"/>
      <c r="AC18" s="8"/>
      <c r="AD18" s="8"/>
      <c r="AE18" s="9"/>
      <c r="AF18" s="9"/>
      <c r="AG18" s="7"/>
      <c r="AH18" s="8"/>
      <c r="AI18" s="7"/>
      <c r="AJ18" s="9"/>
      <c r="AK18" s="9"/>
      <c r="AM18" s="9">
        <f t="shared" si="0"/>
        <v>0</v>
      </c>
      <c r="AN18" s="9">
        <f t="shared" si="1"/>
        <v>0</v>
      </c>
    </row>
    <row r="19" spans="1:40">
      <c r="A19" s="1">
        <v>23</v>
      </c>
      <c r="B19" s="6" t="s">
        <v>21</v>
      </c>
      <c r="C19" s="7"/>
      <c r="D19" s="8"/>
      <c r="E19" s="8"/>
      <c r="F19" s="9"/>
      <c r="G19" s="9"/>
      <c r="H19" s="7"/>
      <c r="I19" s="8"/>
      <c r="J19" s="8"/>
      <c r="K19" s="9"/>
      <c r="L19" s="9"/>
      <c r="M19" s="10"/>
      <c r="N19" s="8"/>
      <c r="O19" s="8"/>
      <c r="P19" s="9"/>
      <c r="Q19" s="9"/>
      <c r="R19" s="10"/>
      <c r="S19" s="11"/>
      <c r="T19" s="11"/>
      <c r="U19" s="9"/>
      <c r="V19" s="9"/>
      <c r="W19" s="10"/>
      <c r="X19" s="8"/>
      <c r="Y19" s="7"/>
      <c r="Z19" s="9"/>
      <c r="AA19" s="9"/>
      <c r="AB19" s="7"/>
      <c r="AC19" s="8"/>
      <c r="AD19" s="8"/>
      <c r="AE19" s="9"/>
      <c r="AF19" s="9"/>
      <c r="AG19" s="7"/>
      <c r="AH19" s="8"/>
      <c r="AI19" s="7"/>
      <c r="AJ19" s="9"/>
      <c r="AK19" s="9"/>
      <c r="AM19" s="9">
        <f t="shared" si="0"/>
        <v>0</v>
      </c>
      <c r="AN19" s="9">
        <f t="shared" si="1"/>
        <v>0</v>
      </c>
    </row>
    <row r="20" spans="1:40">
      <c r="B20" s="6" t="s">
        <v>22</v>
      </c>
      <c r="C20" s="7"/>
      <c r="D20" s="8"/>
      <c r="E20" s="8"/>
      <c r="F20" s="9"/>
      <c r="G20" s="9"/>
      <c r="H20" s="7"/>
      <c r="I20" s="8"/>
      <c r="J20" s="8"/>
      <c r="K20" s="9"/>
      <c r="L20" s="9"/>
      <c r="M20" s="10"/>
      <c r="N20" s="8"/>
      <c r="O20" s="8"/>
      <c r="P20" s="9"/>
      <c r="Q20" s="9"/>
      <c r="R20" s="10"/>
      <c r="S20" s="11"/>
      <c r="T20" s="11"/>
      <c r="U20" s="9"/>
      <c r="V20" s="9"/>
      <c r="W20" s="10"/>
      <c r="X20" s="8"/>
      <c r="Y20" s="7"/>
      <c r="Z20" s="9"/>
      <c r="AA20" s="9"/>
      <c r="AB20" s="7"/>
      <c r="AC20" s="8"/>
      <c r="AD20" s="8"/>
      <c r="AE20" s="9"/>
      <c r="AF20" s="9"/>
      <c r="AG20" s="7"/>
      <c r="AH20" s="8"/>
      <c r="AI20" s="7"/>
      <c r="AJ20" s="9"/>
      <c r="AK20" s="9"/>
      <c r="AM20" s="9">
        <f t="shared" si="0"/>
        <v>0</v>
      </c>
      <c r="AN20" s="9">
        <f t="shared" si="1"/>
        <v>0</v>
      </c>
    </row>
    <row r="21" spans="1:40">
      <c r="A21" s="1">
        <v>24</v>
      </c>
      <c r="B21" s="6" t="s">
        <v>23</v>
      </c>
      <c r="C21" s="7"/>
      <c r="D21" s="8"/>
      <c r="E21" s="8"/>
      <c r="F21" s="9"/>
      <c r="G21" s="9"/>
      <c r="H21" s="7"/>
      <c r="I21" s="8"/>
      <c r="J21" s="8"/>
      <c r="K21" s="9"/>
      <c r="L21" s="9"/>
      <c r="M21" s="10"/>
      <c r="N21" s="8"/>
      <c r="O21" s="8"/>
      <c r="P21" s="9"/>
      <c r="Q21" s="9"/>
      <c r="R21" s="10"/>
      <c r="S21" s="11"/>
      <c r="T21" s="11"/>
      <c r="U21" s="9"/>
      <c r="V21" s="9"/>
      <c r="W21" s="10"/>
      <c r="X21" s="8"/>
      <c r="Y21" s="7"/>
      <c r="Z21" s="9"/>
      <c r="AA21" s="9"/>
      <c r="AB21" s="7"/>
      <c r="AC21" s="8"/>
      <c r="AD21" s="8"/>
      <c r="AE21" s="9"/>
      <c r="AF21" s="9"/>
      <c r="AG21" s="7"/>
      <c r="AH21" s="8"/>
      <c r="AI21" s="7"/>
      <c r="AJ21" s="9"/>
      <c r="AK21" s="9"/>
      <c r="AM21" s="9">
        <f t="shared" si="0"/>
        <v>0</v>
      </c>
      <c r="AN21" s="9">
        <f t="shared" si="1"/>
        <v>0</v>
      </c>
    </row>
    <row r="22" spans="1:40">
      <c r="A22" s="1">
        <v>25</v>
      </c>
      <c r="B22" s="6" t="s">
        <v>59</v>
      </c>
      <c r="C22" s="7"/>
      <c r="D22" s="8"/>
      <c r="E22" s="8"/>
      <c r="F22" s="9"/>
      <c r="G22" s="9"/>
      <c r="H22" s="7"/>
      <c r="I22" s="8"/>
      <c r="J22" s="8"/>
      <c r="K22" s="9"/>
      <c r="L22" s="9"/>
      <c r="M22" s="10"/>
      <c r="N22" s="8"/>
      <c r="O22" s="8"/>
      <c r="P22" s="9"/>
      <c r="Q22" s="9"/>
      <c r="R22" s="10"/>
      <c r="S22" s="11"/>
      <c r="T22" s="11"/>
      <c r="U22" s="9"/>
      <c r="V22" s="9"/>
      <c r="W22" s="10"/>
      <c r="X22" s="8"/>
      <c r="Y22" s="7"/>
      <c r="Z22" s="9"/>
      <c r="AA22" s="9"/>
      <c r="AB22" s="7"/>
      <c r="AC22" s="8"/>
      <c r="AD22" s="8"/>
      <c r="AE22" s="9"/>
      <c r="AF22" s="9"/>
      <c r="AG22" s="7"/>
      <c r="AH22" s="8"/>
      <c r="AI22" s="7"/>
      <c r="AJ22" s="9"/>
      <c r="AK22" s="9"/>
      <c r="AM22" s="9">
        <f t="shared" si="0"/>
        <v>0</v>
      </c>
      <c r="AN22" s="9">
        <f t="shared" si="1"/>
        <v>0</v>
      </c>
    </row>
    <row r="23" spans="1:40">
      <c r="A23" s="1">
        <v>28</v>
      </c>
      <c r="B23" s="6" t="s">
        <v>24</v>
      </c>
      <c r="C23" s="7"/>
      <c r="D23" s="8"/>
      <c r="E23" s="8"/>
      <c r="F23" s="9"/>
      <c r="G23" s="9"/>
      <c r="H23" s="7"/>
      <c r="I23" s="8"/>
      <c r="J23" s="8"/>
      <c r="K23" s="9"/>
      <c r="L23" s="9"/>
      <c r="M23" s="10"/>
      <c r="N23" s="8"/>
      <c r="O23" s="8"/>
      <c r="P23" s="9"/>
      <c r="Q23" s="9"/>
      <c r="R23" s="10"/>
      <c r="S23" s="11"/>
      <c r="T23" s="11"/>
      <c r="U23" s="9"/>
      <c r="V23" s="9"/>
      <c r="W23" s="10"/>
      <c r="X23" s="8"/>
      <c r="Y23" s="7"/>
      <c r="Z23" s="9"/>
      <c r="AA23" s="9"/>
      <c r="AB23" s="7"/>
      <c r="AC23" s="8"/>
      <c r="AD23" s="8"/>
      <c r="AE23" s="9"/>
      <c r="AF23" s="9"/>
      <c r="AG23" s="7"/>
      <c r="AH23" s="8"/>
      <c r="AI23" s="7"/>
      <c r="AJ23" s="9"/>
      <c r="AK23" s="9"/>
      <c r="AM23" s="9">
        <f t="shared" si="0"/>
        <v>0</v>
      </c>
      <c r="AN23" s="9">
        <f t="shared" si="1"/>
        <v>0</v>
      </c>
    </row>
    <row r="24" spans="1:40">
      <c r="A24" s="1">
        <v>33</v>
      </c>
      <c r="B24" s="6" t="s">
        <v>25</v>
      </c>
      <c r="C24" s="7"/>
      <c r="D24" s="8"/>
      <c r="E24" s="8"/>
      <c r="F24" s="9"/>
      <c r="G24" s="9"/>
      <c r="H24" s="7"/>
      <c r="I24" s="8"/>
      <c r="J24" s="8"/>
      <c r="K24" s="9"/>
      <c r="L24" s="9"/>
      <c r="M24" s="10"/>
      <c r="N24" s="8"/>
      <c r="O24" s="8"/>
      <c r="P24" s="9"/>
      <c r="Q24" s="9"/>
      <c r="R24" s="10"/>
      <c r="S24" s="11"/>
      <c r="T24" s="11"/>
      <c r="U24" s="19"/>
      <c r="V24" s="9"/>
      <c r="W24" s="10"/>
      <c r="X24" s="8"/>
      <c r="Y24" s="7"/>
      <c r="Z24" s="9"/>
      <c r="AA24" s="9"/>
      <c r="AB24" s="7"/>
      <c r="AC24" s="8"/>
      <c r="AD24" s="8"/>
      <c r="AE24" s="9"/>
      <c r="AF24" s="9"/>
      <c r="AG24" s="7"/>
      <c r="AH24" s="8"/>
      <c r="AI24" s="7"/>
      <c r="AJ24" s="9"/>
      <c r="AK24" s="9"/>
      <c r="AM24" s="9">
        <f t="shared" si="0"/>
        <v>0</v>
      </c>
      <c r="AN24" s="9">
        <f t="shared" si="1"/>
        <v>0</v>
      </c>
    </row>
    <row r="25" spans="1:40">
      <c r="A25" s="1">
        <v>35</v>
      </c>
      <c r="B25" s="6" t="s">
        <v>26</v>
      </c>
      <c r="C25" s="7"/>
      <c r="D25" s="8"/>
      <c r="E25" s="8"/>
      <c r="F25" s="9"/>
      <c r="G25" s="9"/>
      <c r="H25" s="7"/>
      <c r="I25" s="8"/>
      <c r="J25" s="8"/>
      <c r="K25" s="9"/>
      <c r="L25" s="9"/>
      <c r="M25" s="10"/>
      <c r="N25" s="8"/>
      <c r="O25" s="8"/>
      <c r="P25" s="9"/>
      <c r="Q25" s="9"/>
      <c r="R25" s="10"/>
      <c r="S25" s="11"/>
      <c r="T25" s="11"/>
      <c r="U25" s="9"/>
      <c r="V25" s="9"/>
      <c r="W25" s="10"/>
      <c r="X25" s="8"/>
      <c r="Y25" s="7"/>
      <c r="Z25" s="9"/>
      <c r="AA25" s="9"/>
      <c r="AB25" s="7"/>
      <c r="AC25" s="8"/>
      <c r="AD25" s="8"/>
      <c r="AE25" s="9"/>
      <c r="AF25" s="9"/>
      <c r="AG25" s="7"/>
      <c r="AH25" s="8"/>
      <c r="AI25" s="7"/>
      <c r="AJ25" s="9"/>
      <c r="AK25" s="9"/>
      <c r="AM25" s="9">
        <f t="shared" si="0"/>
        <v>0</v>
      </c>
      <c r="AN25" s="9">
        <f t="shared" si="1"/>
        <v>0</v>
      </c>
    </row>
    <row r="26" spans="1:40">
      <c r="B26" s="6" t="s">
        <v>28</v>
      </c>
      <c r="C26" s="7"/>
      <c r="D26" s="8"/>
      <c r="E26" s="8"/>
      <c r="F26" s="9"/>
      <c r="G26" s="9"/>
      <c r="H26" s="7"/>
      <c r="I26" s="8"/>
      <c r="J26" s="8"/>
      <c r="K26" s="9"/>
      <c r="L26" s="9"/>
      <c r="M26" s="10"/>
      <c r="N26" s="8"/>
      <c r="O26" s="8"/>
      <c r="P26" s="9"/>
      <c r="Q26" s="9"/>
      <c r="R26" s="10"/>
      <c r="S26" s="11"/>
      <c r="T26" s="11"/>
      <c r="U26" s="9"/>
      <c r="V26" s="9"/>
      <c r="W26" s="10"/>
      <c r="X26" s="8"/>
      <c r="Y26" s="7"/>
      <c r="Z26" s="9"/>
      <c r="AA26" s="9"/>
      <c r="AB26" s="7"/>
      <c r="AC26" s="8"/>
      <c r="AD26" s="8"/>
      <c r="AE26" s="9"/>
      <c r="AF26" s="9"/>
      <c r="AG26" s="7"/>
      <c r="AH26" s="8"/>
      <c r="AI26" s="7"/>
      <c r="AJ26" s="9"/>
      <c r="AK26" s="9"/>
      <c r="AM26" s="9">
        <f t="shared" si="0"/>
        <v>0</v>
      </c>
      <c r="AN26" s="9">
        <f t="shared" si="1"/>
        <v>0</v>
      </c>
    </row>
    <row r="27" spans="1:40">
      <c r="B27" s="6" t="s">
        <v>29</v>
      </c>
      <c r="C27" s="7"/>
      <c r="D27" s="8"/>
      <c r="E27" s="8"/>
      <c r="F27" s="9"/>
      <c r="G27" s="9"/>
      <c r="H27" s="7"/>
      <c r="I27" s="8"/>
      <c r="J27" s="8"/>
      <c r="K27" s="9"/>
      <c r="L27" s="9"/>
      <c r="M27" s="10"/>
      <c r="N27" s="8"/>
      <c r="O27" s="8"/>
      <c r="P27" s="9"/>
      <c r="Q27" s="9"/>
      <c r="R27" s="10"/>
      <c r="S27" s="11"/>
      <c r="T27" s="11"/>
      <c r="U27" s="9"/>
      <c r="V27" s="9"/>
      <c r="W27" s="10"/>
      <c r="X27" s="8"/>
      <c r="Y27" s="7"/>
      <c r="Z27" s="9"/>
      <c r="AA27" s="9"/>
      <c r="AB27" s="7"/>
      <c r="AC27" s="8"/>
      <c r="AD27" s="8"/>
      <c r="AE27" s="9"/>
      <c r="AF27" s="9"/>
      <c r="AG27" s="7"/>
      <c r="AH27" s="8"/>
      <c r="AI27" s="7"/>
      <c r="AJ27" s="9"/>
      <c r="AK27" s="9"/>
      <c r="AM27" s="9">
        <f t="shared" si="0"/>
        <v>0</v>
      </c>
      <c r="AN27" s="9">
        <f t="shared" si="1"/>
        <v>0</v>
      </c>
    </row>
    <row r="28" spans="1:40">
      <c r="B28" s="6" t="s">
        <v>30</v>
      </c>
      <c r="C28" s="7"/>
      <c r="D28" s="8"/>
      <c r="E28" s="8"/>
      <c r="F28" s="9"/>
      <c r="G28" s="9"/>
      <c r="H28" s="7"/>
      <c r="I28" s="8"/>
      <c r="J28" s="8"/>
      <c r="K28" s="9"/>
      <c r="L28" s="9"/>
      <c r="M28" s="10"/>
      <c r="N28" s="8"/>
      <c r="O28" s="8"/>
      <c r="P28" s="9"/>
      <c r="Q28" s="9"/>
      <c r="R28" s="10"/>
      <c r="S28" s="11"/>
      <c r="T28" s="11"/>
      <c r="U28" s="9"/>
      <c r="V28" s="9"/>
      <c r="W28" s="10"/>
      <c r="X28" s="8"/>
      <c r="Y28" s="7"/>
      <c r="Z28" s="9"/>
      <c r="AA28" s="9"/>
      <c r="AB28" s="7"/>
      <c r="AC28" s="8"/>
      <c r="AD28" s="8"/>
      <c r="AE28" s="9"/>
      <c r="AF28" s="9"/>
      <c r="AG28" s="7"/>
      <c r="AH28" s="8"/>
      <c r="AI28" s="7"/>
      <c r="AJ28" s="9"/>
      <c r="AK28" s="9"/>
      <c r="AM28" s="9">
        <f t="shared" si="0"/>
        <v>0</v>
      </c>
      <c r="AN28" s="9">
        <f t="shared" si="1"/>
        <v>0</v>
      </c>
    </row>
    <row r="29" spans="1:40">
      <c r="B29" s="6" t="s">
        <v>31</v>
      </c>
      <c r="C29" s="7"/>
      <c r="D29" s="8"/>
      <c r="E29" s="8"/>
      <c r="F29" s="9"/>
      <c r="G29" s="9"/>
      <c r="H29" s="7"/>
      <c r="I29" s="8"/>
      <c r="J29" s="8"/>
      <c r="K29" s="9"/>
      <c r="L29" s="9"/>
      <c r="M29" s="10"/>
      <c r="N29" s="8"/>
      <c r="O29" s="8"/>
      <c r="P29" s="9"/>
      <c r="Q29" s="9"/>
      <c r="R29" s="10"/>
      <c r="S29" s="11"/>
      <c r="T29" s="11"/>
      <c r="U29" s="9"/>
      <c r="V29" s="9"/>
      <c r="W29" s="10"/>
      <c r="X29" s="8"/>
      <c r="Y29" s="7"/>
      <c r="Z29" s="9"/>
      <c r="AA29" s="9"/>
      <c r="AB29" s="7"/>
      <c r="AC29" s="8"/>
      <c r="AD29" s="8"/>
      <c r="AE29" s="9"/>
      <c r="AF29" s="9"/>
      <c r="AG29" s="7"/>
      <c r="AH29" s="8"/>
      <c r="AI29" s="7"/>
      <c r="AJ29" s="9"/>
      <c r="AK29" s="9"/>
      <c r="AM29" s="9">
        <f t="shared" si="0"/>
        <v>0</v>
      </c>
      <c r="AN29" s="9">
        <f t="shared" si="1"/>
        <v>0</v>
      </c>
    </row>
    <row r="30" spans="1:40">
      <c r="A30" s="1">
        <v>55</v>
      </c>
      <c r="B30" s="6" t="s">
        <v>32</v>
      </c>
      <c r="C30" s="7"/>
      <c r="D30" s="8"/>
      <c r="E30" s="8"/>
      <c r="F30" s="9"/>
      <c r="G30" s="9"/>
      <c r="H30" s="7"/>
      <c r="I30" s="8"/>
      <c r="J30" s="8"/>
      <c r="K30" s="9"/>
      <c r="L30" s="9"/>
      <c r="M30" s="10"/>
      <c r="N30" s="8"/>
      <c r="O30" s="8"/>
      <c r="P30" s="9"/>
      <c r="Q30" s="9"/>
      <c r="R30" s="10"/>
      <c r="S30" s="11"/>
      <c r="T30" s="11"/>
      <c r="U30" s="9"/>
      <c r="V30" s="9"/>
      <c r="W30" s="10"/>
      <c r="X30" s="8"/>
      <c r="Y30" s="7"/>
      <c r="Z30" s="9"/>
      <c r="AA30" s="9"/>
      <c r="AB30" s="7"/>
      <c r="AC30" s="8"/>
      <c r="AD30" s="8"/>
      <c r="AE30" s="9"/>
      <c r="AF30" s="9"/>
      <c r="AG30" s="7"/>
      <c r="AH30" s="8"/>
      <c r="AI30" s="7"/>
      <c r="AJ30" s="9"/>
      <c r="AK30" s="9"/>
      <c r="AM30" s="9">
        <f t="shared" si="0"/>
        <v>0</v>
      </c>
      <c r="AN30" s="9">
        <f t="shared" si="1"/>
        <v>0</v>
      </c>
    </row>
    <row r="31" spans="1:40">
      <c r="A31" s="1">
        <v>37</v>
      </c>
      <c r="B31" s="6" t="s">
        <v>55</v>
      </c>
      <c r="C31" s="7"/>
      <c r="D31" s="8"/>
      <c r="E31" s="8"/>
      <c r="F31" s="9"/>
      <c r="G31" s="9"/>
      <c r="H31" s="7"/>
      <c r="I31" s="8"/>
      <c r="J31" s="8"/>
      <c r="K31" s="9"/>
      <c r="L31" s="9"/>
      <c r="M31" s="10"/>
      <c r="N31" s="8"/>
      <c r="O31" s="8"/>
      <c r="P31" s="9"/>
      <c r="Q31" s="9"/>
      <c r="R31" s="10"/>
      <c r="S31" s="11"/>
      <c r="T31" s="11"/>
      <c r="U31" s="9"/>
      <c r="V31" s="9"/>
      <c r="W31" s="10"/>
      <c r="X31" s="8"/>
      <c r="Y31" s="7"/>
      <c r="Z31" s="9"/>
      <c r="AA31" s="9"/>
      <c r="AB31" s="7"/>
      <c r="AC31" s="8"/>
      <c r="AD31" s="8"/>
      <c r="AE31" s="9"/>
      <c r="AF31" s="9"/>
      <c r="AG31" s="7"/>
      <c r="AH31" s="8"/>
      <c r="AI31" s="7"/>
      <c r="AJ31" s="9"/>
      <c r="AK31" s="9"/>
      <c r="AM31" s="9">
        <f t="shared" si="0"/>
        <v>0</v>
      </c>
      <c r="AN31" s="9">
        <f t="shared" si="1"/>
        <v>0</v>
      </c>
    </row>
    <row r="32" spans="1:40">
      <c r="A32" s="1">
        <v>67</v>
      </c>
      <c r="B32" s="6" t="s">
        <v>87</v>
      </c>
      <c r="C32" s="7"/>
      <c r="D32" s="8"/>
      <c r="E32" s="8"/>
      <c r="F32" s="9"/>
      <c r="G32" s="9"/>
      <c r="H32" s="7"/>
      <c r="I32" s="8"/>
      <c r="J32" s="8"/>
      <c r="K32" s="9"/>
      <c r="L32" s="9"/>
      <c r="M32" s="10"/>
      <c r="N32" s="8"/>
      <c r="O32" s="8"/>
      <c r="P32" s="9"/>
      <c r="Q32" s="9"/>
      <c r="R32" s="10"/>
      <c r="S32" s="11"/>
      <c r="T32" s="11"/>
      <c r="U32" s="9"/>
      <c r="V32" s="9"/>
      <c r="W32" s="10"/>
      <c r="X32" s="8"/>
      <c r="Y32" s="7"/>
      <c r="Z32" s="9"/>
      <c r="AA32" s="9"/>
      <c r="AB32" s="7"/>
      <c r="AC32" s="8"/>
      <c r="AD32" s="8"/>
      <c r="AE32" s="9"/>
      <c r="AF32" s="9"/>
      <c r="AG32" s="7"/>
      <c r="AH32" s="8"/>
      <c r="AI32" s="7"/>
      <c r="AJ32" s="9"/>
      <c r="AK32" s="9"/>
      <c r="AM32" s="9">
        <f t="shared" si="0"/>
        <v>0</v>
      </c>
      <c r="AN32" s="9">
        <f t="shared" si="1"/>
        <v>0</v>
      </c>
    </row>
    <row r="33" spans="1:40">
      <c r="B33" s="6" t="s">
        <v>95</v>
      </c>
      <c r="C33" s="7"/>
      <c r="D33" s="8"/>
      <c r="E33" s="8"/>
      <c r="F33" s="9"/>
      <c r="G33" s="9"/>
      <c r="H33" s="7"/>
      <c r="I33" s="8"/>
      <c r="J33" s="8"/>
      <c r="K33" s="9"/>
      <c r="L33" s="9"/>
      <c r="M33" s="10"/>
      <c r="N33" s="8"/>
      <c r="O33" s="8"/>
      <c r="P33" s="9"/>
      <c r="Q33" s="9"/>
      <c r="R33" s="10"/>
      <c r="S33" s="11"/>
      <c r="T33" s="11"/>
      <c r="U33" s="9"/>
      <c r="V33" s="9"/>
      <c r="W33" s="10"/>
      <c r="X33" s="8"/>
      <c r="Y33" s="7"/>
      <c r="Z33" s="9"/>
      <c r="AA33" s="9"/>
      <c r="AB33" s="7"/>
      <c r="AC33" s="8"/>
      <c r="AD33" s="8"/>
      <c r="AE33" s="9"/>
      <c r="AF33" s="9"/>
      <c r="AG33" s="7"/>
      <c r="AH33" s="8"/>
      <c r="AI33" s="7"/>
      <c r="AJ33" s="9"/>
      <c r="AK33" s="9"/>
      <c r="AM33" s="9">
        <f t="shared" si="0"/>
        <v>0</v>
      </c>
      <c r="AN33" s="9">
        <f t="shared" si="1"/>
        <v>0</v>
      </c>
    </row>
    <row r="34" spans="1:40">
      <c r="A34" s="1">
        <v>38</v>
      </c>
      <c r="B34" s="12" t="s">
        <v>33</v>
      </c>
      <c r="C34" s="7"/>
      <c r="D34" s="8"/>
      <c r="E34" s="8"/>
      <c r="F34" s="9"/>
      <c r="G34" s="9"/>
      <c r="H34" s="7"/>
      <c r="I34" s="8"/>
      <c r="J34" s="8"/>
      <c r="K34" s="9"/>
      <c r="L34" s="9"/>
      <c r="M34" s="10"/>
      <c r="N34" s="8"/>
      <c r="O34" s="8"/>
      <c r="P34" s="9"/>
      <c r="Q34" s="9"/>
      <c r="R34" s="10"/>
      <c r="S34" s="11"/>
      <c r="T34" s="11"/>
      <c r="U34" s="9"/>
      <c r="V34" s="9"/>
      <c r="W34" s="10"/>
      <c r="X34" s="8"/>
      <c r="Y34" s="7"/>
      <c r="Z34" s="9"/>
      <c r="AA34" s="9"/>
      <c r="AB34" s="7"/>
      <c r="AC34" s="8"/>
      <c r="AD34" s="8"/>
      <c r="AE34" s="9"/>
      <c r="AF34" s="9"/>
      <c r="AG34" s="7"/>
      <c r="AH34" s="8"/>
      <c r="AI34" s="7"/>
      <c r="AJ34" s="9"/>
      <c r="AK34" s="9"/>
      <c r="AM34" s="9">
        <f t="shared" si="0"/>
        <v>0</v>
      </c>
      <c r="AN34" s="9">
        <f t="shared" si="1"/>
        <v>0</v>
      </c>
    </row>
    <row r="35" spans="1:40">
      <c r="B35" s="6" t="s">
        <v>34</v>
      </c>
      <c r="C35" s="7"/>
      <c r="D35" s="8"/>
      <c r="E35" s="8"/>
      <c r="F35" s="9"/>
      <c r="G35" s="9"/>
      <c r="H35" s="7"/>
      <c r="I35" s="8"/>
      <c r="J35" s="8"/>
      <c r="K35" s="9"/>
      <c r="L35" s="9"/>
      <c r="M35" s="10"/>
      <c r="N35" s="8"/>
      <c r="O35" s="8"/>
      <c r="P35" s="9"/>
      <c r="Q35" s="9"/>
      <c r="R35" s="10"/>
      <c r="S35" s="11"/>
      <c r="T35" s="11"/>
      <c r="U35" s="9"/>
      <c r="V35" s="9"/>
      <c r="W35" s="10"/>
      <c r="X35" s="8"/>
      <c r="Y35" s="7"/>
      <c r="Z35" s="9"/>
      <c r="AA35" s="9"/>
      <c r="AB35" s="7"/>
      <c r="AC35" s="8"/>
      <c r="AD35" s="8"/>
      <c r="AE35" s="9"/>
      <c r="AF35" s="9"/>
      <c r="AG35" s="7"/>
      <c r="AH35" s="8"/>
      <c r="AI35" s="7"/>
      <c r="AJ35" s="9"/>
      <c r="AK35" s="9"/>
      <c r="AM35" s="9">
        <f t="shared" si="0"/>
        <v>0</v>
      </c>
      <c r="AN35" s="9">
        <f t="shared" si="1"/>
        <v>0</v>
      </c>
    </row>
    <row r="36" spans="1:40">
      <c r="A36" s="1">
        <v>40</v>
      </c>
      <c r="B36" s="6" t="s">
        <v>35</v>
      </c>
      <c r="C36" s="7"/>
      <c r="D36" s="8"/>
      <c r="E36" s="8"/>
      <c r="F36" s="9"/>
      <c r="G36" s="9"/>
      <c r="H36" s="7"/>
      <c r="I36" s="8"/>
      <c r="J36" s="8"/>
      <c r="K36" s="9"/>
      <c r="L36" s="9"/>
      <c r="M36" s="10"/>
      <c r="N36" s="8"/>
      <c r="O36" s="8"/>
      <c r="P36" s="9"/>
      <c r="Q36" s="9"/>
      <c r="R36" s="10"/>
      <c r="S36" s="11"/>
      <c r="T36" s="11"/>
      <c r="U36" s="9"/>
      <c r="V36" s="9"/>
      <c r="W36" s="10"/>
      <c r="X36" s="8"/>
      <c r="Y36" s="7"/>
      <c r="Z36" s="9"/>
      <c r="AA36" s="9"/>
      <c r="AB36" s="7"/>
      <c r="AC36" s="8"/>
      <c r="AD36" s="8"/>
      <c r="AE36" s="9"/>
      <c r="AF36" s="9"/>
      <c r="AG36" s="7"/>
      <c r="AH36" s="8"/>
      <c r="AI36" s="7"/>
      <c r="AJ36" s="9"/>
      <c r="AK36" s="9"/>
      <c r="AM36" s="9">
        <f t="shared" si="0"/>
        <v>0</v>
      </c>
      <c r="AN36" s="9">
        <f t="shared" si="1"/>
        <v>0</v>
      </c>
    </row>
    <row r="37" spans="1:40">
      <c r="B37" s="6" t="s">
        <v>36</v>
      </c>
      <c r="C37" s="7"/>
      <c r="D37" s="8"/>
      <c r="E37" s="8"/>
      <c r="F37" s="9"/>
      <c r="G37" s="9"/>
      <c r="H37" s="7"/>
      <c r="I37" s="8"/>
      <c r="J37" s="8"/>
      <c r="K37" s="9"/>
      <c r="L37" s="9"/>
      <c r="M37" s="10"/>
      <c r="N37" s="8"/>
      <c r="O37" s="8"/>
      <c r="P37" s="9"/>
      <c r="Q37" s="9"/>
      <c r="R37" s="10"/>
      <c r="S37" s="11"/>
      <c r="T37" s="11"/>
      <c r="U37" s="9"/>
      <c r="V37" s="9"/>
      <c r="W37" s="10"/>
      <c r="X37" s="8"/>
      <c r="Y37" s="7"/>
      <c r="Z37" s="9"/>
      <c r="AA37" s="9"/>
      <c r="AB37" s="7"/>
      <c r="AC37" s="8"/>
      <c r="AD37" s="8"/>
      <c r="AE37" s="9"/>
      <c r="AF37" s="9"/>
      <c r="AG37" s="7"/>
      <c r="AH37" s="8"/>
      <c r="AI37" s="7"/>
      <c r="AJ37" s="9"/>
      <c r="AK37" s="9"/>
      <c r="AM37" s="9">
        <f t="shared" si="0"/>
        <v>0</v>
      </c>
      <c r="AN37" s="9">
        <f t="shared" si="1"/>
        <v>0</v>
      </c>
    </row>
    <row r="38" spans="1:40">
      <c r="A38" s="1">
        <v>65</v>
      </c>
      <c r="B38" s="6" t="s">
        <v>37</v>
      </c>
      <c r="C38" s="7"/>
      <c r="D38" s="8"/>
      <c r="E38" s="8"/>
      <c r="F38" s="9"/>
      <c r="G38" s="9"/>
      <c r="H38" s="7"/>
      <c r="I38" s="8"/>
      <c r="J38" s="8"/>
      <c r="K38" s="9"/>
      <c r="L38" s="9"/>
      <c r="M38" s="10"/>
      <c r="N38" s="8"/>
      <c r="O38" s="8"/>
      <c r="P38" s="9"/>
      <c r="Q38" s="9"/>
      <c r="R38" s="10"/>
      <c r="S38" s="11"/>
      <c r="T38" s="11"/>
      <c r="U38" s="9"/>
      <c r="V38" s="9"/>
      <c r="W38" s="10"/>
      <c r="X38" s="8"/>
      <c r="Y38" s="7"/>
      <c r="Z38" s="9"/>
      <c r="AA38" s="9"/>
      <c r="AB38" s="7"/>
      <c r="AC38" s="8"/>
      <c r="AD38" s="8"/>
      <c r="AE38" s="9"/>
      <c r="AF38" s="9"/>
      <c r="AG38" s="7"/>
      <c r="AH38" s="8"/>
      <c r="AI38" s="7"/>
      <c r="AJ38" s="9"/>
      <c r="AK38" s="9"/>
      <c r="AM38" s="9">
        <f t="shared" si="0"/>
        <v>0</v>
      </c>
      <c r="AN38" s="9">
        <f t="shared" si="1"/>
        <v>0</v>
      </c>
    </row>
    <row r="39" spans="1:40">
      <c r="B39" s="6" t="s">
        <v>38</v>
      </c>
      <c r="C39" s="7"/>
      <c r="D39" s="8"/>
      <c r="E39" s="8"/>
      <c r="F39" s="9"/>
      <c r="G39" s="9"/>
      <c r="H39" s="7"/>
      <c r="I39" s="8"/>
      <c r="J39" s="8"/>
      <c r="K39" s="9"/>
      <c r="L39" s="9"/>
      <c r="M39" s="10"/>
      <c r="N39" s="8"/>
      <c r="O39" s="8"/>
      <c r="P39" s="9"/>
      <c r="Q39" s="9"/>
      <c r="R39" s="10"/>
      <c r="S39" s="11"/>
      <c r="T39" s="11"/>
      <c r="U39" s="9"/>
      <c r="V39" s="9"/>
      <c r="W39" s="10"/>
      <c r="X39" s="8"/>
      <c r="Y39" s="7"/>
      <c r="Z39" s="9"/>
      <c r="AA39" s="9"/>
      <c r="AB39" s="7"/>
      <c r="AC39" s="8"/>
      <c r="AD39" s="8"/>
      <c r="AE39" s="9"/>
      <c r="AF39" s="9"/>
      <c r="AG39" s="7"/>
      <c r="AH39" s="8"/>
      <c r="AI39" s="7"/>
      <c r="AJ39" s="9"/>
      <c r="AK39" s="9"/>
      <c r="AM39" s="9">
        <f t="shared" si="0"/>
        <v>0</v>
      </c>
      <c r="AN39" s="9">
        <f t="shared" si="1"/>
        <v>0</v>
      </c>
    </row>
    <row r="40" spans="1:40">
      <c r="B40" s="6" t="s">
        <v>27</v>
      </c>
      <c r="C40" s="7"/>
      <c r="D40" s="8"/>
      <c r="E40" s="8"/>
      <c r="F40" s="9"/>
      <c r="G40" s="9"/>
      <c r="H40" s="7"/>
      <c r="I40" s="8"/>
      <c r="J40" s="8"/>
      <c r="K40" s="9"/>
      <c r="L40" s="9"/>
      <c r="M40" s="10"/>
      <c r="N40" s="8"/>
      <c r="O40" s="8"/>
      <c r="P40" s="9"/>
      <c r="Q40" s="9"/>
      <c r="R40" s="10"/>
      <c r="S40" s="11"/>
      <c r="T40" s="11"/>
      <c r="U40" s="19"/>
      <c r="V40" s="9"/>
      <c r="W40" s="10"/>
      <c r="X40" s="8"/>
      <c r="Y40" s="7"/>
      <c r="Z40" s="9"/>
      <c r="AA40" s="9"/>
      <c r="AB40" s="7"/>
      <c r="AC40" s="8"/>
      <c r="AD40" s="8"/>
      <c r="AE40" s="9"/>
      <c r="AF40" s="9"/>
      <c r="AG40" s="7"/>
      <c r="AH40" s="8"/>
      <c r="AI40" s="7"/>
      <c r="AJ40" s="9"/>
      <c r="AK40" s="9"/>
      <c r="AM40" s="9">
        <f t="shared" si="0"/>
        <v>0</v>
      </c>
      <c r="AN40" s="9">
        <f t="shared" si="1"/>
        <v>0</v>
      </c>
    </row>
    <row r="41" spans="1:40">
      <c r="A41" s="1">
        <v>45</v>
      </c>
      <c r="B41" s="6" t="s">
        <v>39</v>
      </c>
      <c r="C41" s="7"/>
      <c r="D41" s="8"/>
      <c r="E41" s="8"/>
      <c r="F41" s="9"/>
      <c r="G41" s="9"/>
      <c r="H41" s="7"/>
      <c r="I41" s="8"/>
      <c r="J41" s="8"/>
      <c r="K41" s="9"/>
      <c r="L41" s="9"/>
      <c r="M41" s="10"/>
      <c r="N41" s="8"/>
      <c r="O41" s="8"/>
      <c r="P41" s="9"/>
      <c r="Q41" s="9"/>
      <c r="R41" s="10"/>
      <c r="S41" s="11"/>
      <c r="T41" s="11"/>
      <c r="U41" s="19"/>
      <c r="V41" s="9"/>
      <c r="W41" s="10"/>
      <c r="X41" s="8"/>
      <c r="Y41" s="7"/>
      <c r="Z41" s="9"/>
      <c r="AA41" s="9"/>
      <c r="AB41" s="7"/>
      <c r="AC41" s="8"/>
      <c r="AD41" s="8"/>
      <c r="AE41" s="9"/>
      <c r="AF41" s="9"/>
      <c r="AG41" s="7"/>
      <c r="AH41" s="8"/>
      <c r="AI41" s="7"/>
      <c r="AJ41" s="9"/>
      <c r="AK41" s="9"/>
      <c r="AM41" s="9">
        <f t="shared" si="0"/>
        <v>0</v>
      </c>
      <c r="AN41" s="9">
        <f t="shared" si="1"/>
        <v>0</v>
      </c>
    </row>
    <row r="42" spans="1:40">
      <c r="A42" s="1">
        <v>46</v>
      </c>
      <c r="B42" s="6" t="s">
        <v>40</v>
      </c>
      <c r="C42" s="7"/>
      <c r="D42" s="8"/>
      <c r="E42" s="8"/>
      <c r="F42" s="9"/>
      <c r="G42" s="9"/>
      <c r="H42" s="7"/>
      <c r="I42" s="8"/>
      <c r="J42" s="8"/>
      <c r="K42" s="9"/>
      <c r="L42" s="9"/>
      <c r="M42" s="10"/>
      <c r="N42" s="8"/>
      <c r="O42" s="8"/>
      <c r="P42" s="9"/>
      <c r="Q42" s="9"/>
      <c r="R42" s="10"/>
      <c r="S42" s="11"/>
      <c r="T42" s="11"/>
      <c r="U42" s="19"/>
      <c r="V42" s="9"/>
      <c r="W42" s="10"/>
      <c r="X42" s="8"/>
      <c r="Y42" s="7"/>
      <c r="Z42" s="9"/>
      <c r="AA42" s="9"/>
      <c r="AB42" s="7"/>
      <c r="AC42" s="8"/>
      <c r="AD42" s="8"/>
      <c r="AE42" s="9"/>
      <c r="AF42" s="9"/>
      <c r="AG42" s="7"/>
      <c r="AH42" s="8"/>
      <c r="AI42" s="7"/>
      <c r="AJ42" s="9"/>
      <c r="AK42" s="9"/>
      <c r="AM42" s="9">
        <f t="shared" si="0"/>
        <v>0</v>
      </c>
      <c r="AN42" s="9">
        <f t="shared" si="1"/>
        <v>0</v>
      </c>
    </row>
    <row r="43" spans="1:40">
      <c r="A43" s="1">
        <v>72</v>
      </c>
      <c r="B43" s="6" t="s">
        <v>41</v>
      </c>
      <c r="C43" s="7"/>
      <c r="D43" s="8"/>
      <c r="E43" s="8"/>
      <c r="F43" s="9"/>
      <c r="G43" s="9"/>
      <c r="H43" s="7"/>
      <c r="I43" s="8"/>
      <c r="J43" s="8"/>
      <c r="K43" s="9"/>
      <c r="L43" s="9"/>
      <c r="M43" s="10"/>
      <c r="N43" s="8"/>
      <c r="O43" s="8"/>
      <c r="P43" s="9"/>
      <c r="Q43" s="9"/>
      <c r="R43" s="10"/>
      <c r="S43" s="11"/>
      <c r="T43" s="11"/>
      <c r="U43" s="19"/>
      <c r="V43" s="9"/>
      <c r="W43" s="10"/>
      <c r="X43" s="8"/>
      <c r="Y43" s="7"/>
      <c r="Z43" s="9"/>
      <c r="AA43" s="9"/>
      <c r="AB43" s="7"/>
      <c r="AC43" s="8"/>
      <c r="AD43" s="8"/>
      <c r="AE43" s="9"/>
      <c r="AF43" s="9"/>
      <c r="AG43" s="7"/>
      <c r="AH43" s="8"/>
      <c r="AI43" s="7"/>
      <c r="AJ43" s="9"/>
      <c r="AK43" s="9"/>
      <c r="AM43" s="9">
        <f t="shared" si="0"/>
        <v>0</v>
      </c>
      <c r="AN43" s="9">
        <f t="shared" si="1"/>
        <v>0</v>
      </c>
    </row>
    <row r="44" spans="1:40">
      <c r="A44" s="1">
        <v>51</v>
      </c>
      <c r="B44" s="11" t="s">
        <v>68</v>
      </c>
      <c r="C44" s="7"/>
      <c r="D44" s="8"/>
      <c r="E44" s="8"/>
      <c r="F44" s="9"/>
      <c r="G44" s="9"/>
      <c r="H44" s="7"/>
      <c r="I44" s="8"/>
      <c r="J44" s="8"/>
      <c r="K44" s="9"/>
      <c r="L44" s="9"/>
      <c r="M44" s="10"/>
      <c r="N44" s="8"/>
      <c r="O44" s="8"/>
      <c r="P44" s="9"/>
      <c r="Q44" s="9"/>
      <c r="R44" s="10"/>
      <c r="S44" s="11"/>
      <c r="T44" s="11"/>
      <c r="U44" s="19"/>
      <c r="V44" s="9"/>
      <c r="W44" s="10"/>
      <c r="X44" s="8"/>
      <c r="Y44" s="7"/>
      <c r="Z44" s="9"/>
      <c r="AA44" s="9"/>
      <c r="AB44" s="7"/>
      <c r="AC44" s="8"/>
      <c r="AD44" s="8"/>
      <c r="AE44" s="9"/>
      <c r="AF44" s="9"/>
      <c r="AG44" s="7"/>
      <c r="AH44" s="8"/>
      <c r="AI44" s="7"/>
      <c r="AJ44" s="9"/>
      <c r="AK44" s="9"/>
      <c r="AM44" s="9">
        <f t="shared" si="0"/>
        <v>0</v>
      </c>
      <c r="AN44" s="9">
        <f t="shared" si="1"/>
        <v>0</v>
      </c>
    </row>
    <row r="45" spans="1:40">
      <c r="A45" s="1">
        <v>56</v>
      </c>
      <c r="B45" s="6" t="s">
        <v>42</v>
      </c>
      <c r="C45" s="7"/>
      <c r="D45" s="8"/>
      <c r="E45" s="8"/>
      <c r="F45" s="9"/>
      <c r="G45" s="9"/>
      <c r="H45" s="7"/>
      <c r="I45" s="8"/>
      <c r="J45" s="8"/>
      <c r="K45" s="9"/>
      <c r="L45" s="9"/>
      <c r="M45" s="10"/>
      <c r="N45" s="8"/>
      <c r="O45" s="8"/>
      <c r="P45" s="9"/>
      <c r="Q45" s="9"/>
      <c r="R45" s="10"/>
      <c r="S45" s="11"/>
      <c r="T45" s="11"/>
      <c r="U45" s="9"/>
      <c r="V45" s="9"/>
      <c r="W45" s="10"/>
      <c r="X45" s="8"/>
      <c r="Y45" s="7"/>
      <c r="Z45" s="9"/>
      <c r="AA45" s="9"/>
      <c r="AB45" s="7"/>
      <c r="AC45" s="8"/>
      <c r="AD45" s="8"/>
      <c r="AE45" s="9"/>
      <c r="AF45" s="9"/>
      <c r="AG45" s="7"/>
      <c r="AH45" s="8"/>
      <c r="AI45" s="7"/>
      <c r="AJ45" s="9"/>
      <c r="AK45" s="9"/>
      <c r="AM45" s="9">
        <f t="shared" si="0"/>
        <v>0</v>
      </c>
      <c r="AN45" s="9">
        <f t="shared" si="1"/>
        <v>0</v>
      </c>
    </row>
    <row r="46" spans="1:40">
      <c r="A46" s="1">
        <v>39</v>
      </c>
      <c r="B46" s="12" t="s">
        <v>43</v>
      </c>
      <c r="C46" s="7"/>
      <c r="D46" s="8"/>
      <c r="E46" s="8"/>
      <c r="F46" s="9"/>
      <c r="G46" s="9"/>
      <c r="H46" s="7"/>
      <c r="I46" s="8"/>
      <c r="J46" s="8"/>
      <c r="K46" s="9"/>
      <c r="L46" s="9"/>
      <c r="M46" s="10"/>
      <c r="N46" s="8"/>
      <c r="O46" s="8"/>
      <c r="P46" s="9"/>
      <c r="Q46" s="9"/>
      <c r="R46" s="10"/>
      <c r="S46" s="11"/>
      <c r="T46" s="11"/>
      <c r="U46" s="9"/>
      <c r="V46" s="9"/>
      <c r="W46" s="10"/>
      <c r="X46" s="8"/>
      <c r="Y46" s="7"/>
      <c r="Z46" s="9"/>
      <c r="AA46" s="9"/>
      <c r="AB46" s="7"/>
      <c r="AC46" s="8"/>
      <c r="AD46" s="8"/>
      <c r="AE46" s="9"/>
      <c r="AF46" s="9"/>
      <c r="AG46" s="7"/>
      <c r="AH46" s="8"/>
      <c r="AI46" s="7"/>
      <c r="AJ46" s="9"/>
      <c r="AK46" s="9"/>
      <c r="AM46" s="9">
        <f t="shared" si="0"/>
        <v>0</v>
      </c>
      <c r="AN46" s="9">
        <f t="shared" si="1"/>
        <v>0</v>
      </c>
    </row>
    <row r="47" spans="1:40">
      <c r="A47" s="1">
        <v>42</v>
      </c>
      <c r="B47" s="6" t="s">
        <v>44</v>
      </c>
      <c r="C47" s="7"/>
      <c r="D47" s="8"/>
      <c r="E47" s="8"/>
      <c r="F47" s="9"/>
      <c r="G47" s="9"/>
      <c r="H47" s="7"/>
      <c r="I47" s="8"/>
      <c r="J47" s="8"/>
      <c r="K47" s="9"/>
      <c r="L47" s="9"/>
      <c r="M47" s="10"/>
      <c r="N47" s="8"/>
      <c r="O47" s="8"/>
      <c r="P47" s="9"/>
      <c r="Q47" s="9"/>
      <c r="R47" s="10"/>
      <c r="S47" s="11"/>
      <c r="T47" s="11"/>
      <c r="U47" s="9"/>
      <c r="V47" s="9"/>
      <c r="W47" s="10"/>
      <c r="X47" s="8"/>
      <c r="Y47" s="7"/>
      <c r="Z47" s="9"/>
      <c r="AA47" s="9"/>
      <c r="AB47" s="7"/>
      <c r="AC47" s="8"/>
      <c r="AD47" s="8"/>
      <c r="AE47" s="9"/>
      <c r="AF47" s="9"/>
      <c r="AG47" s="7"/>
      <c r="AH47" s="8"/>
      <c r="AI47" s="7"/>
      <c r="AJ47" s="9"/>
      <c r="AK47" s="9"/>
      <c r="AM47" s="9">
        <f t="shared" si="0"/>
        <v>0</v>
      </c>
      <c r="AN47" s="9">
        <f t="shared" si="1"/>
        <v>0</v>
      </c>
    </row>
    <row r="48" spans="1:40">
      <c r="B48" s="6" t="s">
        <v>89</v>
      </c>
      <c r="C48" s="7"/>
      <c r="D48" s="8"/>
      <c r="E48" s="8"/>
      <c r="F48" s="9"/>
      <c r="G48" s="9"/>
      <c r="H48" s="7"/>
      <c r="I48" s="8"/>
      <c r="J48" s="8"/>
      <c r="K48" s="9"/>
      <c r="L48" s="9"/>
      <c r="M48" s="10"/>
      <c r="N48" s="8"/>
      <c r="O48" s="8"/>
      <c r="P48" s="9"/>
      <c r="Q48" s="9"/>
      <c r="R48" s="10"/>
      <c r="S48" s="11"/>
      <c r="T48" s="11"/>
      <c r="U48" s="9"/>
      <c r="V48" s="9"/>
      <c r="W48" s="10"/>
      <c r="X48" s="8"/>
      <c r="Y48" s="7"/>
      <c r="Z48" s="9"/>
      <c r="AA48" s="9"/>
      <c r="AB48" s="7"/>
      <c r="AC48" s="8"/>
      <c r="AD48" s="8"/>
      <c r="AE48" s="9"/>
      <c r="AF48" s="9"/>
      <c r="AG48" s="7"/>
      <c r="AH48" s="8"/>
      <c r="AI48" s="7"/>
      <c r="AJ48" s="9"/>
      <c r="AK48" s="9"/>
      <c r="AM48" s="9">
        <f t="shared" si="0"/>
        <v>0</v>
      </c>
      <c r="AN48" s="9">
        <f t="shared" si="1"/>
        <v>0</v>
      </c>
    </row>
    <row r="49" spans="1:40">
      <c r="A49" s="1">
        <v>61</v>
      </c>
      <c r="B49" s="6" t="s">
        <v>45</v>
      </c>
      <c r="C49" s="7"/>
      <c r="D49" s="8"/>
      <c r="E49" s="8"/>
      <c r="F49" s="9"/>
      <c r="G49" s="9"/>
      <c r="H49" s="7"/>
      <c r="I49" s="8"/>
      <c r="J49" s="8"/>
      <c r="K49" s="9"/>
      <c r="L49" s="9"/>
      <c r="M49" s="10"/>
      <c r="N49" s="8"/>
      <c r="O49" s="8"/>
      <c r="P49" s="9"/>
      <c r="Q49" s="9"/>
      <c r="R49" s="10"/>
      <c r="S49" s="11"/>
      <c r="T49" s="11"/>
      <c r="U49" s="9"/>
      <c r="V49" s="9"/>
      <c r="W49" s="10"/>
      <c r="X49" s="8"/>
      <c r="Y49" s="7"/>
      <c r="Z49" s="9"/>
      <c r="AA49" s="9"/>
      <c r="AB49" s="7"/>
      <c r="AC49" s="8"/>
      <c r="AD49" s="8"/>
      <c r="AE49" s="9"/>
      <c r="AF49" s="9"/>
      <c r="AG49" s="7"/>
      <c r="AH49" s="8"/>
      <c r="AI49" s="7"/>
      <c r="AJ49" s="9"/>
      <c r="AK49" s="9"/>
      <c r="AM49" s="9">
        <f t="shared" si="0"/>
        <v>0</v>
      </c>
      <c r="AN49" s="9">
        <f t="shared" si="1"/>
        <v>0</v>
      </c>
    </row>
    <row r="50" spans="1:40">
      <c r="B50" s="6" t="s">
        <v>46</v>
      </c>
      <c r="C50" s="7"/>
      <c r="D50" s="8"/>
      <c r="E50" s="8"/>
      <c r="F50" s="9"/>
      <c r="G50" s="9"/>
      <c r="H50" s="7"/>
      <c r="I50" s="8"/>
      <c r="J50" s="8"/>
      <c r="K50" s="9"/>
      <c r="L50" s="9"/>
      <c r="M50" s="10"/>
      <c r="N50" s="8"/>
      <c r="O50" s="8"/>
      <c r="P50" s="9"/>
      <c r="Q50" s="9"/>
      <c r="R50" s="10"/>
      <c r="S50" s="11"/>
      <c r="T50" s="11"/>
      <c r="U50" s="9"/>
      <c r="V50" s="9"/>
      <c r="W50" s="10"/>
      <c r="X50" s="8"/>
      <c r="Y50" s="7"/>
      <c r="Z50" s="9"/>
      <c r="AA50" s="9"/>
      <c r="AB50" s="7"/>
      <c r="AC50" s="8"/>
      <c r="AD50" s="8"/>
      <c r="AE50" s="9"/>
      <c r="AF50" s="9"/>
      <c r="AG50" s="7"/>
      <c r="AH50" s="8"/>
      <c r="AI50" s="7"/>
      <c r="AJ50" s="9"/>
      <c r="AK50" s="9"/>
      <c r="AM50" s="9">
        <f t="shared" si="0"/>
        <v>0</v>
      </c>
      <c r="AN50" s="9">
        <f t="shared" si="1"/>
        <v>0</v>
      </c>
    </row>
    <row r="51" spans="1:40">
      <c r="A51" s="1">
        <v>16</v>
      </c>
      <c r="B51" s="6" t="s">
        <v>90</v>
      </c>
      <c r="C51" s="7"/>
      <c r="D51" s="8"/>
      <c r="E51" s="8"/>
      <c r="F51" s="9"/>
      <c r="G51" s="9"/>
      <c r="H51" s="7"/>
      <c r="I51" s="8"/>
      <c r="J51" s="8"/>
      <c r="K51" s="9"/>
      <c r="L51" s="9"/>
      <c r="M51" s="10"/>
      <c r="N51" s="8"/>
      <c r="O51" s="8"/>
      <c r="P51" s="9"/>
      <c r="Q51" s="9"/>
      <c r="R51" s="10"/>
      <c r="S51" s="11"/>
      <c r="T51" s="11"/>
      <c r="U51" s="9"/>
      <c r="V51" s="9"/>
      <c r="W51" s="10"/>
      <c r="X51" s="8"/>
      <c r="Y51" s="7"/>
      <c r="Z51" s="9"/>
      <c r="AA51" s="9"/>
      <c r="AB51" s="7"/>
      <c r="AC51" s="8"/>
      <c r="AD51" s="8"/>
      <c r="AE51" s="9"/>
      <c r="AF51" s="9"/>
      <c r="AG51" s="7"/>
      <c r="AH51" s="8"/>
      <c r="AI51" s="7"/>
      <c r="AJ51" s="9"/>
      <c r="AK51" s="9"/>
      <c r="AM51" s="9">
        <f t="shared" si="0"/>
        <v>0</v>
      </c>
      <c r="AN51" s="9">
        <f t="shared" si="1"/>
        <v>0</v>
      </c>
    </row>
    <row r="52" spans="1:40">
      <c r="B52" s="6" t="s">
        <v>244</v>
      </c>
      <c r="C52" s="7"/>
      <c r="D52" s="8"/>
      <c r="E52" s="8"/>
      <c r="F52" s="9"/>
      <c r="G52" s="9"/>
      <c r="H52" s="7"/>
      <c r="I52" s="8"/>
      <c r="J52" s="8"/>
      <c r="K52" s="9"/>
      <c r="L52" s="9"/>
      <c r="M52" s="10"/>
      <c r="N52" s="8"/>
      <c r="O52" s="8"/>
      <c r="P52" s="9"/>
      <c r="Q52" s="9"/>
      <c r="R52" s="10"/>
      <c r="S52" s="11"/>
      <c r="T52" s="11"/>
      <c r="U52" s="19"/>
      <c r="V52" s="9"/>
      <c r="W52" s="10"/>
      <c r="X52" s="8"/>
      <c r="Y52" s="7"/>
      <c r="Z52" s="9"/>
      <c r="AA52" s="9"/>
      <c r="AB52" s="7"/>
      <c r="AC52" s="8"/>
      <c r="AD52" s="8"/>
      <c r="AE52" s="9"/>
      <c r="AF52" s="9"/>
      <c r="AG52" s="7"/>
      <c r="AH52" s="8"/>
      <c r="AI52" s="7"/>
      <c r="AJ52" s="9"/>
      <c r="AK52" s="9"/>
      <c r="AM52" s="9">
        <f t="shared" si="0"/>
        <v>0</v>
      </c>
      <c r="AN52" s="9">
        <f t="shared" si="1"/>
        <v>0</v>
      </c>
    </row>
    <row r="53" spans="1:40">
      <c r="B53" s="6" t="s">
        <v>47</v>
      </c>
      <c r="C53" s="7"/>
      <c r="D53" s="8"/>
      <c r="E53" s="8"/>
      <c r="F53" s="9"/>
      <c r="G53" s="9"/>
      <c r="H53" s="7"/>
      <c r="I53" s="8"/>
      <c r="J53" s="8"/>
      <c r="K53" s="9"/>
      <c r="L53" s="9"/>
      <c r="M53" s="10"/>
      <c r="N53" s="8"/>
      <c r="O53" s="8"/>
      <c r="P53" s="9"/>
      <c r="Q53" s="9"/>
      <c r="R53" s="10"/>
      <c r="S53" s="11"/>
      <c r="T53" s="11"/>
      <c r="U53" s="19"/>
      <c r="V53" s="9"/>
      <c r="W53" s="10"/>
      <c r="X53" s="8"/>
      <c r="Y53" s="7"/>
      <c r="Z53" s="9"/>
      <c r="AA53" s="9"/>
      <c r="AB53" s="7"/>
      <c r="AC53" s="8"/>
      <c r="AD53" s="8"/>
      <c r="AE53" s="9"/>
      <c r="AF53" s="9"/>
      <c r="AG53" s="7"/>
      <c r="AH53" s="8"/>
      <c r="AI53" s="7"/>
      <c r="AJ53" s="9"/>
      <c r="AK53" s="9"/>
      <c r="AM53" s="9">
        <f t="shared" si="0"/>
        <v>0</v>
      </c>
      <c r="AN53" s="9">
        <f t="shared" si="1"/>
        <v>0</v>
      </c>
    </row>
    <row r="54" spans="1:40">
      <c r="A54" s="1">
        <v>64</v>
      </c>
      <c r="B54" s="6" t="s">
        <v>48</v>
      </c>
      <c r="C54" s="7"/>
      <c r="D54" s="8"/>
      <c r="E54" s="8"/>
      <c r="F54" s="9"/>
      <c r="G54" s="9"/>
      <c r="H54" s="7"/>
      <c r="I54" s="8"/>
      <c r="J54" s="8"/>
      <c r="K54" s="9"/>
      <c r="L54" s="9"/>
      <c r="M54" s="10"/>
      <c r="N54" s="8"/>
      <c r="O54" s="8"/>
      <c r="P54" s="9"/>
      <c r="Q54" s="9"/>
      <c r="R54" s="10"/>
      <c r="S54" s="11"/>
      <c r="T54" s="11"/>
      <c r="U54" s="19"/>
      <c r="V54" s="9"/>
      <c r="W54" s="10"/>
      <c r="X54" s="8"/>
      <c r="Y54" s="7"/>
      <c r="Z54" s="9"/>
      <c r="AA54" s="9"/>
      <c r="AB54" s="7"/>
      <c r="AC54" s="8"/>
      <c r="AD54" s="8"/>
      <c r="AE54" s="9"/>
      <c r="AF54" s="9"/>
      <c r="AG54" s="7"/>
      <c r="AH54" s="8"/>
      <c r="AI54" s="7"/>
      <c r="AJ54" s="9"/>
      <c r="AK54" s="9"/>
      <c r="AM54" s="9">
        <f t="shared" si="0"/>
        <v>0</v>
      </c>
      <c r="AN54" s="9">
        <f t="shared" si="1"/>
        <v>0</v>
      </c>
    </row>
    <row r="55" spans="1:40">
      <c r="A55" s="1">
        <v>68</v>
      </c>
      <c r="B55" s="6" t="s">
        <v>83</v>
      </c>
      <c r="C55" s="7"/>
      <c r="D55" s="8"/>
      <c r="E55" s="8"/>
      <c r="F55" s="9"/>
      <c r="G55" s="9"/>
      <c r="H55" s="7"/>
      <c r="I55" s="8"/>
      <c r="J55" s="8"/>
      <c r="K55" s="9"/>
      <c r="L55" s="9"/>
      <c r="M55" s="10"/>
      <c r="N55" s="8"/>
      <c r="O55" s="8"/>
      <c r="P55" s="9"/>
      <c r="Q55" s="9"/>
      <c r="R55" s="10"/>
      <c r="S55" s="11"/>
      <c r="T55" s="11"/>
      <c r="U55" s="9"/>
      <c r="V55" s="9"/>
      <c r="W55" s="10"/>
      <c r="X55" s="8"/>
      <c r="Y55" s="7"/>
      <c r="Z55" s="9"/>
      <c r="AA55" s="9"/>
      <c r="AB55" s="7"/>
      <c r="AC55" s="8"/>
      <c r="AD55" s="8"/>
      <c r="AE55" s="9"/>
      <c r="AF55" s="9"/>
      <c r="AG55" s="7"/>
      <c r="AH55" s="8"/>
      <c r="AI55" s="7"/>
      <c r="AJ55" s="9"/>
      <c r="AK55" s="9"/>
      <c r="AM55" s="9">
        <f t="shared" si="0"/>
        <v>0</v>
      </c>
      <c r="AN55" s="9">
        <f t="shared" si="1"/>
        <v>0</v>
      </c>
    </row>
    <row r="56" spans="1:40">
      <c r="A56" s="1">
        <v>71</v>
      </c>
      <c r="B56" s="6" t="s">
        <v>49</v>
      </c>
      <c r="C56" s="7"/>
      <c r="D56" s="8"/>
      <c r="E56" s="8"/>
      <c r="F56" s="9"/>
      <c r="G56" s="9"/>
      <c r="H56" s="7"/>
      <c r="I56" s="8"/>
      <c r="J56" s="8"/>
      <c r="K56" s="9"/>
      <c r="L56" s="9"/>
      <c r="M56" s="10"/>
      <c r="N56" s="8"/>
      <c r="O56" s="8"/>
      <c r="P56" s="9"/>
      <c r="Q56" s="9"/>
      <c r="R56" s="10"/>
      <c r="S56" s="11"/>
      <c r="T56" s="11"/>
      <c r="U56" s="9"/>
      <c r="V56" s="9"/>
      <c r="W56" s="10"/>
      <c r="X56" s="8"/>
      <c r="Y56" s="7"/>
      <c r="Z56" s="9"/>
      <c r="AA56" s="9"/>
      <c r="AB56" s="7"/>
      <c r="AC56" s="8"/>
      <c r="AD56" s="8"/>
      <c r="AE56" s="9"/>
      <c r="AF56" s="9"/>
      <c r="AG56" s="7"/>
      <c r="AH56" s="8"/>
      <c r="AI56" s="7"/>
      <c r="AJ56" s="9"/>
      <c r="AK56" s="9"/>
      <c r="AM56" s="9">
        <f t="shared" si="0"/>
        <v>0</v>
      </c>
      <c r="AN56" s="9">
        <f t="shared" si="1"/>
        <v>0</v>
      </c>
    </row>
    <row r="57" spans="1:40">
      <c r="A57" s="1">
        <v>57</v>
      </c>
      <c r="B57" s="6" t="s">
        <v>50</v>
      </c>
      <c r="C57" s="7"/>
      <c r="D57" s="8"/>
      <c r="E57" s="8"/>
      <c r="F57" s="9"/>
      <c r="G57" s="9"/>
      <c r="H57" s="7"/>
      <c r="I57" s="8"/>
      <c r="J57" s="8"/>
      <c r="K57" s="9"/>
      <c r="L57" s="9"/>
      <c r="M57" s="10"/>
      <c r="N57" s="8"/>
      <c r="O57" s="8"/>
      <c r="P57" s="9"/>
      <c r="Q57" s="9"/>
      <c r="R57" s="10"/>
      <c r="S57" s="11"/>
      <c r="T57" s="11"/>
      <c r="U57" s="9"/>
      <c r="V57" s="9"/>
      <c r="W57" s="10"/>
      <c r="X57" s="8"/>
      <c r="Y57" s="7"/>
      <c r="Z57" s="9"/>
      <c r="AA57" s="9"/>
      <c r="AB57" s="7"/>
      <c r="AC57" s="8"/>
      <c r="AD57" s="8"/>
      <c r="AE57" s="9"/>
      <c r="AF57" s="9"/>
      <c r="AG57" s="7"/>
      <c r="AH57" s="8"/>
      <c r="AI57" s="7"/>
      <c r="AJ57" s="9"/>
      <c r="AK57" s="9"/>
      <c r="AM57" s="9">
        <f t="shared" si="0"/>
        <v>0</v>
      </c>
      <c r="AN57" s="9">
        <f t="shared" si="1"/>
        <v>0</v>
      </c>
    </row>
    <row r="58" spans="1:40">
      <c r="A58" s="1">
        <v>58</v>
      </c>
      <c r="B58" s="6" t="s">
        <v>51</v>
      </c>
      <c r="C58" s="7"/>
      <c r="D58" s="8"/>
      <c r="E58" s="8"/>
      <c r="F58" s="9"/>
      <c r="G58" s="9"/>
      <c r="H58" s="7"/>
      <c r="I58" s="8"/>
      <c r="J58" s="8"/>
      <c r="K58" s="9"/>
      <c r="L58" s="9"/>
      <c r="M58" s="10"/>
      <c r="N58" s="8"/>
      <c r="O58" s="8"/>
      <c r="P58" s="9"/>
      <c r="Q58" s="9"/>
      <c r="R58" s="10"/>
      <c r="S58" s="11"/>
      <c r="T58" s="11"/>
      <c r="U58" s="9"/>
      <c r="V58" s="9"/>
      <c r="W58" s="10"/>
      <c r="X58" s="8"/>
      <c r="Y58" s="7"/>
      <c r="Z58" s="9"/>
      <c r="AA58" s="9"/>
      <c r="AB58" s="7"/>
      <c r="AC58" s="8"/>
      <c r="AD58" s="8"/>
      <c r="AE58" s="9"/>
      <c r="AF58" s="9"/>
      <c r="AG58" s="7"/>
      <c r="AH58" s="8"/>
      <c r="AI58" s="7"/>
      <c r="AJ58" s="9"/>
      <c r="AK58" s="9"/>
      <c r="AM58" s="9">
        <f t="shared" si="0"/>
        <v>0</v>
      </c>
      <c r="AN58" s="9">
        <f t="shared" si="1"/>
        <v>0</v>
      </c>
    </row>
    <row r="59" spans="1:40">
      <c r="B59" s="6" t="s">
        <v>78</v>
      </c>
      <c r="C59" s="7"/>
      <c r="D59" s="8"/>
      <c r="E59" s="8"/>
      <c r="F59" s="9"/>
      <c r="G59" s="9"/>
      <c r="H59" s="7"/>
      <c r="I59" s="8"/>
      <c r="J59" s="8"/>
      <c r="K59" s="9"/>
      <c r="L59" s="9"/>
      <c r="M59" s="10"/>
      <c r="N59" s="8"/>
      <c r="O59" s="8"/>
      <c r="P59" s="9"/>
      <c r="Q59" s="9"/>
      <c r="R59" s="10"/>
      <c r="S59" s="11"/>
      <c r="T59" s="11"/>
      <c r="U59" s="9"/>
      <c r="V59" s="9"/>
      <c r="W59" s="10"/>
      <c r="X59" s="8"/>
      <c r="Y59" s="7"/>
      <c r="Z59" s="9"/>
      <c r="AA59" s="9"/>
      <c r="AB59" s="7"/>
      <c r="AC59" s="8"/>
      <c r="AD59" s="8"/>
      <c r="AE59" s="9"/>
      <c r="AF59" s="9"/>
      <c r="AG59" s="7"/>
      <c r="AH59" s="8"/>
      <c r="AI59" s="7"/>
      <c r="AJ59" s="9"/>
      <c r="AK59" s="9"/>
      <c r="AM59" s="9">
        <f t="shared" si="0"/>
        <v>0</v>
      </c>
      <c r="AN59" s="9">
        <f t="shared" si="1"/>
        <v>0</v>
      </c>
    </row>
    <row r="60" spans="1:40">
      <c r="B60" s="6" t="s">
        <v>52</v>
      </c>
      <c r="C60" s="7"/>
      <c r="D60" s="8"/>
      <c r="E60" s="8"/>
      <c r="F60" s="9"/>
      <c r="G60" s="9"/>
      <c r="H60" s="7"/>
      <c r="I60" s="8"/>
      <c r="J60" s="8"/>
      <c r="K60" s="9"/>
      <c r="L60" s="9"/>
      <c r="M60" s="10"/>
      <c r="N60" s="8"/>
      <c r="O60" s="8"/>
      <c r="P60" s="9"/>
      <c r="Q60" s="9"/>
      <c r="R60" s="10"/>
      <c r="S60" s="11"/>
      <c r="T60" s="11"/>
      <c r="U60" s="9"/>
      <c r="V60" s="9"/>
      <c r="W60" s="10"/>
      <c r="X60" s="8"/>
      <c r="Y60" s="7"/>
      <c r="Z60" s="9"/>
      <c r="AA60" s="9"/>
      <c r="AB60" s="7"/>
      <c r="AC60" s="8"/>
      <c r="AD60" s="8"/>
      <c r="AE60" s="9"/>
      <c r="AF60" s="9"/>
      <c r="AG60" s="7"/>
      <c r="AH60" s="8"/>
      <c r="AI60" s="7"/>
      <c r="AJ60" s="9"/>
      <c r="AK60" s="9"/>
      <c r="AM60" s="9">
        <f t="shared" si="0"/>
        <v>0</v>
      </c>
      <c r="AN60" s="9">
        <f t="shared" si="1"/>
        <v>0</v>
      </c>
    </row>
    <row r="61" spans="1:40" ht="21" customHeight="1">
      <c r="A61" s="1">
        <v>49</v>
      </c>
      <c r="B61" s="6" t="s">
        <v>53</v>
      </c>
      <c r="C61" s="7"/>
      <c r="D61" s="8"/>
      <c r="E61" s="8"/>
      <c r="F61" s="9"/>
      <c r="G61" s="9"/>
      <c r="H61" s="7"/>
      <c r="I61" s="8"/>
      <c r="J61" s="8"/>
      <c r="K61" s="9"/>
      <c r="L61" s="9"/>
      <c r="M61" s="10"/>
      <c r="N61" s="8"/>
      <c r="O61" s="8"/>
      <c r="P61" s="9"/>
      <c r="Q61" s="9"/>
      <c r="R61" s="10"/>
      <c r="S61" s="11"/>
      <c r="T61" s="11"/>
      <c r="U61" s="9"/>
      <c r="V61" s="9"/>
      <c r="W61" s="10"/>
      <c r="X61" s="8"/>
      <c r="Y61" s="7"/>
      <c r="Z61" s="9"/>
      <c r="AA61" s="9"/>
      <c r="AB61" s="7"/>
      <c r="AC61" s="8"/>
      <c r="AD61" s="8"/>
      <c r="AE61" s="9"/>
      <c r="AF61" s="9"/>
      <c r="AG61" s="7"/>
      <c r="AH61" s="8"/>
      <c r="AI61" s="7"/>
      <c r="AJ61" s="9"/>
      <c r="AK61" s="9"/>
      <c r="AM61" s="9">
        <f t="shared" si="0"/>
        <v>0</v>
      </c>
      <c r="AN61" s="9">
        <f t="shared" si="1"/>
        <v>0</v>
      </c>
    </row>
    <row r="62" spans="1:40">
      <c r="B62" s="6" t="s">
        <v>74</v>
      </c>
      <c r="C62" s="7"/>
      <c r="D62" s="8"/>
      <c r="E62" s="8"/>
      <c r="F62" s="9"/>
      <c r="G62" s="9"/>
      <c r="H62" s="7"/>
      <c r="I62" s="8"/>
      <c r="J62" s="8"/>
      <c r="K62" s="9"/>
      <c r="L62" s="9"/>
      <c r="M62" s="10"/>
      <c r="N62" s="8"/>
      <c r="O62" s="8"/>
      <c r="P62" s="9"/>
      <c r="Q62" s="9"/>
      <c r="R62" s="10"/>
      <c r="S62" s="11"/>
      <c r="T62" s="11"/>
      <c r="U62" s="9"/>
      <c r="V62" s="9"/>
      <c r="W62" s="10"/>
      <c r="X62" s="8"/>
      <c r="Y62" s="7"/>
      <c r="Z62" s="9"/>
      <c r="AA62" s="9"/>
      <c r="AB62" s="7"/>
      <c r="AC62" s="8"/>
      <c r="AD62" s="8"/>
      <c r="AE62" s="9"/>
      <c r="AF62" s="9"/>
      <c r="AG62" s="7"/>
      <c r="AH62" s="8"/>
      <c r="AI62" s="7"/>
      <c r="AJ62" s="9"/>
      <c r="AK62" s="9"/>
      <c r="AM62" s="9">
        <f t="shared" si="0"/>
        <v>0</v>
      </c>
      <c r="AN62" s="9">
        <f t="shared" si="1"/>
        <v>0</v>
      </c>
    </row>
    <row r="63" spans="1:40">
      <c r="B63" s="6" t="s">
        <v>54</v>
      </c>
      <c r="C63" s="7"/>
      <c r="D63" s="8"/>
      <c r="E63" s="8"/>
      <c r="F63" s="9"/>
      <c r="G63" s="9"/>
      <c r="H63" s="7"/>
      <c r="I63" s="8"/>
      <c r="J63" s="8"/>
      <c r="K63" s="9"/>
      <c r="L63" s="9"/>
      <c r="M63" s="10"/>
      <c r="N63" s="8"/>
      <c r="O63" s="8"/>
      <c r="P63" s="9"/>
      <c r="Q63" s="9"/>
      <c r="R63" s="10"/>
      <c r="S63" s="11"/>
      <c r="T63" s="11"/>
      <c r="U63" s="9"/>
      <c r="V63" s="9"/>
      <c r="W63" s="10"/>
      <c r="X63" s="8"/>
      <c r="Y63" s="7"/>
      <c r="Z63" s="9"/>
      <c r="AA63" s="9"/>
      <c r="AB63" s="7"/>
      <c r="AC63" s="8"/>
      <c r="AD63" s="8"/>
      <c r="AE63" s="9"/>
      <c r="AF63" s="9"/>
      <c r="AG63" s="7"/>
      <c r="AH63" s="8"/>
      <c r="AI63" s="7"/>
      <c r="AJ63" s="9"/>
      <c r="AK63" s="9"/>
      <c r="AM63" s="9">
        <f t="shared" si="0"/>
        <v>0</v>
      </c>
      <c r="AN63" s="9">
        <f t="shared" si="1"/>
        <v>0</v>
      </c>
    </row>
    <row r="64" spans="1:40">
      <c r="B64" s="11" t="s">
        <v>79</v>
      </c>
      <c r="C64" s="7"/>
      <c r="D64" s="8"/>
      <c r="E64" s="8"/>
      <c r="F64" s="9"/>
      <c r="G64" s="9"/>
      <c r="H64" s="7"/>
      <c r="I64" s="8"/>
      <c r="J64" s="8"/>
      <c r="K64" s="9"/>
      <c r="L64" s="9"/>
      <c r="M64" s="10"/>
      <c r="N64" s="8"/>
      <c r="O64" s="8"/>
      <c r="P64" s="9"/>
      <c r="Q64" s="9"/>
      <c r="R64" s="10"/>
      <c r="S64" s="11"/>
      <c r="T64" s="11"/>
      <c r="U64" s="9"/>
      <c r="V64" s="9"/>
      <c r="W64" s="10"/>
      <c r="X64" s="8"/>
      <c r="Y64" s="7"/>
      <c r="Z64" s="9"/>
      <c r="AA64" s="9"/>
      <c r="AB64" s="7"/>
      <c r="AC64" s="8"/>
      <c r="AD64" s="8"/>
      <c r="AE64" s="9"/>
      <c r="AF64" s="9"/>
      <c r="AG64" s="7"/>
      <c r="AH64" s="8"/>
      <c r="AI64" s="7"/>
      <c r="AJ64" s="9"/>
      <c r="AK64" s="9"/>
      <c r="AM64" s="9">
        <f t="shared" si="0"/>
        <v>0</v>
      </c>
      <c r="AN64" s="9">
        <f t="shared" si="1"/>
        <v>0</v>
      </c>
    </row>
    <row r="65" spans="1:40">
      <c r="A65" s="1">
        <v>9</v>
      </c>
      <c r="B65" s="11" t="s">
        <v>81</v>
      </c>
      <c r="C65" s="7"/>
      <c r="D65" s="8"/>
      <c r="E65" s="8"/>
      <c r="F65" s="9"/>
      <c r="G65" s="9"/>
      <c r="H65" s="7"/>
      <c r="I65" s="8"/>
      <c r="J65" s="8"/>
      <c r="K65" s="9"/>
      <c r="L65" s="9"/>
      <c r="M65" s="10"/>
      <c r="N65" s="8"/>
      <c r="O65" s="8"/>
      <c r="P65" s="9"/>
      <c r="Q65" s="9"/>
      <c r="R65" s="10"/>
      <c r="S65" s="11"/>
      <c r="T65" s="11"/>
      <c r="U65" s="9"/>
      <c r="V65" s="9"/>
      <c r="W65" s="10"/>
      <c r="X65" s="8"/>
      <c r="Y65" s="7"/>
      <c r="Z65" s="9"/>
      <c r="AA65" s="9"/>
      <c r="AB65" s="7"/>
      <c r="AC65" s="8"/>
      <c r="AD65" s="8"/>
      <c r="AE65" s="9"/>
      <c r="AF65" s="9"/>
      <c r="AG65" s="7"/>
      <c r="AH65" s="8"/>
      <c r="AI65" s="7"/>
      <c r="AJ65" s="9"/>
      <c r="AK65" s="9"/>
      <c r="AM65" s="9">
        <f t="shared" si="0"/>
        <v>0</v>
      </c>
      <c r="AN65" s="9">
        <f t="shared" si="1"/>
        <v>0</v>
      </c>
    </row>
    <row r="66" spans="1:40">
      <c r="A66" s="1">
        <v>52</v>
      </c>
      <c r="B66" s="11" t="s">
        <v>80</v>
      </c>
      <c r="C66" s="7"/>
      <c r="D66" s="8"/>
      <c r="E66" s="8"/>
      <c r="F66" s="9"/>
      <c r="G66" s="9"/>
      <c r="H66" s="7"/>
      <c r="I66" s="8"/>
      <c r="J66" s="8"/>
      <c r="K66" s="9"/>
      <c r="L66" s="9"/>
      <c r="M66" s="10"/>
      <c r="N66" s="8"/>
      <c r="O66" s="8"/>
      <c r="P66" s="9"/>
      <c r="Q66" s="9"/>
      <c r="R66" s="10"/>
      <c r="S66" s="11"/>
      <c r="T66" s="11"/>
      <c r="U66" s="9"/>
      <c r="V66" s="9"/>
      <c r="W66" s="10"/>
      <c r="X66" s="8"/>
      <c r="Y66" s="7"/>
      <c r="Z66" s="9"/>
      <c r="AA66" s="9"/>
      <c r="AB66" s="7"/>
      <c r="AC66" s="8"/>
      <c r="AD66" s="8"/>
      <c r="AE66" s="9"/>
      <c r="AF66" s="9"/>
      <c r="AG66" s="7"/>
      <c r="AH66" s="8"/>
      <c r="AI66" s="7"/>
      <c r="AJ66" s="9"/>
      <c r="AK66" s="9"/>
      <c r="AM66" s="9">
        <f t="shared" si="0"/>
        <v>0</v>
      </c>
      <c r="AN66" s="9">
        <f t="shared" si="1"/>
        <v>0</v>
      </c>
    </row>
    <row r="67" spans="1:40">
      <c r="A67" s="1">
        <v>47</v>
      </c>
      <c r="B67" s="11" t="s">
        <v>84</v>
      </c>
      <c r="C67" s="7"/>
      <c r="D67" s="8"/>
      <c r="E67" s="8"/>
      <c r="F67" s="9"/>
      <c r="G67" s="9"/>
      <c r="H67" s="7"/>
      <c r="I67" s="8"/>
      <c r="J67" s="8"/>
      <c r="K67" s="9"/>
      <c r="L67" s="9"/>
      <c r="M67" s="10"/>
      <c r="N67" s="8"/>
      <c r="O67" s="8"/>
      <c r="P67" s="9"/>
      <c r="Q67" s="9"/>
      <c r="R67" s="10"/>
      <c r="S67" s="11"/>
      <c r="T67" s="11"/>
      <c r="U67" s="9"/>
      <c r="V67" s="9"/>
      <c r="W67" s="10"/>
      <c r="X67" s="8"/>
      <c r="Y67" s="7"/>
      <c r="Z67" s="9"/>
      <c r="AA67" s="9"/>
      <c r="AB67" s="7"/>
      <c r="AC67" s="8"/>
      <c r="AD67" s="8"/>
      <c r="AE67" s="9"/>
      <c r="AF67" s="9"/>
      <c r="AG67" s="7"/>
      <c r="AH67" s="8"/>
      <c r="AI67" s="7"/>
      <c r="AJ67" s="9"/>
      <c r="AK67" s="9"/>
      <c r="AM67" s="9">
        <f t="shared" ref="AM67:AM85" si="2">AJ67+AE67+Z67+U67+P67+K67+F67</f>
        <v>0</v>
      </c>
      <c r="AN67" s="9">
        <f t="shared" ref="AN67:AN85" si="3">AK67+AF67+AA67+V67+Q67+L67+G67</f>
        <v>0</v>
      </c>
    </row>
    <row r="68" spans="1:40">
      <c r="B68" s="6" t="s">
        <v>56</v>
      </c>
      <c r="C68" s="7"/>
      <c r="D68" s="8"/>
      <c r="E68" s="8"/>
      <c r="F68" s="9"/>
      <c r="G68" s="9"/>
      <c r="H68" s="7"/>
      <c r="I68" s="8"/>
      <c r="J68" s="8"/>
      <c r="K68" s="9"/>
      <c r="L68" s="9"/>
      <c r="M68" s="10"/>
      <c r="N68" s="8"/>
      <c r="O68" s="8"/>
      <c r="P68" s="9"/>
      <c r="Q68" s="9"/>
      <c r="R68" s="10"/>
      <c r="S68" s="11"/>
      <c r="T68" s="11"/>
      <c r="U68" s="9"/>
      <c r="V68" s="9"/>
      <c r="W68" s="10"/>
      <c r="X68" s="8"/>
      <c r="Y68" s="7"/>
      <c r="Z68" s="9"/>
      <c r="AA68" s="9"/>
      <c r="AB68" s="7"/>
      <c r="AC68" s="8"/>
      <c r="AD68" s="8"/>
      <c r="AE68" s="9"/>
      <c r="AF68" s="9"/>
      <c r="AG68" s="7"/>
      <c r="AH68" s="8"/>
      <c r="AI68" s="7"/>
      <c r="AJ68" s="9"/>
      <c r="AK68" s="9"/>
      <c r="AM68" s="9">
        <f t="shared" si="2"/>
        <v>0</v>
      </c>
      <c r="AN68" s="9">
        <f t="shared" si="3"/>
        <v>0</v>
      </c>
    </row>
    <row r="69" spans="1:40">
      <c r="A69" s="1">
        <v>29</v>
      </c>
      <c r="B69" s="6" t="s">
        <v>57</v>
      </c>
      <c r="C69" s="7"/>
      <c r="D69" s="8"/>
      <c r="E69" s="8"/>
      <c r="F69" s="9"/>
      <c r="G69" s="9"/>
      <c r="H69" s="7"/>
      <c r="I69" s="8"/>
      <c r="J69" s="8"/>
      <c r="K69" s="9"/>
      <c r="L69" s="9"/>
      <c r="M69" s="10"/>
      <c r="N69" s="8"/>
      <c r="O69" s="8"/>
      <c r="P69" s="9"/>
      <c r="Q69" s="9"/>
      <c r="R69" s="10"/>
      <c r="S69" s="11"/>
      <c r="T69" s="11"/>
      <c r="U69" s="9"/>
      <c r="V69" s="9"/>
      <c r="W69" s="10"/>
      <c r="X69" s="8"/>
      <c r="Y69" s="7"/>
      <c r="Z69" s="9"/>
      <c r="AA69" s="9"/>
      <c r="AB69" s="7"/>
      <c r="AC69" s="8"/>
      <c r="AD69" s="8"/>
      <c r="AE69" s="9"/>
      <c r="AF69" s="9"/>
      <c r="AG69" s="7"/>
      <c r="AH69" s="8"/>
      <c r="AI69" s="7"/>
      <c r="AJ69" s="9"/>
      <c r="AK69" s="9"/>
      <c r="AM69" s="9">
        <f t="shared" si="2"/>
        <v>0</v>
      </c>
      <c r="AN69" s="9">
        <f t="shared" si="3"/>
        <v>0</v>
      </c>
    </row>
    <row r="70" spans="1:40">
      <c r="B70" s="6" t="s">
        <v>58</v>
      </c>
      <c r="C70" s="7"/>
      <c r="D70" s="8"/>
      <c r="E70" s="8"/>
      <c r="F70" s="9"/>
      <c r="G70" s="9"/>
      <c r="H70" s="7"/>
      <c r="I70" s="8"/>
      <c r="J70" s="8"/>
      <c r="K70" s="9"/>
      <c r="L70" s="9"/>
      <c r="M70" s="10"/>
      <c r="N70" s="8"/>
      <c r="O70" s="8"/>
      <c r="P70" s="9"/>
      <c r="Q70" s="9"/>
      <c r="R70" s="10"/>
      <c r="S70" s="11"/>
      <c r="T70" s="11"/>
      <c r="U70" s="9"/>
      <c r="V70" s="9"/>
      <c r="W70" s="10"/>
      <c r="X70" s="8"/>
      <c r="Y70" s="7"/>
      <c r="Z70" s="9"/>
      <c r="AA70" s="9"/>
      <c r="AB70" s="7"/>
      <c r="AC70" s="8"/>
      <c r="AD70" s="8"/>
      <c r="AE70" s="9"/>
      <c r="AF70" s="9"/>
      <c r="AG70" s="7"/>
      <c r="AH70" s="8"/>
      <c r="AI70" s="7"/>
      <c r="AJ70" s="9"/>
      <c r="AK70" s="9"/>
      <c r="AM70" s="9">
        <f t="shared" si="2"/>
        <v>0</v>
      </c>
      <c r="AN70" s="9">
        <f t="shared" si="3"/>
        <v>0</v>
      </c>
    </row>
    <row r="71" spans="1:40">
      <c r="B71" s="15" t="s">
        <v>60</v>
      </c>
      <c r="C71" s="7"/>
      <c r="D71" s="8"/>
      <c r="E71" s="8"/>
      <c r="F71" s="9"/>
      <c r="G71" s="9"/>
      <c r="H71" s="7"/>
      <c r="I71" s="8"/>
      <c r="J71" s="8"/>
      <c r="K71" s="9"/>
      <c r="L71" s="9"/>
      <c r="M71" s="10"/>
      <c r="N71" s="8"/>
      <c r="O71" s="8"/>
      <c r="P71" s="9"/>
      <c r="Q71" s="9"/>
      <c r="R71" s="10"/>
      <c r="S71" s="11"/>
      <c r="T71" s="11"/>
      <c r="U71" s="19"/>
      <c r="V71" s="9"/>
      <c r="W71" s="10"/>
      <c r="X71" s="8"/>
      <c r="Y71" s="7"/>
      <c r="Z71" s="9"/>
      <c r="AA71" s="9"/>
      <c r="AB71" s="7"/>
      <c r="AC71" s="8"/>
      <c r="AD71" s="8"/>
      <c r="AE71" s="9"/>
      <c r="AF71" s="9"/>
      <c r="AG71" s="7"/>
      <c r="AH71" s="8"/>
      <c r="AI71" s="7"/>
      <c r="AJ71" s="9"/>
      <c r="AK71" s="9"/>
      <c r="AM71" s="9">
        <f t="shared" si="2"/>
        <v>0</v>
      </c>
      <c r="AN71" s="9">
        <f t="shared" si="3"/>
        <v>0</v>
      </c>
    </row>
    <row r="72" spans="1:40">
      <c r="A72" s="1">
        <v>5</v>
      </c>
      <c r="B72" s="15" t="s">
        <v>91</v>
      </c>
      <c r="C72" s="7"/>
      <c r="D72" s="8"/>
      <c r="E72" s="8"/>
      <c r="F72" s="9"/>
      <c r="G72" s="9"/>
      <c r="H72" s="7"/>
      <c r="I72" s="8"/>
      <c r="J72" s="8"/>
      <c r="K72" s="9"/>
      <c r="L72" s="9"/>
      <c r="M72" s="10"/>
      <c r="N72" s="8"/>
      <c r="O72" s="8"/>
      <c r="P72" s="9"/>
      <c r="Q72" s="9"/>
      <c r="R72" s="10"/>
      <c r="S72" s="11"/>
      <c r="T72" s="11"/>
      <c r="U72" s="9"/>
      <c r="V72" s="9"/>
      <c r="W72" s="10"/>
      <c r="X72" s="8"/>
      <c r="Y72" s="7"/>
      <c r="Z72" s="9"/>
      <c r="AA72" s="9"/>
      <c r="AB72" s="7"/>
      <c r="AC72" s="8"/>
      <c r="AD72" s="8"/>
      <c r="AE72" s="9"/>
      <c r="AF72" s="9"/>
      <c r="AG72" s="7"/>
      <c r="AH72" s="8"/>
      <c r="AI72" s="7"/>
      <c r="AJ72" s="9"/>
      <c r="AK72" s="9"/>
      <c r="AM72" s="9">
        <f t="shared" si="2"/>
        <v>0</v>
      </c>
      <c r="AN72" s="9">
        <f t="shared" si="3"/>
        <v>0</v>
      </c>
    </row>
    <row r="73" spans="1:40">
      <c r="B73" s="20" t="s">
        <v>61</v>
      </c>
      <c r="C73" s="7"/>
      <c r="D73" s="8"/>
      <c r="E73" s="8"/>
      <c r="F73" s="9"/>
      <c r="G73" s="9"/>
      <c r="H73" s="7"/>
      <c r="I73" s="8"/>
      <c r="J73" s="8"/>
      <c r="K73" s="9"/>
      <c r="L73" s="9"/>
      <c r="M73" s="10"/>
      <c r="N73" s="8"/>
      <c r="O73" s="8"/>
      <c r="P73" s="9"/>
      <c r="Q73" s="9"/>
      <c r="R73" s="10"/>
      <c r="S73" s="11"/>
      <c r="T73" s="11"/>
      <c r="U73" s="19"/>
      <c r="V73" s="9"/>
      <c r="W73" s="10"/>
      <c r="X73" s="8"/>
      <c r="Y73" s="7"/>
      <c r="Z73" s="9"/>
      <c r="AA73" s="9"/>
      <c r="AB73" s="7"/>
      <c r="AC73" s="8"/>
      <c r="AD73" s="8"/>
      <c r="AE73" s="9"/>
      <c r="AF73" s="9"/>
      <c r="AG73" s="7"/>
      <c r="AH73" s="8"/>
      <c r="AI73" s="7"/>
      <c r="AJ73" s="9"/>
      <c r="AK73" s="9"/>
      <c r="AM73" s="9">
        <f t="shared" si="2"/>
        <v>0</v>
      </c>
      <c r="AN73" s="9">
        <f t="shared" si="3"/>
        <v>0</v>
      </c>
    </row>
    <row r="74" spans="1:40">
      <c r="B74" s="15" t="s">
        <v>85</v>
      </c>
      <c r="C74" s="7"/>
      <c r="D74" s="8"/>
      <c r="E74" s="8"/>
      <c r="F74" s="9"/>
      <c r="G74" s="9"/>
      <c r="H74" s="7"/>
      <c r="I74" s="8"/>
      <c r="J74" s="8"/>
      <c r="K74" s="9"/>
      <c r="L74" s="9"/>
      <c r="M74" s="10"/>
      <c r="N74" s="8"/>
      <c r="O74" s="8"/>
      <c r="P74" s="9"/>
      <c r="Q74" s="9"/>
      <c r="R74" s="10"/>
      <c r="S74" s="11"/>
      <c r="T74" s="11"/>
      <c r="U74" s="9"/>
      <c r="V74" s="9"/>
      <c r="W74" s="10"/>
      <c r="X74" s="8"/>
      <c r="Y74" s="7"/>
      <c r="Z74" s="9"/>
      <c r="AA74" s="9"/>
      <c r="AB74" s="7"/>
      <c r="AC74" s="8"/>
      <c r="AD74" s="8"/>
      <c r="AE74" s="9"/>
      <c r="AF74" s="9"/>
      <c r="AG74" s="7"/>
      <c r="AH74" s="8"/>
      <c r="AI74" s="7"/>
      <c r="AJ74" s="9"/>
      <c r="AK74" s="9"/>
      <c r="AM74" s="9">
        <f t="shared" si="2"/>
        <v>0</v>
      </c>
      <c r="AN74" s="9">
        <f t="shared" si="3"/>
        <v>0</v>
      </c>
    </row>
    <row r="75" spans="1:40">
      <c r="B75" s="15" t="s">
        <v>62</v>
      </c>
      <c r="C75" s="7"/>
      <c r="D75" s="8"/>
      <c r="E75" s="8"/>
      <c r="F75" s="9"/>
      <c r="G75" s="9"/>
      <c r="H75" s="7"/>
      <c r="I75" s="8"/>
      <c r="J75" s="8"/>
      <c r="K75" s="9"/>
      <c r="L75" s="9"/>
      <c r="M75" s="10"/>
      <c r="N75" s="8"/>
      <c r="O75" s="8"/>
      <c r="P75" s="9"/>
      <c r="Q75" s="9"/>
      <c r="R75" s="10"/>
      <c r="S75" s="11"/>
      <c r="T75" s="11"/>
      <c r="U75" s="9"/>
      <c r="V75" s="9"/>
      <c r="W75" s="10"/>
      <c r="X75" s="8"/>
      <c r="Y75" s="7"/>
      <c r="Z75" s="9"/>
      <c r="AA75" s="9"/>
      <c r="AB75" s="7"/>
      <c r="AC75" s="8"/>
      <c r="AD75" s="8"/>
      <c r="AE75" s="9"/>
      <c r="AF75" s="9"/>
      <c r="AG75" s="7"/>
      <c r="AH75" s="8"/>
      <c r="AI75" s="7"/>
      <c r="AJ75" s="9"/>
      <c r="AK75" s="9"/>
      <c r="AM75" s="9">
        <f t="shared" si="2"/>
        <v>0</v>
      </c>
      <c r="AN75" s="9">
        <f t="shared" si="3"/>
        <v>0</v>
      </c>
    </row>
    <row r="76" spans="1:40">
      <c r="B76" s="15" t="s">
        <v>86</v>
      </c>
      <c r="C76" s="7"/>
      <c r="D76" s="8"/>
      <c r="E76" s="8"/>
      <c r="F76" s="9"/>
      <c r="G76" s="9"/>
      <c r="H76" s="7"/>
      <c r="I76" s="8"/>
      <c r="J76" s="8"/>
      <c r="K76" s="9"/>
      <c r="L76" s="9"/>
      <c r="M76" s="10"/>
      <c r="N76" s="8"/>
      <c r="O76" s="8"/>
      <c r="P76" s="9"/>
      <c r="Q76" s="9"/>
      <c r="R76" s="10"/>
      <c r="S76" s="11"/>
      <c r="T76" s="11"/>
      <c r="U76" s="9"/>
      <c r="V76" s="9"/>
      <c r="W76" s="10"/>
      <c r="X76" s="8"/>
      <c r="Y76" s="7"/>
      <c r="Z76" s="9"/>
      <c r="AA76" s="9"/>
      <c r="AB76" s="7"/>
      <c r="AC76" s="8"/>
      <c r="AD76" s="8"/>
      <c r="AE76" s="9"/>
      <c r="AF76" s="9"/>
      <c r="AG76" s="7"/>
      <c r="AH76" s="8"/>
      <c r="AI76" s="7"/>
      <c r="AJ76" s="9"/>
      <c r="AK76" s="9"/>
      <c r="AM76" s="9">
        <f t="shared" si="2"/>
        <v>0</v>
      </c>
      <c r="AN76" s="9">
        <f t="shared" si="3"/>
        <v>0</v>
      </c>
    </row>
    <row r="77" spans="1:40">
      <c r="B77" s="15" t="s">
        <v>242</v>
      </c>
      <c r="C77" s="7"/>
      <c r="D77" s="8"/>
      <c r="E77" s="8"/>
      <c r="F77" s="9"/>
      <c r="G77" s="9"/>
      <c r="H77" s="7"/>
      <c r="I77" s="8"/>
      <c r="J77" s="8"/>
      <c r="K77" s="9"/>
      <c r="L77" s="9"/>
      <c r="M77" s="10"/>
      <c r="N77" s="8"/>
      <c r="O77" s="8"/>
      <c r="P77" s="9"/>
      <c r="Q77" s="9"/>
      <c r="R77" s="10"/>
      <c r="S77" s="11"/>
      <c r="T77" s="11"/>
      <c r="U77" s="9"/>
      <c r="V77" s="9"/>
      <c r="W77" s="10"/>
      <c r="X77" s="8"/>
      <c r="Y77" s="7"/>
      <c r="Z77" s="9"/>
      <c r="AA77" s="9"/>
      <c r="AB77" s="7"/>
      <c r="AC77" s="8"/>
      <c r="AD77" s="8"/>
      <c r="AE77" s="9"/>
      <c r="AF77" s="9"/>
      <c r="AG77" s="7"/>
      <c r="AH77" s="8"/>
      <c r="AI77" s="7"/>
      <c r="AJ77" s="9"/>
      <c r="AK77" s="9"/>
      <c r="AM77" s="9">
        <f t="shared" si="2"/>
        <v>0</v>
      </c>
      <c r="AN77" s="9">
        <f t="shared" si="3"/>
        <v>0</v>
      </c>
    </row>
    <row r="78" spans="1:40">
      <c r="B78" s="15" t="s">
        <v>63</v>
      </c>
      <c r="C78" s="7"/>
      <c r="D78" s="8"/>
      <c r="E78" s="8"/>
      <c r="F78" s="9"/>
      <c r="G78" s="9"/>
      <c r="H78" s="7"/>
      <c r="I78" s="8"/>
      <c r="J78" s="8"/>
      <c r="K78" s="9"/>
      <c r="L78" s="9"/>
      <c r="M78" s="10"/>
      <c r="N78" s="8"/>
      <c r="O78" s="8"/>
      <c r="P78" s="9"/>
      <c r="Q78" s="9"/>
      <c r="R78" s="10"/>
      <c r="S78" s="11"/>
      <c r="T78" s="11"/>
      <c r="U78" s="9"/>
      <c r="V78" s="9"/>
      <c r="W78" s="10"/>
      <c r="X78" s="8"/>
      <c r="Y78" s="7"/>
      <c r="Z78" s="9"/>
      <c r="AA78" s="9"/>
      <c r="AB78" s="7"/>
      <c r="AC78" s="8"/>
      <c r="AD78" s="8"/>
      <c r="AE78" s="9"/>
      <c r="AF78" s="9"/>
      <c r="AG78" s="7"/>
      <c r="AH78" s="8"/>
      <c r="AI78" s="7"/>
      <c r="AJ78" s="9"/>
      <c r="AK78" s="9"/>
      <c r="AM78" s="9">
        <f t="shared" si="2"/>
        <v>0</v>
      </c>
      <c r="AN78" s="9">
        <f t="shared" si="3"/>
        <v>0</v>
      </c>
    </row>
    <row r="79" spans="1:40">
      <c r="A79" s="1">
        <v>54</v>
      </c>
      <c r="B79" s="15" t="s">
        <v>64</v>
      </c>
      <c r="C79" s="7"/>
      <c r="D79" s="8"/>
      <c r="E79" s="8"/>
      <c r="F79" s="9"/>
      <c r="G79" s="9"/>
      <c r="H79" s="7"/>
      <c r="I79" s="8"/>
      <c r="J79" s="8"/>
      <c r="K79" s="9"/>
      <c r="L79" s="9"/>
      <c r="M79" s="10"/>
      <c r="N79" s="8"/>
      <c r="O79" s="8"/>
      <c r="P79" s="9"/>
      <c r="Q79" s="9"/>
      <c r="R79" s="10"/>
      <c r="S79" s="11"/>
      <c r="T79" s="11"/>
      <c r="U79" s="9"/>
      <c r="V79" s="9"/>
      <c r="W79" s="10"/>
      <c r="X79" s="8"/>
      <c r="Y79" s="7"/>
      <c r="Z79" s="9"/>
      <c r="AA79" s="9"/>
      <c r="AB79" s="7"/>
      <c r="AC79" s="8"/>
      <c r="AD79" s="8"/>
      <c r="AE79" s="9"/>
      <c r="AF79" s="9"/>
      <c r="AG79" s="7"/>
      <c r="AH79" s="8"/>
      <c r="AI79" s="7"/>
      <c r="AJ79" s="9"/>
      <c r="AK79" s="9"/>
      <c r="AM79" s="9">
        <f t="shared" si="2"/>
        <v>0</v>
      </c>
      <c r="AN79" s="9">
        <f t="shared" si="3"/>
        <v>0</v>
      </c>
    </row>
    <row r="80" spans="1:40">
      <c r="B80" s="15" t="s">
        <v>65</v>
      </c>
      <c r="C80" s="7"/>
      <c r="D80" s="8"/>
      <c r="E80" s="8"/>
      <c r="F80" s="9"/>
      <c r="G80" s="9"/>
      <c r="H80" s="7"/>
      <c r="I80" s="8"/>
      <c r="J80" s="8"/>
      <c r="K80" s="9"/>
      <c r="L80" s="9"/>
      <c r="M80" s="10"/>
      <c r="N80" s="8"/>
      <c r="O80" s="8"/>
      <c r="P80" s="9"/>
      <c r="Q80" s="9"/>
      <c r="R80" s="10"/>
      <c r="S80" s="11"/>
      <c r="T80" s="11"/>
      <c r="U80" s="9"/>
      <c r="V80" s="9"/>
      <c r="W80" s="10"/>
      <c r="X80" s="8"/>
      <c r="Y80" s="7"/>
      <c r="Z80" s="9"/>
      <c r="AA80" s="9"/>
      <c r="AB80" s="7"/>
      <c r="AC80" s="8"/>
      <c r="AD80" s="8"/>
      <c r="AE80" s="9"/>
      <c r="AF80" s="9"/>
      <c r="AG80" s="7"/>
      <c r="AH80" s="8"/>
      <c r="AI80" s="7"/>
      <c r="AJ80" s="9"/>
      <c r="AK80" s="9"/>
      <c r="AM80" s="9">
        <f t="shared" si="2"/>
        <v>0</v>
      </c>
      <c r="AN80" s="9">
        <f t="shared" si="3"/>
        <v>0</v>
      </c>
    </row>
    <row r="81" spans="2:40">
      <c r="B81" s="15" t="s">
        <v>66</v>
      </c>
      <c r="C81" s="7"/>
      <c r="D81" s="8"/>
      <c r="E81" s="8"/>
      <c r="F81" s="9"/>
      <c r="G81" s="9"/>
      <c r="H81" s="7"/>
      <c r="I81" s="8"/>
      <c r="J81" s="8"/>
      <c r="K81" s="9"/>
      <c r="L81" s="9"/>
      <c r="M81" s="10"/>
      <c r="N81" s="8"/>
      <c r="O81" s="8"/>
      <c r="P81" s="9"/>
      <c r="Q81" s="9"/>
      <c r="R81" s="10"/>
      <c r="S81" s="11"/>
      <c r="T81" s="11"/>
      <c r="U81" s="9"/>
      <c r="V81" s="9"/>
      <c r="W81" s="10"/>
      <c r="X81" s="8"/>
      <c r="Y81" s="7"/>
      <c r="Z81" s="9"/>
      <c r="AA81" s="9"/>
      <c r="AB81" s="7"/>
      <c r="AC81" s="8"/>
      <c r="AD81" s="8"/>
      <c r="AE81" s="9"/>
      <c r="AF81" s="9"/>
      <c r="AG81" s="7"/>
      <c r="AH81" s="8"/>
      <c r="AI81" s="7"/>
      <c r="AJ81" s="9"/>
      <c r="AK81" s="9"/>
      <c r="AM81" s="9">
        <f t="shared" si="2"/>
        <v>0</v>
      </c>
      <c r="AN81" s="9">
        <f t="shared" si="3"/>
        <v>0</v>
      </c>
    </row>
    <row r="82" spans="2:40">
      <c r="B82" s="15" t="s">
        <v>67</v>
      </c>
      <c r="C82" s="7"/>
      <c r="D82" s="8"/>
      <c r="E82" s="8"/>
      <c r="F82" s="9"/>
      <c r="G82" s="9"/>
      <c r="H82" s="7"/>
      <c r="I82" s="8"/>
      <c r="J82" s="8"/>
      <c r="K82" s="9"/>
      <c r="L82" s="9"/>
      <c r="M82" s="10"/>
      <c r="N82" s="8"/>
      <c r="O82" s="8"/>
      <c r="P82" s="9"/>
      <c r="Q82" s="9"/>
      <c r="R82" s="10"/>
      <c r="S82" s="11"/>
      <c r="T82" s="11"/>
      <c r="U82" s="19"/>
      <c r="V82" s="9"/>
      <c r="W82" s="10"/>
      <c r="X82" s="8"/>
      <c r="Y82" s="7"/>
      <c r="Z82" s="9"/>
      <c r="AA82" s="9"/>
      <c r="AB82" s="7"/>
      <c r="AC82" s="8"/>
      <c r="AD82" s="8"/>
      <c r="AE82" s="9"/>
      <c r="AF82" s="9"/>
      <c r="AG82" s="7"/>
      <c r="AH82" s="8"/>
      <c r="AI82" s="7"/>
      <c r="AJ82" s="9"/>
      <c r="AK82" s="9"/>
      <c r="AM82" s="9">
        <f t="shared" si="2"/>
        <v>0</v>
      </c>
      <c r="AN82" s="9">
        <f t="shared" si="3"/>
        <v>0</v>
      </c>
    </row>
    <row r="83" spans="2:40">
      <c r="B83" s="15" t="s">
        <v>70</v>
      </c>
      <c r="C83" s="7"/>
      <c r="D83" s="8"/>
      <c r="E83" s="8"/>
      <c r="F83" s="9"/>
      <c r="G83" s="9"/>
      <c r="H83" s="7"/>
      <c r="I83" s="8"/>
      <c r="J83" s="8"/>
      <c r="K83" s="9"/>
      <c r="L83" s="9"/>
      <c r="M83" s="10"/>
      <c r="N83" s="8"/>
      <c r="O83" s="8"/>
      <c r="P83" s="9"/>
      <c r="Q83" s="9"/>
      <c r="R83" s="10"/>
      <c r="S83" s="11"/>
      <c r="T83" s="11"/>
      <c r="U83" s="9"/>
      <c r="V83" s="9"/>
      <c r="W83" s="10"/>
      <c r="X83" s="8"/>
      <c r="Y83" s="7"/>
      <c r="Z83" s="9"/>
      <c r="AA83" s="9"/>
      <c r="AB83" s="7"/>
      <c r="AC83" s="8"/>
      <c r="AD83" s="8"/>
      <c r="AE83" s="9"/>
      <c r="AF83" s="9"/>
      <c r="AG83" s="7"/>
      <c r="AH83" s="8"/>
      <c r="AI83" s="7"/>
      <c r="AJ83" s="9"/>
      <c r="AK83" s="9"/>
      <c r="AM83" s="9">
        <f t="shared" si="2"/>
        <v>0</v>
      </c>
      <c r="AN83" s="9">
        <f t="shared" si="3"/>
        <v>0</v>
      </c>
    </row>
    <row r="84" spans="2:40">
      <c r="B84" s="15" t="s">
        <v>76</v>
      </c>
      <c r="C84" s="7"/>
      <c r="D84" s="8"/>
      <c r="E84" s="8"/>
      <c r="F84" s="9"/>
      <c r="G84" s="9"/>
      <c r="H84" s="7"/>
      <c r="I84" s="8"/>
      <c r="J84" s="8"/>
      <c r="K84" s="9"/>
      <c r="L84" s="9"/>
      <c r="M84" s="10"/>
      <c r="N84" s="8"/>
      <c r="O84" s="8"/>
      <c r="P84" s="9"/>
      <c r="Q84" s="9"/>
      <c r="R84" s="10"/>
      <c r="S84" s="11"/>
      <c r="T84" s="11"/>
      <c r="U84" s="19"/>
      <c r="V84" s="9"/>
      <c r="W84" s="10"/>
      <c r="X84" s="8"/>
      <c r="Y84" s="7"/>
      <c r="Z84" s="9"/>
      <c r="AA84" s="9"/>
      <c r="AB84" s="7"/>
      <c r="AC84" s="8"/>
      <c r="AD84" s="8"/>
      <c r="AE84" s="9"/>
      <c r="AF84" s="9"/>
      <c r="AG84" s="7"/>
      <c r="AH84" s="8"/>
      <c r="AI84" s="7"/>
      <c r="AJ84" s="9"/>
      <c r="AK84" s="9"/>
      <c r="AM84" s="9">
        <f t="shared" si="2"/>
        <v>0</v>
      </c>
      <c r="AN84" s="9">
        <f t="shared" si="3"/>
        <v>0</v>
      </c>
    </row>
    <row r="85" spans="2:40">
      <c r="B85" s="15" t="s">
        <v>69</v>
      </c>
      <c r="C85" s="7"/>
      <c r="D85" s="8"/>
      <c r="E85" s="8"/>
      <c r="F85" s="9"/>
      <c r="G85" s="9"/>
      <c r="H85" s="7"/>
      <c r="I85" s="8"/>
      <c r="J85" s="8"/>
      <c r="K85" s="9"/>
      <c r="L85" s="9"/>
      <c r="M85" s="10"/>
      <c r="N85" s="8"/>
      <c r="O85" s="8"/>
      <c r="P85" s="9"/>
      <c r="Q85" s="9"/>
      <c r="R85" s="10"/>
      <c r="S85" s="11"/>
      <c r="T85" s="11"/>
      <c r="U85" s="9"/>
      <c r="V85" s="9"/>
      <c r="W85" s="10"/>
      <c r="X85" s="8"/>
      <c r="Y85" s="7"/>
      <c r="Z85" s="9"/>
      <c r="AA85" s="9"/>
      <c r="AB85" s="7"/>
      <c r="AC85" s="8"/>
      <c r="AD85" s="8"/>
      <c r="AE85" s="9"/>
      <c r="AF85" s="9"/>
      <c r="AG85" s="7"/>
      <c r="AH85" s="8"/>
      <c r="AI85" s="7"/>
      <c r="AJ85" s="9"/>
      <c r="AK85" s="9"/>
      <c r="AM85" s="9">
        <f t="shared" si="2"/>
        <v>0</v>
      </c>
      <c r="AN85" s="9">
        <f t="shared" si="3"/>
        <v>0</v>
      </c>
    </row>
  </sheetData>
  <autoFilter ref="A1:B84" xr:uid="{00000000-0009-0000-0000-000002000000}">
    <sortState xmlns:xlrd2="http://schemas.microsoft.com/office/spreadsheetml/2017/richdata2" ref="A32:B80">
      <sortCondition ref="B1:B86"/>
    </sortState>
  </autoFilter>
  <printOptions horizontalCentered="1" verticalCentered="1"/>
  <pageMargins left="0" right="0" top="0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86"/>
  <sheetViews>
    <sheetView rightToLeft="1" topLeftCell="B31" workbookViewId="0">
      <pane xSplit="1" topLeftCell="AR1" activePane="topRight" state="frozen"/>
      <selection activeCell="AG76" sqref="AG76:AK76"/>
      <selection pane="topRight" activeCell="AY52" sqref="AY52"/>
    </sheetView>
  </sheetViews>
  <sheetFormatPr defaultColWidth="9" defaultRowHeight="18.75"/>
  <cols>
    <col min="1" max="1" width="4.85546875" style="1" hidden="1" customWidth="1"/>
    <col min="2" max="2" width="28.42578125" customWidth="1"/>
    <col min="3" max="3" width="15.5703125" customWidth="1"/>
    <col min="4" max="4" width="36.42578125" customWidth="1"/>
    <col min="5" max="5" width="29.5703125" customWidth="1"/>
    <col min="6" max="6" width="11.5703125" customWidth="1"/>
    <col min="7" max="7" width="12.85546875" customWidth="1"/>
    <col min="8" max="8" width="12" customWidth="1"/>
    <col min="9" max="10" width="29.5703125" customWidth="1"/>
    <col min="11" max="11" width="11.5703125" customWidth="1"/>
    <col min="12" max="12" width="12.85546875" customWidth="1"/>
    <col min="13" max="13" width="12" customWidth="1"/>
    <col min="14" max="14" width="35.42578125" customWidth="1"/>
    <col min="15" max="15" width="29.5703125" customWidth="1"/>
    <col min="16" max="16" width="11.5703125" customWidth="1"/>
    <col min="17" max="17" width="12.85546875" customWidth="1"/>
    <col min="18" max="18" width="12" customWidth="1"/>
    <col min="19" max="19" width="42.42578125" customWidth="1"/>
    <col min="20" max="20" width="29.5703125" customWidth="1"/>
    <col min="21" max="21" width="11.5703125" customWidth="1"/>
    <col min="22" max="22" width="12.85546875" customWidth="1"/>
    <col min="23" max="23" width="12" customWidth="1"/>
    <col min="24" max="25" width="29.5703125" customWidth="1"/>
    <col min="26" max="26" width="11.5703125" customWidth="1"/>
    <col min="27" max="27" width="12.85546875" customWidth="1"/>
    <col min="28" max="28" width="12" customWidth="1"/>
    <col min="29" max="30" width="29.5703125" customWidth="1"/>
    <col min="31" max="32" width="11.5703125" customWidth="1"/>
    <col min="33" max="33" width="12.85546875" customWidth="1"/>
    <col min="34" max="34" width="34.42578125" customWidth="1"/>
    <col min="35" max="35" width="33.28515625" customWidth="1"/>
    <col min="36" max="38" width="12.85546875" customWidth="1"/>
    <col min="39" max="39" width="27" customWidth="1"/>
    <col min="40" max="43" width="23.140625" customWidth="1"/>
    <col min="44" max="45" width="29.5703125" customWidth="1"/>
    <col min="46" max="46" width="11.5703125" customWidth="1"/>
    <col min="47" max="47" width="12.85546875" customWidth="1"/>
    <col min="48" max="48" width="16.28515625" customWidth="1"/>
    <col min="49" max="49" width="17.140625" customWidth="1"/>
    <col min="50" max="50" width="15.42578125" customWidth="1"/>
    <col min="51" max="51" width="17.140625" customWidth="1"/>
  </cols>
  <sheetData>
    <row r="1" spans="1:51" ht="63">
      <c r="A1" s="1" t="s">
        <v>0</v>
      </c>
      <c r="B1" s="2" t="s">
        <v>1</v>
      </c>
      <c r="C1" s="3" t="s">
        <v>2</v>
      </c>
      <c r="D1" s="4">
        <v>46154</v>
      </c>
      <c r="E1" s="4">
        <v>46154</v>
      </c>
      <c r="F1" s="5" t="s">
        <v>3</v>
      </c>
      <c r="G1" s="5" t="s">
        <v>4</v>
      </c>
      <c r="H1" s="3" t="s">
        <v>2</v>
      </c>
      <c r="I1" s="4">
        <v>46155</v>
      </c>
      <c r="J1" s="4">
        <v>46155</v>
      </c>
      <c r="K1" s="5" t="s">
        <v>3</v>
      </c>
      <c r="L1" s="5" t="s">
        <v>4</v>
      </c>
      <c r="M1" s="3" t="s">
        <v>2</v>
      </c>
      <c r="N1" s="4">
        <v>46156</v>
      </c>
      <c r="O1" s="4">
        <v>46156</v>
      </c>
      <c r="P1" s="5" t="s">
        <v>3</v>
      </c>
      <c r="Q1" s="5" t="s">
        <v>4</v>
      </c>
      <c r="R1" s="3" t="s">
        <v>2</v>
      </c>
      <c r="S1" s="4">
        <v>46157</v>
      </c>
      <c r="T1" s="4">
        <v>46156</v>
      </c>
      <c r="U1" s="5" t="s">
        <v>3</v>
      </c>
      <c r="V1" s="5" t="s">
        <v>4</v>
      </c>
      <c r="W1" s="3" t="s">
        <v>2</v>
      </c>
      <c r="X1" s="4">
        <v>46158</v>
      </c>
      <c r="Y1" s="4">
        <v>46158</v>
      </c>
      <c r="Z1" s="5" t="s">
        <v>3</v>
      </c>
      <c r="AA1" s="5" t="s">
        <v>4</v>
      </c>
      <c r="AB1" s="3" t="s">
        <v>2</v>
      </c>
      <c r="AC1" s="4">
        <v>46159</v>
      </c>
      <c r="AD1" s="4">
        <v>46159</v>
      </c>
      <c r="AE1" s="5" t="s">
        <v>3</v>
      </c>
      <c r="AF1" s="5" t="s">
        <v>4</v>
      </c>
      <c r="AG1" s="3" t="s">
        <v>2</v>
      </c>
      <c r="AH1" s="4">
        <v>46160</v>
      </c>
      <c r="AI1" s="4">
        <v>46160</v>
      </c>
      <c r="AJ1" s="5" t="s">
        <v>3</v>
      </c>
      <c r="AK1" s="5" t="s">
        <v>4</v>
      </c>
      <c r="AL1" s="3" t="s">
        <v>2</v>
      </c>
      <c r="AM1" s="4">
        <v>46161</v>
      </c>
      <c r="AN1" s="4">
        <v>46161</v>
      </c>
      <c r="AO1" s="5" t="s">
        <v>3</v>
      </c>
      <c r="AP1" s="5" t="s">
        <v>4</v>
      </c>
      <c r="AQ1" s="3" t="s">
        <v>2</v>
      </c>
      <c r="AR1" s="4">
        <v>46162</v>
      </c>
      <c r="AS1" s="4">
        <v>46162</v>
      </c>
      <c r="AT1" s="5" t="s">
        <v>3</v>
      </c>
      <c r="AU1" s="5" t="s">
        <v>4</v>
      </c>
      <c r="AV1" s="3" t="s">
        <v>5</v>
      </c>
      <c r="AW1" s="5" t="s">
        <v>6</v>
      </c>
      <c r="AX1" s="3" t="s">
        <v>71</v>
      </c>
      <c r="AY1" s="3" t="s">
        <v>72</v>
      </c>
    </row>
    <row r="2" spans="1:51" ht="21">
      <c r="A2" s="1">
        <v>2</v>
      </c>
      <c r="B2" s="6" t="s">
        <v>7</v>
      </c>
      <c r="C2" s="7"/>
      <c r="D2" s="8"/>
      <c r="E2" s="8"/>
      <c r="F2" s="9"/>
      <c r="G2" s="9"/>
      <c r="H2" s="7"/>
      <c r="I2" s="11"/>
      <c r="J2" s="13"/>
      <c r="K2" s="9"/>
      <c r="L2" s="9"/>
      <c r="M2" s="7"/>
      <c r="N2" s="11"/>
      <c r="O2" s="11"/>
      <c r="P2" s="9"/>
      <c r="Q2" s="9"/>
      <c r="R2" s="7"/>
      <c r="S2" s="11"/>
      <c r="T2" s="11"/>
      <c r="U2" s="9"/>
      <c r="V2" s="9"/>
      <c r="W2" s="7"/>
      <c r="X2" s="11"/>
      <c r="Y2" s="8"/>
      <c r="Z2" s="9"/>
      <c r="AA2" s="9"/>
      <c r="AB2" s="10"/>
      <c r="AC2" s="8"/>
      <c r="AD2" s="11"/>
      <c r="AE2" s="9"/>
      <c r="AF2" s="9"/>
      <c r="AG2" s="8"/>
      <c r="AH2" s="11"/>
      <c r="AI2" s="10"/>
      <c r="AJ2" s="9"/>
      <c r="AK2" s="9"/>
      <c r="AL2" s="10"/>
      <c r="AM2" s="8"/>
      <c r="AN2" s="10"/>
      <c r="AO2" s="9"/>
      <c r="AP2" s="9"/>
      <c r="AQ2" s="10"/>
      <c r="AR2" s="8"/>
      <c r="AS2" s="11"/>
      <c r="AT2" s="9"/>
      <c r="AU2" s="9"/>
      <c r="AV2" s="9">
        <f>AT2+AE2+Z2+U2+P2+K2+F2</f>
        <v>0</v>
      </c>
      <c r="AW2" s="9">
        <f>AU2+AG2+AA2+V2+Q2+L2+G2</f>
        <v>0</v>
      </c>
      <c r="AX2" s="18">
        <f>AV2+'تحليل الاداء  '!AM2+'تحليل الاداء '!AM2+'تحليل الاداء'!AM2</f>
        <v>14</v>
      </c>
      <c r="AY2" s="18">
        <f>AW2+'تحليل الاداء  '!AN2+'تحليل الاداء '!AN2+'تحليل الاداء'!AN2</f>
        <v>22</v>
      </c>
    </row>
    <row r="3" spans="1:51" ht="21">
      <c r="A3" s="1">
        <v>3</v>
      </c>
      <c r="B3" s="6" t="s">
        <v>8</v>
      </c>
      <c r="C3" s="7"/>
      <c r="D3" s="8"/>
      <c r="E3" s="8"/>
      <c r="F3" s="9"/>
      <c r="G3" s="9"/>
      <c r="H3" s="7"/>
      <c r="I3" s="11"/>
      <c r="J3" s="13"/>
      <c r="K3" s="9"/>
      <c r="L3" s="9"/>
      <c r="M3" s="7"/>
      <c r="N3" s="11"/>
      <c r="O3" s="11"/>
      <c r="P3" s="9"/>
      <c r="Q3" s="9"/>
      <c r="R3" s="7"/>
      <c r="S3" s="11"/>
      <c r="T3" s="11"/>
      <c r="U3" s="9"/>
      <c r="V3" s="9"/>
      <c r="W3" s="7"/>
      <c r="X3" s="11"/>
      <c r="Y3" s="8"/>
      <c r="Z3" s="9"/>
      <c r="AA3" s="9"/>
      <c r="AB3" s="10"/>
      <c r="AC3" s="8"/>
      <c r="AD3" s="11"/>
      <c r="AE3" s="9"/>
      <c r="AF3" s="9"/>
      <c r="AG3" s="8"/>
      <c r="AH3" s="11"/>
      <c r="AI3" s="10"/>
      <c r="AJ3" s="9"/>
      <c r="AK3" s="9"/>
      <c r="AL3" s="10"/>
      <c r="AM3" s="8"/>
      <c r="AN3" s="10"/>
      <c r="AO3" s="9"/>
      <c r="AP3" s="9"/>
      <c r="AQ3" s="10"/>
      <c r="AR3" s="8"/>
      <c r="AS3" s="11"/>
      <c r="AT3" s="9"/>
      <c r="AU3" s="9"/>
      <c r="AV3" s="9">
        <f t="shared" ref="AV3:AV66" si="0">AT3+AE3+Z3+U3+P3+K3+F3</f>
        <v>0</v>
      </c>
      <c r="AW3" s="9">
        <f t="shared" ref="AW3:AW66" si="1">AU3+AG3+AA3+V3+Q3+L3+G3</f>
        <v>0</v>
      </c>
      <c r="AX3" s="19">
        <f>AV3+'تحليل الاداء  '!AM3+'تحليل الاداء '!AM3+'تحليل الاداء'!AM3</f>
        <v>15</v>
      </c>
      <c r="AY3" s="19">
        <f>AW3+'تحليل الاداء  '!AN3+'تحليل الاداء '!AN3+'تحليل الاداء'!AN3</f>
        <v>22</v>
      </c>
    </row>
    <row r="4" spans="1:51" ht="18.75" customHeight="1">
      <c r="A4" s="1">
        <v>4</v>
      </c>
      <c r="B4" s="6" t="s">
        <v>9</v>
      </c>
      <c r="C4" s="7"/>
      <c r="D4" s="8"/>
      <c r="E4" s="8"/>
      <c r="F4" s="9"/>
      <c r="G4" s="9"/>
      <c r="H4" s="7"/>
      <c r="I4" s="11"/>
      <c r="J4" s="13"/>
      <c r="K4" s="9"/>
      <c r="L4" s="9"/>
      <c r="M4" s="7"/>
      <c r="N4" s="11"/>
      <c r="O4" s="11"/>
      <c r="P4" s="9"/>
      <c r="Q4" s="9"/>
      <c r="R4" s="7"/>
      <c r="S4" s="11"/>
      <c r="T4" s="11"/>
      <c r="U4" s="9"/>
      <c r="V4" s="9"/>
      <c r="W4" s="7"/>
      <c r="X4" s="11"/>
      <c r="Y4" s="8"/>
      <c r="Z4" s="9"/>
      <c r="AA4" s="9"/>
      <c r="AB4" s="10"/>
      <c r="AC4" s="8"/>
      <c r="AD4" s="11"/>
      <c r="AE4" s="9"/>
      <c r="AF4" s="9"/>
      <c r="AG4" s="8"/>
      <c r="AH4" s="11"/>
      <c r="AI4" s="10"/>
      <c r="AJ4" s="9"/>
      <c r="AK4" s="9"/>
      <c r="AL4" s="10"/>
      <c r="AM4" s="8"/>
      <c r="AN4" s="10"/>
      <c r="AO4" s="9"/>
      <c r="AP4" s="9"/>
      <c r="AQ4" s="10"/>
      <c r="AR4" s="8"/>
      <c r="AS4" s="11"/>
      <c r="AT4" s="9"/>
      <c r="AU4" s="9"/>
      <c r="AV4" s="9">
        <f t="shared" si="0"/>
        <v>0</v>
      </c>
      <c r="AW4" s="9">
        <f t="shared" si="1"/>
        <v>0</v>
      </c>
      <c r="AX4" s="19">
        <f>AV4+'تحليل الاداء  '!AM4+'تحليل الاداء '!AM4+'تحليل الاداء'!AM4</f>
        <v>6</v>
      </c>
      <c r="AY4" s="19">
        <f>AW4+'تحليل الاداء  '!AN4+'تحليل الاداء '!AN4+'تحليل الاداء'!AN4</f>
        <v>7</v>
      </c>
    </row>
    <row r="5" spans="1:51" ht="21">
      <c r="A5" s="1">
        <v>7</v>
      </c>
      <c r="B5" s="6" t="s">
        <v>10</v>
      </c>
      <c r="C5" s="7"/>
      <c r="D5" s="8"/>
      <c r="E5" s="8"/>
      <c r="F5" s="9"/>
      <c r="G5" s="9"/>
      <c r="H5" s="7"/>
      <c r="I5" s="11"/>
      <c r="J5" s="13"/>
      <c r="K5" s="9"/>
      <c r="L5" s="9"/>
      <c r="M5" s="7"/>
      <c r="N5" s="11"/>
      <c r="O5" s="11"/>
      <c r="P5" s="9"/>
      <c r="Q5" s="9"/>
      <c r="R5" s="7"/>
      <c r="S5" s="11"/>
      <c r="T5" s="11"/>
      <c r="U5" s="9"/>
      <c r="V5" s="9"/>
      <c r="W5" s="7"/>
      <c r="X5" s="11"/>
      <c r="Y5" s="8"/>
      <c r="Z5" s="9"/>
      <c r="AA5" s="9"/>
      <c r="AB5" s="10"/>
      <c r="AC5" s="8"/>
      <c r="AD5" s="11"/>
      <c r="AE5" s="9"/>
      <c r="AF5" s="9"/>
      <c r="AG5" s="8"/>
      <c r="AH5" s="11"/>
      <c r="AI5" s="10"/>
      <c r="AJ5" s="9"/>
      <c r="AK5" s="9"/>
      <c r="AL5" s="10"/>
      <c r="AM5" s="8"/>
      <c r="AN5" s="10"/>
      <c r="AO5" s="9"/>
      <c r="AP5" s="9"/>
      <c r="AQ5" s="10"/>
      <c r="AR5" s="8"/>
      <c r="AS5" s="11"/>
      <c r="AT5" s="9"/>
      <c r="AU5" s="9"/>
      <c r="AV5" s="9">
        <f t="shared" si="0"/>
        <v>0</v>
      </c>
      <c r="AW5" s="9">
        <f t="shared" si="1"/>
        <v>0</v>
      </c>
      <c r="AX5" s="19">
        <f>AV5+'تحليل الاداء  '!AM5+'تحليل الاداء '!AM5+'تحليل الاداء'!AM5</f>
        <v>10</v>
      </c>
      <c r="AY5" s="19">
        <f>AW5+'تحليل الاداء  '!AN5+'تحليل الاداء '!AN5+'تحليل الاداء'!AN5</f>
        <v>17</v>
      </c>
    </row>
    <row r="6" spans="1:51" ht="21">
      <c r="B6" s="6" t="s">
        <v>82</v>
      </c>
      <c r="C6" s="7"/>
      <c r="D6" s="8"/>
      <c r="E6" s="8"/>
      <c r="F6" s="9"/>
      <c r="G6" s="9"/>
      <c r="H6" s="7"/>
      <c r="I6" s="11"/>
      <c r="J6" s="13"/>
      <c r="K6" s="9"/>
      <c r="L6" s="9"/>
      <c r="M6" s="7"/>
      <c r="N6" s="11"/>
      <c r="O6" s="11"/>
      <c r="P6" s="9"/>
      <c r="Q6" s="9"/>
      <c r="R6" s="7"/>
      <c r="S6" s="11"/>
      <c r="T6" s="11"/>
      <c r="U6" s="9"/>
      <c r="V6" s="9"/>
      <c r="W6" s="7"/>
      <c r="X6" s="11"/>
      <c r="Y6" s="8"/>
      <c r="Z6" s="9"/>
      <c r="AA6" s="9"/>
      <c r="AB6" s="10"/>
      <c r="AC6" s="8"/>
      <c r="AD6" s="11"/>
      <c r="AE6" s="9"/>
      <c r="AF6" s="9"/>
      <c r="AG6" s="8"/>
      <c r="AH6" s="11"/>
      <c r="AI6" s="10"/>
      <c r="AJ6" s="9"/>
      <c r="AK6" s="9"/>
      <c r="AL6" s="10"/>
      <c r="AM6" s="8"/>
      <c r="AN6" s="10"/>
      <c r="AO6" s="9"/>
      <c r="AP6" s="9"/>
      <c r="AQ6" s="10"/>
      <c r="AR6" s="8"/>
      <c r="AS6" s="11"/>
      <c r="AT6" s="9"/>
      <c r="AU6" s="9"/>
      <c r="AV6" s="9">
        <f t="shared" si="0"/>
        <v>0</v>
      </c>
      <c r="AW6" s="9">
        <f t="shared" si="1"/>
        <v>0</v>
      </c>
      <c r="AX6" s="19">
        <f>AV6+'تحليل الاداء  '!AM6+'تحليل الاداء '!AM6+'تحليل الاداء'!AM6</f>
        <v>15</v>
      </c>
      <c r="AY6" s="19">
        <f>AW6+'تحليل الاداء  '!AN6+'تحليل الاداء '!AN6+'تحليل الاداء'!AN6</f>
        <v>25</v>
      </c>
    </row>
    <row r="7" spans="1:51" ht="21">
      <c r="A7" s="1">
        <v>8</v>
      </c>
      <c r="B7" s="6" t="s">
        <v>11</v>
      </c>
      <c r="C7" s="7"/>
      <c r="D7" s="8"/>
      <c r="E7" s="8"/>
      <c r="F7" s="9"/>
      <c r="G7" s="9"/>
      <c r="H7" s="7"/>
      <c r="I7" s="11"/>
      <c r="J7" s="13"/>
      <c r="K7" s="9"/>
      <c r="L7" s="9"/>
      <c r="M7" s="7"/>
      <c r="N7" s="11"/>
      <c r="O7" s="11"/>
      <c r="P7" s="9"/>
      <c r="Q7" s="9"/>
      <c r="R7" s="7"/>
      <c r="S7" s="11"/>
      <c r="T7" s="11"/>
      <c r="U7" s="9"/>
      <c r="V7" s="9"/>
      <c r="W7" s="7"/>
      <c r="X7" s="11"/>
      <c r="Y7" s="8"/>
      <c r="Z7" s="9"/>
      <c r="AA7" s="9"/>
      <c r="AB7" s="10"/>
      <c r="AC7" s="8"/>
      <c r="AD7" s="11"/>
      <c r="AE7" s="9"/>
      <c r="AF7" s="9"/>
      <c r="AG7" s="8"/>
      <c r="AH7" s="11"/>
      <c r="AI7" s="10"/>
      <c r="AJ7" s="9"/>
      <c r="AK7" s="9"/>
      <c r="AL7" s="10"/>
      <c r="AM7" s="8"/>
      <c r="AN7" s="10"/>
      <c r="AO7" s="9"/>
      <c r="AP7" s="9"/>
      <c r="AQ7" s="10"/>
      <c r="AR7" s="8"/>
      <c r="AS7" s="11"/>
      <c r="AT7" s="9"/>
      <c r="AU7" s="9"/>
      <c r="AV7" s="9">
        <f t="shared" si="0"/>
        <v>0</v>
      </c>
      <c r="AW7" s="9">
        <f t="shared" si="1"/>
        <v>0</v>
      </c>
      <c r="AX7" s="19">
        <f>AV7+'تحليل الاداء  '!AM7+'تحليل الاداء '!AM7+'تحليل الاداء'!AM7</f>
        <v>4</v>
      </c>
      <c r="AY7" s="19">
        <f>AW7+'تحليل الاداء  '!AN7+'تحليل الاداء '!AN7+'تحليل الاداء'!AN7</f>
        <v>5</v>
      </c>
    </row>
    <row r="8" spans="1:51" ht="21">
      <c r="A8" s="1">
        <v>10</v>
      </c>
      <c r="B8" s="6" t="s">
        <v>12</v>
      </c>
      <c r="C8" s="7"/>
      <c r="D8" s="8"/>
      <c r="E8" s="8"/>
      <c r="F8" s="9"/>
      <c r="G8" s="9"/>
      <c r="H8" s="7"/>
      <c r="I8" s="11"/>
      <c r="J8" s="13"/>
      <c r="K8" s="9"/>
      <c r="L8" s="9"/>
      <c r="M8" s="7"/>
      <c r="N8" s="11"/>
      <c r="O8" s="11"/>
      <c r="P8" s="9"/>
      <c r="Q8" s="9"/>
      <c r="R8" s="7"/>
      <c r="S8" s="11"/>
      <c r="T8" s="11"/>
      <c r="U8" s="9"/>
      <c r="V8" s="9"/>
      <c r="W8" s="7"/>
      <c r="X8" s="11"/>
      <c r="Y8" s="8"/>
      <c r="Z8" s="9"/>
      <c r="AA8" s="9"/>
      <c r="AB8" s="10"/>
      <c r="AC8" s="8"/>
      <c r="AD8" s="11"/>
      <c r="AE8" s="9"/>
      <c r="AF8" s="9"/>
      <c r="AG8" s="8"/>
      <c r="AH8" s="11"/>
      <c r="AI8" s="10"/>
      <c r="AJ8" s="9"/>
      <c r="AK8" s="9"/>
      <c r="AL8" s="10"/>
      <c r="AM8" s="8"/>
      <c r="AN8" s="10"/>
      <c r="AO8" s="9"/>
      <c r="AP8" s="9"/>
      <c r="AQ8" s="10"/>
      <c r="AR8" s="8"/>
      <c r="AS8" s="11"/>
      <c r="AT8" s="9"/>
      <c r="AU8" s="9"/>
      <c r="AV8" s="9">
        <f t="shared" si="0"/>
        <v>0</v>
      </c>
      <c r="AW8" s="9">
        <f t="shared" si="1"/>
        <v>0</v>
      </c>
      <c r="AX8" s="19">
        <f>AV8+'تحليل الاداء  '!AM8+'تحليل الاداء '!AM8+'تحليل الاداء'!AM8</f>
        <v>11</v>
      </c>
      <c r="AY8" s="19">
        <f>AW8+'تحليل الاداء  '!AN8+'تحليل الاداء '!AN8+'تحليل الاداء'!AN8</f>
        <v>13</v>
      </c>
    </row>
    <row r="9" spans="1:51" ht="21">
      <c r="A9" s="1">
        <v>11</v>
      </c>
      <c r="B9" s="6" t="s">
        <v>13</v>
      </c>
      <c r="C9" s="7"/>
      <c r="D9" s="8"/>
      <c r="E9" s="8"/>
      <c r="F9" s="9"/>
      <c r="G9" s="9"/>
      <c r="H9" s="7"/>
      <c r="I9" s="11"/>
      <c r="J9" s="13"/>
      <c r="K9" s="9"/>
      <c r="L9" s="9"/>
      <c r="M9" s="7"/>
      <c r="N9" s="11"/>
      <c r="O9" s="11"/>
      <c r="P9" s="9"/>
      <c r="Q9" s="9"/>
      <c r="R9" s="7"/>
      <c r="S9" s="11"/>
      <c r="T9" s="11"/>
      <c r="U9" s="9"/>
      <c r="V9" s="9"/>
      <c r="W9" s="7"/>
      <c r="X9" s="11"/>
      <c r="Y9" s="8"/>
      <c r="Z9" s="9"/>
      <c r="AA9" s="9"/>
      <c r="AB9" s="10"/>
      <c r="AC9" s="8"/>
      <c r="AD9" s="11"/>
      <c r="AE9" s="9"/>
      <c r="AF9" s="9"/>
      <c r="AG9" s="8"/>
      <c r="AH9" s="11"/>
      <c r="AI9" s="10"/>
      <c r="AJ9" s="9"/>
      <c r="AK9" s="9"/>
      <c r="AL9" s="10"/>
      <c r="AM9" s="8"/>
      <c r="AN9" s="10"/>
      <c r="AO9" s="9"/>
      <c r="AP9" s="9"/>
      <c r="AQ9" s="10"/>
      <c r="AR9" s="8"/>
      <c r="AS9" s="11"/>
      <c r="AT9" s="9"/>
      <c r="AU9" s="9"/>
      <c r="AV9" s="9">
        <f t="shared" si="0"/>
        <v>0</v>
      </c>
      <c r="AW9" s="9">
        <f t="shared" si="1"/>
        <v>0</v>
      </c>
      <c r="AX9" s="19">
        <f>AV9+'تحليل الاداء  '!AM9+'تحليل الاداء '!AM9+'تحليل الاداء'!AM9</f>
        <v>13</v>
      </c>
      <c r="AY9" s="19">
        <f>AW9+'تحليل الاداء  '!AN9+'تحليل الاداء '!AN9+'تحليل الاداء'!AN9</f>
        <v>22</v>
      </c>
    </row>
    <row r="10" spans="1:51" ht="21">
      <c r="A10" s="1">
        <v>65</v>
      </c>
      <c r="B10" s="6" t="s">
        <v>88</v>
      </c>
      <c r="C10" s="7"/>
      <c r="D10" s="8"/>
      <c r="E10" s="8"/>
      <c r="F10" s="9"/>
      <c r="G10" s="9"/>
      <c r="H10" s="7"/>
      <c r="I10" s="11"/>
      <c r="J10" s="13"/>
      <c r="K10" s="9"/>
      <c r="L10" s="9"/>
      <c r="M10" s="7"/>
      <c r="N10" s="11"/>
      <c r="O10" s="11"/>
      <c r="P10" s="9"/>
      <c r="Q10" s="9"/>
      <c r="R10" s="7"/>
      <c r="S10" s="11"/>
      <c r="T10" s="11"/>
      <c r="U10" s="9"/>
      <c r="V10" s="9"/>
      <c r="W10" s="7"/>
      <c r="X10" s="11"/>
      <c r="Y10" s="8"/>
      <c r="Z10" s="9"/>
      <c r="AA10" s="9"/>
      <c r="AB10" s="10"/>
      <c r="AC10" s="8"/>
      <c r="AD10" s="11"/>
      <c r="AE10" s="9"/>
      <c r="AF10" s="9"/>
      <c r="AG10" s="8"/>
      <c r="AH10" s="11"/>
      <c r="AI10" s="10"/>
      <c r="AJ10" s="9"/>
      <c r="AK10" s="9"/>
      <c r="AL10" s="10"/>
      <c r="AM10" s="8"/>
      <c r="AN10" s="10"/>
      <c r="AO10" s="9"/>
      <c r="AP10" s="9"/>
      <c r="AQ10" s="10"/>
      <c r="AR10" s="8"/>
      <c r="AS10" s="11"/>
      <c r="AT10" s="9"/>
      <c r="AU10" s="9"/>
      <c r="AV10" s="9">
        <f t="shared" si="0"/>
        <v>0</v>
      </c>
      <c r="AW10" s="9">
        <f t="shared" si="1"/>
        <v>0</v>
      </c>
      <c r="AX10" s="19">
        <f>AV10+'تحليل الاداء  '!AM10+'تحليل الاداء '!AM10+'تحليل الاداء'!AM10</f>
        <v>14</v>
      </c>
      <c r="AY10" s="19">
        <f>AW10+'تحليل الاداء  '!AN10+'تحليل الاداء '!AN10+'تحليل الاداء'!AN10</f>
        <v>19</v>
      </c>
    </row>
    <row r="11" spans="1:51" ht="18.75" customHeight="1">
      <c r="A11" s="1">
        <v>13</v>
      </c>
      <c r="B11" s="6" t="s">
        <v>73</v>
      </c>
      <c r="C11" s="7"/>
      <c r="D11" s="8"/>
      <c r="E11" s="8"/>
      <c r="F11" s="9"/>
      <c r="G11" s="9"/>
      <c r="H11" s="7"/>
      <c r="I11" s="11"/>
      <c r="J11" s="13"/>
      <c r="K11" s="9"/>
      <c r="L11" s="9"/>
      <c r="M11" s="7"/>
      <c r="N11" s="11"/>
      <c r="O11" s="11"/>
      <c r="P11" s="9"/>
      <c r="Q11" s="9"/>
      <c r="R11" s="7"/>
      <c r="S11" s="11"/>
      <c r="T11" s="11"/>
      <c r="U11" s="9"/>
      <c r="V11" s="9"/>
      <c r="W11" s="7"/>
      <c r="X11" s="11"/>
      <c r="Y11" s="8"/>
      <c r="Z11" s="9"/>
      <c r="AA11" s="9"/>
      <c r="AB11" s="10"/>
      <c r="AC11" s="8"/>
      <c r="AD11" s="11"/>
      <c r="AE11" s="9"/>
      <c r="AF11" s="9"/>
      <c r="AG11" s="8"/>
      <c r="AH11" s="11"/>
      <c r="AI11" s="10"/>
      <c r="AJ11" s="9"/>
      <c r="AK11" s="9"/>
      <c r="AL11" s="10"/>
      <c r="AM11" s="8"/>
      <c r="AN11" s="10"/>
      <c r="AO11" s="9"/>
      <c r="AP11" s="9"/>
      <c r="AQ11" s="10"/>
      <c r="AR11" s="8"/>
      <c r="AS11" s="11"/>
      <c r="AT11" s="9"/>
      <c r="AU11" s="9"/>
      <c r="AV11" s="9">
        <f t="shared" si="0"/>
        <v>0</v>
      </c>
      <c r="AW11" s="9">
        <f t="shared" si="1"/>
        <v>0</v>
      </c>
      <c r="AX11" s="19">
        <f>AV11+'تحليل الاداء  '!AM11+'تحليل الاداء '!AM11+'تحليل الاداء'!AM11</f>
        <v>10</v>
      </c>
      <c r="AY11" s="19">
        <f>AW11+'تحليل الاداء  '!AN11+'تحليل الاداء '!AN11+'تحليل الاداء'!AN11</f>
        <v>14</v>
      </c>
    </row>
    <row r="12" spans="1:51" ht="21">
      <c r="A12" s="1">
        <v>14</v>
      </c>
      <c r="B12" s="6" t="s">
        <v>14</v>
      </c>
      <c r="C12" s="7"/>
      <c r="D12" s="8"/>
      <c r="E12" s="8"/>
      <c r="F12" s="9"/>
      <c r="G12" s="9"/>
      <c r="H12" s="7"/>
      <c r="I12" s="11"/>
      <c r="J12" s="13"/>
      <c r="K12" s="9"/>
      <c r="L12" s="9"/>
      <c r="M12" s="7"/>
      <c r="N12" s="11"/>
      <c r="O12" s="11"/>
      <c r="P12" s="9"/>
      <c r="Q12" s="9"/>
      <c r="R12" s="7"/>
      <c r="S12" s="11"/>
      <c r="T12" s="11"/>
      <c r="U12" s="9"/>
      <c r="V12" s="9"/>
      <c r="W12" s="7"/>
      <c r="X12" s="11"/>
      <c r="Y12" s="8"/>
      <c r="Z12" s="9"/>
      <c r="AA12" s="9"/>
      <c r="AB12" s="10"/>
      <c r="AC12" s="8"/>
      <c r="AD12" s="11"/>
      <c r="AE12" s="9"/>
      <c r="AF12" s="9"/>
      <c r="AG12" s="8"/>
      <c r="AH12" s="11"/>
      <c r="AI12" s="10"/>
      <c r="AJ12" s="9"/>
      <c r="AK12" s="9"/>
      <c r="AL12" s="10"/>
      <c r="AM12" s="8"/>
      <c r="AN12" s="10"/>
      <c r="AO12" s="9"/>
      <c r="AP12" s="9"/>
      <c r="AQ12" s="10"/>
      <c r="AR12" s="8"/>
      <c r="AS12" s="11"/>
      <c r="AT12" s="9"/>
      <c r="AU12" s="9"/>
      <c r="AV12" s="9">
        <f t="shared" si="0"/>
        <v>0</v>
      </c>
      <c r="AW12" s="9">
        <f t="shared" si="1"/>
        <v>0</v>
      </c>
      <c r="AX12" s="19">
        <f>AV12+'تحليل الاداء  '!AM12+'تحليل الاداء '!AM12+'تحليل الاداء'!AM12</f>
        <v>13</v>
      </c>
      <c r="AY12" s="19">
        <f>AW12+'تحليل الاداء  '!AN12+'تحليل الاداء '!AN12+'تحليل الاداء'!AN12</f>
        <v>21</v>
      </c>
    </row>
    <row r="13" spans="1:51" ht="21">
      <c r="A13" s="1">
        <v>17</v>
      </c>
      <c r="B13" s="6" t="s">
        <v>15</v>
      </c>
      <c r="C13" s="7"/>
      <c r="D13" s="8"/>
      <c r="E13" s="8"/>
      <c r="F13" s="9"/>
      <c r="G13" s="9"/>
      <c r="H13" s="7"/>
      <c r="I13" s="11"/>
      <c r="J13" s="13"/>
      <c r="K13" s="9"/>
      <c r="L13" s="9"/>
      <c r="M13" s="7"/>
      <c r="N13" s="11"/>
      <c r="O13" s="11"/>
      <c r="P13" s="9"/>
      <c r="Q13" s="9"/>
      <c r="R13" s="7"/>
      <c r="S13" s="11"/>
      <c r="T13" s="11"/>
      <c r="U13" s="9"/>
      <c r="V13" s="9"/>
      <c r="W13" s="7"/>
      <c r="X13" s="11"/>
      <c r="Y13" s="8"/>
      <c r="Z13" s="9"/>
      <c r="AA13" s="9"/>
      <c r="AB13" s="10"/>
      <c r="AC13" s="8"/>
      <c r="AD13" s="11"/>
      <c r="AE13" s="9"/>
      <c r="AF13" s="9"/>
      <c r="AG13" s="8"/>
      <c r="AH13" s="11"/>
      <c r="AI13" s="10"/>
      <c r="AJ13" s="9"/>
      <c r="AK13" s="9"/>
      <c r="AL13" s="10"/>
      <c r="AM13" s="8"/>
      <c r="AN13" s="10"/>
      <c r="AO13" s="9"/>
      <c r="AP13" s="9"/>
      <c r="AQ13" s="10"/>
      <c r="AR13" s="8"/>
      <c r="AS13" s="11"/>
      <c r="AT13" s="9"/>
      <c r="AU13" s="9"/>
      <c r="AV13" s="9">
        <f t="shared" si="0"/>
        <v>0</v>
      </c>
      <c r="AW13" s="9">
        <f t="shared" si="1"/>
        <v>0</v>
      </c>
      <c r="AX13" s="19">
        <f>AV13+'تحليل الاداء  '!AM13+'تحليل الاداء '!AM13+'تحليل الاداء'!AM13</f>
        <v>12</v>
      </c>
      <c r="AY13" s="19">
        <f>AW13+'تحليل الاداء  '!AN13+'تحليل الاداء '!AN13+'تحليل الاداء'!AN13</f>
        <v>15</v>
      </c>
    </row>
    <row r="14" spans="1:51" ht="21">
      <c r="A14" s="1">
        <v>18</v>
      </c>
      <c r="B14" s="6" t="s">
        <v>16</v>
      </c>
      <c r="C14" s="7"/>
      <c r="D14" s="8"/>
      <c r="E14" s="8"/>
      <c r="F14" s="9"/>
      <c r="G14" s="9"/>
      <c r="H14" s="7"/>
      <c r="I14" s="11"/>
      <c r="J14" s="13"/>
      <c r="K14" s="9"/>
      <c r="L14" s="9"/>
      <c r="M14" s="7"/>
      <c r="N14" s="11"/>
      <c r="O14" s="11"/>
      <c r="P14" s="9"/>
      <c r="Q14" s="9"/>
      <c r="R14" s="7"/>
      <c r="S14" s="11"/>
      <c r="T14" s="11"/>
      <c r="U14" s="9"/>
      <c r="V14" s="9"/>
      <c r="W14" s="7"/>
      <c r="X14" s="11"/>
      <c r="Y14" s="8"/>
      <c r="Z14" s="9"/>
      <c r="AA14" s="9"/>
      <c r="AB14" s="10"/>
      <c r="AC14" s="8"/>
      <c r="AD14" s="11"/>
      <c r="AE14" s="9"/>
      <c r="AF14" s="9"/>
      <c r="AG14" s="8"/>
      <c r="AH14" s="11"/>
      <c r="AI14" s="10"/>
      <c r="AJ14" s="9"/>
      <c r="AK14" s="9"/>
      <c r="AL14" s="10"/>
      <c r="AM14" s="8"/>
      <c r="AN14" s="10"/>
      <c r="AO14" s="9"/>
      <c r="AP14" s="9"/>
      <c r="AQ14" s="10"/>
      <c r="AR14" s="8"/>
      <c r="AS14" s="11"/>
      <c r="AT14" s="9"/>
      <c r="AU14" s="9"/>
      <c r="AV14" s="9">
        <f t="shared" si="0"/>
        <v>0</v>
      </c>
      <c r="AW14" s="9">
        <f t="shared" si="1"/>
        <v>0</v>
      </c>
      <c r="AX14" s="19">
        <f>AV14+'تحليل الاداء  '!AM14+'تحليل الاداء '!AM14+'تحليل الاداء'!AM14</f>
        <v>14</v>
      </c>
      <c r="AY14" s="19">
        <f>AW14+'تحليل الاداء  '!AN14+'تحليل الاداء '!AN14+'تحليل الاداء'!AN14</f>
        <v>23</v>
      </c>
    </row>
    <row r="15" spans="1:51" ht="21">
      <c r="B15" s="6" t="s">
        <v>17</v>
      </c>
      <c r="C15" s="7"/>
      <c r="D15" s="8"/>
      <c r="E15" s="8"/>
      <c r="F15" s="9"/>
      <c r="G15" s="9"/>
      <c r="H15" s="7"/>
      <c r="I15" s="11"/>
      <c r="J15" s="13"/>
      <c r="K15" s="9"/>
      <c r="L15" s="9"/>
      <c r="M15" s="7"/>
      <c r="N15" s="11"/>
      <c r="O15" s="11"/>
      <c r="P15" s="9"/>
      <c r="Q15" s="9"/>
      <c r="R15" s="7"/>
      <c r="S15" s="11"/>
      <c r="T15" s="11"/>
      <c r="U15" s="9"/>
      <c r="V15" s="9"/>
      <c r="W15" s="7"/>
      <c r="X15" s="11"/>
      <c r="Y15" s="8"/>
      <c r="Z15" s="9"/>
      <c r="AA15" s="9"/>
      <c r="AB15" s="10"/>
      <c r="AC15" s="8"/>
      <c r="AD15" s="11"/>
      <c r="AE15" s="9"/>
      <c r="AF15" s="9"/>
      <c r="AG15" s="8"/>
      <c r="AH15" s="11"/>
      <c r="AI15" s="10"/>
      <c r="AJ15" s="9"/>
      <c r="AK15" s="9"/>
      <c r="AL15" s="10"/>
      <c r="AM15" s="8"/>
      <c r="AN15" s="10"/>
      <c r="AO15" s="9"/>
      <c r="AP15" s="9"/>
      <c r="AQ15" s="10"/>
      <c r="AR15" s="8"/>
      <c r="AS15" s="11"/>
      <c r="AT15" s="9"/>
      <c r="AU15" s="9"/>
      <c r="AV15" s="9">
        <f t="shared" si="0"/>
        <v>0</v>
      </c>
      <c r="AW15" s="9">
        <f t="shared" si="1"/>
        <v>0</v>
      </c>
      <c r="AX15" s="19">
        <f>AV15+'تحليل الاداء  '!AM15+'تحليل الاداء '!AM15+'تحليل الاداء'!AM15</f>
        <v>15</v>
      </c>
      <c r="AY15" s="19">
        <f>AW15+'تحليل الاداء  '!AN15+'تحليل الاداء '!AN15+'تحليل الاداء'!AN15</f>
        <v>20</v>
      </c>
    </row>
    <row r="16" spans="1:51" ht="21">
      <c r="A16" s="1">
        <v>19</v>
      </c>
      <c r="B16" s="6" t="s">
        <v>18</v>
      </c>
      <c r="C16" s="7"/>
      <c r="D16" s="8"/>
      <c r="E16" s="8"/>
      <c r="F16" s="9"/>
      <c r="G16" s="9"/>
      <c r="H16" s="7"/>
      <c r="I16" s="11"/>
      <c r="J16" s="13"/>
      <c r="K16" s="9"/>
      <c r="L16" s="9"/>
      <c r="M16" s="7"/>
      <c r="N16" s="11"/>
      <c r="O16" s="11"/>
      <c r="P16" s="9"/>
      <c r="Q16" s="9"/>
      <c r="R16" s="7"/>
      <c r="S16" s="11"/>
      <c r="T16" s="11"/>
      <c r="U16" s="9"/>
      <c r="V16" s="9"/>
      <c r="W16" s="7"/>
      <c r="X16" s="11"/>
      <c r="Y16" s="8"/>
      <c r="Z16" s="9"/>
      <c r="AA16" s="9"/>
      <c r="AB16" s="10"/>
      <c r="AC16" s="8"/>
      <c r="AD16" s="11"/>
      <c r="AE16" s="9"/>
      <c r="AF16" s="9"/>
      <c r="AG16" s="8"/>
      <c r="AH16" s="11"/>
      <c r="AI16" s="10"/>
      <c r="AJ16" s="9"/>
      <c r="AK16" s="9"/>
      <c r="AL16" s="10"/>
      <c r="AM16" s="8"/>
      <c r="AN16" s="10"/>
      <c r="AO16" s="9"/>
      <c r="AP16" s="9"/>
      <c r="AQ16" s="10"/>
      <c r="AR16" s="8"/>
      <c r="AS16" s="11"/>
      <c r="AT16" s="9"/>
      <c r="AU16" s="9"/>
      <c r="AV16" s="9">
        <f t="shared" si="0"/>
        <v>0</v>
      </c>
      <c r="AW16" s="9">
        <f t="shared" si="1"/>
        <v>0</v>
      </c>
      <c r="AX16" s="19">
        <f>AV16+'تحليل الاداء  '!AM16+'تحليل الاداء '!AM16+'تحليل الاداء'!AM16</f>
        <v>12</v>
      </c>
      <c r="AY16" s="19">
        <f>AW16+'تحليل الاداء  '!AN16+'تحليل الاداء '!AN16+'تحليل الاداء'!AN16</f>
        <v>15</v>
      </c>
    </row>
    <row r="17" spans="1:51" ht="39" customHeight="1">
      <c r="A17" s="1">
        <v>20</v>
      </c>
      <c r="B17" s="6" t="s">
        <v>19</v>
      </c>
      <c r="C17" s="7"/>
      <c r="D17" s="8"/>
      <c r="E17" s="8"/>
      <c r="F17" s="9"/>
      <c r="G17" s="9"/>
      <c r="H17" s="7"/>
      <c r="I17" s="11"/>
      <c r="J17" s="13"/>
      <c r="K17" s="9"/>
      <c r="L17" s="9"/>
      <c r="M17" s="7"/>
      <c r="N17" s="11"/>
      <c r="O17" s="11"/>
      <c r="P17" s="9"/>
      <c r="Q17" s="9"/>
      <c r="R17" s="7"/>
      <c r="S17" s="11"/>
      <c r="T17" s="11"/>
      <c r="U17" s="9"/>
      <c r="V17" s="9"/>
      <c r="W17" s="7"/>
      <c r="X17" s="11"/>
      <c r="Y17" s="8"/>
      <c r="Z17" s="9"/>
      <c r="AA17" s="9"/>
      <c r="AB17" s="10"/>
      <c r="AC17" s="8"/>
      <c r="AD17" s="11"/>
      <c r="AE17" s="9"/>
      <c r="AF17" s="9"/>
      <c r="AG17" s="8"/>
      <c r="AH17" s="11"/>
      <c r="AI17" s="10"/>
      <c r="AJ17" s="9"/>
      <c r="AK17" s="9"/>
      <c r="AL17" s="10"/>
      <c r="AM17" s="8"/>
      <c r="AN17" s="10"/>
      <c r="AO17" s="9"/>
      <c r="AP17" s="9"/>
      <c r="AQ17" s="10"/>
      <c r="AR17" s="8"/>
      <c r="AS17" s="11"/>
      <c r="AT17" s="9"/>
      <c r="AU17" s="9"/>
      <c r="AV17" s="9">
        <f t="shared" si="0"/>
        <v>0</v>
      </c>
      <c r="AW17" s="9">
        <f t="shared" si="1"/>
        <v>0</v>
      </c>
      <c r="AX17" s="19">
        <f>AV17+'تحليل الاداء  '!AM17+'تحليل الاداء '!AM17+'تحليل الاداء'!AM17</f>
        <v>15</v>
      </c>
      <c r="AY17" s="19">
        <f>AW17+'تحليل الاداء  '!AN17+'تحليل الاداء '!AN17+'تحليل الاداء'!AN17</f>
        <v>18</v>
      </c>
    </row>
    <row r="18" spans="1:51" ht="21">
      <c r="A18" s="1">
        <v>22</v>
      </c>
      <c r="B18" s="6" t="s">
        <v>20</v>
      </c>
      <c r="C18" s="7"/>
      <c r="D18" s="8"/>
      <c r="E18" s="8"/>
      <c r="F18" s="9"/>
      <c r="G18" s="9"/>
      <c r="H18" s="7"/>
      <c r="I18" s="11"/>
      <c r="J18" s="13"/>
      <c r="K18" s="9"/>
      <c r="L18" s="9"/>
      <c r="M18" s="7"/>
      <c r="N18" s="11"/>
      <c r="O18" s="11"/>
      <c r="P18" s="9"/>
      <c r="Q18" s="9"/>
      <c r="R18" s="7"/>
      <c r="S18" s="11"/>
      <c r="T18" s="11"/>
      <c r="U18" s="9"/>
      <c r="V18" s="9"/>
      <c r="W18" s="7"/>
      <c r="X18" s="11"/>
      <c r="Y18" s="8"/>
      <c r="Z18" s="9"/>
      <c r="AA18" s="9"/>
      <c r="AB18" s="10"/>
      <c r="AC18" s="8"/>
      <c r="AD18" s="11"/>
      <c r="AE18" s="9"/>
      <c r="AF18" s="9"/>
      <c r="AG18" s="8"/>
      <c r="AH18" s="11"/>
      <c r="AI18" s="10"/>
      <c r="AJ18" s="9"/>
      <c r="AK18" s="9"/>
      <c r="AL18" s="10"/>
      <c r="AM18" s="8"/>
      <c r="AN18" s="10"/>
      <c r="AO18" s="9"/>
      <c r="AP18" s="9"/>
      <c r="AQ18" s="10"/>
      <c r="AR18" s="8"/>
      <c r="AS18" s="11"/>
      <c r="AT18" s="9"/>
      <c r="AU18" s="9"/>
      <c r="AV18" s="9">
        <f t="shared" si="0"/>
        <v>0</v>
      </c>
      <c r="AW18" s="9">
        <f t="shared" si="1"/>
        <v>0</v>
      </c>
      <c r="AX18" s="19">
        <f>AV18+'تحليل الاداء  '!AM18+'تحليل الاداء '!AM18+'تحليل الاداء'!AM18</f>
        <v>12</v>
      </c>
      <c r="AY18" s="19">
        <f>AW18+'تحليل الاداء  '!AN18+'تحليل الاداء '!AN18+'تحليل الاداء'!AN18</f>
        <v>15</v>
      </c>
    </row>
    <row r="19" spans="1:51" ht="21">
      <c r="A19" s="1">
        <v>23</v>
      </c>
      <c r="B19" s="6" t="s">
        <v>21</v>
      </c>
      <c r="C19" s="7"/>
      <c r="D19" s="8"/>
      <c r="E19" s="8"/>
      <c r="F19" s="9"/>
      <c r="G19" s="9"/>
      <c r="H19" s="7"/>
      <c r="I19" s="11"/>
      <c r="J19" s="13"/>
      <c r="K19" s="9"/>
      <c r="L19" s="9"/>
      <c r="M19" s="7"/>
      <c r="N19" s="11"/>
      <c r="O19" s="11"/>
      <c r="P19" s="9"/>
      <c r="Q19" s="9"/>
      <c r="R19" s="7"/>
      <c r="S19" s="11"/>
      <c r="T19" s="11"/>
      <c r="U19" s="9"/>
      <c r="V19" s="9"/>
      <c r="W19" s="7"/>
      <c r="X19" s="11"/>
      <c r="Y19" s="8"/>
      <c r="Z19" s="9"/>
      <c r="AA19" s="9"/>
      <c r="AB19" s="10"/>
      <c r="AC19" s="8"/>
      <c r="AD19" s="11"/>
      <c r="AE19" s="9"/>
      <c r="AF19" s="9"/>
      <c r="AG19" s="8"/>
      <c r="AH19" s="11"/>
      <c r="AI19" s="10"/>
      <c r="AJ19" s="9"/>
      <c r="AK19" s="9"/>
      <c r="AL19" s="10"/>
      <c r="AM19" s="8"/>
      <c r="AN19" s="10"/>
      <c r="AO19" s="9"/>
      <c r="AP19" s="9"/>
      <c r="AQ19" s="10"/>
      <c r="AR19" s="8"/>
      <c r="AS19" s="11"/>
      <c r="AT19" s="9"/>
      <c r="AU19" s="9"/>
      <c r="AV19" s="9">
        <f t="shared" si="0"/>
        <v>0</v>
      </c>
      <c r="AW19" s="9">
        <f t="shared" si="1"/>
        <v>0</v>
      </c>
      <c r="AX19" s="19">
        <f>AV19+'تحليل الاداء  '!AM19+'تحليل الاداء '!AM19+'تحليل الاداء'!AM19</f>
        <v>10</v>
      </c>
      <c r="AY19" s="19">
        <f>AW19+'تحليل الاداء  '!AN19+'تحليل الاداء '!AN19+'تحليل الاداء'!AN19</f>
        <v>10</v>
      </c>
    </row>
    <row r="20" spans="1:51" ht="21">
      <c r="B20" s="6" t="s">
        <v>22</v>
      </c>
      <c r="C20" s="7"/>
      <c r="D20" s="8"/>
      <c r="E20" s="8"/>
      <c r="F20" s="9"/>
      <c r="G20" s="9"/>
      <c r="H20" s="7"/>
      <c r="I20" s="11"/>
      <c r="J20" s="13"/>
      <c r="K20" s="9"/>
      <c r="L20" s="9"/>
      <c r="M20" s="7"/>
      <c r="N20" s="11"/>
      <c r="O20" s="11"/>
      <c r="P20" s="9"/>
      <c r="Q20" s="9"/>
      <c r="R20" s="7"/>
      <c r="S20" s="11"/>
      <c r="T20" s="11"/>
      <c r="U20" s="9"/>
      <c r="V20" s="9"/>
      <c r="W20" s="7"/>
      <c r="X20" s="11"/>
      <c r="Y20" s="8"/>
      <c r="Z20" s="9"/>
      <c r="AA20" s="9"/>
      <c r="AB20" s="10"/>
      <c r="AC20" s="8"/>
      <c r="AD20" s="11"/>
      <c r="AE20" s="9"/>
      <c r="AF20" s="9"/>
      <c r="AG20" s="8"/>
      <c r="AH20" s="11"/>
      <c r="AI20" s="10"/>
      <c r="AJ20" s="9"/>
      <c r="AK20" s="9"/>
      <c r="AL20" s="10"/>
      <c r="AM20" s="8"/>
      <c r="AN20" s="10"/>
      <c r="AO20" s="9"/>
      <c r="AP20" s="9"/>
      <c r="AQ20" s="10"/>
      <c r="AR20" s="8"/>
      <c r="AS20" s="11"/>
      <c r="AT20" s="9"/>
      <c r="AU20" s="9"/>
      <c r="AV20" s="9">
        <f t="shared" si="0"/>
        <v>0</v>
      </c>
      <c r="AW20" s="9">
        <f t="shared" si="1"/>
        <v>0</v>
      </c>
      <c r="AX20" s="19">
        <f>AV20+'تحليل الاداء  '!AM20+'تحليل الاداء '!AM20+'تحليل الاداء'!AM20</f>
        <v>11</v>
      </c>
      <c r="AY20" s="19">
        <f>AW20+'تحليل الاداء  '!AN20+'تحليل الاداء '!AN20+'تحليل الاداء'!AN20</f>
        <v>18</v>
      </c>
    </row>
    <row r="21" spans="1:51" ht="21">
      <c r="A21" s="1">
        <v>24</v>
      </c>
      <c r="B21" s="6" t="s">
        <v>23</v>
      </c>
      <c r="C21" s="7"/>
      <c r="D21" s="8"/>
      <c r="E21" s="8"/>
      <c r="F21" s="9"/>
      <c r="G21" s="9"/>
      <c r="H21" s="7"/>
      <c r="I21" s="11"/>
      <c r="J21" s="13"/>
      <c r="K21" s="9"/>
      <c r="L21" s="9"/>
      <c r="M21" s="7"/>
      <c r="N21" s="11"/>
      <c r="O21" s="11"/>
      <c r="P21" s="9"/>
      <c r="Q21" s="9"/>
      <c r="R21" s="7"/>
      <c r="S21" s="11"/>
      <c r="T21" s="11"/>
      <c r="U21" s="9"/>
      <c r="V21" s="9"/>
      <c r="W21" s="7"/>
      <c r="X21" s="11"/>
      <c r="Y21" s="8"/>
      <c r="Z21" s="9"/>
      <c r="AA21" s="9"/>
      <c r="AB21" s="10"/>
      <c r="AC21" s="8"/>
      <c r="AD21" s="11"/>
      <c r="AE21" s="9"/>
      <c r="AF21" s="9"/>
      <c r="AG21" s="8"/>
      <c r="AH21" s="11"/>
      <c r="AI21" s="10"/>
      <c r="AJ21" s="9"/>
      <c r="AK21" s="9"/>
      <c r="AL21" s="10"/>
      <c r="AM21" s="8"/>
      <c r="AN21" s="10"/>
      <c r="AO21" s="9"/>
      <c r="AP21" s="9"/>
      <c r="AQ21" s="10"/>
      <c r="AR21" s="8"/>
      <c r="AS21" s="11"/>
      <c r="AT21" s="9"/>
      <c r="AU21" s="9"/>
      <c r="AV21" s="9">
        <f t="shared" si="0"/>
        <v>0</v>
      </c>
      <c r="AW21" s="9">
        <f t="shared" si="1"/>
        <v>0</v>
      </c>
      <c r="AX21" s="19">
        <f>AV21+'تحليل الاداء  '!AM21+'تحليل الاداء '!AM21+'تحليل الاداء'!AM21</f>
        <v>12</v>
      </c>
      <c r="AY21" s="19">
        <f>AW21+'تحليل الاداء  '!AN21+'تحليل الاداء '!AN21+'تحليل الاداء'!AN21</f>
        <v>14</v>
      </c>
    </row>
    <row r="22" spans="1:51" ht="21">
      <c r="A22" s="1">
        <v>25</v>
      </c>
      <c r="B22" s="6" t="s">
        <v>59</v>
      </c>
      <c r="C22" s="7"/>
      <c r="D22" s="8"/>
      <c r="E22" s="8"/>
      <c r="F22" s="9"/>
      <c r="G22" s="9"/>
      <c r="H22" s="7"/>
      <c r="I22" s="11"/>
      <c r="J22" s="13"/>
      <c r="K22" s="9"/>
      <c r="L22" s="9"/>
      <c r="M22" s="7"/>
      <c r="N22" s="11"/>
      <c r="O22" s="11"/>
      <c r="P22" s="9"/>
      <c r="Q22" s="9"/>
      <c r="R22" s="7"/>
      <c r="S22" s="11"/>
      <c r="T22" s="11"/>
      <c r="U22" s="9"/>
      <c r="V22" s="9"/>
      <c r="W22" s="7"/>
      <c r="X22" s="11"/>
      <c r="Y22" s="8"/>
      <c r="Z22" s="9"/>
      <c r="AA22" s="9"/>
      <c r="AB22" s="10"/>
      <c r="AC22" s="8"/>
      <c r="AD22" s="11"/>
      <c r="AE22" s="9"/>
      <c r="AF22" s="9"/>
      <c r="AG22" s="8"/>
      <c r="AH22" s="11"/>
      <c r="AI22" s="10"/>
      <c r="AJ22" s="9"/>
      <c r="AK22" s="9"/>
      <c r="AL22" s="10"/>
      <c r="AM22" s="8"/>
      <c r="AN22" s="10"/>
      <c r="AO22" s="9"/>
      <c r="AP22" s="9"/>
      <c r="AQ22" s="10"/>
      <c r="AR22" s="8"/>
      <c r="AS22" s="11"/>
      <c r="AT22" s="9"/>
      <c r="AU22" s="9"/>
      <c r="AV22" s="9">
        <f t="shared" si="0"/>
        <v>0</v>
      </c>
      <c r="AW22" s="9">
        <f t="shared" si="1"/>
        <v>0</v>
      </c>
      <c r="AX22" s="19">
        <f>AV22+'تحليل الاداء  '!AM22+'تحليل الاداء '!AM22+'تحليل الاداء'!AM22</f>
        <v>12</v>
      </c>
      <c r="AY22" s="19">
        <f>AW22+'تحليل الاداء  '!AN22+'تحليل الاداء '!AN22+'تحليل الاداء'!AN22</f>
        <v>16</v>
      </c>
    </row>
    <row r="23" spans="1:51" ht="21">
      <c r="A23" s="1">
        <v>26</v>
      </c>
      <c r="B23" s="6" t="s">
        <v>24</v>
      </c>
      <c r="C23" s="7"/>
      <c r="D23" s="8"/>
      <c r="E23" s="8"/>
      <c r="F23" s="9"/>
      <c r="G23" s="9"/>
      <c r="H23" s="7"/>
      <c r="I23" s="11"/>
      <c r="J23" s="13"/>
      <c r="K23" s="9"/>
      <c r="L23" s="9"/>
      <c r="M23" s="7"/>
      <c r="N23" s="11"/>
      <c r="O23" s="11"/>
      <c r="P23" s="9"/>
      <c r="Q23" s="9"/>
      <c r="R23" s="7"/>
      <c r="S23" s="11"/>
      <c r="T23" s="11"/>
      <c r="U23" s="9"/>
      <c r="V23" s="9"/>
      <c r="W23" s="7"/>
      <c r="X23" s="11"/>
      <c r="Y23" s="8"/>
      <c r="Z23" s="9"/>
      <c r="AA23" s="9"/>
      <c r="AB23" s="10"/>
      <c r="AC23" s="8"/>
      <c r="AD23" s="11"/>
      <c r="AE23" s="9"/>
      <c r="AF23" s="9"/>
      <c r="AG23" s="8"/>
      <c r="AH23" s="11"/>
      <c r="AI23" s="10"/>
      <c r="AJ23" s="9"/>
      <c r="AK23" s="9"/>
      <c r="AL23" s="10"/>
      <c r="AM23" s="8"/>
      <c r="AN23" s="10"/>
      <c r="AO23" s="9"/>
      <c r="AP23" s="9"/>
      <c r="AQ23" s="10"/>
      <c r="AR23" s="8"/>
      <c r="AS23" s="11"/>
      <c r="AT23" s="9"/>
      <c r="AU23" s="9"/>
      <c r="AV23" s="9">
        <f t="shared" si="0"/>
        <v>0</v>
      </c>
      <c r="AW23" s="9">
        <f t="shared" si="1"/>
        <v>0</v>
      </c>
      <c r="AX23" s="19">
        <f>AV23+'تحليل الاداء  '!AM23+'تحليل الاداء '!AM23+'تحليل الاداء'!AM23</f>
        <v>13</v>
      </c>
      <c r="AY23" s="19">
        <f>AW23+'تحليل الاداء  '!AN23+'تحليل الاداء '!AN23+'تحليل الاداء'!AN23</f>
        <v>15</v>
      </c>
    </row>
    <row r="24" spans="1:51" ht="21">
      <c r="A24" s="1">
        <v>27</v>
      </c>
      <c r="B24" s="6" t="s">
        <v>25</v>
      </c>
      <c r="C24" s="7"/>
      <c r="D24" s="8"/>
      <c r="E24" s="8"/>
      <c r="F24" s="9"/>
      <c r="G24" s="9"/>
      <c r="H24" s="7"/>
      <c r="I24" s="11"/>
      <c r="J24" s="13"/>
      <c r="K24" s="9"/>
      <c r="L24" s="9"/>
      <c r="M24" s="7"/>
      <c r="N24" s="11"/>
      <c r="O24" s="11"/>
      <c r="P24" s="9"/>
      <c r="Q24" s="9"/>
      <c r="R24" s="7"/>
      <c r="S24" s="11"/>
      <c r="T24" s="11"/>
      <c r="U24" s="9"/>
      <c r="V24" s="9"/>
      <c r="W24" s="7"/>
      <c r="X24" s="11"/>
      <c r="Y24" s="8"/>
      <c r="Z24" s="9"/>
      <c r="AA24" s="9"/>
      <c r="AB24" s="10"/>
      <c r="AC24" s="8"/>
      <c r="AD24" s="11"/>
      <c r="AE24" s="9"/>
      <c r="AF24" s="9"/>
      <c r="AG24" s="8"/>
      <c r="AH24" s="11"/>
      <c r="AI24" s="10"/>
      <c r="AJ24" s="9"/>
      <c r="AK24" s="9"/>
      <c r="AL24" s="10"/>
      <c r="AM24" s="8"/>
      <c r="AN24" s="10"/>
      <c r="AO24" s="9"/>
      <c r="AP24" s="9"/>
      <c r="AQ24" s="10"/>
      <c r="AR24" s="8"/>
      <c r="AS24" s="11"/>
      <c r="AT24" s="9"/>
      <c r="AU24" s="9"/>
      <c r="AV24" s="9">
        <f t="shared" si="0"/>
        <v>0</v>
      </c>
      <c r="AW24" s="9">
        <f t="shared" si="1"/>
        <v>0</v>
      </c>
      <c r="AX24" s="19">
        <f>AV24+'تحليل الاداء  '!AM24+'تحليل الاداء '!AM24+'تحليل الاداء'!AM24</f>
        <v>2</v>
      </c>
      <c r="AY24" s="19">
        <f>AW24+'تحليل الاداء  '!AN24+'تحليل الاداء '!AN24+'تحليل الاداء'!AN24</f>
        <v>2</v>
      </c>
    </row>
    <row r="25" spans="1:51" ht="21">
      <c r="A25" s="1">
        <v>28</v>
      </c>
      <c r="B25" s="6" t="s">
        <v>26</v>
      </c>
      <c r="C25" s="7"/>
      <c r="D25" s="8"/>
      <c r="E25" s="8"/>
      <c r="F25" s="9"/>
      <c r="G25" s="9"/>
      <c r="H25" s="7"/>
      <c r="I25" s="11"/>
      <c r="J25" s="13"/>
      <c r="K25" s="9"/>
      <c r="L25" s="9"/>
      <c r="M25" s="7"/>
      <c r="N25" s="11"/>
      <c r="O25" s="11"/>
      <c r="P25" s="9"/>
      <c r="Q25" s="9"/>
      <c r="R25" s="7"/>
      <c r="S25" s="11"/>
      <c r="T25" s="11"/>
      <c r="U25" s="9"/>
      <c r="V25" s="9"/>
      <c r="W25" s="7"/>
      <c r="X25" s="11"/>
      <c r="Y25" s="8"/>
      <c r="Z25" s="9"/>
      <c r="AA25" s="9"/>
      <c r="AB25" s="10"/>
      <c r="AC25" s="8"/>
      <c r="AD25" s="11"/>
      <c r="AE25" s="9"/>
      <c r="AF25" s="9"/>
      <c r="AG25" s="8"/>
      <c r="AH25" s="11"/>
      <c r="AI25" s="10"/>
      <c r="AJ25" s="9"/>
      <c r="AK25" s="9"/>
      <c r="AL25" s="10"/>
      <c r="AM25" s="8"/>
      <c r="AN25" s="10"/>
      <c r="AO25" s="9"/>
      <c r="AP25" s="9"/>
      <c r="AQ25" s="10"/>
      <c r="AR25" s="8"/>
      <c r="AS25" s="11"/>
      <c r="AT25" s="9"/>
      <c r="AU25" s="9"/>
      <c r="AV25" s="9">
        <f t="shared" si="0"/>
        <v>0</v>
      </c>
      <c r="AW25" s="9">
        <f t="shared" si="1"/>
        <v>0</v>
      </c>
      <c r="AX25" s="19">
        <f>AV25+'تحليل الاداء  '!AM25+'تحليل الاداء '!AM25+'تحليل الاداء'!AM25</f>
        <v>2</v>
      </c>
      <c r="AY25" s="19">
        <f>AW25+'تحليل الاداء  '!AN25+'تحليل الاداء '!AN25+'تحليل الاداء'!AN25</f>
        <v>3</v>
      </c>
    </row>
    <row r="26" spans="1:51" ht="21">
      <c r="A26" s="1">
        <v>35</v>
      </c>
      <c r="B26" s="6" t="s">
        <v>28</v>
      </c>
      <c r="C26" s="7"/>
      <c r="D26" s="8"/>
      <c r="E26" s="8"/>
      <c r="F26" s="9"/>
      <c r="G26" s="9"/>
      <c r="H26" s="7"/>
      <c r="I26" s="11"/>
      <c r="J26" s="13"/>
      <c r="K26" s="9"/>
      <c r="L26" s="9"/>
      <c r="M26" s="7"/>
      <c r="N26" s="11"/>
      <c r="O26" s="11"/>
      <c r="P26" s="9"/>
      <c r="Q26" s="9"/>
      <c r="R26" s="7"/>
      <c r="S26" s="11"/>
      <c r="T26" s="11"/>
      <c r="U26" s="9"/>
      <c r="V26" s="9"/>
      <c r="W26" s="7"/>
      <c r="X26" s="11"/>
      <c r="Y26" s="8"/>
      <c r="Z26" s="9"/>
      <c r="AA26" s="9"/>
      <c r="AB26" s="10"/>
      <c r="AC26" s="8"/>
      <c r="AD26" s="11"/>
      <c r="AE26" s="9"/>
      <c r="AF26" s="9"/>
      <c r="AG26" s="8"/>
      <c r="AH26" s="11"/>
      <c r="AI26" s="10"/>
      <c r="AJ26" s="9"/>
      <c r="AK26" s="9"/>
      <c r="AL26" s="10"/>
      <c r="AM26" s="8"/>
      <c r="AN26" s="10"/>
      <c r="AO26" s="9"/>
      <c r="AP26" s="9"/>
      <c r="AQ26" s="10"/>
      <c r="AR26" s="8"/>
      <c r="AS26" s="11"/>
      <c r="AT26" s="9"/>
      <c r="AU26" s="9"/>
      <c r="AV26" s="9">
        <f t="shared" si="0"/>
        <v>0</v>
      </c>
      <c r="AW26" s="9">
        <f t="shared" si="1"/>
        <v>0</v>
      </c>
      <c r="AX26" s="19">
        <f>AV26+'تحليل الاداء  '!AM26+'تحليل الاداء '!AM26+'تحليل الاداء'!AM26</f>
        <v>14</v>
      </c>
      <c r="AY26" s="19">
        <f>AW26+'تحليل الاداء  '!AN26+'تحليل الاداء '!AN26+'تحليل الاداء'!AN26</f>
        <v>19</v>
      </c>
    </row>
    <row r="27" spans="1:51" ht="18" customHeight="1">
      <c r="B27" s="6" t="s">
        <v>29</v>
      </c>
      <c r="C27" s="7"/>
      <c r="D27" s="8"/>
      <c r="E27" s="8"/>
      <c r="F27" s="9"/>
      <c r="G27" s="9"/>
      <c r="H27" s="7"/>
      <c r="I27" s="11"/>
      <c r="J27" s="13"/>
      <c r="K27" s="9"/>
      <c r="L27" s="9"/>
      <c r="M27" s="7"/>
      <c r="N27" s="11"/>
      <c r="O27" s="11"/>
      <c r="P27" s="9"/>
      <c r="Q27" s="9"/>
      <c r="R27" s="7"/>
      <c r="S27" s="11"/>
      <c r="T27" s="11"/>
      <c r="U27" s="9"/>
      <c r="V27" s="9"/>
      <c r="W27" s="7"/>
      <c r="X27" s="11"/>
      <c r="Y27" s="8"/>
      <c r="Z27" s="9"/>
      <c r="AA27" s="9"/>
      <c r="AB27" s="10"/>
      <c r="AC27" s="8"/>
      <c r="AD27" s="11"/>
      <c r="AE27" s="9"/>
      <c r="AF27" s="9"/>
      <c r="AG27" s="8"/>
      <c r="AH27" s="11"/>
      <c r="AI27" s="10"/>
      <c r="AJ27" s="9"/>
      <c r="AK27" s="9"/>
      <c r="AL27" s="10"/>
      <c r="AM27" s="8"/>
      <c r="AN27" s="10"/>
      <c r="AO27" s="9"/>
      <c r="AP27" s="9"/>
      <c r="AQ27" s="10"/>
      <c r="AR27" s="8"/>
      <c r="AS27" s="11"/>
      <c r="AT27" s="9"/>
      <c r="AU27" s="9"/>
      <c r="AV27" s="9">
        <f t="shared" si="0"/>
        <v>0</v>
      </c>
      <c r="AW27" s="9">
        <f t="shared" si="1"/>
        <v>0</v>
      </c>
      <c r="AX27" s="19">
        <f>AV27+'تحليل الاداء  '!AM27+'تحليل الاداء '!AM27+'تحليل الاداء'!AM27</f>
        <v>10</v>
      </c>
      <c r="AY27" s="19">
        <f>AW27+'تحليل الاداء  '!AN27+'تحليل الاداء '!AN27+'تحليل الاداء'!AN27</f>
        <v>15</v>
      </c>
    </row>
    <row r="28" spans="1:51" ht="21">
      <c r="B28" s="6" t="s">
        <v>30</v>
      </c>
      <c r="C28" s="7"/>
      <c r="D28" s="8"/>
      <c r="E28" s="8"/>
      <c r="F28" s="9"/>
      <c r="G28" s="9"/>
      <c r="H28" s="7"/>
      <c r="I28" s="11"/>
      <c r="J28" s="13"/>
      <c r="K28" s="9"/>
      <c r="L28" s="9"/>
      <c r="M28" s="7"/>
      <c r="N28" s="11"/>
      <c r="O28" s="11"/>
      <c r="P28" s="9"/>
      <c r="Q28" s="9"/>
      <c r="R28" s="7"/>
      <c r="S28" s="11"/>
      <c r="T28" s="11"/>
      <c r="U28" s="9"/>
      <c r="V28" s="9"/>
      <c r="W28" s="7"/>
      <c r="X28" s="11"/>
      <c r="Y28" s="8"/>
      <c r="Z28" s="9"/>
      <c r="AA28" s="9"/>
      <c r="AB28" s="10"/>
      <c r="AC28" s="8"/>
      <c r="AD28" s="11"/>
      <c r="AE28" s="9"/>
      <c r="AF28" s="9"/>
      <c r="AG28" s="8"/>
      <c r="AH28" s="11"/>
      <c r="AI28" s="10"/>
      <c r="AJ28" s="9"/>
      <c r="AK28" s="9"/>
      <c r="AL28" s="10"/>
      <c r="AM28" s="8"/>
      <c r="AN28" s="10"/>
      <c r="AO28" s="9"/>
      <c r="AP28" s="9"/>
      <c r="AQ28" s="10"/>
      <c r="AR28" s="8"/>
      <c r="AS28" s="11"/>
      <c r="AT28" s="9"/>
      <c r="AU28" s="9"/>
      <c r="AV28" s="9">
        <f t="shared" si="0"/>
        <v>0</v>
      </c>
      <c r="AW28" s="9">
        <f t="shared" si="1"/>
        <v>0</v>
      </c>
      <c r="AX28" s="19">
        <f>AV28+'تحليل الاداء  '!AM28+'تحليل الاداء '!AM28+'تحليل الاداء'!AM28</f>
        <v>14</v>
      </c>
      <c r="AY28" s="19">
        <f>AW28+'تحليل الاداء  '!AN28+'تحليل الاداء '!AN28+'تحليل الاداء'!AN28</f>
        <v>19</v>
      </c>
    </row>
    <row r="29" spans="1:51" ht="21">
      <c r="B29" s="6" t="s">
        <v>31</v>
      </c>
      <c r="C29" s="7"/>
      <c r="D29" s="8"/>
      <c r="E29" s="8"/>
      <c r="F29" s="9"/>
      <c r="G29" s="9"/>
      <c r="H29" s="7"/>
      <c r="I29" s="11"/>
      <c r="J29" s="13"/>
      <c r="K29" s="9"/>
      <c r="L29" s="9"/>
      <c r="M29" s="7"/>
      <c r="N29" s="11"/>
      <c r="O29" s="11"/>
      <c r="P29" s="9"/>
      <c r="Q29" s="9"/>
      <c r="R29" s="7"/>
      <c r="S29" s="11"/>
      <c r="T29" s="11"/>
      <c r="U29" s="9"/>
      <c r="V29" s="9"/>
      <c r="W29" s="7"/>
      <c r="X29" s="11"/>
      <c r="Y29" s="8"/>
      <c r="Z29" s="9"/>
      <c r="AA29" s="9"/>
      <c r="AB29" s="10"/>
      <c r="AC29" s="8"/>
      <c r="AD29" s="11"/>
      <c r="AE29" s="9"/>
      <c r="AF29" s="9"/>
      <c r="AG29" s="8"/>
      <c r="AH29" s="11"/>
      <c r="AI29" s="10"/>
      <c r="AJ29" s="9"/>
      <c r="AK29" s="9"/>
      <c r="AL29" s="10"/>
      <c r="AM29" s="8"/>
      <c r="AN29" s="10"/>
      <c r="AO29" s="9"/>
      <c r="AP29" s="9"/>
      <c r="AQ29" s="10"/>
      <c r="AR29" s="8"/>
      <c r="AS29" s="11"/>
      <c r="AT29" s="9"/>
      <c r="AU29" s="9"/>
      <c r="AV29" s="9">
        <f t="shared" si="0"/>
        <v>0</v>
      </c>
      <c r="AW29" s="9">
        <f t="shared" si="1"/>
        <v>0</v>
      </c>
      <c r="AX29" s="19">
        <f>AV29+'تحليل الاداء  '!AM29+'تحليل الاداء '!AM29+'تحليل الاداء'!AM29</f>
        <v>9</v>
      </c>
      <c r="AY29" s="19">
        <f>AW29+'تحليل الاداء  '!AN29+'تحليل الاداء '!AN29+'تحليل الاداء'!AN29</f>
        <v>11</v>
      </c>
    </row>
    <row r="30" spans="1:51" ht="21">
      <c r="B30" s="6" t="s">
        <v>32</v>
      </c>
      <c r="C30" s="7"/>
      <c r="D30" s="8"/>
      <c r="E30" s="8"/>
      <c r="F30" s="9"/>
      <c r="G30" s="9"/>
      <c r="H30" s="7"/>
      <c r="I30" s="11"/>
      <c r="J30" s="13"/>
      <c r="K30" s="9"/>
      <c r="L30" s="9"/>
      <c r="M30" s="7"/>
      <c r="N30" s="11"/>
      <c r="O30" s="11"/>
      <c r="P30" s="9"/>
      <c r="Q30" s="9"/>
      <c r="R30" s="7"/>
      <c r="S30" s="11"/>
      <c r="T30" s="11"/>
      <c r="U30" s="9"/>
      <c r="V30" s="9"/>
      <c r="W30" s="7"/>
      <c r="X30" s="11"/>
      <c r="Y30" s="8"/>
      <c r="Z30" s="9"/>
      <c r="AA30" s="9"/>
      <c r="AB30" s="10"/>
      <c r="AC30" s="8"/>
      <c r="AD30" s="11"/>
      <c r="AE30" s="9"/>
      <c r="AF30" s="9"/>
      <c r="AG30" s="8"/>
      <c r="AH30" s="11"/>
      <c r="AI30" s="10"/>
      <c r="AJ30" s="9"/>
      <c r="AK30" s="9"/>
      <c r="AL30" s="10"/>
      <c r="AM30" s="8"/>
      <c r="AN30" s="10"/>
      <c r="AO30" s="9"/>
      <c r="AP30" s="9"/>
      <c r="AQ30" s="10"/>
      <c r="AR30" s="8"/>
      <c r="AS30" s="11"/>
      <c r="AT30" s="9"/>
      <c r="AU30" s="9"/>
      <c r="AV30" s="9">
        <f t="shared" si="0"/>
        <v>0</v>
      </c>
      <c r="AW30" s="9">
        <f t="shared" si="1"/>
        <v>0</v>
      </c>
      <c r="AX30" s="19">
        <f>AV30+'تحليل الاداء  '!AM30+'تحليل الاداء '!AM30+'تحليل الاداء'!AM30</f>
        <v>12</v>
      </c>
      <c r="AY30" s="19">
        <f>AW30+'تحليل الاداء  '!AN30+'تحليل الاداء '!AN30+'تحليل الاداء'!AN30</f>
        <v>18</v>
      </c>
    </row>
    <row r="31" spans="1:51" ht="21">
      <c r="B31" s="6" t="s">
        <v>55</v>
      </c>
      <c r="C31" s="7"/>
      <c r="D31" s="8"/>
      <c r="E31" s="8"/>
      <c r="F31" s="9"/>
      <c r="G31" s="9"/>
      <c r="H31" s="7"/>
      <c r="I31" s="11"/>
      <c r="J31" s="13"/>
      <c r="K31" s="9"/>
      <c r="L31" s="9"/>
      <c r="M31" s="7"/>
      <c r="N31" s="11"/>
      <c r="O31" s="11"/>
      <c r="P31" s="9"/>
      <c r="Q31" s="9"/>
      <c r="R31" s="7"/>
      <c r="S31" s="11"/>
      <c r="T31" s="11"/>
      <c r="U31" s="9"/>
      <c r="V31" s="9"/>
      <c r="W31" s="7"/>
      <c r="X31" s="11"/>
      <c r="Y31" s="8"/>
      <c r="Z31" s="9"/>
      <c r="AA31" s="9"/>
      <c r="AB31" s="10"/>
      <c r="AC31" s="8"/>
      <c r="AD31" s="11"/>
      <c r="AE31" s="9"/>
      <c r="AF31" s="9"/>
      <c r="AG31" s="8"/>
      <c r="AH31" s="11"/>
      <c r="AI31" s="10"/>
      <c r="AJ31" s="9"/>
      <c r="AK31" s="9"/>
      <c r="AL31" s="10"/>
      <c r="AM31" s="8"/>
      <c r="AN31" s="10"/>
      <c r="AO31" s="9"/>
      <c r="AP31" s="9"/>
      <c r="AQ31" s="10"/>
      <c r="AR31" s="8"/>
      <c r="AS31" s="11"/>
      <c r="AT31" s="9"/>
      <c r="AU31" s="9"/>
      <c r="AV31" s="9">
        <f t="shared" si="0"/>
        <v>0</v>
      </c>
      <c r="AW31" s="9">
        <f t="shared" si="1"/>
        <v>0</v>
      </c>
      <c r="AX31" s="19">
        <f>AV31+'تحليل الاداء  '!AM31+'تحليل الاداء '!AM31+'تحليل الاداء'!AM31</f>
        <v>15</v>
      </c>
      <c r="AY31" s="19">
        <f>AW31+'تحليل الاداء  '!AN31+'تحليل الاداء '!AN31+'تحليل الاداء'!AN31</f>
        <v>21</v>
      </c>
    </row>
    <row r="32" spans="1:51" ht="21">
      <c r="B32" s="6" t="s">
        <v>87</v>
      </c>
      <c r="C32" s="7"/>
      <c r="D32" s="8"/>
      <c r="E32" s="8"/>
      <c r="F32" s="9"/>
      <c r="G32" s="9"/>
      <c r="H32" s="7"/>
      <c r="I32" s="11"/>
      <c r="J32" s="13"/>
      <c r="K32" s="9"/>
      <c r="L32" s="9"/>
      <c r="M32" s="7"/>
      <c r="N32" s="11"/>
      <c r="O32" s="11"/>
      <c r="P32" s="9"/>
      <c r="Q32" s="9"/>
      <c r="R32" s="7"/>
      <c r="S32" s="11"/>
      <c r="T32" s="11"/>
      <c r="U32" s="9"/>
      <c r="V32" s="9"/>
      <c r="W32" s="7"/>
      <c r="X32" s="11"/>
      <c r="Y32" s="8"/>
      <c r="Z32" s="9"/>
      <c r="AA32" s="9"/>
      <c r="AB32" s="10"/>
      <c r="AC32" s="8"/>
      <c r="AD32" s="11"/>
      <c r="AE32" s="9"/>
      <c r="AF32" s="9"/>
      <c r="AG32" s="8"/>
      <c r="AH32" s="11"/>
      <c r="AI32" s="10"/>
      <c r="AJ32" s="9"/>
      <c r="AK32" s="9"/>
      <c r="AL32" s="10"/>
      <c r="AM32" s="8"/>
      <c r="AN32" s="10"/>
      <c r="AO32" s="9"/>
      <c r="AP32" s="9"/>
      <c r="AQ32" s="10"/>
      <c r="AR32" s="8"/>
      <c r="AS32" s="11"/>
      <c r="AT32" s="9"/>
      <c r="AU32" s="9"/>
      <c r="AV32" s="9">
        <f t="shared" si="0"/>
        <v>0</v>
      </c>
      <c r="AW32" s="9">
        <f t="shared" si="1"/>
        <v>0</v>
      </c>
      <c r="AX32" s="19">
        <f>AV32+'تحليل الاداء  '!AM32+'تحليل الاداء '!AM32+'تحليل الاداء'!AM32</f>
        <v>16</v>
      </c>
      <c r="AY32" s="19">
        <f>AW32+'تحليل الاداء  '!AN32+'تحليل الاداء '!AN32+'تحليل الاداء'!AN32</f>
        <v>22</v>
      </c>
    </row>
    <row r="33" spans="1:51" ht="21">
      <c r="B33" s="6" t="s">
        <v>95</v>
      </c>
      <c r="C33" s="7"/>
      <c r="D33" s="8"/>
      <c r="E33" s="8"/>
      <c r="F33" s="9"/>
      <c r="G33" s="9"/>
      <c r="H33" s="7"/>
      <c r="I33" s="11"/>
      <c r="J33" s="13"/>
      <c r="K33" s="9"/>
      <c r="L33" s="9"/>
      <c r="M33" s="7"/>
      <c r="N33" s="11"/>
      <c r="O33" s="11"/>
      <c r="P33" s="9"/>
      <c r="Q33" s="9"/>
      <c r="R33" s="7"/>
      <c r="S33" s="11"/>
      <c r="T33" s="11"/>
      <c r="U33" s="9"/>
      <c r="V33" s="9"/>
      <c r="W33" s="7"/>
      <c r="X33" s="11"/>
      <c r="Y33" s="8"/>
      <c r="Z33" s="9"/>
      <c r="AA33" s="9"/>
      <c r="AB33" s="10"/>
      <c r="AC33" s="8"/>
      <c r="AD33" s="11"/>
      <c r="AE33" s="9"/>
      <c r="AF33" s="9"/>
      <c r="AG33" s="8"/>
      <c r="AH33" s="11"/>
      <c r="AI33" s="10"/>
      <c r="AJ33" s="9"/>
      <c r="AK33" s="9"/>
      <c r="AL33" s="10"/>
      <c r="AM33" s="8"/>
      <c r="AN33" s="10"/>
      <c r="AO33" s="9"/>
      <c r="AP33" s="9"/>
      <c r="AQ33" s="10"/>
      <c r="AR33" s="8"/>
      <c r="AS33" s="11"/>
      <c r="AT33" s="9"/>
      <c r="AU33" s="9"/>
      <c r="AV33" s="9">
        <f t="shared" si="0"/>
        <v>0</v>
      </c>
      <c r="AW33" s="9">
        <f t="shared" si="1"/>
        <v>0</v>
      </c>
      <c r="AX33" s="19">
        <f>AV33+'تحليل الاداء  '!AM33+'تحليل الاداء '!AM33+'تحليل الاداء'!AM33</f>
        <v>16</v>
      </c>
      <c r="AY33" s="19">
        <f>AW33+'تحليل الاداء  '!AN33+'تحليل الاداء '!AN33+'تحليل الاداء'!AN33</f>
        <v>21</v>
      </c>
    </row>
    <row r="34" spans="1:51" ht="21">
      <c r="A34" s="1">
        <v>34</v>
      </c>
      <c r="B34" s="12" t="s">
        <v>33</v>
      </c>
      <c r="C34" s="7"/>
      <c r="D34" s="8"/>
      <c r="E34" s="8"/>
      <c r="F34" s="9"/>
      <c r="G34" s="9"/>
      <c r="H34" s="7"/>
      <c r="I34" s="11"/>
      <c r="J34" s="13"/>
      <c r="K34" s="9"/>
      <c r="L34" s="9"/>
      <c r="M34" s="7"/>
      <c r="N34" s="11"/>
      <c r="O34" s="11"/>
      <c r="P34" s="9"/>
      <c r="Q34" s="9"/>
      <c r="R34" s="7"/>
      <c r="S34" s="11"/>
      <c r="T34" s="11"/>
      <c r="U34" s="9"/>
      <c r="V34" s="9"/>
      <c r="W34" s="7"/>
      <c r="X34" s="11"/>
      <c r="Y34" s="8"/>
      <c r="Z34" s="9"/>
      <c r="AA34" s="9"/>
      <c r="AB34" s="10"/>
      <c r="AC34" s="8"/>
      <c r="AD34" s="11"/>
      <c r="AE34" s="9"/>
      <c r="AF34" s="9"/>
      <c r="AG34" s="8"/>
      <c r="AH34" s="11"/>
      <c r="AI34" s="10"/>
      <c r="AJ34" s="9"/>
      <c r="AK34" s="9"/>
      <c r="AL34" s="10"/>
      <c r="AM34" s="8"/>
      <c r="AN34" s="10"/>
      <c r="AO34" s="9"/>
      <c r="AP34" s="9"/>
      <c r="AQ34" s="10"/>
      <c r="AR34" s="8"/>
      <c r="AS34" s="11"/>
      <c r="AT34" s="9"/>
      <c r="AU34" s="9"/>
      <c r="AV34" s="9">
        <f t="shared" si="0"/>
        <v>0</v>
      </c>
      <c r="AW34" s="9">
        <f t="shared" si="1"/>
        <v>0</v>
      </c>
      <c r="AX34" s="19">
        <f>AV34+'تحليل الاداء  '!AM34+'تحليل الاداء '!AM34+'تحليل الاداء'!AM34</f>
        <v>0</v>
      </c>
      <c r="AY34" s="19">
        <f>AW34+'تحليل الاداء  '!AN34+'تحليل الاداء '!AN34+'تحليل الاداء'!AN34</f>
        <v>0</v>
      </c>
    </row>
    <row r="35" spans="1:51" ht="21">
      <c r="A35" s="1">
        <v>55</v>
      </c>
      <c r="B35" s="6" t="s">
        <v>34</v>
      </c>
      <c r="C35" s="7"/>
      <c r="D35" s="8"/>
      <c r="E35" s="8"/>
      <c r="F35" s="9"/>
      <c r="G35" s="9"/>
      <c r="H35" s="7"/>
      <c r="I35" s="11"/>
      <c r="J35" s="13"/>
      <c r="K35" s="9"/>
      <c r="L35" s="9"/>
      <c r="M35" s="7"/>
      <c r="N35" s="11"/>
      <c r="O35" s="11"/>
      <c r="P35" s="9"/>
      <c r="Q35" s="9"/>
      <c r="R35" s="7"/>
      <c r="S35" s="11"/>
      <c r="T35" s="11"/>
      <c r="U35" s="9"/>
      <c r="V35" s="9"/>
      <c r="W35" s="7"/>
      <c r="X35" s="11"/>
      <c r="Y35" s="8"/>
      <c r="Z35" s="9"/>
      <c r="AA35" s="9"/>
      <c r="AB35" s="10"/>
      <c r="AC35" s="8"/>
      <c r="AD35" s="11"/>
      <c r="AE35" s="9"/>
      <c r="AF35" s="9"/>
      <c r="AG35" s="8"/>
      <c r="AH35" s="11"/>
      <c r="AI35" s="10"/>
      <c r="AJ35" s="9"/>
      <c r="AK35" s="9"/>
      <c r="AL35" s="10"/>
      <c r="AM35" s="8"/>
      <c r="AN35" s="10"/>
      <c r="AO35" s="9"/>
      <c r="AP35" s="9"/>
      <c r="AQ35" s="10"/>
      <c r="AR35" s="8"/>
      <c r="AS35" s="11"/>
      <c r="AT35" s="9"/>
      <c r="AU35" s="9"/>
      <c r="AV35" s="9">
        <f t="shared" si="0"/>
        <v>0</v>
      </c>
      <c r="AW35" s="9">
        <f t="shared" si="1"/>
        <v>0</v>
      </c>
      <c r="AX35" s="19">
        <f>AV35+'تحليل الاداء  '!AM35+'تحليل الاداء '!AM35+'تحليل الاداء'!AM35</f>
        <v>14</v>
      </c>
      <c r="AY35" s="19">
        <f>AW35+'تحليل الاداء  '!AN35+'تحليل الاداء '!AN35+'تحليل الاداء'!AN35</f>
        <v>17</v>
      </c>
    </row>
    <row r="36" spans="1:51" ht="18.75" customHeight="1">
      <c r="A36" s="1">
        <v>37</v>
      </c>
      <c r="B36" s="6" t="s">
        <v>35</v>
      </c>
      <c r="C36" s="7"/>
      <c r="D36" s="8"/>
      <c r="E36" s="8"/>
      <c r="F36" s="9"/>
      <c r="G36" s="9"/>
      <c r="H36" s="7"/>
      <c r="I36" s="11"/>
      <c r="J36" s="13"/>
      <c r="K36" s="9"/>
      <c r="L36" s="9"/>
      <c r="M36" s="7"/>
      <c r="N36" s="11"/>
      <c r="O36" s="11"/>
      <c r="P36" s="9"/>
      <c r="Q36" s="9"/>
      <c r="R36" s="7"/>
      <c r="S36" s="11"/>
      <c r="T36" s="11"/>
      <c r="U36" s="9"/>
      <c r="V36" s="9"/>
      <c r="W36" s="7"/>
      <c r="X36" s="11"/>
      <c r="Y36" s="8"/>
      <c r="Z36" s="9"/>
      <c r="AA36" s="9"/>
      <c r="AB36" s="10"/>
      <c r="AC36" s="8"/>
      <c r="AD36" s="11"/>
      <c r="AE36" s="9"/>
      <c r="AF36" s="9"/>
      <c r="AG36" s="8"/>
      <c r="AH36" s="11"/>
      <c r="AI36" s="10"/>
      <c r="AJ36" s="9"/>
      <c r="AK36" s="9"/>
      <c r="AL36" s="10"/>
      <c r="AM36" s="8"/>
      <c r="AN36" s="10"/>
      <c r="AO36" s="9"/>
      <c r="AP36" s="9"/>
      <c r="AQ36" s="10"/>
      <c r="AR36" s="8"/>
      <c r="AS36" s="11"/>
      <c r="AT36" s="9"/>
      <c r="AU36" s="9"/>
      <c r="AV36" s="9">
        <f t="shared" si="0"/>
        <v>0</v>
      </c>
      <c r="AW36" s="9">
        <f t="shared" si="1"/>
        <v>0</v>
      </c>
      <c r="AX36" s="19">
        <f>AV36+'تحليل الاداء  '!AM36+'تحليل الاداء '!AM36+'تحليل الاداء'!AM36</f>
        <v>17</v>
      </c>
      <c r="AY36" s="19">
        <f>AW36+'تحليل الاداء  '!AN36+'تحليل الاداء '!AN36+'تحليل الاداء'!AN36</f>
        <v>21</v>
      </c>
    </row>
    <row r="37" spans="1:51" ht="18.75" customHeight="1">
      <c r="A37" s="1">
        <v>38</v>
      </c>
      <c r="B37" s="6" t="s">
        <v>36</v>
      </c>
      <c r="C37" s="7"/>
      <c r="D37" s="8"/>
      <c r="E37" s="8"/>
      <c r="F37" s="9"/>
      <c r="G37" s="9"/>
      <c r="H37" s="7"/>
      <c r="I37" s="11"/>
      <c r="J37" s="13"/>
      <c r="K37" s="9"/>
      <c r="L37" s="9"/>
      <c r="M37" s="7"/>
      <c r="N37" s="11"/>
      <c r="O37" s="11"/>
      <c r="P37" s="9"/>
      <c r="Q37" s="9"/>
      <c r="R37" s="7"/>
      <c r="S37" s="11"/>
      <c r="T37" s="11"/>
      <c r="U37" s="9"/>
      <c r="V37" s="9"/>
      <c r="W37" s="7"/>
      <c r="X37" s="11"/>
      <c r="Y37" s="8"/>
      <c r="Z37" s="9"/>
      <c r="AA37" s="9"/>
      <c r="AB37" s="10"/>
      <c r="AC37" s="8"/>
      <c r="AD37" s="11"/>
      <c r="AE37" s="9"/>
      <c r="AF37" s="9"/>
      <c r="AG37" s="8"/>
      <c r="AH37" s="11"/>
      <c r="AI37" s="10"/>
      <c r="AJ37" s="9"/>
      <c r="AK37" s="9"/>
      <c r="AL37" s="10"/>
      <c r="AM37" s="8"/>
      <c r="AN37" s="10"/>
      <c r="AO37" s="9"/>
      <c r="AP37" s="9"/>
      <c r="AQ37" s="10"/>
      <c r="AR37" s="8"/>
      <c r="AS37" s="11"/>
      <c r="AT37" s="9"/>
      <c r="AU37" s="9"/>
      <c r="AV37" s="9">
        <f t="shared" si="0"/>
        <v>0</v>
      </c>
      <c r="AW37" s="9">
        <f t="shared" si="1"/>
        <v>0</v>
      </c>
      <c r="AX37" s="19">
        <f>AV37+'تحليل الاداء  '!AM37+'تحليل الاداء '!AM37+'تحليل الاداء'!AM37</f>
        <v>15</v>
      </c>
      <c r="AY37" s="19">
        <f>AW37+'تحليل الاداء  '!AN37+'تحليل الاداء '!AN37+'تحليل الاداء'!AN37</f>
        <v>20</v>
      </c>
    </row>
    <row r="38" spans="1:51" ht="21">
      <c r="A38" s="1">
        <v>39</v>
      </c>
      <c r="B38" s="6" t="s">
        <v>37</v>
      </c>
      <c r="C38" s="7"/>
      <c r="D38" s="8"/>
      <c r="E38" s="8"/>
      <c r="F38" s="9"/>
      <c r="G38" s="9"/>
      <c r="H38" s="7"/>
      <c r="I38" s="11"/>
      <c r="J38" s="13"/>
      <c r="K38" s="9"/>
      <c r="L38" s="9"/>
      <c r="M38" s="7"/>
      <c r="N38" s="11"/>
      <c r="O38" s="11"/>
      <c r="P38" s="9"/>
      <c r="Q38" s="9"/>
      <c r="R38" s="7"/>
      <c r="S38" s="11"/>
      <c r="T38" s="11"/>
      <c r="U38" s="9"/>
      <c r="V38" s="9"/>
      <c r="W38" s="7"/>
      <c r="X38" s="11"/>
      <c r="Y38" s="8"/>
      <c r="Z38" s="9"/>
      <c r="AA38" s="9"/>
      <c r="AB38" s="10"/>
      <c r="AC38" s="8"/>
      <c r="AD38" s="11"/>
      <c r="AE38" s="9"/>
      <c r="AF38" s="9"/>
      <c r="AG38" s="8"/>
      <c r="AH38" s="11"/>
      <c r="AI38" s="10"/>
      <c r="AJ38" s="9"/>
      <c r="AK38" s="9"/>
      <c r="AL38" s="10"/>
      <c r="AM38" s="8"/>
      <c r="AN38" s="10"/>
      <c r="AO38" s="9"/>
      <c r="AP38" s="9"/>
      <c r="AQ38" s="10"/>
      <c r="AR38" s="8"/>
      <c r="AS38" s="11"/>
      <c r="AT38" s="9"/>
      <c r="AU38" s="9"/>
      <c r="AV38" s="9">
        <f t="shared" si="0"/>
        <v>0</v>
      </c>
      <c r="AW38" s="9">
        <f t="shared" si="1"/>
        <v>0</v>
      </c>
      <c r="AX38" s="19">
        <f>AV38+'تحليل الاداء  '!AM38+'تحليل الاداء '!AM38+'تحليل الاداء'!AM38</f>
        <v>12</v>
      </c>
      <c r="AY38" s="19">
        <f>AW38+'تحليل الاداء  '!AN38+'تحليل الاداء '!AN38+'تحليل الاداء'!AN38</f>
        <v>22</v>
      </c>
    </row>
    <row r="39" spans="1:51" ht="21">
      <c r="A39" s="1">
        <v>40</v>
      </c>
      <c r="B39" s="6" t="s">
        <v>38</v>
      </c>
      <c r="C39" s="7"/>
      <c r="D39" s="8"/>
      <c r="E39" s="8"/>
      <c r="F39" s="9"/>
      <c r="G39" s="9"/>
      <c r="H39" s="7"/>
      <c r="I39" s="11"/>
      <c r="J39" s="13"/>
      <c r="K39" s="9"/>
      <c r="L39" s="9"/>
      <c r="M39" s="7"/>
      <c r="N39" s="11"/>
      <c r="O39" s="11"/>
      <c r="P39" s="9"/>
      <c r="Q39" s="9"/>
      <c r="R39" s="7"/>
      <c r="S39" s="11"/>
      <c r="T39" s="11"/>
      <c r="U39" s="9"/>
      <c r="V39" s="9"/>
      <c r="W39" s="7"/>
      <c r="X39" s="11"/>
      <c r="Y39" s="8"/>
      <c r="Z39" s="9"/>
      <c r="AA39" s="9"/>
      <c r="AB39" s="10"/>
      <c r="AC39" s="8"/>
      <c r="AD39" s="11"/>
      <c r="AE39" s="9"/>
      <c r="AF39" s="9"/>
      <c r="AG39" s="8"/>
      <c r="AH39" s="11"/>
      <c r="AI39" s="10"/>
      <c r="AJ39" s="9"/>
      <c r="AK39" s="9"/>
      <c r="AL39" s="10"/>
      <c r="AM39" s="8"/>
      <c r="AN39" s="10"/>
      <c r="AO39" s="9"/>
      <c r="AP39" s="9"/>
      <c r="AQ39" s="10"/>
      <c r="AR39" s="8"/>
      <c r="AS39" s="11"/>
      <c r="AT39" s="9"/>
      <c r="AU39" s="9"/>
      <c r="AV39" s="9">
        <f t="shared" si="0"/>
        <v>0</v>
      </c>
      <c r="AW39" s="9">
        <f t="shared" si="1"/>
        <v>0</v>
      </c>
      <c r="AX39" s="19">
        <f>AV39+'تحليل الاداء  '!AM39+'تحليل الاداء '!AM39+'تحليل الاداء'!AM39</f>
        <v>14</v>
      </c>
      <c r="AY39" s="19">
        <f>AW39+'تحليل الاداء  '!AN39+'تحليل الاداء '!AN39+'تحليل الاداء'!AN39</f>
        <v>29</v>
      </c>
    </row>
    <row r="40" spans="1:51" ht="21">
      <c r="B40" s="6" t="s">
        <v>27</v>
      </c>
      <c r="C40" s="7"/>
      <c r="D40" s="8"/>
      <c r="E40" s="8"/>
      <c r="F40" s="9"/>
      <c r="G40" s="9"/>
      <c r="H40" s="7"/>
      <c r="I40" s="11"/>
      <c r="J40" s="13"/>
      <c r="K40" s="9"/>
      <c r="L40" s="9"/>
      <c r="M40" s="7"/>
      <c r="N40" s="11"/>
      <c r="O40" s="11"/>
      <c r="P40" s="9"/>
      <c r="Q40" s="9"/>
      <c r="R40" s="7"/>
      <c r="S40" s="11"/>
      <c r="T40" s="11"/>
      <c r="U40" s="9"/>
      <c r="V40" s="9"/>
      <c r="W40" s="7"/>
      <c r="X40" s="11"/>
      <c r="Y40" s="8"/>
      <c r="Z40" s="9"/>
      <c r="AA40" s="9"/>
      <c r="AB40" s="10"/>
      <c r="AC40" s="8"/>
      <c r="AD40" s="11"/>
      <c r="AE40" s="9"/>
      <c r="AF40" s="9"/>
      <c r="AG40" s="8"/>
      <c r="AH40" s="11"/>
      <c r="AI40" s="10"/>
      <c r="AJ40" s="9"/>
      <c r="AK40" s="9"/>
      <c r="AL40" s="10"/>
      <c r="AM40" s="8"/>
      <c r="AN40" s="10"/>
      <c r="AO40" s="9"/>
      <c r="AP40" s="9"/>
      <c r="AQ40" s="10"/>
      <c r="AR40" s="8"/>
      <c r="AS40" s="11"/>
      <c r="AT40" s="9"/>
      <c r="AU40" s="9"/>
      <c r="AV40" s="9">
        <f t="shared" si="0"/>
        <v>0</v>
      </c>
      <c r="AW40" s="9">
        <f t="shared" si="1"/>
        <v>0</v>
      </c>
      <c r="AX40" s="19">
        <f>AV40+'تحليل الاداء  '!AM40+'تحليل الاداء '!AM40+'تحليل الاداء'!AM40</f>
        <v>6</v>
      </c>
      <c r="AY40" s="19">
        <f>AW40+'تحليل الاداء  '!AN40+'تحليل الاداء '!AN40+'تحليل الاداء'!AN40</f>
        <v>6</v>
      </c>
    </row>
    <row r="41" spans="1:51" ht="21">
      <c r="B41" s="6" t="s">
        <v>39</v>
      </c>
      <c r="C41" s="7"/>
      <c r="D41" s="8"/>
      <c r="E41" s="8"/>
      <c r="F41" s="9"/>
      <c r="G41" s="9"/>
      <c r="H41" s="7"/>
      <c r="I41" s="11"/>
      <c r="J41" s="13"/>
      <c r="K41" s="9"/>
      <c r="L41" s="9"/>
      <c r="M41" s="7"/>
      <c r="N41" s="11"/>
      <c r="O41" s="11"/>
      <c r="P41" s="9"/>
      <c r="Q41" s="9"/>
      <c r="R41" s="7"/>
      <c r="S41" s="11"/>
      <c r="T41" s="11"/>
      <c r="U41" s="9"/>
      <c r="V41" s="9"/>
      <c r="W41" s="7"/>
      <c r="X41" s="11"/>
      <c r="Y41" s="8"/>
      <c r="Z41" s="9"/>
      <c r="AA41" s="9"/>
      <c r="AB41" s="10"/>
      <c r="AC41" s="8"/>
      <c r="AD41" s="11"/>
      <c r="AE41" s="9"/>
      <c r="AF41" s="9"/>
      <c r="AG41" s="8"/>
      <c r="AH41" s="11"/>
      <c r="AI41" s="10"/>
      <c r="AJ41" s="9"/>
      <c r="AK41" s="9"/>
      <c r="AL41" s="10"/>
      <c r="AM41" s="8"/>
      <c r="AN41" s="10"/>
      <c r="AO41" s="9"/>
      <c r="AP41" s="9"/>
      <c r="AQ41" s="10"/>
      <c r="AR41" s="8"/>
      <c r="AS41" s="11"/>
      <c r="AT41" s="9"/>
      <c r="AU41" s="9"/>
      <c r="AV41" s="9">
        <f t="shared" si="0"/>
        <v>0</v>
      </c>
      <c r="AW41" s="9">
        <f t="shared" si="1"/>
        <v>0</v>
      </c>
      <c r="AX41" s="19">
        <f>AV41+'تحليل الاداء  '!AM41+'تحليل الاداء '!AM41+'تحليل الاداء'!AM41</f>
        <v>7</v>
      </c>
      <c r="AY41" s="19">
        <f>AW41+'تحليل الاداء  '!AN41+'تحليل الاداء '!AN41+'تحليل الاداء'!AN41</f>
        <v>11</v>
      </c>
    </row>
    <row r="42" spans="1:51" ht="21">
      <c r="A42" s="1">
        <v>67</v>
      </c>
      <c r="B42" s="6" t="s">
        <v>40</v>
      </c>
      <c r="C42" s="7"/>
      <c r="D42" s="8"/>
      <c r="E42" s="8"/>
      <c r="F42" s="9"/>
      <c r="G42" s="9"/>
      <c r="H42" s="7"/>
      <c r="I42" s="11"/>
      <c r="J42" s="13"/>
      <c r="K42" s="9"/>
      <c r="L42" s="9"/>
      <c r="M42" s="7"/>
      <c r="N42" s="11"/>
      <c r="O42" s="11"/>
      <c r="P42" s="9"/>
      <c r="Q42" s="9"/>
      <c r="R42" s="7"/>
      <c r="S42" s="11"/>
      <c r="T42" s="11"/>
      <c r="U42" s="9"/>
      <c r="V42" s="9"/>
      <c r="W42" s="7"/>
      <c r="X42" s="11"/>
      <c r="Y42" s="8"/>
      <c r="Z42" s="9"/>
      <c r="AA42" s="9"/>
      <c r="AB42" s="10"/>
      <c r="AC42" s="8"/>
      <c r="AD42" s="11"/>
      <c r="AE42" s="9"/>
      <c r="AF42" s="9"/>
      <c r="AG42" s="8"/>
      <c r="AH42" s="11"/>
      <c r="AI42" s="10"/>
      <c r="AJ42" s="9"/>
      <c r="AK42" s="9"/>
      <c r="AL42" s="10"/>
      <c r="AM42" s="8"/>
      <c r="AN42" s="10"/>
      <c r="AO42" s="9"/>
      <c r="AP42" s="9"/>
      <c r="AQ42" s="10"/>
      <c r="AR42" s="8"/>
      <c r="AS42" s="11"/>
      <c r="AT42" s="9"/>
      <c r="AU42" s="9"/>
      <c r="AV42" s="9">
        <f t="shared" si="0"/>
        <v>0</v>
      </c>
      <c r="AW42" s="9">
        <f t="shared" si="1"/>
        <v>0</v>
      </c>
      <c r="AX42" s="19">
        <f>AV42+'تحليل الاداء  '!AM42+'تحليل الاداء '!AM42+'تحليل الاداء'!AM42</f>
        <v>6</v>
      </c>
      <c r="AY42" s="19">
        <f>AW42+'تحليل الاداء  '!AN42+'تحليل الاداء '!AN42+'تحليل الاداء'!AN42</f>
        <v>17</v>
      </c>
    </row>
    <row r="43" spans="1:51" ht="21">
      <c r="A43" s="1">
        <v>44</v>
      </c>
      <c r="B43" s="6" t="s">
        <v>41</v>
      </c>
      <c r="C43" s="7"/>
      <c r="D43" s="8"/>
      <c r="E43" s="8"/>
      <c r="F43" s="9"/>
      <c r="G43" s="9"/>
      <c r="H43" s="7"/>
      <c r="I43" s="11"/>
      <c r="J43" s="13"/>
      <c r="K43" s="9"/>
      <c r="L43" s="9"/>
      <c r="M43" s="7"/>
      <c r="N43" s="11"/>
      <c r="O43" s="11"/>
      <c r="P43" s="9"/>
      <c r="Q43" s="9"/>
      <c r="R43" s="7"/>
      <c r="S43" s="11"/>
      <c r="T43" s="11"/>
      <c r="U43" s="9"/>
      <c r="V43" s="9"/>
      <c r="W43" s="7"/>
      <c r="X43" s="11"/>
      <c r="Y43" s="8"/>
      <c r="Z43" s="9"/>
      <c r="AA43" s="9"/>
      <c r="AB43" s="10"/>
      <c r="AC43" s="8"/>
      <c r="AD43" s="11"/>
      <c r="AE43" s="9"/>
      <c r="AF43" s="9"/>
      <c r="AG43" s="8"/>
      <c r="AH43" s="11"/>
      <c r="AI43" s="10"/>
      <c r="AJ43" s="9"/>
      <c r="AK43" s="9"/>
      <c r="AL43" s="10"/>
      <c r="AM43" s="8"/>
      <c r="AN43" s="10"/>
      <c r="AO43" s="9"/>
      <c r="AP43" s="9"/>
      <c r="AQ43" s="10"/>
      <c r="AR43" s="8"/>
      <c r="AS43" s="11"/>
      <c r="AT43" s="9"/>
      <c r="AU43" s="9"/>
      <c r="AV43" s="9">
        <f t="shared" si="0"/>
        <v>0</v>
      </c>
      <c r="AW43" s="9">
        <f t="shared" si="1"/>
        <v>0</v>
      </c>
      <c r="AX43" s="19">
        <f>AV43+'تحليل الاداء  '!AM43+'تحليل الاداء '!AM43+'تحليل الاداء'!AM43</f>
        <v>12</v>
      </c>
      <c r="AY43" s="19">
        <f>AW43+'تحليل الاداء  '!AN43+'تحليل الاداء '!AN43+'تحليل الاداء'!AN43</f>
        <v>19</v>
      </c>
    </row>
    <row r="44" spans="1:51" ht="21">
      <c r="A44" s="1">
        <v>45</v>
      </c>
      <c r="B44" s="11" t="s">
        <v>68</v>
      </c>
      <c r="C44" s="7"/>
      <c r="D44" s="8"/>
      <c r="E44" s="8"/>
      <c r="F44" s="9"/>
      <c r="G44" s="9"/>
      <c r="H44" s="7"/>
      <c r="I44" s="11"/>
      <c r="J44" s="13"/>
      <c r="K44" s="9"/>
      <c r="L44" s="9"/>
      <c r="M44" s="7"/>
      <c r="N44" s="11"/>
      <c r="O44" s="11"/>
      <c r="P44" s="9"/>
      <c r="Q44" s="9"/>
      <c r="R44" s="7"/>
      <c r="S44" s="11"/>
      <c r="T44" s="11"/>
      <c r="U44" s="9"/>
      <c r="V44" s="9"/>
      <c r="W44" s="7"/>
      <c r="X44" s="11"/>
      <c r="Y44" s="8"/>
      <c r="Z44" s="9"/>
      <c r="AA44" s="9"/>
      <c r="AB44" s="10"/>
      <c r="AC44" s="8"/>
      <c r="AD44" s="11"/>
      <c r="AE44" s="9"/>
      <c r="AF44" s="9"/>
      <c r="AG44" s="8"/>
      <c r="AH44" s="11"/>
      <c r="AI44" s="10"/>
      <c r="AJ44" s="9"/>
      <c r="AK44" s="9"/>
      <c r="AL44" s="10"/>
      <c r="AM44" s="8"/>
      <c r="AN44" s="10"/>
      <c r="AO44" s="9"/>
      <c r="AP44" s="9"/>
      <c r="AQ44" s="10"/>
      <c r="AR44" s="8"/>
      <c r="AS44" s="11"/>
      <c r="AT44" s="9"/>
      <c r="AU44" s="9"/>
      <c r="AV44" s="9">
        <f t="shared" si="0"/>
        <v>0</v>
      </c>
      <c r="AW44" s="9">
        <f t="shared" si="1"/>
        <v>0</v>
      </c>
      <c r="AX44" s="19">
        <f>AV44+'تحليل الاداء  '!AM44+'تحليل الاداء '!AM44+'تحليل الاداء'!AM44</f>
        <v>0</v>
      </c>
      <c r="AY44" s="19">
        <f>AW44+'تحليل الاداء  '!AN44+'تحليل الاداء '!AN44+'تحليل الاداء'!AN44</f>
        <v>0</v>
      </c>
    </row>
    <row r="45" spans="1:51" ht="21">
      <c r="A45" s="1">
        <v>46</v>
      </c>
      <c r="B45" s="6" t="s">
        <v>42</v>
      </c>
      <c r="C45" s="7"/>
      <c r="D45" s="8"/>
      <c r="E45" s="8"/>
      <c r="F45" s="9"/>
      <c r="G45" s="9"/>
      <c r="H45" s="7"/>
      <c r="I45" s="11"/>
      <c r="J45" s="13"/>
      <c r="K45" s="9"/>
      <c r="L45" s="9"/>
      <c r="M45" s="7"/>
      <c r="N45" s="11"/>
      <c r="O45" s="11"/>
      <c r="P45" s="9"/>
      <c r="Q45" s="9"/>
      <c r="R45" s="7"/>
      <c r="S45" s="11"/>
      <c r="T45" s="11"/>
      <c r="U45" s="9"/>
      <c r="V45" s="9"/>
      <c r="W45" s="7"/>
      <c r="X45" s="11"/>
      <c r="Y45" s="8"/>
      <c r="Z45" s="9"/>
      <c r="AA45" s="9"/>
      <c r="AB45" s="10"/>
      <c r="AC45" s="8"/>
      <c r="AD45" s="11"/>
      <c r="AE45" s="9"/>
      <c r="AF45" s="9"/>
      <c r="AG45" s="8"/>
      <c r="AH45" s="11"/>
      <c r="AI45" s="10"/>
      <c r="AJ45" s="9"/>
      <c r="AK45" s="9"/>
      <c r="AL45" s="10"/>
      <c r="AM45" s="8"/>
      <c r="AN45" s="10"/>
      <c r="AO45" s="9"/>
      <c r="AP45" s="9"/>
      <c r="AQ45" s="10"/>
      <c r="AR45" s="8"/>
      <c r="AS45" s="11"/>
      <c r="AT45" s="9"/>
      <c r="AU45" s="9"/>
      <c r="AV45" s="9">
        <f t="shared" si="0"/>
        <v>0</v>
      </c>
      <c r="AW45" s="9">
        <f t="shared" si="1"/>
        <v>0</v>
      </c>
      <c r="AX45" s="19">
        <f>AV45+'تحليل الاداء  '!AM45+'تحليل الاداء '!AM45+'تحليل الاداء'!AM45</f>
        <v>8</v>
      </c>
      <c r="AY45" s="19">
        <f>AW45+'تحليل الاداء  '!AN45+'تحليل الاداء '!AN45+'تحليل الاداء'!AN45</f>
        <v>15</v>
      </c>
    </row>
    <row r="46" spans="1:51" ht="21">
      <c r="A46" s="1">
        <v>72</v>
      </c>
      <c r="B46" s="12" t="s">
        <v>43</v>
      </c>
      <c r="C46" s="7"/>
      <c r="D46" s="8"/>
      <c r="E46" s="8"/>
      <c r="F46" s="9"/>
      <c r="G46" s="9"/>
      <c r="H46" s="7"/>
      <c r="I46" s="11"/>
      <c r="J46" s="13"/>
      <c r="K46" s="9"/>
      <c r="L46" s="9"/>
      <c r="M46" s="7"/>
      <c r="N46" s="11"/>
      <c r="O46" s="11"/>
      <c r="P46" s="9"/>
      <c r="Q46" s="9"/>
      <c r="R46" s="7"/>
      <c r="S46" s="11"/>
      <c r="T46" s="11"/>
      <c r="U46" s="9"/>
      <c r="V46" s="9"/>
      <c r="W46" s="7"/>
      <c r="X46" s="11"/>
      <c r="Y46" s="8"/>
      <c r="Z46" s="9"/>
      <c r="AA46" s="9"/>
      <c r="AB46" s="10"/>
      <c r="AC46" s="8"/>
      <c r="AD46" s="11"/>
      <c r="AE46" s="9"/>
      <c r="AF46" s="9"/>
      <c r="AG46" s="8"/>
      <c r="AH46" s="11"/>
      <c r="AI46" s="10"/>
      <c r="AJ46" s="9"/>
      <c r="AK46" s="9"/>
      <c r="AL46" s="10"/>
      <c r="AM46" s="8"/>
      <c r="AN46" s="10"/>
      <c r="AO46" s="9"/>
      <c r="AP46" s="9"/>
      <c r="AQ46" s="10"/>
      <c r="AR46" s="8"/>
      <c r="AS46" s="11"/>
      <c r="AT46" s="9"/>
      <c r="AU46" s="9"/>
      <c r="AV46" s="9">
        <f t="shared" si="0"/>
        <v>0</v>
      </c>
      <c r="AW46" s="9">
        <f t="shared" si="1"/>
        <v>0</v>
      </c>
      <c r="AX46" s="19">
        <f>AV46+'تحليل الاداء  '!AM46+'تحليل الاداء '!AM46+'تحليل الاداء'!AM46</f>
        <v>10</v>
      </c>
      <c r="AY46" s="19">
        <f>AW46+'تحليل الاداء  '!AN46+'تحليل الاداء '!AN46+'تحليل الاداء'!AN46</f>
        <v>11</v>
      </c>
    </row>
    <row r="47" spans="1:51" ht="21">
      <c r="A47" s="1">
        <v>51</v>
      </c>
      <c r="B47" s="6" t="s">
        <v>44</v>
      </c>
      <c r="C47" s="7"/>
      <c r="D47" s="8"/>
      <c r="E47" s="8"/>
      <c r="F47" s="9"/>
      <c r="G47" s="9"/>
      <c r="H47" s="7"/>
      <c r="I47" s="11"/>
      <c r="J47" s="13"/>
      <c r="K47" s="9"/>
      <c r="L47" s="9"/>
      <c r="M47" s="7"/>
      <c r="N47" s="11"/>
      <c r="O47" s="11"/>
      <c r="P47" s="9"/>
      <c r="Q47" s="9"/>
      <c r="R47" s="7"/>
      <c r="S47" s="11"/>
      <c r="T47" s="11"/>
      <c r="U47" s="9"/>
      <c r="V47" s="9"/>
      <c r="W47" s="7"/>
      <c r="X47" s="11"/>
      <c r="Y47" s="8"/>
      <c r="Z47" s="9"/>
      <c r="AA47" s="9"/>
      <c r="AB47" s="10"/>
      <c r="AC47" s="8"/>
      <c r="AD47" s="11"/>
      <c r="AE47" s="9"/>
      <c r="AF47" s="9"/>
      <c r="AG47" s="8"/>
      <c r="AH47" s="11"/>
      <c r="AI47" s="10"/>
      <c r="AJ47" s="9"/>
      <c r="AK47" s="9"/>
      <c r="AL47" s="10"/>
      <c r="AM47" s="8"/>
      <c r="AN47" s="10"/>
      <c r="AO47" s="9"/>
      <c r="AP47" s="9"/>
      <c r="AQ47" s="10"/>
      <c r="AR47" s="8"/>
      <c r="AS47" s="11"/>
      <c r="AT47" s="9"/>
      <c r="AU47" s="9"/>
      <c r="AV47" s="9">
        <f t="shared" si="0"/>
        <v>0</v>
      </c>
      <c r="AW47" s="9">
        <f t="shared" si="1"/>
        <v>0</v>
      </c>
      <c r="AX47" s="19">
        <f>AV47+'تحليل الاداء  '!AM47+'تحليل الاداء '!AM47+'تحليل الاداء'!AM47</f>
        <v>7</v>
      </c>
      <c r="AY47" s="19">
        <f>AW47+'تحليل الاداء  '!AN47+'تحليل الاداء '!AN47+'تحليل الاداء'!AN47</f>
        <v>10</v>
      </c>
    </row>
    <row r="48" spans="1:51" ht="21">
      <c r="A48" s="1">
        <v>56</v>
      </c>
      <c r="B48" s="6" t="s">
        <v>89</v>
      </c>
      <c r="C48" s="7"/>
      <c r="D48" s="8"/>
      <c r="E48" s="8"/>
      <c r="F48" s="9"/>
      <c r="G48" s="9"/>
      <c r="H48" s="7"/>
      <c r="I48" s="11"/>
      <c r="J48" s="13"/>
      <c r="K48" s="9"/>
      <c r="L48" s="9"/>
      <c r="M48" s="7"/>
      <c r="N48" s="11"/>
      <c r="O48" s="11"/>
      <c r="P48" s="9"/>
      <c r="Q48" s="9"/>
      <c r="R48" s="7"/>
      <c r="S48" s="11"/>
      <c r="T48" s="11"/>
      <c r="U48" s="9"/>
      <c r="V48" s="9"/>
      <c r="W48" s="7"/>
      <c r="X48" s="11"/>
      <c r="Y48" s="8"/>
      <c r="Z48" s="9"/>
      <c r="AA48" s="9"/>
      <c r="AB48" s="10"/>
      <c r="AC48" s="8"/>
      <c r="AD48" s="11"/>
      <c r="AE48" s="9"/>
      <c r="AF48" s="9"/>
      <c r="AG48" s="8"/>
      <c r="AH48" s="11"/>
      <c r="AI48" s="10"/>
      <c r="AJ48" s="9"/>
      <c r="AK48" s="9"/>
      <c r="AL48" s="10"/>
      <c r="AM48" s="8"/>
      <c r="AN48" s="10"/>
      <c r="AO48" s="9"/>
      <c r="AP48" s="9"/>
      <c r="AQ48" s="10"/>
      <c r="AR48" s="8"/>
      <c r="AS48" s="11"/>
      <c r="AT48" s="9"/>
      <c r="AU48" s="9"/>
      <c r="AV48" s="9">
        <f t="shared" si="0"/>
        <v>0</v>
      </c>
      <c r="AW48" s="9">
        <f t="shared" si="1"/>
        <v>0</v>
      </c>
      <c r="AX48" s="19">
        <f>AV48+'تحليل الاداء  '!AM48+'تحليل الاداء '!AM48+'تحليل الاداء'!AM48</f>
        <v>10</v>
      </c>
      <c r="AY48" s="19">
        <f>AW48+'تحليل الاداء  '!AN48+'تحليل الاداء '!AN48+'تحليل الاداء'!AN48</f>
        <v>18</v>
      </c>
    </row>
    <row r="49" spans="1:51" ht="21">
      <c r="A49" s="1">
        <v>52</v>
      </c>
      <c r="B49" s="6" t="s">
        <v>45</v>
      </c>
      <c r="C49" s="7"/>
      <c r="D49" s="8"/>
      <c r="E49" s="8"/>
      <c r="F49" s="9"/>
      <c r="G49" s="9"/>
      <c r="H49" s="7"/>
      <c r="I49" s="11"/>
      <c r="J49" s="13"/>
      <c r="K49" s="9"/>
      <c r="L49" s="9"/>
      <c r="M49" s="7"/>
      <c r="N49" s="11"/>
      <c r="O49" s="11"/>
      <c r="P49" s="9"/>
      <c r="Q49" s="9"/>
      <c r="R49" s="7"/>
      <c r="S49" s="11"/>
      <c r="T49" s="11"/>
      <c r="U49" s="9"/>
      <c r="V49" s="9"/>
      <c r="W49" s="7"/>
      <c r="X49" s="11"/>
      <c r="Y49" s="8"/>
      <c r="Z49" s="9"/>
      <c r="AA49" s="9"/>
      <c r="AB49" s="10"/>
      <c r="AC49" s="8"/>
      <c r="AD49" s="11"/>
      <c r="AE49" s="9"/>
      <c r="AF49" s="9"/>
      <c r="AG49" s="8"/>
      <c r="AH49" s="11"/>
      <c r="AI49" s="10"/>
      <c r="AJ49" s="9"/>
      <c r="AK49" s="9"/>
      <c r="AL49" s="10"/>
      <c r="AM49" s="8"/>
      <c r="AN49" s="10"/>
      <c r="AO49" s="9"/>
      <c r="AP49" s="9"/>
      <c r="AQ49" s="10"/>
      <c r="AR49" s="8"/>
      <c r="AS49" s="11"/>
      <c r="AT49" s="9"/>
      <c r="AU49" s="9"/>
      <c r="AV49" s="9">
        <f t="shared" si="0"/>
        <v>0</v>
      </c>
      <c r="AW49" s="9">
        <f t="shared" si="1"/>
        <v>0</v>
      </c>
      <c r="AX49" s="19">
        <f>AV49+'تحليل الاداء  '!AM49+'تحليل الاداء '!AM49+'تحليل الاداء'!AM49</f>
        <v>6</v>
      </c>
      <c r="AY49" s="19">
        <f>AW49+'تحليل الاداء  '!AN49+'تحليل الاداء '!AN49+'تحليل الاداء'!AN49</f>
        <v>14</v>
      </c>
    </row>
    <row r="50" spans="1:51" ht="21">
      <c r="A50" s="1">
        <v>42</v>
      </c>
      <c r="B50" s="6" t="s">
        <v>46</v>
      </c>
      <c r="C50" s="7"/>
      <c r="D50" s="8"/>
      <c r="E50" s="8"/>
      <c r="F50" s="9"/>
      <c r="G50" s="9"/>
      <c r="H50" s="7"/>
      <c r="I50" s="11"/>
      <c r="J50" s="13"/>
      <c r="K50" s="9"/>
      <c r="L50" s="9"/>
      <c r="M50" s="7"/>
      <c r="N50" s="11"/>
      <c r="O50" s="11"/>
      <c r="P50" s="9"/>
      <c r="Q50" s="9"/>
      <c r="R50" s="7"/>
      <c r="S50" s="11"/>
      <c r="T50" s="11"/>
      <c r="U50" s="9"/>
      <c r="V50" s="9"/>
      <c r="W50" s="7"/>
      <c r="X50" s="11"/>
      <c r="Y50" s="8"/>
      <c r="Z50" s="9"/>
      <c r="AA50" s="9"/>
      <c r="AB50" s="10"/>
      <c r="AC50" s="8"/>
      <c r="AD50" s="11"/>
      <c r="AE50" s="9"/>
      <c r="AF50" s="9"/>
      <c r="AG50" s="8"/>
      <c r="AH50" s="11"/>
      <c r="AI50" s="10"/>
      <c r="AJ50" s="9"/>
      <c r="AK50" s="9"/>
      <c r="AL50" s="10"/>
      <c r="AM50" s="8"/>
      <c r="AN50" s="10"/>
      <c r="AO50" s="9"/>
      <c r="AP50" s="9"/>
      <c r="AQ50" s="10"/>
      <c r="AR50" s="8"/>
      <c r="AS50" s="11"/>
      <c r="AT50" s="9"/>
      <c r="AU50" s="9"/>
      <c r="AV50" s="9">
        <f t="shared" si="0"/>
        <v>0</v>
      </c>
      <c r="AW50" s="9">
        <f t="shared" si="1"/>
        <v>0</v>
      </c>
      <c r="AX50" s="19">
        <f>AV50+'تحليل الاداء  '!AM50+'تحليل الاداء '!AM50+'تحليل الاداء'!AM50</f>
        <v>14</v>
      </c>
      <c r="AY50" s="19">
        <f>AW50+'تحليل الاداء  '!AN50+'تحليل الاداء '!AN50+'تحليل الاداء'!AN50</f>
        <v>21</v>
      </c>
    </row>
    <row r="51" spans="1:51" ht="21">
      <c r="A51" s="1">
        <v>61</v>
      </c>
      <c r="B51" s="6" t="s">
        <v>90</v>
      </c>
      <c r="C51" s="7"/>
      <c r="D51" s="8"/>
      <c r="E51" s="8"/>
      <c r="F51" s="9"/>
      <c r="G51" s="9"/>
      <c r="H51" s="7"/>
      <c r="I51" s="11"/>
      <c r="J51" s="13"/>
      <c r="K51" s="9"/>
      <c r="L51" s="9"/>
      <c r="M51" s="7"/>
      <c r="N51" s="11"/>
      <c r="O51" s="11"/>
      <c r="P51" s="9"/>
      <c r="Q51" s="9"/>
      <c r="R51" s="7"/>
      <c r="S51" s="11"/>
      <c r="T51" s="11"/>
      <c r="U51" s="9"/>
      <c r="V51" s="9"/>
      <c r="W51" s="7"/>
      <c r="X51" s="11"/>
      <c r="Y51" s="8"/>
      <c r="Z51" s="9"/>
      <c r="AA51" s="9"/>
      <c r="AB51" s="10"/>
      <c r="AC51" s="8"/>
      <c r="AD51" s="11"/>
      <c r="AE51" s="9"/>
      <c r="AF51" s="9"/>
      <c r="AG51" s="8"/>
      <c r="AH51" s="11"/>
      <c r="AI51" s="10"/>
      <c r="AJ51" s="9"/>
      <c r="AK51" s="9"/>
      <c r="AL51" s="10"/>
      <c r="AM51" s="8"/>
      <c r="AN51" s="10"/>
      <c r="AO51" s="9"/>
      <c r="AP51" s="9"/>
      <c r="AQ51" s="10"/>
      <c r="AR51" s="8"/>
      <c r="AS51" s="11"/>
      <c r="AT51" s="9"/>
      <c r="AU51" s="9"/>
      <c r="AV51" s="9">
        <f t="shared" si="0"/>
        <v>0</v>
      </c>
      <c r="AW51" s="9">
        <f t="shared" si="1"/>
        <v>0</v>
      </c>
      <c r="AX51" s="19" t="e">
        <f>AV51+'تحليل الاداء  '!AM51+'تحليل الاداء '!AM51+'تحليل الاداء'!#REF!</f>
        <v>#REF!</v>
      </c>
      <c r="AY51" s="19" t="e">
        <f>AW51+'تحليل الاداء  '!AN51+'تحليل الاداء '!AN51+'تحليل الاداء'!#REF!</f>
        <v>#REF!</v>
      </c>
    </row>
    <row r="52" spans="1:51" ht="21">
      <c r="B52" s="6" t="s">
        <v>244</v>
      </c>
      <c r="C52" s="7"/>
      <c r="D52" s="8"/>
      <c r="E52" s="8"/>
      <c r="F52" s="9"/>
      <c r="G52" s="9"/>
      <c r="H52" s="7"/>
      <c r="I52" s="11"/>
      <c r="J52" s="13"/>
      <c r="K52" s="9"/>
      <c r="L52" s="9"/>
      <c r="M52" s="7"/>
      <c r="N52" s="11"/>
      <c r="O52" s="11"/>
      <c r="P52" s="9"/>
      <c r="Q52" s="9"/>
      <c r="R52" s="7"/>
      <c r="S52" s="11"/>
      <c r="T52" s="11"/>
      <c r="U52" s="9"/>
      <c r="V52" s="9"/>
      <c r="W52" s="7"/>
      <c r="X52" s="11"/>
      <c r="Y52" s="8"/>
      <c r="Z52" s="9"/>
      <c r="AA52" s="9"/>
      <c r="AB52" s="10"/>
      <c r="AC52" s="8"/>
      <c r="AD52" s="11"/>
      <c r="AE52" s="9"/>
      <c r="AF52" s="9"/>
      <c r="AG52" s="8"/>
      <c r="AH52" s="11"/>
      <c r="AI52" s="10"/>
      <c r="AJ52" s="9"/>
      <c r="AK52" s="9"/>
      <c r="AL52" s="10"/>
      <c r="AM52" s="8"/>
      <c r="AN52" s="10"/>
      <c r="AO52" s="9"/>
      <c r="AP52" s="9"/>
      <c r="AQ52" s="10"/>
      <c r="AR52" s="8"/>
      <c r="AS52" s="11"/>
      <c r="AT52" s="9"/>
      <c r="AU52" s="9"/>
      <c r="AV52" s="9">
        <v>0</v>
      </c>
      <c r="AW52" s="9">
        <v>0</v>
      </c>
      <c r="AX52" s="19">
        <v>0</v>
      </c>
      <c r="AY52" s="19">
        <v>0</v>
      </c>
    </row>
    <row r="53" spans="1:51" ht="21">
      <c r="B53" s="6" t="s">
        <v>47</v>
      </c>
      <c r="C53" s="7"/>
      <c r="D53" s="8"/>
      <c r="E53" s="8"/>
      <c r="F53" s="9"/>
      <c r="G53" s="9"/>
      <c r="H53" s="7"/>
      <c r="I53" s="11"/>
      <c r="J53" s="13"/>
      <c r="K53" s="9"/>
      <c r="L53" s="9"/>
      <c r="M53" s="7"/>
      <c r="N53" s="11"/>
      <c r="O53" s="11"/>
      <c r="P53" s="9"/>
      <c r="Q53" s="9"/>
      <c r="R53" s="7"/>
      <c r="S53" s="11"/>
      <c r="T53" s="11"/>
      <c r="U53" s="9"/>
      <c r="V53" s="9"/>
      <c r="W53" s="7"/>
      <c r="X53" s="11"/>
      <c r="Y53" s="8"/>
      <c r="Z53" s="9"/>
      <c r="AA53" s="9"/>
      <c r="AB53" s="10"/>
      <c r="AC53" s="8"/>
      <c r="AD53" s="11"/>
      <c r="AE53" s="9"/>
      <c r="AF53" s="9"/>
      <c r="AG53" s="8"/>
      <c r="AH53" s="11"/>
      <c r="AI53" s="10"/>
      <c r="AJ53" s="9"/>
      <c r="AK53" s="9"/>
      <c r="AL53" s="10"/>
      <c r="AM53" s="8"/>
      <c r="AN53" s="10"/>
      <c r="AO53" s="9"/>
      <c r="AP53" s="9"/>
      <c r="AQ53" s="10"/>
      <c r="AR53" s="8"/>
      <c r="AS53" s="11"/>
      <c r="AT53" s="9"/>
      <c r="AU53" s="9"/>
      <c r="AV53" s="9">
        <f t="shared" si="0"/>
        <v>0</v>
      </c>
      <c r="AW53" s="9">
        <f t="shared" si="1"/>
        <v>0</v>
      </c>
      <c r="AX53" s="19">
        <f>AV53+'تحليل الاداء  '!AM53+'تحليل الاداء '!AM53+'تحليل الاداء'!AM51</f>
        <v>5</v>
      </c>
      <c r="AY53" s="19">
        <f>AW53+'تحليل الاداء  '!AN53+'تحليل الاداء '!AN53+'تحليل الاداء'!AN51</f>
        <v>13</v>
      </c>
    </row>
    <row r="54" spans="1:51" ht="21">
      <c r="A54" s="1">
        <v>16</v>
      </c>
      <c r="B54" s="6" t="s">
        <v>48</v>
      </c>
      <c r="C54" s="7"/>
      <c r="D54" s="8"/>
      <c r="E54" s="8"/>
      <c r="F54" s="9"/>
      <c r="G54" s="9"/>
      <c r="H54" s="7"/>
      <c r="I54" s="11"/>
      <c r="J54" s="13"/>
      <c r="K54" s="9"/>
      <c r="L54" s="9"/>
      <c r="M54" s="7"/>
      <c r="N54" s="11"/>
      <c r="O54" s="11"/>
      <c r="P54" s="9"/>
      <c r="Q54" s="9"/>
      <c r="R54" s="7"/>
      <c r="S54" s="11"/>
      <c r="T54" s="11"/>
      <c r="U54" s="9"/>
      <c r="V54" s="9"/>
      <c r="W54" s="7"/>
      <c r="X54" s="11"/>
      <c r="Y54" s="8"/>
      <c r="Z54" s="9"/>
      <c r="AA54" s="9"/>
      <c r="AB54" s="10"/>
      <c r="AC54" s="8"/>
      <c r="AD54" s="11"/>
      <c r="AE54" s="9"/>
      <c r="AF54" s="9"/>
      <c r="AG54" s="8"/>
      <c r="AH54" s="11"/>
      <c r="AI54" s="10"/>
      <c r="AJ54" s="9"/>
      <c r="AK54" s="9"/>
      <c r="AL54" s="10"/>
      <c r="AM54" s="8"/>
      <c r="AN54" s="10"/>
      <c r="AO54" s="9"/>
      <c r="AP54" s="9"/>
      <c r="AQ54" s="10"/>
      <c r="AR54" s="8"/>
      <c r="AS54" s="11"/>
      <c r="AT54" s="9"/>
      <c r="AU54" s="9"/>
      <c r="AV54" s="9">
        <f t="shared" si="0"/>
        <v>0</v>
      </c>
      <c r="AW54" s="9">
        <f t="shared" si="1"/>
        <v>0</v>
      </c>
      <c r="AX54" s="19">
        <f>AV54+'تحليل الاداء  '!AM54+'تحليل الاداء '!AM54+'تحليل الاداء'!AM52</f>
        <v>14</v>
      </c>
      <c r="AY54" s="19">
        <f>AW54+'تحليل الاداء  '!AN54+'تحليل الاداء '!AN54+'تحليل الاداء'!AN52</f>
        <v>29</v>
      </c>
    </row>
    <row r="55" spans="1:51" ht="21">
      <c r="A55" s="1">
        <v>64</v>
      </c>
      <c r="B55" s="6" t="s">
        <v>83</v>
      </c>
      <c r="C55" s="7"/>
      <c r="D55" s="8"/>
      <c r="E55" s="8"/>
      <c r="F55" s="9"/>
      <c r="G55" s="9"/>
      <c r="H55" s="7"/>
      <c r="I55" s="11"/>
      <c r="J55" s="13"/>
      <c r="K55" s="9"/>
      <c r="L55" s="9"/>
      <c r="M55" s="7"/>
      <c r="N55" s="11"/>
      <c r="O55" s="11"/>
      <c r="P55" s="9"/>
      <c r="Q55" s="9"/>
      <c r="R55" s="7"/>
      <c r="S55" s="11"/>
      <c r="T55" s="11"/>
      <c r="U55" s="9"/>
      <c r="V55" s="9"/>
      <c r="W55" s="7"/>
      <c r="X55" s="11"/>
      <c r="Y55" s="8"/>
      <c r="Z55" s="9"/>
      <c r="AA55" s="9"/>
      <c r="AB55" s="10"/>
      <c r="AC55" s="8"/>
      <c r="AD55" s="11"/>
      <c r="AE55" s="9"/>
      <c r="AF55" s="9"/>
      <c r="AG55" s="8"/>
      <c r="AH55" s="11"/>
      <c r="AI55" s="10"/>
      <c r="AJ55" s="9"/>
      <c r="AK55" s="9"/>
      <c r="AL55" s="10"/>
      <c r="AM55" s="8"/>
      <c r="AN55" s="10"/>
      <c r="AO55" s="9"/>
      <c r="AP55" s="9"/>
      <c r="AQ55" s="10"/>
      <c r="AR55" s="8"/>
      <c r="AS55" s="11"/>
      <c r="AT55" s="9"/>
      <c r="AU55" s="9"/>
      <c r="AV55" s="9">
        <f t="shared" si="0"/>
        <v>0</v>
      </c>
      <c r="AW55" s="9">
        <f t="shared" si="1"/>
        <v>0</v>
      </c>
      <c r="AX55" s="19">
        <f>AV55+'تحليل الاداء  '!AM55+'تحليل الاداء '!AM55+'تحليل الاداء'!AM53</f>
        <v>3</v>
      </c>
      <c r="AY55" s="19">
        <f>AW55+'تحليل الاداء  '!AN55+'تحليل الاداء '!AN55+'تحليل الاداء'!AN53</f>
        <v>9</v>
      </c>
    </row>
    <row r="56" spans="1:51" ht="21">
      <c r="A56" s="1">
        <v>68</v>
      </c>
      <c r="B56" s="6" t="s">
        <v>49</v>
      </c>
      <c r="C56" s="7"/>
      <c r="D56" s="8"/>
      <c r="E56" s="8"/>
      <c r="F56" s="9"/>
      <c r="G56" s="9"/>
      <c r="H56" s="7"/>
      <c r="I56" s="11"/>
      <c r="J56" s="13"/>
      <c r="K56" s="9"/>
      <c r="L56" s="9"/>
      <c r="M56" s="7"/>
      <c r="N56" s="11"/>
      <c r="O56" s="11"/>
      <c r="P56" s="9"/>
      <c r="Q56" s="9"/>
      <c r="R56" s="7"/>
      <c r="S56" s="11"/>
      <c r="T56" s="11"/>
      <c r="U56" s="9"/>
      <c r="V56" s="9"/>
      <c r="W56" s="7"/>
      <c r="X56" s="11"/>
      <c r="Y56" s="8"/>
      <c r="Z56" s="9"/>
      <c r="AA56" s="9"/>
      <c r="AB56" s="10"/>
      <c r="AC56" s="8"/>
      <c r="AD56" s="11"/>
      <c r="AE56" s="9"/>
      <c r="AF56" s="9"/>
      <c r="AG56" s="8"/>
      <c r="AH56" s="11"/>
      <c r="AI56" s="10"/>
      <c r="AJ56" s="9"/>
      <c r="AK56" s="9"/>
      <c r="AL56" s="10"/>
      <c r="AM56" s="8"/>
      <c r="AN56" s="10"/>
      <c r="AO56" s="9"/>
      <c r="AP56" s="9"/>
      <c r="AQ56" s="10"/>
      <c r="AR56" s="8"/>
      <c r="AS56" s="11"/>
      <c r="AT56" s="9"/>
      <c r="AU56" s="9"/>
      <c r="AV56" s="9">
        <f t="shared" si="0"/>
        <v>0</v>
      </c>
      <c r="AW56" s="9">
        <f t="shared" si="1"/>
        <v>0</v>
      </c>
      <c r="AX56" s="19">
        <f>AV56+'تحليل الاداء  '!AM56+'تحليل الاداء '!AM56+'تحليل الاداء'!AM54</f>
        <v>9</v>
      </c>
      <c r="AY56" s="19">
        <f>AW56+'تحليل الاداء  '!AN56+'تحليل الاداء '!AN56+'تحليل الاداء'!AN54</f>
        <v>15</v>
      </c>
    </row>
    <row r="57" spans="1:51" ht="21">
      <c r="A57" s="1">
        <v>71</v>
      </c>
      <c r="B57" s="6" t="s">
        <v>50</v>
      </c>
      <c r="C57" s="7"/>
      <c r="D57" s="8"/>
      <c r="E57" s="8"/>
      <c r="F57" s="9"/>
      <c r="G57" s="9"/>
      <c r="H57" s="7"/>
      <c r="I57" s="11"/>
      <c r="J57" s="13"/>
      <c r="K57" s="9"/>
      <c r="L57" s="9"/>
      <c r="M57" s="7"/>
      <c r="N57" s="11"/>
      <c r="O57" s="11"/>
      <c r="P57" s="9"/>
      <c r="Q57" s="9"/>
      <c r="R57" s="7"/>
      <c r="S57" s="11"/>
      <c r="T57" s="11"/>
      <c r="U57" s="9"/>
      <c r="V57" s="9"/>
      <c r="W57" s="7"/>
      <c r="X57" s="11"/>
      <c r="Y57" s="8"/>
      <c r="Z57" s="9"/>
      <c r="AA57" s="9"/>
      <c r="AB57" s="10"/>
      <c r="AC57" s="8"/>
      <c r="AD57" s="11"/>
      <c r="AE57" s="9"/>
      <c r="AF57" s="9"/>
      <c r="AG57" s="8"/>
      <c r="AH57" s="11"/>
      <c r="AI57" s="10"/>
      <c r="AJ57" s="9"/>
      <c r="AK57" s="9"/>
      <c r="AL57" s="10"/>
      <c r="AM57" s="8"/>
      <c r="AN57" s="10"/>
      <c r="AO57" s="9"/>
      <c r="AP57" s="9"/>
      <c r="AQ57" s="10"/>
      <c r="AR57" s="8"/>
      <c r="AS57" s="11"/>
      <c r="AT57" s="9"/>
      <c r="AU57" s="9"/>
      <c r="AV57" s="9">
        <f t="shared" si="0"/>
        <v>0</v>
      </c>
      <c r="AW57" s="9">
        <f t="shared" si="1"/>
        <v>0</v>
      </c>
      <c r="AX57" s="19">
        <f>AV57+'تحليل الاداء  '!AM57+'تحليل الاداء '!AM57+'تحليل الاداء'!AM56</f>
        <v>12</v>
      </c>
      <c r="AY57" s="19">
        <f>AW57+'تحليل الاداء  '!AN57+'تحليل الاداء '!AN57+'تحليل الاداء'!AN56</f>
        <v>18</v>
      </c>
    </row>
    <row r="58" spans="1:51" ht="18.75" customHeight="1">
      <c r="A58" s="1">
        <v>57</v>
      </c>
      <c r="B58" s="6" t="s">
        <v>51</v>
      </c>
      <c r="C58" s="7"/>
      <c r="D58" s="8"/>
      <c r="E58" s="8"/>
      <c r="F58" s="9"/>
      <c r="G58" s="9"/>
      <c r="H58" s="7"/>
      <c r="I58" s="11"/>
      <c r="J58" s="13"/>
      <c r="K58" s="9"/>
      <c r="L58" s="9"/>
      <c r="M58" s="7"/>
      <c r="N58" s="11"/>
      <c r="O58" s="11"/>
      <c r="P58" s="9"/>
      <c r="Q58" s="9"/>
      <c r="R58" s="7"/>
      <c r="S58" s="11"/>
      <c r="T58" s="11"/>
      <c r="U58" s="9"/>
      <c r="V58" s="9"/>
      <c r="W58" s="7"/>
      <c r="X58" s="11"/>
      <c r="Y58" s="8"/>
      <c r="Z58" s="9"/>
      <c r="AA58" s="9"/>
      <c r="AB58" s="10"/>
      <c r="AC58" s="8"/>
      <c r="AD58" s="11"/>
      <c r="AE58" s="9"/>
      <c r="AF58" s="9"/>
      <c r="AG58" s="8"/>
      <c r="AH58" s="11"/>
      <c r="AI58" s="10"/>
      <c r="AJ58" s="9"/>
      <c r="AK58" s="9"/>
      <c r="AL58" s="10"/>
      <c r="AM58" s="8"/>
      <c r="AN58" s="10"/>
      <c r="AO58" s="9"/>
      <c r="AP58" s="9"/>
      <c r="AQ58" s="10"/>
      <c r="AR58" s="8"/>
      <c r="AS58" s="11"/>
      <c r="AT58" s="9"/>
      <c r="AU58" s="9"/>
      <c r="AV58" s="9">
        <f t="shared" si="0"/>
        <v>0</v>
      </c>
      <c r="AW58" s="9">
        <f t="shared" si="1"/>
        <v>0</v>
      </c>
      <c r="AX58" s="19">
        <f>AV58+'تحليل الاداء  '!AM58+'تحليل الاداء '!AM58+'تحليل الاداء'!AM57</f>
        <v>10</v>
      </c>
      <c r="AY58" s="19">
        <f>AW58+'تحليل الاداء  '!AN58+'تحليل الاداء '!AN58+'تحليل الاداء'!AN57</f>
        <v>23</v>
      </c>
    </row>
    <row r="59" spans="1:51" ht="21">
      <c r="A59" s="1">
        <v>58</v>
      </c>
      <c r="B59" s="6" t="s">
        <v>78</v>
      </c>
      <c r="C59" s="7"/>
      <c r="D59" s="8"/>
      <c r="E59" s="8"/>
      <c r="F59" s="9"/>
      <c r="G59" s="9"/>
      <c r="H59" s="7"/>
      <c r="I59" s="11"/>
      <c r="J59" s="13"/>
      <c r="K59" s="9"/>
      <c r="L59" s="9"/>
      <c r="M59" s="7"/>
      <c r="N59" s="11"/>
      <c r="O59" s="11"/>
      <c r="P59" s="9"/>
      <c r="Q59" s="9"/>
      <c r="R59" s="7"/>
      <c r="S59" s="11"/>
      <c r="T59" s="11"/>
      <c r="U59" s="9"/>
      <c r="V59" s="9"/>
      <c r="W59" s="7"/>
      <c r="X59" s="11"/>
      <c r="Y59" s="8"/>
      <c r="Z59" s="9"/>
      <c r="AA59" s="9"/>
      <c r="AB59" s="10"/>
      <c r="AC59" s="8"/>
      <c r="AD59" s="11"/>
      <c r="AE59" s="9"/>
      <c r="AF59" s="9"/>
      <c r="AG59" s="8"/>
      <c r="AH59" s="11"/>
      <c r="AI59" s="10"/>
      <c r="AJ59" s="9"/>
      <c r="AK59" s="9"/>
      <c r="AL59" s="10"/>
      <c r="AM59" s="8"/>
      <c r="AN59" s="10"/>
      <c r="AO59" s="9"/>
      <c r="AP59" s="9"/>
      <c r="AQ59" s="10"/>
      <c r="AR59" s="8"/>
      <c r="AS59" s="11"/>
      <c r="AT59" s="9"/>
      <c r="AU59" s="9"/>
      <c r="AV59" s="9">
        <f t="shared" si="0"/>
        <v>0</v>
      </c>
      <c r="AW59" s="9">
        <f t="shared" si="1"/>
        <v>0</v>
      </c>
      <c r="AX59" s="19">
        <f>AV59+'تحليل الاداء  '!AM59+'تحليل الاداء '!AM59+'تحليل الاداء'!AM58</f>
        <v>2</v>
      </c>
      <c r="AY59" s="19">
        <f>AW59+'تحليل الاداء  '!AN59+'تحليل الاداء '!AN59+'تحليل الاداء'!AN58</f>
        <v>3</v>
      </c>
    </row>
    <row r="60" spans="1:51" ht="21">
      <c r="B60" s="6" t="s">
        <v>52</v>
      </c>
      <c r="C60" s="7"/>
      <c r="D60" s="8"/>
      <c r="E60" s="8"/>
      <c r="F60" s="9"/>
      <c r="G60" s="9"/>
      <c r="H60" s="7"/>
      <c r="I60" s="11"/>
      <c r="J60" s="13"/>
      <c r="K60" s="9"/>
      <c r="L60" s="9"/>
      <c r="M60" s="7"/>
      <c r="N60" s="11"/>
      <c r="O60" s="11"/>
      <c r="P60" s="9"/>
      <c r="Q60" s="9"/>
      <c r="R60" s="7"/>
      <c r="S60" s="11"/>
      <c r="T60" s="11"/>
      <c r="U60" s="9"/>
      <c r="V60" s="9"/>
      <c r="W60" s="7"/>
      <c r="X60" s="11"/>
      <c r="Y60" s="8"/>
      <c r="Z60" s="9"/>
      <c r="AA60" s="9"/>
      <c r="AB60" s="10"/>
      <c r="AC60" s="8"/>
      <c r="AD60" s="11"/>
      <c r="AE60" s="9"/>
      <c r="AF60" s="9"/>
      <c r="AG60" s="8"/>
      <c r="AH60" s="11"/>
      <c r="AI60" s="10"/>
      <c r="AJ60" s="9"/>
      <c r="AK60" s="9"/>
      <c r="AL60" s="10"/>
      <c r="AM60" s="8"/>
      <c r="AN60" s="10"/>
      <c r="AO60" s="9"/>
      <c r="AP60" s="9"/>
      <c r="AQ60" s="10"/>
      <c r="AR60" s="8"/>
      <c r="AS60" s="11"/>
      <c r="AT60" s="9"/>
      <c r="AU60" s="9"/>
      <c r="AV60" s="9">
        <f t="shared" si="0"/>
        <v>0</v>
      </c>
      <c r="AW60" s="9">
        <f t="shared" si="1"/>
        <v>0</v>
      </c>
      <c r="AX60" s="19">
        <f>AV60+'تحليل الاداء  '!AM60+'تحليل الاداء '!AM60+'تحليل الاداء'!AM59</f>
        <v>9</v>
      </c>
      <c r="AY60" s="19">
        <f>AW60+'تحليل الاداء  '!AN60+'تحليل الاداء '!AN60+'تحليل الاداء'!AN59</f>
        <v>20</v>
      </c>
    </row>
    <row r="61" spans="1:51" ht="21">
      <c r="B61" s="6" t="s">
        <v>53</v>
      </c>
      <c r="C61" s="7"/>
      <c r="D61" s="8"/>
      <c r="E61" s="8"/>
      <c r="F61" s="9"/>
      <c r="G61" s="9"/>
      <c r="H61" s="7"/>
      <c r="I61" s="11"/>
      <c r="J61" s="13"/>
      <c r="K61" s="9"/>
      <c r="L61" s="9"/>
      <c r="M61" s="7"/>
      <c r="N61" s="11"/>
      <c r="O61" s="11"/>
      <c r="P61" s="9"/>
      <c r="Q61" s="9"/>
      <c r="R61" s="7"/>
      <c r="S61" s="11"/>
      <c r="T61" s="11"/>
      <c r="U61" s="9"/>
      <c r="V61" s="9"/>
      <c r="W61" s="7"/>
      <c r="X61" s="11"/>
      <c r="Y61" s="8"/>
      <c r="Z61" s="9"/>
      <c r="AA61" s="9"/>
      <c r="AB61" s="10"/>
      <c r="AC61" s="8"/>
      <c r="AD61" s="11"/>
      <c r="AE61" s="9"/>
      <c r="AF61" s="9"/>
      <c r="AG61" s="8"/>
      <c r="AH61" s="11"/>
      <c r="AI61" s="10"/>
      <c r="AJ61" s="9"/>
      <c r="AK61" s="9"/>
      <c r="AL61" s="10"/>
      <c r="AM61" s="8"/>
      <c r="AN61" s="10"/>
      <c r="AO61" s="9"/>
      <c r="AP61" s="9"/>
      <c r="AQ61" s="10"/>
      <c r="AR61" s="8"/>
      <c r="AS61" s="11"/>
      <c r="AT61" s="9"/>
      <c r="AU61" s="9"/>
      <c r="AV61" s="9">
        <f t="shared" si="0"/>
        <v>0</v>
      </c>
      <c r="AW61" s="9">
        <f t="shared" si="1"/>
        <v>0</v>
      </c>
      <c r="AX61" s="19">
        <f>AV61+'تحليل الاداء  '!AM61+'تحليل الاداء '!AM61+'تحليل الاداء'!AM60</f>
        <v>9</v>
      </c>
      <c r="AY61" s="19">
        <f>AW61+'تحليل الاداء  '!AN61+'تحليل الاداء '!AN61+'تحليل الاداء'!AN60</f>
        <v>18</v>
      </c>
    </row>
    <row r="62" spans="1:51" ht="21" customHeight="1">
      <c r="A62" s="1">
        <v>49</v>
      </c>
      <c r="B62" s="6" t="s">
        <v>74</v>
      </c>
      <c r="C62" s="7"/>
      <c r="D62" s="8"/>
      <c r="E62" s="8"/>
      <c r="F62" s="9"/>
      <c r="G62" s="9"/>
      <c r="H62" s="7"/>
      <c r="I62" s="11"/>
      <c r="J62" s="13"/>
      <c r="K62" s="9"/>
      <c r="L62" s="9"/>
      <c r="M62" s="7"/>
      <c r="N62" s="11"/>
      <c r="O62" s="11"/>
      <c r="P62" s="9"/>
      <c r="Q62" s="9"/>
      <c r="R62" s="7"/>
      <c r="S62" s="11"/>
      <c r="T62" s="11"/>
      <c r="U62" s="9"/>
      <c r="V62" s="9"/>
      <c r="W62" s="7"/>
      <c r="X62" s="11"/>
      <c r="Y62" s="8"/>
      <c r="Z62" s="9"/>
      <c r="AA62" s="9"/>
      <c r="AB62" s="10"/>
      <c r="AC62" s="8"/>
      <c r="AD62" s="11"/>
      <c r="AE62" s="9"/>
      <c r="AF62" s="9"/>
      <c r="AG62" s="8"/>
      <c r="AH62" s="11"/>
      <c r="AI62" s="10"/>
      <c r="AJ62" s="9"/>
      <c r="AK62" s="9"/>
      <c r="AL62" s="10"/>
      <c r="AM62" s="8"/>
      <c r="AN62" s="10"/>
      <c r="AO62" s="9"/>
      <c r="AP62" s="9"/>
      <c r="AQ62" s="10"/>
      <c r="AR62" s="8"/>
      <c r="AS62" s="11"/>
      <c r="AT62" s="9"/>
      <c r="AU62" s="9"/>
      <c r="AV62" s="9">
        <f t="shared" si="0"/>
        <v>0</v>
      </c>
      <c r="AW62" s="9">
        <f t="shared" si="1"/>
        <v>0</v>
      </c>
      <c r="AX62" s="19">
        <f>AV62+'تحليل الاداء  '!AM62+'تحليل الاداء '!AM62+'تحليل الاداء'!AM61</f>
        <v>7</v>
      </c>
      <c r="AY62" s="19">
        <f>AW62+'تحليل الاداء  '!AN62+'تحليل الاداء '!AN62+'تحليل الاداء'!AN61</f>
        <v>16</v>
      </c>
    </row>
    <row r="63" spans="1:51" ht="21">
      <c r="A63" s="1">
        <v>54</v>
      </c>
      <c r="B63" s="6" t="s">
        <v>54</v>
      </c>
      <c r="C63" s="7"/>
      <c r="D63" s="8"/>
      <c r="E63" s="8"/>
      <c r="F63" s="9"/>
      <c r="G63" s="9"/>
      <c r="H63" s="7"/>
      <c r="I63" s="11"/>
      <c r="J63" s="13"/>
      <c r="K63" s="9"/>
      <c r="L63" s="9"/>
      <c r="M63" s="7"/>
      <c r="N63" s="11"/>
      <c r="O63" s="11"/>
      <c r="P63" s="9"/>
      <c r="Q63" s="9"/>
      <c r="R63" s="7"/>
      <c r="S63" s="11"/>
      <c r="T63" s="11"/>
      <c r="U63" s="9"/>
      <c r="V63" s="9"/>
      <c r="W63" s="7"/>
      <c r="X63" s="11"/>
      <c r="Y63" s="8"/>
      <c r="Z63" s="9"/>
      <c r="AA63" s="9"/>
      <c r="AB63" s="10"/>
      <c r="AC63" s="8"/>
      <c r="AD63" s="11"/>
      <c r="AE63" s="9"/>
      <c r="AF63" s="9"/>
      <c r="AG63" s="8"/>
      <c r="AH63" s="11"/>
      <c r="AI63" s="10"/>
      <c r="AJ63" s="9"/>
      <c r="AK63" s="9"/>
      <c r="AL63" s="10"/>
      <c r="AM63" s="8"/>
      <c r="AN63" s="10"/>
      <c r="AO63" s="9"/>
      <c r="AP63" s="9"/>
      <c r="AQ63" s="10"/>
      <c r="AR63" s="8"/>
      <c r="AS63" s="11"/>
      <c r="AT63" s="9"/>
      <c r="AU63" s="9"/>
      <c r="AV63" s="9">
        <f t="shared" si="0"/>
        <v>0</v>
      </c>
      <c r="AW63" s="9">
        <f t="shared" si="1"/>
        <v>0</v>
      </c>
      <c r="AX63" s="19">
        <f>AV63+'تحليل الاداء  '!AM63+'تحليل الاداء '!AM63+'تحليل الاداء'!AM63</f>
        <v>7</v>
      </c>
      <c r="AY63" s="19">
        <f>AW63+'تحليل الاداء  '!AN63+'تحليل الاداء '!AN63+'تحليل الاداء'!AN63</f>
        <v>19</v>
      </c>
    </row>
    <row r="64" spans="1:51" ht="21">
      <c r="B64" s="11" t="s">
        <v>79</v>
      </c>
      <c r="C64" s="7"/>
      <c r="D64" s="8"/>
      <c r="E64" s="8"/>
      <c r="F64" s="9"/>
      <c r="G64" s="9"/>
      <c r="H64" s="7"/>
      <c r="I64" s="11"/>
      <c r="J64" s="13"/>
      <c r="K64" s="9"/>
      <c r="L64" s="9"/>
      <c r="M64" s="7"/>
      <c r="N64" s="11"/>
      <c r="O64" s="11"/>
      <c r="P64" s="9"/>
      <c r="Q64" s="9"/>
      <c r="R64" s="7"/>
      <c r="S64" s="11"/>
      <c r="T64" s="11"/>
      <c r="U64" s="9"/>
      <c r="V64" s="9"/>
      <c r="W64" s="7"/>
      <c r="X64" s="11"/>
      <c r="Y64" s="8"/>
      <c r="Z64" s="9"/>
      <c r="AA64" s="9"/>
      <c r="AB64" s="10"/>
      <c r="AC64" s="8"/>
      <c r="AD64" s="11"/>
      <c r="AE64" s="9"/>
      <c r="AF64" s="9"/>
      <c r="AG64" s="8"/>
      <c r="AH64" s="11"/>
      <c r="AI64" s="10"/>
      <c r="AJ64" s="9"/>
      <c r="AK64" s="9"/>
      <c r="AL64" s="10"/>
      <c r="AM64" s="8"/>
      <c r="AN64" s="10"/>
      <c r="AO64" s="9"/>
      <c r="AP64" s="9"/>
      <c r="AQ64" s="10"/>
      <c r="AR64" s="8"/>
      <c r="AS64" s="11"/>
      <c r="AT64" s="9"/>
      <c r="AU64" s="9"/>
      <c r="AV64" s="9">
        <f t="shared" si="0"/>
        <v>0</v>
      </c>
      <c r="AW64" s="9">
        <f t="shared" si="1"/>
        <v>0</v>
      </c>
      <c r="AX64" s="19">
        <f>AV64+'تحليل الاداء  '!AM64+'تحليل الاداء '!AM64+'تحليل الاداء'!AM64</f>
        <v>12</v>
      </c>
      <c r="AY64" s="19">
        <f>AW64+'تحليل الاداء  '!AN64+'تحليل الاداء '!AN64+'تحليل الاداء'!AN64</f>
        <v>32</v>
      </c>
    </row>
    <row r="65" spans="1:51" ht="21">
      <c r="B65" s="11" t="s">
        <v>81</v>
      </c>
      <c r="C65" s="7"/>
      <c r="D65" s="8"/>
      <c r="E65" s="8"/>
      <c r="F65" s="9"/>
      <c r="G65" s="9"/>
      <c r="H65" s="7"/>
      <c r="I65" s="11"/>
      <c r="J65" s="13"/>
      <c r="K65" s="9"/>
      <c r="L65" s="9"/>
      <c r="M65" s="7"/>
      <c r="N65" s="11"/>
      <c r="O65" s="11"/>
      <c r="P65" s="9"/>
      <c r="Q65" s="9"/>
      <c r="R65" s="7"/>
      <c r="S65" s="11"/>
      <c r="T65" s="11"/>
      <c r="U65" s="9"/>
      <c r="V65" s="9"/>
      <c r="W65" s="7"/>
      <c r="X65" s="11"/>
      <c r="Y65" s="8"/>
      <c r="Z65" s="9"/>
      <c r="AA65" s="9"/>
      <c r="AB65" s="10"/>
      <c r="AC65" s="8"/>
      <c r="AD65" s="11"/>
      <c r="AE65" s="9"/>
      <c r="AF65" s="9"/>
      <c r="AG65" s="8"/>
      <c r="AH65" s="11"/>
      <c r="AI65" s="10"/>
      <c r="AJ65" s="9"/>
      <c r="AK65" s="9"/>
      <c r="AL65" s="10"/>
      <c r="AM65" s="8"/>
      <c r="AN65" s="10"/>
      <c r="AO65" s="9"/>
      <c r="AP65" s="9"/>
      <c r="AQ65" s="10"/>
      <c r="AR65" s="8"/>
      <c r="AS65" s="11"/>
      <c r="AT65" s="9"/>
      <c r="AU65" s="9"/>
      <c r="AV65" s="9">
        <f t="shared" si="0"/>
        <v>0</v>
      </c>
      <c r="AW65" s="9">
        <f t="shared" si="1"/>
        <v>0</v>
      </c>
      <c r="AX65" s="19">
        <f>AV65+'تحليل الاداء  '!AM65+'تحليل الاداء '!AM65+'تحليل الاداء'!AM65</f>
        <v>9</v>
      </c>
      <c r="AY65" s="19">
        <f>AW65+'تحليل الاداء  '!AN65+'تحليل الاداء '!AN65+'تحليل الاداء'!AN65</f>
        <v>16</v>
      </c>
    </row>
    <row r="66" spans="1:51" ht="21">
      <c r="B66" s="11" t="s">
        <v>80</v>
      </c>
      <c r="C66" s="7"/>
      <c r="D66" s="8"/>
      <c r="E66" s="8"/>
      <c r="F66" s="9"/>
      <c r="G66" s="9"/>
      <c r="H66" s="7"/>
      <c r="I66" s="11"/>
      <c r="J66" s="13"/>
      <c r="K66" s="9"/>
      <c r="L66" s="9"/>
      <c r="M66" s="7"/>
      <c r="N66" s="11"/>
      <c r="O66" s="11"/>
      <c r="P66" s="9"/>
      <c r="Q66" s="9"/>
      <c r="R66" s="7"/>
      <c r="S66" s="11"/>
      <c r="T66" s="11"/>
      <c r="U66" s="9"/>
      <c r="V66" s="9"/>
      <c r="W66" s="7"/>
      <c r="X66" s="11"/>
      <c r="Y66" s="8"/>
      <c r="Z66" s="9"/>
      <c r="AA66" s="9"/>
      <c r="AB66" s="10"/>
      <c r="AC66" s="8"/>
      <c r="AD66" s="11"/>
      <c r="AE66" s="9"/>
      <c r="AF66" s="9"/>
      <c r="AG66" s="8"/>
      <c r="AH66" s="11"/>
      <c r="AI66" s="10"/>
      <c r="AJ66" s="9"/>
      <c r="AK66" s="9"/>
      <c r="AL66" s="10"/>
      <c r="AM66" s="8"/>
      <c r="AN66" s="10"/>
      <c r="AO66" s="9"/>
      <c r="AP66" s="9"/>
      <c r="AQ66" s="10"/>
      <c r="AR66" s="8"/>
      <c r="AS66" s="11"/>
      <c r="AT66" s="9"/>
      <c r="AU66" s="9"/>
      <c r="AV66" s="9">
        <f t="shared" si="0"/>
        <v>0</v>
      </c>
      <c r="AW66" s="9">
        <f t="shared" si="1"/>
        <v>0</v>
      </c>
      <c r="AX66" s="19" t="e">
        <f>AV66+'تحليل الاداء  '!AM66+'تحليل الاداء '!AM66+'تحليل الاداء'!#REF!</f>
        <v>#REF!</v>
      </c>
      <c r="AY66" s="19" t="e">
        <f>AW66+'تحليل الاداء  '!AN66+'تحليل الاداء '!AN66+'تحليل الاداء'!#REF!</f>
        <v>#REF!</v>
      </c>
    </row>
    <row r="67" spans="1:51" ht="21">
      <c r="B67" s="11" t="s">
        <v>84</v>
      </c>
      <c r="C67" s="7"/>
      <c r="D67" s="8"/>
      <c r="E67" s="8"/>
      <c r="F67" s="9"/>
      <c r="G67" s="9"/>
      <c r="H67" s="7"/>
      <c r="I67" s="11"/>
      <c r="J67" s="13"/>
      <c r="K67" s="9"/>
      <c r="L67" s="9"/>
      <c r="M67" s="7"/>
      <c r="N67" s="11"/>
      <c r="O67" s="11"/>
      <c r="P67" s="9"/>
      <c r="Q67" s="9"/>
      <c r="R67" s="7"/>
      <c r="S67" s="11"/>
      <c r="T67" s="11"/>
      <c r="U67" s="9"/>
      <c r="V67" s="9"/>
      <c r="W67" s="7"/>
      <c r="X67" s="11"/>
      <c r="Y67" s="8"/>
      <c r="Z67" s="9"/>
      <c r="AA67" s="9"/>
      <c r="AB67" s="10"/>
      <c r="AC67" s="8"/>
      <c r="AD67" s="11"/>
      <c r="AE67" s="9"/>
      <c r="AF67" s="9"/>
      <c r="AG67" s="8"/>
      <c r="AH67" s="11"/>
      <c r="AI67" s="10"/>
      <c r="AJ67" s="9"/>
      <c r="AK67" s="9"/>
      <c r="AL67" s="10"/>
      <c r="AM67" s="8"/>
      <c r="AN67" s="10"/>
      <c r="AO67" s="9"/>
      <c r="AP67" s="9"/>
      <c r="AQ67" s="10"/>
      <c r="AR67" s="8"/>
      <c r="AS67" s="11"/>
      <c r="AT67" s="9"/>
      <c r="AU67" s="9"/>
      <c r="AV67" s="9">
        <f t="shared" ref="AV67:AV85" si="2">AT67+AE67+Z67+U67+P67+K67+F67</f>
        <v>0</v>
      </c>
      <c r="AW67" s="9">
        <f t="shared" ref="AW67:AW85" si="3">AU67+AG67+AA67+V67+Q67+L67+G67</f>
        <v>0</v>
      </c>
      <c r="AX67" s="19">
        <f>AV67+'تحليل الاداء  '!AM67+'تحليل الاداء '!AM67+'تحليل الاداء'!AM67</f>
        <v>15</v>
      </c>
      <c r="AY67" s="19">
        <f>AW67+'تحليل الاداء  '!AN67+'تحليل الاداء '!AN67+'تحليل الاداء'!AN67</f>
        <v>28</v>
      </c>
    </row>
    <row r="68" spans="1:51" ht="21">
      <c r="A68" s="1">
        <v>1</v>
      </c>
      <c r="B68" s="6" t="s">
        <v>56</v>
      </c>
      <c r="C68" s="7"/>
      <c r="D68" s="8"/>
      <c r="E68" s="8"/>
      <c r="F68" s="9"/>
      <c r="G68" s="9"/>
      <c r="H68" s="7"/>
      <c r="I68" s="11"/>
      <c r="J68" s="13"/>
      <c r="K68" s="9"/>
      <c r="L68" s="9"/>
      <c r="M68" s="7"/>
      <c r="N68" s="11"/>
      <c r="O68" s="11"/>
      <c r="P68" s="9"/>
      <c r="Q68" s="9"/>
      <c r="R68" s="7"/>
      <c r="S68" s="11"/>
      <c r="T68" s="11"/>
      <c r="U68" s="9"/>
      <c r="V68" s="9"/>
      <c r="W68" s="7"/>
      <c r="X68" s="11"/>
      <c r="Y68" s="8"/>
      <c r="Z68" s="9"/>
      <c r="AA68" s="9"/>
      <c r="AB68" s="10"/>
      <c r="AC68" s="8"/>
      <c r="AD68" s="11"/>
      <c r="AE68" s="9"/>
      <c r="AF68" s="9"/>
      <c r="AG68" s="8"/>
      <c r="AH68" s="11"/>
      <c r="AI68" s="10"/>
      <c r="AJ68" s="9"/>
      <c r="AK68" s="9"/>
      <c r="AL68" s="10"/>
      <c r="AM68" s="8"/>
      <c r="AN68" s="10"/>
      <c r="AO68" s="9"/>
      <c r="AP68" s="9"/>
      <c r="AQ68" s="10"/>
      <c r="AR68" s="8"/>
      <c r="AS68" s="11"/>
      <c r="AT68" s="9"/>
      <c r="AU68" s="9"/>
      <c r="AV68" s="9">
        <f t="shared" si="2"/>
        <v>0</v>
      </c>
      <c r="AW68" s="9">
        <f t="shared" si="3"/>
        <v>0</v>
      </c>
      <c r="AX68" s="19">
        <f>AV68+'تحليل الاداء  '!AM68+'تحليل الاداء '!AM68+'تحليل الاداء'!AM68</f>
        <v>4</v>
      </c>
      <c r="AY68" s="19">
        <f>AW68+'تحليل الاداء  '!AN68+'تحليل الاداء '!AN68+'تحليل الاداء'!AN68</f>
        <v>4</v>
      </c>
    </row>
    <row r="69" spans="1:51" ht="21">
      <c r="A69" s="1">
        <v>15</v>
      </c>
      <c r="B69" s="6" t="s">
        <v>57</v>
      </c>
      <c r="C69" s="7"/>
      <c r="D69" s="8"/>
      <c r="E69" s="8"/>
      <c r="F69" s="9"/>
      <c r="G69" s="9"/>
      <c r="H69" s="7"/>
      <c r="I69" s="11"/>
      <c r="J69" s="13"/>
      <c r="K69" s="9"/>
      <c r="L69" s="9"/>
      <c r="M69" s="7"/>
      <c r="N69" s="11"/>
      <c r="O69" s="11"/>
      <c r="P69" s="9"/>
      <c r="Q69" s="9"/>
      <c r="R69" s="7"/>
      <c r="S69" s="11"/>
      <c r="T69" s="11"/>
      <c r="U69" s="9"/>
      <c r="V69" s="9"/>
      <c r="W69" s="7"/>
      <c r="X69" s="11"/>
      <c r="Y69" s="8"/>
      <c r="Z69" s="9"/>
      <c r="AA69" s="9"/>
      <c r="AB69" s="10"/>
      <c r="AC69" s="8"/>
      <c r="AD69" s="11"/>
      <c r="AE69" s="9"/>
      <c r="AF69" s="9"/>
      <c r="AG69" s="8"/>
      <c r="AH69" s="11"/>
      <c r="AI69" s="10"/>
      <c r="AJ69" s="9"/>
      <c r="AK69" s="9"/>
      <c r="AL69" s="10"/>
      <c r="AM69" s="8"/>
      <c r="AN69" s="10"/>
      <c r="AO69" s="9"/>
      <c r="AP69" s="9"/>
      <c r="AQ69" s="10"/>
      <c r="AR69" s="8"/>
      <c r="AS69" s="11"/>
      <c r="AT69" s="9"/>
      <c r="AU69" s="9"/>
      <c r="AV69" s="9">
        <f t="shared" si="2"/>
        <v>0</v>
      </c>
      <c r="AW69" s="9">
        <f t="shared" si="3"/>
        <v>0</v>
      </c>
      <c r="AX69" s="19">
        <f>AV69+'تحليل الاداء  '!AM69+'تحليل الاداء '!AM69+'تحليل الاداء'!AM69</f>
        <v>4</v>
      </c>
      <c r="AY69" s="19">
        <f>AW69+'تحليل الاداء  '!AN69+'تحليل الاداء '!AN69+'تحليل الاداء'!AN69</f>
        <v>4</v>
      </c>
    </row>
    <row r="70" spans="1:51" ht="21">
      <c r="B70" s="6" t="s">
        <v>58</v>
      </c>
      <c r="C70" s="7"/>
      <c r="D70" s="8"/>
      <c r="E70" s="8"/>
      <c r="F70" s="9"/>
      <c r="G70" s="9"/>
      <c r="H70" s="7"/>
      <c r="I70" s="11"/>
      <c r="J70" s="13"/>
      <c r="K70" s="9"/>
      <c r="L70" s="9"/>
      <c r="M70" s="7"/>
      <c r="N70" s="11"/>
      <c r="O70" s="11"/>
      <c r="P70" s="9"/>
      <c r="Q70" s="9"/>
      <c r="R70" s="7"/>
      <c r="S70" s="11"/>
      <c r="T70" s="11"/>
      <c r="U70" s="9"/>
      <c r="V70" s="9"/>
      <c r="W70" s="7"/>
      <c r="X70" s="11"/>
      <c r="Y70" s="8"/>
      <c r="Z70" s="9"/>
      <c r="AA70" s="9"/>
      <c r="AB70" s="10"/>
      <c r="AC70" s="8"/>
      <c r="AD70" s="11"/>
      <c r="AE70" s="9"/>
      <c r="AF70" s="9"/>
      <c r="AG70" s="8"/>
      <c r="AH70" s="11"/>
      <c r="AI70" s="10"/>
      <c r="AJ70" s="9"/>
      <c r="AK70" s="9"/>
      <c r="AL70" s="10"/>
      <c r="AM70" s="8"/>
      <c r="AN70" s="10"/>
      <c r="AO70" s="9"/>
      <c r="AP70" s="9"/>
      <c r="AQ70" s="10"/>
      <c r="AR70" s="8"/>
      <c r="AS70" s="11"/>
      <c r="AT70" s="9"/>
      <c r="AU70" s="9"/>
      <c r="AV70" s="9">
        <f t="shared" si="2"/>
        <v>0</v>
      </c>
      <c r="AW70" s="9">
        <f t="shared" si="3"/>
        <v>0</v>
      </c>
      <c r="AX70" s="19">
        <f>AV70+'تحليل الاداء  '!AM70+'تحليل الاداء '!AM70+'تحليل الاداء'!AM70</f>
        <v>0</v>
      </c>
      <c r="AY70" s="19">
        <f>AW70+'تحليل الاداء  '!AN70+'تحليل الاداء '!AN70+'تحليل الاداء'!AN70</f>
        <v>0</v>
      </c>
    </row>
    <row r="71" spans="1:51" ht="21">
      <c r="B71" s="15" t="s">
        <v>60</v>
      </c>
      <c r="C71" s="7"/>
      <c r="D71" s="8"/>
      <c r="E71" s="8"/>
      <c r="F71" s="9"/>
      <c r="G71" s="9"/>
      <c r="H71" s="7"/>
      <c r="I71" s="11"/>
      <c r="J71" s="13"/>
      <c r="K71" s="9"/>
      <c r="L71" s="9"/>
      <c r="M71" s="7"/>
      <c r="N71" s="11"/>
      <c r="O71" s="11"/>
      <c r="P71" s="9"/>
      <c r="Q71" s="9"/>
      <c r="R71" s="7"/>
      <c r="S71" s="11"/>
      <c r="T71" s="11"/>
      <c r="U71" s="9"/>
      <c r="V71" s="9"/>
      <c r="W71" s="7"/>
      <c r="X71" s="11"/>
      <c r="Y71" s="8"/>
      <c r="Z71" s="9"/>
      <c r="AA71" s="9"/>
      <c r="AB71" s="10"/>
      <c r="AC71" s="8"/>
      <c r="AD71" s="11"/>
      <c r="AE71" s="9"/>
      <c r="AF71" s="9"/>
      <c r="AG71" s="8"/>
      <c r="AH71" s="11"/>
      <c r="AI71" s="10"/>
      <c r="AJ71" s="9"/>
      <c r="AK71" s="9"/>
      <c r="AL71" s="10"/>
      <c r="AM71" s="8"/>
      <c r="AN71" s="10"/>
      <c r="AO71" s="9"/>
      <c r="AP71" s="9"/>
      <c r="AQ71" s="10"/>
      <c r="AR71" s="8"/>
      <c r="AS71" s="11"/>
      <c r="AT71" s="9"/>
      <c r="AU71" s="9"/>
      <c r="AV71" s="9">
        <f t="shared" si="2"/>
        <v>0</v>
      </c>
      <c r="AW71" s="9">
        <f t="shared" si="3"/>
        <v>0</v>
      </c>
      <c r="AX71" s="19">
        <f>AV71+'تحليل الاداء  '!AM71+'تحليل الاداء '!AM71+'تحليل الاداء'!AM71</f>
        <v>7</v>
      </c>
      <c r="AY71" s="19">
        <f>AW71+'تحليل الاداء  '!AN71+'تحليل الاداء '!AN71+'تحليل الاداء'!AN71</f>
        <v>8</v>
      </c>
    </row>
    <row r="72" spans="1:51" ht="21">
      <c r="A72" s="1">
        <v>9</v>
      </c>
      <c r="B72" s="15" t="s">
        <v>91</v>
      </c>
      <c r="C72" s="7"/>
      <c r="D72" s="8"/>
      <c r="E72" s="8"/>
      <c r="F72" s="9"/>
      <c r="G72" s="9"/>
      <c r="H72" s="7"/>
      <c r="I72" s="11"/>
      <c r="J72" s="13"/>
      <c r="K72" s="9"/>
      <c r="L72" s="9"/>
      <c r="M72" s="7"/>
      <c r="N72" s="11"/>
      <c r="O72" s="11"/>
      <c r="P72" s="9"/>
      <c r="Q72" s="9"/>
      <c r="R72" s="7"/>
      <c r="S72" s="11"/>
      <c r="T72" s="11"/>
      <c r="U72" s="9"/>
      <c r="V72" s="9"/>
      <c r="W72" s="7"/>
      <c r="X72" s="11"/>
      <c r="Y72" s="8"/>
      <c r="Z72" s="9"/>
      <c r="AA72" s="9"/>
      <c r="AB72" s="10"/>
      <c r="AC72" s="8"/>
      <c r="AD72" s="11"/>
      <c r="AE72" s="9"/>
      <c r="AF72" s="9"/>
      <c r="AG72" s="8"/>
      <c r="AH72" s="11"/>
      <c r="AI72" s="10"/>
      <c r="AJ72" s="9"/>
      <c r="AK72" s="9"/>
      <c r="AL72" s="10"/>
      <c r="AM72" s="8"/>
      <c r="AN72" s="10"/>
      <c r="AO72" s="9"/>
      <c r="AP72" s="9"/>
      <c r="AQ72" s="10"/>
      <c r="AR72" s="8"/>
      <c r="AS72" s="11"/>
      <c r="AT72" s="9"/>
      <c r="AU72" s="9"/>
      <c r="AV72" s="9">
        <f t="shared" si="2"/>
        <v>0</v>
      </c>
      <c r="AW72" s="9">
        <f t="shared" si="3"/>
        <v>0</v>
      </c>
      <c r="AX72" s="19">
        <f>AV72+'تحليل الاداء  '!AM72+'تحليل الاداء '!AM72+'تحليل الاداء'!AM72</f>
        <v>13</v>
      </c>
      <c r="AY72" s="19">
        <f>AW72+'تحليل الاداء  '!AN72+'تحليل الاداء '!AN72+'تحليل الاداء'!AN72</f>
        <v>19</v>
      </c>
    </row>
    <row r="73" spans="1:51" ht="21">
      <c r="A73" s="1">
        <v>47</v>
      </c>
      <c r="B73" s="20" t="s">
        <v>61</v>
      </c>
      <c r="C73" s="7"/>
      <c r="D73" s="8"/>
      <c r="E73" s="8"/>
      <c r="F73" s="9"/>
      <c r="G73" s="9"/>
      <c r="H73" s="7"/>
      <c r="I73" s="11"/>
      <c r="J73" s="13"/>
      <c r="K73" s="9"/>
      <c r="L73" s="9"/>
      <c r="M73" s="7"/>
      <c r="N73" s="11"/>
      <c r="O73" s="11"/>
      <c r="P73" s="9"/>
      <c r="Q73" s="9"/>
      <c r="R73" s="7"/>
      <c r="S73" s="11"/>
      <c r="T73" s="11"/>
      <c r="U73" s="9"/>
      <c r="V73" s="9"/>
      <c r="W73" s="7"/>
      <c r="X73" s="11"/>
      <c r="Y73" s="8"/>
      <c r="Z73" s="9"/>
      <c r="AA73" s="9"/>
      <c r="AB73" s="10"/>
      <c r="AC73" s="8"/>
      <c r="AD73" s="11"/>
      <c r="AE73" s="9"/>
      <c r="AF73" s="9"/>
      <c r="AG73" s="8"/>
      <c r="AH73" s="11"/>
      <c r="AI73" s="10"/>
      <c r="AJ73" s="9"/>
      <c r="AK73" s="9"/>
      <c r="AL73" s="10"/>
      <c r="AM73" s="8"/>
      <c r="AN73" s="10"/>
      <c r="AO73" s="9"/>
      <c r="AP73" s="9"/>
      <c r="AQ73" s="10"/>
      <c r="AR73" s="8"/>
      <c r="AS73" s="11"/>
      <c r="AT73" s="9"/>
      <c r="AU73" s="9"/>
      <c r="AV73" s="9">
        <f t="shared" si="2"/>
        <v>0</v>
      </c>
      <c r="AW73" s="9">
        <f t="shared" si="3"/>
        <v>0</v>
      </c>
      <c r="AX73" s="19">
        <f>AV73+'تحليل الاداء  '!AM73+'تحليل الاداء '!AM73+'تحليل الاداء'!AM73</f>
        <v>14</v>
      </c>
      <c r="AY73" s="19">
        <f>AW73+'تحليل الاداء  '!AN73+'تحليل الاداء '!AN73+'تحليل الاداء'!AN73</f>
        <v>27</v>
      </c>
    </row>
    <row r="74" spans="1:51" ht="21">
      <c r="B74" s="15" t="s">
        <v>85</v>
      </c>
      <c r="C74" s="7"/>
      <c r="D74" s="8"/>
      <c r="E74" s="8"/>
      <c r="F74" s="9"/>
      <c r="G74" s="9"/>
      <c r="H74" s="7"/>
      <c r="I74" s="11"/>
      <c r="J74" s="13"/>
      <c r="K74" s="9"/>
      <c r="L74" s="9"/>
      <c r="M74" s="7"/>
      <c r="N74" s="11"/>
      <c r="O74" s="11"/>
      <c r="P74" s="9"/>
      <c r="Q74" s="9"/>
      <c r="R74" s="7"/>
      <c r="S74" s="11"/>
      <c r="T74" s="11"/>
      <c r="U74" s="9"/>
      <c r="V74" s="9"/>
      <c r="W74" s="7"/>
      <c r="X74" s="11"/>
      <c r="Y74" s="8"/>
      <c r="Z74" s="9"/>
      <c r="AA74" s="9"/>
      <c r="AB74" s="10"/>
      <c r="AC74" s="8"/>
      <c r="AD74" s="11"/>
      <c r="AE74" s="9"/>
      <c r="AF74" s="9"/>
      <c r="AG74" s="8"/>
      <c r="AH74" s="11"/>
      <c r="AI74" s="10"/>
      <c r="AJ74" s="9"/>
      <c r="AK74" s="9"/>
      <c r="AL74" s="10"/>
      <c r="AM74" s="8"/>
      <c r="AN74" s="10"/>
      <c r="AO74" s="9"/>
      <c r="AP74" s="9"/>
      <c r="AQ74" s="10"/>
      <c r="AR74" s="8"/>
      <c r="AS74" s="11"/>
      <c r="AT74" s="9"/>
      <c r="AU74" s="9"/>
      <c r="AV74" s="9">
        <f t="shared" si="2"/>
        <v>0</v>
      </c>
      <c r="AW74" s="9">
        <f t="shared" si="3"/>
        <v>0</v>
      </c>
      <c r="AX74" s="19">
        <f>AV74+'تحليل الاداء  '!AM74+'تحليل الاداء '!AM74+'تحليل الاداء'!AM74</f>
        <v>14</v>
      </c>
      <c r="AY74" s="19">
        <f>AW74+'تحليل الاداء  '!AN74+'تحليل الاداء '!AN74+'تحليل الاداء'!AN74</f>
        <v>21</v>
      </c>
    </row>
    <row r="75" spans="1:51" ht="21">
      <c r="A75" s="1">
        <v>29</v>
      </c>
      <c r="B75" s="15" t="s">
        <v>62</v>
      </c>
      <c r="C75" s="7"/>
      <c r="D75" s="8"/>
      <c r="E75" s="8"/>
      <c r="F75" s="9"/>
      <c r="G75" s="9"/>
      <c r="H75" s="7"/>
      <c r="I75" s="11"/>
      <c r="J75" s="13"/>
      <c r="K75" s="9"/>
      <c r="L75" s="9"/>
      <c r="M75" s="7"/>
      <c r="N75" s="11"/>
      <c r="O75" s="11"/>
      <c r="P75" s="9"/>
      <c r="Q75" s="9"/>
      <c r="R75" s="7"/>
      <c r="S75" s="11"/>
      <c r="T75" s="11"/>
      <c r="U75" s="9"/>
      <c r="V75" s="9"/>
      <c r="W75" s="7"/>
      <c r="X75" s="11"/>
      <c r="Y75" s="8"/>
      <c r="Z75" s="9"/>
      <c r="AA75" s="9"/>
      <c r="AB75" s="10"/>
      <c r="AC75" s="8"/>
      <c r="AD75" s="11"/>
      <c r="AE75" s="9"/>
      <c r="AF75" s="9"/>
      <c r="AG75" s="8"/>
      <c r="AH75" s="11"/>
      <c r="AI75" s="10"/>
      <c r="AJ75" s="9"/>
      <c r="AK75" s="9"/>
      <c r="AL75" s="10"/>
      <c r="AM75" s="8"/>
      <c r="AN75" s="10"/>
      <c r="AO75" s="9"/>
      <c r="AP75" s="9"/>
      <c r="AQ75" s="10"/>
      <c r="AR75" s="8"/>
      <c r="AS75" s="11"/>
      <c r="AT75" s="9"/>
      <c r="AU75" s="9"/>
      <c r="AV75" s="9">
        <f t="shared" si="2"/>
        <v>0</v>
      </c>
      <c r="AW75" s="9">
        <f t="shared" si="3"/>
        <v>0</v>
      </c>
      <c r="AX75" s="19">
        <f>AV75+'تحليل الاداء  '!AM75+'تحليل الاداء '!AM75+'تحليل الاداء'!AM75</f>
        <v>13</v>
      </c>
      <c r="AY75" s="19">
        <f>AW75+'تحليل الاداء  '!AN75+'تحليل الاداء '!AN75+'تحليل الاداء'!AN75</f>
        <v>21</v>
      </c>
    </row>
    <row r="76" spans="1:51" ht="21">
      <c r="B76" s="15" t="s">
        <v>86</v>
      </c>
      <c r="C76" s="7"/>
      <c r="D76" s="8"/>
      <c r="E76" s="8"/>
      <c r="F76" s="9"/>
      <c r="G76" s="9"/>
      <c r="H76" s="7"/>
      <c r="I76" s="11"/>
      <c r="J76" s="13"/>
      <c r="K76" s="9"/>
      <c r="L76" s="9"/>
      <c r="M76" s="7"/>
      <c r="N76" s="11"/>
      <c r="O76" s="11"/>
      <c r="P76" s="9"/>
      <c r="Q76" s="9"/>
      <c r="R76" s="7"/>
      <c r="S76" s="11"/>
      <c r="T76" s="11"/>
      <c r="U76" s="9"/>
      <c r="V76" s="9"/>
      <c r="W76" s="7"/>
      <c r="X76" s="11"/>
      <c r="Y76" s="8"/>
      <c r="Z76" s="9"/>
      <c r="AA76" s="9"/>
      <c r="AB76" s="10"/>
      <c r="AC76" s="8"/>
      <c r="AD76" s="11"/>
      <c r="AE76" s="9"/>
      <c r="AF76" s="9"/>
      <c r="AG76" s="8"/>
      <c r="AH76" s="11"/>
      <c r="AI76" s="10"/>
      <c r="AJ76" s="9"/>
      <c r="AK76" s="9"/>
      <c r="AL76" s="10"/>
      <c r="AM76" s="8"/>
      <c r="AN76" s="10"/>
      <c r="AO76" s="9"/>
      <c r="AP76" s="9"/>
      <c r="AQ76" s="10"/>
      <c r="AR76" s="8"/>
      <c r="AS76" s="11"/>
      <c r="AT76" s="9"/>
      <c r="AU76" s="9"/>
      <c r="AV76" s="9">
        <f t="shared" si="2"/>
        <v>0</v>
      </c>
      <c r="AW76" s="9">
        <f t="shared" si="3"/>
        <v>0</v>
      </c>
      <c r="AX76" s="19">
        <f>AV76+'تحليل الاداء  '!AM76+'تحليل الاداء '!AM76+'تحليل الاداء'!AM76</f>
        <v>13</v>
      </c>
      <c r="AY76" s="19">
        <f>AW76+'تحليل الاداء  '!AN76+'تحليل الاداء '!AN76+'تحليل الاداء'!AN76</f>
        <v>25</v>
      </c>
    </row>
    <row r="77" spans="1:51" ht="21">
      <c r="B77" s="15" t="s">
        <v>242</v>
      </c>
      <c r="C77" s="7"/>
      <c r="D77" s="8"/>
      <c r="E77" s="8"/>
      <c r="F77" s="9"/>
      <c r="G77" s="9"/>
      <c r="H77" s="7"/>
      <c r="I77" s="11"/>
      <c r="J77" s="13"/>
      <c r="K77" s="9"/>
      <c r="L77" s="9"/>
      <c r="M77" s="7"/>
      <c r="N77" s="11"/>
      <c r="O77" s="11"/>
      <c r="P77" s="9"/>
      <c r="Q77" s="9"/>
      <c r="R77" s="7"/>
      <c r="S77" s="11"/>
      <c r="T77" s="11"/>
      <c r="U77" s="9"/>
      <c r="V77" s="9"/>
      <c r="W77" s="7"/>
      <c r="X77" s="11"/>
      <c r="Y77" s="8"/>
      <c r="Z77" s="9"/>
      <c r="AA77" s="9"/>
      <c r="AB77" s="10"/>
      <c r="AC77" s="8"/>
      <c r="AD77" s="11"/>
      <c r="AE77" s="9"/>
      <c r="AF77" s="9"/>
      <c r="AG77" s="8"/>
      <c r="AH77" s="11"/>
      <c r="AI77" s="10"/>
      <c r="AJ77" s="9"/>
      <c r="AK77" s="9"/>
      <c r="AL77" s="10"/>
      <c r="AM77" s="8"/>
      <c r="AN77" s="10"/>
      <c r="AO77" s="9"/>
      <c r="AP77" s="9"/>
      <c r="AQ77" s="10"/>
      <c r="AR77" s="8"/>
      <c r="AS77" s="11"/>
      <c r="AT77" s="9"/>
      <c r="AU77" s="9"/>
      <c r="AV77" s="9">
        <f t="shared" si="2"/>
        <v>0</v>
      </c>
      <c r="AW77" s="9">
        <f t="shared" si="3"/>
        <v>0</v>
      </c>
      <c r="AX77" s="19">
        <f>AV77+'تحليل الاداء  '!AM77+'تحليل الاداء '!AM77+'تحليل الاداء'!AM77</f>
        <v>12</v>
      </c>
      <c r="AY77" s="19">
        <f>AW77+'تحليل الاداء  '!AN77+'تحليل الاداء '!AN77+'تحليل الاداء'!AN77</f>
        <v>16</v>
      </c>
    </row>
    <row r="78" spans="1:51" ht="21">
      <c r="B78" s="15" t="s">
        <v>63</v>
      </c>
      <c r="C78" s="7"/>
      <c r="D78" s="8"/>
      <c r="E78" s="8"/>
      <c r="F78" s="9"/>
      <c r="G78" s="9"/>
      <c r="H78" s="7"/>
      <c r="I78" s="11"/>
      <c r="J78" s="13"/>
      <c r="K78" s="9"/>
      <c r="L78" s="9"/>
      <c r="M78" s="7"/>
      <c r="N78" s="11"/>
      <c r="O78" s="11"/>
      <c r="P78" s="9"/>
      <c r="Q78" s="9"/>
      <c r="R78" s="7"/>
      <c r="S78" s="11"/>
      <c r="T78" s="11"/>
      <c r="U78" s="9"/>
      <c r="V78" s="9"/>
      <c r="W78" s="7"/>
      <c r="X78" s="11"/>
      <c r="Y78" s="8"/>
      <c r="Z78" s="9"/>
      <c r="AA78" s="9"/>
      <c r="AB78" s="10"/>
      <c r="AC78" s="8"/>
      <c r="AD78" s="11"/>
      <c r="AE78" s="9"/>
      <c r="AF78" s="9"/>
      <c r="AG78" s="8"/>
      <c r="AH78" s="11"/>
      <c r="AI78" s="10"/>
      <c r="AJ78" s="9"/>
      <c r="AK78" s="9"/>
      <c r="AL78" s="10"/>
      <c r="AM78" s="8"/>
      <c r="AN78" s="10"/>
      <c r="AO78" s="9"/>
      <c r="AP78" s="9"/>
      <c r="AQ78" s="10"/>
      <c r="AR78" s="8"/>
      <c r="AS78" s="11"/>
      <c r="AT78" s="9"/>
      <c r="AU78" s="9"/>
      <c r="AV78" s="9">
        <f t="shared" si="2"/>
        <v>0</v>
      </c>
      <c r="AW78" s="9">
        <f t="shared" si="3"/>
        <v>0</v>
      </c>
      <c r="AX78" s="19">
        <f>AV78+'تحليل الاداء  '!AM78+'تحليل الاداء '!AM78+'تحليل الاداء'!AM78</f>
        <v>15</v>
      </c>
      <c r="AY78" s="19">
        <f>AW78+'تحليل الاداء  '!AN78+'تحليل الاداء '!AN78+'تحليل الاداء'!AN78</f>
        <v>19</v>
      </c>
    </row>
    <row r="79" spans="1:51" ht="21">
      <c r="B79" s="15" t="s">
        <v>64</v>
      </c>
      <c r="C79" s="7"/>
      <c r="D79" s="8"/>
      <c r="E79" s="8"/>
      <c r="F79" s="9"/>
      <c r="G79" s="9"/>
      <c r="H79" s="7"/>
      <c r="I79" s="11"/>
      <c r="J79" s="13"/>
      <c r="K79" s="9"/>
      <c r="L79" s="9"/>
      <c r="M79" s="7"/>
      <c r="N79" s="11"/>
      <c r="O79" s="11"/>
      <c r="P79" s="9"/>
      <c r="Q79" s="9"/>
      <c r="R79" s="7"/>
      <c r="S79" s="11"/>
      <c r="T79" s="11"/>
      <c r="U79" s="9"/>
      <c r="V79" s="9"/>
      <c r="W79" s="7"/>
      <c r="X79" s="11"/>
      <c r="Y79" s="8"/>
      <c r="Z79" s="9"/>
      <c r="AA79" s="9"/>
      <c r="AB79" s="10"/>
      <c r="AC79" s="8"/>
      <c r="AD79" s="11"/>
      <c r="AE79" s="9"/>
      <c r="AF79" s="9"/>
      <c r="AG79" s="8"/>
      <c r="AH79" s="11"/>
      <c r="AI79" s="10"/>
      <c r="AJ79" s="9"/>
      <c r="AK79" s="9"/>
      <c r="AL79" s="10"/>
      <c r="AM79" s="8"/>
      <c r="AN79" s="10"/>
      <c r="AO79" s="9"/>
      <c r="AP79" s="9"/>
      <c r="AQ79" s="10"/>
      <c r="AR79" s="8"/>
      <c r="AS79" s="11"/>
      <c r="AT79" s="9"/>
      <c r="AU79" s="9"/>
      <c r="AV79" s="9">
        <f t="shared" si="2"/>
        <v>0</v>
      </c>
      <c r="AW79" s="9">
        <f t="shared" si="3"/>
        <v>0</v>
      </c>
      <c r="AX79" s="19">
        <f>AV79+'تحليل الاداء  '!AM79+'تحليل الاداء '!AM79+'تحليل الاداء'!AM79</f>
        <v>13</v>
      </c>
      <c r="AY79" s="19">
        <f>AW79+'تحليل الاداء  '!AN79+'تحليل الاداء '!AN79+'تحليل الاداء'!AN79</f>
        <v>19</v>
      </c>
    </row>
    <row r="80" spans="1:51" ht="21">
      <c r="B80" s="15" t="s">
        <v>65</v>
      </c>
      <c r="C80" s="7"/>
      <c r="D80" s="8"/>
      <c r="E80" s="8"/>
      <c r="F80" s="9"/>
      <c r="G80" s="9"/>
      <c r="H80" s="7"/>
      <c r="I80" s="11"/>
      <c r="J80" s="13"/>
      <c r="K80" s="9"/>
      <c r="L80" s="9"/>
      <c r="M80" s="7"/>
      <c r="N80" s="11"/>
      <c r="O80" s="11"/>
      <c r="P80" s="9"/>
      <c r="Q80" s="9"/>
      <c r="R80" s="7"/>
      <c r="S80" s="11"/>
      <c r="T80" s="11"/>
      <c r="U80" s="9"/>
      <c r="V80" s="9"/>
      <c r="W80" s="7"/>
      <c r="X80" s="11"/>
      <c r="Y80" s="8"/>
      <c r="Z80" s="9"/>
      <c r="AA80" s="9"/>
      <c r="AB80" s="10"/>
      <c r="AC80" s="8"/>
      <c r="AD80" s="11"/>
      <c r="AE80" s="9"/>
      <c r="AF80" s="9"/>
      <c r="AG80" s="8"/>
      <c r="AH80" s="11"/>
      <c r="AI80" s="10"/>
      <c r="AJ80" s="9"/>
      <c r="AK80" s="9"/>
      <c r="AL80" s="10"/>
      <c r="AM80" s="8"/>
      <c r="AN80" s="10"/>
      <c r="AO80" s="9"/>
      <c r="AP80" s="9"/>
      <c r="AQ80" s="10"/>
      <c r="AR80" s="8"/>
      <c r="AS80" s="11"/>
      <c r="AT80" s="9"/>
      <c r="AU80" s="9"/>
      <c r="AV80" s="9">
        <f t="shared" si="2"/>
        <v>0</v>
      </c>
      <c r="AW80" s="9">
        <f t="shared" si="3"/>
        <v>0</v>
      </c>
      <c r="AX80" s="19">
        <f>AV80+'تحليل الاداء  '!AM80+'تحليل الاداء '!AM80+'تحليل الاداء'!AM80</f>
        <v>14</v>
      </c>
      <c r="AY80" s="19">
        <f>AW80+'تحليل الاداء  '!AN80+'تحليل الاداء '!AN80+'تحليل الاداء'!AN80</f>
        <v>20</v>
      </c>
    </row>
    <row r="81" spans="2:51" ht="21">
      <c r="B81" s="15" t="s">
        <v>66</v>
      </c>
      <c r="C81" s="7"/>
      <c r="D81" s="8"/>
      <c r="E81" s="8"/>
      <c r="F81" s="9"/>
      <c r="G81" s="9"/>
      <c r="H81" s="7"/>
      <c r="I81" s="11"/>
      <c r="J81" s="13"/>
      <c r="K81" s="9"/>
      <c r="L81" s="9"/>
      <c r="M81" s="7"/>
      <c r="N81" s="11"/>
      <c r="O81" s="11"/>
      <c r="P81" s="9"/>
      <c r="Q81" s="9"/>
      <c r="R81" s="7"/>
      <c r="S81" s="11"/>
      <c r="T81" s="11"/>
      <c r="U81" s="9"/>
      <c r="V81" s="9"/>
      <c r="W81" s="7"/>
      <c r="X81" s="11"/>
      <c r="Y81" s="8"/>
      <c r="Z81" s="9"/>
      <c r="AA81" s="9"/>
      <c r="AB81" s="10"/>
      <c r="AC81" s="8"/>
      <c r="AD81" s="11"/>
      <c r="AE81" s="9"/>
      <c r="AF81" s="9"/>
      <c r="AG81" s="8"/>
      <c r="AH81" s="11"/>
      <c r="AI81" s="10"/>
      <c r="AJ81" s="9"/>
      <c r="AK81" s="9"/>
      <c r="AL81" s="10"/>
      <c r="AM81" s="8"/>
      <c r="AN81" s="10"/>
      <c r="AO81" s="9"/>
      <c r="AP81" s="9"/>
      <c r="AQ81" s="10"/>
      <c r="AR81" s="8"/>
      <c r="AS81" s="11"/>
      <c r="AT81" s="9"/>
      <c r="AU81" s="9"/>
      <c r="AV81" s="9">
        <f t="shared" si="2"/>
        <v>0</v>
      </c>
      <c r="AW81" s="9">
        <f t="shared" si="3"/>
        <v>0</v>
      </c>
      <c r="AX81" s="19">
        <f>AV81+'تحليل الاداء  '!AM81+'تحليل الاداء '!AM81+'تحليل الاداء'!AM81</f>
        <v>14</v>
      </c>
      <c r="AY81" s="19">
        <f>AW81+'تحليل الاداء  '!AN81+'تحليل الاداء '!AN81+'تحليل الاداء'!AN81</f>
        <v>21</v>
      </c>
    </row>
    <row r="82" spans="2:51" ht="21">
      <c r="B82" s="15" t="s">
        <v>67</v>
      </c>
      <c r="C82" s="7"/>
      <c r="D82" s="8"/>
      <c r="E82" s="8"/>
      <c r="F82" s="9"/>
      <c r="G82" s="9"/>
      <c r="H82" s="7"/>
      <c r="I82" s="11"/>
      <c r="J82" s="13"/>
      <c r="K82" s="9"/>
      <c r="L82" s="9"/>
      <c r="M82" s="7"/>
      <c r="N82" s="11"/>
      <c r="O82" s="11"/>
      <c r="P82" s="9"/>
      <c r="Q82" s="9"/>
      <c r="R82" s="7"/>
      <c r="S82" s="11"/>
      <c r="T82" s="11"/>
      <c r="U82" s="9"/>
      <c r="V82" s="9"/>
      <c r="W82" s="7"/>
      <c r="X82" s="11"/>
      <c r="Y82" s="8"/>
      <c r="Z82" s="9"/>
      <c r="AA82" s="9"/>
      <c r="AB82" s="10"/>
      <c r="AC82" s="8"/>
      <c r="AD82" s="11"/>
      <c r="AE82" s="9"/>
      <c r="AF82" s="9"/>
      <c r="AG82" s="8"/>
      <c r="AH82" s="11"/>
      <c r="AI82" s="10"/>
      <c r="AJ82" s="9"/>
      <c r="AK82" s="9"/>
      <c r="AL82" s="10"/>
      <c r="AM82" s="8"/>
      <c r="AN82" s="10"/>
      <c r="AO82" s="9"/>
      <c r="AP82" s="9"/>
      <c r="AQ82" s="10"/>
      <c r="AR82" s="8"/>
      <c r="AS82" s="11"/>
      <c r="AT82" s="9"/>
      <c r="AU82" s="9"/>
      <c r="AV82" s="9">
        <f t="shared" si="2"/>
        <v>0</v>
      </c>
      <c r="AW82" s="9">
        <f t="shared" si="3"/>
        <v>0</v>
      </c>
      <c r="AX82" s="19">
        <f>AV82+'تحليل الاداء  '!AM82+'تحليل الاداء '!AM82+'تحليل الاداء'!AM82</f>
        <v>2</v>
      </c>
      <c r="AY82" s="19">
        <f>AW82+'تحليل الاداء  '!AN82+'تحليل الاداء '!AN82+'تحليل الاداء'!AN82</f>
        <v>2</v>
      </c>
    </row>
    <row r="83" spans="2:51" ht="21">
      <c r="B83" s="15" t="s">
        <v>70</v>
      </c>
      <c r="C83" s="7"/>
      <c r="D83" s="8"/>
      <c r="E83" s="8"/>
      <c r="F83" s="9"/>
      <c r="G83" s="9"/>
      <c r="H83" s="7"/>
      <c r="I83" s="11"/>
      <c r="J83" s="13"/>
      <c r="K83" s="9"/>
      <c r="L83" s="9"/>
      <c r="M83" s="7"/>
      <c r="N83" s="11"/>
      <c r="O83" s="11"/>
      <c r="P83" s="9"/>
      <c r="Q83" s="9"/>
      <c r="R83" s="7"/>
      <c r="S83" s="11"/>
      <c r="T83" s="11"/>
      <c r="U83" s="9"/>
      <c r="V83" s="9"/>
      <c r="W83" s="7"/>
      <c r="X83" s="11"/>
      <c r="Y83" s="8"/>
      <c r="Z83" s="9"/>
      <c r="AA83" s="9"/>
      <c r="AB83" s="10"/>
      <c r="AC83" s="8"/>
      <c r="AD83" s="11"/>
      <c r="AE83" s="9"/>
      <c r="AF83" s="9"/>
      <c r="AG83" s="8"/>
      <c r="AH83" s="11"/>
      <c r="AI83" s="10"/>
      <c r="AJ83" s="9"/>
      <c r="AK83" s="9"/>
      <c r="AL83" s="10"/>
      <c r="AM83" s="8"/>
      <c r="AN83" s="10"/>
      <c r="AO83" s="9"/>
      <c r="AP83" s="9"/>
      <c r="AQ83" s="10"/>
      <c r="AR83" s="8"/>
      <c r="AS83" s="11"/>
      <c r="AT83" s="9"/>
      <c r="AU83" s="9"/>
      <c r="AV83" s="9">
        <f t="shared" si="2"/>
        <v>0</v>
      </c>
      <c r="AW83" s="9">
        <f t="shared" si="3"/>
        <v>0</v>
      </c>
      <c r="AX83" s="19">
        <f>AV83+'تحليل الاداء  '!AM83+'تحليل الاداء '!AM84+'تحليل الاداء'!AM83</f>
        <v>9</v>
      </c>
      <c r="AY83" s="19">
        <f>AW83+'تحليل الاداء  '!AN83+'تحليل الاداء '!AN84+'تحليل الاداء'!AN83</f>
        <v>10</v>
      </c>
    </row>
    <row r="84" spans="2:51" ht="21">
      <c r="B84" s="15" t="s">
        <v>76</v>
      </c>
      <c r="C84" s="7"/>
      <c r="D84" s="8"/>
      <c r="E84" s="8"/>
      <c r="F84" s="9"/>
      <c r="G84" s="9"/>
      <c r="H84" s="7"/>
      <c r="I84" s="11"/>
      <c r="J84" s="13"/>
      <c r="K84" s="9"/>
      <c r="L84" s="9"/>
      <c r="M84" s="7"/>
      <c r="N84" s="11"/>
      <c r="O84" s="11"/>
      <c r="P84" s="9"/>
      <c r="Q84" s="9"/>
      <c r="R84" s="7"/>
      <c r="S84" s="11"/>
      <c r="T84" s="11"/>
      <c r="U84" s="9"/>
      <c r="V84" s="9"/>
      <c r="W84" s="7"/>
      <c r="X84" s="11"/>
      <c r="Y84" s="8"/>
      <c r="Z84" s="9"/>
      <c r="AA84" s="9"/>
      <c r="AB84" s="10"/>
      <c r="AC84" s="8"/>
      <c r="AD84" s="11"/>
      <c r="AE84" s="9"/>
      <c r="AF84" s="9"/>
      <c r="AG84" s="8"/>
      <c r="AH84" s="11"/>
      <c r="AI84" s="10"/>
      <c r="AJ84" s="9"/>
      <c r="AK84" s="9"/>
      <c r="AL84" s="10"/>
      <c r="AM84" s="8"/>
      <c r="AN84" s="10"/>
      <c r="AO84" s="9"/>
      <c r="AP84" s="9"/>
      <c r="AQ84" s="10"/>
      <c r="AR84" s="8"/>
      <c r="AS84" s="11"/>
      <c r="AT84" s="9"/>
      <c r="AU84" s="9"/>
      <c r="AV84" s="9">
        <f t="shared" si="2"/>
        <v>0</v>
      </c>
      <c r="AW84" s="9">
        <f t="shared" si="3"/>
        <v>0</v>
      </c>
      <c r="AX84" s="19">
        <f>AV84+'تحليل الاداء  '!AM84+'تحليل الاداء '!AM85+'تحليل الاداء'!AM84</f>
        <v>8</v>
      </c>
      <c r="AY84" s="19">
        <f>AW84+'تحليل الاداء  '!AN84+'تحليل الاداء '!AN85+'تحليل الاداء'!AN84</f>
        <v>10</v>
      </c>
    </row>
    <row r="85" spans="2:51" ht="21">
      <c r="B85" s="15" t="s">
        <v>69</v>
      </c>
      <c r="C85" s="7"/>
      <c r="D85" s="8"/>
      <c r="E85" s="8"/>
      <c r="F85" s="9"/>
      <c r="G85" s="9"/>
      <c r="H85" s="7"/>
      <c r="I85" s="11"/>
      <c r="J85" s="13"/>
      <c r="K85" s="9"/>
      <c r="L85" s="9"/>
      <c r="M85" s="7"/>
      <c r="N85" s="11"/>
      <c r="O85" s="11"/>
      <c r="P85" s="9"/>
      <c r="Q85" s="9"/>
      <c r="R85" s="7"/>
      <c r="S85" s="11"/>
      <c r="T85" s="11"/>
      <c r="U85" s="9"/>
      <c r="V85" s="9"/>
      <c r="W85" s="7"/>
      <c r="X85" s="11"/>
      <c r="Y85" s="8"/>
      <c r="Z85" s="9"/>
      <c r="AA85" s="9"/>
      <c r="AB85" s="10"/>
      <c r="AC85" s="8"/>
      <c r="AD85" s="11"/>
      <c r="AE85" s="9"/>
      <c r="AF85" s="9"/>
      <c r="AG85" s="8"/>
      <c r="AH85" s="11"/>
      <c r="AI85" s="10"/>
      <c r="AJ85" s="9"/>
      <c r="AK85" s="9"/>
      <c r="AL85" s="10"/>
      <c r="AM85" s="8"/>
      <c r="AN85" s="10"/>
      <c r="AO85" s="9"/>
      <c r="AP85" s="9"/>
      <c r="AQ85" s="10"/>
      <c r="AR85" s="8"/>
      <c r="AS85" s="11"/>
      <c r="AT85" s="9"/>
      <c r="AU85" s="9"/>
      <c r="AV85" s="9">
        <f t="shared" si="2"/>
        <v>0</v>
      </c>
      <c r="AW85" s="9">
        <f t="shared" si="3"/>
        <v>0</v>
      </c>
      <c r="AX85" s="19">
        <f>AV85+'تحليل الاداء  '!AM85+'تحليل الاداء '!AM86+'تحليل الاداء'!AM86</f>
        <v>10</v>
      </c>
      <c r="AY85" s="19">
        <f>AW85+'تحليل الاداء  '!AN85+'تحليل الاداء '!AN86+'تحليل الاداء'!AN86</f>
        <v>20</v>
      </c>
    </row>
    <row r="86" spans="2:51">
      <c r="AE86" s="9"/>
      <c r="AF86" s="9"/>
    </row>
  </sheetData>
  <autoFilter ref="A1:B84" xr:uid="{00000000-0009-0000-0000-000003000000}">
    <sortState xmlns:xlrd2="http://schemas.microsoft.com/office/spreadsheetml/2017/richdata2" ref="A26:B26">
      <sortCondition ref="B1:B86"/>
    </sortState>
  </autoFilter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تحليل الاداء</vt:lpstr>
      <vt:lpstr>تحليل الاداء </vt:lpstr>
      <vt:lpstr>تحليل الاداء  </vt:lpstr>
      <vt:lpstr>تحليل الاداء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eslam ibrahim</cp:lastModifiedBy>
  <cp:lastPrinted>2025-11-21T14:05:00Z</cp:lastPrinted>
  <dcterms:created xsi:type="dcterms:W3CDTF">2015-06-05T18:17:00Z</dcterms:created>
  <dcterms:modified xsi:type="dcterms:W3CDTF">2026-04-29T05:40:40Z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1DB8EA43BCAC4F79A41F860CD54C605B_12</vt:lpwstr>
  </property>
  <property fmtid="{D5CDD505-2E9C-101B-9397-08002B2CF9AE}" pid="3" name="KSOProductBuildVer">
    <vt:lpwstr>1033-12.2.0.23155</vt:lpwstr>
  </property>
</Properties>
</file>
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435" firstSheet="3" activeTab="8"/>
  </bookViews>
  <sheets>
    <sheet name="داتا" sheetId="1" r:id="rId1"/>
    <sheet name="21-4-2026" sheetId="2" r:id="rId2"/>
    <sheet name="22-4-2026" sheetId="3" r:id="rId3"/>
    <sheet name="23-4-2026" sheetId="4" r:id="rId4"/>
    <sheet name="24-4-2026" sheetId="5" r:id="rId5"/>
    <sheet name="25-4-2026" sheetId="6" r:id="rId6"/>
    <sheet name="26-4-2026" sheetId="7" r:id="rId7"/>
    <sheet name="27-4-2026" sheetId="8" r:id="rId8"/>
    <sheet name="28-4-2026" sheetId="9" r:id="rId9"/>
    <sheet name="29-4-2026" sheetId="10" r:id="rId10"/>
    <sheet name="30-4-2026" sheetId="11" r:id="rId11"/>
    <sheet name="1-5-2026" sheetId="12" r:id="rId12"/>
    <sheet name="2-5-2026" sheetId="13" r:id="rId13"/>
    <sheet name="3-5-2026" sheetId="14" r:id="rId14"/>
    <sheet name="4-5-2026" sheetId="15" r:id="rId15"/>
    <sheet name="5-5-2026" sheetId="16" r:id="rId16"/>
    <sheet name="6-5-2026" sheetId="17" r:id="rId17"/>
    <sheet name="7-5-2026" sheetId="18" r:id="rId18"/>
    <sheet name="8-5-2026" sheetId="19" r:id="rId19"/>
    <sheet name="9-5-2026" sheetId="20" r:id="rId20"/>
    <sheet name="10-5-2026" sheetId="21" r:id="rId21"/>
    <sheet name="11-5-2026" sheetId="22" r:id="rId22"/>
    <sheet name="12-5-2026" sheetId="23" r:id="rId23"/>
    <sheet name="13-5-2026" sheetId="24" r:id="rId24"/>
    <sheet name="14-5-2026" sheetId="25" r:id="rId25"/>
    <sheet name="15-5-2026" sheetId="26" r:id="rId26"/>
    <sheet name="16-5-2026" sheetId="27" r:id="rId27"/>
    <sheet name="17-5-2026" sheetId="29" r:id="rId28"/>
    <sheet name="18-5-2026" sheetId="30" r:id="rId29"/>
    <sheet name="19-5-2026" sheetId="31" r:id="rId30"/>
    <sheet name="20-5-2026" sheetId="28" r:id="rId31"/>
  </sheets>
  <externalReferences>
    <externalReference r:id="rId32"/>
    <externalReference r:id="rId33"/>
    <externalReference r:id="rId34"/>
  </externalReferences>
  <definedNames>
    <definedName name="_xlnm._FilterDatabase" localSheetId="2" hidden="1">'22-4-2026'!$E$1:$E$92</definedName>
    <definedName name="_xlnm._FilterDatabase" localSheetId="4" hidden="1">'24-4-2026'!$E$1:$E$101</definedName>
    <definedName name="_xlnm._FilterDatabase" localSheetId="5" hidden="1">'25-4-2026'!$E$1:$E$91</definedName>
    <definedName name="_xlnm._FilterDatabase" localSheetId="6" hidden="1">'26-4-2026'!$F$1:$F$92</definedName>
    <definedName name="_xlnm._FilterDatabase" localSheetId="8" hidden="1">'28-4-2026'!$E$1:$E$93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75" i="9" l="1"/>
  <c r="N79" i="9"/>
  <c r="I79" i="9"/>
  <c r="N82" i="9"/>
  <c r="I82" i="9"/>
  <c r="N81" i="9"/>
  <c r="I81" i="9"/>
  <c r="N73" i="9"/>
  <c r="I73" i="9"/>
  <c r="N72" i="9"/>
  <c r="I72" i="9"/>
  <c r="N71" i="9"/>
  <c r="I71" i="9"/>
  <c r="N89" i="9"/>
  <c r="I89" i="9"/>
  <c r="N88" i="9"/>
  <c r="I88" i="9"/>
  <c r="N85" i="9"/>
  <c r="I85" i="9"/>
  <c r="N84" i="9"/>
  <c r="I84" i="9"/>
  <c r="I40" i="9" l="1"/>
  <c r="I41" i="9"/>
  <c r="I42" i="9"/>
  <c r="I43" i="9"/>
  <c r="I56" i="9"/>
  <c r="I57" i="9"/>
  <c r="I58" i="9"/>
  <c r="I59" i="9"/>
  <c r="H38" i="9"/>
  <c r="N54" i="9"/>
  <c r="H54" i="9"/>
  <c r="I54" i="9" s="1"/>
  <c r="N56" i="9"/>
  <c r="N45" i="9"/>
  <c r="H45" i="9"/>
  <c r="I45" i="9" s="1"/>
  <c r="N57" i="9"/>
  <c r="H39" i="9" l="1"/>
  <c r="I39" i="9" s="1"/>
  <c r="H44" i="9"/>
  <c r="I44" i="9" s="1"/>
  <c r="H46" i="9"/>
  <c r="I46" i="9" s="1"/>
  <c r="H47" i="9"/>
  <c r="I47" i="9" s="1"/>
  <c r="H48" i="9"/>
  <c r="I48" i="9" s="1"/>
  <c r="H49" i="9"/>
  <c r="I49" i="9" s="1"/>
  <c r="H50" i="9"/>
  <c r="I50" i="9" s="1"/>
  <c r="H51" i="9"/>
  <c r="I51" i="9" s="1"/>
  <c r="H52" i="9"/>
  <c r="I52" i="9" s="1"/>
  <c r="H53" i="9"/>
  <c r="I53" i="9" s="1"/>
  <c r="H55" i="9"/>
  <c r="I55" i="9" s="1"/>
  <c r="H60" i="9"/>
  <c r="I60" i="9" s="1"/>
  <c r="H61" i="9"/>
  <c r="I61" i="9" s="1"/>
  <c r="H62" i="9"/>
  <c r="I62" i="9" s="1"/>
  <c r="H63" i="9"/>
  <c r="I63" i="9" s="1"/>
  <c r="H64" i="9"/>
  <c r="I64" i="9" s="1"/>
  <c r="H65" i="9"/>
  <c r="I65" i="9" s="1"/>
  <c r="H66" i="9"/>
  <c r="I66" i="9" s="1"/>
  <c r="H67" i="9"/>
  <c r="I67" i="9" s="1"/>
  <c r="H68" i="9"/>
  <c r="I68" i="9" s="1"/>
  <c r="H69" i="9"/>
  <c r="I69" i="9" s="1"/>
  <c r="I70" i="9"/>
  <c r="I76" i="9"/>
  <c r="I77" i="9"/>
  <c r="I78" i="9"/>
  <c r="I80" i="9"/>
  <c r="I83" i="9"/>
  <c r="I86" i="9"/>
  <c r="I87" i="9"/>
  <c r="I90" i="9"/>
  <c r="I91" i="9"/>
  <c r="I92" i="9"/>
  <c r="I93" i="9"/>
  <c r="R21" i="9"/>
  <c r="N21" i="9"/>
  <c r="I21" i="9"/>
  <c r="R29" i="9"/>
  <c r="N29" i="9"/>
  <c r="I29" i="9"/>
  <c r="R35" i="9"/>
  <c r="N35" i="9"/>
  <c r="I35" i="9"/>
  <c r="R15" i="9"/>
  <c r="N15" i="9"/>
  <c r="I15" i="9"/>
  <c r="I18" i="9"/>
  <c r="N18" i="9"/>
  <c r="N9" i="9"/>
  <c r="I9" i="9"/>
  <c r="R68" i="9"/>
  <c r="R76" i="9"/>
  <c r="R77" i="9"/>
  <c r="R80" i="9"/>
  <c r="R81" i="9"/>
  <c r="R82" i="9"/>
  <c r="R83" i="9"/>
  <c r="R84" i="9"/>
  <c r="R85" i="9"/>
  <c r="I33" i="9"/>
  <c r="I32" i="9"/>
  <c r="I31" i="9"/>
  <c r="I30" i="9"/>
  <c r="I28" i="9"/>
  <c r="I27" i="9"/>
  <c r="I26" i="9"/>
  <c r="I25" i="9"/>
  <c r="I24" i="9"/>
  <c r="I23" i="9"/>
  <c r="I22" i="9"/>
  <c r="I20" i="9"/>
  <c r="I19" i="9"/>
  <c r="I17" i="9"/>
  <c r="I16" i="9"/>
  <c r="I14" i="9"/>
  <c r="I13" i="9"/>
  <c r="I12" i="9"/>
  <c r="I11" i="9"/>
  <c r="I10" i="9"/>
  <c r="I8" i="9"/>
  <c r="I7" i="9"/>
  <c r="I6" i="9"/>
  <c r="I5" i="9"/>
  <c r="I4" i="9"/>
  <c r="I3" i="9"/>
  <c r="N83" i="8" l="1"/>
  <c r="I83" i="8"/>
  <c r="I87" i="8"/>
  <c r="N87" i="8"/>
  <c r="N79" i="8"/>
  <c r="I79" i="8"/>
  <c r="N77" i="8"/>
  <c r="I77" i="8"/>
  <c r="N76" i="8"/>
  <c r="I76" i="8"/>
  <c r="R75" i="8"/>
  <c r="N72" i="8"/>
  <c r="I72" i="8"/>
  <c r="N81" i="8"/>
  <c r="I81" i="8"/>
  <c r="N89" i="8"/>
  <c r="I89" i="8"/>
  <c r="N88" i="8"/>
  <c r="I88" i="8"/>
  <c r="H37" i="8" l="1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36" i="8"/>
  <c r="I68" i="8" l="1"/>
  <c r="I69" i="8"/>
  <c r="I70" i="8"/>
  <c r="I71" i="8"/>
  <c r="I5" i="8"/>
  <c r="I6" i="8"/>
  <c r="R68" i="8"/>
  <c r="R69" i="8"/>
  <c r="R70" i="8"/>
  <c r="R71" i="8"/>
  <c r="Z42" i="7"/>
  <c r="Z43" i="7"/>
  <c r="Z44" i="7"/>
  <c r="V40" i="7"/>
  <c r="V42" i="7"/>
  <c r="N83" i="7" l="1"/>
  <c r="I83" i="7"/>
  <c r="N91" i="7"/>
  <c r="I91" i="7"/>
  <c r="N77" i="7"/>
  <c r="I77" i="7"/>
  <c r="N86" i="7"/>
  <c r="H86" i="7"/>
  <c r="I86" i="7" s="1"/>
  <c r="N85" i="7"/>
  <c r="H85" i="7"/>
  <c r="I85" i="7" s="1"/>
  <c r="N81" i="7"/>
  <c r="I81" i="7"/>
  <c r="N80" i="7"/>
  <c r="I80" i="7"/>
  <c r="N79" i="7"/>
  <c r="I79" i="7"/>
  <c r="R89" i="7"/>
  <c r="N75" i="7"/>
  <c r="I75" i="7"/>
  <c r="N70" i="7"/>
  <c r="I70" i="7"/>
  <c r="N69" i="7"/>
  <c r="I69" i="7"/>
  <c r="H37" i="7" l="1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I71" i="7"/>
  <c r="I72" i="7"/>
  <c r="I73" i="7"/>
  <c r="I74" i="7"/>
  <c r="I76" i="7"/>
  <c r="I78" i="7"/>
  <c r="I82" i="7"/>
  <c r="H84" i="7"/>
  <c r="I84" i="7" s="1"/>
  <c r="I87" i="7"/>
  <c r="I88" i="7"/>
  <c r="I89" i="7"/>
  <c r="H36" i="7"/>
  <c r="N65" i="7"/>
  <c r="I65" i="7"/>
  <c r="I18" i="7"/>
  <c r="N18" i="7"/>
  <c r="R8" i="7"/>
  <c r="N8" i="7"/>
  <c r="I8" i="7"/>
  <c r="R78" i="7"/>
  <c r="R79" i="7"/>
  <c r="R80" i="7"/>
  <c r="R81" i="7"/>
  <c r="R84" i="7"/>
  <c r="R85" i="7"/>
  <c r="R86" i="7"/>
  <c r="R87" i="7"/>
  <c r="R88" i="7"/>
  <c r="R90" i="7"/>
  <c r="R91" i="7"/>
  <c r="I21" i="7"/>
  <c r="I20" i="7"/>
  <c r="I19" i="7"/>
  <c r="I17" i="7"/>
  <c r="I16" i="7"/>
  <c r="I15" i="7"/>
  <c r="I14" i="7"/>
  <c r="I13" i="7"/>
  <c r="I12" i="7"/>
  <c r="I11" i="7"/>
  <c r="I10" i="7"/>
  <c r="I9" i="7"/>
  <c r="I7" i="7"/>
  <c r="I6" i="7"/>
  <c r="I5" i="7"/>
  <c r="I4" i="7"/>
  <c r="I71" i="6" l="1"/>
  <c r="I79" i="6"/>
  <c r="I87" i="6"/>
  <c r="I91" i="6"/>
  <c r="N91" i="6"/>
  <c r="N89" i="6"/>
  <c r="I89" i="6"/>
  <c r="N87" i="6"/>
  <c r="N85" i="6"/>
  <c r="I85" i="6"/>
  <c r="N84" i="6"/>
  <c r="I84" i="6"/>
  <c r="N82" i="6"/>
  <c r="I82" i="6"/>
  <c r="N79" i="6"/>
  <c r="N77" i="6"/>
  <c r="N71" i="6"/>
  <c r="N75" i="6"/>
  <c r="I75" i="6"/>
  <c r="N74" i="6"/>
  <c r="I74" i="6"/>
  <c r="N73" i="6"/>
  <c r="I73" i="6"/>
  <c r="H50" i="6" l="1"/>
  <c r="I50" i="6" s="1"/>
  <c r="N50" i="6"/>
  <c r="Z91" i="6" l="1"/>
  <c r="T91" i="6"/>
  <c r="V91" i="6" s="1"/>
  <c r="D91" i="6"/>
  <c r="C91" i="6"/>
  <c r="Z90" i="6"/>
  <c r="T90" i="6"/>
  <c r="N90" i="6"/>
  <c r="I90" i="6"/>
  <c r="D90" i="6"/>
  <c r="C90" i="6"/>
  <c r="Z89" i="6"/>
  <c r="T89" i="6"/>
  <c r="D89" i="6"/>
  <c r="C89" i="6"/>
  <c r="Z88" i="6"/>
  <c r="T88" i="6"/>
  <c r="V88" i="6" s="1"/>
  <c r="N88" i="6"/>
  <c r="I88" i="6"/>
  <c r="D88" i="6"/>
  <c r="C88" i="6"/>
  <c r="Z87" i="6"/>
  <c r="T87" i="6"/>
  <c r="D87" i="6"/>
  <c r="C87" i="6"/>
  <c r="Z86" i="6"/>
  <c r="T86" i="6"/>
  <c r="V86" i="6" s="1"/>
  <c r="N86" i="6"/>
  <c r="I86" i="6"/>
  <c r="D86" i="6"/>
  <c r="C86" i="6"/>
  <c r="Z85" i="6"/>
  <c r="T85" i="6"/>
  <c r="D85" i="6"/>
  <c r="C85" i="6"/>
  <c r="Z84" i="6"/>
  <c r="T84" i="6"/>
  <c r="D84" i="6"/>
  <c r="C84" i="6"/>
  <c r="Z83" i="6"/>
  <c r="T83" i="6"/>
  <c r="V83" i="6" s="1"/>
  <c r="N83" i="6"/>
  <c r="I83" i="6"/>
  <c r="D83" i="6"/>
  <c r="C83" i="6"/>
  <c r="Z82" i="6"/>
  <c r="T82" i="6"/>
  <c r="D82" i="6"/>
  <c r="C82" i="6"/>
  <c r="Z81" i="6"/>
  <c r="T81" i="6"/>
  <c r="V81" i="6" s="1"/>
  <c r="N81" i="6"/>
  <c r="I81" i="6"/>
  <c r="D81" i="6"/>
  <c r="C81" i="6"/>
  <c r="Z80" i="6"/>
  <c r="T80" i="6"/>
  <c r="V80" i="6" s="1"/>
  <c r="N80" i="6"/>
  <c r="D80" i="6"/>
  <c r="C80" i="6"/>
  <c r="Z79" i="6"/>
  <c r="T79" i="6"/>
  <c r="D79" i="6"/>
  <c r="C79" i="6"/>
  <c r="Z78" i="6"/>
  <c r="T78" i="6"/>
  <c r="V78" i="6" s="1"/>
  <c r="N78" i="6"/>
  <c r="I78" i="6"/>
  <c r="D78" i="6"/>
  <c r="C78" i="6"/>
  <c r="Z77" i="6"/>
  <c r="T77" i="6"/>
  <c r="D77" i="6"/>
  <c r="C77" i="6"/>
  <c r="Z76" i="6"/>
  <c r="T76" i="6"/>
  <c r="V76" i="6" s="1"/>
  <c r="N76" i="6"/>
  <c r="D76" i="6"/>
  <c r="C76" i="6"/>
  <c r="Z75" i="6"/>
  <c r="T75" i="6"/>
  <c r="D75" i="6"/>
  <c r="C75" i="6"/>
  <c r="Z74" i="6"/>
  <c r="T74" i="6"/>
  <c r="D74" i="6"/>
  <c r="C74" i="6"/>
  <c r="Z73" i="6"/>
  <c r="T73" i="6"/>
  <c r="D73" i="6"/>
  <c r="C73" i="6"/>
  <c r="Z72" i="6"/>
  <c r="T72" i="6"/>
  <c r="V72" i="6" s="1"/>
  <c r="N72" i="6"/>
  <c r="I72" i="6"/>
  <c r="D72" i="6"/>
  <c r="C72" i="6"/>
  <c r="Z71" i="6"/>
  <c r="T71" i="6"/>
  <c r="D71" i="6"/>
  <c r="C71" i="6"/>
  <c r="Z70" i="6"/>
  <c r="T70" i="6"/>
  <c r="V70" i="6" s="1"/>
  <c r="N70" i="6"/>
  <c r="I70" i="6"/>
  <c r="D70" i="6"/>
  <c r="C70" i="6"/>
  <c r="Z69" i="6"/>
  <c r="N69" i="6"/>
  <c r="D69" i="6"/>
  <c r="C69" i="6"/>
  <c r="Z68" i="6"/>
  <c r="T68" i="6"/>
  <c r="V68" i="6" s="1"/>
  <c r="N68" i="6"/>
  <c r="D68" i="6"/>
  <c r="C68" i="6"/>
  <c r="Z67" i="6"/>
  <c r="AA67" i="6" s="1"/>
  <c r="T67" i="6"/>
  <c r="N67" i="6"/>
  <c r="H67" i="6"/>
  <c r="I67" i="6" s="1"/>
  <c r="D67" i="6"/>
  <c r="C67" i="6"/>
  <c r="Z66" i="6"/>
  <c r="T66" i="6"/>
  <c r="N66" i="6"/>
  <c r="H66" i="6"/>
  <c r="I66" i="6" s="1"/>
  <c r="D66" i="6"/>
  <c r="C66" i="6"/>
  <c r="Z65" i="6"/>
  <c r="AA65" i="6" s="1"/>
  <c r="T65" i="6"/>
  <c r="V65" i="6" s="1"/>
  <c r="N65" i="6"/>
  <c r="H65" i="6"/>
  <c r="I65" i="6" s="1"/>
  <c r="D65" i="6"/>
  <c r="C65" i="6"/>
  <c r="Z64" i="6"/>
  <c r="T64" i="6"/>
  <c r="N64" i="6"/>
  <c r="H64" i="6"/>
  <c r="I64" i="6" s="1"/>
  <c r="D64" i="6"/>
  <c r="C64" i="6"/>
  <c r="Z63" i="6"/>
  <c r="T63" i="6"/>
  <c r="V63" i="6" s="1"/>
  <c r="N63" i="6"/>
  <c r="H63" i="6"/>
  <c r="I63" i="6" s="1"/>
  <c r="D63" i="6"/>
  <c r="C63" i="6"/>
  <c r="Z62" i="6"/>
  <c r="T62" i="6"/>
  <c r="V62" i="6" s="1"/>
  <c r="N62" i="6"/>
  <c r="H62" i="6"/>
  <c r="I62" i="6" s="1"/>
  <c r="D62" i="6"/>
  <c r="C62" i="6"/>
  <c r="Z61" i="6"/>
  <c r="T61" i="6"/>
  <c r="N61" i="6"/>
  <c r="H61" i="6"/>
  <c r="I61" i="6" s="1"/>
  <c r="D61" i="6"/>
  <c r="C61" i="6"/>
  <c r="Z60" i="6"/>
  <c r="T60" i="6"/>
  <c r="V60" i="6" s="1"/>
  <c r="N60" i="6"/>
  <c r="H60" i="6"/>
  <c r="I60" i="6" s="1"/>
  <c r="D60" i="6"/>
  <c r="C60" i="6"/>
  <c r="Z59" i="6"/>
  <c r="AA59" i="6" s="1"/>
  <c r="T59" i="6"/>
  <c r="N59" i="6"/>
  <c r="H59" i="6"/>
  <c r="I59" i="6" s="1"/>
  <c r="D59" i="6"/>
  <c r="C59" i="6"/>
  <c r="Z58" i="6"/>
  <c r="T58" i="6"/>
  <c r="V58" i="6" s="1"/>
  <c r="N58" i="6"/>
  <c r="H58" i="6"/>
  <c r="I58" i="6" s="1"/>
  <c r="D58" i="6"/>
  <c r="C58" i="6"/>
  <c r="Z57" i="6"/>
  <c r="T57" i="6"/>
  <c r="N57" i="6"/>
  <c r="H57" i="6"/>
  <c r="I57" i="6" s="1"/>
  <c r="D57" i="6"/>
  <c r="C57" i="6"/>
  <c r="Z56" i="6"/>
  <c r="T56" i="6"/>
  <c r="V56" i="6" s="1"/>
  <c r="N56" i="6"/>
  <c r="H56" i="6"/>
  <c r="I56" i="6" s="1"/>
  <c r="D56" i="6"/>
  <c r="C56" i="6"/>
  <c r="Z55" i="6"/>
  <c r="T55" i="6"/>
  <c r="N55" i="6"/>
  <c r="H55" i="6"/>
  <c r="I55" i="6" s="1"/>
  <c r="D55" i="6"/>
  <c r="C55" i="6"/>
  <c r="Z54" i="6"/>
  <c r="T54" i="6"/>
  <c r="V54" i="6" s="1"/>
  <c r="N54" i="6"/>
  <c r="H54" i="6"/>
  <c r="I54" i="6" s="1"/>
  <c r="D54" i="6"/>
  <c r="C54" i="6"/>
  <c r="Z53" i="6"/>
  <c r="T53" i="6"/>
  <c r="N53" i="6"/>
  <c r="H53" i="6"/>
  <c r="I53" i="6" s="1"/>
  <c r="D53" i="6"/>
  <c r="C53" i="6"/>
  <c r="Z52" i="6"/>
  <c r="AA52" i="6" s="1"/>
  <c r="T52" i="6"/>
  <c r="V52" i="6" s="1"/>
  <c r="N52" i="6"/>
  <c r="H52" i="6"/>
  <c r="I52" i="6" s="1"/>
  <c r="D52" i="6"/>
  <c r="C52" i="6"/>
  <c r="Z51" i="6"/>
  <c r="AA51" i="6" s="1"/>
  <c r="T51" i="6"/>
  <c r="N51" i="6"/>
  <c r="H51" i="6"/>
  <c r="I51" i="6" s="1"/>
  <c r="D51" i="6"/>
  <c r="C51" i="6"/>
  <c r="Z50" i="6"/>
  <c r="T50" i="6"/>
  <c r="D50" i="6"/>
  <c r="C50" i="6"/>
  <c r="Z49" i="6"/>
  <c r="T49" i="6"/>
  <c r="V49" i="6" s="1"/>
  <c r="N49" i="6"/>
  <c r="H49" i="6"/>
  <c r="I49" i="6" s="1"/>
  <c r="D49" i="6"/>
  <c r="C49" i="6"/>
  <c r="Z48" i="6"/>
  <c r="T48" i="6"/>
  <c r="N48" i="6"/>
  <c r="H48" i="6"/>
  <c r="I48" i="6" s="1"/>
  <c r="D48" i="6"/>
  <c r="C48" i="6"/>
  <c r="Z47" i="6"/>
  <c r="T47" i="6"/>
  <c r="V47" i="6" s="1"/>
  <c r="N47" i="6"/>
  <c r="H47" i="6"/>
  <c r="I47" i="6" s="1"/>
  <c r="D47" i="6"/>
  <c r="C47" i="6"/>
  <c r="Z46" i="6"/>
  <c r="AA46" i="6" s="1"/>
  <c r="T46" i="6"/>
  <c r="V46" i="6" s="1"/>
  <c r="N46" i="6"/>
  <c r="H46" i="6"/>
  <c r="I46" i="6" s="1"/>
  <c r="D46" i="6"/>
  <c r="C46" i="6"/>
  <c r="Z45" i="6"/>
  <c r="T45" i="6"/>
  <c r="N45" i="6"/>
  <c r="H45" i="6"/>
  <c r="I45" i="6" s="1"/>
  <c r="D45" i="6"/>
  <c r="C45" i="6"/>
  <c r="Z44" i="6"/>
  <c r="T44" i="6"/>
  <c r="V44" i="6" s="1"/>
  <c r="N44" i="6"/>
  <c r="H44" i="6"/>
  <c r="I44" i="6" s="1"/>
  <c r="D44" i="6"/>
  <c r="C44" i="6"/>
  <c r="Z43" i="6"/>
  <c r="T43" i="6"/>
  <c r="N43" i="6"/>
  <c r="H43" i="6"/>
  <c r="I43" i="6" s="1"/>
  <c r="D43" i="6"/>
  <c r="C43" i="6"/>
  <c r="Z42" i="6"/>
  <c r="T42" i="6"/>
  <c r="V42" i="6" s="1"/>
  <c r="N42" i="6"/>
  <c r="H42" i="6"/>
  <c r="I42" i="6" s="1"/>
  <c r="D42" i="6"/>
  <c r="C42" i="6"/>
  <c r="Z41" i="6"/>
  <c r="T41" i="6"/>
  <c r="N41" i="6"/>
  <c r="H41" i="6"/>
  <c r="I41" i="6" s="1"/>
  <c r="D41" i="6"/>
  <c r="C41" i="6"/>
  <c r="Z40" i="6"/>
  <c r="T40" i="6"/>
  <c r="N40" i="6"/>
  <c r="H40" i="6"/>
  <c r="I40" i="6" s="1"/>
  <c r="D40" i="6"/>
  <c r="C40" i="6"/>
  <c r="Z39" i="6"/>
  <c r="T39" i="6"/>
  <c r="N39" i="6"/>
  <c r="I39" i="6"/>
  <c r="D39" i="6"/>
  <c r="C39" i="6"/>
  <c r="Z38" i="6"/>
  <c r="T38" i="6"/>
  <c r="V38" i="6" s="1"/>
  <c r="N38" i="6"/>
  <c r="I38" i="6"/>
  <c r="D38" i="6"/>
  <c r="C38" i="6"/>
  <c r="Z37" i="6"/>
  <c r="T37" i="6"/>
  <c r="N37" i="6"/>
  <c r="H37" i="6"/>
  <c r="I37" i="6" s="1"/>
  <c r="D37" i="6"/>
  <c r="C37" i="6"/>
  <c r="Z36" i="6"/>
  <c r="T36" i="6"/>
  <c r="V36" i="6" s="1"/>
  <c r="N36" i="6"/>
  <c r="H36" i="6"/>
  <c r="I36" i="6" s="1"/>
  <c r="D36" i="6"/>
  <c r="C36" i="6"/>
  <c r="Z35" i="6"/>
  <c r="AA35" i="6" s="1"/>
  <c r="T35" i="6"/>
  <c r="V35" i="6" s="1"/>
  <c r="N35" i="6"/>
  <c r="I35" i="6"/>
  <c r="D35" i="6"/>
  <c r="C35" i="6"/>
  <c r="Z34" i="6"/>
  <c r="AA34" i="6" s="1"/>
  <c r="T34" i="6"/>
  <c r="V34" i="6" s="1"/>
  <c r="N34" i="6"/>
  <c r="I34" i="6"/>
  <c r="D34" i="6"/>
  <c r="C34" i="6"/>
  <c r="Z33" i="6"/>
  <c r="T33" i="6"/>
  <c r="N33" i="6"/>
  <c r="I33" i="6"/>
  <c r="D33" i="6"/>
  <c r="C33" i="6"/>
  <c r="Z32" i="6"/>
  <c r="T32" i="6"/>
  <c r="V32" i="6" s="1"/>
  <c r="N32" i="6"/>
  <c r="I32" i="6"/>
  <c r="D32" i="6"/>
  <c r="C32" i="6"/>
  <c r="Z31" i="6"/>
  <c r="T31" i="6"/>
  <c r="V31" i="6" s="1"/>
  <c r="N31" i="6"/>
  <c r="I31" i="6"/>
  <c r="D31" i="6"/>
  <c r="C31" i="6"/>
  <c r="Z30" i="6"/>
  <c r="T30" i="6"/>
  <c r="N30" i="6"/>
  <c r="I30" i="6"/>
  <c r="Z29" i="6"/>
  <c r="AA29" i="6" s="1"/>
  <c r="T29" i="6"/>
  <c r="V29" i="6" s="1"/>
  <c r="N29" i="6"/>
  <c r="I29" i="6"/>
  <c r="Z28" i="6"/>
  <c r="T28" i="6"/>
  <c r="V28" i="6" s="1"/>
  <c r="N28" i="6"/>
  <c r="I28" i="6"/>
  <c r="D28" i="6"/>
  <c r="C28" i="6"/>
  <c r="Z27" i="6"/>
  <c r="T27" i="6"/>
  <c r="N27" i="6"/>
  <c r="I27" i="6"/>
  <c r="D27" i="6"/>
  <c r="C27" i="6"/>
  <c r="Z26" i="6"/>
  <c r="AA26" i="6" s="1"/>
  <c r="T26" i="6"/>
  <c r="N26" i="6"/>
  <c r="I26" i="6"/>
  <c r="D26" i="6"/>
  <c r="O26" i="6" s="1"/>
  <c r="C26" i="6"/>
  <c r="Z25" i="6"/>
  <c r="AA25" i="6" s="1"/>
  <c r="T25" i="6"/>
  <c r="N25" i="6"/>
  <c r="I25" i="6"/>
  <c r="D25" i="6"/>
  <c r="C25" i="6"/>
  <c r="Z24" i="6"/>
  <c r="T24" i="6"/>
  <c r="V24" i="6" s="1"/>
  <c r="N24" i="6"/>
  <c r="I24" i="6"/>
  <c r="D24" i="6"/>
  <c r="C24" i="6"/>
  <c r="Z23" i="6"/>
  <c r="T23" i="6"/>
  <c r="V23" i="6" s="1"/>
  <c r="N23" i="6"/>
  <c r="I23" i="6"/>
  <c r="D23" i="6"/>
  <c r="C23" i="6"/>
  <c r="Z22" i="6"/>
  <c r="AA22" i="6" s="1"/>
  <c r="T22" i="6"/>
  <c r="V22" i="6" s="1"/>
  <c r="N22" i="6"/>
  <c r="I22" i="6"/>
  <c r="D22" i="6"/>
  <c r="C22" i="6"/>
  <c r="Z21" i="6"/>
  <c r="T21" i="6"/>
  <c r="V21" i="6" s="1"/>
  <c r="N21" i="6"/>
  <c r="I21" i="6"/>
  <c r="D21" i="6"/>
  <c r="C21" i="6"/>
  <c r="Z20" i="6"/>
  <c r="T20" i="6"/>
  <c r="V20" i="6" s="1"/>
  <c r="N20" i="6"/>
  <c r="I20" i="6"/>
  <c r="D20" i="6"/>
  <c r="C20" i="6"/>
  <c r="Z19" i="6"/>
  <c r="T19" i="6"/>
  <c r="N19" i="6"/>
  <c r="I19" i="6"/>
  <c r="D19" i="6"/>
  <c r="C19" i="6"/>
  <c r="Z18" i="6"/>
  <c r="T18" i="6"/>
  <c r="V18" i="6" s="1"/>
  <c r="N18" i="6"/>
  <c r="I18" i="6"/>
  <c r="D18" i="6"/>
  <c r="C18" i="6"/>
  <c r="Z17" i="6"/>
  <c r="T17" i="6"/>
  <c r="V17" i="6" s="1"/>
  <c r="N17" i="6"/>
  <c r="D17" i="6"/>
  <c r="C17" i="6"/>
  <c r="Z16" i="6"/>
  <c r="AA16" i="6" s="1"/>
  <c r="T16" i="6"/>
  <c r="V16" i="6" s="1"/>
  <c r="N16" i="6"/>
  <c r="I16" i="6"/>
  <c r="D16" i="6"/>
  <c r="C16" i="6"/>
  <c r="Z15" i="6"/>
  <c r="AA15" i="6" s="1"/>
  <c r="N15" i="6"/>
  <c r="I15" i="6"/>
  <c r="D15" i="6"/>
  <c r="C15" i="6"/>
  <c r="Z14" i="6"/>
  <c r="AA14" i="6" s="1"/>
  <c r="T14" i="6"/>
  <c r="V14" i="6" s="1"/>
  <c r="N14" i="6"/>
  <c r="I14" i="6"/>
  <c r="D14" i="6"/>
  <c r="C14" i="6"/>
  <c r="Z13" i="6"/>
  <c r="T13" i="6"/>
  <c r="N13" i="6"/>
  <c r="D13" i="6"/>
  <c r="C13" i="6"/>
  <c r="Z12" i="6"/>
  <c r="AA12" i="6" s="1"/>
  <c r="T12" i="6"/>
  <c r="N12" i="6"/>
  <c r="D12" i="6"/>
  <c r="C12" i="6"/>
  <c r="Z11" i="6"/>
  <c r="T11" i="6"/>
  <c r="V11" i="6" s="1"/>
  <c r="N11" i="6"/>
  <c r="D11" i="6"/>
  <c r="C11" i="6"/>
  <c r="Z10" i="6"/>
  <c r="AA10" i="6" s="1"/>
  <c r="T10" i="6"/>
  <c r="N10" i="6"/>
  <c r="I10" i="6"/>
  <c r="D10" i="6"/>
  <c r="C10" i="6"/>
  <c r="Z9" i="6"/>
  <c r="T9" i="6"/>
  <c r="V9" i="6" s="1"/>
  <c r="N9" i="6"/>
  <c r="I9" i="6"/>
  <c r="D9" i="6"/>
  <c r="C9" i="6"/>
  <c r="Z8" i="6"/>
  <c r="T8" i="6"/>
  <c r="V8" i="6" s="1"/>
  <c r="N8" i="6"/>
  <c r="I8" i="6"/>
  <c r="D8" i="6"/>
  <c r="C8" i="6"/>
  <c r="Z7" i="6"/>
  <c r="T7" i="6"/>
  <c r="V7" i="6" s="1"/>
  <c r="N7" i="6"/>
  <c r="I7" i="6"/>
  <c r="D7" i="6"/>
  <c r="C7" i="6"/>
  <c r="Z6" i="6"/>
  <c r="T6" i="6"/>
  <c r="V6" i="6" s="1"/>
  <c r="N6" i="6"/>
  <c r="I6" i="6"/>
  <c r="D6" i="6"/>
  <c r="C6" i="6"/>
  <c r="Z5" i="6"/>
  <c r="T5" i="6"/>
  <c r="V5" i="6" s="1"/>
  <c r="N5" i="6"/>
  <c r="I5" i="6"/>
  <c r="D5" i="6"/>
  <c r="C5" i="6"/>
  <c r="Z4" i="6"/>
  <c r="AA4" i="6" s="1"/>
  <c r="T4" i="6"/>
  <c r="V4" i="6" s="1"/>
  <c r="N4" i="6"/>
  <c r="I4" i="6"/>
  <c r="D4" i="6"/>
  <c r="C4" i="6"/>
  <c r="Z3" i="6"/>
  <c r="T3" i="6"/>
  <c r="V3" i="6" s="1"/>
  <c r="N3" i="6"/>
  <c r="I3" i="6"/>
  <c r="D3" i="6"/>
  <c r="C3" i="6"/>
  <c r="O42" i="6" l="1"/>
  <c r="O47" i="6"/>
  <c r="O67" i="6"/>
  <c r="O39" i="6"/>
  <c r="O28" i="6"/>
  <c r="O58" i="6"/>
  <c r="O51" i="6"/>
  <c r="O53" i="6"/>
  <c r="O61" i="6"/>
  <c r="O37" i="6"/>
  <c r="O44" i="6"/>
  <c r="O59" i="6"/>
  <c r="O38" i="6"/>
  <c r="O41" i="6"/>
  <c r="O52" i="6"/>
  <c r="O27" i="6"/>
  <c r="O36" i="6"/>
  <c r="O40" i="6"/>
  <c r="O65" i="6"/>
  <c r="O66" i="6"/>
  <c r="O45" i="6"/>
  <c r="O48" i="6"/>
  <c r="O50" i="6"/>
  <c r="O63" i="6"/>
  <c r="O43" i="6"/>
  <c r="O49" i="6"/>
  <c r="O64" i="6"/>
  <c r="T73" i="5"/>
  <c r="N69" i="5"/>
  <c r="T69" i="5"/>
  <c r="Z69" i="5"/>
  <c r="N70" i="5"/>
  <c r="T70" i="5"/>
  <c r="Z70" i="5"/>
  <c r="H37" i="5"/>
  <c r="H38" i="5"/>
  <c r="H39" i="5"/>
  <c r="H40" i="5"/>
  <c r="H41" i="5"/>
  <c r="H42" i="5"/>
  <c r="H43" i="5"/>
  <c r="H44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36" i="5"/>
  <c r="T18" i="5"/>
  <c r="I84" i="4"/>
  <c r="I85" i="4"/>
  <c r="I86" i="4"/>
  <c r="I89" i="4"/>
  <c r="I90" i="4"/>
  <c r="I91" i="4"/>
  <c r="I92" i="4"/>
  <c r="I93" i="4"/>
  <c r="I94" i="4"/>
  <c r="I95" i="4"/>
  <c r="I98" i="4"/>
  <c r="I99" i="4"/>
  <c r="H37" i="4"/>
  <c r="H38" i="4"/>
  <c r="H39" i="4"/>
  <c r="H40" i="4"/>
  <c r="H41" i="4"/>
  <c r="H42" i="4"/>
  <c r="H43" i="4"/>
  <c r="H44" i="4"/>
  <c r="H45" i="4"/>
  <c r="H46" i="4"/>
  <c r="H47" i="4"/>
  <c r="H48" i="4"/>
  <c r="I48" i="4" s="1"/>
  <c r="H49" i="4"/>
  <c r="H50" i="4"/>
  <c r="H51" i="4"/>
  <c r="H52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I66" i="4" s="1"/>
  <c r="H67" i="4"/>
  <c r="I68" i="4"/>
  <c r="I69" i="4"/>
  <c r="I70" i="4"/>
  <c r="H36" i="4"/>
  <c r="N39" i="4"/>
  <c r="I39" i="4"/>
  <c r="N66" i="4"/>
  <c r="N48" i="4"/>
  <c r="I71" i="4"/>
  <c r="I5" i="4"/>
  <c r="I4" i="4"/>
  <c r="I3" i="4"/>
  <c r="H37" i="3" l="1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I69" i="3"/>
  <c r="I70" i="3"/>
  <c r="H36" i="3"/>
  <c r="N85" i="3"/>
  <c r="I85" i="3"/>
  <c r="N87" i="3"/>
  <c r="I87" i="3"/>
  <c r="N89" i="3"/>
  <c r="I89" i="3"/>
  <c r="N72" i="3"/>
  <c r="I72" i="3"/>
  <c r="N77" i="3"/>
  <c r="N83" i="3"/>
  <c r="I83" i="3"/>
  <c r="N70" i="3"/>
  <c r="N69" i="3"/>
  <c r="N75" i="3"/>
  <c r="I75" i="3"/>
  <c r="N74" i="3"/>
  <c r="I74" i="3"/>
  <c r="N81" i="3"/>
  <c r="N80" i="3"/>
  <c r="N79" i="3"/>
  <c r="N18" i="3" l="1"/>
  <c r="I18" i="3"/>
  <c r="N77" i="2" l="1"/>
  <c r="I77" i="2"/>
  <c r="N84" i="2"/>
  <c r="I84" i="2"/>
  <c r="N83" i="2"/>
  <c r="I83" i="2"/>
  <c r="N82" i="2"/>
  <c r="I82" i="2"/>
  <c r="N88" i="2"/>
  <c r="N87" i="2"/>
  <c r="N86" i="2"/>
  <c r="N73" i="2"/>
  <c r="I73" i="2"/>
  <c r="N72" i="2"/>
  <c r="I72" i="2"/>
  <c r="N70" i="2"/>
  <c r="N69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6" i="2"/>
  <c r="H57" i="2"/>
  <c r="H58" i="2"/>
  <c r="H59" i="2"/>
  <c r="H60" i="2"/>
  <c r="H61" i="2"/>
  <c r="H62" i="2"/>
  <c r="H63" i="2"/>
  <c r="H64" i="2"/>
  <c r="H65" i="2"/>
  <c r="H66" i="2"/>
  <c r="H67" i="2"/>
  <c r="H36" i="2"/>
  <c r="N53" i="2" l="1"/>
  <c r="N50" i="2"/>
  <c r="I50" i="2"/>
  <c r="R32" i="2" l="1"/>
  <c r="N32" i="2"/>
  <c r="I32" i="2"/>
  <c r="Z99" i="31" l="1"/>
  <c r="AA99" i="31" s="1"/>
  <c r="T99" i="31"/>
  <c r="V99" i="31" s="1"/>
  <c r="R99" i="31"/>
  <c r="N99" i="31"/>
  <c r="H99" i="31"/>
  <c r="I99" i="31" s="1"/>
  <c r="D99" i="31"/>
  <c r="C99" i="31"/>
  <c r="Z98" i="31"/>
  <c r="AA98" i="31" s="1"/>
  <c r="T98" i="31"/>
  <c r="V98" i="31" s="1"/>
  <c r="R98" i="31"/>
  <c r="N98" i="31"/>
  <c r="H98" i="31"/>
  <c r="I98" i="31" s="1"/>
  <c r="D98" i="31"/>
  <c r="C98" i="31"/>
  <c r="Z97" i="31"/>
  <c r="AA97" i="31" s="1"/>
  <c r="T97" i="31"/>
  <c r="V97" i="31" s="1"/>
  <c r="R97" i="31"/>
  <c r="N97" i="31"/>
  <c r="H97" i="31"/>
  <c r="I97" i="31" s="1"/>
  <c r="D97" i="31"/>
  <c r="O97" i="31" s="1"/>
  <c r="C97" i="31"/>
  <c r="Z96" i="31"/>
  <c r="AA96" i="31" s="1"/>
  <c r="T96" i="31"/>
  <c r="V96" i="31" s="1"/>
  <c r="R96" i="31"/>
  <c r="N96" i="31"/>
  <c r="H96" i="31"/>
  <c r="I96" i="31" s="1"/>
  <c r="D96" i="31"/>
  <c r="C96" i="31"/>
  <c r="Z95" i="31"/>
  <c r="AA95" i="31" s="1"/>
  <c r="T95" i="31"/>
  <c r="V95" i="31" s="1"/>
  <c r="R95" i="31"/>
  <c r="N95" i="31"/>
  <c r="I95" i="31"/>
  <c r="H95" i="31"/>
  <c r="D95" i="31"/>
  <c r="O95" i="31" s="1"/>
  <c r="C95" i="31"/>
  <c r="AA94" i="31"/>
  <c r="Z94" i="31"/>
  <c r="V94" i="31"/>
  <c r="T94" i="31"/>
  <c r="R94" i="31"/>
  <c r="N94" i="31"/>
  <c r="H94" i="31"/>
  <c r="I94" i="31" s="1"/>
  <c r="D94" i="31"/>
  <c r="C94" i="31"/>
  <c r="Z93" i="31"/>
  <c r="AA93" i="31" s="1"/>
  <c r="T93" i="31"/>
  <c r="V93" i="31" s="1"/>
  <c r="R93" i="31"/>
  <c r="N93" i="31"/>
  <c r="H93" i="31"/>
  <c r="I93" i="31" s="1"/>
  <c r="D93" i="31"/>
  <c r="C93" i="31"/>
  <c r="Z92" i="31"/>
  <c r="AA92" i="31" s="1"/>
  <c r="T92" i="31"/>
  <c r="V92" i="31" s="1"/>
  <c r="R92" i="31"/>
  <c r="N92" i="31"/>
  <c r="H92" i="31"/>
  <c r="I92" i="31" s="1"/>
  <c r="D92" i="31"/>
  <c r="C92" i="31"/>
  <c r="Z91" i="31"/>
  <c r="AA91" i="31" s="1"/>
  <c r="T91" i="31"/>
  <c r="V91" i="31" s="1"/>
  <c r="R91" i="31"/>
  <c r="N91" i="31"/>
  <c r="I91" i="31"/>
  <c r="H91" i="31"/>
  <c r="D91" i="31"/>
  <c r="O91" i="31" s="1"/>
  <c r="C91" i="31"/>
  <c r="AA90" i="31"/>
  <c r="Z90" i="31"/>
  <c r="V90" i="31"/>
  <c r="T90" i="31"/>
  <c r="R90" i="31"/>
  <c r="N90" i="31"/>
  <c r="H90" i="31"/>
  <c r="I90" i="31" s="1"/>
  <c r="D90" i="31"/>
  <c r="C90" i="31"/>
  <c r="Z89" i="31"/>
  <c r="AA89" i="31" s="1"/>
  <c r="T89" i="31"/>
  <c r="V89" i="31" s="1"/>
  <c r="R89" i="31"/>
  <c r="N89" i="31"/>
  <c r="H89" i="31"/>
  <c r="I89" i="31" s="1"/>
  <c r="D89" i="31"/>
  <c r="O89" i="31" s="1"/>
  <c r="C89" i="31"/>
  <c r="Z88" i="31"/>
  <c r="AA88" i="31" s="1"/>
  <c r="T88" i="31"/>
  <c r="V88" i="31" s="1"/>
  <c r="R88" i="31"/>
  <c r="N88" i="31"/>
  <c r="H88" i="31"/>
  <c r="I88" i="31" s="1"/>
  <c r="D88" i="31"/>
  <c r="C88" i="31"/>
  <c r="Z87" i="31"/>
  <c r="AA87" i="31" s="1"/>
  <c r="T87" i="31"/>
  <c r="V87" i="31" s="1"/>
  <c r="R87" i="31"/>
  <c r="N87" i="31"/>
  <c r="I87" i="31"/>
  <c r="H87" i="31"/>
  <c r="D87" i="31"/>
  <c r="O87" i="31" s="1"/>
  <c r="C87" i="31"/>
  <c r="AA86" i="31"/>
  <c r="Z86" i="31"/>
  <c r="V86" i="31"/>
  <c r="T86" i="31"/>
  <c r="R86" i="31"/>
  <c r="N86" i="31"/>
  <c r="H86" i="31"/>
  <c r="I86" i="31" s="1"/>
  <c r="D86" i="31"/>
  <c r="C86" i="31"/>
  <c r="Z85" i="31"/>
  <c r="AA85" i="31" s="1"/>
  <c r="T85" i="31"/>
  <c r="V85" i="31" s="1"/>
  <c r="R85" i="31"/>
  <c r="N85" i="31"/>
  <c r="H85" i="31"/>
  <c r="I85" i="31" s="1"/>
  <c r="D85" i="31"/>
  <c r="C85" i="31"/>
  <c r="Z84" i="31"/>
  <c r="AA84" i="31" s="1"/>
  <c r="T84" i="31"/>
  <c r="V84" i="31" s="1"/>
  <c r="R84" i="31"/>
  <c r="N84" i="31"/>
  <c r="H84" i="31"/>
  <c r="I84" i="31" s="1"/>
  <c r="D84" i="31"/>
  <c r="C84" i="31"/>
  <c r="Z83" i="31"/>
  <c r="AA83" i="31" s="1"/>
  <c r="T83" i="31"/>
  <c r="V83" i="31" s="1"/>
  <c r="R83" i="31"/>
  <c r="N83" i="31"/>
  <c r="I83" i="31"/>
  <c r="H83" i="31"/>
  <c r="D83" i="31"/>
  <c r="O83" i="31" s="1"/>
  <c r="C83" i="31"/>
  <c r="AA82" i="31"/>
  <c r="Z82" i="31"/>
  <c r="V82" i="31"/>
  <c r="T82" i="31"/>
  <c r="R82" i="31"/>
  <c r="N82" i="31"/>
  <c r="H82" i="31"/>
  <c r="I82" i="31" s="1"/>
  <c r="D82" i="31"/>
  <c r="C82" i="31"/>
  <c r="Z81" i="31"/>
  <c r="AA81" i="31" s="1"/>
  <c r="T81" i="31"/>
  <c r="V81" i="31" s="1"/>
  <c r="R81" i="31"/>
  <c r="N81" i="31"/>
  <c r="H81" i="31"/>
  <c r="I81" i="31" s="1"/>
  <c r="D81" i="31"/>
  <c r="O81" i="31" s="1"/>
  <c r="C81" i="31"/>
  <c r="Z80" i="31"/>
  <c r="AA80" i="31" s="1"/>
  <c r="T80" i="31"/>
  <c r="V80" i="31" s="1"/>
  <c r="R80" i="31"/>
  <c r="N80" i="31"/>
  <c r="H80" i="31"/>
  <c r="I80" i="31" s="1"/>
  <c r="D80" i="31"/>
  <c r="C80" i="31"/>
  <c r="Z79" i="31"/>
  <c r="AA79" i="31" s="1"/>
  <c r="T79" i="31"/>
  <c r="V79" i="31" s="1"/>
  <c r="R79" i="31"/>
  <c r="N79" i="31"/>
  <c r="I79" i="31"/>
  <c r="H79" i="31"/>
  <c r="D79" i="31"/>
  <c r="O79" i="31" s="1"/>
  <c r="C79" i="31"/>
  <c r="AA78" i="31"/>
  <c r="Z78" i="31"/>
  <c r="V78" i="31"/>
  <c r="T78" i="31"/>
  <c r="R78" i="31"/>
  <c r="N78" i="31"/>
  <c r="H78" i="31"/>
  <c r="I78" i="31" s="1"/>
  <c r="D78" i="31"/>
  <c r="C78" i="31"/>
  <c r="Z77" i="31"/>
  <c r="AA77" i="31" s="1"/>
  <c r="T77" i="31"/>
  <c r="V77" i="31" s="1"/>
  <c r="R77" i="31"/>
  <c r="N77" i="31"/>
  <c r="H77" i="31"/>
  <c r="I77" i="31" s="1"/>
  <c r="D77" i="31"/>
  <c r="C77" i="31"/>
  <c r="Z76" i="31"/>
  <c r="AA76" i="31" s="1"/>
  <c r="T76" i="31"/>
  <c r="V76" i="31" s="1"/>
  <c r="R76" i="31"/>
  <c r="N76" i="31"/>
  <c r="H76" i="31"/>
  <c r="I76" i="31" s="1"/>
  <c r="D76" i="31"/>
  <c r="C76" i="31"/>
  <c r="Z75" i="31"/>
  <c r="AA75" i="31" s="1"/>
  <c r="T75" i="31"/>
  <c r="V75" i="31" s="1"/>
  <c r="R75" i="31"/>
  <c r="N75" i="31"/>
  <c r="I75" i="31"/>
  <c r="H75" i="31"/>
  <c r="D75" i="31"/>
  <c r="O75" i="31" s="1"/>
  <c r="C75" i="31"/>
  <c r="AA74" i="31"/>
  <c r="Z74" i="31"/>
  <c r="V74" i="31"/>
  <c r="T74" i="31"/>
  <c r="R74" i="31"/>
  <c r="N74" i="31"/>
  <c r="H74" i="31"/>
  <c r="I74" i="31" s="1"/>
  <c r="D74" i="31"/>
  <c r="C74" i="31"/>
  <c r="Z73" i="31"/>
  <c r="AA73" i="31" s="1"/>
  <c r="T73" i="31"/>
  <c r="V73" i="31" s="1"/>
  <c r="R73" i="31"/>
  <c r="N73" i="31"/>
  <c r="H73" i="31"/>
  <c r="I73" i="31" s="1"/>
  <c r="D73" i="31"/>
  <c r="O73" i="31" s="1"/>
  <c r="C73" i="31"/>
  <c r="Z72" i="31"/>
  <c r="AA72" i="31" s="1"/>
  <c r="T72" i="31"/>
  <c r="V72" i="31" s="1"/>
  <c r="R72" i="31"/>
  <c r="N72" i="31"/>
  <c r="H72" i="31"/>
  <c r="I72" i="31" s="1"/>
  <c r="D72" i="31"/>
  <c r="C72" i="31"/>
  <c r="Z71" i="31"/>
  <c r="AA71" i="31" s="1"/>
  <c r="T71" i="31"/>
  <c r="V71" i="31" s="1"/>
  <c r="R71" i="31"/>
  <c r="N71" i="31"/>
  <c r="I71" i="31"/>
  <c r="H71" i="31"/>
  <c r="D71" i="31"/>
  <c r="O71" i="31" s="1"/>
  <c r="C71" i="31"/>
  <c r="AA70" i="31"/>
  <c r="Z70" i="31"/>
  <c r="V70" i="31"/>
  <c r="T70" i="31"/>
  <c r="R70" i="31"/>
  <c r="N70" i="31"/>
  <c r="H70" i="31"/>
  <c r="I70" i="31" s="1"/>
  <c r="D70" i="31"/>
  <c r="C70" i="31"/>
  <c r="Z69" i="31"/>
  <c r="AA69" i="31" s="1"/>
  <c r="T69" i="31"/>
  <c r="V69" i="31" s="1"/>
  <c r="R69" i="31"/>
  <c r="N69" i="31"/>
  <c r="H69" i="31"/>
  <c r="I69" i="31" s="1"/>
  <c r="D69" i="31"/>
  <c r="C69" i="31"/>
  <c r="Z68" i="31"/>
  <c r="AA68" i="31" s="1"/>
  <c r="T68" i="31"/>
  <c r="V68" i="31" s="1"/>
  <c r="R68" i="31"/>
  <c r="N68" i="31"/>
  <c r="H68" i="31"/>
  <c r="I68" i="31" s="1"/>
  <c r="D68" i="31"/>
  <c r="C68" i="31"/>
  <c r="Z67" i="31"/>
  <c r="AA67" i="31" s="1"/>
  <c r="T67" i="31"/>
  <c r="V67" i="31" s="1"/>
  <c r="R67" i="31"/>
  <c r="N67" i="31"/>
  <c r="I67" i="31"/>
  <c r="H67" i="31"/>
  <c r="D67" i="31"/>
  <c r="O67" i="31" s="1"/>
  <c r="C67" i="31"/>
  <c r="AA66" i="31"/>
  <c r="Z66" i="31"/>
  <c r="V66" i="31"/>
  <c r="T66" i="31"/>
  <c r="R66" i="31"/>
  <c r="N66" i="31"/>
  <c r="H66" i="31"/>
  <c r="I66" i="31" s="1"/>
  <c r="D66" i="31"/>
  <c r="C66" i="31"/>
  <c r="Z65" i="31"/>
  <c r="AA65" i="31" s="1"/>
  <c r="T65" i="31"/>
  <c r="V65" i="31" s="1"/>
  <c r="R65" i="31"/>
  <c r="N65" i="31"/>
  <c r="H65" i="31"/>
  <c r="I65" i="31" s="1"/>
  <c r="D65" i="31"/>
  <c r="O65" i="31" s="1"/>
  <c r="C65" i="31"/>
  <c r="Z64" i="31"/>
  <c r="AA64" i="31" s="1"/>
  <c r="T64" i="31"/>
  <c r="V64" i="31" s="1"/>
  <c r="R64" i="31"/>
  <c r="N64" i="31"/>
  <c r="H64" i="31"/>
  <c r="I64" i="31" s="1"/>
  <c r="D64" i="31"/>
  <c r="C64" i="31"/>
  <c r="Z63" i="31"/>
  <c r="AA63" i="31" s="1"/>
  <c r="T63" i="31"/>
  <c r="V63" i="31" s="1"/>
  <c r="R63" i="31"/>
  <c r="N63" i="31"/>
  <c r="I63" i="31"/>
  <c r="H63" i="31"/>
  <c r="D63" i="31"/>
  <c r="O63" i="31" s="1"/>
  <c r="C63" i="31"/>
  <c r="AA62" i="31"/>
  <c r="Z62" i="31"/>
  <c r="V62" i="31"/>
  <c r="T62" i="31"/>
  <c r="R62" i="31"/>
  <c r="N62" i="31"/>
  <c r="H62" i="31"/>
  <c r="I62" i="31" s="1"/>
  <c r="D62" i="31"/>
  <c r="C62" i="31"/>
  <c r="Z61" i="31"/>
  <c r="AA61" i="31" s="1"/>
  <c r="T61" i="31"/>
  <c r="V61" i="31" s="1"/>
  <c r="R61" i="31"/>
  <c r="N61" i="31"/>
  <c r="H61" i="31"/>
  <c r="I61" i="31" s="1"/>
  <c r="D61" i="31"/>
  <c r="C61" i="31"/>
  <c r="Z60" i="31"/>
  <c r="AA60" i="31" s="1"/>
  <c r="T60" i="31"/>
  <c r="V60" i="31" s="1"/>
  <c r="R60" i="31"/>
  <c r="N60" i="31"/>
  <c r="H60" i="31"/>
  <c r="I60" i="31" s="1"/>
  <c r="D60" i="31"/>
  <c r="C60" i="31"/>
  <c r="Z59" i="31"/>
  <c r="AA59" i="31" s="1"/>
  <c r="T59" i="31"/>
  <c r="V59" i="31" s="1"/>
  <c r="R59" i="31"/>
  <c r="N59" i="31"/>
  <c r="I59" i="31"/>
  <c r="H59" i="31"/>
  <c r="D59" i="31"/>
  <c r="O59" i="31" s="1"/>
  <c r="C59" i="31"/>
  <c r="AA58" i="31"/>
  <c r="Z58" i="31"/>
  <c r="V58" i="31"/>
  <c r="T58" i="31"/>
  <c r="R58" i="31"/>
  <c r="N58" i="31"/>
  <c r="H58" i="31"/>
  <c r="I58" i="31" s="1"/>
  <c r="D58" i="31"/>
  <c r="C58" i="31"/>
  <c r="Z57" i="31"/>
  <c r="AA57" i="31" s="1"/>
  <c r="T57" i="31"/>
  <c r="V57" i="31" s="1"/>
  <c r="R57" i="31"/>
  <c r="N57" i="31"/>
  <c r="H57" i="31"/>
  <c r="I57" i="31" s="1"/>
  <c r="D57" i="31"/>
  <c r="O57" i="31" s="1"/>
  <c r="C57" i="31"/>
  <c r="Z56" i="31"/>
  <c r="AA56" i="31" s="1"/>
  <c r="T56" i="31"/>
  <c r="V56" i="31" s="1"/>
  <c r="R56" i="31"/>
  <c r="N56" i="31"/>
  <c r="H56" i="31"/>
  <c r="I56" i="31" s="1"/>
  <c r="D56" i="31"/>
  <c r="C56" i="31"/>
  <c r="Z55" i="31"/>
  <c r="AA55" i="31" s="1"/>
  <c r="T55" i="31"/>
  <c r="V55" i="31" s="1"/>
  <c r="R55" i="31"/>
  <c r="N55" i="31"/>
  <c r="I55" i="31"/>
  <c r="H55" i="31"/>
  <c r="D55" i="31"/>
  <c r="O55" i="31" s="1"/>
  <c r="C55" i="31"/>
  <c r="AA54" i="31"/>
  <c r="Z54" i="31"/>
  <c r="V54" i="31"/>
  <c r="T54" i="31"/>
  <c r="R54" i="31"/>
  <c r="N54" i="31"/>
  <c r="H54" i="31"/>
  <c r="I54" i="31" s="1"/>
  <c r="D54" i="31"/>
  <c r="C54" i="31"/>
  <c r="Z53" i="31"/>
  <c r="AA53" i="31" s="1"/>
  <c r="T53" i="31"/>
  <c r="V53" i="31" s="1"/>
  <c r="R53" i="31"/>
  <c r="N53" i="31"/>
  <c r="H53" i="31"/>
  <c r="I53" i="31" s="1"/>
  <c r="D53" i="31"/>
  <c r="C53" i="31"/>
  <c r="Z52" i="31"/>
  <c r="AA52" i="31" s="1"/>
  <c r="T52" i="31"/>
  <c r="V52" i="31" s="1"/>
  <c r="R52" i="31"/>
  <c r="N52" i="31"/>
  <c r="H52" i="31"/>
  <c r="I52" i="31" s="1"/>
  <c r="D52" i="31"/>
  <c r="C52" i="31"/>
  <c r="Z51" i="31"/>
  <c r="AA51" i="31" s="1"/>
  <c r="T51" i="31"/>
  <c r="V51" i="31" s="1"/>
  <c r="R51" i="31"/>
  <c r="N51" i="31"/>
  <c r="I51" i="31"/>
  <c r="H51" i="31"/>
  <c r="D51" i="31"/>
  <c r="O51" i="31" s="1"/>
  <c r="C51" i="31"/>
  <c r="AA50" i="31"/>
  <c r="Z50" i="31"/>
  <c r="V50" i="31"/>
  <c r="T50" i="31"/>
  <c r="R50" i="31"/>
  <c r="N50" i="31"/>
  <c r="H50" i="31"/>
  <c r="I50" i="31" s="1"/>
  <c r="D50" i="31"/>
  <c r="C50" i="31"/>
  <c r="Z49" i="31"/>
  <c r="AA49" i="31" s="1"/>
  <c r="T49" i="31"/>
  <c r="V49" i="31" s="1"/>
  <c r="R49" i="31"/>
  <c r="N49" i="31"/>
  <c r="H49" i="31"/>
  <c r="I49" i="31" s="1"/>
  <c r="D49" i="31"/>
  <c r="O49" i="31" s="1"/>
  <c r="C49" i="31"/>
  <c r="Z48" i="31"/>
  <c r="AA48" i="31" s="1"/>
  <c r="T48" i="31"/>
  <c r="V48" i="31" s="1"/>
  <c r="R48" i="31"/>
  <c r="N48" i="31"/>
  <c r="H48" i="31"/>
  <c r="I48" i="31" s="1"/>
  <c r="D48" i="31"/>
  <c r="C48" i="31"/>
  <c r="Z47" i="31"/>
  <c r="AA47" i="31" s="1"/>
  <c r="T47" i="31"/>
  <c r="V47" i="31" s="1"/>
  <c r="R47" i="31"/>
  <c r="N47" i="31"/>
  <c r="I47" i="31"/>
  <c r="H47" i="31"/>
  <c r="D47" i="31"/>
  <c r="O47" i="31" s="1"/>
  <c r="C47" i="31"/>
  <c r="AA46" i="31"/>
  <c r="Z46" i="31"/>
  <c r="V46" i="31"/>
  <c r="T46" i="31"/>
  <c r="R46" i="31"/>
  <c r="N46" i="31"/>
  <c r="H46" i="31"/>
  <c r="I46" i="31" s="1"/>
  <c r="D46" i="31"/>
  <c r="C46" i="31"/>
  <c r="Z45" i="31"/>
  <c r="AA45" i="31" s="1"/>
  <c r="T45" i="31"/>
  <c r="V45" i="31" s="1"/>
  <c r="R45" i="31"/>
  <c r="N45" i="31"/>
  <c r="H45" i="31"/>
  <c r="I45" i="31" s="1"/>
  <c r="D45" i="31"/>
  <c r="C45" i="31"/>
  <c r="Z44" i="31"/>
  <c r="AA44" i="31" s="1"/>
  <c r="T44" i="31"/>
  <c r="V44" i="31" s="1"/>
  <c r="R44" i="31"/>
  <c r="N44" i="31"/>
  <c r="H44" i="31"/>
  <c r="I44" i="31" s="1"/>
  <c r="D44" i="31"/>
  <c r="C44" i="31"/>
  <c r="Z43" i="31"/>
  <c r="AA43" i="31" s="1"/>
  <c r="T43" i="31"/>
  <c r="V43" i="31" s="1"/>
  <c r="R43" i="31"/>
  <c r="N43" i="31"/>
  <c r="I43" i="31"/>
  <c r="H43" i="31"/>
  <c r="D43" i="31"/>
  <c r="O43" i="31" s="1"/>
  <c r="C43" i="31"/>
  <c r="AA42" i="31"/>
  <c r="Z42" i="31"/>
  <c r="V42" i="31"/>
  <c r="T42" i="31"/>
  <c r="R42" i="31"/>
  <c r="N42" i="31"/>
  <c r="H42" i="31"/>
  <c r="I42" i="31" s="1"/>
  <c r="D42" i="31"/>
  <c r="C42" i="31"/>
  <c r="Z41" i="31"/>
  <c r="AA41" i="31" s="1"/>
  <c r="T41" i="31"/>
  <c r="V41" i="31" s="1"/>
  <c r="R41" i="31"/>
  <c r="N41" i="31"/>
  <c r="H41" i="31"/>
  <c r="I41" i="31" s="1"/>
  <c r="D41" i="31"/>
  <c r="O41" i="31" s="1"/>
  <c r="C41" i="31"/>
  <c r="Z40" i="31"/>
  <c r="AA40" i="31" s="1"/>
  <c r="T40" i="31"/>
  <c r="V40" i="31" s="1"/>
  <c r="R40" i="31"/>
  <c r="N40" i="31"/>
  <c r="H40" i="31"/>
  <c r="I40" i="31" s="1"/>
  <c r="D40" i="31"/>
  <c r="C40" i="31"/>
  <c r="Z39" i="31"/>
  <c r="AA39" i="31" s="1"/>
  <c r="T39" i="31"/>
  <c r="V39" i="31" s="1"/>
  <c r="R39" i="31"/>
  <c r="N39" i="31"/>
  <c r="I39" i="31"/>
  <c r="H39" i="31"/>
  <c r="D39" i="31"/>
  <c r="O39" i="31" s="1"/>
  <c r="C39" i="31"/>
  <c r="AA38" i="31"/>
  <c r="Z38" i="31"/>
  <c r="V38" i="31"/>
  <c r="T38" i="31"/>
  <c r="R38" i="31"/>
  <c r="N38" i="31"/>
  <c r="H38" i="31"/>
  <c r="I38" i="31" s="1"/>
  <c r="D38" i="31"/>
  <c r="C38" i="31"/>
  <c r="Z37" i="31"/>
  <c r="AA37" i="31" s="1"/>
  <c r="T37" i="31"/>
  <c r="V37" i="31" s="1"/>
  <c r="R37" i="31"/>
  <c r="N37" i="31"/>
  <c r="H37" i="31"/>
  <c r="I37" i="31" s="1"/>
  <c r="D37" i="31"/>
  <c r="C37" i="31"/>
  <c r="Z36" i="31"/>
  <c r="AA36" i="31" s="1"/>
  <c r="T36" i="31"/>
  <c r="V36" i="31" s="1"/>
  <c r="R36" i="31"/>
  <c r="N36" i="31"/>
  <c r="H36" i="31"/>
  <c r="I36" i="31" s="1"/>
  <c r="D36" i="31"/>
  <c r="C36" i="31"/>
  <c r="Z35" i="31"/>
  <c r="AA35" i="31" s="1"/>
  <c r="T35" i="31"/>
  <c r="V35" i="31" s="1"/>
  <c r="R35" i="31"/>
  <c r="N35" i="31"/>
  <c r="I35" i="31"/>
  <c r="D35" i="31"/>
  <c r="C35" i="31"/>
  <c r="Z34" i="31"/>
  <c r="AA34" i="31" s="1"/>
  <c r="T34" i="31"/>
  <c r="V34" i="31" s="1"/>
  <c r="R34" i="31"/>
  <c r="N34" i="31"/>
  <c r="I34" i="31"/>
  <c r="D34" i="31"/>
  <c r="C34" i="31"/>
  <c r="Z33" i="31"/>
  <c r="AA33" i="31" s="1"/>
  <c r="T33" i="31"/>
  <c r="V33" i="31" s="1"/>
  <c r="R33" i="31"/>
  <c r="N33" i="31"/>
  <c r="I33" i="31"/>
  <c r="D33" i="31"/>
  <c r="O33" i="31" s="1"/>
  <c r="C33" i="31"/>
  <c r="Z32" i="31"/>
  <c r="AA32" i="31" s="1"/>
  <c r="T32" i="31"/>
  <c r="V32" i="31" s="1"/>
  <c r="R32" i="31"/>
  <c r="N32" i="31"/>
  <c r="I32" i="31"/>
  <c r="D32" i="31"/>
  <c r="O32" i="31" s="1"/>
  <c r="C32" i="31"/>
  <c r="Z31" i="31"/>
  <c r="AA31" i="31" s="1"/>
  <c r="T31" i="31"/>
  <c r="V31" i="31" s="1"/>
  <c r="R31" i="31"/>
  <c r="N31" i="31"/>
  <c r="I31" i="31"/>
  <c r="D31" i="31"/>
  <c r="C31" i="31"/>
  <c r="Z30" i="31"/>
  <c r="AA30" i="31" s="1"/>
  <c r="T30" i="31"/>
  <c r="V30" i="31" s="1"/>
  <c r="R30" i="31"/>
  <c r="N30" i="31"/>
  <c r="I30" i="31"/>
  <c r="D30" i="31"/>
  <c r="C30" i="31"/>
  <c r="Z29" i="31"/>
  <c r="AA29" i="31" s="1"/>
  <c r="T29" i="31"/>
  <c r="V29" i="31" s="1"/>
  <c r="R29" i="31"/>
  <c r="N29" i="31"/>
  <c r="I29" i="31"/>
  <c r="D29" i="31"/>
  <c r="O29" i="31" s="1"/>
  <c r="C29" i="31"/>
  <c r="Z28" i="31"/>
  <c r="AA28" i="31" s="1"/>
  <c r="T28" i="31"/>
  <c r="V28" i="31" s="1"/>
  <c r="R28" i="31"/>
  <c r="N28" i="31"/>
  <c r="I28" i="31"/>
  <c r="D28" i="31"/>
  <c r="O28" i="31" s="1"/>
  <c r="C28" i="31"/>
  <c r="Z27" i="31"/>
  <c r="AA27" i="31" s="1"/>
  <c r="T27" i="31"/>
  <c r="V27" i="31" s="1"/>
  <c r="R27" i="31"/>
  <c r="N27" i="31"/>
  <c r="I27" i="31"/>
  <c r="D27" i="31"/>
  <c r="C27" i="31"/>
  <c r="Z26" i="31"/>
  <c r="AA26" i="31" s="1"/>
  <c r="T26" i="31"/>
  <c r="V26" i="31" s="1"/>
  <c r="R26" i="31"/>
  <c r="N26" i="31"/>
  <c r="I26" i="31"/>
  <c r="D26" i="31"/>
  <c r="C26" i="31"/>
  <c r="Z25" i="31"/>
  <c r="AA25" i="31" s="1"/>
  <c r="T25" i="31"/>
  <c r="V25" i="31" s="1"/>
  <c r="R25" i="31"/>
  <c r="N25" i="31"/>
  <c r="I25" i="31"/>
  <c r="D25" i="31"/>
  <c r="O25" i="31" s="1"/>
  <c r="C25" i="31"/>
  <c r="Z24" i="31"/>
  <c r="AA24" i="31" s="1"/>
  <c r="T24" i="31"/>
  <c r="V24" i="31" s="1"/>
  <c r="R24" i="31"/>
  <c r="N24" i="31"/>
  <c r="I24" i="31"/>
  <c r="D24" i="31"/>
  <c r="O24" i="31" s="1"/>
  <c r="C24" i="31"/>
  <c r="Z23" i="31"/>
  <c r="AA23" i="31" s="1"/>
  <c r="T23" i="31"/>
  <c r="V23" i="31" s="1"/>
  <c r="R23" i="31"/>
  <c r="N23" i="31"/>
  <c r="I23" i="31"/>
  <c r="D23" i="31"/>
  <c r="C23" i="31"/>
  <c r="Z22" i="31"/>
  <c r="AA22" i="31" s="1"/>
  <c r="T22" i="31"/>
  <c r="V22" i="31" s="1"/>
  <c r="R22" i="31"/>
  <c r="N22" i="31"/>
  <c r="I22" i="31"/>
  <c r="D22" i="31"/>
  <c r="C22" i="31"/>
  <c r="Z21" i="31"/>
  <c r="AA21" i="31" s="1"/>
  <c r="T21" i="31"/>
  <c r="V21" i="31" s="1"/>
  <c r="R21" i="31"/>
  <c r="N21" i="31"/>
  <c r="I21" i="31"/>
  <c r="D21" i="31"/>
  <c r="O21" i="31" s="1"/>
  <c r="C21" i="31"/>
  <c r="Z20" i="31"/>
  <c r="AA20" i="31" s="1"/>
  <c r="T20" i="31"/>
  <c r="V20" i="31" s="1"/>
  <c r="R20" i="31"/>
  <c r="N20" i="31"/>
  <c r="I20" i="31"/>
  <c r="D20" i="31"/>
  <c r="O20" i="31" s="1"/>
  <c r="C20" i="31"/>
  <c r="Z19" i="31"/>
  <c r="AA19" i="31" s="1"/>
  <c r="T19" i="31"/>
  <c r="V19" i="31" s="1"/>
  <c r="R19" i="31"/>
  <c r="N19" i="31"/>
  <c r="I19" i="31"/>
  <c r="D19" i="31"/>
  <c r="C19" i="31"/>
  <c r="Z18" i="31"/>
  <c r="AA18" i="31" s="1"/>
  <c r="T18" i="31"/>
  <c r="V18" i="31" s="1"/>
  <c r="R18" i="31"/>
  <c r="N18" i="31"/>
  <c r="I18" i="31"/>
  <c r="D18" i="31"/>
  <c r="C18" i="31"/>
  <c r="Z17" i="31"/>
  <c r="AA17" i="31" s="1"/>
  <c r="T17" i="31"/>
  <c r="V17" i="31" s="1"/>
  <c r="R17" i="31"/>
  <c r="N17" i="31"/>
  <c r="I17" i="31"/>
  <c r="D17" i="31"/>
  <c r="O17" i="31" s="1"/>
  <c r="C17" i="31"/>
  <c r="Z16" i="31"/>
  <c r="AA16" i="31" s="1"/>
  <c r="T16" i="31"/>
  <c r="V16" i="31" s="1"/>
  <c r="R16" i="31"/>
  <c r="N16" i="31"/>
  <c r="I16" i="31"/>
  <c r="D16" i="31"/>
  <c r="O16" i="31" s="1"/>
  <c r="C16" i="31"/>
  <c r="Z15" i="31"/>
  <c r="AA15" i="31" s="1"/>
  <c r="T15" i="31"/>
  <c r="V15" i="31" s="1"/>
  <c r="R15" i="31"/>
  <c r="N15" i="31"/>
  <c r="I15" i="31"/>
  <c r="D15" i="31"/>
  <c r="C15" i="31"/>
  <c r="Z14" i="31"/>
  <c r="AA14" i="31" s="1"/>
  <c r="V14" i="31"/>
  <c r="T14" i="31"/>
  <c r="R14" i="31"/>
  <c r="N14" i="31"/>
  <c r="I14" i="31"/>
  <c r="D14" i="31"/>
  <c r="C14" i="31"/>
  <c r="Z13" i="31"/>
  <c r="AA13" i="31" s="1"/>
  <c r="T13" i="31"/>
  <c r="V13" i="31" s="1"/>
  <c r="R13" i="31"/>
  <c r="N13" i="31"/>
  <c r="I13" i="31"/>
  <c r="D13" i="31"/>
  <c r="C13" i="31"/>
  <c r="Z12" i="31"/>
  <c r="AA12" i="31" s="1"/>
  <c r="V12" i="31"/>
  <c r="T12" i="31"/>
  <c r="R12" i="31"/>
  <c r="N12" i="31"/>
  <c r="O12" i="31" s="1"/>
  <c r="I12" i="31"/>
  <c r="D12" i="31"/>
  <c r="C12" i="31"/>
  <c r="AA11" i="31"/>
  <c r="Z11" i="31"/>
  <c r="T11" i="31"/>
  <c r="V11" i="31" s="1"/>
  <c r="R11" i="31"/>
  <c r="N11" i="31"/>
  <c r="I11" i="31"/>
  <c r="D11" i="31"/>
  <c r="C11" i="31"/>
  <c r="Z10" i="31"/>
  <c r="AA10" i="31" s="1"/>
  <c r="T10" i="31"/>
  <c r="V10" i="31" s="1"/>
  <c r="R10" i="31"/>
  <c r="N10" i="31"/>
  <c r="I10" i="31"/>
  <c r="D10" i="31"/>
  <c r="C10" i="31"/>
  <c r="AA9" i="31"/>
  <c r="Z9" i="31"/>
  <c r="T9" i="31"/>
  <c r="V9" i="31" s="1"/>
  <c r="R9" i="31"/>
  <c r="N9" i="31"/>
  <c r="I9" i="31"/>
  <c r="D9" i="31"/>
  <c r="C9" i="31"/>
  <c r="Z8" i="31"/>
  <c r="AA8" i="31" s="1"/>
  <c r="T8" i="31"/>
  <c r="V8" i="31" s="1"/>
  <c r="R8" i="31"/>
  <c r="N8" i="31"/>
  <c r="I8" i="31"/>
  <c r="D8" i="31"/>
  <c r="C8" i="31"/>
  <c r="AA7" i="31"/>
  <c r="Z7" i="31"/>
  <c r="T7" i="31"/>
  <c r="V7" i="31" s="1"/>
  <c r="R7" i="31"/>
  <c r="N7" i="31"/>
  <c r="I7" i="31"/>
  <c r="D7" i="31"/>
  <c r="C7" i="31"/>
  <c r="Z6" i="31"/>
  <c r="AA6" i="31" s="1"/>
  <c r="T6" i="31"/>
  <c r="V6" i="31" s="1"/>
  <c r="R6" i="31"/>
  <c r="N6" i="31"/>
  <c r="I6" i="31"/>
  <c r="D6" i="31"/>
  <c r="O6" i="31" s="1"/>
  <c r="C6" i="31"/>
  <c r="AA5" i="31"/>
  <c r="Z5" i="31"/>
  <c r="T5" i="31"/>
  <c r="V5" i="31" s="1"/>
  <c r="R5" i="31"/>
  <c r="N5" i="31"/>
  <c r="I5" i="31"/>
  <c r="D5" i="31"/>
  <c r="C5" i="31"/>
  <c r="Z4" i="31"/>
  <c r="AA4" i="31" s="1"/>
  <c r="T4" i="31"/>
  <c r="V4" i="31" s="1"/>
  <c r="R4" i="31"/>
  <c r="N4" i="31"/>
  <c r="I4" i="31"/>
  <c r="D4" i="31"/>
  <c r="O4" i="31" s="1"/>
  <c r="C4" i="31"/>
  <c r="AA3" i="31"/>
  <c r="Z3" i="31"/>
  <c r="T3" i="31"/>
  <c r="V3" i="31" s="1"/>
  <c r="R3" i="31"/>
  <c r="N3" i="31"/>
  <c r="I3" i="31"/>
  <c r="D3" i="31"/>
  <c r="C3" i="31"/>
  <c r="Z99" i="30"/>
  <c r="AA99" i="30" s="1"/>
  <c r="T99" i="30"/>
  <c r="V99" i="30" s="1"/>
  <c r="R99" i="30"/>
  <c r="N99" i="30"/>
  <c r="H99" i="30"/>
  <c r="I99" i="30" s="1"/>
  <c r="D99" i="30"/>
  <c r="C99" i="30"/>
  <c r="Z98" i="30"/>
  <c r="AA98" i="30" s="1"/>
  <c r="T98" i="30"/>
  <c r="V98" i="30" s="1"/>
  <c r="R98" i="30"/>
  <c r="N98" i="30"/>
  <c r="H98" i="30"/>
  <c r="I98" i="30" s="1"/>
  <c r="D98" i="30"/>
  <c r="C98" i="30"/>
  <c r="Z97" i="30"/>
  <c r="AA97" i="30" s="1"/>
  <c r="T97" i="30"/>
  <c r="V97" i="30" s="1"/>
  <c r="R97" i="30"/>
  <c r="N97" i="30"/>
  <c r="I97" i="30"/>
  <c r="H97" i="30"/>
  <c r="D97" i="30"/>
  <c r="C97" i="30"/>
  <c r="AA96" i="30"/>
  <c r="Z96" i="30"/>
  <c r="T96" i="30"/>
  <c r="V96" i="30" s="1"/>
  <c r="R96" i="30"/>
  <c r="N96" i="30"/>
  <c r="H96" i="30"/>
  <c r="I96" i="30" s="1"/>
  <c r="D96" i="30"/>
  <c r="C96" i="30"/>
  <c r="Z95" i="30"/>
  <c r="AA95" i="30" s="1"/>
  <c r="V95" i="30"/>
  <c r="T95" i="30"/>
  <c r="R95" i="30"/>
  <c r="N95" i="30"/>
  <c r="H95" i="30"/>
  <c r="I95" i="30" s="1"/>
  <c r="D95" i="30"/>
  <c r="C95" i="30"/>
  <c r="Z94" i="30"/>
  <c r="AA94" i="30" s="1"/>
  <c r="V94" i="30"/>
  <c r="T94" i="30"/>
  <c r="R94" i="30"/>
  <c r="N94" i="30"/>
  <c r="I94" i="30"/>
  <c r="H94" i="30"/>
  <c r="D94" i="30"/>
  <c r="C94" i="30"/>
  <c r="AA93" i="30"/>
  <c r="Z93" i="30"/>
  <c r="T93" i="30"/>
  <c r="V93" i="30" s="1"/>
  <c r="R93" i="30"/>
  <c r="N93" i="30"/>
  <c r="I93" i="30"/>
  <c r="H93" i="30"/>
  <c r="D93" i="30"/>
  <c r="C93" i="30"/>
  <c r="AA92" i="30"/>
  <c r="Z92" i="30"/>
  <c r="T92" i="30"/>
  <c r="V92" i="30" s="1"/>
  <c r="R92" i="30"/>
  <c r="N92" i="30"/>
  <c r="H92" i="30"/>
  <c r="I92" i="30" s="1"/>
  <c r="D92" i="30"/>
  <c r="O92" i="30" s="1"/>
  <c r="C92" i="30"/>
  <c r="Z91" i="30"/>
  <c r="AA91" i="30" s="1"/>
  <c r="T91" i="30"/>
  <c r="V91" i="30" s="1"/>
  <c r="R91" i="30"/>
  <c r="N91" i="30"/>
  <c r="H91" i="30"/>
  <c r="I91" i="30" s="1"/>
  <c r="D91" i="30"/>
  <c r="C91" i="30"/>
  <c r="Z90" i="30"/>
  <c r="AA90" i="30" s="1"/>
  <c r="T90" i="30"/>
  <c r="V90" i="30" s="1"/>
  <c r="R90" i="30"/>
  <c r="N90" i="30"/>
  <c r="H90" i="30"/>
  <c r="I90" i="30" s="1"/>
  <c r="D90" i="30"/>
  <c r="C90" i="30"/>
  <c r="Z89" i="30"/>
  <c r="AA89" i="30" s="1"/>
  <c r="T89" i="30"/>
  <c r="V89" i="30" s="1"/>
  <c r="R89" i="30"/>
  <c r="N89" i="30"/>
  <c r="I89" i="30"/>
  <c r="H89" i="30"/>
  <c r="D89" i="30"/>
  <c r="C89" i="30"/>
  <c r="AA88" i="30"/>
  <c r="Z88" i="30"/>
  <c r="T88" i="30"/>
  <c r="V88" i="30" s="1"/>
  <c r="R88" i="30"/>
  <c r="N88" i="30"/>
  <c r="H88" i="30"/>
  <c r="I88" i="30" s="1"/>
  <c r="D88" i="30"/>
  <c r="C88" i="30"/>
  <c r="Z87" i="30"/>
  <c r="AA87" i="30" s="1"/>
  <c r="V87" i="30"/>
  <c r="T87" i="30"/>
  <c r="R87" i="30"/>
  <c r="N87" i="30"/>
  <c r="H87" i="30"/>
  <c r="I87" i="30" s="1"/>
  <c r="D87" i="30"/>
  <c r="C87" i="30"/>
  <c r="Z86" i="30"/>
  <c r="AA86" i="30" s="1"/>
  <c r="V86" i="30"/>
  <c r="T86" i="30"/>
  <c r="R86" i="30"/>
  <c r="N86" i="30"/>
  <c r="I86" i="30"/>
  <c r="H86" i="30"/>
  <c r="D86" i="30"/>
  <c r="C86" i="30"/>
  <c r="AA85" i="30"/>
  <c r="Z85" i="30"/>
  <c r="T85" i="30"/>
  <c r="V85" i="30" s="1"/>
  <c r="R85" i="30"/>
  <c r="N85" i="30"/>
  <c r="I85" i="30"/>
  <c r="H85" i="30"/>
  <c r="D85" i="30"/>
  <c r="C85" i="30"/>
  <c r="AA84" i="30"/>
  <c r="Z84" i="30"/>
  <c r="T84" i="30"/>
  <c r="V84" i="30" s="1"/>
  <c r="R84" i="30"/>
  <c r="N84" i="30"/>
  <c r="H84" i="30"/>
  <c r="I84" i="30" s="1"/>
  <c r="D84" i="30"/>
  <c r="O84" i="30" s="1"/>
  <c r="C84" i="30"/>
  <c r="Z83" i="30"/>
  <c r="AA83" i="30" s="1"/>
  <c r="T83" i="30"/>
  <c r="V83" i="30" s="1"/>
  <c r="R83" i="30"/>
  <c r="N83" i="30"/>
  <c r="H83" i="30"/>
  <c r="I83" i="30" s="1"/>
  <c r="D83" i="30"/>
  <c r="C83" i="30"/>
  <c r="Z82" i="30"/>
  <c r="AA82" i="30" s="1"/>
  <c r="T82" i="30"/>
  <c r="V82" i="30" s="1"/>
  <c r="R82" i="30"/>
  <c r="N82" i="30"/>
  <c r="H82" i="30"/>
  <c r="I82" i="30" s="1"/>
  <c r="D82" i="30"/>
  <c r="C82" i="30"/>
  <c r="Z81" i="30"/>
  <c r="AA81" i="30" s="1"/>
  <c r="T81" i="30"/>
  <c r="V81" i="30" s="1"/>
  <c r="R81" i="30"/>
  <c r="N81" i="30"/>
  <c r="I81" i="30"/>
  <c r="H81" i="30"/>
  <c r="D81" i="30"/>
  <c r="C81" i="30"/>
  <c r="AA80" i="30"/>
  <c r="Z80" i="30"/>
  <c r="T80" i="30"/>
  <c r="V80" i="30" s="1"/>
  <c r="R80" i="30"/>
  <c r="N80" i="30"/>
  <c r="H80" i="30"/>
  <c r="I80" i="30" s="1"/>
  <c r="D80" i="30"/>
  <c r="C80" i="30"/>
  <c r="Z79" i="30"/>
  <c r="AA79" i="30" s="1"/>
  <c r="V79" i="30"/>
  <c r="T79" i="30"/>
  <c r="R79" i="30"/>
  <c r="N79" i="30"/>
  <c r="H79" i="30"/>
  <c r="I79" i="30" s="1"/>
  <c r="D79" i="30"/>
  <c r="C79" i="30"/>
  <c r="Z78" i="30"/>
  <c r="AA78" i="30" s="1"/>
  <c r="T78" i="30"/>
  <c r="V78" i="30" s="1"/>
  <c r="R78" i="30"/>
  <c r="N78" i="30"/>
  <c r="H78" i="30"/>
  <c r="I78" i="30" s="1"/>
  <c r="D78" i="30"/>
  <c r="C78" i="30"/>
  <c r="Z77" i="30"/>
  <c r="AA77" i="30" s="1"/>
  <c r="T77" i="30"/>
  <c r="V77" i="30" s="1"/>
  <c r="R77" i="30"/>
  <c r="N77" i="30"/>
  <c r="I77" i="30"/>
  <c r="H77" i="30"/>
  <c r="D77" i="30"/>
  <c r="C77" i="30"/>
  <c r="AA76" i="30"/>
  <c r="Z76" i="30"/>
  <c r="T76" i="30"/>
  <c r="V76" i="30" s="1"/>
  <c r="R76" i="30"/>
  <c r="N76" i="30"/>
  <c r="H76" i="30"/>
  <c r="I76" i="30" s="1"/>
  <c r="D76" i="30"/>
  <c r="O76" i="30" s="1"/>
  <c r="C76" i="30"/>
  <c r="Z75" i="30"/>
  <c r="AA75" i="30" s="1"/>
  <c r="T75" i="30"/>
  <c r="V75" i="30" s="1"/>
  <c r="R75" i="30"/>
  <c r="N75" i="30"/>
  <c r="H75" i="30"/>
  <c r="I75" i="30" s="1"/>
  <c r="D75" i="30"/>
  <c r="C75" i="30"/>
  <c r="Z74" i="30"/>
  <c r="AA74" i="30" s="1"/>
  <c r="T74" i="30"/>
  <c r="V74" i="30" s="1"/>
  <c r="R74" i="30"/>
  <c r="N74" i="30"/>
  <c r="H74" i="30"/>
  <c r="I74" i="30" s="1"/>
  <c r="D74" i="30"/>
  <c r="C74" i="30"/>
  <c r="Z73" i="30"/>
  <c r="AA73" i="30" s="1"/>
  <c r="T73" i="30"/>
  <c r="V73" i="30" s="1"/>
  <c r="R73" i="30"/>
  <c r="N73" i="30"/>
  <c r="I73" i="30"/>
  <c r="H73" i="30"/>
  <c r="D73" i="30"/>
  <c r="C73" i="30"/>
  <c r="AA72" i="30"/>
  <c r="Z72" i="30"/>
  <c r="T72" i="30"/>
  <c r="V72" i="30" s="1"/>
  <c r="R72" i="30"/>
  <c r="N72" i="30"/>
  <c r="H72" i="30"/>
  <c r="I72" i="30" s="1"/>
  <c r="D72" i="30"/>
  <c r="C72" i="30"/>
  <c r="Z71" i="30"/>
  <c r="AA71" i="30" s="1"/>
  <c r="T71" i="30"/>
  <c r="V71" i="30" s="1"/>
  <c r="R71" i="30"/>
  <c r="N71" i="30"/>
  <c r="H71" i="30"/>
  <c r="I71" i="30" s="1"/>
  <c r="D71" i="30"/>
  <c r="C71" i="30"/>
  <c r="Z70" i="30"/>
  <c r="AA70" i="30" s="1"/>
  <c r="T70" i="30"/>
  <c r="V70" i="30" s="1"/>
  <c r="R70" i="30"/>
  <c r="N70" i="30"/>
  <c r="H70" i="30"/>
  <c r="I70" i="30" s="1"/>
  <c r="D70" i="30"/>
  <c r="C70" i="30"/>
  <c r="Z69" i="30"/>
  <c r="AA69" i="30" s="1"/>
  <c r="T69" i="30"/>
  <c r="V69" i="30" s="1"/>
  <c r="R69" i="30"/>
  <c r="N69" i="30"/>
  <c r="I69" i="30"/>
  <c r="H69" i="30"/>
  <c r="D69" i="30"/>
  <c r="C69" i="30"/>
  <c r="AA68" i="30"/>
  <c r="Z68" i="30"/>
  <c r="T68" i="30"/>
  <c r="V68" i="30" s="1"/>
  <c r="R68" i="30"/>
  <c r="N68" i="30"/>
  <c r="H68" i="30"/>
  <c r="I68" i="30" s="1"/>
  <c r="D68" i="30"/>
  <c r="O68" i="30" s="1"/>
  <c r="C68" i="30"/>
  <c r="Z67" i="30"/>
  <c r="AA67" i="30" s="1"/>
  <c r="T67" i="30"/>
  <c r="V67" i="30" s="1"/>
  <c r="R67" i="30"/>
  <c r="N67" i="30"/>
  <c r="H67" i="30"/>
  <c r="I67" i="30" s="1"/>
  <c r="D67" i="30"/>
  <c r="C67" i="30"/>
  <c r="Z66" i="30"/>
  <c r="AA66" i="30" s="1"/>
  <c r="T66" i="30"/>
  <c r="V66" i="30" s="1"/>
  <c r="R66" i="30"/>
  <c r="N66" i="30"/>
  <c r="H66" i="30"/>
  <c r="I66" i="30" s="1"/>
  <c r="D66" i="30"/>
  <c r="C66" i="30"/>
  <c r="Z65" i="30"/>
  <c r="AA65" i="30" s="1"/>
  <c r="T65" i="30"/>
  <c r="V65" i="30" s="1"/>
  <c r="R65" i="30"/>
  <c r="N65" i="30"/>
  <c r="I65" i="30"/>
  <c r="H65" i="30"/>
  <c r="D65" i="30"/>
  <c r="C65" i="30"/>
  <c r="AA64" i="30"/>
  <c r="Z64" i="30"/>
  <c r="T64" i="30"/>
  <c r="V64" i="30" s="1"/>
  <c r="R64" i="30"/>
  <c r="N64" i="30"/>
  <c r="H64" i="30"/>
  <c r="I64" i="30" s="1"/>
  <c r="D64" i="30"/>
  <c r="C64" i="30"/>
  <c r="Z63" i="30"/>
  <c r="AA63" i="30" s="1"/>
  <c r="T63" i="30"/>
  <c r="V63" i="30" s="1"/>
  <c r="R63" i="30"/>
  <c r="N63" i="30"/>
  <c r="H63" i="30"/>
  <c r="I63" i="30" s="1"/>
  <c r="D63" i="30"/>
  <c r="C63" i="30"/>
  <c r="Z62" i="30"/>
  <c r="AA62" i="30" s="1"/>
  <c r="T62" i="30"/>
  <c r="V62" i="30" s="1"/>
  <c r="R62" i="30"/>
  <c r="N62" i="30"/>
  <c r="H62" i="30"/>
  <c r="I62" i="30" s="1"/>
  <c r="D62" i="30"/>
  <c r="C62" i="30"/>
  <c r="Z61" i="30"/>
  <c r="AA61" i="30" s="1"/>
  <c r="T61" i="30"/>
  <c r="V61" i="30" s="1"/>
  <c r="R61" i="30"/>
  <c r="N61" i="30"/>
  <c r="I61" i="30"/>
  <c r="H61" i="30"/>
  <c r="D61" i="30"/>
  <c r="C61" i="30"/>
  <c r="AA60" i="30"/>
  <c r="Z60" i="30"/>
  <c r="T60" i="30"/>
  <c r="V60" i="30" s="1"/>
  <c r="R60" i="30"/>
  <c r="N60" i="30"/>
  <c r="H60" i="30"/>
  <c r="I60" i="30" s="1"/>
  <c r="D60" i="30"/>
  <c r="O60" i="30" s="1"/>
  <c r="C60" i="30"/>
  <c r="Z59" i="30"/>
  <c r="AA59" i="30" s="1"/>
  <c r="T59" i="30"/>
  <c r="V59" i="30" s="1"/>
  <c r="R59" i="30"/>
  <c r="N59" i="30"/>
  <c r="H59" i="30"/>
  <c r="I59" i="30" s="1"/>
  <c r="D59" i="30"/>
  <c r="C59" i="30"/>
  <c r="Z58" i="30"/>
  <c r="AA58" i="30" s="1"/>
  <c r="T58" i="30"/>
  <c r="V58" i="30" s="1"/>
  <c r="R58" i="30"/>
  <c r="N58" i="30"/>
  <c r="H58" i="30"/>
  <c r="I58" i="30" s="1"/>
  <c r="D58" i="30"/>
  <c r="C58" i="30"/>
  <c r="Z57" i="30"/>
  <c r="AA57" i="30" s="1"/>
  <c r="T57" i="30"/>
  <c r="V57" i="30" s="1"/>
  <c r="R57" i="30"/>
  <c r="N57" i="30"/>
  <c r="I57" i="30"/>
  <c r="H57" i="30"/>
  <c r="D57" i="30"/>
  <c r="C57" i="30"/>
  <c r="AA56" i="30"/>
  <c r="Z56" i="30"/>
  <c r="T56" i="30"/>
  <c r="V56" i="30" s="1"/>
  <c r="R56" i="30"/>
  <c r="N56" i="30"/>
  <c r="H56" i="30"/>
  <c r="I56" i="30" s="1"/>
  <c r="D56" i="30"/>
  <c r="O56" i="30" s="1"/>
  <c r="C56" i="30"/>
  <c r="Z55" i="30"/>
  <c r="AA55" i="30" s="1"/>
  <c r="T55" i="30"/>
  <c r="V55" i="30" s="1"/>
  <c r="R55" i="30"/>
  <c r="N55" i="30"/>
  <c r="H55" i="30"/>
  <c r="I55" i="30" s="1"/>
  <c r="D55" i="30"/>
  <c r="C55" i="30"/>
  <c r="Z54" i="30"/>
  <c r="AA54" i="30" s="1"/>
  <c r="T54" i="30"/>
  <c r="V54" i="30" s="1"/>
  <c r="R54" i="30"/>
  <c r="N54" i="30"/>
  <c r="H54" i="30"/>
  <c r="I54" i="30" s="1"/>
  <c r="D54" i="30"/>
  <c r="C54" i="30"/>
  <c r="Z53" i="30"/>
  <c r="AA53" i="30" s="1"/>
  <c r="T53" i="30"/>
  <c r="V53" i="30" s="1"/>
  <c r="R53" i="30"/>
  <c r="N53" i="30"/>
  <c r="I53" i="30"/>
  <c r="H53" i="30"/>
  <c r="D53" i="30"/>
  <c r="C53" i="30"/>
  <c r="AA52" i="30"/>
  <c r="Z52" i="30"/>
  <c r="T52" i="30"/>
  <c r="V52" i="30" s="1"/>
  <c r="R52" i="30"/>
  <c r="N52" i="30"/>
  <c r="H52" i="30"/>
  <c r="I52" i="30" s="1"/>
  <c r="D52" i="30"/>
  <c r="C52" i="30"/>
  <c r="Z51" i="30"/>
  <c r="AA51" i="30" s="1"/>
  <c r="T51" i="30"/>
  <c r="V51" i="30" s="1"/>
  <c r="R51" i="30"/>
  <c r="N51" i="30"/>
  <c r="H51" i="30"/>
  <c r="I51" i="30" s="1"/>
  <c r="D51" i="30"/>
  <c r="C51" i="30"/>
  <c r="Z50" i="30"/>
  <c r="AA50" i="30" s="1"/>
  <c r="T50" i="30"/>
  <c r="V50" i="30" s="1"/>
  <c r="R50" i="30"/>
  <c r="N50" i="30"/>
  <c r="H50" i="30"/>
  <c r="I50" i="30" s="1"/>
  <c r="D50" i="30"/>
  <c r="C50" i="30"/>
  <c r="Z49" i="30"/>
  <c r="AA49" i="30" s="1"/>
  <c r="T49" i="30"/>
  <c r="V49" i="30" s="1"/>
  <c r="R49" i="30"/>
  <c r="N49" i="30"/>
  <c r="H49" i="30"/>
  <c r="I49" i="30" s="1"/>
  <c r="D49" i="30"/>
  <c r="C49" i="30"/>
  <c r="Z48" i="30"/>
  <c r="AA48" i="30" s="1"/>
  <c r="T48" i="30"/>
  <c r="V48" i="30" s="1"/>
  <c r="R48" i="30"/>
  <c r="N48" i="30"/>
  <c r="H48" i="30"/>
  <c r="I48" i="30" s="1"/>
  <c r="D48" i="30"/>
  <c r="O48" i="30" s="1"/>
  <c r="C48" i="30"/>
  <c r="Z47" i="30"/>
  <c r="AA47" i="30" s="1"/>
  <c r="V47" i="30"/>
  <c r="T47" i="30"/>
  <c r="R47" i="30"/>
  <c r="N47" i="30"/>
  <c r="H47" i="30"/>
  <c r="I47" i="30" s="1"/>
  <c r="D47" i="30"/>
  <c r="C47" i="30"/>
  <c r="Z46" i="30"/>
  <c r="AA46" i="30" s="1"/>
  <c r="V46" i="30"/>
  <c r="T46" i="30"/>
  <c r="R46" i="30"/>
  <c r="N46" i="30"/>
  <c r="I46" i="30"/>
  <c r="H46" i="30"/>
  <c r="D46" i="30"/>
  <c r="C46" i="30"/>
  <c r="AA45" i="30"/>
  <c r="Z45" i="30"/>
  <c r="T45" i="30"/>
  <c r="V45" i="30" s="1"/>
  <c r="R45" i="30"/>
  <c r="N45" i="30"/>
  <c r="I45" i="30"/>
  <c r="H45" i="30"/>
  <c r="D45" i="30"/>
  <c r="C45" i="30"/>
  <c r="AA44" i="30"/>
  <c r="Z44" i="30"/>
  <c r="T44" i="30"/>
  <c r="V44" i="30" s="1"/>
  <c r="R44" i="30"/>
  <c r="N44" i="30"/>
  <c r="H44" i="30"/>
  <c r="I44" i="30" s="1"/>
  <c r="D44" i="30"/>
  <c r="C44" i="30"/>
  <c r="Z43" i="30"/>
  <c r="AA43" i="30" s="1"/>
  <c r="T43" i="30"/>
  <c r="V43" i="30" s="1"/>
  <c r="R43" i="30"/>
  <c r="N43" i="30"/>
  <c r="H43" i="30"/>
  <c r="I43" i="30" s="1"/>
  <c r="D43" i="30"/>
  <c r="C43" i="30"/>
  <c r="Z42" i="30"/>
  <c r="AA42" i="30" s="1"/>
  <c r="T42" i="30"/>
  <c r="V42" i="30" s="1"/>
  <c r="R42" i="30"/>
  <c r="N42" i="30"/>
  <c r="H42" i="30"/>
  <c r="I42" i="30" s="1"/>
  <c r="D42" i="30"/>
  <c r="C42" i="30"/>
  <c r="Z41" i="30"/>
  <c r="AA41" i="30" s="1"/>
  <c r="T41" i="30"/>
  <c r="V41" i="30" s="1"/>
  <c r="R41" i="30"/>
  <c r="N41" i="30"/>
  <c r="H41" i="30"/>
  <c r="I41" i="30" s="1"/>
  <c r="D41" i="30"/>
  <c r="C41" i="30"/>
  <c r="Z40" i="30"/>
  <c r="AA40" i="30" s="1"/>
  <c r="T40" i="30"/>
  <c r="V40" i="30" s="1"/>
  <c r="R40" i="30"/>
  <c r="N40" i="30"/>
  <c r="H40" i="30"/>
  <c r="I40" i="30" s="1"/>
  <c r="D40" i="30"/>
  <c r="O40" i="30" s="1"/>
  <c r="C40" i="30"/>
  <c r="Z39" i="30"/>
  <c r="AA39" i="30" s="1"/>
  <c r="V39" i="30"/>
  <c r="T39" i="30"/>
  <c r="R39" i="30"/>
  <c r="N39" i="30"/>
  <c r="H39" i="30"/>
  <c r="I39" i="30" s="1"/>
  <c r="D39" i="30"/>
  <c r="C39" i="30"/>
  <c r="Z38" i="30"/>
  <c r="AA38" i="30" s="1"/>
  <c r="V38" i="30"/>
  <c r="T38" i="30"/>
  <c r="R38" i="30"/>
  <c r="N38" i="30"/>
  <c r="I38" i="30"/>
  <c r="H38" i="30"/>
  <c r="D38" i="30"/>
  <c r="C38" i="30"/>
  <c r="AA37" i="30"/>
  <c r="Z37" i="30"/>
  <c r="T37" i="30"/>
  <c r="V37" i="30" s="1"/>
  <c r="R37" i="30"/>
  <c r="N37" i="30"/>
  <c r="I37" i="30"/>
  <c r="H37" i="30"/>
  <c r="D37" i="30"/>
  <c r="C37" i="30"/>
  <c r="AA36" i="30"/>
  <c r="Z36" i="30"/>
  <c r="T36" i="30"/>
  <c r="V36" i="30" s="1"/>
  <c r="R36" i="30"/>
  <c r="N36" i="30"/>
  <c r="H36" i="30"/>
  <c r="I36" i="30" s="1"/>
  <c r="D36" i="30"/>
  <c r="C36" i="30"/>
  <c r="Z35" i="30"/>
  <c r="AA35" i="30" s="1"/>
  <c r="T35" i="30"/>
  <c r="V35" i="30" s="1"/>
  <c r="R35" i="30"/>
  <c r="N35" i="30"/>
  <c r="I35" i="30"/>
  <c r="D35" i="30"/>
  <c r="C35" i="30"/>
  <c r="AA34" i="30"/>
  <c r="Z34" i="30"/>
  <c r="T34" i="30"/>
  <c r="V34" i="30" s="1"/>
  <c r="R34" i="30"/>
  <c r="N34" i="30"/>
  <c r="I34" i="30"/>
  <c r="D34" i="30"/>
  <c r="C34" i="30"/>
  <c r="Z33" i="30"/>
  <c r="AA33" i="30" s="1"/>
  <c r="T33" i="30"/>
  <c r="V33" i="30" s="1"/>
  <c r="R33" i="30"/>
  <c r="N33" i="30"/>
  <c r="I33" i="30"/>
  <c r="D33" i="30"/>
  <c r="C33" i="30"/>
  <c r="AA32" i="30"/>
  <c r="Z32" i="30"/>
  <c r="T32" i="30"/>
  <c r="V32" i="30" s="1"/>
  <c r="R32" i="30"/>
  <c r="N32" i="30"/>
  <c r="I32" i="30"/>
  <c r="D32" i="30"/>
  <c r="C32" i="30"/>
  <c r="AA31" i="30"/>
  <c r="Z31" i="30"/>
  <c r="T31" i="30"/>
  <c r="V31" i="30" s="1"/>
  <c r="R31" i="30"/>
  <c r="N31" i="30"/>
  <c r="I31" i="30"/>
  <c r="D31" i="30"/>
  <c r="O31" i="30" s="1"/>
  <c r="C31" i="30"/>
  <c r="Z30" i="30"/>
  <c r="AA30" i="30" s="1"/>
  <c r="T30" i="30"/>
  <c r="V30" i="30" s="1"/>
  <c r="R30" i="30"/>
  <c r="N30" i="30"/>
  <c r="I30" i="30"/>
  <c r="D30" i="30"/>
  <c r="C30" i="30"/>
  <c r="AA29" i="30"/>
  <c r="Z29" i="30"/>
  <c r="T29" i="30"/>
  <c r="V29" i="30" s="1"/>
  <c r="R29" i="30"/>
  <c r="N29" i="30"/>
  <c r="I29" i="30"/>
  <c r="D29" i="30"/>
  <c r="O29" i="30" s="1"/>
  <c r="C29" i="30"/>
  <c r="Z28" i="30"/>
  <c r="AA28" i="30" s="1"/>
  <c r="T28" i="30"/>
  <c r="V28" i="30" s="1"/>
  <c r="R28" i="30"/>
  <c r="N28" i="30"/>
  <c r="I28" i="30"/>
  <c r="D28" i="30"/>
  <c r="C28" i="30"/>
  <c r="AA27" i="30"/>
  <c r="Z27" i="30"/>
  <c r="T27" i="30"/>
  <c r="V27" i="30" s="1"/>
  <c r="R27" i="30"/>
  <c r="N27" i="30"/>
  <c r="I27" i="30"/>
  <c r="D27" i="30"/>
  <c r="O27" i="30" s="1"/>
  <c r="C27" i="30"/>
  <c r="Z26" i="30"/>
  <c r="AA26" i="30" s="1"/>
  <c r="T26" i="30"/>
  <c r="V26" i="30" s="1"/>
  <c r="R26" i="30"/>
  <c r="N26" i="30"/>
  <c r="I26" i="30"/>
  <c r="D26" i="30"/>
  <c r="C26" i="30"/>
  <c r="AA25" i="30"/>
  <c r="Z25" i="30"/>
  <c r="T25" i="30"/>
  <c r="V25" i="30" s="1"/>
  <c r="R25" i="30"/>
  <c r="N25" i="30"/>
  <c r="I25" i="30"/>
  <c r="D25" i="30"/>
  <c r="O25" i="30" s="1"/>
  <c r="C25" i="30"/>
  <c r="Z24" i="30"/>
  <c r="AA24" i="30" s="1"/>
  <c r="T24" i="30"/>
  <c r="V24" i="30" s="1"/>
  <c r="R24" i="30"/>
  <c r="N24" i="30"/>
  <c r="I24" i="30"/>
  <c r="D24" i="30"/>
  <c r="C24" i="30"/>
  <c r="AA23" i="30"/>
  <c r="Z23" i="30"/>
  <c r="T23" i="30"/>
  <c r="V23" i="30" s="1"/>
  <c r="R23" i="30"/>
  <c r="N23" i="30"/>
  <c r="I23" i="30"/>
  <c r="D23" i="30"/>
  <c r="O23" i="30" s="1"/>
  <c r="C23" i="30"/>
  <c r="Z22" i="30"/>
  <c r="AA22" i="30" s="1"/>
  <c r="T22" i="30"/>
  <c r="V22" i="30" s="1"/>
  <c r="R22" i="30"/>
  <c r="N22" i="30"/>
  <c r="I22" i="30"/>
  <c r="D22" i="30"/>
  <c r="C22" i="30"/>
  <c r="AA21" i="30"/>
  <c r="Z21" i="30"/>
  <c r="T21" i="30"/>
  <c r="V21" i="30" s="1"/>
  <c r="R21" i="30"/>
  <c r="N21" i="30"/>
  <c r="I21" i="30"/>
  <c r="D21" i="30"/>
  <c r="O21" i="30" s="1"/>
  <c r="C21" i="30"/>
  <c r="Z20" i="30"/>
  <c r="AA20" i="30" s="1"/>
  <c r="T20" i="30"/>
  <c r="V20" i="30" s="1"/>
  <c r="R20" i="30"/>
  <c r="N20" i="30"/>
  <c r="I20" i="30"/>
  <c r="D20" i="30"/>
  <c r="C20" i="30"/>
  <c r="AA19" i="30"/>
  <c r="Z19" i="30"/>
  <c r="T19" i="30"/>
  <c r="V19" i="30" s="1"/>
  <c r="R19" i="30"/>
  <c r="N19" i="30"/>
  <c r="I19" i="30"/>
  <c r="D19" i="30"/>
  <c r="O19" i="30" s="1"/>
  <c r="C19" i="30"/>
  <c r="Z18" i="30"/>
  <c r="AA18" i="30" s="1"/>
  <c r="T18" i="30"/>
  <c r="V18" i="30" s="1"/>
  <c r="R18" i="30"/>
  <c r="N18" i="30"/>
  <c r="I18" i="30"/>
  <c r="D18" i="30"/>
  <c r="C18" i="30"/>
  <c r="AA17" i="30"/>
  <c r="Z17" i="30"/>
  <c r="T17" i="30"/>
  <c r="V17" i="30" s="1"/>
  <c r="R17" i="30"/>
  <c r="N17" i="30"/>
  <c r="I17" i="30"/>
  <c r="D17" i="30"/>
  <c r="O17" i="30" s="1"/>
  <c r="C17" i="30"/>
  <c r="Z16" i="30"/>
  <c r="AA16" i="30" s="1"/>
  <c r="T16" i="30"/>
  <c r="V16" i="30" s="1"/>
  <c r="R16" i="30"/>
  <c r="N16" i="30"/>
  <c r="I16" i="30"/>
  <c r="D16" i="30"/>
  <c r="C16" i="30"/>
  <c r="AA15" i="30"/>
  <c r="Z15" i="30"/>
  <c r="T15" i="30"/>
  <c r="V15" i="30" s="1"/>
  <c r="R15" i="30"/>
  <c r="N15" i="30"/>
  <c r="I15" i="30"/>
  <c r="D15" i="30"/>
  <c r="O15" i="30" s="1"/>
  <c r="C15" i="30"/>
  <c r="Z14" i="30"/>
  <c r="AA14" i="30" s="1"/>
  <c r="T14" i="30"/>
  <c r="V14" i="30" s="1"/>
  <c r="R14" i="30"/>
  <c r="N14" i="30"/>
  <c r="I14" i="30"/>
  <c r="D14" i="30"/>
  <c r="C14" i="30"/>
  <c r="AA13" i="30"/>
  <c r="Z13" i="30"/>
  <c r="T13" i="30"/>
  <c r="V13" i="30" s="1"/>
  <c r="R13" i="30"/>
  <c r="N13" i="30"/>
  <c r="I13" i="30"/>
  <c r="D13" i="30"/>
  <c r="O13" i="30" s="1"/>
  <c r="C13" i="30"/>
  <c r="Z12" i="30"/>
  <c r="AA12" i="30" s="1"/>
  <c r="T12" i="30"/>
  <c r="V12" i="30" s="1"/>
  <c r="R12" i="30"/>
  <c r="N12" i="30"/>
  <c r="I12" i="30"/>
  <c r="D12" i="30"/>
  <c r="C12" i="30"/>
  <c r="AA11" i="30"/>
  <c r="Z11" i="30"/>
  <c r="T11" i="30"/>
  <c r="V11" i="30" s="1"/>
  <c r="R11" i="30"/>
  <c r="N11" i="30"/>
  <c r="I11" i="30"/>
  <c r="D11" i="30"/>
  <c r="O11" i="30" s="1"/>
  <c r="C11" i="30"/>
  <c r="Z10" i="30"/>
  <c r="AA10" i="30" s="1"/>
  <c r="T10" i="30"/>
  <c r="V10" i="30" s="1"/>
  <c r="R10" i="30"/>
  <c r="N10" i="30"/>
  <c r="I10" i="30"/>
  <c r="D10" i="30"/>
  <c r="C10" i="30"/>
  <c r="AA9" i="30"/>
  <c r="Z9" i="30"/>
  <c r="T9" i="30"/>
  <c r="V9" i="30" s="1"/>
  <c r="R9" i="30"/>
  <c r="N9" i="30"/>
  <c r="I9" i="30"/>
  <c r="D9" i="30"/>
  <c r="O9" i="30" s="1"/>
  <c r="C9" i="30"/>
  <c r="Z8" i="30"/>
  <c r="AA8" i="30" s="1"/>
  <c r="T8" i="30"/>
  <c r="V8" i="30" s="1"/>
  <c r="R8" i="30"/>
  <c r="N8" i="30"/>
  <c r="I8" i="30"/>
  <c r="D8" i="30"/>
  <c r="C8" i="30"/>
  <c r="AA7" i="30"/>
  <c r="Z7" i="30"/>
  <c r="T7" i="30"/>
  <c r="V7" i="30" s="1"/>
  <c r="R7" i="30"/>
  <c r="N7" i="30"/>
  <c r="I7" i="30"/>
  <c r="D7" i="30"/>
  <c r="O7" i="30" s="1"/>
  <c r="C7" i="30"/>
  <c r="Z6" i="30"/>
  <c r="AA6" i="30" s="1"/>
  <c r="T6" i="30"/>
  <c r="V6" i="30" s="1"/>
  <c r="R6" i="30"/>
  <c r="N6" i="30"/>
  <c r="I6" i="30"/>
  <c r="D6" i="30"/>
  <c r="C6" i="30"/>
  <c r="AA5" i="30"/>
  <c r="Z5" i="30"/>
  <c r="T5" i="30"/>
  <c r="V5" i="30" s="1"/>
  <c r="R5" i="30"/>
  <c r="N5" i="30"/>
  <c r="I5" i="30"/>
  <c r="D5" i="30"/>
  <c r="O5" i="30" s="1"/>
  <c r="C5" i="30"/>
  <c r="Z4" i="30"/>
  <c r="AA4" i="30" s="1"/>
  <c r="T4" i="30"/>
  <c r="V4" i="30" s="1"/>
  <c r="R4" i="30"/>
  <c r="N4" i="30"/>
  <c r="I4" i="30"/>
  <c r="D4" i="30"/>
  <c r="C4" i="30"/>
  <c r="AA3" i="30"/>
  <c r="Z3" i="30"/>
  <c r="T3" i="30"/>
  <c r="V3" i="30" s="1"/>
  <c r="R3" i="30"/>
  <c r="N3" i="30"/>
  <c r="I3" i="30"/>
  <c r="D3" i="30"/>
  <c r="O3" i="30" s="1"/>
  <c r="C3" i="30"/>
  <c r="Z99" i="29"/>
  <c r="AA99" i="29" s="1"/>
  <c r="T99" i="29"/>
  <c r="V99" i="29" s="1"/>
  <c r="R99" i="29"/>
  <c r="N99" i="29"/>
  <c r="H99" i="29"/>
  <c r="I99" i="29" s="1"/>
  <c r="D99" i="29"/>
  <c r="C99" i="29"/>
  <c r="Z98" i="29"/>
  <c r="AA98" i="29" s="1"/>
  <c r="T98" i="29"/>
  <c r="V98" i="29" s="1"/>
  <c r="R98" i="29"/>
  <c r="N98" i="29"/>
  <c r="I98" i="29"/>
  <c r="H98" i="29"/>
  <c r="D98" i="29"/>
  <c r="C98" i="29"/>
  <c r="AA97" i="29"/>
  <c r="Z97" i="29"/>
  <c r="T97" i="29"/>
  <c r="V97" i="29" s="1"/>
  <c r="R97" i="29"/>
  <c r="N97" i="29"/>
  <c r="H97" i="29"/>
  <c r="I97" i="29" s="1"/>
  <c r="D97" i="29"/>
  <c r="C97" i="29"/>
  <c r="Z96" i="29"/>
  <c r="AA96" i="29" s="1"/>
  <c r="V96" i="29"/>
  <c r="T96" i="29"/>
  <c r="R96" i="29"/>
  <c r="N96" i="29"/>
  <c r="H96" i="29"/>
  <c r="I96" i="29" s="1"/>
  <c r="D96" i="29"/>
  <c r="C96" i="29"/>
  <c r="Z95" i="29"/>
  <c r="AA95" i="29" s="1"/>
  <c r="V95" i="29"/>
  <c r="T95" i="29"/>
  <c r="R95" i="29"/>
  <c r="N95" i="29"/>
  <c r="O95" i="29" s="1"/>
  <c r="I95" i="29"/>
  <c r="H95" i="29"/>
  <c r="D95" i="29"/>
  <c r="C95" i="29"/>
  <c r="AA94" i="29"/>
  <c r="Z94" i="29"/>
  <c r="T94" i="29"/>
  <c r="V94" i="29" s="1"/>
  <c r="R94" i="29"/>
  <c r="N94" i="29"/>
  <c r="I94" i="29"/>
  <c r="H94" i="29"/>
  <c r="D94" i="29"/>
  <c r="C94" i="29"/>
  <c r="AA93" i="29"/>
  <c r="Z93" i="29"/>
  <c r="T93" i="29"/>
  <c r="V93" i="29" s="1"/>
  <c r="R93" i="29"/>
  <c r="N93" i="29"/>
  <c r="H93" i="29"/>
  <c r="I93" i="29" s="1"/>
  <c r="D93" i="29"/>
  <c r="O93" i="29" s="1"/>
  <c r="C93" i="29"/>
  <c r="Z92" i="29"/>
  <c r="AA92" i="29" s="1"/>
  <c r="T92" i="29"/>
  <c r="V92" i="29" s="1"/>
  <c r="R92" i="29"/>
  <c r="N92" i="29"/>
  <c r="H92" i="29"/>
  <c r="I92" i="29" s="1"/>
  <c r="D92" i="29"/>
  <c r="O92" i="29" s="1"/>
  <c r="C92" i="29"/>
  <c r="Z91" i="29"/>
  <c r="AA91" i="29" s="1"/>
  <c r="T91" i="29"/>
  <c r="V91" i="29" s="1"/>
  <c r="R91" i="29"/>
  <c r="N91" i="29"/>
  <c r="H91" i="29"/>
  <c r="I91" i="29" s="1"/>
  <c r="D91" i="29"/>
  <c r="C91" i="29"/>
  <c r="Z90" i="29"/>
  <c r="AA90" i="29" s="1"/>
  <c r="T90" i="29"/>
  <c r="V90" i="29" s="1"/>
  <c r="R90" i="29"/>
  <c r="N90" i="29"/>
  <c r="I90" i="29"/>
  <c r="H90" i="29"/>
  <c r="D90" i="29"/>
  <c r="C90" i="29"/>
  <c r="AA89" i="29"/>
  <c r="Z89" i="29"/>
  <c r="T89" i="29"/>
  <c r="V89" i="29" s="1"/>
  <c r="R89" i="29"/>
  <c r="N89" i="29"/>
  <c r="H89" i="29"/>
  <c r="I89" i="29" s="1"/>
  <c r="D89" i="29"/>
  <c r="C89" i="29"/>
  <c r="Z88" i="29"/>
  <c r="AA88" i="29" s="1"/>
  <c r="T88" i="29"/>
  <c r="V88" i="29" s="1"/>
  <c r="R88" i="29"/>
  <c r="N88" i="29"/>
  <c r="H88" i="29"/>
  <c r="I88" i="29" s="1"/>
  <c r="D88" i="29"/>
  <c r="O88" i="29" s="1"/>
  <c r="C88" i="29"/>
  <c r="Z87" i="29"/>
  <c r="AA87" i="29" s="1"/>
  <c r="V87" i="29"/>
  <c r="T87" i="29"/>
  <c r="R87" i="29"/>
  <c r="N87" i="29"/>
  <c r="I87" i="29"/>
  <c r="H87" i="29"/>
  <c r="D87" i="29"/>
  <c r="C87" i="29"/>
  <c r="AA86" i="29"/>
  <c r="Z86" i="29"/>
  <c r="T86" i="29"/>
  <c r="V86" i="29" s="1"/>
  <c r="R86" i="29"/>
  <c r="N86" i="29"/>
  <c r="H86" i="29"/>
  <c r="I86" i="29" s="1"/>
  <c r="D86" i="29"/>
  <c r="C86" i="29"/>
  <c r="Z85" i="29"/>
  <c r="AA85" i="29" s="1"/>
  <c r="T85" i="29"/>
  <c r="V85" i="29" s="1"/>
  <c r="R85" i="29"/>
  <c r="N85" i="29"/>
  <c r="H85" i="29"/>
  <c r="I85" i="29" s="1"/>
  <c r="D85" i="29"/>
  <c r="O85" i="29" s="1"/>
  <c r="C85" i="29"/>
  <c r="Z84" i="29"/>
  <c r="AA84" i="29" s="1"/>
  <c r="V84" i="29"/>
  <c r="T84" i="29"/>
  <c r="R84" i="29"/>
  <c r="N84" i="29"/>
  <c r="H84" i="29"/>
  <c r="I84" i="29" s="1"/>
  <c r="D84" i="29"/>
  <c r="O84" i="29" s="1"/>
  <c r="C84" i="29"/>
  <c r="Z83" i="29"/>
  <c r="AA83" i="29" s="1"/>
  <c r="V83" i="29"/>
  <c r="T83" i="29"/>
  <c r="R83" i="29"/>
  <c r="N83" i="29"/>
  <c r="I83" i="29"/>
  <c r="H83" i="29"/>
  <c r="D83" i="29"/>
  <c r="C83" i="29"/>
  <c r="AA82" i="29"/>
  <c r="Z82" i="29"/>
  <c r="T82" i="29"/>
  <c r="V82" i="29" s="1"/>
  <c r="R82" i="29"/>
  <c r="N82" i="29"/>
  <c r="H82" i="29"/>
  <c r="I82" i="29" s="1"/>
  <c r="D82" i="29"/>
  <c r="C82" i="29"/>
  <c r="Z81" i="29"/>
  <c r="AA81" i="29" s="1"/>
  <c r="T81" i="29"/>
  <c r="V81" i="29" s="1"/>
  <c r="R81" i="29"/>
  <c r="N81" i="29"/>
  <c r="H81" i="29"/>
  <c r="I81" i="29" s="1"/>
  <c r="D81" i="29"/>
  <c r="C81" i="29"/>
  <c r="Z80" i="29"/>
  <c r="AA80" i="29" s="1"/>
  <c r="V80" i="29"/>
  <c r="T80" i="29"/>
  <c r="R80" i="29"/>
  <c r="N80" i="29"/>
  <c r="H80" i="29"/>
  <c r="I80" i="29" s="1"/>
  <c r="D80" i="29"/>
  <c r="C80" i="29"/>
  <c r="Z79" i="29"/>
  <c r="AA79" i="29" s="1"/>
  <c r="V79" i="29"/>
  <c r="T79" i="29"/>
  <c r="R79" i="29"/>
  <c r="N79" i="29"/>
  <c r="I79" i="29"/>
  <c r="H79" i="29"/>
  <c r="D79" i="29"/>
  <c r="C79" i="29"/>
  <c r="AA78" i="29"/>
  <c r="Z78" i="29"/>
  <c r="T78" i="29"/>
  <c r="V78" i="29" s="1"/>
  <c r="R78" i="29"/>
  <c r="N78" i="29"/>
  <c r="H78" i="29"/>
  <c r="I78" i="29" s="1"/>
  <c r="D78" i="29"/>
  <c r="C78" i="29"/>
  <c r="Z77" i="29"/>
  <c r="AA77" i="29" s="1"/>
  <c r="T77" i="29"/>
  <c r="V77" i="29" s="1"/>
  <c r="R77" i="29"/>
  <c r="N77" i="29"/>
  <c r="H77" i="29"/>
  <c r="I77" i="29" s="1"/>
  <c r="D77" i="29"/>
  <c r="O77" i="29" s="1"/>
  <c r="C77" i="29"/>
  <c r="Z76" i="29"/>
  <c r="AA76" i="29" s="1"/>
  <c r="V76" i="29"/>
  <c r="T76" i="29"/>
  <c r="R76" i="29"/>
  <c r="N76" i="29"/>
  <c r="H76" i="29"/>
  <c r="I76" i="29" s="1"/>
  <c r="D76" i="29"/>
  <c r="O76" i="29" s="1"/>
  <c r="C76" i="29"/>
  <c r="Z75" i="29"/>
  <c r="AA75" i="29" s="1"/>
  <c r="V75" i="29"/>
  <c r="T75" i="29"/>
  <c r="R75" i="29"/>
  <c r="N75" i="29"/>
  <c r="I75" i="29"/>
  <c r="H75" i="29"/>
  <c r="D75" i="29"/>
  <c r="C75" i="29"/>
  <c r="AA74" i="29"/>
  <c r="Z74" i="29"/>
  <c r="T74" i="29"/>
  <c r="V74" i="29" s="1"/>
  <c r="R74" i="29"/>
  <c r="N74" i="29"/>
  <c r="H74" i="29"/>
  <c r="I74" i="29" s="1"/>
  <c r="D74" i="29"/>
  <c r="C74" i="29"/>
  <c r="Z73" i="29"/>
  <c r="AA73" i="29" s="1"/>
  <c r="T73" i="29"/>
  <c r="V73" i="29" s="1"/>
  <c r="R73" i="29"/>
  <c r="N73" i="29"/>
  <c r="H73" i="29"/>
  <c r="I73" i="29" s="1"/>
  <c r="D73" i="29"/>
  <c r="C73" i="29"/>
  <c r="Z72" i="29"/>
  <c r="AA72" i="29" s="1"/>
  <c r="V72" i="29"/>
  <c r="T72" i="29"/>
  <c r="R72" i="29"/>
  <c r="N72" i="29"/>
  <c r="H72" i="29"/>
  <c r="I72" i="29" s="1"/>
  <c r="D72" i="29"/>
  <c r="C72" i="29"/>
  <c r="Z71" i="29"/>
  <c r="AA71" i="29" s="1"/>
  <c r="T71" i="29"/>
  <c r="V71" i="29" s="1"/>
  <c r="R71" i="29"/>
  <c r="N71" i="29"/>
  <c r="H71" i="29"/>
  <c r="I71" i="29" s="1"/>
  <c r="D71" i="29"/>
  <c r="C71" i="29"/>
  <c r="Z70" i="29"/>
  <c r="AA70" i="29" s="1"/>
  <c r="T70" i="29"/>
  <c r="V70" i="29" s="1"/>
  <c r="R70" i="29"/>
  <c r="N70" i="29"/>
  <c r="I70" i="29"/>
  <c r="H70" i="29"/>
  <c r="D70" i="29"/>
  <c r="C70" i="29"/>
  <c r="AA69" i="29"/>
  <c r="Z69" i="29"/>
  <c r="T69" i="29"/>
  <c r="V69" i="29" s="1"/>
  <c r="R69" i="29"/>
  <c r="N69" i="29"/>
  <c r="H69" i="29"/>
  <c r="I69" i="29" s="1"/>
  <c r="D69" i="29"/>
  <c r="C69" i="29"/>
  <c r="Z68" i="29"/>
  <c r="AA68" i="29" s="1"/>
  <c r="T68" i="29"/>
  <c r="V68" i="29" s="1"/>
  <c r="R68" i="29"/>
  <c r="N68" i="29"/>
  <c r="H68" i="29"/>
  <c r="I68" i="29" s="1"/>
  <c r="D68" i="29"/>
  <c r="C68" i="29"/>
  <c r="Z67" i="29"/>
  <c r="AA67" i="29" s="1"/>
  <c r="T67" i="29"/>
  <c r="V67" i="29" s="1"/>
  <c r="R67" i="29"/>
  <c r="N67" i="29"/>
  <c r="H67" i="29"/>
  <c r="I67" i="29" s="1"/>
  <c r="D67" i="29"/>
  <c r="C67" i="29"/>
  <c r="Z66" i="29"/>
  <c r="AA66" i="29" s="1"/>
  <c r="T66" i="29"/>
  <c r="V66" i="29" s="1"/>
  <c r="R66" i="29"/>
  <c r="N66" i="29"/>
  <c r="I66" i="29"/>
  <c r="H66" i="29"/>
  <c r="D66" i="29"/>
  <c r="C66" i="29"/>
  <c r="AA65" i="29"/>
  <c r="Z65" i="29"/>
  <c r="T65" i="29"/>
  <c r="V65" i="29" s="1"/>
  <c r="R65" i="29"/>
  <c r="N65" i="29"/>
  <c r="H65" i="29"/>
  <c r="I65" i="29" s="1"/>
  <c r="D65" i="29"/>
  <c r="O65" i="29" s="1"/>
  <c r="C65" i="29"/>
  <c r="Z64" i="29"/>
  <c r="AA64" i="29" s="1"/>
  <c r="T64" i="29"/>
  <c r="V64" i="29" s="1"/>
  <c r="R64" i="29"/>
  <c r="N64" i="29"/>
  <c r="H64" i="29"/>
  <c r="I64" i="29" s="1"/>
  <c r="D64" i="29"/>
  <c r="O64" i="29" s="1"/>
  <c r="C64" i="29"/>
  <c r="Z63" i="29"/>
  <c r="AA63" i="29" s="1"/>
  <c r="T63" i="29"/>
  <c r="V63" i="29" s="1"/>
  <c r="R63" i="29"/>
  <c r="N63" i="29"/>
  <c r="H63" i="29"/>
  <c r="I63" i="29" s="1"/>
  <c r="D63" i="29"/>
  <c r="C63" i="29"/>
  <c r="Z62" i="29"/>
  <c r="AA62" i="29" s="1"/>
  <c r="T62" i="29"/>
  <c r="V62" i="29" s="1"/>
  <c r="R62" i="29"/>
  <c r="N62" i="29"/>
  <c r="I62" i="29"/>
  <c r="H62" i="29"/>
  <c r="D62" i="29"/>
  <c r="C62" i="29"/>
  <c r="AA61" i="29"/>
  <c r="Z61" i="29"/>
  <c r="T61" i="29"/>
  <c r="V61" i="29" s="1"/>
  <c r="R61" i="29"/>
  <c r="N61" i="29"/>
  <c r="H61" i="29"/>
  <c r="I61" i="29" s="1"/>
  <c r="D61" i="29"/>
  <c r="C61" i="29"/>
  <c r="Z60" i="29"/>
  <c r="AA60" i="29" s="1"/>
  <c r="T60" i="29"/>
  <c r="V60" i="29" s="1"/>
  <c r="R60" i="29"/>
  <c r="N60" i="29"/>
  <c r="H60" i="29"/>
  <c r="I60" i="29" s="1"/>
  <c r="D60" i="29"/>
  <c r="C60" i="29"/>
  <c r="Z59" i="29"/>
  <c r="AA59" i="29" s="1"/>
  <c r="T59" i="29"/>
  <c r="V59" i="29" s="1"/>
  <c r="R59" i="29"/>
  <c r="N59" i="29"/>
  <c r="H59" i="29"/>
  <c r="I59" i="29" s="1"/>
  <c r="D59" i="29"/>
  <c r="C59" i="29"/>
  <c r="Z58" i="29"/>
  <c r="AA58" i="29" s="1"/>
  <c r="T58" i="29"/>
  <c r="V58" i="29" s="1"/>
  <c r="R58" i="29"/>
  <c r="N58" i="29"/>
  <c r="I58" i="29"/>
  <c r="H58" i="29"/>
  <c r="D58" i="29"/>
  <c r="C58" i="29"/>
  <c r="AA57" i="29"/>
  <c r="Z57" i="29"/>
  <c r="T57" i="29"/>
  <c r="V57" i="29" s="1"/>
  <c r="R57" i="29"/>
  <c r="N57" i="29"/>
  <c r="H57" i="29"/>
  <c r="I57" i="29" s="1"/>
  <c r="D57" i="29"/>
  <c r="O57" i="29" s="1"/>
  <c r="C57" i="29"/>
  <c r="Z56" i="29"/>
  <c r="AA56" i="29" s="1"/>
  <c r="T56" i="29"/>
  <c r="V56" i="29" s="1"/>
  <c r="R56" i="29"/>
  <c r="N56" i="29"/>
  <c r="H56" i="29"/>
  <c r="I56" i="29" s="1"/>
  <c r="D56" i="29"/>
  <c r="O56" i="29" s="1"/>
  <c r="C56" i="29"/>
  <c r="Z55" i="29"/>
  <c r="AA55" i="29" s="1"/>
  <c r="T55" i="29"/>
  <c r="V55" i="29" s="1"/>
  <c r="R55" i="29"/>
  <c r="N55" i="29"/>
  <c r="H55" i="29"/>
  <c r="I55" i="29" s="1"/>
  <c r="D55" i="29"/>
  <c r="C55" i="29"/>
  <c r="Z54" i="29"/>
  <c r="AA54" i="29" s="1"/>
  <c r="T54" i="29"/>
  <c r="V54" i="29" s="1"/>
  <c r="R54" i="29"/>
  <c r="N54" i="29"/>
  <c r="I54" i="29"/>
  <c r="H54" i="29"/>
  <c r="D54" i="29"/>
  <c r="C54" i="29"/>
  <c r="AA53" i="29"/>
  <c r="Z53" i="29"/>
  <c r="T53" i="29"/>
  <c r="V53" i="29" s="1"/>
  <c r="R53" i="29"/>
  <c r="N53" i="29"/>
  <c r="H53" i="29"/>
  <c r="I53" i="29" s="1"/>
  <c r="D53" i="29"/>
  <c r="C53" i="29"/>
  <c r="Z52" i="29"/>
  <c r="AA52" i="29" s="1"/>
  <c r="T52" i="29"/>
  <c r="V52" i="29" s="1"/>
  <c r="R52" i="29"/>
  <c r="N52" i="29"/>
  <c r="H52" i="29"/>
  <c r="I52" i="29" s="1"/>
  <c r="D52" i="29"/>
  <c r="C52" i="29"/>
  <c r="Z51" i="29"/>
  <c r="AA51" i="29" s="1"/>
  <c r="T51" i="29"/>
  <c r="V51" i="29" s="1"/>
  <c r="R51" i="29"/>
  <c r="N51" i="29"/>
  <c r="H51" i="29"/>
  <c r="I51" i="29" s="1"/>
  <c r="D51" i="29"/>
  <c r="C51" i="29"/>
  <c r="Z50" i="29"/>
  <c r="AA50" i="29" s="1"/>
  <c r="T50" i="29"/>
  <c r="V50" i="29" s="1"/>
  <c r="R50" i="29"/>
  <c r="N50" i="29"/>
  <c r="I50" i="29"/>
  <c r="H50" i="29"/>
  <c r="D50" i="29"/>
  <c r="C50" i="29"/>
  <c r="AA49" i="29"/>
  <c r="Z49" i="29"/>
  <c r="T49" i="29"/>
  <c r="V49" i="29" s="1"/>
  <c r="R49" i="29"/>
  <c r="N49" i="29"/>
  <c r="H49" i="29"/>
  <c r="I49" i="29" s="1"/>
  <c r="D49" i="29"/>
  <c r="O49" i="29" s="1"/>
  <c r="C49" i="29"/>
  <c r="Z48" i="29"/>
  <c r="AA48" i="29" s="1"/>
  <c r="T48" i="29"/>
  <c r="V48" i="29" s="1"/>
  <c r="R48" i="29"/>
  <c r="N48" i="29"/>
  <c r="H48" i="29"/>
  <c r="I48" i="29" s="1"/>
  <c r="D48" i="29"/>
  <c r="O48" i="29" s="1"/>
  <c r="C48" i="29"/>
  <c r="Z47" i="29"/>
  <c r="AA47" i="29" s="1"/>
  <c r="T47" i="29"/>
  <c r="V47" i="29" s="1"/>
  <c r="R47" i="29"/>
  <c r="N47" i="29"/>
  <c r="H47" i="29"/>
  <c r="I47" i="29" s="1"/>
  <c r="D47" i="29"/>
  <c r="C47" i="29"/>
  <c r="Z46" i="29"/>
  <c r="AA46" i="29" s="1"/>
  <c r="T46" i="29"/>
  <c r="V46" i="29" s="1"/>
  <c r="R46" i="29"/>
  <c r="N46" i="29"/>
  <c r="I46" i="29"/>
  <c r="H46" i="29"/>
  <c r="D46" i="29"/>
  <c r="C46" i="29"/>
  <c r="AA45" i="29"/>
  <c r="Z45" i="29"/>
  <c r="T45" i="29"/>
  <c r="V45" i="29" s="1"/>
  <c r="R45" i="29"/>
  <c r="N45" i="29"/>
  <c r="H45" i="29"/>
  <c r="I45" i="29" s="1"/>
  <c r="D45" i="29"/>
  <c r="C45" i="29"/>
  <c r="Z44" i="29"/>
  <c r="AA44" i="29" s="1"/>
  <c r="T44" i="29"/>
  <c r="V44" i="29" s="1"/>
  <c r="R44" i="29"/>
  <c r="N44" i="29"/>
  <c r="H44" i="29"/>
  <c r="I44" i="29" s="1"/>
  <c r="D44" i="29"/>
  <c r="C44" i="29"/>
  <c r="Z43" i="29"/>
  <c r="AA43" i="29" s="1"/>
  <c r="T43" i="29"/>
  <c r="V43" i="29" s="1"/>
  <c r="R43" i="29"/>
  <c r="N43" i="29"/>
  <c r="H43" i="29"/>
  <c r="I43" i="29" s="1"/>
  <c r="D43" i="29"/>
  <c r="C43" i="29"/>
  <c r="Z42" i="29"/>
  <c r="AA42" i="29" s="1"/>
  <c r="T42" i="29"/>
  <c r="V42" i="29" s="1"/>
  <c r="R42" i="29"/>
  <c r="N42" i="29"/>
  <c r="I42" i="29"/>
  <c r="H42" i="29"/>
  <c r="D42" i="29"/>
  <c r="C42" i="29"/>
  <c r="AA41" i="29"/>
  <c r="Z41" i="29"/>
  <c r="T41" i="29"/>
  <c r="V41" i="29" s="1"/>
  <c r="R41" i="29"/>
  <c r="N41" i="29"/>
  <c r="H41" i="29"/>
  <c r="I41" i="29" s="1"/>
  <c r="D41" i="29"/>
  <c r="O41" i="29" s="1"/>
  <c r="C41" i="29"/>
  <c r="Z40" i="29"/>
  <c r="AA40" i="29" s="1"/>
  <c r="T40" i="29"/>
  <c r="V40" i="29" s="1"/>
  <c r="R40" i="29"/>
  <c r="N40" i="29"/>
  <c r="H40" i="29"/>
  <c r="I40" i="29" s="1"/>
  <c r="D40" i="29"/>
  <c r="O40" i="29" s="1"/>
  <c r="C40" i="29"/>
  <c r="Z39" i="29"/>
  <c r="AA39" i="29" s="1"/>
  <c r="V39" i="29"/>
  <c r="T39" i="29"/>
  <c r="R39" i="29"/>
  <c r="N39" i="29"/>
  <c r="I39" i="29"/>
  <c r="H39" i="29"/>
  <c r="D39" i="29"/>
  <c r="C39" i="29"/>
  <c r="AA38" i="29"/>
  <c r="Z38" i="29"/>
  <c r="T38" i="29"/>
  <c r="V38" i="29" s="1"/>
  <c r="R38" i="29"/>
  <c r="N38" i="29"/>
  <c r="H38" i="29"/>
  <c r="I38" i="29" s="1"/>
  <c r="D38" i="29"/>
  <c r="C38" i="29"/>
  <c r="Z37" i="29"/>
  <c r="AA37" i="29" s="1"/>
  <c r="T37" i="29"/>
  <c r="V37" i="29" s="1"/>
  <c r="R37" i="29"/>
  <c r="N37" i="29"/>
  <c r="H37" i="29"/>
  <c r="I37" i="29" s="1"/>
  <c r="D37" i="29"/>
  <c r="C37" i="29"/>
  <c r="Z36" i="29"/>
  <c r="AA36" i="29" s="1"/>
  <c r="V36" i="29"/>
  <c r="T36" i="29"/>
  <c r="R36" i="29"/>
  <c r="N36" i="29"/>
  <c r="H36" i="29"/>
  <c r="I36" i="29" s="1"/>
  <c r="D36" i="29"/>
  <c r="C36" i="29"/>
  <c r="Z35" i="29"/>
  <c r="AA35" i="29" s="1"/>
  <c r="V35" i="29"/>
  <c r="T35" i="29"/>
  <c r="R35" i="29"/>
  <c r="N35" i="29"/>
  <c r="I35" i="29"/>
  <c r="D35" i="29"/>
  <c r="C35" i="29"/>
  <c r="Z34" i="29"/>
  <c r="AA34" i="29" s="1"/>
  <c r="T34" i="29"/>
  <c r="V34" i="29" s="1"/>
  <c r="R34" i="29"/>
  <c r="N34" i="29"/>
  <c r="I34" i="29"/>
  <c r="D34" i="29"/>
  <c r="C34" i="29"/>
  <c r="Z33" i="29"/>
  <c r="AA33" i="29" s="1"/>
  <c r="V33" i="29"/>
  <c r="T33" i="29"/>
  <c r="R33" i="29"/>
  <c r="N33" i="29"/>
  <c r="I33" i="29"/>
  <c r="D33" i="29"/>
  <c r="C33" i="29"/>
  <c r="Z32" i="29"/>
  <c r="AA32" i="29" s="1"/>
  <c r="T32" i="29"/>
  <c r="V32" i="29" s="1"/>
  <c r="R32" i="29"/>
  <c r="N32" i="29"/>
  <c r="I32" i="29"/>
  <c r="D32" i="29"/>
  <c r="C32" i="29"/>
  <c r="Z31" i="29"/>
  <c r="AA31" i="29" s="1"/>
  <c r="V31" i="29"/>
  <c r="T31" i="29"/>
  <c r="R31" i="29"/>
  <c r="N31" i="29"/>
  <c r="I31" i="29"/>
  <c r="D31" i="29"/>
  <c r="C31" i="29"/>
  <c r="Z30" i="29"/>
  <c r="AA30" i="29" s="1"/>
  <c r="T30" i="29"/>
  <c r="V30" i="29" s="1"/>
  <c r="R30" i="29"/>
  <c r="N30" i="29"/>
  <c r="I30" i="29"/>
  <c r="D30" i="29"/>
  <c r="C30" i="29"/>
  <c r="Z29" i="29"/>
  <c r="AA29" i="29" s="1"/>
  <c r="V29" i="29"/>
  <c r="T29" i="29"/>
  <c r="R29" i="29"/>
  <c r="N29" i="29"/>
  <c r="I29" i="29"/>
  <c r="D29" i="29"/>
  <c r="C29" i="29"/>
  <c r="Z28" i="29"/>
  <c r="AA28" i="29" s="1"/>
  <c r="T28" i="29"/>
  <c r="V28" i="29" s="1"/>
  <c r="R28" i="29"/>
  <c r="N28" i="29"/>
  <c r="I28" i="29"/>
  <c r="D28" i="29"/>
  <c r="C28" i="29"/>
  <c r="Z27" i="29"/>
  <c r="AA27" i="29" s="1"/>
  <c r="V27" i="29"/>
  <c r="T27" i="29"/>
  <c r="R27" i="29"/>
  <c r="N27" i="29"/>
  <c r="I27" i="29"/>
  <c r="D27" i="29"/>
  <c r="C27" i="29"/>
  <c r="Z26" i="29"/>
  <c r="AA26" i="29" s="1"/>
  <c r="T26" i="29"/>
  <c r="V26" i="29" s="1"/>
  <c r="R26" i="29"/>
  <c r="N26" i="29"/>
  <c r="I26" i="29"/>
  <c r="D26" i="29"/>
  <c r="C26" i="29"/>
  <c r="Z25" i="29"/>
  <c r="AA25" i="29" s="1"/>
  <c r="V25" i="29"/>
  <c r="T25" i="29"/>
  <c r="R25" i="29"/>
  <c r="N25" i="29"/>
  <c r="I25" i="29"/>
  <c r="D25" i="29"/>
  <c r="C25" i="29"/>
  <c r="Z24" i="29"/>
  <c r="AA24" i="29" s="1"/>
  <c r="T24" i="29"/>
  <c r="V24" i="29" s="1"/>
  <c r="R24" i="29"/>
  <c r="N24" i="29"/>
  <c r="I24" i="29"/>
  <c r="D24" i="29"/>
  <c r="C24" i="29"/>
  <c r="Z23" i="29"/>
  <c r="AA23" i="29" s="1"/>
  <c r="V23" i="29"/>
  <c r="T23" i="29"/>
  <c r="R23" i="29"/>
  <c r="N23" i="29"/>
  <c r="I23" i="29"/>
  <c r="D23" i="29"/>
  <c r="C23" i="29"/>
  <c r="Z22" i="29"/>
  <c r="AA22" i="29" s="1"/>
  <c r="T22" i="29"/>
  <c r="V22" i="29" s="1"/>
  <c r="R22" i="29"/>
  <c r="N22" i="29"/>
  <c r="I22" i="29"/>
  <c r="D22" i="29"/>
  <c r="O22" i="29" s="1"/>
  <c r="C22" i="29"/>
  <c r="Z21" i="29"/>
  <c r="AA21" i="29" s="1"/>
  <c r="V21" i="29"/>
  <c r="T21" i="29"/>
  <c r="R21" i="29"/>
  <c r="N21" i="29"/>
  <c r="I21" i="29"/>
  <c r="D21" i="29"/>
  <c r="O21" i="29" s="1"/>
  <c r="C21" i="29"/>
  <c r="Z20" i="29"/>
  <c r="AA20" i="29" s="1"/>
  <c r="T20" i="29"/>
  <c r="V20" i="29" s="1"/>
  <c r="R20" i="29"/>
  <c r="N20" i="29"/>
  <c r="I20" i="29"/>
  <c r="D20" i="29"/>
  <c r="O20" i="29" s="1"/>
  <c r="C20" i="29"/>
  <c r="Z19" i="29"/>
  <c r="AA19" i="29" s="1"/>
  <c r="V19" i="29"/>
  <c r="T19" i="29"/>
  <c r="R19" i="29"/>
  <c r="N19" i="29"/>
  <c r="I19" i="29"/>
  <c r="D19" i="29"/>
  <c r="C19" i="29"/>
  <c r="Z18" i="29"/>
  <c r="AA18" i="29" s="1"/>
  <c r="T18" i="29"/>
  <c r="V18" i="29" s="1"/>
  <c r="R18" i="29"/>
  <c r="N18" i="29"/>
  <c r="I18" i="29"/>
  <c r="D18" i="29"/>
  <c r="O18" i="29" s="1"/>
  <c r="C18" i="29"/>
  <c r="Z17" i="29"/>
  <c r="AA17" i="29" s="1"/>
  <c r="V17" i="29"/>
  <c r="T17" i="29"/>
  <c r="R17" i="29"/>
  <c r="N17" i="29"/>
  <c r="I17" i="29"/>
  <c r="D17" i="29"/>
  <c r="O17" i="29" s="1"/>
  <c r="C17" i="29"/>
  <c r="Z16" i="29"/>
  <c r="AA16" i="29" s="1"/>
  <c r="T16" i="29"/>
  <c r="V16" i="29" s="1"/>
  <c r="R16" i="29"/>
  <c r="N16" i="29"/>
  <c r="I16" i="29"/>
  <c r="D16" i="29"/>
  <c r="O16" i="29" s="1"/>
  <c r="C16" i="29"/>
  <c r="Z15" i="29"/>
  <c r="AA15" i="29" s="1"/>
  <c r="V15" i="29"/>
  <c r="T15" i="29"/>
  <c r="R15" i="29"/>
  <c r="N15" i="29"/>
  <c r="I15" i="29"/>
  <c r="D15" i="29"/>
  <c r="C15" i="29"/>
  <c r="Z14" i="29"/>
  <c r="AA14" i="29" s="1"/>
  <c r="T14" i="29"/>
  <c r="V14" i="29" s="1"/>
  <c r="R14" i="29"/>
  <c r="N14" i="29"/>
  <c r="I14" i="29"/>
  <c r="D14" i="29"/>
  <c r="O14" i="29" s="1"/>
  <c r="C14" i="29"/>
  <c r="Z13" i="29"/>
  <c r="AA13" i="29" s="1"/>
  <c r="V13" i="29"/>
  <c r="T13" i="29"/>
  <c r="R13" i="29"/>
  <c r="N13" i="29"/>
  <c r="I13" i="29"/>
  <c r="D13" i="29"/>
  <c r="O13" i="29" s="1"/>
  <c r="C13" i="29"/>
  <c r="Z12" i="29"/>
  <c r="AA12" i="29" s="1"/>
  <c r="T12" i="29"/>
  <c r="V12" i="29" s="1"/>
  <c r="R12" i="29"/>
  <c r="N12" i="29"/>
  <c r="I12" i="29"/>
  <c r="D12" i="29"/>
  <c r="O12" i="29" s="1"/>
  <c r="C12" i="29"/>
  <c r="Z11" i="29"/>
  <c r="AA11" i="29" s="1"/>
  <c r="V11" i="29"/>
  <c r="T11" i="29"/>
  <c r="R11" i="29"/>
  <c r="N11" i="29"/>
  <c r="I11" i="29"/>
  <c r="D11" i="29"/>
  <c r="C11" i="29"/>
  <c r="Z10" i="29"/>
  <c r="AA10" i="29" s="1"/>
  <c r="T10" i="29"/>
  <c r="V10" i="29" s="1"/>
  <c r="R10" i="29"/>
  <c r="N10" i="29"/>
  <c r="I10" i="29"/>
  <c r="D10" i="29"/>
  <c r="O10" i="29" s="1"/>
  <c r="C10" i="29"/>
  <c r="Z9" i="29"/>
  <c r="AA9" i="29" s="1"/>
  <c r="V9" i="29"/>
  <c r="T9" i="29"/>
  <c r="R9" i="29"/>
  <c r="N9" i="29"/>
  <c r="I9" i="29"/>
  <c r="D9" i="29"/>
  <c r="C9" i="29"/>
  <c r="AA8" i="29"/>
  <c r="Z8" i="29"/>
  <c r="T8" i="29"/>
  <c r="V8" i="29" s="1"/>
  <c r="R8" i="29"/>
  <c r="N8" i="29"/>
  <c r="I8" i="29"/>
  <c r="D8" i="29"/>
  <c r="O8" i="29" s="1"/>
  <c r="C8" i="29"/>
  <c r="Z7" i="29"/>
  <c r="AA7" i="29" s="1"/>
  <c r="T7" i="29"/>
  <c r="V7" i="29" s="1"/>
  <c r="R7" i="29"/>
  <c r="N7" i="29"/>
  <c r="I7" i="29"/>
  <c r="D7" i="29"/>
  <c r="C7" i="29"/>
  <c r="AA6" i="29"/>
  <c r="Z6" i="29"/>
  <c r="T6" i="29"/>
  <c r="V6" i="29" s="1"/>
  <c r="R6" i="29"/>
  <c r="N6" i="29"/>
  <c r="I6" i="29"/>
  <c r="D6" i="29"/>
  <c r="O6" i="29" s="1"/>
  <c r="C6" i="29"/>
  <c r="Z5" i="29"/>
  <c r="AA5" i="29" s="1"/>
  <c r="T5" i="29"/>
  <c r="V5" i="29" s="1"/>
  <c r="R5" i="29"/>
  <c r="N5" i="29"/>
  <c r="I5" i="29"/>
  <c r="D5" i="29"/>
  <c r="O5" i="29" s="1"/>
  <c r="C5" i="29"/>
  <c r="AA4" i="29"/>
  <c r="Z4" i="29"/>
  <c r="T4" i="29"/>
  <c r="V4" i="29" s="1"/>
  <c r="R4" i="29"/>
  <c r="N4" i="29"/>
  <c r="I4" i="29"/>
  <c r="D4" i="29"/>
  <c r="O4" i="29" s="1"/>
  <c r="C4" i="29"/>
  <c r="Z3" i="29"/>
  <c r="AA3" i="29" s="1"/>
  <c r="T3" i="29"/>
  <c r="V3" i="29" s="1"/>
  <c r="R3" i="29"/>
  <c r="N3" i="29"/>
  <c r="I3" i="29"/>
  <c r="D3" i="29"/>
  <c r="C3" i="29"/>
  <c r="Z99" i="28"/>
  <c r="AA99" i="28" s="1"/>
  <c r="T99" i="28"/>
  <c r="V99" i="28" s="1"/>
  <c r="R99" i="28"/>
  <c r="N99" i="28"/>
  <c r="H99" i="28"/>
  <c r="I99" i="28" s="1"/>
  <c r="D99" i="28"/>
  <c r="C99" i="28"/>
  <c r="Z98" i="28"/>
  <c r="AA98" i="28" s="1"/>
  <c r="T98" i="28"/>
  <c r="V98" i="28" s="1"/>
  <c r="R98" i="28"/>
  <c r="N98" i="28"/>
  <c r="I98" i="28"/>
  <c r="H98" i="28"/>
  <c r="D98" i="28"/>
  <c r="C98" i="28"/>
  <c r="AA97" i="28"/>
  <c r="Z97" i="28"/>
  <c r="T97" i="28"/>
  <c r="V97" i="28" s="1"/>
  <c r="R97" i="28"/>
  <c r="N97" i="28"/>
  <c r="H97" i="28"/>
  <c r="I97" i="28" s="1"/>
  <c r="D97" i="28"/>
  <c r="C97" i="28"/>
  <c r="Z96" i="28"/>
  <c r="AA96" i="28" s="1"/>
  <c r="T96" i="28"/>
  <c r="V96" i="28" s="1"/>
  <c r="R96" i="28"/>
  <c r="N96" i="28"/>
  <c r="H96" i="28"/>
  <c r="I96" i="28" s="1"/>
  <c r="D96" i="28"/>
  <c r="C96" i="28"/>
  <c r="Z95" i="28"/>
  <c r="AA95" i="28" s="1"/>
  <c r="T95" i="28"/>
  <c r="V95" i="28" s="1"/>
  <c r="R95" i="28"/>
  <c r="N95" i="28"/>
  <c r="H95" i="28"/>
  <c r="I95" i="28" s="1"/>
  <c r="D95" i="28"/>
  <c r="C95" i="28"/>
  <c r="Z94" i="28"/>
  <c r="AA94" i="28" s="1"/>
  <c r="T94" i="28"/>
  <c r="V94" i="28" s="1"/>
  <c r="R94" i="28"/>
  <c r="N94" i="28"/>
  <c r="I94" i="28"/>
  <c r="H94" i="28"/>
  <c r="D94" i="28"/>
  <c r="C94" i="28"/>
  <c r="AA93" i="28"/>
  <c r="Z93" i="28"/>
  <c r="T93" i="28"/>
  <c r="V93" i="28" s="1"/>
  <c r="R93" i="28"/>
  <c r="N93" i="28"/>
  <c r="H93" i="28"/>
  <c r="I93" i="28" s="1"/>
  <c r="D93" i="28"/>
  <c r="O93" i="28" s="1"/>
  <c r="C93" i="28"/>
  <c r="Z92" i="28"/>
  <c r="AA92" i="28" s="1"/>
  <c r="T92" i="28"/>
  <c r="V92" i="28" s="1"/>
  <c r="R92" i="28"/>
  <c r="N92" i="28"/>
  <c r="H92" i="28"/>
  <c r="I92" i="28" s="1"/>
  <c r="D92" i="28"/>
  <c r="O92" i="28" s="1"/>
  <c r="C92" i="28"/>
  <c r="Z91" i="28"/>
  <c r="AA91" i="28" s="1"/>
  <c r="T91" i="28"/>
  <c r="V91" i="28" s="1"/>
  <c r="R91" i="28"/>
  <c r="N91" i="28"/>
  <c r="H91" i="28"/>
  <c r="I91" i="28" s="1"/>
  <c r="D91" i="28"/>
  <c r="C91" i="28"/>
  <c r="Z90" i="28"/>
  <c r="AA90" i="28" s="1"/>
  <c r="T90" i="28"/>
  <c r="V90" i="28" s="1"/>
  <c r="R90" i="28"/>
  <c r="N90" i="28"/>
  <c r="I90" i="28"/>
  <c r="H90" i="28"/>
  <c r="D90" i="28"/>
  <c r="C90" i="28"/>
  <c r="AA89" i="28"/>
  <c r="Z89" i="28"/>
  <c r="T89" i="28"/>
  <c r="V89" i="28" s="1"/>
  <c r="R89" i="28"/>
  <c r="N89" i="28"/>
  <c r="H89" i="28"/>
  <c r="I89" i="28" s="1"/>
  <c r="D89" i="28"/>
  <c r="C89" i="28"/>
  <c r="Z88" i="28"/>
  <c r="AA88" i="28" s="1"/>
  <c r="T88" i="28"/>
  <c r="V88" i="28" s="1"/>
  <c r="R88" i="28"/>
  <c r="N88" i="28"/>
  <c r="H88" i="28"/>
  <c r="I88" i="28" s="1"/>
  <c r="D88" i="28"/>
  <c r="C88" i="28"/>
  <c r="Z87" i="28"/>
  <c r="AA87" i="28" s="1"/>
  <c r="T87" i="28"/>
  <c r="V87" i="28" s="1"/>
  <c r="R87" i="28"/>
  <c r="N87" i="28"/>
  <c r="H87" i="28"/>
  <c r="I87" i="28" s="1"/>
  <c r="D87" i="28"/>
  <c r="C87" i="28"/>
  <c r="Z86" i="28"/>
  <c r="AA86" i="28" s="1"/>
  <c r="T86" i="28"/>
  <c r="V86" i="28" s="1"/>
  <c r="R86" i="28"/>
  <c r="N86" i="28"/>
  <c r="H86" i="28"/>
  <c r="I86" i="28" s="1"/>
  <c r="D86" i="28"/>
  <c r="C86" i="28"/>
  <c r="Z85" i="28"/>
  <c r="AA85" i="28" s="1"/>
  <c r="T85" i="28"/>
  <c r="V85" i="28" s="1"/>
  <c r="R85" i="28"/>
  <c r="N85" i="28"/>
  <c r="H85" i="28"/>
  <c r="I85" i="28" s="1"/>
  <c r="D85" i="28"/>
  <c r="O85" i="28" s="1"/>
  <c r="C85" i="28"/>
  <c r="Z84" i="28"/>
  <c r="AA84" i="28" s="1"/>
  <c r="T84" i="28"/>
  <c r="V84" i="28" s="1"/>
  <c r="R84" i="28"/>
  <c r="N84" i="28"/>
  <c r="H84" i="28"/>
  <c r="I84" i="28" s="1"/>
  <c r="D84" i="28"/>
  <c r="O84" i="28" s="1"/>
  <c r="C84" i="28"/>
  <c r="Z83" i="28"/>
  <c r="AA83" i="28" s="1"/>
  <c r="T83" i="28"/>
  <c r="V83" i="28" s="1"/>
  <c r="R83" i="28"/>
  <c r="N83" i="28"/>
  <c r="H83" i="28"/>
  <c r="I83" i="28" s="1"/>
  <c r="D83" i="28"/>
  <c r="C83" i="28"/>
  <c r="Z82" i="28"/>
  <c r="AA82" i="28" s="1"/>
  <c r="T82" i="28"/>
  <c r="V82" i="28" s="1"/>
  <c r="R82" i="28"/>
  <c r="N82" i="28"/>
  <c r="I82" i="28"/>
  <c r="H82" i="28"/>
  <c r="D82" i="28"/>
  <c r="C82" i="28"/>
  <c r="AA81" i="28"/>
  <c r="Z81" i="28"/>
  <c r="T81" i="28"/>
  <c r="V81" i="28" s="1"/>
  <c r="R81" i="28"/>
  <c r="N81" i="28"/>
  <c r="H81" i="28"/>
  <c r="I81" i="28" s="1"/>
  <c r="D81" i="28"/>
  <c r="C81" i="28"/>
  <c r="Z80" i="28"/>
  <c r="AA80" i="28" s="1"/>
  <c r="T80" i="28"/>
  <c r="V80" i="28" s="1"/>
  <c r="R80" i="28"/>
  <c r="N80" i="28"/>
  <c r="H80" i="28"/>
  <c r="I80" i="28" s="1"/>
  <c r="D80" i="28"/>
  <c r="C80" i="28"/>
  <c r="Z79" i="28"/>
  <c r="AA79" i="28" s="1"/>
  <c r="T79" i="28"/>
  <c r="V79" i="28" s="1"/>
  <c r="R79" i="28"/>
  <c r="N79" i="28"/>
  <c r="H79" i="28"/>
  <c r="I79" i="28" s="1"/>
  <c r="D79" i="28"/>
  <c r="C79" i="28"/>
  <c r="Z78" i="28"/>
  <c r="AA78" i="28" s="1"/>
  <c r="T78" i="28"/>
  <c r="V78" i="28" s="1"/>
  <c r="R78" i="28"/>
  <c r="N78" i="28"/>
  <c r="H78" i="28"/>
  <c r="I78" i="28" s="1"/>
  <c r="D78" i="28"/>
  <c r="C78" i="28"/>
  <c r="Z77" i="28"/>
  <c r="AA77" i="28" s="1"/>
  <c r="T77" i="28"/>
  <c r="V77" i="28" s="1"/>
  <c r="R77" i="28"/>
  <c r="N77" i="28"/>
  <c r="H77" i="28"/>
  <c r="I77" i="28" s="1"/>
  <c r="D77" i="28"/>
  <c r="O77" i="28" s="1"/>
  <c r="C77" i="28"/>
  <c r="Z76" i="28"/>
  <c r="AA76" i="28" s="1"/>
  <c r="T76" i="28"/>
  <c r="V76" i="28" s="1"/>
  <c r="R76" i="28"/>
  <c r="N76" i="28"/>
  <c r="H76" i="28"/>
  <c r="I76" i="28" s="1"/>
  <c r="D76" i="28"/>
  <c r="C76" i="28"/>
  <c r="Z75" i="28"/>
  <c r="AA75" i="28" s="1"/>
  <c r="V75" i="28"/>
  <c r="T75" i="28"/>
  <c r="R75" i="28"/>
  <c r="N75" i="28"/>
  <c r="I75" i="28"/>
  <c r="H75" i="28"/>
  <c r="D75" i="28"/>
  <c r="C75" i="28"/>
  <c r="AA74" i="28"/>
  <c r="Z74" i="28"/>
  <c r="T74" i="28"/>
  <c r="V74" i="28" s="1"/>
  <c r="R74" i="28"/>
  <c r="N74" i="28"/>
  <c r="H74" i="28"/>
  <c r="I74" i="28" s="1"/>
  <c r="D74" i="28"/>
  <c r="C74" i="28"/>
  <c r="Z73" i="28"/>
  <c r="AA73" i="28" s="1"/>
  <c r="T73" i="28"/>
  <c r="V73" i="28" s="1"/>
  <c r="R73" i="28"/>
  <c r="N73" i="28"/>
  <c r="H73" i="28"/>
  <c r="I73" i="28" s="1"/>
  <c r="D73" i="28"/>
  <c r="O73" i="28" s="1"/>
  <c r="C73" i="28"/>
  <c r="Z72" i="28"/>
  <c r="AA72" i="28" s="1"/>
  <c r="T72" i="28"/>
  <c r="V72" i="28" s="1"/>
  <c r="R72" i="28"/>
  <c r="N72" i="28"/>
  <c r="H72" i="28"/>
  <c r="I72" i="28" s="1"/>
  <c r="D72" i="28"/>
  <c r="O72" i="28" s="1"/>
  <c r="C72" i="28"/>
  <c r="Z71" i="28"/>
  <c r="AA71" i="28" s="1"/>
  <c r="T71" i="28"/>
  <c r="V71" i="28" s="1"/>
  <c r="R71" i="28"/>
  <c r="N71" i="28"/>
  <c r="H71" i="28"/>
  <c r="I71" i="28" s="1"/>
  <c r="D71" i="28"/>
  <c r="C71" i="28"/>
  <c r="Z70" i="28"/>
  <c r="AA70" i="28" s="1"/>
  <c r="T70" i="28"/>
  <c r="V70" i="28" s="1"/>
  <c r="R70" i="28"/>
  <c r="N70" i="28"/>
  <c r="H70" i="28"/>
  <c r="I70" i="28" s="1"/>
  <c r="D70" i="28"/>
  <c r="C70" i="28"/>
  <c r="Z69" i="28"/>
  <c r="AA69" i="28" s="1"/>
  <c r="T69" i="28"/>
  <c r="V69" i="28" s="1"/>
  <c r="R69" i="28"/>
  <c r="N69" i="28"/>
  <c r="H69" i="28"/>
  <c r="I69" i="28" s="1"/>
  <c r="D69" i="28"/>
  <c r="C69" i="28"/>
  <c r="Z68" i="28"/>
  <c r="AA68" i="28" s="1"/>
  <c r="V68" i="28"/>
  <c r="T68" i="28"/>
  <c r="R68" i="28"/>
  <c r="N68" i="28"/>
  <c r="H68" i="28"/>
  <c r="I68" i="28" s="1"/>
  <c r="D68" i="28"/>
  <c r="C68" i="28"/>
  <c r="Z67" i="28"/>
  <c r="AA67" i="28" s="1"/>
  <c r="V67" i="28"/>
  <c r="T67" i="28"/>
  <c r="R67" i="28"/>
  <c r="N67" i="28"/>
  <c r="I67" i="28"/>
  <c r="H67" i="28"/>
  <c r="D67" i="28"/>
  <c r="C67" i="28"/>
  <c r="AA66" i="28"/>
  <c r="Z66" i="28"/>
  <c r="T66" i="28"/>
  <c r="V66" i="28" s="1"/>
  <c r="R66" i="28"/>
  <c r="N66" i="28"/>
  <c r="H66" i="28"/>
  <c r="I66" i="28" s="1"/>
  <c r="D66" i="28"/>
  <c r="C66" i="28"/>
  <c r="Z65" i="28"/>
  <c r="AA65" i="28" s="1"/>
  <c r="T65" i="28"/>
  <c r="V65" i="28" s="1"/>
  <c r="R65" i="28"/>
  <c r="N65" i="28"/>
  <c r="H65" i="28"/>
  <c r="I65" i="28" s="1"/>
  <c r="D65" i="28"/>
  <c r="O65" i="28" s="1"/>
  <c r="C65" i="28"/>
  <c r="Z64" i="28"/>
  <c r="AA64" i="28" s="1"/>
  <c r="T64" i="28"/>
  <c r="V64" i="28" s="1"/>
  <c r="R64" i="28"/>
  <c r="N64" i="28"/>
  <c r="H64" i="28"/>
  <c r="I64" i="28" s="1"/>
  <c r="D64" i="28"/>
  <c r="O64" i="28" s="1"/>
  <c r="C64" i="28"/>
  <c r="Z63" i="28"/>
  <c r="AA63" i="28" s="1"/>
  <c r="T63" i="28"/>
  <c r="V63" i="28" s="1"/>
  <c r="R63" i="28"/>
  <c r="N63" i="28"/>
  <c r="H63" i="28"/>
  <c r="I63" i="28" s="1"/>
  <c r="D63" i="28"/>
  <c r="C63" i="28"/>
  <c r="Z62" i="28"/>
  <c r="AA62" i="28" s="1"/>
  <c r="T62" i="28"/>
  <c r="V62" i="28" s="1"/>
  <c r="R62" i="28"/>
  <c r="N62" i="28"/>
  <c r="H62" i="28"/>
  <c r="I62" i="28" s="1"/>
  <c r="D62" i="28"/>
  <c r="C62" i="28"/>
  <c r="Z61" i="28"/>
  <c r="AA61" i="28" s="1"/>
  <c r="T61" i="28"/>
  <c r="V61" i="28" s="1"/>
  <c r="R61" i="28"/>
  <c r="N61" i="28"/>
  <c r="H61" i="28"/>
  <c r="I61" i="28" s="1"/>
  <c r="D61" i="28"/>
  <c r="C61" i="28"/>
  <c r="Z60" i="28"/>
  <c r="AA60" i="28" s="1"/>
  <c r="V60" i="28"/>
  <c r="T60" i="28"/>
  <c r="R60" i="28"/>
  <c r="N60" i="28"/>
  <c r="H60" i="28"/>
  <c r="I60" i="28" s="1"/>
  <c r="D60" i="28"/>
  <c r="C60" i="28"/>
  <c r="Z59" i="28"/>
  <c r="AA59" i="28" s="1"/>
  <c r="V59" i="28"/>
  <c r="T59" i="28"/>
  <c r="R59" i="28"/>
  <c r="N59" i="28"/>
  <c r="I59" i="28"/>
  <c r="H59" i="28"/>
  <c r="D59" i="28"/>
  <c r="C59" i="28"/>
  <c r="AA58" i="28"/>
  <c r="Z58" i="28"/>
  <c r="T58" i="28"/>
  <c r="V58" i="28" s="1"/>
  <c r="R58" i="28"/>
  <c r="N58" i="28"/>
  <c r="H58" i="28"/>
  <c r="I58" i="28" s="1"/>
  <c r="D58" i="28"/>
  <c r="C58" i="28"/>
  <c r="Z57" i="28"/>
  <c r="AA57" i="28" s="1"/>
  <c r="T57" i="28"/>
  <c r="V57" i="28" s="1"/>
  <c r="R57" i="28"/>
  <c r="N57" i="28"/>
  <c r="H57" i="28"/>
  <c r="I57" i="28" s="1"/>
  <c r="D57" i="28"/>
  <c r="O57" i="28" s="1"/>
  <c r="C57" i="28"/>
  <c r="Z56" i="28"/>
  <c r="AA56" i="28" s="1"/>
  <c r="T56" i="28"/>
  <c r="V56" i="28" s="1"/>
  <c r="R56" i="28"/>
  <c r="N56" i="28"/>
  <c r="H56" i="28"/>
  <c r="I56" i="28" s="1"/>
  <c r="D56" i="28"/>
  <c r="O56" i="28" s="1"/>
  <c r="C56" i="28"/>
  <c r="Z55" i="28"/>
  <c r="AA55" i="28" s="1"/>
  <c r="T55" i="28"/>
  <c r="V55" i="28" s="1"/>
  <c r="R55" i="28"/>
  <c r="N55" i="28"/>
  <c r="H55" i="28"/>
  <c r="I55" i="28" s="1"/>
  <c r="D55" i="28"/>
  <c r="C55" i="28"/>
  <c r="Z54" i="28"/>
  <c r="AA54" i="28" s="1"/>
  <c r="T54" i="28"/>
  <c r="V54" i="28" s="1"/>
  <c r="R54" i="28"/>
  <c r="N54" i="28"/>
  <c r="H54" i="28"/>
  <c r="I54" i="28" s="1"/>
  <c r="D54" i="28"/>
  <c r="C54" i="28"/>
  <c r="Z53" i="28"/>
  <c r="AA53" i="28" s="1"/>
  <c r="T53" i="28"/>
  <c r="V53" i="28" s="1"/>
  <c r="R53" i="28"/>
  <c r="N53" i="28"/>
  <c r="H53" i="28"/>
  <c r="I53" i="28" s="1"/>
  <c r="D53" i="28"/>
  <c r="C53" i="28"/>
  <c r="Z52" i="28"/>
  <c r="AA52" i="28" s="1"/>
  <c r="V52" i="28"/>
  <c r="T52" i="28"/>
  <c r="R52" i="28"/>
  <c r="N52" i="28"/>
  <c r="H52" i="28"/>
  <c r="I52" i="28" s="1"/>
  <c r="D52" i="28"/>
  <c r="C52" i="28"/>
  <c r="Z51" i="28"/>
  <c r="AA51" i="28" s="1"/>
  <c r="T51" i="28"/>
  <c r="V51" i="28" s="1"/>
  <c r="R51" i="28"/>
  <c r="N51" i="28"/>
  <c r="H51" i="28"/>
  <c r="I51" i="28" s="1"/>
  <c r="D51" i="28"/>
  <c r="C51" i="28"/>
  <c r="Z50" i="28"/>
  <c r="AA50" i="28" s="1"/>
  <c r="T50" i="28"/>
  <c r="V50" i="28" s="1"/>
  <c r="R50" i="28"/>
  <c r="N50" i="28"/>
  <c r="H50" i="28"/>
  <c r="I50" i="28" s="1"/>
  <c r="D50" i="28"/>
  <c r="C50" i="28"/>
  <c r="Z49" i="28"/>
  <c r="AA49" i="28" s="1"/>
  <c r="T49" i="28"/>
  <c r="V49" i="28" s="1"/>
  <c r="R49" i="28"/>
  <c r="N49" i="28"/>
  <c r="H49" i="28"/>
  <c r="I49" i="28" s="1"/>
  <c r="D49" i="28"/>
  <c r="C49" i="28"/>
  <c r="Z48" i="28"/>
  <c r="AA48" i="28" s="1"/>
  <c r="V48" i="28"/>
  <c r="T48" i="28"/>
  <c r="R48" i="28"/>
  <c r="N48" i="28"/>
  <c r="H48" i="28"/>
  <c r="I48" i="28" s="1"/>
  <c r="D48" i="28"/>
  <c r="C48" i="28"/>
  <c r="Z47" i="28"/>
  <c r="AA47" i="28" s="1"/>
  <c r="V47" i="28"/>
  <c r="T47" i="28"/>
  <c r="R47" i="28"/>
  <c r="N47" i="28"/>
  <c r="I47" i="28"/>
  <c r="H47" i="28"/>
  <c r="D47" i="28"/>
  <c r="C47" i="28"/>
  <c r="AA46" i="28"/>
  <c r="Z46" i="28"/>
  <c r="T46" i="28"/>
  <c r="V46" i="28" s="1"/>
  <c r="R46" i="28"/>
  <c r="N46" i="28"/>
  <c r="I46" i="28"/>
  <c r="H46" i="28"/>
  <c r="D46" i="28"/>
  <c r="C46" i="28"/>
  <c r="AA45" i="28"/>
  <c r="Z45" i="28"/>
  <c r="T45" i="28"/>
  <c r="V45" i="28" s="1"/>
  <c r="R45" i="28"/>
  <c r="N45" i="28"/>
  <c r="H45" i="28"/>
  <c r="I45" i="28" s="1"/>
  <c r="D45" i="28"/>
  <c r="O45" i="28" s="1"/>
  <c r="C45" i="28"/>
  <c r="Z44" i="28"/>
  <c r="AA44" i="28" s="1"/>
  <c r="T44" i="28"/>
  <c r="V44" i="28" s="1"/>
  <c r="R44" i="28"/>
  <c r="N44" i="28"/>
  <c r="H44" i="28"/>
  <c r="I44" i="28" s="1"/>
  <c r="D44" i="28"/>
  <c r="C44" i="28"/>
  <c r="Z43" i="28"/>
  <c r="AA43" i="28" s="1"/>
  <c r="T43" i="28"/>
  <c r="V43" i="28" s="1"/>
  <c r="R43" i="28"/>
  <c r="N43" i="28"/>
  <c r="H43" i="28"/>
  <c r="I43" i="28" s="1"/>
  <c r="D43" i="28"/>
  <c r="C43" i="28"/>
  <c r="Z42" i="28"/>
  <c r="AA42" i="28" s="1"/>
  <c r="T42" i="28"/>
  <c r="V42" i="28" s="1"/>
  <c r="R42" i="28"/>
  <c r="N42" i="28"/>
  <c r="H42" i="28"/>
  <c r="I42" i="28" s="1"/>
  <c r="D42" i="28"/>
  <c r="C42" i="28"/>
  <c r="Z41" i="28"/>
  <c r="AA41" i="28" s="1"/>
  <c r="T41" i="28"/>
  <c r="V41" i="28" s="1"/>
  <c r="R41" i="28"/>
  <c r="N41" i="28"/>
  <c r="H41" i="28"/>
  <c r="I41" i="28" s="1"/>
  <c r="D41" i="28"/>
  <c r="C41" i="28"/>
  <c r="Z40" i="28"/>
  <c r="AA40" i="28" s="1"/>
  <c r="V40" i="28"/>
  <c r="T40" i="28"/>
  <c r="R40" i="28"/>
  <c r="N40" i="28"/>
  <c r="H40" i="28"/>
  <c r="I40" i="28" s="1"/>
  <c r="D40" i="28"/>
  <c r="C40" i="28"/>
  <c r="Z39" i="28"/>
  <c r="AA39" i="28" s="1"/>
  <c r="V39" i="28"/>
  <c r="T39" i="28"/>
  <c r="R39" i="28"/>
  <c r="N39" i="28"/>
  <c r="I39" i="28"/>
  <c r="H39" i="28"/>
  <c r="D39" i="28"/>
  <c r="C39" i="28"/>
  <c r="AA38" i="28"/>
  <c r="Z38" i="28"/>
  <c r="T38" i="28"/>
  <c r="V38" i="28" s="1"/>
  <c r="R38" i="28"/>
  <c r="N38" i="28"/>
  <c r="I38" i="28"/>
  <c r="H38" i="28"/>
  <c r="D38" i="28"/>
  <c r="C38" i="28"/>
  <c r="AA37" i="28"/>
  <c r="Z37" i="28"/>
  <c r="T37" i="28"/>
  <c r="V37" i="28" s="1"/>
  <c r="R37" i="28"/>
  <c r="N37" i="28"/>
  <c r="H37" i="28"/>
  <c r="I37" i="28" s="1"/>
  <c r="D37" i="28"/>
  <c r="O37" i="28" s="1"/>
  <c r="C37" i="28"/>
  <c r="Z36" i="28"/>
  <c r="AA36" i="28" s="1"/>
  <c r="T36" i="28"/>
  <c r="V36" i="28" s="1"/>
  <c r="R36" i="28"/>
  <c r="N36" i="28"/>
  <c r="H36" i="28"/>
  <c r="I36" i="28" s="1"/>
  <c r="D36" i="28"/>
  <c r="C36" i="28"/>
  <c r="Z35" i="28"/>
  <c r="AA35" i="28" s="1"/>
  <c r="T35" i="28"/>
  <c r="V35" i="28" s="1"/>
  <c r="R35" i="28"/>
  <c r="N35" i="28"/>
  <c r="I35" i="28"/>
  <c r="D35" i="28"/>
  <c r="C35" i="28"/>
  <c r="AA34" i="28"/>
  <c r="Z34" i="28"/>
  <c r="T34" i="28"/>
  <c r="V34" i="28" s="1"/>
  <c r="R34" i="28"/>
  <c r="N34" i="28"/>
  <c r="I34" i="28"/>
  <c r="D34" i="28"/>
  <c r="C34" i="28"/>
  <c r="Z33" i="28"/>
  <c r="AA33" i="28" s="1"/>
  <c r="T33" i="28"/>
  <c r="V33" i="28" s="1"/>
  <c r="R33" i="28"/>
  <c r="N33" i="28"/>
  <c r="I33" i="28"/>
  <c r="D33" i="28"/>
  <c r="C33" i="28"/>
  <c r="AA32" i="28"/>
  <c r="Z32" i="28"/>
  <c r="T32" i="28"/>
  <c r="V32" i="28" s="1"/>
  <c r="R32" i="28"/>
  <c r="N32" i="28"/>
  <c r="I32" i="28"/>
  <c r="D32" i="28"/>
  <c r="O32" i="28" s="1"/>
  <c r="C32" i="28"/>
  <c r="Z31" i="28"/>
  <c r="AA31" i="28" s="1"/>
  <c r="T31" i="28"/>
  <c r="V31" i="28" s="1"/>
  <c r="R31" i="28"/>
  <c r="N31" i="28"/>
  <c r="I31" i="28"/>
  <c r="D31" i="28"/>
  <c r="C31" i="28"/>
  <c r="Z30" i="28"/>
  <c r="AA30" i="28" s="1"/>
  <c r="T30" i="28"/>
  <c r="V30" i="28" s="1"/>
  <c r="R30" i="28"/>
  <c r="N30" i="28"/>
  <c r="I30" i="28"/>
  <c r="D30" i="28"/>
  <c r="C30" i="28"/>
  <c r="Z29" i="28"/>
  <c r="AA29" i="28" s="1"/>
  <c r="T29" i="28"/>
  <c r="V29" i="28" s="1"/>
  <c r="R29" i="28"/>
  <c r="N29" i="28"/>
  <c r="I29" i="28"/>
  <c r="D29" i="28"/>
  <c r="C29" i="28"/>
  <c r="Z28" i="28"/>
  <c r="AA28" i="28" s="1"/>
  <c r="T28" i="28"/>
  <c r="V28" i="28" s="1"/>
  <c r="R28" i="28"/>
  <c r="N28" i="28"/>
  <c r="I28" i="28"/>
  <c r="D28" i="28"/>
  <c r="O28" i="28" s="1"/>
  <c r="C28" i="28"/>
  <c r="Z27" i="28"/>
  <c r="AA27" i="28" s="1"/>
  <c r="T27" i="28"/>
  <c r="V27" i="28" s="1"/>
  <c r="R27" i="28"/>
  <c r="N27" i="28"/>
  <c r="I27" i="28"/>
  <c r="D27" i="28"/>
  <c r="C27" i="28"/>
  <c r="Z26" i="28"/>
  <c r="AA26" i="28" s="1"/>
  <c r="T26" i="28"/>
  <c r="V26" i="28" s="1"/>
  <c r="R26" i="28"/>
  <c r="N26" i="28"/>
  <c r="I26" i="28"/>
  <c r="D26" i="28"/>
  <c r="C26" i="28"/>
  <c r="Z25" i="28"/>
  <c r="AA25" i="28" s="1"/>
  <c r="T25" i="28"/>
  <c r="V25" i="28" s="1"/>
  <c r="R25" i="28"/>
  <c r="N25" i="28"/>
  <c r="I25" i="28"/>
  <c r="D25" i="28"/>
  <c r="C25" i="28"/>
  <c r="Z24" i="28"/>
  <c r="AA24" i="28" s="1"/>
  <c r="T24" i="28"/>
  <c r="V24" i="28" s="1"/>
  <c r="R24" i="28"/>
  <c r="N24" i="28"/>
  <c r="I24" i="28"/>
  <c r="D24" i="28"/>
  <c r="C24" i="28"/>
  <c r="Z23" i="28"/>
  <c r="AA23" i="28" s="1"/>
  <c r="T23" i="28"/>
  <c r="V23" i="28" s="1"/>
  <c r="R23" i="28"/>
  <c r="N23" i="28"/>
  <c r="I23" i="28"/>
  <c r="D23" i="28"/>
  <c r="C23" i="28"/>
  <c r="AA22" i="28"/>
  <c r="Z22" i="28"/>
  <c r="T22" i="28"/>
  <c r="V22" i="28" s="1"/>
  <c r="R22" i="28"/>
  <c r="N22" i="28"/>
  <c r="I22" i="28"/>
  <c r="D22" i="28"/>
  <c r="O22" i="28" s="1"/>
  <c r="C22" i="28"/>
  <c r="Z21" i="28"/>
  <c r="AA21" i="28" s="1"/>
  <c r="T21" i="28"/>
  <c r="V21" i="28" s="1"/>
  <c r="R21" i="28"/>
  <c r="N21" i="28"/>
  <c r="I21" i="28"/>
  <c r="D21" i="28"/>
  <c r="C21" i="28"/>
  <c r="Z20" i="28"/>
  <c r="AA20" i="28" s="1"/>
  <c r="T20" i="28"/>
  <c r="V20" i="28" s="1"/>
  <c r="R20" i="28"/>
  <c r="N20" i="28"/>
  <c r="I20" i="28"/>
  <c r="D20" i="28"/>
  <c r="C20" i="28"/>
  <c r="Z19" i="28"/>
  <c r="AA19" i="28" s="1"/>
  <c r="V19" i="28"/>
  <c r="T19" i="28"/>
  <c r="R19" i="28"/>
  <c r="N19" i="28"/>
  <c r="I19" i="28"/>
  <c r="D19" i="28"/>
  <c r="C19" i="28"/>
  <c r="Z18" i="28"/>
  <c r="AA18" i="28" s="1"/>
  <c r="T18" i="28"/>
  <c r="V18" i="28" s="1"/>
  <c r="R18" i="28"/>
  <c r="N18" i="28"/>
  <c r="I18" i="28"/>
  <c r="D18" i="28"/>
  <c r="O18" i="28" s="1"/>
  <c r="C18" i="28"/>
  <c r="Z17" i="28"/>
  <c r="AA17" i="28" s="1"/>
  <c r="T17" i="28"/>
  <c r="V17" i="28" s="1"/>
  <c r="R17" i="28"/>
  <c r="N17" i="28"/>
  <c r="I17" i="28"/>
  <c r="D17" i="28"/>
  <c r="C17" i="28"/>
  <c r="Z16" i="28"/>
  <c r="AA16" i="28" s="1"/>
  <c r="T16" i="28"/>
  <c r="V16" i="28" s="1"/>
  <c r="R16" i="28"/>
  <c r="N16" i="28"/>
  <c r="I16" i="28"/>
  <c r="D16" i="28"/>
  <c r="C16" i="28"/>
  <c r="Z15" i="28"/>
  <c r="AA15" i="28" s="1"/>
  <c r="V15" i="28"/>
  <c r="T15" i="28"/>
  <c r="R15" i="28"/>
  <c r="N15" i="28"/>
  <c r="I15" i="28"/>
  <c r="D15" i="28"/>
  <c r="C15" i="28"/>
  <c r="Z14" i="28"/>
  <c r="AA14" i="28" s="1"/>
  <c r="T14" i="28"/>
  <c r="V14" i="28" s="1"/>
  <c r="R14" i="28"/>
  <c r="N14" i="28"/>
  <c r="I14" i="28"/>
  <c r="D14" i="28"/>
  <c r="C14" i="28"/>
  <c r="Z13" i="28"/>
  <c r="AA13" i="28" s="1"/>
  <c r="V13" i="28"/>
  <c r="T13" i="28"/>
  <c r="R13" i="28"/>
  <c r="N13" i="28"/>
  <c r="I13" i="28"/>
  <c r="D13" i="28"/>
  <c r="C13" i="28"/>
  <c r="Z12" i="28"/>
  <c r="AA12" i="28" s="1"/>
  <c r="T12" i="28"/>
  <c r="V12" i="28" s="1"/>
  <c r="R12" i="28"/>
  <c r="N12" i="28"/>
  <c r="I12" i="28"/>
  <c r="D12" i="28"/>
  <c r="C12" i="28"/>
  <c r="Z11" i="28"/>
  <c r="AA11" i="28" s="1"/>
  <c r="V11" i="28"/>
  <c r="T11" i="28"/>
  <c r="R11" i="28"/>
  <c r="N11" i="28"/>
  <c r="I11" i="28"/>
  <c r="D11" i="28"/>
  <c r="C11" i="28"/>
  <c r="Z10" i="28"/>
  <c r="AA10" i="28" s="1"/>
  <c r="T10" i="28"/>
  <c r="V10" i="28" s="1"/>
  <c r="R10" i="28"/>
  <c r="N10" i="28"/>
  <c r="I10" i="28"/>
  <c r="D10" i="28"/>
  <c r="C10" i="28"/>
  <c r="Z9" i="28"/>
  <c r="AA9" i="28" s="1"/>
  <c r="V9" i="28"/>
  <c r="T9" i="28"/>
  <c r="R9" i="28"/>
  <c r="N9" i="28"/>
  <c r="I9" i="28"/>
  <c r="D9" i="28"/>
  <c r="C9" i="28"/>
  <c r="Z8" i="28"/>
  <c r="AA8" i="28" s="1"/>
  <c r="T8" i="28"/>
  <c r="V8" i="28" s="1"/>
  <c r="R8" i="28"/>
  <c r="N8" i="28"/>
  <c r="I8" i="28"/>
  <c r="D8" i="28"/>
  <c r="C8" i="28"/>
  <c r="Z7" i="28"/>
  <c r="AA7" i="28" s="1"/>
  <c r="V7" i="28"/>
  <c r="T7" i="28"/>
  <c r="R7" i="28"/>
  <c r="N7" i="28"/>
  <c r="I7" i="28"/>
  <c r="D7" i="28"/>
  <c r="C7" i="28"/>
  <c r="Z6" i="28"/>
  <c r="AA6" i="28" s="1"/>
  <c r="T6" i="28"/>
  <c r="V6" i="28" s="1"/>
  <c r="R6" i="28"/>
  <c r="N6" i="28"/>
  <c r="I6" i="28"/>
  <c r="D6" i="28"/>
  <c r="O6" i="28" s="1"/>
  <c r="C6" i="28"/>
  <c r="Z5" i="28"/>
  <c r="AA5" i="28" s="1"/>
  <c r="V5" i="28"/>
  <c r="T5" i="28"/>
  <c r="R5" i="28"/>
  <c r="N5" i="28"/>
  <c r="I5" i="28"/>
  <c r="D5" i="28"/>
  <c r="C5" i="28"/>
  <c r="Z4" i="28"/>
  <c r="AA4" i="28" s="1"/>
  <c r="T4" i="28"/>
  <c r="V4" i="28" s="1"/>
  <c r="R4" i="28"/>
  <c r="N4" i="28"/>
  <c r="I4" i="28"/>
  <c r="D4" i="28"/>
  <c r="O4" i="28" s="1"/>
  <c r="C4" i="28"/>
  <c r="Z3" i="28"/>
  <c r="AA3" i="28" s="1"/>
  <c r="V3" i="28"/>
  <c r="T3" i="28"/>
  <c r="R3" i="28"/>
  <c r="N3" i="28"/>
  <c r="I3" i="28"/>
  <c r="D3" i="28"/>
  <c r="C3" i="28"/>
  <c r="Z99" i="27"/>
  <c r="AA99" i="27" s="1"/>
  <c r="T99" i="27"/>
  <c r="V99" i="27" s="1"/>
  <c r="R99" i="27"/>
  <c r="N99" i="27"/>
  <c r="H99" i="27"/>
  <c r="I99" i="27" s="1"/>
  <c r="D99" i="27"/>
  <c r="O99" i="27" s="1"/>
  <c r="C99" i="27"/>
  <c r="Z98" i="27"/>
  <c r="AA98" i="27" s="1"/>
  <c r="V98" i="27"/>
  <c r="T98" i="27"/>
  <c r="R98" i="27"/>
  <c r="N98" i="27"/>
  <c r="H98" i="27"/>
  <c r="I98" i="27" s="1"/>
  <c r="D98" i="27"/>
  <c r="O98" i="27" s="1"/>
  <c r="C98" i="27"/>
  <c r="Z97" i="27"/>
  <c r="AA97" i="27" s="1"/>
  <c r="V97" i="27"/>
  <c r="T97" i="27"/>
  <c r="R97" i="27"/>
  <c r="N97" i="27"/>
  <c r="I97" i="27"/>
  <c r="H97" i="27"/>
  <c r="D97" i="27"/>
  <c r="C97" i="27"/>
  <c r="AA96" i="27"/>
  <c r="Z96" i="27"/>
  <c r="T96" i="27"/>
  <c r="V96" i="27" s="1"/>
  <c r="R96" i="27"/>
  <c r="N96" i="27"/>
  <c r="I96" i="27"/>
  <c r="H96" i="27"/>
  <c r="D96" i="27"/>
  <c r="C96" i="27"/>
  <c r="AA95" i="27"/>
  <c r="Z95" i="27"/>
  <c r="T95" i="27"/>
  <c r="V95" i="27" s="1"/>
  <c r="R95" i="27"/>
  <c r="N95" i="27"/>
  <c r="H95" i="27"/>
  <c r="I95" i="27" s="1"/>
  <c r="D95" i="27"/>
  <c r="C95" i="27"/>
  <c r="Z94" i="27"/>
  <c r="AA94" i="27" s="1"/>
  <c r="V94" i="27"/>
  <c r="T94" i="27"/>
  <c r="R94" i="27"/>
  <c r="N94" i="27"/>
  <c r="H94" i="27"/>
  <c r="I94" i="27" s="1"/>
  <c r="D94" i="27"/>
  <c r="C94" i="27"/>
  <c r="Z93" i="27"/>
  <c r="AA93" i="27" s="1"/>
  <c r="V93" i="27"/>
  <c r="T93" i="27"/>
  <c r="R93" i="27"/>
  <c r="N93" i="27"/>
  <c r="I93" i="27"/>
  <c r="H93" i="27"/>
  <c r="D93" i="27"/>
  <c r="C93" i="27"/>
  <c r="AA92" i="27"/>
  <c r="Z92" i="27"/>
  <c r="T92" i="27"/>
  <c r="V92" i="27" s="1"/>
  <c r="R92" i="27"/>
  <c r="N92" i="27"/>
  <c r="H92" i="27"/>
  <c r="I92" i="27" s="1"/>
  <c r="D92" i="27"/>
  <c r="C92" i="27"/>
  <c r="Z91" i="27"/>
  <c r="AA91" i="27" s="1"/>
  <c r="T91" i="27"/>
  <c r="V91" i="27" s="1"/>
  <c r="R91" i="27"/>
  <c r="N91" i="27"/>
  <c r="H91" i="27"/>
  <c r="I91" i="27" s="1"/>
  <c r="D91" i="27"/>
  <c r="O91" i="27" s="1"/>
  <c r="C91" i="27"/>
  <c r="Z90" i="27"/>
  <c r="AA90" i="27" s="1"/>
  <c r="V90" i="27"/>
  <c r="T90" i="27"/>
  <c r="R90" i="27"/>
  <c r="N90" i="27"/>
  <c r="H90" i="27"/>
  <c r="I90" i="27" s="1"/>
  <c r="D90" i="27"/>
  <c r="O90" i="27" s="1"/>
  <c r="C90" i="27"/>
  <c r="Z89" i="27"/>
  <c r="AA89" i="27" s="1"/>
  <c r="V89" i="27"/>
  <c r="T89" i="27"/>
  <c r="R89" i="27"/>
  <c r="N89" i="27"/>
  <c r="I89" i="27"/>
  <c r="H89" i="27"/>
  <c r="D89" i="27"/>
  <c r="C89" i="27"/>
  <c r="AA88" i="27"/>
  <c r="Z88" i="27"/>
  <c r="T88" i="27"/>
  <c r="V88" i="27" s="1"/>
  <c r="R88" i="27"/>
  <c r="N88" i="27"/>
  <c r="I88" i="27"/>
  <c r="H88" i="27"/>
  <c r="D88" i="27"/>
  <c r="C88" i="27"/>
  <c r="AA87" i="27"/>
  <c r="Z87" i="27"/>
  <c r="T87" i="27"/>
  <c r="V87" i="27" s="1"/>
  <c r="R87" i="27"/>
  <c r="N87" i="27"/>
  <c r="H87" i="27"/>
  <c r="I87" i="27" s="1"/>
  <c r="D87" i="27"/>
  <c r="C87" i="27"/>
  <c r="Z86" i="27"/>
  <c r="AA86" i="27" s="1"/>
  <c r="V86" i="27"/>
  <c r="T86" i="27"/>
  <c r="R86" i="27"/>
  <c r="N86" i="27"/>
  <c r="H86" i="27"/>
  <c r="I86" i="27" s="1"/>
  <c r="D86" i="27"/>
  <c r="C86" i="27"/>
  <c r="Z85" i="27"/>
  <c r="AA85" i="27" s="1"/>
  <c r="V85" i="27"/>
  <c r="T85" i="27"/>
  <c r="R85" i="27"/>
  <c r="N85" i="27"/>
  <c r="I85" i="27"/>
  <c r="H85" i="27"/>
  <c r="D85" i="27"/>
  <c r="C85" i="27"/>
  <c r="AA84" i="27"/>
  <c r="Z84" i="27"/>
  <c r="T84" i="27"/>
  <c r="V84" i="27" s="1"/>
  <c r="R84" i="27"/>
  <c r="N84" i="27"/>
  <c r="H84" i="27"/>
  <c r="I84" i="27" s="1"/>
  <c r="D84" i="27"/>
  <c r="C84" i="27"/>
  <c r="Z83" i="27"/>
  <c r="AA83" i="27" s="1"/>
  <c r="T83" i="27"/>
  <c r="V83" i="27" s="1"/>
  <c r="R83" i="27"/>
  <c r="N83" i="27"/>
  <c r="H83" i="27"/>
  <c r="I83" i="27" s="1"/>
  <c r="D83" i="27"/>
  <c r="O83" i="27" s="1"/>
  <c r="C83" i="27"/>
  <c r="Z82" i="27"/>
  <c r="AA82" i="27" s="1"/>
  <c r="V82" i="27"/>
  <c r="T82" i="27"/>
  <c r="R82" i="27"/>
  <c r="N82" i="27"/>
  <c r="H82" i="27"/>
  <c r="I82" i="27" s="1"/>
  <c r="D82" i="27"/>
  <c r="O82" i="27" s="1"/>
  <c r="C82" i="27"/>
  <c r="Z81" i="27"/>
  <c r="AA81" i="27" s="1"/>
  <c r="V81" i="27"/>
  <c r="T81" i="27"/>
  <c r="R81" i="27"/>
  <c r="N81" i="27"/>
  <c r="I81" i="27"/>
  <c r="H81" i="27"/>
  <c r="D81" i="27"/>
  <c r="C81" i="27"/>
  <c r="AA80" i="27"/>
  <c r="Z80" i="27"/>
  <c r="T80" i="27"/>
  <c r="V80" i="27" s="1"/>
  <c r="R80" i="27"/>
  <c r="N80" i="27"/>
  <c r="I80" i="27"/>
  <c r="H80" i="27"/>
  <c r="D80" i="27"/>
  <c r="C80" i="27"/>
  <c r="AA79" i="27"/>
  <c r="Z79" i="27"/>
  <c r="T79" i="27"/>
  <c r="V79" i="27" s="1"/>
  <c r="R79" i="27"/>
  <c r="N79" i="27"/>
  <c r="H79" i="27"/>
  <c r="I79" i="27" s="1"/>
  <c r="D79" i="27"/>
  <c r="C79" i="27"/>
  <c r="Z78" i="27"/>
  <c r="AA78" i="27" s="1"/>
  <c r="V78" i="27"/>
  <c r="T78" i="27"/>
  <c r="R78" i="27"/>
  <c r="N78" i="27"/>
  <c r="H78" i="27"/>
  <c r="I78" i="27" s="1"/>
  <c r="D78" i="27"/>
  <c r="C78" i="27"/>
  <c r="Z77" i="27"/>
  <c r="AA77" i="27" s="1"/>
  <c r="T77" i="27"/>
  <c r="V77" i="27" s="1"/>
  <c r="R77" i="27"/>
  <c r="N77" i="27"/>
  <c r="H77" i="27"/>
  <c r="I77" i="27" s="1"/>
  <c r="D77" i="27"/>
  <c r="C77" i="27"/>
  <c r="Z76" i="27"/>
  <c r="AA76" i="27" s="1"/>
  <c r="T76" i="27"/>
  <c r="V76" i="27" s="1"/>
  <c r="R76" i="27"/>
  <c r="N76" i="27"/>
  <c r="H76" i="27"/>
  <c r="I76" i="27" s="1"/>
  <c r="D76" i="27"/>
  <c r="C76" i="27"/>
  <c r="Z75" i="27"/>
  <c r="AA75" i="27" s="1"/>
  <c r="T75" i="27"/>
  <c r="V75" i="27" s="1"/>
  <c r="R75" i="27"/>
  <c r="N75" i="27"/>
  <c r="H75" i="27"/>
  <c r="I75" i="27" s="1"/>
  <c r="D75" i="27"/>
  <c r="C75" i="27"/>
  <c r="Z74" i="27"/>
  <c r="AA74" i="27" s="1"/>
  <c r="V74" i="27"/>
  <c r="T74" i="27"/>
  <c r="R74" i="27"/>
  <c r="N74" i="27"/>
  <c r="H74" i="27"/>
  <c r="I74" i="27" s="1"/>
  <c r="D74" i="27"/>
  <c r="C74" i="27"/>
  <c r="Z73" i="27"/>
  <c r="AA73" i="27" s="1"/>
  <c r="V73" i="27"/>
  <c r="T73" i="27"/>
  <c r="R73" i="27"/>
  <c r="N73" i="27"/>
  <c r="I73" i="27"/>
  <c r="H73" i="27"/>
  <c r="D73" i="27"/>
  <c r="C73" i="27"/>
  <c r="AA72" i="27"/>
  <c r="Z72" i="27"/>
  <c r="T72" i="27"/>
  <c r="V72" i="27" s="1"/>
  <c r="R72" i="27"/>
  <c r="N72" i="27"/>
  <c r="H72" i="27"/>
  <c r="I72" i="27" s="1"/>
  <c r="D72" i="27"/>
  <c r="C72" i="27"/>
  <c r="Z71" i="27"/>
  <c r="AA71" i="27" s="1"/>
  <c r="T71" i="27"/>
  <c r="V71" i="27" s="1"/>
  <c r="R71" i="27"/>
  <c r="N71" i="27"/>
  <c r="H71" i="27"/>
  <c r="I71" i="27" s="1"/>
  <c r="D71" i="27"/>
  <c r="O71" i="27" s="1"/>
  <c r="C71" i="27"/>
  <c r="Z70" i="27"/>
  <c r="AA70" i="27" s="1"/>
  <c r="T70" i="27"/>
  <c r="V70" i="27" s="1"/>
  <c r="R70" i="27"/>
  <c r="N70" i="27"/>
  <c r="H70" i="27"/>
  <c r="I70" i="27" s="1"/>
  <c r="D70" i="27"/>
  <c r="O70" i="27" s="1"/>
  <c r="C70" i="27"/>
  <c r="Z69" i="27"/>
  <c r="AA69" i="27" s="1"/>
  <c r="T69" i="27"/>
  <c r="V69" i="27" s="1"/>
  <c r="R69" i="27"/>
  <c r="N69" i="27"/>
  <c r="H69" i="27"/>
  <c r="I69" i="27" s="1"/>
  <c r="D69" i="27"/>
  <c r="C69" i="27"/>
  <c r="Z68" i="27"/>
  <c r="AA68" i="27" s="1"/>
  <c r="T68" i="27"/>
  <c r="V68" i="27" s="1"/>
  <c r="R68" i="27"/>
  <c r="N68" i="27"/>
  <c r="O68" i="27" s="1"/>
  <c r="I68" i="27"/>
  <c r="H68" i="27"/>
  <c r="D68" i="27"/>
  <c r="C68" i="27"/>
  <c r="AA67" i="27"/>
  <c r="Z67" i="27"/>
  <c r="T67" i="27"/>
  <c r="V67" i="27" s="1"/>
  <c r="R67" i="27"/>
  <c r="N67" i="27"/>
  <c r="H67" i="27"/>
  <c r="I67" i="27" s="1"/>
  <c r="D67" i="27"/>
  <c r="C67" i="27"/>
  <c r="Z66" i="27"/>
  <c r="AA66" i="27" s="1"/>
  <c r="V66" i="27"/>
  <c r="T66" i="27"/>
  <c r="R66" i="27"/>
  <c r="N66" i="27"/>
  <c r="H66" i="27"/>
  <c r="I66" i="27" s="1"/>
  <c r="D66" i="27"/>
  <c r="C66" i="27"/>
  <c r="Z65" i="27"/>
  <c r="AA65" i="27" s="1"/>
  <c r="V65" i="27"/>
  <c r="T65" i="27"/>
  <c r="R65" i="27"/>
  <c r="N65" i="27"/>
  <c r="I65" i="27"/>
  <c r="H65" i="27"/>
  <c r="D65" i="27"/>
  <c r="C65" i="27"/>
  <c r="AA64" i="27"/>
  <c r="Z64" i="27"/>
  <c r="T64" i="27"/>
  <c r="V64" i="27" s="1"/>
  <c r="R64" i="27"/>
  <c r="N64" i="27"/>
  <c r="H64" i="27"/>
  <c r="I64" i="27" s="1"/>
  <c r="D64" i="27"/>
  <c r="C64" i="27"/>
  <c r="Z63" i="27"/>
  <c r="AA63" i="27" s="1"/>
  <c r="T63" i="27"/>
  <c r="V63" i="27" s="1"/>
  <c r="R63" i="27"/>
  <c r="N63" i="27"/>
  <c r="H63" i="27"/>
  <c r="I63" i="27" s="1"/>
  <c r="D63" i="27"/>
  <c r="O63" i="27" s="1"/>
  <c r="C63" i="27"/>
  <c r="Z62" i="27"/>
  <c r="AA62" i="27" s="1"/>
  <c r="T62" i="27"/>
  <c r="V62" i="27" s="1"/>
  <c r="R62" i="27"/>
  <c r="N62" i="27"/>
  <c r="H62" i="27"/>
  <c r="I62" i="27" s="1"/>
  <c r="D62" i="27"/>
  <c r="C62" i="27"/>
  <c r="Z61" i="27"/>
  <c r="AA61" i="27" s="1"/>
  <c r="V61" i="27"/>
  <c r="T61" i="27"/>
  <c r="R61" i="27"/>
  <c r="N61" i="27"/>
  <c r="O61" i="27" s="1"/>
  <c r="I61" i="27"/>
  <c r="H61" i="27"/>
  <c r="D61" i="27"/>
  <c r="C61" i="27"/>
  <c r="Z60" i="27"/>
  <c r="AA60" i="27" s="1"/>
  <c r="T60" i="27"/>
  <c r="V60" i="27" s="1"/>
  <c r="R60" i="27"/>
  <c r="N60" i="27"/>
  <c r="I60" i="27"/>
  <c r="H60" i="27"/>
  <c r="D60" i="27"/>
  <c r="C60" i="27"/>
  <c r="AA59" i="27"/>
  <c r="Z59" i="27"/>
  <c r="T59" i="27"/>
  <c r="V59" i="27" s="1"/>
  <c r="R59" i="27"/>
  <c r="N59" i="27"/>
  <c r="H59" i="27"/>
  <c r="I59" i="27" s="1"/>
  <c r="D59" i="27"/>
  <c r="C59" i="27"/>
  <c r="Z58" i="27"/>
  <c r="AA58" i="27" s="1"/>
  <c r="T58" i="27"/>
  <c r="V58" i="27" s="1"/>
  <c r="R58" i="27"/>
  <c r="N58" i="27"/>
  <c r="I58" i="27"/>
  <c r="H58" i="27"/>
  <c r="D58" i="27"/>
  <c r="C58" i="27"/>
  <c r="AA57" i="27"/>
  <c r="Z57" i="27"/>
  <c r="T57" i="27"/>
  <c r="V57" i="27" s="1"/>
  <c r="R57" i="27"/>
  <c r="N57" i="27"/>
  <c r="H57" i="27"/>
  <c r="I57" i="27" s="1"/>
  <c r="D57" i="27"/>
  <c r="C57" i="27"/>
  <c r="Z56" i="27"/>
  <c r="AA56" i="27" s="1"/>
  <c r="T56" i="27"/>
  <c r="V56" i="27" s="1"/>
  <c r="R56" i="27"/>
  <c r="N56" i="27"/>
  <c r="H56" i="27"/>
  <c r="I56" i="27" s="1"/>
  <c r="D56" i="27"/>
  <c r="O56" i="27" s="1"/>
  <c r="C56" i="27"/>
  <c r="Z55" i="27"/>
  <c r="AA55" i="27" s="1"/>
  <c r="V55" i="27"/>
  <c r="T55" i="27"/>
  <c r="R55" i="27"/>
  <c r="N55" i="27"/>
  <c r="H55" i="27"/>
  <c r="I55" i="27" s="1"/>
  <c r="D55" i="27"/>
  <c r="C55" i="27"/>
  <c r="Z54" i="27"/>
  <c r="AA54" i="27" s="1"/>
  <c r="T54" i="27"/>
  <c r="V54" i="27" s="1"/>
  <c r="R54" i="27"/>
  <c r="N54" i="27"/>
  <c r="H54" i="27"/>
  <c r="I54" i="27" s="1"/>
  <c r="D54" i="27"/>
  <c r="O54" i="27" s="1"/>
  <c r="C54" i="27"/>
  <c r="Z53" i="27"/>
  <c r="AA53" i="27" s="1"/>
  <c r="V53" i="27"/>
  <c r="T53" i="27"/>
  <c r="R53" i="27"/>
  <c r="N53" i="27"/>
  <c r="H53" i="27"/>
  <c r="I53" i="27" s="1"/>
  <c r="D53" i="27"/>
  <c r="C53" i="27"/>
  <c r="Z52" i="27"/>
  <c r="AA52" i="27" s="1"/>
  <c r="T52" i="27"/>
  <c r="V52" i="27" s="1"/>
  <c r="R52" i="27"/>
  <c r="N52" i="27"/>
  <c r="I52" i="27"/>
  <c r="H52" i="27"/>
  <c r="D52" i="27"/>
  <c r="C52" i="27"/>
  <c r="AA51" i="27"/>
  <c r="Z51" i="27"/>
  <c r="T51" i="27"/>
  <c r="V51" i="27" s="1"/>
  <c r="R51" i="27"/>
  <c r="N51" i="27"/>
  <c r="H51" i="27"/>
  <c r="I51" i="27" s="1"/>
  <c r="D51" i="27"/>
  <c r="C51" i="27"/>
  <c r="Z50" i="27"/>
  <c r="AA50" i="27" s="1"/>
  <c r="T50" i="27"/>
  <c r="V50" i="27" s="1"/>
  <c r="R50" i="27"/>
  <c r="N50" i="27"/>
  <c r="I50" i="27"/>
  <c r="H50" i="27"/>
  <c r="D50" i="27"/>
  <c r="C50" i="27"/>
  <c r="AA49" i="27"/>
  <c r="Z49" i="27"/>
  <c r="T49" i="27"/>
  <c r="V49" i="27" s="1"/>
  <c r="R49" i="27"/>
  <c r="N49" i="27"/>
  <c r="H49" i="27"/>
  <c r="I49" i="27" s="1"/>
  <c r="D49" i="27"/>
  <c r="C49" i="27"/>
  <c r="Z48" i="27"/>
  <c r="AA48" i="27" s="1"/>
  <c r="T48" i="27"/>
  <c r="V48" i="27" s="1"/>
  <c r="R48" i="27"/>
  <c r="N48" i="27"/>
  <c r="H48" i="27"/>
  <c r="I48" i="27" s="1"/>
  <c r="D48" i="27"/>
  <c r="O48" i="27" s="1"/>
  <c r="C48" i="27"/>
  <c r="Z47" i="27"/>
  <c r="AA47" i="27" s="1"/>
  <c r="V47" i="27"/>
  <c r="T47" i="27"/>
  <c r="R47" i="27"/>
  <c r="N47" i="27"/>
  <c r="H47" i="27"/>
  <c r="I47" i="27" s="1"/>
  <c r="D47" i="27"/>
  <c r="C47" i="27"/>
  <c r="Z46" i="27"/>
  <c r="AA46" i="27" s="1"/>
  <c r="T46" i="27"/>
  <c r="V46" i="27" s="1"/>
  <c r="R46" i="27"/>
  <c r="N46" i="27"/>
  <c r="H46" i="27"/>
  <c r="I46" i="27" s="1"/>
  <c r="D46" i="27"/>
  <c r="O46" i="27" s="1"/>
  <c r="C46" i="27"/>
  <c r="Z45" i="27"/>
  <c r="AA45" i="27" s="1"/>
  <c r="V45" i="27"/>
  <c r="T45" i="27"/>
  <c r="R45" i="27"/>
  <c r="N45" i="27"/>
  <c r="H45" i="27"/>
  <c r="I45" i="27" s="1"/>
  <c r="D45" i="27"/>
  <c r="C45" i="27"/>
  <c r="Z44" i="27"/>
  <c r="AA44" i="27" s="1"/>
  <c r="T44" i="27"/>
  <c r="V44" i="27" s="1"/>
  <c r="R44" i="27"/>
  <c r="N44" i="27"/>
  <c r="I44" i="27"/>
  <c r="H44" i="27"/>
  <c r="D44" i="27"/>
  <c r="C44" i="27"/>
  <c r="AA43" i="27"/>
  <c r="Z43" i="27"/>
  <c r="T43" i="27"/>
  <c r="V43" i="27" s="1"/>
  <c r="R43" i="27"/>
  <c r="N43" i="27"/>
  <c r="H43" i="27"/>
  <c r="I43" i="27" s="1"/>
  <c r="D43" i="27"/>
  <c r="C43" i="27"/>
  <c r="Z42" i="27"/>
  <c r="AA42" i="27" s="1"/>
  <c r="T42" i="27"/>
  <c r="V42" i="27" s="1"/>
  <c r="R42" i="27"/>
  <c r="N42" i="27"/>
  <c r="I42" i="27"/>
  <c r="H42" i="27"/>
  <c r="D42" i="27"/>
  <c r="C42" i="27"/>
  <c r="AA41" i="27"/>
  <c r="Z41" i="27"/>
  <c r="T41" i="27"/>
  <c r="V41" i="27" s="1"/>
  <c r="R41" i="27"/>
  <c r="N41" i="27"/>
  <c r="H41" i="27"/>
  <c r="I41" i="27" s="1"/>
  <c r="D41" i="27"/>
  <c r="C41" i="27"/>
  <c r="Z40" i="27"/>
  <c r="AA40" i="27" s="1"/>
  <c r="T40" i="27"/>
  <c r="V40" i="27" s="1"/>
  <c r="R40" i="27"/>
  <c r="N40" i="27"/>
  <c r="H40" i="27"/>
  <c r="I40" i="27" s="1"/>
  <c r="D40" i="27"/>
  <c r="O40" i="27" s="1"/>
  <c r="C40" i="27"/>
  <c r="Z39" i="27"/>
  <c r="AA39" i="27" s="1"/>
  <c r="V39" i="27"/>
  <c r="T39" i="27"/>
  <c r="R39" i="27"/>
  <c r="N39" i="27"/>
  <c r="O39" i="27" s="1"/>
  <c r="I39" i="27"/>
  <c r="H39" i="27"/>
  <c r="D39" i="27"/>
  <c r="C39" i="27"/>
  <c r="AA38" i="27"/>
  <c r="Z38" i="27"/>
  <c r="T38" i="27"/>
  <c r="V38" i="27" s="1"/>
  <c r="R38" i="27"/>
  <c r="N38" i="27"/>
  <c r="H38" i="27"/>
  <c r="I38" i="27" s="1"/>
  <c r="D38" i="27"/>
  <c r="C38" i="27"/>
  <c r="Z37" i="27"/>
  <c r="AA37" i="27" s="1"/>
  <c r="V37" i="27"/>
  <c r="T37" i="27"/>
  <c r="R37" i="27"/>
  <c r="N37" i="27"/>
  <c r="H37" i="27"/>
  <c r="I37" i="27" s="1"/>
  <c r="D37" i="27"/>
  <c r="C37" i="27"/>
  <c r="Z36" i="27"/>
  <c r="AA36" i="27" s="1"/>
  <c r="T36" i="27"/>
  <c r="V36" i="27" s="1"/>
  <c r="R36" i="27"/>
  <c r="N36" i="27"/>
  <c r="I36" i="27"/>
  <c r="H36" i="27"/>
  <c r="D36" i="27"/>
  <c r="C36" i="27"/>
  <c r="AA35" i="27"/>
  <c r="Z35" i="27"/>
  <c r="T35" i="27"/>
  <c r="V35" i="27" s="1"/>
  <c r="R35" i="27"/>
  <c r="N35" i="27"/>
  <c r="I35" i="27"/>
  <c r="D35" i="27"/>
  <c r="C35" i="27"/>
  <c r="Z34" i="27"/>
  <c r="AA34" i="27" s="1"/>
  <c r="T34" i="27"/>
  <c r="V34" i="27" s="1"/>
  <c r="R34" i="27"/>
  <c r="N34" i="27"/>
  <c r="I34" i="27"/>
  <c r="D34" i="27"/>
  <c r="O34" i="27" s="1"/>
  <c r="C34" i="27"/>
  <c r="Z33" i="27"/>
  <c r="AA33" i="27" s="1"/>
  <c r="T33" i="27"/>
  <c r="V33" i="27" s="1"/>
  <c r="R33" i="27"/>
  <c r="N33" i="27"/>
  <c r="I33" i="27"/>
  <c r="D33" i="27"/>
  <c r="C33" i="27"/>
  <c r="Z32" i="27"/>
  <c r="AA32" i="27" s="1"/>
  <c r="T32" i="27"/>
  <c r="V32" i="27" s="1"/>
  <c r="R32" i="27"/>
  <c r="N32" i="27"/>
  <c r="I32" i="27"/>
  <c r="D32" i="27"/>
  <c r="C32" i="27"/>
  <c r="Z31" i="27"/>
  <c r="AA31" i="27" s="1"/>
  <c r="T31" i="27"/>
  <c r="V31" i="27" s="1"/>
  <c r="R31" i="27"/>
  <c r="N31" i="27"/>
  <c r="I31" i="27"/>
  <c r="D31" i="27"/>
  <c r="C31" i="27"/>
  <c r="Z30" i="27"/>
  <c r="AA30" i="27" s="1"/>
  <c r="T30" i="27"/>
  <c r="V30" i="27" s="1"/>
  <c r="R30" i="27"/>
  <c r="N30" i="27"/>
  <c r="I30" i="27"/>
  <c r="D30" i="27"/>
  <c r="C30" i="27"/>
  <c r="Z29" i="27"/>
  <c r="AA29" i="27" s="1"/>
  <c r="T29" i="27"/>
  <c r="V29" i="27" s="1"/>
  <c r="R29" i="27"/>
  <c r="N29" i="27"/>
  <c r="I29" i="27"/>
  <c r="D29" i="27"/>
  <c r="C29" i="27"/>
  <c r="Z28" i="27"/>
  <c r="AA28" i="27" s="1"/>
  <c r="V28" i="27"/>
  <c r="T28" i="27"/>
  <c r="R28" i="27"/>
  <c r="N28" i="27"/>
  <c r="I28" i="27"/>
  <c r="D28" i="27"/>
  <c r="C28" i="27"/>
  <c r="Z27" i="27"/>
  <c r="AA27" i="27" s="1"/>
  <c r="V27" i="27"/>
  <c r="T27" i="27"/>
  <c r="R27" i="27"/>
  <c r="N27" i="27"/>
  <c r="I27" i="27"/>
  <c r="D27" i="27"/>
  <c r="C27" i="27"/>
  <c r="AA26" i="27"/>
  <c r="Z26" i="27"/>
  <c r="T26" i="27"/>
  <c r="V26" i="27" s="1"/>
  <c r="R26" i="27"/>
  <c r="N26" i="27"/>
  <c r="I26" i="27"/>
  <c r="D26" i="27"/>
  <c r="O26" i="27" s="1"/>
  <c r="C26" i="27"/>
  <c r="AA25" i="27"/>
  <c r="Z25" i="27"/>
  <c r="T25" i="27"/>
  <c r="V25" i="27" s="1"/>
  <c r="R25" i="27"/>
  <c r="N25" i="27"/>
  <c r="I25" i="27"/>
  <c r="D25" i="27"/>
  <c r="C25" i="27"/>
  <c r="Z24" i="27"/>
  <c r="AA24" i="27" s="1"/>
  <c r="T24" i="27"/>
  <c r="V24" i="27" s="1"/>
  <c r="R24" i="27"/>
  <c r="N24" i="27"/>
  <c r="I24" i="27"/>
  <c r="D24" i="27"/>
  <c r="O24" i="27" s="1"/>
  <c r="C24" i="27"/>
  <c r="Z23" i="27"/>
  <c r="AA23" i="27" s="1"/>
  <c r="T23" i="27"/>
  <c r="V23" i="27" s="1"/>
  <c r="R23" i="27"/>
  <c r="N23" i="27"/>
  <c r="I23" i="27"/>
  <c r="D23" i="27"/>
  <c r="C23" i="27"/>
  <c r="Z22" i="27"/>
  <c r="AA22" i="27" s="1"/>
  <c r="T22" i="27"/>
  <c r="V22" i="27" s="1"/>
  <c r="R22" i="27"/>
  <c r="N22" i="27"/>
  <c r="I22" i="27"/>
  <c r="D22" i="27"/>
  <c r="C22" i="27"/>
  <c r="Z21" i="27"/>
  <c r="AA21" i="27" s="1"/>
  <c r="T21" i="27"/>
  <c r="V21" i="27" s="1"/>
  <c r="R21" i="27"/>
  <c r="N21" i="27"/>
  <c r="I21" i="27"/>
  <c r="D21" i="27"/>
  <c r="C21" i="27"/>
  <c r="Z20" i="27"/>
  <c r="AA20" i="27" s="1"/>
  <c r="V20" i="27"/>
  <c r="T20" i="27"/>
  <c r="R20" i="27"/>
  <c r="N20" i="27"/>
  <c r="I20" i="27"/>
  <c r="D20" i="27"/>
  <c r="C20" i="27"/>
  <c r="Z19" i="27"/>
  <c r="AA19" i="27" s="1"/>
  <c r="V19" i="27"/>
  <c r="T19" i="27"/>
  <c r="R19" i="27"/>
  <c r="N19" i="27"/>
  <c r="I19" i="27"/>
  <c r="D19" i="27"/>
  <c r="C19" i="27"/>
  <c r="Z18" i="27"/>
  <c r="AA18" i="27" s="1"/>
  <c r="V18" i="27"/>
  <c r="T18" i="27"/>
  <c r="R18" i="27"/>
  <c r="N18" i="27"/>
  <c r="I18" i="27"/>
  <c r="D18" i="27"/>
  <c r="C18" i="27"/>
  <c r="AA17" i="27"/>
  <c r="Z17" i="27"/>
  <c r="T17" i="27"/>
  <c r="V17" i="27" s="1"/>
  <c r="R17" i="27"/>
  <c r="N17" i="27"/>
  <c r="I17" i="27"/>
  <c r="D17" i="27"/>
  <c r="C17" i="27"/>
  <c r="Z16" i="27"/>
  <c r="AA16" i="27" s="1"/>
  <c r="V16" i="27"/>
  <c r="T16" i="27"/>
  <c r="R16" i="27"/>
  <c r="N16" i="27"/>
  <c r="I16" i="27"/>
  <c r="D16" i="27"/>
  <c r="C16" i="27"/>
  <c r="AA15" i="27"/>
  <c r="Z15" i="27"/>
  <c r="T15" i="27"/>
  <c r="V15" i="27" s="1"/>
  <c r="R15" i="27"/>
  <c r="N15" i="27"/>
  <c r="I15" i="27"/>
  <c r="D15" i="27"/>
  <c r="C15" i="27"/>
  <c r="Z14" i="27"/>
  <c r="AA14" i="27" s="1"/>
  <c r="V14" i="27"/>
  <c r="T14" i="27"/>
  <c r="R14" i="27"/>
  <c r="N14" i="27"/>
  <c r="I14" i="27"/>
  <c r="D14" i="27"/>
  <c r="C14" i="27"/>
  <c r="AA13" i="27"/>
  <c r="Z13" i="27"/>
  <c r="T13" i="27"/>
  <c r="V13" i="27" s="1"/>
  <c r="R13" i="27"/>
  <c r="N13" i="27"/>
  <c r="I13" i="27"/>
  <c r="D13" i="27"/>
  <c r="C13" i="27"/>
  <c r="AA12" i="27"/>
  <c r="Z12" i="27"/>
  <c r="T12" i="27"/>
  <c r="V12" i="27" s="1"/>
  <c r="R12" i="27"/>
  <c r="N12" i="27"/>
  <c r="I12" i="27"/>
  <c r="D12" i="27"/>
  <c r="C12" i="27"/>
  <c r="Z11" i="27"/>
  <c r="AA11" i="27" s="1"/>
  <c r="T11" i="27"/>
  <c r="V11" i="27" s="1"/>
  <c r="R11" i="27"/>
  <c r="N11" i="27"/>
  <c r="I11" i="27"/>
  <c r="D11" i="27"/>
  <c r="C11" i="27"/>
  <c r="Z10" i="27"/>
  <c r="AA10" i="27" s="1"/>
  <c r="V10" i="27"/>
  <c r="T10" i="27"/>
  <c r="R10" i="27"/>
  <c r="N10" i="27"/>
  <c r="I10" i="27"/>
  <c r="D10" i="27"/>
  <c r="C10" i="27"/>
  <c r="Z9" i="27"/>
  <c r="AA9" i="27" s="1"/>
  <c r="T9" i="27"/>
  <c r="V9" i="27" s="1"/>
  <c r="R9" i="27"/>
  <c r="N9" i="27"/>
  <c r="I9" i="27"/>
  <c r="D9" i="27"/>
  <c r="C9" i="27"/>
  <c r="Z8" i="27"/>
  <c r="AA8" i="27" s="1"/>
  <c r="T8" i="27"/>
  <c r="V8" i="27" s="1"/>
  <c r="R8" i="27"/>
  <c r="N8" i="27"/>
  <c r="I8" i="27"/>
  <c r="D8" i="27"/>
  <c r="C8" i="27"/>
  <c r="AA7" i="27"/>
  <c r="Z7" i="27"/>
  <c r="T7" i="27"/>
  <c r="V7" i="27" s="1"/>
  <c r="R7" i="27"/>
  <c r="N7" i="27"/>
  <c r="I7" i="27"/>
  <c r="D7" i="27"/>
  <c r="C7" i="27"/>
  <c r="Z6" i="27"/>
  <c r="AA6" i="27" s="1"/>
  <c r="T6" i="27"/>
  <c r="V6" i="27" s="1"/>
  <c r="R6" i="27"/>
  <c r="N6" i="27"/>
  <c r="I6" i="27"/>
  <c r="D6" i="27"/>
  <c r="C6" i="27"/>
  <c r="AA5" i="27"/>
  <c r="Z5" i="27"/>
  <c r="T5" i="27"/>
  <c r="V5" i="27" s="1"/>
  <c r="R5" i="27"/>
  <c r="N5" i="27"/>
  <c r="I5" i="27"/>
  <c r="D5" i="27"/>
  <c r="C5" i="27"/>
  <c r="AA4" i="27"/>
  <c r="Z4" i="27"/>
  <c r="T4" i="27"/>
  <c r="V4" i="27" s="1"/>
  <c r="R4" i="27"/>
  <c r="N4" i="27"/>
  <c r="I4" i="27"/>
  <c r="D4" i="27"/>
  <c r="C4" i="27"/>
  <c r="Z3" i="27"/>
  <c r="AA3" i="27" s="1"/>
  <c r="T3" i="27"/>
  <c r="V3" i="27" s="1"/>
  <c r="R3" i="27"/>
  <c r="N3" i="27"/>
  <c r="I3" i="27"/>
  <c r="D3" i="27"/>
  <c r="C3" i="27"/>
  <c r="Z99" i="26"/>
  <c r="AA99" i="26" s="1"/>
  <c r="T99" i="26"/>
  <c r="V99" i="26" s="1"/>
  <c r="R99" i="26"/>
  <c r="N99" i="26"/>
  <c r="H99" i="26"/>
  <c r="I99" i="26" s="1"/>
  <c r="D99" i="26"/>
  <c r="C99" i="26"/>
  <c r="Z98" i="26"/>
  <c r="AA98" i="26" s="1"/>
  <c r="T98" i="26"/>
  <c r="V98" i="26" s="1"/>
  <c r="R98" i="26"/>
  <c r="N98" i="26"/>
  <c r="H98" i="26"/>
  <c r="I98" i="26" s="1"/>
  <c r="D98" i="26"/>
  <c r="C98" i="26"/>
  <c r="Z97" i="26"/>
  <c r="AA97" i="26" s="1"/>
  <c r="T97" i="26"/>
  <c r="V97" i="26" s="1"/>
  <c r="R97" i="26"/>
  <c r="N97" i="26"/>
  <c r="H97" i="26"/>
  <c r="I97" i="26" s="1"/>
  <c r="D97" i="26"/>
  <c r="C97" i="26"/>
  <c r="Z96" i="26"/>
  <c r="AA96" i="26" s="1"/>
  <c r="T96" i="26"/>
  <c r="V96" i="26" s="1"/>
  <c r="R96" i="26"/>
  <c r="N96" i="26"/>
  <c r="H96" i="26"/>
  <c r="I96" i="26" s="1"/>
  <c r="D96" i="26"/>
  <c r="O96" i="26" s="1"/>
  <c r="C96" i="26"/>
  <c r="Z95" i="26"/>
  <c r="AA95" i="26" s="1"/>
  <c r="T95" i="26"/>
  <c r="V95" i="26" s="1"/>
  <c r="R95" i="26"/>
  <c r="N95" i="26"/>
  <c r="H95" i="26"/>
  <c r="I95" i="26" s="1"/>
  <c r="D95" i="26"/>
  <c r="C95" i="26"/>
  <c r="Z94" i="26"/>
  <c r="AA94" i="26" s="1"/>
  <c r="V94" i="26"/>
  <c r="T94" i="26"/>
  <c r="R94" i="26"/>
  <c r="N94" i="26"/>
  <c r="I94" i="26"/>
  <c r="H94" i="26"/>
  <c r="D94" i="26"/>
  <c r="C94" i="26"/>
  <c r="AA93" i="26"/>
  <c r="Z93" i="26"/>
  <c r="T93" i="26"/>
  <c r="V93" i="26" s="1"/>
  <c r="R93" i="26"/>
  <c r="N93" i="26"/>
  <c r="H93" i="26"/>
  <c r="I93" i="26" s="1"/>
  <c r="D93" i="26"/>
  <c r="C93" i="26"/>
  <c r="Z92" i="26"/>
  <c r="AA92" i="26" s="1"/>
  <c r="T92" i="26"/>
  <c r="V92" i="26" s="1"/>
  <c r="R92" i="26"/>
  <c r="N92" i="26"/>
  <c r="I92" i="26"/>
  <c r="H92" i="26"/>
  <c r="D92" i="26"/>
  <c r="O92" i="26" s="1"/>
  <c r="C92" i="26"/>
  <c r="AA91" i="26"/>
  <c r="Z91" i="26"/>
  <c r="V91" i="26"/>
  <c r="T91" i="26"/>
  <c r="R91" i="26"/>
  <c r="N91" i="26"/>
  <c r="H91" i="26"/>
  <c r="I91" i="26" s="1"/>
  <c r="D91" i="26"/>
  <c r="O91" i="26" s="1"/>
  <c r="C91" i="26"/>
  <c r="Z90" i="26"/>
  <c r="AA90" i="26" s="1"/>
  <c r="T90" i="26"/>
  <c r="V90" i="26" s="1"/>
  <c r="R90" i="26"/>
  <c r="N90" i="26"/>
  <c r="H90" i="26"/>
  <c r="I90" i="26" s="1"/>
  <c r="D90" i="26"/>
  <c r="C90" i="26"/>
  <c r="Z89" i="26"/>
  <c r="AA89" i="26" s="1"/>
  <c r="T89" i="26"/>
  <c r="V89" i="26" s="1"/>
  <c r="R89" i="26"/>
  <c r="N89" i="26"/>
  <c r="H89" i="26"/>
  <c r="I89" i="26" s="1"/>
  <c r="D89" i="26"/>
  <c r="C89" i="26"/>
  <c r="Z88" i="26"/>
  <c r="AA88" i="26" s="1"/>
  <c r="T88" i="26"/>
  <c r="V88" i="26" s="1"/>
  <c r="R88" i="26"/>
  <c r="N88" i="26"/>
  <c r="H88" i="26"/>
  <c r="I88" i="26" s="1"/>
  <c r="D88" i="26"/>
  <c r="O88" i="26" s="1"/>
  <c r="C88" i="26"/>
  <c r="Z87" i="26"/>
  <c r="AA87" i="26" s="1"/>
  <c r="V87" i="26"/>
  <c r="T87" i="26"/>
  <c r="R87" i="26"/>
  <c r="N87" i="26"/>
  <c r="H87" i="26"/>
  <c r="I87" i="26" s="1"/>
  <c r="D87" i="26"/>
  <c r="C87" i="26"/>
  <c r="Z86" i="26"/>
  <c r="AA86" i="26" s="1"/>
  <c r="T86" i="26"/>
  <c r="V86" i="26" s="1"/>
  <c r="R86" i="26"/>
  <c r="N86" i="26"/>
  <c r="H86" i="26"/>
  <c r="I86" i="26" s="1"/>
  <c r="D86" i="26"/>
  <c r="C86" i="26"/>
  <c r="Z85" i="26"/>
  <c r="AA85" i="26" s="1"/>
  <c r="T85" i="26"/>
  <c r="V85" i="26" s="1"/>
  <c r="R85" i="26"/>
  <c r="N85" i="26"/>
  <c r="H85" i="26"/>
  <c r="I85" i="26" s="1"/>
  <c r="D85" i="26"/>
  <c r="C85" i="26"/>
  <c r="Z84" i="26"/>
  <c r="AA84" i="26" s="1"/>
  <c r="T84" i="26"/>
  <c r="V84" i="26" s="1"/>
  <c r="R84" i="26"/>
  <c r="N84" i="26"/>
  <c r="H84" i="26"/>
  <c r="I84" i="26" s="1"/>
  <c r="D84" i="26"/>
  <c r="O84" i="26" s="1"/>
  <c r="C84" i="26"/>
  <c r="Z83" i="26"/>
  <c r="AA83" i="26" s="1"/>
  <c r="T83" i="26"/>
  <c r="V83" i="26" s="1"/>
  <c r="R83" i="26"/>
  <c r="N83" i="26"/>
  <c r="H83" i="26"/>
  <c r="I83" i="26" s="1"/>
  <c r="D83" i="26"/>
  <c r="C83" i="26"/>
  <c r="Z82" i="26"/>
  <c r="AA82" i="26" s="1"/>
  <c r="T82" i="26"/>
  <c r="V82" i="26" s="1"/>
  <c r="R82" i="26"/>
  <c r="N82" i="26"/>
  <c r="H82" i="26"/>
  <c r="I82" i="26" s="1"/>
  <c r="D82" i="26"/>
  <c r="C82" i="26"/>
  <c r="Z81" i="26"/>
  <c r="AA81" i="26" s="1"/>
  <c r="T81" i="26"/>
  <c r="V81" i="26" s="1"/>
  <c r="R81" i="26"/>
  <c r="N81" i="26"/>
  <c r="H81" i="26"/>
  <c r="I81" i="26" s="1"/>
  <c r="D81" i="26"/>
  <c r="C81" i="26"/>
  <c r="Z80" i="26"/>
  <c r="AA80" i="26" s="1"/>
  <c r="T80" i="26"/>
  <c r="V80" i="26" s="1"/>
  <c r="R80" i="26"/>
  <c r="N80" i="26"/>
  <c r="H80" i="26"/>
  <c r="I80" i="26" s="1"/>
  <c r="D80" i="26"/>
  <c r="O80" i="26" s="1"/>
  <c r="C80" i="26"/>
  <c r="Z79" i="26"/>
  <c r="AA79" i="26" s="1"/>
  <c r="T79" i="26"/>
  <c r="V79" i="26" s="1"/>
  <c r="R79" i="26"/>
  <c r="N79" i="26"/>
  <c r="H79" i="26"/>
  <c r="I79" i="26" s="1"/>
  <c r="D79" i="26"/>
  <c r="O79" i="26" s="1"/>
  <c r="C79" i="26"/>
  <c r="Z78" i="26"/>
  <c r="AA78" i="26" s="1"/>
  <c r="V78" i="26"/>
  <c r="T78" i="26"/>
  <c r="R78" i="26"/>
  <c r="N78" i="26"/>
  <c r="I78" i="26"/>
  <c r="H78" i="26"/>
  <c r="D78" i="26"/>
  <c r="C78" i="26"/>
  <c r="AA77" i="26"/>
  <c r="Z77" i="26"/>
  <c r="T77" i="26"/>
  <c r="V77" i="26" s="1"/>
  <c r="R77" i="26"/>
  <c r="N77" i="26"/>
  <c r="H77" i="26"/>
  <c r="I77" i="26" s="1"/>
  <c r="D77" i="26"/>
  <c r="C77" i="26"/>
  <c r="Z76" i="26"/>
  <c r="AA76" i="26" s="1"/>
  <c r="T76" i="26"/>
  <c r="V76" i="26" s="1"/>
  <c r="R76" i="26"/>
  <c r="N76" i="26"/>
  <c r="I76" i="26"/>
  <c r="H76" i="26"/>
  <c r="D76" i="26"/>
  <c r="O76" i="26" s="1"/>
  <c r="C76" i="26"/>
  <c r="AA75" i="26"/>
  <c r="Z75" i="26"/>
  <c r="V75" i="26"/>
  <c r="T75" i="26"/>
  <c r="R75" i="26"/>
  <c r="N75" i="26"/>
  <c r="H75" i="26"/>
  <c r="I75" i="26" s="1"/>
  <c r="D75" i="26"/>
  <c r="C75" i="26"/>
  <c r="Z74" i="26"/>
  <c r="AA74" i="26" s="1"/>
  <c r="T74" i="26"/>
  <c r="V74" i="26" s="1"/>
  <c r="R74" i="26"/>
  <c r="N74" i="26"/>
  <c r="H74" i="26"/>
  <c r="I74" i="26" s="1"/>
  <c r="D74" i="26"/>
  <c r="C74" i="26"/>
  <c r="Z73" i="26"/>
  <c r="AA73" i="26" s="1"/>
  <c r="T73" i="26"/>
  <c r="V73" i="26" s="1"/>
  <c r="R73" i="26"/>
  <c r="N73" i="26"/>
  <c r="H73" i="26"/>
  <c r="I73" i="26" s="1"/>
  <c r="D73" i="26"/>
  <c r="C73" i="26"/>
  <c r="Z72" i="26"/>
  <c r="AA72" i="26" s="1"/>
  <c r="T72" i="26"/>
  <c r="V72" i="26" s="1"/>
  <c r="R72" i="26"/>
  <c r="N72" i="26"/>
  <c r="H72" i="26"/>
  <c r="I72" i="26" s="1"/>
  <c r="D72" i="26"/>
  <c r="O72" i="26" s="1"/>
  <c r="C72" i="26"/>
  <c r="Z71" i="26"/>
  <c r="AA71" i="26" s="1"/>
  <c r="V71" i="26"/>
  <c r="T71" i="26"/>
  <c r="R71" i="26"/>
  <c r="N71" i="26"/>
  <c r="H71" i="26"/>
  <c r="I71" i="26" s="1"/>
  <c r="D71" i="26"/>
  <c r="O71" i="26" s="1"/>
  <c r="C71" i="26"/>
  <c r="Z70" i="26"/>
  <c r="AA70" i="26" s="1"/>
  <c r="T70" i="26"/>
  <c r="V70" i="26" s="1"/>
  <c r="R70" i="26"/>
  <c r="N70" i="26"/>
  <c r="H70" i="26"/>
  <c r="I70" i="26" s="1"/>
  <c r="D70" i="26"/>
  <c r="C70" i="26"/>
  <c r="Z69" i="26"/>
  <c r="AA69" i="26" s="1"/>
  <c r="T69" i="26"/>
  <c r="V69" i="26" s="1"/>
  <c r="R69" i="26"/>
  <c r="N69" i="26"/>
  <c r="H69" i="26"/>
  <c r="I69" i="26" s="1"/>
  <c r="D69" i="26"/>
  <c r="C69" i="26"/>
  <c r="Z68" i="26"/>
  <c r="AA68" i="26" s="1"/>
  <c r="T68" i="26"/>
  <c r="V68" i="26" s="1"/>
  <c r="R68" i="26"/>
  <c r="N68" i="26"/>
  <c r="H68" i="26"/>
  <c r="I68" i="26" s="1"/>
  <c r="D68" i="26"/>
  <c r="O68" i="26" s="1"/>
  <c r="C68" i="26"/>
  <c r="Z67" i="26"/>
  <c r="AA67" i="26" s="1"/>
  <c r="T67" i="26"/>
  <c r="V67" i="26" s="1"/>
  <c r="R67" i="26"/>
  <c r="N67" i="26"/>
  <c r="H67" i="26"/>
  <c r="I67" i="26" s="1"/>
  <c r="D67" i="26"/>
  <c r="C67" i="26"/>
  <c r="Z66" i="26"/>
  <c r="AA66" i="26" s="1"/>
  <c r="T66" i="26"/>
  <c r="V66" i="26" s="1"/>
  <c r="R66" i="26"/>
  <c r="N66" i="26"/>
  <c r="H66" i="26"/>
  <c r="I66" i="26" s="1"/>
  <c r="D66" i="26"/>
  <c r="C66" i="26"/>
  <c r="Z65" i="26"/>
  <c r="AA65" i="26" s="1"/>
  <c r="T65" i="26"/>
  <c r="V65" i="26" s="1"/>
  <c r="R65" i="26"/>
  <c r="N65" i="26"/>
  <c r="H65" i="26"/>
  <c r="I65" i="26" s="1"/>
  <c r="D65" i="26"/>
  <c r="C65" i="26"/>
  <c r="Z64" i="26"/>
  <c r="AA64" i="26" s="1"/>
  <c r="T64" i="26"/>
  <c r="V64" i="26" s="1"/>
  <c r="R64" i="26"/>
  <c r="N64" i="26"/>
  <c r="H64" i="26"/>
  <c r="I64" i="26" s="1"/>
  <c r="D64" i="26"/>
  <c r="O64" i="26" s="1"/>
  <c r="C64" i="26"/>
  <c r="Z63" i="26"/>
  <c r="AA63" i="26" s="1"/>
  <c r="T63" i="26"/>
  <c r="V63" i="26" s="1"/>
  <c r="R63" i="26"/>
  <c r="N63" i="26"/>
  <c r="H63" i="26"/>
  <c r="I63" i="26" s="1"/>
  <c r="D63" i="26"/>
  <c r="O63" i="26" s="1"/>
  <c r="C63" i="26"/>
  <c r="Z62" i="26"/>
  <c r="AA62" i="26" s="1"/>
  <c r="V62" i="26"/>
  <c r="T62" i="26"/>
  <c r="R62" i="26"/>
  <c r="N62" i="26"/>
  <c r="I62" i="26"/>
  <c r="H62" i="26"/>
  <c r="D62" i="26"/>
  <c r="C62" i="26"/>
  <c r="AA61" i="26"/>
  <c r="Z61" i="26"/>
  <c r="T61" i="26"/>
  <c r="V61" i="26" s="1"/>
  <c r="R61" i="26"/>
  <c r="N61" i="26"/>
  <c r="H61" i="26"/>
  <c r="I61" i="26" s="1"/>
  <c r="D61" i="26"/>
  <c r="C61" i="26"/>
  <c r="Z60" i="26"/>
  <c r="AA60" i="26" s="1"/>
  <c r="T60" i="26"/>
  <c r="V60" i="26" s="1"/>
  <c r="R60" i="26"/>
  <c r="N60" i="26"/>
  <c r="I60" i="26"/>
  <c r="H60" i="26"/>
  <c r="D60" i="26"/>
  <c r="O60" i="26" s="1"/>
  <c r="C60" i="26"/>
  <c r="AA59" i="26"/>
  <c r="Z59" i="26"/>
  <c r="V59" i="26"/>
  <c r="T59" i="26"/>
  <c r="R59" i="26"/>
  <c r="N59" i="26"/>
  <c r="H59" i="26"/>
  <c r="I59" i="26" s="1"/>
  <c r="D59" i="26"/>
  <c r="C59" i="26"/>
  <c r="Z58" i="26"/>
  <c r="AA58" i="26" s="1"/>
  <c r="V58" i="26"/>
  <c r="T58" i="26"/>
  <c r="R58" i="26"/>
  <c r="N58" i="26"/>
  <c r="I58" i="26"/>
  <c r="H58" i="26"/>
  <c r="D58" i="26"/>
  <c r="C58" i="26"/>
  <c r="AA57" i="26"/>
  <c r="Z57" i="26"/>
  <c r="T57" i="26"/>
  <c r="V57" i="26" s="1"/>
  <c r="R57" i="26"/>
  <c r="N57" i="26"/>
  <c r="H57" i="26"/>
  <c r="I57" i="26" s="1"/>
  <c r="D57" i="26"/>
  <c r="C57" i="26"/>
  <c r="Z56" i="26"/>
  <c r="AA56" i="26" s="1"/>
  <c r="T56" i="26"/>
  <c r="V56" i="26" s="1"/>
  <c r="R56" i="26"/>
  <c r="N56" i="26"/>
  <c r="H56" i="26"/>
  <c r="I56" i="26" s="1"/>
  <c r="D56" i="26"/>
  <c r="O56" i="26" s="1"/>
  <c r="C56" i="26"/>
  <c r="Z55" i="26"/>
  <c r="AA55" i="26" s="1"/>
  <c r="V55" i="26"/>
  <c r="T55" i="26"/>
  <c r="R55" i="26"/>
  <c r="N55" i="26"/>
  <c r="H55" i="26"/>
  <c r="I55" i="26" s="1"/>
  <c r="D55" i="26"/>
  <c r="O55" i="26" s="1"/>
  <c r="C55" i="26"/>
  <c r="Z54" i="26"/>
  <c r="AA54" i="26" s="1"/>
  <c r="V54" i="26"/>
  <c r="T54" i="26"/>
  <c r="R54" i="26"/>
  <c r="N54" i="26"/>
  <c r="I54" i="26"/>
  <c r="H54" i="26"/>
  <c r="D54" i="26"/>
  <c r="C54" i="26"/>
  <c r="AA53" i="26"/>
  <c r="Z53" i="26"/>
  <c r="T53" i="26"/>
  <c r="V53" i="26" s="1"/>
  <c r="R53" i="26"/>
  <c r="N53" i="26"/>
  <c r="H53" i="26"/>
  <c r="I53" i="26" s="1"/>
  <c r="D53" i="26"/>
  <c r="C53" i="26"/>
  <c r="Z52" i="26"/>
  <c r="AA52" i="26" s="1"/>
  <c r="T52" i="26"/>
  <c r="V52" i="26" s="1"/>
  <c r="R52" i="26"/>
  <c r="N52" i="26"/>
  <c r="I52" i="26"/>
  <c r="H52" i="26"/>
  <c r="D52" i="26"/>
  <c r="O52" i="26" s="1"/>
  <c r="C52" i="26"/>
  <c r="AA51" i="26"/>
  <c r="Z51" i="26"/>
  <c r="T51" i="26"/>
  <c r="V51" i="26" s="1"/>
  <c r="R51" i="26"/>
  <c r="N51" i="26"/>
  <c r="H51" i="26"/>
  <c r="I51" i="26" s="1"/>
  <c r="D51" i="26"/>
  <c r="C51" i="26"/>
  <c r="Z50" i="26"/>
  <c r="AA50" i="26" s="1"/>
  <c r="T50" i="26"/>
  <c r="V50" i="26" s="1"/>
  <c r="R50" i="26"/>
  <c r="N50" i="26"/>
  <c r="I50" i="26"/>
  <c r="H50" i="26"/>
  <c r="D50" i="26"/>
  <c r="C50" i="26"/>
  <c r="AA49" i="26"/>
  <c r="Z49" i="26"/>
  <c r="T49" i="26"/>
  <c r="V49" i="26" s="1"/>
  <c r="R49" i="26"/>
  <c r="N49" i="26"/>
  <c r="H49" i="26"/>
  <c r="I49" i="26" s="1"/>
  <c r="D49" i="26"/>
  <c r="C49" i="26"/>
  <c r="Z48" i="26"/>
  <c r="AA48" i="26" s="1"/>
  <c r="T48" i="26"/>
  <c r="V48" i="26" s="1"/>
  <c r="R48" i="26"/>
  <c r="N48" i="26"/>
  <c r="H48" i="26"/>
  <c r="I48" i="26" s="1"/>
  <c r="D48" i="26"/>
  <c r="C48" i="26"/>
  <c r="Z47" i="26"/>
  <c r="AA47" i="26" s="1"/>
  <c r="V47" i="26"/>
  <c r="T47" i="26"/>
  <c r="R47" i="26"/>
  <c r="N47" i="26"/>
  <c r="H47" i="26"/>
  <c r="I47" i="26" s="1"/>
  <c r="D47" i="26"/>
  <c r="C47" i="26"/>
  <c r="Z46" i="26"/>
  <c r="AA46" i="26" s="1"/>
  <c r="V46" i="26"/>
  <c r="T46" i="26"/>
  <c r="R46" i="26"/>
  <c r="N46" i="26"/>
  <c r="I46" i="26"/>
  <c r="H46" i="26"/>
  <c r="D46" i="26"/>
  <c r="C46" i="26"/>
  <c r="AA45" i="26"/>
  <c r="Z45" i="26"/>
  <c r="T45" i="26"/>
  <c r="V45" i="26" s="1"/>
  <c r="R45" i="26"/>
  <c r="N45" i="26"/>
  <c r="H45" i="26"/>
  <c r="I45" i="26" s="1"/>
  <c r="D45" i="26"/>
  <c r="C45" i="26"/>
  <c r="Z44" i="26"/>
  <c r="AA44" i="26" s="1"/>
  <c r="T44" i="26"/>
  <c r="V44" i="26" s="1"/>
  <c r="R44" i="26"/>
  <c r="N44" i="26"/>
  <c r="H44" i="26"/>
  <c r="I44" i="26" s="1"/>
  <c r="D44" i="26"/>
  <c r="C44" i="26"/>
  <c r="Z43" i="26"/>
  <c r="AA43" i="26" s="1"/>
  <c r="T43" i="26"/>
  <c r="V43" i="26" s="1"/>
  <c r="R43" i="26"/>
  <c r="N43" i="26"/>
  <c r="H43" i="26"/>
  <c r="I43" i="26" s="1"/>
  <c r="D43" i="26"/>
  <c r="C43" i="26"/>
  <c r="Z42" i="26"/>
  <c r="AA42" i="26" s="1"/>
  <c r="T42" i="26"/>
  <c r="V42" i="26" s="1"/>
  <c r="R42" i="26"/>
  <c r="N42" i="26"/>
  <c r="H42" i="26"/>
  <c r="I42" i="26" s="1"/>
  <c r="D42" i="26"/>
  <c r="O42" i="26" s="1"/>
  <c r="C42" i="26"/>
  <c r="Z41" i="26"/>
  <c r="AA41" i="26" s="1"/>
  <c r="T41" i="26"/>
  <c r="V41" i="26" s="1"/>
  <c r="R41" i="26"/>
  <c r="N41" i="26"/>
  <c r="H41" i="26"/>
  <c r="I41" i="26" s="1"/>
  <c r="D41" i="26"/>
  <c r="C41" i="26"/>
  <c r="Z40" i="26"/>
  <c r="AA40" i="26" s="1"/>
  <c r="T40" i="26"/>
  <c r="V40" i="26" s="1"/>
  <c r="R40" i="26"/>
  <c r="N40" i="26"/>
  <c r="H40" i="26"/>
  <c r="I40" i="26" s="1"/>
  <c r="D40" i="26"/>
  <c r="O40" i="26" s="1"/>
  <c r="C40" i="26"/>
  <c r="Z39" i="26"/>
  <c r="AA39" i="26" s="1"/>
  <c r="V39" i="26"/>
  <c r="T39" i="26"/>
  <c r="R39" i="26"/>
  <c r="N39" i="26"/>
  <c r="H39" i="26"/>
  <c r="I39" i="26" s="1"/>
  <c r="D39" i="26"/>
  <c r="C39" i="26"/>
  <c r="Z38" i="26"/>
  <c r="AA38" i="26" s="1"/>
  <c r="V38" i="26"/>
  <c r="T38" i="26"/>
  <c r="R38" i="26"/>
  <c r="N38" i="26"/>
  <c r="I38" i="26"/>
  <c r="H38" i="26"/>
  <c r="D38" i="26"/>
  <c r="C38" i="26"/>
  <c r="AA37" i="26"/>
  <c r="Z37" i="26"/>
  <c r="T37" i="26"/>
  <c r="V37" i="26" s="1"/>
  <c r="R37" i="26"/>
  <c r="N37" i="26"/>
  <c r="H37" i="26"/>
  <c r="I37" i="26" s="1"/>
  <c r="D37" i="26"/>
  <c r="C37" i="26"/>
  <c r="Z36" i="26"/>
  <c r="AA36" i="26" s="1"/>
  <c r="T36" i="26"/>
  <c r="V36" i="26" s="1"/>
  <c r="R36" i="26"/>
  <c r="N36" i="26"/>
  <c r="I36" i="26"/>
  <c r="H36" i="26"/>
  <c r="D36" i="26"/>
  <c r="O36" i="26" s="1"/>
  <c r="C36" i="26"/>
  <c r="AA35" i="26"/>
  <c r="Z35" i="26"/>
  <c r="T35" i="26"/>
  <c r="V35" i="26" s="1"/>
  <c r="R35" i="26"/>
  <c r="N35" i="26"/>
  <c r="I35" i="26"/>
  <c r="D35" i="26"/>
  <c r="C35" i="26"/>
  <c r="Z34" i="26"/>
  <c r="AA34" i="26" s="1"/>
  <c r="T34" i="26"/>
  <c r="V34" i="26" s="1"/>
  <c r="R34" i="26"/>
  <c r="N34" i="26"/>
  <c r="I34" i="26"/>
  <c r="D34" i="26"/>
  <c r="C34" i="26"/>
  <c r="Z33" i="26"/>
  <c r="AA33" i="26" s="1"/>
  <c r="V33" i="26"/>
  <c r="T33" i="26"/>
  <c r="R33" i="26"/>
  <c r="N33" i="26"/>
  <c r="I33" i="26"/>
  <c r="D33" i="26"/>
  <c r="O33" i="26" s="1"/>
  <c r="C33" i="26"/>
  <c r="Z32" i="26"/>
  <c r="AA32" i="26" s="1"/>
  <c r="T32" i="26"/>
  <c r="V32" i="26" s="1"/>
  <c r="R32" i="26"/>
  <c r="N32" i="26"/>
  <c r="I32" i="26"/>
  <c r="D32" i="26"/>
  <c r="C32" i="26"/>
  <c r="Z31" i="26"/>
  <c r="AA31" i="26" s="1"/>
  <c r="T31" i="26"/>
  <c r="V31" i="26" s="1"/>
  <c r="R31" i="26"/>
  <c r="N31" i="26"/>
  <c r="I31" i="26"/>
  <c r="D31" i="26"/>
  <c r="O31" i="26" s="1"/>
  <c r="C31" i="26"/>
  <c r="Z30" i="26"/>
  <c r="AA30" i="26" s="1"/>
  <c r="T30" i="26"/>
  <c r="V30" i="26" s="1"/>
  <c r="R30" i="26"/>
  <c r="N30" i="26"/>
  <c r="I30" i="26"/>
  <c r="D30" i="26"/>
  <c r="C30" i="26"/>
  <c r="Z29" i="26"/>
  <c r="AA29" i="26" s="1"/>
  <c r="T29" i="26"/>
  <c r="V29" i="26" s="1"/>
  <c r="R29" i="26"/>
  <c r="N29" i="26"/>
  <c r="I29" i="26"/>
  <c r="D29" i="26"/>
  <c r="C29" i="26"/>
  <c r="Z28" i="26"/>
  <c r="AA28" i="26" s="1"/>
  <c r="T28" i="26"/>
  <c r="V28" i="26" s="1"/>
  <c r="R28" i="26"/>
  <c r="N28" i="26"/>
  <c r="I28" i="26"/>
  <c r="D28" i="26"/>
  <c r="C28" i="26"/>
  <c r="Z27" i="26"/>
  <c r="AA27" i="26" s="1"/>
  <c r="V27" i="26"/>
  <c r="T27" i="26"/>
  <c r="R27" i="26"/>
  <c r="N27" i="26"/>
  <c r="I27" i="26"/>
  <c r="D27" i="26"/>
  <c r="C27" i="26"/>
  <c r="Z26" i="26"/>
  <c r="AA26" i="26" s="1"/>
  <c r="T26" i="26"/>
  <c r="V26" i="26" s="1"/>
  <c r="R26" i="26"/>
  <c r="N26" i="26"/>
  <c r="I26" i="26"/>
  <c r="D26" i="26"/>
  <c r="C26" i="26"/>
  <c r="AA25" i="26"/>
  <c r="Z25" i="26"/>
  <c r="V25" i="26"/>
  <c r="T25" i="26"/>
  <c r="R25" i="26"/>
  <c r="N25" i="26"/>
  <c r="I25" i="26"/>
  <c r="D25" i="26"/>
  <c r="O25" i="26" s="1"/>
  <c r="C25" i="26"/>
  <c r="Z24" i="26"/>
  <c r="AA24" i="26" s="1"/>
  <c r="V24" i="26"/>
  <c r="T24" i="26"/>
  <c r="R24" i="26"/>
  <c r="N24" i="26"/>
  <c r="I24" i="26"/>
  <c r="D24" i="26"/>
  <c r="C24" i="26"/>
  <c r="Z23" i="26"/>
  <c r="AA23" i="26" s="1"/>
  <c r="V23" i="26"/>
  <c r="T23" i="26"/>
  <c r="R23" i="26"/>
  <c r="N23" i="26"/>
  <c r="I23" i="26"/>
  <c r="D23" i="26"/>
  <c r="C23" i="26"/>
  <c r="AA22" i="26"/>
  <c r="Z22" i="26"/>
  <c r="T22" i="26"/>
  <c r="V22" i="26" s="1"/>
  <c r="R22" i="26"/>
  <c r="N22" i="26"/>
  <c r="I22" i="26"/>
  <c r="D22" i="26"/>
  <c r="C22" i="26"/>
  <c r="Z21" i="26"/>
  <c r="AA21" i="26" s="1"/>
  <c r="V21" i="26"/>
  <c r="T21" i="26"/>
  <c r="R21" i="26"/>
  <c r="N21" i="26"/>
  <c r="I21" i="26"/>
  <c r="D21" i="26"/>
  <c r="C21" i="26"/>
  <c r="AA20" i="26"/>
  <c r="Z20" i="26"/>
  <c r="T20" i="26"/>
  <c r="V20" i="26" s="1"/>
  <c r="R20" i="26"/>
  <c r="N20" i="26"/>
  <c r="I20" i="26"/>
  <c r="D20" i="26"/>
  <c r="C20" i="26"/>
  <c r="AA19" i="26"/>
  <c r="Z19" i="26"/>
  <c r="V19" i="26"/>
  <c r="T19" i="26"/>
  <c r="R19" i="26"/>
  <c r="N19" i="26"/>
  <c r="I19" i="26"/>
  <c r="D19" i="26"/>
  <c r="C19" i="26"/>
  <c r="Z18" i="26"/>
  <c r="AA18" i="26" s="1"/>
  <c r="T18" i="26"/>
  <c r="V18" i="26" s="1"/>
  <c r="R18" i="26"/>
  <c r="N18" i="26"/>
  <c r="I18" i="26"/>
  <c r="D18" i="26"/>
  <c r="C18" i="26"/>
  <c r="AA17" i="26"/>
  <c r="Z17" i="26"/>
  <c r="V17" i="26"/>
  <c r="T17" i="26"/>
  <c r="R17" i="26"/>
  <c r="N17" i="26"/>
  <c r="I17" i="26"/>
  <c r="D17" i="26"/>
  <c r="O17" i="26" s="1"/>
  <c r="C17" i="26"/>
  <c r="Z16" i="26"/>
  <c r="AA16" i="26" s="1"/>
  <c r="T16" i="26"/>
  <c r="V16" i="26" s="1"/>
  <c r="R16" i="26"/>
  <c r="N16" i="26"/>
  <c r="O16" i="26" s="1"/>
  <c r="I16" i="26"/>
  <c r="D16" i="26"/>
  <c r="C16" i="26"/>
  <c r="Z15" i="26"/>
  <c r="AA15" i="26" s="1"/>
  <c r="T15" i="26"/>
  <c r="V15" i="26" s="1"/>
  <c r="R15" i="26"/>
  <c r="N15" i="26"/>
  <c r="I15" i="26"/>
  <c r="D15" i="26"/>
  <c r="O15" i="26" s="1"/>
  <c r="C15" i="26"/>
  <c r="Z14" i="26"/>
  <c r="AA14" i="26" s="1"/>
  <c r="T14" i="26"/>
  <c r="V14" i="26" s="1"/>
  <c r="R14" i="26"/>
  <c r="N14" i="26"/>
  <c r="I14" i="26"/>
  <c r="D14" i="26"/>
  <c r="C14" i="26"/>
  <c r="Z13" i="26"/>
  <c r="AA13" i="26" s="1"/>
  <c r="V13" i="26"/>
  <c r="T13" i="26"/>
  <c r="R13" i="26"/>
  <c r="N13" i="26"/>
  <c r="I13" i="26"/>
  <c r="D13" i="26"/>
  <c r="C13" i="26"/>
  <c r="Z12" i="26"/>
  <c r="AA12" i="26" s="1"/>
  <c r="T12" i="26"/>
  <c r="V12" i="26" s="1"/>
  <c r="R12" i="26"/>
  <c r="N12" i="26"/>
  <c r="I12" i="26"/>
  <c r="D12" i="26"/>
  <c r="C12" i="26"/>
  <c r="Z11" i="26"/>
  <c r="AA11" i="26" s="1"/>
  <c r="T11" i="26"/>
  <c r="V11" i="26" s="1"/>
  <c r="R11" i="26"/>
  <c r="N11" i="26"/>
  <c r="I11" i="26"/>
  <c r="D11" i="26"/>
  <c r="C11" i="26"/>
  <c r="AA10" i="26"/>
  <c r="Z10" i="26"/>
  <c r="V10" i="26"/>
  <c r="T10" i="26"/>
  <c r="R10" i="26"/>
  <c r="N10" i="26"/>
  <c r="I10" i="26"/>
  <c r="D10" i="26"/>
  <c r="C10" i="26"/>
  <c r="Z9" i="26"/>
  <c r="AA9" i="26" s="1"/>
  <c r="T9" i="26"/>
  <c r="V9" i="26" s="1"/>
  <c r="R9" i="26"/>
  <c r="N9" i="26"/>
  <c r="I9" i="26"/>
  <c r="D9" i="26"/>
  <c r="C9" i="26"/>
  <c r="AA8" i="26"/>
  <c r="Z8" i="26"/>
  <c r="V8" i="26"/>
  <c r="T8" i="26"/>
  <c r="R8" i="26"/>
  <c r="N8" i="26"/>
  <c r="I8" i="26"/>
  <c r="D8" i="26"/>
  <c r="C8" i="26"/>
  <c r="Z7" i="26"/>
  <c r="AA7" i="26" s="1"/>
  <c r="T7" i="26"/>
  <c r="V7" i="26" s="1"/>
  <c r="R7" i="26"/>
  <c r="N7" i="26"/>
  <c r="I7" i="26"/>
  <c r="D7" i="26"/>
  <c r="O7" i="26" s="1"/>
  <c r="C7" i="26"/>
  <c r="Z6" i="26"/>
  <c r="AA6" i="26" s="1"/>
  <c r="T6" i="26"/>
  <c r="V6" i="26" s="1"/>
  <c r="R6" i="26"/>
  <c r="N6" i="26"/>
  <c r="I6" i="26"/>
  <c r="D6" i="26"/>
  <c r="C6" i="26"/>
  <c r="Z5" i="26"/>
  <c r="AA5" i="26" s="1"/>
  <c r="T5" i="26"/>
  <c r="V5" i="26" s="1"/>
  <c r="R5" i="26"/>
  <c r="N5" i="26"/>
  <c r="I5" i="26"/>
  <c r="D5" i="26"/>
  <c r="O5" i="26" s="1"/>
  <c r="C5" i="26"/>
  <c r="Z4" i="26"/>
  <c r="AA4" i="26" s="1"/>
  <c r="T4" i="26"/>
  <c r="V4" i="26" s="1"/>
  <c r="R4" i="26"/>
  <c r="N4" i="26"/>
  <c r="I4" i="26"/>
  <c r="D4" i="26"/>
  <c r="C4" i="26"/>
  <c r="Z3" i="26"/>
  <c r="AA3" i="26" s="1"/>
  <c r="T3" i="26"/>
  <c r="V3" i="26" s="1"/>
  <c r="R3" i="26"/>
  <c r="N3" i="26"/>
  <c r="I3" i="26"/>
  <c r="D3" i="26"/>
  <c r="C3" i="26"/>
  <c r="Z99" i="25"/>
  <c r="AA99" i="25" s="1"/>
  <c r="V99" i="25"/>
  <c r="T99" i="25"/>
  <c r="R99" i="25"/>
  <c r="N99" i="25"/>
  <c r="I99" i="25"/>
  <c r="H99" i="25"/>
  <c r="D99" i="25"/>
  <c r="C99" i="25"/>
  <c r="AA98" i="25"/>
  <c r="Z98" i="25"/>
  <c r="T98" i="25"/>
  <c r="V98" i="25" s="1"/>
  <c r="R98" i="25"/>
  <c r="N98" i="25"/>
  <c r="H98" i="25"/>
  <c r="I98" i="25" s="1"/>
  <c r="D98" i="25"/>
  <c r="C98" i="25"/>
  <c r="Z97" i="25"/>
  <c r="AA97" i="25" s="1"/>
  <c r="T97" i="25"/>
  <c r="V97" i="25" s="1"/>
  <c r="R97" i="25"/>
  <c r="N97" i="25"/>
  <c r="H97" i="25"/>
  <c r="I97" i="25" s="1"/>
  <c r="D97" i="25"/>
  <c r="C97" i="25"/>
  <c r="Z96" i="25"/>
  <c r="AA96" i="25" s="1"/>
  <c r="T96" i="25"/>
  <c r="V96" i="25" s="1"/>
  <c r="R96" i="25"/>
  <c r="N96" i="25"/>
  <c r="I96" i="25"/>
  <c r="H96" i="25"/>
  <c r="D96" i="25"/>
  <c r="C96" i="25"/>
  <c r="AA95" i="25"/>
  <c r="Z95" i="25"/>
  <c r="T95" i="25"/>
  <c r="V95" i="25" s="1"/>
  <c r="R95" i="25"/>
  <c r="N95" i="25"/>
  <c r="H95" i="25"/>
  <c r="I95" i="25" s="1"/>
  <c r="D95" i="25"/>
  <c r="C95" i="25"/>
  <c r="Z94" i="25"/>
  <c r="AA94" i="25" s="1"/>
  <c r="T94" i="25"/>
  <c r="V94" i="25" s="1"/>
  <c r="R94" i="25"/>
  <c r="N94" i="25"/>
  <c r="H94" i="25"/>
  <c r="I94" i="25" s="1"/>
  <c r="D94" i="25"/>
  <c r="O94" i="25" s="1"/>
  <c r="C94" i="25"/>
  <c r="Z93" i="25"/>
  <c r="AA93" i="25" s="1"/>
  <c r="T93" i="25"/>
  <c r="V93" i="25" s="1"/>
  <c r="R93" i="25"/>
  <c r="N93" i="25"/>
  <c r="H93" i="25"/>
  <c r="I93" i="25" s="1"/>
  <c r="D93" i="25"/>
  <c r="O93" i="25" s="1"/>
  <c r="C93" i="25"/>
  <c r="Z92" i="25"/>
  <c r="AA92" i="25" s="1"/>
  <c r="T92" i="25"/>
  <c r="V92" i="25" s="1"/>
  <c r="R92" i="25"/>
  <c r="N92" i="25"/>
  <c r="H92" i="25"/>
  <c r="I92" i="25" s="1"/>
  <c r="D92" i="25"/>
  <c r="O92" i="25" s="1"/>
  <c r="C92" i="25"/>
  <c r="Z91" i="25"/>
  <c r="AA91" i="25" s="1"/>
  <c r="V91" i="25"/>
  <c r="T91" i="25"/>
  <c r="R91" i="25"/>
  <c r="N91" i="25"/>
  <c r="I91" i="25"/>
  <c r="H91" i="25"/>
  <c r="D91" i="25"/>
  <c r="C91" i="25"/>
  <c r="AA90" i="25"/>
  <c r="Z90" i="25"/>
  <c r="T90" i="25"/>
  <c r="V90" i="25" s="1"/>
  <c r="R90" i="25"/>
  <c r="N90" i="25"/>
  <c r="H90" i="25"/>
  <c r="I90" i="25" s="1"/>
  <c r="D90" i="25"/>
  <c r="C90" i="25"/>
  <c r="Z89" i="25"/>
  <c r="AA89" i="25" s="1"/>
  <c r="T89" i="25"/>
  <c r="V89" i="25" s="1"/>
  <c r="R89" i="25"/>
  <c r="N89" i="25"/>
  <c r="H89" i="25"/>
  <c r="I89" i="25" s="1"/>
  <c r="D89" i="25"/>
  <c r="C89" i="25"/>
  <c r="Z88" i="25"/>
  <c r="AA88" i="25" s="1"/>
  <c r="T88" i="25"/>
  <c r="V88" i="25" s="1"/>
  <c r="R88" i="25"/>
  <c r="N88" i="25"/>
  <c r="I88" i="25"/>
  <c r="H88" i="25"/>
  <c r="D88" i="25"/>
  <c r="C88" i="25"/>
  <c r="AA87" i="25"/>
  <c r="Z87" i="25"/>
  <c r="T87" i="25"/>
  <c r="V87" i="25" s="1"/>
  <c r="R87" i="25"/>
  <c r="N87" i="25"/>
  <c r="H87" i="25"/>
  <c r="I87" i="25" s="1"/>
  <c r="D87" i="25"/>
  <c r="C87" i="25"/>
  <c r="Z86" i="25"/>
  <c r="AA86" i="25" s="1"/>
  <c r="T86" i="25"/>
  <c r="V86" i="25" s="1"/>
  <c r="R86" i="25"/>
  <c r="N86" i="25"/>
  <c r="H86" i="25"/>
  <c r="I86" i="25" s="1"/>
  <c r="D86" i="25"/>
  <c r="O86" i="25" s="1"/>
  <c r="C86" i="25"/>
  <c r="Z85" i="25"/>
  <c r="AA85" i="25" s="1"/>
  <c r="T85" i="25"/>
  <c r="V85" i="25" s="1"/>
  <c r="R85" i="25"/>
  <c r="N85" i="25"/>
  <c r="H85" i="25"/>
  <c r="I85" i="25" s="1"/>
  <c r="D85" i="25"/>
  <c r="O85" i="25" s="1"/>
  <c r="C85" i="25"/>
  <c r="Z84" i="25"/>
  <c r="AA84" i="25" s="1"/>
  <c r="T84" i="25"/>
  <c r="V84" i="25" s="1"/>
  <c r="R84" i="25"/>
  <c r="N84" i="25"/>
  <c r="I84" i="25"/>
  <c r="H84" i="25"/>
  <c r="D84" i="25"/>
  <c r="O84" i="25" s="1"/>
  <c r="C84" i="25"/>
  <c r="AA83" i="25"/>
  <c r="Z83" i="25"/>
  <c r="V83" i="25"/>
  <c r="T83" i="25"/>
  <c r="R83" i="25"/>
  <c r="N83" i="25"/>
  <c r="I83" i="25"/>
  <c r="H83" i="25"/>
  <c r="D83" i="25"/>
  <c r="C83" i="25"/>
  <c r="AA82" i="25"/>
  <c r="Z82" i="25"/>
  <c r="T82" i="25"/>
  <c r="V82" i="25" s="1"/>
  <c r="R82" i="25"/>
  <c r="N82" i="25"/>
  <c r="H82" i="25"/>
  <c r="I82" i="25" s="1"/>
  <c r="D82" i="25"/>
  <c r="C82" i="25"/>
  <c r="Z81" i="25"/>
  <c r="AA81" i="25" s="1"/>
  <c r="T81" i="25"/>
  <c r="V81" i="25" s="1"/>
  <c r="R81" i="25"/>
  <c r="N81" i="25"/>
  <c r="H81" i="25"/>
  <c r="I81" i="25" s="1"/>
  <c r="D81" i="25"/>
  <c r="C81" i="25"/>
  <c r="Z80" i="25"/>
  <c r="AA80" i="25" s="1"/>
  <c r="T80" i="25"/>
  <c r="V80" i="25" s="1"/>
  <c r="R80" i="25"/>
  <c r="N80" i="25"/>
  <c r="I80" i="25"/>
  <c r="H80" i="25"/>
  <c r="D80" i="25"/>
  <c r="O80" i="25" s="1"/>
  <c r="C80" i="25"/>
  <c r="AA79" i="25"/>
  <c r="Z79" i="25"/>
  <c r="V79" i="25"/>
  <c r="T79" i="25"/>
  <c r="R79" i="25"/>
  <c r="N79" i="25"/>
  <c r="I79" i="25"/>
  <c r="H79" i="25"/>
  <c r="D79" i="25"/>
  <c r="C79" i="25"/>
  <c r="AA78" i="25"/>
  <c r="Z78" i="25"/>
  <c r="T78" i="25"/>
  <c r="V78" i="25" s="1"/>
  <c r="R78" i="25"/>
  <c r="N78" i="25"/>
  <c r="H78" i="25"/>
  <c r="I78" i="25" s="1"/>
  <c r="D78" i="25"/>
  <c r="O78" i="25" s="1"/>
  <c r="C78" i="25"/>
  <c r="Z77" i="25"/>
  <c r="AA77" i="25" s="1"/>
  <c r="T77" i="25"/>
  <c r="V77" i="25" s="1"/>
  <c r="R77" i="25"/>
  <c r="N77" i="25"/>
  <c r="H77" i="25"/>
  <c r="I77" i="25" s="1"/>
  <c r="D77" i="25"/>
  <c r="O77" i="25" s="1"/>
  <c r="C77" i="25"/>
  <c r="AA76" i="25"/>
  <c r="Z76" i="25"/>
  <c r="T76" i="25"/>
  <c r="V76" i="25" s="1"/>
  <c r="R76" i="25"/>
  <c r="N76" i="25"/>
  <c r="H76" i="25"/>
  <c r="I76" i="25" s="1"/>
  <c r="D76" i="25"/>
  <c r="C76" i="25"/>
  <c r="Z75" i="25"/>
  <c r="AA75" i="25" s="1"/>
  <c r="T75" i="25"/>
  <c r="V75" i="25" s="1"/>
  <c r="R75" i="25"/>
  <c r="N75" i="25"/>
  <c r="H75" i="25"/>
  <c r="I75" i="25" s="1"/>
  <c r="D75" i="25"/>
  <c r="O75" i="25" s="1"/>
  <c r="C75" i="25"/>
  <c r="Z74" i="25"/>
  <c r="AA74" i="25" s="1"/>
  <c r="V74" i="25"/>
  <c r="T74" i="25"/>
  <c r="R74" i="25"/>
  <c r="N74" i="25"/>
  <c r="H74" i="25"/>
  <c r="I74" i="25" s="1"/>
  <c r="D74" i="25"/>
  <c r="O74" i="25" s="1"/>
  <c r="C74" i="25"/>
  <c r="Z73" i="25"/>
  <c r="AA73" i="25" s="1"/>
  <c r="V73" i="25"/>
  <c r="T73" i="25"/>
  <c r="R73" i="25"/>
  <c r="N73" i="25"/>
  <c r="I73" i="25"/>
  <c r="H73" i="25"/>
  <c r="D73" i="25"/>
  <c r="C73" i="25"/>
  <c r="AA72" i="25"/>
  <c r="Z72" i="25"/>
  <c r="T72" i="25"/>
  <c r="V72" i="25" s="1"/>
  <c r="R72" i="25"/>
  <c r="N72" i="25"/>
  <c r="H72" i="25"/>
  <c r="I72" i="25" s="1"/>
  <c r="D72" i="25"/>
  <c r="C72" i="25"/>
  <c r="Z71" i="25"/>
  <c r="AA71" i="25" s="1"/>
  <c r="T71" i="25"/>
  <c r="V71" i="25" s="1"/>
  <c r="R71" i="25"/>
  <c r="N71" i="25"/>
  <c r="H71" i="25"/>
  <c r="I71" i="25" s="1"/>
  <c r="D71" i="25"/>
  <c r="C71" i="25"/>
  <c r="Z70" i="25"/>
  <c r="AA70" i="25" s="1"/>
  <c r="V70" i="25"/>
  <c r="T70" i="25"/>
  <c r="R70" i="25"/>
  <c r="N70" i="25"/>
  <c r="H70" i="25"/>
  <c r="I70" i="25" s="1"/>
  <c r="D70" i="25"/>
  <c r="C70" i="25"/>
  <c r="Z69" i="25"/>
  <c r="AA69" i="25" s="1"/>
  <c r="T69" i="25"/>
  <c r="V69" i="25" s="1"/>
  <c r="R69" i="25"/>
  <c r="N69" i="25"/>
  <c r="H69" i="25"/>
  <c r="I69" i="25" s="1"/>
  <c r="D69" i="25"/>
  <c r="C69" i="25"/>
  <c r="Z68" i="25"/>
  <c r="AA68" i="25" s="1"/>
  <c r="T68" i="25"/>
  <c r="V68" i="25" s="1"/>
  <c r="R68" i="25"/>
  <c r="N68" i="25"/>
  <c r="H68" i="25"/>
  <c r="I68" i="25" s="1"/>
  <c r="D68" i="25"/>
  <c r="C68" i="25"/>
  <c r="Z67" i="25"/>
  <c r="AA67" i="25" s="1"/>
  <c r="T67" i="25"/>
  <c r="V67" i="25" s="1"/>
  <c r="R67" i="25"/>
  <c r="N67" i="25"/>
  <c r="H67" i="25"/>
  <c r="I67" i="25" s="1"/>
  <c r="D67" i="25"/>
  <c r="C67" i="25"/>
  <c r="Z66" i="25"/>
  <c r="AA66" i="25" s="1"/>
  <c r="V66" i="25"/>
  <c r="T66" i="25"/>
  <c r="R66" i="25"/>
  <c r="N66" i="25"/>
  <c r="H66" i="25"/>
  <c r="I66" i="25" s="1"/>
  <c r="D66" i="25"/>
  <c r="C66" i="25"/>
  <c r="Z65" i="25"/>
  <c r="AA65" i="25" s="1"/>
  <c r="T65" i="25"/>
  <c r="V65" i="25" s="1"/>
  <c r="R65" i="25"/>
  <c r="N65" i="25"/>
  <c r="H65" i="25"/>
  <c r="I65" i="25" s="1"/>
  <c r="D65" i="25"/>
  <c r="C65" i="25"/>
  <c r="Z64" i="25"/>
  <c r="AA64" i="25" s="1"/>
  <c r="T64" i="25"/>
  <c r="V64" i="25" s="1"/>
  <c r="R64" i="25"/>
  <c r="N64" i="25"/>
  <c r="I64" i="25"/>
  <c r="H64" i="25"/>
  <c r="D64" i="25"/>
  <c r="C64" i="25"/>
  <c r="AA63" i="25"/>
  <c r="Z63" i="25"/>
  <c r="T63" i="25"/>
  <c r="V63" i="25" s="1"/>
  <c r="R63" i="25"/>
  <c r="N63" i="25"/>
  <c r="H63" i="25"/>
  <c r="I63" i="25" s="1"/>
  <c r="D63" i="25"/>
  <c r="C63" i="25"/>
  <c r="Z62" i="25"/>
  <c r="AA62" i="25" s="1"/>
  <c r="T62" i="25"/>
  <c r="V62" i="25" s="1"/>
  <c r="R62" i="25"/>
  <c r="N62" i="25"/>
  <c r="H62" i="25"/>
  <c r="I62" i="25" s="1"/>
  <c r="D62" i="25"/>
  <c r="O62" i="25" s="1"/>
  <c r="C62" i="25"/>
  <c r="Z61" i="25"/>
  <c r="AA61" i="25" s="1"/>
  <c r="T61" i="25"/>
  <c r="V61" i="25" s="1"/>
  <c r="R61" i="25"/>
  <c r="N61" i="25"/>
  <c r="H61" i="25"/>
  <c r="I61" i="25" s="1"/>
  <c r="D61" i="25"/>
  <c r="C61" i="25"/>
  <c r="Z60" i="25"/>
  <c r="AA60" i="25" s="1"/>
  <c r="T60" i="25"/>
  <c r="V60" i="25" s="1"/>
  <c r="R60" i="25"/>
  <c r="N60" i="25"/>
  <c r="I60" i="25"/>
  <c r="H60" i="25"/>
  <c r="D60" i="25"/>
  <c r="C60" i="25"/>
  <c r="AA59" i="25"/>
  <c r="Z59" i="25"/>
  <c r="T59" i="25"/>
  <c r="V59" i="25" s="1"/>
  <c r="R59" i="25"/>
  <c r="N59" i="25"/>
  <c r="H59" i="25"/>
  <c r="I59" i="25" s="1"/>
  <c r="D59" i="25"/>
  <c r="C59" i="25"/>
  <c r="Z58" i="25"/>
  <c r="AA58" i="25" s="1"/>
  <c r="T58" i="25"/>
  <c r="V58" i="25" s="1"/>
  <c r="R58" i="25"/>
  <c r="N58" i="25"/>
  <c r="H58" i="25"/>
  <c r="I58" i="25" s="1"/>
  <c r="D58" i="25"/>
  <c r="C58" i="25"/>
  <c r="Z57" i="25"/>
  <c r="AA57" i="25" s="1"/>
  <c r="T57" i="25"/>
  <c r="V57" i="25" s="1"/>
  <c r="R57" i="25"/>
  <c r="N57" i="25"/>
  <c r="H57" i="25"/>
  <c r="I57" i="25" s="1"/>
  <c r="D57" i="25"/>
  <c r="C57" i="25"/>
  <c r="Z56" i="25"/>
  <c r="AA56" i="25" s="1"/>
  <c r="T56" i="25"/>
  <c r="V56" i="25" s="1"/>
  <c r="R56" i="25"/>
  <c r="N56" i="25"/>
  <c r="I56" i="25"/>
  <c r="H56" i="25"/>
  <c r="D56" i="25"/>
  <c r="C56" i="25"/>
  <c r="AA55" i="25"/>
  <c r="Z55" i="25"/>
  <c r="T55" i="25"/>
  <c r="V55" i="25" s="1"/>
  <c r="R55" i="25"/>
  <c r="N55" i="25"/>
  <c r="H55" i="25"/>
  <c r="I55" i="25" s="1"/>
  <c r="D55" i="25"/>
  <c r="O55" i="25" s="1"/>
  <c r="C55" i="25"/>
  <c r="Z54" i="25"/>
  <c r="AA54" i="25" s="1"/>
  <c r="T54" i="25"/>
  <c r="V54" i="25" s="1"/>
  <c r="R54" i="25"/>
  <c r="N54" i="25"/>
  <c r="H54" i="25"/>
  <c r="I54" i="25" s="1"/>
  <c r="D54" i="25"/>
  <c r="O54" i="25" s="1"/>
  <c r="C54" i="25"/>
  <c r="Z53" i="25"/>
  <c r="AA53" i="25" s="1"/>
  <c r="T53" i="25"/>
  <c r="V53" i="25" s="1"/>
  <c r="R53" i="25"/>
  <c r="N53" i="25"/>
  <c r="H53" i="25"/>
  <c r="I53" i="25" s="1"/>
  <c r="D53" i="25"/>
  <c r="C53" i="25"/>
  <c r="Z52" i="25"/>
  <c r="AA52" i="25" s="1"/>
  <c r="T52" i="25"/>
  <c r="V52" i="25" s="1"/>
  <c r="R52" i="25"/>
  <c r="N52" i="25"/>
  <c r="H52" i="25"/>
  <c r="I52" i="25" s="1"/>
  <c r="D52" i="25"/>
  <c r="C52" i="25"/>
  <c r="Z51" i="25"/>
  <c r="AA51" i="25" s="1"/>
  <c r="T51" i="25"/>
  <c r="V51" i="25" s="1"/>
  <c r="R51" i="25"/>
  <c r="N51" i="25"/>
  <c r="H51" i="25"/>
  <c r="I51" i="25" s="1"/>
  <c r="D51" i="25"/>
  <c r="C51" i="25"/>
  <c r="Z50" i="25"/>
  <c r="AA50" i="25" s="1"/>
  <c r="V50" i="25"/>
  <c r="T50" i="25"/>
  <c r="R50" i="25"/>
  <c r="N50" i="25"/>
  <c r="H50" i="25"/>
  <c r="I50" i="25" s="1"/>
  <c r="D50" i="25"/>
  <c r="C50" i="25"/>
  <c r="Z49" i="25"/>
  <c r="AA49" i="25" s="1"/>
  <c r="V49" i="25"/>
  <c r="T49" i="25"/>
  <c r="R49" i="25"/>
  <c r="N49" i="25"/>
  <c r="I49" i="25"/>
  <c r="H49" i="25"/>
  <c r="D49" i="25"/>
  <c r="C49" i="25"/>
  <c r="AA48" i="25"/>
  <c r="Z48" i="25"/>
  <c r="T48" i="25"/>
  <c r="V48" i="25" s="1"/>
  <c r="R48" i="25"/>
  <c r="N48" i="25"/>
  <c r="H48" i="25"/>
  <c r="I48" i="25" s="1"/>
  <c r="D48" i="25"/>
  <c r="C48" i="25"/>
  <c r="Z47" i="25"/>
  <c r="AA47" i="25" s="1"/>
  <c r="T47" i="25"/>
  <c r="V47" i="25" s="1"/>
  <c r="R47" i="25"/>
  <c r="N47" i="25"/>
  <c r="I47" i="25"/>
  <c r="H47" i="25"/>
  <c r="D47" i="25"/>
  <c r="O47" i="25" s="1"/>
  <c r="C47" i="25"/>
  <c r="AA46" i="25"/>
  <c r="Z46" i="25"/>
  <c r="V46" i="25"/>
  <c r="T46" i="25"/>
  <c r="R46" i="25"/>
  <c r="N46" i="25"/>
  <c r="H46" i="25"/>
  <c r="I46" i="25" s="1"/>
  <c r="D46" i="25"/>
  <c r="C46" i="25"/>
  <c r="Z45" i="25"/>
  <c r="AA45" i="25" s="1"/>
  <c r="V45" i="25"/>
  <c r="T45" i="25"/>
  <c r="R45" i="25"/>
  <c r="N45" i="25"/>
  <c r="I45" i="25"/>
  <c r="H45" i="25"/>
  <c r="D45" i="25"/>
  <c r="C45" i="25"/>
  <c r="AA44" i="25"/>
  <c r="Z44" i="25"/>
  <c r="T44" i="25"/>
  <c r="V44" i="25" s="1"/>
  <c r="R44" i="25"/>
  <c r="N44" i="25"/>
  <c r="H44" i="25"/>
  <c r="I44" i="25" s="1"/>
  <c r="D44" i="25"/>
  <c r="C44" i="25"/>
  <c r="Z43" i="25"/>
  <c r="AA43" i="25" s="1"/>
  <c r="T43" i="25"/>
  <c r="V43" i="25" s="1"/>
  <c r="R43" i="25"/>
  <c r="N43" i="25"/>
  <c r="H43" i="25"/>
  <c r="I43" i="25" s="1"/>
  <c r="D43" i="25"/>
  <c r="O43" i="25" s="1"/>
  <c r="C43" i="25"/>
  <c r="Z42" i="25"/>
  <c r="AA42" i="25" s="1"/>
  <c r="V42" i="25"/>
  <c r="T42" i="25"/>
  <c r="R42" i="25"/>
  <c r="N42" i="25"/>
  <c r="H42" i="25"/>
  <c r="I42" i="25" s="1"/>
  <c r="D42" i="25"/>
  <c r="O42" i="25" s="1"/>
  <c r="C42" i="25"/>
  <c r="Z41" i="25"/>
  <c r="AA41" i="25" s="1"/>
  <c r="V41" i="25"/>
  <c r="T41" i="25"/>
  <c r="R41" i="25"/>
  <c r="N41" i="25"/>
  <c r="I41" i="25"/>
  <c r="H41" i="25"/>
  <c r="D41" i="25"/>
  <c r="C41" i="25"/>
  <c r="AA40" i="25"/>
  <c r="Z40" i="25"/>
  <c r="T40" i="25"/>
  <c r="V40" i="25" s="1"/>
  <c r="R40" i="25"/>
  <c r="N40" i="25"/>
  <c r="H40" i="25"/>
  <c r="I40" i="25" s="1"/>
  <c r="D40" i="25"/>
  <c r="C40" i="25"/>
  <c r="Z39" i="25"/>
  <c r="AA39" i="25" s="1"/>
  <c r="T39" i="25"/>
  <c r="V39" i="25" s="1"/>
  <c r="R39" i="25"/>
  <c r="N39" i="25"/>
  <c r="H39" i="25"/>
  <c r="I39" i="25" s="1"/>
  <c r="D39" i="25"/>
  <c r="C39" i="25"/>
  <c r="Z38" i="25"/>
  <c r="AA38" i="25" s="1"/>
  <c r="V38" i="25"/>
  <c r="T38" i="25"/>
  <c r="R38" i="25"/>
  <c r="N38" i="25"/>
  <c r="H38" i="25"/>
  <c r="I38" i="25" s="1"/>
  <c r="D38" i="25"/>
  <c r="C38" i="25"/>
  <c r="Z37" i="25"/>
  <c r="AA37" i="25" s="1"/>
  <c r="T37" i="25"/>
  <c r="V37" i="25" s="1"/>
  <c r="R37" i="25"/>
  <c r="N37" i="25"/>
  <c r="H37" i="25"/>
  <c r="I37" i="25" s="1"/>
  <c r="D37" i="25"/>
  <c r="C37" i="25"/>
  <c r="Z36" i="25"/>
  <c r="AA36" i="25" s="1"/>
  <c r="T36" i="25"/>
  <c r="V36" i="25" s="1"/>
  <c r="R36" i="25"/>
  <c r="N36" i="25"/>
  <c r="H36" i="25"/>
  <c r="I36" i="25" s="1"/>
  <c r="D36" i="25"/>
  <c r="C36" i="25"/>
  <c r="Z35" i="25"/>
  <c r="AA35" i="25" s="1"/>
  <c r="T35" i="25"/>
  <c r="V35" i="25" s="1"/>
  <c r="R35" i="25"/>
  <c r="N35" i="25"/>
  <c r="I35" i="25"/>
  <c r="D35" i="25"/>
  <c r="C35" i="25"/>
  <c r="Z34" i="25"/>
  <c r="AA34" i="25" s="1"/>
  <c r="V34" i="25"/>
  <c r="T34" i="25"/>
  <c r="R34" i="25"/>
  <c r="N34" i="25"/>
  <c r="I34" i="25"/>
  <c r="D34" i="25"/>
  <c r="C34" i="25"/>
  <c r="AA33" i="25"/>
  <c r="Z33" i="25"/>
  <c r="T33" i="25"/>
  <c r="V33" i="25" s="1"/>
  <c r="R33" i="25"/>
  <c r="N33" i="25"/>
  <c r="I33" i="25"/>
  <c r="D33" i="25"/>
  <c r="O33" i="25" s="1"/>
  <c r="C33" i="25"/>
  <c r="Z32" i="25"/>
  <c r="AA32" i="25" s="1"/>
  <c r="T32" i="25"/>
  <c r="V32" i="25" s="1"/>
  <c r="R32" i="25"/>
  <c r="N32" i="25"/>
  <c r="I32" i="25"/>
  <c r="D32" i="25"/>
  <c r="C32" i="25"/>
  <c r="AA31" i="25"/>
  <c r="Z31" i="25"/>
  <c r="T31" i="25"/>
  <c r="V31" i="25" s="1"/>
  <c r="R31" i="25"/>
  <c r="N31" i="25"/>
  <c r="I31" i="25"/>
  <c r="D31" i="25"/>
  <c r="O31" i="25" s="1"/>
  <c r="C31" i="25"/>
  <c r="Z30" i="25"/>
  <c r="AA30" i="25" s="1"/>
  <c r="T30" i="25"/>
  <c r="V30" i="25" s="1"/>
  <c r="R30" i="25"/>
  <c r="N30" i="25"/>
  <c r="I30" i="25"/>
  <c r="D30" i="25"/>
  <c r="C30" i="25"/>
  <c r="AA29" i="25"/>
  <c r="Z29" i="25"/>
  <c r="T29" i="25"/>
  <c r="V29" i="25" s="1"/>
  <c r="R29" i="25"/>
  <c r="N29" i="25"/>
  <c r="I29" i="25"/>
  <c r="D29" i="25"/>
  <c r="O29" i="25" s="1"/>
  <c r="C29" i="25"/>
  <c r="Z28" i="25"/>
  <c r="AA28" i="25" s="1"/>
  <c r="T28" i="25"/>
  <c r="V28" i="25" s="1"/>
  <c r="R28" i="25"/>
  <c r="N28" i="25"/>
  <c r="I28" i="25"/>
  <c r="D28" i="25"/>
  <c r="C28" i="25"/>
  <c r="AA27" i="25"/>
  <c r="Z27" i="25"/>
  <c r="T27" i="25"/>
  <c r="V27" i="25" s="1"/>
  <c r="R27" i="25"/>
  <c r="N27" i="25"/>
  <c r="I27" i="25"/>
  <c r="D27" i="25"/>
  <c r="O27" i="25" s="1"/>
  <c r="C27" i="25"/>
  <c r="Z26" i="25"/>
  <c r="AA26" i="25" s="1"/>
  <c r="T26" i="25"/>
  <c r="V26" i="25" s="1"/>
  <c r="R26" i="25"/>
  <c r="N26" i="25"/>
  <c r="I26" i="25"/>
  <c r="D26" i="25"/>
  <c r="O26" i="25" s="1"/>
  <c r="C26" i="25"/>
  <c r="AA25" i="25"/>
  <c r="Z25" i="25"/>
  <c r="T25" i="25"/>
  <c r="V25" i="25" s="1"/>
  <c r="R25" i="25"/>
  <c r="N25" i="25"/>
  <c r="I25" i="25"/>
  <c r="D25" i="25"/>
  <c r="O25" i="25" s="1"/>
  <c r="C25" i="25"/>
  <c r="Z24" i="25"/>
  <c r="AA24" i="25" s="1"/>
  <c r="T24" i="25"/>
  <c r="V24" i="25" s="1"/>
  <c r="R24" i="25"/>
  <c r="N24" i="25"/>
  <c r="I24" i="25"/>
  <c r="D24" i="25"/>
  <c r="C24" i="25"/>
  <c r="AA23" i="25"/>
  <c r="Z23" i="25"/>
  <c r="T23" i="25"/>
  <c r="V23" i="25" s="1"/>
  <c r="R23" i="25"/>
  <c r="N23" i="25"/>
  <c r="I23" i="25"/>
  <c r="D23" i="25"/>
  <c r="O23" i="25" s="1"/>
  <c r="C23" i="25"/>
  <c r="Z22" i="25"/>
  <c r="AA22" i="25" s="1"/>
  <c r="T22" i="25"/>
  <c r="V22" i="25" s="1"/>
  <c r="R22" i="25"/>
  <c r="N22" i="25"/>
  <c r="I22" i="25"/>
  <c r="D22" i="25"/>
  <c r="C22" i="25"/>
  <c r="AA21" i="25"/>
  <c r="Z21" i="25"/>
  <c r="T21" i="25"/>
  <c r="V21" i="25" s="1"/>
  <c r="R21" i="25"/>
  <c r="N21" i="25"/>
  <c r="I21" i="25"/>
  <c r="D21" i="25"/>
  <c r="O21" i="25" s="1"/>
  <c r="C21" i="25"/>
  <c r="Z20" i="25"/>
  <c r="AA20" i="25" s="1"/>
  <c r="T20" i="25"/>
  <c r="V20" i="25" s="1"/>
  <c r="R20" i="25"/>
  <c r="N20" i="25"/>
  <c r="I20" i="25"/>
  <c r="D20" i="25"/>
  <c r="C20" i="25"/>
  <c r="AA19" i="25"/>
  <c r="Z19" i="25"/>
  <c r="T19" i="25"/>
  <c r="V19" i="25" s="1"/>
  <c r="R19" i="25"/>
  <c r="N19" i="25"/>
  <c r="I19" i="25"/>
  <c r="D19" i="25"/>
  <c r="O19" i="25" s="1"/>
  <c r="C19" i="25"/>
  <c r="Z18" i="25"/>
  <c r="AA18" i="25" s="1"/>
  <c r="T18" i="25"/>
  <c r="V18" i="25" s="1"/>
  <c r="R18" i="25"/>
  <c r="N18" i="25"/>
  <c r="I18" i="25"/>
  <c r="D18" i="25"/>
  <c r="O18" i="25" s="1"/>
  <c r="C18" i="25"/>
  <c r="AA17" i="25"/>
  <c r="Z17" i="25"/>
  <c r="T17" i="25"/>
  <c r="V17" i="25" s="1"/>
  <c r="R17" i="25"/>
  <c r="N17" i="25"/>
  <c r="I17" i="25"/>
  <c r="D17" i="25"/>
  <c r="O17" i="25" s="1"/>
  <c r="C17" i="25"/>
  <c r="Z16" i="25"/>
  <c r="AA16" i="25" s="1"/>
  <c r="T16" i="25"/>
  <c r="V16" i="25" s="1"/>
  <c r="R16" i="25"/>
  <c r="N16" i="25"/>
  <c r="I16" i="25"/>
  <c r="D16" i="25"/>
  <c r="C16" i="25"/>
  <c r="AA15" i="25"/>
  <c r="Z15" i="25"/>
  <c r="T15" i="25"/>
  <c r="V15" i="25" s="1"/>
  <c r="R15" i="25"/>
  <c r="N15" i="25"/>
  <c r="I15" i="25"/>
  <c r="D15" i="25"/>
  <c r="O15" i="25" s="1"/>
  <c r="C15" i="25"/>
  <c r="Z14" i="25"/>
  <c r="AA14" i="25" s="1"/>
  <c r="T14" i="25"/>
  <c r="V14" i="25" s="1"/>
  <c r="R14" i="25"/>
  <c r="N14" i="25"/>
  <c r="I14" i="25"/>
  <c r="D14" i="25"/>
  <c r="C14" i="25"/>
  <c r="AA13" i="25"/>
  <c r="Z13" i="25"/>
  <c r="T13" i="25"/>
  <c r="V13" i="25" s="1"/>
  <c r="R13" i="25"/>
  <c r="N13" i="25"/>
  <c r="I13" i="25"/>
  <c r="D13" i="25"/>
  <c r="O13" i="25" s="1"/>
  <c r="C13" i="25"/>
  <c r="Z12" i="25"/>
  <c r="AA12" i="25" s="1"/>
  <c r="T12" i="25"/>
  <c r="V12" i="25" s="1"/>
  <c r="R12" i="25"/>
  <c r="N12" i="25"/>
  <c r="I12" i="25"/>
  <c r="D12" i="25"/>
  <c r="C12" i="25"/>
  <c r="AA11" i="25"/>
  <c r="Z11" i="25"/>
  <c r="T11" i="25"/>
  <c r="V11" i="25" s="1"/>
  <c r="R11" i="25"/>
  <c r="N11" i="25"/>
  <c r="I11" i="25"/>
  <c r="D11" i="25"/>
  <c r="O11" i="25" s="1"/>
  <c r="C11" i="25"/>
  <c r="Z10" i="25"/>
  <c r="AA10" i="25" s="1"/>
  <c r="T10" i="25"/>
  <c r="V10" i="25" s="1"/>
  <c r="R10" i="25"/>
  <c r="N10" i="25"/>
  <c r="I10" i="25"/>
  <c r="D10" i="25"/>
  <c r="O10" i="25" s="1"/>
  <c r="C10" i="25"/>
  <c r="AA9" i="25"/>
  <c r="Z9" i="25"/>
  <c r="T9" i="25"/>
  <c r="V9" i="25" s="1"/>
  <c r="R9" i="25"/>
  <c r="N9" i="25"/>
  <c r="I9" i="25"/>
  <c r="D9" i="25"/>
  <c r="O9" i="25" s="1"/>
  <c r="C9" i="25"/>
  <c r="Z8" i="25"/>
  <c r="AA8" i="25" s="1"/>
  <c r="T8" i="25"/>
  <c r="V8" i="25" s="1"/>
  <c r="R8" i="25"/>
  <c r="N8" i="25"/>
  <c r="I8" i="25"/>
  <c r="D8" i="25"/>
  <c r="C8" i="25"/>
  <c r="AA7" i="25"/>
  <c r="Z7" i="25"/>
  <c r="T7" i="25"/>
  <c r="V7" i="25" s="1"/>
  <c r="R7" i="25"/>
  <c r="N7" i="25"/>
  <c r="I7" i="25"/>
  <c r="D7" i="25"/>
  <c r="O7" i="25" s="1"/>
  <c r="C7" i="25"/>
  <c r="Z6" i="25"/>
  <c r="AA6" i="25" s="1"/>
  <c r="T6" i="25"/>
  <c r="V6" i="25" s="1"/>
  <c r="R6" i="25"/>
  <c r="N6" i="25"/>
  <c r="I6" i="25"/>
  <c r="D6" i="25"/>
  <c r="C6" i="25"/>
  <c r="AA5" i="25"/>
  <c r="Z5" i="25"/>
  <c r="T5" i="25"/>
  <c r="V5" i="25" s="1"/>
  <c r="R5" i="25"/>
  <c r="N5" i="25"/>
  <c r="I5" i="25"/>
  <c r="D5" i="25"/>
  <c r="O5" i="25" s="1"/>
  <c r="C5" i="25"/>
  <c r="Z4" i="25"/>
  <c r="AA4" i="25" s="1"/>
  <c r="T4" i="25"/>
  <c r="V4" i="25" s="1"/>
  <c r="R4" i="25"/>
  <c r="N4" i="25"/>
  <c r="I4" i="25"/>
  <c r="D4" i="25"/>
  <c r="C4" i="25"/>
  <c r="AA3" i="25"/>
  <c r="Z3" i="25"/>
  <c r="T3" i="25"/>
  <c r="V3" i="25" s="1"/>
  <c r="R3" i="25"/>
  <c r="N3" i="25"/>
  <c r="I3" i="25"/>
  <c r="D3" i="25"/>
  <c r="O3" i="25" s="1"/>
  <c r="C3" i="25"/>
  <c r="Z99" i="24"/>
  <c r="AA99" i="24" s="1"/>
  <c r="T99" i="24"/>
  <c r="V99" i="24" s="1"/>
  <c r="R99" i="24"/>
  <c r="N99" i="24"/>
  <c r="H99" i="24"/>
  <c r="I99" i="24" s="1"/>
  <c r="D99" i="24"/>
  <c r="O99" i="24" s="1"/>
  <c r="C99" i="24"/>
  <c r="Z98" i="24"/>
  <c r="AA98" i="24" s="1"/>
  <c r="V98" i="24"/>
  <c r="T98" i="24"/>
  <c r="R98" i="24"/>
  <c r="N98" i="24"/>
  <c r="I98" i="24"/>
  <c r="H98" i="24"/>
  <c r="D98" i="24"/>
  <c r="C98" i="24"/>
  <c r="AA97" i="24"/>
  <c r="Z97" i="24"/>
  <c r="T97" i="24"/>
  <c r="V97" i="24" s="1"/>
  <c r="R97" i="24"/>
  <c r="N97" i="24"/>
  <c r="H97" i="24"/>
  <c r="I97" i="24" s="1"/>
  <c r="D97" i="24"/>
  <c r="C97" i="24"/>
  <c r="Z96" i="24"/>
  <c r="AA96" i="24" s="1"/>
  <c r="V96" i="24"/>
  <c r="T96" i="24"/>
  <c r="R96" i="24"/>
  <c r="N96" i="24"/>
  <c r="H96" i="24"/>
  <c r="I96" i="24" s="1"/>
  <c r="D96" i="24"/>
  <c r="C96" i="24"/>
  <c r="Z95" i="24"/>
  <c r="AA95" i="24" s="1"/>
  <c r="V95" i="24"/>
  <c r="T95" i="24"/>
  <c r="R95" i="24"/>
  <c r="N95" i="24"/>
  <c r="I95" i="24"/>
  <c r="H95" i="24"/>
  <c r="D95" i="24"/>
  <c r="C95" i="24"/>
  <c r="AA94" i="24"/>
  <c r="Z94" i="24"/>
  <c r="T94" i="24"/>
  <c r="V94" i="24" s="1"/>
  <c r="R94" i="24"/>
  <c r="N94" i="24"/>
  <c r="H94" i="24"/>
  <c r="I94" i="24" s="1"/>
  <c r="D94" i="24"/>
  <c r="C94" i="24"/>
  <c r="Z93" i="24"/>
  <c r="AA93" i="24" s="1"/>
  <c r="T93" i="24"/>
  <c r="V93" i="24" s="1"/>
  <c r="R93" i="24"/>
  <c r="N93" i="24"/>
  <c r="I93" i="24"/>
  <c r="H93" i="24"/>
  <c r="D93" i="24"/>
  <c r="O93" i="24" s="1"/>
  <c r="C93" i="24"/>
  <c r="AA92" i="24"/>
  <c r="Z92" i="24"/>
  <c r="V92" i="24"/>
  <c r="T92" i="24"/>
  <c r="R92" i="24"/>
  <c r="N92" i="24"/>
  <c r="H92" i="24"/>
  <c r="I92" i="24" s="1"/>
  <c r="D92" i="24"/>
  <c r="C92" i="24"/>
  <c r="Z91" i="24"/>
  <c r="AA91" i="24" s="1"/>
  <c r="V91" i="24"/>
  <c r="T91" i="24"/>
  <c r="R91" i="24"/>
  <c r="N91" i="24"/>
  <c r="I91" i="24"/>
  <c r="H91" i="24"/>
  <c r="D91" i="24"/>
  <c r="C91" i="24"/>
  <c r="AA90" i="24"/>
  <c r="Z90" i="24"/>
  <c r="T90" i="24"/>
  <c r="V90" i="24" s="1"/>
  <c r="R90" i="24"/>
  <c r="N90" i="24"/>
  <c r="H90" i="24"/>
  <c r="I90" i="24" s="1"/>
  <c r="D90" i="24"/>
  <c r="C90" i="24"/>
  <c r="Z89" i="24"/>
  <c r="AA89" i="24" s="1"/>
  <c r="T89" i="24"/>
  <c r="V89" i="24" s="1"/>
  <c r="R89" i="24"/>
  <c r="N89" i="24"/>
  <c r="H89" i="24"/>
  <c r="I89" i="24" s="1"/>
  <c r="D89" i="24"/>
  <c r="O89" i="24" s="1"/>
  <c r="C89" i="24"/>
  <c r="Z88" i="24"/>
  <c r="AA88" i="24" s="1"/>
  <c r="V88" i="24"/>
  <c r="T88" i="24"/>
  <c r="R88" i="24"/>
  <c r="N88" i="24"/>
  <c r="H88" i="24"/>
  <c r="I88" i="24" s="1"/>
  <c r="D88" i="24"/>
  <c r="O88" i="24" s="1"/>
  <c r="C88" i="24"/>
  <c r="Z87" i="24"/>
  <c r="AA87" i="24" s="1"/>
  <c r="V87" i="24"/>
  <c r="T87" i="24"/>
  <c r="R87" i="24"/>
  <c r="N87" i="24"/>
  <c r="I87" i="24"/>
  <c r="H87" i="24"/>
  <c r="D87" i="24"/>
  <c r="C87" i="24"/>
  <c r="AA86" i="24"/>
  <c r="Z86" i="24"/>
  <c r="T86" i="24"/>
  <c r="V86" i="24" s="1"/>
  <c r="R86" i="24"/>
  <c r="N86" i="24"/>
  <c r="I86" i="24"/>
  <c r="H86" i="24"/>
  <c r="D86" i="24"/>
  <c r="C86" i="24"/>
  <c r="AA85" i="24"/>
  <c r="Z85" i="24"/>
  <c r="T85" i="24"/>
  <c r="V85" i="24" s="1"/>
  <c r="R85" i="24"/>
  <c r="N85" i="24"/>
  <c r="H85" i="24"/>
  <c r="I85" i="24" s="1"/>
  <c r="D85" i="24"/>
  <c r="C85" i="24"/>
  <c r="Z84" i="24"/>
  <c r="AA84" i="24" s="1"/>
  <c r="V84" i="24"/>
  <c r="T84" i="24"/>
  <c r="R84" i="24"/>
  <c r="N84" i="24"/>
  <c r="H84" i="24"/>
  <c r="I84" i="24" s="1"/>
  <c r="D84" i="24"/>
  <c r="C84" i="24"/>
  <c r="Z83" i="24"/>
  <c r="AA83" i="24" s="1"/>
  <c r="V83" i="24"/>
  <c r="T83" i="24"/>
  <c r="R83" i="24"/>
  <c r="N83" i="24"/>
  <c r="I83" i="24"/>
  <c r="H83" i="24"/>
  <c r="D83" i="24"/>
  <c r="O83" i="24" s="1"/>
  <c r="C83" i="24"/>
  <c r="AA82" i="24"/>
  <c r="Z82" i="24"/>
  <c r="V82" i="24"/>
  <c r="T82" i="24"/>
  <c r="R82" i="24"/>
  <c r="N82" i="24"/>
  <c r="I82" i="24"/>
  <c r="H82" i="24"/>
  <c r="D82" i="24"/>
  <c r="C82" i="24"/>
  <c r="AA81" i="24"/>
  <c r="Z81" i="24"/>
  <c r="T81" i="24"/>
  <c r="V81" i="24" s="1"/>
  <c r="R81" i="24"/>
  <c r="N81" i="24"/>
  <c r="H81" i="24"/>
  <c r="I81" i="24" s="1"/>
  <c r="D81" i="24"/>
  <c r="C81" i="24"/>
  <c r="Z80" i="24"/>
  <c r="AA80" i="24" s="1"/>
  <c r="V80" i="24"/>
  <c r="T80" i="24"/>
  <c r="R80" i="24"/>
  <c r="N80" i="24"/>
  <c r="H80" i="24"/>
  <c r="I80" i="24" s="1"/>
  <c r="D80" i="24"/>
  <c r="C80" i="24"/>
  <c r="Z79" i="24"/>
  <c r="AA79" i="24" s="1"/>
  <c r="V79" i="24"/>
  <c r="T79" i="24"/>
  <c r="R79" i="24"/>
  <c r="N79" i="24"/>
  <c r="I79" i="24"/>
  <c r="H79" i="24"/>
  <c r="D79" i="24"/>
  <c r="C79" i="24"/>
  <c r="AA78" i="24"/>
  <c r="Z78" i="24"/>
  <c r="T78" i="24"/>
  <c r="V78" i="24" s="1"/>
  <c r="R78" i="24"/>
  <c r="N78" i="24"/>
  <c r="I78" i="24"/>
  <c r="H78" i="24"/>
  <c r="D78" i="24"/>
  <c r="C78" i="24"/>
  <c r="AA77" i="24"/>
  <c r="Z77" i="24"/>
  <c r="T77" i="24"/>
  <c r="V77" i="24" s="1"/>
  <c r="R77" i="24"/>
  <c r="N77" i="24"/>
  <c r="H77" i="24"/>
  <c r="I77" i="24" s="1"/>
  <c r="D77" i="24"/>
  <c r="O77" i="24" s="1"/>
  <c r="C77" i="24"/>
  <c r="Z76" i="24"/>
  <c r="AA76" i="24" s="1"/>
  <c r="V76" i="24"/>
  <c r="T76" i="24"/>
  <c r="R76" i="24"/>
  <c r="N76" i="24"/>
  <c r="H76" i="24"/>
  <c r="I76" i="24" s="1"/>
  <c r="D76" i="24"/>
  <c r="C76" i="24"/>
  <c r="Z75" i="24"/>
  <c r="AA75" i="24" s="1"/>
  <c r="V75" i="24"/>
  <c r="T75" i="24"/>
  <c r="R75" i="24"/>
  <c r="N75" i="24"/>
  <c r="I75" i="24"/>
  <c r="H75" i="24"/>
  <c r="D75" i="24"/>
  <c r="C75" i="24"/>
  <c r="AA74" i="24"/>
  <c r="Z74" i="24"/>
  <c r="T74" i="24"/>
  <c r="V74" i="24" s="1"/>
  <c r="R74" i="24"/>
  <c r="N74" i="24"/>
  <c r="I74" i="24"/>
  <c r="H74" i="24"/>
  <c r="D74" i="24"/>
  <c r="C74" i="24"/>
  <c r="AA73" i="24"/>
  <c r="Z73" i="24"/>
  <c r="T73" i="24"/>
  <c r="V73" i="24" s="1"/>
  <c r="R73" i="24"/>
  <c r="N73" i="24"/>
  <c r="H73" i="24"/>
  <c r="I73" i="24" s="1"/>
  <c r="D73" i="24"/>
  <c r="O73" i="24" s="1"/>
  <c r="C73" i="24"/>
  <c r="Z72" i="24"/>
  <c r="AA72" i="24" s="1"/>
  <c r="T72" i="24"/>
  <c r="V72" i="24" s="1"/>
  <c r="R72" i="24"/>
  <c r="N72" i="24"/>
  <c r="H72" i="24"/>
  <c r="I72" i="24" s="1"/>
  <c r="D72" i="24"/>
  <c r="O72" i="24" s="1"/>
  <c r="C72" i="24"/>
  <c r="Z71" i="24"/>
  <c r="AA71" i="24" s="1"/>
  <c r="T71" i="24"/>
  <c r="V71" i="24" s="1"/>
  <c r="R71" i="24"/>
  <c r="N71" i="24"/>
  <c r="I71" i="24"/>
  <c r="H71" i="24"/>
  <c r="D71" i="24"/>
  <c r="C71" i="24"/>
  <c r="AA70" i="24"/>
  <c r="Z70" i="24"/>
  <c r="T70" i="24"/>
  <c r="V70" i="24" s="1"/>
  <c r="R70" i="24"/>
  <c r="N70" i="24"/>
  <c r="H70" i="24"/>
  <c r="I70" i="24" s="1"/>
  <c r="D70" i="24"/>
  <c r="C70" i="24"/>
  <c r="Z69" i="24"/>
  <c r="AA69" i="24" s="1"/>
  <c r="T69" i="24"/>
  <c r="V69" i="24" s="1"/>
  <c r="R69" i="24"/>
  <c r="N69" i="24"/>
  <c r="H69" i="24"/>
  <c r="I69" i="24" s="1"/>
  <c r="D69" i="24"/>
  <c r="C69" i="24"/>
  <c r="Z68" i="24"/>
  <c r="AA68" i="24" s="1"/>
  <c r="V68" i="24"/>
  <c r="T68" i="24"/>
  <c r="R68" i="24"/>
  <c r="N68" i="24"/>
  <c r="H68" i="24"/>
  <c r="I68" i="24" s="1"/>
  <c r="D68" i="24"/>
  <c r="C68" i="24"/>
  <c r="Z67" i="24"/>
  <c r="AA67" i="24" s="1"/>
  <c r="T67" i="24"/>
  <c r="V67" i="24" s="1"/>
  <c r="R67" i="24"/>
  <c r="N67" i="24"/>
  <c r="I67" i="24"/>
  <c r="H67" i="24"/>
  <c r="D67" i="24"/>
  <c r="C67" i="24"/>
  <c r="AA66" i="24"/>
  <c r="Z66" i="24"/>
  <c r="T66" i="24"/>
  <c r="V66" i="24" s="1"/>
  <c r="R66" i="24"/>
  <c r="N66" i="24"/>
  <c r="H66" i="24"/>
  <c r="I66" i="24" s="1"/>
  <c r="D66" i="24"/>
  <c r="C66" i="24"/>
  <c r="Z65" i="24"/>
  <c r="AA65" i="24" s="1"/>
  <c r="T65" i="24"/>
  <c r="V65" i="24" s="1"/>
  <c r="R65" i="24"/>
  <c r="N65" i="24"/>
  <c r="H65" i="24"/>
  <c r="I65" i="24" s="1"/>
  <c r="D65" i="24"/>
  <c r="C65" i="24"/>
  <c r="Z64" i="24"/>
  <c r="AA64" i="24" s="1"/>
  <c r="V64" i="24"/>
  <c r="T64" i="24"/>
  <c r="R64" i="24"/>
  <c r="N64" i="24"/>
  <c r="H64" i="24"/>
  <c r="I64" i="24" s="1"/>
  <c r="D64" i="24"/>
  <c r="C64" i="24"/>
  <c r="Z63" i="24"/>
  <c r="AA63" i="24" s="1"/>
  <c r="T63" i="24"/>
  <c r="V63" i="24" s="1"/>
  <c r="R63" i="24"/>
  <c r="N63" i="24"/>
  <c r="I63" i="24"/>
  <c r="H63" i="24"/>
  <c r="D63" i="24"/>
  <c r="C63" i="24"/>
  <c r="AA62" i="24"/>
  <c r="Z62" i="24"/>
  <c r="T62" i="24"/>
  <c r="V62" i="24" s="1"/>
  <c r="R62" i="24"/>
  <c r="N62" i="24"/>
  <c r="H62" i="24"/>
  <c r="I62" i="24" s="1"/>
  <c r="D62" i="24"/>
  <c r="C62" i="24"/>
  <c r="Z61" i="24"/>
  <c r="AA61" i="24" s="1"/>
  <c r="T61" i="24"/>
  <c r="V61" i="24" s="1"/>
  <c r="R61" i="24"/>
  <c r="N61" i="24"/>
  <c r="H61" i="24"/>
  <c r="I61" i="24" s="1"/>
  <c r="D61" i="24"/>
  <c r="O61" i="24" s="1"/>
  <c r="C61" i="24"/>
  <c r="Z60" i="24"/>
  <c r="AA60" i="24" s="1"/>
  <c r="V60" i="24"/>
  <c r="T60" i="24"/>
  <c r="R60" i="24"/>
  <c r="N60" i="24"/>
  <c r="H60" i="24"/>
  <c r="I60" i="24" s="1"/>
  <c r="D60" i="24"/>
  <c r="O60" i="24" s="1"/>
  <c r="C60" i="24"/>
  <c r="Z59" i="24"/>
  <c r="AA59" i="24" s="1"/>
  <c r="T59" i="24"/>
  <c r="V59" i="24" s="1"/>
  <c r="R59" i="24"/>
  <c r="N59" i="24"/>
  <c r="H59" i="24"/>
  <c r="I59" i="24" s="1"/>
  <c r="D59" i="24"/>
  <c r="C59" i="24"/>
  <c r="Z58" i="24"/>
  <c r="AA58" i="24" s="1"/>
  <c r="T58" i="24"/>
  <c r="V58" i="24" s="1"/>
  <c r="R58" i="24"/>
  <c r="N58" i="24"/>
  <c r="H58" i="24"/>
  <c r="I58" i="24" s="1"/>
  <c r="D58" i="24"/>
  <c r="C58" i="24"/>
  <c r="Z57" i="24"/>
  <c r="AA57" i="24" s="1"/>
  <c r="T57" i="24"/>
  <c r="V57" i="24" s="1"/>
  <c r="R57" i="24"/>
  <c r="N57" i="24"/>
  <c r="H57" i="24"/>
  <c r="I57" i="24" s="1"/>
  <c r="D57" i="24"/>
  <c r="O57" i="24" s="1"/>
  <c r="C57" i="24"/>
  <c r="Z56" i="24"/>
  <c r="AA56" i="24" s="1"/>
  <c r="T56" i="24"/>
  <c r="V56" i="24" s="1"/>
  <c r="R56" i="24"/>
  <c r="N56" i="24"/>
  <c r="H56" i="24"/>
  <c r="I56" i="24" s="1"/>
  <c r="D56" i="24"/>
  <c r="O56" i="24" s="1"/>
  <c r="C56" i="24"/>
  <c r="Z55" i="24"/>
  <c r="AA55" i="24" s="1"/>
  <c r="T55" i="24"/>
  <c r="V55" i="24" s="1"/>
  <c r="R55" i="24"/>
  <c r="N55" i="24"/>
  <c r="I55" i="24"/>
  <c r="H55" i="24"/>
  <c r="D55" i="24"/>
  <c r="C55" i="24"/>
  <c r="AA54" i="24"/>
  <c r="Z54" i="24"/>
  <c r="T54" i="24"/>
  <c r="V54" i="24" s="1"/>
  <c r="R54" i="24"/>
  <c r="N54" i="24"/>
  <c r="H54" i="24"/>
  <c r="I54" i="24" s="1"/>
  <c r="D54" i="24"/>
  <c r="C54" i="24"/>
  <c r="Z53" i="24"/>
  <c r="AA53" i="24" s="1"/>
  <c r="T53" i="24"/>
  <c r="V53" i="24" s="1"/>
  <c r="R53" i="24"/>
  <c r="N53" i="24"/>
  <c r="H53" i="24"/>
  <c r="I53" i="24" s="1"/>
  <c r="D53" i="24"/>
  <c r="C53" i="24"/>
  <c r="Z52" i="24"/>
  <c r="AA52" i="24" s="1"/>
  <c r="V52" i="24"/>
  <c r="T52" i="24"/>
  <c r="R52" i="24"/>
  <c r="N52" i="24"/>
  <c r="H52" i="24"/>
  <c r="I52" i="24" s="1"/>
  <c r="D52" i="24"/>
  <c r="C52" i="24"/>
  <c r="Z51" i="24"/>
  <c r="AA51" i="24" s="1"/>
  <c r="T51" i="24"/>
  <c r="V51" i="24" s="1"/>
  <c r="R51" i="24"/>
  <c r="N51" i="24"/>
  <c r="I51" i="24"/>
  <c r="H51" i="24"/>
  <c r="D51" i="24"/>
  <c r="C51" i="24"/>
  <c r="AA50" i="24"/>
  <c r="Z50" i="24"/>
  <c r="T50" i="24"/>
  <c r="V50" i="24" s="1"/>
  <c r="R50" i="24"/>
  <c r="N50" i="24"/>
  <c r="H50" i="24"/>
  <c r="I50" i="24" s="1"/>
  <c r="D50" i="24"/>
  <c r="C50" i="24"/>
  <c r="Z49" i="24"/>
  <c r="AA49" i="24" s="1"/>
  <c r="T49" i="24"/>
  <c r="V49" i="24" s="1"/>
  <c r="R49" i="24"/>
  <c r="N49" i="24"/>
  <c r="H49" i="24"/>
  <c r="I49" i="24" s="1"/>
  <c r="D49" i="24"/>
  <c r="C49" i="24"/>
  <c r="Z48" i="24"/>
  <c r="AA48" i="24" s="1"/>
  <c r="T48" i="24"/>
  <c r="V48" i="24" s="1"/>
  <c r="R48" i="24"/>
  <c r="N48" i="24"/>
  <c r="H48" i="24"/>
  <c r="I48" i="24" s="1"/>
  <c r="D48" i="24"/>
  <c r="O48" i="24" s="1"/>
  <c r="C48" i="24"/>
  <c r="Z47" i="24"/>
  <c r="AA47" i="24" s="1"/>
  <c r="V47" i="24"/>
  <c r="T47" i="24"/>
  <c r="R47" i="24"/>
  <c r="N47" i="24"/>
  <c r="H47" i="24"/>
  <c r="I47" i="24" s="1"/>
  <c r="D47" i="24"/>
  <c r="C47" i="24"/>
  <c r="Z46" i="24"/>
  <c r="AA46" i="24" s="1"/>
  <c r="T46" i="24"/>
  <c r="V46" i="24" s="1"/>
  <c r="R46" i="24"/>
  <c r="N46" i="24"/>
  <c r="H46" i="24"/>
  <c r="I46" i="24" s="1"/>
  <c r="D46" i="24"/>
  <c r="C46" i="24"/>
  <c r="Z45" i="24"/>
  <c r="AA45" i="24" s="1"/>
  <c r="T45" i="24"/>
  <c r="V45" i="24" s="1"/>
  <c r="R45" i="24"/>
  <c r="N45" i="24"/>
  <c r="H45" i="24"/>
  <c r="I45" i="24" s="1"/>
  <c r="D45" i="24"/>
  <c r="C45" i="24"/>
  <c r="Z44" i="24"/>
  <c r="AA44" i="24" s="1"/>
  <c r="T44" i="24"/>
  <c r="V44" i="24" s="1"/>
  <c r="R44" i="24"/>
  <c r="N44" i="24"/>
  <c r="H44" i="24"/>
  <c r="I44" i="24" s="1"/>
  <c r="D44" i="24"/>
  <c r="O44" i="24" s="1"/>
  <c r="C44" i="24"/>
  <c r="Z43" i="24"/>
  <c r="AA43" i="24" s="1"/>
  <c r="T43" i="24"/>
  <c r="V43" i="24" s="1"/>
  <c r="R43" i="24"/>
  <c r="N43" i="24"/>
  <c r="H43" i="24"/>
  <c r="I43" i="24" s="1"/>
  <c r="D43" i="24"/>
  <c r="C43" i="24"/>
  <c r="Z42" i="24"/>
  <c r="AA42" i="24" s="1"/>
  <c r="T42" i="24"/>
  <c r="V42" i="24" s="1"/>
  <c r="R42" i="24"/>
  <c r="N42" i="24"/>
  <c r="I42" i="24"/>
  <c r="H42" i="24"/>
  <c r="D42" i="24"/>
  <c r="C42" i="24"/>
  <c r="AA41" i="24"/>
  <c r="Z41" i="24"/>
  <c r="T41" i="24"/>
  <c r="V41" i="24" s="1"/>
  <c r="R41" i="24"/>
  <c r="N41" i="24"/>
  <c r="H41" i="24"/>
  <c r="I41" i="24" s="1"/>
  <c r="D41" i="24"/>
  <c r="C41" i="24"/>
  <c r="Z40" i="24"/>
  <c r="AA40" i="24" s="1"/>
  <c r="T40" i="24"/>
  <c r="V40" i="24" s="1"/>
  <c r="R40" i="24"/>
  <c r="N40" i="24"/>
  <c r="H40" i="24"/>
  <c r="I40" i="24" s="1"/>
  <c r="D40" i="24"/>
  <c r="C40" i="24"/>
  <c r="Z39" i="24"/>
  <c r="AA39" i="24" s="1"/>
  <c r="T39" i="24"/>
  <c r="V39" i="24" s="1"/>
  <c r="R39" i="24"/>
  <c r="N39" i="24"/>
  <c r="H39" i="24"/>
  <c r="I39" i="24" s="1"/>
  <c r="D39" i="24"/>
  <c r="C39" i="24"/>
  <c r="Z38" i="24"/>
  <c r="AA38" i="24" s="1"/>
  <c r="T38" i="24"/>
  <c r="V38" i="24" s="1"/>
  <c r="R38" i="24"/>
  <c r="N38" i="24"/>
  <c r="I38" i="24"/>
  <c r="H38" i="24"/>
  <c r="D38" i="24"/>
  <c r="C38" i="24"/>
  <c r="AA37" i="24"/>
  <c r="Z37" i="24"/>
  <c r="T37" i="24"/>
  <c r="V37" i="24" s="1"/>
  <c r="R37" i="24"/>
  <c r="N37" i="24"/>
  <c r="H37" i="24"/>
  <c r="I37" i="24" s="1"/>
  <c r="D37" i="24"/>
  <c r="C37" i="24"/>
  <c r="Z36" i="24"/>
  <c r="AA36" i="24" s="1"/>
  <c r="T36" i="24"/>
  <c r="V36" i="24" s="1"/>
  <c r="R36" i="24"/>
  <c r="N36" i="24"/>
  <c r="H36" i="24"/>
  <c r="I36" i="24" s="1"/>
  <c r="D36" i="24"/>
  <c r="C36" i="24"/>
  <c r="Z35" i="24"/>
  <c r="AA35" i="24" s="1"/>
  <c r="V35" i="24"/>
  <c r="T35" i="24"/>
  <c r="R35" i="24"/>
  <c r="N35" i="24"/>
  <c r="I35" i="24"/>
  <c r="D35" i="24"/>
  <c r="C35" i="24"/>
  <c r="AA34" i="24"/>
  <c r="Z34" i="24"/>
  <c r="T34" i="24"/>
  <c r="V34" i="24" s="1"/>
  <c r="R34" i="24"/>
  <c r="N34" i="24"/>
  <c r="I34" i="24"/>
  <c r="D34" i="24"/>
  <c r="C34" i="24"/>
  <c r="Z33" i="24"/>
  <c r="AA33" i="24" s="1"/>
  <c r="V33" i="24"/>
  <c r="T33" i="24"/>
  <c r="R33" i="24"/>
  <c r="N33" i="24"/>
  <c r="I33" i="24"/>
  <c r="D33" i="24"/>
  <c r="C33" i="24"/>
  <c r="AA32" i="24"/>
  <c r="Z32" i="24"/>
  <c r="T32" i="24"/>
  <c r="V32" i="24" s="1"/>
  <c r="R32" i="24"/>
  <c r="N32" i="24"/>
  <c r="I32" i="24"/>
  <c r="D32" i="24"/>
  <c r="C32" i="24"/>
  <c r="Z31" i="24"/>
  <c r="AA31" i="24" s="1"/>
  <c r="V31" i="24"/>
  <c r="T31" i="24"/>
  <c r="R31" i="24"/>
  <c r="N31" i="24"/>
  <c r="I31" i="24"/>
  <c r="D31" i="24"/>
  <c r="C31" i="24"/>
  <c r="AA30" i="24"/>
  <c r="Z30" i="24"/>
  <c r="T30" i="24"/>
  <c r="V30" i="24" s="1"/>
  <c r="R30" i="24"/>
  <c r="N30" i="24"/>
  <c r="I30" i="24"/>
  <c r="D30" i="24"/>
  <c r="C30" i="24"/>
  <c r="Z29" i="24"/>
  <c r="AA29" i="24" s="1"/>
  <c r="V29" i="24"/>
  <c r="T29" i="24"/>
  <c r="R29" i="24"/>
  <c r="N29" i="24"/>
  <c r="I29" i="24"/>
  <c r="D29" i="24"/>
  <c r="C29" i="24"/>
  <c r="AA28" i="24"/>
  <c r="Z28" i="24"/>
  <c r="T28" i="24"/>
  <c r="V28" i="24" s="1"/>
  <c r="R28" i="24"/>
  <c r="N28" i="24"/>
  <c r="I28" i="24"/>
  <c r="D28" i="24"/>
  <c r="C28" i="24"/>
  <c r="Z27" i="24"/>
  <c r="AA27" i="24" s="1"/>
  <c r="T27" i="24"/>
  <c r="V27" i="24" s="1"/>
  <c r="R27" i="24"/>
  <c r="N27" i="24"/>
  <c r="I27" i="24"/>
  <c r="D27" i="24"/>
  <c r="C27" i="24"/>
  <c r="AA26" i="24"/>
  <c r="Z26" i="24"/>
  <c r="T26" i="24"/>
  <c r="V26" i="24" s="1"/>
  <c r="R26" i="24"/>
  <c r="N26" i="24"/>
  <c r="I26" i="24"/>
  <c r="D26" i="24"/>
  <c r="C26" i="24"/>
  <c r="Z25" i="24"/>
  <c r="AA25" i="24" s="1"/>
  <c r="T25" i="24"/>
  <c r="V25" i="24" s="1"/>
  <c r="R25" i="24"/>
  <c r="N25" i="24"/>
  <c r="I25" i="24"/>
  <c r="D25" i="24"/>
  <c r="C25" i="24"/>
  <c r="AA24" i="24"/>
  <c r="Z24" i="24"/>
  <c r="T24" i="24"/>
  <c r="V24" i="24" s="1"/>
  <c r="R24" i="24"/>
  <c r="N24" i="24"/>
  <c r="I24" i="24"/>
  <c r="D24" i="24"/>
  <c r="C24" i="24"/>
  <c r="Z23" i="24"/>
  <c r="AA23" i="24" s="1"/>
  <c r="T23" i="24"/>
  <c r="V23" i="24" s="1"/>
  <c r="R23" i="24"/>
  <c r="N23" i="24"/>
  <c r="I23" i="24"/>
  <c r="D23" i="24"/>
  <c r="C23" i="24"/>
  <c r="AA22" i="24"/>
  <c r="Z22" i="24"/>
  <c r="T22" i="24"/>
  <c r="V22" i="24" s="1"/>
  <c r="R22" i="24"/>
  <c r="N22" i="24"/>
  <c r="I22" i="24"/>
  <c r="D22" i="24"/>
  <c r="C22" i="24"/>
  <c r="Z21" i="24"/>
  <c r="AA21" i="24" s="1"/>
  <c r="T21" i="24"/>
  <c r="V21" i="24" s="1"/>
  <c r="R21" i="24"/>
  <c r="N21" i="24"/>
  <c r="I21" i="24"/>
  <c r="D21" i="24"/>
  <c r="C21" i="24"/>
  <c r="AA20" i="24"/>
  <c r="Z20" i="24"/>
  <c r="T20" i="24"/>
  <c r="V20" i="24" s="1"/>
  <c r="R20" i="24"/>
  <c r="N20" i="24"/>
  <c r="I20" i="24"/>
  <c r="D20" i="24"/>
  <c r="C20" i="24"/>
  <c r="Z19" i="24"/>
  <c r="AA19" i="24" s="1"/>
  <c r="T19" i="24"/>
  <c r="V19" i="24" s="1"/>
  <c r="R19" i="24"/>
  <c r="N19" i="24"/>
  <c r="I19" i="24"/>
  <c r="D19" i="24"/>
  <c r="C19" i="24"/>
  <c r="AA18" i="24"/>
  <c r="Z18" i="24"/>
  <c r="T18" i="24"/>
  <c r="V18" i="24" s="1"/>
  <c r="R18" i="24"/>
  <c r="N18" i="24"/>
  <c r="I18" i="24"/>
  <c r="D18" i="24"/>
  <c r="C18" i="24"/>
  <c r="Z17" i="24"/>
  <c r="AA17" i="24" s="1"/>
  <c r="T17" i="24"/>
  <c r="V17" i="24" s="1"/>
  <c r="R17" i="24"/>
  <c r="N17" i="24"/>
  <c r="I17" i="24"/>
  <c r="D17" i="24"/>
  <c r="C17" i="24"/>
  <c r="AA16" i="24"/>
  <c r="Z16" i="24"/>
  <c r="T16" i="24"/>
  <c r="V16" i="24" s="1"/>
  <c r="R16" i="24"/>
  <c r="N16" i="24"/>
  <c r="I16" i="24"/>
  <c r="D16" i="24"/>
  <c r="C16" i="24"/>
  <c r="Z15" i="24"/>
  <c r="AA15" i="24" s="1"/>
  <c r="T15" i="24"/>
  <c r="V15" i="24" s="1"/>
  <c r="R15" i="24"/>
  <c r="N15" i="24"/>
  <c r="I15" i="24"/>
  <c r="D15" i="24"/>
  <c r="C15" i="24"/>
  <c r="AA14" i="24"/>
  <c r="Z14" i="24"/>
  <c r="T14" i="24"/>
  <c r="V14" i="24" s="1"/>
  <c r="R14" i="24"/>
  <c r="N14" i="24"/>
  <c r="I14" i="24"/>
  <c r="D14" i="24"/>
  <c r="C14" i="24"/>
  <c r="Z13" i="24"/>
  <c r="AA13" i="24" s="1"/>
  <c r="T13" i="24"/>
  <c r="V13" i="24" s="1"/>
  <c r="R13" i="24"/>
  <c r="N13" i="24"/>
  <c r="I13" i="24"/>
  <c r="D13" i="24"/>
  <c r="C13" i="24"/>
  <c r="AA12" i="24"/>
  <c r="Z12" i="24"/>
  <c r="T12" i="24"/>
  <c r="V12" i="24" s="1"/>
  <c r="R12" i="24"/>
  <c r="N12" i="24"/>
  <c r="I12" i="24"/>
  <c r="D12" i="24"/>
  <c r="C12" i="24"/>
  <c r="Z11" i="24"/>
  <c r="AA11" i="24" s="1"/>
  <c r="T11" i="24"/>
  <c r="V11" i="24" s="1"/>
  <c r="R11" i="24"/>
  <c r="N11" i="24"/>
  <c r="I11" i="24"/>
  <c r="D11" i="24"/>
  <c r="C11" i="24"/>
  <c r="AA10" i="24"/>
  <c r="Z10" i="24"/>
  <c r="T10" i="24"/>
  <c r="V10" i="24" s="1"/>
  <c r="R10" i="24"/>
  <c r="N10" i="24"/>
  <c r="I10" i="24"/>
  <c r="D10" i="24"/>
  <c r="C10" i="24"/>
  <c r="Z9" i="24"/>
  <c r="AA9" i="24" s="1"/>
  <c r="T9" i="24"/>
  <c r="V9" i="24" s="1"/>
  <c r="R9" i="24"/>
  <c r="N9" i="24"/>
  <c r="I9" i="24"/>
  <c r="D9" i="24"/>
  <c r="C9" i="24"/>
  <c r="AA8" i="24"/>
  <c r="Z8" i="24"/>
  <c r="T8" i="24"/>
  <c r="V8" i="24" s="1"/>
  <c r="R8" i="24"/>
  <c r="N8" i="24"/>
  <c r="I8" i="24"/>
  <c r="D8" i="24"/>
  <c r="C8" i="24"/>
  <c r="Z7" i="24"/>
  <c r="AA7" i="24" s="1"/>
  <c r="T7" i="24"/>
  <c r="V7" i="24" s="1"/>
  <c r="R7" i="24"/>
  <c r="N7" i="24"/>
  <c r="I7" i="24"/>
  <c r="D7" i="24"/>
  <c r="C7" i="24"/>
  <c r="AA6" i="24"/>
  <c r="Z6" i="24"/>
  <c r="T6" i="24"/>
  <c r="V6" i="24" s="1"/>
  <c r="R6" i="24"/>
  <c r="N6" i="24"/>
  <c r="I6" i="24"/>
  <c r="D6" i="24"/>
  <c r="C6" i="24"/>
  <c r="Z5" i="24"/>
  <c r="AA5" i="24" s="1"/>
  <c r="T5" i="24"/>
  <c r="V5" i="24" s="1"/>
  <c r="R5" i="24"/>
  <c r="N5" i="24"/>
  <c r="I5" i="24"/>
  <c r="D5" i="24"/>
  <c r="C5" i="24"/>
  <c r="AA4" i="24"/>
  <c r="Z4" i="24"/>
  <c r="T4" i="24"/>
  <c r="V4" i="24" s="1"/>
  <c r="R4" i="24"/>
  <c r="N4" i="24"/>
  <c r="I4" i="24"/>
  <c r="D4" i="24"/>
  <c r="C4" i="24"/>
  <c r="Z3" i="24"/>
  <c r="AA3" i="24" s="1"/>
  <c r="T3" i="24"/>
  <c r="V3" i="24" s="1"/>
  <c r="R3" i="24"/>
  <c r="N3" i="24"/>
  <c r="I3" i="24"/>
  <c r="D3" i="24"/>
  <c r="C3" i="24"/>
  <c r="AA99" i="23"/>
  <c r="Z99" i="23"/>
  <c r="T99" i="23"/>
  <c r="V99" i="23" s="1"/>
  <c r="R99" i="23"/>
  <c r="N99" i="23"/>
  <c r="H99" i="23"/>
  <c r="I99" i="23" s="1"/>
  <c r="D99" i="23"/>
  <c r="C99" i="23"/>
  <c r="Z98" i="23"/>
  <c r="AA98" i="23" s="1"/>
  <c r="T98" i="23"/>
  <c r="V98" i="23" s="1"/>
  <c r="R98" i="23"/>
  <c r="N98" i="23"/>
  <c r="H98" i="23"/>
  <c r="I98" i="23" s="1"/>
  <c r="D98" i="23"/>
  <c r="C98" i="23"/>
  <c r="Z97" i="23"/>
  <c r="AA97" i="23" s="1"/>
  <c r="V97" i="23"/>
  <c r="T97" i="23"/>
  <c r="R97" i="23"/>
  <c r="N97" i="23"/>
  <c r="H97" i="23"/>
  <c r="I97" i="23" s="1"/>
  <c r="D97" i="23"/>
  <c r="C97" i="23"/>
  <c r="Z96" i="23"/>
  <c r="AA96" i="23" s="1"/>
  <c r="T96" i="23"/>
  <c r="V96" i="23" s="1"/>
  <c r="R96" i="23"/>
  <c r="N96" i="23"/>
  <c r="H96" i="23"/>
  <c r="I96" i="23" s="1"/>
  <c r="D96" i="23"/>
  <c r="C96" i="23"/>
  <c r="Z95" i="23"/>
  <c r="AA95" i="23" s="1"/>
  <c r="T95" i="23"/>
  <c r="V95" i="23" s="1"/>
  <c r="R95" i="23"/>
  <c r="N95" i="23"/>
  <c r="H95" i="23"/>
  <c r="I95" i="23" s="1"/>
  <c r="D95" i="23"/>
  <c r="C95" i="23"/>
  <c r="Z94" i="23"/>
  <c r="AA94" i="23" s="1"/>
  <c r="T94" i="23"/>
  <c r="V94" i="23" s="1"/>
  <c r="R94" i="23"/>
  <c r="N94" i="23"/>
  <c r="H94" i="23"/>
  <c r="I94" i="23" s="1"/>
  <c r="D94" i="23"/>
  <c r="O94" i="23" s="1"/>
  <c r="C94" i="23"/>
  <c r="Z93" i="23"/>
  <c r="AA93" i="23" s="1"/>
  <c r="T93" i="23"/>
  <c r="V93" i="23" s="1"/>
  <c r="R93" i="23"/>
  <c r="N93" i="23"/>
  <c r="H93" i="23"/>
  <c r="I93" i="23" s="1"/>
  <c r="D93" i="23"/>
  <c r="C93" i="23"/>
  <c r="Z92" i="23"/>
  <c r="AA92" i="23" s="1"/>
  <c r="T92" i="23"/>
  <c r="V92" i="23" s="1"/>
  <c r="R92" i="23"/>
  <c r="N92" i="23"/>
  <c r="I92" i="23"/>
  <c r="H92" i="23"/>
  <c r="D92" i="23"/>
  <c r="C92" i="23"/>
  <c r="AA91" i="23"/>
  <c r="Z91" i="23"/>
  <c r="T91" i="23"/>
  <c r="V91" i="23" s="1"/>
  <c r="R91" i="23"/>
  <c r="N91" i="23"/>
  <c r="H91" i="23"/>
  <c r="I91" i="23" s="1"/>
  <c r="D91" i="23"/>
  <c r="C91" i="23"/>
  <c r="Z90" i="23"/>
  <c r="AA90" i="23" s="1"/>
  <c r="T90" i="23"/>
  <c r="V90" i="23" s="1"/>
  <c r="R90" i="23"/>
  <c r="N90" i="23"/>
  <c r="H90" i="23"/>
  <c r="I90" i="23" s="1"/>
  <c r="D90" i="23"/>
  <c r="O90" i="23" s="1"/>
  <c r="C90" i="23"/>
  <c r="Z89" i="23"/>
  <c r="AA89" i="23" s="1"/>
  <c r="V89" i="23"/>
  <c r="T89" i="23"/>
  <c r="R89" i="23"/>
  <c r="N89" i="23"/>
  <c r="H89" i="23"/>
  <c r="I89" i="23" s="1"/>
  <c r="D89" i="23"/>
  <c r="C89" i="23"/>
  <c r="Z88" i="23"/>
  <c r="AA88" i="23" s="1"/>
  <c r="T88" i="23"/>
  <c r="V88" i="23" s="1"/>
  <c r="R88" i="23"/>
  <c r="N88" i="23"/>
  <c r="H88" i="23"/>
  <c r="I88" i="23" s="1"/>
  <c r="D88" i="23"/>
  <c r="C88" i="23"/>
  <c r="Z87" i="23"/>
  <c r="AA87" i="23" s="1"/>
  <c r="T87" i="23"/>
  <c r="V87" i="23" s="1"/>
  <c r="R87" i="23"/>
  <c r="N87" i="23"/>
  <c r="H87" i="23"/>
  <c r="I87" i="23" s="1"/>
  <c r="D87" i="23"/>
  <c r="C87" i="23"/>
  <c r="Z86" i="23"/>
  <c r="AA86" i="23" s="1"/>
  <c r="T86" i="23"/>
  <c r="V86" i="23" s="1"/>
  <c r="R86" i="23"/>
  <c r="N86" i="23"/>
  <c r="H86" i="23"/>
  <c r="I86" i="23" s="1"/>
  <c r="D86" i="23"/>
  <c r="C86" i="23"/>
  <c r="Z85" i="23"/>
  <c r="AA85" i="23" s="1"/>
  <c r="T85" i="23"/>
  <c r="V85" i="23" s="1"/>
  <c r="R85" i="23"/>
  <c r="N85" i="23"/>
  <c r="H85" i="23"/>
  <c r="I85" i="23" s="1"/>
  <c r="D85" i="23"/>
  <c r="C85" i="23"/>
  <c r="Z84" i="23"/>
  <c r="AA84" i="23" s="1"/>
  <c r="T84" i="23"/>
  <c r="V84" i="23" s="1"/>
  <c r="R84" i="23"/>
  <c r="N84" i="23"/>
  <c r="I84" i="23"/>
  <c r="H84" i="23"/>
  <c r="D84" i="23"/>
  <c r="C84" i="23"/>
  <c r="AA83" i="23"/>
  <c r="Z83" i="23"/>
  <c r="T83" i="23"/>
  <c r="V83" i="23" s="1"/>
  <c r="R83" i="23"/>
  <c r="N83" i="23"/>
  <c r="H83" i="23"/>
  <c r="I83" i="23" s="1"/>
  <c r="D83" i="23"/>
  <c r="C83" i="23"/>
  <c r="Z82" i="23"/>
  <c r="AA82" i="23" s="1"/>
  <c r="T82" i="23"/>
  <c r="V82" i="23" s="1"/>
  <c r="R82" i="23"/>
  <c r="N82" i="23"/>
  <c r="H82" i="23"/>
  <c r="I82" i="23" s="1"/>
  <c r="D82" i="23"/>
  <c r="C82" i="23"/>
  <c r="Z81" i="23"/>
  <c r="AA81" i="23" s="1"/>
  <c r="V81" i="23"/>
  <c r="T81" i="23"/>
  <c r="R81" i="23"/>
  <c r="N81" i="23"/>
  <c r="H81" i="23"/>
  <c r="I81" i="23" s="1"/>
  <c r="D81" i="23"/>
  <c r="C81" i="23"/>
  <c r="Z80" i="23"/>
  <c r="AA80" i="23" s="1"/>
  <c r="T80" i="23"/>
  <c r="V80" i="23" s="1"/>
  <c r="R80" i="23"/>
  <c r="N80" i="23"/>
  <c r="H80" i="23"/>
  <c r="I80" i="23" s="1"/>
  <c r="D80" i="23"/>
  <c r="C80" i="23"/>
  <c r="Z79" i="23"/>
  <c r="AA79" i="23" s="1"/>
  <c r="T79" i="23"/>
  <c r="V79" i="23" s="1"/>
  <c r="R79" i="23"/>
  <c r="N79" i="23"/>
  <c r="H79" i="23"/>
  <c r="I79" i="23" s="1"/>
  <c r="D79" i="23"/>
  <c r="C79" i="23"/>
  <c r="Z78" i="23"/>
  <c r="AA78" i="23" s="1"/>
  <c r="T78" i="23"/>
  <c r="V78" i="23" s="1"/>
  <c r="R78" i="23"/>
  <c r="N78" i="23"/>
  <c r="H78" i="23"/>
  <c r="I78" i="23" s="1"/>
  <c r="D78" i="23"/>
  <c r="O78" i="23" s="1"/>
  <c r="C78" i="23"/>
  <c r="Z77" i="23"/>
  <c r="AA77" i="23" s="1"/>
  <c r="T77" i="23"/>
  <c r="V77" i="23" s="1"/>
  <c r="R77" i="23"/>
  <c r="N77" i="23"/>
  <c r="H77" i="23"/>
  <c r="I77" i="23" s="1"/>
  <c r="D77" i="23"/>
  <c r="C77" i="23"/>
  <c r="Z76" i="23"/>
  <c r="AA76" i="23" s="1"/>
  <c r="T76" i="23"/>
  <c r="V76" i="23" s="1"/>
  <c r="R76" i="23"/>
  <c r="N76" i="23"/>
  <c r="I76" i="23"/>
  <c r="H76" i="23"/>
  <c r="D76" i="23"/>
  <c r="C76" i="23"/>
  <c r="AA75" i="23"/>
  <c r="Z75" i="23"/>
  <c r="T75" i="23"/>
  <c r="V75" i="23" s="1"/>
  <c r="R75" i="23"/>
  <c r="N75" i="23"/>
  <c r="H75" i="23"/>
  <c r="I75" i="23" s="1"/>
  <c r="D75" i="23"/>
  <c r="C75" i="23"/>
  <c r="Z74" i="23"/>
  <c r="AA74" i="23" s="1"/>
  <c r="T74" i="23"/>
  <c r="V74" i="23" s="1"/>
  <c r="R74" i="23"/>
  <c r="N74" i="23"/>
  <c r="H74" i="23"/>
  <c r="I74" i="23" s="1"/>
  <c r="D74" i="23"/>
  <c r="O74" i="23" s="1"/>
  <c r="C74" i="23"/>
  <c r="Z73" i="23"/>
  <c r="AA73" i="23" s="1"/>
  <c r="V73" i="23"/>
  <c r="T73" i="23"/>
  <c r="R73" i="23"/>
  <c r="N73" i="23"/>
  <c r="H73" i="23"/>
  <c r="I73" i="23" s="1"/>
  <c r="D73" i="23"/>
  <c r="C73" i="23"/>
  <c r="Z72" i="23"/>
  <c r="AA72" i="23" s="1"/>
  <c r="T72" i="23"/>
  <c r="V72" i="23" s="1"/>
  <c r="R72" i="23"/>
  <c r="N72" i="23"/>
  <c r="H72" i="23"/>
  <c r="I72" i="23" s="1"/>
  <c r="D72" i="23"/>
  <c r="C72" i="23"/>
  <c r="Z71" i="23"/>
  <c r="AA71" i="23" s="1"/>
  <c r="T71" i="23"/>
  <c r="V71" i="23" s="1"/>
  <c r="R71" i="23"/>
  <c r="N71" i="23"/>
  <c r="H71" i="23"/>
  <c r="I71" i="23" s="1"/>
  <c r="D71" i="23"/>
  <c r="C71" i="23"/>
  <c r="Z70" i="23"/>
  <c r="AA70" i="23" s="1"/>
  <c r="T70" i="23"/>
  <c r="V70" i="23" s="1"/>
  <c r="R70" i="23"/>
  <c r="N70" i="23"/>
  <c r="H70" i="23"/>
  <c r="I70" i="23" s="1"/>
  <c r="D70" i="23"/>
  <c r="C70" i="23"/>
  <c r="Z69" i="23"/>
  <c r="AA69" i="23" s="1"/>
  <c r="T69" i="23"/>
  <c r="V69" i="23" s="1"/>
  <c r="R69" i="23"/>
  <c r="N69" i="23"/>
  <c r="H69" i="23"/>
  <c r="I69" i="23" s="1"/>
  <c r="D69" i="23"/>
  <c r="C69" i="23"/>
  <c r="Z68" i="23"/>
  <c r="AA68" i="23" s="1"/>
  <c r="T68" i="23"/>
  <c r="V68" i="23" s="1"/>
  <c r="R68" i="23"/>
  <c r="N68" i="23"/>
  <c r="I68" i="23"/>
  <c r="H68" i="23"/>
  <c r="D68" i="23"/>
  <c r="C68" i="23"/>
  <c r="AA67" i="23"/>
  <c r="Z67" i="23"/>
  <c r="T67" i="23"/>
  <c r="V67" i="23" s="1"/>
  <c r="R67" i="23"/>
  <c r="N67" i="23"/>
  <c r="H67" i="23"/>
  <c r="I67" i="23" s="1"/>
  <c r="D67" i="23"/>
  <c r="C67" i="23"/>
  <c r="Z66" i="23"/>
  <c r="AA66" i="23" s="1"/>
  <c r="T66" i="23"/>
  <c r="V66" i="23" s="1"/>
  <c r="R66" i="23"/>
  <c r="N66" i="23"/>
  <c r="H66" i="23"/>
  <c r="I66" i="23" s="1"/>
  <c r="D66" i="23"/>
  <c r="C66" i="23"/>
  <c r="Z65" i="23"/>
  <c r="AA65" i="23" s="1"/>
  <c r="V65" i="23"/>
  <c r="T65" i="23"/>
  <c r="R65" i="23"/>
  <c r="N65" i="23"/>
  <c r="H65" i="23"/>
  <c r="I65" i="23" s="1"/>
  <c r="D65" i="23"/>
  <c r="C65" i="23"/>
  <c r="Z64" i="23"/>
  <c r="AA64" i="23" s="1"/>
  <c r="T64" i="23"/>
  <c r="V64" i="23" s="1"/>
  <c r="R64" i="23"/>
  <c r="N64" i="23"/>
  <c r="H64" i="23"/>
  <c r="I64" i="23" s="1"/>
  <c r="D64" i="23"/>
  <c r="C64" i="23"/>
  <c r="Z63" i="23"/>
  <c r="AA63" i="23" s="1"/>
  <c r="T63" i="23"/>
  <c r="V63" i="23" s="1"/>
  <c r="R63" i="23"/>
  <c r="N63" i="23"/>
  <c r="H63" i="23"/>
  <c r="I63" i="23" s="1"/>
  <c r="D63" i="23"/>
  <c r="C63" i="23"/>
  <c r="Z62" i="23"/>
  <c r="AA62" i="23" s="1"/>
  <c r="T62" i="23"/>
  <c r="V62" i="23" s="1"/>
  <c r="R62" i="23"/>
  <c r="N62" i="23"/>
  <c r="H62" i="23"/>
  <c r="I62" i="23" s="1"/>
  <c r="D62" i="23"/>
  <c r="O62" i="23" s="1"/>
  <c r="C62" i="23"/>
  <c r="Z61" i="23"/>
  <c r="AA61" i="23" s="1"/>
  <c r="T61" i="23"/>
  <c r="V61" i="23" s="1"/>
  <c r="R61" i="23"/>
  <c r="N61" i="23"/>
  <c r="H61" i="23"/>
  <c r="I61" i="23" s="1"/>
  <c r="D61" i="23"/>
  <c r="C61" i="23"/>
  <c r="Z60" i="23"/>
  <c r="AA60" i="23" s="1"/>
  <c r="T60" i="23"/>
  <c r="V60" i="23" s="1"/>
  <c r="R60" i="23"/>
  <c r="N60" i="23"/>
  <c r="I60" i="23"/>
  <c r="H60" i="23"/>
  <c r="D60" i="23"/>
  <c r="C60" i="23"/>
  <c r="AA59" i="23"/>
  <c r="Z59" i="23"/>
  <c r="T59" i="23"/>
  <c r="V59" i="23" s="1"/>
  <c r="R59" i="23"/>
  <c r="N59" i="23"/>
  <c r="H59" i="23"/>
  <c r="I59" i="23" s="1"/>
  <c r="D59" i="23"/>
  <c r="C59" i="23"/>
  <c r="Z58" i="23"/>
  <c r="AA58" i="23" s="1"/>
  <c r="T58" i="23"/>
  <c r="V58" i="23" s="1"/>
  <c r="R58" i="23"/>
  <c r="N58" i="23"/>
  <c r="H58" i="23"/>
  <c r="I58" i="23" s="1"/>
  <c r="D58" i="23"/>
  <c r="O58" i="23" s="1"/>
  <c r="C58" i="23"/>
  <c r="Z57" i="23"/>
  <c r="AA57" i="23" s="1"/>
  <c r="V57" i="23"/>
  <c r="T57" i="23"/>
  <c r="R57" i="23"/>
  <c r="N57" i="23"/>
  <c r="H57" i="23"/>
  <c r="I57" i="23" s="1"/>
  <c r="D57" i="23"/>
  <c r="C57" i="23"/>
  <c r="Z56" i="23"/>
  <c r="AA56" i="23" s="1"/>
  <c r="T56" i="23"/>
  <c r="V56" i="23" s="1"/>
  <c r="R56" i="23"/>
  <c r="N56" i="23"/>
  <c r="H56" i="23"/>
  <c r="I56" i="23" s="1"/>
  <c r="D56" i="23"/>
  <c r="C56" i="23"/>
  <c r="Z55" i="23"/>
  <c r="AA55" i="23" s="1"/>
  <c r="T55" i="23"/>
  <c r="V55" i="23" s="1"/>
  <c r="R55" i="23"/>
  <c r="N55" i="23"/>
  <c r="H55" i="23"/>
  <c r="I55" i="23" s="1"/>
  <c r="D55" i="23"/>
  <c r="C55" i="23"/>
  <c r="Z54" i="23"/>
  <c r="AA54" i="23" s="1"/>
  <c r="T54" i="23"/>
  <c r="V54" i="23" s="1"/>
  <c r="R54" i="23"/>
  <c r="N54" i="23"/>
  <c r="H54" i="23"/>
  <c r="I54" i="23" s="1"/>
  <c r="D54" i="23"/>
  <c r="C54" i="23"/>
  <c r="Z53" i="23"/>
  <c r="AA53" i="23" s="1"/>
  <c r="T53" i="23"/>
  <c r="V53" i="23" s="1"/>
  <c r="R53" i="23"/>
  <c r="N53" i="23"/>
  <c r="H53" i="23"/>
  <c r="I53" i="23" s="1"/>
  <c r="D53" i="23"/>
  <c r="C53" i="23"/>
  <c r="Z52" i="23"/>
  <c r="AA52" i="23" s="1"/>
  <c r="T52" i="23"/>
  <c r="V52" i="23" s="1"/>
  <c r="R52" i="23"/>
  <c r="N52" i="23"/>
  <c r="I52" i="23"/>
  <c r="H52" i="23"/>
  <c r="D52" i="23"/>
  <c r="C52" i="23"/>
  <c r="AA51" i="23"/>
  <c r="Z51" i="23"/>
  <c r="T51" i="23"/>
  <c r="V51" i="23" s="1"/>
  <c r="R51" i="23"/>
  <c r="N51" i="23"/>
  <c r="H51" i="23"/>
  <c r="I51" i="23" s="1"/>
  <c r="D51" i="23"/>
  <c r="C51" i="23"/>
  <c r="Z50" i="23"/>
  <c r="AA50" i="23" s="1"/>
  <c r="T50" i="23"/>
  <c r="V50" i="23" s="1"/>
  <c r="R50" i="23"/>
  <c r="N50" i="23"/>
  <c r="H50" i="23"/>
  <c r="I50" i="23" s="1"/>
  <c r="D50" i="23"/>
  <c r="C50" i="23"/>
  <c r="Z49" i="23"/>
  <c r="AA49" i="23" s="1"/>
  <c r="V49" i="23"/>
  <c r="T49" i="23"/>
  <c r="R49" i="23"/>
  <c r="N49" i="23"/>
  <c r="H49" i="23"/>
  <c r="I49" i="23" s="1"/>
  <c r="D49" i="23"/>
  <c r="C49" i="23"/>
  <c r="Z48" i="23"/>
  <c r="AA48" i="23" s="1"/>
  <c r="T48" i="23"/>
  <c r="V48" i="23" s="1"/>
  <c r="R48" i="23"/>
  <c r="N48" i="23"/>
  <c r="H48" i="23"/>
  <c r="I48" i="23" s="1"/>
  <c r="D48" i="23"/>
  <c r="C48" i="23"/>
  <c r="Z47" i="23"/>
  <c r="AA47" i="23" s="1"/>
  <c r="T47" i="23"/>
  <c r="V47" i="23" s="1"/>
  <c r="R47" i="23"/>
  <c r="N47" i="23"/>
  <c r="H47" i="23"/>
  <c r="I47" i="23" s="1"/>
  <c r="D47" i="23"/>
  <c r="C47" i="23"/>
  <c r="Z46" i="23"/>
  <c r="AA46" i="23" s="1"/>
  <c r="T46" i="23"/>
  <c r="V46" i="23" s="1"/>
  <c r="R46" i="23"/>
  <c r="N46" i="23"/>
  <c r="H46" i="23"/>
  <c r="I46" i="23" s="1"/>
  <c r="D46" i="23"/>
  <c r="O46" i="23" s="1"/>
  <c r="C46" i="23"/>
  <c r="Z45" i="23"/>
  <c r="AA45" i="23" s="1"/>
  <c r="T45" i="23"/>
  <c r="V45" i="23" s="1"/>
  <c r="R45" i="23"/>
  <c r="N45" i="23"/>
  <c r="H45" i="23"/>
  <c r="I45" i="23" s="1"/>
  <c r="D45" i="23"/>
  <c r="C45" i="23"/>
  <c r="Z44" i="23"/>
  <c r="AA44" i="23" s="1"/>
  <c r="T44" i="23"/>
  <c r="V44" i="23" s="1"/>
  <c r="R44" i="23"/>
  <c r="N44" i="23"/>
  <c r="I44" i="23"/>
  <c r="H44" i="23"/>
  <c r="D44" i="23"/>
  <c r="C44" i="23"/>
  <c r="AA43" i="23"/>
  <c r="Z43" i="23"/>
  <c r="T43" i="23"/>
  <c r="V43" i="23" s="1"/>
  <c r="R43" i="23"/>
  <c r="N43" i="23"/>
  <c r="H43" i="23"/>
  <c r="I43" i="23" s="1"/>
  <c r="D43" i="23"/>
  <c r="C43" i="23"/>
  <c r="Z42" i="23"/>
  <c r="AA42" i="23" s="1"/>
  <c r="T42" i="23"/>
  <c r="V42" i="23" s="1"/>
  <c r="R42" i="23"/>
  <c r="N42" i="23"/>
  <c r="H42" i="23"/>
  <c r="I42" i="23" s="1"/>
  <c r="D42" i="23"/>
  <c r="O42" i="23" s="1"/>
  <c r="C42" i="23"/>
  <c r="Z41" i="23"/>
  <c r="AA41" i="23" s="1"/>
  <c r="V41" i="23"/>
  <c r="T41" i="23"/>
  <c r="R41" i="23"/>
  <c r="N41" i="23"/>
  <c r="H41" i="23"/>
  <c r="I41" i="23" s="1"/>
  <c r="D41" i="23"/>
  <c r="C41" i="23"/>
  <c r="Z40" i="23"/>
  <c r="AA40" i="23" s="1"/>
  <c r="T40" i="23"/>
  <c r="V40" i="23" s="1"/>
  <c r="R40" i="23"/>
  <c r="N40" i="23"/>
  <c r="H40" i="23"/>
  <c r="I40" i="23" s="1"/>
  <c r="D40" i="23"/>
  <c r="C40" i="23"/>
  <c r="Z39" i="23"/>
  <c r="AA39" i="23" s="1"/>
  <c r="T39" i="23"/>
  <c r="V39" i="23" s="1"/>
  <c r="R39" i="23"/>
  <c r="N39" i="23"/>
  <c r="H39" i="23"/>
  <c r="I39" i="23" s="1"/>
  <c r="D39" i="23"/>
  <c r="C39" i="23"/>
  <c r="Z38" i="23"/>
  <c r="AA38" i="23" s="1"/>
  <c r="T38" i="23"/>
  <c r="V38" i="23" s="1"/>
  <c r="R38" i="23"/>
  <c r="N38" i="23"/>
  <c r="H38" i="23"/>
  <c r="I38" i="23" s="1"/>
  <c r="D38" i="23"/>
  <c r="C38" i="23"/>
  <c r="Z37" i="23"/>
  <c r="AA37" i="23" s="1"/>
  <c r="T37" i="23"/>
  <c r="V37" i="23" s="1"/>
  <c r="R37" i="23"/>
  <c r="N37" i="23"/>
  <c r="H37" i="23"/>
  <c r="I37" i="23" s="1"/>
  <c r="D37" i="23"/>
  <c r="C37" i="23"/>
  <c r="Z36" i="23"/>
  <c r="AA36" i="23" s="1"/>
  <c r="T36" i="23"/>
  <c r="V36" i="23" s="1"/>
  <c r="R36" i="23"/>
  <c r="N36" i="23"/>
  <c r="I36" i="23"/>
  <c r="H36" i="23"/>
  <c r="D36" i="23"/>
  <c r="C36" i="23"/>
  <c r="AA35" i="23"/>
  <c r="Z35" i="23"/>
  <c r="T35" i="23"/>
  <c r="V35" i="23" s="1"/>
  <c r="R35" i="23"/>
  <c r="N35" i="23"/>
  <c r="I35" i="23"/>
  <c r="D35" i="23"/>
  <c r="C35" i="23"/>
  <c r="Z34" i="23"/>
  <c r="AA34" i="23" s="1"/>
  <c r="T34" i="23"/>
  <c r="V34" i="23" s="1"/>
  <c r="R34" i="23"/>
  <c r="N34" i="23"/>
  <c r="I34" i="23"/>
  <c r="D34" i="23"/>
  <c r="C34" i="23"/>
  <c r="AA33" i="23"/>
  <c r="Z33" i="23"/>
  <c r="T33" i="23"/>
  <c r="V33" i="23" s="1"/>
  <c r="R33" i="23"/>
  <c r="N33" i="23"/>
  <c r="I33" i="23"/>
  <c r="D33" i="23"/>
  <c r="C33" i="23"/>
  <c r="Z32" i="23"/>
  <c r="AA32" i="23" s="1"/>
  <c r="T32" i="23"/>
  <c r="V32" i="23" s="1"/>
  <c r="R32" i="23"/>
  <c r="N32" i="23"/>
  <c r="I32" i="23"/>
  <c r="D32" i="23"/>
  <c r="C32" i="23"/>
  <c r="AA31" i="23"/>
  <c r="Z31" i="23"/>
  <c r="T31" i="23"/>
  <c r="V31" i="23" s="1"/>
  <c r="R31" i="23"/>
  <c r="N31" i="23"/>
  <c r="I31" i="23"/>
  <c r="D31" i="23"/>
  <c r="C31" i="23"/>
  <c r="Z30" i="23"/>
  <c r="AA30" i="23" s="1"/>
  <c r="T30" i="23"/>
  <c r="V30" i="23" s="1"/>
  <c r="R30" i="23"/>
  <c r="N30" i="23"/>
  <c r="I30" i="23"/>
  <c r="D30" i="23"/>
  <c r="C30" i="23"/>
  <c r="AA29" i="23"/>
  <c r="Z29" i="23"/>
  <c r="T29" i="23"/>
  <c r="V29" i="23" s="1"/>
  <c r="R29" i="23"/>
  <c r="N29" i="23"/>
  <c r="I29" i="23"/>
  <c r="D29" i="23"/>
  <c r="C29" i="23"/>
  <c r="Z28" i="23"/>
  <c r="AA28" i="23" s="1"/>
  <c r="T28" i="23"/>
  <c r="V28" i="23" s="1"/>
  <c r="R28" i="23"/>
  <c r="N28" i="23"/>
  <c r="I28" i="23"/>
  <c r="D28" i="23"/>
  <c r="C28" i="23"/>
  <c r="AA27" i="23"/>
  <c r="Z27" i="23"/>
  <c r="T27" i="23"/>
  <c r="V27" i="23" s="1"/>
  <c r="R27" i="23"/>
  <c r="N27" i="23"/>
  <c r="I27" i="23"/>
  <c r="D27" i="23"/>
  <c r="C27" i="23"/>
  <c r="Z26" i="23"/>
  <c r="AA26" i="23" s="1"/>
  <c r="T26" i="23"/>
  <c r="V26" i="23" s="1"/>
  <c r="R26" i="23"/>
  <c r="N26" i="23"/>
  <c r="I26" i="23"/>
  <c r="D26" i="23"/>
  <c r="C26" i="23"/>
  <c r="AA25" i="23"/>
  <c r="Z25" i="23"/>
  <c r="T25" i="23"/>
  <c r="V25" i="23" s="1"/>
  <c r="R25" i="23"/>
  <c r="N25" i="23"/>
  <c r="I25" i="23"/>
  <c r="D25" i="23"/>
  <c r="C25" i="23"/>
  <c r="Z24" i="23"/>
  <c r="AA24" i="23" s="1"/>
  <c r="T24" i="23"/>
  <c r="V24" i="23" s="1"/>
  <c r="R24" i="23"/>
  <c r="N24" i="23"/>
  <c r="I24" i="23"/>
  <c r="D24" i="23"/>
  <c r="C24" i="23"/>
  <c r="AA23" i="23"/>
  <c r="Z23" i="23"/>
  <c r="T23" i="23"/>
  <c r="V23" i="23" s="1"/>
  <c r="R23" i="23"/>
  <c r="N23" i="23"/>
  <c r="I23" i="23"/>
  <c r="D23" i="23"/>
  <c r="C23" i="23"/>
  <c r="Z22" i="23"/>
  <c r="AA22" i="23" s="1"/>
  <c r="T22" i="23"/>
  <c r="V22" i="23" s="1"/>
  <c r="R22" i="23"/>
  <c r="N22" i="23"/>
  <c r="I22" i="23"/>
  <c r="D22" i="23"/>
  <c r="C22" i="23"/>
  <c r="AA21" i="23"/>
  <c r="Z21" i="23"/>
  <c r="T21" i="23"/>
  <c r="V21" i="23" s="1"/>
  <c r="R21" i="23"/>
  <c r="N21" i="23"/>
  <c r="I21" i="23"/>
  <c r="D21" i="23"/>
  <c r="C21" i="23"/>
  <c r="Z20" i="23"/>
  <c r="AA20" i="23" s="1"/>
  <c r="T20" i="23"/>
  <c r="V20" i="23" s="1"/>
  <c r="R20" i="23"/>
  <c r="N20" i="23"/>
  <c r="I20" i="23"/>
  <c r="D20" i="23"/>
  <c r="C20" i="23"/>
  <c r="AA19" i="23"/>
  <c r="Z19" i="23"/>
  <c r="T19" i="23"/>
  <c r="V19" i="23" s="1"/>
  <c r="R19" i="23"/>
  <c r="N19" i="23"/>
  <c r="I19" i="23"/>
  <c r="D19" i="23"/>
  <c r="C19" i="23"/>
  <c r="Z18" i="23"/>
  <c r="AA18" i="23" s="1"/>
  <c r="T18" i="23"/>
  <c r="V18" i="23" s="1"/>
  <c r="R18" i="23"/>
  <c r="N18" i="23"/>
  <c r="I18" i="23"/>
  <c r="D18" i="23"/>
  <c r="C18" i="23"/>
  <c r="AA17" i="23"/>
  <c r="Z17" i="23"/>
  <c r="T17" i="23"/>
  <c r="V17" i="23" s="1"/>
  <c r="R17" i="23"/>
  <c r="N17" i="23"/>
  <c r="I17" i="23"/>
  <c r="D17" i="23"/>
  <c r="C17" i="23"/>
  <c r="Z16" i="23"/>
  <c r="AA16" i="23" s="1"/>
  <c r="T16" i="23"/>
  <c r="V16" i="23" s="1"/>
  <c r="R16" i="23"/>
  <c r="N16" i="23"/>
  <c r="I16" i="23"/>
  <c r="D16" i="23"/>
  <c r="C16" i="23"/>
  <c r="AA15" i="23"/>
  <c r="Z15" i="23"/>
  <c r="T15" i="23"/>
  <c r="V15" i="23" s="1"/>
  <c r="R15" i="23"/>
  <c r="N15" i="23"/>
  <c r="I15" i="23"/>
  <c r="D15" i="23"/>
  <c r="C15" i="23"/>
  <c r="Z14" i="23"/>
  <c r="AA14" i="23" s="1"/>
  <c r="T14" i="23"/>
  <c r="V14" i="23" s="1"/>
  <c r="R14" i="23"/>
  <c r="N14" i="23"/>
  <c r="I14" i="23"/>
  <c r="D14" i="23"/>
  <c r="C14" i="23"/>
  <c r="AA13" i="23"/>
  <c r="Z13" i="23"/>
  <c r="T13" i="23"/>
  <c r="V13" i="23" s="1"/>
  <c r="R13" i="23"/>
  <c r="N13" i="23"/>
  <c r="I13" i="23"/>
  <c r="D13" i="23"/>
  <c r="C13" i="23"/>
  <c r="Z12" i="23"/>
  <c r="AA12" i="23" s="1"/>
  <c r="T12" i="23"/>
  <c r="V12" i="23" s="1"/>
  <c r="R12" i="23"/>
  <c r="N12" i="23"/>
  <c r="I12" i="23"/>
  <c r="D12" i="23"/>
  <c r="C12" i="23"/>
  <c r="AA11" i="23"/>
  <c r="Z11" i="23"/>
  <c r="T11" i="23"/>
  <c r="V11" i="23" s="1"/>
  <c r="R11" i="23"/>
  <c r="N11" i="23"/>
  <c r="I11" i="23"/>
  <c r="D11" i="23"/>
  <c r="C11" i="23"/>
  <c r="Z10" i="23"/>
  <c r="AA10" i="23" s="1"/>
  <c r="T10" i="23"/>
  <c r="V10" i="23" s="1"/>
  <c r="R10" i="23"/>
  <c r="N10" i="23"/>
  <c r="I10" i="23"/>
  <c r="D10" i="23"/>
  <c r="C10" i="23"/>
  <c r="AA9" i="23"/>
  <c r="Z9" i="23"/>
  <c r="T9" i="23"/>
  <c r="V9" i="23" s="1"/>
  <c r="R9" i="23"/>
  <c r="N9" i="23"/>
  <c r="I9" i="23"/>
  <c r="D9" i="23"/>
  <c r="C9" i="23"/>
  <c r="Z8" i="23"/>
  <c r="AA8" i="23" s="1"/>
  <c r="T8" i="23"/>
  <c r="V8" i="23" s="1"/>
  <c r="R8" i="23"/>
  <c r="N8" i="23"/>
  <c r="I8" i="23"/>
  <c r="D8" i="23"/>
  <c r="C8" i="23"/>
  <c r="AA7" i="23"/>
  <c r="Z7" i="23"/>
  <c r="T7" i="23"/>
  <c r="V7" i="23" s="1"/>
  <c r="R7" i="23"/>
  <c r="N7" i="23"/>
  <c r="I7" i="23"/>
  <c r="D7" i="23"/>
  <c r="C7" i="23"/>
  <c r="Z6" i="23"/>
  <c r="AA6" i="23" s="1"/>
  <c r="T6" i="23"/>
  <c r="V6" i="23" s="1"/>
  <c r="R6" i="23"/>
  <c r="N6" i="23"/>
  <c r="I6" i="23"/>
  <c r="D6" i="23"/>
  <c r="C6" i="23"/>
  <c r="AA5" i="23"/>
  <c r="Z5" i="23"/>
  <c r="T5" i="23"/>
  <c r="V5" i="23" s="1"/>
  <c r="R5" i="23"/>
  <c r="N5" i="23"/>
  <c r="I5" i="23"/>
  <c r="D5" i="23"/>
  <c r="C5" i="23"/>
  <c r="Z4" i="23"/>
  <c r="AA4" i="23" s="1"/>
  <c r="T4" i="23"/>
  <c r="V4" i="23" s="1"/>
  <c r="R4" i="23"/>
  <c r="N4" i="23"/>
  <c r="I4" i="23"/>
  <c r="D4" i="23"/>
  <c r="C4" i="23"/>
  <c r="AA3" i="23"/>
  <c r="Z3" i="23"/>
  <c r="T3" i="23"/>
  <c r="V3" i="23" s="1"/>
  <c r="R3" i="23"/>
  <c r="N3" i="23"/>
  <c r="I3" i="23"/>
  <c r="D3" i="23"/>
  <c r="C3" i="23"/>
  <c r="Z99" i="22"/>
  <c r="AA99" i="22" s="1"/>
  <c r="T99" i="22"/>
  <c r="V99" i="22" s="1"/>
  <c r="R99" i="22"/>
  <c r="N99" i="22"/>
  <c r="H99" i="22"/>
  <c r="I99" i="22" s="1"/>
  <c r="D99" i="22"/>
  <c r="C99" i="22"/>
  <c r="Z98" i="22"/>
  <c r="AA98" i="22" s="1"/>
  <c r="T98" i="22"/>
  <c r="V98" i="22" s="1"/>
  <c r="R98" i="22"/>
  <c r="N98" i="22"/>
  <c r="I98" i="22"/>
  <c r="H98" i="22"/>
  <c r="D98" i="22"/>
  <c r="C98" i="22"/>
  <c r="AA97" i="22"/>
  <c r="Z97" i="22"/>
  <c r="T97" i="22"/>
  <c r="V97" i="22" s="1"/>
  <c r="R97" i="22"/>
  <c r="N97" i="22"/>
  <c r="H97" i="22"/>
  <c r="I97" i="22" s="1"/>
  <c r="D97" i="22"/>
  <c r="C97" i="22"/>
  <c r="Z96" i="22"/>
  <c r="AA96" i="22" s="1"/>
  <c r="T96" i="22"/>
  <c r="V96" i="22" s="1"/>
  <c r="R96" i="22"/>
  <c r="N96" i="22"/>
  <c r="H96" i="22"/>
  <c r="I96" i="22" s="1"/>
  <c r="D96" i="22"/>
  <c r="C96" i="22"/>
  <c r="Z95" i="22"/>
  <c r="AA95" i="22" s="1"/>
  <c r="V95" i="22"/>
  <c r="T95" i="22"/>
  <c r="R95" i="22"/>
  <c r="N95" i="22"/>
  <c r="H95" i="22"/>
  <c r="I95" i="22" s="1"/>
  <c r="D95" i="22"/>
  <c r="C95" i="22"/>
  <c r="Z94" i="22"/>
  <c r="AA94" i="22" s="1"/>
  <c r="T94" i="22"/>
  <c r="V94" i="22" s="1"/>
  <c r="R94" i="22"/>
  <c r="N94" i="22"/>
  <c r="H94" i="22"/>
  <c r="I94" i="22" s="1"/>
  <c r="D94" i="22"/>
  <c r="C94" i="22"/>
  <c r="Z93" i="22"/>
  <c r="AA93" i="22" s="1"/>
  <c r="T93" i="22"/>
  <c r="V93" i="22" s="1"/>
  <c r="R93" i="22"/>
  <c r="N93" i="22"/>
  <c r="H93" i="22"/>
  <c r="I93" i="22" s="1"/>
  <c r="D93" i="22"/>
  <c r="C93" i="22"/>
  <c r="Z92" i="22"/>
  <c r="AA92" i="22" s="1"/>
  <c r="T92" i="22"/>
  <c r="V92" i="22" s="1"/>
  <c r="R92" i="22"/>
  <c r="N92" i="22"/>
  <c r="H92" i="22"/>
  <c r="I92" i="22" s="1"/>
  <c r="D92" i="22"/>
  <c r="O92" i="22" s="1"/>
  <c r="C92" i="22"/>
  <c r="Z91" i="22"/>
  <c r="AA91" i="22" s="1"/>
  <c r="T91" i="22"/>
  <c r="V91" i="22" s="1"/>
  <c r="R91" i="22"/>
  <c r="N91" i="22"/>
  <c r="H91" i="22"/>
  <c r="I91" i="22" s="1"/>
  <c r="D91" i="22"/>
  <c r="O91" i="22" s="1"/>
  <c r="C91" i="22"/>
  <c r="Z90" i="22"/>
  <c r="AA90" i="22" s="1"/>
  <c r="T90" i="22"/>
  <c r="V90" i="22" s="1"/>
  <c r="R90" i="22"/>
  <c r="N90" i="22"/>
  <c r="H90" i="22"/>
  <c r="I90" i="22" s="1"/>
  <c r="D90" i="22"/>
  <c r="C90" i="22"/>
  <c r="Z89" i="22"/>
  <c r="AA89" i="22" s="1"/>
  <c r="T89" i="22"/>
  <c r="V89" i="22" s="1"/>
  <c r="R89" i="22"/>
  <c r="N89" i="22"/>
  <c r="H89" i="22"/>
  <c r="I89" i="22" s="1"/>
  <c r="D89" i="22"/>
  <c r="C89" i="22"/>
  <c r="Z88" i="22"/>
  <c r="AA88" i="22" s="1"/>
  <c r="T88" i="22"/>
  <c r="V88" i="22" s="1"/>
  <c r="R88" i="22"/>
  <c r="N88" i="22"/>
  <c r="H88" i="22"/>
  <c r="I88" i="22" s="1"/>
  <c r="D88" i="22"/>
  <c r="O88" i="22" s="1"/>
  <c r="C88" i="22"/>
  <c r="Z87" i="22"/>
  <c r="AA87" i="22" s="1"/>
  <c r="T87" i="22"/>
  <c r="V87" i="22" s="1"/>
  <c r="R87" i="22"/>
  <c r="N87" i="22"/>
  <c r="H87" i="22"/>
  <c r="I87" i="22" s="1"/>
  <c r="D87" i="22"/>
  <c r="O87" i="22" s="1"/>
  <c r="C87" i="22"/>
  <c r="Z86" i="22"/>
  <c r="AA86" i="22" s="1"/>
  <c r="T86" i="22"/>
  <c r="V86" i="22" s="1"/>
  <c r="R86" i="22"/>
  <c r="N86" i="22"/>
  <c r="H86" i="22"/>
  <c r="I86" i="22" s="1"/>
  <c r="D86" i="22"/>
  <c r="C86" i="22"/>
  <c r="Z85" i="22"/>
  <c r="AA85" i="22" s="1"/>
  <c r="T85" i="22"/>
  <c r="V85" i="22" s="1"/>
  <c r="R85" i="22"/>
  <c r="N85" i="22"/>
  <c r="H85" i="22"/>
  <c r="I85" i="22" s="1"/>
  <c r="D85" i="22"/>
  <c r="C85" i="22"/>
  <c r="Z84" i="22"/>
  <c r="AA84" i="22" s="1"/>
  <c r="T84" i="22"/>
  <c r="V84" i="22" s="1"/>
  <c r="R84" i="22"/>
  <c r="N84" i="22"/>
  <c r="H84" i="22"/>
  <c r="I84" i="22" s="1"/>
  <c r="D84" i="22"/>
  <c r="O84" i="22" s="1"/>
  <c r="C84" i="22"/>
  <c r="Z83" i="22"/>
  <c r="AA83" i="22" s="1"/>
  <c r="T83" i="22"/>
  <c r="V83" i="22" s="1"/>
  <c r="R83" i="22"/>
  <c r="N83" i="22"/>
  <c r="H83" i="22"/>
  <c r="I83" i="22" s="1"/>
  <c r="D83" i="22"/>
  <c r="O83" i="22" s="1"/>
  <c r="C83" i="22"/>
  <c r="Z82" i="22"/>
  <c r="AA82" i="22" s="1"/>
  <c r="T82" i="22"/>
  <c r="V82" i="22" s="1"/>
  <c r="R82" i="22"/>
  <c r="N82" i="22"/>
  <c r="H82" i="22"/>
  <c r="I82" i="22" s="1"/>
  <c r="D82" i="22"/>
  <c r="C82" i="22"/>
  <c r="Z81" i="22"/>
  <c r="AA81" i="22" s="1"/>
  <c r="T81" i="22"/>
  <c r="V81" i="22" s="1"/>
  <c r="R81" i="22"/>
  <c r="N81" i="22"/>
  <c r="H81" i="22"/>
  <c r="I81" i="22" s="1"/>
  <c r="D81" i="22"/>
  <c r="C81" i="22"/>
  <c r="Z80" i="22"/>
  <c r="AA80" i="22" s="1"/>
  <c r="T80" i="22"/>
  <c r="V80" i="22" s="1"/>
  <c r="R80" i="22"/>
  <c r="N80" i="22"/>
  <c r="H80" i="22"/>
  <c r="I80" i="22" s="1"/>
  <c r="D80" i="22"/>
  <c r="O80" i="22" s="1"/>
  <c r="C80" i="22"/>
  <c r="Z79" i="22"/>
  <c r="AA79" i="22" s="1"/>
  <c r="T79" i="22"/>
  <c r="V79" i="22" s="1"/>
  <c r="R79" i="22"/>
  <c r="N79" i="22"/>
  <c r="H79" i="22"/>
  <c r="I79" i="22" s="1"/>
  <c r="D79" i="22"/>
  <c r="O79" i="22" s="1"/>
  <c r="C79" i="22"/>
  <c r="Z78" i="22"/>
  <c r="AA78" i="22" s="1"/>
  <c r="T78" i="22"/>
  <c r="V78" i="22" s="1"/>
  <c r="R78" i="22"/>
  <c r="N78" i="22"/>
  <c r="H78" i="22"/>
  <c r="I78" i="22" s="1"/>
  <c r="D78" i="22"/>
  <c r="C78" i="22"/>
  <c r="Z77" i="22"/>
  <c r="AA77" i="22" s="1"/>
  <c r="T77" i="22"/>
  <c r="V77" i="22" s="1"/>
  <c r="R77" i="22"/>
  <c r="N77" i="22"/>
  <c r="H77" i="22"/>
  <c r="I77" i="22" s="1"/>
  <c r="D77" i="22"/>
  <c r="C77" i="22"/>
  <c r="Z76" i="22"/>
  <c r="AA76" i="22" s="1"/>
  <c r="T76" i="22"/>
  <c r="V76" i="22" s="1"/>
  <c r="R76" i="22"/>
  <c r="N76" i="22"/>
  <c r="H76" i="22"/>
  <c r="I76" i="22" s="1"/>
  <c r="D76" i="22"/>
  <c r="O76" i="22" s="1"/>
  <c r="C76" i="22"/>
  <c r="Z75" i="22"/>
  <c r="AA75" i="22" s="1"/>
  <c r="T75" i="22"/>
  <c r="V75" i="22" s="1"/>
  <c r="R75" i="22"/>
  <c r="N75" i="22"/>
  <c r="H75" i="22"/>
  <c r="I75" i="22" s="1"/>
  <c r="D75" i="22"/>
  <c r="O75" i="22" s="1"/>
  <c r="C75" i="22"/>
  <c r="Z74" i="22"/>
  <c r="AA74" i="22" s="1"/>
  <c r="T74" i="22"/>
  <c r="V74" i="22" s="1"/>
  <c r="R74" i="22"/>
  <c r="N74" i="22"/>
  <c r="H74" i="22"/>
  <c r="I74" i="22" s="1"/>
  <c r="D74" i="22"/>
  <c r="C74" i="22"/>
  <c r="Z73" i="22"/>
  <c r="AA73" i="22" s="1"/>
  <c r="T73" i="22"/>
  <c r="V73" i="22" s="1"/>
  <c r="R73" i="22"/>
  <c r="N73" i="22"/>
  <c r="H73" i="22"/>
  <c r="I73" i="22" s="1"/>
  <c r="D73" i="22"/>
  <c r="C73" i="22"/>
  <c r="Z72" i="22"/>
  <c r="AA72" i="22" s="1"/>
  <c r="T72" i="22"/>
  <c r="V72" i="22" s="1"/>
  <c r="R72" i="22"/>
  <c r="N72" i="22"/>
  <c r="H72" i="22"/>
  <c r="I72" i="22" s="1"/>
  <c r="D72" i="22"/>
  <c r="O72" i="22" s="1"/>
  <c r="C72" i="22"/>
  <c r="Z71" i="22"/>
  <c r="AA71" i="22" s="1"/>
  <c r="T71" i="22"/>
  <c r="V71" i="22" s="1"/>
  <c r="R71" i="22"/>
  <c r="N71" i="22"/>
  <c r="H71" i="22"/>
  <c r="I71" i="22" s="1"/>
  <c r="D71" i="22"/>
  <c r="O71" i="22" s="1"/>
  <c r="C71" i="22"/>
  <c r="Z70" i="22"/>
  <c r="AA70" i="22" s="1"/>
  <c r="V70" i="22"/>
  <c r="T70" i="22"/>
  <c r="R70" i="22"/>
  <c r="N70" i="22"/>
  <c r="I70" i="22"/>
  <c r="H70" i="22"/>
  <c r="D70" i="22"/>
  <c r="C70" i="22"/>
  <c r="AA69" i="22"/>
  <c r="Z69" i="22"/>
  <c r="T69" i="22"/>
  <c r="V69" i="22" s="1"/>
  <c r="R69" i="22"/>
  <c r="N69" i="22"/>
  <c r="H69" i="22"/>
  <c r="I69" i="22" s="1"/>
  <c r="D69" i="22"/>
  <c r="C69" i="22"/>
  <c r="Z68" i="22"/>
  <c r="AA68" i="22" s="1"/>
  <c r="T68" i="22"/>
  <c r="V68" i="22" s="1"/>
  <c r="R68" i="22"/>
  <c r="N68" i="22"/>
  <c r="H68" i="22"/>
  <c r="I68" i="22" s="1"/>
  <c r="D68" i="22"/>
  <c r="O68" i="22" s="1"/>
  <c r="C68" i="22"/>
  <c r="Z67" i="22"/>
  <c r="AA67" i="22" s="1"/>
  <c r="V67" i="22"/>
  <c r="T67" i="22"/>
  <c r="R67" i="22"/>
  <c r="N67" i="22"/>
  <c r="H67" i="22"/>
  <c r="I67" i="22" s="1"/>
  <c r="D67" i="22"/>
  <c r="O67" i="22" s="1"/>
  <c r="C67" i="22"/>
  <c r="Z66" i="22"/>
  <c r="AA66" i="22" s="1"/>
  <c r="V66" i="22"/>
  <c r="T66" i="22"/>
  <c r="R66" i="22"/>
  <c r="N66" i="22"/>
  <c r="I66" i="22"/>
  <c r="H66" i="22"/>
  <c r="D66" i="22"/>
  <c r="C66" i="22"/>
  <c r="AA65" i="22"/>
  <c r="Z65" i="22"/>
  <c r="T65" i="22"/>
  <c r="V65" i="22" s="1"/>
  <c r="R65" i="22"/>
  <c r="N65" i="22"/>
  <c r="H65" i="22"/>
  <c r="I65" i="22" s="1"/>
  <c r="D65" i="22"/>
  <c r="C65" i="22"/>
  <c r="Z64" i="22"/>
  <c r="AA64" i="22" s="1"/>
  <c r="T64" i="22"/>
  <c r="V64" i="22" s="1"/>
  <c r="R64" i="22"/>
  <c r="N64" i="22"/>
  <c r="H64" i="22"/>
  <c r="I64" i="22" s="1"/>
  <c r="D64" i="22"/>
  <c r="O64" i="22" s="1"/>
  <c r="C64" i="22"/>
  <c r="Z63" i="22"/>
  <c r="AA63" i="22" s="1"/>
  <c r="V63" i="22"/>
  <c r="T63" i="22"/>
  <c r="R63" i="22"/>
  <c r="N63" i="22"/>
  <c r="H63" i="22"/>
  <c r="I63" i="22" s="1"/>
  <c r="D63" i="22"/>
  <c r="C63" i="22"/>
  <c r="Z62" i="22"/>
  <c r="AA62" i="22" s="1"/>
  <c r="V62" i="22"/>
  <c r="T62" i="22"/>
  <c r="R62" i="22"/>
  <c r="N62" i="22"/>
  <c r="H62" i="22"/>
  <c r="I62" i="22" s="1"/>
  <c r="D62" i="22"/>
  <c r="C62" i="22"/>
  <c r="Z61" i="22"/>
  <c r="AA61" i="22" s="1"/>
  <c r="T61" i="22"/>
  <c r="V61" i="22" s="1"/>
  <c r="R61" i="22"/>
  <c r="N61" i="22"/>
  <c r="H61" i="22"/>
  <c r="I61" i="22" s="1"/>
  <c r="D61" i="22"/>
  <c r="C61" i="22"/>
  <c r="Z60" i="22"/>
  <c r="AA60" i="22" s="1"/>
  <c r="T60" i="22"/>
  <c r="V60" i="22" s="1"/>
  <c r="R60" i="22"/>
  <c r="N60" i="22"/>
  <c r="H60" i="22"/>
  <c r="I60" i="22" s="1"/>
  <c r="D60" i="22"/>
  <c r="C60" i="22"/>
  <c r="Z59" i="22"/>
  <c r="AA59" i="22" s="1"/>
  <c r="T59" i="22"/>
  <c r="V59" i="22" s="1"/>
  <c r="R59" i="22"/>
  <c r="N59" i="22"/>
  <c r="H59" i="22"/>
  <c r="I59" i="22" s="1"/>
  <c r="D59" i="22"/>
  <c r="C59" i="22"/>
  <c r="Z58" i="22"/>
  <c r="AA58" i="22" s="1"/>
  <c r="T58" i="22"/>
  <c r="V58" i="22" s="1"/>
  <c r="R58" i="22"/>
  <c r="N58" i="22"/>
  <c r="H58" i="22"/>
  <c r="I58" i="22" s="1"/>
  <c r="D58" i="22"/>
  <c r="C58" i="22"/>
  <c r="Z57" i="22"/>
  <c r="AA57" i="22" s="1"/>
  <c r="T57" i="22"/>
  <c r="V57" i="22" s="1"/>
  <c r="R57" i="22"/>
  <c r="N57" i="22"/>
  <c r="H57" i="22"/>
  <c r="I57" i="22" s="1"/>
  <c r="D57" i="22"/>
  <c r="C57" i="22"/>
  <c r="Z56" i="22"/>
  <c r="AA56" i="22" s="1"/>
  <c r="T56" i="22"/>
  <c r="V56" i="22" s="1"/>
  <c r="R56" i="22"/>
  <c r="N56" i="22"/>
  <c r="H56" i="22"/>
  <c r="I56" i="22" s="1"/>
  <c r="D56" i="22"/>
  <c r="C56" i="22"/>
  <c r="Z55" i="22"/>
  <c r="AA55" i="22" s="1"/>
  <c r="T55" i="22"/>
  <c r="V55" i="22" s="1"/>
  <c r="R55" i="22"/>
  <c r="N55" i="22"/>
  <c r="H55" i="22"/>
  <c r="I55" i="22" s="1"/>
  <c r="D55" i="22"/>
  <c r="O55" i="22" s="1"/>
  <c r="C55" i="22"/>
  <c r="Z54" i="22"/>
  <c r="AA54" i="22" s="1"/>
  <c r="V54" i="22"/>
  <c r="T54" i="22"/>
  <c r="R54" i="22"/>
  <c r="N54" i="22"/>
  <c r="I54" i="22"/>
  <c r="H54" i="22"/>
  <c r="D54" i="22"/>
  <c r="C54" i="22"/>
  <c r="AA53" i="22"/>
  <c r="Z53" i="22"/>
  <c r="T53" i="22"/>
  <c r="V53" i="22" s="1"/>
  <c r="R53" i="22"/>
  <c r="N53" i="22"/>
  <c r="H53" i="22"/>
  <c r="I53" i="22" s="1"/>
  <c r="D53" i="22"/>
  <c r="C53" i="22"/>
  <c r="Z52" i="22"/>
  <c r="AA52" i="22" s="1"/>
  <c r="T52" i="22"/>
  <c r="V52" i="22" s="1"/>
  <c r="R52" i="22"/>
  <c r="N52" i="22"/>
  <c r="H52" i="22"/>
  <c r="I52" i="22" s="1"/>
  <c r="D52" i="22"/>
  <c r="C52" i="22"/>
  <c r="Z51" i="22"/>
  <c r="AA51" i="22" s="1"/>
  <c r="V51" i="22"/>
  <c r="T51" i="22"/>
  <c r="R51" i="22"/>
  <c r="N51" i="22"/>
  <c r="H51" i="22"/>
  <c r="I51" i="22" s="1"/>
  <c r="D51" i="22"/>
  <c r="C51" i="22"/>
  <c r="Z50" i="22"/>
  <c r="AA50" i="22" s="1"/>
  <c r="V50" i="22"/>
  <c r="T50" i="22"/>
  <c r="R50" i="22"/>
  <c r="N50" i="22"/>
  <c r="I50" i="22"/>
  <c r="H50" i="22"/>
  <c r="D50" i="22"/>
  <c r="C50" i="22"/>
  <c r="AA49" i="22"/>
  <c r="Z49" i="22"/>
  <c r="T49" i="22"/>
  <c r="V49" i="22" s="1"/>
  <c r="R49" i="22"/>
  <c r="N49" i="22"/>
  <c r="H49" i="22"/>
  <c r="I49" i="22" s="1"/>
  <c r="D49" i="22"/>
  <c r="C49" i="22"/>
  <c r="Z48" i="22"/>
  <c r="AA48" i="22" s="1"/>
  <c r="T48" i="22"/>
  <c r="V48" i="22" s="1"/>
  <c r="R48" i="22"/>
  <c r="N48" i="22"/>
  <c r="H48" i="22"/>
  <c r="I48" i="22" s="1"/>
  <c r="D48" i="22"/>
  <c r="C48" i="22"/>
  <c r="Z47" i="22"/>
  <c r="AA47" i="22" s="1"/>
  <c r="V47" i="22"/>
  <c r="T47" i="22"/>
  <c r="R47" i="22"/>
  <c r="N47" i="22"/>
  <c r="H47" i="22"/>
  <c r="I47" i="22" s="1"/>
  <c r="D47" i="22"/>
  <c r="C47" i="22"/>
  <c r="Z46" i="22"/>
  <c r="AA46" i="22" s="1"/>
  <c r="V46" i="22"/>
  <c r="T46" i="22"/>
  <c r="R46" i="22"/>
  <c r="N46" i="22"/>
  <c r="I46" i="22"/>
  <c r="H46" i="22"/>
  <c r="D46" i="22"/>
  <c r="C46" i="22"/>
  <c r="AA45" i="22"/>
  <c r="Z45" i="22"/>
  <c r="T45" i="22"/>
  <c r="V45" i="22" s="1"/>
  <c r="R45" i="22"/>
  <c r="N45" i="22"/>
  <c r="H45" i="22"/>
  <c r="I45" i="22" s="1"/>
  <c r="D45" i="22"/>
  <c r="C45" i="22"/>
  <c r="Z44" i="22"/>
  <c r="AA44" i="22" s="1"/>
  <c r="T44" i="22"/>
  <c r="V44" i="22" s="1"/>
  <c r="R44" i="22"/>
  <c r="N44" i="22"/>
  <c r="H44" i="22"/>
  <c r="I44" i="22" s="1"/>
  <c r="D44" i="22"/>
  <c r="C44" i="22"/>
  <c r="Z43" i="22"/>
  <c r="AA43" i="22" s="1"/>
  <c r="V43" i="22"/>
  <c r="T43" i="22"/>
  <c r="R43" i="22"/>
  <c r="N43" i="22"/>
  <c r="H43" i="22"/>
  <c r="I43" i="22" s="1"/>
  <c r="D43" i="22"/>
  <c r="C43" i="22"/>
  <c r="Z42" i="22"/>
  <c r="AA42" i="22" s="1"/>
  <c r="V42" i="22"/>
  <c r="T42" i="22"/>
  <c r="R42" i="22"/>
  <c r="N42" i="22"/>
  <c r="I42" i="22"/>
  <c r="H42" i="22"/>
  <c r="D42" i="22"/>
  <c r="C42" i="22"/>
  <c r="AA41" i="22"/>
  <c r="Z41" i="22"/>
  <c r="T41" i="22"/>
  <c r="V41" i="22" s="1"/>
  <c r="R41" i="22"/>
  <c r="N41" i="22"/>
  <c r="H41" i="22"/>
  <c r="I41" i="22" s="1"/>
  <c r="D41" i="22"/>
  <c r="C41" i="22"/>
  <c r="Z40" i="22"/>
  <c r="AA40" i="22" s="1"/>
  <c r="T40" i="22"/>
  <c r="V40" i="22" s="1"/>
  <c r="R40" i="22"/>
  <c r="N40" i="22"/>
  <c r="H40" i="22"/>
  <c r="I40" i="22" s="1"/>
  <c r="D40" i="22"/>
  <c r="C40" i="22"/>
  <c r="Z39" i="22"/>
  <c r="AA39" i="22" s="1"/>
  <c r="V39" i="22"/>
  <c r="T39" i="22"/>
  <c r="R39" i="22"/>
  <c r="N39" i="22"/>
  <c r="H39" i="22"/>
  <c r="I39" i="22" s="1"/>
  <c r="D39" i="22"/>
  <c r="C39" i="22"/>
  <c r="Z38" i="22"/>
  <c r="AA38" i="22" s="1"/>
  <c r="T38" i="22"/>
  <c r="V38" i="22" s="1"/>
  <c r="R38" i="22"/>
  <c r="N38" i="22"/>
  <c r="H38" i="22"/>
  <c r="I38" i="22" s="1"/>
  <c r="D38" i="22"/>
  <c r="C38" i="22"/>
  <c r="Z37" i="22"/>
  <c r="AA37" i="22" s="1"/>
  <c r="T37" i="22"/>
  <c r="V37" i="22" s="1"/>
  <c r="R37" i="22"/>
  <c r="N37" i="22"/>
  <c r="H37" i="22"/>
  <c r="I37" i="22" s="1"/>
  <c r="D37" i="22"/>
  <c r="C37" i="22"/>
  <c r="Z36" i="22"/>
  <c r="AA36" i="22" s="1"/>
  <c r="T36" i="22"/>
  <c r="V36" i="22" s="1"/>
  <c r="R36" i="22"/>
  <c r="N36" i="22"/>
  <c r="H36" i="22"/>
  <c r="I36" i="22" s="1"/>
  <c r="D36" i="22"/>
  <c r="O36" i="22" s="1"/>
  <c r="C36" i="22"/>
  <c r="Z35" i="22"/>
  <c r="AA35" i="22" s="1"/>
  <c r="T35" i="22"/>
  <c r="V35" i="22" s="1"/>
  <c r="R35" i="22"/>
  <c r="N35" i="22"/>
  <c r="I35" i="22"/>
  <c r="D35" i="22"/>
  <c r="O35" i="22" s="1"/>
  <c r="C35" i="22"/>
  <c r="AA34" i="22"/>
  <c r="Z34" i="22"/>
  <c r="T34" i="22"/>
  <c r="V34" i="22" s="1"/>
  <c r="R34" i="22"/>
  <c r="N34" i="22"/>
  <c r="I34" i="22"/>
  <c r="D34" i="22"/>
  <c r="C34" i="22"/>
  <c r="Z33" i="22"/>
  <c r="AA33" i="22" s="1"/>
  <c r="T33" i="22"/>
  <c r="V33" i="22" s="1"/>
  <c r="R33" i="22"/>
  <c r="N33" i="22"/>
  <c r="I33" i="22"/>
  <c r="D33" i="22"/>
  <c r="C33" i="22"/>
  <c r="AA32" i="22"/>
  <c r="Z32" i="22"/>
  <c r="T32" i="22"/>
  <c r="V32" i="22" s="1"/>
  <c r="R32" i="22"/>
  <c r="N32" i="22"/>
  <c r="I32" i="22"/>
  <c r="D32" i="22"/>
  <c r="C32" i="22"/>
  <c r="Z31" i="22"/>
  <c r="AA31" i="22" s="1"/>
  <c r="T31" i="22"/>
  <c r="V31" i="22" s="1"/>
  <c r="R31" i="22"/>
  <c r="N31" i="22"/>
  <c r="I31" i="22"/>
  <c r="D31" i="22"/>
  <c r="O31" i="22" s="1"/>
  <c r="C31" i="22"/>
  <c r="AA30" i="22"/>
  <c r="Z30" i="22"/>
  <c r="T30" i="22"/>
  <c r="V30" i="22" s="1"/>
  <c r="R30" i="22"/>
  <c r="N30" i="22"/>
  <c r="I30" i="22"/>
  <c r="D30" i="22"/>
  <c r="C30" i="22"/>
  <c r="Z29" i="22"/>
  <c r="AA29" i="22" s="1"/>
  <c r="T29" i="22"/>
  <c r="V29" i="22" s="1"/>
  <c r="R29" i="22"/>
  <c r="N29" i="22"/>
  <c r="I29" i="22"/>
  <c r="D29" i="22"/>
  <c r="C29" i="22"/>
  <c r="AA28" i="22"/>
  <c r="Z28" i="22"/>
  <c r="T28" i="22"/>
  <c r="V28" i="22" s="1"/>
  <c r="R28" i="22"/>
  <c r="N28" i="22"/>
  <c r="I28" i="22"/>
  <c r="D28" i="22"/>
  <c r="C28" i="22"/>
  <c r="Z27" i="22"/>
  <c r="AA27" i="22" s="1"/>
  <c r="T27" i="22"/>
  <c r="V27" i="22" s="1"/>
  <c r="R27" i="22"/>
  <c r="N27" i="22"/>
  <c r="I27" i="22"/>
  <c r="D27" i="22"/>
  <c r="O27" i="22" s="1"/>
  <c r="C27" i="22"/>
  <c r="AA26" i="22"/>
  <c r="Z26" i="22"/>
  <c r="T26" i="22"/>
  <c r="V26" i="22" s="1"/>
  <c r="R26" i="22"/>
  <c r="N26" i="22"/>
  <c r="I26" i="22"/>
  <c r="D26" i="22"/>
  <c r="C26" i="22"/>
  <c r="Z25" i="22"/>
  <c r="AA25" i="22" s="1"/>
  <c r="T25" i="22"/>
  <c r="V25" i="22" s="1"/>
  <c r="R25" i="22"/>
  <c r="N25" i="22"/>
  <c r="I25" i="22"/>
  <c r="D25" i="22"/>
  <c r="C25" i="22"/>
  <c r="AA24" i="22"/>
  <c r="Z24" i="22"/>
  <c r="T24" i="22"/>
  <c r="V24" i="22" s="1"/>
  <c r="R24" i="22"/>
  <c r="N24" i="22"/>
  <c r="I24" i="22"/>
  <c r="D24" i="22"/>
  <c r="C24" i="22"/>
  <c r="Z23" i="22"/>
  <c r="AA23" i="22" s="1"/>
  <c r="T23" i="22"/>
  <c r="V23" i="22" s="1"/>
  <c r="R23" i="22"/>
  <c r="N23" i="22"/>
  <c r="I23" i="22"/>
  <c r="D23" i="22"/>
  <c r="O23" i="22" s="1"/>
  <c r="C23" i="22"/>
  <c r="AA22" i="22"/>
  <c r="Z22" i="22"/>
  <c r="T22" i="22"/>
  <c r="V22" i="22" s="1"/>
  <c r="R22" i="22"/>
  <c r="N22" i="22"/>
  <c r="I22" i="22"/>
  <c r="D22" i="22"/>
  <c r="C22" i="22"/>
  <c r="Z21" i="22"/>
  <c r="AA21" i="22" s="1"/>
  <c r="T21" i="22"/>
  <c r="V21" i="22" s="1"/>
  <c r="R21" i="22"/>
  <c r="N21" i="22"/>
  <c r="I21" i="22"/>
  <c r="D21" i="22"/>
  <c r="C21" i="22"/>
  <c r="AA20" i="22"/>
  <c r="Z20" i="22"/>
  <c r="T20" i="22"/>
  <c r="V20" i="22" s="1"/>
  <c r="R20" i="22"/>
  <c r="N20" i="22"/>
  <c r="I20" i="22"/>
  <c r="D20" i="22"/>
  <c r="C20" i="22"/>
  <c r="Z19" i="22"/>
  <c r="AA19" i="22" s="1"/>
  <c r="T19" i="22"/>
  <c r="V19" i="22" s="1"/>
  <c r="R19" i="22"/>
  <c r="N19" i="22"/>
  <c r="I19" i="22"/>
  <c r="D19" i="22"/>
  <c r="O19" i="22" s="1"/>
  <c r="C19" i="22"/>
  <c r="AA18" i="22"/>
  <c r="Z18" i="22"/>
  <c r="T18" i="22"/>
  <c r="V18" i="22" s="1"/>
  <c r="R18" i="22"/>
  <c r="N18" i="22"/>
  <c r="I18" i="22"/>
  <c r="D18" i="22"/>
  <c r="C18" i="22"/>
  <c r="Z17" i="22"/>
  <c r="AA17" i="22" s="1"/>
  <c r="T17" i="22"/>
  <c r="V17" i="22" s="1"/>
  <c r="R17" i="22"/>
  <c r="N17" i="22"/>
  <c r="I17" i="22"/>
  <c r="D17" i="22"/>
  <c r="C17" i="22"/>
  <c r="AA16" i="22"/>
  <c r="Z16" i="22"/>
  <c r="T16" i="22"/>
  <c r="V16" i="22" s="1"/>
  <c r="R16" i="22"/>
  <c r="N16" i="22"/>
  <c r="I16" i="22"/>
  <c r="D16" i="22"/>
  <c r="C16" i="22"/>
  <c r="Z15" i="22"/>
  <c r="AA15" i="22" s="1"/>
  <c r="T15" i="22"/>
  <c r="V15" i="22" s="1"/>
  <c r="R15" i="22"/>
  <c r="N15" i="22"/>
  <c r="I15" i="22"/>
  <c r="D15" i="22"/>
  <c r="O15" i="22" s="1"/>
  <c r="C15" i="22"/>
  <c r="AA14" i="22"/>
  <c r="Z14" i="22"/>
  <c r="T14" i="22"/>
  <c r="V14" i="22" s="1"/>
  <c r="R14" i="22"/>
  <c r="N14" i="22"/>
  <c r="I14" i="22"/>
  <c r="D14" i="22"/>
  <c r="C14" i="22"/>
  <c r="Z13" i="22"/>
  <c r="AA13" i="22" s="1"/>
  <c r="T13" i="22"/>
  <c r="V13" i="22" s="1"/>
  <c r="R13" i="22"/>
  <c r="N13" i="22"/>
  <c r="I13" i="22"/>
  <c r="D13" i="22"/>
  <c r="C13" i="22"/>
  <c r="AA12" i="22"/>
  <c r="Z12" i="22"/>
  <c r="T12" i="22"/>
  <c r="V12" i="22" s="1"/>
  <c r="R12" i="22"/>
  <c r="N12" i="22"/>
  <c r="I12" i="22"/>
  <c r="D12" i="22"/>
  <c r="C12" i="22"/>
  <c r="Z11" i="22"/>
  <c r="AA11" i="22" s="1"/>
  <c r="T11" i="22"/>
  <c r="V11" i="22" s="1"/>
  <c r="R11" i="22"/>
  <c r="N11" i="22"/>
  <c r="I11" i="22"/>
  <c r="D11" i="22"/>
  <c r="O11" i="22" s="1"/>
  <c r="C11" i="22"/>
  <c r="AA10" i="22"/>
  <c r="Z10" i="22"/>
  <c r="T10" i="22"/>
  <c r="V10" i="22" s="1"/>
  <c r="R10" i="22"/>
  <c r="N10" i="22"/>
  <c r="I10" i="22"/>
  <c r="D10" i="22"/>
  <c r="C10" i="22"/>
  <c r="Z9" i="22"/>
  <c r="AA9" i="22" s="1"/>
  <c r="T9" i="22"/>
  <c r="V9" i="22" s="1"/>
  <c r="R9" i="22"/>
  <c r="N9" i="22"/>
  <c r="I9" i="22"/>
  <c r="D9" i="22"/>
  <c r="C9" i="22"/>
  <c r="AA8" i="22"/>
  <c r="Z8" i="22"/>
  <c r="T8" i="22"/>
  <c r="V8" i="22" s="1"/>
  <c r="R8" i="22"/>
  <c r="N8" i="22"/>
  <c r="I8" i="22"/>
  <c r="D8" i="22"/>
  <c r="C8" i="22"/>
  <c r="Z7" i="22"/>
  <c r="AA7" i="22" s="1"/>
  <c r="T7" i="22"/>
  <c r="V7" i="22" s="1"/>
  <c r="R7" i="22"/>
  <c r="N7" i="22"/>
  <c r="I7" i="22"/>
  <c r="D7" i="22"/>
  <c r="O7" i="22" s="1"/>
  <c r="C7" i="22"/>
  <c r="AA6" i="22"/>
  <c r="Z6" i="22"/>
  <c r="T6" i="22"/>
  <c r="V6" i="22" s="1"/>
  <c r="R6" i="22"/>
  <c r="N6" i="22"/>
  <c r="I6" i="22"/>
  <c r="D6" i="22"/>
  <c r="C6" i="22"/>
  <c r="Z5" i="22"/>
  <c r="AA5" i="22" s="1"/>
  <c r="T5" i="22"/>
  <c r="V5" i="22" s="1"/>
  <c r="R5" i="22"/>
  <c r="N5" i="22"/>
  <c r="I5" i="22"/>
  <c r="D5" i="22"/>
  <c r="C5" i="22"/>
  <c r="AA4" i="22"/>
  <c r="Z4" i="22"/>
  <c r="T4" i="22"/>
  <c r="V4" i="22" s="1"/>
  <c r="R4" i="22"/>
  <c r="N4" i="22"/>
  <c r="I4" i="22"/>
  <c r="D4" i="22"/>
  <c r="C4" i="22"/>
  <c r="Z3" i="22"/>
  <c r="AA3" i="22" s="1"/>
  <c r="T3" i="22"/>
  <c r="V3" i="22" s="1"/>
  <c r="R3" i="22"/>
  <c r="N3" i="22"/>
  <c r="I3" i="22"/>
  <c r="D3" i="22"/>
  <c r="O3" i="22" s="1"/>
  <c r="C3" i="22"/>
  <c r="AA99" i="21"/>
  <c r="Z99" i="21"/>
  <c r="T99" i="21"/>
  <c r="V99" i="21" s="1"/>
  <c r="R99" i="21"/>
  <c r="N99" i="21"/>
  <c r="H99" i="21"/>
  <c r="I99" i="21" s="1"/>
  <c r="D99" i="21"/>
  <c r="O99" i="21" s="1"/>
  <c r="C99" i="21"/>
  <c r="Z98" i="21"/>
  <c r="AA98" i="21" s="1"/>
  <c r="T98" i="21"/>
  <c r="V98" i="21" s="1"/>
  <c r="R98" i="21"/>
  <c r="N98" i="21"/>
  <c r="H98" i="21"/>
  <c r="I98" i="21" s="1"/>
  <c r="D98" i="21"/>
  <c r="O98" i="21" s="1"/>
  <c r="C98" i="21"/>
  <c r="Z97" i="21"/>
  <c r="AA97" i="21" s="1"/>
  <c r="V97" i="21"/>
  <c r="T97" i="21"/>
  <c r="R97" i="21"/>
  <c r="N97" i="21"/>
  <c r="H97" i="21"/>
  <c r="I97" i="21" s="1"/>
  <c r="D97" i="21"/>
  <c r="O97" i="21" s="1"/>
  <c r="C97" i="21"/>
  <c r="Z96" i="21"/>
  <c r="AA96" i="21" s="1"/>
  <c r="V96" i="21"/>
  <c r="T96" i="21"/>
  <c r="R96" i="21"/>
  <c r="N96" i="21"/>
  <c r="I96" i="21"/>
  <c r="H96" i="21"/>
  <c r="D96" i="21"/>
  <c r="C96" i="21"/>
  <c r="AA95" i="21"/>
  <c r="Z95" i="21"/>
  <c r="T95" i="21"/>
  <c r="V95" i="21" s="1"/>
  <c r="R95" i="21"/>
  <c r="N95" i="21"/>
  <c r="I95" i="21"/>
  <c r="H95" i="21"/>
  <c r="D95" i="21"/>
  <c r="C95" i="21"/>
  <c r="AA94" i="21"/>
  <c r="Z94" i="21"/>
  <c r="T94" i="21"/>
  <c r="V94" i="21" s="1"/>
  <c r="R94" i="21"/>
  <c r="N94" i="21"/>
  <c r="H94" i="21"/>
  <c r="I94" i="21" s="1"/>
  <c r="D94" i="21"/>
  <c r="C94" i="21"/>
  <c r="Z93" i="21"/>
  <c r="AA93" i="21" s="1"/>
  <c r="V93" i="21"/>
  <c r="T93" i="21"/>
  <c r="R93" i="21"/>
  <c r="N93" i="21"/>
  <c r="H93" i="21"/>
  <c r="I93" i="21" s="1"/>
  <c r="D93" i="21"/>
  <c r="C93" i="21"/>
  <c r="Z92" i="21"/>
  <c r="AA92" i="21" s="1"/>
  <c r="V92" i="21"/>
  <c r="T92" i="21"/>
  <c r="R92" i="21"/>
  <c r="N92" i="21"/>
  <c r="I92" i="21"/>
  <c r="H92" i="21"/>
  <c r="D92" i="21"/>
  <c r="C92" i="21"/>
  <c r="AA91" i="21"/>
  <c r="Z91" i="21"/>
  <c r="T91" i="21"/>
  <c r="V91" i="21" s="1"/>
  <c r="R91" i="21"/>
  <c r="N91" i="21"/>
  <c r="H91" i="21"/>
  <c r="I91" i="21" s="1"/>
  <c r="D91" i="21"/>
  <c r="C91" i="21"/>
  <c r="Z90" i="21"/>
  <c r="AA90" i="21" s="1"/>
  <c r="T90" i="21"/>
  <c r="V90" i="21" s="1"/>
  <c r="R90" i="21"/>
  <c r="N90" i="21"/>
  <c r="H90" i="21"/>
  <c r="I90" i="21" s="1"/>
  <c r="D90" i="21"/>
  <c r="O90" i="21" s="1"/>
  <c r="C90" i="21"/>
  <c r="Z89" i="21"/>
  <c r="AA89" i="21" s="1"/>
  <c r="T89" i="21"/>
  <c r="V89" i="21" s="1"/>
  <c r="R89" i="21"/>
  <c r="N89" i="21"/>
  <c r="H89" i="21"/>
  <c r="I89" i="21" s="1"/>
  <c r="D89" i="21"/>
  <c r="O89" i="21" s="1"/>
  <c r="C89" i="21"/>
  <c r="Z88" i="21"/>
  <c r="AA88" i="21" s="1"/>
  <c r="T88" i="21"/>
  <c r="V88" i="21" s="1"/>
  <c r="R88" i="21"/>
  <c r="N88" i="21"/>
  <c r="H88" i="21"/>
  <c r="I88" i="21" s="1"/>
  <c r="D88" i="21"/>
  <c r="C88" i="21"/>
  <c r="Z87" i="21"/>
  <c r="AA87" i="21" s="1"/>
  <c r="T87" i="21"/>
  <c r="V87" i="21" s="1"/>
  <c r="R87" i="21"/>
  <c r="N87" i="21"/>
  <c r="I87" i="21"/>
  <c r="H87" i="21"/>
  <c r="D87" i="21"/>
  <c r="C87" i="21"/>
  <c r="AA86" i="21"/>
  <c r="Z86" i="21"/>
  <c r="T86" i="21"/>
  <c r="V86" i="21" s="1"/>
  <c r="R86" i="21"/>
  <c r="N86" i="21"/>
  <c r="H86" i="21"/>
  <c r="I86" i="21" s="1"/>
  <c r="D86" i="21"/>
  <c r="C86" i="21"/>
  <c r="Z85" i="21"/>
  <c r="AA85" i="21" s="1"/>
  <c r="V85" i="21"/>
  <c r="T85" i="21"/>
  <c r="R85" i="21"/>
  <c r="N85" i="21"/>
  <c r="H85" i="21"/>
  <c r="I85" i="21" s="1"/>
  <c r="D85" i="21"/>
  <c r="C85" i="21"/>
  <c r="Z84" i="21"/>
  <c r="AA84" i="21" s="1"/>
  <c r="V84" i="21"/>
  <c r="T84" i="21"/>
  <c r="R84" i="21"/>
  <c r="N84" i="21"/>
  <c r="I84" i="21"/>
  <c r="H84" i="21"/>
  <c r="D84" i="21"/>
  <c r="C84" i="21"/>
  <c r="AA83" i="21"/>
  <c r="Z83" i="21"/>
  <c r="T83" i="21"/>
  <c r="V83" i="21" s="1"/>
  <c r="R83" i="21"/>
  <c r="N83" i="21"/>
  <c r="H83" i="21"/>
  <c r="I83" i="21" s="1"/>
  <c r="D83" i="21"/>
  <c r="C83" i="21"/>
  <c r="Z82" i="21"/>
  <c r="AA82" i="21" s="1"/>
  <c r="T82" i="21"/>
  <c r="V82" i="21" s="1"/>
  <c r="R82" i="21"/>
  <c r="N82" i="21"/>
  <c r="H82" i="21"/>
  <c r="I82" i="21" s="1"/>
  <c r="D82" i="21"/>
  <c r="O82" i="21" s="1"/>
  <c r="C82" i="21"/>
  <c r="Z81" i="21"/>
  <c r="AA81" i="21" s="1"/>
  <c r="V81" i="21"/>
  <c r="T81" i="21"/>
  <c r="R81" i="21"/>
  <c r="N81" i="21"/>
  <c r="H81" i="21"/>
  <c r="I81" i="21" s="1"/>
  <c r="D81" i="21"/>
  <c r="O81" i="21" s="1"/>
  <c r="C81" i="21"/>
  <c r="Z80" i="21"/>
  <c r="AA80" i="21" s="1"/>
  <c r="V80" i="21"/>
  <c r="T80" i="21"/>
  <c r="R80" i="21"/>
  <c r="N80" i="21"/>
  <c r="I80" i="21"/>
  <c r="H80" i="21"/>
  <c r="D80" i="21"/>
  <c r="C80" i="21"/>
  <c r="AA79" i="21"/>
  <c r="Z79" i="21"/>
  <c r="T79" i="21"/>
  <c r="V79" i="21" s="1"/>
  <c r="R79" i="21"/>
  <c r="N79" i="21"/>
  <c r="H79" i="21"/>
  <c r="I79" i="21" s="1"/>
  <c r="D79" i="21"/>
  <c r="C79" i="21"/>
  <c r="Z78" i="21"/>
  <c r="AA78" i="21" s="1"/>
  <c r="T78" i="21"/>
  <c r="V78" i="21" s="1"/>
  <c r="R78" i="21"/>
  <c r="N78" i="21"/>
  <c r="H78" i="21"/>
  <c r="I78" i="21" s="1"/>
  <c r="D78" i="21"/>
  <c r="C78" i="21"/>
  <c r="Z77" i="21"/>
  <c r="AA77" i="21" s="1"/>
  <c r="V77" i="21"/>
  <c r="T77" i="21"/>
  <c r="R77" i="21"/>
  <c r="N77" i="21"/>
  <c r="H77" i="21"/>
  <c r="I77" i="21" s="1"/>
  <c r="D77" i="21"/>
  <c r="C77" i="21"/>
  <c r="Z76" i="21"/>
  <c r="AA76" i="21" s="1"/>
  <c r="V76" i="21"/>
  <c r="T76" i="21"/>
  <c r="R76" i="21"/>
  <c r="N76" i="21"/>
  <c r="I76" i="21"/>
  <c r="H76" i="21"/>
  <c r="D76" i="21"/>
  <c r="C76" i="21"/>
  <c r="AA75" i="21"/>
  <c r="Z75" i="21"/>
  <c r="T75" i="21"/>
  <c r="V75" i="21" s="1"/>
  <c r="R75" i="21"/>
  <c r="N75" i="21"/>
  <c r="H75" i="21"/>
  <c r="I75" i="21" s="1"/>
  <c r="D75" i="21"/>
  <c r="C75" i="21"/>
  <c r="Z74" i="21"/>
  <c r="AA74" i="21" s="1"/>
  <c r="T74" i="21"/>
  <c r="V74" i="21" s="1"/>
  <c r="R74" i="21"/>
  <c r="N74" i="21"/>
  <c r="H74" i="21"/>
  <c r="I74" i="21" s="1"/>
  <c r="D74" i="21"/>
  <c r="O74" i="21" s="1"/>
  <c r="C74" i="21"/>
  <c r="Z73" i="21"/>
  <c r="AA73" i="21" s="1"/>
  <c r="T73" i="21"/>
  <c r="V73" i="21" s="1"/>
  <c r="R73" i="21"/>
  <c r="N73" i="21"/>
  <c r="H73" i="21"/>
  <c r="I73" i="21" s="1"/>
  <c r="D73" i="21"/>
  <c r="O73" i="21" s="1"/>
  <c r="C73" i="21"/>
  <c r="Z72" i="21"/>
  <c r="AA72" i="21" s="1"/>
  <c r="V72" i="21"/>
  <c r="T72" i="21"/>
  <c r="R72" i="21"/>
  <c r="N72" i="21"/>
  <c r="I72" i="21"/>
  <c r="H72" i="21"/>
  <c r="D72" i="21"/>
  <c r="C72" i="21"/>
  <c r="AA71" i="21"/>
  <c r="Z71" i="21"/>
  <c r="T71" i="21"/>
  <c r="V71" i="21" s="1"/>
  <c r="R71" i="21"/>
  <c r="N71" i="21"/>
  <c r="H71" i="21"/>
  <c r="I71" i="21" s="1"/>
  <c r="D71" i="21"/>
  <c r="C71" i="21"/>
  <c r="Z70" i="21"/>
  <c r="AA70" i="21" s="1"/>
  <c r="T70" i="21"/>
  <c r="V70" i="21" s="1"/>
  <c r="R70" i="21"/>
  <c r="N70" i="21"/>
  <c r="H70" i="21"/>
  <c r="I70" i="21" s="1"/>
  <c r="D70" i="21"/>
  <c r="C70" i="21"/>
  <c r="Z69" i="21"/>
  <c r="AA69" i="21" s="1"/>
  <c r="T69" i="21"/>
  <c r="V69" i="21" s="1"/>
  <c r="R69" i="21"/>
  <c r="N69" i="21"/>
  <c r="H69" i="21"/>
  <c r="I69" i="21" s="1"/>
  <c r="D69" i="21"/>
  <c r="C69" i="21"/>
  <c r="Z68" i="21"/>
  <c r="AA68" i="21" s="1"/>
  <c r="T68" i="21"/>
  <c r="V68" i="21" s="1"/>
  <c r="R68" i="21"/>
  <c r="N68" i="21"/>
  <c r="H68" i="21"/>
  <c r="I68" i="21" s="1"/>
  <c r="D68" i="21"/>
  <c r="C68" i="21"/>
  <c r="Z67" i="21"/>
  <c r="AA67" i="21" s="1"/>
  <c r="T67" i="21"/>
  <c r="V67" i="21" s="1"/>
  <c r="R67" i="21"/>
  <c r="N67" i="21"/>
  <c r="H67" i="21"/>
  <c r="I67" i="21" s="1"/>
  <c r="D67" i="21"/>
  <c r="O67" i="21" s="1"/>
  <c r="C67" i="21"/>
  <c r="Z66" i="21"/>
  <c r="AA66" i="21" s="1"/>
  <c r="V66" i="21"/>
  <c r="T66" i="21"/>
  <c r="R66" i="21"/>
  <c r="N66" i="21"/>
  <c r="H66" i="21"/>
  <c r="I66" i="21" s="1"/>
  <c r="D66" i="21"/>
  <c r="C66" i="21"/>
  <c r="Z65" i="21"/>
  <c r="AA65" i="21" s="1"/>
  <c r="V65" i="21"/>
  <c r="T65" i="21"/>
  <c r="R65" i="21"/>
  <c r="N65" i="21"/>
  <c r="I65" i="21"/>
  <c r="H65" i="21"/>
  <c r="D65" i="21"/>
  <c r="C65" i="21"/>
  <c r="AA64" i="21"/>
  <c r="Z64" i="21"/>
  <c r="T64" i="21"/>
  <c r="V64" i="21" s="1"/>
  <c r="R64" i="21"/>
  <c r="N64" i="21"/>
  <c r="H64" i="21"/>
  <c r="I64" i="21" s="1"/>
  <c r="D64" i="21"/>
  <c r="C64" i="21"/>
  <c r="Z63" i="21"/>
  <c r="AA63" i="21" s="1"/>
  <c r="T63" i="21"/>
  <c r="V63" i="21" s="1"/>
  <c r="R63" i="21"/>
  <c r="N63" i="21"/>
  <c r="H63" i="21"/>
  <c r="I63" i="21" s="1"/>
  <c r="D63" i="21"/>
  <c r="C63" i="21"/>
  <c r="Z62" i="21"/>
  <c r="AA62" i="21" s="1"/>
  <c r="T62" i="21"/>
  <c r="V62" i="21" s="1"/>
  <c r="R62" i="21"/>
  <c r="N62" i="21"/>
  <c r="H62" i="21"/>
  <c r="I62" i="21" s="1"/>
  <c r="D62" i="21"/>
  <c r="O62" i="21" s="1"/>
  <c r="C62" i="21"/>
  <c r="Z61" i="21"/>
  <c r="AA61" i="21" s="1"/>
  <c r="T61" i="21"/>
  <c r="V61" i="21" s="1"/>
  <c r="R61" i="21"/>
  <c r="N61" i="21"/>
  <c r="H61" i="21"/>
  <c r="I61" i="21" s="1"/>
  <c r="D61" i="21"/>
  <c r="O61" i="21" s="1"/>
  <c r="C61" i="21"/>
  <c r="Z60" i="21"/>
  <c r="AA60" i="21" s="1"/>
  <c r="T60" i="21"/>
  <c r="V60" i="21" s="1"/>
  <c r="R60" i="21"/>
  <c r="N60" i="21"/>
  <c r="H60" i="21"/>
  <c r="I60" i="21" s="1"/>
  <c r="D60" i="21"/>
  <c r="C60" i="21"/>
  <c r="Z59" i="21"/>
  <c r="AA59" i="21" s="1"/>
  <c r="T59" i="21"/>
  <c r="V59" i="21" s="1"/>
  <c r="R59" i="21"/>
  <c r="N59" i="21"/>
  <c r="I59" i="21"/>
  <c r="H59" i="21"/>
  <c r="D59" i="21"/>
  <c r="C59" i="21"/>
  <c r="AA58" i="21"/>
  <c r="Z58" i="21"/>
  <c r="T58" i="21"/>
  <c r="V58" i="21" s="1"/>
  <c r="R58" i="21"/>
  <c r="N58" i="21"/>
  <c r="H58" i="21"/>
  <c r="I58" i="21" s="1"/>
  <c r="D58" i="21"/>
  <c r="O58" i="21" s="1"/>
  <c r="C58" i="21"/>
  <c r="Z57" i="21"/>
  <c r="AA57" i="21" s="1"/>
  <c r="T57" i="21"/>
  <c r="V57" i="21" s="1"/>
  <c r="R57" i="21"/>
  <c r="N57" i="21"/>
  <c r="H57" i="21"/>
  <c r="I57" i="21" s="1"/>
  <c r="D57" i="21"/>
  <c r="O57" i="21" s="1"/>
  <c r="C57" i="21"/>
  <c r="Z56" i="21"/>
  <c r="AA56" i="21" s="1"/>
  <c r="V56" i="21"/>
  <c r="T56" i="21"/>
  <c r="R56" i="21"/>
  <c r="N56" i="21"/>
  <c r="I56" i="21"/>
  <c r="H56" i="21"/>
  <c r="D56" i="21"/>
  <c r="C56" i="21"/>
  <c r="AA55" i="21"/>
  <c r="Z55" i="21"/>
  <c r="T55" i="21"/>
  <c r="V55" i="21" s="1"/>
  <c r="R55" i="21"/>
  <c r="N55" i="21"/>
  <c r="H55" i="21"/>
  <c r="I55" i="21" s="1"/>
  <c r="D55" i="21"/>
  <c r="C55" i="21"/>
  <c r="Z54" i="21"/>
  <c r="AA54" i="21" s="1"/>
  <c r="V54" i="21"/>
  <c r="T54" i="21"/>
  <c r="R54" i="21"/>
  <c r="N54" i="21"/>
  <c r="H54" i="21"/>
  <c r="I54" i="21" s="1"/>
  <c r="D54" i="21"/>
  <c r="C54" i="21"/>
  <c r="Z53" i="21"/>
  <c r="AA53" i="21" s="1"/>
  <c r="V53" i="21"/>
  <c r="T53" i="21"/>
  <c r="R53" i="21"/>
  <c r="N53" i="21"/>
  <c r="I53" i="21"/>
  <c r="H53" i="21"/>
  <c r="D53" i="21"/>
  <c r="C53" i="21"/>
  <c r="AA52" i="21"/>
  <c r="Z52" i="21"/>
  <c r="T52" i="21"/>
  <c r="V52" i="21" s="1"/>
  <c r="R52" i="21"/>
  <c r="N52" i="21"/>
  <c r="H52" i="21"/>
  <c r="I52" i="21" s="1"/>
  <c r="D52" i="21"/>
  <c r="C52" i="21"/>
  <c r="Z51" i="21"/>
  <c r="AA51" i="21" s="1"/>
  <c r="T51" i="21"/>
  <c r="V51" i="21" s="1"/>
  <c r="R51" i="21"/>
  <c r="N51" i="21"/>
  <c r="H51" i="21"/>
  <c r="I51" i="21" s="1"/>
  <c r="D51" i="21"/>
  <c r="O51" i="21" s="1"/>
  <c r="C51" i="21"/>
  <c r="Z50" i="21"/>
  <c r="AA50" i="21" s="1"/>
  <c r="V50" i="21"/>
  <c r="T50" i="21"/>
  <c r="R50" i="21"/>
  <c r="N50" i="21"/>
  <c r="H50" i="21"/>
  <c r="I50" i="21" s="1"/>
  <c r="D50" i="21"/>
  <c r="C50" i="21"/>
  <c r="Z49" i="21"/>
  <c r="AA49" i="21" s="1"/>
  <c r="V49" i="21"/>
  <c r="T49" i="21"/>
  <c r="R49" i="21"/>
  <c r="N49" i="21"/>
  <c r="I49" i="21"/>
  <c r="H49" i="21"/>
  <c r="D49" i="21"/>
  <c r="C49" i="21"/>
  <c r="AA48" i="21"/>
  <c r="Z48" i="21"/>
  <c r="T48" i="21"/>
  <c r="V48" i="21" s="1"/>
  <c r="R48" i="21"/>
  <c r="N48" i="21"/>
  <c r="H48" i="21"/>
  <c r="I48" i="21" s="1"/>
  <c r="D48" i="21"/>
  <c r="C48" i="21"/>
  <c r="Z47" i="21"/>
  <c r="AA47" i="21" s="1"/>
  <c r="T47" i="21"/>
  <c r="V47" i="21" s="1"/>
  <c r="R47" i="21"/>
  <c r="N47" i="21"/>
  <c r="I47" i="21"/>
  <c r="H47" i="21"/>
  <c r="D47" i="21"/>
  <c r="C47" i="21"/>
  <c r="AA46" i="21"/>
  <c r="Z46" i="21"/>
  <c r="T46" i="21"/>
  <c r="V46" i="21" s="1"/>
  <c r="R46" i="21"/>
  <c r="N46" i="21"/>
  <c r="H46" i="21"/>
  <c r="I46" i="21" s="1"/>
  <c r="D46" i="21"/>
  <c r="C46" i="21"/>
  <c r="Z45" i="21"/>
  <c r="AA45" i="21" s="1"/>
  <c r="T45" i="21"/>
  <c r="V45" i="21" s="1"/>
  <c r="R45" i="21"/>
  <c r="N45" i="21"/>
  <c r="H45" i="21"/>
  <c r="I45" i="21" s="1"/>
  <c r="D45" i="21"/>
  <c r="O45" i="21" s="1"/>
  <c r="C45" i="21"/>
  <c r="Z44" i="21"/>
  <c r="AA44" i="21" s="1"/>
  <c r="V44" i="21"/>
  <c r="T44" i="21"/>
  <c r="R44" i="21"/>
  <c r="N44" i="21"/>
  <c r="I44" i="21"/>
  <c r="H44" i="21"/>
  <c r="D44" i="21"/>
  <c r="C44" i="21"/>
  <c r="AA43" i="21"/>
  <c r="Z43" i="21"/>
  <c r="T43" i="21"/>
  <c r="V43" i="21" s="1"/>
  <c r="R43" i="21"/>
  <c r="N43" i="21"/>
  <c r="I43" i="21"/>
  <c r="H43" i="21"/>
  <c r="D43" i="21"/>
  <c r="C43" i="21"/>
  <c r="AA42" i="21"/>
  <c r="Z42" i="21"/>
  <c r="T42" i="21"/>
  <c r="V42" i="21" s="1"/>
  <c r="R42" i="21"/>
  <c r="N42" i="21"/>
  <c r="H42" i="21"/>
  <c r="I42" i="21" s="1"/>
  <c r="D42" i="21"/>
  <c r="O42" i="21" s="1"/>
  <c r="C42" i="21"/>
  <c r="Z41" i="21"/>
  <c r="AA41" i="21" s="1"/>
  <c r="T41" i="21"/>
  <c r="V41" i="21" s="1"/>
  <c r="R41" i="21"/>
  <c r="N41" i="21"/>
  <c r="H41" i="21"/>
  <c r="I41" i="21" s="1"/>
  <c r="D41" i="21"/>
  <c r="O41" i="21" s="1"/>
  <c r="C41" i="21"/>
  <c r="Z40" i="21"/>
  <c r="AA40" i="21" s="1"/>
  <c r="V40" i="21"/>
  <c r="T40" i="21"/>
  <c r="R40" i="21"/>
  <c r="N40" i="21"/>
  <c r="I40" i="21"/>
  <c r="H40" i="21"/>
  <c r="D40" i="21"/>
  <c r="C40" i="21"/>
  <c r="AA39" i="21"/>
  <c r="Z39" i="21"/>
  <c r="T39" i="21"/>
  <c r="V39" i="21" s="1"/>
  <c r="R39" i="21"/>
  <c r="N39" i="21"/>
  <c r="H39" i="21"/>
  <c r="I39" i="21" s="1"/>
  <c r="D39" i="21"/>
  <c r="O39" i="21" s="1"/>
  <c r="C39" i="21"/>
  <c r="Z38" i="21"/>
  <c r="AA38" i="21" s="1"/>
  <c r="V38" i="21"/>
  <c r="T38" i="21"/>
  <c r="R38" i="21"/>
  <c r="N38" i="21"/>
  <c r="H38" i="21"/>
  <c r="I38" i="21" s="1"/>
  <c r="D38" i="21"/>
  <c r="O38" i="21" s="1"/>
  <c r="C38" i="21"/>
  <c r="Z37" i="21"/>
  <c r="AA37" i="21" s="1"/>
  <c r="V37" i="21"/>
  <c r="T37" i="21"/>
  <c r="R37" i="21"/>
  <c r="N37" i="21"/>
  <c r="I37" i="21"/>
  <c r="H37" i="21"/>
  <c r="D37" i="21"/>
  <c r="C37" i="21"/>
  <c r="AA36" i="21"/>
  <c r="Z36" i="21"/>
  <c r="T36" i="21"/>
  <c r="V36" i="21" s="1"/>
  <c r="R36" i="21"/>
  <c r="N36" i="21"/>
  <c r="H36" i="21"/>
  <c r="I36" i="21" s="1"/>
  <c r="D36" i="21"/>
  <c r="C36" i="21"/>
  <c r="Z35" i="21"/>
  <c r="AA35" i="21" s="1"/>
  <c r="T35" i="21"/>
  <c r="V35" i="21" s="1"/>
  <c r="R35" i="21"/>
  <c r="N35" i="21"/>
  <c r="I35" i="21"/>
  <c r="D35" i="21"/>
  <c r="O35" i="21" s="1"/>
  <c r="C35" i="21"/>
  <c r="Z34" i="21"/>
  <c r="AA34" i="21" s="1"/>
  <c r="T34" i="21"/>
  <c r="V34" i="21" s="1"/>
  <c r="R34" i="21"/>
  <c r="N34" i="21"/>
  <c r="I34" i="21"/>
  <c r="D34" i="21"/>
  <c r="O34" i="21" s="1"/>
  <c r="C34" i="21"/>
  <c r="Z33" i="21"/>
  <c r="AA33" i="21" s="1"/>
  <c r="T33" i="21"/>
  <c r="V33" i="21" s="1"/>
  <c r="R33" i="21"/>
  <c r="N33" i="21"/>
  <c r="I33" i="21"/>
  <c r="D33" i="21"/>
  <c r="O33" i="21" s="1"/>
  <c r="C33" i="21"/>
  <c r="Z32" i="21"/>
  <c r="AA32" i="21" s="1"/>
  <c r="T32" i="21"/>
  <c r="V32" i="21" s="1"/>
  <c r="R32" i="21"/>
  <c r="N32" i="21"/>
  <c r="I32" i="21"/>
  <c r="D32" i="21"/>
  <c r="O32" i="21" s="1"/>
  <c r="C32" i="21"/>
  <c r="Z31" i="21"/>
  <c r="AA31" i="21" s="1"/>
  <c r="T31" i="21"/>
  <c r="V31" i="21" s="1"/>
  <c r="R31" i="21"/>
  <c r="N31" i="21"/>
  <c r="I31" i="21"/>
  <c r="D31" i="21"/>
  <c r="O31" i="21" s="1"/>
  <c r="C31" i="21"/>
  <c r="Z30" i="21"/>
  <c r="AA30" i="21" s="1"/>
  <c r="T30" i="21"/>
  <c r="V30" i="21" s="1"/>
  <c r="R30" i="21"/>
  <c r="N30" i="21"/>
  <c r="I30" i="21"/>
  <c r="D30" i="21"/>
  <c r="C30" i="21"/>
  <c r="Z29" i="21"/>
  <c r="AA29" i="21" s="1"/>
  <c r="T29" i="21"/>
  <c r="V29" i="21" s="1"/>
  <c r="R29" i="21"/>
  <c r="N29" i="21"/>
  <c r="I29" i="21"/>
  <c r="D29" i="21"/>
  <c r="O29" i="21" s="1"/>
  <c r="C29" i="21"/>
  <c r="Z28" i="21"/>
  <c r="AA28" i="21" s="1"/>
  <c r="V28" i="21"/>
  <c r="T28" i="21"/>
  <c r="R28" i="21"/>
  <c r="N28" i="21"/>
  <c r="I28" i="21"/>
  <c r="D28" i="21"/>
  <c r="O28" i="21" s="1"/>
  <c r="C28" i="21"/>
  <c r="Z27" i="21"/>
  <c r="AA27" i="21" s="1"/>
  <c r="T27" i="21"/>
  <c r="V27" i="21" s="1"/>
  <c r="R27" i="21"/>
  <c r="N27" i="21"/>
  <c r="I27" i="21"/>
  <c r="D27" i="21"/>
  <c r="O27" i="21" s="1"/>
  <c r="C27" i="21"/>
  <c r="Z26" i="21"/>
  <c r="AA26" i="21" s="1"/>
  <c r="V26" i="21"/>
  <c r="T26" i="21"/>
  <c r="R26" i="21"/>
  <c r="N26" i="21"/>
  <c r="I26" i="21"/>
  <c r="D26" i="21"/>
  <c r="C26" i="21"/>
  <c r="Z25" i="21"/>
  <c r="AA25" i="21" s="1"/>
  <c r="T25" i="21"/>
  <c r="V25" i="21" s="1"/>
  <c r="R25" i="21"/>
  <c r="N25" i="21"/>
  <c r="I25" i="21"/>
  <c r="D25" i="21"/>
  <c r="O25" i="21" s="1"/>
  <c r="C25" i="21"/>
  <c r="Z24" i="21"/>
  <c r="AA24" i="21" s="1"/>
  <c r="V24" i="21"/>
  <c r="T24" i="21"/>
  <c r="R24" i="21"/>
  <c r="N24" i="21"/>
  <c r="I24" i="21"/>
  <c r="D24" i="21"/>
  <c r="C24" i="21"/>
  <c r="Z23" i="21"/>
  <c r="AA23" i="21" s="1"/>
  <c r="T23" i="21"/>
  <c r="V23" i="21" s="1"/>
  <c r="R23" i="21"/>
  <c r="N23" i="21"/>
  <c r="I23" i="21"/>
  <c r="D23" i="21"/>
  <c r="O23" i="21" s="1"/>
  <c r="C23" i="21"/>
  <c r="Z22" i="21"/>
  <c r="AA22" i="21" s="1"/>
  <c r="V22" i="21"/>
  <c r="T22" i="21"/>
  <c r="R22" i="21"/>
  <c r="N22" i="21"/>
  <c r="I22" i="21"/>
  <c r="D22" i="21"/>
  <c r="O22" i="21" s="1"/>
  <c r="C22" i="21"/>
  <c r="Z21" i="21"/>
  <c r="AA21" i="21" s="1"/>
  <c r="T21" i="21"/>
  <c r="V21" i="21" s="1"/>
  <c r="R21" i="21"/>
  <c r="N21" i="21"/>
  <c r="I21" i="21"/>
  <c r="D21" i="21"/>
  <c r="O21" i="21" s="1"/>
  <c r="C21" i="21"/>
  <c r="Z20" i="21"/>
  <c r="AA20" i="21" s="1"/>
  <c r="T20" i="21"/>
  <c r="V20" i="21" s="1"/>
  <c r="R20" i="21"/>
  <c r="N20" i="21"/>
  <c r="I20" i="21"/>
  <c r="D20" i="21"/>
  <c r="C20" i="21"/>
  <c r="Z19" i="21"/>
  <c r="AA19" i="21" s="1"/>
  <c r="T19" i="21"/>
  <c r="V19" i="21" s="1"/>
  <c r="R19" i="21"/>
  <c r="N19" i="21"/>
  <c r="I19" i="21"/>
  <c r="D19" i="21"/>
  <c r="C19" i="21"/>
  <c r="Z18" i="21"/>
  <c r="AA18" i="21" s="1"/>
  <c r="T18" i="21"/>
  <c r="V18" i="21" s="1"/>
  <c r="R18" i="21"/>
  <c r="N18" i="21"/>
  <c r="I18" i="21"/>
  <c r="D18" i="21"/>
  <c r="C18" i="21"/>
  <c r="AA17" i="21"/>
  <c r="Z17" i="21"/>
  <c r="T17" i="21"/>
  <c r="V17" i="21" s="1"/>
  <c r="R17" i="21"/>
  <c r="N17" i="21"/>
  <c r="I17" i="21"/>
  <c r="D17" i="21"/>
  <c r="C17" i="21"/>
  <c r="Z16" i="21"/>
  <c r="AA16" i="21" s="1"/>
  <c r="T16" i="21"/>
  <c r="V16" i="21" s="1"/>
  <c r="R16" i="21"/>
  <c r="N16" i="21"/>
  <c r="I16" i="21"/>
  <c r="D16" i="21"/>
  <c r="C16" i="21"/>
  <c r="Z15" i="21"/>
  <c r="AA15" i="21" s="1"/>
  <c r="T15" i="21"/>
  <c r="V15" i="21" s="1"/>
  <c r="R15" i="21"/>
  <c r="N15" i="21"/>
  <c r="I15" i="21"/>
  <c r="D15" i="21"/>
  <c r="C15" i="21"/>
  <c r="Z14" i="21"/>
  <c r="AA14" i="21" s="1"/>
  <c r="T14" i="21"/>
  <c r="V14" i="21" s="1"/>
  <c r="R14" i="21"/>
  <c r="N14" i="21"/>
  <c r="I14" i="21"/>
  <c r="D14" i="21"/>
  <c r="O14" i="21" s="1"/>
  <c r="C14" i="21"/>
  <c r="Z13" i="21"/>
  <c r="AA13" i="21" s="1"/>
  <c r="T13" i="21"/>
  <c r="V13" i="21" s="1"/>
  <c r="R13" i="21"/>
  <c r="N13" i="21"/>
  <c r="I13" i="21"/>
  <c r="D13" i="21"/>
  <c r="C13" i="21"/>
  <c r="Z12" i="21"/>
  <c r="AA12" i="21" s="1"/>
  <c r="T12" i="21"/>
  <c r="V12" i="21" s="1"/>
  <c r="R12" i="21"/>
  <c r="N12" i="21"/>
  <c r="I12" i="21"/>
  <c r="D12" i="21"/>
  <c r="O12" i="21" s="1"/>
  <c r="C12" i="21"/>
  <c r="Z11" i="21"/>
  <c r="AA11" i="21" s="1"/>
  <c r="T11" i="21"/>
  <c r="V11" i="21" s="1"/>
  <c r="R11" i="21"/>
  <c r="N11" i="21"/>
  <c r="I11" i="21"/>
  <c r="D11" i="21"/>
  <c r="C11" i="21"/>
  <c r="Z10" i="21"/>
  <c r="AA10" i="21" s="1"/>
  <c r="T10" i="21"/>
  <c r="V10" i="21" s="1"/>
  <c r="R10" i="21"/>
  <c r="N10" i="21"/>
  <c r="I10" i="21"/>
  <c r="D10" i="21"/>
  <c r="O10" i="21" s="1"/>
  <c r="C10" i="21"/>
  <c r="Z9" i="21"/>
  <c r="AA9" i="21" s="1"/>
  <c r="T9" i="21"/>
  <c r="V9" i="21" s="1"/>
  <c r="R9" i="21"/>
  <c r="N9" i="21"/>
  <c r="I9" i="21"/>
  <c r="D9" i="21"/>
  <c r="C9" i="21"/>
  <c r="Z8" i="21"/>
  <c r="AA8" i="21" s="1"/>
  <c r="T8" i="21"/>
  <c r="V8" i="21" s="1"/>
  <c r="R8" i="21"/>
  <c r="N8" i="21"/>
  <c r="I8" i="21"/>
  <c r="D8" i="21"/>
  <c r="O8" i="21" s="1"/>
  <c r="C8" i="21"/>
  <c r="Z7" i="21"/>
  <c r="AA7" i="21" s="1"/>
  <c r="T7" i="21"/>
  <c r="V7" i="21" s="1"/>
  <c r="R7" i="21"/>
  <c r="N7" i="21"/>
  <c r="I7" i="21"/>
  <c r="D7" i="21"/>
  <c r="C7" i="21"/>
  <c r="Z6" i="21"/>
  <c r="AA6" i="21" s="1"/>
  <c r="T6" i="21"/>
  <c r="V6" i="21" s="1"/>
  <c r="R6" i="21"/>
  <c r="N6" i="21"/>
  <c r="I6" i="21"/>
  <c r="D6" i="21"/>
  <c r="O6" i="21" s="1"/>
  <c r="C6" i="21"/>
  <c r="Z5" i="21"/>
  <c r="AA5" i="21" s="1"/>
  <c r="T5" i="21"/>
  <c r="V5" i="21" s="1"/>
  <c r="R5" i="21"/>
  <c r="N5" i="21"/>
  <c r="I5" i="21"/>
  <c r="D5" i="21"/>
  <c r="C5" i="21"/>
  <c r="Z4" i="21"/>
  <c r="AA4" i="21" s="1"/>
  <c r="T4" i="21"/>
  <c r="V4" i="21" s="1"/>
  <c r="R4" i="21"/>
  <c r="N4" i="21"/>
  <c r="I4" i="21"/>
  <c r="D4" i="21"/>
  <c r="O4" i="21" s="1"/>
  <c r="C4" i="21"/>
  <c r="Z3" i="21"/>
  <c r="AA3" i="21" s="1"/>
  <c r="T3" i="21"/>
  <c r="V3" i="21" s="1"/>
  <c r="R3" i="21"/>
  <c r="N3" i="21"/>
  <c r="I3" i="21"/>
  <c r="D3" i="21"/>
  <c r="C3" i="21"/>
  <c r="Z99" i="20"/>
  <c r="AA99" i="20" s="1"/>
  <c r="T99" i="20"/>
  <c r="V99" i="20" s="1"/>
  <c r="R99" i="20"/>
  <c r="N99" i="20"/>
  <c r="H99" i="20"/>
  <c r="I99" i="20" s="1"/>
  <c r="D99" i="20"/>
  <c r="C99" i="20"/>
  <c r="Z98" i="20"/>
  <c r="AA98" i="20" s="1"/>
  <c r="T98" i="20"/>
  <c r="V98" i="20" s="1"/>
  <c r="R98" i="20"/>
  <c r="N98" i="20"/>
  <c r="I98" i="20"/>
  <c r="H98" i="20"/>
  <c r="D98" i="20"/>
  <c r="C98" i="20"/>
  <c r="AA97" i="20"/>
  <c r="Z97" i="20"/>
  <c r="T97" i="20"/>
  <c r="V97" i="20" s="1"/>
  <c r="R97" i="20"/>
  <c r="N97" i="20"/>
  <c r="H97" i="20"/>
  <c r="I97" i="20" s="1"/>
  <c r="D97" i="20"/>
  <c r="O97" i="20" s="1"/>
  <c r="C97" i="20"/>
  <c r="Z96" i="20"/>
  <c r="AA96" i="20" s="1"/>
  <c r="T96" i="20"/>
  <c r="V96" i="20" s="1"/>
  <c r="R96" i="20"/>
  <c r="N96" i="20"/>
  <c r="H96" i="20"/>
  <c r="I96" i="20" s="1"/>
  <c r="D96" i="20"/>
  <c r="C96" i="20"/>
  <c r="Z95" i="20"/>
  <c r="AA95" i="20" s="1"/>
  <c r="T95" i="20"/>
  <c r="V95" i="20" s="1"/>
  <c r="R95" i="20"/>
  <c r="N95" i="20"/>
  <c r="H95" i="20"/>
  <c r="I95" i="20" s="1"/>
  <c r="D95" i="20"/>
  <c r="C95" i="20"/>
  <c r="Z94" i="20"/>
  <c r="AA94" i="20" s="1"/>
  <c r="T94" i="20"/>
  <c r="V94" i="20" s="1"/>
  <c r="R94" i="20"/>
  <c r="N94" i="20"/>
  <c r="I94" i="20"/>
  <c r="H94" i="20"/>
  <c r="D94" i="20"/>
  <c r="C94" i="20"/>
  <c r="AA93" i="20"/>
  <c r="Z93" i="20"/>
  <c r="T93" i="20"/>
  <c r="V93" i="20" s="1"/>
  <c r="R93" i="20"/>
  <c r="N93" i="20"/>
  <c r="H93" i="20"/>
  <c r="I93" i="20" s="1"/>
  <c r="D93" i="20"/>
  <c r="O93" i="20" s="1"/>
  <c r="C93" i="20"/>
  <c r="Z92" i="20"/>
  <c r="AA92" i="20" s="1"/>
  <c r="T92" i="20"/>
  <c r="V92" i="20" s="1"/>
  <c r="R92" i="20"/>
  <c r="N92" i="20"/>
  <c r="H92" i="20"/>
  <c r="I92" i="20" s="1"/>
  <c r="D92" i="20"/>
  <c r="C92" i="20"/>
  <c r="Z91" i="20"/>
  <c r="AA91" i="20" s="1"/>
  <c r="T91" i="20"/>
  <c r="V91" i="20" s="1"/>
  <c r="R91" i="20"/>
  <c r="N91" i="20"/>
  <c r="H91" i="20"/>
  <c r="I91" i="20" s="1"/>
  <c r="D91" i="20"/>
  <c r="C91" i="20"/>
  <c r="Z90" i="20"/>
  <c r="AA90" i="20" s="1"/>
  <c r="T90" i="20"/>
  <c r="V90" i="20" s="1"/>
  <c r="R90" i="20"/>
  <c r="N90" i="20"/>
  <c r="H90" i="20"/>
  <c r="I90" i="20" s="1"/>
  <c r="D90" i="20"/>
  <c r="C90" i="20"/>
  <c r="Z89" i="20"/>
  <c r="AA89" i="20" s="1"/>
  <c r="V89" i="20"/>
  <c r="T89" i="20"/>
  <c r="R89" i="20"/>
  <c r="N89" i="20"/>
  <c r="H89" i="20"/>
  <c r="I89" i="20" s="1"/>
  <c r="D89" i="20"/>
  <c r="C89" i="20"/>
  <c r="Z88" i="20"/>
  <c r="AA88" i="20" s="1"/>
  <c r="V88" i="20"/>
  <c r="T88" i="20"/>
  <c r="R88" i="20"/>
  <c r="N88" i="20"/>
  <c r="I88" i="20"/>
  <c r="H88" i="20"/>
  <c r="D88" i="20"/>
  <c r="C88" i="20"/>
  <c r="AA87" i="20"/>
  <c r="Z87" i="20"/>
  <c r="T87" i="20"/>
  <c r="V87" i="20" s="1"/>
  <c r="R87" i="20"/>
  <c r="N87" i="20"/>
  <c r="H87" i="20"/>
  <c r="I87" i="20" s="1"/>
  <c r="D87" i="20"/>
  <c r="C87" i="20"/>
  <c r="Z86" i="20"/>
  <c r="AA86" i="20" s="1"/>
  <c r="T86" i="20"/>
  <c r="V86" i="20" s="1"/>
  <c r="R86" i="20"/>
  <c r="N86" i="20"/>
  <c r="H86" i="20"/>
  <c r="I86" i="20" s="1"/>
  <c r="D86" i="20"/>
  <c r="O86" i="20" s="1"/>
  <c r="C86" i="20"/>
  <c r="Z85" i="20"/>
  <c r="AA85" i="20" s="1"/>
  <c r="T85" i="20"/>
  <c r="V85" i="20" s="1"/>
  <c r="R85" i="20"/>
  <c r="N85" i="20"/>
  <c r="H85" i="20"/>
  <c r="I85" i="20" s="1"/>
  <c r="D85" i="20"/>
  <c r="O85" i="20" s="1"/>
  <c r="C85" i="20"/>
  <c r="Z84" i="20"/>
  <c r="AA84" i="20" s="1"/>
  <c r="T84" i="20"/>
  <c r="V84" i="20" s="1"/>
  <c r="R84" i="20"/>
  <c r="N84" i="20"/>
  <c r="H84" i="20"/>
  <c r="I84" i="20" s="1"/>
  <c r="D84" i="20"/>
  <c r="O84" i="20" s="1"/>
  <c r="C84" i="20"/>
  <c r="Z83" i="20"/>
  <c r="AA83" i="20" s="1"/>
  <c r="V83" i="20"/>
  <c r="T83" i="20"/>
  <c r="R83" i="20"/>
  <c r="N83" i="20"/>
  <c r="I83" i="20"/>
  <c r="H83" i="20"/>
  <c r="D83" i="20"/>
  <c r="C83" i="20"/>
  <c r="AA82" i="20"/>
  <c r="Z82" i="20"/>
  <c r="T82" i="20"/>
  <c r="V82" i="20" s="1"/>
  <c r="R82" i="20"/>
  <c r="N82" i="20"/>
  <c r="H82" i="20"/>
  <c r="I82" i="20" s="1"/>
  <c r="D82" i="20"/>
  <c r="O82" i="20" s="1"/>
  <c r="C82" i="20"/>
  <c r="Z81" i="20"/>
  <c r="AA81" i="20" s="1"/>
  <c r="V81" i="20"/>
  <c r="T81" i="20"/>
  <c r="R81" i="20"/>
  <c r="N81" i="20"/>
  <c r="H81" i="20"/>
  <c r="I81" i="20" s="1"/>
  <c r="D81" i="20"/>
  <c r="C81" i="20"/>
  <c r="Z80" i="20"/>
  <c r="AA80" i="20" s="1"/>
  <c r="V80" i="20"/>
  <c r="T80" i="20"/>
  <c r="R80" i="20"/>
  <c r="N80" i="20"/>
  <c r="I80" i="20"/>
  <c r="H80" i="20"/>
  <c r="D80" i="20"/>
  <c r="C80" i="20"/>
  <c r="AA79" i="20"/>
  <c r="Z79" i="20"/>
  <c r="T79" i="20"/>
  <c r="V79" i="20" s="1"/>
  <c r="R79" i="20"/>
  <c r="N79" i="20"/>
  <c r="I79" i="20"/>
  <c r="H79" i="20"/>
  <c r="D79" i="20"/>
  <c r="C79" i="20"/>
  <c r="AA78" i="20"/>
  <c r="Z78" i="20"/>
  <c r="T78" i="20"/>
  <c r="V78" i="20" s="1"/>
  <c r="R78" i="20"/>
  <c r="N78" i="20"/>
  <c r="H78" i="20"/>
  <c r="I78" i="20" s="1"/>
  <c r="D78" i="20"/>
  <c r="O78" i="20" s="1"/>
  <c r="C78" i="20"/>
  <c r="Z77" i="20"/>
  <c r="AA77" i="20" s="1"/>
  <c r="T77" i="20"/>
  <c r="V77" i="20" s="1"/>
  <c r="R77" i="20"/>
  <c r="N77" i="20"/>
  <c r="H77" i="20"/>
  <c r="I77" i="20" s="1"/>
  <c r="D77" i="20"/>
  <c r="O77" i="20" s="1"/>
  <c r="C77" i="20"/>
  <c r="Z76" i="20"/>
  <c r="AA76" i="20" s="1"/>
  <c r="T76" i="20"/>
  <c r="V76" i="20" s="1"/>
  <c r="R76" i="20"/>
  <c r="N76" i="20"/>
  <c r="H76" i="20"/>
  <c r="I76" i="20" s="1"/>
  <c r="D76" i="20"/>
  <c r="C76" i="20"/>
  <c r="Z75" i="20"/>
  <c r="AA75" i="20" s="1"/>
  <c r="T75" i="20"/>
  <c r="V75" i="20" s="1"/>
  <c r="R75" i="20"/>
  <c r="N75" i="20"/>
  <c r="H75" i="20"/>
  <c r="I75" i="20" s="1"/>
  <c r="D75" i="20"/>
  <c r="C75" i="20"/>
  <c r="Z74" i="20"/>
  <c r="AA74" i="20" s="1"/>
  <c r="T74" i="20"/>
  <c r="V74" i="20" s="1"/>
  <c r="R74" i="20"/>
  <c r="N74" i="20"/>
  <c r="H74" i="20"/>
  <c r="I74" i="20" s="1"/>
  <c r="D74" i="20"/>
  <c r="C74" i="20"/>
  <c r="Z73" i="20"/>
  <c r="AA73" i="20" s="1"/>
  <c r="V73" i="20"/>
  <c r="T73" i="20"/>
  <c r="R73" i="20"/>
  <c r="N73" i="20"/>
  <c r="H73" i="20"/>
  <c r="I73" i="20" s="1"/>
  <c r="D73" i="20"/>
  <c r="C73" i="20"/>
  <c r="Z72" i="20"/>
  <c r="AA72" i="20" s="1"/>
  <c r="V72" i="20"/>
  <c r="T72" i="20"/>
  <c r="R72" i="20"/>
  <c r="N72" i="20"/>
  <c r="I72" i="20"/>
  <c r="H72" i="20"/>
  <c r="D72" i="20"/>
  <c r="C72" i="20"/>
  <c r="AA71" i="20"/>
  <c r="Z71" i="20"/>
  <c r="T71" i="20"/>
  <c r="V71" i="20" s="1"/>
  <c r="R71" i="20"/>
  <c r="N71" i="20"/>
  <c r="H71" i="20"/>
  <c r="I71" i="20" s="1"/>
  <c r="D71" i="20"/>
  <c r="C71" i="20"/>
  <c r="Z70" i="20"/>
  <c r="AA70" i="20" s="1"/>
  <c r="T70" i="20"/>
  <c r="V70" i="20" s="1"/>
  <c r="R70" i="20"/>
  <c r="N70" i="20"/>
  <c r="H70" i="20"/>
  <c r="I70" i="20" s="1"/>
  <c r="D70" i="20"/>
  <c r="O70" i="20" s="1"/>
  <c r="C70" i="20"/>
  <c r="Z69" i="20"/>
  <c r="AA69" i="20" s="1"/>
  <c r="T69" i="20"/>
  <c r="V69" i="20" s="1"/>
  <c r="R69" i="20"/>
  <c r="N69" i="20"/>
  <c r="H69" i="20"/>
  <c r="I69" i="20" s="1"/>
  <c r="D69" i="20"/>
  <c r="O69" i="20" s="1"/>
  <c r="C69" i="20"/>
  <c r="Z68" i="20"/>
  <c r="AA68" i="20" s="1"/>
  <c r="T68" i="20"/>
  <c r="V68" i="20" s="1"/>
  <c r="R68" i="20"/>
  <c r="N68" i="20"/>
  <c r="H68" i="20"/>
  <c r="I68" i="20" s="1"/>
  <c r="D68" i="20"/>
  <c r="O68" i="20" s="1"/>
  <c r="C68" i="20"/>
  <c r="Z67" i="20"/>
  <c r="AA67" i="20" s="1"/>
  <c r="V67" i="20"/>
  <c r="T67" i="20"/>
  <c r="R67" i="20"/>
  <c r="N67" i="20"/>
  <c r="I67" i="20"/>
  <c r="H67" i="20"/>
  <c r="D67" i="20"/>
  <c r="C67" i="20"/>
  <c r="AA66" i="20"/>
  <c r="Z66" i="20"/>
  <c r="T66" i="20"/>
  <c r="V66" i="20" s="1"/>
  <c r="R66" i="20"/>
  <c r="N66" i="20"/>
  <c r="H66" i="20"/>
  <c r="I66" i="20" s="1"/>
  <c r="D66" i="20"/>
  <c r="O66" i="20" s="1"/>
  <c r="C66" i="20"/>
  <c r="Z65" i="20"/>
  <c r="AA65" i="20" s="1"/>
  <c r="V65" i="20"/>
  <c r="T65" i="20"/>
  <c r="R65" i="20"/>
  <c r="N65" i="20"/>
  <c r="H65" i="20"/>
  <c r="I65" i="20" s="1"/>
  <c r="D65" i="20"/>
  <c r="C65" i="20"/>
  <c r="Z64" i="20"/>
  <c r="AA64" i="20" s="1"/>
  <c r="V64" i="20"/>
  <c r="T64" i="20"/>
  <c r="R64" i="20"/>
  <c r="N64" i="20"/>
  <c r="I64" i="20"/>
  <c r="H64" i="20"/>
  <c r="D64" i="20"/>
  <c r="C64" i="20"/>
  <c r="AA63" i="20"/>
  <c r="Z63" i="20"/>
  <c r="T63" i="20"/>
  <c r="V63" i="20" s="1"/>
  <c r="R63" i="20"/>
  <c r="N63" i="20"/>
  <c r="I63" i="20"/>
  <c r="H63" i="20"/>
  <c r="D63" i="20"/>
  <c r="C63" i="20"/>
  <c r="AA62" i="20"/>
  <c r="Z62" i="20"/>
  <c r="T62" i="20"/>
  <c r="V62" i="20" s="1"/>
  <c r="R62" i="20"/>
  <c r="N62" i="20"/>
  <c r="H62" i="20"/>
  <c r="I62" i="20" s="1"/>
  <c r="D62" i="20"/>
  <c r="O62" i="20" s="1"/>
  <c r="C62" i="20"/>
  <c r="Z61" i="20"/>
  <c r="AA61" i="20" s="1"/>
  <c r="V61" i="20"/>
  <c r="T61" i="20"/>
  <c r="R61" i="20"/>
  <c r="N61" i="20"/>
  <c r="H61" i="20"/>
  <c r="I61" i="20" s="1"/>
  <c r="D61" i="20"/>
  <c r="C61" i="20"/>
  <c r="Z60" i="20"/>
  <c r="AA60" i="20" s="1"/>
  <c r="V60" i="20"/>
  <c r="T60" i="20"/>
  <c r="R60" i="20"/>
  <c r="N60" i="20"/>
  <c r="I60" i="20"/>
  <c r="H60" i="20"/>
  <c r="D60" i="20"/>
  <c r="C60" i="20"/>
  <c r="AA59" i="20"/>
  <c r="Z59" i="20"/>
  <c r="T59" i="20"/>
  <c r="V59" i="20" s="1"/>
  <c r="R59" i="20"/>
  <c r="N59" i="20"/>
  <c r="I59" i="20"/>
  <c r="H59" i="20"/>
  <c r="D59" i="20"/>
  <c r="C59" i="20"/>
  <c r="AA58" i="20"/>
  <c r="Z58" i="20"/>
  <c r="T58" i="20"/>
  <c r="V58" i="20" s="1"/>
  <c r="R58" i="20"/>
  <c r="N58" i="20"/>
  <c r="H58" i="20"/>
  <c r="I58" i="20" s="1"/>
  <c r="D58" i="20"/>
  <c r="O58" i="20" s="1"/>
  <c r="C58" i="20"/>
  <c r="Z57" i="20"/>
  <c r="AA57" i="20" s="1"/>
  <c r="T57" i="20"/>
  <c r="V57" i="20" s="1"/>
  <c r="R57" i="20"/>
  <c r="N57" i="20"/>
  <c r="H57" i="20"/>
  <c r="I57" i="20" s="1"/>
  <c r="D57" i="20"/>
  <c r="O57" i="20" s="1"/>
  <c r="C57" i="20"/>
  <c r="Z56" i="20"/>
  <c r="AA56" i="20" s="1"/>
  <c r="T56" i="20"/>
  <c r="V56" i="20" s="1"/>
  <c r="R56" i="20"/>
  <c r="N56" i="20"/>
  <c r="H56" i="20"/>
  <c r="I56" i="20" s="1"/>
  <c r="D56" i="20"/>
  <c r="O56" i="20" s="1"/>
  <c r="C56" i="20"/>
  <c r="Z55" i="20"/>
  <c r="AA55" i="20" s="1"/>
  <c r="V55" i="20"/>
  <c r="T55" i="20"/>
  <c r="R55" i="20"/>
  <c r="N55" i="20"/>
  <c r="I55" i="20"/>
  <c r="H55" i="20"/>
  <c r="D55" i="20"/>
  <c r="C55" i="20"/>
  <c r="AA54" i="20"/>
  <c r="Z54" i="20"/>
  <c r="T54" i="20"/>
  <c r="V54" i="20" s="1"/>
  <c r="R54" i="20"/>
  <c r="N54" i="20"/>
  <c r="I54" i="20"/>
  <c r="H54" i="20"/>
  <c r="D54" i="20"/>
  <c r="C54" i="20"/>
  <c r="AA53" i="20"/>
  <c r="Z53" i="20"/>
  <c r="T53" i="20"/>
  <c r="V53" i="20" s="1"/>
  <c r="R53" i="20"/>
  <c r="N53" i="20"/>
  <c r="H53" i="20"/>
  <c r="I53" i="20" s="1"/>
  <c r="D53" i="20"/>
  <c r="O53" i="20" s="1"/>
  <c r="C53" i="20"/>
  <c r="Z52" i="20"/>
  <c r="AA52" i="20" s="1"/>
  <c r="T52" i="20"/>
  <c r="V52" i="20" s="1"/>
  <c r="R52" i="20"/>
  <c r="N52" i="20"/>
  <c r="H52" i="20"/>
  <c r="I52" i="20" s="1"/>
  <c r="D52" i="20"/>
  <c r="C52" i="20"/>
  <c r="Z51" i="20"/>
  <c r="AA51" i="20" s="1"/>
  <c r="T51" i="20"/>
  <c r="V51" i="20" s="1"/>
  <c r="R51" i="20"/>
  <c r="N51" i="20"/>
  <c r="I51" i="20"/>
  <c r="H51" i="20"/>
  <c r="D51" i="20"/>
  <c r="C51" i="20"/>
  <c r="AA50" i="20"/>
  <c r="Z50" i="20"/>
  <c r="T50" i="20"/>
  <c r="V50" i="20" s="1"/>
  <c r="R50" i="20"/>
  <c r="N50" i="20"/>
  <c r="I50" i="20"/>
  <c r="H50" i="20"/>
  <c r="D50" i="20"/>
  <c r="C50" i="20"/>
  <c r="AA49" i="20"/>
  <c r="Z49" i="20"/>
  <c r="T49" i="20"/>
  <c r="V49" i="20" s="1"/>
  <c r="R49" i="20"/>
  <c r="N49" i="20"/>
  <c r="H49" i="20"/>
  <c r="I49" i="20" s="1"/>
  <c r="D49" i="20"/>
  <c r="O49" i="20" s="1"/>
  <c r="C49" i="20"/>
  <c r="Z48" i="20"/>
  <c r="AA48" i="20" s="1"/>
  <c r="T48" i="20"/>
  <c r="V48" i="20" s="1"/>
  <c r="R48" i="20"/>
  <c r="N48" i="20"/>
  <c r="H48" i="20"/>
  <c r="I48" i="20" s="1"/>
  <c r="D48" i="20"/>
  <c r="C48" i="20"/>
  <c r="Z47" i="20"/>
  <c r="AA47" i="20" s="1"/>
  <c r="T47" i="20"/>
  <c r="V47" i="20" s="1"/>
  <c r="R47" i="20"/>
  <c r="N47" i="20"/>
  <c r="I47" i="20"/>
  <c r="H47" i="20"/>
  <c r="D47" i="20"/>
  <c r="C47" i="20"/>
  <c r="AA46" i="20"/>
  <c r="Z46" i="20"/>
  <c r="T46" i="20"/>
  <c r="V46" i="20" s="1"/>
  <c r="R46" i="20"/>
  <c r="N46" i="20"/>
  <c r="I46" i="20"/>
  <c r="H46" i="20"/>
  <c r="D46" i="20"/>
  <c r="C46" i="20"/>
  <c r="AA45" i="20"/>
  <c r="Z45" i="20"/>
  <c r="T45" i="20"/>
  <c r="V45" i="20" s="1"/>
  <c r="R45" i="20"/>
  <c r="N45" i="20"/>
  <c r="H45" i="20"/>
  <c r="I45" i="20" s="1"/>
  <c r="D45" i="20"/>
  <c r="O45" i="20" s="1"/>
  <c r="C45" i="20"/>
  <c r="Z44" i="20"/>
  <c r="AA44" i="20" s="1"/>
  <c r="T44" i="20"/>
  <c r="V44" i="20" s="1"/>
  <c r="R44" i="20"/>
  <c r="N44" i="20"/>
  <c r="H44" i="20"/>
  <c r="I44" i="20" s="1"/>
  <c r="D44" i="20"/>
  <c r="O44" i="20" s="1"/>
  <c r="C44" i="20"/>
  <c r="Z43" i="20"/>
  <c r="AA43" i="20" s="1"/>
  <c r="V43" i="20"/>
  <c r="T43" i="20"/>
  <c r="R43" i="20"/>
  <c r="N43" i="20"/>
  <c r="I43" i="20"/>
  <c r="H43" i="20"/>
  <c r="D43" i="20"/>
  <c r="C43" i="20"/>
  <c r="AA42" i="20"/>
  <c r="Z42" i="20"/>
  <c r="T42" i="20"/>
  <c r="V42" i="20" s="1"/>
  <c r="R42" i="20"/>
  <c r="N42" i="20"/>
  <c r="H42" i="20"/>
  <c r="I42" i="20" s="1"/>
  <c r="D42" i="20"/>
  <c r="C42" i="20"/>
  <c r="Z41" i="20"/>
  <c r="AA41" i="20" s="1"/>
  <c r="T41" i="20"/>
  <c r="V41" i="20" s="1"/>
  <c r="R41" i="20"/>
  <c r="N41" i="20"/>
  <c r="H41" i="20"/>
  <c r="I41" i="20" s="1"/>
  <c r="D41" i="20"/>
  <c r="O41" i="20" s="1"/>
  <c r="C41" i="20"/>
  <c r="Z40" i="20"/>
  <c r="AA40" i="20" s="1"/>
  <c r="T40" i="20"/>
  <c r="V40" i="20" s="1"/>
  <c r="R40" i="20"/>
  <c r="N40" i="20"/>
  <c r="H40" i="20"/>
  <c r="I40" i="20" s="1"/>
  <c r="D40" i="20"/>
  <c r="O40" i="20" s="1"/>
  <c r="C40" i="20"/>
  <c r="Z39" i="20"/>
  <c r="AA39" i="20" s="1"/>
  <c r="V39" i="20"/>
  <c r="T39" i="20"/>
  <c r="R39" i="20"/>
  <c r="N39" i="20"/>
  <c r="I39" i="20"/>
  <c r="H39" i="20"/>
  <c r="D39" i="20"/>
  <c r="C39" i="20"/>
  <c r="AA38" i="20"/>
  <c r="Z38" i="20"/>
  <c r="T38" i="20"/>
  <c r="V38" i="20" s="1"/>
  <c r="R38" i="20"/>
  <c r="N38" i="20"/>
  <c r="I38" i="20"/>
  <c r="H38" i="20"/>
  <c r="D38" i="20"/>
  <c r="C38" i="20"/>
  <c r="AA37" i="20"/>
  <c r="Z37" i="20"/>
  <c r="T37" i="20"/>
  <c r="V37" i="20" s="1"/>
  <c r="R37" i="20"/>
  <c r="N37" i="20"/>
  <c r="H37" i="20"/>
  <c r="I37" i="20" s="1"/>
  <c r="D37" i="20"/>
  <c r="O37" i="20" s="1"/>
  <c r="C37" i="20"/>
  <c r="Z36" i="20"/>
  <c r="AA36" i="20" s="1"/>
  <c r="T36" i="20"/>
  <c r="V36" i="20" s="1"/>
  <c r="R36" i="20"/>
  <c r="N36" i="20"/>
  <c r="H36" i="20"/>
  <c r="I36" i="20" s="1"/>
  <c r="D36" i="20"/>
  <c r="O36" i="20" s="1"/>
  <c r="C36" i="20"/>
  <c r="Z35" i="20"/>
  <c r="AA35" i="20" s="1"/>
  <c r="V35" i="20"/>
  <c r="T35" i="20"/>
  <c r="R35" i="20"/>
  <c r="N35" i="20"/>
  <c r="I35" i="20"/>
  <c r="D35" i="20"/>
  <c r="C35" i="20"/>
  <c r="Z34" i="20"/>
  <c r="AA34" i="20" s="1"/>
  <c r="V34" i="20"/>
  <c r="T34" i="20"/>
  <c r="R34" i="20"/>
  <c r="N34" i="20"/>
  <c r="I34" i="20"/>
  <c r="D34" i="20"/>
  <c r="C34" i="20"/>
  <c r="AA33" i="20"/>
  <c r="Z33" i="20"/>
  <c r="T33" i="20"/>
  <c r="V33" i="20" s="1"/>
  <c r="R33" i="20"/>
  <c r="N33" i="20"/>
  <c r="I33" i="20"/>
  <c r="D33" i="20"/>
  <c r="C33" i="20"/>
  <c r="AA32" i="20"/>
  <c r="Z32" i="20"/>
  <c r="T32" i="20"/>
  <c r="V32" i="20" s="1"/>
  <c r="R32" i="20"/>
  <c r="N32" i="20"/>
  <c r="I32" i="20"/>
  <c r="D32" i="20"/>
  <c r="C32" i="20"/>
  <c r="AA31" i="20"/>
  <c r="Z31" i="20"/>
  <c r="V31" i="20"/>
  <c r="T31" i="20"/>
  <c r="R31" i="20"/>
  <c r="N31" i="20"/>
  <c r="I31" i="20"/>
  <c r="D31" i="20"/>
  <c r="C31" i="20"/>
  <c r="Z30" i="20"/>
  <c r="AA30" i="20" s="1"/>
  <c r="V30" i="20"/>
  <c r="T30" i="20"/>
  <c r="R30" i="20"/>
  <c r="N30" i="20"/>
  <c r="I30" i="20"/>
  <c r="D30" i="20"/>
  <c r="C30" i="20"/>
  <c r="Z29" i="20"/>
  <c r="AA29" i="20" s="1"/>
  <c r="T29" i="20"/>
  <c r="V29" i="20" s="1"/>
  <c r="R29" i="20"/>
  <c r="N29" i="20"/>
  <c r="I29" i="20"/>
  <c r="D29" i="20"/>
  <c r="C29" i="20"/>
  <c r="AA28" i="20"/>
  <c r="Z28" i="20"/>
  <c r="V28" i="20"/>
  <c r="T28" i="20"/>
  <c r="R28" i="20"/>
  <c r="N28" i="20"/>
  <c r="I28" i="20"/>
  <c r="D28" i="20"/>
  <c r="O28" i="20" s="1"/>
  <c r="C28" i="20"/>
  <c r="Z27" i="20"/>
  <c r="AA27" i="20" s="1"/>
  <c r="T27" i="20"/>
  <c r="V27" i="20" s="1"/>
  <c r="R27" i="20"/>
  <c r="N27" i="20"/>
  <c r="I27" i="20"/>
  <c r="D27" i="20"/>
  <c r="C27" i="20"/>
  <c r="Z26" i="20"/>
  <c r="AA26" i="20" s="1"/>
  <c r="T26" i="20"/>
  <c r="V26" i="20" s="1"/>
  <c r="R26" i="20"/>
  <c r="N26" i="20"/>
  <c r="I26" i="20"/>
  <c r="D26" i="20"/>
  <c r="C26" i="20"/>
  <c r="AA25" i="20"/>
  <c r="Z25" i="20"/>
  <c r="T25" i="20"/>
  <c r="V25" i="20" s="1"/>
  <c r="R25" i="20"/>
  <c r="N25" i="20"/>
  <c r="I25" i="20"/>
  <c r="D25" i="20"/>
  <c r="C25" i="20"/>
  <c r="AA24" i="20"/>
  <c r="Z24" i="20"/>
  <c r="V24" i="20"/>
  <c r="T24" i="20"/>
  <c r="R24" i="20"/>
  <c r="N24" i="20"/>
  <c r="I24" i="20"/>
  <c r="D24" i="20"/>
  <c r="C24" i="20"/>
  <c r="Z23" i="20"/>
  <c r="AA23" i="20" s="1"/>
  <c r="T23" i="20"/>
  <c r="V23" i="20" s="1"/>
  <c r="R23" i="20"/>
  <c r="N23" i="20"/>
  <c r="I23" i="20"/>
  <c r="D23" i="20"/>
  <c r="C23" i="20"/>
  <c r="AA22" i="20"/>
  <c r="Z22" i="20"/>
  <c r="V22" i="20"/>
  <c r="T22" i="20"/>
  <c r="R22" i="20"/>
  <c r="N22" i="20"/>
  <c r="I22" i="20"/>
  <c r="D22" i="20"/>
  <c r="O22" i="20" s="1"/>
  <c r="C22" i="20"/>
  <c r="Z21" i="20"/>
  <c r="AA21" i="20" s="1"/>
  <c r="T21" i="20"/>
  <c r="V21" i="20" s="1"/>
  <c r="R21" i="20"/>
  <c r="N21" i="20"/>
  <c r="I21" i="20"/>
  <c r="D21" i="20"/>
  <c r="C21" i="20"/>
  <c r="AA20" i="20"/>
  <c r="Z20" i="20"/>
  <c r="V20" i="20"/>
  <c r="T20" i="20"/>
  <c r="R20" i="20"/>
  <c r="N20" i="20"/>
  <c r="I20" i="20"/>
  <c r="D20" i="20"/>
  <c r="O20" i="20" s="1"/>
  <c r="C20" i="20"/>
  <c r="Z19" i="20"/>
  <c r="AA19" i="20" s="1"/>
  <c r="T19" i="20"/>
  <c r="V19" i="20" s="1"/>
  <c r="R19" i="20"/>
  <c r="N19" i="20"/>
  <c r="I19" i="20"/>
  <c r="D19" i="20"/>
  <c r="C19" i="20"/>
  <c r="Z18" i="20"/>
  <c r="AA18" i="20" s="1"/>
  <c r="T18" i="20"/>
  <c r="V18" i="20" s="1"/>
  <c r="R18" i="20"/>
  <c r="N18" i="20"/>
  <c r="I18" i="20"/>
  <c r="D18" i="20"/>
  <c r="C18" i="20"/>
  <c r="AA17" i="20"/>
  <c r="Z17" i="20"/>
  <c r="T17" i="20"/>
  <c r="V17" i="20" s="1"/>
  <c r="R17" i="20"/>
  <c r="N17" i="20"/>
  <c r="I17" i="20"/>
  <c r="D17" i="20"/>
  <c r="C17" i="20"/>
  <c r="AA16" i="20"/>
  <c r="Z16" i="20"/>
  <c r="V16" i="20"/>
  <c r="T16" i="20"/>
  <c r="R16" i="20"/>
  <c r="N16" i="20"/>
  <c r="I16" i="20"/>
  <c r="D16" i="20"/>
  <c r="C16" i="20"/>
  <c r="Z15" i="20"/>
  <c r="AA15" i="20" s="1"/>
  <c r="T15" i="20"/>
  <c r="V15" i="20" s="1"/>
  <c r="R15" i="20"/>
  <c r="N15" i="20"/>
  <c r="I15" i="20"/>
  <c r="D15" i="20"/>
  <c r="C15" i="20"/>
  <c r="AA14" i="20"/>
  <c r="Z14" i="20"/>
  <c r="V14" i="20"/>
  <c r="T14" i="20"/>
  <c r="R14" i="20"/>
  <c r="N14" i="20"/>
  <c r="I14" i="20"/>
  <c r="D14" i="20"/>
  <c r="O14" i="20" s="1"/>
  <c r="C14" i="20"/>
  <c r="Z13" i="20"/>
  <c r="AA13" i="20" s="1"/>
  <c r="T13" i="20"/>
  <c r="V13" i="20" s="1"/>
  <c r="R13" i="20"/>
  <c r="N13" i="20"/>
  <c r="I13" i="20"/>
  <c r="D13" i="20"/>
  <c r="C13" i="20"/>
  <c r="AA12" i="20"/>
  <c r="Z12" i="20"/>
  <c r="V12" i="20"/>
  <c r="T12" i="20"/>
  <c r="R12" i="20"/>
  <c r="N12" i="20"/>
  <c r="I12" i="20"/>
  <c r="D12" i="20"/>
  <c r="O12" i="20" s="1"/>
  <c r="C12" i="20"/>
  <c r="Z11" i="20"/>
  <c r="AA11" i="20" s="1"/>
  <c r="T11" i="20"/>
  <c r="V11" i="20" s="1"/>
  <c r="R11" i="20"/>
  <c r="N11" i="20"/>
  <c r="I11" i="20"/>
  <c r="D11" i="20"/>
  <c r="C11" i="20"/>
  <c r="Z10" i="20"/>
  <c r="AA10" i="20" s="1"/>
  <c r="T10" i="20"/>
  <c r="V10" i="20" s="1"/>
  <c r="R10" i="20"/>
  <c r="N10" i="20"/>
  <c r="I10" i="20"/>
  <c r="D10" i="20"/>
  <c r="C10" i="20"/>
  <c r="AA9" i="20"/>
  <c r="Z9" i="20"/>
  <c r="T9" i="20"/>
  <c r="V9" i="20" s="1"/>
  <c r="R9" i="20"/>
  <c r="N9" i="20"/>
  <c r="I9" i="20"/>
  <c r="D9" i="20"/>
  <c r="C9" i="20"/>
  <c r="AA8" i="20"/>
  <c r="Z8" i="20"/>
  <c r="V8" i="20"/>
  <c r="T8" i="20"/>
  <c r="R8" i="20"/>
  <c r="N8" i="20"/>
  <c r="I8" i="20"/>
  <c r="D8" i="20"/>
  <c r="C8" i="20"/>
  <c r="Z7" i="20"/>
  <c r="AA7" i="20" s="1"/>
  <c r="T7" i="20"/>
  <c r="V7" i="20" s="1"/>
  <c r="R7" i="20"/>
  <c r="N7" i="20"/>
  <c r="I7" i="20"/>
  <c r="D7" i="20"/>
  <c r="C7" i="20"/>
  <c r="AA6" i="20"/>
  <c r="Z6" i="20"/>
  <c r="V6" i="20"/>
  <c r="T6" i="20"/>
  <c r="R6" i="20"/>
  <c r="N6" i="20"/>
  <c r="I6" i="20"/>
  <c r="D6" i="20"/>
  <c r="O6" i="20" s="1"/>
  <c r="C6" i="20"/>
  <c r="Z5" i="20"/>
  <c r="AA5" i="20" s="1"/>
  <c r="T5" i="20"/>
  <c r="V5" i="20" s="1"/>
  <c r="R5" i="20"/>
  <c r="N5" i="20"/>
  <c r="I5" i="20"/>
  <c r="D5" i="20"/>
  <c r="C5" i="20"/>
  <c r="AA4" i="20"/>
  <c r="Z4" i="20"/>
  <c r="V4" i="20"/>
  <c r="T4" i="20"/>
  <c r="R4" i="20"/>
  <c r="N4" i="20"/>
  <c r="I4" i="20"/>
  <c r="D4" i="20"/>
  <c r="O4" i="20" s="1"/>
  <c r="C4" i="20"/>
  <c r="Z3" i="20"/>
  <c r="AA3" i="20" s="1"/>
  <c r="T3" i="20"/>
  <c r="V3" i="20" s="1"/>
  <c r="R3" i="20"/>
  <c r="N3" i="20"/>
  <c r="I3" i="20"/>
  <c r="D3" i="20"/>
  <c r="C3" i="20"/>
  <c r="Z99" i="19"/>
  <c r="AA99" i="19" s="1"/>
  <c r="T99" i="19"/>
  <c r="V99" i="19" s="1"/>
  <c r="R99" i="19"/>
  <c r="N99" i="19"/>
  <c r="H99" i="19"/>
  <c r="I99" i="19" s="1"/>
  <c r="D99" i="19"/>
  <c r="C99" i="19"/>
  <c r="Z98" i="19"/>
  <c r="AA98" i="19" s="1"/>
  <c r="T98" i="19"/>
  <c r="V98" i="19" s="1"/>
  <c r="R98" i="19"/>
  <c r="N98" i="19"/>
  <c r="H98" i="19"/>
  <c r="I98" i="19" s="1"/>
  <c r="D98" i="19"/>
  <c r="C98" i="19"/>
  <c r="Z97" i="19"/>
  <c r="AA97" i="19" s="1"/>
  <c r="T97" i="19"/>
  <c r="V97" i="19" s="1"/>
  <c r="R97" i="19"/>
  <c r="N97" i="19"/>
  <c r="H97" i="19"/>
  <c r="I97" i="19" s="1"/>
  <c r="D97" i="19"/>
  <c r="C97" i="19"/>
  <c r="Z96" i="19"/>
  <c r="AA96" i="19" s="1"/>
  <c r="T96" i="19"/>
  <c r="V96" i="19" s="1"/>
  <c r="R96" i="19"/>
  <c r="N96" i="19"/>
  <c r="H96" i="19"/>
  <c r="I96" i="19" s="1"/>
  <c r="D96" i="19"/>
  <c r="O96" i="19" s="1"/>
  <c r="C96" i="19"/>
  <c r="Z95" i="19"/>
  <c r="AA95" i="19" s="1"/>
  <c r="V95" i="19"/>
  <c r="T95" i="19"/>
  <c r="R95" i="19"/>
  <c r="N95" i="19"/>
  <c r="I95" i="19"/>
  <c r="H95" i="19"/>
  <c r="D95" i="19"/>
  <c r="C95" i="19"/>
  <c r="AA94" i="19"/>
  <c r="Z94" i="19"/>
  <c r="T94" i="19"/>
  <c r="V94" i="19" s="1"/>
  <c r="R94" i="19"/>
  <c r="N94" i="19"/>
  <c r="H94" i="19"/>
  <c r="I94" i="19" s="1"/>
  <c r="D94" i="19"/>
  <c r="C94" i="19"/>
  <c r="Z93" i="19"/>
  <c r="AA93" i="19" s="1"/>
  <c r="T93" i="19"/>
  <c r="V93" i="19" s="1"/>
  <c r="R93" i="19"/>
  <c r="N93" i="19"/>
  <c r="I93" i="19"/>
  <c r="H93" i="19"/>
  <c r="D93" i="19"/>
  <c r="O93" i="19" s="1"/>
  <c r="C93" i="19"/>
  <c r="AA92" i="19"/>
  <c r="Z92" i="19"/>
  <c r="V92" i="19"/>
  <c r="T92" i="19"/>
  <c r="R92" i="19"/>
  <c r="N92" i="19"/>
  <c r="H92" i="19"/>
  <c r="I92" i="19" s="1"/>
  <c r="D92" i="19"/>
  <c r="O92" i="19" s="1"/>
  <c r="C92" i="19"/>
  <c r="Z91" i="19"/>
  <c r="AA91" i="19" s="1"/>
  <c r="V91" i="19"/>
  <c r="T91" i="19"/>
  <c r="R91" i="19"/>
  <c r="N91" i="19"/>
  <c r="I91" i="19"/>
  <c r="H91" i="19"/>
  <c r="D91" i="19"/>
  <c r="O91" i="19" s="1"/>
  <c r="C91" i="19"/>
  <c r="AA90" i="19"/>
  <c r="Z90" i="19"/>
  <c r="V90" i="19"/>
  <c r="T90" i="19"/>
  <c r="R90" i="19"/>
  <c r="N90" i="19"/>
  <c r="I90" i="19"/>
  <c r="H90" i="19"/>
  <c r="D90" i="19"/>
  <c r="C90" i="19"/>
  <c r="AA89" i="19"/>
  <c r="Z89" i="19"/>
  <c r="T89" i="19"/>
  <c r="V89" i="19" s="1"/>
  <c r="R89" i="19"/>
  <c r="N89" i="19"/>
  <c r="H89" i="19"/>
  <c r="I89" i="19" s="1"/>
  <c r="D89" i="19"/>
  <c r="O89" i="19" s="1"/>
  <c r="C89" i="19"/>
  <c r="Z88" i="19"/>
  <c r="AA88" i="19" s="1"/>
  <c r="T88" i="19"/>
  <c r="V88" i="19" s="1"/>
  <c r="R88" i="19"/>
  <c r="N88" i="19"/>
  <c r="H88" i="19"/>
  <c r="I88" i="19" s="1"/>
  <c r="D88" i="19"/>
  <c r="O88" i="19" s="1"/>
  <c r="C88" i="19"/>
  <c r="Z87" i="19"/>
  <c r="AA87" i="19" s="1"/>
  <c r="T87" i="19"/>
  <c r="V87" i="19" s="1"/>
  <c r="R87" i="19"/>
  <c r="N87" i="19"/>
  <c r="H87" i="19"/>
  <c r="I87" i="19" s="1"/>
  <c r="D87" i="19"/>
  <c r="C87" i="19"/>
  <c r="Z86" i="19"/>
  <c r="AA86" i="19" s="1"/>
  <c r="T86" i="19"/>
  <c r="V86" i="19" s="1"/>
  <c r="R86" i="19"/>
  <c r="N86" i="19"/>
  <c r="I86" i="19"/>
  <c r="H86" i="19"/>
  <c r="D86" i="19"/>
  <c r="C86" i="19"/>
  <c r="AA85" i="19"/>
  <c r="Z85" i="19"/>
  <c r="T85" i="19"/>
  <c r="V85" i="19" s="1"/>
  <c r="R85" i="19"/>
  <c r="N85" i="19"/>
  <c r="I85" i="19"/>
  <c r="H85" i="19"/>
  <c r="D85" i="19"/>
  <c r="C85" i="19"/>
  <c r="AA84" i="19"/>
  <c r="Z84" i="19"/>
  <c r="T84" i="19"/>
  <c r="V84" i="19" s="1"/>
  <c r="R84" i="19"/>
  <c r="N84" i="19"/>
  <c r="H84" i="19"/>
  <c r="I84" i="19" s="1"/>
  <c r="D84" i="19"/>
  <c r="O84" i="19" s="1"/>
  <c r="C84" i="19"/>
  <c r="Z83" i="19"/>
  <c r="AA83" i="19" s="1"/>
  <c r="T83" i="19"/>
  <c r="V83" i="19" s="1"/>
  <c r="R83" i="19"/>
  <c r="N83" i="19"/>
  <c r="H83" i="19"/>
  <c r="I83" i="19" s="1"/>
  <c r="D83" i="19"/>
  <c r="O83" i="19" s="1"/>
  <c r="C83" i="19"/>
  <c r="Z82" i="19"/>
  <c r="AA82" i="19" s="1"/>
  <c r="V82" i="19"/>
  <c r="T82" i="19"/>
  <c r="R82" i="19"/>
  <c r="N82" i="19"/>
  <c r="I82" i="19"/>
  <c r="H82" i="19"/>
  <c r="D82" i="19"/>
  <c r="C82" i="19"/>
  <c r="AA81" i="19"/>
  <c r="Z81" i="19"/>
  <c r="T81" i="19"/>
  <c r="V81" i="19" s="1"/>
  <c r="R81" i="19"/>
  <c r="N81" i="19"/>
  <c r="H81" i="19"/>
  <c r="I81" i="19" s="1"/>
  <c r="D81" i="19"/>
  <c r="C81" i="19"/>
  <c r="Z80" i="19"/>
  <c r="AA80" i="19" s="1"/>
  <c r="V80" i="19"/>
  <c r="T80" i="19"/>
  <c r="R80" i="19"/>
  <c r="N80" i="19"/>
  <c r="H80" i="19"/>
  <c r="I80" i="19" s="1"/>
  <c r="D80" i="19"/>
  <c r="C80" i="19"/>
  <c r="Z79" i="19"/>
  <c r="AA79" i="19" s="1"/>
  <c r="V79" i="19"/>
  <c r="T79" i="19"/>
  <c r="R79" i="19"/>
  <c r="N79" i="19"/>
  <c r="H79" i="19"/>
  <c r="I79" i="19" s="1"/>
  <c r="D79" i="19"/>
  <c r="C79" i="19"/>
  <c r="Z78" i="19"/>
  <c r="AA78" i="19" s="1"/>
  <c r="T78" i="19"/>
  <c r="V78" i="19" s="1"/>
  <c r="R78" i="19"/>
  <c r="N78" i="19"/>
  <c r="H78" i="19"/>
  <c r="I78" i="19" s="1"/>
  <c r="D78" i="19"/>
  <c r="C78" i="19"/>
  <c r="Z77" i="19"/>
  <c r="AA77" i="19" s="1"/>
  <c r="T77" i="19"/>
  <c r="V77" i="19" s="1"/>
  <c r="R77" i="19"/>
  <c r="N77" i="19"/>
  <c r="I77" i="19"/>
  <c r="H77" i="19"/>
  <c r="D77" i="19"/>
  <c r="O77" i="19" s="1"/>
  <c r="C77" i="19"/>
  <c r="AA76" i="19"/>
  <c r="Z76" i="19"/>
  <c r="T76" i="19"/>
  <c r="V76" i="19" s="1"/>
  <c r="R76" i="19"/>
  <c r="N76" i="19"/>
  <c r="H76" i="19"/>
  <c r="I76" i="19" s="1"/>
  <c r="D76" i="19"/>
  <c r="C76" i="19"/>
  <c r="Z75" i="19"/>
  <c r="AA75" i="19" s="1"/>
  <c r="T75" i="19"/>
  <c r="V75" i="19" s="1"/>
  <c r="R75" i="19"/>
  <c r="N75" i="19"/>
  <c r="H75" i="19"/>
  <c r="I75" i="19" s="1"/>
  <c r="D75" i="19"/>
  <c r="O75" i="19" s="1"/>
  <c r="C75" i="19"/>
  <c r="Z74" i="19"/>
  <c r="AA74" i="19" s="1"/>
  <c r="V74" i="19"/>
  <c r="T74" i="19"/>
  <c r="R74" i="19"/>
  <c r="N74" i="19"/>
  <c r="I74" i="19"/>
  <c r="H74" i="19"/>
  <c r="D74" i="19"/>
  <c r="C74" i="19"/>
  <c r="AA73" i="19"/>
  <c r="Z73" i="19"/>
  <c r="T73" i="19"/>
  <c r="V73" i="19" s="1"/>
  <c r="R73" i="19"/>
  <c r="N73" i="19"/>
  <c r="H73" i="19"/>
  <c r="I73" i="19" s="1"/>
  <c r="D73" i="19"/>
  <c r="C73" i="19"/>
  <c r="Z72" i="19"/>
  <c r="AA72" i="19" s="1"/>
  <c r="V72" i="19"/>
  <c r="T72" i="19"/>
  <c r="R72" i="19"/>
  <c r="N72" i="19"/>
  <c r="H72" i="19"/>
  <c r="I72" i="19" s="1"/>
  <c r="D72" i="19"/>
  <c r="C72" i="19"/>
  <c r="Z71" i="19"/>
  <c r="AA71" i="19" s="1"/>
  <c r="T71" i="19"/>
  <c r="V71" i="19" s="1"/>
  <c r="R71" i="19"/>
  <c r="N71" i="19"/>
  <c r="H71" i="19"/>
  <c r="I71" i="19" s="1"/>
  <c r="D71" i="19"/>
  <c r="C71" i="19"/>
  <c r="Z70" i="19"/>
  <c r="AA70" i="19" s="1"/>
  <c r="T70" i="19"/>
  <c r="V70" i="19" s="1"/>
  <c r="R70" i="19"/>
  <c r="N70" i="19"/>
  <c r="H70" i="19"/>
  <c r="I70" i="19" s="1"/>
  <c r="D70" i="19"/>
  <c r="C70" i="19"/>
  <c r="Z69" i="19"/>
  <c r="AA69" i="19" s="1"/>
  <c r="T69" i="19"/>
  <c r="V69" i="19" s="1"/>
  <c r="R69" i="19"/>
  <c r="N69" i="19"/>
  <c r="H69" i="19"/>
  <c r="I69" i="19" s="1"/>
  <c r="D69" i="19"/>
  <c r="O69" i="19" s="1"/>
  <c r="C69" i="19"/>
  <c r="Z68" i="19"/>
  <c r="AA68" i="19" s="1"/>
  <c r="T68" i="19"/>
  <c r="V68" i="19" s="1"/>
  <c r="R68" i="19"/>
  <c r="N68" i="19"/>
  <c r="H68" i="19"/>
  <c r="I68" i="19" s="1"/>
  <c r="D68" i="19"/>
  <c r="O68" i="19" s="1"/>
  <c r="C68" i="19"/>
  <c r="Z67" i="19"/>
  <c r="AA67" i="19" s="1"/>
  <c r="T67" i="19"/>
  <c r="V67" i="19" s="1"/>
  <c r="R67" i="19"/>
  <c r="N67" i="19"/>
  <c r="H67" i="19"/>
  <c r="I67" i="19" s="1"/>
  <c r="D67" i="19"/>
  <c r="O67" i="19" s="1"/>
  <c r="C67" i="19"/>
  <c r="Z66" i="19"/>
  <c r="AA66" i="19" s="1"/>
  <c r="V66" i="19"/>
  <c r="T66" i="19"/>
  <c r="R66" i="19"/>
  <c r="N66" i="19"/>
  <c r="H66" i="19"/>
  <c r="I66" i="19" s="1"/>
  <c r="D66" i="19"/>
  <c r="C66" i="19"/>
  <c r="Z65" i="19"/>
  <c r="AA65" i="19" s="1"/>
  <c r="T65" i="19"/>
  <c r="V65" i="19" s="1"/>
  <c r="R65" i="19"/>
  <c r="N65" i="19"/>
  <c r="H65" i="19"/>
  <c r="I65" i="19" s="1"/>
  <c r="D65" i="19"/>
  <c r="O65" i="19" s="1"/>
  <c r="C65" i="19"/>
  <c r="Z64" i="19"/>
  <c r="AA64" i="19" s="1"/>
  <c r="T64" i="19"/>
  <c r="V64" i="19" s="1"/>
  <c r="R64" i="19"/>
  <c r="N64" i="19"/>
  <c r="H64" i="19"/>
  <c r="I64" i="19" s="1"/>
  <c r="D64" i="19"/>
  <c r="O64" i="19" s="1"/>
  <c r="C64" i="19"/>
  <c r="Z63" i="19"/>
  <c r="AA63" i="19" s="1"/>
  <c r="T63" i="19"/>
  <c r="V63" i="19" s="1"/>
  <c r="R63" i="19"/>
  <c r="N63" i="19"/>
  <c r="H63" i="19"/>
  <c r="I63" i="19" s="1"/>
  <c r="D63" i="19"/>
  <c r="C63" i="19"/>
  <c r="Z62" i="19"/>
  <c r="AA62" i="19" s="1"/>
  <c r="T62" i="19"/>
  <c r="V62" i="19" s="1"/>
  <c r="R62" i="19"/>
  <c r="N62" i="19"/>
  <c r="H62" i="19"/>
  <c r="I62" i="19" s="1"/>
  <c r="D62" i="19"/>
  <c r="C62" i="19"/>
  <c r="Z61" i="19"/>
  <c r="AA61" i="19" s="1"/>
  <c r="T61" i="19"/>
  <c r="V61" i="19" s="1"/>
  <c r="R61" i="19"/>
  <c r="N61" i="19"/>
  <c r="I61" i="19"/>
  <c r="H61" i="19"/>
  <c r="D61" i="19"/>
  <c r="C61" i="19"/>
  <c r="AA60" i="19"/>
  <c r="Z60" i="19"/>
  <c r="T60" i="19"/>
  <c r="V60" i="19" s="1"/>
  <c r="R60" i="19"/>
  <c r="N60" i="19"/>
  <c r="H60" i="19"/>
  <c r="I60" i="19" s="1"/>
  <c r="D60" i="19"/>
  <c r="O60" i="19" s="1"/>
  <c r="C60" i="19"/>
  <c r="Z59" i="19"/>
  <c r="AA59" i="19" s="1"/>
  <c r="T59" i="19"/>
  <c r="V59" i="19" s="1"/>
  <c r="R59" i="19"/>
  <c r="N59" i="19"/>
  <c r="H59" i="19"/>
  <c r="I59" i="19" s="1"/>
  <c r="D59" i="19"/>
  <c r="C59" i="19"/>
  <c r="Z58" i="19"/>
  <c r="AA58" i="19" s="1"/>
  <c r="T58" i="19"/>
  <c r="V58" i="19" s="1"/>
  <c r="R58" i="19"/>
  <c r="N58" i="19"/>
  <c r="H58" i="19"/>
  <c r="I58" i="19" s="1"/>
  <c r="D58" i="19"/>
  <c r="C58" i="19"/>
  <c r="Z57" i="19"/>
  <c r="AA57" i="19" s="1"/>
  <c r="T57" i="19"/>
  <c r="V57" i="19" s="1"/>
  <c r="R57" i="19"/>
  <c r="N57" i="19"/>
  <c r="H57" i="19"/>
  <c r="I57" i="19" s="1"/>
  <c r="D57" i="19"/>
  <c r="C57" i="19"/>
  <c r="Z56" i="19"/>
  <c r="AA56" i="19" s="1"/>
  <c r="V56" i="19"/>
  <c r="T56" i="19"/>
  <c r="R56" i="19"/>
  <c r="N56" i="19"/>
  <c r="H56" i="19"/>
  <c r="I56" i="19" s="1"/>
  <c r="D56" i="19"/>
  <c r="C56" i="19"/>
  <c r="Z55" i="19"/>
  <c r="AA55" i="19" s="1"/>
  <c r="V55" i="19"/>
  <c r="T55" i="19"/>
  <c r="R55" i="19"/>
  <c r="N55" i="19"/>
  <c r="I55" i="19"/>
  <c r="H55" i="19"/>
  <c r="D55" i="19"/>
  <c r="C55" i="19"/>
  <c r="AA54" i="19"/>
  <c r="Z54" i="19"/>
  <c r="T54" i="19"/>
  <c r="V54" i="19" s="1"/>
  <c r="R54" i="19"/>
  <c r="N54" i="19"/>
  <c r="H54" i="19"/>
  <c r="I54" i="19" s="1"/>
  <c r="D54" i="19"/>
  <c r="C54" i="19"/>
  <c r="Z53" i="19"/>
  <c r="AA53" i="19" s="1"/>
  <c r="T53" i="19"/>
  <c r="V53" i="19" s="1"/>
  <c r="R53" i="19"/>
  <c r="N53" i="19"/>
  <c r="H53" i="19"/>
  <c r="I53" i="19" s="1"/>
  <c r="D53" i="19"/>
  <c r="O53" i="19" s="1"/>
  <c r="C53" i="19"/>
  <c r="Z52" i="19"/>
  <c r="AA52" i="19" s="1"/>
  <c r="T52" i="19"/>
  <c r="V52" i="19" s="1"/>
  <c r="R52" i="19"/>
  <c r="N52" i="19"/>
  <c r="H52" i="19"/>
  <c r="I52" i="19" s="1"/>
  <c r="D52" i="19"/>
  <c r="O52" i="19" s="1"/>
  <c r="C52" i="19"/>
  <c r="Z51" i="19"/>
  <c r="AA51" i="19" s="1"/>
  <c r="T51" i="19"/>
  <c r="V51" i="19" s="1"/>
  <c r="R51" i="19"/>
  <c r="N51" i="19"/>
  <c r="H51" i="19"/>
  <c r="I51" i="19" s="1"/>
  <c r="D51" i="19"/>
  <c r="O51" i="19" s="1"/>
  <c r="C51" i="19"/>
  <c r="Z50" i="19"/>
  <c r="AA50" i="19" s="1"/>
  <c r="V50" i="19"/>
  <c r="T50" i="19"/>
  <c r="R50" i="19"/>
  <c r="N50" i="19"/>
  <c r="I50" i="19"/>
  <c r="H50" i="19"/>
  <c r="D50" i="19"/>
  <c r="C50" i="19"/>
  <c r="AA49" i="19"/>
  <c r="Z49" i="19"/>
  <c r="T49" i="19"/>
  <c r="V49" i="19" s="1"/>
  <c r="R49" i="19"/>
  <c r="N49" i="19"/>
  <c r="H49" i="19"/>
  <c r="I49" i="19" s="1"/>
  <c r="D49" i="19"/>
  <c r="O49" i="19" s="1"/>
  <c r="C49" i="19"/>
  <c r="Z48" i="19"/>
  <c r="AA48" i="19" s="1"/>
  <c r="T48" i="19"/>
  <c r="V48" i="19" s="1"/>
  <c r="R48" i="19"/>
  <c r="N48" i="19"/>
  <c r="H48" i="19"/>
  <c r="I48" i="19" s="1"/>
  <c r="D48" i="19"/>
  <c r="O48" i="19" s="1"/>
  <c r="C48" i="19"/>
  <c r="Z47" i="19"/>
  <c r="AA47" i="19" s="1"/>
  <c r="T47" i="19"/>
  <c r="V47" i="19" s="1"/>
  <c r="R47" i="19"/>
  <c r="N47" i="19"/>
  <c r="H47" i="19"/>
  <c r="I47" i="19" s="1"/>
  <c r="D47" i="19"/>
  <c r="C47" i="19"/>
  <c r="Z46" i="19"/>
  <c r="AA46" i="19" s="1"/>
  <c r="T46" i="19"/>
  <c r="V46" i="19" s="1"/>
  <c r="R46" i="19"/>
  <c r="N46" i="19"/>
  <c r="H46" i="19"/>
  <c r="I46" i="19" s="1"/>
  <c r="D46" i="19"/>
  <c r="C46" i="19"/>
  <c r="Z45" i="19"/>
  <c r="AA45" i="19" s="1"/>
  <c r="T45" i="19"/>
  <c r="V45" i="19" s="1"/>
  <c r="R45" i="19"/>
  <c r="N45" i="19"/>
  <c r="I45" i="19"/>
  <c r="H45" i="19"/>
  <c r="D45" i="19"/>
  <c r="C45" i="19"/>
  <c r="AA44" i="19"/>
  <c r="Z44" i="19"/>
  <c r="T44" i="19"/>
  <c r="V44" i="19" s="1"/>
  <c r="R44" i="19"/>
  <c r="N44" i="19"/>
  <c r="H44" i="19"/>
  <c r="I44" i="19" s="1"/>
  <c r="D44" i="19"/>
  <c r="O44" i="19" s="1"/>
  <c r="C44" i="19"/>
  <c r="Z43" i="19"/>
  <c r="AA43" i="19" s="1"/>
  <c r="T43" i="19"/>
  <c r="V43" i="19" s="1"/>
  <c r="R43" i="19"/>
  <c r="N43" i="19"/>
  <c r="H43" i="19"/>
  <c r="I43" i="19" s="1"/>
  <c r="D43" i="19"/>
  <c r="C43" i="19"/>
  <c r="Z42" i="19"/>
  <c r="AA42" i="19" s="1"/>
  <c r="T42" i="19"/>
  <c r="V42" i="19" s="1"/>
  <c r="R42" i="19"/>
  <c r="N42" i="19"/>
  <c r="H42" i="19"/>
  <c r="I42" i="19" s="1"/>
  <c r="D42" i="19"/>
  <c r="C42" i="19"/>
  <c r="Z41" i="19"/>
  <c r="AA41" i="19" s="1"/>
  <c r="T41" i="19"/>
  <c r="V41" i="19" s="1"/>
  <c r="R41" i="19"/>
  <c r="N41" i="19"/>
  <c r="I41" i="19"/>
  <c r="H41" i="19"/>
  <c r="D41" i="19"/>
  <c r="C41" i="19"/>
  <c r="AA40" i="19"/>
  <c r="Z40" i="19"/>
  <c r="T40" i="19"/>
  <c r="V40" i="19" s="1"/>
  <c r="R40" i="19"/>
  <c r="N40" i="19"/>
  <c r="H40" i="19"/>
  <c r="I40" i="19" s="1"/>
  <c r="D40" i="19"/>
  <c r="C40" i="19"/>
  <c r="Z39" i="19"/>
  <c r="AA39" i="19" s="1"/>
  <c r="T39" i="19"/>
  <c r="V39" i="19" s="1"/>
  <c r="R39" i="19"/>
  <c r="N39" i="19"/>
  <c r="I39" i="19"/>
  <c r="H39" i="19"/>
  <c r="D39" i="19"/>
  <c r="C39" i="19"/>
  <c r="AA38" i="19"/>
  <c r="Z38" i="19"/>
  <c r="T38" i="19"/>
  <c r="V38" i="19" s="1"/>
  <c r="R38" i="19"/>
  <c r="N38" i="19"/>
  <c r="H38" i="19"/>
  <c r="I38" i="19" s="1"/>
  <c r="D38" i="19"/>
  <c r="C38" i="19"/>
  <c r="Z37" i="19"/>
  <c r="AA37" i="19" s="1"/>
  <c r="T37" i="19"/>
  <c r="V37" i="19" s="1"/>
  <c r="R37" i="19"/>
  <c r="N37" i="19"/>
  <c r="I37" i="19"/>
  <c r="H37" i="19"/>
  <c r="D37" i="19"/>
  <c r="C37" i="19"/>
  <c r="AA36" i="19"/>
  <c r="Z36" i="19"/>
  <c r="T36" i="19"/>
  <c r="V36" i="19" s="1"/>
  <c r="R36" i="19"/>
  <c r="N36" i="19"/>
  <c r="H36" i="19"/>
  <c r="I36" i="19" s="1"/>
  <c r="D36" i="19"/>
  <c r="C36" i="19"/>
  <c r="Z35" i="19"/>
  <c r="AA35" i="19" s="1"/>
  <c r="T35" i="19"/>
  <c r="V35" i="19" s="1"/>
  <c r="R35" i="19"/>
  <c r="N35" i="19"/>
  <c r="I35" i="19"/>
  <c r="D35" i="19"/>
  <c r="C35" i="19"/>
  <c r="Z34" i="19"/>
  <c r="AA34" i="19" s="1"/>
  <c r="T34" i="19"/>
  <c r="V34" i="19" s="1"/>
  <c r="R34" i="19"/>
  <c r="N34" i="19"/>
  <c r="I34" i="19"/>
  <c r="D34" i="19"/>
  <c r="C34" i="19"/>
  <c r="Z33" i="19"/>
  <c r="AA33" i="19" s="1"/>
  <c r="T33" i="19"/>
  <c r="V33" i="19" s="1"/>
  <c r="R33" i="19"/>
  <c r="N33" i="19"/>
  <c r="I33" i="19"/>
  <c r="D33" i="19"/>
  <c r="C33" i="19"/>
  <c r="Z32" i="19"/>
  <c r="AA32" i="19" s="1"/>
  <c r="T32" i="19"/>
  <c r="V32" i="19" s="1"/>
  <c r="R32" i="19"/>
  <c r="N32" i="19"/>
  <c r="I32" i="19"/>
  <c r="D32" i="19"/>
  <c r="O32" i="19" s="1"/>
  <c r="C32" i="19"/>
  <c r="Z31" i="19"/>
  <c r="AA31" i="19" s="1"/>
  <c r="T31" i="19"/>
  <c r="V31" i="19" s="1"/>
  <c r="R31" i="19"/>
  <c r="N31" i="19"/>
  <c r="I31" i="19"/>
  <c r="D31" i="19"/>
  <c r="C31" i="19"/>
  <c r="Z30" i="19"/>
  <c r="AA30" i="19" s="1"/>
  <c r="T30" i="19"/>
  <c r="V30" i="19" s="1"/>
  <c r="R30" i="19"/>
  <c r="N30" i="19"/>
  <c r="I30" i="19"/>
  <c r="D30" i="19"/>
  <c r="C30" i="19"/>
  <c r="Z29" i="19"/>
  <c r="AA29" i="19" s="1"/>
  <c r="T29" i="19"/>
  <c r="V29" i="19" s="1"/>
  <c r="R29" i="19"/>
  <c r="N29" i="19"/>
  <c r="I29" i="19"/>
  <c r="D29" i="19"/>
  <c r="C29" i="19"/>
  <c r="Z28" i="19"/>
  <c r="AA28" i="19" s="1"/>
  <c r="T28" i="19"/>
  <c r="V28" i="19" s="1"/>
  <c r="R28" i="19"/>
  <c r="N28" i="19"/>
  <c r="I28" i="19"/>
  <c r="D28" i="19"/>
  <c r="O28" i="19" s="1"/>
  <c r="C28" i="19"/>
  <c r="Z27" i="19"/>
  <c r="AA27" i="19" s="1"/>
  <c r="T27" i="19"/>
  <c r="V27" i="19" s="1"/>
  <c r="R27" i="19"/>
  <c r="N27" i="19"/>
  <c r="I27" i="19"/>
  <c r="D27" i="19"/>
  <c r="C27" i="19"/>
  <c r="Z26" i="19"/>
  <c r="AA26" i="19" s="1"/>
  <c r="T26" i="19"/>
  <c r="V26" i="19" s="1"/>
  <c r="R26" i="19"/>
  <c r="N26" i="19"/>
  <c r="I26" i="19"/>
  <c r="D26" i="19"/>
  <c r="C26" i="19"/>
  <c r="Z25" i="19"/>
  <c r="AA25" i="19" s="1"/>
  <c r="T25" i="19"/>
  <c r="V25" i="19" s="1"/>
  <c r="R25" i="19"/>
  <c r="N25" i="19"/>
  <c r="I25" i="19"/>
  <c r="D25" i="19"/>
  <c r="C25" i="19"/>
  <c r="Z24" i="19"/>
  <c r="AA24" i="19" s="1"/>
  <c r="T24" i="19"/>
  <c r="V24" i="19" s="1"/>
  <c r="R24" i="19"/>
  <c r="N24" i="19"/>
  <c r="I24" i="19"/>
  <c r="D24" i="19"/>
  <c r="O24" i="19" s="1"/>
  <c r="C24" i="19"/>
  <c r="Z23" i="19"/>
  <c r="AA23" i="19" s="1"/>
  <c r="T23" i="19"/>
  <c r="V23" i="19" s="1"/>
  <c r="R23" i="19"/>
  <c r="N23" i="19"/>
  <c r="I23" i="19"/>
  <c r="D23" i="19"/>
  <c r="C23" i="19"/>
  <c r="Z22" i="19"/>
  <c r="AA22" i="19" s="1"/>
  <c r="T22" i="19"/>
  <c r="V22" i="19" s="1"/>
  <c r="R22" i="19"/>
  <c r="N22" i="19"/>
  <c r="I22" i="19"/>
  <c r="D22" i="19"/>
  <c r="C22" i="19"/>
  <c r="Z21" i="19"/>
  <c r="AA21" i="19" s="1"/>
  <c r="T21" i="19"/>
  <c r="V21" i="19" s="1"/>
  <c r="R21" i="19"/>
  <c r="N21" i="19"/>
  <c r="I21" i="19"/>
  <c r="D21" i="19"/>
  <c r="C21" i="19"/>
  <c r="Z20" i="19"/>
  <c r="AA20" i="19" s="1"/>
  <c r="T20" i="19"/>
  <c r="V20" i="19" s="1"/>
  <c r="R20" i="19"/>
  <c r="N20" i="19"/>
  <c r="I20" i="19"/>
  <c r="D20" i="19"/>
  <c r="O20" i="19" s="1"/>
  <c r="C20" i="19"/>
  <c r="Z19" i="19"/>
  <c r="AA19" i="19" s="1"/>
  <c r="T19" i="19"/>
  <c r="V19" i="19" s="1"/>
  <c r="R19" i="19"/>
  <c r="N19" i="19"/>
  <c r="I19" i="19"/>
  <c r="D19" i="19"/>
  <c r="C19" i="19"/>
  <c r="Z18" i="19"/>
  <c r="AA18" i="19" s="1"/>
  <c r="T18" i="19"/>
  <c r="V18" i="19" s="1"/>
  <c r="R18" i="19"/>
  <c r="N18" i="19"/>
  <c r="I18" i="19"/>
  <c r="D18" i="19"/>
  <c r="C18" i="19"/>
  <c r="Z17" i="19"/>
  <c r="AA17" i="19" s="1"/>
  <c r="T17" i="19"/>
  <c r="V17" i="19" s="1"/>
  <c r="R17" i="19"/>
  <c r="N17" i="19"/>
  <c r="I17" i="19"/>
  <c r="D17" i="19"/>
  <c r="C17" i="19"/>
  <c r="Z16" i="19"/>
  <c r="AA16" i="19" s="1"/>
  <c r="T16" i="19"/>
  <c r="V16" i="19" s="1"/>
  <c r="R16" i="19"/>
  <c r="N16" i="19"/>
  <c r="I16" i="19"/>
  <c r="D16" i="19"/>
  <c r="O16" i="19" s="1"/>
  <c r="C16" i="19"/>
  <c r="Z15" i="19"/>
  <c r="AA15" i="19" s="1"/>
  <c r="T15" i="19"/>
  <c r="V15" i="19" s="1"/>
  <c r="R15" i="19"/>
  <c r="N15" i="19"/>
  <c r="I15" i="19"/>
  <c r="D15" i="19"/>
  <c r="C15" i="19"/>
  <c r="Z14" i="19"/>
  <c r="AA14" i="19" s="1"/>
  <c r="T14" i="19"/>
  <c r="V14" i="19" s="1"/>
  <c r="R14" i="19"/>
  <c r="N14" i="19"/>
  <c r="I14" i="19"/>
  <c r="D14" i="19"/>
  <c r="C14" i="19"/>
  <c r="Z13" i="19"/>
  <c r="AA13" i="19" s="1"/>
  <c r="T13" i="19"/>
  <c r="V13" i="19" s="1"/>
  <c r="R13" i="19"/>
  <c r="N13" i="19"/>
  <c r="I13" i="19"/>
  <c r="D13" i="19"/>
  <c r="C13" i="19"/>
  <c r="Z12" i="19"/>
  <c r="AA12" i="19" s="1"/>
  <c r="T12" i="19"/>
  <c r="V12" i="19" s="1"/>
  <c r="R12" i="19"/>
  <c r="N12" i="19"/>
  <c r="I12" i="19"/>
  <c r="D12" i="19"/>
  <c r="O12" i="19" s="1"/>
  <c r="C12" i="19"/>
  <c r="Z11" i="19"/>
  <c r="AA11" i="19" s="1"/>
  <c r="T11" i="19"/>
  <c r="V11" i="19" s="1"/>
  <c r="R11" i="19"/>
  <c r="N11" i="19"/>
  <c r="I11" i="19"/>
  <c r="D11" i="19"/>
  <c r="C11" i="19"/>
  <c r="AA10" i="19"/>
  <c r="Z10" i="19"/>
  <c r="T10" i="19"/>
  <c r="V10" i="19" s="1"/>
  <c r="R10" i="19"/>
  <c r="N10" i="19"/>
  <c r="I10" i="19"/>
  <c r="D10" i="19"/>
  <c r="O10" i="19" s="1"/>
  <c r="C10" i="19"/>
  <c r="Z9" i="19"/>
  <c r="AA9" i="19" s="1"/>
  <c r="T9" i="19"/>
  <c r="V9" i="19" s="1"/>
  <c r="R9" i="19"/>
  <c r="N9" i="19"/>
  <c r="I9" i="19"/>
  <c r="D9" i="19"/>
  <c r="O9" i="19" s="1"/>
  <c r="C9" i="19"/>
  <c r="Z8" i="19"/>
  <c r="AA8" i="19" s="1"/>
  <c r="T8" i="19"/>
  <c r="V8" i="19" s="1"/>
  <c r="R8" i="19"/>
  <c r="N8" i="19"/>
  <c r="I8" i="19"/>
  <c r="D8" i="19"/>
  <c r="O8" i="19" s="1"/>
  <c r="C8" i="19"/>
  <c r="Z7" i="19"/>
  <c r="AA7" i="19" s="1"/>
  <c r="T7" i="19"/>
  <c r="V7" i="19" s="1"/>
  <c r="R7" i="19"/>
  <c r="N7" i="19"/>
  <c r="I7" i="19"/>
  <c r="D7" i="19"/>
  <c r="C7" i="19"/>
  <c r="AA6" i="19"/>
  <c r="Z6" i="19"/>
  <c r="T6" i="19"/>
  <c r="V6" i="19" s="1"/>
  <c r="R6" i="19"/>
  <c r="N6" i="19"/>
  <c r="I6" i="19"/>
  <c r="D6" i="19"/>
  <c r="C6" i="19"/>
  <c r="Z5" i="19"/>
  <c r="AA5" i="19" s="1"/>
  <c r="T5" i="19"/>
  <c r="V5" i="19" s="1"/>
  <c r="R5" i="19"/>
  <c r="N5" i="19"/>
  <c r="I5" i="19"/>
  <c r="D5" i="19"/>
  <c r="C5" i="19"/>
  <c r="Z4" i="19"/>
  <c r="AA4" i="19" s="1"/>
  <c r="T4" i="19"/>
  <c r="V4" i="19" s="1"/>
  <c r="R4" i="19"/>
  <c r="N4" i="19"/>
  <c r="I4" i="19"/>
  <c r="D4" i="19"/>
  <c r="O4" i="19" s="1"/>
  <c r="C4" i="19"/>
  <c r="Z3" i="19"/>
  <c r="AA3" i="19" s="1"/>
  <c r="T3" i="19"/>
  <c r="V3" i="19" s="1"/>
  <c r="R3" i="19"/>
  <c r="N3" i="19"/>
  <c r="I3" i="19"/>
  <c r="D3" i="19"/>
  <c r="C3" i="19"/>
  <c r="AA99" i="18"/>
  <c r="Z99" i="18"/>
  <c r="T99" i="18"/>
  <c r="V99" i="18" s="1"/>
  <c r="R99" i="18"/>
  <c r="N99" i="18"/>
  <c r="H99" i="18"/>
  <c r="I99" i="18" s="1"/>
  <c r="D99" i="18"/>
  <c r="O99" i="18" s="1"/>
  <c r="C99" i="18"/>
  <c r="Z98" i="18"/>
  <c r="AA98" i="18" s="1"/>
  <c r="T98" i="18"/>
  <c r="V98" i="18" s="1"/>
  <c r="R98" i="18"/>
  <c r="N98" i="18"/>
  <c r="H98" i="18"/>
  <c r="I98" i="18" s="1"/>
  <c r="D98" i="18"/>
  <c r="C98" i="18"/>
  <c r="Z97" i="18"/>
  <c r="AA97" i="18" s="1"/>
  <c r="T97" i="18"/>
  <c r="V97" i="18" s="1"/>
  <c r="R97" i="18"/>
  <c r="N97" i="18"/>
  <c r="H97" i="18"/>
  <c r="I97" i="18" s="1"/>
  <c r="D97" i="18"/>
  <c r="C97" i="18"/>
  <c r="Z96" i="18"/>
  <c r="AA96" i="18" s="1"/>
  <c r="T96" i="18"/>
  <c r="V96" i="18" s="1"/>
  <c r="R96" i="18"/>
  <c r="N96" i="18"/>
  <c r="H96" i="18"/>
  <c r="I96" i="18" s="1"/>
  <c r="D96" i="18"/>
  <c r="C96" i="18"/>
  <c r="Z95" i="18"/>
  <c r="AA95" i="18" s="1"/>
  <c r="T95" i="18"/>
  <c r="V95" i="18" s="1"/>
  <c r="R95" i="18"/>
  <c r="N95" i="18"/>
  <c r="H95" i="18"/>
  <c r="I95" i="18" s="1"/>
  <c r="D95" i="18"/>
  <c r="O95" i="18" s="1"/>
  <c r="C95" i="18"/>
  <c r="Z94" i="18"/>
  <c r="AA94" i="18" s="1"/>
  <c r="T94" i="18"/>
  <c r="V94" i="18" s="1"/>
  <c r="R94" i="18"/>
  <c r="N94" i="18"/>
  <c r="H94" i="18"/>
  <c r="I94" i="18" s="1"/>
  <c r="D94" i="18"/>
  <c r="C94" i="18"/>
  <c r="Z93" i="18"/>
  <c r="AA93" i="18" s="1"/>
  <c r="T93" i="18"/>
  <c r="V93" i="18" s="1"/>
  <c r="R93" i="18"/>
  <c r="N93" i="18"/>
  <c r="H93" i="18"/>
  <c r="I93" i="18" s="1"/>
  <c r="D93" i="18"/>
  <c r="C93" i="18"/>
  <c r="Z92" i="18"/>
  <c r="AA92" i="18" s="1"/>
  <c r="T92" i="18"/>
  <c r="V92" i="18" s="1"/>
  <c r="R92" i="18"/>
  <c r="N92" i="18"/>
  <c r="H92" i="18"/>
  <c r="I92" i="18" s="1"/>
  <c r="D92" i="18"/>
  <c r="C92" i="18"/>
  <c r="Z91" i="18"/>
  <c r="AA91" i="18" s="1"/>
  <c r="T91" i="18"/>
  <c r="V91" i="18" s="1"/>
  <c r="R91" i="18"/>
  <c r="N91" i="18"/>
  <c r="H91" i="18"/>
  <c r="I91" i="18" s="1"/>
  <c r="D91" i="18"/>
  <c r="O91" i="18" s="1"/>
  <c r="C91" i="18"/>
  <c r="Z90" i="18"/>
  <c r="AA90" i="18" s="1"/>
  <c r="T90" i="18"/>
  <c r="V90" i="18" s="1"/>
  <c r="R90" i="18"/>
  <c r="N90" i="18"/>
  <c r="H90" i="18"/>
  <c r="I90" i="18" s="1"/>
  <c r="D90" i="18"/>
  <c r="C90" i="18"/>
  <c r="Z89" i="18"/>
  <c r="AA89" i="18" s="1"/>
  <c r="T89" i="18"/>
  <c r="V89" i="18" s="1"/>
  <c r="R89" i="18"/>
  <c r="N89" i="18"/>
  <c r="H89" i="18"/>
  <c r="I89" i="18" s="1"/>
  <c r="D89" i="18"/>
  <c r="C89" i="18"/>
  <c r="Z88" i="18"/>
  <c r="AA88" i="18" s="1"/>
  <c r="T88" i="18"/>
  <c r="V88" i="18" s="1"/>
  <c r="R88" i="18"/>
  <c r="N88" i="18"/>
  <c r="H88" i="18"/>
  <c r="I88" i="18" s="1"/>
  <c r="D88" i="18"/>
  <c r="C88" i="18"/>
  <c r="Z87" i="18"/>
  <c r="AA87" i="18" s="1"/>
  <c r="T87" i="18"/>
  <c r="V87" i="18" s="1"/>
  <c r="R87" i="18"/>
  <c r="N87" i="18"/>
  <c r="H87" i="18"/>
  <c r="I87" i="18" s="1"/>
  <c r="D87" i="18"/>
  <c r="O87" i="18" s="1"/>
  <c r="C87" i="18"/>
  <c r="Z86" i="18"/>
  <c r="AA86" i="18" s="1"/>
  <c r="T86" i="18"/>
  <c r="V86" i="18" s="1"/>
  <c r="R86" i="18"/>
  <c r="N86" i="18"/>
  <c r="H86" i="18"/>
  <c r="I86" i="18" s="1"/>
  <c r="D86" i="18"/>
  <c r="C86" i="18"/>
  <c r="Z85" i="18"/>
  <c r="AA85" i="18" s="1"/>
  <c r="T85" i="18"/>
  <c r="V85" i="18" s="1"/>
  <c r="R85" i="18"/>
  <c r="N85" i="18"/>
  <c r="H85" i="18"/>
  <c r="I85" i="18" s="1"/>
  <c r="D85" i="18"/>
  <c r="O85" i="18" s="1"/>
  <c r="C85" i="18"/>
  <c r="Z84" i="18"/>
  <c r="AA84" i="18" s="1"/>
  <c r="V84" i="18"/>
  <c r="T84" i="18"/>
  <c r="R84" i="18"/>
  <c r="N84" i="18"/>
  <c r="I84" i="18"/>
  <c r="H84" i="18"/>
  <c r="D84" i="18"/>
  <c r="C84" i="18"/>
  <c r="AA83" i="18"/>
  <c r="Z83" i="18"/>
  <c r="T83" i="18"/>
  <c r="V83" i="18" s="1"/>
  <c r="R83" i="18"/>
  <c r="N83" i="18"/>
  <c r="H83" i="18"/>
  <c r="I83" i="18" s="1"/>
  <c r="D83" i="18"/>
  <c r="C83" i="18"/>
  <c r="Z82" i="18"/>
  <c r="AA82" i="18" s="1"/>
  <c r="V82" i="18"/>
  <c r="T82" i="18"/>
  <c r="R82" i="18"/>
  <c r="N82" i="18"/>
  <c r="H82" i="18"/>
  <c r="I82" i="18" s="1"/>
  <c r="D82" i="18"/>
  <c r="C82" i="18"/>
  <c r="Z81" i="18"/>
  <c r="AA81" i="18" s="1"/>
  <c r="V81" i="18"/>
  <c r="T81" i="18"/>
  <c r="R81" i="18"/>
  <c r="N81" i="18"/>
  <c r="I81" i="18"/>
  <c r="H81" i="18"/>
  <c r="D81" i="18"/>
  <c r="C81" i="18"/>
  <c r="AA80" i="18"/>
  <c r="Z80" i="18"/>
  <c r="T80" i="18"/>
  <c r="V80" i="18" s="1"/>
  <c r="R80" i="18"/>
  <c r="N80" i="18"/>
  <c r="H80" i="18"/>
  <c r="I80" i="18" s="1"/>
  <c r="D80" i="18"/>
  <c r="C80" i="18"/>
  <c r="Z79" i="18"/>
  <c r="AA79" i="18" s="1"/>
  <c r="T79" i="18"/>
  <c r="V79" i="18" s="1"/>
  <c r="R79" i="18"/>
  <c r="N79" i="18"/>
  <c r="H79" i="18"/>
  <c r="I79" i="18" s="1"/>
  <c r="D79" i="18"/>
  <c r="C79" i="18"/>
  <c r="Z78" i="18"/>
  <c r="AA78" i="18" s="1"/>
  <c r="T78" i="18"/>
  <c r="V78" i="18" s="1"/>
  <c r="R78" i="18"/>
  <c r="N78" i="18"/>
  <c r="H78" i="18"/>
  <c r="I78" i="18" s="1"/>
  <c r="D78" i="18"/>
  <c r="C78" i="18"/>
  <c r="Z77" i="18"/>
  <c r="AA77" i="18" s="1"/>
  <c r="T77" i="18"/>
  <c r="V77" i="18" s="1"/>
  <c r="R77" i="18"/>
  <c r="N77" i="18"/>
  <c r="H77" i="18"/>
  <c r="I77" i="18" s="1"/>
  <c r="D77" i="18"/>
  <c r="C77" i="18"/>
  <c r="Z76" i="18"/>
  <c r="AA76" i="18" s="1"/>
  <c r="T76" i="18"/>
  <c r="V76" i="18" s="1"/>
  <c r="R76" i="18"/>
  <c r="N76" i="18"/>
  <c r="H76" i="18"/>
  <c r="I76" i="18" s="1"/>
  <c r="D76" i="18"/>
  <c r="C76" i="18"/>
  <c r="Z75" i="18"/>
  <c r="AA75" i="18" s="1"/>
  <c r="T75" i="18"/>
  <c r="V75" i="18" s="1"/>
  <c r="R75" i="18"/>
  <c r="N75" i="18"/>
  <c r="H75" i="18"/>
  <c r="I75" i="18" s="1"/>
  <c r="D75" i="18"/>
  <c r="C75" i="18"/>
  <c r="Z74" i="18"/>
  <c r="AA74" i="18" s="1"/>
  <c r="T74" i="18"/>
  <c r="V74" i="18" s="1"/>
  <c r="R74" i="18"/>
  <c r="N74" i="18"/>
  <c r="H74" i="18"/>
  <c r="I74" i="18" s="1"/>
  <c r="D74" i="18"/>
  <c r="C74" i="18"/>
  <c r="Z73" i="18"/>
  <c r="AA73" i="18" s="1"/>
  <c r="T73" i="18"/>
  <c r="V73" i="18" s="1"/>
  <c r="R73" i="18"/>
  <c r="N73" i="18"/>
  <c r="H73" i="18"/>
  <c r="I73" i="18" s="1"/>
  <c r="D73" i="18"/>
  <c r="C73" i="18"/>
  <c r="Z72" i="18"/>
  <c r="AA72" i="18" s="1"/>
  <c r="T72" i="18"/>
  <c r="V72" i="18" s="1"/>
  <c r="R72" i="18"/>
  <c r="N72" i="18"/>
  <c r="H72" i="18"/>
  <c r="I72" i="18" s="1"/>
  <c r="D72" i="18"/>
  <c r="C72" i="18"/>
  <c r="Z71" i="18"/>
  <c r="AA71" i="18" s="1"/>
  <c r="T71" i="18"/>
  <c r="V71" i="18" s="1"/>
  <c r="R71" i="18"/>
  <c r="N71" i="18"/>
  <c r="H71" i="18"/>
  <c r="I71" i="18" s="1"/>
  <c r="D71" i="18"/>
  <c r="O71" i="18" s="1"/>
  <c r="C71" i="18"/>
  <c r="Z70" i="18"/>
  <c r="AA70" i="18" s="1"/>
  <c r="T70" i="18"/>
  <c r="V70" i="18" s="1"/>
  <c r="R70" i="18"/>
  <c r="N70" i="18"/>
  <c r="H70" i="18"/>
  <c r="I70" i="18" s="1"/>
  <c r="D70" i="18"/>
  <c r="C70" i="18"/>
  <c r="Z69" i="18"/>
  <c r="AA69" i="18" s="1"/>
  <c r="T69" i="18"/>
  <c r="V69" i="18" s="1"/>
  <c r="R69" i="18"/>
  <c r="N69" i="18"/>
  <c r="H69" i="18"/>
  <c r="I69" i="18" s="1"/>
  <c r="D69" i="18"/>
  <c r="O69" i="18" s="1"/>
  <c r="C69" i="18"/>
  <c r="Z68" i="18"/>
  <c r="AA68" i="18" s="1"/>
  <c r="V68" i="18"/>
  <c r="T68" i="18"/>
  <c r="R68" i="18"/>
  <c r="N68" i="18"/>
  <c r="I68" i="18"/>
  <c r="H68" i="18"/>
  <c r="D68" i="18"/>
  <c r="C68" i="18"/>
  <c r="AA67" i="18"/>
  <c r="Z67" i="18"/>
  <c r="T67" i="18"/>
  <c r="V67" i="18" s="1"/>
  <c r="R67" i="18"/>
  <c r="N67" i="18"/>
  <c r="H67" i="18"/>
  <c r="I67" i="18" s="1"/>
  <c r="D67" i="18"/>
  <c r="O67" i="18" s="1"/>
  <c r="C67" i="18"/>
  <c r="Z66" i="18"/>
  <c r="AA66" i="18" s="1"/>
  <c r="T66" i="18"/>
  <c r="V66" i="18" s="1"/>
  <c r="R66" i="18"/>
  <c r="N66" i="18"/>
  <c r="H66" i="18"/>
  <c r="I66" i="18" s="1"/>
  <c r="D66" i="18"/>
  <c r="C66" i="18"/>
  <c r="Z65" i="18"/>
  <c r="AA65" i="18" s="1"/>
  <c r="T65" i="18"/>
  <c r="V65" i="18" s="1"/>
  <c r="R65" i="18"/>
  <c r="N65" i="18"/>
  <c r="H65" i="18"/>
  <c r="I65" i="18" s="1"/>
  <c r="D65" i="18"/>
  <c r="C65" i="18"/>
  <c r="Z64" i="18"/>
  <c r="AA64" i="18" s="1"/>
  <c r="T64" i="18"/>
  <c r="V64" i="18" s="1"/>
  <c r="R64" i="18"/>
  <c r="N64" i="18"/>
  <c r="H64" i="18"/>
  <c r="I64" i="18" s="1"/>
  <c r="D64" i="18"/>
  <c r="C64" i="18"/>
  <c r="Z63" i="18"/>
  <c r="AA63" i="18" s="1"/>
  <c r="T63" i="18"/>
  <c r="V63" i="18" s="1"/>
  <c r="R63" i="18"/>
  <c r="N63" i="18"/>
  <c r="H63" i="18"/>
  <c r="I63" i="18" s="1"/>
  <c r="D63" i="18"/>
  <c r="O63" i="18" s="1"/>
  <c r="C63" i="18"/>
  <c r="Z62" i="18"/>
  <c r="AA62" i="18" s="1"/>
  <c r="T62" i="18"/>
  <c r="V62" i="18" s="1"/>
  <c r="R62" i="18"/>
  <c r="N62" i="18"/>
  <c r="H62" i="18"/>
  <c r="I62" i="18" s="1"/>
  <c r="D62" i="18"/>
  <c r="C62" i="18"/>
  <c r="Z61" i="18"/>
  <c r="AA61" i="18" s="1"/>
  <c r="T61" i="18"/>
  <c r="V61" i="18" s="1"/>
  <c r="R61" i="18"/>
  <c r="N61" i="18"/>
  <c r="H61" i="18"/>
  <c r="I61" i="18" s="1"/>
  <c r="D61" i="18"/>
  <c r="O61" i="18" s="1"/>
  <c r="C61" i="18"/>
  <c r="Z60" i="18"/>
  <c r="AA60" i="18" s="1"/>
  <c r="V60" i="18"/>
  <c r="T60" i="18"/>
  <c r="R60" i="18"/>
  <c r="N60" i="18"/>
  <c r="I60" i="18"/>
  <c r="H60" i="18"/>
  <c r="D60" i="18"/>
  <c r="C60" i="18"/>
  <c r="AA59" i="18"/>
  <c r="Z59" i="18"/>
  <c r="T59" i="18"/>
  <c r="V59" i="18" s="1"/>
  <c r="R59" i="18"/>
  <c r="N59" i="18"/>
  <c r="H59" i="18"/>
  <c r="I59" i="18" s="1"/>
  <c r="D59" i="18"/>
  <c r="C59" i="18"/>
  <c r="Z58" i="18"/>
  <c r="AA58" i="18" s="1"/>
  <c r="T58" i="18"/>
  <c r="V58" i="18" s="1"/>
  <c r="R58" i="18"/>
  <c r="N58" i="18"/>
  <c r="I58" i="18"/>
  <c r="H58" i="18"/>
  <c r="D58" i="18"/>
  <c r="C58" i="18"/>
  <c r="AA57" i="18"/>
  <c r="Z57" i="18"/>
  <c r="T57" i="18"/>
  <c r="V57" i="18" s="1"/>
  <c r="R57" i="18"/>
  <c r="N57" i="18"/>
  <c r="H57" i="18"/>
  <c r="I57" i="18" s="1"/>
  <c r="D57" i="18"/>
  <c r="C57" i="18"/>
  <c r="Z56" i="18"/>
  <c r="AA56" i="18" s="1"/>
  <c r="T56" i="18"/>
  <c r="V56" i="18" s="1"/>
  <c r="R56" i="18"/>
  <c r="N56" i="18"/>
  <c r="H56" i="18"/>
  <c r="I56" i="18" s="1"/>
  <c r="D56" i="18"/>
  <c r="C56" i="18"/>
  <c r="Z55" i="18"/>
  <c r="AA55" i="18" s="1"/>
  <c r="V55" i="18"/>
  <c r="T55" i="18"/>
  <c r="R55" i="18"/>
  <c r="N55" i="18"/>
  <c r="H55" i="18"/>
  <c r="I55" i="18" s="1"/>
  <c r="D55" i="18"/>
  <c r="C55" i="18"/>
  <c r="Z54" i="18"/>
  <c r="AA54" i="18" s="1"/>
  <c r="T54" i="18"/>
  <c r="V54" i="18" s="1"/>
  <c r="R54" i="18"/>
  <c r="N54" i="18"/>
  <c r="H54" i="18"/>
  <c r="I54" i="18" s="1"/>
  <c r="D54" i="18"/>
  <c r="C54" i="18"/>
  <c r="Z53" i="18"/>
  <c r="AA53" i="18" s="1"/>
  <c r="T53" i="18"/>
  <c r="V53" i="18" s="1"/>
  <c r="R53" i="18"/>
  <c r="N53" i="18"/>
  <c r="H53" i="18"/>
  <c r="I53" i="18" s="1"/>
  <c r="D53" i="18"/>
  <c r="C53" i="18"/>
  <c r="Z52" i="18"/>
  <c r="AA52" i="18" s="1"/>
  <c r="T52" i="18"/>
  <c r="V52" i="18" s="1"/>
  <c r="R52" i="18"/>
  <c r="N52" i="18"/>
  <c r="H52" i="18"/>
  <c r="I52" i="18" s="1"/>
  <c r="D52" i="18"/>
  <c r="O52" i="18" s="1"/>
  <c r="C52" i="18"/>
  <c r="Z51" i="18"/>
  <c r="AA51" i="18" s="1"/>
  <c r="T51" i="18"/>
  <c r="V51" i="18" s="1"/>
  <c r="R51" i="18"/>
  <c r="N51" i="18"/>
  <c r="H51" i="18"/>
  <c r="I51" i="18" s="1"/>
  <c r="D51" i="18"/>
  <c r="O51" i="18" s="1"/>
  <c r="C51" i="18"/>
  <c r="Z50" i="18"/>
  <c r="AA50" i="18" s="1"/>
  <c r="T50" i="18"/>
  <c r="V50" i="18" s="1"/>
  <c r="R50" i="18"/>
  <c r="N50" i="18"/>
  <c r="H50" i="18"/>
  <c r="I50" i="18" s="1"/>
  <c r="D50" i="18"/>
  <c r="C50" i="18"/>
  <c r="Z49" i="18"/>
  <c r="AA49" i="18" s="1"/>
  <c r="T49" i="18"/>
  <c r="V49" i="18" s="1"/>
  <c r="R49" i="18"/>
  <c r="N49" i="18"/>
  <c r="H49" i="18"/>
  <c r="I49" i="18" s="1"/>
  <c r="D49" i="18"/>
  <c r="C49" i="18"/>
  <c r="Z48" i="18"/>
  <c r="AA48" i="18" s="1"/>
  <c r="T48" i="18"/>
  <c r="V48" i="18" s="1"/>
  <c r="R48" i="18"/>
  <c r="N48" i="18"/>
  <c r="H48" i="18"/>
  <c r="I48" i="18" s="1"/>
  <c r="D48" i="18"/>
  <c r="C48" i="18"/>
  <c r="Z47" i="18"/>
  <c r="AA47" i="18" s="1"/>
  <c r="T47" i="18"/>
  <c r="V47" i="18" s="1"/>
  <c r="R47" i="18"/>
  <c r="N47" i="18"/>
  <c r="H47" i="18"/>
  <c r="I47" i="18" s="1"/>
  <c r="D47" i="18"/>
  <c r="C47" i="18"/>
  <c r="Z46" i="18"/>
  <c r="AA46" i="18" s="1"/>
  <c r="T46" i="18"/>
  <c r="V46" i="18" s="1"/>
  <c r="R46" i="18"/>
  <c r="N46" i="18"/>
  <c r="H46" i="18"/>
  <c r="I46" i="18" s="1"/>
  <c r="D46" i="18"/>
  <c r="C46" i="18"/>
  <c r="Z45" i="18"/>
  <c r="AA45" i="18" s="1"/>
  <c r="T45" i="18"/>
  <c r="V45" i="18" s="1"/>
  <c r="R45" i="18"/>
  <c r="N45" i="18"/>
  <c r="H45" i="18"/>
  <c r="I45" i="18" s="1"/>
  <c r="D45" i="18"/>
  <c r="O45" i="18" s="1"/>
  <c r="C45" i="18"/>
  <c r="Z44" i="18"/>
  <c r="AA44" i="18" s="1"/>
  <c r="T44" i="18"/>
  <c r="V44" i="18" s="1"/>
  <c r="R44" i="18"/>
  <c r="N44" i="18"/>
  <c r="H44" i="18"/>
  <c r="I44" i="18" s="1"/>
  <c r="D44" i="18"/>
  <c r="C44" i="18"/>
  <c r="Z43" i="18"/>
  <c r="AA43" i="18" s="1"/>
  <c r="T43" i="18"/>
  <c r="V43" i="18" s="1"/>
  <c r="R43" i="18"/>
  <c r="N43" i="18"/>
  <c r="H43" i="18"/>
  <c r="I43" i="18" s="1"/>
  <c r="D43" i="18"/>
  <c r="C43" i="18"/>
  <c r="Z42" i="18"/>
  <c r="AA42" i="18" s="1"/>
  <c r="T42" i="18"/>
  <c r="V42" i="18" s="1"/>
  <c r="R42" i="18"/>
  <c r="N42" i="18"/>
  <c r="H42" i="18"/>
  <c r="I42" i="18" s="1"/>
  <c r="D42" i="18"/>
  <c r="C42" i="18"/>
  <c r="Z41" i="18"/>
  <c r="AA41" i="18" s="1"/>
  <c r="T41" i="18"/>
  <c r="V41" i="18" s="1"/>
  <c r="R41" i="18"/>
  <c r="N41" i="18"/>
  <c r="H41" i="18"/>
  <c r="I41" i="18" s="1"/>
  <c r="D41" i="18"/>
  <c r="O41" i="18" s="1"/>
  <c r="C41" i="18"/>
  <c r="Z40" i="18"/>
  <c r="AA40" i="18" s="1"/>
  <c r="T40" i="18"/>
  <c r="V40" i="18" s="1"/>
  <c r="R40" i="18"/>
  <c r="N40" i="18"/>
  <c r="H40" i="18"/>
  <c r="I40" i="18" s="1"/>
  <c r="D40" i="18"/>
  <c r="C40" i="18"/>
  <c r="Z39" i="18"/>
  <c r="AA39" i="18" s="1"/>
  <c r="T39" i="18"/>
  <c r="V39" i="18" s="1"/>
  <c r="R39" i="18"/>
  <c r="N39" i="18"/>
  <c r="H39" i="18"/>
  <c r="I39" i="18" s="1"/>
  <c r="D39" i="18"/>
  <c r="C39" i="18"/>
  <c r="Z38" i="18"/>
  <c r="AA38" i="18" s="1"/>
  <c r="T38" i="18"/>
  <c r="V38" i="18" s="1"/>
  <c r="R38" i="18"/>
  <c r="N38" i="18"/>
  <c r="H38" i="18"/>
  <c r="I38" i="18" s="1"/>
  <c r="D38" i="18"/>
  <c r="C38" i="18"/>
  <c r="Z37" i="18"/>
  <c r="AA37" i="18" s="1"/>
  <c r="T37" i="18"/>
  <c r="V37" i="18" s="1"/>
  <c r="R37" i="18"/>
  <c r="N37" i="18"/>
  <c r="H37" i="18"/>
  <c r="I37" i="18" s="1"/>
  <c r="D37" i="18"/>
  <c r="O37" i="18" s="1"/>
  <c r="C37" i="18"/>
  <c r="Z36" i="18"/>
  <c r="AA36" i="18" s="1"/>
  <c r="T36" i="18"/>
  <c r="V36" i="18" s="1"/>
  <c r="R36" i="18"/>
  <c r="N36" i="18"/>
  <c r="H36" i="18"/>
  <c r="I36" i="18" s="1"/>
  <c r="D36" i="18"/>
  <c r="C36" i="18"/>
  <c r="Z35" i="18"/>
  <c r="AA35" i="18" s="1"/>
  <c r="T35" i="18"/>
  <c r="V35" i="18" s="1"/>
  <c r="R35" i="18"/>
  <c r="N35" i="18"/>
  <c r="I35" i="18"/>
  <c r="D35" i="18"/>
  <c r="C35" i="18"/>
  <c r="Z34" i="18"/>
  <c r="AA34" i="18" s="1"/>
  <c r="T34" i="18"/>
  <c r="V34" i="18" s="1"/>
  <c r="R34" i="18"/>
  <c r="N34" i="18"/>
  <c r="I34" i="18"/>
  <c r="D34" i="18"/>
  <c r="O34" i="18" s="1"/>
  <c r="C34" i="18"/>
  <c r="Z33" i="18"/>
  <c r="AA33" i="18" s="1"/>
  <c r="T33" i="18"/>
  <c r="V33" i="18" s="1"/>
  <c r="R33" i="18"/>
  <c r="N33" i="18"/>
  <c r="I33" i="18"/>
  <c r="D33" i="18"/>
  <c r="C33" i="18"/>
  <c r="Z32" i="18"/>
  <c r="AA32" i="18" s="1"/>
  <c r="T32" i="18"/>
  <c r="V32" i="18" s="1"/>
  <c r="R32" i="18"/>
  <c r="N32" i="18"/>
  <c r="I32" i="18"/>
  <c r="D32" i="18"/>
  <c r="C32" i="18"/>
  <c r="Z31" i="18"/>
  <c r="AA31" i="18" s="1"/>
  <c r="V31" i="18"/>
  <c r="T31" i="18"/>
  <c r="R31" i="18"/>
  <c r="N31" i="18"/>
  <c r="I31" i="18"/>
  <c r="D31" i="18"/>
  <c r="C31" i="18"/>
  <c r="AA30" i="18"/>
  <c r="Z30" i="18"/>
  <c r="T30" i="18"/>
  <c r="V30" i="18" s="1"/>
  <c r="R30" i="18"/>
  <c r="N30" i="18"/>
  <c r="I30" i="18"/>
  <c r="D30" i="18"/>
  <c r="C30" i="18"/>
  <c r="Z29" i="18"/>
  <c r="AA29" i="18" s="1"/>
  <c r="T29" i="18"/>
  <c r="V29" i="18" s="1"/>
  <c r="R29" i="18"/>
  <c r="N29" i="18"/>
  <c r="I29" i="18"/>
  <c r="D29" i="18"/>
  <c r="C29" i="18"/>
  <c r="Z28" i="18"/>
  <c r="AA28" i="18" s="1"/>
  <c r="T28" i="18"/>
  <c r="V28" i="18" s="1"/>
  <c r="R28" i="18"/>
  <c r="N28" i="18"/>
  <c r="I28" i="18"/>
  <c r="D28" i="18"/>
  <c r="O28" i="18" s="1"/>
  <c r="C28" i="18"/>
  <c r="Z27" i="18"/>
  <c r="AA27" i="18" s="1"/>
  <c r="T27" i="18"/>
  <c r="V27" i="18" s="1"/>
  <c r="R27" i="18"/>
  <c r="N27" i="18"/>
  <c r="I27" i="18"/>
  <c r="D27" i="18"/>
  <c r="C27" i="18"/>
  <c r="Z26" i="18"/>
  <c r="AA26" i="18" s="1"/>
  <c r="T26" i="18"/>
  <c r="V26" i="18" s="1"/>
  <c r="R26" i="18"/>
  <c r="N26" i="18"/>
  <c r="I26" i="18"/>
  <c r="D26" i="18"/>
  <c r="O26" i="18" s="1"/>
  <c r="C26" i="18"/>
  <c r="Z25" i="18"/>
  <c r="AA25" i="18" s="1"/>
  <c r="T25" i="18"/>
  <c r="V25" i="18" s="1"/>
  <c r="R25" i="18"/>
  <c r="N25" i="18"/>
  <c r="I25" i="18"/>
  <c r="D25" i="18"/>
  <c r="C25" i="18"/>
  <c r="Z24" i="18"/>
  <c r="AA24" i="18" s="1"/>
  <c r="T24" i="18"/>
  <c r="V24" i="18" s="1"/>
  <c r="R24" i="18"/>
  <c r="N24" i="18"/>
  <c r="I24" i="18"/>
  <c r="D24" i="18"/>
  <c r="C24" i="18"/>
  <c r="Z23" i="18"/>
  <c r="AA23" i="18" s="1"/>
  <c r="T23" i="18"/>
  <c r="V23" i="18" s="1"/>
  <c r="R23" i="18"/>
  <c r="N23" i="18"/>
  <c r="I23" i="18"/>
  <c r="D23" i="18"/>
  <c r="C23" i="18"/>
  <c r="AA22" i="18"/>
  <c r="Z22" i="18"/>
  <c r="T22" i="18"/>
  <c r="V22" i="18" s="1"/>
  <c r="R22" i="18"/>
  <c r="N22" i="18"/>
  <c r="I22" i="18"/>
  <c r="D22" i="18"/>
  <c r="C22" i="18"/>
  <c r="Z21" i="18"/>
  <c r="AA21" i="18" s="1"/>
  <c r="T21" i="18"/>
  <c r="V21" i="18" s="1"/>
  <c r="R21" i="18"/>
  <c r="N21" i="18"/>
  <c r="I21" i="18"/>
  <c r="D21" i="18"/>
  <c r="C21" i="18"/>
  <c r="Z20" i="18"/>
  <c r="AA20" i="18" s="1"/>
  <c r="T20" i="18"/>
  <c r="V20" i="18" s="1"/>
  <c r="R20" i="18"/>
  <c r="N20" i="18"/>
  <c r="I20" i="18"/>
  <c r="D20" i="18"/>
  <c r="O20" i="18" s="1"/>
  <c r="C20" i="18"/>
  <c r="Z19" i="18"/>
  <c r="AA19" i="18" s="1"/>
  <c r="T19" i="18"/>
  <c r="V19" i="18" s="1"/>
  <c r="R19" i="18"/>
  <c r="N19" i="18"/>
  <c r="I19" i="18"/>
  <c r="D19" i="18"/>
  <c r="C19" i="18"/>
  <c r="Z18" i="18"/>
  <c r="AA18" i="18" s="1"/>
  <c r="T18" i="18"/>
  <c r="V18" i="18" s="1"/>
  <c r="R18" i="18"/>
  <c r="N18" i="18"/>
  <c r="I18" i="18"/>
  <c r="D18" i="18"/>
  <c r="O18" i="18" s="1"/>
  <c r="C18" i="18"/>
  <c r="Z17" i="18"/>
  <c r="AA17" i="18" s="1"/>
  <c r="T17" i="18"/>
  <c r="V17" i="18" s="1"/>
  <c r="R17" i="18"/>
  <c r="N17" i="18"/>
  <c r="I17" i="18"/>
  <c r="D17" i="18"/>
  <c r="C17" i="18"/>
  <c r="Z16" i="18"/>
  <c r="AA16" i="18" s="1"/>
  <c r="T16" i="18"/>
  <c r="V16" i="18" s="1"/>
  <c r="R16" i="18"/>
  <c r="N16" i="18"/>
  <c r="I16" i="18"/>
  <c r="D16" i="18"/>
  <c r="C16" i="18"/>
  <c r="Z15" i="18"/>
  <c r="AA15" i="18" s="1"/>
  <c r="T15" i="18"/>
  <c r="V15" i="18" s="1"/>
  <c r="R15" i="18"/>
  <c r="N15" i="18"/>
  <c r="I15" i="18"/>
  <c r="D15" i="18"/>
  <c r="C15" i="18"/>
  <c r="AA14" i="18"/>
  <c r="Z14" i="18"/>
  <c r="T14" i="18"/>
  <c r="V14" i="18" s="1"/>
  <c r="R14" i="18"/>
  <c r="N14" i="18"/>
  <c r="I14" i="18"/>
  <c r="D14" i="18"/>
  <c r="C14" i="18"/>
  <c r="Z13" i="18"/>
  <c r="AA13" i="18" s="1"/>
  <c r="T13" i="18"/>
  <c r="V13" i="18" s="1"/>
  <c r="R13" i="18"/>
  <c r="N13" i="18"/>
  <c r="I13" i="18"/>
  <c r="D13" i="18"/>
  <c r="C13" i="18"/>
  <c r="Z12" i="18"/>
  <c r="AA12" i="18" s="1"/>
  <c r="T12" i="18"/>
  <c r="V12" i="18" s="1"/>
  <c r="R12" i="18"/>
  <c r="N12" i="18"/>
  <c r="I12" i="18"/>
  <c r="D12" i="18"/>
  <c r="O12" i="18" s="1"/>
  <c r="C12" i="18"/>
  <c r="Z11" i="18"/>
  <c r="AA11" i="18" s="1"/>
  <c r="T11" i="18"/>
  <c r="V11" i="18" s="1"/>
  <c r="R11" i="18"/>
  <c r="N11" i="18"/>
  <c r="I11" i="18"/>
  <c r="D11" i="18"/>
  <c r="C11" i="18"/>
  <c r="Z10" i="18"/>
  <c r="AA10" i="18" s="1"/>
  <c r="T10" i="18"/>
  <c r="V10" i="18" s="1"/>
  <c r="R10" i="18"/>
  <c r="N10" i="18"/>
  <c r="I10" i="18"/>
  <c r="D10" i="18"/>
  <c r="O10" i="18" s="1"/>
  <c r="C10" i="18"/>
  <c r="Z9" i="18"/>
  <c r="AA9" i="18" s="1"/>
  <c r="T9" i="18"/>
  <c r="V9" i="18" s="1"/>
  <c r="R9" i="18"/>
  <c r="N9" i="18"/>
  <c r="I9" i="18"/>
  <c r="D9" i="18"/>
  <c r="C9" i="18"/>
  <c r="Z8" i="18"/>
  <c r="AA8" i="18" s="1"/>
  <c r="T8" i="18"/>
  <c r="V8" i="18" s="1"/>
  <c r="R8" i="18"/>
  <c r="N8" i="18"/>
  <c r="I8" i="18"/>
  <c r="D8" i="18"/>
  <c r="C8" i="18"/>
  <c r="Z7" i="18"/>
  <c r="AA7" i="18" s="1"/>
  <c r="T7" i="18"/>
  <c r="V7" i="18" s="1"/>
  <c r="R7" i="18"/>
  <c r="N7" i="18"/>
  <c r="I7" i="18"/>
  <c r="D7" i="18"/>
  <c r="C7" i="18"/>
  <c r="AA6" i="18"/>
  <c r="Z6" i="18"/>
  <c r="T6" i="18"/>
  <c r="V6" i="18" s="1"/>
  <c r="R6" i="18"/>
  <c r="N6" i="18"/>
  <c r="I6" i="18"/>
  <c r="D6" i="18"/>
  <c r="C6" i="18"/>
  <c r="Z5" i="18"/>
  <c r="AA5" i="18" s="1"/>
  <c r="T5" i="18"/>
  <c r="V5" i="18" s="1"/>
  <c r="R5" i="18"/>
  <c r="N5" i="18"/>
  <c r="I5" i="18"/>
  <c r="D5" i="18"/>
  <c r="C5" i="18"/>
  <c r="Z4" i="18"/>
  <c r="AA4" i="18" s="1"/>
  <c r="T4" i="18"/>
  <c r="V4" i="18" s="1"/>
  <c r="R4" i="18"/>
  <c r="N4" i="18"/>
  <c r="I4" i="18"/>
  <c r="D4" i="18"/>
  <c r="O4" i="18" s="1"/>
  <c r="C4" i="18"/>
  <c r="Z3" i="18"/>
  <c r="AA3" i="18" s="1"/>
  <c r="T3" i="18"/>
  <c r="V3" i="18" s="1"/>
  <c r="R3" i="18"/>
  <c r="N3" i="18"/>
  <c r="I3" i="18"/>
  <c r="D3" i="18"/>
  <c r="C3" i="18"/>
  <c r="Z99" i="17"/>
  <c r="AA99" i="17" s="1"/>
  <c r="T99" i="17"/>
  <c r="V99" i="17" s="1"/>
  <c r="R99" i="17"/>
  <c r="N99" i="17"/>
  <c r="H99" i="17"/>
  <c r="I99" i="17" s="1"/>
  <c r="D99" i="17"/>
  <c r="O99" i="17" s="1"/>
  <c r="C99" i="17"/>
  <c r="Z98" i="17"/>
  <c r="AA98" i="17" s="1"/>
  <c r="V98" i="17"/>
  <c r="T98" i="17"/>
  <c r="R98" i="17"/>
  <c r="N98" i="17"/>
  <c r="H98" i="17"/>
  <c r="I98" i="17" s="1"/>
  <c r="D98" i="17"/>
  <c r="C98" i="17"/>
  <c r="Z97" i="17"/>
  <c r="AA97" i="17" s="1"/>
  <c r="T97" i="17"/>
  <c r="V97" i="17" s="1"/>
  <c r="R97" i="17"/>
  <c r="N97" i="17"/>
  <c r="H97" i="17"/>
  <c r="I97" i="17" s="1"/>
  <c r="D97" i="17"/>
  <c r="C97" i="17"/>
  <c r="Z96" i="17"/>
  <c r="AA96" i="17" s="1"/>
  <c r="T96" i="17"/>
  <c r="V96" i="17" s="1"/>
  <c r="R96" i="17"/>
  <c r="N96" i="17"/>
  <c r="H96" i="17"/>
  <c r="I96" i="17" s="1"/>
  <c r="D96" i="17"/>
  <c r="C96" i="17"/>
  <c r="Z95" i="17"/>
  <c r="AA95" i="17" s="1"/>
  <c r="T95" i="17"/>
  <c r="V95" i="17" s="1"/>
  <c r="R95" i="17"/>
  <c r="N95" i="17"/>
  <c r="I95" i="17"/>
  <c r="H95" i="17"/>
  <c r="D95" i="17"/>
  <c r="C95" i="17"/>
  <c r="AA94" i="17"/>
  <c r="Z94" i="17"/>
  <c r="T94" i="17"/>
  <c r="V94" i="17" s="1"/>
  <c r="R94" i="17"/>
  <c r="N94" i="17"/>
  <c r="H94" i="17"/>
  <c r="I94" i="17" s="1"/>
  <c r="D94" i="17"/>
  <c r="C94" i="17"/>
  <c r="Z93" i="17"/>
  <c r="AA93" i="17" s="1"/>
  <c r="T93" i="17"/>
  <c r="V93" i="17" s="1"/>
  <c r="R93" i="17"/>
  <c r="N93" i="17"/>
  <c r="H93" i="17"/>
  <c r="I93" i="17" s="1"/>
  <c r="D93" i="17"/>
  <c r="C93" i="17"/>
  <c r="Z92" i="17"/>
  <c r="AA92" i="17" s="1"/>
  <c r="T92" i="17"/>
  <c r="V92" i="17" s="1"/>
  <c r="R92" i="17"/>
  <c r="N92" i="17"/>
  <c r="H92" i="17"/>
  <c r="I92" i="17" s="1"/>
  <c r="D92" i="17"/>
  <c r="C92" i="17"/>
  <c r="Z91" i="17"/>
  <c r="AA91" i="17" s="1"/>
  <c r="T91" i="17"/>
  <c r="V91" i="17" s="1"/>
  <c r="R91" i="17"/>
  <c r="N91" i="17"/>
  <c r="H91" i="17"/>
  <c r="I91" i="17" s="1"/>
  <c r="D91" i="17"/>
  <c r="O91" i="17" s="1"/>
  <c r="C91" i="17"/>
  <c r="Z90" i="17"/>
  <c r="AA90" i="17" s="1"/>
  <c r="V90" i="17"/>
  <c r="T90" i="17"/>
  <c r="R90" i="17"/>
  <c r="N90" i="17"/>
  <c r="H90" i="17"/>
  <c r="I90" i="17" s="1"/>
  <c r="D90" i="17"/>
  <c r="C90" i="17"/>
  <c r="Z89" i="17"/>
  <c r="AA89" i="17" s="1"/>
  <c r="T89" i="17"/>
  <c r="V89" i="17" s="1"/>
  <c r="R89" i="17"/>
  <c r="N89" i="17"/>
  <c r="H89" i="17"/>
  <c r="I89" i="17" s="1"/>
  <c r="D89" i="17"/>
  <c r="C89" i="17"/>
  <c r="Z88" i="17"/>
  <c r="AA88" i="17" s="1"/>
  <c r="T88" i="17"/>
  <c r="V88" i="17" s="1"/>
  <c r="R88" i="17"/>
  <c r="N88" i="17"/>
  <c r="H88" i="17"/>
  <c r="I88" i="17" s="1"/>
  <c r="D88" i="17"/>
  <c r="C88" i="17"/>
  <c r="Z87" i="17"/>
  <c r="AA87" i="17" s="1"/>
  <c r="T87" i="17"/>
  <c r="V87" i="17" s="1"/>
  <c r="R87" i="17"/>
  <c r="N87" i="17"/>
  <c r="I87" i="17"/>
  <c r="H87" i="17"/>
  <c r="D87" i="17"/>
  <c r="C87" i="17"/>
  <c r="AA86" i="17"/>
  <c r="Z86" i="17"/>
  <c r="T86" i="17"/>
  <c r="V86" i="17" s="1"/>
  <c r="R86" i="17"/>
  <c r="N86" i="17"/>
  <c r="H86" i="17"/>
  <c r="I86" i="17" s="1"/>
  <c r="D86" i="17"/>
  <c r="C86" i="17"/>
  <c r="Z85" i="17"/>
  <c r="AA85" i="17" s="1"/>
  <c r="T85" i="17"/>
  <c r="V85" i="17" s="1"/>
  <c r="R85" i="17"/>
  <c r="N85" i="17"/>
  <c r="H85" i="17"/>
  <c r="I85" i="17" s="1"/>
  <c r="D85" i="17"/>
  <c r="C85" i="17"/>
  <c r="Z84" i="17"/>
  <c r="AA84" i="17" s="1"/>
  <c r="T84" i="17"/>
  <c r="V84" i="17" s="1"/>
  <c r="R84" i="17"/>
  <c r="N84" i="17"/>
  <c r="H84" i="17"/>
  <c r="I84" i="17" s="1"/>
  <c r="D84" i="17"/>
  <c r="C84" i="17"/>
  <c r="Z83" i="17"/>
  <c r="AA83" i="17" s="1"/>
  <c r="T83" i="17"/>
  <c r="V83" i="17" s="1"/>
  <c r="R83" i="17"/>
  <c r="N83" i="17"/>
  <c r="H83" i="17"/>
  <c r="I83" i="17" s="1"/>
  <c r="D83" i="17"/>
  <c r="O83" i="17" s="1"/>
  <c r="C83" i="17"/>
  <c r="Z82" i="17"/>
  <c r="AA82" i="17" s="1"/>
  <c r="V82" i="17"/>
  <c r="T82" i="17"/>
  <c r="R82" i="17"/>
  <c r="N82" i="17"/>
  <c r="H82" i="17"/>
  <c r="I82" i="17" s="1"/>
  <c r="D82" i="17"/>
  <c r="C82" i="17"/>
  <c r="Z81" i="17"/>
  <c r="AA81" i="17" s="1"/>
  <c r="T81" i="17"/>
  <c r="V81" i="17" s="1"/>
  <c r="R81" i="17"/>
  <c r="N81" i="17"/>
  <c r="H81" i="17"/>
  <c r="I81" i="17" s="1"/>
  <c r="D81" i="17"/>
  <c r="C81" i="17"/>
  <c r="Z80" i="17"/>
  <c r="AA80" i="17" s="1"/>
  <c r="T80" i="17"/>
  <c r="V80" i="17" s="1"/>
  <c r="R80" i="17"/>
  <c r="N80" i="17"/>
  <c r="H80" i="17"/>
  <c r="I80" i="17" s="1"/>
  <c r="D80" i="17"/>
  <c r="C80" i="17"/>
  <c r="Z79" i="17"/>
  <c r="AA79" i="17" s="1"/>
  <c r="T79" i="17"/>
  <c r="V79" i="17" s="1"/>
  <c r="R79" i="17"/>
  <c r="N79" i="17"/>
  <c r="I79" i="17"/>
  <c r="H79" i="17"/>
  <c r="D79" i="17"/>
  <c r="C79" i="17"/>
  <c r="AA78" i="17"/>
  <c r="Z78" i="17"/>
  <c r="T78" i="17"/>
  <c r="V78" i="17" s="1"/>
  <c r="R78" i="17"/>
  <c r="N78" i="17"/>
  <c r="H78" i="17"/>
  <c r="I78" i="17" s="1"/>
  <c r="D78" i="17"/>
  <c r="C78" i="17"/>
  <c r="Z77" i="17"/>
  <c r="AA77" i="17" s="1"/>
  <c r="T77" i="17"/>
  <c r="V77" i="17" s="1"/>
  <c r="R77" i="17"/>
  <c r="N77" i="17"/>
  <c r="H77" i="17"/>
  <c r="I77" i="17" s="1"/>
  <c r="D77" i="17"/>
  <c r="C77" i="17"/>
  <c r="Z76" i="17"/>
  <c r="AA76" i="17" s="1"/>
  <c r="T76" i="17"/>
  <c r="V76" i="17" s="1"/>
  <c r="R76" i="17"/>
  <c r="N76" i="17"/>
  <c r="H76" i="17"/>
  <c r="I76" i="17" s="1"/>
  <c r="D76" i="17"/>
  <c r="C76" i="17"/>
  <c r="Z75" i="17"/>
  <c r="AA75" i="17" s="1"/>
  <c r="T75" i="17"/>
  <c r="V75" i="17" s="1"/>
  <c r="R75" i="17"/>
  <c r="N75" i="17"/>
  <c r="H75" i="17"/>
  <c r="I75" i="17" s="1"/>
  <c r="D75" i="17"/>
  <c r="O75" i="17" s="1"/>
  <c r="C75" i="17"/>
  <c r="Z74" i="17"/>
  <c r="AA74" i="17" s="1"/>
  <c r="V74" i="17"/>
  <c r="T74" i="17"/>
  <c r="R74" i="17"/>
  <c r="N74" i="17"/>
  <c r="H74" i="17"/>
  <c r="I74" i="17" s="1"/>
  <c r="D74" i="17"/>
  <c r="C74" i="17"/>
  <c r="Z73" i="17"/>
  <c r="AA73" i="17" s="1"/>
  <c r="T73" i="17"/>
  <c r="V73" i="17" s="1"/>
  <c r="R73" i="17"/>
  <c r="N73" i="17"/>
  <c r="H73" i="17"/>
  <c r="I73" i="17" s="1"/>
  <c r="D73" i="17"/>
  <c r="C73" i="17"/>
  <c r="Z72" i="17"/>
  <c r="AA72" i="17" s="1"/>
  <c r="T72" i="17"/>
  <c r="V72" i="17" s="1"/>
  <c r="R72" i="17"/>
  <c r="N72" i="17"/>
  <c r="H72" i="17"/>
  <c r="I72" i="17" s="1"/>
  <c r="D72" i="17"/>
  <c r="C72" i="17"/>
  <c r="Z71" i="17"/>
  <c r="AA71" i="17" s="1"/>
  <c r="T71" i="17"/>
  <c r="V71" i="17" s="1"/>
  <c r="R71" i="17"/>
  <c r="N71" i="17"/>
  <c r="I71" i="17"/>
  <c r="H71" i="17"/>
  <c r="D71" i="17"/>
  <c r="C71" i="17"/>
  <c r="AA70" i="17"/>
  <c r="Z70" i="17"/>
  <c r="T70" i="17"/>
  <c r="V70" i="17" s="1"/>
  <c r="R70" i="17"/>
  <c r="N70" i="17"/>
  <c r="H70" i="17"/>
  <c r="I70" i="17" s="1"/>
  <c r="D70" i="17"/>
  <c r="C70" i="17"/>
  <c r="Z69" i="17"/>
  <c r="AA69" i="17" s="1"/>
  <c r="T69" i="17"/>
  <c r="V69" i="17" s="1"/>
  <c r="R69" i="17"/>
  <c r="N69" i="17"/>
  <c r="H69" i="17"/>
  <c r="I69" i="17" s="1"/>
  <c r="D69" i="17"/>
  <c r="C69" i="17"/>
  <c r="Z68" i="17"/>
  <c r="AA68" i="17" s="1"/>
  <c r="T68" i="17"/>
  <c r="V68" i="17" s="1"/>
  <c r="R68" i="17"/>
  <c r="N68" i="17"/>
  <c r="H68" i="17"/>
  <c r="I68" i="17" s="1"/>
  <c r="D68" i="17"/>
  <c r="C68" i="17"/>
  <c r="Z67" i="17"/>
  <c r="AA67" i="17" s="1"/>
  <c r="T67" i="17"/>
  <c r="V67" i="17" s="1"/>
  <c r="R67" i="17"/>
  <c r="N67" i="17"/>
  <c r="H67" i="17"/>
  <c r="I67" i="17" s="1"/>
  <c r="D67" i="17"/>
  <c r="O67" i="17" s="1"/>
  <c r="C67" i="17"/>
  <c r="Z66" i="17"/>
  <c r="AA66" i="17" s="1"/>
  <c r="V66" i="17"/>
  <c r="T66" i="17"/>
  <c r="R66" i="17"/>
  <c r="N66" i="17"/>
  <c r="H66" i="17"/>
  <c r="I66" i="17" s="1"/>
  <c r="D66" i="17"/>
  <c r="C66" i="17"/>
  <c r="Z65" i="17"/>
  <c r="AA65" i="17" s="1"/>
  <c r="T65" i="17"/>
  <c r="V65" i="17" s="1"/>
  <c r="R65" i="17"/>
  <c r="N65" i="17"/>
  <c r="H65" i="17"/>
  <c r="I65" i="17" s="1"/>
  <c r="D65" i="17"/>
  <c r="C65" i="17"/>
  <c r="Z64" i="17"/>
  <c r="AA64" i="17" s="1"/>
  <c r="T64" i="17"/>
  <c r="V64" i="17" s="1"/>
  <c r="R64" i="17"/>
  <c r="N64" i="17"/>
  <c r="H64" i="17"/>
  <c r="I64" i="17" s="1"/>
  <c r="D64" i="17"/>
  <c r="C64" i="17"/>
  <c r="Z63" i="17"/>
  <c r="AA63" i="17" s="1"/>
  <c r="T63" i="17"/>
  <c r="V63" i="17" s="1"/>
  <c r="R63" i="17"/>
  <c r="N63" i="17"/>
  <c r="I63" i="17"/>
  <c r="H63" i="17"/>
  <c r="D63" i="17"/>
  <c r="C63" i="17"/>
  <c r="AA62" i="17"/>
  <c r="Z62" i="17"/>
  <c r="T62" i="17"/>
  <c r="V62" i="17" s="1"/>
  <c r="R62" i="17"/>
  <c r="N62" i="17"/>
  <c r="H62" i="17"/>
  <c r="I62" i="17" s="1"/>
  <c r="D62" i="17"/>
  <c r="C62" i="17"/>
  <c r="Z61" i="17"/>
  <c r="AA61" i="17" s="1"/>
  <c r="T61" i="17"/>
  <c r="V61" i="17" s="1"/>
  <c r="R61" i="17"/>
  <c r="N61" i="17"/>
  <c r="H61" i="17"/>
  <c r="I61" i="17" s="1"/>
  <c r="D61" i="17"/>
  <c r="C61" i="17"/>
  <c r="Z60" i="17"/>
  <c r="AA60" i="17" s="1"/>
  <c r="T60" i="17"/>
  <c r="V60" i="17" s="1"/>
  <c r="R60" i="17"/>
  <c r="N60" i="17"/>
  <c r="H60" i="17"/>
  <c r="I60" i="17" s="1"/>
  <c r="D60" i="17"/>
  <c r="C60" i="17"/>
  <c r="Z59" i="17"/>
  <c r="AA59" i="17" s="1"/>
  <c r="T59" i="17"/>
  <c r="V59" i="17" s="1"/>
  <c r="R59" i="17"/>
  <c r="N59" i="17"/>
  <c r="H59" i="17"/>
  <c r="I59" i="17" s="1"/>
  <c r="D59" i="17"/>
  <c r="O59" i="17" s="1"/>
  <c r="C59" i="17"/>
  <c r="Z58" i="17"/>
  <c r="AA58" i="17" s="1"/>
  <c r="V58" i="17"/>
  <c r="T58" i="17"/>
  <c r="R58" i="17"/>
  <c r="N58" i="17"/>
  <c r="H58" i="17"/>
  <c r="I58" i="17" s="1"/>
  <c r="D58" i="17"/>
  <c r="C58" i="17"/>
  <c r="Z57" i="17"/>
  <c r="AA57" i="17" s="1"/>
  <c r="T57" i="17"/>
  <c r="V57" i="17" s="1"/>
  <c r="R57" i="17"/>
  <c r="N57" i="17"/>
  <c r="H57" i="17"/>
  <c r="I57" i="17" s="1"/>
  <c r="D57" i="17"/>
  <c r="C57" i="17"/>
  <c r="Z56" i="17"/>
  <c r="AA56" i="17" s="1"/>
  <c r="T56" i="17"/>
  <c r="V56" i="17" s="1"/>
  <c r="R56" i="17"/>
  <c r="N56" i="17"/>
  <c r="H56" i="17"/>
  <c r="I56" i="17" s="1"/>
  <c r="D56" i="17"/>
  <c r="C56" i="17"/>
  <c r="Z55" i="17"/>
  <c r="AA55" i="17" s="1"/>
  <c r="T55" i="17"/>
  <c r="V55" i="17" s="1"/>
  <c r="R55" i="17"/>
  <c r="N55" i="17"/>
  <c r="I55" i="17"/>
  <c r="H55" i="17"/>
  <c r="D55" i="17"/>
  <c r="C55" i="17"/>
  <c r="AA54" i="17"/>
  <c r="Z54" i="17"/>
  <c r="T54" i="17"/>
  <c r="V54" i="17" s="1"/>
  <c r="R54" i="17"/>
  <c r="N54" i="17"/>
  <c r="H54" i="17"/>
  <c r="I54" i="17" s="1"/>
  <c r="D54" i="17"/>
  <c r="C54" i="17"/>
  <c r="Z53" i="17"/>
  <c r="AA53" i="17" s="1"/>
  <c r="T53" i="17"/>
  <c r="V53" i="17" s="1"/>
  <c r="R53" i="17"/>
  <c r="N53" i="17"/>
  <c r="H53" i="17"/>
  <c r="I53" i="17" s="1"/>
  <c r="D53" i="17"/>
  <c r="C53" i="17"/>
  <c r="Z52" i="17"/>
  <c r="AA52" i="17" s="1"/>
  <c r="T52" i="17"/>
  <c r="V52" i="17" s="1"/>
  <c r="R52" i="17"/>
  <c r="N52" i="17"/>
  <c r="H52" i="17"/>
  <c r="I52" i="17" s="1"/>
  <c r="D52" i="17"/>
  <c r="C52" i="17"/>
  <c r="Z51" i="17"/>
  <c r="AA51" i="17" s="1"/>
  <c r="T51" i="17"/>
  <c r="V51" i="17" s="1"/>
  <c r="R51" i="17"/>
  <c r="N51" i="17"/>
  <c r="H51" i="17"/>
  <c r="I51" i="17" s="1"/>
  <c r="D51" i="17"/>
  <c r="O51" i="17" s="1"/>
  <c r="C51" i="17"/>
  <c r="Z50" i="17"/>
  <c r="AA50" i="17" s="1"/>
  <c r="V50" i="17"/>
  <c r="T50" i="17"/>
  <c r="R50" i="17"/>
  <c r="N50" i="17"/>
  <c r="H50" i="17"/>
  <c r="I50" i="17" s="1"/>
  <c r="D50" i="17"/>
  <c r="C50" i="17"/>
  <c r="Z49" i="17"/>
  <c r="AA49" i="17" s="1"/>
  <c r="T49" i="17"/>
  <c r="V49" i="17" s="1"/>
  <c r="R49" i="17"/>
  <c r="N49" i="17"/>
  <c r="H49" i="17"/>
  <c r="I49" i="17" s="1"/>
  <c r="D49" i="17"/>
  <c r="C49" i="17"/>
  <c r="Z48" i="17"/>
  <c r="AA48" i="17" s="1"/>
  <c r="T48" i="17"/>
  <c r="V48" i="17" s="1"/>
  <c r="R48" i="17"/>
  <c r="N48" i="17"/>
  <c r="H48" i="17"/>
  <c r="I48" i="17" s="1"/>
  <c r="D48" i="17"/>
  <c r="C48" i="17"/>
  <c r="Z47" i="17"/>
  <c r="AA47" i="17" s="1"/>
  <c r="T47" i="17"/>
  <c r="V47" i="17" s="1"/>
  <c r="R47" i="17"/>
  <c r="N47" i="17"/>
  <c r="I47" i="17"/>
  <c r="H47" i="17"/>
  <c r="D47" i="17"/>
  <c r="C47" i="17"/>
  <c r="AA46" i="17"/>
  <c r="Z46" i="17"/>
  <c r="T46" i="17"/>
  <c r="V46" i="17" s="1"/>
  <c r="R46" i="17"/>
  <c r="N46" i="17"/>
  <c r="H46" i="17"/>
  <c r="I46" i="17" s="1"/>
  <c r="D46" i="17"/>
  <c r="C46" i="17"/>
  <c r="Z45" i="17"/>
  <c r="AA45" i="17" s="1"/>
  <c r="T45" i="17"/>
  <c r="V45" i="17" s="1"/>
  <c r="R45" i="17"/>
  <c r="N45" i="17"/>
  <c r="H45" i="17"/>
  <c r="I45" i="17" s="1"/>
  <c r="D45" i="17"/>
  <c r="C45" i="17"/>
  <c r="Z44" i="17"/>
  <c r="AA44" i="17" s="1"/>
  <c r="T44" i="17"/>
  <c r="V44" i="17" s="1"/>
  <c r="R44" i="17"/>
  <c r="N44" i="17"/>
  <c r="H44" i="17"/>
  <c r="I44" i="17" s="1"/>
  <c r="D44" i="17"/>
  <c r="C44" i="17"/>
  <c r="Z43" i="17"/>
  <c r="AA43" i="17" s="1"/>
  <c r="T43" i="17"/>
  <c r="V43" i="17" s="1"/>
  <c r="R43" i="17"/>
  <c r="N43" i="17"/>
  <c r="H43" i="17"/>
  <c r="I43" i="17" s="1"/>
  <c r="D43" i="17"/>
  <c r="O43" i="17" s="1"/>
  <c r="C43" i="17"/>
  <c r="Z42" i="17"/>
  <c r="AA42" i="17" s="1"/>
  <c r="V42" i="17"/>
  <c r="T42" i="17"/>
  <c r="R42" i="17"/>
  <c r="N42" i="17"/>
  <c r="H42" i="17"/>
  <c r="I42" i="17" s="1"/>
  <c r="D42" i="17"/>
  <c r="C42" i="17"/>
  <c r="Z41" i="17"/>
  <c r="AA41" i="17" s="1"/>
  <c r="T41" i="17"/>
  <c r="V41" i="17" s="1"/>
  <c r="R41" i="17"/>
  <c r="N41" i="17"/>
  <c r="H41" i="17"/>
  <c r="I41" i="17" s="1"/>
  <c r="D41" i="17"/>
  <c r="C41" i="17"/>
  <c r="Z40" i="17"/>
  <c r="AA40" i="17" s="1"/>
  <c r="T40" i="17"/>
  <c r="V40" i="17" s="1"/>
  <c r="R40" i="17"/>
  <c r="N40" i="17"/>
  <c r="H40" i="17"/>
  <c r="I40" i="17" s="1"/>
  <c r="D40" i="17"/>
  <c r="C40" i="17"/>
  <c r="Z39" i="17"/>
  <c r="AA39" i="17" s="1"/>
  <c r="T39" i="17"/>
  <c r="V39" i="17" s="1"/>
  <c r="R39" i="17"/>
  <c r="N39" i="17"/>
  <c r="I39" i="17"/>
  <c r="H39" i="17"/>
  <c r="D39" i="17"/>
  <c r="C39" i="17"/>
  <c r="AA38" i="17"/>
  <c r="Z38" i="17"/>
  <c r="T38" i="17"/>
  <c r="V38" i="17" s="1"/>
  <c r="R38" i="17"/>
  <c r="N38" i="17"/>
  <c r="H38" i="17"/>
  <c r="I38" i="17" s="1"/>
  <c r="D38" i="17"/>
  <c r="C38" i="17"/>
  <c r="Z37" i="17"/>
  <c r="AA37" i="17" s="1"/>
  <c r="T37" i="17"/>
  <c r="V37" i="17" s="1"/>
  <c r="R37" i="17"/>
  <c r="N37" i="17"/>
  <c r="H37" i="17"/>
  <c r="I37" i="17" s="1"/>
  <c r="D37" i="17"/>
  <c r="C37" i="17"/>
  <c r="Z36" i="17"/>
  <c r="AA36" i="17" s="1"/>
  <c r="T36" i="17"/>
  <c r="V36" i="17" s="1"/>
  <c r="R36" i="17"/>
  <c r="N36" i="17"/>
  <c r="H36" i="17"/>
  <c r="I36" i="17" s="1"/>
  <c r="D36" i="17"/>
  <c r="C36" i="17"/>
  <c r="Z35" i="17"/>
  <c r="AA35" i="17" s="1"/>
  <c r="T35" i="17"/>
  <c r="V35" i="17" s="1"/>
  <c r="R35" i="17"/>
  <c r="N35" i="17"/>
  <c r="I35" i="17"/>
  <c r="D35" i="17"/>
  <c r="O35" i="17" s="1"/>
  <c r="C35" i="17"/>
  <c r="Z34" i="17"/>
  <c r="AA34" i="17" s="1"/>
  <c r="T34" i="17"/>
  <c r="V34" i="17" s="1"/>
  <c r="R34" i="17"/>
  <c r="N34" i="17"/>
  <c r="I34" i="17"/>
  <c r="D34" i="17"/>
  <c r="C34" i="17"/>
  <c r="Z33" i="17"/>
  <c r="AA33" i="17" s="1"/>
  <c r="T33" i="17"/>
  <c r="V33" i="17" s="1"/>
  <c r="R33" i="17"/>
  <c r="N33" i="17"/>
  <c r="I33" i="17"/>
  <c r="D33" i="17"/>
  <c r="C33" i="17"/>
  <c r="Z32" i="17"/>
  <c r="AA32" i="17" s="1"/>
  <c r="T32" i="17"/>
  <c r="V32" i="17" s="1"/>
  <c r="R32" i="17"/>
  <c r="N32" i="17"/>
  <c r="I32" i="17"/>
  <c r="D32" i="17"/>
  <c r="O32" i="17" s="1"/>
  <c r="C32" i="17"/>
  <c r="Z31" i="17"/>
  <c r="AA31" i="17" s="1"/>
  <c r="T31" i="17"/>
  <c r="V31" i="17" s="1"/>
  <c r="R31" i="17"/>
  <c r="N31" i="17"/>
  <c r="I31" i="17"/>
  <c r="D31" i="17"/>
  <c r="O31" i="17" s="1"/>
  <c r="C31" i="17"/>
  <c r="Z30" i="17"/>
  <c r="AA30" i="17" s="1"/>
  <c r="T30" i="17"/>
  <c r="V30" i="17" s="1"/>
  <c r="R30" i="17"/>
  <c r="N30" i="17"/>
  <c r="I30" i="17"/>
  <c r="D30" i="17"/>
  <c r="C30" i="17"/>
  <c r="Z29" i="17"/>
  <c r="AA29" i="17" s="1"/>
  <c r="T29" i="17"/>
  <c r="V29" i="17" s="1"/>
  <c r="R29" i="17"/>
  <c r="N29" i="17"/>
  <c r="I29" i="17"/>
  <c r="D29" i="17"/>
  <c r="C29" i="17"/>
  <c r="Z28" i="17"/>
  <c r="AA28" i="17" s="1"/>
  <c r="T28" i="17"/>
  <c r="V28" i="17" s="1"/>
  <c r="R28" i="17"/>
  <c r="N28" i="17"/>
  <c r="I28" i="17"/>
  <c r="D28" i="17"/>
  <c r="O28" i="17" s="1"/>
  <c r="C28" i="17"/>
  <c r="Z27" i="17"/>
  <c r="AA27" i="17" s="1"/>
  <c r="T27" i="17"/>
  <c r="V27" i="17" s="1"/>
  <c r="R27" i="17"/>
  <c r="N27" i="17"/>
  <c r="I27" i="17"/>
  <c r="D27" i="17"/>
  <c r="O27" i="17" s="1"/>
  <c r="C27" i="17"/>
  <c r="Z26" i="17"/>
  <c r="AA26" i="17" s="1"/>
  <c r="T26" i="17"/>
  <c r="V26" i="17" s="1"/>
  <c r="R26" i="17"/>
  <c r="N26" i="17"/>
  <c r="I26" i="17"/>
  <c r="D26" i="17"/>
  <c r="C26" i="17"/>
  <c r="Z25" i="17"/>
  <c r="AA25" i="17" s="1"/>
  <c r="T25" i="17"/>
  <c r="V25" i="17" s="1"/>
  <c r="R25" i="17"/>
  <c r="N25" i="17"/>
  <c r="I25" i="17"/>
  <c r="D25" i="17"/>
  <c r="C25" i="17"/>
  <c r="Z24" i="17"/>
  <c r="AA24" i="17" s="1"/>
  <c r="T24" i="17"/>
  <c r="V24" i="17" s="1"/>
  <c r="R24" i="17"/>
  <c r="N24" i="17"/>
  <c r="I24" i="17"/>
  <c r="D24" i="17"/>
  <c r="O24" i="17" s="1"/>
  <c r="C24" i="17"/>
  <c r="Z23" i="17"/>
  <c r="AA23" i="17" s="1"/>
  <c r="T23" i="17"/>
  <c r="V23" i="17" s="1"/>
  <c r="R23" i="17"/>
  <c r="N23" i="17"/>
  <c r="I23" i="17"/>
  <c r="D23" i="17"/>
  <c r="O23" i="17" s="1"/>
  <c r="C23" i="17"/>
  <c r="Z22" i="17"/>
  <c r="AA22" i="17" s="1"/>
  <c r="T22" i="17"/>
  <c r="V22" i="17" s="1"/>
  <c r="R22" i="17"/>
  <c r="N22" i="17"/>
  <c r="I22" i="17"/>
  <c r="D22" i="17"/>
  <c r="C22" i="17"/>
  <c r="Z21" i="17"/>
  <c r="AA21" i="17" s="1"/>
  <c r="T21" i="17"/>
  <c r="V21" i="17" s="1"/>
  <c r="R21" i="17"/>
  <c r="N21" i="17"/>
  <c r="I21" i="17"/>
  <c r="D21" i="17"/>
  <c r="C21" i="17"/>
  <c r="Z20" i="17"/>
  <c r="AA20" i="17" s="1"/>
  <c r="T20" i="17"/>
  <c r="V20" i="17" s="1"/>
  <c r="R20" i="17"/>
  <c r="N20" i="17"/>
  <c r="I20" i="17"/>
  <c r="D20" i="17"/>
  <c r="O20" i="17" s="1"/>
  <c r="C20" i="17"/>
  <c r="Z19" i="17"/>
  <c r="AA19" i="17" s="1"/>
  <c r="T19" i="17"/>
  <c r="V19" i="17" s="1"/>
  <c r="R19" i="17"/>
  <c r="N19" i="17"/>
  <c r="I19" i="17"/>
  <c r="D19" i="17"/>
  <c r="O19" i="17" s="1"/>
  <c r="C19" i="17"/>
  <c r="Z18" i="17"/>
  <c r="AA18" i="17" s="1"/>
  <c r="T18" i="17"/>
  <c r="V18" i="17" s="1"/>
  <c r="R18" i="17"/>
  <c r="N18" i="17"/>
  <c r="I18" i="17"/>
  <c r="D18" i="17"/>
  <c r="C18" i="17"/>
  <c r="Z17" i="17"/>
  <c r="AA17" i="17" s="1"/>
  <c r="T17" i="17"/>
  <c r="V17" i="17" s="1"/>
  <c r="R17" i="17"/>
  <c r="N17" i="17"/>
  <c r="I17" i="17"/>
  <c r="D17" i="17"/>
  <c r="C17" i="17"/>
  <c r="Z16" i="17"/>
  <c r="AA16" i="17" s="1"/>
  <c r="T16" i="17"/>
  <c r="V16" i="17" s="1"/>
  <c r="R16" i="17"/>
  <c r="N16" i="17"/>
  <c r="I16" i="17"/>
  <c r="D16" i="17"/>
  <c r="O16" i="17" s="1"/>
  <c r="C16" i="17"/>
  <c r="Z15" i="17"/>
  <c r="AA15" i="17" s="1"/>
  <c r="T15" i="17"/>
  <c r="V15" i="17" s="1"/>
  <c r="R15" i="17"/>
  <c r="N15" i="17"/>
  <c r="I15" i="17"/>
  <c r="D15" i="17"/>
  <c r="O15" i="17" s="1"/>
  <c r="C15" i="17"/>
  <c r="Z14" i="17"/>
  <c r="AA14" i="17" s="1"/>
  <c r="T14" i="17"/>
  <c r="V14" i="17" s="1"/>
  <c r="R14" i="17"/>
  <c r="N14" i="17"/>
  <c r="I14" i="17"/>
  <c r="D14" i="17"/>
  <c r="C14" i="17"/>
  <c r="Z13" i="17"/>
  <c r="AA13" i="17" s="1"/>
  <c r="T13" i="17"/>
  <c r="V13" i="17" s="1"/>
  <c r="R13" i="17"/>
  <c r="N13" i="17"/>
  <c r="I13" i="17"/>
  <c r="D13" i="17"/>
  <c r="C13" i="17"/>
  <c r="Z12" i="17"/>
  <c r="AA12" i="17" s="1"/>
  <c r="T12" i="17"/>
  <c r="V12" i="17" s="1"/>
  <c r="R12" i="17"/>
  <c r="N12" i="17"/>
  <c r="I12" i="17"/>
  <c r="D12" i="17"/>
  <c r="C12" i="17"/>
  <c r="Z11" i="17"/>
  <c r="AA11" i="17" s="1"/>
  <c r="T11" i="17"/>
  <c r="V11" i="17" s="1"/>
  <c r="R11" i="17"/>
  <c r="N11" i="17"/>
  <c r="I11" i="17"/>
  <c r="D11" i="17"/>
  <c r="O11" i="17" s="1"/>
  <c r="C11" i="17"/>
  <c r="Z10" i="17"/>
  <c r="AA10" i="17" s="1"/>
  <c r="T10" i="17"/>
  <c r="V10" i="17" s="1"/>
  <c r="R10" i="17"/>
  <c r="N10" i="17"/>
  <c r="I10" i="17"/>
  <c r="D10" i="17"/>
  <c r="C10" i="17"/>
  <c r="Z9" i="17"/>
  <c r="AA9" i="17" s="1"/>
  <c r="T9" i="17"/>
  <c r="V9" i="17" s="1"/>
  <c r="R9" i="17"/>
  <c r="N9" i="17"/>
  <c r="I9" i="17"/>
  <c r="D9" i="17"/>
  <c r="C9" i="17"/>
  <c r="Z8" i="17"/>
  <c r="AA8" i="17" s="1"/>
  <c r="T8" i="17"/>
  <c r="V8" i="17" s="1"/>
  <c r="R8" i="17"/>
  <c r="N8" i="17"/>
  <c r="I8" i="17"/>
  <c r="D8" i="17"/>
  <c r="C8" i="17"/>
  <c r="Z7" i="17"/>
  <c r="AA7" i="17" s="1"/>
  <c r="T7" i="17"/>
  <c r="V7" i="17" s="1"/>
  <c r="R7" i="17"/>
  <c r="N7" i="17"/>
  <c r="I7" i="17"/>
  <c r="D7" i="17"/>
  <c r="O7" i="17" s="1"/>
  <c r="C7" i="17"/>
  <c r="Z6" i="17"/>
  <c r="AA6" i="17" s="1"/>
  <c r="T6" i="17"/>
  <c r="V6" i="17" s="1"/>
  <c r="R6" i="17"/>
  <c r="N6" i="17"/>
  <c r="I6" i="17"/>
  <c r="D6" i="17"/>
  <c r="C6" i="17"/>
  <c r="Z5" i="17"/>
  <c r="AA5" i="17" s="1"/>
  <c r="T5" i="17"/>
  <c r="V5" i="17" s="1"/>
  <c r="R5" i="17"/>
  <c r="N5" i="17"/>
  <c r="I5" i="17"/>
  <c r="D5" i="17"/>
  <c r="C5" i="17"/>
  <c r="Z4" i="17"/>
  <c r="AA4" i="17" s="1"/>
  <c r="T4" i="17"/>
  <c r="V4" i="17" s="1"/>
  <c r="R4" i="17"/>
  <c r="N4" i="17"/>
  <c r="I4" i="17"/>
  <c r="D4" i="17"/>
  <c r="C4" i="17"/>
  <c r="Z3" i="17"/>
  <c r="AA3" i="17" s="1"/>
  <c r="T3" i="17"/>
  <c r="V3" i="17" s="1"/>
  <c r="R3" i="17"/>
  <c r="N3" i="17"/>
  <c r="I3" i="17"/>
  <c r="D3" i="17"/>
  <c r="O3" i="17" s="1"/>
  <c r="C3" i="17"/>
  <c r="Z99" i="16"/>
  <c r="AA99" i="16" s="1"/>
  <c r="T99" i="16"/>
  <c r="V99" i="16" s="1"/>
  <c r="R99" i="16"/>
  <c r="N99" i="16"/>
  <c r="H99" i="16"/>
  <c r="I99" i="16" s="1"/>
  <c r="D99" i="16"/>
  <c r="C99" i="16"/>
  <c r="Z98" i="16"/>
  <c r="AA98" i="16" s="1"/>
  <c r="T98" i="16"/>
  <c r="V98" i="16" s="1"/>
  <c r="R98" i="16"/>
  <c r="N98" i="16"/>
  <c r="H98" i="16"/>
  <c r="I98" i="16" s="1"/>
  <c r="D98" i="16"/>
  <c r="C98" i="16"/>
  <c r="Z97" i="16"/>
  <c r="AA97" i="16" s="1"/>
  <c r="V97" i="16"/>
  <c r="T97" i="16"/>
  <c r="R97" i="16"/>
  <c r="N97" i="16"/>
  <c r="H97" i="16"/>
  <c r="I97" i="16" s="1"/>
  <c r="D97" i="16"/>
  <c r="C97" i="16"/>
  <c r="Z96" i="16"/>
  <c r="AA96" i="16" s="1"/>
  <c r="T96" i="16"/>
  <c r="V96" i="16" s="1"/>
  <c r="R96" i="16"/>
  <c r="N96" i="16"/>
  <c r="H96" i="16"/>
  <c r="I96" i="16" s="1"/>
  <c r="D96" i="16"/>
  <c r="C96" i="16"/>
  <c r="Z95" i="16"/>
  <c r="AA95" i="16" s="1"/>
  <c r="T95" i="16"/>
  <c r="V95" i="16" s="1"/>
  <c r="R95" i="16"/>
  <c r="N95" i="16"/>
  <c r="I95" i="16"/>
  <c r="H95" i="16"/>
  <c r="D95" i="16"/>
  <c r="C95" i="16"/>
  <c r="AA94" i="16"/>
  <c r="Z94" i="16"/>
  <c r="T94" i="16"/>
  <c r="V94" i="16" s="1"/>
  <c r="R94" i="16"/>
  <c r="N94" i="16"/>
  <c r="H94" i="16"/>
  <c r="I94" i="16" s="1"/>
  <c r="D94" i="16"/>
  <c r="C94" i="16"/>
  <c r="Z93" i="16"/>
  <c r="AA93" i="16" s="1"/>
  <c r="V93" i="16"/>
  <c r="T93" i="16"/>
  <c r="R93" i="16"/>
  <c r="N93" i="16"/>
  <c r="H93" i="16"/>
  <c r="I93" i="16" s="1"/>
  <c r="D93" i="16"/>
  <c r="C93" i="16"/>
  <c r="Z92" i="16"/>
  <c r="AA92" i="16" s="1"/>
  <c r="T92" i="16"/>
  <c r="V92" i="16" s="1"/>
  <c r="R92" i="16"/>
  <c r="N92" i="16"/>
  <c r="I92" i="16"/>
  <c r="H92" i="16"/>
  <c r="D92" i="16"/>
  <c r="C92" i="16"/>
  <c r="AA91" i="16"/>
  <c r="Z91" i="16"/>
  <c r="T91" i="16"/>
  <c r="V91" i="16" s="1"/>
  <c r="R91" i="16"/>
  <c r="N91" i="16"/>
  <c r="I91" i="16"/>
  <c r="H91" i="16"/>
  <c r="D91" i="16"/>
  <c r="C91" i="16"/>
  <c r="AA90" i="16"/>
  <c r="Z90" i="16"/>
  <c r="T90" i="16"/>
  <c r="V90" i="16" s="1"/>
  <c r="R90" i="16"/>
  <c r="N90" i="16"/>
  <c r="H90" i="16"/>
  <c r="I90" i="16" s="1"/>
  <c r="D90" i="16"/>
  <c r="O90" i="16" s="1"/>
  <c r="C90" i="16"/>
  <c r="Z89" i="16"/>
  <c r="AA89" i="16" s="1"/>
  <c r="T89" i="16"/>
  <c r="V89" i="16" s="1"/>
  <c r="R89" i="16"/>
  <c r="N89" i="16"/>
  <c r="H89" i="16"/>
  <c r="I89" i="16" s="1"/>
  <c r="D89" i="16"/>
  <c r="C89" i="16"/>
  <c r="Z88" i="16"/>
  <c r="AA88" i="16" s="1"/>
  <c r="T88" i="16"/>
  <c r="V88" i="16" s="1"/>
  <c r="R88" i="16"/>
  <c r="N88" i="16"/>
  <c r="I88" i="16"/>
  <c r="H88" i="16"/>
  <c r="D88" i="16"/>
  <c r="C88" i="16"/>
  <c r="AA87" i="16"/>
  <c r="Z87" i="16"/>
  <c r="T87" i="16"/>
  <c r="V87" i="16" s="1"/>
  <c r="R87" i="16"/>
  <c r="N87" i="16"/>
  <c r="H87" i="16"/>
  <c r="I87" i="16" s="1"/>
  <c r="D87" i="16"/>
  <c r="C87" i="16"/>
  <c r="Z86" i="16"/>
  <c r="AA86" i="16" s="1"/>
  <c r="T86" i="16"/>
  <c r="V86" i="16" s="1"/>
  <c r="R86" i="16"/>
  <c r="N86" i="16"/>
  <c r="H86" i="16"/>
  <c r="I86" i="16" s="1"/>
  <c r="D86" i="16"/>
  <c r="O86" i="16" s="1"/>
  <c r="C86" i="16"/>
  <c r="Z85" i="16"/>
  <c r="AA85" i="16" s="1"/>
  <c r="T85" i="16"/>
  <c r="V85" i="16" s="1"/>
  <c r="R85" i="16"/>
  <c r="N85" i="16"/>
  <c r="H85" i="16"/>
  <c r="I85" i="16" s="1"/>
  <c r="D85" i="16"/>
  <c r="C85" i="16"/>
  <c r="Z84" i="16"/>
  <c r="AA84" i="16" s="1"/>
  <c r="T84" i="16"/>
  <c r="V84" i="16" s="1"/>
  <c r="R84" i="16"/>
  <c r="N84" i="16"/>
  <c r="H84" i="16"/>
  <c r="I84" i="16" s="1"/>
  <c r="D84" i="16"/>
  <c r="C84" i="16"/>
  <c r="Z83" i="16"/>
  <c r="AA83" i="16" s="1"/>
  <c r="T83" i="16"/>
  <c r="V83" i="16" s="1"/>
  <c r="R83" i="16"/>
  <c r="N83" i="16"/>
  <c r="H83" i="16"/>
  <c r="I83" i="16" s="1"/>
  <c r="D83" i="16"/>
  <c r="C83" i="16"/>
  <c r="Z82" i="16"/>
  <c r="AA82" i="16" s="1"/>
  <c r="T82" i="16"/>
  <c r="V82" i="16" s="1"/>
  <c r="R82" i="16"/>
  <c r="N82" i="16"/>
  <c r="H82" i="16"/>
  <c r="I82" i="16" s="1"/>
  <c r="D82" i="16"/>
  <c r="C82" i="16"/>
  <c r="Z81" i="16"/>
  <c r="AA81" i="16" s="1"/>
  <c r="V81" i="16"/>
  <c r="T81" i="16"/>
  <c r="R81" i="16"/>
  <c r="N81" i="16"/>
  <c r="H81" i="16"/>
  <c r="I81" i="16" s="1"/>
  <c r="D81" i="16"/>
  <c r="C81" i="16"/>
  <c r="Z80" i="16"/>
  <c r="AA80" i="16" s="1"/>
  <c r="T80" i="16"/>
  <c r="V80" i="16" s="1"/>
  <c r="R80" i="16"/>
  <c r="N80" i="16"/>
  <c r="H80" i="16"/>
  <c r="I80" i="16" s="1"/>
  <c r="D80" i="16"/>
  <c r="C80" i="16"/>
  <c r="Z79" i="16"/>
  <c r="AA79" i="16" s="1"/>
  <c r="T79" i="16"/>
  <c r="V79" i="16" s="1"/>
  <c r="R79" i="16"/>
  <c r="N79" i="16"/>
  <c r="I79" i="16"/>
  <c r="H79" i="16"/>
  <c r="D79" i="16"/>
  <c r="C79" i="16"/>
  <c r="AA78" i="16"/>
  <c r="Z78" i="16"/>
  <c r="T78" i="16"/>
  <c r="V78" i="16" s="1"/>
  <c r="R78" i="16"/>
  <c r="N78" i="16"/>
  <c r="H78" i="16"/>
  <c r="I78" i="16" s="1"/>
  <c r="D78" i="16"/>
  <c r="O78" i="16" s="1"/>
  <c r="C78" i="16"/>
  <c r="Z77" i="16"/>
  <c r="AA77" i="16" s="1"/>
  <c r="T77" i="16"/>
  <c r="V77" i="16" s="1"/>
  <c r="R77" i="16"/>
  <c r="N77" i="16"/>
  <c r="H77" i="16"/>
  <c r="I77" i="16" s="1"/>
  <c r="D77" i="16"/>
  <c r="C77" i="16"/>
  <c r="Z76" i="16"/>
  <c r="AA76" i="16" s="1"/>
  <c r="T76" i="16"/>
  <c r="V76" i="16" s="1"/>
  <c r="R76" i="16"/>
  <c r="N76" i="16"/>
  <c r="I76" i="16"/>
  <c r="H76" i="16"/>
  <c r="D76" i="16"/>
  <c r="C76" i="16"/>
  <c r="AA75" i="16"/>
  <c r="Z75" i="16"/>
  <c r="T75" i="16"/>
  <c r="V75" i="16" s="1"/>
  <c r="R75" i="16"/>
  <c r="N75" i="16"/>
  <c r="H75" i="16"/>
  <c r="I75" i="16" s="1"/>
  <c r="D75" i="16"/>
  <c r="C75" i="16"/>
  <c r="Z74" i="16"/>
  <c r="AA74" i="16" s="1"/>
  <c r="T74" i="16"/>
  <c r="V74" i="16" s="1"/>
  <c r="R74" i="16"/>
  <c r="N74" i="16"/>
  <c r="H74" i="16"/>
  <c r="I74" i="16" s="1"/>
  <c r="D74" i="16"/>
  <c r="O74" i="16" s="1"/>
  <c r="C74" i="16"/>
  <c r="Z73" i="16"/>
  <c r="AA73" i="16" s="1"/>
  <c r="T73" i="16"/>
  <c r="V73" i="16" s="1"/>
  <c r="R73" i="16"/>
  <c r="N73" i="16"/>
  <c r="H73" i="16"/>
  <c r="I73" i="16" s="1"/>
  <c r="D73" i="16"/>
  <c r="C73" i="16"/>
  <c r="Z72" i="16"/>
  <c r="AA72" i="16" s="1"/>
  <c r="T72" i="16"/>
  <c r="V72" i="16" s="1"/>
  <c r="R72" i="16"/>
  <c r="N72" i="16"/>
  <c r="H72" i="16"/>
  <c r="I72" i="16" s="1"/>
  <c r="D72" i="16"/>
  <c r="C72" i="16"/>
  <c r="Z71" i="16"/>
  <c r="AA71" i="16" s="1"/>
  <c r="T71" i="16"/>
  <c r="V71" i="16" s="1"/>
  <c r="R71" i="16"/>
  <c r="N71" i="16"/>
  <c r="H71" i="16"/>
  <c r="I71" i="16" s="1"/>
  <c r="D71" i="16"/>
  <c r="C71" i="16"/>
  <c r="Z70" i="16"/>
  <c r="AA70" i="16" s="1"/>
  <c r="T70" i="16"/>
  <c r="V70" i="16" s="1"/>
  <c r="R70" i="16"/>
  <c r="N70" i="16"/>
  <c r="H70" i="16"/>
  <c r="I70" i="16" s="1"/>
  <c r="D70" i="16"/>
  <c r="C70" i="16"/>
  <c r="Z69" i="16"/>
  <c r="AA69" i="16" s="1"/>
  <c r="V69" i="16"/>
  <c r="T69" i="16"/>
  <c r="R69" i="16"/>
  <c r="N69" i="16"/>
  <c r="H69" i="16"/>
  <c r="I69" i="16" s="1"/>
  <c r="D69" i="16"/>
  <c r="C69" i="16"/>
  <c r="Z68" i="16"/>
  <c r="AA68" i="16" s="1"/>
  <c r="T68" i="16"/>
  <c r="V68" i="16" s="1"/>
  <c r="R68" i="16"/>
  <c r="N68" i="16"/>
  <c r="H68" i="16"/>
  <c r="I68" i="16" s="1"/>
  <c r="D68" i="16"/>
  <c r="C68" i="16"/>
  <c r="Z67" i="16"/>
  <c r="AA67" i="16" s="1"/>
  <c r="T67" i="16"/>
  <c r="V67" i="16" s="1"/>
  <c r="R67" i="16"/>
  <c r="N67" i="16"/>
  <c r="I67" i="16"/>
  <c r="H67" i="16"/>
  <c r="D67" i="16"/>
  <c r="C67" i="16"/>
  <c r="AA66" i="16"/>
  <c r="Z66" i="16"/>
  <c r="T66" i="16"/>
  <c r="V66" i="16" s="1"/>
  <c r="R66" i="16"/>
  <c r="N66" i="16"/>
  <c r="H66" i="16"/>
  <c r="I66" i="16" s="1"/>
  <c r="D66" i="16"/>
  <c r="C66" i="16"/>
  <c r="Z65" i="16"/>
  <c r="AA65" i="16" s="1"/>
  <c r="V65" i="16"/>
  <c r="T65" i="16"/>
  <c r="R65" i="16"/>
  <c r="N65" i="16"/>
  <c r="H65" i="16"/>
  <c r="I65" i="16" s="1"/>
  <c r="D65" i="16"/>
  <c r="C65" i="16"/>
  <c r="Z64" i="16"/>
  <c r="AA64" i="16" s="1"/>
  <c r="T64" i="16"/>
  <c r="V64" i="16" s="1"/>
  <c r="R64" i="16"/>
  <c r="N64" i="16"/>
  <c r="I64" i="16"/>
  <c r="H64" i="16"/>
  <c r="D64" i="16"/>
  <c r="C64" i="16"/>
  <c r="AA63" i="16"/>
  <c r="Z63" i="16"/>
  <c r="T63" i="16"/>
  <c r="V63" i="16" s="1"/>
  <c r="R63" i="16"/>
  <c r="N63" i="16"/>
  <c r="I63" i="16"/>
  <c r="H63" i="16"/>
  <c r="D63" i="16"/>
  <c r="C63" i="16"/>
  <c r="AA62" i="16"/>
  <c r="Z62" i="16"/>
  <c r="T62" i="16"/>
  <c r="V62" i="16" s="1"/>
  <c r="R62" i="16"/>
  <c r="N62" i="16"/>
  <c r="H62" i="16"/>
  <c r="I62" i="16" s="1"/>
  <c r="D62" i="16"/>
  <c r="O62" i="16" s="1"/>
  <c r="C62" i="16"/>
  <c r="Z61" i="16"/>
  <c r="AA61" i="16" s="1"/>
  <c r="T61" i="16"/>
  <c r="V61" i="16" s="1"/>
  <c r="R61" i="16"/>
  <c r="N61" i="16"/>
  <c r="H61" i="16"/>
  <c r="I61" i="16" s="1"/>
  <c r="D61" i="16"/>
  <c r="C61" i="16"/>
  <c r="Z60" i="16"/>
  <c r="AA60" i="16" s="1"/>
  <c r="T60" i="16"/>
  <c r="V60" i="16" s="1"/>
  <c r="R60" i="16"/>
  <c r="N60" i="16"/>
  <c r="I60" i="16"/>
  <c r="H60" i="16"/>
  <c r="D60" i="16"/>
  <c r="C60" i="16"/>
  <c r="AA59" i="16"/>
  <c r="Z59" i="16"/>
  <c r="T59" i="16"/>
  <c r="V59" i="16" s="1"/>
  <c r="R59" i="16"/>
  <c r="N59" i="16"/>
  <c r="H59" i="16"/>
  <c r="I59" i="16" s="1"/>
  <c r="D59" i="16"/>
  <c r="C59" i="16"/>
  <c r="Z58" i="16"/>
  <c r="AA58" i="16" s="1"/>
  <c r="T58" i="16"/>
  <c r="V58" i="16" s="1"/>
  <c r="R58" i="16"/>
  <c r="N58" i="16"/>
  <c r="H58" i="16"/>
  <c r="I58" i="16" s="1"/>
  <c r="D58" i="16"/>
  <c r="O58" i="16" s="1"/>
  <c r="C58" i="16"/>
  <c r="Z57" i="16"/>
  <c r="AA57" i="16" s="1"/>
  <c r="T57" i="16"/>
  <c r="V57" i="16" s="1"/>
  <c r="R57" i="16"/>
  <c r="N57" i="16"/>
  <c r="H57" i="16"/>
  <c r="I57" i="16" s="1"/>
  <c r="D57" i="16"/>
  <c r="C57" i="16"/>
  <c r="Z56" i="16"/>
  <c r="AA56" i="16" s="1"/>
  <c r="T56" i="16"/>
  <c r="V56" i="16" s="1"/>
  <c r="R56" i="16"/>
  <c r="N56" i="16"/>
  <c r="H56" i="16"/>
  <c r="I56" i="16" s="1"/>
  <c r="D56" i="16"/>
  <c r="C56" i="16"/>
  <c r="Z55" i="16"/>
  <c r="AA55" i="16" s="1"/>
  <c r="T55" i="16"/>
  <c r="V55" i="16" s="1"/>
  <c r="R55" i="16"/>
  <c r="N55" i="16"/>
  <c r="H55" i="16"/>
  <c r="I55" i="16" s="1"/>
  <c r="D55" i="16"/>
  <c r="C55" i="16"/>
  <c r="Z54" i="16"/>
  <c r="AA54" i="16" s="1"/>
  <c r="T54" i="16"/>
  <c r="V54" i="16" s="1"/>
  <c r="R54" i="16"/>
  <c r="N54" i="16"/>
  <c r="H54" i="16"/>
  <c r="I54" i="16" s="1"/>
  <c r="D54" i="16"/>
  <c r="C54" i="16"/>
  <c r="Z53" i="16"/>
  <c r="AA53" i="16" s="1"/>
  <c r="V53" i="16"/>
  <c r="T53" i="16"/>
  <c r="R53" i="16"/>
  <c r="N53" i="16"/>
  <c r="H53" i="16"/>
  <c r="I53" i="16" s="1"/>
  <c r="D53" i="16"/>
  <c r="C53" i="16"/>
  <c r="Z52" i="16"/>
  <c r="AA52" i="16" s="1"/>
  <c r="T52" i="16"/>
  <c r="V52" i="16" s="1"/>
  <c r="R52" i="16"/>
  <c r="N52" i="16"/>
  <c r="I52" i="16"/>
  <c r="H52" i="16"/>
  <c r="D52" i="16"/>
  <c r="C52" i="16"/>
  <c r="AA51" i="16"/>
  <c r="Z51" i="16"/>
  <c r="T51" i="16"/>
  <c r="V51" i="16" s="1"/>
  <c r="R51" i="16"/>
  <c r="N51" i="16"/>
  <c r="H51" i="16"/>
  <c r="I51" i="16" s="1"/>
  <c r="D51" i="16"/>
  <c r="C51" i="16"/>
  <c r="Z50" i="16"/>
  <c r="AA50" i="16" s="1"/>
  <c r="T50" i="16"/>
  <c r="V50" i="16" s="1"/>
  <c r="R50" i="16"/>
  <c r="N50" i="16"/>
  <c r="H50" i="16"/>
  <c r="I50" i="16" s="1"/>
  <c r="D50" i="16"/>
  <c r="C50" i="16"/>
  <c r="Z49" i="16"/>
  <c r="AA49" i="16" s="1"/>
  <c r="V49" i="16"/>
  <c r="T49" i="16"/>
  <c r="R49" i="16"/>
  <c r="N49" i="16"/>
  <c r="H49" i="16"/>
  <c r="I49" i="16" s="1"/>
  <c r="D49" i="16"/>
  <c r="C49" i="16"/>
  <c r="Z48" i="16"/>
  <c r="AA48" i="16" s="1"/>
  <c r="T48" i="16"/>
  <c r="V48" i="16" s="1"/>
  <c r="R48" i="16"/>
  <c r="N48" i="16"/>
  <c r="I48" i="16"/>
  <c r="H48" i="16"/>
  <c r="D48" i="16"/>
  <c r="C48" i="16"/>
  <c r="AA47" i="16"/>
  <c r="Z47" i="16"/>
  <c r="T47" i="16"/>
  <c r="V47" i="16" s="1"/>
  <c r="R47" i="16"/>
  <c r="N47" i="16"/>
  <c r="H47" i="16"/>
  <c r="I47" i="16" s="1"/>
  <c r="D47" i="16"/>
  <c r="C47" i="16"/>
  <c r="Z46" i="16"/>
  <c r="AA46" i="16" s="1"/>
  <c r="T46" i="16"/>
  <c r="V46" i="16" s="1"/>
  <c r="R46" i="16"/>
  <c r="N46" i="16"/>
  <c r="H46" i="16"/>
  <c r="I46" i="16" s="1"/>
  <c r="D46" i="16"/>
  <c r="C46" i="16"/>
  <c r="Z45" i="16"/>
  <c r="AA45" i="16" s="1"/>
  <c r="V45" i="16"/>
  <c r="T45" i="16"/>
  <c r="R45" i="16"/>
  <c r="N45" i="16"/>
  <c r="H45" i="16"/>
  <c r="I45" i="16" s="1"/>
  <c r="D45" i="16"/>
  <c r="C45" i="16"/>
  <c r="Z44" i="16"/>
  <c r="AA44" i="16" s="1"/>
  <c r="T44" i="16"/>
  <c r="V44" i="16" s="1"/>
  <c r="R44" i="16"/>
  <c r="N44" i="16"/>
  <c r="I44" i="16"/>
  <c r="H44" i="16"/>
  <c r="D44" i="16"/>
  <c r="C44" i="16"/>
  <c r="AA43" i="16"/>
  <c r="Z43" i="16"/>
  <c r="T43" i="16"/>
  <c r="V43" i="16" s="1"/>
  <c r="R43" i="16"/>
  <c r="N43" i="16"/>
  <c r="H43" i="16"/>
  <c r="I43" i="16" s="1"/>
  <c r="D43" i="16"/>
  <c r="C43" i="16"/>
  <c r="Z42" i="16"/>
  <c r="AA42" i="16" s="1"/>
  <c r="T42" i="16"/>
  <c r="V42" i="16" s="1"/>
  <c r="R42" i="16"/>
  <c r="N42" i="16"/>
  <c r="H42" i="16"/>
  <c r="I42" i="16" s="1"/>
  <c r="D42" i="16"/>
  <c r="C42" i="16"/>
  <c r="Z41" i="16"/>
  <c r="AA41" i="16" s="1"/>
  <c r="V41" i="16"/>
  <c r="T41" i="16"/>
  <c r="R41" i="16"/>
  <c r="N41" i="16"/>
  <c r="H41" i="16"/>
  <c r="I41" i="16" s="1"/>
  <c r="D41" i="16"/>
  <c r="C41" i="16"/>
  <c r="Z40" i="16"/>
  <c r="AA40" i="16" s="1"/>
  <c r="T40" i="16"/>
  <c r="V40" i="16" s="1"/>
  <c r="R40" i="16"/>
  <c r="N40" i="16"/>
  <c r="I40" i="16"/>
  <c r="H40" i="16"/>
  <c r="D40" i="16"/>
  <c r="C40" i="16"/>
  <c r="AA39" i="16"/>
  <c r="Z39" i="16"/>
  <c r="T39" i="16"/>
  <c r="V39" i="16" s="1"/>
  <c r="R39" i="16"/>
  <c r="N39" i="16"/>
  <c r="H39" i="16"/>
  <c r="I39" i="16" s="1"/>
  <c r="D39" i="16"/>
  <c r="C39" i="16"/>
  <c r="Z38" i="16"/>
  <c r="AA38" i="16" s="1"/>
  <c r="T38" i="16"/>
  <c r="V38" i="16" s="1"/>
  <c r="R38" i="16"/>
  <c r="N38" i="16"/>
  <c r="H38" i="16"/>
  <c r="I38" i="16" s="1"/>
  <c r="D38" i="16"/>
  <c r="C38" i="16"/>
  <c r="Z37" i="16"/>
  <c r="AA37" i="16" s="1"/>
  <c r="T37" i="16"/>
  <c r="V37" i="16" s="1"/>
  <c r="R37" i="16"/>
  <c r="N37" i="16"/>
  <c r="H37" i="16"/>
  <c r="I37" i="16" s="1"/>
  <c r="D37" i="16"/>
  <c r="C37" i="16"/>
  <c r="Z36" i="16"/>
  <c r="AA36" i="16" s="1"/>
  <c r="T36" i="16"/>
  <c r="V36" i="16" s="1"/>
  <c r="R36" i="16"/>
  <c r="N36" i="16"/>
  <c r="I36" i="16"/>
  <c r="H36" i="16"/>
  <c r="D36" i="16"/>
  <c r="C36" i="16"/>
  <c r="AA35" i="16"/>
  <c r="Z35" i="16"/>
  <c r="T35" i="16"/>
  <c r="V35" i="16" s="1"/>
  <c r="R35" i="16"/>
  <c r="N35" i="16"/>
  <c r="I35" i="16"/>
  <c r="D35" i="16"/>
  <c r="C35" i="16"/>
  <c r="Z34" i="16"/>
  <c r="AA34" i="16" s="1"/>
  <c r="T34" i="16"/>
  <c r="V34" i="16" s="1"/>
  <c r="R34" i="16"/>
  <c r="N34" i="16"/>
  <c r="I34" i="16"/>
  <c r="D34" i="16"/>
  <c r="C34" i="16"/>
  <c r="AA33" i="16"/>
  <c r="Z33" i="16"/>
  <c r="T33" i="16"/>
  <c r="V33" i="16" s="1"/>
  <c r="R33" i="16"/>
  <c r="N33" i="16"/>
  <c r="I33" i="16"/>
  <c r="D33" i="16"/>
  <c r="C33" i="16"/>
  <c r="Z32" i="16"/>
  <c r="AA32" i="16" s="1"/>
  <c r="T32" i="16"/>
  <c r="V32" i="16" s="1"/>
  <c r="R32" i="16"/>
  <c r="N32" i="16"/>
  <c r="I32" i="16"/>
  <c r="D32" i="16"/>
  <c r="C32" i="16"/>
  <c r="AA31" i="16"/>
  <c r="Z31" i="16"/>
  <c r="T31" i="16"/>
  <c r="V31" i="16" s="1"/>
  <c r="R31" i="16"/>
  <c r="N31" i="16"/>
  <c r="I31" i="16"/>
  <c r="D31" i="16"/>
  <c r="C31" i="16"/>
  <c r="Z30" i="16"/>
  <c r="AA30" i="16" s="1"/>
  <c r="T30" i="16"/>
  <c r="V30" i="16" s="1"/>
  <c r="R30" i="16"/>
  <c r="N30" i="16"/>
  <c r="I30" i="16"/>
  <c r="D30" i="16"/>
  <c r="C30" i="16"/>
  <c r="AA29" i="16"/>
  <c r="Z29" i="16"/>
  <c r="T29" i="16"/>
  <c r="V29" i="16" s="1"/>
  <c r="R29" i="16"/>
  <c r="N29" i="16"/>
  <c r="I29" i="16"/>
  <c r="D29" i="16"/>
  <c r="C29" i="16"/>
  <c r="Z28" i="16"/>
  <c r="AA28" i="16" s="1"/>
  <c r="T28" i="16"/>
  <c r="V28" i="16" s="1"/>
  <c r="R28" i="16"/>
  <c r="N28" i="16"/>
  <c r="I28" i="16"/>
  <c r="D28" i="16"/>
  <c r="C28" i="16"/>
  <c r="AA27" i="16"/>
  <c r="Z27" i="16"/>
  <c r="T27" i="16"/>
  <c r="V27" i="16" s="1"/>
  <c r="R27" i="16"/>
  <c r="N27" i="16"/>
  <c r="I27" i="16"/>
  <c r="D27" i="16"/>
  <c r="C27" i="16"/>
  <c r="Z26" i="16"/>
  <c r="AA26" i="16" s="1"/>
  <c r="T26" i="16"/>
  <c r="V26" i="16" s="1"/>
  <c r="R26" i="16"/>
  <c r="N26" i="16"/>
  <c r="I26" i="16"/>
  <c r="D26" i="16"/>
  <c r="C26" i="16"/>
  <c r="AA25" i="16"/>
  <c r="Z25" i="16"/>
  <c r="T25" i="16"/>
  <c r="V25" i="16" s="1"/>
  <c r="R25" i="16"/>
  <c r="N25" i="16"/>
  <c r="I25" i="16"/>
  <c r="D25" i="16"/>
  <c r="C25" i="16"/>
  <c r="Z24" i="16"/>
  <c r="AA24" i="16" s="1"/>
  <c r="T24" i="16"/>
  <c r="V24" i="16" s="1"/>
  <c r="R24" i="16"/>
  <c r="N24" i="16"/>
  <c r="I24" i="16"/>
  <c r="D24" i="16"/>
  <c r="C24" i="16"/>
  <c r="AA23" i="16"/>
  <c r="Z23" i="16"/>
  <c r="T23" i="16"/>
  <c r="V23" i="16" s="1"/>
  <c r="R23" i="16"/>
  <c r="N23" i="16"/>
  <c r="I23" i="16"/>
  <c r="D23" i="16"/>
  <c r="C23" i="16"/>
  <c r="Z22" i="16"/>
  <c r="AA22" i="16" s="1"/>
  <c r="T22" i="16"/>
  <c r="V22" i="16" s="1"/>
  <c r="R22" i="16"/>
  <c r="N22" i="16"/>
  <c r="I22" i="16"/>
  <c r="D22" i="16"/>
  <c r="C22" i="16"/>
  <c r="AA21" i="16"/>
  <c r="Z21" i="16"/>
  <c r="T21" i="16"/>
  <c r="V21" i="16" s="1"/>
  <c r="R21" i="16"/>
  <c r="N21" i="16"/>
  <c r="I21" i="16"/>
  <c r="D21" i="16"/>
  <c r="C21" i="16"/>
  <c r="Z20" i="16"/>
  <c r="AA20" i="16" s="1"/>
  <c r="T20" i="16"/>
  <c r="V20" i="16" s="1"/>
  <c r="R20" i="16"/>
  <c r="N20" i="16"/>
  <c r="I20" i="16"/>
  <c r="D20" i="16"/>
  <c r="C20" i="16"/>
  <c r="AA19" i="16"/>
  <c r="Z19" i="16"/>
  <c r="T19" i="16"/>
  <c r="V19" i="16" s="1"/>
  <c r="R19" i="16"/>
  <c r="N19" i="16"/>
  <c r="I19" i="16"/>
  <c r="D19" i="16"/>
  <c r="C19" i="16"/>
  <c r="Z18" i="16"/>
  <c r="AA18" i="16" s="1"/>
  <c r="T18" i="16"/>
  <c r="V18" i="16" s="1"/>
  <c r="R18" i="16"/>
  <c r="N18" i="16"/>
  <c r="I18" i="16"/>
  <c r="D18" i="16"/>
  <c r="C18" i="16"/>
  <c r="AA17" i="16"/>
  <c r="Z17" i="16"/>
  <c r="T17" i="16"/>
  <c r="V17" i="16" s="1"/>
  <c r="R17" i="16"/>
  <c r="N17" i="16"/>
  <c r="I17" i="16"/>
  <c r="D17" i="16"/>
  <c r="C17" i="16"/>
  <c r="Z16" i="16"/>
  <c r="AA16" i="16" s="1"/>
  <c r="T16" i="16"/>
  <c r="V16" i="16" s="1"/>
  <c r="R16" i="16"/>
  <c r="N16" i="16"/>
  <c r="I16" i="16"/>
  <c r="D16" i="16"/>
  <c r="C16" i="16"/>
  <c r="AA15" i="16"/>
  <c r="Z15" i="16"/>
  <c r="T15" i="16"/>
  <c r="V15" i="16" s="1"/>
  <c r="R15" i="16"/>
  <c r="N15" i="16"/>
  <c r="I15" i="16"/>
  <c r="D15" i="16"/>
  <c r="C15" i="16"/>
  <c r="Z14" i="16"/>
  <c r="AA14" i="16" s="1"/>
  <c r="T14" i="16"/>
  <c r="V14" i="16" s="1"/>
  <c r="R14" i="16"/>
  <c r="N14" i="16"/>
  <c r="I14" i="16"/>
  <c r="D14" i="16"/>
  <c r="C14" i="16"/>
  <c r="AA13" i="16"/>
  <c r="Z13" i="16"/>
  <c r="T13" i="16"/>
  <c r="V13" i="16" s="1"/>
  <c r="R13" i="16"/>
  <c r="N13" i="16"/>
  <c r="I13" i="16"/>
  <c r="D13" i="16"/>
  <c r="C13" i="16"/>
  <c r="Z12" i="16"/>
  <c r="AA12" i="16" s="1"/>
  <c r="T12" i="16"/>
  <c r="V12" i="16" s="1"/>
  <c r="R12" i="16"/>
  <c r="N12" i="16"/>
  <c r="I12" i="16"/>
  <c r="D12" i="16"/>
  <c r="C12" i="16"/>
  <c r="AA11" i="16"/>
  <c r="Z11" i="16"/>
  <c r="T11" i="16"/>
  <c r="V11" i="16" s="1"/>
  <c r="R11" i="16"/>
  <c r="N11" i="16"/>
  <c r="I11" i="16"/>
  <c r="D11" i="16"/>
  <c r="C11" i="16"/>
  <c r="Z10" i="16"/>
  <c r="AA10" i="16" s="1"/>
  <c r="T10" i="16"/>
  <c r="V10" i="16" s="1"/>
  <c r="R10" i="16"/>
  <c r="N10" i="16"/>
  <c r="I10" i="16"/>
  <c r="D10" i="16"/>
  <c r="C10" i="16"/>
  <c r="AA9" i="16"/>
  <c r="Z9" i="16"/>
  <c r="T9" i="16"/>
  <c r="V9" i="16" s="1"/>
  <c r="R9" i="16"/>
  <c r="N9" i="16"/>
  <c r="I9" i="16"/>
  <c r="D9" i="16"/>
  <c r="C9" i="16"/>
  <c r="Z8" i="16"/>
  <c r="AA8" i="16" s="1"/>
  <c r="T8" i="16"/>
  <c r="V8" i="16" s="1"/>
  <c r="R8" i="16"/>
  <c r="N8" i="16"/>
  <c r="I8" i="16"/>
  <c r="D8" i="16"/>
  <c r="C8" i="16"/>
  <c r="AA7" i="16"/>
  <c r="Z7" i="16"/>
  <c r="T7" i="16"/>
  <c r="V7" i="16" s="1"/>
  <c r="R7" i="16"/>
  <c r="N7" i="16"/>
  <c r="I7" i="16"/>
  <c r="D7" i="16"/>
  <c r="C7" i="16"/>
  <c r="Z6" i="16"/>
  <c r="AA6" i="16" s="1"/>
  <c r="T6" i="16"/>
  <c r="V6" i="16" s="1"/>
  <c r="R6" i="16"/>
  <c r="N6" i="16"/>
  <c r="I6" i="16"/>
  <c r="D6" i="16"/>
  <c r="C6" i="16"/>
  <c r="AA5" i="16"/>
  <c r="Z5" i="16"/>
  <c r="T5" i="16"/>
  <c r="V5" i="16" s="1"/>
  <c r="R5" i="16"/>
  <c r="N5" i="16"/>
  <c r="I5" i="16"/>
  <c r="D5" i="16"/>
  <c r="C5" i="16"/>
  <c r="Z4" i="16"/>
  <c r="AA4" i="16" s="1"/>
  <c r="T4" i="16"/>
  <c r="V4" i="16" s="1"/>
  <c r="R4" i="16"/>
  <c r="N4" i="16"/>
  <c r="I4" i="16"/>
  <c r="D4" i="16"/>
  <c r="C4" i="16"/>
  <c r="AA3" i="16"/>
  <c r="Z3" i="16"/>
  <c r="T3" i="16"/>
  <c r="V3" i="16" s="1"/>
  <c r="R3" i="16"/>
  <c r="N3" i="16"/>
  <c r="I3" i="16"/>
  <c r="D3" i="16"/>
  <c r="C3" i="16"/>
  <c r="Z99" i="15"/>
  <c r="AA99" i="15" s="1"/>
  <c r="T99" i="15"/>
  <c r="V99" i="15" s="1"/>
  <c r="R99" i="15"/>
  <c r="N99" i="15"/>
  <c r="H99" i="15"/>
  <c r="I99" i="15" s="1"/>
  <c r="D99" i="15"/>
  <c r="C99" i="15"/>
  <c r="Z98" i="15"/>
  <c r="AA98" i="15" s="1"/>
  <c r="T98" i="15"/>
  <c r="V98" i="15" s="1"/>
  <c r="R98" i="15"/>
  <c r="N98" i="15"/>
  <c r="I98" i="15"/>
  <c r="H98" i="15"/>
  <c r="D98" i="15"/>
  <c r="C98" i="15"/>
  <c r="AA97" i="15"/>
  <c r="Z97" i="15"/>
  <c r="T97" i="15"/>
  <c r="V97" i="15" s="1"/>
  <c r="R97" i="15"/>
  <c r="N97" i="15"/>
  <c r="H97" i="15"/>
  <c r="I97" i="15" s="1"/>
  <c r="D97" i="15"/>
  <c r="C97" i="15"/>
  <c r="Z96" i="15"/>
  <c r="AA96" i="15" s="1"/>
  <c r="T96" i="15"/>
  <c r="V96" i="15" s="1"/>
  <c r="R96" i="15"/>
  <c r="N96" i="15"/>
  <c r="H96" i="15"/>
  <c r="I96" i="15" s="1"/>
  <c r="D96" i="15"/>
  <c r="C96" i="15"/>
  <c r="Z95" i="15"/>
  <c r="AA95" i="15" s="1"/>
  <c r="V95" i="15"/>
  <c r="T95" i="15"/>
  <c r="R95" i="15"/>
  <c r="N95" i="15"/>
  <c r="H95" i="15"/>
  <c r="I95" i="15" s="1"/>
  <c r="D95" i="15"/>
  <c r="C95" i="15"/>
  <c r="Z94" i="15"/>
  <c r="AA94" i="15" s="1"/>
  <c r="T94" i="15"/>
  <c r="V94" i="15" s="1"/>
  <c r="R94" i="15"/>
  <c r="N94" i="15"/>
  <c r="H94" i="15"/>
  <c r="I94" i="15" s="1"/>
  <c r="D94" i="15"/>
  <c r="C94" i="15"/>
  <c r="Z93" i="15"/>
  <c r="AA93" i="15" s="1"/>
  <c r="T93" i="15"/>
  <c r="V93" i="15" s="1"/>
  <c r="R93" i="15"/>
  <c r="N93" i="15"/>
  <c r="H93" i="15"/>
  <c r="I93" i="15" s="1"/>
  <c r="D93" i="15"/>
  <c r="C93" i="15"/>
  <c r="Z92" i="15"/>
  <c r="AA92" i="15" s="1"/>
  <c r="T92" i="15"/>
  <c r="V92" i="15" s="1"/>
  <c r="R92" i="15"/>
  <c r="N92" i="15"/>
  <c r="H92" i="15"/>
  <c r="I92" i="15" s="1"/>
  <c r="D92" i="15"/>
  <c r="O92" i="15" s="1"/>
  <c r="C92" i="15"/>
  <c r="Z91" i="15"/>
  <c r="AA91" i="15" s="1"/>
  <c r="T91" i="15"/>
  <c r="V91" i="15" s="1"/>
  <c r="R91" i="15"/>
  <c r="N91" i="15"/>
  <c r="H91" i="15"/>
  <c r="I91" i="15" s="1"/>
  <c r="D91" i="15"/>
  <c r="C91" i="15"/>
  <c r="Z90" i="15"/>
  <c r="AA90" i="15" s="1"/>
  <c r="T90" i="15"/>
  <c r="V90" i="15" s="1"/>
  <c r="R90" i="15"/>
  <c r="N90" i="15"/>
  <c r="I90" i="15"/>
  <c r="H90" i="15"/>
  <c r="D90" i="15"/>
  <c r="C90" i="15"/>
  <c r="AA89" i="15"/>
  <c r="Z89" i="15"/>
  <c r="T89" i="15"/>
  <c r="V89" i="15" s="1"/>
  <c r="R89" i="15"/>
  <c r="N89" i="15"/>
  <c r="H89" i="15"/>
  <c r="I89" i="15" s="1"/>
  <c r="D89" i="15"/>
  <c r="C89" i="15"/>
  <c r="Z88" i="15"/>
  <c r="AA88" i="15" s="1"/>
  <c r="T88" i="15"/>
  <c r="V88" i="15" s="1"/>
  <c r="R88" i="15"/>
  <c r="N88" i="15"/>
  <c r="H88" i="15"/>
  <c r="I88" i="15" s="1"/>
  <c r="D88" i="15"/>
  <c r="O88" i="15" s="1"/>
  <c r="C88" i="15"/>
  <c r="Z87" i="15"/>
  <c r="AA87" i="15" s="1"/>
  <c r="V87" i="15"/>
  <c r="T87" i="15"/>
  <c r="R87" i="15"/>
  <c r="N87" i="15"/>
  <c r="H87" i="15"/>
  <c r="I87" i="15" s="1"/>
  <c r="D87" i="15"/>
  <c r="C87" i="15"/>
  <c r="Z86" i="15"/>
  <c r="AA86" i="15" s="1"/>
  <c r="T86" i="15"/>
  <c r="V86" i="15" s="1"/>
  <c r="R86" i="15"/>
  <c r="N86" i="15"/>
  <c r="H86" i="15"/>
  <c r="I86" i="15" s="1"/>
  <c r="D86" i="15"/>
  <c r="C86" i="15"/>
  <c r="Z85" i="15"/>
  <c r="AA85" i="15" s="1"/>
  <c r="T85" i="15"/>
  <c r="V85" i="15" s="1"/>
  <c r="R85" i="15"/>
  <c r="N85" i="15"/>
  <c r="H85" i="15"/>
  <c r="I85" i="15" s="1"/>
  <c r="D85" i="15"/>
  <c r="C85" i="15"/>
  <c r="Z84" i="15"/>
  <c r="AA84" i="15" s="1"/>
  <c r="T84" i="15"/>
  <c r="V84" i="15" s="1"/>
  <c r="R84" i="15"/>
  <c r="N84" i="15"/>
  <c r="H84" i="15"/>
  <c r="I84" i="15" s="1"/>
  <c r="D84" i="15"/>
  <c r="C84" i="15"/>
  <c r="Z83" i="15"/>
  <c r="AA83" i="15" s="1"/>
  <c r="T83" i="15"/>
  <c r="V83" i="15" s="1"/>
  <c r="R83" i="15"/>
  <c r="N83" i="15"/>
  <c r="H83" i="15"/>
  <c r="I83" i="15" s="1"/>
  <c r="D83" i="15"/>
  <c r="C83" i="15"/>
  <c r="Z82" i="15"/>
  <c r="AA82" i="15" s="1"/>
  <c r="T82" i="15"/>
  <c r="V82" i="15" s="1"/>
  <c r="R82" i="15"/>
  <c r="N82" i="15"/>
  <c r="I82" i="15"/>
  <c r="H82" i="15"/>
  <c r="D82" i="15"/>
  <c r="C82" i="15"/>
  <c r="AA81" i="15"/>
  <c r="Z81" i="15"/>
  <c r="T81" i="15"/>
  <c r="V81" i="15" s="1"/>
  <c r="R81" i="15"/>
  <c r="N81" i="15"/>
  <c r="H81" i="15"/>
  <c r="I81" i="15" s="1"/>
  <c r="D81" i="15"/>
  <c r="C81" i="15"/>
  <c r="Z80" i="15"/>
  <c r="AA80" i="15" s="1"/>
  <c r="T80" i="15"/>
  <c r="V80" i="15" s="1"/>
  <c r="R80" i="15"/>
  <c r="N80" i="15"/>
  <c r="H80" i="15"/>
  <c r="I80" i="15" s="1"/>
  <c r="D80" i="15"/>
  <c r="C80" i="15"/>
  <c r="Z79" i="15"/>
  <c r="AA79" i="15" s="1"/>
  <c r="V79" i="15"/>
  <c r="T79" i="15"/>
  <c r="R79" i="15"/>
  <c r="N79" i="15"/>
  <c r="H79" i="15"/>
  <c r="I79" i="15" s="1"/>
  <c r="D79" i="15"/>
  <c r="C79" i="15"/>
  <c r="Z78" i="15"/>
  <c r="AA78" i="15" s="1"/>
  <c r="T78" i="15"/>
  <c r="V78" i="15" s="1"/>
  <c r="R78" i="15"/>
  <c r="N78" i="15"/>
  <c r="H78" i="15"/>
  <c r="I78" i="15" s="1"/>
  <c r="D78" i="15"/>
  <c r="C78" i="15"/>
  <c r="Z77" i="15"/>
  <c r="AA77" i="15" s="1"/>
  <c r="T77" i="15"/>
  <c r="V77" i="15" s="1"/>
  <c r="R77" i="15"/>
  <c r="N77" i="15"/>
  <c r="H77" i="15"/>
  <c r="I77" i="15" s="1"/>
  <c r="D77" i="15"/>
  <c r="C77" i="15"/>
  <c r="Z76" i="15"/>
  <c r="AA76" i="15" s="1"/>
  <c r="T76" i="15"/>
  <c r="V76" i="15" s="1"/>
  <c r="R76" i="15"/>
  <c r="N76" i="15"/>
  <c r="H76" i="15"/>
  <c r="I76" i="15" s="1"/>
  <c r="D76" i="15"/>
  <c r="O76" i="15" s="1"/>
  <c r="C76" i="15"/>
  <c r="Z75" i="15"/>
  <c r="AA75" i="15" s="1"/>
  <c r="T75" i="15"/>
  <c r="V75" i="15" s="1"/>
  <c r="R75" i="15"/>
  <c r="N75" i="15"/>
  <c r="H75" i="15"/>
  <c r="I75" i="15" s="1"/>
  <c r="D75" i="15"/>
  <c r="C75" i="15"/>
  <c r="Z74" i="15"/>
  <c r="AA74" i="15" s="1"/>
  <c r="T74" i="15"/>
  <c r="V74" i="15" s="1"/>
  <c r="R74" i="15"/>
  <c r="N74" i="15"/>
  <c r="I74" i="15"/>
  <c r="H74" i="15"/>
  <c r="D74" i="15"/>
  <c r="C74" i="15"/>
  <c r="AA73" i="15"/>
  <c r="Z73" i="15"/>
  <c r="T73" i="15"/>
  <c r="V73" i="15" s="1"/>
  <c r="R73" i="15"/>
  <c r="N73" i="15"/>
  <c r="H73" i="15"/>
  <c r="I73" i="15" s="1"/>
  <c r="D73" i="15"/>
  <c r="C73" i="15"/>
  <c r="Z72" i="15"/>
  <c r="AA72" i="15" s="1"/>
  <c r="T72" i="15"/>
  <c r="V72" i="15" s="1"/>
  <c r="R72" i="15"/>
  <c r="N72" i="15"/>
  <c r="H72" i="15"/>
  <c r="I72" i="15" s="1"/>
  <c r="D72" i="15"/>
  <c r="O72" i="15" s="1"/>
  <c r="C72" i="15"/>
  <c r="Z71" i="15"/>
  <c r="AA71" i="15" s="1"/>
  <c r="V71" i="15"/>
  <c r="T71" i="15"/>
  <c r="R71" i="15"/>
  <c r="N71" i="15"/>
  <c r="H71" i="15"/>
  <c r="I71" i="15" s="1"/>
  <c r="D71" i="15"/>
  <c r="C71" i="15"/>
  <c r="Z70" i="15"/>
  <c r="AA70" i="15" s="1"/>
  <c r="T70" i="15"/>
  <c r="V70" i="15" s="1"/>
  <c r="R70" i="15"/>
  <c r="N70" i="15"/>
  <c r="H70" i="15"/>
  <c r="I70" i="15" s="1"/>
  <c r="D70" i="15"/>
  <c r="C70" i="15"/>
  <c r="Z69" i="15"/>
  <c r="AA69" i="15" s="1"/>
  <c r="T69" i="15"/>
  <c r="V69" i="15" s="1"/>
  <c r="R69" i="15"/>
  <c r="N69" i="15"/>
  <c r="H69" i="15"/>
  <c r="I69" i="15" s="1"/>
  <c r="D69" i="15"/>
  <c r="C69" i="15"/>
  <c r="Z68" i="15"/>
  <c r="AA68" i="15" s="1"/>
  <c r="T68" i="15"/>
  <c r="V68" i="15" s="1"/>
  <c r="R68" i="15"/>
  <c r="N68" i="15"/>
  <c r="H68" i="15"/>
  <c r="I68" i="15" s="1"/>
  <c r="D68" i="15"/>
  <c r="C68" i="15"/>
  <c r="Z67" i="15"/>
  <c r="AA67" i="15" s="1"/>
  <c r="T67" i="15"/>
  <c r="V67" i="15" s="1"/>
  <c r="R67" i="15"/>
  <c r="N67" i="15"/>
  <c r="H67" i="15"/>
  <c r="I67" i="15" s="1"/>
  <c r="D67" i="15"/>
  <c r="C67" i="15"/>
  <c r="Z66" i="15"/>
  <c r="AA66" i="15" s="1"/>
  <c r="T66" i="15"/>
  <c r="V66" i="15" s="1"/>
  <c r="R66" i="15"/>
  <c r="N66" i="15"/>
  <c r="I66" i="15"/>
  <c r="H66" i="15"/>
  <c r="D66" i="15"/>
  <c r="C66" i="15"/>
  <c r="AA65" i="15"/>
  <c r="Z65" i="15"/>
  <c r="T65" i="15"/>
  <c r="V65" i="15" s="1"/>
  <c r="R65" i="15"/>
  <c r="N65" i="15"/>
  <c r="H65" i="15"/>
  <c r="I65" i="15" s="1"/>
  <c r="D65" i="15"/>
  <c r="C65" i="15"/>
  <c r="Z64" i="15"/>
  <c r="AA64" i="15" s="1"/>
  <c r="T64" i="15"/>
  <c r="V64" i="15" s="1"/>
  <c r="R64" i="15"/>
  <c r="N64" i="15"/>
  <c r="H64" i="15"/>
  <c r="I64" i="15" s="1"/>
  <c r="D64" i="15"/>
  <c r="C64" i="15"/>
  <c r="Z63" i="15"/>
  <c r="AA63" i="15" s="1"/>
  <c r="V63" i="15"/>
  <c r="T63" i="15"/>
  <c r="R63" i="15"/>
  <c r="N63" i="15"/>
  <c r="H63" i="15"/>
  <c r="I63" i="15" s="1"/>
  <c r="D63" i="15"/>
  <c r="C63" i="15"/>
  <c r="Z62" i="15"/>
  <c r="AA62" i="15" s="1"/>
  <c r="T62" i="15"/>
  <c r="V62" i="15" s="1"/>
  <c r="R62" i="15"/>
  <c r="N62" i="15"/>
  <c r="H62" i="15"/>
  <c r="I62" i="15" s="1"/>
  <c r="D62" i="15"/>
  <c r="C62" i="15"/>
  <c r="Z61" i="15"/>
  <c r="AA61" i="15" s="1"/>
  <c r="T61" i="15"/>
  <c r="V61" i="15" s="1"/>
  <c r="R61" i="15"/>
  <c r="N61" i="15"/>
  <c r="H61" i="15"/>
  <c r="I61" i="15" s="1"/>
  <c r="D61" i="15"/>
  <c r="C61" i="15"/>
  <c r="Z60" i="15"/>
  <c r="AA60" i="15" s="1"/>
  <c r="T60" i="15"/>
  <c r="V60" i="15" s="1"/>
  <c r="R60" i="15"/>
  <c r="N60" i="15"/>
  <c r="H60" i="15"/>
  <c r="I60" i="15" s="1"/>
  <c r="D60" i="15"/>
  <c r="O60" i="15" s="1"/>
  <c r="C60" i="15"/>
  <c r="Z59" i="15"/>
  <c r="AA59" i="15" s="1"/>
  <c r="T59" i="15"/>
  <c r="V59" i="15" s="1"/>
  <c r="R59" i="15"/>
  <c r="N59" i="15"/>
  <c r="H59" i="15"/>
  <c r="I59" i="15" s="1"/>
  <c r="D59" i="15"/>
  <c r="C59" i="15"/>
  <c r="Z58" i="15"/>
  <c r="AA58" i="15" s="1"/>
  <c r="T58" i="15"/>
  <c r="V58" i="15" s="1"/>
  <c r="R58" i="15"/>
  <c r="N58" i="15"/>
  <c r="I58" i="15"/>
  <c r="H58" i="15"/>
  <c r="D58" i="15"/>
  <c r="C58" i="15"/>
  <c r="AA57" i="15"/>
  <c r="Z57" i="15"/>
  <c r="T57" i="15"/>
  <c r="V57" i="15" s="1"/>
  <c r="R57" i="15"/>
  <c r="N57" i="15"/>
  <c r="H57" i="15"/>
  <c r="I57" i="15" s="1"/>
  <c r="D57" i="15"/>
  <c r="C57" i="15"/>
  <c r="Z56" i="15"/>
  <c r="AA56" i="15" s="1"/>
  <c r="T56" i="15"/>
  <c r="V56" i="15" s="1"/>
  <c r="R56" i="15"/>
  <c r="N56" i="15"/>
  <c r="H56" i="15"/>
  <c r="I56" i="15" s="1"/>
  <c r="D56" i="15"/>
  <c r="O56" i="15" s="1"/>
  <c r="C56" i="15"/>
  <c r="Z55" i="15"/>
  <c r="AA55" i="15" s="1"/>
  <c r="V55" i="15"/>
  <c r="T55" i="15"/>
  <c r="R55" i="15"/>
  <c r="N55" i="15"/>
  <c r="H55" i="15"/>
  <c r="I55" i="15" s="1"/>
  <c r="D55" i="15"/>
  <c r="C55" i="15"/>
  <c r="Z54" i="15"/>
  <c r="AA54" i="15" s="1"/>
  <c r="T54" i="15"/>
  <c r="V54" i="15" s="1"/>
  <c r="R54" i="15"/>
  <c r="N54" i="15"/>
  <c r="H54" i="15"/>
  <c r="I54" i="15" s="1"/>
  <c r="D54" i="15"/>
  <c r="C54" i="15"/>
  <c r="Z53" i="15"/>
  <c r="AA53" i="15" s="1"/>
  <c r="T53" i="15"/>
  <c r="V53" i="15" s="1"/>
  <c r="R53" i="15"/>
  <c r="N53" i="15"/>
  <c r="H53" i="15"/>
  <c r="I53" i="15" s="1"/>
  <c r="D53" i="15"/>
  <c r="C53" i="15"/>
  <c r="Z52" i="15"/>
  <c r="AA52" i="15" s="1"/>
  <c r="T52" i="15"/>
  <c r="V52" i="15" s="1"/>
  <c r="R52" i="15"/>
  <c r="N52" i="15"/>
  <c r="H52" i="15"/>
  <c r="I52" i="15" s="1"/>
  <c r="D52" i="15"/>
  <c r="C52" i="15"/>
  <c r="Z51" i="15"/>
  <c r="AA51" i="15" s="1"/>
  <c r="T51" i="15"/>
  <c r="V51" i="15" s="1"/>
  <c r="R51" i="15"/>
  <c r="N51" i="15"/>
  <c r="H51" i="15"/>
  <c r="I51" i="15" s="1"/>
  <c r="D51" i="15"/>
  <c r="C51" i="15"/>
  <c r="Z50" i="15"/>
  <c r="AA50" i="15" s="1"/>
  <c r="T50" i="15"/>
  <c r="V50" i="15" s="1"/>
  <c r="R50" i="15"/>
  <c r="N50" i="15"/>
  <c r="I50" i="15"/>
  <c r="H50" i="15"/>
  <c r="D50" i="15"/>
  <c r="C50" i="15"/>
  <c r="AA49" i="15"/>
  <c r="Z49" i="15"/>
  <c r="T49" i="15"/>
  <c r="V49" i="15" s="1"/>
  <c r="R49" i="15"/>
  <c r="N49" i="15"/>
  <c r="H49" i="15"/>
  <c r="I49" i="15" s="1"/>
  <c r="D49" i="15"/>
  <c r="C49" i="15"/>
  <c r="Z48" i="15"/>
  <c r="AA48" i="15" s="1"/>
  <c r="T48" i="15"/>
  <c r="V48" i="15" s="1"/>
  <c r="R48" i="15"/>
  <c r="N48" i="15"/>
  <c r="H48" i="15"/>
  <c r="I48" i="15" s="1"/>
  <c r="D48" i="15"/>
  <c r="C48" i="15"/>
  <c r="Z47" i="15"/>
  <c r="AA47" i="15" s="1"/>
  <c r="T47" i="15"/>
  <c r="V47" i="15" s="1"/>
  <c r="R47" i="15"/>
  <c r="N47" i="15"/>
  <c r="H47" i="15"/>
  <c r="I47" i="15" s="1"/>
  <c r="D47" i="15"/>
  <c r="O47" i="15" s="1"/>
  <c r="C47" i="15"/>
  <c r="Z46" i="15"/>
  <c r="AA46" i="15" s="1"/>
  <c r="T46" i="15"/>
  <c r="V46" i="15" s="1"/>
  <c r="R46" i="15"/>
  <c r="N46" i="15"/>
  <c r="I46" i="15"/>
  <c r="H46" i="15"/>
  <c r="D46" i="15"/>
  <c r="C46" i="15"/>
  <c r="AA45" i="15"/>
  <c r="Z45" i="15"/>
  <c r="T45" i="15"/>
  <c r="V45" i="15" s="1"/>
  <c r="R45" i="15"/>
  <c r="N45" i="15"/>
  <c r="H45" i="15"/>
  <c r="I45" i="15" s="1"/>
  <c r="D45" i="15"/>
  <c r="C45" i="15"/>
  <c r="Z44" i="15"/>
  <c r="AA44" i="15" s="1"/>
  <c r="T44" i="15"/>
  <c r="V44" i="15" s="1"/>
  <c r="R44" i="15"/>
  <c r="N44" i="15"/>
  <c r="H44" i="15"/>
  <c r="I44" i="15" s="1"/>
  <c r="D44" i="15"/>
  <c r="C44" i="15"/>
  <c r="Z43" i="15"/>
  <c r="AA43" i="15" s="1"/>
  <c r="V43" i="15"/>
  <c r="T43" i="15"/>
  <c r="R43" i="15"/>
  <c r="N43" i="15"/>
  <c r="H43" i="15"/>
  <c r="I43" i="15" s="1"/>
  <c r="D43" i="15"/>
  <c r="C43" i="15"/>
  <c r="Z42" i="15"/>
  <c r="AA42" i="15" s="1"/>
  <c r="T42" i="15"/>
  <c r="V42" i="15" s="1"/>
  <c r="R42" i="15"/>
  <c r="N42" i="15"/>
  <c r="H42" i="15"/>
  <c r="I42" i="15" s="1"/>
  <c r="D42" i="15"/>
  <c r="C42" i="15"/>
  <c r="Z41" i="15"/>
  <c r="AA41" i="15" s="1"/>
  <c r="T41" i="15"/>
  <c r="V41" i="15" s="1"/>
  <c r="R41" i="15"/>
  <c r="N41" i="15"/>
  <c r="H41" i="15"/>
  <c r="I41" i="15" s="1"/>
  <c r="D41" i="15"/>
  <c r="C41" i="15"/>
  <c r="Z40" i="15"/>
  <c r="AA40" i="15" s="1"/>
  <c r="T40" i="15"/>
  <c r="V40" i="15" s="1"/>
  <c r="R40" i="15"/>
  <c r="N40" i="15"/>
  <c r="H40" i="15"/>
  <c r="I40" i="15" s="1"/>
  <c r="D40" i="15"/>
  <c r="O40" i="15" s="1"/>
  <c r="C40" i="15"/>
  <c r="Z39" i="15"/>
  <c r="AA39" i="15" s="1"/>
  <c r="V39" i="15"/>
  <c r="T39" i="15"/>
  <c r="R39" i="15"/>
  <c r="N39" i="15"/>
  <c r="H39" i="15"/>
  <c r="I39" i="15" s="1"/>
  <c r="D39" i="15"/>
  <c r="C39" i="15"/>
  <c r="Z38" i="15"/>
  <c r="AA38" i="15" s="1"/>
  <c r="V38" i="15"/>
  <c r="T38" i="15"/>
  <c r="R38" i="15"/>
  <c r="N38" i="15"/>
  <c r="I38" i="15"/>
  <c r="H38" i="15"/>
  <c r="D38" i="15"/>
  <c r="O38" i="15" s="1"/>
  <c r="C38" i="15"/>
  <c r="AA37" i="15"/>
  <c r="Z37" i="15"/>
  <c r="V37" i="15"/>
  <c r="T37" i="15"/>
  <c r="R37" i="15"/>
  <c r="N37" i="15"/>
  <c r="I37" i="15"/>
  <c r="H37" i="15"/>
  <c r="D37" i="15"/>
  <c r="C37" i="15"/>
  <c r="AA36" i="15"/>
  <c r="Z36" i="15"/>
  <c r="T36" i="15"/>
  <c r="V36" i="15" s="1"/>
  <c r="R36" i="15"/>
  <c r="N36" i="15"/>
  <c r="H36" i="15"/>
  <c r="I36" i="15" s="1"/>
  <c r="D36" i="15"/>
  <c r="C36" i="15"/>
  <c r="Z35" i="15"/>
  <c r="AA35" i="15" s="1"/>
  <c r="T35" i="15"/>
  <c r="V35" i="15" s="1"/>
  <c r="R35" i="15"/>
  <c r="N35" i="15"/>
  <c r="I35" i="15"/>
  <c r="D35" i="15"/>
  <c r="C35" i="15"/>
  <c r="AA34" i="15"/>
  <c r="Z34" i="15"/>
  <c r="T34" i="15"/>
  <c r="V34" i="15" s="1"/>
  <c r="R34" i="15"/>
  <c r="N34" i="15"/>
  <c r="I34" i="15"/>
  <c r="D34" i="15"/>
  <c r="C34" i="15"/>
  <c r="AA33" i="15"/>
  <c r="Z33" i="15"/>
  <c r="T33" i="15"/>
  <c r="V33" i="15" s="1"/>
  <c r="R33" i="15"/>
  <c r="N33" i="15"/>
  <c r="I33" i="15"/>
  <c r="D33" i="15"/>
  <c r="C33" i="15"/>
  <c r="Z32" i="15"/>
  <c r="AA32" i="15" s="1"/>
  <c r="T32" i="15"/>
  <c r="V32" i="15" s="1"/>
  <c r="R32" i="15"/>
  <c r="N32" i="15"/>
  <c r="I32" i="15"/>
  <c r="D32" i="15"/>
  <c r="C32" i="15"/>
  <c r="AA31" i="15"/>
  <c r="Z31" i="15"/>
  <c r="V31" i="15"/>
  <c r="T31" i="15"/>
  <c r="R31" i="15"/>
  <c r="N31" i="15"/>
  <c r="I31" i="15"/>
  <c r="D31" i="15"/>
  <c r="C31" i="15"/>
  <c r="Z30" i="15"/>
  <c r="AA30" i="15" s="1"/>
  <c r="T30" i="15"/>
  <c r="V30" i="15" s="1"/>
  <c r="R30" i="15"/>
  <c r="N30" i="15"/>
  <c r="I30" i="15"/>
  <c r="D30" i="15"/>
  <c r="C30" i="15"/>
  <c r="Z29" i="15"/>
  <c r="AA29" i="15" s="1"/>
  <c r="T29" i="15"/>
  <c r="V29" i="15" s="1"/>
  <c r="R29" i="15"/>
  <c r="N29" i="15"/>
  <c r="I29" i="15"/>
  <c r="D29" i="15"/>
  <c r="C29" i="15"/>
  <c r="AA28" i="15"/>
  <c r="Z28" i="15"/>
  <c r="T28" i="15"/>
  <c r="V28" i="15" s="1"/>
  <c r="R28" i="15"/>
  <c r="N28" i="15"/>
  <c r="I28" i="15"/>
  <c r="D28" i="15"/>
  <c r="C28" i="15"/>
  <c r="Z27" i="15"/>
  <c r="AA27" i="15" s="1"/>
  <c r="T27" i="15"/>
  <c r="V27" i="15" s="1"/>
  <c r="R27" i="15"/>
  <c r="N27" i="15"/>
  <c r="I27" i="15"/>
  <c r="D27" i="15"/>
  <c r="C27" i="15"/>
  <c r="AA26" i="15"/>
  <c r="Z26" i="15"/>
  <c r="T26" i="15"/>
  <c r="V26" i="15" s="1"/>
  <c r="R26" i="15"/>
  <c r="N26" i="15"/>
  <c r="I26" i="15"/>
  <c r="D26" i="15"/>
  <c r="C26" i="15"/>
  <c r="AA25" i="15"/>
  <c r="Z25" i="15"/>
  <c r="T25" i="15"/>
  <c r="V25" i="15" s="1"/>
  <c r="R25" i="15"/>
  <c r="N25" i="15"/>
  <c r="I25" i="15"/>
  <c r="D25" i="15"/>
  <c r="C25" i="15"/>
  <c r="Z24" i="15"/>
  <c r="AA24" i="15" s="1"/>
  <c r="T24" i="15"/>
  <c r="V24" i="15" s="1"/>
  <c r="R24" i="15"/>
  <c r="N24" i="15"/>
  <c r="I24" i="15"/>
  <c r="D24" i="15"/>
  <c r="C24" i="15"/>
  <c r="AA23" i="15"/>
  <c r="Z23" i="15"/>
  <c r="T23" i="15"/>
  <c r="V23" i="15" s="1"/>
  <c r="R23" i="15"/>
  <c r="N23" i="15"/>
  <c r="I23" i="15"/>
  <c r="D23" i="15"/>
  <c r="C23" i="15"/>
  <c r="Z22" i="15"/>
  <c r="AA22" i="15" s="1"/>
  <c r="T22" i="15"/>
  <c r="V22" i="15" s="1"/>
  <c r="R22" i="15"/>
  <c r="N22" i="15"/>
  <c r="I22" i="15"/>
  <c r="D22" i="15"/>
  <c r="C22" i="15"/>
  <c r="AA21" i="15"/>
  <c r="Z21" i="15"/>
  <c r="T21" i="15"/>
  <c r="V21" i="15" s="1"/>
  <c r="R21" i="15"/>
  <c r="N21" i="15"/>
  <c r="I21" i="15"/>
  <c r="D21" i="15"/>
  <c r="C21" i="15"/>
  <c r="Z20" i="15"/>
  <c r="AA20" i="15" s="1"/>
  <c r="T20" i="15"/>
  <c r="V20" i="15" s="1"/>
  <c r="R20" i="15"/>
  <c r="N20" i="15"/>
  <c r="I20" i="15"/>
  <c r="D20" i="15"/>
  <c r="C20" i="15"/>
  <c r="AA19" i="15"/>
  <c r="Z19" i="15"/>
  <c r="T19" i="15"/>
  <c r="V19" i="15" s="1"/>
  <c r="R19" i="15"/>
  <c r="N19" i="15"/>
  <c r="I19" i="15"/>
  <c r="D19" i="15"/>
  <c r="C19" i="15"/>
  <c r="Z18" i="15"/>
  <c r="AA18" i="15" s="1"/>
  <c r="T18" i="15"/>
  <c r="V18" i="15" s="1"/>
  <c r="R18" i="15"/>
  <c r="N18" i="15"/>
  <c r="I18" i="15"/>
  <c r="D18" i="15"/>
  <c r="C18" i="15"/>
  <c r="AA17" i="15"/>
  <c r="Z17" i="15"/>
  <c r="T17" i="15"/>
  <c r="V17" i="15" s="1"/>
  <c r="R17" i="15"/>
  <c r="N17" i="15"/>
  <c r="I17" i="15"/>
  <c r="D17" i="15"/>
  <c r="C17" i="15"/>
  <c r="Z16" i="15"/>
  <c r="AA16" i="15" s="1"/>
  <c r="T16" i="15"/>
  <c r="V16" i="15" s="1"/>
  <c r="R16" i="15"/>
  <c r="N16" i="15"/>
  <c r="I16" i="15"/>
  <c r="D16" i="15"/>
  <c r="C16" i="15"/>
  <c r="AA15" i="15"/>
  <c r="Z15" i="15"/>
  <c r="T15" i="15"/>
  <c r="V15" i="15" s="1"/>
  <c r="R15" i="15"/>
  <c r="N15" i="15"/>
  <c r="I15" i="15"/>
  <c r="D15" i="15"/>
  <c r="C15" i="15"/>
  <c r="Z14" i="15"/>
  <c r="AA14" i="15" s="1"/>
  <c r="T14" i="15"/>
  <c r="V14" i="15" s="1"/>
  <c r="R14" i="15"/>
  <c r="N14" i="15"/>
  <c r="I14" i="15"/>
  <c r="D14" i="15"/>
  <c r="C14" i="15"/>
  <c r="AA13" i="15"/>
  <c r="Z13" i="15"/>
  <c r="T13" i="15"/>
  <c r="V13" i="15" s="1"/>
  <c r="R13" i="15"/>
  <c r="N13" i="15"/>
  <c r="I13" i="15"/>
  <c r="D13" i="15"/>
  <c r="C13" i="15"/>
  <c r="Z12" i="15"/>
  <c r="AA12" i="15" s="1"/>
  <c r="T12" i="15"/>
  <c r="V12" i="15" s="1"/>
  <c r="R12" i="15"/>
  <c r="N12" i="15"/>
  <c r="I12" i="15"/>
  <c r="D12" i="15"/>
  <c r="C12" i="15"/>
  <c r="AA11" i="15"/>
  <c r="Z11" i="15"/>
  <c r="T11" i="15"/>
  <c r="V11" i="15" s="1"/>
  <c r="R11" i="15"/>
  <c r="N11" i="15"/>
  <c r="I11" i="15"/>
  <c r="D11" i="15"/>
  <c r="C11" i="15"/>
  <c r="Z10" i="15"/>
  <c r="AA10" i="15" s="1"/>
  <c r="T10" i="15"/>
  <c r="V10" i="15" s="1"/>
  <c r="R10" i="15"/>
  <c r="N10" i="15"/>
  <c r="I10" i="15"/>
  <c r="D10" i="15"/>
  <c r="C10" i="15"/>
  <c r="AA9" i="15"/>
  <c r="Z9" i="15"/>
  <c r="T9" i="15"/>
  <c r="V9" i="15" s="1"/>
  <c r="R9" i="15"/>
  <c r="N9" i="15"/>
  <c r="I9" i="15"/>
  <c r="D9" i="15"/>
  <c r="C9" i="15"/>
  <c r="Z8" i="15"/>
  <c r="AA8" i="15" s="1"/>
  <c r="T8" i="15"/>
  <c r="V8" i="15" s="1"/>
  <c r="R8" i="15"/>
  <c r="N8" i="15"/>
  <c r="I8" i="15"/>
  <c r="D8" i="15"/>
  <c r="C8" i="15"/>
  <c r="AA7" i="15"/>
  <c r="Z7" i="15"/>
  <c r="T7" i="15"/>
  <c r="V7" i="15" s="1"/>
  <c r="R7" i="15"/>
  <c r="N7" i="15"/>
  <c r="I7" i="15"/>
  <c r="D7" i="15"/>
  <c r="C7" i="15"/>
  <c r="Z6" i="15"/>
  <c r="AA6" i="15" s="1"/>
  <c r="T6" i="15"/>
  <c r="V6" i="15" s="1"/>
  <c r="R6" i="15"/>
  <c r="N6" i="15"/>
  <c r="I6" i="15"/>
  <c r="D6" i="15"/>
  <c r="C6" i="15"/>
  <c r="AA5" i="15"/>
  <c r="Z5" i="15"/>
  <c r="T5" i="15"/>
  <c r="V5" i="15" s="1"/>
  <c r="R5" i="15"/>
  <c r="N5" i="15"/>
  <c r="I5" i="15"/>
  <c r="D5" i="15"/>
  <c r="C5" i="15"/>
  <c r="Z4" i="15"/>
  <c r="AA4" i="15" s="1"/>
  <c r="T4" i="15"/>
  <c r="V4" i="15" s="1"/>
  <c r="R4" i="15"/>
  <c r="N4" i="15"/>
  <c r="I4" i="15"/>
  <c r="D4" i="15"/>
  <c r="C4" i="15"/>
  <c r="AA3" i="15"/>
  <c r="Z3" i="15"/>
  <c r="T3" i="15"/>
  <c r="V3" i="15" s="1"/>
  <c r="R3" i="15"/>
  <c r="N3" i="15"/>
  <c r="I3" i="15"/>
  <c r="D3" i="15"/>
  <c r="C3" i="15"/>
  <c r="Z99" i="14"/>
  <c r="AA99" i="14" s="1"/>
  <c r="T99" i="14"/>
  <c r="V99" i="14" s="1"/>
  <c r="R99" i="14"/>
  <c r="N99" i="14"/>
  <c r="H99" i="14"/>
  <c r="I99" i="14" s="1"/>
  <c r="D99" i="14"/>
  <c r="C99" i="14"/>
  <c r="Z98" i="14"/>
  <c r="AA98" i="14" s="1"/>
  <c r="T98" i="14"/>
  <c r="V98" i="14" s="1"/>
  <c r="R98" i="14"/>
  <c r="N98" i="14"/>
  <c r="I98" i="14"/>
  <c r="H98" i="14"/>
  <c r="D98" i="14"/>
  <c r="C98" i="14"/>
  <c r="AA97" i="14"/>
  <c r="Z97" i="14"/>
  <c r="T97" i="14"/>
  <c r="V97" i="14" s="1"/>
  <c r="R97" i="14"/>
  <c r="N97" i="14"/>
  <c r="H97" i="14"/>
  <c r="I97" i="14" s="1"/>
  <c r="D97" i="14"/>
  <c r="O97" i="14" s="1"/>
  <c r="C97" i="14"/>
  <c r="Z96" i="14"/>
  <c r="AA96" i="14" s="1"/>
  <c r="T96" i="14"/>
  <c r="V96" i="14" s="1"/>
  <c r="R96" i="14"/>
  <c r="N96" i="14"/>
  <c r="H96" i="14"/>
  <c r="I96" i="14" s="1"/>
  <c r="D96" i="14"/>
  <c r="O96" i="14" s="1"/>
  <c r="C96" i="14"/>
  <c r="Z95" i="14"/>
  <c r="AA95" i="14" s="1"/>
  <c r="V95" i="14"/>
  <c r="T95" i="14"/>
  <c r="R95" i="14"/>
  <c r="N95" i="14"/>
  <c r="I95" i="14"/>
  <c r="H95" i="14"/>
  <c r="D95" i="14"/>
  <c r="C95" i="14"/>
  <c r="AA94" i="14"/>
  <c r="Z94" i="14"/>
  <c r="T94" i="14"/>
  <c r="V94" i="14" s="1"/>
  <c r="R94" i="14"/>
  <c r="N94" i="14"/>
  <c r="H94" i="14"/>
  <c r="I94" i="14" s="1"/>
  <c r="D94" i="14"/>
  <c r="C94" i="14"/>
  <c r="Z93" i="14"/>
  <c r="AA93" i="14" s="1"/>
  <c r="T93" i="14"/>
  <c r="V93" i="14" s="1"/>
  <c r="R93" i="14"/>
  <c r="N93" i="14"/>
  <c r="H93" i="14"/>
  <c r="I93" i="14" s="1"/>
  <c r="D93" i="14"/>
  <c r="C93" i="14"/>
  <c r="Z92" i="14"/>
  <c r="AA92" i="14" s="1"/>
  <c r="V92" i="14"/>
  <c r="T92" i="14"/>
  <c r="R92" i="14"/>
  <c r="N92" i="14"/>
  <c r="H92" i="14"/>
  <c r="I92" i="14" s="1"/>
  <c r="D92" i="14"/>
  <c r="C92" i="14"/>
  <c r="Z91" i="14"/>
  <c r="AA91" i="14" s="1"/>
  <c r="T91" i="14"/>
  <c r="V91" i="14" s="1"/>
  <c r="R91" i="14"/>
  <c r="N91" i="14"/>
  <c r="H91" i="14"/>
  <c r="I91" i="14" s="1"/>
  <c r="D91" i="14"/>
  <c r="C91" i="14"/>
  <c r="Z90" i="14"/>
  <c r="AA90" i="14" s="1"/>
  <c r="T90" i="14"/>
  <c r="V90" i="14" s="1"/>
  <c r="R90" i="14"/>
  <c r="N90" i="14"/>
  <c r="I90" i="14"/>
  <c r="H90" i="14"/>
  <c r="D90" i="14"/>
  <c r="C90" i="14"/>
  <c r="AA89" i="14"/>
  <c r="Z89" i="14"/>
  <c r="T89" i="14"/>
  <c r="V89" i="14" s="1"/>
  <c r="R89" i="14"/>
  <c r="N89" i="14"/>
  <c r="H89" i="14"/>
  <c r="I89" i="14" s="1"/>
  <c r="D89" i="14"/>
  <c r="O89" i="14" s="1"/>
  <c r="C89" i="14"/>
  <c r="Z88" i="14"/>
  <c r="AA88" i="14" s="1"/>
  <c r="T88" i="14"/>
  <c r="V88" i="14" s="1"/>
  <c r="R88" i="14"/>
  <c r="N88" i="14"/>
  <c r="H88" i="14"/>
  <c r="I88" i="14" s="1"/>
  <c r="D88" i="14"/>
  <c r="O88" i="14" s="1"/>
  <c r="C88" i="14"/>
  <c r="Z87" i="14"/>
  <c r="AA87" i="14" s="1"/>
  <c r="T87" i="14"/>
  <c r="V87" i="14" s="1"/>
  <c r="R87" i="14"/>
  <c r="N87" i="14"/>
  <c r="H87" i="14"/>
  <c r="I87" i="14" s="1"/>
  <c r="D87" i="14"/>
  <c r="C87" i="14"/>
  <c r="Z86" i="14"/>
  <c r="AA86" i="14" s="1"/>
  <c r="T86" i="14"/>
  <c r="V86" i="14" s="1"/>
  <c r="R86" i="14"/>
  <c r="N86" i="14"/>
  <c r="I86" i="14"/>
  <c r="H86" i="14"/>
  <c r="D86" i="14"/>
  <c r="C86" i="14"/>
  <c r="AA85" i="14"/>
  <c r="Z85" i="14"/>
  <c r="T85" i="14"/>
  <c r="V85" i="14" s="1"/>
  <c r="R85" i="14"/>
  <c r="N85" i="14"/>
  <c r="H85" i="14"/>
  <c r="I85" i="14" s="1"/>
  <c r="D85" i="14"/>
  <c r="C85" i="14"/>
  <c r="Z84" i="14"/>
  <c r="AA84" i="14" s="1"/>
  <c r="T84" i="14"/>
  <c r="V84" i="14" s="1"/>
  <c r="R84" i="14"/>
  <c r="N84" i="14"/>
  <c r="H84" i="14"/>
  <c r="I84" i="14" s="1"/>
  <c r="D84" i="14"/>
  <c r="C84" i="14"/>
  <c r="Z83" i="14"/>
  <c r="AA83" i="14" s="1"/>
  <c r="T83" i="14"/>
  <c r="V83" i="14" s="1"/>
  <c r="R83" i="14"/>
  <c r="N83" i="14"/>
  <c r="H83" i="14"/>
  <c r="I83" i="14" s="1"/>
  <c r="D83" i="14"/>
  <c r="C83" i="14"/>
  <c r="Z82" i="14"/>
  <c r="AA82" i="14" s="1"/>
  <c r="T82" i="14"/>
  <c r="V82" i="14" s="1"/>
  <c r="R82" i="14"/>
  <c r="N82" i="14"/>
  <c r="I82" i="14"/>
  <c r="H82" i="14"/>
  <c r="D82" i="14"/>
  <c r="C82" i="14"/>
  <c r="AA81" i="14"/>
  <c r="Z81" i="14"/>
  <c r="T81" i="14"/>
  <c r="V81" i="14" s="1"/>
  <c r="R81" i="14"/>
  <c r="N81" i="14"/>
  <c r="H81" i="14"/>
  <c r="I81" i="14" s="1"/>
  <c r="D81" i="14"/>
  <c r="O81" i="14" s="1"/>
  <c r="C81" i="14"/>
  <c r="Z80" i="14"/>
  <c r="AA80" i="14" s="1"/>
  <c r="T80" i="14"/>
  <c r="V80" i="14" s="1"/>
  <c r="R80" i="14"/>
  <c r="N80" i="14"/>
  <c r="H80" i="14"/>
  <c r="I80" i="14" s="1"/>
  <c r="D80" i="14"/>
  <c r="O80" i="14" s="1"/>
  <c r="C80" i="14"/>
  <c r="Z79" i="14"/>
  <c r="AA79" i="14" s="1"/>
  <c r="T79" i="14"/>
  <c r="V79" i="14" s="1"/>
  <c r="R79" i="14"/>
  <c r="N79" i="14"/>
  <c r="H79" i="14"/>
  <c r="I79" i="14" s="1"/>
  <c r="D79" i="14"/>
  <c r="C79" i="14"/>
  <c r="Z78" i="14"/>
  <c r="AA78" i="14" s="1"/>
  <c r="T78" i="14"/>
  <c r="V78" i="14" s="1"/>
  <c r="R78" i="14"/>
  <c r="N78" i="14"/>
  <c r="I78" i="14"/>
  <c r="H78" i="14"/>
  <c r="D78" i="14"/>
  <c r="C78" i="14"/>
  <c r="AA77" i="14"/>
  <c r="Z77" i="14"/>
  <c r="T77" i="14"/>
  <c r="V77" i="14" s="1"/>
  <c r="R77" i="14"/>
  <c r="N77" i="14"/>
  <c r="H77" i="14"/>
  <c r="I77" i="14" s="1"/>
  <c r="D77" i="14"/>
  <c r="C77" i="14"/>
  <c r="Z76" i="14"/>
  <c r="AA76" i="14" s="1"/>
  <c r="T76" i="14"/>
  <c r="V76" i="14" s="1"/>
  <c r="R76" i="14"/>
  <c r="N76" i="14"/>
  <c r="H76" i="14"/>
  <c r="I76" i="14" s="1"/>
  <c r="D76" i="14"/>
  <c r="C76" i="14"/>
  <c r="Z75" i="14"/>
  <c r="AA75" i="14" s="1"/>
  <c r="T75" i="14"/>
  <c r="V75" i="14" s="1"/>
  <c r="R75" i="14"/>
  <c r="N75" i="14"/>
  <c r="H75" i="14"/>
  <c r="I75" i="14" s="1"/>
  <c r="D75" i="14"/>
  <c r="C75" i="14"/>
  <c r="Z74" i="14"/>
  <c r="AA74" i="14" s="1"/>
  <c r="T74" i="14"/>
  <c r="V74" i="14" s="1"/>
  <c r="R74" i="14"/>
  <c r="N74" i="14"/>
  <c r="I74" i="14"/>
  <c r="H74" i="14"/>
  <c r="D74" i="14"/>
  <c r="C74" i="14"/>
  <c r="AA73" i="14"/>
  <c r="Z73" i="14"/>
  <c r="T73" i="14"/>
  <c r="V73" i="14" s="1"/>
  <c r="R73" i="14"/>
  <c r="N73" i="14"/>
  <c r="H73" i="14"/>
  <c r="I73" i="14" s="1"/>
  <c r="D73" i="14"/>
  <c r="O73" i="14" s="1"/>
  <c r="C73" i="14"/>
  <c r="Z72" i="14"/>
  <c r="AA72" i="14" s="1"/>
  <c r="T72" i="14"/>
  <c r="V72" i="14" s="1"/>
  <c r="R72" i="14"/>
  <c r="N72" i="14"/>
  <c r="H72" i="14"/>
  <c r="I72" i="14" s="1"/>
  <c r="D72" i="14"/>
  <c r="O72" i="14" s="1"/>
  <c r="C72" i="14"/>
  <c r="Z71" i="14"/>
  <c r="AA71" i="14" s="1"/>
  <c r="T71" i="14"/>
  <c r="V71" i="14" s="1"/>
  <c r="R71" i="14"/>
  <c r="N71" i="14"/>
  <c r="H71" i="14"/>
  <c r="I71" i="14" s="1"/>
  <c r="D71" i="14"/>
  <c r="C71" i="14"/>
  <c r="Z70" i="14"/>
  <c r="AA70" i="14" s="1"/>
  <c r="T70" i="14"/>
  <c r="V70" i="14" s="1"/>
  <c r="R70" i="14"/>
  <c r="N70" i="14"/>
  <c r="I70" i="14"/>
  <c r="H70" i="14"/>
  <c r="D70" i="14"/>
  <c r="C70" i="14"/>
  <c r="AA69" i="14"/>
  <c r="Z69" i="14"/>
  <c r="T69" i="14"/>
  <c r="V69" i="14" s="1"/>
  <c r="R69" i="14"/>
  <c r="N69" i="14"/>
  <c r="H69" i="14"/>
  <c r="I69" i="14" s="1"/>
  <c r="D69" i="14"/>
  <c r="C69" i="14"/>
  <c r="Z68" i="14"/>
  <c r="AA68" i="14" s="1"/>
  <c r="T68" i="14"/>
  <c r="V68" i="14" s="1"/>
  <c r="R68" i="14"/>
  <c r="N68" i="14"/>
  <c r="H68" i="14"/>
  <c r="I68" i="14" s="1"/>
  <c r="D68" i="14"/>
  <c r="O68" i="14" s="1"/>
  <c r="C68" i="14"/>
  <c r="Z67" i="14"/>
  <c r="AA67" i="14" s="1"/>
  <c r="V67" i="14"/>
  <c r="T67" i="14"/>
  <c r="R67" i="14"/>
  <c r="N67" i="14"/>
  <c r="I67" i="14"/>
  <c r="H67" i="14"/>
  <c r="D67" i="14"/>
  <c r="C67" i="14"/>
  <c r="AA66" i="14"/>
  <c r="Z66" i="14"/>
  <c r="T66" i="14"/>
  <c r="V66" i="14" s="1"/>
  <c r="R66" i="14"/>
  <c r="N66" i="14"/>
  <c r="H66" i="14"/>
  <c r="I66" i="14" s="1"/>
  <c r="D66" i="14"/>
  <c r="C66" i="14"/>
  <c r="Z65" i="14"/>
  <c r="AA65" i="14" s="1"/>
  <c r="T65" i="14"/>
  <c r="V65" i="14" s="1"/>
  <c r="R65" i="14"/>
  <c r="N65" i="14"/>
  <c r="H65" i="14"/>
  <c r="I65" i="14" s="1"/>
  <c r="D65" i="14"/>
  <c r="C65" i="14"/>
  <c r="Z64" i="14"/>
  <c r="AA64" i="14" s="1"/>
  <c r="V64" i="14"/>
  <c r="T64" i="14"/>
  <c r="R64" i="14"/>
  <c r="N64" i="14"/>
  <c r="H64" i="14"/>
  <c r="I64" i="14" s="1"/>
  <c r="D64" i="14"/>
  <c r="C64" i="14"/>
  <c r="Z63" i="14"/>
  <c r="AA63" i="14" s="1"/>
  <c r="V63" i="14"/>
  <c r="T63" i="14"/>
  <c r="R63" i="14"/>
  <c r="N63" i="14"/>
  <c r="I63" i="14"/>
  <c r="H63" i="14"/>
  <c r="D63" i="14"/>
  <c r="C63" i="14"/>
  <c r="AA62" i="14"/>
  <c r="Z62" i="14"/>
  <c r="T62" i="14"/>
  <c r="V62" i="14" s="1"/>
  <c r="R62" i="14"/>
  <c r="N62" i="14"/>
  <c r="H62" i="14"/>
  <c r="I62" i="14" s="1"/>
  <c r="D62" i="14"/>
  <c r="C62" i="14"/>
  <c r="Z61" i="14"/>
  <c r="AA61" i="14" s="1"/>
  <c r="T61" i="14"/>
  <c r="V61" i="14" s="1"/>
  <c r="R61" i="14"/>
  <c r="N61" i="14"/>
  <c r="H61" i="14"/>
  <c r="I61" i="14" s="1"/>
  <c r="D61" i="14"/>
  <c r="O61" i="14" s="1"/>
  <c r="C61" i="14"/>
  <c r="Z60" i="14"/>
  <c r="AA60" i="14" s="1"/>
  <c r="V60" i="14"/>
  <c r="T60" i="14"/>
  <c r="R60" i="14"/>
  <c r="N60" i="14"/>
  <c r="H60" i="14"/>
  <c r="I60" i="14" s="1"/>
  <c r="D60" i="14"/>
  <c r="C60" i="14"/>
  <c r="Z59" i="14"/>
  <c r="AA59" i="14" s="1"/>
  <c r="T59" i="14"/>
  <c r="V59" i="14" s="1"/>
  <c r="R59" i="14"/>
  <c r="N59" i="14"/>
  <c r="H59" i="14"/>
  <c r="I59" i="14" s="1"/>
  <c r="D59" i="14"/>
  <c r="C59" i="14"/>
  <c r="Z58" i="14"/>
  <c r="AA58" i="14" s="1"/>
  <c r="T58" i="14"/>
  <c r="V58" i="14" s="1"/>
  <c r="R58" i="14"/>
  <c r="N58" i="14"/>
  <c r="I58" i="14"/>
  <c r="H58" i="14"/>
  <c r="D58" i="14"/>
  <c r="C58" i="14"/>
  <c r="AA57" i="14"/>
  <c r="Z57" i="14"/>
  <c r="T57" i="14"/>
  <c r="V57" i="14" s="1"/>
  <c r="R57" i="14"/>
  <c r="N57" i="14"/>
  <c r="H57" i="14"/>
  <c r="I57" i="14" s="1"/>
  <c r="D57" i="14"/>
  <c r="C57" i="14"/>
  <c r="Z56" i="14"/>
  <c r="AA56" i="14" s="1"/>
  <c r="T56" i="14"/>
  <c r="V56" i="14" s="1"/>
  <c r="R56" i="14"/>
  <c r="N56" i="14"/>
  <c r="H56" i="14"/>
  <c r="I56" i="14" s="1"/>
  <c r="D56" i="14"/>
  <c r="C56" i="14"/>
  <c r="Z55" i="14"/>
  <c r="AA55" i="14" s="1"/>
  <c r="T55" i="14"/>
  <c r="V55" i="14" s="1"/>
  <c r="R55" i="14"/>
  <c r="N55" i="14"/>
  <c r="H55" i="14"/>
  <c r="I55" i="14" s="1"/>
  <c r="D55" i="14"/>
  <c r="C55" i="14"/>
  <c r="Z54" i="14"/>
  <c r="AA54" i="14" s="1"/>
  <c r="T54" i="14"/>
  <c r="V54" i="14" s="1"/>
  <c r="R54" i="14"/>
  <c r="N54" i="14"/>
  <c r="H54" i="14"/>
  <c r="I54" i="14" s="1"/>
  <c r="D54" i="14"/>
  <c r="C54" i="14"/>
  <c r="Z53" i="14"/>
  <c r="AA53" i="14" s="1"/>
  <c r="T53" i="14"/>
  <c r="V53" i="14" s="1"/>
  <c r="R53" i="14"/>
  <c r="N53" i="14"/>
  <c r="H53" i="14"/>
  <c r="I53" i="14" s="1"/>
  <c r="D53" i="14"/>
  <c r="O53" i="14" s="1"/>
  <c r="C53" i="14"/>
  <c r="Z52" i="14"/>
  <c r="AA52" i="14" s="1"/>
  <c r="V52" i="14"/>
  <c r="T52" i="14"/>
  <c r="R52" i="14"/>
  <c r="N52" i="14"/>
  <c r="H52" i="14"/>
  <c r="I52" i="14" s="1"/>
  <c r="D52" i="14"/>
  <c r="O52" i="14" s="1"/>
  <c r="C52" i="14"/>
  <c r="Z51" i="14"/>
  <c r="AA51" i="14" s="1"/>
  <c r="V51" i="14"/>
  <c r="T51" i="14"/>
  <c r="R51" i="14"/>
  <c r="N51" i="14"/>
  <c r="I51" i="14"/>
  <c r="H51" i="14"/>
  <c r="D51" i="14"/>
  <c r="C51" i="14"/>
  <c r="AA50" i="14"/>
  <c r="Z50" i="14"/>
  <c r="T50" i="14"/>
  <c r="V50" i="14" s="1"/>
  <c r="R50" i="14"/>
  <c r="N50" i="14"/>
  <c r="I50" i="14"/>
  <c r="H50" i="14"/>
  <c r="D50" i="14"/>
  <c r="C50" i="14"/>
  <c r="AA49" i="14"/>
  <c r="Z49" i="14"/>
  <c r="T49" i="14"/>
  <c r="V49" i="14" s="1"/>
  <c r="R49" i="14"/>
  <c r="N49" i="14"/>
  <c r="H49" i="14"/>
  <c r="I49" i="14" s="1"/>
  <c r="D49" i="14"/>
  <c r="C49" i="14"/>
  <c r="Z48" i="14"/>
  <c r="AA48" i="14" s="1"/>
  <c r="T48" i="14"/>
  <c r="V48" i="14" s="1"/>
  <c r="R48" i="14"/>
  <c r="N48" i="14"/>
  <c r="H48" i="14"/>
  <c r="I48" i="14" s="1"/>
  <c r="D48" i="14"/>
  <c r="C48" i="14"/>
  <c r="Z47" i="14"/>
  <c r="AA47" i="14" s="1"/>
  <c r="T47" i="14"/>
  <c r="V47" i="14" s="1"/>
  <c r="R47" i="14"/>
  <c r="N47" i="14"/>
  <c r="H47" i="14"/>
  <c r="I47" i="14" s="1"/>
  <c r="D47" i="14"/>
  <c r="C47" i="14"/>
  <c r="Z46" i="14"/>
  <c r="AA46" i="14" s="1"/>
  <c r="T46" i="14"/>
  <c r="V46" i="14" s="1"/>
  <c r="R46" i="14"/>
  <c r="N46" i="14"/>
  <c r="H46" i="14"/>
  <c r="I46" i="14" s="1"/>
  <c r="D46" i="14"/>
  <c r="C46" i="14"/>
  <c r="Z45" i="14"/>
  <c r="AA45" i="14" s="1"/>
  <c r="T45" i="14"/>
  <c r="V45" i="14" s="1"/>
  <c r="R45" i="14"/>
  <c r="N45" i="14"/>
  <c r="H45" i="14"/>
  <c r="I45" i="14" s="1"/>
  <c r="D45" i="14"/>
  <c r="O45" i="14" s="1"/>
  <c r="C45" i="14"/>
  <c r="Z44" i="14"/>
  <c r="AA44" i="14" s="1"/>
  <c r="V44" i="14"/>
  <c r="T44" i="14"/>
  <c r="R44" i="14"/>
  <c r="N44" i="14"/>
  <c r="H44" i="14"/>
  <c r="I44" i="14" s="1"/>
  <c r="D44" i="14"/>
  <c r="O44" i="14" s="1"/>
  <c r="C44" i="14"/>
  <c r="Z43" i="14"/>
  <c r="AA43" i="14" s="1"/>
  <c r="V43" i="14"/>
  <c r="T43" i="14"/>
  <c r="R43" i="14"/>
  <c r="N43" i="14"/>
  <c r="I43" i="14"/>
  <c r="H43" i="14"/>
  <c r="D43" i="14"/>
  <c r="C43" i="14"/>
  <c r="AA42" i="14"/>
  <c r="Z42" i="14"/>
  <c r="T42" i="14"/>
  <c r="V42" i="14" s="1"/>
  <c r="R42" i="14"/>
  <c r="N42" i="14"/>
  <c r="I42" i="14"/>
  <c r="H42" i="14"/>
  <c r="D42" i="14"/>
  <c r="C42" i="14"/>
  <c r="AA41" i="14"/>
  <c r="Z41" i="14"/>
  <c r="T41" i="14"/>
  <c r="V41" i="14" s="1"/>
  <c r="R41" i="14"/>
  <c r="N41" i="14"/>
  <c r="H41" i="14"/>
  <c r="I41" i="14" s="1"/>
  <c r="D41" i="14"/>
  <c r="C41" i="14"/>
  <c r="Z40" i="14"/>
  <c r="AA40" i="14" s="1"/>
  <c r="T40" i="14"/>
  <c r="V40" i="14" s="1"/>
  <c r="R40" i="14"/>
  <c r="N40" i="14"/>
  <c r="H40" i="14"/>
  <c r="I40" i="14" s="1"/>
  <c r="D40" i="14"/>
  <c r="C40" i="14"/>
  <c r="Z39" i="14"/>
  <c r="AA39" i="14" s="1"/>
  <c r="T39" i="14"/>
  <c r="V39" i="14" s="1"/>
  <c r="R39" i="14"/>
  <c r="N39" i="14"/>
  <c r="H39" i="14"/>
  <c r="I39" i="14" s="1"/>
  <c r="D39" i="14"/>
  <c r="C39" i="14"/>
  <c r="Z38" i="14"/>
  <c r="AA38" i="14" s="1"/>
  <c r="T38" i="14"/>
  <c r="V38" i="14" s="1"/>
  <c r="R38" i="14"/>
  <c r="N38" i="14"/>
  <c r="H38" i="14"/>
  <c r="I38" i="14" s="1"/>
  <c r="D38" i="14"/>
  <c r="C38" i="14"/>
  <c r="Z37" i="14"/>
  <c r="AA37" i="14" s="1"/>
  <c r="T37" i="14"/>
  <c r="V37" i="14" s="1"/>
  <c r="R37" i="14"/>
  <c r="N37" i="14"/>
  <c r="H37" i="14"/>
  <c r="I37" i="14" s="1"/>
  <c r="D37" i="14"/>
  <c r="O37" i="14" s="1"/>
  <c r="C37" i="14"/>
  <c r="Z36" i="14"/>
  <c r="AA36" i="14" s="1"/>
  <c r="V36" i="14"/>
  <c r="T36" i="14"/>
  <c r="R36" i="14"/>
  <c r="N36" i="14"/>
  <c r="H36" i="14"/>
  <c r="I36" i="14" s="1"/>
  <c r="D36" i="14"/>
  <c r="O36" i="14" s="1"/>
  <c r="C36" i="14"/>
  <c r="Z35" i="14"/>
  <c r="AA35" i="14" s="1"/>
  <c r="V35" i="14"/>
  <c r="T35" i="14"/>
  <c r="R35" i="14"/>
  <c r="N35" i="14"/>
  <c r="I35" i="14"/>
  <c r="D35" i="14"/>
  <c r="C35" i="14"/>
  <c r="Z34" i="14"/>
  <c r="AA34" i="14" s="1"/>
  <c r="T34" i="14"/>
  <c r="V34" i="14" s="1"/>
  <c r="R34" i="14"/>
  <c r="N34" i="14"/>
  <c r="I34" i="14"/>
  <c r="D34" i="14"/>
  <c r="O34" i="14" s="1"/>
  <c r="C34" i="14"/>
  <c r="Z33" i="14"/>
  <c r="AA33" i="14" s="1"/>
  <c r="V33" i="14"/>
  <c r="T33" i="14"/>
  <c r="R33" i="14"/>
  <c r="N33" i="14"/>
  <c r="I33" i="14"/>
  <c r="D33" i="14"/>
  <c r="C33" i="14"/>
  <c r="Z32" i="14"/>
  <c r="AA32" i="14" s="1"/>
  <c r="T32" i="14"/>
  <c r="V32" i="14" s="1"/>
  <c r="R32" i="14"/>
  <c r="N32" i="14"/>
  <c r="I32" i="14"/>
  <c r="D32" i="14"/>
  <c r="O32" i="14" s="1"/>
  <c r="C32" i="14"/>
  <c r="Z31" i="14"/>
  <c r="AA31" i="14" s="1"/>
  <c r="V31" i="14"/>
  <c r="T31" i="14"/>
  <c r="R31" i="14"/>
  <c r="N31" i="14"/>
  <c r="I31" i="14"/>
  <c r="D31" i="14"/>
  <c r="C31" i="14"/>
  <c r="Z30" i="14"/>
  <c r="AA30" i="14" s="1"/>
  <c r="T30" i="14"/>
  <c r="V30" i="14" s="1"/>
  <c r="R30" i="14"/>
  <c r="N30" i="14"/>
  <c r="I30" i="14"/>
  <c r="D30" i="14"/>
  <c r="O30" i="14" s="1"/>
  <c r="C30" i="14"/>
  <c r="Z29" i="14"/>
  <c r="AA29" i="14" s="1"/>
  <c r="T29" i="14"/>
  <c r="V29" i="14" s="1"/>
  <c r="R29" i="14"/>
  <c r="N29" i="14"/>
  <c r="I29" i="14"/>
  <c r="D29" i="14"/>
  <c r="C29" i="14"/>
  <c r="Z28" i="14"/>
  <c r="AA28" i="14" s="1"/>
  <c r="T28" i="14"/>
  <c r="V28" i="14" s="1"/>
  <c r="R28" i="14"/>
  <c r="N28" i="14"/>
  <c r="I28" i="14"/>
  <c r="D28" i="14"/>
  <c r="O28" i="14" s="1"/>
  <c r="C28" i="14"/>
  <c r="Z27" i="14"/>
  <c r="AA27" i="14" s="1"/>
  <c r="T27" i="14"/>
  <c r="V27" i="14" s="1"/>
  <c r="R27" i="14"/>
  <c r="N27" i="14"/>
  <c r="I27" i="14"/>
  <c r="D27" i="14"/>
  <c r="C27" i="14"/>
  <c r="Z26" i="14"/>
  <c r="AA26" i="14" s="1"/>
  <c r="T26" i="14"/>
  <c r="V26" i="14" s="1"/>
  <c r="R26" i="14"/>
  <c r="N26" i="14"/>
  <c r="I26" i="14"/>
  <c r="D26" i="14"/>
  <c r="O26" i="14" s="1"/>
  <c r="C26" i="14"/>
  <c r="Z25" i="14"/>
  <c r="AA25" i="14" s="1"/>
  <c r="T25" i="14"/>
  <c r="V25" i="14" s="1"/>
  <c r="R25" i="14"/>
  <c r="N25" i="14"/>
  <c r="I25" i="14"/>
  <c r="D25" i="14"/>
  <c r="C25" i="14"/>
  <c r="Z24" i="14"/>
  <c r="AA24" i="14" s="1"/>
  <c r="T24" i="14"/>
  <c r="V24" i="14" s="1"/>
  <c r="R24" i="14"/>
  <c r="N24" i="14"/>
  <c r="I24" i="14"/>
  <c r="D24" i="14"/>
  <c r="C24" i="14"/>
  <c r="Z23" i="14"/>
  <c r="AA23" i="14" s="1"/>
  <c r="V23" i="14"/>
  <c r="T23" i="14"/>
  <c r="R23" i="14"/>
  <c r="N23" i="14"/>
  <c r="I23" i="14"/>
  <c r="D23" i="14"/>
  <c r="C23" i="14"/>
  <c r="Z22" i="14"/>
  <c r="AA22" i="14" s="1"/>
  <c r="T22" i="14"/>
  <c r="V22" i="14" s="1"/>
  <c r="R22" i="14"/>
  <c r="N22" i="14"/>
  <c r="I22" i="14"/>
  <c r="D22" i="14"/>
  <c r="O22" i="14" s="1"/>
  <c r="C22" i="14"/>
  <c r="Z21" i="14"/>
  <c r="AA21" i="14" s="1"/>
  <c r="T21" i="14"/>
  <c r="V21" i="14" s="1"/>
  <c r="R21" i="14"/>
  <c r="N21" i="14"/>
  <c r="I21" i="14"/>
  <c r="D21" i="14"/>
  <c r="O21" i="14" s="1"/>
  <c r="C21" i="14"/>
  <c r="Z20" i="14"/>
  <c r="AA20" i="14" s="1"/>
  <c r="T20" i="14"/>
  <c r="V20" i="14" s="1"/>
  <c r="R20" i="14"/>
  <c r="N20" i="14"/>
  <c r="I20" i="14"/>
  <c r="D20" i="14"/>
  <c r="C20" i="14"/>
  <c r="Z19" i="14"/>
  <c r="AA19" i="14" s="1"/>
  <c r="T19" i="14"/>
  <c r="V19" i="14" s="1"/>
  <c r="R19" i="14"/>
  <c r="N19" i="14"/>
  <c r="I19" i="14"/>
  <c r="D19" i="14"/>
  <c r="C19" i="14"/>
  <c r="Z18" i="14"/>
  <c r="AA18" i="14" s="1"/>
  <c r="T18" i="14"/>
  <c r="V18" i="14" s="1"/>
  <c r="R18" i="14"/>
  <c r="N18" i="14"/>
  <c r="I18" i="14"/>
  <c r="D18" i="14"/>
  <c r="O18" i="14" s="1"/>
  <c r="C18" i="14"/>
  <c r="Z17" i="14"/>
  <c r="AA17" i="14" s="1"/>
  <c r="T17" i="14"/>
  <c r="V17" i="14" s="1"/>
  <c r="R17" i="14"/>
  <c r="N17" i="14"/>
  <c r="I17" i="14"/>
  <c r="D17" i="14"/>
  <c r="O17" i="14" s="1"/>
  <c r="C17" i="14"/>
  <c r="Z16" i="14"/>
  <c r="AA16" i="14" s="1"/>
  <c r="T16" i="14"/>
  <c r="V16" i="14" s="1"/>
  <c r="R16" i="14"/>
  <c r="N16" i="14"/>
  <c r="I16" i="14"/>
  <c r="D16" i="14"/>
  <c r="C16" i="14"/>
  <c r="Z15" i="14"/>
  <c r="AA15" i="14" s="1"/>
  <c r="T15" i="14"/>
  <c r="V15" i="14" s="1"/>
  <c r="R15" i="14"/>
  <c r="N15" i="14"/>
  <c r="I15" i="14"/>
  <c r="D15" i="14"/>
  <c r="C15" i="14"/>
  <c r="Z14" i="14"/>
  <c r="AA14" i="14" s="1"/>
  <c r="T14" i="14"/>
  <c r="V14" i="14" s="1"/>
  <c r="R14" i="14"/>
  <c r="N14" i="14"/>
  <c r="I14" i="14"/>
  <c r="D14" i="14"/>
  <c r="C14" i="14"/>
  <c r="Z13" i="14"/>
  <c r="AA13" i="14" s="1"/>
  <c r="T13" i="14"/>
  <c r="V13" i="14" s="1"/>
  <c r="R13" i="14"/>
  <c r="N13" i="14"/>
  <c r="I13" i="14"/>
  <c r="D13" i="14"/>
  <c r="C13" i="14"/>
  <c r="Z12" i="14"/>
  <c r="AA12" i="14" s="1"/>
  <c r="T12" i="14"/>
  <c r="V12" i="14" s="1"/>
  <c r="R12" i="14"/>
  <c r="N12" i="14"/>
  <c r="I12" i="14"/>
  <c r="D12" i="14"/>
  <c r="O12" i="14" s="1"/>
  <c r="C12" i="14"/>
  <c r="Z11" i="14"/>
  <c r="AA11" i="14" s="1"/>
  <c r="T11" i="14"/>
  <c r="V11" i="14" s="1"/>
  <c r="R11" i="14"/>
  <c r="N11" i="14"/>
  <c r="I11" i="14"/>
  <c r="D11" i="14"/>
  <c r="O11" i="14" s="1"/>
  <c r="C11" i="14"/>
  <c r="Z10" i="14"/>
  <c r="AA10" i="14" s="1"/>
  <c r="T10" i="14"/>
  <c r="V10" i="14" s="1"/>
  <c r="R10" i="14"/>
  <c r="N10" i="14"/>
  <c r="I10" i="14"/>
  <c r="D10" i="14"/>
  <c r="C10" i="14"/>
  <c r="Z9" i="14"/>
  <c r="AA9" i="14" s="1"/>
  <c r="T9" i="14"/>
  <c r="V9" i="14" s="1"/>
  <c r="R9" i="14"/>
  <c r="N9" i="14"/>
  <c r="I9" i="14"/>
  <c r="D9" i="14"/>
  <c r="C9" i="14"/>
  <c r="Z8" i="14"/>
  <c r="AA8" i="14" s="1"/>
  <c r="T8" i="14"/>
  <c r="V8" i="14" s="1"/>
  <c r="R8" i="14"/>
  <c r="N8" i="14"/>
  <c r="I8" i="14"/>
  <c r="D8" i="14"/>
  <c r="O8" i="14" s="1"/>
  <c r="C8" i="14"/>
  <c r="Z7" i="14"/>
  <c r="AA7" i="14" s="1"/>
  <c r="T7" i="14"/>
  <c r="V7" i="14" s="1"/>
  <c r="R7" i="14"/>
  <c r="N7" i="14"/>
  <c r="I7" i="14"/>
  <c r="D7" i="14"/>
  <c r="C7" i="14"/>
  <c r="Z6" i="14"/>
  <c r="AA6" i="14" s="1"/>
  <c r="T6" i="14"/>
  <c r="V6" i="14" s="1"/>
  <c r="R6" i="14"/>
  <c r="N6" i="14"/>
  <c r="I6" i="14"/>
  <c r="D6" i="14"/>
  <c r="O6" i="14" s="1"/>
  <c r="C6" i="14"/>
  <c r="Z5" i="14"/>
  <c r="AA5" i="14" s="1"/>
  <c r="T5" i="14"/>
  <c r="V5" i="14" s="1"/>
  <c r="R5" i="14"/>
  <c r="N5" i="14"/>
  <c r="I5" i="14"/>
  <c r="D5" i="14"/>
  <c r="C5" i="14"/>
  <c r="Z4" i="14"/>
  <c r="AA4" i="14" s="1"/>
  <c r="T4" i="14"/>
  <c r="V4" i="14" s="1"/>
  <c r="R4" i="14"/>
  <c r="N4" i="14"/>
  <c r="I4" i="14"/>
  <c r="D4" i="14"/>
  <c r="C4" i="14"/>
  <c r="Z3" i="14"/>
  <c r="AA3" i="14" s="1"/>
  <c r="T3" i="14"/>
  <c r="V3" i="14" s="1"/>
  <c r="R3" i="14"/>
  <c r="N3" i="14"/>
  <c r="I3" i="14"/>
  <c r="D3" i="14"/>
  <c r="O3" i="14" s="1"/>
  <c r="C3" i="14"/>
  <c r="Z99" i="13"/>
  <c r="AA99" i="13" s="1"/>
  <c r="T99" i="13"/>
  <c r="V99" i="13" s="1"/>
  <c r="R99" i="13"/>
  <c r="N99" i="13"/>
  <c r="H99" i="13"/>
  <c r="I99" i="13" s="1"/>
  <c r="D99" i="13"/>
  <c r="O99" i="13" s="1"/>
  <c r="C99" i="13"/>
  <c r="Z98" i="13"/>
  <c r="AA98" i="13" s="1"/>
  <c r="T98" i="13"/>
  <c r="V98" i="13" s="1"/>
  <c r="R98" i="13"/>
  <c r="N98" i="13"/>
  <c r="H98" i="13"/>
  <c r="I98" i="13" s="1"/>
  <c r="D98" i="13"/>
  <c r="O98" i="13" s="1"/>
  <c r="C98" i="13"/>
  <c r="Z97" i="13"/>
  <c r="AA97" i="13" s="1"/>
  <c r="T97" i="13"/>
  <c r="V97" i="13" s="1"/>
  <c r="R97" i="13"/>
  <c r="N97" i="13"/>
  <c r="H97" i="13"/>
  <c r="I97" i="13" s="1"/>
  <c r="D97" i="13"/>
  <c r="C97" i="13"/>
  <c r="Z96" i="13"/>
  <c r="AA96" i="13" s="1"/>
  <c r="T96" i="13"/>
  <c r="V96" i="13" s="1"/>
  <c r="R96" i="13"/>
  <c r="N96" i="13"/>
  <c r="H96" i="13"/>
  <c r="I96" i="13" s="1"/>
  <c r="D96" i="13"/>
  <c r="C96" i="13"/>
  <c r="Z95" i="13"/>
  <c r="AA95" i="13" s="1"/>
  <c r="T95" i="13"/>
  <c r="V95" i="13" s="1"/>
  <c r="R95" i="13"/>
  <c r="N95" i="13"/>
  <c r="H95" i="13"/>
  <c r="I95" i="13" s="1"/>
  <c r="D95" i="13"/>
  <c r="O95" i="13" s="1"/>
  <c r="C95" i="13"/>
  <c r="Z94" i="13"/>
  <c r="AA94" i="13" s="1"/>
  <c r="T94" i="13"/>
  <c r="V94" i="13" s="1"/>
  <c r="R94" i="13"/>
  <c r="N94" i="13"/>
  <c r="H94" i="13"/>
  <c r="I94" i="13" s="1"/>
  <c r="D94" i="13"/>
  <c r="C94" i="13"/>
  <c r="Z93" i="13"/>
  <c r="AA93" i="13" s="1"/>
  <c r="T93" i="13"/>
  <c r="V93" i="13" s="1"/>
  <c r="R93" i="13"/>
  <c r="N93" i="13"/>
  <c r="H93" i="13"/>
  <c r="I93" i="13" s="1"/>
  <c r="D93" i="13"/>
  <c r="C93" i="13"/>
  <c r="Z92" i="13"/>
  <c r="AA92" i="13" s="1"/>
  <c r="T92" i="13"/>
  <c r="V92" i="13" s="1"/>
  <c r="R92" i="13"/>
  <c r="N92" i="13"/>
  <c r="H92" i="13"/>
  <c r="I92" i="13" s="1"/>
  <c r="D92" i="13"/>
  <c r="C92" i="13"/>
  <c r="Z91" i="13"/>
  <c r="AA91" i="13" s="1"/>
  <c r="T91" i="13"/>
  <c r="V91" i="13" s="1"/>
  <c r="R91" i="13"/>
  <c r="N91" i="13"/>
  <c r="H91" i="13"/>
  <c r="I91" i="13" s="1"/>
  <c r="D91" i="13"/>
  <c r="O91" i="13" s="1"/>
  <c r="C91" i="13"/>
  <c r="Z90" i="13"/>
  <c r="AA90" i="13" s="1"/>
  <c r="T90" i="13"/>
  <c r="V90" i="13" s="1"/>
  <c r="R90" i="13"/>
  <c r="N90" i="13"/>
  <c r="H90" i="13"/>
  <c r="I90" i="13" s="1"/>
  <c r="D90" i="13"/>
  <c r="C90" i="13"/>
  <c r="Z89" i="13"/>
  <c r="AA89" i="13" s="1"/>
  <c r="V89" i="13"/>
  <c r="T89" i="13"/>
  <c r="R89" i="13"/>
  <c r="N89" i="13"/>
  <c r="I89" i="13"/>
  <c r="H89" i="13"/>
  <c r="D89" i="13"/>
  <c r="C89" i="13"/>
  <c r="AA88" i="13"/>
  <c r="Z88" i="13"/>
  <c r="T88" i="13"/>
  <c r="V88" i="13" s="1"/>
  <c r="R88" i="13"/>
  <c r="N88" i="13"/>
  <c r="H88" i="13"/>
  <c r="I88" i="13" s="1"/>
  <c r="D88" i="13"/>
  <c r="C88" i="13"/>
  <c r="Z87" i="13"/>
  <c r="AA87" i="13" s="1"/>
  <c r="T87" i="13"/>
  <c r="V87" i="13" s="1"/>
  <c r="R87" i="13"/>
  <c r="N87" i="13"/>
  <c r="H87" i="13"/>
  <c r="I87" i="13" s="1"/>
  <c r="D87" i="13"/>
  <c r="C87" i="13"/>
  <c r="Z86" i="13"/>
  <c r="AA86" i="13" s="1"/>
  <c r="V86" i="13"/>
  <c r="T86" i="13"/>
  <c r="R86" i="13"/>
  <c r="N86" i="13"/>
  <c r="H86" i="13"/>
  <c r="I86" i="13" s="1"/>
  <c r="D86" i="13"/>
  <c r="C86" i="13"/>
  <c r="Z85" i="13"/>
  <c r="AA85" i="13" s="1"/>
  <c r="V85" i="13"/>
  <c r="T85" i="13"/>
  <c r="R85" i="13"/>
  <c r="N85" i="13"/>
  <c r="I85" i="13"/>
  <c r="H85" i="13"/>
  <c r="D85" i="13"/>
  <c r="C85" i="13"/>
  <c r="AA84" i="13"/>
  <c r="Z84" i="13"/>
  <c r="T84" i="13"/>
  <c r="V84" i="13" s="1"/>
  <c r="R84" i="13"/>
  <c r="N84" i="13"/>
  <c r="H84" i="13"/>
  <c r="I84" i="13" s="1"/>
  <c r="D84" i="13"/>
  <c r="C84" i="13"/>
  <c r="Z83" i="13"/>
  <c r="AA83" i="13" s="1"/>
  <c r="T83" i="13"/>
  <c r="V83" i="13" s="1"/>
  <c r="R83" i="13"/>
  <c r="N83" i="13"/>
  <c r="H83" i="13"/>
  <c r="I83" i="13" s="1"/>
  <c r="D83" i="13"/>
  <c r="C83" i="13"/>
  <c r="Z82" i="13"/>
  <c r="AA82" i="13" s="1"/>
  <c r="V82" i="13"/>
  <c r="T82" i="13"/>
  <c r="R82" i="13"/>
  <c r="N82" i="13"/>
  <c r="H82" i="13"/>
  <c r="I82" i="13" s="1"/>
  <c r="D82" i="13"/>
  <c r="C82" i="13"/>
  <c r="Z81" i="13"/>
  <c r="AA81" i="13" s="1"/>
  <c r="V81" i="13"/>
  <c r="T81" i="13"/>
  <c r="R81" i="13"/>
  <c r="N81" i="13"/>
  <c r="I81" i="13"/>
  <c r="H81" i="13"/>
  <c r="D81" i="13"/>
  <c r="C81" i="13"/>
  <c r="AA80" i="13"/>
  <c r="Z80" i="13"/>
  <c r="T80" i="13"/>
  <c r="V80" i="13" s="1"/>
  <c r="R80" i="13"/>
  <c r="N80" i="13"/>
  <c r="H80" i="13"/>
  <c r="I80" i="13" s="1"/>
  <c r="D80" i="13"/>
  <c r="C80" i="13"/>
  <c r="Z79" i="13"/>
  <c r="AA79" i="13" s="1"/>
  <c r="T79" i="13"/>
  <c r="V79" i="13" s="1"/>
  <c r="R79" i="13"/>
  <c r="N79" i="13"/>
  <c r="H79" i="13"/>
  <c r="I79" i="13" s="1"/>
  <c r="D79" i="13"/>
  <c r="C79" i="13"/>
  <c r="Z78" i="13"/>
  <c r="AA78" i="13" s="1"/>
  <c r="V78" i="13"/>
  <c r="T78" i="13"/>
  <c r="R78" i="13"/>
  <c r="N78" i="13"/>
  <c r="H78" i="13"/>
  <c r="I78" i="13" s="1"/>
  <c r="D78" i="13"/>
  <c r="C78" i="13"/>
  <c r="Z77" i="13"/>
  <c r="AA77" i="13" s="1"/>
  <c r="V77" i="13"/>
  <c r="T77" i="13"/>
  <c r="R77" i="13"/>
  <c r="N77" i="13"/>
  <c r="I77" i="13"/>
  <c r="H77" i="13"/>
  <c r="D77" i="13"/>
  <c r="C77" i="13"/>
  <c r="AA76" i="13"/>
  <c r="Z76" i="13"/>
  <c r="T76" i="13"/>
  <c r="V76" i="13" s="1"/>
  <c r="R76" i="13"/>
  <c r="N76" i="13"/>
  <c r="H76" i="13"/>
  <c r="I76" i="13" s="1"/>
  <c r="D76" i="13"/>
  <c r="C76" i="13"/>
  <c r="Z75" i="13"/>
  <c r="AA75" i="13" s="1"/>
  <c r="T75" i="13"/>
  <c r="V75" i="13" s="1"/>
  <c r="R75" i="13"/>
  <c r="N75" i="13"/>
  <c r="I75" i="13"/>
  <c r="H75" i="13"/>
  <c r="D75" i="13"/>
  <c r="C75" i="13"/>
  <c r="AA74" i="13"/>
  <c r="Z74" i="13"/>
  <c r="T74" i="13"/>
  <c r="V74" i="13" s="1"/>
  <c r="R74" i="13"/>
  <c r="N74" i="13"/>
  <c r="H74" i="13"/>
  <c r="I74" i="13" s="1"/>
  <c r="D74" i="13"/>
  <c r="C74" i="13"/>
  <c r="Z73" i="13"/>
  <c r="AA73" i="13" s="1"/>
  <c r="T73" i="13"/>
  <c r="V73" i="13" s="1"/>
  <c r="R73" i="13"/>
  <c r="N73" i="13"/>
  <c r="H73" i="13"/>
  <c r="I73" i="13" s="1"/>
  <c r="D73" i="13"/>
  <c r="O73" i="13" s="1"/>
  <c r="C73" i="13"/>
  <c r="Z72" i="13"/>
  <c r="AA72" i="13" s="1"/>
  <c r="T72" i="13"/>
  <c r="V72" i="13" s="1"/>
  <c r="R72" i="13"/>
  <c r="N72" i="13"/>
  <c r="H72" i="13"/>
  <c r="I72" i="13" s="1"/>
  <c r="D72" i="13"/>
  <c r="C72" i="13"/>
  <c r="Z71" i="13"/>
  <c r="AA71" i="13" s="1"/>
  <c r="T71" i="13"/>
  <c r="V71" i="13" s="1"/>
  <c r="R71" i="13"/>
  <c r="N71" i="13"/>
  <c r="H71" i="13"/>
  <c r="I71" i="13" s="1"/>
  <c r="D71" i="13"/>
  <c r="O71" i="13" s="1"/>
  <c r="C71" i="13"/>
  <c r="Z70" i="13"/>
  <c r="AA70" i="13" s="1"/>
  <c r="V70" i="13"/>
  <c r="T70" i="13"/>
  <c r="R70" i="13"/>
  <c r="N70" i="13"/>
  <c r="H70" i="13"/>
  <c r="I70" i="13" s="1"/>
  <c r="D70" i="13"/>
  <c r="C70" i="13"/>
  <c r="Z69" i="13"/>
  <c r="AA69" i="13" s="1"/>
  <c r="T69" i="13"/>
  <c r="V69" i="13" s="1"/>
  <c r="R69" i="13"/>
  <c r="N69" i="13"/>
  <c r="H69" i="13"/>
  <c r="I69" i="13" s="1"/>
  <c r="D69" i="13"/>
  <c r="C69" i="13"/>
  <c r="Z68" i="13"/>
  <c r="AA68" i="13" s="1"/>
  <c r="T68" i="13"/>
  <c r="V68" i="13" s="1"/>
  <c r="R68" i="13"/>
  <c r="N68" i="13"/>
  <c r="H68" i="13"/>
  <c r="I68" i="13" s="1"/>
  <c r="D68" i="13"/>
  <c r="C68" i="13"/>
  <c r="Z67" i="13"/>
  <c r="AA67" i="13" s="1"/>
  <c r="T67" i="13"/>
  <c r="V67" i="13" s="1"/>
  <c r="R67" i="13"/>
  <c r="N67" i="13"/>
  <c r="I67" i="13"/>
  <c r="H67" i="13"/>
  <c r="D67" i="13"/>
  <c r="C67" i="13"/>
  <c r="AA66" i="13"/>
  <c r="Z66" i="13"/>
  <c r="T66" i="13"/>
  <c r="V66" i="13" s="1"/>
  <c r="R66" i="13"/>
  <c r="N66" i="13"/>
  <c r="H66" i="13"/>
  <c r="I66" i="13" s="1"/>
  <c r="D66" i="13"/>
  <c r="C66" i="13"/>
  <c r="Z65" i="13"/>
  <c r="AA65" i="13" s="1"/>
  <c r="T65" i="13"/>
  <c r="V65" i="13" s="1"/>
  <c r="R65" i="13"/>
  <c r="N65" i="13"/>
  <c r="H65" i="13"/>
  <c r="I65" i="13" s="1"/>
  <c r="D65" i="13"/>
  <c r="O65" i="13" s="1"/>
  <c r="C65" i="13"/>
  <c r="Z64" i="13"/>
  <c r="AA64" i="13" s="1"/>
  <c r="T64" i="13"/>
  <c r="V64" i="13" s="1"/>
  <c r="R64" i="13"/>
  <c r="N64" i="13"/>
  <c r="H64" i="13"/>
  <c r="I64" i="13" s="1"/>
  <c r="D64" i="13"/>
  <c r="C64" i="13"/>
  <c r="Z63" i="13"/>
  <c r="AA63" i="13" s="1"/>
  <c r="T63" i="13"/>
  <c r="V63" i="13" s="1"/>
  <c r="R63" i="13"/>
  <c r="N63" i="13"/>
  <c r="H63" i="13"/>
  <c r="I63" i="13" s="1"/>
  <c r="D63" i="13"/>
  <c r="O63" i="13" s="1"/>
  <c r="C63" i="13"/>
  <c r="Z62" i="13"/>
  <c r="AA62" i="13" s="1"/>
  <c r="V62" i="13"/>
  <c r="T62" i="13"/>
  <c r="R62" i="13"/>
  <c r="N62" i="13"/>
  <c r="H62" i="13"/>
  <c r="I62" i="13" s="1"/>
  <c r="D62" i="13"/>
  <c r="C62" i="13"/>
  <c r="Z61" i="13"/>
  <c r="AA61" i="13" s="1"/>
  <c r="T61" i="13"/>
  <c r="V61" i="13" s="1"/>
  <c r="R61" i="13"/>
  <c r="N61" i="13"/>
  <c r="H61" i="13"/>
  <c r="I61" i="13" s="1"/>
  <c r="D61" i="13"/>
  <c r="C61" i="13"/>
  <c r="Z60" i="13"/>
  <c r="AA60" i="13" s="1"/>
  <c r="T60" i="13"/>
  <c r="V60" i="13" s="1"/>
  <c r="R60" i="13"/>
  <c r="N60" i="13"/>
  <c r="H60" i="13"/>
  <c r="I60" i="13" s="1"/>
  <c r="D60" i="13"/>
  <c r="C60" i="13"/>
  <c r="Z59" i="13"/>
  <c r="AA59" i="13" s="1"/>
  <c r="T59" i="13"/>
  <c r="V59" i="13" s="1"/>
  <c r="R59" i="13"/>
  <c r="N59" i="13"/>
  <c r="I59" i="13"/>
  <c r="H59" i="13"/>
  <c r="D59" i="13"/>
  <c r="C59" i="13"/>
  <c r="AA58" i="13"/>
  <c r="Z58" i="13"/>
  <c r="T58" i="13"/>
  <c r="V58" i="13" s="1"/>
  <c r="R58" i="13"/>
  <c r="N58" i="13"/>
  <c r="H58" i="13"/>
  <c r="I58" i="13" s="1"/>
  <c r="D58" i="13"/>
  <c r="C58" i="13"/>
  <c r="Z57" i="13"/>
  <c r="AA57" i="13" s="1"/>
  <c r="T57" i="13"/>
  <c r="V57" i="13" s="1"/>
  <c r="R57" i="13"/>
  <c r="N57" i="13"/>
  <c r="H57" i="13"/>
  <c r="I57" i="13" s="1"/>
  <c r="D57" i="13"/>
  <c r="C57" i="13"/>
  <c r="Z56" i="13"/>
  <c r="AA56" i="13" s="1"/>
  <c r="T56" i="13"/>
  <c r="V56" i="13" s="1"/>
  <c r="R56" i="13"/>
  <c r="N56" i="13"/>
  <c r="H56" i="13"/>
  <c r="I56" i="13" s="1"/>
  <c r="D56" i="13"/>
  <c r="C56" i="13"/>
  <c r="Z55" i="13"/>
  <c r="AA55" i="13" s="1"/>
  <c r="T55" i="13"/>
  <c r="V55" i="13" s="1"/>
  <c r="R55" i="13"/>
  <c r="N55" i="13"/>
  <c r="H55" i="13"/>
  <c r="I55" i="13" s="1"/>
  <c r="D55" i="13"/>
  <c r="O55" i="13" s="1"/>
  <c r="C55" i="13"/>
  <c r="Z54" i="13"/>
  <c r="AA54" i="13" s="1"/>
  <c r="V54" i="13"/>
  <c r="T54" i="13"/>
  <c r="R54" i="13"/>
  <c r="N54" i="13"/>
  <c r="H54" i="13"/>
  <c r="I54" i="13" s="1"/>
  <c r="D54" i="13"/>
  <c r="C54" i="13"/>
  <c r="Z53" i="13"/>
  <c r="AA53" i="13" s="1"/>
  <c r="T53" i="13"/>
  <c r="V53" i="13" s="1"/>
  <c r="R53" i="13"/>
  <c r="N53" i="13"/>
  <c r="H53" i="13"/>
  <c r="I53" i="13" s="1"/>
  <c r="D53" i="13"/>
  <c r="C53" i="13"/>
  <c r="Z52" i="13"/>
  <c r="AA52" i="13" s="1"/>
  <c r="T52" i="13"/>
  <c r="V52" i="13" s="1"/>
  <c r="R52" i="13"/>
  <c r="N52" i="13"/>
  <c r="H52" i="13"/>
  <c r="I52" i="13" s="1"/>
  <c r="D52" i="13"/>
  <c r="C52" i="13"/>
  <c r="Z51" i="13"/>
  <c r="AA51" i="13" s="1"/>
  <c r="T51" i="13"/>
  <c r="V51" i="13" s="1"/>
  <c r="R51" i="13"/>
  <c r="N51" i="13"/>
  <c r="I51" i="13"/>
  <c r="H51" i="13"/>
  <c r="D51" i="13"/>
  <c r="C51" i="13"/>
  <c r="AA50" i="13"/>
  <c r="Z50" i="13"/>
  <c r="T50" i="13"/>
  <c r="V50" i="13" s="1"/>
  <c r="R50" i="13"/>
  <c r="N50" i="13"/>
  <c r="H50" i="13"/>
  <c r="I50" i="13" s="1"/>
  <c r="D50" i="13"/>
  <c r="C50" i="13"/>
  <c r="Z49" i="13"/>
  <c r="AA49" i="13" s="1"/>
  <c r="T49" i="13"/>
  <c r="V49" i="13" s="1"/>
  <c r="R49" i="13"/>
  <c r="N49" i="13"/>
  <c r="H49" i="13"/>
  <c r="I49" i="13" s="1"/>
  <c r="D49" i="13"/>
  <c r="C49" i="13"/>
  <c r="Z48" i="13"/>
  <c r="AA48" i="13" s="1"/>
  <c r="T48" i="13"/>
  <c r="V48" i="13" s="1"/>
  <c r="R48" i="13"/>
  <c r="N48" i="13"/>
  <c r="H48" i="13"/>
  <c r="I48" i="13" s="1"/>
  <c r="D48" i="13"/>
  <c r="C48" i="13"/>
  <c r="Z47" i="13"/>
  <c r="AA47" i="13" s="1"/>
  <c r="T47" i="13"/>
  <c r="V47" i="13" s="1"/>
  <c r="R47" i="13"/>
  <c r="N47" i="13"/>
  <c r="H47" i="13"/>
  <c r="I47" i="13" s="1"/>
  <c r="D47" i="13"/>
  <c r="O47" i="13" s="1"/>
  <c r="C47" i="13"/>
  <c r="Z46" i="13"/>
  <c r="AA46" i="13" s="1"/>
  <c r="V46" i="13"/>
  <c r="T46" i="13"/>
  <c r="R46" i="13"/>
  <c r="N46" i="13"/>
  <c r="H46" i="13"/>
  <c r="I46" i="13" s="1"/>
  <c r="D46" i="13"/>
  <c r="C46" i="13"/>
  <c r="Z45" i="13"/>
  <c r="AA45" i="13" s="1"/>
  <c r="T45" i="13"/>
  <c r="V45" i="13" s="1"/>
  <c r="R45" i="13"/>
  <c r="N45" i="13"/>
  <c r="H45" i="13"/>
  <c r="I45" i="13" s="1"/>
  <c r="D45" i="13"/>
  <c r="C45" i="13"/>
  <c r="Z44" i="13"/>
  <c r="AA44" i="13" s="1"/>
  <c r="T44" i="13"/>
  <c r="V44" i="13" s="1"/>
  <c r="R44" i="13"/>
  <c r="N44" i="13"/>
  <c r="H44" i="13"/>
  <c r="I44" i="13" s="1"/>
  <c r="D44" i="13"/>
  <c r="C44" i="13"/>
  <c r="Z43" i="13"/>
  <c r="AA43" i="13" s="1"/>
  <c r="T43" i="13"/>
  <c r="V43" i="13" s="1"/>
  <c r="R43" i="13"/>
  <c r="N43" i="13"/>
  <c r="I43" i="13"/>
  <c r="H43" i="13"/>
  <c r="D43" i="13"/>
  <c r="C43" i="13"/>
  <c r="AA42" i="13"/>
  <c r="Z42" i="13"/>
  <c r="T42" i="13"/>
  <c r="V42" i="13" s="1"/>
  <c r="R42" i="13"/>
  <c r="N42" i="13"/>
  <c r="H42" i="13"/>
  <c r="I42" i="13" s="1"/>
  <c r="D42" i="13"/>
  <c r="C42" i="13"/>
  <c r="Z41" i="13"/>
  <c r="AA41" i="13" s="1"/>
  <c r="T41" i="13"/>
  <c r="V41" i="13" s="1"/>
  <c r="R41" i="13"/>
  <c r="N41" i="13"/>
  <c r="H41" i="13"/>
  <c r="I41" i="13" s="1"/>
  <c r="D41" i="13"/>
  <c r="C41" i="13"/>
  <c r="Z40" i="13"/>
  <c r="AA40" i="13" s="1"/>
  <c r="T40" i="13"/>
  <c r="V40" i="13" s="1"/>
  <c r="R40" i="13"/>
  <c r="N40" i="13"/>
  <c r="H40" i="13"/>
  <c r="I40" i="13" s="1"/>
  <c r="D40" i="13"/>
  <c r="C40" i="13"/>
  <c r="Z39" i="13"/>
  <c r="AA39" i="13" s="1"/>
  <c r="T39" i="13"/>
  <c r="V39" i="13" s="1"/>
  <c r="R39" i="13"/>
  <c r="N39" i="13"/>
  <c r="H39" i="13"/>
  <c r="I39" i="13" s="1"/>
  <c r="D39" i="13"/>
  <c r="O39" i="13" s="1"/>
  <c r="C39" i="13"/>
  <c r="Z38" i="13"/>
  <c r="AA38" i="13" s="1"/>
  <c r="V38" i="13"/>
  <c r="T38" i="13"/>
  <c r="R38" i="13"/>
  <c r="N38" i="13"/>
  <c r="H38" i="13"/>
  <c r="I38" i="13" s="1"/>
  <c r="D38" i="13"/>
  <c r="C38" i="13"/>
  <c r="Z37" i="13"/>
  <c r="AA37" i="13" s="1"/>
  <c r="T37" i="13"/>
  <c r="V37" i="13" s="1"/>
  <c r="R37" i="13"/>
  <c r="N37" i="13"/>
  <c r="H37" i="13"/>
  <c r="I37" i="13" s="1"/>
  <c r="D37" i="13"/>
  <c r="C37" i="13"/>
  <c r="Z36" i="13"/>
  <c r="AA36" i="13" s="1"/>
  <c r="T36" i="13"/>
  <c r="V36" i="13" s="1"/>
  <c r="R36" i="13"/>
  <c r="N36" i="13"/>
  <c r="H36" i="13"/>
  <c r="I36" i="13" s="1"/>
  <c r="D36" i="13"/>
  <c r="C36" i="13"/>
  <c r="Z35" i="13"/>
  <c r="AA35" i="13" s="1"/>
  <c r="T35" i="13"/>
  <c r="V35" i="13" s="1"/>
  <c r="R35" i="13"/>
  <c r="N35" i="13"/>
  <c r="I35" i="13"/>
  <c r="D35" i="13"/>
  <c r="C35" i="13"/>
  <c r="Z34" i="13"/>
  <c r="AA34" i="13" s="1"/>
  <c r="T34" i="13"/>
  <c r="V34" i="13" s="1"/>
  <c r="R34" i="13"/>
  <c r="N34" i="13"/>
  <c r="I34" i="13"/>
  <c r="D34" i="13"/>
  <c r="C34" i="13"/>
  <c r="Z33" i="13"/>
  <c r="AA33" i="13" s="1"/>
  <c r="T33" i="13"/>
  <c r="V33" i="13" s="1"/>
  <c r="R33" i="13"/>
  <c r="N33" i="13"/>
  <c r="I33" i="13"/>
  <c r="D33" i="13"/>
  <c r="C33" i="13"/>
  <c r="Z32" i="13"/>
  <c r="AA32" i="13" s="1"/>
  <c r="T32" i="13"/>
  <c r="V32" i="13" s="1"/>
  <c r="R32" i="13"/>
  <c r="N32" i="13"/>
  <c r="I32" i="13"/>
  <c r="D32" i="13"/>
  <c r="C32" i="13"/>
  <c r="Z31" i="13"/>
  <c r="AA31" i="13" s="1"/>
  <c r="T31" i="13"/>
  <c r="V31" i="13" s="1"/>
  <c r="R31" i="13"/>
  <c r="N31" i="13"/>
  <c r="I31" i="13"/>
  <c r="D31" i="13"/>
  <c r="C31" i="13"/>
  <c r="Z30" i="13"/>
  <c r="AA30" i="13" s="1"/>
  <c r="T30" i="13"/>
  <c r="V30" i="13" s="1"/>
  <c r="R30" i="13"/>
  <c r="N30" i="13"/>
  <c r="I30" i="13"/>
  <c r="D30" i="13"/>
  <c r="C30" i="13"/>
  <c r="Z29" i="13"/>
  <c r="AA29" i="13" s="1"/>
  <c r="T29" i="13"/>
  <c r="V29" i="13" s="1"/>
  <c r="R29" i="13"/>
  <c r="N29" i="13"/>
  <c r="I29" i="13"/>
  <c r="D29" i="13"/>
  <c r="O29" i="13" s="1"/>
  <c r="C29" i="13"/>
  <c r="Z28" i="13"/>
  <c r="AA28" i="13" s="1"/>
  <c r="T28" i="13"/>
  <c r="V28" i="13" s="1"/>
  <c r="R28" i="13"/>
  <c r="N28" i="13"/>
  <c r="I28" i="13"/>
  <c r="D28" i="13"/>
  <c r="O28" i="13" s="1"/>
  <c r="C28" i="13"/>
  <c r="Z27" i="13"/>
  <c r="AA27" i="13" s="1"/>
  <c r="T27" i="13"/>
  <c r="V27" i="13" s="1"/>
  <c r="R27" i="13"/>
  <c r="N27" i="13"/>
  <c r="I27" i="13"/>
  <c r="D27" i="13"/>
  <c r="O27" i="13" s="1"/>
  <c r="C27" i="13"/>
  <c r="Z26" i="13"/>
  <c r="AA26" i="13" s="1"/>
  <c r="T26" i="13"/>
  <c r="V26" i="13" s="1"/>
  <c r="R26" i="13"/>
  <c r="N26" i="13"/>
  <c r="I26" i="13"/>
  <c r="D26" i="13"/>
  <c r="O26" i="13" s="1"/>
  <c r="C26" i="13"/>
  <c r="Z25" i="13"/>
  <c r="AA25" i="13" s="1"/>
  <c r="T25" i="13"/>
  <c r="V25" i="13" s="1"/>
  <c r="R25" i="13"/>
  <c r="N25" i="13"/>
  <c r="I25" i="13"/>
  <c r="D25" i="13"/>
  <c r="O25" i="13" s="1"/>
  <c r="C25" i="13"/>
  <c r="Z24" i="13"/>
  <c r="AA24" i="13" s="1"/>
  <c r="T24" i="13"/>
  <c r="V24" i="13" s="1"/>
  <c r="R24" i="13"/>
  <c r="N24" i="13"/>
  <c r="I24" i="13"/>
  <c r="D24" i="13"/>
  <c r="O24" i="13" s="1"/>
  <c r="C24" i="13"/>
  <c r="Z23" i="13"/>
  <c r="AA23" i="13" s="1"/>
  <c r="T23" i="13"/>
  <c r="V23" i="13" s="1"/>
  <c r="R23" i="13"/>
  <c r="N23" i="13"/>
  <c r="I23" i="13"/>
  <c r="D23" i="13"/>
  <c r="O23" i="13" s="1"/>
  <c r="C23" i="13"/>
  <c r="Z22" i="13"/>
  <c r="AA22" i="13" s="1"/>
  <c r="T22" i="13"/>
  <c r="V22" i="13" s="1"/>
  <c r="R22" i="13"/>
  <c r="N22" i="13"/>
  <c r="I22" i="13"/>
  <c r="D22" i="13"/>
  <c r="O22" i="13" s="1"/>
  <c r="C22" i="13"/>
  <c r="Z21" i="13"/>
  <c r="AA21" i="13" s="1"/>
  <c r="T21" i="13"/>
  <c r="V21" i="13" s="1"/>
  <c r="R21" i="13"/>
  <c r="N21" i="13"/>
  <c r="I21" i="13"/>
  <c r="D21" i="13"/>
  <c r="O21" i="13" s="1"/>
  <c r="C21" i="13"/>
  <c r="Z20" i="13"/>
  <c r="AA20" i="13" s="1"/>
  <c r="T20" i="13"/>
  <c r="V20" i="13" s="1"/>
  <c r="R20" i="13"/>
  <c r="N20" i="13"/>
  <c r="I20" i="13"/>
  <c r="D20" i="13"/>
  <c r="O20" i="13" s="1"/>
  <c r="C20" i="13"/>
  <c r="Z19" i="13"/>
  <c r="AA19" i="13" s="1"/>
  <c r="T19" i="13"/>
  <c r="V19" i="13" s="1"/>
  <c r="R19" i="13"/>
  <c r="N19" i="13"/>
  <c r="I19" i="13"/>
  <c r="D19" i="13"/>
  <c r="O19" i="13" s="1"/>
  <c r="C19" i="13"/>
  <c r="Z18" i="13"/>
  <c r="AA18" i="13" s="1"/>
  <c r="T18" i="13"/>
  <c r="V18" i="13" s="1"/>
  <c r="R18" i="13"/>
  <c r="N18" i="13"/>
  <c r="I18" i="13"/>
  <c r="D18" i="13"/>
  <c r="O18" i="13" s="1"/>
  <c r="C18" i="13"/>
  <c r="Z17" i="13"/>
  <c r="AA17" i="13" s="1"/>
  <c r="T17" i="13"/>
  <c r="V17" i="13" s="1"/>
  <c r="R17" i="13"/>
  <c r="N17" i="13"/>
  <c r="I17" i="13"/>
  <c r="D17" i="13"/>
  <c r="O17" i="13" s="1"/>
  <c r="C17" i="13"/>
  <c r="Z16" i="13"/>
  <c r="AA16" i="13" s="1"/>
  <c r="T16" i="13"/>
  <c r="V16" i="13" s="1"/>
  <c r="R16" i="13"/>
  <c r="N16" i="13"/>
  <c r="I16" i="13"/>
  <c r="D16" i="13"/>
  <c r="O16" i="13" s="1"/>
  <c r="C16" i="13"/>
  <c r="Z15" i="13"/>
  <c r="AA15" i="13" s="1"/>
  <c r="T15" i="13"/>
  <c r="V15" i="13" s="1"/>
  <c r="R15" i="13"/>
  <c r="N15" i="13"/>
  <c r="I15" i="13"/>
  <c r="D15" i="13"/>
  <c r="O15" i="13" s="1"/>
  <c r="C15" i="13"/>
  <c r="Z14" i="13"/>
  <c r="AA14" i="13" s="1"/>
  <c r="T14" i="13"/>
  <c r="V14" i="13" s="1"/>
  <c r="R14" i="13"/>
  <c r="N14" i="13"/>
  <c r="I14" i="13"/>
  <c r="D14" i="13"/>
  <c r="O14" i="13" s="1"/>
  <c r="C14" i="13"/>
  <c r="Z13" i="13"/>
  <c r="AA13" i="13" s="1"/>
  <c r="T13" i="13"/>
  <c r="V13" i="13" s="1"/>
  <c r="R13" i="13"/>
  <c r="N13" i="13"/>
  <c r="I13" i="13"/>
  <c r="D13" i="13"/>
  <c r="O13" i="13" s="1"/>
  <c r="C13" i="13"/>
  <c r="Z12" i="13"/>
  <c r="AA12" i="13" s="1"/>
  <c r="T12" i="13"/>
  <c r="V12" i="13" s="1"/>
  <c r="R12" i="13"/>
  <c r="N12" i="13"/>
  <c r="I12" i="13"/>
  <c r="D12" i="13"/>
  <c r="O12" i="13" s="1"/>
  <c r="C12" i="13"/>
  <c r="Z11" i="13"/>
  <c r="AA11" i="13" s="1"/>
  <c r="T11" i="13"/>
  <c r="V11" i="13" s="1"/>
  <c r="R11" i="13"/>
  <c r="N11" i="13"/>
  <c r="I11" i="13"/>
  <c r="D11" i="13"/>
  <c r="O11" i="13" s="1"/>
  <c r="C11" i="13"/>
  <c r="Z10" i="13"/>
  <c r="AA10" i="13" s="1"/>
  <c r="T10" i="13"/>
  <c r="V10" i="13" s="1"/>
  <c r="R10" i="13"/>
  <c r="N10" i="13"/>
  <c r="I10" i="13"/>
  <c r="D10" i="13"/>
  <c r="O10" i="13" s="1"/>
  <c r="C10" i="13"/>
  <c r="Z9" i="13"/>
  <c r="AA9" i="13" s="1"/>
  <c r="T9" i="13"/>
  <c r="V9" i="13" s="1"/>
  <c r="R9" i="13"/>
  <c r="N9" i="13"/>
  <c r="I9" i="13"/>
  <c r="D9" i="13"/>
  <c r="O9" i="13" s="1"/>
  <c r="C9" i="13"/>
  <c r="Z8" i="13"/>
  <c r="AA8" i="13" s="1"/>
  <c r="T8" i="13"/>
  <c r="V8" i="13" s="1"/>
  <c r="R8" i="13"/>
  <c r="N8" i="13"/>
  <c r="I8" i="13"/>
  <c r="D8" i="13"/>
  <c r="O8" i="13" s="1"/>
  <c r="C8" i="13"/>
  <c r="Z7" i="13"/>
  <c r="AA7" i="13" s="1"/>
  <c r="T7" i="13"/>
  <c r="V7" i="13" s="1"/>
  <c r="R7" i="13"/>
  <c r="N7" i="13"/>
  <c r="I7" i="13"/>
  <c r="D7" i="13"/>
  <c r="O7" i="13" s="1"/>
  <c r="C7" i="13"/>
  <c r="Z6" i="13"/>
  <c r="AA6" i="13" s="1"/>
  <c r="T6" i="13"/>
  <c r="V6" i="13" s="1"/>
  <c r="R6" i="13"/>
  <c r="N6" i="13"/>
  <c r="I6" i="13"/>
  <c r="D6" i="13"/>
  <c r="O6" i="13" s="1"/>
  <c r="C6" i="13"/>
  <c r="Z5" i="13"/>
  <c r="AA5" i="13" s="1"/>
  <c r="T5" i="13"/>
  <c r="V5" i="13" s="1"/>
  <c r="R5" i="13"/>
  <c r="N5" i="13"/>
  <c r="I5" i="13"/>
  <c r="D5" i="13"/>
  <c r="O5" i="13" s="1"/>
  <c r="C5" i="13"/>
  <c r="Z4" i="13"/>
  <c r="AA4" i="13" s="1"/>
  <c r="T4" i="13"/>
  <c r="V4" i="13" s="1"/>
  <c r="R4" i="13"/>
  <c r="N4" i="13"/>
  <c r="I4" i="13"/>
  <c r="D4" i="13"/>
  <c r="O4" i="13" s="1"/>
  <c r="C4" i="13"/>
  <c r="Z3" i="13"/>
  <c r="AA3" i="13" s="1"/>
  <c r="T3" i="13"/>
  <c r="V3" i="13" s="1"/>
  <c r="R3" i="13"/>
  <c r="N3" i="13"/>
  <c r="I3" i="13"/>
  <c r="D3" i="13"/>
  <c r="O3" i="13" s="1"/>
  <c r="C3" i="13"/>
  <c r="Z99" i="12"/>
  <c r="AA99" i="12" s="1"/>
  <c r="T99" i="12"/>
  <c r="V99" i="12" s="1"/>
  <c r="R99" i="12"/>
  <c r="N99" i="12"/>
  <c r="I99" i="12"/>
  <c r="H99" i="12"/>
  <c r="D99" i="12"/>
  <c r="C99" i="12"/>
  <c r="AA98" i="12"/>
  <c r="Z98" i="12"/>
  <c r="T98" i="12"/>
  <c r="V98" i="12" s="1"/>
  <c r="R98" i="12"/>
  <c r="N98" i="12"/>
  <c r="H98" i="12"/>
  <c r="I98" i="12" s="1"/>
  <c r="D98" i="12"/>
  <c r="C98" i="12"/>
  <c r="Z97" i="12"/>
  <c r="AA97" i="12" s="1"/>
  <c r="T97" i="12"/>
  <c r="V97" i="12" s="1"/>
  <c r="R97" i="12"/>
  <c r="N97" i="12"/>
  <c r="H97" i="12"/>
  <c r="I97" i="12" s="1"/>
  <c r="D97" i="12"/>
  <c r="O97" i="12" s="1"/>
  <c r="C97" i="12"/>
  <c r="Z96" i="12"/>
  <c r="AA96" i="12" s="1"/>
  <c r="V96" i="12"/>
  <c r="T96" i="12"/>
  <c r="R96" i="12"/>
  <c r="N96" i="12"/>
  <c r="H96" i="12"/>
  <c r="I96" i="12" s="1"/>
  <c r="D96" i="12"/>
  <c r="C96" i="12"/>
  <c r="Z95" i="12"/>
  <c r="AA95" i="12" s="1"/>
  <c r="T95" i="12"/>
  <c r="V95" i="12" s="1"/>
  <c r="R95" i="12"/>
  <c r="N95" i="12"/>
  <c r="H95" i="12"/>
  <c r="I95" i="12" s="1"/>
  <c r="D95" i="12"/>
  <c r="O95" i="12" s="1"/>
  <c r="C95" i="12"/>
  <c r="Z94" i="12"/>
  <c r="AA94" i="12" s="1"/>
  <c r="V94" i="12"/>
  <c r="T94" i="12"/>
  <c r="R94" i="12"/>
  <c r="N94" i="12"/>
  <c r="H94" i="12"/>
  <c r="I94" i="12" s="1"/>
  <c r="D94" i="12"/>
  <c r="C94" i="12"/>
  <c r="Z93" i="12"/>
  <c r="AA93" i="12" s="1"/>
  <c r="T93" i="12"/>
  <c r="V93" i="12" s="1"/>
  <c r="R93" i="12"/>
  <c r="N93" i="12"/>
  <c r="I93" i="12"/>
  <c r="H93" i="12"/>
  <c r="D93" i="12"/>
  <c r="C93" i="12"/>
  <c r="AA92" i="12"/>
  <c r="Z92" i="12"/>
  <c r="T92" i="12"/>
  <c r="V92" i="12" s="1"/>
  <c r="R92" i="12"/>
  <c r="N92" i="12"/>
  <c r="H92" i="12"/>
  <c r="I92" i="12" s="1"/>
  <c r="D92" i="12"/>
  <c r="C92" i="12"/>
  <c r="Z91" i="12"/>
  <c r="AA91" i="12" s="1"/>
  <c r="T91" i="12"/>
  <c r="V91" i="12" s="1"/>
  <c r="R91" i="12"/>
  <c r="N91" i="12"/>
  <c r="I91" i="12"/>
  <c r="H91" i="12"/>
  <c r="D91" i="12"/>
  <c r="C91" i="12"/>
  <c r="AA90" i="12"/>
  <c r="Z90" i="12"/>
  <c r="T90" i="12"/>
  <c r="V90" i="12" s="1"/>
  <c r="R90" i="12"/>
  <c r="N90" i="12"/>
  <c r="H90" i="12"/>
  <c r="I90" i="12" s="1"/>
  <c r="D90" i="12"/>
  <c r="C90" i="12"/>
  <c r="Z89" i="12"/>
  <c r="AA89" i="12" s="1"/>
  <c r="T89" i="12"/>
  <c r="V89" i="12" s="1"/>
  <c r="R89" i="12"/>
  <c r="N89" i="12"/>
  <c r="H89" i="12"/>
  <c r="I89" i="12" s="1"/>
  <c r="D89" i="12"/>
  <c r="O89" i="12" s="1"/>
  <c r="C89" i="12"/>
  <c r="Z88" i="12"/>
  <c r="AA88" i="12" s="1"/>
  <c r="V88" i="12"/>
  <c r="T88" i="12"/>
  <c r="R88" i="12"/>
  <c r="N88" i="12"/>
  <c r="H88" i="12"/>
  <c r="I88" i="12" s="1"/>
  <c r="D88" i="12"/>
  <c r="C88" i="12"/>
  <c r="Z87" i="12"/>
  <c r="AA87" i="12" s="1"/>
  <c r="T87" i="12"/>
  <c r="V87" i="12" s="1"/>
  <c r="R87" i="12"/>
  <c r="N87" i="12"/>
  <c r="H87" i="12"/>
  <c r="I87" i="12" s="1"/>
  <c r="D87" i="12"/>
  <c r="O87" i="12" s="1"/>
  <c r="C87" i="12"/>
  <c r="Z86" i="12"/>
  <c r="AA86" i="12" s="1"/>
  <c r="V86" i="12"/>
  <c r="T86" i="12"/>
  <c r="R86" i="12"/>
  <c r="N86" i="12"/>
  <c r="H86" i="12"/>
  <c r="I86" i="12" s="1"/>
  <c r="D86" i="12"/>
  <c r="C86" i="12"/>
  <c r="Z85" i="12"/>
  <c r="AA85" i="12" s="1"/>
  <c r="T85" i="12"/>
  <c r="V85" i="12" s="1"/>
  <c r="R85" i="12"/>
  <c r="N85" i="12"/>
  <c r="I85" i="12"/>
  <c r="H85" i="12"/>
  <c r="D85" i="12"/>
  <c r="C85" i="12"/>
  <c r="AA84" i="12"/>
  <c r="Z84" i="12"/>
  <c r="T84" i="12"/>
  <c r="V84" i="12" s="1"/>
  <c r="R84" i="12"/>
  <c r="N84" i="12"/>
  <c r="H84" i="12"/>
  <c r="I84" i="12" s="1"/>
  <c r="D84" i="12"/>
  <c r="C84" i="12"/>
  <c r="Z83" i="12"/>
  <c r="AA83" i="12" s="1"/>
  <c r="T83" i="12"/>
  <c r="V83" i="12" s="1"/>
  <c r="R83" i="12"/>
  <c r="N83" i="12"/>
  <c r="I83" i="12"/>
  <c r="H83" i="12"/>
  <c r="D83" i="12"/>
  <c r="C83" i="12"/>
  <c r="AA82" i="12"/>
  <c r="Z82" i="12"/>
  <c r="T82" i="12"/>
  <c r="V82" i="12" s="1"/>
  <c r="R82" i="12"/>
  <c r="N82" i="12"/>
  <c r="H82" i="12"/>
  <c r="I82" i="12" s="1"/>
  <c r="D82" i="12"/>
  <c r="C82" i="12"/>
  <c r="Z81" i="12"/>
  <c r="AA81" i="12" s="1"/>
  <c r="T81" i="12"/>
  <c r="V81" i="12" s="1"/>
  <c r="R81" i="12"/>
  <c r="N81" i="12"/>
  <c r="H81" i="12"/>
  <c r="I81" i="12" s="1"/>
  <c r="D81" i="12"/>
  <c r="O81" i="12" s="1"/>
  <c r="C81" i="12"/>
  <c r="Z80" i="12"/>
  <c r="AA80" i="12" s="1"/>
  <c r="V80" i="12"/>
  <c r="T80" i="12"/>
  <c r="R80" i="12"/>
  <c r="N80" i="12"/>
  <c r="H80" i="12"/>
  <c r="I80" i="12" s="1"/>
  <c r="D80" i="12"/>
  <c r="C80" i="12"/>
  <c r="Z79" i="12"/>
  <c r="AA79" i="12" s="1"/>
  <c r="T79" i="12"/>
  <c r="V79" i="12" s="1"/>
  <c r="R79" i="12"/>
  <c r="N79" i="12"/>
  <c r="H79" i="12"/>
  <c r="I79" i="12" s="1"/>
  <c r="D79" i="12"/>
  <c r="O79" i="12" s="1"/>
  <c r="C79" i="12"/>
  <c r="Z78" i="12"/>
  <c r="AA78" i="12" s="1"/>
  <c r="V78" i="12"/>
  <c r="T78" i="12"/>
  <c r="R78" i="12"/>
  <c r="N78" i="12"/>
  <c r="H78" i="12"/>
  <c r="I78" i="12" s="1"/>
  <c r="D78" i="12"/>
  <c r="C78" i="12"/>
  <c r="Z77" i="12"/>
  <c r="AA77" i="12" s="1"/>
  <c r="T77" i="12"/>
  <c r="V77" i="12" s="1"/>
  <c r="R77" i="12"/>
  <c r="N77" i="12"/>
  <c r="I77" i="12"/>
  <c r="H77" i="12"/>
  <c r="D77" i="12"/>
  <c r="C77" i="12"/>
  <c r="AA76" i="12"/>
  <c r="Z76" i="12"/>
  <c r="T76" i="12"/>
  <c r="V76" i="12" s="1"/>
  <c r="R76" i="12"/>
  <c r="N76" i="12"/>
  <c r="H76" i="12"/>
  <c r="I76" i="12" s="1"/>
  <c r="D76" i="12"/>
  <c r="C76" i="12"/>
  <c r="Z75" i="12"/>
  <c r="AA75" i="12" s="1"/>
  <c r="T75" i="12"/>
  <c r="V75" i="12" s="1"/>
  <c r="R75" i="12"/>
  <c r="N75" i="12"/>
  <c r="I75" i="12"/>
  <c r="H75" i="12"/>
  <c r="D75" i="12"/>
  <c r="C75" i="12"/>
  <c r="AA74" i="12"/>
  <c r="Z74" i="12"/>
  <c r="T74" i="12"/>
  <c r="V74" i="12" s="1"/>
  <c r="R74" i="12"/>
  <c r="N74" i="12"/>
  <c r="H74" i="12"/>
  <c r="I74" i="12" s="1"/>
  <c r="D74" i="12"/>
  <c r="C74" i="12"/>
  <c r="Z73" i="12"/>
  <c r="AA73" i="12" s="1"/>
  <c r="T73" i="12"/>
  <c r="V73" i="12" s="1"/>
  <c r="R73" i="12"/>
  <c r="N73" i="12"/>
  <c r="H73" i="12"/>
  <c r="I73" i="12" s="1"/>
  <c r="D73" i="12"/>
  <c r="O73" i="12" s="1"/>
  <c r="C73" i="12"/>
  <c r="Z72" i="12"/>
  <c r="AA72" i="12" s="1"/>
  <c r="V72" i="12"/>
  <c r="T72" i="12"/>
  <c r="R72" i="12"/>
  <c r="N72" i="12"/>
  <c r="H72" i="12"/>
  <c r="I72" i="12" s="1"/>
  <c r="D72" i="12"/>
  <c r="C72" i="12"/>
  <c r="Z71" i="12"/>
  <c r="AA71" i="12" s="1"/>
  <c r="T71" i="12"/>
  <c r="V71" i="12" s="1"/>
  <c r="R71" i="12"/>
  <c r="N71" i="12"/>
  <c r="H71" i="12"/>
  <c r="I71" i="12" s="1"/>
  <c r="D71" i="12"/>
  <c r="O71" i="12" s="1"/>
  <c r="C71" i="12"/>
  <c r="Z70" i="12"/>
  <c r="AA70" i="12" s="1"/>
  <c r="V70" i="12"/>
  <c r="T70" i="12"/>
  <c r="R70" i="12"/>
  <c r="N70" i="12"/>
  <c r="H70" i="12"/>
  <c r="I70" i="12" s="1"/>
  <c r="D70" i="12"/>
  <c r="C70" i="12"/>
  <c r="Z69" i="12"/>
  <c r="AA69" i="12" s="1"/>
  <c r="T69" i="12"/>
  <c r="V69" i="12" s="1"/>
  <c r="R69" i="12"/>
  <c r="N69" i="12"/>
  <c r="I69" i="12"/>
  <c r="H69" i="12"/>
  <c r="D69" i="12"/>
  <c r="C69" i="12"/>
  <c r="AA68" i="12"/>
  <c r="Z68" i="12"/>
  <c r="T68" i="12"/>
  <c r="V68" i="12" s="1"/>
  <c r="R68" i="12"/>
  <c r="N68" i="12"/>
  <c r="H68" i="12"/>
  <c r="I68" i="12" s="1"/>
  <c r="D68" i="12"/>
  <c r="C68" i="12"/>
  <c r="Z67" i="12"/>
  <c r="AA67" i="12" s="1"/>
  <c r="T67" i="12"/>
  <c r="V67" i="12" s="1"/>
  <c r="R67" i="12"/>
  <c r="N67" i="12"/>
  <c r="I67" i="12"/>
  <c r="H67" i="12"/>
  <c r="D67" i="12"/>
  <c r="C67" i="12"/>
  <c r="AA66" i="12"/>
  <c r="Z66" i="12"/>
  <c r="T66" i="12"/>
  <c r="V66" i="12" s="1"/>
  <c r="R66" i="12"/>
  <c r="N66" i="12"/>
  <c r="H66" i="12"/>
  <c r="I66" i="12" s="1"/>
  <c r="D66" i="12"/>
  <c r="C66" i="12"/>
  <c r="Z65" i="12"/>
  <c r="AA65" i="12" s="1"/>
  <c r="T65" i="12"/>
  <c r="V65" i="12" s="1"/>
  <c r="R65" i="12"/>
  <c r="N65" i="12"/>
  <c r="H65" i="12"/>
  <c r="I65" i="12" s="1"/>
  <c r="D65" i="12"/>
  <c r="O65" i="12" s="1"/>
  <c r="C65" i="12"/>
  <c r="Z64" i="12"/>
  <c r="AA64" i="12" s="1"/>
  <c r="V64" i="12"/>
  <c r="T64" i="12"/>
  <c r="R64" i="12"/>
  <c r="N64" i="12"/>
  <c r="H64" i="12"/>
  <c r="I64" i="12" s="1"/>
  <c r="D64" i="12"/>
  <c r="C64" i="12"/>
  <c r="Z63" i="12"/>
  <c r="AA63" i="12" s="1"/>
  <c r="T63" i="12"/>
  <c r="V63" i="12" s="1"/>
  <c r="R63" i="12"/>
  <c r="N63" i="12"/>
  <c r="H63" i="12"/>
  <c r="I63" i="12" s="1"/>
  <c r="D63" i="12"/>
  <c r="O63" i="12" s="1"/>
  <c r="C63" i="12"/>
  <c r="Z62" i="12"/>
  <c r="AA62" i="12" s="1"/>
  <c r="V62" i="12"/>
  <c r="T62" i="12"/>
  <c r="R62" i="12"/>
  <c r="N62" i="12"/>
  <c r="H62" i="12"/>
  <c r="I62" i="12" s="1"/>
  <c r="D62" i="12"/>
  <c r="C62" i="12"/>
  <c r="Z61" i="12"/>
  <c r="AA61" i="12" s="1"/>
  <c r="T61" i="12"/>
  <c r="V61" i="12" s="1"/>
  <c r="R61" i="12"/>
  <c r="N61" i="12"/>
  <c r="I61" i="12"/>
  <c r="H61" i="12"/>
  <c r="D61" i="12"/>
  <c r="C61" i="12"/>
  <c r="AA60" i="12"/>
  <c r="Z60" i="12"/>
  <c r="T60" i="12"/>
  <c r="V60" i="12" s="1"/>
  <c r="R60" i="12"/>
  <c r="N60" i="12"/>
  <c r="H60" i="12"/>
  <c r="I60" i="12" s="1"/>
  <c r="D60" i="12"/>
  <c r="C60" i="12"/>
  <c r="Z59" i="12"/>
  <c r="AA59" i="12" s="1"/>
  <c r="T59" i="12"/>
  <c r="V59" i="12" s="1"/>
  <c r="R59" i="12"/>
  <c r="N59" i="12"/>
  <c r="I59" i="12"/>
  <c r="H59" i="12"/>
  <c r="D59" i="12"/>
  <c r="C59" i="12"/>
  <c r="AA58" i="12"/>
  <c r="Z58" i="12"/>
  <c r="T58" i="12"/>
  <c r="V58" i="12" s="1"/>
  <c r="R58" i="12"/>
  <c r="N58" i="12"/>
  <c r="H58" i="12"/>
  <c r="I58" i="12" s="1"/>
  <c r="D58" i="12"/>
  <c r="C58" i="12"/>
  <c r="Z57" i="12"/>
  <c r="AA57" i="12" s="1"/>
  <c r="T57" i="12"/>
  <c r="V57" i="12" s="1"/>
  <c r="R57" i="12"/>
  <c r="N57" i="12"/>
  <c r="I57" i="12"/>
  <c r="H57" i="12"/>
  <c r="D57" i="12"/>
  <c r="C57" i="12"/>
  <c r="AA56" i="12"/>
  <c r="Z56" i="12"/>
  <c r="T56" i="12"/>
  <c r="V56" i="12" s="1"/>
  <c r="R56" i="12"/>
  <c r="N56" i="12"/>
  <c r="H56" i="12"/>
  <c r="I56" i="12" s="1"/>
  <c r="D56" i="12"/>
  <c r="C56" i="12"/>
  <c r="Z55" i="12"/>
  <c r="AA55" i="12" s="1"/>
  <c r="T55" i="12"/>
  <c r="V55" i="12" s="1"/>
  <c r="R55" i="12"/>
  <c r="N55" i="12"/>
  <c r="I55" i="12"/>
  <c r="H55" i="12"/>
  <c r="D55" i="12"/>
  <c r="C55" i="12"/>
  <c r="AA54" i="12"/>
  <c r="Z54" i="12"/>
  <c r="T54" i="12"/>
  <c r="V54" i="12" s="1"/>
  <c r="R54" i="12"/>
  <c r="N54" i="12"/>
  <c r="H54" i="12"/>
  <c r="I54" i="12" s="1"/>
  <c r="D54" i="12"/>
  <c r="C54" i="12"/>
  <c r="Z53" i="12"/>
  <c r="AA53" i="12" s="1"/>
  <c r="T53" i="12"/>
  <c r="V53" i="12" s="1"/>
  <c r="R53" i="12"/>
  <c r="N53" i="12"/>
  <c r="I53" i="12"/>
  <c r="H53" i="12"/>
  <c r="D53" i="12"/>
  <c r="C53" i="12"/>
  <c r="AA52" i="12"/>
  <c r="Z52" i="12"/>
  <c r="T52" i="12"/>
  <c r="V52" i="12" s="1"/>
  <c r="R52" i="12"/>
  <c r="N52" i="12"/>
  <c r="H52" i="12"/>
  <c r="I52" i="12" s="1"/>
  <c r="D52" i="12"/>
  <c r="C52" i="12"/>
  <c r="Z51" i="12"/>
  <c r="AA51" i="12" s="1"/>
  <c r="T51" i="12"/>
  <c r="V51" i="12" s="1"/>
  <c r="R51" i="12"/>
  <c r="N51" i="12"/>
  <c r="I51" i="12"/>
  <c r="H51" i="12"/>
  <c r="D51" i="12"/>
  <c r="C51" i="12"/>
  <c r="AA50" i="12"/>
  <c r="Z50" i="12"/>
  <c r="T50" i="12"/>
  <c r="V50" i="12" s="1"/>
  <c r="R50" i="12"/>
  <c r="N50" i="12"/>
  <c r="H50" i="12"/>
  <c r="I50" i="12" s="1"/>
  <c r="D50" i="12"/>
  <c r="C50" i="12"/>
  <c r="Z49" i="12"/>
  <c r="AA49" i="12" s="1"/>
  <c r="T49" i="12"/>
  <c r="V49" i="12" s="1"/>
  <c r="R49" i="12"/>
  <c r="N49" i="12"/>
  <c r="I49" i="12"/>
  <c r="H49" i="12"/>
  <c r="D49" i="12"/>
  <c r="C49" i="12"/>
  <c r="AA48" i="12"/>
  <c r="Z48" i="12"/>
  <c r="T48" i="12"/>
  <c r="V48" i="12" s="1"/>
  <c r="R48" i="12"/>
  <c r="N48" i="12"/>
  <c r="H48" i="12"/>
  <c r="I48" i="12" s="1"/>
  <c r="D48" i="12"/>
  <c r="C48" i="12"/>
  <c r="Z47" i="12"/>
  <c r="AA47" i="12" s="1"/>
  <c r="T47" i="12"/>
  <c r="V47" i="12" s="1"/>
  <c r="R47" i="12"/>
  <c r="N47" i="12"/>
  <c r="I47" i="12"/>
  <c r="H47" i="12"/>
  <c r="D47" i="12"/>
  <c r="C47" i="12"/>
  <c r="AA46" i="12"/>
  <c r="Z46" i="12"/>
  <c r="T46" i="12"/>
  <c r="V46" i="12" s="1"/>
  <c r="R46" i="12"/>
  <c r="N46" i="12"/>
  <c r="H46" i="12"/>
  <c r="I46" i="12" s="1"/>
  <c r="D46" i="12"/>
  <c r="C46" i="12"/>
  <c r="Z45" i="12"/>
  <c r="AA45" i="12" s="1"/>
  <c r="T45" i="12"/>
  <c r="V45" i="12" s="1"/>
  <c r="R45" i="12"/>
  <c r="N45" i="12"/>
  <c r="I45" i="12"/>
  <c r="H45" i="12"/>
  <c r="D45" i="12"/>
  <c r="C45" i="12"/>
  <c r="AA44" i="12"/>
  <c r="Z44" i="12"/>
  <c r="T44" i="12"/>
  <c r="V44" i="12" s="1"/>
  <c r="R44" i="12"/>
  <c r="N44" i="12"/>
  <c r="H44" i="12"/>
  <c r="I44" i="12" s="1"/>
  <c r="D44" i="12"/>
  <c r="C44" i="12"/>
  <c r="Z43" i="12"/>
  <c r="AA43" i="12" s="1"/>
  <c r="T43" i="12"/>
  <c r="V43" i="12" s="1"/>
  <c r="R43" i="12"/>
  <c r="N43" i="12"/>
  <c r="I43" i="12"/>
  <c r="H43" i="12"/>
  <c r="D43" i="12"/>
  <c r="C43" i="12"/>
  <c r="AA42" i="12"/>
  <c r="Z42" i="12"/>
  <c r="T42" i="12"/>
  <c r="V42" i="12" s="1"/>
  <c r="R42" i="12"/>
  <c r="N42" i="12"/>
  <c r="H42" i="12"/>
  <c r="I42" i="12" s="1"/>
  <c r="D42" i="12"/>
  <c r="C42" i="12"/>
  <c r="Z41" i="12"/>
  <c r="AA41" i="12" s="1"/>
  <c r="T41" i="12"/>
  <c r="V41" i="12" s="1"/>
  <c r="R41" i="12"/>
  <c r="N41" i="12"/>
  <c r="I41" i="12"/>
  <c r="H41" i="12"/>
  <c r="D41" i="12"/>
  <c r="C41" i="12"/>
  <c r="AA40" i="12"/>
  <c r="Z40" i="12"/>
  <c r="T40" i="12"/>
  <c r="V40" i="12" s="1"/>
  <c r="R40" i="12"/>
  <c r="N40" i="12"/>
  <c r="H40" i="12"/>
  <c r="I40" i="12" s="1"/>
  <c r="D40" i="12"/>
  <c r="C40" i="12"/>
  <c r="Z39" i="12"/>
  <c r="AA39" i="12" s="1"/>
  <c r="T39" i="12"/>
  <c r="V39" i="12" s="1"/>
  <c r="R39" i="12"/>
  <c r="N39" i="12"/>
  <c r="I39" i="12"/>
  <c r="H39" i="12"/>
  <c r="D39" i="12"/>
  <c r="C39" i="12"/>
  <c r="AA38" i="12"/>
  <c r="Z38" i="12"/>
  <c r="T38" i="12"/>
  <c r="V38" i="12" s="1"/>
  <c r="R38" i="12"/>
  <c r="N38" i="12"/>
  <c r="H38" i="12"/>
  <c r="I38" i="12" s="1"/>
  <c r="D38" i="12"/>
  <c r="C38" i="12"/>
  <c r="Z37" i="12"/>
  <c r="AA37" i="12" s="1"/>
  <c r="V37" i="12"/>
  <c r="T37" i="12"/>
  <c r="R37" i="12"/>
  <c r="N37" i="12"/>
  <c r="I37" i="12"/>
  <c r="H37" i="12"/>
  <c r="D37" i="12"/>
  <c r="C37" i="12"/>
  <c r="AA36" i="12"/>
  <c r="Z36" i="12"/>
  <c r="T36" i="12"/>
  <c r="V36" i="12" s="1"/>
  <c r="R36" i="12"/>
  <c r="N36" i="12"/>
  <c r="H36" i="12"/>
  <c r="I36" i="12" s="1"/>
  <c r="D36" i="12"/>
  <c r="O36" i="12" s="1"/>
  <c r="C36" i="12"/>
  <c r="Z35" i="12"/>
  <c r="AA35" i="12" s="1"/>
  <c r="V35" i="12"/>
  <c r="T35" i="12"/>
  <c r="R35" i="12"/>
  <c r="N35" i="12"/>
  <c r="I35" i="12"/>
  <c r="D35" i="12"/>
  <c r="O35" i="12" s="1"/>
  <c r="C35" i="12"/>
  <c r="Z34" i="12"/>
  <c r="AA34" i="12" s="1"/>
  <c r="V34" i="12"/>
  <c r="T34" i="12"/>
  <c r="R34" i="12"/>
  <c r="N34" i="12"/>
  <c r="I34" i="12"/>
  <c r="D34" i="12"/>
  <c r="C34" i="12"/>
  <c r="AA33" i="12"/>
  <c r="Z33" i="12"/>
  <c r="T33" i="12"/>
  <c r="V33" i="12" s="1"/>
  <c r="R33" i="12"/>
  <c r="N33" i="12"/>
  <c r="I33" i="12"/>
  <c r="D33" i="12"/>
  <c r="C33" i="12"/>
  <c r="AA32" i="12"/>
  <c r="Z32" i="12"/>
  <c r="T32" i="12"/>
  <c r="V32" i="12" s="1"/>
  <c r="R32" i="12"/>
  <c r="N32" i="12"/>
  <c r="I32" i="12"/>
  <c r="D32" i="12"/>
  <c r="C32" i="12"/>
  <c r="Z31" i="12"/>
  <c r="AA31" i="12" s="1"/>
  <c r="V31" i="12"/>
  <c r="T31" i="12"/>
  <c r="R31" i="12"/>
  <c r="N31" i="12"/>
  <c r="I31" i="12"/>
  <c r="D31" i="12"/>
  <c r="O31" i="12" s="1"/>
  <c r="C31" i="12"/>
  <c r="Z30" i="12"/>
  <c r="AA30" i="12" s="1"/>
  <c r="V30" i="12"/>
  <c r="T30" i="12"/>
  <c r="R30" i="12"/>
  <c r="N30" i="12"/>
  <c r="I30" i="12"/>
  <c r="D30" i="12"/>
  <c r="C30" i="12"/>
  <c r="AA29" i="12"/>
  <c r="Z29" i="12"/>
  <c r="T29" i="12"/>
  <c r="V29" i="12" s="1"/>
  <c r="R29" i="12"/>
  <c r="N29" i="12"/>
  <c r="I29" i="12"/>
  <c r="D29" i="12"/>
  <c r="C29" i="12"/>
  <c r="AA28" i="12"/>
  <c r="Z28" i="12"/>
  <c r="T28" i="12"/>
  <c r="V28" i="12" s="1"/>
  <c r="R28" i="12"/>
  <c r="N28" i="12"/>
  <c r="I28" i="12"/>
  <c r="D28" i="12"/>
  <c r="C28" i="12"/>
  <c r="Z27" i="12"/>
  <c r="AA27" i="12" s="1"/>
  <c r="V27" i="12"/>
  <c r="T27" i="12"/>
  <c r="R27" i="12"/>
  <c r="N27" i="12"/>
  <c r="I27" i="12"/>
  <c r="D27" i="12"/>
  <c r="O27" i="12" s="1"/>
  <c r="C27" i="12"/>
  <c r="Z26" i="12"/>
  <c r="AA26" i="12" s="1"/>
  <c r="V26" i="12"/>
  <c r="T26" i="12"/>
  <c r="R26" i="12"/>
  <c r="N26" i="12"/>
  <c r="I26" i="12"/>
  <c r="D26" i="12"/>
  <c r="C26" i="12"/>
  <c r="AA25" i="12"/>
  <c r="Z25" i="12"/>
  <c r="T25" i="12"/>
  <c r="V25" i="12" s="1"/>
  <c r="R25" i="12"/>
  <c r="N25" i="12"/>
  <c r="I25" i="12"/>
  <c r="D25" i="12"/>
  <c r="C25" i="12"/>
  <c r="AA24" i="12"/>
  <c r="Z24" i="12"/>
  <c r="T24" i="12"/>
  <c r="V24" i="12" s="1"/>
  <c r="R24" i="12"/>
  <c r="N24" i="12"/>
  <c r="I24" i="12"/>
  <c r="D24" i="12"/>
  <c r="C24" i="12"/>
  <c r="Z23" i="12"/>
  <c r="AA23" i="12" s="1"/>
  <c r="V23" i="12"/>
  <c r="T23" i="12"/>
  <c r="R23" i="12"/>
  <c r="N23" i="12"/>
  <c r="I23" i="12"/>
  <c r="D23" i="12"/>
  <c r="O23" i="12" s="1"/>
  <c r="C23" i="12"/>
  <c r="Z22" i="12"/>
  <c r="AA22" i="12" s="1"/>
  <c r="V22" i="12"/>
  <c r="T22" i="12"/>
  <c r="R22" i="12"/>
  <c r="N22" i="12"/>
  <c r="I22" i="12"/>
  <c r="D22" i="12"/>
  <c r="C22" i="12"/>
  <c r="AA21" i="12"/>
  <c r="Z21" i="12"/>
  <c r="T21" i="12"/>
  <c r="V21" i="12" s="1"/>
  <c r="R21" i="12"/>
  <c r="N21" i="12"/>
  <c r="I21" i="12"/>
  <c r="D21" i="12"/>
  <c r="C21" i="12"/>
  <c r="AA20" i="12"/>
  <c r="Z20" i="12"/>
  <c r="T20" i="12"/>
  <c r="V20" i="12" s="1"/>
  <c r="R20" i="12"/>
  <c r="N20" i="12"/>
  <c r="I20" i="12"/>
  <c r="D20" i="12"/>
  <c r="C20" i="12"/>
  <c r="Z19" i="12"/>
  <c r="AA19" i="12" s="1"/>
  <c r="V19" i="12"/>
  <c r="T19" i="12"/>
  <c r="R19" i="12"/>
  <c r="N19" i="12"/>
  <c r="I19" i="12"/>
  <c r="D19" i="12"/>
  <c r="O19" i="12" s="1"/>
  <c r="C19" i="12"/>
  <c r="Z18" i="12"/>
  <c r="AA18" i="12" s="1"/>
  <c r="V18" i="12"/>
  <c r="T18" i="12"/>
  <c r="R18" i="12"/>
  <c r="N18" i="12"/>
  <c r="I18" i="12"/>
  <c r="D18" i="12"/>
  <c r="C18" i="12"/>
  <c r="AA17" i="12"/>
  <c r="Z17" i="12"/>
  <c r="T17" i="12"/>
  <c r="V17" i="12" s="1"/>
  <c r="R17" i="12"/>
  <c r="N17" i="12"/>
  <c r="I17" i="12"/>
  <c r="D17" i="12"/>
  <c r="C17" i="12"/>
  <c r="AA16" i="12"/>
  <c r="Z16" i="12"/>
  <c r="T16" i="12"/>
  <c r="V16" i="12" s="1"/>
  <c r="R16" i="12"/>
  <c r="N16" i="12"/>
  <c r="I16" i="12"/>
  <c r="D16" i="12"/>
  <c r="C16" i="12"/>
  <c r="Z15" i="12"/>
  <c r="AA15" i="12" s="1"/>
  <c r="V15" i="12"/>
  <c r="T15" i="12"/>
  <c r="R15" i="12"/>
  <c r="N15" i="12"/>
  <c r="I15" i="12"/>
  <c r="D15" i="12"/>
  <c r="O15" i="12" s="1"/>
  <c r="C15" i="12"/>
  <c r="Z14" i="12"/>
  <c r="AA14" i="12" s="1"/>
  <c r="V14" i="12"/>
  <c r="T14" i="12"/>
  <c r="R14" i="12"/>
  <c r="N14" i="12"/>
  <c r="I14" i="12"/>
  <c r="D14" i="12"/>
  <c r="C14" i="12"/>
  <c r="AA13" i="12"/>
  <c r="Z13" i="12"/>
  <c r="T13" i="12"/>
  <c r="V13" i="12" s="1"/>
  <c r="R13" i="12"/>
  <c r="N13" i="12"/>
  <c r="I13" i="12"/>
  <c r="D13" i="12"/>
  <c r="C13" i="12"/>
  <c r="AA12" i="12"/>
  <c r="Z12" i="12"/>
  <c r="T12" i="12"/>
  <c r="V12" i="12" s="1"/>
  <c r="R12" i="12"/>
  <c r="N12" i="12"/>
  <c r="I12" i="12"/>
  <c r="D12" i="12"/>
  <c r="C12" i="12"/>
  <c r="Z11" i="12"/>
  <c r="AA11" i="12" s="1"/>
  <c r="V11" i="12"/>
  <c r="T11" i="12"/>
  <c r="R11" i="12"/>
  <c r="N11" i="12"/>
  <c r="I11" i="12"/>
  <c r="D11" i="12"/>
  <c r="O11" i="12" s="1"/>
  <c r="C11" i="12"/>
  <c r="Z10" i="12"/>
  <c r="AA10" i="12" s="1"/>
  <c r="V10" i="12"/>
  <c r="T10" i="12"/>
  <c r="R10" i="12"/>
  <c r="N10" i="12"/>
  <c r="I10" i="12"/>
  <c r="D10" i="12"/>
  <c r="C10" i="12"/>
  <c r="AA9" i="12"/>
  <c r="Z9" i="12"/>
  <c r="T9" i="12"/>
  <c r="V9" i="12" s="1"/>
  <c r="R9" i="12"/>
  <c r="N9" i="12"/>
  <c r="I9" i="12"/>
  <c r="D9" i="12"/>
  <c r="C9" i="12"/>
  <c r="AA8" i="12"/>
  <c r="Z8" i="12"/>
  <c r="T8" i="12"/>
  <c r="V8" i="12" s="1"/>
  <c r="R8" i="12"/>
  <c r="N8" i="12"/>
  <c r="I8" i="12"/>
  <c r="D8" i="12"/>
  <c r="C8" i="12"/>
  <c r="Z7" i="12"/>
  <c r="AA7" i="12" s="1"/>
  <c r="V7" i="12"/>
  <c r="T7" i="12"/>
  <c r="R7" i="12"/>
  <c r="N7" i="12"/>
  <c r="I7" i="12"/>
  <c r="D7" i="12"/>
  <c r="O7" i="12" s="1"/>
  <c r="C7" i="12"/>
  <c r="Z6" i="12"/>
  <c r="AA6" i="12" s="1"/>
  <c r="V6" i="12"/>
  <c r="T6" i="12"/>
  <c r="R6" i="12"/>
  <c r="N6" i="12"/>
  <c r="I6" i="12"/>
  <c r="D6" i="12"/>
  <c r="C6" i="12"/>
  <c r="AA5" i="12"/>
  <c r="Z5" i="12"/>
  <c r="T5" i="12"/>
  <c r="V5" i="12" s="1"/>
  <c r="R5" i="12"/>
  <c r="N5" i="12"/>
  <c r="I5" i="12"/>
  <c r="D5" i="12"/>
  <c r="C5" i="12"/>
  <c r="AA4" i="12"/>
  <c r="Z4" i="12"/>
  <c r="T4" i="12"/>
  <c r="V4" i="12" s="1"/>
  <c r="R4" i="12"/>
  <c r="N4" i="12"/>
  <c r="I4" i="12"/>
  <c r="D4" i="12"/>
  <c r="C4" i="12"/>
  <c r="Z3" i="12"/>
  <c r="AA3" i="12" s="1"/>
  <c r="V3" i="12"/>
  <c r="T3" i="12"/>
  <c r="R3" i="12"/>
  <c r="N3" i="12"/>
  <c r="I3" i="12"/>
  <c r="D3" i="12"/>
  <c r="O3" i="12" s="1"/>
  <c r="C3" i="12"/>
  <c r="Z99" i="11"/>
  <c r="AA99" i="11" s="1"/>
  <c r="V99" i="11"/>
  <c r="T99" i="11"/>
  <c r="R99" i="11"/>
  <c r="N99" i="11"/>
  <c r="I99" i="11"/>
  <c r="H99" i="11"/>
  <c r="D99" i="11"/>
  <c r="C99" i="11"/>
  <c r="AA98" i="11"/>
  <c r="Z98" i="11"/>
  <c r="T98" i="11"/>
  <c r="V98" i="11" s="1"/>
  <c r="R98" i="11"/>
  <c r="N98" i="11"/>
  <c r="H98" i="11"/>
  <c r="I98" i="11" s="1"/>
  <c r="D98" i="11"/>
  <c r="O98" i="11" s="1"/>
  <c r="C98" i="11"/>
  <c r="Z97" i="11"/>
  <c r="AA97" i="11" s="1"/>
  <c r="V97" i="11"/>
  <c r="T97" i="11"/>
  <c r="R97" i="11"/>
  <c r="N97" i="11"/>
  <c r="H97" i="11"/>
  <c r="I97" i="11" s="1"/>
  <c r="D97" i="11"/>
  <c r="O97" i="11" s="1"/>
  <c r="C97" i="11"/>
  <c r="Z96" i="11"/>
  <c r="AA96" i="11" s="1"/>
  <c r="V96" i="11"/>
  <c r="T96" i="11"/>
  <c r="R96" i="11"/>
  <c r="N96" i="11"/>
  <c r="I96" i="11"/>
  <c r="H96" i="11"/>
  <c r="D96" i="11"/>
  <c r="C96" i="11"/>
  <c r="AA95" i="11"/>
  <c r="Z95" i="11"/>
  <c r="T95" i="11"/>
  <c r="V95" i="11" s="1"/>
  <c r="R95" i="11"/>
  <c r="N95" i="11"/>
  <c r="H95" i="11"/>
  <c r="I95" i="11" s="1"/>
  <c r="D95" i="11"/>
  <c r="C95" i="11"/>
  <c r="Z94" i="11"/>
  <c r="AA94" i="11" s="1"/>
  <c r="T94" i="11"/>
  <c r="V94" i="11" s="1"/>
  <c r="R94" i="11"/>
  <c r="N94" i="11"/>
  <c r="H94" i="11"/>
  <c r="I94" i="11" s="1"/>
  <c r="D94" i="11"/>
  <c r="O94" i="11" s="1"/>
  <c r="C94" i="11"/>
  <c r="Z93" i="11"/>
  <c r="AA93" i="11" s="1"/>
  <c r="V93" i="11"/>
  <c r="T93" i="11"/>
  <c r="R93" i="11"/>
  <c r="N93" i="11"/>
  <c r="H93" i="11"/>
  <c r="I93" i="11" s="1"/>
  <c r="D93" i="11"/>
  <c r="C93" i="11"/>
  <c r="Z92" i="11"/>
  <c r="AA92" i="11" s="1"/>
  <c r="V92" i="11"/>
  <c r="T92" i="11"/>
  <c r="R92" i="11"/>
  <c r="N92" i="11"/>
  <c r="I92" i="11"/>
  <c r="H92" i="11"/>
  <c r="D92" i="11"/>
  <c r="C92" i="11"/>
  <c r="AA91" i="11"/>
  <c r="Z91" i="11"/>
  <c r="T91" i="11"/>
  <c r="V91" i="11" s="1"/>
  <c r="R91" i="11"/>
  <c r="N91" i="11"/>
  <c r="H91" i="11"/>
  <c r="I91" i="11" s="1"/>
  <c r="D91" i="11"/>
  <c r="C91" i="11"/>
  <c r="Z90" i="11"/>
  <c r="AA90" i="11" s="1"/>
  <c r="T90" i="11"/>
  <c r="V90" i="11" s="1"/>
  <c r="R90" i="11"/>
  <c r="N90" i="11"/>
  <c r="I90" i="11"/>
  <c r="H90" i="11"/>
  <c r="D90" i="11"/>
  <c r="C90" i="11"/>
  <c r="AA89" i="11"/>
  <c r="Z89" i="11"/>
  <c r="T89" i="11"/>
  <c r="V89" i="11" s="1"/>
  <c r="R89" i="11"/>
  <c r="N89" i="11"/>
  <c r="H89" i="11"/>
  <c r="I89" i="11" s="1"/>
  <c r="D89" i="11"/>
  <c r="C89" i="11"/>
  <c r="Z88" i="11"/>
  <c r="AA88" i="11" s="1"/>
  <c r="T88" i="11"/>
  <c r="V88" i="11" s="1"/>
  <c r="R88" i="11"/>
  <c r="N88" i="11"/>
  <c r="H88" i="11"/>
  <c r="I88" i="11" s="1"/>
  <c r="D88" i="11"/>
  <c r="O88" i="11" s="1"/>
  <c r="C88" i="11"/>
  <c r="Z87" i="11"/>
  <c r="AA87" i="11" s="1"/>
  <c r="V87" i="11"/>
  <c r="T87" i="11"/>
  <c r="R87" i="11"/>
  <c r="N87" i="11"/>
  <c r="I87" i="11"/>
  <c r="H87" i="11"/>
  <c r="D87" i="11"/>
  <c r="C87" i="11"/>
  <c r="AA86" i="11"/>
  <c r="Z86" i="11"/>
  <c r="T86" i="11"/>
  <c r="V86" i="11" s="1"/>
  <c r="R86" i="11"/>
  <c r="N86" i="11"/>
  <c r="I86" i="11"/>
  <c r="H86" i="11"/>
  <c r="D86" i="11"/>
  <c r="C86" i="11"/>
  <c r="AA85" i="11"/>
  <c r="Z85" i="11"/>
  <c r="T85" i="11"/>
  <c r="V85" i="11" s="1"/>
  <c r="R85" i="11"/>
  <c r="N85" i="11"/>
  <c r="H85" i="11"/>
  <c r="I85" i="11" s="1"/>
  <c r="D85" i="11"/>
  <c r="O85" i="11" s="1"/>
  <c r="C85" i="11"/>
  <c r="Z84" i="11"/>
  <c r="AA84" i="11" s="1"/>
  <c r="T84" i="11"/>
  <c r="V84" i="11" s="1"/>
  <c r="R84" i="11"/>
  <c r="N84" i="11"/>
  <c r="H84" i="11"/>
  <c r="I84" i="11" s="1"/>
  <c r="D84" i="11"/>
  <c r="O84" i="11" s="1"/>
  <c r="C84" i="11"/>
  <c r="Z83" i="11"/>
  <c r="AA83" i="11" s="1"/>
  <c r="V83" i="11"/>
  <c r="T83" i="11"/>
  <c r="R83" i="11"/>
  <c r="N83" i="11"/>
  <c r="I83" i="11"/>
  <c r="H83" i="11"/>
  <c r="D83" i="11"/>
  <c r="C83" i="11"/>
  <c r="AA82" i="11"/>
  <c r="Z82" i="11"/>
  <c r="T82" i="11"/>
  <c r="V82" i="11" s="1"/>
  <c r="R82" i="11"/>
  <c r="N82" i="11"/>
  <c r="H82" i="11"/>
  <c r="I82" i="11" s="1"/>
  <c r="D82" i="11"/>
  <c r="O82" i="11" s="1"/>
  <c r="C82" i="11"/>
  <c r="Z81" i="11"/>
  <c r="AA81" i="11" s="1"/>
  <c r="V81" i="11"/>
  <c r="T81" i="11"/>
  <c r="R81" i="11"/>
  <c r="N81" i="11"/>
  <c r="H81" i="11"/>
  <c r="I81" i="11" s="1"/>
  <c r="D81" i="11"/>
  <c r="O81" i="11" s="1"/>
  <c r="C81" i="11"/>
  <c r="Z80" i="11"/>
  <c r="AA80" i="11" s="1"/>
  <c r="V80" i="11"/>
  <c r="T80" i="11"/>
  <c r="R80" i="11"/>
  <c r="N80" i="11"/>
  <c r="I80" i="11"/>
  <c r="H80" i="11"/>
  <c r="D80" i="11"/>
  <c r="C80" i="11"/>
  <c r="AA79" i="11"/>
  <c r="Z79" i="11"/>
  <c r="T79" i="11"/>
  <c r="V79" i="11" s="1"/>
  <c r="R79" i="11"/>
  <c r="N79" i="11"/>
  <c r="H79" i="11"/>
  <c r="I79" i="11" s="1"/>
  <c r="D79" i="11"/>
  <c r="C79" i="11"/>
  <c r="Z78" i="11"/>
  <c r="AA78" i="11" s="1"/>
  <c r="T78" i="11"/>
  <c r="V78" i="11" s="1"/>
  <c r="R78" i="11"/>
  <c r="N78" i="11"/>
  <c r="H78" i="11"/>
  <c r="I78" i="11" s="1"/>
  <c r="D78" i="11"/>
  <c r="O78" i="11" s="1"/>
  <c r="C78" i="11"/>
  <c r="Z77" i="11"/>
  <c r="AA77" i="11" s="1"/>
  <c r="V77" i="11"/>
  <c r="T77" i="11"/>
  <c r="R77" i="11"/>
  <c r="N77" i="11"/>
  <c r="H77" i="11"/>
  <c r="I77" i="11" s="1"/>
  <c r="D77" i="11"/>
  <c r="C77" i="11"/>
  <c r="Z76" i="11"/>
  <c r="AA76" i="11" s="1"/>
  <c r="V76" i="11"/>
  <c r="T76" i="11"/>
  <c r="R76" i="11"/>
  <c r="N76" i="11"/>
  <c r="I76" i="11"/>
  <c r="H76" i="11"/>
  <c r="D76" i="11"/>
  <c r="C76" i="11"/>
  <c r="AA75" i="11"/>
  <c r="Z75" i="11"/>
  <c r="T75" i="11"/>
  <c r="V75" i="11" s="1"/>
  <c r="R75" i="11"/>
  <c r="N75" i="11"/>
  <c r="H75" i="11"/>
  <c r="I75" i="11" s="1"/>
  <c r="D75" i="11"/>
  <c r="C75" i="11"/>
  <c r="Z74" i="11"/>
  <c r="AA74" i="11" s="1"/>
  <c r="T74" i="11"/>
  <c r="V74" i="11" s="1"/>
  <c r="R74" i="11"/>
  <c r="N74" i="11"/>
  <c r="I74" i="11"/>
  <c r="H74" i="11"/>
  <c r="D74" i="11"/>
  <c r="C74" i="11"/>
  <c r="AA73" i="11"/>
  <c r="Z73" i="11"/>
  <c r="T73" i="11"/>
  <c r="V73" i="11" s="1"/>
  <c r="R73" i="11"/>
  <c r="N73" i="11"/>
  <c r="H73" i="11"/>
  <c r="I73" i="11" s="1"/>
  <c r="D73" i="11"/>
  <c r="C73" i="11"/>
  <c r="Z72" i="11"/>
  <c r="AA72" i="11" s="1"/>
  <c r="T72" i="11"/>
  <c r="V72" i="11" s="1"/>
  <c r="R72" i="11"/>
  <c r="N72" i="11"/>
  <c r="H72" i="11"/>
  <c r="I72" i="11" s="1"/>
  <c r="D72" i="11"/>
  <c r="O72" i="11" s="1"/>
  <c r="C72" i="11"/>
  <c r="Z71" i="11"/>
  <c r="AA71" i="11" s="1"/>
  <c r="V71" i="11"/>
  <c r="T71" i="11"/>
  <c r="R71" i="11"/>
  <c r="N71" i="11"/>
  <c r="I71" i="11"/>
  <c r="H71" i="11"/>
  <c r="D71" i="11"/>
  <c r="C71" i="11"/>
  <c r="AA70" i="11"/>
  <c r="Z70" i="11"/>
  <c r="T70" i="11"/>
  <c r="V70" i="11" s="1"/>
  <c r="R70" i="11"/>
  <c r="N70" i="11"/>
  <c r="I70" i="11"/>
  <c r="H70" i="11"/>
  <c r="D70" i="11"/>
  <c r="C70" i="11"/>
  <c r="AA69" i="11"/>
  <c r="Z69" i="11"/>
  <c r="T69" i="11"/>
  <c r="V69" i="11" s="1"/>
  <c r="R69" i="11"/>
  <c r="N69" i="11"/>
  <c r="H69" i="11"/>
  <c r="I69" i="11" s="1"/>
  <c r="D69" i="11"/>
  <c r="O69" i="11" s="1"/>
  <c r="C69" i="11"/>
  <c r="Z68" i="11"/>
  <c r="AA68" i="11" s="1"/>
  <c r="T68" i="11"/>
  <c r="V68" i="11" s="1"/>
  <c r="R68" i="11"/>
  <c r="N68" i="11"/>
  <c r="H68" i="11"/>
  <c r="I68" i="11" s="1"/>
  <c r="D68" i="11"/>
  <c r="O68" i="11" s="1"/>
  <c r="C68" i="11"/>
  <c r="Z67" i="11"/>
  <c r="AA67" i="11" s="1"/>
  <c r="V67" i="11"/>
  <c r="T67" i="11"/>
  <c r="R67" i="11"/>
  <c r="N67" i="11"/>
  <c r="I67" i="11"/>
  <c r="H67" i="11"/>
  <c r="D67" i="11"/>
  <c r="C67" i="11"/>
  <c r="AA66" i="11"/>
  <c r="Z66" i="11"/>
  <c r="T66" i="11"/>
  <c r="V66" i="11" s="1"/>
  <c r="R66" i="11"/>
  <c r="N66" i="11"/>
  <c r="H66" i="11"/>
  <c r="I66" i="11" s="1"/>
  <c r="D66" i="11"/>
  <c r="O66" i="11" s="1"/>
  <c r="C66" i="11"/>
  <c r="Z65" i="11"/>
  <c r="AA65" i="11" s="1"/>
  <c r="T65" i="11"/>
  <c r="V65" i="11" s="1"/>
  <c r="R65" i="11"/>
  <c r="N65" i="11"/>
  <c r="H65" i="11"/>
  <c r="I65" i="11" s="1"/>
  <c r="D65" i="11"/>
  <c r="O65" i="11" s="1"/>
  <c r="C65" i="11"/>
  <c r="Z64" i="11"/>
  <c r="AA64" i="11" s="1"/>
  <c r="T64" i="11"/>
  <c r="V64" i="11" s="1"/>
  <c r="R64" i="11"/>
  <c r="N64" i="11"/>
  <c r="H64" i="11"/>
  <c r="I64" i="11" s="1"/>
  <c r="D64" i="11"/>
  <c r="C64" i="11"/>
  <c r="Z63" i="11"/>
  <c r="AA63" i="11" s="1"/>
  <c r="T63" i="11"/>
  <c r="V63" i="11" s="1"/>
  <c r="R63" i="11"/>
  <c r="N63" i="11"/>
  <c r="H63" i="11"/>
  <c r="I63" i="11" s="1"/>
  <c r="D63" i="11"/>
  <c r="C63" i="11"/>
  <c r="Z62" i="11"/>
  <c r="AA62" i="11" s="1"/>
  <c r="T62" i="11"/>
  <c r="V62" i="11" s="1"/>
  <c r="R62" i="11"/>
  <c r="N62" i="11"/>
  <c r="H62" i="11"/>
  <c r="I62" i="11" s="1"/>
  <c r="D62" i="11"/>
  <c r="O62" i="11" s="1"/>
  <c r="C62" i="11"/>
  <c r="Z61" i="11"/>
  <c r="AA61" i="11" s="1"/>
  <c r="V61" i="11"/>
  <c r="T61" i="11"/>
  <c r="R61" i="11"/>
  <c r="N61" i="11"/>
  <c r="H61" i="11"/>
  <c r="I61" i="11" s="1"/>
  <c r="D61" i="11"/>
  <c r="C61" i="11"/>
  <c r="Z60" i="11"/>
  <c r="AA60" i="11" s="1"/>
  <c r="V60" i="11"/>
  <c r="T60" i="11"/>
  <c r="R60" i="11"/>
  <c r="N60" i="11"/>
  <c r="I60" i="11"/>
  <c r="H60" i="11"/>
  <c r="D60" i="11"/>
  <c r="C60" i="11"/>
  <c r="AA59" i="11"/>
  <c r="Z59" i="11"/>
  <c r="T59" i="11"/>
  <c r="V59" i="11" s="1"/>
  <c r="R59" i="11"/>
  <c r="N59" i="11"/>
  <c r="I59" i="11"/>
  <c r="H59" i="11"/>
  <c r="D59" i="11"/>
  <c r="C59" i="11"/>
  <c r="AA58" i="11"/>
  <c r="Z58" i="11"/>
  <c r="T58" i="11"/>
  <c r="V58" i="11" s="1"/>
  <c r="R58" i="11"/>
  <c r="N58" i="11"/>
  <c r="I58" i="11"/>
  <c r="H58" i="11"/>
  <c r="D58" i="11"/>
  <c r="C58" i="11"/>
  <c r="AA57" i="11"/>
  <c r="Z57" i="11"/>
  <c r="T57" i="11"/>
  <c r="V57" i="11" s="1"/>
  <c r="R57" i="11"/>
  <c r="N57" i="11"/>
  <c r="H57" i="11"/>
  <c r="I57" i="11" s="1"/>
  <c r="D57" i="11"/>
  <c r="O57" i="11" s="1"/>
  <c r="C57" i="11"/>
  <c r="Z56" i="11"/>
  <c r="AA56" i="11" s="1"/>
  <c r="T56" i="11"/>
  <c r="V56" i="11" s="1"/>
  <c r="R56" i="11"/>
  <c r="N56" i="11"/>
  <c r="H56" i="11"/>
  <c r="I56" i="11" s="1"/>
  <c r="D56" i="11"/>
  <c r="C56" i="11"/>
  <c r="Z55" i="11"/>
  <c r="AA55" i="11" s="1"/>
  <c r="V55" i="11"/>
  <c r="T55" i="11"/>
  <c r="R55" i="11"/>
  <c r="N55" i="11"/>
  <c r="H55" i="11"/>
  <c r="I55" i="11" s="1"/>
  <c r="D55" i="11"/>
  <c r="C55" i="11"/>
  <c r="AA54" i="11"/>
  <c r="Z54" i="11"/>
  <c r="T54" i="11"/>
  <c r="V54" i="11" s="1"/>
  <c r="R54" i="11"/>
  <c r="N54" i="11"/>
  <c r="I54" i="11"/>
  <c r="H54" i="11"/>
  <c r="D54" i="11"/>
  <c r="O54" i="11" s="1"/>
  <c r="C54" i="11"/>
  <c r="AA53" i="11"/>
  <c r="Z53" i="11"/>
  <c r="V53" i="11"/>
  <c r="T53" i="11"/>
  <c r="R53" i="11"/>
  <c r="N53" i="11"/>
  <c r="H53" i="11"/>
  <c r="I53" i="11" s="1"/>
  <c r="D53" i="11"/>
  <c r="O53" i="11" s="1"/>
  <c r="C53" i="11"/>
  <c r="Z52" i="11"/>
  <c r="AA52" i="11" s="1"/>
  <c r="V52" i="11"/>
  <c r="T52" i="11"/>
  <c r="R52" i="11"/>
  <c r="N52" i="11"/>
  <c r="I52" i="11"/>
  <c r="H52" i="11"/>
  <c r="D52" i="11"/>
  <c r="O52" i="11" s="1"/>
  <c r="C52" i="11"/>
  <c r="AA51" i="11"/>
  <c r="Z51" i="11"/>
  <c r="V51" i="11"/>
  <c r="T51" i="11"/>
  <c r="R51" i="11"/>
  <c r="N51" i="11"/>
  <c r="I51" i="11"/>
  <c r="H51" i="11"/>
  <c r="D51" i="11"/>
  <c r="C51" i="11"/>
  <c r="AA50" i="11"/>
  <c r="Z50" i="11"/>
  <c r="T50" i="11"/>
  <c r="V50" i="11" s="1"/>
  <c r="R50" i="11"/>
  <c r="N50" i="11"/>
  <c r="H50" i="11"/>
  <c r="I50" i="11" s="1"/>
  <c r="D50" i="11"/>
  <c r="O50" i="11" s="1"/>
  <c r="C50" i="11"/>
  <c r="Z49" i="11"/>
  <c r="AA49" i="11" s="1"/>
  <c r="T49" i="11"/>
  <c r="V49" i="11" s="1"/>
  <c r="R49" i="11"/>
  <c r="N49" i="11"/>
  <c r="H49" i="11"/>
  <c r="I49" i="11" s="1"/>
  <c r="D49" i="11"/>
  <c r="O49" i="11" s="1"/>
  <c r="C49" i="11"/>
  <c r="Z48" i="11"/>
  <c r="AA48" i="11" s="1"/>
  <c r="T48" i="11"/>
  <c r="V48" i="11" s="1"/>
  <c r="R48" i="11"/>
  <c r="N48" i="11"/>
  <c r="H48" i="11"/>
  <c r="I48" i="11" s="1"/>
  <c r="D48" i="11"/>
  <c r="C48" i="11"/>
  <c r="Z47" i="11"/>
  <c r="AA47" i="11" s="1"/>
  <c r="T47" i="11"/>
  <c r="V47" i="11" s="1"/>
  <c r="R47" i="11"/>
  <c r="N47" i="11"/>
  <c r="H47" i="11"/>
  <c r="I47" i="11" s="1"/>
  <c r="D47" i="11"/>
  <c r="C47" i="11"/>
  <c r="Z46" i="11"/>
  <c r="AA46" i="11" s="1"/>
  <c r="T46" i="11"/>
  <c r="V46" i="11" s="1"/>
  <c r="R46" i="11"/>
  <c r="N46" i="11"/>
  <c r="H46" i="11"/>
  <c r="I46" i="11" s="1"/>
  <c r="D46" i="11"/>
  <c r="O46" i="11" s="1"/>
  <c r="C46" i="11"/>
  <c r="Z45" i="11"/>
  <c r="AA45" i="11" s="1"/>
  <c r="V45" i="11"/>
  <c r="T45" i="11"/>
  <c r="R45" i="11"/>
  <c r="N45" i="11"/>
  <c r="H45" i="11"/>
  <c r="I45" i="11" s="1"/>
  <c r="D45" i="11"/>
  <c r="C45" i="11"/>
  <c r="Z44" i="11"/>
  <c r="AA44" i="11" s="1"/>
  <c r="V44" i="11"/>
  <c r="T44" i="11"/>
  <c r="R44" i="11"/>
  <c r="N44" i="11"/>
  <c r="I44" i="11"/>
  <c r="H44" i="11"/>
  <c r="D44" i="11"/>
  <c r="C44" i="11"/>
  <c r="AA43" i="11"/>
  <c r="Z43" i="11"/>
  <c r="T43" i="11"/>
  <c r="V43" i="11" s="1"/>
  <c r="R43" i="11"/>
  <c r="N43" i="11"/>
  <c r="H43" i="11"/>
  <c r="I43" i="11" s="1"/>
  <c r="D43" i="11"/>
  <c r="C43" i="11"/>
  <c r="Z42" i="11"/>
  <c r="AA42" i="11" s="1"/>
  <c r="T42" i="11"/>
  <c r="V42" i="11" s="1"/>
  <c r="R42" i="11"/>
  <c r="N42" i="11"/>
  <c r="I42" i="11"/>
  <c r="H42" i="11"/>
  <c r="D42" i="11"/>
  <c r="C42" i="11"/>
  <c r="AA41" i="11"/>
  <c r="Z41" i="11"/>
  <c r="T41" i="11"/>
  <c r="V41" i="11" s="1"/>
  <c r="R41" i="11"/>
  <c r="N41" i="11"/>
  <c r="H41" i="11"/>
  <c r="I41" i="11" s="1"/>
  <c r="D41" i="11"/>
  <c r="C41" i="11"/>
  <c r="Z40" i="11"/>
  <c r="AA40" i="11" s="1"/>
  <c r="T40" i="11"/>
  <c r="V40" i="11" s="1"/>
  <c r="R40" i="11"/>
  <c r="N40" i="11"/>
  <c r="H40" i="11"/>
  <c r="I40" i="11" s="1"/>
  <c r="D40" i="11"/>
  <c r="O40" i="11" s="1"/>
  <c r="C40" i="11"/>
  <c r="Z39" i="11"/>
  <c r="AA39" i="11" s="1"/>
  <c r="V39" i="11"/>
  <c r="T39" i="11"/>
  <c r="R39" i="11"/>
  <c r="N39" i="11"/>
  <c r="I39" i="11"/>
  <c r="H39" i="11"/>
  <c r="D39" i="11"/>
  <c r="C39" i="11"/>
  <c r="AA38" i="11"/>
  <c r="Z38" i="11"/>
  <c r="T38" i="11"/>
  <c r="V38" i="11" s="1"/>
  <c r="R38" i="11"/>
  <c r="N38" i="11"/>
  <c r="I38" i="11"/>
  <c r="H38" i="11"/>
  <c r="D38" i="11"/>
  <c r="C38" i="11"/>
  <c r="AA37" i="11"/>
  <c r="Z37" i="11"/>
  <c r="T37" i="11"/>
  <c r="V37" i="11" s="1"/>
  <c r="R37" i="11"/>
  <c r="N37" i="11"/>
  <c r="H37" i="11"/>
  <c r="I37" i="11" s="1"/>
  <c r="D37" i="11"/>
  <c r="O37" i="11" s="1"/>
  <c r="C37" i="11"/>
  <c r="Z36" i="11"/>
  <c r="AA36" i="11" s="1"/>
  <c r="T36" i="11"/>
  <c r="V36" i="11" s="1"/>
  <c r="R36" i="11"/>
  <c r="N36" i="11"/>
  <c r="H36" i="11"/>
  <c r="I36" i="11" s="1"/>
  <c r="D36" i="11"/>
  <c r="O36" i="11" s="1"/>
  <c r="C36" i="11"/>
  <c r="Z35" i="11"/>
  <c r="AA35" i="11" s="1"/>
  <c r="V35" i="11"/>
  <c r="T35" i="11"/>
  <c r="R35" i="11"/>
  <c r="N35" i="11"/>
  <c r="I35" i="11"/>
  <c r="D35" i="11"/>
  <c r="C35" i="11"/>
  <c r="AA34" i="11"/>
  <c r="Z34" i="11"/>
  <c r="T34" i="11"/>
  <c r="V34" i="11" s="1"/>
  <c r="R34" i="11"/>
  <c r="N34" i="11"/>
  <c r="I34" i="11"/>
  <c r="D34" i="11"/>
  <c r="C34" i="11"/>
  <c r="AA33" i="11"/>
  <c r="Z33" i="11"/>
  <c r="T33" i="11"/>
  <c r="V33" i="11" s="1"/>
  <c r="R33" i="11"/>
  <c r="N33" i="11"/>
  <c r="I33" i="11"/>
  <c r="D33" i="11"/>
  <c r="C33" i="11"/>
  <c r="Z32" i="11"/>
  <c r="AA32" i="11" s="1"/>
  <c r="T32" i="11"/>
  <c r="V32" i="11" s="1"/>
  <c r="R32" i="11"/>
  <c r="N32" i="11"/>
  <c r="I32" i="11"/>
  <c r="D32" i="11"/>
  <c r="C32" i="11"/>
  <c r="AA31" i="11"/>
  <c r="Z31" i="11"/>
  <c r="V31" i="11"/>
  <c r="T31" i="11"/>
  <c r="R31" i="11"/>
  <c r="N31" i="11"/>
  <c r="I31" i="11"/>
  <c r="D31" i="11"/>
  <c r="C31" i="11"/>
  <c r="Z30" i="11"/>
  <c r="AA30" i="11" s="1"/>
  <c r="V30" i="11"/>
  <c r="T30" i="11"/>
  <c r="R30" i="11"/>
  <c r="N30" i="11"/>
  <c r="I30" i="11"/>
  <c r="D30" i="11"/>
  <c r="O30" i="11" s="1"/>
  <c r="C30" i="11"/>
  <c r="Z29" i="11"/>
  <c r="AA29" i="11" s="1"/>
  <c r="V29" i="11"/>
  <c r="T29" i="11"/>
  <c r="R29" i="11"/>
  <c r="N29" i="11"/>
  <c r="I29" i="11"/>
  <c r="D29" i="11"/>
  <c r="C29" i="11"/>
  <c r="AA28" i="11"/>
  <c r="Z28" i="11"/>
  <c r="T28" i="11"/>
  <c r="V28" i="11" s="1"/>
  <c r="R28" i="11"/>
  <c r="N28" i="11"/>
  <c r="I28" i="11"/>
  <c r="D28" i="11"/>
  <c r="C28" i="11"/>
  <c r="AA27" i="11"/>
  <c r="Z27" i="11"/>
  <c r="T27" i="11"/>
  <c r="V27" i="11" s="1"/>
  <c r="R27" i="11"/>
  <c r="N27" i="11"/>
  <c r="I27" i="11"/>
  <c r="D27" i="11"/>
  <c r="C27" i="11"/>
  <c r="Z26" i="11"/>
  <c r="AA26" i="11" s="1"/>
  <c r="V26" i="11"/>
  <c r="T26" i="11"/>
  <c r="R26" i="11"/>
  <c r="N26" i="11"/>
  <c r="I26" i="11"/>
  <c r="D26" i="11"/>
  <c r="O26" i="11" s="1"/>
  <c r="C26" i="11"/>
  <c r="Z25" i="11"/>
  <c r="AA25" i="11" s="1"/>
  <c r="V25" i="11"/>
  <c r="T25" i="11"/>
  <c r="R25" i="11"/>
  <c r="N25" i="11"/>
  <c r="I25" i="11"/>
  <c r="D25" i="11"/>
  <c r="C25" i="11"/>
  <c r="AA24" i="11"/>
  <c r="Z24" i="11"/>
  <c r="T24" i="11"/>
  <c r="V24" i="11" s="1"/>
  <c r="R24" i="11"/>
  <c r="N24" i="11"/>
  <c r="I24" i="11"/>
  <c r="D24" i="11"/>
  <c r="C24" i="11"/>
  <c r="AA23" i="11"/>
  <c r="Z23" i="11"/>
  <c r="T23" i="11"/>
  <c r="V23" i="11" s="1"/>
  <c r="R23" i="11"/>
  <c r="N23" i="11"/>
  <c r="I23" i="11"/>
  <c r="D23" i="11"/>
  <c r="C23" i="11"/>
  <c r="Z22" i="11"/>
  <c r="AA22" i="11" s="1"/>
  <c r="V22" i="11"/>
  <c r="T22" i="11"/>
  <c r="R22" i="11"/>
  <c r="N22" i="11"/>
  <c r="I22" i="11"/>
  <c r="D22" i="11"/>
  <c r="O22" i="11" s="1"/>
  <c r="C22" i="11"/>
  <c r="Z21" i="11"/>
  <c r="AA21" i="11" s="1"/>
  <c r="V21" i="11"/>
  <c r="T21" i="11"/>
  <c r="R21" i="11"/>
  <c r="N21" i="11"/>
  <c r="I21" i="11"/>
  <c r="D21" i="11"/>
  <c r="C21" i="11"/>
  <c r="AA20" i="11"/>
  <c r="Z20" i="11"/>
  <c r="T20" i="11"/>
  <c r="V20" i="11" s="1"/>
  <c r="R20" i="11"/>
  <c r="N20" i="11"/>
  <c r="I20" i="11"/>
  <c r="D20" i="11"/>
  <c r="C20" i="11"/>
  <c r="AA19" i="11"/>
  <c r="Z19" i="11"/>
  <c r="T19" i="11"/>
  <c r="V19" i="11" s="1"/>
  <c r="R19" i="11"/>
  <c r="N19" i="11"/>
  <c r="I19" i="11"/>
  <c r="D19" i="11"/>
  <c r="C19" i="11"/>
  <c r="Z18" i="11"/>
  <c r="AA18" i="11" s="1"/>
  <c r="V18" i="11"/>
  <c r="T18" i="11"/>
  <c r="R18" i="11"/>
  <c r="N18" i="11"/>
  <c r="I18" i="11"/>
  <c r="D18" i="11"/>
  <c r="O18" i="11" s="1"/>
  <c r="C18" i="11"/>
  <c r="Z17" i="11"/>
  <c r="AA17" i="11" s="1"/>
  <c r="V17" i="11"/>
  <c r="T17" i="11"/>
  <c r="R17" i="11"/>
  <c r="N17" i="11"/>
  <c r="I17" i="11"/>
  <c r="D17" i="11"/>
  <c r="C17" i="11"/>
  <c r="AA16" i="11"/>
  <c r="Z16" i="11"/>
  <c r="T16" i="11"/>
  <c r="V16" i="11" s="1"/>
  <c r="R16" i="11"/>
  <c r="N16" i="11"/>
  <c r="I16" i="11"/>
  <c r="D16" i="11"/>
  <c r="C16" i="11"/>
  <c r="AA15" i="11"/>
  <c r="Z15" i="11"/>
  <c r="T15" i="11"/>
  <c r="V15" i="11" s="1"/>
  <c r="R15" i="11"/>
  <c r="N15" i="11"/>
  <c r="I15" i="11"/>
  <c r="D15" i="11"/>
  <c r="C15" i="11"/>
  <c r="Z14" i="11"/>
  <c r="AA14" i="11" s="1"/>
  <c r="T14" i="11"/>
  <c r="V14" i="11" s="1"/>
  <c r="R14" i="11"/>
  <c r="N14" i="11"/>
  <c r="I14" i="11"/>
  <c r="D14" i="11"/>
  <c r="O14" i="11" s="1"/>
  <c r="C14" i="11"/>
  <c r="Z13" i="11"/>
  <c r="AA13" i="11" s="1"/>
  <c r="T13" i="11"/>
  <c r="V13" i="11" s="1"/>
  <c r="R13" i="11"/>
  <c r="N13" i="11"/>
  <c r="I13" i="11"/>
  <c r="D13" i="11"/>
  <c r="C13" i="11"/>
  <c r="Z12" i="11"/>
  <c r="AA12" i="11" s="1"/>
  <c r="T12" i="11"/>
  <c r="V12" i="11" s="1"/>
  <c r="R12" i="11"/>
  <c r="N12" i="11"/>
  <c r="I12" i="11"/>
  <c r="D12" i="11"/>
  <c r="O12" i="11" s="1"/>
  <c r="C12" i="11"/>
  <c r="Z11" i="11"/>
  <c r="AA11" i="11" s="1"/>
  <c r="T11" i="11"/>
  <c r="V11" i="11" s="1"/>
  <c r="R11" i="11"/>
  <c r="N11" i="11"/>
  <c r="I11" i="11"/>
  <c r="D11" i="11"/>
  <c r="C11" i="11"/>
  <c r="Z10" i="11"/>
  <c r="AA10" i="11" s="1"/>
  <c r="T10" i="11"/>
  <c r="V10" i="11" s="1"/>
  <c r="R10" i="11"/>
  <c r="N10" i="11"/>
  <c r="I10" i="11"/>
  <c r="D10" i="11"/>
  <c r="O10" i="11" s="1"/>
  <c r="C10" i="11"/>
  <c r="Z9" i="11"/>
  <c r="AA9" i="11" s="1"/>
  <c r="T9" i="11"/>
  <c r="V9" i="11" s="1"/>
  <c r="R9" i="11"/>
  <c r="N9" i="11"/>
  <c r="I9" i="11"/>
  <c r="D9" i="11"/>
  <c r="C9" i="11"/>
  <c r="Z8" i="11"/>
  <c r="AA8" i="11" s="1"/>
  <c r="T8" i="11"/>
  <c r="V8" i="11" s="1"/>
  <c r="R8" i="11"/>
  <c r="N8" i="11"/>
  <c r="I8" i="11"/>
  <c r="D8" i="11"/>
  <c r="O8" i="11" s="1"/>
  <c r="C8" i="11"/>
  <c r="Z7" i="11"/>
  <c r="AA7" i="11" s="1"/>
  <c r="T7" i="11"/>
  <c r="V7" i="11" s="1"/>
  <c r="R7" i="11"/>
  <c r="N7" i="11"/>
  <c r="I7" i="11"/>
  <c r="D7" i="11"/>
  <c r="C7" i="11"/>
  <c r="Z6" i="11"/>
  <c r="AA6" i="11" s="1"/>
  <c r="T6" i="11"/>
  <c r="V6" i="11" s="1"/>
  <c r="R6" i="11"/>
  <c r="N6" i="11"/>
  <c r="I6" i="11"/>
  <c r="D6" i="11"/>
  <c r="O6" i="11" s="1"/>
  <c r="C6" i="11"/>
  <c r="Z5" i="11"/>
  <c r="AA5" i="11" s="1"/>
  <c r="T5" i="11"/>
  <c r="V5" i="11" s="1"/>
  <c r="R5" i="11"/>
  <c r="N5" i="11"/>
  <c r="I5" i="11"/>
  <c r="D5" i="11"/>
  <c r="C5" i="11"/>
  <c r="Z4" i="11"/>
  <c r="AA4" i="11" s="1"/>
  <c r="T4" i="11"/>
  <c r="V4" i="11" s="1"/>
  <c r="R4" i="11"/>
  <c r="N4" i="11"/>
  <c r="I4" i="11"/>
  <c r="D4" i="11"/>
  <c r="O4" i="11" s="1"/>
  <c r="C4" i="11"/>
  <c r="Z3" i="11"/>
  <c r="AA3" i="11" s="1"/>
  <c r="T3" i="11"/>
  <c r="V3" i="11" s="1"/>
  <c r="R3" i="11"/>
  <c r="N3" i="11"/>
  <c r="I3" i="11"/>
  <c r="D3" i="11"/>
  <c r="C3" i="11"/>
  <c r="Z99" i="10"/>
  <c r="AA99" i="10" s="1"/>
  <c r="T99" i="10"/>
  <c r="V99" i="10" s="1"/>
  <c r="R99" i="10"/>
  <c r="N99" i="10"/>
  <c r="H99" i="10"/>
  <c r="I99" i="10" s="1"/>
  <c r="D99" i="10"/>
  <c r="O99" i="10" s="1"/>
  <c r="C99" i="10"/>
  <c r="Z98" i="10"/>
  <c r="AA98" i="10" s="1"/>
  <c r="T98" i="10"/>
  <c r="V98" i="10" s="1"/>
  <c r="R98" i="10"/>
  <c r="N98" i="10"/>
  <c r="H98" i="10"/>
  <c r="I98" i="10" s="1"/>
  <c r="D98" i="10"/>
  <c r="O98" i="10" s="1"/>
  <c r="C98" i="10"/>
  <c r="Z97" i="10"/>
  <c r="AA97" i="10" s="1"/>
  <c r="T97" i="10"/>
  <c r="V97" i="10" s="1"/>
  <c r="R97" i="10"/>
  <c r="N97" i="10"/>
  <c r="H97" i="10"/>
  <c r="I97" i="10" s="1"/>
  <c r="D97" i="10"/>
  <c r="C97" i="10"/>
  <c r="Z96" i="10"/>
  <c r="AA96" i="10" s="1"/>
  <c r="T96" i="10"/>
  <c r="V96" i="10" s="1"/>
  <c r="R96" i="10"/>
  <c r="N96" i="10"/>
  <c r="I96" i="10"/>
  <c r="H96" i="10"/>
  <c r="D96" i="10"/>
  <c r="C96" i="10"/>
  <c r="AA95" i="10"/>
  <c r="Z95" i="10"/>
  <c r="T95" i="10"/>
  <c r="V95" i="10" s="1"/>
  <c r="R95" i="10"/>
  <c r="N95" i="10"/>
  <c r="H95" i="10"/>
  <c r="I95" i="10" s="1"/>
  <c r="D95" i="10"/>
  <c r="C95" i="10"/>
  <c r="Z94" i="10"/>
  <c r="AA94" i="10" s="1"/>
  <c r="V94" i="10"/>
  <c r="T94" i="10"/>
  <c r="R94" i="10"/>
  <c r="N94" i="10"/>
  <c r="H94" i="10"/>
  <c r="I94" i="10" s="1"/>
  <c r="D94" i="10"/>
  <c r="O94" i="10" s="1"/>
  <c r="C94" i="10"/>
  <c r="Z93" i="10"/>
  <c r="AA93" i="10" s="1"/>
  <c r="T93" i="10"/>
  <c r="V93" i="10" s="1"/>
  <c r="R93" i="10"/>
  <c r="N93" i="10"/>
  <c r="H93" i="10"/>
  <c r="I93" i="10" s="1"/>
  <c r="D93" i="10"/>
  <c r="C93" i="10"/>
  <c r="Z92" i="10"/>
  <c r="AA92" i="10" s="1"/>
  <c r="T92" i="10"/>
  <c r="V92" i="10" s="1"/>
  <c r="R92" i="10"/>
  <c r="N92" i="10"/>
  <c r="H92" i="10"/>
  <c r="I92" i="10" s="1"/>
  <c r="D92" i="10"/>
  <c r="C92" i="10"/>
  <c r="Z91" i="10"/>
  <c r="AA91" i="10" s="1"/>
  <c r="T91" i="10"/>
  <c r="V91" i="10" s="1"/>
  <c r="R91" i="10"/>
  <c r="N91" i="10"/>
  <c r="H91" i="10"/>
  <c r="I91" i="10" s="1"/>
  <c r="D91" i="10"/>
  <c r="O91" i="10" s="1"/>
  <c r="C91" i="10"/>
  <c r="Z90" i="10"/>
  <c r="AA90" i="10" s="1"/>
  <c r="V90" i="10"/>
  <c r="T90" i="10"/>
  <c r="R90" i="10"/>
  <c r="N90" i="10"/>
  <c r="H90" i="10"/>
  <c r="I90" i="10" s="1"/>
  <c r="D90" i="10"/>
  <c r="O90" i="10" s="1"/>
  <c r="C90" i="10"/>
  <c r="Z89" i="10"/>
  <c r="AA89" i="10" s="1"/>
  <c r="V89" i="10"/>
  <c r="T89" i="10"/>
  <c r="R89" i="10"/>
  <c r="N89" i="10"/>
  <c r="I89" i="10"/>
  <c r="H89" i="10"/>
  <c r="D89" i="10"/>
  <c r="C89" i="10"/>
  <c r="AA88" i="10"/>
  <c r="Z88" i="10"/>
  <c r="T88" i="10"/>
  <c r="V88" i="10" s="1"/>
  <c r="R88" i="10"/>
  <c r="N88" i="10"/>
  <c r="I88" i="10"/>
  <c r="H88" i="10"/>
  <c r="D88" i="10"/>
  <c r="C88" i="10"/>
  <c r="AA87" i="10"/>
  <c r="Z87" i="10"/>
  <c r="T87" i="10"/>
  <c r="V87" i="10" s="1"/>
  <c r="R87" i="10"/>
  <c r="N87" i="10"/>
  <c r="H87" i="10"/>
  <c r="I87" i="10" s="1"/>
  <c r="D87" i="10"/>
  <c r="C87" i="10"/>
  <c r="Z86" i="10"/>
  <c r="AA86" i="10" s="1"/>
  <c r="T86" i="10"/>
  <c r="V86" i="10" s="1"/>
  <c r="R86" i="10"/>
  <c r="N86" i="10"/>
  <c r="H86" i="10"/>
  <c r="I86" i="10" s="1"/>
  <c r="D86" i="10"/>
  <c r="C86" i="10"/>
  <c r="Z85" i="10"/>
  <c r="AA85" i="10" s="1"/>
  <c r="T85" i="10"/>
  <c r="V85" i="10" s="1"/>
  <c r="R85" i="10"/>
  <c r="N85" i="10"/>
  <c r="H85" i="10"/>
  <c r="I85" i="10" s="1"/>
  <c r="D85" i="10"/>
  <c r="C85" i="10"/>
  <c r="Z84" i="10"/>
  <c r="AA84" i="10" s="1"/>
  <c r="T84" i="10"/>
  <c r="V84" i="10" s="1"/>
  <c r="R84" i="10"/>
  <c r="N84" i="10"/>
  <c r="H84" i="10"/>
  <c r="I84" i="10" s="1"/>
  <c r="D84" i="10"/>
  <c r="C84" i="10"/>
  <c r="Z83" i="10"/>
  <c r="AA83" i="10" s="1"/>
  <c r="T83" i="10"/>
  <c r="V83" i="10" s="1"/>
  <c r="R83" i="10"/>
  <c r="N83" i="10"/>
  <c r="H83" i="10"/>
  <c r="I83" i="10" s="1"/>
  <c r="D83" i="10"/>
  <c r="O83" i="10" s="1"/>
  <c r="C83" i="10"/>
  <c r="Z82" i="10"/>
  <c r="AA82" i="10" s="1"/>
  <c r="V82" i="10"/>
  <c r="T82" i="10"/>
  <c r="R82" i="10"/>
  <c r="N82" i="10"/>
  <c r="H82" i="10"/>
  <c r="I82" i="10" s="1"/>
  <c r="D82" i="10"/>
  <c r="O82" i="10" s="1"/>
  <c r="C82" i="10"/>
  <c r="Z81" i="10"/>
  <c r="AA81" i="10" s="1"/>
  <c r="V81" i="10"/>
  <c r="T81" i="10"/>
  <c r="R81" i="10"/>
  <c r="N81" i="10"/>
  <c r="I81" i="10"/>
  <c r="H81" i="10"/>
  <c r="D81" i="10"/>
  <c r="C81" i="10"/>
  <c r="AA80" i="10"/>
  <c r="Z80" i="10"/>
  <c r="T80" i="10"/>
  <c r="V80" i="10" s="1"/>
  <c r="R80" i="10"/>
  <c r="N80" i="10"/>
  <c r="I80" i="10"/>
  <c r="H80" i="10"/>
  <c r="D80" i="10"/>
  <c r="C80" i="10"/>
  <c r="AA79" i="10"/>
  <c r="Z79" i="10"/>
  <c r="T79" i="10"/>
  <c r="V79" i="10" s="1"/>
  <c r="R79" i="10"/>
  <c r="N79" i="10"/>
  <c r="H79" i="10"/>
  <c r="I79" i="10" s="1"/>
  <c r="D79" i="10"/>
  <c r="C79" i="10"/>
  <c r="Z78" i="10"/>
  <c r="AA78" i="10" s="1"/>
  <c r="T78" i="10"/>
  <c r="V78" i="10" s="1"/>
  <c r="R78" i="10"/>
  <c r="N78" i="10"/>
  <c r="H78" i="10"/>
  <c r="I78" i="10" s="1"/>
  <c r="D78" i="10"/>
  <c r="C78" i="10"/>
  <c r="Z77" i="10"/>
  <c r="AA77" i="10" s="1"/>
  <c r="T77" i="10"/>
  <c r="V77" i="10" s="1"/>
  <c r="R77" i="10"/>
  <c r="N77" i="10"/>
  <c r="H77" i="10"/>
  <c r="I77" i="10" s="1"/>
  <c r="D77" i="10"/>
  <c r="C77" i="10"/>
  <c r="Z76" i="10"/>
  <c r="AA76" i="10" s="1"/>
  <c r="T76" i="10"/>
  <c r="V76" i="10" s="1"/>
  <c r="R76" i="10"/>
  <c r="N76" i="10"/>
  <c r="H76" i="10"/>
  <c r="I76" i="10" s="1"/>
  <c r="D76" i="10"/>
  <c r="C76" i="10"/>
  <c r="Z75" i="10"/>
  <c r="AA75" i="10" s="1"/>
  <c r="T75" i="10"/>
  <c r="V75" i="10" s="1"/>
  <c r="R75" i="10"/>
  <c r="N75" i="10"/>
  <c r="H75" i="10"/>
  <c r="I75" i="10" s="1"/>
  <c r="D75" i="10"/>
  <c r="O75" i="10" s="1"/>
  <c r="C75" i="10"/>
  <c r="Z74" i="10"/>
  <c r="AA74" i="10" s="1"/>
  <c r="V74" i="10"/>
  <c r="T74" i="10"/>
  <c r="R74" i="10"/>
  <c r="N74" i="10"/>
  <c r="H74" i="10"/>
  <c r="I74" i="10" s="1"/>
  <c r="D74" i="10"/>
  <c r="C74" i="10"/>
  <c r="Z73" i="10"/>
  <c r="AA73" i="10" s="1"/>
  <c r="V73" i="10"/>
  <c r="T73" i="10"/>
  <c r="R73" i="10"/>
  <c r="N73" i="10"/>
  <c r="I73" i="10"/>
  <c r="H73" i="10"/>
  <c r="D73" i="10"/>
  <c r="C73" i="10"/>
  <c r="AA72" i="10"/>
  <c r="Z72" i="10"/>
  <c r="T72" i="10"/>
  <c r="V72" i="10" s="1"/>
  <c r="R72" i="10"/>
  <c r="N72" i="10"/>
  <c r="H72" i="10"/>
  <c r="I72" i="10" s="1"/>
  <c r="D72" i="10"/>
  <c r="C72" i="10"/>
  <c r="Z71" i="10"/>
  <c r="AA71" i="10" s="1"/>
  <c r="T71" i="10"/>
  <c r="V71" i="10" s="1"/>
  <c r="R71" i="10"/>
  <c r="N71" i="10"/>
  <c r="H71" i="10"/>
  <c r="I71" i="10" s="1"/>
  <c r="D71" i="10"/>
  <c r="O71" i="10" s="1"/>
  <c r="C71" i="10"/>
  <c r="Z70" i="10"/>
  <c r="AA70" i="10" s="1"/>
  <c r="T70" i="10"/>
  <c r="V70" i="10" s="1"/>
  <c r="R70" i="10"/>
  <c r="N70" i="10"/>
  <c r="H70" i="10"/>
  <c r="I70" i="10" s="1"/>
  <c r="D70" i="10"/>
  <c r="O70" i="10" s="1"/>
  <c r="C70" i="10"/>
  <c r="Z69" i="10"/>
  <c r="AA69" i="10" s="1"/>
  <c r="T69" i="10"/>
  <c r="V69" i="10" s="1"/>
  <c r="R69" i="10"/>
  <c r="N69" i="10"/>
  <c r="H69" i="10"/>
  <c r="I69" i="10" s="1"/>
  <c r="D69" i="10"/>
  <c r="C69" i="10"/>
  <c r="Z68" i="10"/>
  <c r="AA68" i="10" s="1"/>
  <c r="T68" i="10"/>
  <c r="V68" i="10" s="1"/>
  <c r="R68" i="10"/>
  <c r="N68" i="10"/>
  <c r="I68" i="10"/>
  <c r="H68" i="10"/>
  <c r="D68" i="10"/>
  <c r="C68" i="10"/>
  <c r="AA67" i="10"/>
  <c r="Z67" i="10"/>
  <c r="T67" i="10"/>
  <c r="V67" i="10" s="1"/>
  <c r="R67" i="10"/>
  <c r="N67" i="10"/>
  <c r="H67" i="10"/>
  <c r="I67" i="10" s="1"/>
  <c r="D67" i="10"/>
  <c r="C67" i="10"/>
  <c r="Z66" i="10"/>
  <c r="AA66" i="10" s="1"/>
  <c r="V66" i="10"/>
  <c r="T66" i="10"/>
  <c r="R66" i="10"/>
  <c r="N66" i="10"/>
  <c r="H66" i="10"/>
  <c r="I66" i="10" s="1"/>
  <c r="D66" i="10"/>
  <c r="C66" i="10"/>
  <c r="Z65" i="10"/>
  <c r="AA65" i="10" s="1"/>
  <c r="V65" i="10"/>
  <c r="T65" i="10"/>
  <c r="R65" i="10"/>
  <c r="N65" i="10"/>
  <c r="I65" i="10"/>
  <c r="H65" i="10"/>
  <c r="D65" i="10"/>
  <c r="C65" i="10"/>
  <c r="AA64" i="10"/>
  <c r="Z64" i="10"/>
  <c r="T64" i="10"/>
  <c r="V64" i="10" s="1"/>
  <c r="R64" i="10"/>
  <c r="N64" i="10"/>
  <c r="H64" i="10"/>
  <c r="I64" i="10" s="1"/>
  <c r="D64" i="10"/>
  <c r="C64" i="10"/>
  <c r="Z63" i="10"/>
  <c r="AA63" i="10" s="1"/>
  <c r="T63" i="10"/>
  <c r="V63" i="10" s="1"/>
  <c r="R63" i="10"/>
  <c r="N63" i="10"/>
  <c r="H63" i="10"/>
  <c r="I63" i="10" s="1"/>
  <c r="D63" i="10"/>
  <c r="O63" i="10" s="1"/>
  <c r="C63" i="10"/>
  <c r="Z62" i="10"/>
  <c r="AA62" i="10" s="1"/>
  <c r="T62" i="10"/>
  <c r="V62" i="10" s="1"/>
  <c r="R62" i="10"/>
  <c r="N62" i="10"/>
  <c r="H62" i="10"/>
  <c r="I62" i="10" s="1"/>
  <c r="D62" i="10"/>
  <c r="C62" i="10"/>
  <c r="Z61" i="10"/>
  <c r="AA61" i="10" s="1"/>
  <c r="V61" i="10"/>
  <c r="T61" i="10"/>
  <c r="R61" i="10"/>
  <c r="N61" i="10"/>
  <c r="I61" i="10"/>
  <c r="H61" i="10"/>
  <c r="D61" i="10"/>
  <c r="C61" i="10"/>
  <c r="AA60" i="10"/>
  <c r="Z60" i="10"/>
  <c r="T60" i="10"/>
  <c r="V60" i="10" s="1"/>
  <c r="R60" i="10"/>
  <c r="N60" i="10"/>
  <c r="I60" i="10"/>
  <c r="H60" i="10"/>
  <c r="D60" i="10"/>
  <c r="C60" i="10"/>
  <c r="AA59" i="10"/>
  <c r="Z59" i="10"/>
  <c r="T59" i="10"/>
  <c r="V59" i="10" s="1"/>
  <c r="R59" i="10"/>
  <c r="N59" i="10"/>
  <c r="H59" i="10"/>
  <c r="I59" i="10" s="1"/>
  <c r="D59" i="10"/>
  <c r="C59" i="10"/>
  <c r="Z58" i="10"/>
  <c r="AA58" i="10" s="1"/>
  <c r="T58" i="10"/>
  <c r="V58" i="10" s="1"/>
  <c r="R58" i="10"/>
  <c r="N58" i="10"/>
  <c r="H58" i="10"/>
  <c r="I58" i="10" s="1"/>
  <c r="D58" i="10"/>
  <c r="C58" i="10"/>
  <c r="Z57" i="10"/>
  <c r="AA57" i="10" s="1"/>
  <c r="T57" i="10"/>
  <c r="V57" i="10" s="1"/>
  <c r="R57" i="10"/>
  <c r="N57" i="10"/>
  <c r="H57" i="10"/>
  <c r="I57" i="10" s="1"/>
  <c r="D57" i="10"/>
  <c r="C57" i="10"/>
  <c r="Z56" i="10"/>
  <c r="AA56" i="10" s="1"/>
  <c r="T56" i="10"/>
  <c r="V56" i="10" s="1"/>
  <c r="R56" i="10"/>
  <c r="N56" i="10"/>
  <c r="H56" i="10"/>
  <c r="I56" i="10" s="1"/>
  <c r="D56" i="10"/>
  <c r="C56" i="10"/>
  <c r="Z55" i="10"/>
  <c r="AA55" i="10" s="1"/>
  <c r="T55" i="10"/>
  <c r="V55" i="10" s="1"/>
  <c r="R55" i="10"/>
  <c r="N55" i="10"/>
  <c r="H55" i="10"/>
  <c r="I55" i="10" s="1"/>
  <c r="D55" i="10"/>
  <c r="O55" i="10" s="1"/>
  <c r="C55" i="10"/>
  <c r="Z54" i="10"/>
  <c r="AA54" i="10" s="1"/>
  <c r="V54" i="10"/>
  <c r="T54" i="10"/>
  <c r="R54" i="10"/>
  <c r="N54" i="10"/>
  <c r="H54" i="10"/>
  <c r="I54" i="10" s="1"/>
  <c r="D54" i="10"/>
  <c r="O54" i="10" s="1"/>
  <c r="C54" i="10"/>
  <c r="Z53" i="10"/>
  <c r="AA53" i="10" s="1"/>
  <c r="V53" i="10"/>
  <c r="T53" i="10"/>
  <c r="R53" i="10"/>
  <c r="N53" i="10"/>
  <c r="I53" i="10"/>
  <c r="H53" i="10"/>
  <c r="D53" i="10"/>
  <c r="C53" i="10"/>
  <c r="AA52" i="10"/>
  <c r="Z52" i="10"/>
  <c r="T52" i="10"/>
  <c r="V52" i="10" s="1"/>
  <c r="R52" i="10"/>
  <c r="N52" i="10"/>
  <c r="I52" i="10"/>
  <c r="H52" i="10"/>
  <c r="D52" i="10"/>
  <c r="C52" i="10"/>
  <c r="AA51" i="10"/>
  <c r="Z51" i="10"/>
  <c r="T51" i="10"/>
  <c r="V51" i="10" s="1"/>
  <c r="R51" i="10"/>
  <c r="N51" i="10"/>
  <c r="H51" i="10"/>
  <c r="I51" i="10" s="1"/>
  <c r="D51" i="10"/>
  <c r="C51" i="10"/>
  <c r="Z50" i="10"/>
  <c r="AA50" i="10" s="1"/>
  <c r="T50" i="10"/>
  <c r="V50" i="10" s="1"/>
  <c r="R50" i="10"/>
  <c r="N50" i="10"/>
  <c r="H50" i="10"/>
  <c r="I50" i="10" s="1"/>
  <c r="D50" i="10"/>
  <c r="C50" i="10"/>
  <c r="Z49" i="10"/>
  <c r="AA49" i="10" s="1"/>
  <c r="T49" i="10"/>
  <c r="V49" i="10" s="1"/>
  <c r="R49" i="10"/>
  <c r="N49" i="10"/>
  <c r="H49" i="10"/>
  <c r="I49" i="10" s="1"/>
  <c r="D49" i="10"/>
  <c r="C49" i="10"/>
  <c r="Z48" i="10"/>
  <c r="AA48" i="10" s="1"/>
  <c r="T48" i="10"/>
  <c r="V48" i="10" s="1"/>
  <c r="R48" i="10"/>
  <c r="N48" i="10"/>
  <c r="H48" i="10"/>
  <c r="I48" i="10" s="1"/>
  <c r="D48" i="10"/>
  <c r="C48" i="10"/>
  <c r="Z47" i="10"/>
  <c r="AA47" i="10" s="1"/>
  <c r="T47" i="10"/>
  <c r="V47" i="10" s="1"/>
  <c r="R47" i="10"/>
  <c r="N47" i="10"/>
  <c r="H47" i="10"/>
  <c r="I47" i="10" s="1"/>
  <c r="D47" i="10"/>
  <c r="O47" i="10" s="1"/>
  <c r="C47" i="10"/>
  <c r="Z46" i="10"/>
  <c r="AA46" i="10" s="1"/>
  <c r="V46" i="10"/>
  <c r="T46" i="10"/>
  <c r="R46" i="10"/>
  <c r="N46" i="10"/>
  <c r="H46" i="10"/>
  <c r="I46" i="10" s="1"/>
  <c r="D46" i="10"/>
  <c r="C46" i="10"/>
  <c r="Z45" i="10"/>
  <c r="AA45" i="10" s="1"/>
  <c r="T45" i="10"/>
  <c r="V45" i="10" s="1"/>
  <c r="R45" i="10"/>
  <c r="N45" i="10"/>
  <c r="I45" i="10"/>
  <c r="H45" i="10"/>
  <c r="D45" i="10"/>
  <c r="C45" i="10"/>
  <c r="AA44" i="10"/>
  <c r="Z44" i="10"/>
  <c r="T44" i="10"/>
  <c r="V44" i="10" s="1"/>
  <c r="R44" i="10"/>
  <c r="N44" i="10"/>
  <c r="H44" i="10"/>
  <c r="I44" i="10" s="1"/>
  <c r="D44" i="10"/>
  <c r="C44" i="10"/>
  <c r="Z43" i="10"/>
  <c r="AA43" i="10" s="1"/>
  <c r="T43" i="10"/>
  <c r="V43" i="10" s="1"/>
  <c r="R43" i="10"/>
  <c r="N43" i="10"/>
  <c r="H43" i="10"/>
  <c r="I43" i="10" s="1"/>
  <c r="D43" i="10"/>
  <c r="C43" i="10"/>
  <c r="Z42" i="10"/>
  <c r="AA42" i="10" s="1"/>
  <c r="V42" i="10"/>
  <c r="T42" i="10"/>
  <c r="R42" i="10"/>
  <c r="N42" i="10"/>
  <c r="H42" i="10"/>
  <c r="I42" i="10" s="1"/>
  <c r="D42" i="10"/>
  <c r="C42" i="10"/>
  <c r="Z41" i="10"/>
  <c r="AA41" i="10" s="1"/>
  <c r="T41" i="10"/>
  <c r="V41" i="10" s="1"/>
  <c r="R41" i="10"/>
  <c r="N41" i="10"/>
  <c r="I41" i="10"/>
  <c r="H41" i="10"/>
  <c r="D41" i="10"/>
  <c r="C41" i="10"/>
  <c r="AA40" i="10"/>
  <c r="Z40" i="10"/>
  <c r="T40" i="10"/>
  <c r="V40" i="10" s="1"/>
  <c r="R40" i="10"/>
  <c r="N40" i="10"/>
  <c r="H40" i="10"/>
  <c r="I40" i="10" s="1"/>
  <c r="D40" i="10"/>
  <c r="C40" i="10"/>
  <c r="Z39" i="10"/>
  <c r="AA39" i="10" s="1"/>
  <c r="T39" i="10"/>
  <c r="V39" i="10" s="1"/>
  <c r="R39" i="10"/>
  <c r="N39" i="10"/>
  <c r="H39" i="10"/>
  <c r="I39" i="10" s="1"/>
  <c r="D39" i="10"/>
  <c r="O39" i="10" s="1"/>
  <c r="C39" i="10"/>
  <c r="Z38" i="10"/>
  <c r="AA38" i="10" s="1"/>
  <c r="V38" i="10"/>
  <c r="T38" i="10"/>
  <c r="R38" i="10"/>
  <c r="N38" i="10"/>
  <c r="H38" i="10"/>
  <c r="I38" i="10" s="1"/>
  <c r="D38" i="10"/>
  <c r="C38" i="10"/>
  <c r="Z37" i="10"/>
  <c r="AA37" i="10" s="1"/>
  <c r="T37" i="10"/>
  <c r="V37" i="10" s="1"/>
  <c r="R37" i="10"/>
  <c r="N37" i="10"/>
  <c r="H37" i="10"/>
  <c r="I37" i="10" s="1"/>
  <c r="D37" i="10"/>
  <c r="O37" i="10" s="1"/>
  <c r="C37" i="10"/>
  <c r="Z36" i="10"/>
  <c r="AA36" i="10" s="1"/>
  <c r="V36" i="10"/>
  <c r="T36" i="10"/>
  <c r="R36" i="10"/>
  <c r="N36" i="10"/>
  <c r="H36" i="10"/>
  <c r="I36" i="10" s="1"/>
  <c r="D36" i="10"/>
  <c r="O36" i="10" s="1"/>
  <c r="C36" i="10"/>
  <c r="Z35" i="10"/>
  <c r="AA35" i="10" s="1"/>
  <c r="V35" i="10"/>
  <c r="T35" i="10"/>
  <c r="R35" i="10"/>
  <c r="N35" i="10"/>
  <c r="I35" i="10"/>
  <c r="D35" i="10"/>
  <c r="C35" i="10"/>
  <c r="Z34" i="10"/>
  <c r="AA34" i="10" s="1"/>
  <c r="T34" i="10"/>
  <c r="V34" i="10" s="1"/>
  <c r="R34" i="10"/>
  <c r="N34" i="10"/>
  <c r="I34" i="10"/>
  <c r="D34" i="10"/>
  <c r="O34" i="10" s="1"/>
  <c r="C34" i="10"/>
  <c r="Z33" i="10"/>
  <c r="AA33" i="10" s="1"/>
  <c r="V33" i="10"/>
  <c r="T33" i="10"/>
  <c r="R33" i="10"/>
  <c r="N33" i="10"/>
  <c r="I33" i="10"/>
  <c r="D33" i="10"/>
  <c r="C33" i="10"/>
  <c r="Z32" i="10"/>
  <c r="AA32" i="10" s="1"/>
  <c r="T32" i="10"/>
  <c r="V32" i="10" s="1"/>
  <c r="R32" i="10"/>
  <c r="N32" i="10"/>
  <c r="I32" i="10"/>
  <c r="D32" i="10"/>
  <c r="O32" i="10" s="1"/>
  <c r="C32" i="10"/>
  <c r="Z31" i="10"/>
  <c r="AA31" i="10" s="1"/>
  <c r="T31" i="10"/>
  <c r="V31" i="10" s="1"/>
  <c r="R31" i="10"/>
  <c r="N31" i="10"/>
  <c r="I31" i="10"/>
  <c r="D31" i="10"/>
  <c r="C31" i="10"/>
  <c r="Z30" i="10"/>
  <c r="AA30" i="10" s="1"/>
  <c r="T30" i="10"/>
  <c r="V30" i="10" s="1"/>
  <c r="R30" i="10"/>
  <c r="N30" i="10"/>
  <c r="I30" i="10"/>
  <c r="D30" i="10"/>
  <c r="O30" i="10" s="1"/>
  <c r="C30" i="10"/>
  <c r="Z29" i="10"/>
  <c r="AA29" i="10" s="1"/>
  <c r="T29" i="10"/>
  <c r="V29" i="10" s="1"/>
  <c r="R29" i="10"/>
  <c r="N29" i="10"/>
  <c r="I29" i="10"/>
  <c r="D29" i="10"/>
  <c r="C29" i="10"/>
  <c r="Z28" i="10"/>
  <c r="AA28" i="10" s="1"/>
  <c r="T28" i="10"/>
  <c r="V28" i="10" s="1"/>
  <c r="R28" i="10"/>
  <c r="N28" i="10"/>
  <c r="I28" i="10"/>
  <c r="D28" i="10"/>
  <c r="O28" i="10" s="1"/>
  <c r="C28" i="10"/>
  <c r="Z27" i="10"/>
  <c r="AA27" i="10" s="1"/>
  <c r="T27" i="10"/>
  <c r="V27" i="10" s="1"/>
  <c r="R27" i="10"/>
  <c r="N27" i="10"/>
  <c r="I27" i="10"/>
  <c r="D27" i="10"/>
  <c r="C27" i="10"/>
  <c r="Z26" i="10"/>
  <c r="AA26" i="10" s="1"/>
  <c r="T26" i="10"/>
  <c r="V26" i="10" s="1"/>
  <c r="R26" i="10"/>
  <c r="N26" i="10"/>
  <c r="I26" i="10"/>
  <c r="D26" i="10"/>
  <c r="O26" i="10" s="1"/>
  <c r="C26" i="10"/>
  <c r="Z25" i="10"/>
  <c r="AA25" i="10" s="1"/>
  <c r="T25" i="10"/>
  <c r="V25" i="10" s="1"/>
  <c r="R25" i="10"/>
  <c r="N25" i="10"/>
  <c r="I25" i="10"/>
  <c r="D25" i="10"/>
  <c r="C25" i="10"/>
  <c r="Z24" i="10"/>
  <c r="AA24" i="10" s="1"/>
  <c r="T24" i="10"/>
  <c r="V24" i="10" s="1"/>
  <c r="R24" i="10"/>
  <c r="N24" i="10"/>
  <c r="I24" i="10"/>
  <c r="D24" i="10"/>
  <c r="O24" i="10" s="1"/>
  <c r="C24" i="10"/>
  <c r="Z23" i="10"/>
  <c r="AA23" i="10" s="1"/>
  <c r="T23" i="10"/>
  <c r="V23" i="10" s="1"/>
  <c r="R23" i="10"/>
  <c r="N23" i="10"/>
  <c r="I23" i="10"/>
  <c r="D23" i="10"/>
  <c r="C23" i="10"/>
  <c r="Z22" i="10"/>
  <c r="AA22" i="10" s="1"/>
  <c r="T22" i="10"/>
  <c r="V22" i="10" s="1"/>
  <c r="R22" i="10"/>
  <c r="N22" i="10"/>
  <c r="I22" i="10"/>
  <c r="D22" i="10"/>
  <c r="O22" i="10" s="1"/>
  <c r="C22" i="10"/>
  <c r="Z21" i="10"/>
  <c r="AA21" i="10" s="1"/>
  <c r="T21" i="10"/>
  <c r="V21" i="10" s="1"/>
  <c r="R21" i="10"/>
  <c r="N21" i="10"/>
  <c r="I21" i="10"/>
  <c r="D21" i="10"/>
  <c r="C21" i="10"/>
  <c r="Z20" i="10"/>
  <c r="AA20" i="10" s="1"/>
  <c r="T20" i="10"/>
  <c r="V20" i="10" s="1"/>
  <c r="R20" i="10"/>
  <c r="N20" i="10"/>
  <c r="I20" i="10"/>
  <c r="D20" i="10"/>
  <c r="C20" i="10"/>
  <c r="Z19" i="10"/>
  <c r="AA19" i="10" s="1"/>
  <c r="T19" i="10"/>
  <c r="V19" i="10" s="1"/>
  <c r="R19" i="10"/>
  <c r="N19" i="10"/>
  <c r="I19" i="10"/>
  <c r="D19" i="10"/>
  <c r="C19" i="10"/>
  <c r="Z18" i="10"/>
  <c r="AA18" i="10" s="1"/>
  <c r="T18" i="10"/>
  <c r="V18" i="10" s="1"/>
  <c r="R18" i="10"/>
  <c r="N18" i="10"/>
  <c r="I18" i="10"/>
  <c r="D18" i="10"/>
  <c r="O18" i="10" s="1"/>
  <c r="C18" i="10"/>
  <c r="Z17" i="10"/>
  <c r="AA17" i="10" s="1"/>
  <c r="T17" i="10"/>
  <c r="V17" i="10" s="1"/>
  <c r="R17" i="10"/>
  <c r="N17" i="10"/>
  <c r="I17" i="10"/>
  <c r="D17" i="10"/>
  <c r="C17" i="10"/>
  <c r="Z16" i="10"/>
  <c r="AA16" i="10" s="1"/>
  <c r="T16" i="10"/>
  <c r="V16" i="10" s="1"/>
  <c r="R16" i="10"/>
  <c r="N16" i="10"/>
  <c r="I16" i="10"/>
  <c r="D16" i="10"/>
  <c r="C16" i="10"/>
  <c r="Z15" i="10"/>
  <c r="AA15" i="10" s="1"/>
  <c r="T15" i="10"/>
  <c r="V15" i="10" s="1"/>
  <c r="R15" i="10"/>
  <c r="N15" i="10"/>
  <c r="I15" i="10"/>
  <c r="D15" i="10"/>
  <c r="C15" i="10"/>
  <c r="Z14" i="10"/>
  <c r="AA14" i="10" s="1"/>
  <c r="T14" i="10"/>
  <c r="V14" i="10" s="1"/>
  <c r="R14" i="10"/>
  <c r="N14" i="10"/>
  <c r="I14" i="10"/>
  <c r="D14" i="10"/>
  <c r="O14" i="10" s="1"/>
  <c r="C14" i="10"/>
  <c r="Z13" i="10"/>
  <c r="AA13" i="10" s="1"/>
  <c r="T13" i="10"/>
  <c r="V13" i="10" s="1"/>
  <c r="R13" i="10"/>
  <c r="N13" i="10"/>
  <c r="I13" i="10"/>
  <c r="D13" i="10"/>
  <c r="C13" i="10"/>
  <c r="Z12" i="10"/>
  <c r="AA12" i="10" s="1"/>
  <c r="T12" i="10"/>
  <c r="V12" i="10" s="1"/>
  <c r="R12" i="10"/>
  <c r="N12" i="10"/>
  <c r="I12" i="10"/>
  <c r="D12" i="10"/>
  <c r="O12" i="10" s="1"/>
  <c r="C12" i="10"/>
  <c r="Z11" i="10"/>
  <c r="AA11" i="10" s="1"/>
  <c r="T11" i="10"/>
  <c r="V11" i="10" s="1"/>
  <c r="R11" i="10"/>
  <c r="N11" i="10"/>
  <c r="I11" i="10"/>
  <c r="D11" i="10"/>
  <c r="C11" i="10"/>
  <c r="Z10" i="10"/>
  <c r="AA10" i="10" s="1"/>
  <c r="T10" i="10"/>
  <c r="V10" i="10" s="1"/>
  <c r="R10" i="10"/>
  <c r="N10" i="10"/>
  <c r="I10" i="10"/>
  <c r="D10" i="10"/>
  <c r="C10" i="10"/>
  <c r="Z9" i="10"/>
  <c r="AA9" i="10" s="1"/>
  <c r="T9" i="10"/>
  <c r="V9" i="10" s="1"/>
  <c r="R9" i="10"/>
  <c r="N9" i="10"/>
  <c r="I9" i="10"/>
  <c r="D9" i="10"/>
  <c r="C9" i="10"/>
  <c r="Z8" i="10"/>
  <c r="AA8" i="10" s="1"/>
  <c r="T8" i="10"/>
  <c r="V8" i="10" s="1"/>
  <c r="R8" i="10"/>
  <c r="N8" i="10"/>
  <c r="I8" i="10"/>
  <c r="D8" i="10"/>
  <c r="O8" i="10" s="1"/>
  <c r="C8" i="10"/>
  <c r="Z7" i="10"/>
  <c r="AA7" i="10" s="1"/>
  <c r="T7" i="10"/>
  <c r="V7" i="10" s="1"/>
  <c r="R7" i="10"/>
  <c r="N7" i="10"/>
  <c r="I7" i="10"/>
  <c r="D7" i="10"/>
  <c r="C7" i="10"/>
  <c r="Z6" i="10"/>
  <c r="AA6" i="10" s="1"/>
  <c r="T6" i="10"/>
  <c r="V6" i="10" s="1"/>
  <c r="R6" i="10"/>
  <c r="N6" i="10"/>
  <c r="I6" i="10"/>
  <c r="D6" i="10"/>
  <c r="C6" i="10"/>
  <c r="Z5" i="10"/>
  <c r="AA5" i="10" s="1"/>
  <c r="T5" i="10"/>
  <c r="V5" i="10" s="1"/>
  <c r="R5" i="10"/>
  <c r="N5" i="10"/>
  <c r="I5" i="10"/>
  <c r="D5" i="10"/>
  <c r="C5" i="10"/>
  <c r="Z4" i="10"/>
  <c r="AA4" i="10" s="1"/>
  <c r="T4" i="10"/>
  <c r="V4" i="10" s="1"/>
  <c r="R4" i="10"/>
  <c r="N4" i="10"/>
  <c r="I4" i="10"/>
  <c r="D4" i="10"/>
  <c r="O4" i="10" s="1"/>
  <c r="C4" i="10"/>
  <c r="Z3" i="10"/>
  <c r="AA3" i="10" s="1"/>
  <c r="T3" i="10"/>
  <c r="V3" i="10" s="1"/>
  <c r="R3" i="10"/>
  <c r="N3" i="10"/>
  <c r="I3" i="10"/>
  <c r="D3" i="10"/>
  <c r="C3" i="10"/>
  <c r="Z93" i="9"/>
  <c r="T93" i="9"/>
  <c r="N93" i="9"/>
  <c r="Z92" i="9"/>
  <c r="T92" i="9"/>
  <c r="V92" i="9" s="1"/>
  <c r="N92" i="9"/>
  <c r="C92" i="9"/>
  <c r="Z91" i="9"/>
  <c r="N91" i="9"/>
  <c r="D91" i="9"/>
  <c r="Z90" i="9"/>
  <c r="T90" i="9"/>
  <c r="V90" i="9" s="1"/>
  <c r="N90" i="9"/>
  <c r="D90" i="9"/>
  <c r="Z89" i="9"/>
  <c r="T89" i="9"/>
  <c r="Z88" i="9"/>
  <c r="T88" i="9"/>
  <c r="Z87" i="9"/>
  <c r="T87" i="9"/>
  <c r="V87" i="9" s="1"/>
  <c r="N87" i="9"/>
  <c r="Z86" i="9"/>
  <c r="T86" i="9"/>
  <c r="V86" i="9" s="1"/>
  <c r="N86" i="9"/>
  <c r="Z85" i="9"/>
  <c r="T85" i="9"/>
  <c r="Z84" i="9"/>
  <c r="T84" i="9"/>
  <c r="Z83" i="9"/>
  <c r="T83" i="9"/>
  <c r="V83" i="9" s="1"/>
  <c r="N83" i="9"/>
  <c r="Z82" i="9"/>
  <c r="D82" i="9"/>
  <c r="Z81" i="9"/>
  <c r="D81" i="9"/>
  <c r="Z80" i="9"/>
  <c r="T80" i="9"/>
  <c r="V80" i="9" s="1"/>
  <c r="N80" i="9"/>
  <c r="D80" i="9"/>
  <c r="Z79" i="9"/>
  <c r="T79" i="9"/>
  <c r="Z78" i="9"/>
  <c r="T78" i="9"/>
  <c r="V78" i="9" s="1"/>
  <c r="N78" i="9"/>
  <c r="Z77" i="9"/>
  <c r="T77" i="9"/>
  <c r="N77" i="9"/>
  <c r="D77" i="9"/>
  <c r="C77" i="9"/>
  <c r="Z76" i="9"/>
  <c r="T76" i="9"/>
  <c r="V76" i="9" s="1"/>
  <c r="N76" i="9"/>
  <c r="D76" i="9"/>
  <c r="C76" i="9"/>
  <c r="T75" i="9"/>
  <c r="T74" i="9"/>
  <c r="N74" i="9"/>
  <c r="Z73" i="9"/>
  <c r="T73" i="9"/>
  <c r="Z72" i="9"/>
  <c r="T72" i="9"/>
  <c r="Z71" i="9"/>
  <c r="T71" i="9"/>
  <c r="Z70" i="9"/>
  <c r="T70" i="9"/>
  <c r="V70" i="9" s="1"/>
  <c r="N70" i="9"/>
  <c r="Z69" i="9"/>
  <c r="T69" i="9"/>
  <c r="V69" i="9" s="1"/>
  <c r="N69" i="9"/>
  <c r="D69" i="9"/>
  <c r="Z68" i="9"/>
  <c r="T68" i="9"/>
  <c r="N68" i="9"/>
  <c r="Z67" i="9"/>
  <c r="AA67" i="9" s="1"/>
  <c r="T67" i="9"/>
  <c r="R67" i="9"/>
  <c r="N67" i="9"/>
  <c r="Z66" i="9"/>
  <c r="N66" i="9"/>
  <c r="Z65" i="9"/>
  <c r="T65" i="9"/>
  <c r="V65" i="9" s="1"/>
  <c r="N65" i="9"/>
  <c r="Z64" i="9"/>
  <c r="T64" i="9"/>
  <c r="R64" i="9"/>
  <c r="N64" i="9"/>
  <c r="Z63" i="9"/>
  <c r="T63" i="9"/>
  <c r="V63" i="9" s="1"/>
  <c r="R63" i="9"/>
  <c r="N63" i="9"/>
  <c r="Z62" i="9"/>
  <c r="T62" i="9"/>
  <c r="V62" i="9" s="1"/>
  <c r="N62" i="9"/>
  <c r="Z61" i="9"/>
  <c r="T61" i="9"/>
  <c r="R61" i="9"/>
  <c r="N61" i="9"/>
  <c r="D61" i="9"/>
  <c r="C61" i="9"/>
  <c r="Z60" i="9"/>
  <c r="T60" i="9"/>
  <c r="V60" i="9" s="1"/>
  <c r="R60" i="9"/>
  <c r="N60" i="9"/>
  <c r="D60" i="9"/>
  <c r="C60" i="9"/>
  <c r="Z59" i="9"/>
  <c r="T59" i="9"/>
  <c r="R59" i="9"/>
  <c r="N59" i="9"/>
  <c r="Z58" i="9"/>
  <c r="T58" i="9"/>
  <c r="V58" i="9" s="1"/>
  <c r="R58" i="9"/>
  <c r="N58" i="9"/>
  <c r="Z57" i="9"/>
  <c r="T57" i="9"/>
  <c r="R57" i="9"/>
  <c r="Z56" i="9"/>
  <c r="T56" i="9"/>
  <c r="V56" i="9" s="1"/>
  <c r="R56" i="9"/>
  <c r="Z55" i="9"/>
  <c r="T55" i="9"/>
  <c r="V55" i="9" s="1"/>
  <c r="N55" i="9"/>
  <c r="Z54" i="9"/>
  <c r="T54" i="9"/>
  <c r="Z53" i="9"/>
  <c r="T53" i="9"/>
  <c r="V53" i="9" s="1"/>
  <c r="N53" i="9"/>
  <c r="Z52" i="9"/>
  <c r="R52" i="9"/>
  <c r="N52" i="9"/>
  <c r="Z51" i="9"/>
  <c r="T51" i="9"/>
  <c r="V51" i="9" s="1"/>
  <c r="R51" i="9"/>
  <c r="N51" i="9"/>
  <c r="Z50" i="9"/>
  <c r="T50" i="9"/>
  <c r="V50" i="9" s="1"/>
  <c r="N50" i="9"/>
  <c r="Z49" i="9"/>
  <c r="T49" i="9"/>
  <c r="R49" i="9"/>
  <c r="N49" i="9"/>
  <c r="D49" i="9"/>
  <c r="C49" i="9"/>
  <c r="Z48" i="9"/>
  <c r="T48" i="9"/>
  <c r="V48" i="9" s="1"/>
  <c r="R48" i="9"/>
  <c r="N48" i="9"/>
  <c r="D48" i="9"/>
  <c r="C48" i="9"/>
  <c r="Z47" i="9"/>
  <c r="T47" i="9"/>
  <c r="N47" i="9"/>
  <c r="D47" i="9"/>
  <c r="Z46" i="9"/>
  <c r="AA46" i="9" s="1"/>
  <c r="T46" i="9"/>
  <c r="V46" i="9" s="1"/>
  <c r="N46" i="9"/>
  <c r="D46" i="9"/>
  <c r="Z45" i="9"/>
  <c r="R45" i="9"/>
  <c r="Z44" i="9"/>
  <c r="T44" i="9"/>
  <c r="V44" i="9" s="1"/>
  <c r="R44" i="9"/>
  <c r="N44" i="9"/>
  <c r="Z43" i="9"/>
  <c r="T43" i="9"/>
  <c r="N43" i="9"/>
  <c r="Z42" i="9"/>
  <c r="T42" i="9"/>
  <c r="V42" i="9" s="1"/>
  <c r="N42" i="9"/>
  <c r="Z41" i="9"/>
  <c r="T41" i="9"/>
  <c r="R41" i="9"/>
  <c r="N41" i="9"/>
  <c r="Z40" i="9"/>
  <c r="T40" i="9"/>
  <c r="V40" i="9" s="1"/>
  <c r="R40" i="9"/>
  <c r="N40" i="9"/>
  <c r="Z39" i="9"/>
  <c r="T39" i="9"/>
  <c r="R39" i="9"/>
  <c r="N39" i="9"/>
  <c r="Z38" i="9"/>
  <c r="AA38" i="9" s="1"/>
  <c r="T38" i="9"/>
  <c r="V38" i="9" s="1"/>
  <c r="R38" i="9"/>
  <c r="N38" i="9"/>
  <c r="I38" i="9"/>
  <c r="Z37" i="9"/>
  <c r="T37" i="9"/>
  <c r="V37" i="9" s="1"/>
  <c r="R37" i="9"/>
  <c r="N37" i="9"/>
  <c r="I37" i="9"/>
  <c r="Z36" i="9"/>
  <c r="AA36" i="9" s="1"/>
  <c r="T36" i="9"/>
  <c r="R36" i="9"/>
  <c r="N36" i="9"/>
  <c r="I36" i="9"/>
  <c r="D36" i="9"/>
  <c r="Z35" i="9"/>
  <c r="T35" i="9"/>
  <c r="Z34" i="9"/>
  <c r="T34" i="9"/>
  <c r="R34" i="9"/>
  <c r="N34" i="9"/>
  <c r="I34" i="9"/>
  <c r="Z33" i="9"/>
  <c r="T33" i="9"/>
  <c r="V33" i="9" s="1"/>
  <c r="R33" i="9"/>
  <c r="N33" i="9"/>
  <c r="Z32" i="9"/>
  <c r="T32" i="9"/>
  <c r="R32" i="9"/>
  <c r="N32" i="9"/>
  <c r="Z31" i="9"/>
  <c r="AA31" i="9" s="1"/>
  <c r="T31" i="9"/>
  <c r="V31" i="9" s="1"/>
  <c r="R31" i="9"/>
  <c r="N31" i="9"/>
  <c r="Z30" i="9"/>
  <c r="T30" i="9"/>
  <c r="V30" i="9" s="1"/>
  <c r="R30" i="9"/>
  <c r="N30" i="9"/>
  <c r="Z29" i="9"/>
  <c r="T29" i="9"/>
  <c r="Z28" i="9"/>
  <c r="T28" i="9"/>
  <c r="R28" i="9"/>
  <c r="N28" i="9"/>
  <c r="Z27" i="9"/>
  <c r="T27" i="9"/>
  <c r="V27" i="9" s="1"/>
  <c r="R27" i="9"/>
  <c r="N27" i="9"/>
  <c r="Z26" i="9"/>
  <c r="T26" i="9"/>
  <c r="R26" i="9"/>
  <c r="N26" i="9"/>
  <c r="Z25" i="9"/>
  <c r="T25" i="9"/>
  <c r="R25" i="9"/>
  <c r="N25" i="9"/>
  <c r="D25" i="9"/>
  <c r="Z24" i="9"/>
  <c r="T24" i="9"/>
  <c r="R24" i="9"/>
  <c r="N24" i="9"/>
  <c r="D24" i="9"/>
  <c r="C24" i="9"/>
  <c r="Z23" i="9"/>
  <c r="T23" i="9"/>
  <c r="V23" i="9" s="1"/>
  <c r="R23" i="9"/>
  <c r="N23" i="9"/>
  <c r="Z22" i="9"/>
  <c r="T22" i="9"/>
  <c r="R22" i="9"/>
  <c r="N22" i="9"/>
  <c r="Z21" i="9"/>
  <c r="T21" i="9"/>
  <c r="Z20" i="9"/>
  <c r="T20" i="9"/>
  <c r="V20" i="9" s="1"/>
  <c r="R20" i="9"/>
  <c r="N20" i="9"/>
  <c r="Z19" i="9"/>
  <c r="T19" i="9"/>
  <c r="V19" i="9" s="1"/>
  <c r="R19" i="9"/>
  <c r="N19" i="9"/>
  <c r="Z18" i="9"/>
  <c r="T18" i="9"/>
  <c r="V18" i="9" s="1"/>
  <c r="Z17" i="9"/>
  <c r="T17" i="9"/>
  <c r="R17" i="9"/>
  <c r="N17" i="9"/>
  <c r="Z16" i="9"/>
  <c r="T16" i="9"/>
  <c r="V16" i="9" s="1"/>
  <c r="R16" i="9"/>
  <c r="N16" i="9"/>
  <c r="Z15" i="9"/>
  <c r="T15" i="9"/>
  <c r="Z14" i="9"/>
  <c r="AA14" i="9" s="1"/>
  <c r="T14" i="9"/>
  <c r="V14" i="9" s="1"/>
  <c r="R14" i="9"/>
  <c r="N14" i="9"/>
  <c r="Z13" i="9"/>
  <c r="T13" i="9"/>
  <c r="V13" i="9" s="1"/>
  <c r="R13" i="9"/>
  <c r="N13" i="9"/>
  <c r="Z12" i="9"/>
  <c r="T12" i="9"/>
  <c r="V12" i="9" s="1"/>
  <c r="R12" i="9"/>
  <c r="N12" i="9"/>
  <c r="Z11" i="9"/>
  <c r="T11" i="9"/>
  <c r="V11" i="9" s="1"/>
  <c r="R11" i="9"/>
  <c r="N11" i="9"/>
  <c r="Z10" i="9"/>
  <c r="T10" i="9"/>
  <c r="V10" i="9" s="1"/>
  <c r="R10" i="9"/>
  <c r="N10" i="9"/>
  <c r="Z9" i="9"/>
  <c r="T9" i="9"/>
  <c r="Z8" i="9"/>
  <c r="T8" i="9"/>
  <c r="V8" i="9" s="1"/>
  <c r="N8" i="9"/>
  <c r="Z7" i="9"/>
  <c r="T7" i="9"/>
  <c r="N7" i="9"/>
  <c r="Z6" i="9"/>
  <c r="AA6" i="9" s="1"/>
  <c r="T6" i="9"/>
  <c r="V6" i="9" s="1"/>
  <c r="N6" i="9"/>
  <c r="Z5" i="9"/>
  <c r="T5" i="9"/>
  <c r="V5" i="9" s="1"/>
  <c r="N5" i="9"/>
  <c r="D5" i="9"/>
  <c r="C5" i="9"/>
  <c r="Z4" i="9"/>
  <c r="T4" i="9"/>
  <c r="V4" i="9" s="1"/>
  <c r="N4" i="9"/>
  <c r="Z3" i="9"/>
  <c r="AA3" i="9" s="1"/>
  <c r="T3" i="9"/>
  <c r="V3" i="9" s="1"/>
  <c r="N3" i="9"/>
  <c r="Z90" i="8"/>
  <c r="T90" i="8"/>
  <c r="V90" i="8" s="1"/>
  <c r="N90" i="8"/>
  <c r="I90" i="8"/>
  <c r="D90" i="8"/>
  <c r="Z89" i="8"/>
  <c r="T89" i="8"/>
  <c r="Z88" i="8"/>
  <c r="T88" i="8"/>
  <c r="Z87" i="8"/>
  <c r="T87" i="8"/>
  <c r="V87" i="8" s="1"/>
  <c r="Z86" i="8"/>
  <c r="T86" i="8"/>
  <c r="R86" i="8"/>
  <c r="N86" i="8"/>
  <c r="I86" i="8"/>
  <c r="Z85" i="8"/>
  <c r="T85" i="8"/>
  <c r="R85" i="8"/>
  <c r="N85" i="8"/>
  <c r="I85" i="8"/>
  <c r="Z84" i="8"/>
  <c r="V84" i="8"/>
  <c r="T84" i="8"/>
  <c r="R84" i="8"/>
  <c r="N84" i="8"/>
  <c r="I84" i="8"/>
  <c r="Z83" i="8"/>
  <c r="T83" i="8"/>
  <c r="Z82" i="8"/>
  <c r="T82" i="8"/>
  <c r="V82" i="8" s="1"/>
  <c r="N82" i="8"/>
  <c r="I82" i="8"/>
  <c r="Z81" i="8"/>
  <c r="Z80" i="8"/>
  <c r="T80" i="8"/>
  <c r="V80" i="8" s="1"/>
  <c r="N80" i="8"/>
  <c r="I80" i="8"/>
  <c r="Z79" i="8"/>
  <c r="T79" i="8"/>
  <c r="Z78" i="8"/>
  <c r="T78" i="8"/>
  <c r="V78" i="8" s="1"/>
  <c r="N78" i="8"/>
  <c r="I78" i="8"/>
  <c r="Z77" i="8"/>
  <c r="R77" i="8"/>
  <c r="D77" i="8"/>
  <c r="Z76" i="8"/>
  <c r="R76" i="8"/>
  <c r="D76" i="8"/>
  <c r="Z75" i="8"/>
  <c r="T75" i="8"/>
  <c r="V75" i="8" s="1"/>
  <c r="N75" i="8"/>
  <c r="I75" i="8"/>
  <c r="D75" i="8"/>
  <c r="Z74" i="8"/>
  <c r="T74" i="8"/>
  <c r="N74" i="8"/>
  <c r="I74" i="8"/>
  <c r="Z73" i="8"/>
  <c r="T73" i="8"/>
  <c r="V73" i="8" s="1"/>
  <c r="N73" i="8"/>
  <c r="I73" i="8"/>
  <c r="Z72" i="8"/>
  <c r="T72" i="8"/>
  <c r="R72" i="8"/>
  <c r="Z71" i="8"/>
  <c r="T71" i="8"/>
  <c r="V71" i="8" s="1"/>
  <c r="N71" i="8"/>
  <c r="Z70" i="8"/>
  <c r="T70" i="8"/>
  <c r="N70" i="8"/>
  <c r="Z69" i="8"/>
  <c r="T69" i="8"/>
  <c r="N69" i="8"/>
  <c r="Z68" i="8"/>
  <c r="T68" i="8"/>
  <c r="V68" i="8" s="1"/>
  <c r="N68" i="8"/>
  <c r="Z67" i="8"/>
  <c r="T67" i="8"/>
  <c r="R67" i="8"/>
  <c r="N67" i="8"/>
  <c r="I67" i="8"/>
  <c r="Z66" i="8"/>
  <c r="T66" i="8"/>
  <c r="R66" i="8"/>
  <c r="N66" i="8"/>
  <c r="I66" i="8"/>
  <c r="Z65" i="8"/>
  <c r="T65" i="8"/>
  <c r="V65" i="8" s="1"/>
  <c r="R65" i="8"/>
  <c r="N65" i="8"/>
  <c r="I65" i="8"/>
  <c r="Z64" i="8"/>
  <c r="T64" i="8"/>
  <c r="R64" i="8"/>
  <c r="N64" i="8"/>
  <c r="I64" i="8"/>
  <c r="Z63" i="8"/>
  <c r="T63" i="8"/>
  <c r="V63" i="8" s="1"/>
  <c r="R63" i="8"/>
  <c r="N63" i="8"/>
  <c r="I63" i="8"/>
  <c r="Z62" i="8"/>
  <c r="T62" i="8"/>
  <c r="V62" i="8" s="1"/>
  <c r="N62" i="8"/>
  <c r="I62" i="8"/>
  <c r="Z61" i="8"/>
  <c r="T61" i="8"/>
  <c r="R61" i="8"/>
  <c r="N61" i="8"/>
  <c r="I61" i="8"/>
  <c r="Z60" i="8"/>
  <c r="T60" i="8"/>
  <c r="R60" i="8"/>
  <c r="N60" i="8"/>
  <c r="I60" i="8"/>
  <c r="Z59" i="8"/>
  <c r="R59" i="8"/>
  <c r="N59" i="8"/>
  <c r="I59" i="8"/>
  <c r="Z58" i="8"/>
  <c r="T58" i="8"/>
  <c r="V58" i="8" s="1"/>
  <c r="R58" i="8"/>
  <c r="N58" i="8"/>
  <c r="I58" i="8"/>
  <c r="Z57" i="8"/>
  <c r="T57" i="8"/>
  <c r="R57" i="8"/>
  <c r="N57" i="8"/>
  <c r="I57" i="8"/>
  <c r="Z56" i="8"/>
  <c r="T56" i="8"/>
  <c r="R56" i="8"/>
  <c r="N56" i="8"/>
  <c r="I56" i="8"/>
  <c r="Z55" i="8"/>
  <c r="T55" i="8"/>
  <c r="V55" i="8" s="1"/>
  <c r="R55" i="8"/>
  <c r="N55" i="8"/>
  <c r="I55" i="8"/>
  <c r="Z54" i="8"/>
  <c r="T54" i="8"/>
  <c r="R54" i="8"/>
  <c r="N54" i="8"/>
  <c r="I54" i="8"/>
  <c r="D54" i="8"/>
  <c r="C54" i="8"/>
  <c r="Z53" i="8"/>
  <c r="T53" i="8"/>
  <c r="R53" i="8"/>
  <c r="N53" i="8"/>
  <c r="I53" i="8"/>
  <c r="D53" i="8"/>
  <c r="C53" i="8"/>
  <c r="Z52" i="8"/>
  <c r="T52" i="8"/>
  <c r="R52" i="8"/>
  <c r="N52" i="8"/>
  <c r="I52" i="8"/>
  <c r="Z51" i="8"/>
  <c r="T51" i="8"/>
  <c r="V51" i="8" s="1"/>
  <c r="R51" i="8"/>
  <c r="N51" i="8"/>
  <c r="I51" i="8"/>
  <c r="Z50" i="8"/>
  <c r="T50" i="8"/>
  <c r="V50" i="8" s="1"/>
  <c r="N50" i="8"/>
  <c r="I50" i="8"/>
  <c r="D50" i="8"/>
  <c r="Z49" i="8"/>
  <c r="T49" i="8"/>
  <c r="R49" i="8"/>
  <c r="N49" i="8"/>
  <c r="I49" i="8"/>
  <c r="Z48" i="8"/>
  <c r="T48" i="8"/>
  <c r="V48" i="8" s="1"/>
  <c r="R48" i="8"/>
  <c r="N48" i="8"/>
  <c r="I48" i="8"/>
  <c r="Z47" i="8"/>
  <c r="T47" i="8"/>
  <c r="R47" i="8"/>
  <c r="N47" i="8"/>
  <c r="I47" i="8"/>
  <c r="D47" i="8"/>
  <c r="C47" i="8"/>
  <c r="Z46" i="8"/>
  <c r="T46" i="8"/>
  <c r="R46" i="8"/>
  <c r="N46" i="8"/>
  <c r="I46" i="8"/>
  <c r="D46" i="8"/>
  <c r="C46" i="8"/>
  <c r="Z45" i="8"/>
  <c r="T45" i="8"/>
  <c r="R45" i="8"/>
  <c r="N45" i="8"/>
  <c r="D45" i="8"/>
  <c r="Z44" i="8"/>
  <c r="T44" i="8"/>
  <c r="V44" i="8" s="1"/>
  <c r="R44" i="8"/>
  <c r="N44" i="8"/>
  <c r="D44" i="8"/>
  <c r="Z43" i="8"/>
  <c r="T43" i="8"/>
  <c r="R43" i="8"/>
  <c r="N43" i="8"/>
  <c r="I43" i="8"/>
  <c r="Z42" i="8"/>
  <c r="T42" i="8"/>
  <c r="V42" i="8" s="1"/>
  <c r="R42" i="8"/>
  <c r="N42" i="8"/>
  <c r="I42" i="8"/>
  <c r="Z41" i="8"/>
  <c r="T41" i="8"/>
  <c r="R41" i="8"/>
  <c r="N41" i="8"/>
  <c r="I41" i="8"/>
  <c r="Z40" i="8"/>
  <c r="T40" i="8"/>
  <c r="V40" i="8" s="1"/>
  <c r="R40" i="8"/>
  <c r="N40" i="8"/>
  <c r="I40" i="8"/>
  <c r="Z39" i="8"/>
  <c r="T39" i="8"/>
  <c r="N39" i="8"/>
  <c r="I39" i="8"/>
  <c r="Z38" i="8"/>
  <c r="T38" i="8"/>
  <c r="V38" i="8" s="1"/>
  <c r="N38" i="8"/>
  <c r="I38" i="8"/>
  <c r="Z37" i="8"/>
  <c r="T37" i="8"/>
  <c r="R37" i="8"/>
  <c r="N37" i="8"/>
  <c r="I37" i="8"/>
  <c r="Z36" i="8"/>
  <c r="T36" i="8"/>
  <c r="V36" i="8" s="1"/>
  <c r="R36" i="8"/>
  <c r="N36" i="8"/>
  <c r="I36" i="8"/>
  <c r="Z35" i="8"/>
  <c r="T35" i="8"/>
  <c r="V35" i="8" s="1"/>
  <c r="R35" i="8"/>
  <c r="N35" i="8"/>
  <c r="I35" i="8"/>
  <c r="Z34" i="8"/>
  <c r="T34" i="8"/>
  <c r="V34" i="8" s="1"/>
  <c r="N34" i="8"/>
  <c r="I34" i="8"/>
  <c r="Z33" i="8"/>
  <c r="AA33" i="8" s="1"/>
  <c r="T33" i="8"/>
  <c r="N33" i="8"/>
  <c r="I33" i="8"/>
  <c r="Z32" i="8"/>
  <c r="T32" i="8"/>
  <c r="N32" i="8"/>
  <c r="I32" i="8"/>
  <c r="Z31" i="8"/>
  <c r="T31" i="8"/>
  <c r="R31" i="8"/>
  <c r="N31" i="8"/>
  <c r="I31" i="8"/>
  <c r="Z30" i="8"/>
  <c r="T30" i="8"/>
  <c r="R30" i="8"/>
  <c r="N30" i="8"/>
  <c r="I30" i="8"/>
  <c r="D30" i="8"/>
  <c r="C30" i="8"/>
  <c r="AA29" i="8"/>
  <c r="Z29" i="8"/>
  <c r="T29" i="8"/>
  <c r="V29" i="8" s="1"/>
  <c r="R29" i="8"/>
  <c r="N29" i="8"/>
  <c r="I29" i="8"/>
  <c r="D29" i="8"/>
  <c r="C29" i="8"/>
  <c r="Z28" i="8"/>
  <c r="T28" i="8"/>
  <c r="V28" i="8" s="1"/>
  <c r="R28" i="8"/>
  <c r="N28" i="8"/>
  <c r="I28" i="8"/>
  <c r="Z27" i="8"/>
  <c r="T27" i="8"/>
  <c r="R27" i="8"/>
  <c r="N27" i="8"/>
  <c r="I27" i="8"/>
  <c r="Z26" i="8"/>
  <c r="AA26" i="8" s="1"/>
  <c r="T26" i="8"/>
  <c r="R26" i="8"/>
  <c r="N26" i="8"/>
  <c r="I26" i="8"/>
  <c r="Z25" i="8"/>
  <c r="T25" i="8"/>
  <c r="V25" i="8" s="1"/>
  <c r="R25" i="8"/>
  <c r="N25" i="8"/>
  <c r="I25" i="8"/>
  <c r="Z24" i="8"/>
  <c r="AA24" i="8" s="1"/>
  <c r="T24" i="8"/>
  <c r="N24" i="8"/>
  <c r="I24" i="8"/>
  <c r="D24" i="8"/>
  <c r="Z23" i="8"/>
  <c r="T23" i="8"/>
  <c r="V23" i="8" s="1"/>
  <c r="N23" i="8"/>
  <c r="I23" i="8"/>
  <c r="Z22" i="8"/>
  <c r="AA22" i="8" s="1"/>
  <c r="T22" i="8"/>
  <c r="R22" i="8"/>
  <c r="N22" i="8"/>
  <c r="I22" i="8"/>
  <c r="D22" i="8"/>
  <c r="C22" i="8"/>
  <c r="Z21" i="8"/>
  <c r="T21" i="8"/>
  <c r="V21" i="8" s="1"/>
  <c r="R21" i="8"/>
  <c r="N21" i="8"/>
  <c r="I21" i="8"/>
  <c r="Z20" i="8"/>
  <c r="T20" i="8"/>
  <c r="V20" i="8" s="1"/>
  <c r="R20" i="8"/>
  <c r="N20" i="8"/>
  <c r="I20" i="8"/>
  <c r="Z19" i="8"/>
  <c r="T19" i="8"/>
  <c r="R19" i="8"/>
  <c r="N19" i="8"/>
  <c r="I19" i="8"/>
  <c r="Z18" i="8"/>
  <c r="T18" i="8"/>
  <c r="V18" i="8" s="1"/>
  <c r="R18" i="8"/>
  <c r="N18" i="8"/>
  <c r="I18" i="8"/>
  <c r="D18" i="8"/>
  <c r="Z17" i="8"/>
  <c r="T17" i="8"/>
  <c r="V17" i="8" s="1"/>
  <c r="R17" i="8"/>
  <c r="N17" i="8"/>
  <c r="I17" i="8"/>
  <c r="Z16" i="8"/>
  <c r="AA16" i="8" s="1"/>
  <c r="T16" i="8"/>
  <c r="V16" i="8" s="1"/>
  <c r="R16" i="8"/>
  <c r="N16" i="8"/>
  <c r="Z15" i="8"/>
  <c r="T15" i="8"/>
  <c r="R15" i="8"/>
  <c r="N15" i="8"/>
  <c r="I15" i="8"/>
  <c r="Z14" i="8"/>
  <c r="T14" i="8"/>
  <c r="V14" i="8" s="1"/>
  <c r="R14" i="8"/>
  <c r="N14" i="8"/>
  <c r="I14" i="8"/>
  <c r="Z13" i="8"/>
  <c r="T13" i="8"/>
  <c r="R13" i="8"/>
  <c r="N13" i="8"/>
  <c r="I13" i="8"/>
  <c r="Z12" i="8"/>
  <c r="T12" i="8"/>
  <c r="V12" i="8" s="1"/>
  <c r="R12" i="8"/>
  <c r="N12" i="8"/>
  <c r="I12" i="8"/>
  <c r="Z11" i="8"/>
  <c r="T11" i="8"/>
  <c r="V11" i="8" s="1"/>
  <c r="R11" i="8"/>
  <c r="N11" i="8"/>
  <c r="I11" i="8"/>
  <c r="Z10" i="8"/>
  <c r="T10" i="8"/>
  <c r="V10" i="8" s="1"/>
  <c r="R10" i="8"/>
  <c r="N10" i="8"/>
  <c r="I10" i="8"/>
  <c r="Z9" i="8"/>
  <c r="T9" i="8"/>
  <c r="V9" i="8" s="1"/>
  <c r="R9" i="8"/>
  <c r="N9" i="8"/>
  <c r="I9" i="8"/>
  <c r="Z8" i="8"/>
  <c r="T8" i="8"/>
  <c r="V8" i="8" s="1"/>
  <c r="N8" i="8"/>
  <c r="I8" i="8"/>
  <c r="Z7" i="8"/>
  <c r="T7" i="8"/>
  <c r="V7" i="8" s="1"/>
  <c r="N7" i="8"/>
  <c r="I7" i="8"/>
  <c r="Z6" i="8"/>
  <c r="AA6" i="8" s="1"/>
  <c r="T6" i="8"/>
  <c r="V6" i="8" s="1"/>
  <c r="N6" i="8"/>
  <c r="Z5" i="8"/>
  <c r="AA5" i="8" s="1"/>
  <c r="T5" i="8"/>
  <c r="V5" i="8" s="1"/>
  <c r="N5" i="8"/>
  <c r="Z4" i="8"/>
  <c r="T4" i="8"/>
  <c r="V4" i="8" s="1"/>
  <c r="N4" i="8"/>
  <c r="Z3" i="8"/>
  <c r="T3" i="8"/>
  <c r="V3" i="8" s="1"/>
  <c r="N3" i="8"/>
  <c r="D3" i="8"/>
  <c r="Z91" i="7"/>
  <c r="T91" i="7"/>
  <c r="Z90" i="7"/>
  <c r="T90" i="7"/>
  <c r="V90" i="7" s="1"/>
  <c r="N90" i="7"/>
  <c r="I90" i="7"/>
  <c r="Z89" i="7"/>
  <c r="T89" i="7"/>
  <c r="V89" i="7" s="1"/>
  <c r="N89" i="7"/>
  <c r="Z88" i="7"/>
  <c r="T88" i="7"/>
  <c r="N88" i="7"/>
  <c r="Z87" i="7"/>
  <c r="T87" i="7"/>
  <c r="V87" i="7" s="1"/>
  <c r="N87" i="7"/>
  <c r="Z86" i="7"/>
  <c r="Z85" i="7"/>
  <c r="Z84" i="7"/>
  <c r="T84" i="7"/>
  <c r="V84" i="7" s="1"/>
  <c r="N84" i="7"/>
  <c r="Z83" i="7"/>
  <c r="T83" i="7"/>
  <c r="Z82" i="7"/>
  <c r="T82" i="7"/>
  <c r="V82" i="7" s="1"/>
  <c r="N82" i="7"/>
  <c r="Z81" i="7"/>
  <c r="T81" i="7"/>
  <c r="Z80" i="7"/>
  <c r="T80" i="7"/>
  <c r="Z79" i="7"/>
  <c r="T79" i="7"/>
  <c r="Z78" i="7"/>
  <c r="T78" i="7"/>
  <c r="V78" i="7" s="1"/>
  <c r="N78" i="7"/>
  <c r="Z77" i="7"/>
  <c r="T77" i="7"/>
  <c r="Z76" i="7"/>
  <c r="T76" i="7"/>
  <c r="V76" i="7" s="1"/>
  <c r="N76" i="7"/>
  <c r="T75" i="7"/>
  <c r="T74" i="7"/>
  <c r="N74" i="7"/>
  <c r="Z73" i="7"/>
  <c r="T73" i="7"/>
  <c r="N73" i="7"/>
  <c r="Z72" i="7"/>
  <c r="T72" i="7"/>
  <c r="N72" i="7"/>
  <c r="Z71" i="7"/>
  <c r="T71" i="7"/>
  <c r="V71" i="7" s="1"/>
  <c r="N71" i="7"/>
  <c r="Z70" i="7"/>
  <c r="T70" i="7"/>
  <c r="Z69" i="7"/>
  <c r="T69" i="7"/>
  <c r="Z68" i="7"/>
  <c r="T68" i="7"/>
  <c r="V68" i="7" s="1"/>
  <c r="N68" i="7"/>
  <c r="I68" i="7"/>
  <c r="Z67" i="7"/>
  <c r="T67" i="7"/>
  <c r="R67" i="7"/>
  <c r="N67" i="7"/>
  <c r="I67" i="7"/>
  <c r="Z66" i="7"/>
  <c r="T66" i="7"/>
  <c r="R66" i="7"/>
  <c r="N66" i="7"/>
  <c r="I66" i="7"/>
  <c r="Z65" i="7"/>
  <c r="T65" i="7"/>
  <c r="R65" i="7"/>
  <c r="Z64" i="7"/>
  <c r="AA64" i="7" s="1"/>
  <c r="T64" i="7"/>
  <c r="V64" i="7" s="1"/>
  <c r="R64" i="7"/>
  <c r="N64" i="7"/>
  <c r="I64" i="7"/>
  <c r="Z63" i="7"/>
  <c r="T63" i="7"/>
  <c r="R63" i="7"/>
  <c r="N63" i="7"/>
  <c r="I63" i="7"/>
  <c r="Z62" i="7"/>
  <c r="T62" i="7"/>
  <c r="V62" i="7" s="1"/>
  <c r="R62" i="7"/>
  <c r="N62" i="7"/>
  <c r="I62" i="7"/>
  <c r="Z61" i="7"/>
  <c r="T61" i="7"/>
  <c r="N61" i="7"/>
  <c r="I61" i="7"/>
  <c r="Z60" i="7"/>
  <c r="T60" i="7"/>
  <c r="V60" i="7" s="1"/>
  <c r="N60" i="7"/>
  <c r="I60" i="7"/>
  <c r="Z59" i="7"/>
  <c r="T59" i="7"/>
  <c r="R59" i="7"/>
  <c r="N59" i="7"/>
  <c r="I59" i="7"/>
  <c r="Z58" i="7"/>
  <c r="T58" i="7"/>
  <c r="V58" i="7" s="1"/>
  <c r="R58" i="7"/>
  <c r="N58" i="7"/>
  <c r="I58" i="7"/>
  <c r="Z57" i="7"/>
  <c r="T57" i="7"/>
  <c r="V57" i="7" s="1"/>
  <c r="R57" i="7"/>
  <c r="N57" i="7"/>
  <c r="I57" i="7"/>
  <c r="D57" i="7"/>
  <c r="C57" i="7"/>
  <c r="Z56" i="7"/>
  <c r="T56" i="7"/>
  <c r="R56" i="7"/>
  <c r="N56" i="7"/>
  <c r="I56" i="7"/>
  <c r="Z55" i="7"/>
  <c r="T55" i="7"/>
  <c r="V55" i="7" s="1"/>
  <c r="R55" i="7"/>
  <c r="N55" i="7"/>
  <c r="I55" i="7"/>
  <c r="Z54" i="7"/>
  <c r="T54" i="7"/>
  <c r="N54" i="7"/>
  <c r="Z53" i="7"/>
  <c r="T53" i="7"/>
  <c r="V53" i="7" s="1"/>
  <c r="N53" i="7"/>
  <c r="Z52" i="7"/>
  <c r="T52" i="7"/>
  <c r="V52" i="7" s="1"/>
  <c r="R52" i="7"/>
  <c r="N52" i="7"/>
  <c r="I52" i="7"/>
  <c r="Z51" i="7"/>
  <c r="T51" i="7"/>
  <c r="R51" i="7"/>
  <c r="N51" i="7"/>
  <c r="I51" i="7"/>
  <c r="Z50" i="7"/>
  <c r="T50" i="7"/>
  <c r="N50" i="7"/>
  <c r="I50" i="7"/>
  <c r="Z49" i="7"/>
  <c r="T49" i="7"/>
  <c r="V49" i="7" s="1"/>
  <c r="N49" i="7"/>
  <c r="I49" i="7"/>
  <c r="Z48" i="7"/>
  <c r="T48" i="7"/>
  <c r="V48" i="7" s="1"/>
  <c r="N48" i="7"/>
  <c r="I48" i="7"/>
  <c r="Z47" i="7"/>
  <c r="T47" i="7"/>
  <c r="V47" i="7" s="1"/>
  <c r="R47" i="7"/>
  <c r="N47" i="7"/>
  <c r="I47" i="7"/>
  <c r="Z46" i="7"/>
  <c r="T46" i="7"/>
  <c r="R46" i="7"/>
  <c r="N46" i="7"/>
  <c r="I46" i="7"/>
  <c r="Z45" i="7"/>
  <c r="T45" i="7"/>
  <c r="V45" i="7" s="1"/>
  <c r="R45" i="7"/>
  <c r="N45" i="7"/>
  <c r="I45" i="7"/>
  <c r="T44" i="7"/>
  <c r="N44" i="7"/>
  <c r="I44" i="7"/>
  <c r="T43" i="7"/>
  <c r="R43" i="7"/>
  <c r="N43" i="7"/>
  <c r="I43" i="7"/>
  <c r="T42" i="7"/>
  <c r="R42" i="7"/>
  <c r="N42" i="7"/>
  <c r="I42" i="7"/>
  <c r="Z41" i="7"/>
  <c r="T41" i="7"/>
  <c r="R41" i="7"/>
  <c r="N41" i="7"/>
  <c r="I41" i="7"/>
  <c r="Z40" i="7"/>
  <c r="T40" i="7"/>
  <c r="R40" i="7"/>
  <c r="N40" i="7"/>
  <c r="I40" i="7"/>
  <c r="Z39" i="7"/>
  <c r="T39" i="7"/>
  <c r="N39" i="7"/>
  <c r="I39" i="7"/>
  <c r="Z38" i="7"/>
  <c r="T38" i="7"/>
  <c r="N38" i="7"/>
  <c r="I38" i="7"/>
  <c r="Z37" i="7"/>
  <c r="T37" i="7"/>
  <c r="N37" i="7"/>
  <c r="I37" i="7"/>
  <c r="Z36" i="7"/>
  <c r="T36" i="7"/>
  <c r="V36" i="7" s="1"/>
  <c r="N36" i="7"/>
  <c r="I36" i="7"/>
  <c r="Z35" i="7"/>
  <c r="AA35" i="7" s="1"/>
  <c r="T35" i="7"/>
  <c r="V35" i="7" s="1"/>
  <c r="N35" i="7"/>
  <c r="I35" i="7"/>
  <c r="Z34" i="7"/>
  <c r="T34" i="7"/>
  <c r="V34" i="7" s="1"/>
  <c r="N34" i="7"/>
  <c r="I34" i="7"/>
  <c r="Z33" i="7"/>
  <c r="T33" i="7"/>
  <c r="R33" i="7"/>
  <c r="N33" i="7"/>
  <c r="I33" i="7"/>
  <c r="Z32" i="7"/>
  <c r="T32" i="7"/>
  <c r="R32" i="7"/>
  <c r="N32" i="7"/>
  <c r="I32" i="7"/>
  <c r="Z31" i="7"/>
  <c r="AA31" i="7" s="1"/>
  <c r="T31" i="7"/>
  <c r="V31" i="7" s="1"/>
  <c r="N31" i="7"/>
  <c r="I31" i="7"/>
  <c r="T30" i="7"/>
  <c r="R30" i="7"/>
  <c r="N30" i="7"/>
  <c r="I30" i="7"/>
  <c r="T29" i="7"/>
  <c r="R29" i="7"/>
  <c r="N29" i="7"/>
  <c r="I29" i="7"/>
  <c r="Z28" i="7"/>
  <c r="T28" i="7"/>
  <c r="V28" i="7" s="1"/>
  <c r="N28" i="7"/>
  <c r="I28" i="7"/>
  <c r="Z27" i="7"/>
  <c r="T27" i="7"/>
  <c r="R27" i="7"/>
  <c r="N27" i="7"/>
  <c r="I27" i="7"/>
  <c r="Z26" i="7"/>
  <c r="T26" i="7"/>
  <c r="V26" i="7" s="1"/>
  <c r="R26" i="7"/>
  <c r="N26" i="7"/>
  <c r="I26" i="7"/>
  <c r="Z25" i="7"/>
  <c r="T25" i="7"/>
  <c r="V25" i="7" s="1"/>
  <c r="N25" i="7"/>
  <c r="I25" i="7"/>
  <c r="Z24" i="7"/>
  <c r="T24" i="7"/>
  <c r="R24" i="7"/>
  <c r="N24" i="7"/>
  <c r="I24" i="7"/>
  <c r="Z23" i="7"/>
  <c r="AA23" i="7" s="1"/>
  <c r="T23" i="7"/>
  <c r="V23" i="7" s="1"/>
  <c r="R23" i="7"/>
  <c r="N23" i="7"/>
  <c r="I23" i="7"/>
  <c r="D23" i="7"/>
  <c r="Z22" i="7"/>
  <c r="T22" i="7"/>
  <c r="V22" i="7" s="1"/>
  <c r="R22" i="7"/>
  <c r="N22" i="7"/>
  <c r="I22" i="7"/>
  <c r="Z21" i="7"/>
  <c r="T21" i="7"/>
  <c r="V21" i="7" s="1"/>
  <c r="N21" i="7"/>
  <c r="Z20" i="7"/>
  <c r="T20" i="7"/>
  <c r="V20" i="7" s="1"/>
  <c r="R20" i="7"/>
  <c r="N20" i="7"/>
  <c r="Z19" i="7"/>
  <c r="T19" i="7"/>
  <c r="N19" i="7"/>
  <c r="Z18" i="7"/>
  <c r="T18" i="7"/>
  <c r="V18" i="7" s="1"/>
  <c r="Z17" i="7"/>
  <c r="T17" i="7"/>
  <c r="V17" i="7" s="1"/>
  <c r="R17" i="7"/>
  <c r="N17" i="7"/>
  <c r="Z16" i="7"/>
  <c r="T16" i="7"/>
  <c r="V16" i="7" s="1"/>
  <c r="N16" i="7"/>
  <c r="Z15" i="7"/>
  <c r="T15" i="7"/>
  <c r="R15" i="7"/>
  <c r="N15" i="7"/>
  <c r="Z14" i="7"/>
  <c r="T14" i="7"/>
  <c r="V14" i="7" s="1"/>
  <c r="R14" i="7"/>
  <c r="N14" i="7"/>
  <c r="Z13" i="7"/>
  <c r="T13" i="7"/>
  <c r="R13" i="7"/>
  <c r="N13" i="7"/>
  <c r="Z12" i="7"/>
  <c r="T12" i="7"/>
  <c r="V12" i="7" s="1"/>
  <c r="R12" i="7"/>
  <c r="N12" i="7"/>
  <c r="Z11" i="7"/>
  <c r="T11" i="7"/>
  <c r="V11" i="7" s="1"/>
  <c r="R11" i="7"/>
  <c r="N11" i="7"/>
  <c r="Z10" i="7"/>
  <c r="AA10" i="7" s="1"/>
  <c r="T10" i="7"/>
  <c r="R10" i="7"/>
  <c r="N10" i="7"/>
  <c r="Z9" i="7"/>
  <c r="T9" i="7"/>
  <c r="R9" i="7"/>
  <c r="N9" i="7"/>
  <c r="D9" i="7"/>
  <c r="Z8" i="7"/>
  <c r="T8" i="7"/>
  <c r="D8" i="7"/>
  <c r="O8" i="7" s="1"/>
  <c r="C8" i="7"/>
  <c r="Z7" i="7"/>
  <c r="T7" i="7"/>
  <c r="V7" i="7" s="1"/>
  <c r="R7" i="7"/>
  <c r="N7" i="7"/>
  <c r="D7" i="7"/>
  <c r="C7" i="7"/>
  <c r="Z6" i="7"/>
  <c r="AA6" i="7" s="1"/>
  <c r="T6" i="7"/>
  <c r="V6" i="7" s="1"/>
  <c r="R6" i="7"/>
  <c r="N6" i="7"/>
  <c r="Z5" i="7"/>
  <c r="AA5" i="7" s="1"/>
  <c r="T5" i="7"/>
  <c r="V5" i="7" s="1"/>
  <c r="R5" i="7"/>
  <c r="N5" i="7"/>
  <c r="Z4" i="7"/>
  <c r="T4" i="7"/>
  <c r="V4" i="7" s="1"/>
  <c r="R4" i="7"/>
  <c r="N4" i="7"/>
  <c r="Z3" i="7"/>
  <c r="T3" i="7"/>
  <c r="V3" i="7" s="1"/>
  <c r="N3" i="7"/>
  <c r="Z100" i="5"/>
  <c r="R100" i="5"/>
  <c r="N100" i="5"/>
  <c r="I100" i="5"/>
  <c r="Z99" i="5"/>
  <c r="T99" i="5"/>
  <c r="V99" i="5" s="1"/>
  <c r="R99" i="5"/>
  <c r="N99" i="5"/>
  <c r="I99" i="5"/>
  <c r="Z98" i="5"/>
  <c r="T98" i="5"/>
  <c r="R98" i="5"/>
  <c r="N98" i="5"/>
  <c r="I98" i="5"/>
  <c r="Z97" i="5"/>
  <c r="AA97" i="5" s="1"/>
  <c r="T97" i="5"/>
  <c r="V97" i="5" s="1"/>
  <c r="R97" i="5"/>
  <c r="N97" i="5"/>
  <c r="I97" i="5"/>
  <c r="Z96" i="5"/>
  <c r="T96" i="5"/>
  <c r="R96" i="5"/>
  <c r="N96" i="5"/>
  <c r="I96" i="5"/>
  <c r="Z95" i="5"/>
  <c r="T95" i="5"/>
  <c r="R95" i="5"/>
  <c r="N95" i="5"/>
  <c r="I95" i="5"/>
  <c r="Z94" i="5"/>
  <c r="T94" i="5"/>
  <c r="V94" i="5" s="1"/>
  <c r="R94" i="5"/>
  <c r="N94" i="5"/>
  <c r="I94" i="5"/>
  <c r="Z93" i="5"/>
  <c r="T93" i="5"/>
  <c r="V93" i="5" s="1"/>
  <c r="R93" i="5"/>
  <c r="N93" i="5"/>
  <c r="I93" i="5"/>
  <c r="Z92" i="5"/>
  <c r="AA92" i="5" s="1"/>
  <c r="T92" i="5"/>
  <c r="R92" i="5"/>
  <c r="N92" i="5"/>
  <c r="I92" i="5"/>
  <c r="D92" i="5"/>
  <c r="Z91" i="5"/>
  <c r="T91" i="5"/>
  <c r="V91" i="5" s="1"/>
  <c r="R91" i="5"/>
  <c r="N91" i="5"/>
  <c r="I91" i="5"/>
  <c r="D91" i="5"/>
  <c r="Z90" i="5"/>
  <c r="R90" i="5"/>
  <c r="N90" i="5"/>
  <c r="I90" i="5"/>
  <c r="Z89" i="5"/>
  <c r="T89" i="5"/>
  <c r="V89" i="5" s="1"/>
  <c r="R89" i="5"/>
  <c r="N89" i="5"/>
  <c r="I89" i="5"/>
  <c r="Z88" i="5"/>
  <c r="T88" i="5"/>
  <c r="R88" i="5"/>
  <c r="N88" i="5"/>
  <c r="I88" i="5"/>
  <c r="Z87" i="5"/>
  <c r="R87" i="5"/>
  <c r="N87" i="5"/>
  <c r="I87" i="5"/>
  <c r="Z86" i="5"/>
  <c r="T86" i="5"/>
  <c r="V86" i="5" s="1"/>
  <c r="R86" i="5"/>
  <c r="N86" i="5"/>
  <c r="I86" i="5"/>
  <c r="Z85" i="5"/>
  <c r="T85" i="5"/>
  <c r="R85" i="5"/>
  <c r="N85" i="5"/>
  <c r="I85" i="5"/>
  <c r="Z84" i="5"/>
  <c r="T84" i="5"/>
  <c r="V84" i="5" s="1"/>
  <c r="R84" i="5"/>
  <c r="N84" i="5"/>
  <c r="I84" i="5"/>
  <c r="Z83" i="5"/>
  <c r="N83" i="5"/>
  <c r="I83" i="5"/>
  <c r="Z82" i="5"/>
  <c r="T82" i="5"/>
  <c r="V82" i="5" s="1"/>
  <c r="N82" i="5"/>
  <c r="I82" i="5"/>
  <c r="Z81" i="5"/>
  <c r="T81" i="5"/>
  <c r="R81" i="5"/>
  <c r="N81" i="5"/>
  <c r="I81" i="5"/>
  <c r="Z80" i="5"/>
  <c r="AA80" i="5" s="1"/>
  <c r="T80" i="5"/>
  <c r="V80" i="5" s="1"/>
  <c r="R80" i="5"/>
  <c r="N80" i="5"/>
  <c r="I80" i="5"/>
  <c r="D80" i="5"/>
  <c r="C80" i="5"/>
  <c r="Z79" i="5"/>
  <c r="T79" i="5"/>
  <c r="V79" i="5" s="1"/>
  <c r="R79" i="5"/>
  <c r="N79" i="5"/>
  <c r="I79" i="5"/>
  <c r="D79" i="5"/>
  <c r="C79" i="5"/>
  <c r="Z78" i="5"/>
  <c r="T78" i="5"/>
  <c r="N78" i="5"/>
  <c r="I78" i="5"/>
  <c r="Z77" i="5"/>
  <c r="N77" i="5"/>
  <c r="I77" i="5"/>
  <c r="Z76" i="5"/>
  <c r="T76" i="5"/>
  <c r="V76" i="5" s="1"/>
  <c r="N76" i="5"/>
  <c r="I76" i="5"/>
  <c r="Z75" i="5"/>
  <c r="T75" i="5"/>
  <c r="V75" i="5" s="1"/>
  <c r="R75" i="5"/>
  <c r="N75" i="5"/>
  <c r="I75" i="5"/>
  <c r="Z74" i="5"/>
  <c r="R74" i="5"/>
  <c r="N74" i="5"/>
  <c r="I74" i="5"/>
  <c r="Z73" i="5"/>
  <c r="V73" i="5"/>
  <c r="R73" i="5"/>
  <c r="N73" i="5"/>
  <c r="I73" i="5"/>
  <c r="Z72" i="5"/>
  <c r="R72" i="5"/>
  <c r="N72" i="5"/>
  <c r="Z71" i="5"/>
  <c r="T71" i="5"/>
  <c r="R71" i="5"/>
  <c r="N71" i="5"/>
  <c r="Z68" i="5"/>
  <c r="T68" i="5"/>
  <c r="V68" i="5" s="1"/>
  <c r="R68" i="5"/>
  <c r="N68" i="5"/>
  <c r="I68" i="5"/>
  <c r="Z67" i="5"/>
  <c r="T67" i="5"/>
  <c r="R67" i="5"/>
  <c r="N67" i="5"/>
  <c r="I67" i="5"/>
  <c r="Z66" i="5"/>
  <c r="T66" i="5"/>
  <c r="R66" i="5"/>
  <c r="N66" i="5"/>
  <c r="I66" i="5"/>
  <c r="Z65" i="5"/>
  <c r="T65" i="5"/>
  <c r="R65" i="5"/>
  <c r="N65" i="5"/>
  <c r="I65" i="5"/>
  <c r="Z64" i="5"/>
  <c r="T64" i="5"/>
  <c r="V64" i="5" s="1"/>
  <c r="N64" i="5"/>
  <c r="I64" i="5"/>
  <c r="Z63" i="5"/>
  <c r="T63" i="5"/>
  <c r="V63" i="5" s="1"/>
  <c r="R63" i="5"/>
  <c r="N63" i="5"/>
  <c r="I63" i="5"/>
  <c r="Z62" i="5"/>
  <c r="AA62" i="5" s="1"/>
  <c r="T62" i="5"/>
  <c r="V62" i="5" s="1"/>
  <c r="R62" i="5"/>
  <c r="N62" i="5"/>
  <c r="I62" i="5"/>
  <c r="Z61" i="5"/>
  <c r="T61" i="5"/>
  <c r="V61" i="5" s="1"/>
  <c r="R61" i="5"/>
  <c r="N61" i="5"/>
  <c r="I61" i="5"/>
  <c r="Z60" i="5"/>
  <c r="N60" i="5"/>
  <c r="I60" i="5"/>
  <c r="Z59" i="5"/>
  <c r="T59" i="5"/>
  <c r="V59" i="5" s="1"/>
  <c r="N59" i="5"/>
  <c r="I59" i="5"/>
  <c r="Z58" i="5"/>
  <c r="T58" i="5"/>
  <c r="N58" i="5"/>
  <c r="I58" i="5"/>
  <c r="Z57" i="5"/>
  <c r="T57" i="5"/>
  <c r="V57" i="5" s="1"/>
  <c r="N57" i="5"/>
  <c r="I57" i="5"/>
  <c r="Z56" i="5"/>
  <c r="T56" i="5"/>
  <c r="V56" i="5" s="1"/>
  <c r="R56" i="5"/>
  <c r="N56" i="5"/>
  <c r="I56" i="5"/>
  <c r="Z55" i="5"/>
  <c r="T55" i="5"/>
  <c r="V55" i="5" s="1"/>
  <c r="R55" i="5"/>
  <c r="N55" i="5"/>
  <c r="I55" i="5"/>
  <c r="Z54" i="5"/>
  <c r="T54" i="5"/>
  <c r="R54" i="5"/>
  <c r="N54" i="5"/>
  <c r="I54" i="5"/>
  <c r="Z53" i="5"/>
  <c r="T53" i="5"/>
  <c r="V53" i="5" s="1"/>
  <c r="R53" i="5"/>
  <c r="N53" i="5"/>
  <c r="I53" i="5"/>
  <c r="Z52" i="5"/>
  <c r="T52" i="5"/>
  <c r="R52" i="5"/>
  <c r="N52" i="5"/>
  <c r="I52" i="5"/>
  <c r="Z51" i="5"/>
  <c r="AA51" i="5" s="1"/>
  <c r="T51" i="5"/>
  <c r="V51" i="5" s="1"/>
  <c r="N51" i="5"/>
  <c r="I51" i="5"/>
  <c r="Z50" i="5"/>
  <c r="T50" i="5"/>
  <c r="R50" i="5"/>
  <c r="N50" i="5"/>
  <c r="I50" i="5"/>
  <c r="D50" i="5"/>
  <c r="Z49" i="5"/>
  <c r="AA49" i="5" s="1"/>
  <c r="T49" i="5"/>
  <c r="R49" i="5"/>
  <c r="N49" i="5"/>
  <c r="I49" i="5"/>
  <c r="D49" i="5"/>
  <c r="Z48" i="5"/>
  <c r="T48" i="5"/>
  <c r="R48" i="5"/>
  <c r="N48" i="5"/>
  <c r="I48" i="5"/>
  <c r="Z47" i="5"/>
  <c r="T47" i="5"/>
  <c r="V47" i="5" s="1"/>
  <c r="R47" i="5"/>
  <c r="N47" i="5"/>
  <c r="I47" i="5"/>
  <c r="Z46" i="5"/>
  <c r="T46" i="5"/>
  <c r="R46" i="5"/>
  <c r="N46" i="5"/>
  <c r="I46" i="5"/>
  <c r="Z45" i="5"/>
  <c r="T45" i="5"/>
  <c r="V45" i="5" s="1"/>
  <c r="N45" i="5"/>
  <c r="I45" i="5"/>
  <c r="Z44" i="5"/>
  <c r="AA44" i="5" s="1"/>
  <c r="T44" i="5"/>
  <c r="N44" i="5"/>
  <c r="I44" i="5"/>
  <c r="Z43" i="5"/>
  <c r="AA43" i="5" s="1"/>
  <c r="T43" i="5"/>
  <c r="R43" i="5"/>
  <c r="N43" i="5"/>
  <c r="D43" i="5"/>
  <c r="C43" i="5"/>
  <c r="Z42" i="5"/>
  <c r="T42" i="5"/>
  <c r="R42" i="5"/>
  <c r="N42" i="5"/>
  <c r="D42" i="5"/>
  <c r="C42" i="5"/>
  <c r="Z41" i="5"/>
  <c r="T41" i="5"/>
  <c r="N41" i="5"/>
  <c r="I41" i="5"/>
  <c r="Z40" i="5"/>
  <c r="AA40" i="5" s="1"/>
  <c r="T40" i="5"/>
  <c r="V40" i="5" s="1"/>
  <c r="N40" i="5"/>
  <c r="I40" i="5"/>
  <c r="Z39" i="5"/>
  <c r="AA39" i="5" s="1"/>
  <c r="T39" i="5"/>
  <c r="V39" i="5" s="1"/>
  <c r="N39" i="5"/>
  <c r="I39" i="5"/>
  <c r="Z38" i="5"/>
  <c r="T38" i="5"/>
  <c r="N38" i="5"/>
  <c r="I38" i="5"/>
  <c r="Z37" i="5"/>
  <c r="T37" i="5"/>
  <c r="R37" i="5"/>
  <c r="N37" i="5"/>
  <c r="I37" i="5"/>
  <c r="D37" i="5"/>
  <c r="C37" i="5"/>
  <c r="Z36" i="5"/>
  <c r="AA36" i="5" s="1"/>
  <c r="T36" i="5"/>
  <c r="V36" i="5" s="1"/>
  <c r="R36" i="5"/>
  <c r="N36" i="5"/>
  <c r="I36" i="5"/>
  <c r="Z35" i="5"/>
  <c r="AA35" i="5" s="1"/>
  <c r="T35" i="5"/>
  <c r="R35" i="5"/>
  <c r="N35" i="5"/>
  <c r="I35" i="5"/>
  <c r="Z34" i="5"/>
  <c r="T34" i="5"/>
  <c r="V34" i="5" s="1"/>
  <c r="N34" i="5"/>
  <c r="I34" i="5"/>
  <c r="Z33" i="5"/>
  <c r="T33" i="5"/>
  <c r="R33" i="5"/>
  <c r="N33" i="5"/>
  <c r="I33" i="5"/>
  <c r="D33" i="5"/>
  <c r="Z32" i="5"/>
  <c r="T32" i="5"/>
  <c r="R32" i="5"/>
  <c r="N32" i="5"/>
  <c r="I32" i="5"/>
  <c r="Z31" i="5"/>
  <c r="T31" i="5"/>
  <c r="N31" i="5"/>
  <c r="I31" i="5"/>
  <c r="Z30" i="5"/>
  <c r="R30" i="5"/>
  <c r="N30" i="5"/>
  <c r="I30" i="5"/>
  <c r="Z29" i="5"/>
  <c r="AA29" i="5" s="1"/>
  <c r="T29" i="5"/>
  <c r="R29" i="5"/>
  <c r="N29" i="5"/>
  <c r="I29" i="5"/>
  <c r="Z28" i="5"/>
  <c r="T28" i="5"/>
  <c r="R28" i="5"/>
  <c r="N28" i="5"/>
  <c r="I28" i="5"/>
  <c r="Z27" i="5"/>
  <c r="T27" i="5"/>
  <c r="V27" i="5" s="1"/>
  <c r="N27" i="5"/>
  <c r="I27" i="5"/>
  <c r="Z26" i="5"/>
  <c r="T26" i="5"/>
  <c r="V26" i="5" s="1"/>
  <c r="N26" i="5"/>
  <c r="I26" i="5"/>
  <c r="Z25" i="5"/>
  <c r="AA25" i="5" s="1"/>
  <c r="T25" i="5"/>
  <c r="V25" i="5" s="1"/>
  <c r="N25" i="5"/>
  <c r="I25" i="5"/>
  <c r="Z24" i="5"/>
  <c r="T24" i="5"/>
  <c r="N24" i="5"/>
  <c r="I24" i="5"/>
  <c r="Z23" i="5"/>
  <c r="AA23" i="5" s="1"/>
  <c r="T23" i="5"/>
  <c r="R23" i="5"/>
  <c r="N23" i="5"/>
  <c r="I23" i="5"/>
  <c r="Z22" i="5"/>
  <c r="AA22" i="5" s="1"/>
  <c r="T22" i="5"/>
  <c r="V22" i="5" s="1"/>
  <c r="R22" i="5"/>
  <c r="N22" i="5"/>
  <c r="I22" i="5"/>
  <c r="Z21" i="5"/>
  <c r="AA21" i="5" s="1"/>
  <c r="T21" i="5"/>
  <c r="R21" i="5"/>
  <c r="N21" i="5"/>
  <c r="I21" i="5"/>
  <c r="Z20" i="5"/>
  <c r="T20" i="5"/>
  <c r="V20" i="5" s="1"/>
  <c r="R20" i="5"/>
  <c r="N20" i="5"/>
  <c r="I20" i="5"/>
  <c r="Z19" i="5"/>
  <c r="AA19" i="5" s="1"/>
  <c r="T19" i="5"/>
  <c r="V19" i="5" s="1"/>
  <c r="R19" i="5"/>
  <c r="N19" i="5"/>
  <c r="I19" i="5"/>
  <c r="Z18" i="5"/>
  <c r="V18" i="5"/>
  <c r="N18" i="5"/>
  <c r="I18" i="5"/>
  <c r="Z17" i="5"/>
  <c r="R17" i="5"/>
  <c r="N17" i="5"/>
  <c r="I17" i="5"/>
  <c r="Z16" i="5"/>
  <c r="AA16" i="5" s="1"/>
  <c r="T16" i="5"/>
  <c r="V16" i="5" s="1"/>
  <c r="R16" i="5"/>
  <c r="N16" i="5"/>
  <c r="I16" i="5"/>
  <c r="Z15" i="5"/>
  <c r="T15" i="5"/>
  <c r="R15" i="5"/>
  <c r="N15" i="5"/>
  <c r="I15" i="5"/>
  <c r="Z14" i="5"/>
  <c r="T14" i="5"/>
  <c r="V14" i="5" s="1"/>
  <c r="R14" i="5"/>
  <c r="N14" i="5"/>
  <c r="I14" i="5"/>
  <c r="Z13" i="5"/>
  <c r="T13" i="5"/>
  <c r="V13" i="5" s="1"/>
  <c r="R13" i="5"/>
  <c r="N13" i="5"/>
  <c r="I13" i="5"/>
  <c r="Z12" i="5"/>
  <c r="T12" i="5"/>
  <c r="N12" i="5"/>
  <c r="I12" i="5"/>
  <c r="Z11" i="5"/>
  <c r="AA11" i="5" s="1"/>
  <c r="T11" i="5"/>
  <c r="V11" i="5" s="1"/>
  <c r="R11" i="5"/>
  <c r="N11" i="5"/>
  <c r="I11" i="5"/>
  <c r="Z10" i="5"/>
  <c r="T10" i="5"/>
  <c r="N10" i="5"/>
  <c r="I10" i="5"/>
  <c r="D10" i="5"/>
  <c r="Z9" i="5"/>
  <c r="T9" i="5"/>
  <c r="V9" i="5" s="1"/>
  <c r="R9" i="5"/>
  <c r="N9" i="5"/>
  <c r="I9" i="5"/>
  <c r="Z8" i="5"/>
  <c r="R8" i="5"/>
  <c r="N8" i="5"/>
  <c r="I8" i="5"/>
  <c r="D8" i="5"/>
  <c r="C8" i="5"/>
  <c r="Z7" i="5"/>
  <c r="T7" i="5"/>
  <c r="R7" i="5"/>
  <c r="N7" i="5"/>
  <c r="I7" i="5"/>
  <c r="D7" i="5"/>
  <c r="C7" i="5"/>
  <c r="Z6" i="5"/>
  <c r="T6" i="5"/>
  <c r="N6" i="5"/>
  <c r="D6" i="5"/>
  <c r="C6" i="5"/>
  <c r="Z5" i="5"/>
  <c r="AA5" i="5" s="1"/>
  <c r="T5" i="5"/>
  <c r="V5" i="5" s="1"/>
  <c r="N5" i="5"/>
  <c r="D5" i="5"/>
  <c r="C5" i="5"/>
  <c r="Z4" i="5"/>
  <c r="T4" i="5"/>
  <c r="V4" i="5" s="1"/>
  <c r="R4" i="5"/>
  <c r="N4" i="5"/>
  <c r="I4" i="5"/>
  <c r="Z3" i="5"/>
  <c r="T3" i="5"/>
  <c r="V3" i="5" s="1"/>
  <c r="R3" i="5"/>
  <c r="N3" i="5"/>
  <c r="I3" i="5"/>
  <c r="Z99" i="4"/>
  <c r="T99" i="4"/>
  <c r="Z98" i="4"/>
  <c r="T98" i="4"/>
  <c r="V98" i="4" s="1"/>
  <c r="Z97" i="4"/>
  <c r="T97" i="4"/>
  <c r="Z96" i="4"/>
  <c r="T96" i="4"/>
  <c r="V96" i="4" s="1"/>
  <c r="Z95" i="4"/>
  <c r="T95" i="4"/>
  <c r="Z94" i="4"/>
  <c r="T94" i="4"/>
  <c r="V94" i="4" s="1"/>
  <c r="Z93" i="4"/>
  <c r="AA93" i="4" s="1"/>
  <c r="T93" i="4"/>
  <c r="V93" i="4" s="1"/>
  <c r="Z92" i="4"/>
  <c r="Z91" i="4"/>
  <c r="T91" i="4"/>
  <c r="V91" i="4" s="1"/>
  <c r="Z90" i="4"/>
  <c r="AA90" i="4" s="1"/>
  <c r="Z89" i="4"/>
  <c r="AA89" i="4" s="1"/>
  <c r="T89" i="4"/>
  <c r="V89" i="4" s="1"/>
  <c r="Z88" i="4"/>
  <c r="Z87" i="4"/>
  <c r="T87" i="4"/>
  <c r="V87" i="4" s="1"/>
  <c r="Z86" i="4"/>
  <c r="T86" i="4"/>
  <c r="Z85" i="4"/>
  <c r="Z84" i="4"/>
  <c r="T84" i="4"/>
  <c r="V84" i="4" s="1"/>
  <c r="Z83" i="4"/>
  <c r="T83" i="4"/>
  <c r="V83" i="4" s="1"/>
  <c r="N83" i="4"/>
  <c r="I83" i="4"/>
  <c r="Z82" i="4"/>
  <c r="T82" i="4"/>
  <c r="V82" i="4" s="1"/>
  <c r="N82" i="4"/>
  <c r="I82" i="4"/>
  <c r="Z81" i="4"/>
  <c r="R81" i="4"/>
  <c r="N81" i="4"/>
  <c r="I81" i="4"/>
  <c r="Z80" i="4"/>
  <c r="T80" i="4"/>
  <c r="V80" i="4" s="1"/>
  <c r="R80" i="4"/>
  <c r="N80" i="4"/>
  <c r="I80" i="4"/>
  <c r="Z79" i="4"/>
  <c r="T79" i="4"/>
  <c r="R79" i="4"/>
  <c r="N79" i="4"/>
  <c r="I79" i="4"/>
  <c r="D79" i="4"/>
  <c r="C79" i="4"/>
  <c r="Z78" i="4"/>
  <c r="T78" i="4"/>
  <c r="R78" i="4"/>
  <c r="N78" i="4"/>
  <c r="I78" i="4"/>
  <c r="D78" i="4"/>
  <c r="C78" i="4"/>
  <c r="Z77" i="4"/>
  <c r="T77" i="4"/>
  <c r="V77" i="4" s="1"/>
  <c r="R77" i="4"/>
  <c r="N77" i="4"/>
  <c r="I77" i="4"/>
  <c r="D77" i="4"/>
  <c r="C77" i="4"/>
  <c r="Z76" i="4"/>
  <c r="N76" i="4"/>
  <c r="I76" i="4"/>
  <c r="Z75" i="4"/>
  <c r="T75" i="4"/>
  <c r="V75" i="4" s="1"/>
  <c r="N75" i="4"/>
  <c r="I75" i="4"/>
  <c r="Z74" i="4"/>
  <c r="T74" i="4"/>
  <c r="R74" i="4"/>
  <c r="N74" i="4"/>
  <c r="I74" i="4"/>
  <c r="Z73" i="4"/>
  <c r="AA73" i="4" s="1"/>
  <c r="T73" i="4"/>
  <c r="V73" i="4" s="1"/>
  <c r="R73" i="4"/>
  <c r="N73" i="4"/>
  <c r="I73" i="4"/>
  <c r="Z72" i="4"/>
  <c r="T72" i="4"/>
  <c r="N72" i="4"/>
  <c r="I72" i="4"/>
  <c r="Z71" i="4"/>
  <c r="T71" i="4"/>
  <c r="V71" i="4" s="1"/>
  <c r="N71" i="4"/>
  <c r="Z70" i="4"/>
  <c r="T70" i="4"/>
  <c r="R70" i="4"/>
  <c r="N70" i="4"/>
  <c r="D70" i="4"/>
  <c r="Z69" i="4"/>
  <c r="T69" i="4"/>
  <c r="V69" i="4" s="1"/>
  <c r="R69" i="4"/>
  <c r="N69" i="4"/>
  <c r="Z68" i="4"/>
  <c r="T68" i="4"/>
  <c r="V68" i="4" s="1"/>
  <c r="R68" i="4"/>
  <c r="N68" i="4"/>
  <c r="Z67" i="4"/>
  <c r="AA67" i="4" s="1"/>
  <c r="T67" i="4"/>
  <c r="V67" i="4" s="1"/>
  <c r="N67" i="4"/>
  <c r="I67" i="4"/>
  <c r="Z66" i="4"/>
  <c r="T66" i="4"/>
  <c r="R66" i="4"/>
  <c r="D66" i="4"/>
  <c r="O66" i="4" s="1"/>
  <c r="Z65" i="4"/>
  <c r="T65" i="4"/>
  <c r="V65" i="4" s="1"/>
  <c r="R65" i="4"/>
  <c r="N65" i="4"/>
  <c r="I65" i="4"/>
  <c r="D65" i="4"/>
  <c r="Z64" i="4"/>
  <c r="AA64" i="4" s="1"/>
  <c r="T64" i="4"/>
  <c r="V64" i="4" s="1"/>
  <c r="R64" i="4"/>
  <c r="N64" i="4"/>
  <c r="I64" i="4"/>
  <c r="Z63" i="4"/>
  <c r="T63" i="4"/>
  <c r="R63" i="4"/>
  <c r="N63" i="4"/>
  <c r="I63" i="4"/>
  <c r="Z62" i="4"/>
  <c r="T62" i="4"/>
  <c r="V62" i="4" s="1"/>
  <c r="R62" i="4"/>
  <c r="N62" i="4"/>
  <c r="I62" i="4"/>
  <c r="Z61" i="4"/>
  <c r="T61" i="4"/>
  <c r="V61" i="4" s="1"/>
  <c r="R61" i="4"/>
  <c r="N61" i="4"/>
  <c r="Z60" i="4"/>
  <c r="T60" i="4"/>
  <c r="R60" i="4"/>
  <c r="N60" i="4"/>
  <c r="I60" i="4"/>
  <c r="Z59" i="4"/>
  <c r="T59" i="4"/>
  <c r="V59" i="4" s="1"/>
  <c r="R59" i="4"/>
  <c r="N59" i="4"/>
  <c r="I59" i="4"/>
  <c r="Z58" i="4"/>
  <c r="T58" i="4"/>
  <c r="V58" i="4" s="1"/>
  <c r="N58" i="4"/>
  <c r="I58" i="4"/>
  <c r="Z57" i="4"/>
  <c r="AA57" i="4" s="1"/>
  <c r="T57" i="4"/>
  <c r="V57" i="4" s="1"/>
  <c r="R57" i="4"/>
  <c r="N57" i="4"/>
  <c r="Z56" i="4"/>
  <c r="T56" i="4"/>
  <c r="R56" i="4"/>
  <c r="N56" i="4"/>
  <c r="Z55" i="4"/>
  <c r="T55" i="4"/>
  <c r="V55" i="4" s="1"/>
  <c r="R55" i="4"/>
  <c r="N55" i="4"/>
  <c r="Z54" i="4"/>
  <c r="T54" i="4"/>
  <c r="V54" i="4" s="1"/>
  <c r="R54" i="4"/>
  <c r="N54" i="4"/>
  <c r="I54" i="4"/>
  <c r="Z53" i="4"/>
  <c r="AA53" i="4" s="1"/>
  <c r="T53" i="4"/>
  <c r="V53" i="4" s="1"/>
  <c r="R53" i="4"/>
  <c r="N53" i="4"/>
  <c r="I53" i="4"/>
  <c r="D53" i="4"/>
  <c r="Z52" i="4"/>
  <c r="T52" i="4"/>
  <c r="R52" i="4"/>
  <c r="N52" i="4"/>
  <c r="I52" i="4"/>
  <c r="Z51" i="4"/>
  <c r="T51" i="4"/>
  <c r="V51" i="4" s="1"/>
  <c r="R51" i="4"/>
  <c r="N51" i="4"/>
  <c r="I51" i="4"/>
  <c r="Z50" i="4"/>
  <c r="T50" i="4"/>
  <c r="V50" i="4" s="1"/>
  <c r="R50" i="4"/>
  <c r="N50" i="4"/>
  <c r="I50" i="4"/>
  <c r="D50" i="4"/>
  <c r="C50" i="4"/>
  <c r="Z49" i="4"/>
  <c r="T49" i="4"/>
  <c r="V49" i="4" s="1"/>
  <c r="R49" i="4"/>
  <c r="N49" i="4"/>
  <c r="I49" i="4"/>
  <c r="Z48" i="4"/>
  <c r="T48" i="4"/>
  <c r="R48" i="4"/>
  <c r="Z47" i="4"/>
  <c r="T47" i="4"/>
  <c r="V47" i="4" s="1"/>
  <c r="R47" i="4"/>
  <c r="N47" i="4"/>
  <c r="I47" i="4"/>
  <c r="Z46" i="4"/>
  <c r="T46" i="4"/>
  <c r="V46" i="4" s="1"/>
  <c r="N46" i="4"/>
  <c r="I46" i="4"/>
  <c r="Z45" i="4"/>
  <c r="T45" i="4"/>
  <c r="N45" i="4"/>
  <c r="I45" i="4"/>
  <c r="Z44" i="4"/>
  <c r="V44" i="4"/>
  <c r="T44" i="4"/>
  <c r="N44" i="4"/>
  <c r="I44" i="4"/>
  <c r="Z43" i="4"/>
  <c r="T43" i="4"/>
  <c r="R43" i="4"/>
  <c r="N43" i="4"/>
  <c r="Z42" i="4"/>
  <c r="T42" i="4"/>
  <c r="R42" i="4"/>
  <c r="N42" i="4"/>
  <c r="Z41" i="4"/>
  <c r="T41" i="4"/>
  <c r="N41" i="4"/>
  <c r="I41" i="4"/>
  <c r="Z40" i="4"/>
  <c r="T40" i="4"/>
  <c r="V40" i="4" s="1"/>
  <c r="N40" i="4"/>
  <c r="I40" i="4"/>
  <c r="Z39" i="4"/>
  <c r="T39" i="4"/>
  <c r="R39" i="4"/>
  <c r="Z38" i="4"/>
  <c r="T38" i="4"/>
  <c r="R38" i="4"/>
  <c r="N38" i="4"/>
  <c r="I38" i="4"/>
  <c r="Z37" i="4"/>
  <c r="T37" i="4"/>
  <c r="R37" i="4"/>
  <c r="N37" i="4"/>
  <c r="Z36" i="4"/>
  <c r="T36" i="4"/>
  <c r="V36" i="4" s="1"/>
  <c r="R36" i="4"/>
  <c r="N36" i="4"/>
  <c r="Z35" i="4"/>
  <c r="T35" i="4"/>
  <c r="V35" i="4" s="1"/>
  <c r="R35" i="4"/>
  <c r="N35" i="4"/>
  <c r="I35" i="4"/>
  <c r="Z34" i="4"/>
  <c r="AA34" i="4" s="1"/>
  <c r="T34" i="4"/>
  <c r="R34" i="4"/>
  <c r="N34" i="4"/>
  <c r="I34" i="4"/>
  <c r="Z33" i="4"/>
  <c r="R33" i="4"/>
  <c r="N33" i="4"/>
  <c r="Z32" i="4"/>
  <c r="T32" i="4"/>
  <c r="V32" i="4" s="1"/>
  <c r="R32" i="4"/>
  <c r="N32" i="4"/>
  <c r="Z31" i="4"/>
  <c r="AA31" i="4" s="1"/>
  <c r="T31" i="4"/>
  <c r="V31" i="4" s="1"/>
  <c r="R31" i="4"/>
  <c r="N31" i="4"/>
  <c r="Z30" i="4"/>
  <c r="T30" i="4"/>
  <c r="R30" i="4"/>
  <c r="N30" i="4"/>
  <c r="I30" i="4"/>
  <c r="Z29" i="4"/>
  <c r="AA29" i="4" s="1"/>
  <c r="T29" i="4"/>
  <c r="R29" i="4"/>
  <c r="N29" i="4"/>
  <c r="I29" i="4"/>
  <c r="Z28" i="4"/>
  <c r="T28" i="4"/>
  <c r="V28" i="4" s="1"/>
  <c r="N28" i="4"/>
  <c r="I28" i="4"/>
  <c r="Z27" i="4"/>
  <c r="T27" i="4"/>
  <c r="R27" i="4"/>
  <c r="N27" i="4"/>
  <c r="I27" i="4"/>
  <c r="D27" i="4"/>
  <c r="O27" i="4" s="1"/>
  <c r="C27" i="4"/>
  <c r="Z26" i="4"/>
  <c r="T26" i="4"/>
  <c r="V26" i="4" s="1"/>
  <c r="R26" i="4"/>
  <c r="N26" i="4"/>
  <c r="I26" i="4"/>
  <c r="D26" i="4"/>
  <c r="C26" i="4"/>
  <c r="Z25" i="4"/>
  <c r="T25" i="4"/>
  <c r="V25" i="4" s="1"/>
  <c r="R25" i="4"/>
  <c r="N25" i="4"/>
  <c r="I25" i="4"/>
  <c r="Z24" i="4"/>
  <c r="T24" i="4"/>
  <c r="V24" i="4" s="1"/>
  <c r="R24" i="4"/>
  <c r="N24" i="4"/>
  <c r="I24" i="4"/>
  <c r="D24" i="4"/>
  <c r="Z23" i="4"/>
  <c r="T23" i="4"/>
  <c r="V23" i="4" s="1"/>
  <c r="R23" i="4"/>
  <c r="N23" i="4"/>
  <c r="I23" i="4"/>
  <c r="Z22" i="4"/>
  <c r="AA22" i="4" s="1"/>
  <c r="T22" i="4"/>
  <c r="N22" i="4"/>
  <c r="Z21" i="4"/>
  <c r="T21" i="4"/>
  <c r="V21" i="4" s="1"/>
  <c r="R21" i="4"/>
  <c r="N21" i="4"/>
  <c r="I21" i="4"/>
  <c r="Z20" i="4"/>
  <c r="T20" i="4"/>
  <c r="V20" i="4" s="1"/>
  <c r="R20" i="4"/>
  <c r="N20" i="4"/>
  <c r="I20" i="4"/>
  <c r="D20" i="4"/>
  <c r="Z19" i="4"/>
  <c r="T19" i="4"/>
  <c r="R19" i="4"/>
  <c r="N19" i="4"/>
  <c r="Z18" i="4"/>
  <c r="T18" i="4"/>
  <c r="V18" i="4" s="1"/>
  <c r="R18" i="4"/>
  <c r="N18" i="4"/>
  <c r="Z17" i="4"/>
  <c r="T17" i="4"/>
  <c r="V17" i="4" s="1"/>
  <c r="R17" i="4"/>
  <c r="N17" i="4"/>
  <c r="I17" i="4"/>
  <c r="Z16" i="4"/>
  <c r="T16" i="4"/>
  <c r="V16" i="4" s="1"/>
  <c r="R16" i="4"/>
  <c r="N16" i="4"/>
  <c r="I16" i="4"/>
  <c r="Z15" i="4"/>
  <c r="T15" i="4"/>
  <c r="R15" i="4"/>
  <c r="N15" i="4"/>
  <c r="I15" i="4"/>
  <c r="Z14" i="4"/>
  <c r="T14" i="4"/>
  <c r="V14" i="4" s="1"/>
  <c r="R14" i="4"/>
  <c r="N14" i="4"/>
  <c r="I14" i="4"/>
  <c r="Z13" i="4"/>
  <c r="T13" i="4"/>
  <c r="R13" i="4"/>
  <c r="N13" i="4"/>
  <c r="I13" i="4"/>
  <c r="Z12" i="4"/>
  <c r="AA12" i="4" s="1"/>
  <c r="T12" i="4"/>
  <c r="V12" i="4" s="1"/>
  <c r="R12" i="4"/>
  <c r="N12" i="4"/>
  <c r="I12" i="4"/>
  <c r="Z11" i="4"/>
  <c r="T11" i="4"/>
  <c r="V11" i="4" s="1"/>
  <c r="R11" i="4"/>
  <c r="N11" i="4"/>
  <c r="Z10" i="4"/>
  <c r="T10" i="4"/>
  <c r="V10" i="4" s="1"/>
  <c r="N10" i="4"/>
  <c r="I10" i="4"/>
  <c r="Z9" i="4"/>
  <c r="T9" i="4"/>
  <c r="V9" i="4" s="1"/>
  <c r="R9" i="4"/>
  <c r="N9" i="4"/>
  <c r="I9" i="4"/>
  <c r="Z8" i="4"/>
  <c r="T8" i="4"/>
  <c r="V8" i="4" s="1"/>
  <c r="R8" i="4"/>
  <c r="N8" i="4"/>
  <c r="I8" i="4"/>
  <c r="Z7" i="4"/>
  <c r="T7" i="4"/>
  <c r="V7" i="4" s="1"/>
  <c r="N7" i="4"/>
  <c r="Z6" i="4"/>
  <c r="AA6" i="4" s="1"/>
  <c r="T6" i="4"/>
  <c r="V6" i="4" s="1"/>
  <c r="R6" i="4"/>
  <c r="N6" i="4"/>
  <c r="Z5" i="4"/>
  <c r="AA5" i="4" s="1"/>
  <c r="T5" i="4"/>
  <c r="V5" i="4" s="1"/>
  <c r="R5" i="4"/>
  <c r="N5" i="4"/>
  <c r="D5" i="4"/>
  <c r="C5" i="4"/>
  <c r="Z4" i="4"/>
  <c r="AA4" i="4" s="1"/>
  <c r="T4" i="4"/>
  <c r="V4" i="4" s="1"/>
  <c r="R4" i="4"/>
  <c r="N4" i="4"/>
  <c r="Z3" i="4"/>
  <c r="T3" i="4"/>
  <c r="V3" i="4" s="1"/>
  <c r="N3" i="4"/>
  <c r="Z91" i="3"/>
  <c r="T91" i="3"/>
  <c r="R91" i="3"/>
  <c r="N91" i="3"/>
  <c r="I91" i="3"/>
  <c r="D91" i="3"/>
  <c r="C91" i="3"/>
  <c r="Z90" i="3"/>
  <c r="T90" i="3"/>
  <c r="V90" i="3" s="1"/>
  <c r="R90" i="3"/>
  <c r="N90" i="3"/>
  <c r="I90" i="3"/>
  <c r="D90" i="3"/>
  <c r="C90" i="3"/>
  <c r="Z89" i="3"/>
  <c r="T89" i="3"/>
  <c r="R89" i="3"/>
  <c r="Z88" i="3"/>
  <c r="T88" i="3"/>
  <c r="V88" i="3" s="1"/>
  <c r="R88" i="3"/>
  <c r="N88" i="3"/>
  <c r="I88" i="3"/>
  <c r="Z87" i="3"/>
  <c r="T87" i="3"/>
  <c r="Z86" i="3"/>
  <c r="T86" i="3"/>
  <c r="V86" i="3" s="1"/>
  <c r="N86" i="3"/>
  <c r="I86" i="3"/>
  <c r="Z85" i="3"/>
  <c r="T85" i="3"/>
  <c r="Z84" i="3"/>
  <c r="T84" i="3"/>
  <c r="V84" i="3" s="1"/>
  <c r="N84" i="3"/>
  <c r="I84" i="3"/>
  <c r="Z83" i="3"/>
  <c r="T83" i="3"/>
  <c r="R83" i="3"/>
  <c r="Z82" i="3"/>
  <c r="T82" i="3"/>
  <c r="V82" i="3" s="1"/>
  <c r="R82" i="3"/>
  <c r="N82" i="3"/>
  <c r="I82" i="3"/>
  <c r="Z81" i="3"/>
  <c r="T81" i="3"/>
  <c r="R81" i="3"/>
  <c r="Z80" i="3"/>
  <c r="T80" i="3"/>
  <c r="R80" i="3"/>
  <c r="Z79" i="3"/>
  <c r="T79" i="3"/>
  <c r="R79" i="3"/>
  <c r="Z78" i="3"/>
  <c r="T78" i="3"/>
  <c r="V78" i="3" s="1"/>
  <c r="R78" i="3"/>
  <c r="N78" i="3"/>
  <c r="Z77" i="3"/>
  <c r="T77" i="3"/>
  <c r="R77" i="3"/>
  <c r="Z76" i="3"/>
  <c r="T76" i="3"/>
  <c r="V76" i="3" s="1"/>
  <c r="R76" i="3"/>
  <c r="N76" i="3"/>
  <c r="Z75" i="3"/>
  <c r="T75" i="3"/>
  <c r="R75" i="3"/>
  <c r="Z74" i="3"/>
  <c r="T74" i="3"/>
  <c r="R74" i="3"/>
  <c r="Z73" i="3"/>
  <c r="T73" i="3"/>
  <c r="V73" i="3" s="1"/>
  <c r="R73" i="3"/>
  <c r="N73" i="3"/>
  <c r="I73" i="3"/>
  <c r="Z72" i="3"/>
  <c r="T72" i="3"/>
  <c r="R72" i="3"/>
  <c r="Z71" i="3"/>
  <c r="T71" i="3"/>
  <c r="V71" i="3" s="1"/>
  <c r="R71" i="3"/>
  <c r="N71" i="3"/>
  <c r="I71" i="3"/>
  <c r="Z70" i="3"/>
  <c r="T70" i="3"/>
  <c r="R70" i="3"/>
  <c r="Z69" i="3"/>
  <c r="T69" i="3"/>
  <c r="R69" i="3"/>
  <c r="Z68" i="3"/>
  <c r="T68" i="3"/>
  <c r="V68" i="3" s="1"/>
  <c r="R68" i="3"/>
  <c r="N68" i="3"/>
  <c r="I68" i="3"/>
  <c r="Z67" i="3"/>
  <c r="T67" i="3"/>
  <c r="R67" i="3"/>
  <c r="N67" i="3"/>
  <c r="I67" i="3"/>
  <c r="Z66" i="3"/>
  <c r="AA66" i="3" s="1"/>
  <c r="T66" i="3"/>
  <c r="V66" i="3" s="1"/>
  <c r="R66" i="3"/>
  <c r="N66" i="3"/>
  <c r="I66" i="3"/>
  <c r="Z65" i="3"/>
  <c r="T65" i="3"/>
  <c r="N65" i="3"/>
  <c r="I65" i="3"/>
  <c r="Z64" i="3"/>
  <c r="T64" i="3"/>
  <c r="V64" i="3" s="1"/>
  <c r="N64" i="3"/>
  <c r="I64" i="3"/>
  <c r="Z63" i="3"/>
  <c r="T63" i="3"/>
  <c r="R63" i="3"/>
  <c r="N63" i="3"/>
  <c r="Z62" i="3"/>
  <c r="T62" i="3"/>
  <c r="V62" i="3" s="1"/>
  <c r="R62" i="3"/>
  <c r="N62" i="3"/>
  <c r="Z61" i="3"/>
  <c r="T61" i="3"/>
  <c r="R61" i="3"/>
  <c r="N61" i="3"/>
  <c r="Z60" i="3"/>
  <c r="T60" i="3"/>
  <c r="V60" i="3" s="1"/>
  <c r="R60" i="3"/>
  <c r="N60" i="3"/>
  <c r="Z59" i="3"/>
  <c r="T59" i="3"/>
  <c r="N59" i="3"/>
  <c r="I59" i="3"/>
  <c r="Z58" i="3"/>
  <c r="T58" i="3"/>
  <c r="V58" i="3" s="1"/>
  <c r="N58" i="3"/>
  <c r="I58" i="3"/>
  <c r="Z57" i="3"/>
  <c r="T57" i="3"/>
  <c r="V57" i="3" s="1"/>
  <c r="R57" i="3"/>
  <c r="N57" i="3"/>
  <c r="Z56" i="3"/>
  <c r="AA56" i="3" s="1"/>
  <c r="T56" i="3"/>
  <c r="V56" i="3" s="1"/>
  <c r="R56" i="3"/>
  <c r="N56" i="3"/>
  <c r="Z55" i="3"/>
  <c r="T55" i="3"/>
  <c r="N55" i="3"/>
  <c r="I55" i="3"/>
  <c r="Z54" i="3"/>
  <c r="T54" i="3"/>
  <c r="V54" i="3" s="1"/>
  <c r="N54" i="3"/>
  <c r="I54" i="3"/>
  <c r="Z53" i="3"/>
  <c r="AA53" i="3" s="1"/>
  <c r="T53" i="3"/>
  <c r="V53" i="3" s="1"/>
  <c r="R53" i="3"/>
  <c r="N53" i="3"/>
  <c r="I53" i="3"/>
  <c r="Z52" i="3"/>
  <c r="T52" i="3"/>
  <c r="N52" i="3"/>
  <c r="I52" i="3"/>
  <c r="Z51" i="3"/>
  <c r="T51" i="3"/>
  <c r="V51" i="3" s="1"/>
  <c r="N51" i="3"/>
  <c r="I51" i="3"/>
  <c r="Z50" i="3"/>
  <c r="R50" i="3"/>
  <c r="N50" i="3"/>
  <c r="I50" i="3"/>
  <c r="D50" i="3"/>
  <c r="C50" i="3"/>
  <c r="Z49" i="3"/>
  <c r="T49" i="3"/>
  <c r="R49" i="3"/>
  <c r="N49" i="3"/>
  <c r="I49" i="3"/>
  <c r="D49" i="3"/>
  <c r="C49" i="3"/>
  <c r="Z48" i="3"/>
  <c r="T48" i="3"/>
  <c r="R48" i="3"/>
  <c r="N48" i="3"/>
  <c r="Z47" i="3"/>
  <c r="T47" i="3"/>
  <c r="V47" i="3" s="1"/>
  <c r="R47" i="3"/>
  <c r="N47" i="3"/>
  <c r="Z46" i="3"/>
  <c r="T46" i="3"/>
  <c r="N46" i="3"/>
  <c r="I46" i="3"/>
  <c r="Z45" i="3"/>
  <c r="T45" i="3"/>
  <c r="V45" i="3" s="1"/>
  <c r="N45" i="3"/>
  <c r="I45" i="3"/>
  <c r="Z44" i="3"/>
  <c r="AA44" i="3" s="1"/>
  <c r="T44" i="3"/>
  <c r="V44" i="3" s="1"/>
  <c r="N44" i="3"/>
  <c r="I44" i="3"/>
  <c r="Z43" i="3"/>
  <c r="T43" i="3"/>
  <c r="V43" i="3" s="1"/>
  <c r="N43" i="3"/>
  <c r="I43" i="3"/>
  <c r="D43" i="3"/>
  <c r="Z42" i="3"/>
  <c r="R42" i="3"/>
  <c r="N42" i="3"/>
  <c r="Z41" i="3"/>
  <c r="T41" i="3"/>
  <c r="V41" i="3" s="1"/>
  <c r="R41" i="3"/>
  <c r="N41" i="3"/>
  <c r="Z40" i="3"/>
  <c r="T40" i="3"/>
  <c r="N40" i="3"/>
  <c r="I40" i="3"/>
  <c r="Z39" i="3"/>
  <c r="T39" i="3"/>
  <c r="R39" i="3"/>
  <c r="N39" i="3"/>
  <c r="Z38" i="3"/>
  <c r="T38" i="3"/>
  <c r="V38" i="3" s="1"/>
  <c r="R38" i="3"/>
  <c r="N38" i="3"/>
  <c r="Z37" i="3"/>
  <c r="T37" i="3"/>
  <c r="N37" i="3"/>
  <c r="Z36" i="3"/>
  <c r="T36" i="3"/>
  <c r="V36" i="3" s="1"/>
  <c r="N36" i="3"/>
  <c r="Z35" i="3"/>
  <c r="AA35" i="3" s="1"/>
  <c r="T35" i="3"/>
  <c r="V35" i="3" s="1"/>
  <c r="R35" i="3"/>
  <c r="N35" i="3"/>
  <c r="Z34" i="3"/>
  <c r="AA34" i="3" s="1"/>
  <c r="T34" i="3"/>
  <c r="R34" i="3"/>
  <c r="N34" i="3"/>
  <c r="I34" i="3"/>
  <c r="Z33" i="3"/>
  <c r="T33" i="3"/>
  <c r="N33" i="3"/>
  <c r="I33" i="3"/>
  <c r="D33" i="3"/>
  <c r="C33" i="3"/>
  <c r="Z32" i="3"/>
  <c r="AA32" i="3" s="1"/>
  <c r="T32" i="3"/>
  <c r="V32" i="3" s="1"/>
  <c r="N32" i="3"/>
  <c r="I32" i="3"/>
  <c r="D32" i="3"/>
  <c r="C32" i="3"/>
  <c r="Z31" i="3"/>
  <c r="T31" i="3"/>
  <c r="V31" i="3" s="1"/>
  <c r="N31" i="3"/>
  <c r="I31" i="3"/>
  <c r="Z30" i="3"/>
  <c r="AA30" i="3" s="1"/>
  <c r="T30" i="3"/>
  <c r="V30" i="3" s="1"/>
  <c r="R30" i="3"/>
  <c r="N30" i="3"/>
  <c r="I30" i="3"/>
  <c r="Z29" i="3"/>
  <c r="T29" i="3"/>
  <c r="R29" i="3"/>
  <c r="N29" i="3"/>
  <c r="D29" i="3"/>
  <c r="C29" i="3"/>
  <c r="Z28" i="3"/>
  <c r="T28" i="3"/>
  <c r="V28" i="3" s="1"/>
  <c r="R28" i="3"/>
  <c r="N28" i="3"/>
  <c r="D28" i="3"/>
  <c r="C28" i="3"/>
  <c r="Z27" i="3"/>
  <c r="T27" i="3"/>
  <c r="V27" i="3" s="1"/>
  <c r="N27" i="3"/>
  <c r="I27" i="3"/>
  <c r="Z26" i="3"/>
  <c r="T26" i="3"/>
  <c r="R26" i="3"/>
  <c r="N26" i="3"/>
  <c r="I26" i="3"/>
  <c r="Z25" i="3"/>
  <c r="T25" i="3"/>
  <c r="V25" i="3" s="1"/>
  <c r="R25" i="3"/>
  <c r="N25" i="3"/>
  <c r="I25" i="3"/>
  <c r="Z24" i="3"/>
  <c r="T24" i="3"/>
  <c r="V24" i="3" s="1"/>
  <c r="N24" i="3"/>
  <c r="I24" i="3"/>
  <c r="Z23" i="3"/>
  <c r="T23" i="3"/>
  <c r="V23" i="3" s="1"/>
  <c r="N23" i="3"/>
  <c r="Z22" i="3"/>
  <c r="T22" i="3"/>
  <c r="V22" i="3" s="1"/>
  <c r="R22" i="3"/>
  <c r="N22" i="3"/>
  <c r="Z21" i="3"/>
  <c r="T21" i="3"/>
  <c r="V21" i="3" s="1"/>
  <c r="R21" i="3"/>
  <c r="N21" i="3"/>
  <c r="Z20" i="3"/>
  <c r="AA20" i="3" s="1"/>
  <c r="T20" i="3"/>
  <c r="V20" i="3" s="1"/>
  <c r="N20" i="3"/>
  <c r="I20" i="3"/>
  <c r="Z19" i="3"/>
  <c r="T19" i="3"/>
  <c r="N19" i="3"/>
  <c r="I19" i="3"/>
  <c r="Z18" i="3"/>
  <c r="T18" i="3"/>
  <c r="D18" i="3"/>
  <c r="Z17" i="3"/>
  <c r="T17" i="3"/>
  <c r="V17" i="3" s="1"/>
  <c r="N17" i="3"/>
  <c r="I17" i="3"/>
  <c r="D17" i="3"/>
  <c r="Z16" i="3"/>
  <c r="AA16" i="3" s="1"/>
  <c r="T16" i="3"/>
  <c r="R16" i="3"/>
  <c r="N16" i="3"/>
  <c r="Z15" i="3"/>
  <c r="AA15" i="3" s="1"/>
  <c r="T15" i="3"/>
  <c r="V15" i="3" s="1"/>
  <c r="R15" i="3"/>
  <c r="N15" i="3"/>
  <c r="Z14" i="3"/>
  <c r="AA14" i="3" s="1"/>
  <c r="T14" i="3"/>
  <c r="V14" i="3" s="1"/>
  <c r="N14" i="3"/>
  <c r="I14" i="3"/>
  <c r="Z13" i="3"/>
  <c r="T13" i="3"/>
  <c r="R13" i="3"/>
  <c r="N13" i="3"/>
  <c r="Z12" i="3"/>
  <c r="T12" i="3"/>
  <c r="V12" i="3" s="1"/>
  <c r="R12" i="3"/>
  <c r="N12" i="3"/>
  <c r="Z11" i="3"/>
  <c r="T11" i="3"/>
  <c r="R11" i="3"/>
  <c r="N11" i="3"/>
  <c r="Z10" i="3"/>
  <c r="AA10" i="3" s="1"/>
  <c r="T10" i="3"/>
  <c r="V10" i="3" s="1"/>
  <c r="R10" i="3"/>
  <c r="N10" i="3"/>
  <c r="Z9" i="3"/>
  <c r="T9" i="3"/>
  <c r="V9" i="3" s="1"/>
  <c r="R9" i="3"/>
  <c r="N9" i="3"/>
  <c r="I9" i="3"/>
  <c r="Z8" i="3"/>
  <c r="T8" i="3"/>
  <c r="R8" i="3"/>
  <c r="N8" i="3"/>
  <c r="Z7" i="3"/>
  <c r="T7" i="3"/>
  <c r="V7" i="3" s="1"/>
  <c r="R7" i="3"/>
  <c r="N7" i="3"/>
  <c r="Z6" i="3"/>
  <c r="T6" i="3"/>
  <c r="V6" i="3" s="1"/>
  <c r="N6" i="3"/>
  <c r="I6" i="3"/>
  <c r="Z5" i="3"/>
  <c r="AA5" i="3" s="1"/>
  <c r="T5" i="3"/>
  <c r="V5" i="3" s="1"/>
  <c r="R5" i="3"/>
  <c r="N5" i="3"/>
  <c r="I5" i="3"/>
  <c r="Z4" i="3"/>
  <c r="T4" i="3"/>
  <c r="V4" i="3" s="1"/>
  <c r="R4" i="3"/>
  <c r="N4" i="3"/>
  <c r="Z3" i="3"/>
  <c r="T3" i="3"/>
  <c r="V3" i="3" s="1"/>
  <c r="R3" i="3"/>
  <c r="N3" i="3"/>
  <c r="Z4" i="2"/>
  <c r="Z5" i="2"/>
  <c r="AA5" i="2" s="1"/>
  <c r="Z6" i="2"/>
  <c r="Z7" i="2"/>
  <c r="Z8" i="2"/>
  <c r="Z9" i="2"/>
  <c r="Z10" i="2"/>
  <c r="Z11" i="2"/>
  <c r="Z12" i="2"/>
  <c r="Z13" i="2"/>
  <c r="Z14" i="2"/>
  <c r="Z15" i="2"/>
  <c r="AA15" i="2" s="1"/>
  <c r="Z16" i="2"/>
  <c r="Z17" i="2"/>
  <c r="Z18" i="2"/>
  <c r="Z19" i="2"/>
  <c r="AA19" i="2" s="1"/>
  <c r="Z20" i="2"/>
  <c r="Z21" i="2"/>
  <c r="Z22" i="2"/>
  <c r="Z23" i="2"/>
  <c r="Z24" i="2"/>
  <c r="Z25" i="2"/>
  <c r="Z26" i="2"/>
  <c r="Z27" i="2"/>
  <c r="AA27" i="2" s="1"/>
  <c r="Z28" i="2"/>
  <c r="Z29" i="2"/>
  <c r="AA29" i="2" s="1"/>
  <c r="Z30" i="2"/>
  <c r="AA30" i="2" s="1"/>
  <c r="Z31" i="2"/>
  <c r="Z32" i="2"/>
  <c r="Z33" i="2"/>
  <c r="AA33" i="2" s="1"/>
  <c r="Z34" i="2"/>
  <c r="Z35" i="2"/>
  <c r="Z36" i="2"/>
  <c r="Z37" i="2"/>
  <c r="Z38" i="2"/>
  <c r="Z39" i="2"/>
  <c r="Z40" i="2"/>
  <c r="Z41" i="2"/>
  <c r="Z44" i="2"/>
  <c r="Z45" i="2"/>
  <c r="Z46" i="2"/>
  <c r="Z47" i="2"/>
  <c r="Z48" i="2"/>
  <c r="Z49" i="2"/>
  <c r="Z50" i="2"/>
  <c r="Z51" i="2"/>
  <c r="AA51" i="2" s="1"/>
  <c r="Z52" i="2"/>
  <c r="AA52" i="2" s="1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3" i="2"/>
  <c r="V9" i="2"/>
  <c r="V38" i="2"/>
  <c r="T4" i="2"/>
  <c r="V4" i="2" s="1"/>
  <c r="T5" i="2"/>
  <c r="V5" i="2" s="1"/>
  <c r="T6" i="2"/>
  <c r="V6" i="2" s="1"/>
  <c r="T7" i="2"/>
  <c r="V7" i="2" s="1"/>
  <c r="T8" i="2"/>
  <c r="V8" i="2" s="1"/>
  <c r="T9" i="2"/>
  <c r="T10" i="2"/>
  <c r="V10" i="2" s="1"/>
  <c r="T11" i="2"/>
  <c r="T12" i="2"/>
  <c r="T13" i="2"/>
  <c r="V13" i="2" s="1"/>
  <c r="T15" i="2"/>
  <c r="V15" i="2" s="1"/>
  <c r="T16" i="2"/>
  <c r="T17" i="2"/>
  <c r="V17" i="2" s="1"/>
  <c r="T18" i="2"/>
  <c r="T19" i="2"/>
  <c r="V19" i="2" s="1"/>
  <c r="T20" i="2"/>
  <c r="V20" i="2" s="1"/>
  <c r="T21" i="2"/>
  <c r="V21" i="2" s="1"/>
  <c r="T22" i="2"/>
  <c r="V22" i="2" s="1"/>
  <c r="T23" i="2"/>
  <c r="V23" i="2" s="1"/>
  <c r="T24" i="2"/>
  <c r="V24" i="2" s="1"/>
  <c r="T25" i="2"/>
  <c r="T26" i="2"/>
  <c r="V26" i="2" s="1"/>
  <c r="T27" i="2"/>
  <c r="T28" i="2"/>
  <c r="T29" i="2"/>
  <c r="V29" i="2" s="1"/>
  <c r="T30" i="2"/>
  <c r="V30" i="2" s="1"/>
  <c r="T31" i="2"/>
  <c r="V31" i="2" s="1"/>
  <c r="T32" i="2"/>
  <c r="T33" i="2"/>
  <c r="T34" i="2"/>
  <c r="V34" i="2" s="1"/>
  <c r="T35" i="2"/>
  <c r="V35" i="2" s="1"/>
  <c r="T36" i="2"/>
  <c r="V36" i="2" s="1"/>
  <c r="T37" i="2"/>
  <c r="T38" i="2"/>
  <c r="T39" i="2"/>
  <c r="T40" i="2"/>
  <c r="T42" i="2"/>
  <c r="T43" i="2"/>
  <c r="T44" i="2"/>
  <c r="V44" i="2" s="1"/>
  <c r="T45" i="2"/>
  <c r="V45" i="2" s="1"/>
  <c r="T46" i="2"/>
  <c r="T47" i="2"/>
  <c r="V47" i="2" s="1"/>
  <c r="T49" i="2"/>
  <c r="V49" i="2" s="1"/>
  <c r="T50" i="2"/>
  <c r="T51" i="2"/>
  <c r="V51" i="2" s="1"/>
  <c r="T52" i="2"/>
  <c r="V52" i="2" s="1"/>
  <c r="T53" i="2"/>
  <c r="T54" i="2"/>
  <c r="V54" i="2" s="1"/>
  <c r="T55" i="2"/>
  <c r="T56" i="2"/>
  <c r="T57" i="2"/>
  <c r="T58" i="2"/>
  <c r="V58" i="2" s="1"/>
  <c r="T59" i="2"/>
  <c r="T60" i="2"/>
  <c r="V60" i="2" s="1"/>
  <c r="T61" i="2"/>
  <c r="V61" i="2" s="1"/>
  <c r="T62" i="2"/>
  <c r="V62" i="2" s="1"/>
  <c r="T64" i="2"/>
  <c r="V64" i="2" s="1"/>
  <c r="T65" i="2"/>
  <c r="T66" i="2"/>
  <c r="V66" i="2" s="1"/>
  <c r="T68" i="2"/>
  <c r="V68" i="2" s="1"/>
  <c r="T70" i="2"/>
  <c r="T71" i="2"/>
  <c r="V71" i="2" s="1"/>
  <c r="T72" i="2"/>
  <c r="T73" i="2"/>
  <c r="T74" i="2"/>
  <c r="V74" i="2" s="1"/>
  <c r="T75" i="2"/>
  <c r="T76" i="2"/>
  <c r="V76" i="2" s="1"/>
  <c r="T77" i="2"/>
  <c r="T78" i="2"/>
  <c r="V78" i="2" s="1"/>
  <c r="T79" i="2"/>
  <c r="T80" i="2"/>
  <c r="T81" i="2"/>
  <c r="V81" i="2" s="1"/>
  <c r="T82" i="2"/>
  <c r="T83" i="2"/>
  <c r="T84" i="2"/>
  <c r="V84" i="2" s="1"/>
  <c r="T85" i="2"/>
  <c r="V85" i="2" s="1"/>
  <c r="T86" i="2"/>
  <c r="T87" i="2"/>
  <c r="T88" i="2"/>
  <c r="T89" i="2"/>
  <c r="V89" i="2" s="1"/>
  <c r="T90" i="2"/>
  <c r="T3" i="2"/>
  <c r="V3" i="2" s="1"/>
  <c r="R4" i="2"/>
  <c r="R5" i="2"/>
  <c r="R6" i="2"/>
  <c r="R7" i="2"/>
  <c r="R8" i="2"/>
  <c r="R9" i="2"/>
  <c r="R11" i="2"/>
  <c r="R12" i="2"/>
  <c r="R13" i="2"/>
  <c r="R14" i="2"/>
  <c r="R15" i="2"/>
  <c r="R16" i="2"/>
  <c r="R17" i="2"/>
  <c r="R18" i="2"/>
  <c r="R19" i="2"/>
  <c r="R21" i="2"/>
  <c r="R24" i="2"/>
  <c r="R25" i="2"/>
  <c r="R26" i="2"/>
  <c r="R27" i="2"/>
  <c r="R28" i="2"/>
  <c r="R29" i="2"/>
  <c r="R30" i="2"/>
  <c r="R31" i="2"/>
  <c r="R33" i="2"/>
  <c r="R34" i="2"/>
  <c r="R35" i="2"/>
  <c r="R42" i="2"/>
  <c r="R43" i="2"/>
  <c r="R49" i="2"/>
  <c r="R50" i="2"/>
  <c r="R51" i="2"/>
  <c r="R54" i="2"/>
  <c r="R55" i="2"/>
  <c r="R64" i="2"/>
  <c r="R65" i="2"/>
  <c r="R71" i="2"/>
  <c r="R72" i="2"/>
  <c r="R73" i="2"/>
  <c r="R74" i="2"/>
  <c r="R75" i="2"/>
  <c r="R78" i="2"/>
  <c r="R79" i="2"/>
  <c r="R80" i="2"/>
  <c r="R84" i="2"/>
  <c r="R85" i="2"/>
  <c r="R86" i="2"/>
  <c r="R87" i="2"/>
  <c r="R88" i="2"/>
  <c r="R89" i="2"/>
  <c r="R90" i="2"/>
  <c r="R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1" i="2"/>
  <c r="N52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71" i="2"/>
  <c r="N74" i="2"/>
  <c r="N75" i="2"/>
  <c r="N76" i="2"/>
  <c r="N78" i="2"/>
  <c r="N79" i="2"/>
  <c r="N80" i="2"/>
  <c r="N81" i="2"/>
  <c r="N85" i="2"/>
  <c r="N89" i="2"/>
  <c r="N90" i="2"/>
  <c r="N3" i="2"/>
  <c r="I5" i="2"/>
  <c r="I6" i="2"/>
  <c r="I9" i="2"/>
  <c r="I10" i="2"/>
  <c r="I17" i="2"/>
  <c r="I18" i="2"/>
  <c r="I19" i="2"/>
  <c r="I21" i="2"/>
  <c r="I22" i="2"/>
  <c r="I23" i="2"/>
  <c r="I24" i="2"/>
  <c r="I25" i="2"/>
  <c r="I26" i="2"/>
  <c r="I27" i="2"/>
  <c r="I28" i="2"/>
  <c r="I29" i="2"/>
  <c r="I31" i="2"/>
  <c r="I33" i="2"/>
  <c r="I34" i="2"/>
  <c r="I35" i="2"/>
  <c r="I36" i="2"/>
  <c r="I37" i="2"/>
  <c r="I38" i="2"/>
  <c r="I39" i="2"/>
  <c r="I40" i="2"/>
  <c r="I41" i="2"/>
  <c r="I46" i="2"/>
  <c r="I49" i="2"/>
  <c r="I51" i="2"/>
  <c r="I54" i="2"/>
  <c r="I55" i="2"/>
  <c r="I56" i="2"/>
  <c r="I57" i="2"/>
  <c r="I58" i="2"/>
  <c r="I59" i="2"/>
  <c r="I60" i="2"/>
  <c r="I61" i="2"/>
  <c r="I64" i="2"/>
  <c r="I65" i="2"/>
  <c r="I71" i="2"/>
  <c r="I74" i="2"/>
  <c r="I75" i="2"/>
  <c r="I76" i="2"/>
  <c r="I78" i="2"/>
  <c r="I79" i="2"/>
  <c r="I81" i="2"/>
  <c r="I89" i="2"/>
  <c r="I90" i="2"/>
  <c r="D11" i="2"/>
  <c r="O11" i="2" s="1"/>
  <c r="D12" i="2"/>
  <c r="D21" i="2"/>
  <c r="D31" i="2"/>
  <c r="O31" i="2" s="1"/>
  <c r="D32" i="2"/>
  <c r="O32" i="2" s="1"/>
  <c r="D33" i="2"/>
  <c r="D44" i="2"/>
  <c r="D60" i="2"/>
  <c r="D61" i="2"/>
  <c r="D85" i="2"/>
  <c r="D86" i="2"/>
  <c r="O86" i="2" s="1"/>
  <c r="D87" i="2"/>
  <c r="O87" i="2" s="1"/>
  <c r="D88" i="2"/>
  <c r="O88" i="2" s="1"/>
  <c r="C11" i="2"/>
  <c r="C12" i="2"/>
  <c r="C31" i="2"/>
  <c r="C32" i="2"/>
  <c r="C44" i="2"/>
  <c r="C107" i="1"/>
  <c r="C104" i="1"/>
  <c r="Z103" i="1"/>
  <c r="T103" i="1"/>
  <c r="N103" i="1"/>
  <c r="H103" i="1"/>
  <c r="I103" i="1" s="1"/>
  <c r="D103" i="1"/>
  <c r="C103" i="1"/>
  <c r="Z102" i="1"/>
  <c r="T102" i="1"/>
  <c r="V102" i="1" s="1"/>
  <c r="N102" i="1"/>
  <c r="H102" i="1"/>
  <c r="I102" i="1" s="1"/>
  <c r="D102" i="1"/>
  <c r="C102" i="1"/>
  <c r="Z101" i="1"/>
  <c r="V101" i="1"/>
  <c r="N101" i="1"/>
  <c r="I101" i="1"/>
  <c r="H101" i="1"/>
  <c r="D101" i="1"/>
  <c r="C101" i="1"/>
  <c r="Z100" i="1"/>
  <c r="T100" i="1"/>
  <c r="R100" i="1"/>
  <c r="N100" i="1"/>
  <c r="I100" i="1"/>
  <c r="H100" i="1"/>
  <c r="D100" i="1"/>
  <c r="C100" i="1"/>
  <c r="Z99" i="1"/>
  <c r="T99" i="1"/>
  <c r="V99" i="1" s="1"/>
  <c r="R99" i="1"/>
  <c r="N99" i="1"/>
  <c r="I99" i="1"/>
  <c r="H99" i="1"/>
  <c r="D99" i="1"/>
  <c r="C99" i="1"/>
  <c r="Z98" i="1"/>
  <c r="T98" i="1"/>
  <c r="V98" i="1" s="1"/>
  <c r="R98" i="1"/>
  <c r="N98" i="1"/>
  <c r="I98" i="1"/>
  <c r="D98" i="1"/>
  <c r="C98" i="1"/>
  <c r="Z97" i="1"/>
  <c r="T97" i="1"/>
  <c r="V97" i="1" s="1"/>
  <c r="R97" i="1"/>
  <c r="N97" i="1"/>
  <c r="I97" i="1"/>
  <c r="D97" i="1"/>
  <c r="C97" i="1"/>
  <c r="C25" i="8" s="1"/>
  <c r="Z96" i="1"/>
  <c r="T96" i="1"/>
  <c r="N96" i="1"/>
  <c r="I96" i="1"/>
  <c r="D96" i="1"/>
  <c r="C96" i="1"/>
  <c r="Z95" i="1"/>
  <c r="T95" i="1"/>
  <c r="N95" i="1"/>
  <c r="I95" i="1"/>
  <c r="D95" i="1"/>
  <c r="C95" i="1"/>
  <c r="Z94" i="1"/>
  <c r="T94" i="1"/>
  <c r="R94" i="1"/>
  <c r="N94" i="1"/>
  <c r="H94" i="1"/>
  <c r="I94" i="1" s="1"/>
  <c r="D94" i="1"/>
  <c r="C94" i="1"/>
  <c r="Z93" i="1"/>
  <c r="T93" i="1"/>
  <c r="R93" i="1"/>
  <c r="N93" i="1"/>
  <c r="H93" i="1"/>
  <c r="I93" i="1" s="1"/>
  <c r="D93" i="1"/>
  <c r="C93" i="1"/>
  <c r="Z92" i="1"/>
  <c r="T92" i="1"/>
  <c r="V92" i="1" s="1"/>
  <c r="R92" i="1"/>
  <c r="N92" i="1"/>
  <c r="I92" i="1"/>
  <c r="H92" i="1"/>
  <c r="D92" i="1"/>
  <c r="C92" i="1"/>
  <c r="Z91" i="1"/>
  <c r="T91" i="1"/>
  <c r="R91" i="1"/>
  <c r="N91" i="1"/>
  <c r="I91" i="1"/>
  <c r="H91" i="1"/>
  <c r="D91" i="1"/>
  <c r="C91" i="1"/>
  <c r="AA90" i="1"/>
  <c r="Z90" i="1"/>
  <c r="T90" i="1"/>
  <c r="R90" i="1"/>
  <c r="N90" i="1"/>
  <c r="H90" i="1"/>
  <c r="I90" i="1" s="1"/>
  <c r="D90" i="1"/>
  <c r="O90" i="1" s="1"/>
  <c r="C90" i="1"/>
  <c r="Z89" i="1"/>
  <c r="AA89" i="1" s="1"/>
  <c r="T89" i="1"/>
  <c r="R89" i="1"/>
  <c r="N89" i="1"/>
  <c r="H89" i="1"/>
  <c r="I89" i="1" s="1"/>
  <c r="D89" i="1"/>
  <c r="O89" i="1" s="1"/>
  <c r="C89" i="1"/>
  <c r="Z88" i="1"/>
  <c r="T88" i="1"/>
  <c r="V88" i="1" s="1"/>
  <c r="R88" i="1"/>
  <c r="N88" i="1"/>
  <c r="H88" i="1"/>
  <c r="I88" i="1" s="1"/>
  <c r="D88" i="1"/>
  <c r="C88" i="1"/>
  <c r="Z87" i="1"/>
  <c r="T87" i="1"/>
  <c r="V87" i="1" s="1"/>
  <c r="R87" i="1"/>
  <c r="N87" i="1"/>
  <c r="H87" i="1"/>
  <c r="I87" i="1" s="1"/>
  <c r="D87" i="1"/>
  <c r="C87" i="1"/>
  <c r="Z86" i="1"/>
  <c r="T86" i="1"/>
  <c r="V86" i="1" s="1"/>
  <c r="N86" i="1"/>
  <c r="I86" i="1"/>
  <c r="H86" i="1"/>
  <c r="D86" i="1"/>
  <c r="C86" i="1"/>
  <c r="Z85" i="1"/>
  <c r="T85" i="1"/>
  <c r="N85" i="1"/>
  <c r="H85" i="1"/>
  <c r="I85" i="1" s="1"/>
  <c r="Z84" i="1"/>
  <c r="T84" i="1"/>
  <c r="R84" i="1"/>
  <c r="N84" i="1"/>
  <c r="H84" i="1"/>
  <c r="I84" i="1" s="1"/>
  <c r="D84" i="1"/>
  <c r="C84" i="1"/>
  <c r="Z83" i="1"/>
  <c r="T83" i="1"/>
  <c r="V83" i="1" s="1"/>
  <c r="R83" i="1"/>
  <c r="N83" i="1"/>
  <c r="I83" i="1"/>
  <c r="H83" i="1"/>
  <c r="D83" i="1"/>
  <c r="C83" i="1"/>
  <c r="Z82" i="1"/>
  <c r="T82" i="1"/>
  <c r="R82" i="1"/>
  <c r="N82" i="1"/>
  <c r="I82" i="1"/>
  <c r="D82" i="1"/>
  <c r="C82" i="1"/>
  <c r="Z81" i="1"/>
  <c r="T81" i="1"/>
  <c r="R81" i="1"/>
  <c r="N81" i="1"/>
  <c r="I81" i="1"/>
  <c r="D81" i="1"/>
  <c r="C81" i="1"/>
  <c r="Z80" i="1"/>
  <c r="T80" i="1"/>
  <c r="V80" i="1" s="1"/>
  <c r="R80" i="1"/>
  <c r="N80" i="1"/>
  <c r="H80" i="1"/>
  <c r="I80" i="1" s="1"/>
  <c r="D80" i="1"/>
  <c r="C80" i="1"/>
  <c r="Z79" i="1"/>
  <c r="T79" i="1"/>
  <c r="N79" i="1"/>
  <c r="H79" i="1"/>
  <c r="I79" i="1" s="1"/>
  <c r="D79" i="1"/>
  <c r="C79" i="1"/>
  <c r="Z78" i="1"/>
  <c r="T78" i="1"/>
  <c r="V78" i="1" s="1"/>
  <c r="N78" i="1"/>
  <c r="H78" i="1"/>
  <c r="I78" i="1" s="1"/>
  <c r="D78" i="1"/>
  <c r="D75" i="7" s="1"/>
  <c r="C78" i="1"/>
  <c r="Z77" i="1"/>
  <c r="R77" i="1"/>
  <c r="N77" i="1"/>
  <c r="H77" i="1"/>
  <c r="I77" i="1" s="1"/>
  <c r="D77" i="1"/>
  <c r="C77" i="1"/>
  <c r="Z76" i="1"/>
  <c r="V76" i="1"/>
  <c r="R76" i="1"/>
  <c r="N76" i="1"/>
  <c r="H76" i="1"/>
  <c r="I76" i="1" s="1"/>
  <c r="D76" i="1"/>
  <c r="C76" i="1"/>
  <c r="C75" i="1"/>
  <c r="C72" i="1"/>
  <c r="Z71" i="1"/>
  <c r="T71" i="1"/>
  <c r="N71" i="1"/>
  <c r="H71" i="1"/>
  <c r="I71" i="1" s="1"/>
  <c r="Z70" i="1"/>
  <c r="T70" i="1"/>
  <c r="N70" i="1"/>
  <c r="H70" i="1"/>
  <c r="I70" i="1" s="1"/>
  <c r="Z69" i="1"/>
  <c r="T69" i="1"/>
  <c r="V69" i="1" s="1"/>
  <c r="N69" i="1"/>
  <c r="H69" i="1"/>
  <c r="I69" i="1" s="1"/>
  <c r="D69" i="1"/>
  <c r="C69" i="1"/>
  <c r="Z68" i="1"/>
  <c r="T68" i="1"/>
  <c r="N68" i="1"/>
  <c r="H68" i="1"/>
  <c r="I68" i="1" s="1"/>
  <c r="D68" i="1"/>
  <c r="O68" i="1" s="1"/>
  <c r="C68" i="1"/>
  <c r="Z67" i="1"/>
  <c r="T67" i="1"/>
  <c r="V67" i="1" s="1"/>
  <c r="N67" i="1"/>
  <c r="I67" i="1"/>
  <c r="H67" i="1"/>
  <c r="D67" i="1"/>
  <c r="C67" i="1"/>
  <c r="Z66" i="1"/>
  <c r="T66" i="1"/>
  <c r="N66" i="1"/>
  <c r="H66" i="1"/>
  <c r="I66" i="1" s="1"/>
  <c r="D66" i="1"/>
  <c r="C66" i="1"/>
  <c r="Z65" i="1"/>
  <c r="T65" i="1"/>
  <c r="V65" i="1" s="1"/>
  <c r="N65" i="1"/>
  <c r="H65" i="1"/>
  <c r="I65" i="1" s="1"/>
  <c r="D65" i="1"/>
  <c r="C65" i="1"/>
  <c r="Z64" i="1"/>
  <c r="T64" i="1"/>
  <c r="N64" i="1"/>
  <c r="I64" i="1"/>
  <c r="Z63" i="1"/>
  <c r="AA63" i="1" s="1"/>
  <c r="T63" i="1"/>
  <c r="N63" i="1"/>
  <c r="H63" i="1"/>
  <c r="I63" i="1" s="1"/>
  <c r="D63" i="1"/>
  <c r="C63" i="1"/>
  <c r="Z62" i="1"/>
  <c r="T62" i="1"/>
  <c r="V62" i="1" s="1"/>
  <c r="N62" i="1"/>
  <c r="H62" i="1"/>
  <c r="I62" i="1" s="1"/>
  <c r="D62" i="1"/>
  <c r="C62" i="1"/>
  <c r="Z61" i="1"/>
  <c r="T61" i="1"/>
  <c r="N61" i="1"/>
  <c r="I61" i="1"/>
  <c r="H61" i="1"/>
  <c r="Z60" i="1"/>
  <c r="AA60" i="1" s="1"/>
  <c r="T60" i="1"/>
  <c r="V60" i="1" s="1"/>
  <c r="N60" i="1"/>
  <c r="H60" i="1"/>
  <c r="I60" i="1" s="1"/>
  <c r="D60" i="1"/>
  <c r="O60" i="1" s="1"/>
  <c r="C60" i="1"/>
  <c r="Z59" i="1"/>
  <c r="AA59" i="1" s="1"/>
  <c r="T59" i="1"/>
  <c r="V59" i="1" s="1"/>
  <c r="N59" i="1"/>
  <c r="I59" i="1"/>
  <c r="D59" i="1"/>
  <c r="C59" i="1"/>
  <c r="Z58" i="1"/>
  <c r="T58" i="1"/>
  <c r="N58" i="1"/>
  <c r="H58" i="1"/>
  <c r="I58" i="1" s="1"/>
  <c r="AA57" i="1"/>
  <c r="Z57" i="1"/>
  <c r="T57" i="1"/>
  <c r="V57" i="1" s="1"/>
  <c r="N57" i="1"/>
  <c r="I57" i="1"/>
  <c r="H57" i="1"/>
  <c r="D57" i="1"/>
  <c r="C57" i="1"/>
  <c r="Z56" i="1"/>
  <c r="T56" i="1"/>
  <c r="V56" i="1" s="1"/>
  <c r="N56" i="1"/>
  <c r="H56" i="1"/>
  <c r="I56" i="1" s="1"/>
  <c r="D56" i="1"/>
  <c r="C56" i="1"/>
  <c r="Z55" i="1"/>
  <c r="T55" i="1"/>
  <c r="N55" i="1"/>
  <c r="H55" i="1"/>
  <c r="I55" i="1" s="1"/>
  <c r="D55" i="1"/>
  <c r="C55" i="1"/>
  <c r="Z54" i="1"/>
  <c r="AA54" i="1" s="1"/>
  <c r="T54" i="1"/>
  <c r="N54" i="1"/>
  <c r="H54" i="1"/>
  <c r="I54" i="1" s="1"/>
  <c r="D54" i="1"/>
  <c r="C54" i="1"/>
  <c r="Z53" i="1"/>
  <c r="N53" i="1"/>
  <c r="I53" i="1"/>
  <c r="H53" i="1"/>
  <c r="D53" i="1"/>
  <c r="C53" i="1"/>
  <c r="AA52" i="1"/>
  <c r="Z52" i="1"/>
  <c r="T52" i="1"/>
  <c r="V52" i="1" s="1"/>
  <c r="N52" i="1"/>
  <c r="I52" i="1"/>
  <c r="H52" i="1"/>
  <c r="D52" i="1"/>
  <c r="C52" i="1"/>
  <c r="Z51" i="1"/>
  <c r="T51" i="1"/>
  <c r="V51" i="1" s="1"/>
  <c r="N51" i="1"/>
  <c r="H51" i="1"/>
  <c r="I51" i="1" s="1"/>
  <c r="D51" i="1"/>
  <c r="O51" i="1" s="1"/>
  <c r="C51" i="1"/>
  <c r="Z50" i="1"/>
  <c r="AA50" i="1" s="1"/>
  <c r="T50" i="1"/>
  <c r="N50" i="1"/>
  <c r="I50" i="1"/>
  <c r="H50" i="1"/>
  <c r="D50" i="1"/>
  <c r="C50" i="1"/>
  <c r="AA49" i="1"/>
  <c r="Z49" i="1"/>
  <c r="T49" i="1"/>
  <c r="N49" i="1"/>
  <c r="I49" i="1"/>
  <c r="H49" i="1"/>
  <c r="D49" i="1"/>
  <c r="C49" i="1"/>
  <c r="AA48" i="1"/>
  <c r="Z48" i="1"/>
  <c r="T48" i="1"/>
  <c r="V48" i="1" s="1"/>
  <c r="N48" i="1"/>
  <c r="H48" i="1"/>
  <c r="I48" i="1" s="1"/>
  <c r="D48" i="1"/>
  <c r="C48" i="1"/>
  <c r="Z47" i="1"/>
  <c r="AA47" i="1" s="1"/>
  <c r="T47" i="1"/>
  <c r="V47" i="1" s="1"/>
  <c r="N47" i="1"/>
  <c r="H47" i="1"/>
  <c r="I47" i="1" s="1"/>
  <c r="D47" i="1"/>
  <c r="C47" i="1"/>
  <c r="Z46" i="1"/>
  <c r="AA46" i="1" s="1"/>
  <c r="T46" i="1"/>
  <c r="N46" i="1"/>
  <c r="I46" i="1"/>
  <c r="H46" i="1"/>
  <c r="D46" i="1"/>
  <c r="C46" i="1"/>
  <c r="Z45" i="1"/>
  <c r="T45" i="1"/>
  <c r="V45" i="1" s="1"/>
  <c r="N45" i="1"/>
  <c r="I45" i="1"/>
  <c r="D45" i="1"/>
  <c r="C45" i="1"/>
  <c r="Z44" i="1"/>
  <c r="AA44" i="1" s="1"/>
  <c r="T44" i="1"/>
  <c r="V44" i="1" s="1"/>
  <c r="N44" i="1"/>
  <c r="I44" i="1"/>
  <c r="D44" i="1"/>
  <c r="C44" i="1"/>
  <c r="Z43" i="1"/>
  <c r="AA43" i="1" s="1"/>
  <c r="T43" i="1"/>
  <c r="V43" i="1" s="1"/>
  <c r="N43" i="1"/>
  <c r="H43" i="1"/>
  <c r="I43" i="1" s="1"/>
  <c r="D43" i="1"/>
  <c r="C43" i="1"/>
  <c r="Z42" i="1"/>
  <c r="T42" i="1"/>
  <c r="V42" i="1" s="1"/>
  <c r="N42" i="1"/>
  <c r="H42" i="1"/>
  <c r="I42" i="1" s="1"/>
  <c r="D42" i="1"/>
  <c r="O42" i="1" s="1"/>
  <c r="C42" i="1"/>
  <c r="Z41" i="1"/>
  <c r="T41" i="1"/>
  <c r="O41" i="1"/>
  <c r="N41" i="1"/>
  <c r="I41" i="1"/>
  <c r="Z40" i="1"/>
  <c r="T40" i="1"/>
  <c r="N40" i="1"/>
  <c r="O40" i="1" s="1"/>
  <c r="I40" i="1"/>
  <c r="C39" i="1"/>
  <c r="C36" i="1"/>
  <c r="C91" i="9" s="1"/>
  <c r="Z35" i="1"/>
  <c r="AA35" i="1" s="1"/>
  <c r="T35" i="1"/>
  <c r="V35" i="1" s="1"/>
  <c r="N35" i="1"/>
  <c r="I35" i="1"/>
  <c r="D35" i="1"/>
  <c r="D22" i="7" s="1"/>
  <c r="C35" i="1"/>
  <c r="Z34" i="1"/>
  <c r="T34" i="1"/>
  <c r="V34" i="1" s="1"/>
  <c r="N34" i="1"/>
  <c r="O34" i="1" s="1"/>
  <c r="I34" i="1"/>
  <c r="AA33" i="1"/>
  <c r="Z33" i="1"/>
  <c r="T33" i="1"/>
  <c r="V33" i="1" s="1"/>
  <c r="N33" i="1"/>
  <c r="I33" i="1"/>
  <c r="D33" i="1"/>
  <c r="D26" i="9" s="1"/>
  <c r="C33" i="1"/>
  <c r="C33" i="8" s="1"/>
  <c r="Z32" i="1"/>
  <c r="AA32" i="1" s="1"/>
  <c r="T32" i="1"/>
  <c r="V32" i="1" s="1"/>
  <c r="N32" i="1"/>
  <c r="I32" i="1"/>
  <c r="D32" i="1"/>
  <c r="C32" i="1"/>
  <c r="Z31" i="1"/>
  <c r="T31" i="1"/>
  <c r="N31" i="1"/>
  <c r="I31" i="1"/>
  <c r="T30" i="1"/>
  <c r="N30" i="1"/>
  <c r="O30" i="1" s="1"/>
  <c r="I30" i="1"/>
  <c r="Z29" i="1"/>
  <c r="AA29" i="1" s="1"/>
  <c r="T29" i="1"/>
  <c r="V29" i="1" s="1"/>
  <c r="N29" i="1"/>
  <c r="I29" i="1"/>
  <c r="D29" i="1"/>
  <c r="D46" i="7" s="1"/>
  <c r="C29" i="1"/>
  <c r="C57" i="8" s="1"/>
  <c r="Z28" i="1"/>
  <c r="AA28" i="1" s="1"/>
  <c r="T28" i="1"/>
  <c r="V28" i="1" s="1"/>
  <c r="N28" i="1"/>
  <c r="I28" i="1"/>
  <c r="D28" i="1"/>
  <c r="C28" i="1"/>
  <c r="Z27" i="1"/>
  <c r="T27" i="1"/>
  <c r="N27" i="1"/>
  <c r="I27" i="1"/>
  <c r="D27" i="1"/>
  <c r="D8" i="9" s="1"/>
  <c r="C27" i="1"/>
  <c r="C9" i="9" s="1"/>
  <c r="Z26" i="1"/>
  <c r="AA26" i="1" s="1"/>
  <c r="T26" i="1"/>
  <c r="N26" i="1"/>
  <c r="I26" i="1"/>
  <c r="D26" i="1"/>
  <c r="C26" i="1"/>
  <c r="Z25" i="1"/>
  <c r="AA25" i="1" s="1"/>
  <c r="T25" i="1"/>
  <c r="N25" i="1"/>
  <c r="I25" i="1"/>
  <c r="D25" i="1"/>
  <c r="C25" i="1"/>
  <c r="Z24" i="1"/>
  <c r="T24" i="1"/>
  <c r="V24" i="1" s="1"/>
  <c r="N24" i="1"/>
  <c r="I24" i="1"/>
  <c r="D24" i="1"/>
  <c r="C24" i="1"/>
  <c r="Z23" i="1"/>
  <c r="AA23" i="1" s="1"/>
  <c r="T23" i="1"/>
  <c r="V23" i="1" s="1"/>
  <c r="N23" i="1"/>
  <c r="I23" i="1"/>
  <c r="D23" i="1"/>
  <c r="D75" i="9" s="1"/>
  <c r="C23" i="1"/>
  <c r="C22" i="9" s="1"/>
  <c r="AA22" i="1"/>
  <c r="Z22" i="1"/>
  <c r="T22" i="1"/>
  <c r="V22" i="1" s="1"/>
  <c r="N22" i="1"/>
  <c r="I22" i="1"/>
  <c r="D22" i="1"/>
  <c r="C22" i="1"/>
  <c r="Z21" i="1"/>
  <c r="T21" i="1"/>
  <c r="N21" i="1"/>
  <c r="I21" i="1"/>
  <c r="D21" i="1"/>
  <c r="D84" i="9" s="1"/>
  <c r="O84" i="9" s="1"/>
  <c r="C21" i="1"/>
  <c r="Z20" i="1"/>
  <c r="AA20" i="1" s="1"/>
  <c r="T20" i="1"/>
  <c r="V20" i="1" s="1"/>
  <c r="N20" i="1"/>
  <c r="I20" i="1"/>
  <c r="D20" i="1"/>
  <c r="C20" i="1"/>
  <c r="C50" i="9" s="1"/>
  <c r="Z19" i="1"/>
  <c r="T19" i="1"/>
  <c r="N19" i="1"/>
  <c r="I19" i="1"/>
  <c r="D19" i="1"/>
  <c r="C19" i="1"/>
  <c r="Z18" i="1"/>
  <c r="T18" i="1"/>
  <c r="V18" i="1" s="1"/>
  <c r="N18" i="1"/>
  <c r="I18" i="1"/>
  <c r="D18" i="1"/>
  <c r="C18" i="1"/>
  <c r="AA17" i="1"/>
  <c r="Z17" i="1"/>
  <c r="T17" i="1"/>
  <c r="V17" i="1" s="1"/>
  <c r="N17" i="1"/>
  <c r="I17" i="1"/>
  <c r="D17" i="1"/>
  <c r="C17" i="1"/>
  <c r="C64" i="7" s="1"/>
  <c r="Z16" i="1"/>
  <c r="T16" i="1"/>
  <c r="V16" i="1" s="1"/>
  <c r="N16" i="1"/>
  <c r="I16" i="1"/>
  <c r="D16" i="1"/>
  <c r="C16" i="1"/>
  <c r="Z15" i="1"/>
  <c r="AA15" i="1" s="1"/>
  <c r="T15" i="1"/>
  <c r="V15" i="1" s="1"/>
  <c r="N15" i="1"/>
  <c r="I15" i="1"/>
  <c r="D15" i="1"/>
  <c r="D74" i="8" s="1"/>
  <c r="C15" i="1"/>
  <c r="Z14" i="1"/>
  <c r="T14" i="1"/>
  <c r="V14" i="1" s="1"/>
  <c r="N14" i="1"/>
  <c r="I14" i="1"/>
  <c r="D14" i="1"/>
  <c r="D28" i="8" s="1"/>
  <c r="C14" i="1"/>
  <c r="Z13" i="1"/>
  <c r="T13" i="1"/>
  <c r="V13" i="1" s="1"/>
  <c r="N13" i="1"/>
  <c r="O13" i="1" s="1"/>
  <c r="I13" i="1"/>
  <c r="Z12" i="1"/>
  <c r="T12" i="1"/>
  <c r="O12" i="1"/>
  <c r="N12" i="1"/>
  <c r="I12" i="1"/>
  <c r="Z11" i="1"/>
  <c r="AA11" i="1" s="1"/>
  <c r="T11" i="1"/>
  <c r="V11" i="1" s="1"/>
  <c r="N11" i="1"/>
  <c r="I11" i="1"/>
  <c r="D11" i="1"/>
  <c r="O11" i="1" s="1"/>
  <c r="C11" i="1"/>
  <c r="Z10" i="1"/>
  <c r="AA10" i="1" s="1"/>
  <c r="T10" i="1"/>
  <c r="V10" i="1" s="1"/>
  <c r="N10" i="1"/>
  <c r="I10" i="1"/>
  <c r="D10" i="1"/>
  <c r="D60" i="8" s="1"/>
  <c r="C10" i="1"/>
  <c r="AA9" i="1"/>
  <c r="Z9" i="1"/>
  <c r="T9" i="1"/>
  <c r="V9" i="1" s="1"/>
  <c r="N9" i="1"/>
  <c r="I9" i="1"/>
  <c r="D9" i="1"/>
  <c r="C9" i="1"/>
  <c r="AA8" i="1"/>
  <c r="Z8" i="1"/>
  <c r="T8" i="1"/>
  <c r="V8" i="1" s="1"/>
  <c r="N8" i="1"/>
  <c r="I8" i="1"/>
  <c r="D8" i="1"/>
  <c r="D30" i="7" s="1"/>
  <c r="C8" i="1"/>
  <c r="C58" i="9" s="1"/>
  <c r="Z7" i="1"/>
  <c r="T7" i="1"/>
  <c r="V7" i="1" s="1"/>
  <c r="N7" i="1"/>
  <c r="I7" i="1"/>
  <c r="D7" i="1"/>
  <c r="C7" i="1"/>
  <c r="C37" i="8" s="1"/>
  <c r="AA6" i="1"/>
  <c r="Z6" i="1"/>
  <c r="V6" i="1"/>
  <c r="N6" i="1"/>
  <c r="I6" i="1"/>
  <c r="D6" i="1"/>
  <c r="C6" i="1"/>
  <c r="AA5" i="1"/>
  <c r="Z5" i="1"/>
  <c r="T5" i="1"/>
  <c r="V5" i="1" s="1"/>
  <c r="N5" i="1"/>
  <c r="I5" i="1"/>
  <c r="D5" i="1"/>
  <c r="C5" i="1"/>
  <c r="C82" i="7" s="1"/>
  <c r="AA4" i="1"/>
  <c r="Z4" i="1"/>
  <c r="T4" i="1"/>
  <c r="N4" i="1"/>
  <c r="I4" i="1"/>
  <c r="D4" i="1"/>
  <c r="C4" i="1"/>
  <c r="Z3" i="1"/>
  <c r="T3" i="1"/>
  <c r="V3" i="1" s="1"/>
  <c r="N3" i="1"/>
  <c r="I3" i="1"/>
  <c r="D3" i="1"/>
  <c r="D12" i="7" s="1"/>
  <c r="C3" i="1"/>
  <c r="C68" i="9" s="1"/>
  <c r="C3" i="3" l="1"/>
  <c r="C65" i="9"/>
  <c r="C74" i="8"/>
  <c r="C55" i="8"/>
  <c r="C20" i="8"/>
  <c r="C86" i="7"/>
  <c r="C10" i="9"/>
  <c r="C49" i="7"/>
  <c r="C32" i="7"/>
  <c r="C73" i="8"/>
  <c r="C56" i="8"/>
  <c r="C85" i="7"/>
  <c r="C84" i="7"/>
  <c r="C50" i="7"/>
  <c r="C19" i="3"/>
  <c r="C73" i="9"/>
  <c r="C72" i="9"/>
  <c r="C71" i="9"/>
  <c r="C33" i="9"/>
  <c r="D36" i="2"/>
  <c r="D21" i="8"/>
  <c r="D79" i="8"/>
  <c r="D38" i="8"/>
  <c r="D78" i="8"/>
  <c r="C5" i="3"/>
  <c r="C81" i="8"/>
  <c r="C62" i="8"/>
  <c r="C89" i="9"/>
  <c r="C88" i="9"/>
  <c r="C57" i="9"/>
  <c r="C3" i="9"/>
  <c r="C37" i="7"/>
  <c r="C87" i="9"/>
  <c r="C80" i="8"/>
  <c r="C68" i="7"/>
  <c r="C36" i="7"/>
  <c r="D64" i="2"/>
  <c r="D92" i="9"/>
  <c r="D53" i="9"/>
  <c r="D12" i="9"/>
  <c r="D17" i="8"/>
  <c r="D63" i="8"/>
  <c r="D86" i="8"/>
  <c r="D64" i="8"/>
  <c r="D43" i="7"/>
  <c r="D54" i="9"/>
  <c r="D24" i="3"/>
  <c r="D27" i="9"/>
  <c r="D38" i="7"/>
  <c r="D25" i="8"/>
  <c r="C20" i="9"/>
  <c r="C18" i="8"/>
  <c r="C19" i="8"/>
  <c r="D5" i="7"/>
  <c r="C12" i="7"/>
  <c r="D14" i="7"/>
  <c r="C18" i="7"/>
  <c r="C19" i="7"/>
  <c r="C24" i="7"/>
  <c r="D29" i="7"/>
  <c r="D35" i="7"/>
  <c r="D44" i="7"/>
  <c r="C45" i="7"/>
  <c r="D67" i="7"/>
  <c r="C71" i="7"/>
  <c r="C80" i="7"/>
  <c r="C15" i="8"/>
  <c r="C23" i="8"/>
  <c r="C41" i="8"/>
  <c r="D48" i="8"/>
  <c r="D83" i="8"/>
  <c r="D13" i="9"/>
  <c r="D35" i="9"/>
  <c r="O35" i="9" s="1"/>
  <c r="D93" i="9"/>
  <c r="C53" i="2"/>
  <c r="C51" i="9"/>
  <c r="C52" i="9"/>
  <c r="C77" i="7"/>
  <c r="C65" i="7"/>
  <c r="C34" i="8"/>
  <c r="C76" i="7"/>
  <c r="C19" i="9"/>
  <c r="C4" i="7"/>
  <c r="C14" i="3"/>
  <c r="C38" i="9"/>
  <c r="C42" i="8"/>
  <c r="C39" i="9"/>
  <c r="C88" i="8"/>
  <c r="C89" i="8"/>
  <c r="C47" i="7"/>
  <c r="C43" i="8"/>
  <c r="C11" i="7"/>
  <c r="C38" i="2"/>
  <c r="C86" i="9"/>
  <c r="C71" i="8"/>
  <c r="C36" i="8"/>
  <c r="C44" i="9"/>
  <c r="C16" i="8"/>
  <c r="C18" i="9"/>
  <c r="C72" i="8"/>
  <c r="C12" i="3"/>
  <c r="C13" i="8"/>
  <c r="C91" i="7"/>
  <c r="C60" i="8"/>
  <c r="C16" i="9"/>
  <c r="C61" i="8"/>
  <c r="C60" i="7"/>
  <c r="C12" i="8"/>
  <c r="D76" i="2"/>
  <c r="D10" i="9"/>
  <c r="D56" i="8"/>
  <c r="D66" i="9"/>
  <c r="D73" i="8"/>
  <c r="D85" i="7"/>
  <c r="D84" i="7"/>
  <c r="D50" i="7"/>
  <c r="D20" i="8"/>
  <c r="D86" i="7"/>
  <c r="D20" i="2"/>
  <c r="D34" i="8"/>
  <c r="D76" i="7"/>
  <c r="D19" i="9"/>
  <c r="D52" i="9"/>
  <c r="D64" i="7"/>
  <c r="C81" i="2"/>
  <c r="C37" i="9"/>
  <c r="C4" i="8"/>
  <c r="C40" i="7"/>
  <c r="C10" i="3"/>
  <c r="C85" i="9"/>
  <c r="C84" i="9"/>
  <c r="C48" i="8"/>
  <c r="C7" i="8"/>
  <c r="C35" i="9"/>
  <c r="C68" i="8"/>
  <c r="C49" i="8"/>
  <c r="C34" i="9"/>
  <c r="C70" i="8"/>
  <c r="C15" i="7"/>
  <c r="D40" i="2"/>
  <c r="D10" i="8"/>
  <c r="D70" i="9"/>
  <c r="D72" i="9"/>
  <c r="D33" i="7"/>
  <c r="D73" i="9"/>
  <c r="D67" i="8"/>
  <c r="D22" i="2"/>
  <c r="D39" i="9"/>
  <c r="D89" i="8"/>
  <c r="D88" i="8"/>
  <c r="D87" i="8"/>
  <c r="D43" i="8"/>
  <c r="D42" i="8"/>
  <c r="D47" i="7"/>
  <c r="D38" i="9"/>
  <c r="D11" i="9"/>
  <c r="D8" i="8"/>
  <c r="C9" i="3"/>
  <c r="C79" i="9"/>
  <c r="C26" i="9"/>
  <c r="C67" i="7"/>
  <c r="D49" i="2"/>
  <c r="D87" i="9"/>
  <c r="D56" i="9"/>
  <c r="D80" i="8"/>
  <c r="D68" i="7"/>
  <c r="D88" i="9"/>
  <c r="O88" i="9" s="1"/>
  <c r="D89" i="9"/>
  <c r="O89" i="9" s="1"/>
  <c r="D62" i="8"/>
  <c r="D23" i="8"/>
  <c r="D70" i="7"/>
  <c r="D69" i="7"/>
  <c r="C29" i="2"/>
  <c r="C43" i="9"/>
  <c r="C42" i="9"/>
  <c r="C89" i="7"/>
  <c r="C59" i="7"/>
  <c r="C23" i="9"/>
  <c r="C11" i="8"/>
  <c r="C35" i="5"/>
  <c r="C6" i="9"/>
  <c r="C31" i="8"/>
  <c r="C75" i="7"/>
  <c r="C74" i="7"/>
  <c r="C7" i="9"/>
  <c r="C62" i="7"/>
  <c r="C63" i="7"/>
  <c r="C31" i="7"/>
  <c r="O102" i="1"/>
  <c r="D20" i="9"/>
  <c r="D19" i="8"/>
  <c r="D21" i="9"/>
  <c r="C3" i="7"/>
  <c r="D6" i="7"/>
  <c r="C10" i="7"/>
  <c r="D15" i="7"/>
  <c r="D18" i="7"/>
  <c r="D19" i="7"/>
  <c r="C20" i="7"/>
  <c r="C27" i="7"/>
  <c r="C33" i="7"/>
  <c r="D36" i="7"/>
  <c r="C41" i="7"/>
  <c r="D49" i="7"/>
  <c r="C58" i="7"/>
  <c r="C61" i="7"/>
  <c r="C70" i="7"/>
  <c r="D78" i="7"/>
  <c r="C79" i="7"/>
  <c r="C10" i="8"/>
  <c r="D13" i="8"/>
  <c r="D35" i="8"/>
  <c r="C67" i="8"/>
  <c r="C87" i="8"/>
  <c r="D3" i="9"/>
  <c r="C4" i="9"/>
  <c r="C31" i="9"/>
  <c r="D51" i="9"/>
  <c r="C70" i="9"/>
  <c r="D71" i="9"/>
  <c r="C83" i="9"/>
  <c r="D25" i="3"/>
  <c r="D68" i="9"/>
  <c r="D14" i="9"/>
  <c r="D52" i="8"/>
  <c r="D27" i="8"/>
  <c r="D67" i="9"/>
  <c r="D15" i="9"/>
  <c r="O15" i="9" s="1"/>
  <c r="D26" i="8"/>
  <c r="D73" i="7"/>
  <c r="D51" i="8"/>
  <c r="D72" i="7"/>
  <c r="D48" i="7"/>
  <c r="D71" i="7"/>
  <c r="D8" i="3"/>
  <c r="D32" i="9"/>
  <c r="D14" i="8"/>
  <c r="D64" i="9"/>
  <c r="D52" i="7"/>
  <c r="D63" i="9"/>
  <c r="D83" i="7"/>
  <c r="D31" i="9"/>
  <c r="D15" i="8"/>
  <c r="D82" i="7"/>
  <c r="D27" i="7"/>
  <c r="D28" i="2"/>
  <c r="D58" i="9"/>
  <c r="D29" i="9"/>
  <c r="D66" i="8"/>
  <c r="D59" i="9"/>
  <c r="D28" i="9"/>
  <c r="D5" i="8"/>
  <c r="D56" i="7"/>
  <c r="D35" i="3"/>
  <c r="D50" i="9"/>
  <c r="D40" i="8"/>
  <c r="D9" i="8"/>
  <c r="D4" i="9"/>
  <c r="D41" i="8"/>
  <c r="C17" i="2"/>
  <c r="C51" i="8"/>
  <c r="C26" i="8"/>
  <c r="C67" i="9"/>
  <c r="C15" i="9"/>
  <c r="C73" i="7"/>
  <c r="C14" i="9"/>
  <c r="C27" i="8"/>
  <c r="C72" i="7"/>
  <c r="C48" i="7"/>
  <c r="C13" i="7"/>
  <c r="D31" i="3"/>
  <c r="D44" i="9"/>
  <c r="D37" i="8"/>
  <c r="D45" i="9"/>
  <c r="D86" i="9"/>
  <c r="D18" i="9"/>
  <c r="O18" i="9" s="1"/>
  <c r="D72" i="8"/>
  <c r="D36" i="8"/>
  <c r="D71" i="8"/>
  <c r="D24" i="7"/>
  <c r="D24" i="2"/>
  <c r="D17" i="9"/>
  <c r="D16" i="9"/>
  <c r="D61" i="8"/>
  <c r="D60" i="7"/>
  <c r="D12" i="8"/>
  <c r="D91" i="7"/>
  <c r="D90" i="7"/>
  <c r="D61" i="7"/>
  <c r="C26" i="2"/>
  <c r="C30" i="9"/>
  <c r="C83" i="8"/>
  <c r="C28" i="8"/>
  <c r="C28" i="7"/>
  <c r="C82" i="8"/>
  <c r="D22" i="3"/>
  <c r="D37" i="9"/>
  <c r="D4" i="8"/>
  <c r="D40" i="7"/>
  <c r="D41" i="7"/>
  <c r="D17" i="7"/>
  <c r="D16" i="2"/>
  <c r="D83" i="9"/>
  <c r="D34" i="9"/>
  <c r="D70" i="8"/>
  <c r="D49" i="8"/>
  <c r="D85" i="9"/>
  <c r="O85" i="9" s="1"/>
  <c r="D7" i="8"/>
  <c r="D69" i="8"/>
  <c r="C6" i="3"/>
  <c r="C59" i="8"/>
  <c r="C88" i="7"/>
  <c r="C75" i="9"/>
  <c r="C74" i="9"/>
  <c r="C58" i="8"/>
  <c r="C32" i="8"/>
  <c r="C87" i="7"/>
  <c r="C41" i="9"/>
  <c r="C54" i="7"/>
  <c r="C53" i="7"/>
  <c r="C71" i="5"/>
  <c r="C8" i="9"/>
  <c r="C6" i="8"/>
  <c r="C35" i="7"/>
  <c r="C62" i="9"/>
  <c r="C34" i="3"/>
  <c r="C35" i="8"/>
  <c r="C78" i="7"/>
  <c r="C46" i="7"/>
  <c r="C21" i="7"/>
  <c r="D9" i="3"/>
  <c r="D78" i="9"/>
  <c r="D33" i="8"/>
  <c r="D66" i="7"/>
  <c r="C33" i="2"/>
  <c r="C90" i="9"/>
  <c r="C47" i="9"/>
  <c r="C46" i="9"/>
  <c r="C36" i="9"/>
  <c r="C24" i="8"/>
  <c r="C90" i="8"/>
  <c r="C9" i="7"/>
  <c r="D30" i="3"/>
  <c r="D23" i="9"/>
  <c r="D42" i="9"/>
  <c r="D43" i="9"/>
  <c r="D11" i="8"/>
  <c r="D58" i="7"/>
  <c r="D35" i="5"/>
  <c r="D7" i="9"/>
  <c r="D62" i="7"/>
  <c r="D6" i="9"/>
  <c r="D63" i="7"/>
  <c r="D31" i="8"/>
  <c r="D3" i="7"/>
  <c r="D4" i="7"/>
  <c r="D10" i="7"/>
  <c r="D13" i="7"/>
  <c r="C16" i="7"/>
  <c r="D20" i="7"/>
  <c r="D25" i="7"/>
  <c r="D31" i="7"/>
  <c r="D37" i="7"/>
  <c r="D51" i="7"/>
  <c r="D65" i="7"/>
  <c r="C66" i="7"/>
  <c r="C69" i="7"/>
  <c r="D74" i="7"/>
  <c r="D77" i="7"/>
  <c r="D16" i="8"/>
  <c r="D39" i="8"/>
  <c r="C52" i="8"/>
  <c r="D55" i="8"/>
  <c r="D65" i="8"/>
  <c r="D81" i="8"/>
  <c r="D85" i="8"/>
  <c r="C21" i="9"/>
  <c r="C29" i="9"/>
  <c r="D33" i="9"/>
  <c r="C45" i="9"/>
  <c r="D55" i="9"/>
  <c r="C56" i="9"/>
  <c r="D57" i="9"/>
  <c r="D65" i="9"/>
  <c r="C66" i="9"/>
  <c r="C78" i="9"/>
  <c r="D79" i="9"/>
  <c r="C13" i="2"/>
  <c r="C63" i="9"/>
  <c r="C64" i="9"/>
  <c r="C51" i="7"/>
  <c r="C32" i="9"/>
  <c r="C14" i="8"/>
  <c r="C52" i="7"/>
  <c r="C83" i="7"/>
  <c r="C26" i="7"/>
  <c r="C16" i="3"/>
  <c r="C65" i="8"/>
  <c r="C55" i="7"/>
  <c r="C30" i="7"/>
  <c r="C28" i="9"/>
  <c r="C66" i="8"/>
  <c r="C5" i="8"/>
  <c r="C56" i="7"/>
  <c r="C59" i="9"/>
  <c r="C29" i="7"/>
  <c r="D27" i="3"/>
  <c r="D30" i="9"/>
  <c r="D82" i="8"/>
  <c r="C35" i="3"/>
  <c r="C9" i="8"/>
  <c r="C40" i="8"/>
  <c r="D6" i="3"/>
  <c r="D41" i="9"/>
  <c r="D32" i="8"/>
  <c r="D87" i="7"/>
  <c r="D88" i="7"/>
  <c r="D54" i="7"/>
  <c r="D59" i="8"/>
  <c r="D53" i="7"/>
  <c r="D74" i="9"/>
  <c r="D40" i="9"/>
  <c r="D22" i="9"/>
  <c r="D72" i="5"/>
  <c r="D62" i="9"/>
  <c r="D9" i="9"/>
  <c r="D6" i="8"/>
  <c r="D8" i="2"/>
  <c r="D57" i="8"/>
  <c r="D81" i="7"/>
  <c r="O81" i="7" s="1"/>
  <c r="D80" i="7"/>
  <c r="O80" i="7" s="1"/>
  <c r="D79" i="7"/>
  <c r="O79" i="7" s="1"/>
  <c r="D45" i="7"/>
  <c r="C23" i="3"/>
  <c r="C55" i="9"/>
  <c r="C78" i="8"/>
  <c r="C39" i="8"/>
  <c r="C13" i="9"/>
  <c r="C21" i="8"/>
  <c r="C44" i="7"/>
  <c r="C79" i="8"/>
  <c r="C38" i="8"/>
  <c r="C6" i="7"/>
  <c r="C18" i="3"/>
  <c r="C82" i="9"/>
  <c r="C80" i="9"/>
  <c r="C69" i="9"/>
  <c r="C77" i="8"/>
  <c r="C76" i="8"/>
  <c r="C45" i="8"/>
  <c r="C3" i="8"/>
  <c r="C81" i="9"/>
  <c r="C44" i="8"/>
  <c r="C25" i="9"/>
  <c r="C75" i="8"/>
  <c r="C23" i="7"/>
  <c r="C21" i="3"/>
  <c r="C93" i="9"/>
  <c r="C54" i="9"/>
  <c r="C86" i="8"/>
  <c r="C85" i="8"/>
  <c r="C84" i="8"/>
  <c r="C42" i="7"/>
  <c r="C12" i="9"/>
  <c r="C63" i="8"/>
  <c r="C53" i="9"/>
  <c r="C64" i="8"/>
  <c r="C17" i="8"/>
  <c r="C43" i="7"/>
  <c r="C34" i="7"/>
  <c r="C23" i="2"/>
  <c r="C39" i="7"/>
  <c r="C25" i="7"/>
  <c r="C27" i="9"/>
  <c r="C38" i="7"/>
  <c r="C5" i="7"/>
  <c r="D11" i="7"/>
  <c r="C14" i="7"/>
  <c r="D16" i="7"/>
  <c r="C17" i="7"/>
  <c r="D21" i="7"/>
  <c r="C22" i="7"/>
  <c r="D26" i="7"/>
  <c r="D28" i="7"/>
  <c r="D32" i="7"/>
  <c r="D34" i="7"/>
  <c r="D39" i="7"/>
  <c r="O39" i="7" s="1"/>
  <c r="D42" i="7"/>
  <c r="D55" i="7"/>
  <c r="D59" i="7"/>
  <c r="C81" i="7"/>
  <c r="D89" i="7"/>
  <c r="C90" i="7"/>
  <c r="C8" i="8"/>
  <c r="C50" i="8"/>
  <c r="D58" i="8"/>
  <c r="D68" i="8"/>
  <c r="C69" i="8"/>
  <c r="D84" i="8"/>
  <c r="C11" i="9"/>
  <c r="C17" i="9"/>
  <c r="C40" i="9"/>
  <c r="O90" i="9"/>
  <c r="O83" i="9"/>
  <c r="O66" i="9"/>
  <c r="O65" i="9"/>
  <c r="O68" i="9"/>
  <c r="O58" i="9"/>
  <c r="O86" i="9"/>
  <c r="O34" i="9"/>
  <c r="O87" i="9"/>
  <c r="O91" i="9"/>
  <c r="O19" i="9"/>
  <c r="O7" i="9"/>
  <c r="O66" i="8"/>
  <c r="O65" i="8"/>
  <c r="O42" i="8"/>
  <c r="O47" i="7"/>
  <c r="O66" i="7"/>
  <c r="O72" i="7"/>
  <c r="O27" i="7"/>
  <c r="O73" i="7"/>
  <c r="O26" i="7"/>
  <c r="O71" i="7"/>
  <c r="O78" i="7"/>
  <c r="O61" i="7"/>
  <c r="O53" i="7"/>
  <c r="O50" i="7"/>
  <c r="O7" i="7"/>
  <c r="O5" i="1"/>
  <c r="O4" i="1"/>
  <c r="O24" i="1"/>
  <c r="D11" i="5"/>
  <c r="D14" i="5"/>
  <c r="C25" i="5"/>
  <c r="C32" i="5"/>
  <c r="C66" i="5"/>
  <c r="D78" i="5"/>
  <c r="C82" i="5"/>
  <c r="C4" i="5"/>
  <c r="D19" i="5"/>
  <c r="C27" i="5"/>
  <c r="D53" i="5"/>
  <c r="O53" i="5" s="1"/>
  <c r="C63" i="5"/>
  <c r="C73" i="5"/>
  <c r="C89" i="5"/>
  <c r="D93" i="5"/>
  <c r="O33" i="1"/>
  <c r="C13" i="5"/>
  <c r="D23" i="5"/>
  <c r="D36" i="5"/>
  <c r="D57" i="5"/>
  <c r="D67" i="5"/>
  <c r="C86" i="5"/>
  <c r="C92" i="5"/>
  <c r="D97" i="5"/>
  <c r="C100" i="5"/>
  <c r="O32" i="1"/>
  <c r="C16" i="5"/>
  <c r="D39" i="5"/>
  <c r="C49" i="5"/>
  <c r="D59" i="5"/>
  <c r="D74" i="5"/>
  <c r="D90" i="5"/>
  <c r="D20" i="3"/>
  <c r="D70" i="5"/>
  <c r="O70" i="5" s="1"/>
  <c r="D69" i="5"/>
  <c r="O69" i="5" s="1"/>
  <c r="O49" i="1"/>
  <c r="O59" i="1"/>
  <c r="C3" i="5"/>
  <c r="D4" i="5"/>
  <c r="C10" i="5"/>
  <c r="D13" i="5"/>
  <c r="D16" i="5"/>
  <c r="C18" i="5"/>
  <c r="C21" i="5"/>
  <c r="D22" i="5"/>
  <c r="D25" i="5"/>
  <c r="D27" i="5"/>
  <c r="C29" i="5"/>
  <c r="D30" i="5"/>
  <c r="D32" i="5"/>
  <c r="C38" i="5"/>
  <c r="C40" i="5"/>
  <c r="C45" i="5"/>
  <c r="C48" i="5"/>
  <c r="D52" i="5"/>
  <c r="O52" i="5" s="1"/>
  <c r="C55" i="5"/>
  <c r="D56" i="5"/>
  <c r="C58" i="5"/>
  <c r="C60" i="5"/>
  <c r="C62" i="5"/>
  <c r="D63" i="5"/>
  <c r="C65" i="5"/>
  <c r="D66" i="5"/>
  <c r="O66" i="5" s="1"/>
  <c r="D73" i="5"/>
  <c r="C75" i="5"/>
  <c r="D76" i="5"/>
  <c r="C83" i="5"/>
  <c r="C85" i="5"/>
  <c r="D86" i="5"/>
  <c r="C88" i="5"/>
  <c r="D89" i="5"/>
  <c r="C91" i="5"/>
  <c r="C95" i="5"/>
  <c r="D96" i="5"/>
  <c r="C99" i="5"/>
  <c r="D100" i="5"/>
  <c r="O100" i="5" s="1"/>
  <c r="C20" i="3"/>
  <c r="C70" i="5"/>
  <c r="C69" i="5"/>
  <c r="C81" i="5"/>
  <c r="C15" i="5"/>
  <c r="C64" i="2"/>
  <c r="D3" i="5"/>
  <c r="C9" i="5"/>
  <c r="C12" i="5"/>
  <c r="D15" i="5"/>
  <c r="O15" i="5" s="1"/>
  <c r="D18" i="5"/>
  <c r="C20" i="5"/>
  <c r="D21" i="5"/>
  <c r="C24" i="5"/>
  <c r="C26" i="5"/>
  <c r="C28" i="5"/>
  <c r="D29" i="5"/>
  <c r="C31" i="5"/>
  <c r="C34" i="5"/>
  <c r="D38" i="5"/>
  <c r="O38" i="5" s="1"/>
  <c r="D40" i="5"/>
  <c r="D45" i="5"/>
  <c r="C47" i="5"/>
  <c r="D48" i="5"/>
  <c r="C51" i="5"/>
  <c r="C54" i="5"/>
  <c r="D55" i="5"/>
  <c r="D58" i="5"/>
  <c r="D60" i="5"/>
  <c r="C61" i="5"/>
  <c r="D62" i="5"/>
  <c r="D65" i="5"/>
  <c r="C68" i="5"/>
  <c r="D71" i="5"/>
  <c r="O71" i="5" s="1"/>
  <c r="D75" i="5"/>
  <c r="C77" i="5"/>
  <c r="D83" i="5"/>
  <c r="O83" i="5" s="1"/>
  <c r="C84" i="5"/>
  <c r="D85" i="5"/>
  <c r="D88" i="5"/>
  <c r="C94" i="5"/>
  <c r="D95" i="5"/>
  <c r="C98" i="5"/>
  <c r="D99" i="5"/>
  <c r="O99" i="5" s="1"/>
  <c r="O8" i="24"/>
  <c r="O9" i="24"/>
  <c r="O16" i="24"/>
  <c r="O17" i="24"/>
  <c r="O24" i="24"/>
  <c r="O25" i="24"/>
  <c r="O34" i="25"/>
  <c r="D17" i="5"/>
  <c r="C22" i="5"/>
  <c r="C30" i="5"/>
  <c r="D41" i="5"/>
  <c r="O41" i="5" s="1"/>
  <c r="D44" i="5"/>
  <c r="O44" i="5" s="1"/>
  <c r="D46" i="5"/>
  <c r="C52" i="5"/>
  <c r="C56" i="5"/>
  <c r="D64" i="5"/>
  <c r="O64" i="5" s="1"/>
  <c r="C76" i="5"/>
  <c r="D87" i="5"/>
  <c r="C96" i="5"/>
  <c r="O25" i="1"/>
  <c r="O67" i="1"/>
  <c r="C56" i="2"/>
  <c r="C28" i="2"/>
  <c r="D9" i="5"/>
  <c r="C11" i="5"/>
  <c r="D12" i="5"/>
  <c r="C14" i="5"/>
  <c r="C17" i="5"/>
  <c r="C19" i="5"/>
  <c r="D20" i="5"/>
  <c r="C23" i="5"/>
  <c r="D24" i="5"/>
  <c r="D26" i="5"/>
  <c r="D28" i="5"/>
  <c r="D31" i="5"/>
  <c r="C33" i="5"/>
  <c r="D34" i="5"/>
  <c r="C36" i="5"/>
  <c r="C39" i="5"/>
  <c r="C41" i="5"/>
  <c r="C44" i="5"/>
  <c r="C46" i="5"/>
  <c r="D47" i="5"/>
  <c r="C50" i="5"/>
  <c r="D51" i="5"/>
  <c r="C53" i="5"/>
  <c r="D54" i="5"/>
  <c r="C57" i="5"/>
  <c r="C59" i="5"/>
  <c r="D61" i="5"/>
  <c r="C64" i="5"/>
  <c r="C67" i="5"/>
  <c r="D68" i="5"/>
  <c r="C72" i="5"/>
  <c r="C74" i="5"/>
  <c r="D77" i="5"/>
  <c r="C78" i="5"/>
  <c r="D84" i="5"/>
  <c r="C87" i="5"/>
  <c r="C90" i="5"/>
  <c r="C93" i="5"/>
  <c r="D94" i="5"/>
  <c r="C97" i="5"/>
  <c r="D98" i="5"/>
  <c r="O98" i="5" s="1"/>
  <c r="O44" i="16"/>
  <c r="O58" i="22"/>
  <c r="O63" i="22"/>
  <c r="O17" i="5"/>
  <c r="O68" i="5"/>
  <c r="O67" i="5"/>
  <c r="O97" i="5"/>
  <c r="O65" i="5"/>
  <c r="O49" i="5"/>
  <c r="O43" i="5"/>
  <c r="O8" i="5"/>
  <c r="D82" i="5"/>
  <c r="O82" i="5" s="1"/>
  <c r="O42" i="14"/>
  <c r="O38" i="10"/>
  <c r="D81" i="5"/>
  <c r="O81" i="5" s="1"/>
  <c r="O81" i="10"/>
  <c r="O83" i="11"/>
  <c r="O77" i="13"/>
  <c r="O50" i="14"/>
  <c r="O29" i="28"/>
  <c r="O79" i="28"/>
  <c r="O9" i="29"/>
  <c r="O31" i="13"/>
  <c r="O35" i="13"/>
  <c r="O52" i="16"/>
  <c r="O95" i="26"/>
  <c r="O99" i="26"/>
  <c r="O15" i="31"/>
  <c r="O43" i="8"/>
  <c r="O53" i="10"/>
  <c r="O80" i="10"/>
  <c r="O37" i="12"/>
  <c r="O86" i="24"/>
  <c r="O46" i="26"/>
  <c r="O72" i="29"/>
  <c r="O32" i="13"/>
  <c r="O90" i="13"/>
  <c r="O94" i="13"/>
  <c r="O13" i="14"/>
  <c r="O60" i="14"/>
  <c r="O99" i="14"/>
  <c r="O63" i="15"/>
  <c r="O77" i="15"/>
  <c r="O95" i="15"/>
  <c r="O16" i="16"/>
  <c r="O24" i="16"/>
  <c r="O32" i="16"/>
  <c r="O39" i="16"/>
  <c r="O42" i="16"/>
  <c r="O56" i="17"/>
  <c r="O88" i="17"/>
  <c r="O95" i="22"/>
  <c r="O6" i="24"/>
  <c r="O7" i="24"/>
  <c r="O14" i="24"/>
  <c r="O15" i="24"/>
  <c r="O22" i="24"/>
  <c r="O23" i="24"/>
  <c r="O38" i="25"/>
  <c r="O83" i="26"/>
  <c r="O98" i="26"/>
  <c r="O55" i="27"/>
  <c r="O62" i="27"/>
  <c r="O93" i="13"/>
  <c r="O92" i="14"/>
  <c r="O62" i="15"/>
  <c r="O94" i="15"/>
  <c r="O22" i="16"/>
  <c r="O30" i="16"/>
  <c r="O38" i="16"/>
  <c r="O40" i="16"/>
  <c r="O54" i="16"/>
  <c r="O48" i="17"/>
  <c r="O80" i="17"/>
  <c r="O74" i="18"/>
  <c r="O79" i="20"/>
  <c r="O30" i="21"/>
  <c r="O91" i="25"/>
  <c r="O47" i="28"/>
  <c r="O40" i="7"/>
  <c r="O55" i="9"/>
  <c r="O59" i="9"/>
  <c r="O67" i="9"/>
  <c r="O46" i="10"/>
  <c r="O61" i="10"/>
  <c r="O62" i="10"/>
  <c r="O68" i="10"/>
  <c r="O88" i="10"/>
  <c r="O30" i="13"/>
  <c r="O34" i="13"/>
  <c r="O7" i="14"/>
  <c r="O15" i="14"/>
  <c r="O19" i="14"/>
  <c r="O75" i="14"/>
  <c r="O41" i="15"/>
  <c r="O61" i="15"/>
  <c r="O79" i="15"/>
  <c r="O93" i="15"/>
  <c r="O20" i="16"/>
  <c r="O28" i="16"/>
  <c r="O37" i="16"/>
  <c r="O50" i="16"/>
  <c r="O40" i="17"/>
  <c r="O72" i="17"/>
  <c r="O73" i="18"/>
  <c r="O56" i="19"/>
  <c r="O39" i="22"/>
  <c r="O74" i="22"/>
  <c r="O4" i="24"/>
  <c r="O5" i="24"/>
  <c r="O12" i="24"/>
  <c r="O13" i="24"/>
  <c r="O20" i="24"/>
  <c r="O21" i="24"/>
  <c r="O28" i="24"/>
  <c r="O29" i="24"/>
  <c r="O30" i="24"/>
  <c r="O31" i="24"/>
  <c r="O32" i="24"/>
  <c r="O33" i="24"/>
  <c r="O34" i="24"/>
  <c r="O35" i="24"/>
  <c r="O49" i="24"/>
  <c r="O52" i="25"/>
  <c r="O66" i="25"/>
  <c r="O76" i="25"/>
  <c r="O67" i="26"/>
  <c r="O82" i="26"/>
  <c r="O86" i="26"/>
  <c r="O74" i="27"/>
  <c r="O62" i="28"/>
  <c r="O70" i="28"/>
  <c r="O74" i="28"/>
  <c r="O87" i="28"/>
  <c r="O38" i="29"/>
  <c r="O43" i="10"/>
  <c r="O45" i="10"/>
  <c r="O74" i="10"/>
  <c r="O89" i="10"/>
  <c r="O67" i="11"/>
  <c r="O99" i="11"/>
  <c r="O33" i="13"/>
  <c r="O62" i="14"/>
  <c r="O78" i="15"/>
  <c r="O18" i="16"/>
  <c r="O26" i="16"/>
  <c r="O34" i="16"/>
  <c r="O36" i="16"/>
  <c r="O46" i="16"/>
  <c r="O48" i="16"/>
  <c r="O69" i="16"/>
  <c r="O76" i="16"/>
  <c r="O64" i="17"/>
  <c r="O96" i="17"/>
  <c r="O66" i="19"/>
  <c r="O83" i="20"/>
  <c r="O10" i="24"/>
  <c r="O11" i="24"/>
  <c r="O18" i="24"/>
  <c r="O19" i="24"/>
  <c r="O26" i="24"/>
  <c r="O27" i="24"/>
  <c r="O57" i="25"/>
  <c r="O70" i="25"/>
  <c r="O29" i="26"/>
  <c r="O41" i="26"/>
  <c r="O49" i="26"/>
  <c r="O47" i="27"/>
  <c r="O52" i="28"/>
  <c r="O59" i="28"/>
  <c r="O67" i="28"/>
  <c r="O76" i="28"/>
  <c r="O82" i="28"/>
  <c r="O43" i="29"/>
  <c r="O59" i="29"/>
  <c r="O82" i="29"/>
  <c r="O65" i="4"/>
  <c r="O46" i="1"/>
  <c r="O50" i="1"/>
  <c r="O54" i="1"/>
  <c r="O77" i="1"/>
  <c r="O81" i="1"/>
  <c r="C84" i="2"/>
  <c r="C68" i="2"/>
  <c r="C48" i="2"/>
  <c r="C16" i="2"/>
  <c r="D83" i="2"/>
  <c r="O83" i="2" s="1"/>
  <c r="D67" i="2"/>
  <c r="O67" i="2" s="1"/>
  <c r="D55" i="2"/>
  <c r="O55" i="2" s="1"/>
  <c r="D43" i="2"/>
  <c r="D12" i="3"/>
  <c r="D23" i="3"/>
  <c r="O23" i="3" s="1"/>
  <c r="C24" i="3"/>
  <c r="D36" i="3"/>
  <c r="C37" i="3"/>
  <c r="D39" i="3"/>
  <c r="O39" i="3" s="1"/>
  <c r="D41" i="3"/>
  <c r="C44" i="3"/>
  <c r="C46" i="3"/>
  <c r="C48" i="3"/>
  <c r="D51" i="3"/>
  <c r="D53" i="3"/>
  <c r="C55" i="3"/>
  <c r="C57" i="3"/>
  <c r="C59" i="3"/>
  <c r="C61" i="3"/>
  <c r="C63" i="3"/>
  <c r="C65" i="3"/>
  <c r="C68" i="3"/>
  <c r="D69" i="3"/>
  <c r="C70" i="3"/>
  <c r="C72" i="3"/>
  <c r="C74" i="3"/>
  <c r="C77" i="3"/>
  <c r="D79" i="3"/>
  <c r="C80" i="3"/>
  <c r="C85" i="3"/>
  <c r="C86" i="3"/>
  <c r="C3" i="4"/>
  <c r="D7" i="4"/>
  <c r="C8" i="4"/>
  <c r="D9" i="4"/>
  <c r="C11" i="4"/>
  <c r="C14" i="4"/>
  <c r="D15" i="4"/>
  <c r="O15" i="4" s="1"/>
  <c r="D19" i="4"/>
  <c r="O19" i="4" s="1"/>
  <c r="C21" i="4"/>
  <c r="D22" i="4"/>
  <c r="C23" i="4"/>
  <c r="O24" i="4"/>
  <c r="D28" i="4"/>
  <c r="C30" i="4"/>
  <c r="D31" i="4"/>
  <c r="O31" i="4" s="1"/>
  <c r="D33" i="4"/>
  <c r="O33" i="4" s="1"/>
  <c r="C34" i="4"/>
  <c r="D35" i="4"/>
  <c r="D38" i="4"/>
  <c r="D40" i="4"/>
  <c r="C42" i="4"/>
  <c r="C44" i="4"/>
  <c r="D45" i="4"/>
  <c r="C48" i="4"/>
  <c r="C51" i="4"/>
  <c r="D52" i="4"/>
  <c r="O52" i="4" s="1"/>
  <c r="D56" i="4"/>
  <c r="O56" i="4" s="1"/>
  <c r="D58" i="4"/>
  <c r="C60" i="4"/>
  <c r="D61" i="4"/>
  <c r="C64" i="4"/>
  <c r="C66" i="4"/>
  <c r="C68" i="4"/>
  <c r="D69" i="4"/>
  <c r="C71" i="4"/>
  <c r="C76" i="4"/>
  <c r="D80" i="4"/>
  <c r="D81" i="4"/>
  <c r="O16" i="5"/>
  <c r="O29" i="5"/>
  <c r="O39" i="5"/>
  <c r="O40" i="5"/>
  <c r="O56" i="5"/>
  <c r="O62" i="5"/>
  <c r="O72" i="5"/>
  <c r="O80" i="5"/>
  <c r="C80" i="2"/>
  <c r="D79" i="2"/>
  <c r="D51" i="2"/>
  <c r="D39" i="2"/>
  <c r="D19" i="2"/>
  <c r="D7" i="2"/>
  <c r="C7" i="3"/>
  <c r="D14" i="3"/>
  <c r="D34" i="3"/>
  <c r="O34" i="3" s="1"/>
  <c r="D37" i="3"/>
  <c r="C38" i="3"/>
  <c r="C40" i="3"/>
  <c r="C42" i="3"/>
  <c r="D44" i="3"/>
  <c r="D46" i="3"/>
  <c r="D48" i="3"/>
  <c r="O48" i="3" s="1"/>
  <c r="C52" i="3"/>
  <c r="D55" i="3"/>
  <c r="O55" i="3" s="1"/>
  <c r="D57" i="3"/>
  <c r="D59" i="3"/>
  <c r="O59" i="3" s="1"/>
  <c r="D61" i="3"/>
  <c r="D63" i="3"/>
  <c r="D65" i="3"/>
  <c r="C67" i="3"/>
  <c r="D68" i="3"/>
  <c r="D70" i="3"/>
  <c r="C71" i="3"/>
  <c r="D72" i="3"/>
  <c r="C73" i="3"/>
  <c r="D74" i="3"/>
  <c r="C75" i="3"/>
  <c r="D77" i="3"/>
  <c r="C78" i="3"/>
  <c r="D80" i="3"/>
  <c r="C81" i="3"/>
  <c r="C83" i="3"/>
  <c r="D85" i="3"/>
  <c r="D86" i="3"/>
  <c r="C89" i="3"/>
  <c r="D3" i="4"/>
  <c r="C4" i="4"/>
  <c r="C6" i="4"/>
  <c r="D8" i="4"/>
  <c r="D11" i="4"/>
  <c r="D14" i="4"/>
  <c r="O14" i="4" s="1"/>
  <c r="C18" i="4"/>
  <c r="C20" i="4"/>
  <c r="D21" i="4"/>
  <c r="D23" i="4"/>
  <c r="C29" i="4"/>
  <c r="D30" i="4"/>
  <c r="C32" i="4"/>
  <c r="D34" i="4"/>
  <c r="O34" i="4" s="1"/>
  <c r="C37" i="4"/>
  <c r="D42" i="4"/>
  <c r="D44" i="4"/>
  <c r="C46" i="4"/>
  <c r="C47" i="4"/>
  <c r="D48" i="4"/>
  <c r="O48" i="4" s="1"/>
  <c r="C49" i="4"/>
  <c r="D51" i="4"/>
  <c r="O51" i="4" s="1"/>
  <c r="C54" i="4"/>
  <c r="C55" i="4"/>
  <c r="C57" i="4"/>
  <c r="C59" i="4"/>
  <c r="D60" i="4"/>
  <c r="C62" i="4"/>
  <c r="C63" i="4"/>
  <c r="D64" i="4"/>
  <c r="C65" i="4"/>
  <c r="C67" i="4"/>
  <c r="D68" i="4"/>
  <c r="O68" i="4" s="1"/>
  <c r="C70" i="4"/>
  <c r="D71" i="4"/>
  <c r="C74" i="4"/>
  <c r="C75" i="4"/>
  <c r="D76" i="4"/>
  <c r="D75" i="2"/>
  <c r="D47" i="2"/>
  <c r="D27" i="2"/>
  <c r="D3" i="3"/>
  <c r="D16" i="3"/>
  <c r="O16" i="3" s="1"/>
  <c r="D38" i="3"/>
  <c r="D40" i="3"/>
  <c r="D42" i="3"/>
  <c r="C43" i="3"/>
  <c r="C45" i="3"/>
  <c r="C47" i="3"/>
  <c r="D52" i="3"/>
  <c r="C54" i="3"/>
  <c r="C56" i="3"/>
  <c r="C58" i="3"/>
  <c r="C60" i="3"/>
  <c r="C62" i="3"/>
  <c r="C64" i="3"/>
  <c r="C66" i="3"/>
  <c r="D67" i="3"/>
  <c r="D71" i="3"/>
  <c r="D73" i="3"/>
  <c r="D75" i="3"/>
  <c r="C76" i="3"/>
  <c r="D78" i="3"/>
  <c r="D81" i="3"/>
  <c r="C82" i="3"/>
  <c r="D83" i="3"/>
  <c r="C84" i="3"/>
  <c r="C87" i="3"/>
  <c r="C88" i="3"/>
  <c r="D89" i="3"/>
  <c r="D4" i="4"/>
  <c r="D6" i="4"/>
  <c r="C10" i="4"/>
  <c r="C16" i="4"/>
  <c r="C17" i="4"/>
  <c r="D18" i="4"/>
  <c r="C25" i="4"/>
  <c r="D29" i="4"/>
  <c r="O29" i="4" s="1"/>
  <c r="D32" i="4"/>
  <c r="O32" i="4" s="1"/>
  <c r="C36" i="4"/>
  <c r="D37" i="4"/>
  <c r="C39" i="4"/>
  <c r="C41" i="4"/>
  <c r="C43" i="4"/>
  <c r="D46" i="4"/>
  <c r="D47" i="4"/>
  <c r="O47" i="4" s="1"/>
  <c r="D49" i="4"/>
  <c r="C53" i="4"/>
  <c r="D54" i="4"/>
  <c r="D55" i="4"/>
  <c r="O55" i="4" s="1"/>
  <c r="D57" i="4"/>
  <c r="D59" i="4"/>
  <c r="D62" i="4"/>
  <c r="D63" i="4"/>
  <c r="D67" i="4"/>
  <c r="O67" i="4" s="1"/>
  <c r="C72" i="4"/>
  <c r="C73" i="4"/>
  <c r="D74" i="4"/>
  <c r="D75" i="4"/>
  <c r="C82" i="4"/>
  <c r="C83" i="4"/>
  <c r="C76" i="2"/>
  <c r="C40" i="2"/>
  <c r="D35" i="2"/>
  <c r="D15" i="2"/>
  <c r="O15" i="2" s="1"/>
  <c r="O22" i="1"/>
  <c r="O27" i="1"/>
  <c r="O48" i="1"/>
  <c r="O52" i="1"/>
  <c r="O53" i="1"/>
  <c r="O56" i="1"/>
  <c r="O57" i="1"/>
  <c r="O63" i="1"/>
  <c r="C88" i="2"/>
  <c r="C72" i="2"/>
  <c r="C52" i="2"/>
  <c r="C36" i="2"/>
  <c r="C20" i="2"/>
  <c r="C8" i="2"/>
  <c r="D71" i="2"/>
  <c r="D59" i="2"/>
  <c r="O59" i="2" s="1"/>
  <c r="D23" i="2"/>
  <c r="D5" i="3"/>
  <c r="O5" i="3" s="1"/>
  <c r="D10" i="3"/>
  <c r="D21" i="3"/>
  <c r="O21" i="3" s="1"/>
  <c r="C27" i="3"/>
  <c r="C36" i="3"/>
  <c r="C39" i="3"/>
  <c r="C41" i="3"/>
  <c r="D45" i="3"/>
  <c r="O45" i="3" s="1"/>
  <c r="D47" i="3"/>
  <c r="O47" i="3" s="1"/>
  <c r="C51" i="3"/>
  <c r="C53" i="3"/>
  <c r="D54" i="3"/>
  <c r="O54" i="3" s="1"/>
  <c r="D56" i="3"/>
  <c r="D58" i="3"/>
  <c r="D60" i="3"/>
  <c r="D62" i="3"/>
  <c r="D64" i="3"/>
  <c r="O64" i="3" s="1"/>
  <c r="D66" i="3"/>
  <c r="C69" i="3"/>
  <c r="D76" i="3"/>
  <c r="C79" i="3"/>
  <c r="D82" i="3"/>
  <c r="D84" i="3"/>
  <c r="D87" i="3"/>
  <c r="D88" i="3"/>
  <c r="C7" i="4"/>
  <c r="C9" i="4"/>
  <c r="D10" i="4"/>
  <c r="C15" i="4"/>
  <c r="D16" i="4"/>
  <c r="D17" i="4"/>
  <c r="C19" i="4"/>
  <c r="C22" i="4"/>
  <c r="C24" i="4"/>
  <c r="D25" i="4"/>
  <c r="C28" i="4"/>
  <c r="C31" i="4"/>
  <c r="C33" i="4"/>
  <c r="C35" i="4"/>
  <c r="D36" i="4"/>
  <c r="C38" i="4"/>
  <c r="D39" i="4"/>
  <c r="C40" i="4"/>
  <c r="D41" i="4"/>
  <c r="D43" i="4"/>
  <c r="O43" i="4" s="1"/>
  <c r="C45" i="4"/>
  <c r="C52" i="4"/>
  <c r="C56" i="4"/>
  <c r="C58" i="4"/>
  <c r="C61" i="4"/>
  <c r="C69" i="4"/>
  <c r="D72" i="4"/>
  <c r="D73" i="4"/>
  <c r="C80" i="4"/>
  <c r="C81" i="4"/>
  <c r="D82" i="4"/>
  <c r="D83" i="4"/>
  <c r="O21" i="5"/>
  <c r="O32" i="5"/>
  <c r="O43" i="7"/>
  <c r="O49" i="7"/>
  <c r="O59" i="7"/>
  <c r="O60" i="7"/>
  <c r="O60" i="9"/>
  <c r="O6" i="10"/>
  <c r="O16" i="10"/>
  <c r="O20" i="10"/>
  <c r="O50" i="10"/>
  <c r="O51" i="10"/>
  <c r="O58" i="10"/>
  <c r="O59" i="10"/>
  <c r="O78" i="10"/>
  <c r="O79" i="10"/>
  <c r="O86" i="10"/>
  <c r="O87" i="10"/>
  <c r="O16" i="11"/>
  <c r="O20" i="11"/>
  <c r="O24" i="11"/>
  <c r="O28" i="11"/>
  <c r="O32" i="11"/>
  <c r="O38" i="11"/>
  <c r="O44" i="11"/>
  <c r="O9" i="7"/>
  <c r="O10" i="7"/>
  <c r="O38" i="7"/>
  <c r="O41" i="7"/>
  <c r="O54" i="7"/>
  <c r="O67" i="7"/>
  <c r="O14" i="8"/>
  <c r="O15" i="8"/>
  <c r="O17" i="9"/>
  <c r="O61" i="9"/>
  <c r="O62" i="9"/>
  <c r="O10" i="10"/>
  <c r="O42" i="10"/>
  <c r="O48" i="10"/>
  <c r="O56" i="10"/>
  <c r="O66" i="10"/>
  <c r="O67" i="10"/>
  <c r="O69" i="10"/>
  <c r="O76" i="10"/>
  <c r="O92" i="10"/>
  <c r="O95" i="10"/>
  <c r="O97" i="10"/>
  <c r="O34" i="11"/>
  <c r="O41" i="11"/>
  <c r="O56" i="11"/>
  <c r="O42" i="7"/>
  <c r="O58" i="7"/>
  <c r="O6" i="8"/>
  <c r="O18" i="8"/>
  <c r="O19" i="8"/>
  <c r="O61" i="8"/>
  <c r="O42" i="9"/>
  <c r="O49" i="10"/>
  <c r="O57" i="10"/>
  <c r="O51" i="11"/>
  <c r="O47" i="14"/>
  <c r="O55" i="14"/>
  <c r="O41" i="13"/>
  <c r="O49" i="13"/>
  <c r="O57" i="13"/>
  <c r="O86" i="14"/>
  <c r="O60" i="11"/>
  <c r="O70" i="11"/>
  <c r="O73" i="11"/>
  <c r="O76" i="11"/>
  <c r="O86" i="11"/>
  <c r="O89" i="11"/>
  <c r="O92" i="11"/>
  <c r="O5" i="12"/>
  <c r="O9" i="12"/>
  <c r="O13" i="12"/>
  <c r="O17" i="12"/>
  <c r="O21" i="12"/>
  <c r="O25" i="12"/>
  <c r="O29" i="12"/>
  <c r="O33" i="12"/>
  <c r="O39" i="12"/>
  <c r="O40" i="12"/>
  <c r="O43" i="12"/>
  <c r="O44" i="12"/>
  <c r="O47" i="12"/>
  <c r="O48" i="12"/>
  <c r="O51" i="12"/>
  <c r="O52" i="12"/>
  <c r="O55" i="12"/>
  <c r="O56" i="12"/>
  <c r="O59" i="12"/>
  <c r="O67" i="12"/>
  <c r="O75" i="12"/>
  <c r="O83" i="12"/>
  <c r="O91" i="12"/>
  <c r="O99" i="12"/>
  <c r="O43" i="13"/>
  <c r="O51" i="13"/>
  <c r="O59" i="13"/>
  <c r="O67" i="13"/>
  <c r="O75" i="13"/>
  <c r="O96" i="13"/>
  <c r="O5" i="14"/>
  <c r="O10" i="14"/>
  <c r="O16" i="14"/>
  <c r="O20" i="14"/>
  <c r="O40" i="14"/>
  <c r="O41" i="14"/>
  <c r="O48" i="14"/>
  <c r="O49" i="14"/>
  <c r="O56" i="14"/>
  <c r="O57" i="14"/>
  <c r="O69" i="14"/>
  <c r="O76" i="14"/>
  <c r="O77" i="14"/>
  <c r="O84" i="14"/>
  <c r="O85" i="14"/>
  <c r="O3" i="15"/>
  <c r="O5" i="15"/>
  <c r="O7" i="15"/>
  <c r="O9" i="15"/>
  <c r="O11" i="15"/>
  <c r="O13" i="15"/>
  <c r="O15" i="15"/>
  <c r="O17" i="15"/>
  <c r="O19" i="15"/>
  <c r="O21" i="15"/>
  <c r="O23" i="15"/>
  <c r="O29" i="15"/>
  <c r="O36" i="15"/>
  <c r="O48" i="15"/>
  <c r="O52" i="15"/>
  <c r="O42" i="11"/>
  <c r="O45" i="11"/>
  <c r="O48" i="11"/>
  <c r="O58" i="11"/>
  <c r="O61" i="11"/>
  <c r="O64" i="11"/>
  <c r="O74" i="11"/>
  <c r="O77" i="11"/>
  <c r="O80" i="11"/>
  <c r="O90" i="11"/>
  <c r="O93" i="11"/>
  <c r="O96" i="11"/>
  <c r="O41" i="12"/>
  <c r="O45" i="12"/>
  <c r="O49" i="12"/>
  <c r="O53" i="12"/>
  <c r="O57" i="12"/>
  <c r="O61" i="12"/>
  <c r="O69" i="12"/>
  <c r="O77" i="12"/>
  <c r="O85" i="12"/>
  <c r="O93" i="12"/>
  <c r="O37" i="13"/>
  <c r="O45" i="13"/>
  <c r="O53" i="13"/>
  <c r="O61" i="13"/>
  <c r="O69" i="13"/>
  <c r="O78" i="13"/>
  <c r="O79" i="13"/>
  <c r="O82" i="13"/>
  <c r="O83" i="13"/>
  <c r="O86" i="13"/>
  <c r="O87" i="13"/>
  <c r="O97" i="13"/>
  <c r="O4" i="14"/>
  <c r="O9" i="14"/>
  <c r="O14" i="14"/>
  <c r="O24" i="14"/>
  <c r="O54" i="14"/>
  <c r="O64" i="14"/>
  <c r="O65" i="14"/>
  <c r="O67" i="14"/>
  <c r="O74" i="14"/>
  <c r="O82" i="14"/>
  <c r="O93" i="14"/>
  <c r="O37" i="15"/>
  <c r="O50" i="15"/>
  <c r="O66" i="15"/>
  <c r="O82" i="15"/>
  <c r="O98" i="15"/>
  <c r="O37" i="17"/>
  <c r="O45" i="17"/>
  <c r="O53" i="17"/>
  <c r="O61" i="17"/>
  <c r="O69" i="17"/>
  <c r="O77" i="17"/>
  <c r="O85" i="17"/>
  <c r="O93" i="17"/>
  <c r="O37" i="19"/>
  <c r="O76" i="19"/>
  <c r="O80" i="19"/>
  <c r="O81" i="19"/>
  <c r="O85" i="19"/>
  <c r="O98" i="19"/>
  <c r="O68" i="15"/>
  <c r="O84" i="15"/>
  <c r="O66" i="16"/>
  <c r="O94" i="16"/>
  <c r="O18" i="17"/>
  <c r="O22" i="17"/>
  <c r="O26" i="17"/>
  <c r="O30" i="17"/>
  <c r="O34" i="17"/>
  <c r="O39" i="17"/>
  <c r="O47" i="17"/>
  <c r="O55" i="17"/>
  <c r="O63" i="17"/>
  <c r="O71" i="17"/>
  <c r="O79" i="17"/>
  <c r="O87" i="17"/>
  <c r="O95" i="17"/>
  <c r="O6" i="18"/>
  <c r="O8" i="18"/>
  <c r="O14" i="18"/>
  <c r="O16" i="18"/>
  <c r="O22" i="18"/>
  <c r="O24" i="18"/>
  <c r="O30" i="18"/>
  <c r="O32" i="18"/>
  <c r="O47" i="18"/>
  <c r="O59" i="18"/>
  <c r="O75" i="18"/>
  <c r="O79" i="18"/>
  <c r="O83" i="18"/>
  <c r="O88" i="18"/>
  <c r="O6" i="19"/>
  <c r="O14" i="19"/>
  <c r="O18" i="19"/>
  <c r="O22" i="19"/>
  <c r="O26" i="19"/>
  <c r="O30" i="19"/>
  <c r="O34" i="19"/>
  <c r="O41" i="19"/>
  <c r="O45" i="19"/>
  <c r="O61" i="19"/>
  <c r="O72" i="19"/>
  <c r="O73" i="19"/>
  <c r="O5" i="20"/>
  <c r="O10" i="20"/>
  <c r="O15" i="20"/>
  <c r="O21" i="20"/>
  <c r="O26" i="20"/>
  <c r="O32" i="20"/>
  <c r="O31" i="15"/>
  <c r="O43" i="15"/>
  <c r="O44" i="15"/>
  <c r="O64" i="15"/>
  <c r="O80" i="15"/>
  <c r="O96" i="15"/>
  <c r="O70" i="16"/>
  <c r="O77" i="16"/>
  <c r="O82" i="16"/>
  <c r="O98" i="16"/>
  <c r="O21" i="17"/>
  <c r="O25" i="17"/>
  <c r="O29" i="17"/>
  <c r="O33" i="17"/>
  <c r="O38" i="17"/>
  <c r="O41" i="17"/>
  <c r="O46" i="17"/>
  <c r="O49" i="17"/>
  <c r="O54" i="17"/>
  <c r="O57" i="17"/>
  <c r="O62" i="17"/>
  <c r="O65" i="17"/>
  <c r="O70" i="17"/>
  <c r="O73" i="17"/>
  <c r="O78" i="17"/>
  <c r="O81" i="17"/>
  <c r="O86" i="17"/>
  <c r="O89" i="17"/>
  <c r="O94" i="17"/>
  <c r="O97" i="17"/>
  <c r="O48" i="18"/>
  <c r="O55" i="18"/>
  <c r="O56" i="18"/>
  <c r="O76" i="18"/>
  <c r="O80" i="18"/>
  <c r="O86" i="18"/>
  <c r="O5" i="19"/>
  <c r="O11" i="19"/>
  <c r="O13" i="19"/>
  <c r="O17" i="19"/>
  <c r="O21" i="19"/>
  <c r="O25" i="19"/>
  <c r="O27" i="19"/>
  <c r="O29" i="19"/>
  <c r="O33" i="19"/>
  <c r="O57" i="19"/>
  <c r="O70" i="19"/>
  <c r="O90" i="19"/>
  <c r="O16" i="20"/>
  <c r="O30" i="20"/>
  <c r="O38" i="20"/>
  <c r="O42" i="20"/>
  <c r="O46" i="20"/>
  <c r="O50" i="20"/>
  <c r="O54" i="20"/>
  <c r="O31" i="20"/>
  <c r="O34" i="20"/>
  <c r="O72" i="20"/>
  <c r="O88" i="20"/>
  <c r="O94" i="20"/>
  <c r="O98" i="20"/>
  <c r="O17" i="21"/>
  <c r="O18" i="21"/>
  <c r="O19" i="21"/>
  <c r="O43" i="21"/>
  <c r="O46" i="21"/>
  <c r="O49" i="21"/>
  <c r="O70" i="21"/>
  <c r="O71" i="21"/>
  <c r="O75" i="21"/>
  <c r="O61" i="20"/>
  <c r="O65" i="20"/>
  <c r="O73" i="20"/>
  <c r="O74" i="20"/>
  <c r="O81" i="20"/>
  <c r="O87" i="20"/>
  <c r="O89" i="20"/>
  <c r="O90" i="20"/>
  <c r="O92" i="20"/>
  <c r="O96" i="20"/>
  <c r="O37" i="21"/>
  <c r="O47" i="21"/>
  <c r="O50" i="21"/>
  <c r="O54" i="21"/>
  <c r="O55" i="21"/>
  <c r="O59" i="21"/>
  <c r="O65" i="21"/>
  <c r="O68" i="21"/>
  <c r="O36" i="21"/>
  <c r="O52" i="21"/>
  <c r="O38" i="23"/>
  <c r="O54" i="23"/>
  <c r="O70" i="23"/>
  <c r="O86" i="23"/>
  <c r="O36" i="24"/>
  <c r="O64" i="24"/>
  <c r="O65" i="24"/>
  <c r="O76" i="24"/>
  <c r="O80" i="24"/>
  <c r="O81" i="24"/>
  <c r="O90" i="24"/>
  <c r="O94" i="24"/>
  <c r="O58" i="25"/>
  <c r="O59" i="25"/>
  <c r="O81" i="25"/>
  <c r="O82" i="25"/>
  <c r="O53" i="21"/>
  <c r="O63" i="21"/>
  <c r="O66" i="21"/>
  <c r="O69" i="21"/>
  <c r="O77" i="21"/>
  <c r="O78" i="21"/>
  <c r="O85" i="21"/>
  <c r="O86" i="21"/>
  <c r="O93" i="21"/>
  <c r="O94" i="21"/>
  <c r="O40" i="22"/>
  <c r="O43" i="22"/>
  <c r="O44" i="22"/>
  <c r="O47" i="22"/>
  <c r="O48" i="22"/>
  <c r="O51" i="22"/>
  <c r="O52" i="22"/>
  <c r="O66" i="22"/>
  <c r="O73" i="22"/>
  <c r="O77" i="22"/>
  <c r="O96" i="22"/>
  <c r="O50" i="23"/>
  <c r="O66" i="23"/>
  <c r="O82" i="23"/>
  <c r="O98" i="23"/>
  <c r="O37" i="25"/>
  <c r="O53" i="25"/>
  <c r="O56" i="25"/>
  <c r="O69" i="25"/>
  <c r="O10" i="26"/>
  <c r="O13" i="26"/>
  <c r="O83" i="21"/>
  <c r="O8" i="22"/>
  <c r="O9" i="22"/>
  <c r="O10" i="22"/>
  <c r="O13" i="22"/>
  <c r="O24" i="22"/>
  <c r="O25" i="22"/>
  <c r="O26" i="22"/>
  <c r="O41" i="22"/>
  <c r="O45" i="22"/>
  <c r="O56" i="22"/>
  <c r="O59" i="22"/>
  <c r="O60" i="22"/>
  <c r="O88" i="25"/>
  <c r="O89" i="25"/>
  <c r="O90" i="25"/>
  <c r="O96" i="25"/>
  <c r="O97" i="25"/>
  <c r="O98" i="25"/>
  <c r="O3" i="26"/>
  <c r="O9" i="26"/>
  <c r="O21" i="26"/>
  <c r="O23" i="26"/>
  <c r="O42" i="22"/>
  <c r="O98" i="22"/>
  <c r="O36" i="23"/>
  <c r="O52" i="23"/>
  <c r="O68" i="23"/>
  <c r="O84" i="23"/>
  <c r="O40" i="24"/>
  <c r="O52" i="24"/>
  <c r="O53" i="24"/>
  <c r="O68" i="24"/>
  <c r="O69" i="24"/>
  <c r="O82" i="24"/>
  <c r="O84" i="24"/>
  <c r="O85" i="24"/>
  <c r="O92" i="24"/>
  <c r="O96" i="24"/>
  <c r="O97" i="24"/>
  <c r="O35" i="25"/>
  <c r="O39" i="25"/>
  <c r="O46" i="25"/>
  <c r="O50" i="25"/>
  <c r="O51" i="25"/>
  <c r="O63" i="25"/>
  <c r="O67" i="25"/>
  <c r="O71" i="25"/>
  <c r="O95" i="25"/>
  <c r="O44" i="26"/>
  <c r="O51" i="26"/>
  <c r="O59" i="26"/>
  <c r="O75" i="26"/>
  <c r="O42" i="27"/>
  <c r="O50" i="27"/>
  <c r="O58" i="27"/>
  <c r="O78" i="27"/>
  <c r="O79" i="27"/>
  <c r="O81" i="27"/>
  <c r="O86" i="27"/>
  <c r="O87" i="27"/>
  <c r="O89" i="27"/>
  <c r="O94" i="27"/>
  <c r="O95" i="27"/>
  <c r="O97" i="27"/>
  <c r="O47" i="26"/>
  <c r="O48" i="26"/>
  <c r="O57" i="26"/>
  <c r="O66" i="26"/>
  <c r="O70" i="26"/>
  <c r="O73" i="26"/>
  <c r="O89" i="26"/>
  <c r="O3" i="27"/>
  <c r="O8" i="27"/>
  <c r="O11" i="27"/>
  <c r="O18" i="27"/>
  <c r="O36" i="27"/>
  <c r="O37" i="27"/>
  <c r="O38" i="27"/>
  <c r="O41" i="27"/>
  <c r="O44" i="27"/>
  <c r="O49" i="27"/>
  <c r="O52" i="27"/>
  <c r="O57" i="27"/>
  <c r="O60" i="27"/>
  <c r="O66" i="27"/>
  <c r="O67" i="27"/>
  <c r="O69" i="27"/>
  <c r="O76" i="27"/>
  <c r="O92" i="27"/>
  <c r="O36" i="28"/>
  <c r="O44" i="28"/>
  <c r="O35" i="26"/>
  <c r="O45" i="26"/>
  <c r="O58" i="26"/>
  <c r="O74" i="26"/>
  <c r="O87" i="26"/>
  <c r="O90" i="26"/>
  <c r="O10" i="27"/>
  <c r="O75" i="27"/>
  <c r="O85" i="27"/>
  <c r="O16" i="28"/>
  <c r="O24" i="28"/>
  <c r="O26" i="28"/>
  <c r="O34" i="28"/>
  <c r="O40" i="28"/>
  <c r="O41" i="28"/>
  <c r="O48" i="28"/>
  <c r="O49" i="28"/>
  <c r="O24" i="29"/>
  <c r="O25" i="29"/>
  <c r="O26" i="29"/>
  <c r="O28" i="29"/>
  <c r="O29" i="29"/>
  <c r="O30" i="29"/>
  <c r="O32" i="29"/>
  <c r="O34" i="29"/>
  <c r="O36" i="29"/>
  <c r="O37" i="29"/>
  <c r="O54" i="29"/>
  <c r="O70" i="29"/>
  <c r="O73" i="29"/>
  <c r="O80" i="29"/>
  <c r="O81" i="29"/>
  <c r="O98" i="29"/>
  <c r="O36" i="30"/>
  <c r="O44" i="30"/>
  <c r="O52" i="30"/>
  <c r="O80" i="28"/>
  <c r="O81" i="28"/>
  <c r="O88" i="28"/>
  <c r="O89" i="28"/>
  <c r="O96" i="28"/>
  <c r="O97" i="28"/>
  <c r="O7" i="29"/>
  <c r="O44" i="29"/>
  <c r="O45" i="29"/>
  <c r="O52" i="29"/>
  <c r="O53" i="29"/>
  <c r="O60" i="29"/>
  <c r="O61" i="29"/>
  <c r="O68" i="29"/>
  <c r="O69" i="29"/>
  <c r="O89" i="29"/>
  <c r="O96" i="29"/>
  <c r="O97" i="29"/>
  <c r="O20" i="28"/>
  <c r="O25" i="28"/>
  <c r="O27" i="28"/>
  <c r="O30" i="28"/>
  <c r="O42" i="28"/>
  <c r="O50" i="28"/>
  <c r="O53" i="28"/>
  <c r="O60" i="28"/>
  <c r="O61" i="28"/>
  <c r="O68" i="28"/>
  <c r="O69" i="28"/>
  <c r="O94" i="28"/>
  <c r="O11" i="29"/>
  <c r="O66" i="29"/>
  <c r="O79" i="29"/>
  <c r="O99" i="31"/>
  <c r="O41" i="30"/>
  <c r="O49" i="30"/>
  <c r="O57" i="30"/>
  <c r="O65" i="30"/>
  <c r="O73" i="30"/>
  <c r="O81" i="30"/>
  <c r="O89" i="30"/>
  <c r="O97" i="30"/>
  <c r="O14" i="31"/>
  <c r="O19" i="31"/>
  <c r="O23" i="31"/>
  <c r="O27" i="31"/>
  <c r="O31" i="31"/>
  <c r="O35" i="31"/>
  <c r="O37" i="31"/>
  <c r="O45" i="31"/>
  <c r="O53" i="31"/>
  <c r="O61" i="31"/>
  <c r="O69" i="31"/>
  <c r="O77" i="31"/>
  <c r="O85" i="31"/>
  <c r="O93" i="31"/>
  <c r="O64" i="30"/>
  <c r="O72" i="30"/>
  <c r="O80" i="30"/>
  <c r="O88" i="30"/>
  <c r="O96" i="30"/>
  <c r="O18" i="31"/>
  <c r="O22" i="31"/>
  <c r="O26" i="31"/>
  <c r="O30" i="31"/>
  <c r="O34" i="31"/>
  <c r="O30" i="4"/>
  <c r="O26" i="4"/>
  <c r="O18" i="4"/>
  <c r="O33" i="3"/>
  <c r="O8" i="3"/>
  <c r="C3" i="2"/>
  <c r="C87" i="2"/>
  <c r="C83" i="2"/>
  <c r="C79" i="2"/>
  <c r="C75" i="2"/>
  <c r="C71" i="2"/>
  <c r="C67" i="2"/>
  <c r="C63" i="2"/>
  <c r="C59" i="2"/>
  <c r="C55" i="2"/>
  <c r="C51" i="2"/>
  <c r="C47" i="2"/>
  <c r="C43" i="2"/>
  <c r="C39" i="2"/>
  <c r="C35" i="2"/>
  <c r="C27" i="2"/>
  <c r="C19" i="2"/>
  <c r="C15" i="2"/>
  <c r="C7" i="2"/>
  <c r="D90" i="2"/>
  <c r="D82" i="2"/>
  <c r="O82" i="2" s="1"/>
  <c r="D78" i="2"/>
  <c r="D74" i="2"/>
  <c r="D70" i="2"/>
  <c r="O70" i="2" s="1"/>
  <c r="D66" i="2"/>
  <c r="O66" i="2" s="1"/>
  <c r="D62" i="2"/>
  <c r="O62" i="2" s="1"/>
  <c r="D58" i="2"/>
  <c r="O58" i="2" s="1"/>
  <c r="D54" i="2"/>
  <c r="O54" i="2" s="1"/>
  <c r="D50" i="2"/>
  <c r="D46" i="2"/>
  <c r="D42" i="2"/>
  <c r="O42" i="2" s="1"/>
  <c r="D38" i="2"/>
  <c r="D34" i="2"/>
  <c r="D30" i="2"/>
  <c r="D26" i="2"/>
  <c r="D18" i="2"/>
  <c r="D14" i="2"/>
  <c r="O14" i="2" s="1"/>
  <c r="D10" i="2"/>
  <c r="D6" i="2"/>
  <c r="O6" i="2" s="1"/>
  <c r="C4" i="3"/>
  <c r="D7" i="3"/>
  <c r="O7" i="3" s="1"/>
  <c r="C11" i="3"/>
  <c r="C13" i="3"/>
  <c r="C15" i="3"/>
  <c r="C17" i="3"/>
  <c r="C22" i="3"/>
  <c r="C26" i="3"/>
  <c r="C31" i="3"/>
  <c r="O55" i="19"/>
  <c r="O78" i="19"/>
  <c r="O97" i="19"/>
  <c r="C60" i="2"/>
  <c r="D3" i="2"/>
  <c r="D63" i="2"/>
  <c r="O63" i="2" s="1"/>
  <c r="O3" i="1"/>
  <c r="O19" i="1"/>
  <c r="O23" i="1"/>
  <c r="O29" i="1"/>
  <c r="C90" i="2"/>
  <c r="C86" i="2"/>
  <c r="C82" i="2"/>
  <c r="C78" i="2"/>
  <c r="C74" i="2"/>
  <c r="C70" i="2"/>
  <c r="C66" i="2"/>
  <c r="C62" i="2"/>
  <c r="C58" i="2"/>
  <c r="C54" i="2"/>
  <c r="C50" i="2"/>
  <c r="C46" i="2"/>
  <c r="C42" i="2"/>
  <c r="C34" i="2"/>
  <c r="C30" i="2"/>
  <c r="C22" i="2"/>
  <c r="C18" i="2"/>
  <c r="C14" i="2"/>
  <c r="C10" i="2"/>
  <c r="C6" i="2"/>
  <c r="D89" i="2"/>
  <c r="D81" i="2"/>
  <c r="O81" i="2" s="1"/>
  <c r="D77" i="2"/>
  <c r="D73" i="2"/>
  <c r="D69" i="2"/>
  <c r="O69" i="2" s="1"/>
  <c r="D65" i="2"/>
  <c r="D57" i="2"/>
  <c r="D53" i="2"/>
  <c r="D45" i="2"/>
  <c r="D41" i="2"/>
  <c r="O41" i="2" s="1"/>
  <c r="D37" i="2"/>
  <c r="D29" i="2"/>
  <c r="D25" i="2"/>
  <c r="O25" i="2" s="1"/>
  <c r="D17" i="2"/>
  <c r="D13" i="2"/>
  <c r="O13" i="2" s="1"/>
  <c r="D9" i="2"/>
  <c r="D4" i="2"/>
  <c r="D4" i="3"/>
  <c r="C8" i="3"/>
  <c r="D11" i="3"/>
  <c r="D13" i="3"/>
  <c r="D15" i="3"/>
  <c r="O15" i="3" s="1"/>
  <c r="C25" i="3"/>
  <c r="D26" i="3"/>
  <c r="C30" i="3"/>
  <c r="O12" i="9"/>
  <c r="O11" i="10"/>
  <c r="O3" i="11"/>
  <c r="O5" i="11"/>
  <c r="O7" i="11"/>
  <c r="O9" i="11"/>
  <c r="O11" i="11"/>
  <c r="O13" i="11"/>
  <c r="O15" i="11"/>
  <c r="O19" i="11"/>
  <c r="O23" i="11"/>
  <c r="O27" i="11"/>
  <c r="O31" i="11"/>
  <c r="O35" i="11"/>
  <c r="O6" i="12"/>
  <c r="O10" i="12"/>
  <c r="O14" i="12"/>
  <c r="O18" i="12"/>
  <c r="O22" i="12"/>
  <c r="O26" i="12"/>
  <c r="O30" i="12"/>
  <c r="O34" i="12"/>
  <c r="O62" i="12"/>
  <c r="O70" i="12"/>
  <c r="O78" i="12"/>
  <c r="O86" i="12"/>
  <c r="O94" i="12"/>
  <c r="O38" i="13"/>
  <c r="O46" i="13"/>
  <c r="O54" i="13"/>
  <c r="O62" i="13"/>
  <c r="O70" i="13"/>
  <c r="O80" i="13"/>
  <c r="O84" i="13"/>
  <c r="O27" i="14"/>
  <c r="O29" i="14"/>
  <c r="O31" i="14"/>
  <c r="O33" i="14"/>
  <c r="O35" i="14"/>
  <c r="O4" i="15"/>
  <c r="O6" i="15"/>
  <c r="O8" i="15"/>
  <c r="O10" i="15"/>
  <c r="O12" i="15"/>
  <c r="O14" i="15"/>
  <c r="O16" i="15"/>
  <c r="O18" i="15"/>
  <c r="O20" i="15"/>
  <c r="O22" i="15"/>
  <c r="O24" i="15"/>
  <c r="O32" i="15"/>
  <c r="O57" i="15"/>
  <c r="O59" i="15"/>
  <c r="O73" i="15"/>
  <c r="O75" i="15"/>
  <c r="O89" i="15"/>
  <c r="O91" i="15"/>
  <c r="C24" i="2"/>
  <c r="D19" i="3"/>
  <c r="O44" i="1"/>
  <c r="O62" i="1"/>
  <c r="O76" i="1"/>
  <c r="O82" i="1"/>
  <c r="C89" i="2"/>
  <c r="C85" i="2"/>
  <c r="C77" i="2"/>
  <c r="C73" i="2"/>
  <c r="C69" i="2"/>
  <c r="C65" i="2"/>
  <c r="C61" i="2"/>
  <c r="C57" i="2"/>
  <c r="C49" i="2"/>
  <c r="C45" i="2"/>
  <c r="C41" i="2"/>
  <c r="C37" i="2"/>
  <c r="C25" i="2"/>
  <c r="C21" i="2"/>
  <c r="C9" i="2"/>
  <c r="C4" i="2"/>
  <c r="D84" i="2"/>
  <c r="D80" i="2"/>
  <c r="D72" i="2"/>
  <c r="D68" i="2"/>
  <c r="O68" i="2" s="1"/>
  <c r="D56" i="2"/>
  <c r="D52" i="2"/>
  <c r="D48" i="2"/>
  <c r="O4" i="3"/>
  <c r="O58" i="3"/>
  <c r="O42" i="4"/>
  <c r="O43" i="9"/>
  <c r="O3" i="10"/>
  <c r="O9" i="10"/>
  <c r="O15" i="10"/>
  <c r="O19" i="10"/>
  <c r="O60" i="10"/>
  <c r="O65" i="10"/>
  <c r="O73" i="10"/>
  <c r="O85" i="10"/>
  <c r="O93" i="10"/>
  <c r="O39" i="11"/>
  <c r="O55" i="11"/>
  <c r="O71" i="11"/>
  <c r="O87" i="11"/>
  <c r="O64" i="12"/>
  <c r="O72" i="12"/>
  <c r="O80" i="12"/>
  <c r="O88" i="12"/>
  <c r="O96" i="12"/>
  <c r="O40" i="13"/>
  <c r="O48" i="13"/>
  <c r="O56" i="13"/>
  <c r="O64" i="13"/>
  <c r="O72" i="13"/>
  <c r="O81" i="13"/>
  <c r="O43" i="14"/>
  <c r="O79" i="14"/>
  <c r="O87" i="14"/>
  <c r="O94" i="14"/>
  <c r="O25" i="15"/>
  <c r="O84" i="16"/>
  <c r="O61" i="16"/>
  <c r="O68" i="16"/>
  <c r="O93" i="16"/>
  <c r="O4" i="17"/>
  <c r="O5" i="17"/>
  <c r="O6" i="17"/>
  <c r="O17" i="17"/>
  <c r="O38" i="18"/>
  <c r="O42" i="18"/>
  <c r="O46" i="18"/>
  <c r="O49" i="18"/>
  <c r="O60" i="18"/>
  <c r="O68" i="18"/>
  <c r="O77" i="18"/>
  <c r="O78" i="18"/>
  <c r="O81" i="18"/>
  <c r="O82" i="18"/>
  <c r="O36" i="19"/>
  <c r="O42" i="19"/>
  <c r="O46" i="19"/>
  <c r="O82" i="19"/>
  <c r="O94" i="19"/>
  <c r="O43" i="20"/>
  <c r="O80" i="20"/>
  <c r="O40" i="21"/>
  <c r="O56" i="21"/>
  <c r="O72" i="21"/>
  <c r="O76" i="21"/>
  <c r="O84" i="21"/>
  <c r="O41" i="16"/>
  <c r="O43" i="16"/>
  <c r="O45" i="16"/>
  <c r="O47" i="16"/>
  <c r="O49" i="16"/>
  <c r="O51" i="16"/>
  <c r="O53" i="16"/>
  <c r="O60" i="16"/>
  <c r="O85" i="16"/>
  <c r="O92" i="16"/>
  <c r="O43" i="18"/>
  <c r="O19" i="19"/>
  <c r="O35" i="19"/>
  <c r="O38" i="19"/>
  <c r="O40" i="19"/>
  <c r="O43" i="19"/>
  <c r="O47" i="19"/>
  <c r="O74" i="19"/>
  <c r="O86" i="19"/>
  <c r="O39" i="20"/>
  <c r="O47" i="20"/>
  <c r="O51" i="20"/>
  <c r="O55" i="20"/>
  <c r="O59" i="20"/>
  <c r="O63" i="20"/>
  <c r="O67" i="20"/>
  <c r="O71" i="20"/>
  <c r="O75" i="20"/>
  <c r="O91" i="20"/>
  <c r="O95" i="20"/>
  <c r="O99" i="20"/>
  <c r="O3" i="21"/>
  <c r="O5" i="21"/>
  <c r="O7" i="21"/>
  <c r="O9" i="21"/>
  <c r="O11" i="21"/>
  <c r="O13" i="21"/>
  <c r="O15" i="21"/>
  <c r="O90" i="22"/>
  <c r="O27" i="23"/>
  <c r="O28" i="23"/>
  <c r="O29" i="23"/>
  <c r="O30" i="23"/>
  <c r="O31" i="23"/>
  <c r="O32" i="23"/>
  <c r="O33" i="23"/>
  <c r="O34" i="23"/>
  <c r="O35" i="23"/>
  <c r="O37" i="23"/>
  <c r="O40" i="23"/>
  <c r="O51" i="23"/>
  <c r="O53" i="23"/>
  <c r="O56" i="23"/>
  <c r="O67" i="23"/>
  <c r="O69" i="23"/>
  <c r="O72" i="23"/>
  <c r="O83" i="23"/>
  <c r="O85" i="23"/>
  <c r="O88" i="23"/>
  <c r="O99" i="23"/>
  <c r="O3" i="24"/>
  <c r="O38" i="24"/>
  <c r="O51" i="24"/>
  <c r="O55" i="24"/>
  <c r="O59" i="24"/>
  <c r="O63" i="24"/>
  <c r="O67" i="24"/>
  <c r="O71" i="24"/>
  <c r="O44" i="25"/>
  <c r="O48" i="25"/>
  <c r="O61" i="25"/>
  <c r="O65" i="25"/>
  <c r="O99" i="28"/>
  <c r="O4" i="25"/>
  <c r="O6" i="25"/>
  <c r="O8" i="25"/>
  <c r="O26" i="26"/>
  <c r="O32" i="26"/>
  <c r="O37" i="26"/>
  <c r="O35" i="27"/>
  <c r="O21" i="28"/>
  <c r="O23" i="28"/>
  <c r="O55" i="28"/>
  <c r="O23" i="29"/>
  <c r="O47" i="29"/>
  <c r="O75" i="29"/>
  <c r="O96" i="21"/>
  <c r="O50" i="22"/>
  <c r="O57" i="22"/>
  <c r="O61" i="22"/>
  <c r="O82" i="22"/>
  <c r="O89" i="22"/>
  <c r="O93" i="22"/>
  <c r="O39" i="23"/>
  <c r="O41" i="23"/>
  <c r="O44" i="23"/>
  <c r="O55" i="23"/>
  <c r="O57" i="23"/>
  <c r="O60" i="23"/>
  <c r="O71" i="23"/>
  <c r="O73" i="23"/>
  <c r="O76" i="23"/>
  <c r="O87" i="23"/>
  <c r="O89" i="23"/>
  <c r="O92" i="23"/>
  <c r="O37" i="24"/>
  <c r="O39" i="24"/>
  <c r="O42" i="24"/>
  <c r="O50" i="24"/>
  <c r="O54" i="24"/>
  <c r="O58" i="24"/>
  <c r="O62" i="24"/>
  <c r="O66" i="24"/>
  <c r="O70" i="24"/>
  <c r="O91" i="24"/>
  <c r="O95" i="24"/>
  <c r="O28" i="25"/>
  <c r="O30" i="25"/>
  <c r="O32" i="25"/>
  <c r="O19" i="26"/>
  <c r="O19" i="27"/>
  <c r="O27" i="27"/>
  <c r="O38" i="28"/>
  <c r="O91" i="28"/>
  <c r="O27" i="29"/>
  <c r="O50" i="29"/>
  <c r="O63" i="29"/>
  <c r="O86" i="29"/>
  <c r="O91" i="29"/>
  <c r="O20" i="30"/>
  <c r="O22" i="30"/>
  <c r="O24" i="30"/>
  <c r="O26" i="30"/>
  <c r="O28" i="30"/>
  <c r="O30" i="30"/>
  <c r="O32" i="30"/>
  <c r="O33" i="30"/>
  <c r="O34" i="30"/>
  <c r="O35" i="30"/>
  <c r="O43" i="30"/>
  <c r="O51" i="30"/>
  <c r="O59" i="30"/>
  <c r="O67" i="30"/>
  <c r="O75" i="30"/>
  <c r="O83" i="30"/>
  <c r="O91" i="30"/>
  <c r="O98" i="30"/>
  <c r="O99" i="30"/>
  <c r="O42" i="31"/>
  <c r="O50" i="31"/>
  <c r="O58" i="31"/>
  <c r="O66" i="31"/>
  <c r="O74" i="31"/>
  <c r="O82" i="31"/>
  <c r="O90" i="31"/>
  <c r="O37" i="30"/>
  <c r="O45" i="30"/>
  <c r="O53" i="30"/>
  <c r="O61" i="30"/>
  <c r="O69" i="30"/>
  <c r="O77" i="30"/>
  <c r="O85" i="30"/>
  <c r="O93" i="30"/>
  <c r="O36" i="31"/>
  <c r="O44" i="31"/>
  <c r="O52" i="31"/>
  <c r="O60" i="31"/>
  <c r="O68" i="31"/>
  <c r="O76" i="31"/>
  <c r="O84" i="31"/>
  <c r="O92" i="31"/>
  <c r="O32" i="3"/>
  <c r="O60" i="2"/>
  <c r="O40" i="2"/>
  <c r="O24" i="2"/>
  <c r="O16" i="2"/>
  <c r="O12" i="2"/>
  <c r="O43" i="2"/>
  <c r="O85" i="2"/>
  <c r="O51" i="2"/>
  <c r="O19" i="2"/>
  <c r="O8" i="2"/>
  <c r="O45" i="1"/>
  <c r="O103" i="1"/>
  <c r="O38" i="3"/>
  <c r="O46" i="3"/>
  <c r="O7" i="5"/>
  <c r="O9" i="5"/>
  <c r="O42" i="5"/>
  <c r="O50" i="5"/>
  <c r="O96" i="5"/>
  <c r="O6" i="9"/>
  <c r="O14" i="9"/>
  <c r="O7" i="10"/>
  <c r="O21" i="1"/>
  <c r="O43" i="1"/>
  <c r="O47" i="1"/>
  <c r="O22" i="5"/>
  <c r="O30" i="5"/>
  <c r="O61" i="5"/>
  <c r="O79" i="5"/>
  <c r="O60" i="8"/>
  <c r="O16" i="9"/>
  <c r="O5" i="10"/>
  <c r="O13" i="10"/>
  <c r="O17" i="10"/>
  <c r="O21" i="10"/>
  <c r="O23" i="10"/>
  <c r="O25" i="10"/>
  <c r="O27" i="10"/>
  <c r="O29" i="10"/>
  <c r="O31" i="10"/>
  <c r="O33" i="10"/>
  <c r="O35" i="10"/>
  <c r="O40" i="10"/>
  <c r="O17" i="11"/>
  <c r="O21" i="11"/>
  <c r="O25" i="11"/>
  <c r="O29" i="11"/>
  <c r="O33" i="11"/>
  <c r="O43" i="11"/>
  <c r="O59" i="11"/>
  <c r="O75" i="11"/>
  <c r="O91" i="11"/>
  <c r="O4" i="12"/>
  <c r="O8" i="12"/>
  <c r="O12" i="12"/>
  <c r="O16" i="12"/>
  <c r="O20" i="12"/>
  <c r="O24" i="12"/>
  <c r="O28" i="12"/>
  <c r="O32" i="12"/>
  <c r="O42" i="12"/>
  <c r="O46" i="12"/>
  <c r="O50" i="12"/>
  <c r="O54" i="12"/>
  <c r="O58" i="12"/>
  <c r="O66" i="12"/>
  <c r="O74" i="12"/>
  <c r="O82" i="12"/>
  <c r="O90" i="12"/>
  <c r="O98" i="12"/>
  <c r="O42" i="13"/>
  <c r="O50" i="13"/>
  <c r="O58" i="13"/>
  <c r="O66" i="13"/>
  <c r="O74" i="13"/>
  <c r="O85" i="13"/>
  <c r="O88" i="13"/>
  <c r="O23" i="14"/>
  <c r="O25" i="14"/>
  <c r="O38" i="14"/>
  <c r="O51" i="14"/>
  <c r="O58" i="14"/>
  <c r="O63" i="14"/>
  <c r="O70" i="14"/>
  <c r="O83" i="14"/>
  <c r="O90" i="14"/>
  <c r="O95" i="14"/>
  <c r="O26" i="15"/>
  <c r="O27" i="15"/>
  <c r="O33" i="15"/>
  <c r="O39" i="15"/>
  <c r="O42" i="15"/>
  <c r="O45" i="15"/>
  <c r="O53" i="15"/>
  <c r="O55" i="15"/>
  <c r="O58" i="15"/>
  <c r="O69" i="15"/>
  <c r="O71" i="15"/>
  <c r="O74" i="15"/>
  <c r="O85" i="15"/>
  <c r="O87" i="15"/>
  <c r="O90" i="15"/>
  <c r="O56" i="16"/>
  <c r="O64" i="16"/>
  <c r="O72" i="16"/>
  <c r="O80" i="16"/>
  <c r="O88" i="16"/>
  <c r="O96" i="16"/>
  <c r="O12" i="17"/>
  <c r="O13" i="17"/>
  <c r="O14" i="17"/>
  <c r="O36" i="17"/>
  <c r="O44" i="17"/>
  <c r="O52" i="17"/>
  <c r="O60" i="17"/>
  <c r="O68" i="17"/>
  <c r="O76" i="17"/>
  <c r="O84" i="17"/>
  <c r="O92" i="17"/>
  <c r="O3" i="18"/>
  <c r="O5" i="18"/>
  <c r="O7" i="18"/>
  <c r="O9" i="18"/>
  <c r="O11" i="18"/>
  <c r="O13" i="18"/>
  <c r="O15" i="18"/>
  <c r="O17" i="18"/>
  <c r="O19" i="18"/>
  <c r="O21" i="18"/>
  <c r="O23" i="18"/>
  <c r="O25" i="18"/>
  <c r="O27" i="18"/>
  <c r="O29" i="18"/>
  <c r="O31" i="18"/>
  <c r="O33" i="18"/>
  <c r="O35" i="18"/>
  <c r="O36" i="18"/>
  <c r="O39" i="18"/>
  <c r="O40" i="18"/>
  <c r="O44" i="18"/>
  <c r="O50" i="18"/>
  <c r="O53" i="18"/>
  <c r="O57" i="18"/>
  <c r="O62" i="18"/>
  <c r="O64" i="18"/>
  <c r="O89" i="18"/>
  <c r="O90" i="18"/>
  <c r="O92" i="18"/>
  <c r="O96" i="18"/>
  <c r="O7" i="19"/>
  <c r="O39" i="19"/>
  <c r="O58" i="19"/>
  <c r="O62" i="19"/>
  <c r="O71" i="19"/>
  <c r="O79" i="19"/>
  <c r="O87" i="19"/>
  <c r="O95" i="19"/>
  <c r="O99" i="19"/>
  <c r="O7" i="20"/>
  <c r="O13" i="20"/>
  <c r="O18" i="20"/>
  <c r="O23" i="20"/>
  <c r="O29" i="20"/>
  <c r="O33" i="20"/>
  <c r="O48" i="20"/>
  <c r="O52" i="20"/>
  <c r="O60" i="20"/>
  <c r="O64" i="20"/>
  <c r="O76" i="20"/>
  <c r="O41" i="10"/>
  <c r="O44" i="10"/>
  <c r="O52" i="10"/>
  <c r="O64" i="10"/>
  <c r="O72" i="10"/>
  <c r="O77" i="10"/>
  <c r="O84" i="10"/>
  <c r="O96" i="10"/>
  <c r="O47" i="11"/>
  <c r="O63" i="11"/>
  <c r="O79" i="11"/>
  <c r="O95" i="11"/>
  <c r="O60" i="12"/>
  <c r="O68" i="12"/>
  <c r="O76" i="12"/>
  <c r="O84" i="12"/>
  <c r="O92" i="12"/>
  <c r="O36" i="13"/>
  <c r="O44" i="13"/>
  <c r="O52" i="13"/>
  <c r="O60" i="13"/>
  <c r="O68" i="13"/>
  <c r="O76" i="13"/>
  <c r="O89" i="13"/>
  <c r="O92" i="13"/>
  <c r="O39" i="14"/>
  <c r="O46" i="14"/>
  <c r="O59" i="14"/>
  <c r="O66" i="14"/>
  <c r="O71" i="14"/>
  <c r="O78" i="14"/>
  <c r="O91" i="14"/>
  <c r="O98" i="14"/>
  <c r="O34" i="15"/>
  <c r="O35" i="15"/>
  <c r="O46" i="15"/>
  <c r="O49" i="15"/>
  <c r="O51" i="15"/>
  <c r="O54" i="15"/>
  <c r="O65" i="15"/>
  <c r="O67" i="15"/>
  <c r="O70" i="15"/>
  <c r="O81" i="15"/>
  <c r="O83" i="15"/>
  <c r="O86" i="15"/>
  <c r="O97" i="15"/>
  <c r="O99" i="15"/>
  <c r="O4" i="16"/>
  <c r="O6" i="16"/>
  <c r="O8" i="16"/>
  <c r="O10" i="16"/>
  <c r="O12" i="16"/>
  <c r="O14" i="16"/>
  <c r="O59" i="16"/>
  <c r="O67" i="16"/>
  <c r="O75" i="16"/>
  <c r="O83" i="16"/>
  <c r="O91" i="16"/>
  <c r="O99" i="16"/>
  <c r="O54" i="18"/>
  <c r="O58" i="18"/>
  <c r="O65" i="18"/>
  <c r="O66" i="18"/>
  <c r="O70" i="18"/>
  <c r="O72" i="18"/>
  <c r="O84" i="18"/>
  <c r="O93" i="18"/>
  <c r="O94" i="18"/>
  <c r="O97" i="18"/>
  <c r="O98" i="18"/>
  <c r="O3" i="19"/>
  <c r="O15" i="19"/>
  <c r="O23" i="19"/>
  <c r="O31" i="19"/>
  <c r="O50" i="19"/>
  <c r="O54" i="19"/>
  <c r="O59" i="19"/>
  <c r="O63" i="19"/>
  <c r="O8" i="20"/>
  <c r="O24" i="20"/>
  <c r="O35" i="20"/>
  <c r="O16" i="21"/>
  <c r="O88" i="21"/>
  <c r="O95" i="21"/>
  <c r="O55" i="16"/>
  <c r="O57" i="16"/>
  <c r="O63" i="16"/>
  <c r="O65" i="16"/>
  <c r="O71" i="16"/>
  <c r="O73" i="16"/>
  <c r="O79" i="16"/>
  <c r="O81" i="16"/>
  <c r="O87" i="16"/>
  <c r="O89" i="16"/>
  <c r="O95" i="16"/>
  <c r="O97" i="16"/>
  <c r="O9" i="17"/>
  <c r="O42" i="17"/>
  <c r="O50" i="17"/>
  <c r="O58" i="17"/>
  <c r="O66" i="17"/>
  <c r="O74" i="17"/>
  <c r="O82" i="17"/>
  <c r="O90" i="17"/>
  <c r="O98" i="17"/>
  <c r="O44" i="21"/>
  <c r="O60" i="21"/>
  <c r="O79" i="21"/>
  <c r="O91" i="21"/>
  <c r="O16" i="22"/>
  <c r="O17" i="22"/>
  <c r="O18" i="22"/>
  <c r="O32" i="22"/>
  <c r="O33" i="22"/>
  <c r="O34" i="22"/>
  <c r="O37" i="22"/>
  <c r="O53" i="22"/>
  <c r="O69" i="22"/>
  <c r="O85" i="22"/>
  <c r="O47" i="23"/>
  <c r="O49" i="23"/>
  <c r="O63" i="23"/>
  <c r="O65" i="23"/>
  <c r="O79" i="23"/>
  <c r="O81" i="23"/>
  <c r="O95" i="23"/>
  <c r="O97" i="23"/>
  <c r="O45" i="24"/>
  <c r="O47" i="24"/>
  <c r="O74" i="24"/>
  <c r="O78" i="24"/>
  <c r="O87" i="24"/>
  <c r="O12" i="25"/>
  <c r="O14" i="25"/>
  <c r="O16" i="25"/>
  <c r="O36" i="25"/>
  <c r="O40" i="25"/>
  <c r="O45" i="25"/>
  <c r="O49" i="25"/>
  <c r="O68" i="25"/>
  <c r="O72" i="25"/>
  <c r="O83" i="25"/>
  <c r="O87" i="25"/>
  <c r="O11" i="26"/>
  <c r="O27" i="26"/>
  <c r="O38" i="26"/>
  <c r="O39" i="26"/>
  <c r="O50" i="26"/>
  <c r="O53" i="26"/>
  <c r="O61" i="26"/>
  <c r="O77" i="26"/>
  <c r="O93" i="26"/>
  <c r="O6" i="27"/>
  <c r="O12" i="27"/>
  <c r="O21" i="27"/>
  <c r="O22" i="27"/>
  <c r="O28" i="27"/>
  <c r="O3" i="28"/>
  <c r="O5" i="28"/>
  <c r="O7" i="28"/>
  <c r="O8" i="28"/>
  <c r="O9" i="28"/>
  <c r="O10" i="28"/>
  <c r="O11" i="28"/>
  <c r="O12" i="28"/>
  <c r="O13" i="28"/>
  <c r="O14" i="28"/>
  <c r="O15" i="28"/>
  <c r="O20" i="21"/>
  <c r="O24" i="21"/>
  <c r="O26" i="21"/>
  <c r="O48" i="21"/>
  <c r="O64" i="21"/>
  <c r="O80" i="21"/>
  <c r="O87" i="21"/>
  <c r="O92" i="21"/>
  <c r="O5" i="22"/>
  <c r="O21" i="22"/>
  <c r="O38" i="22"/>
  <c r="O54" i="22"/>
  <c r="O70" i="22"/>
  <c r="O86" i="22"/>
  <c r="O43" i="23"/>
  <c r="O45" i="23"/>
  <c r="O48" i="23"/>
  <c r="O59" i="23"/>
  <c r="O61" i="23"/>
  <c r="O64" i="23"/>
  <c r="O75" i="23"/>
  <c r="O77" i="23"/>
  <c r="O80" i="23"/>
  <c r="O91" i="23"/>
  <c r="O93" i="23"/>
  <c r="O96" i="23"/>
  <c r="O41" i="24"/>
  <c r="O43" i="24"/>
  <c r="O46" i="24"/>
  <c r="O75" i="24"/>
  <c r="O79" i="24"/>
  <c r="O98" i="24"/>
  <c r="O20" i="25"/>
  <c r="O22" i="25"/>
  <c r="O24" i="25"/>
  <c r="O41" i="25"/>
  <c r="O60" i="25"/>
  <c r="O64" i="25"/>
  <c r="O73" i="25"/>
  <c r="O79" i="25"/>
  <c r="O99" i="25"/>
  <c r="O8" i="26"/>
  <c r="O18" i="26"/>
  <c r="O24" i="26"/>
  <c r="O34" i="26"/>
  <c r="O43" i="26"/>
  <c r="O54" i="26"/>
  <c r="O62" i="26"/>
  <c r="O65" i="26"/>
  <c r="O69" i="26"/>
  <c r="O78" i="26"/>
  <c r="O81" i="26"/>
  <c r="O85" i="26"/>
  <c r="O94" i="26"/>
  <c r="O97" i="26"/>
  <c r="O13" i="27"/>
  <c r="O14" i="27"/>
  <c r="O16" i="27"/>
  <c r="O29" i="27"/>
  <c r="O30" i="27"/>
  <c r="O32" i="27"/>
  <c r="O45" i="27"/>
  <c r="O53" i="27"/>
  <c r="O65" i="27"/>
  <c r="O73" i="27"/>
  <c r="O29" i="22"/>
  <c r="O46" i="22"/>
  <c r="O49" i="22"/>
  <c r="O62" i="22"/>
  <c r="O65" i="22"/>
  <c r="O78" i="22"/>
  <c r="O81" i="22"/>
  <c r="O94" i="22"/>
  <c r="O97" i="22"/>
  <c r="O99" i="22"/>
  <c r="O3" i="23"/>
  <c r="O4" i="23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43" i="27"/>
  <c r="O51" i="27"/>
  <c r="O59" i="27"/>
  <c r="O64" i="27"/>
  <c r="O72" i="27"/>
  <c r="O77" i="27"/>
  <c r="O84" i="27"/>
  <c r="O96" i="27"/>
  <c r="O17" i="28"/>
  <c r="O19" i="28"/>
  <c r="O39" i="28"/>
  <c r="O46" i="28"/>
  <c r="O51" i="28"/>
  <c r="O58" i="28"/>
  <c r="O63" i="28"/>
  <c r="O75" i="28"/>
  <c r="O86" i="28"/>
  <c r="O98" i="28"/>
  <c r="O15" i="29"/>
  <c r="O31" i="29"/>
  <c r="O33" i="29"/>
  <c r="O35" i="29"/>
  <c r="O42" i="29"/>
  <c r="O55" i="29"/>
  <c r="O62" i="29"/>
  <c r="O67" i="29"/>
  <c r="O74" i="29"/>
  <c r="O87" i="29"/>
  <c r="O94" i="29"/>
  <c r="O99" i="29"/>
  <c r="O4" i="30"/>
  <c r="O6" i="30"/>
  <c r="O8" i="30"/>
  <c r="O10" i="30"/>
  <c r="O12" i="30"/>
  <c r="O14" i="30"/>
  <c r="O16" i="30"/>
  <c r="O18" i="30"/>
  <c r="O42" i="30"/>
  <c r="O50" i="30"/>
  <c r="O58" i="30"/>
  <c r="O66" i="30"/>
  <c r="O74" i="30"/>
  <c r="O82" i="30"/>
  <c r="O90" i="30"/>
  <c r="O38" i="31"/>
  <c r="O46" i="31"/>
  <c r="O54" i="31"/>
  <c r="O62" i="31"/>
  <c r="O70" i="31"/>
  <c r="O78" i="31"/>
  <c r="O86" i="31"/>
  <c r="O94" i="31"/>
  <c r="O31" i="28"/>
  <c r="O33" i="28"/>
  <c r="O35" i="28"/>
  <c r="O3" i="29"/>
  <c r="O19" i="29"/>
  <c r="O40" i="31"/>
  <c r="O48" i="31"/>
  <c r="O56" i="31"/>
  <c r="O64" i="31"/>
  <c r="O72" i="31"/>
  <c r="O80" i="31"/>
  <c r="O88" i="31"/>
  <c r="O96" i="31"/>
  <c r="O80" i="27"/>
  <c r="O88" i="27"/>
  <c r="O93" i="27"/>
  <c r="O43" i="28"/>
  <c r="O54" i="28"/>
  <c r="O66" i="28"/>
  <c r="O71" i="28"/>
  <c r="O78" i="28"/>
  <c r="O83" i="28"/>
  <c r="O90" i="28"/>
  <c r="O95" i="28"/>
  <c r="O39" i="29"/>
  <c r="O46" i="29"/>
  <c r="O51" i="29"/>
  <c r="O58" i="29"/>
  <c r="O71" i="29"/>
  <c r="O78" i="29"/>
  <c r="O83" i="29"/>
  <c r="O90" i="29"/>
  <c r="O38" i="30"/>
  <c r="O39" i="30"/>
  <c r="O46" i="30"/>
  <c r="O47" i="30"/>
  <c r="O54" i="30"/>
  <c r="O55" i="30"/>
  <c r="O62" i="30"/>
  <c r="O63" i="30"/>
  <c r="O70" i="30"/>
  <c r="O71" i="30"/>
  <c r="O78" i="30"/>
  <c r="O79" i="30"/>
  <c r="O86" i="30"/>
  <c r="O87" i="30"/>
  <c r="O94" i="30"/>
  <c r="O95" i="30"/>
  <c r="O7" i="31"/>
  <c r="O8" i="31"/>
  <c r="O9" i="31"/>
  <c r="O10" i="31"/>
  <c r="O98" i="31"/>
  <c r="O3" i="31"/>
  <c r="O11" i="31"/>
  <c r="O5" i="31"/>
  <c r="O13" i="31"/>
  <c r="O4" i="22"/>
  <c r="O12" i="22"/>
  <c r="O20" i="22"/>
  <c r="O28" i="22"/>
  <c r="O6" i="22"/>
  <c r="O14" i="22"/>
  <c r="O22" i="22"/>
  <c r="O30" i="22"/>
  <c r="O6" i="26"/>
  <c r="O14" i="26"/>
  <c r="O22" i="26"/>
  <c r="O30" i="26"/>
  <c r="O4" i="27"/>
  <c r="O20" i="27"/>
  <c r="O4" i="26"/>
  <c r="O12" i="26"/>
  <c r="O20" i="26"/>
  <c r="O28" i="26"/>
  <c r="O5" i="27"/>
  <c r="O9" i="27"/>
  <c r="O17" i="27"/>
  <c r="O25" i="27"/>
  <c r="O33" i="27"/>
  <c r="O7" i="27"/>
  <c r="O15" i="27"/>
  <c r="O23" i="27"/>
  <c r="O31" i="27"/>
  <c r="O3" i="20"/>
  <c r="O11" i="20"/>
  <c r="O19" i="20"/>
  <c r="O27" i="20"/>
  <c r="O9" i="20"/>
  <c r="O17" i="20"/>
  <c r="O25" i="20"/>
  <c r="O38" i="12"/>
  <c r="O30" i="15"/>
  <c r="O28" i="15"/>
  <c r="O3" i="16"/>
  <c r="O5" i="16"/>
  <c r="O7" i="16"/>
  <c r="O9" i="16"/>
  <c r="O11" i="16"/>
  <c r="O13" i="16"/>
  <c r="O15" i="16"/>
  <c r="O17" i="16"/>
  <c r="O19" i="16"/>
  <c r="O21" i="16"/>
  <c r="O23" i="16"/>
  <c r="O25" i="16"/>
  <c r="O27" i="16"/>
  <c r="O29" i="16"/>
  <c r="O31" i="16"/>
  <c r="O33" i="16"/>
  <c r="O8" i="17"/>
  <c r="O35" i="16"/>
  <c r="O10" i="17"/>
  <c r="O14" i="5"/>
</calcChain>
</file>

<file path=xl/sharedStrings.xml><?xml version="1.0" encoding="utf-8"?>
<sst xmlns="http://schemas.openxmlformats.org/spreadsheetml/2006/main" count="4350" uniqueCount="243">
  <si>
    <t>شيت دخول وخروج السيارات ايتوال عن يوم الخميس الموافق 19/2/2026</t>
  </si>
  <si>
    <t>م</t>
  </si>
  <si>
    <t>رقم
 السيارة</t>
  </si>
  <si>
    <t>نوع
 السيارة</t>
  </si>
  <si>
    <t>الزمن المعيارى للتحميل</t>
  </si>
  <si>
    <t>اسم
 الفرع</t>
  </si>
  <si>
    <t>اسم
 السائق</t>
  </si>
  <si>
    <t>وقت الحضور المقرر</t>
  </si>
  <si>
    <t>الحضور فعلى</t>
  </si>
  <si>
    <t>مدة التأخير</t>
  </si>
  <si>
    <t>دخول
 الكيدج</t>
  </si>
  <si>
    <t>نزول من
 الكيدج</t>
  </si>
  <si>
    <t>أخصائى الدفترى</t>
  </si>
  <si>
    <t>أخصائى السيستم</t>
  </si>
  <si>
    <t>مدة التحميل</t>
  </si>
  <si>
    <t>مدة انحراف التحميل</t>
  </si>
  <si>
    <t>الزمن المعيارى لنزول الاذن</t>
  </si>
  <si>
    <t>وقت نزول
 الاذن</t>
  </si>
  <si>
    <t>مدة انحراف نزول الاذن</t>
  </si>
  <si>
    <t>خروج من
 المصنع</t>
  </si>
  <si>
    <t>الزمن المعيارى
لدخول الفرع</t>
  </si>
  <si>
    <t xml:space="preserve">دخول
 الفرع </t>
  </si>
  <si>
    <t>مدة انحراف دخول الفرع</t>
  </si>
  <si>
    <t>الزمن المعيارى
لنزول المنتجات</t>
  </si>
  <si>
    <t>فتح
 السياره</t>
  </si>
  <si>
    <t>غلق
 السياره</t>
  </si>
  <si>
    <t>الوقت المستغرق</t>
  </si>
  <si>
    <t>مدة انحراف نزول المنتجات فى الفرع</t>
  </si>
  <si>
    <t>خروج من
 الفرع</t>
  </si>
  <si>
    <t>ملاحظات</t>
  </si>
  <si>
    <t>النزهة</t>
  </si>
  <si>
    <t>وائل علي</t>
  </si>
  <si>
    <t>احمد عبد الجواد</t>
  </si>
  <si>
    <t>رحلة اولى ( شرقى ومخبوزات وغربى )</t>
  </si>
  <si>
    <t>الجسر</t>
  </si>
  <si>
    <t>المعادي 2</t>
  </si>
  <si>
    <t>رجب محمد</t>
  </si>
  <si>
    <t>محمد هشام</t>
  </si>
  <si>
    <t>العاشر</t>
  </si>
  <si>
    <t>الوسط</t>
  </si>
  <si>
    <t>علي عادل</t>
  </si>
  <si>
    <t>باسم خالد</t>
  </si>
  <si>
    <t>عرابي</t>
  </si>
  <si>
    <t>احمد فوزي</t>
  </si>
  <si>
    <t>عبد الله امير</t>
  </si>
  <si>
    <t>الدقي</t>
  </si>
  <si>
    <t>فيصل</t>
  </si>
  <si>
    <t>عمرو محمد</t>
  </si>
  <si>
    <t>محمد صلاح</t>
  </si>
  <si>
    <t>الطوابق</t>
  </si>
  <si>
    <t>خارجية</t>
  </si>
  <si>
    <t>التجمع 1</t>
  </si>
  <si>
    <t>سمير جمال</t>
  </si>
  <si>
    <t>احمد خيري</t>
  </si>
  <si>
    <t>التجمع 5</t>
  </si>
  <si>
    <t>الشروق 3</t>
  </si>
  <si>
    <t>محمود عبد الفتاح</t>
  </si>
  <si>
    <t>مكرم</t>
  </si>
  <si>
    <t>محد صلاح</t>
  </si>
  <si>
    <t>احمد عبد العزيز</t>
  </si>
  <si>
    <t>جاردينيا</t>
  </si>
  <si>
    <t>الشروق</t>
  </si>
  <si>
    <t>احمد حسن</t>
  </si>
  <si>
    <t>العاشر من رمضان</t>
  </si>
  <si>
    <t>محمود عادل</t>
  </si>
  <si>
    <t>اكتوبر</t>
  </si>
  <si>
    <t>علاء مجدي</t>
  </si>
  <si>
    <t>عباس</t>
  </si>
  <si>
    <t>طه محسن</t>
  </si>
  <si>
    <t>الميرغني</t>
  </si>
  <si>
    <t>الوايلي</t>
  </si>
  <si>
    <t>علي حمدي</t>
  </si>
  <si>
    <t>المنتزة</t>
  </si>
  <si>
    <t>المعادي 1</t>
  </si>
  <si>
    <t>محمود ابو طالب</t>
  </si>
  <si>
    <t>الشيراتون</t>
  </si>
  <si>
    <t>الشناوي سرور</t>
  </si>
  <si>
    <t>الدوران</t>
  </si>
  <si>
    <t>عمرو عبد الرحمن</t>
  </si>
  <si>
    <t>العباسية</t>
  </si>
  <si>
    <t>جمال فؤاد</t>
  </si>
  <si>
    <t>العبور</t>
  </si>
  <si>
    <t>صبري إمام</t>
  </si>
  <si>
    <t>شبرا</t>
  </si>
  <si>
    <t>سائق خارجي</t>
  </si>
  <si>
    <t>حسام خليل</t>
  </si>
  <si>
    <t>مسطرد</t>
  </si>
  <si>
    <t>محمود عيد</t>
  </si>
  <si>
    <t>محمد فؤاد</t>
  </si>
  <si>
    <t>الشريف</t>
  </si>
  <si>
    <t>احمد عواد</t>
  </si>
  <si>
    <t>محمد دسوقي</t>
  </si>
  <si>
    <t>الكوربة</t>
  </si>
  <si>
    <t>محمد مراد</t>
  </si>
  <si>
    <t>احمد فايز</t>
  </si>
  <si>
    <t>السواح</t>
  </si>
  <si>
    <t>عبد العظيم رمضان</t>
  </si>
  <si>
    <t>محمد عادل</t>
  </si>
  <si>
    <t>المطرية</t>
  </si>
  <si>
    <t>جمعة السيد</t>
  </si>
  <si>
    <t xml:space="preserve">عبد الرحمن ابراهيم </t>
  </si>
  <si>
    <t>عبد الرحمن ابراهيم</t>
  </si>
  <si>
    <t>تلتين</t>
  </si>
  <si>
    <t>محمود سعيد</t>
  </si>
  <si>
    <t>رحلة ثانية ( شرقى وغربى ومخبوزات )</t>
  </si>
  <si>
    <t>اسلام محمد</t>
  </si>
  <si>
    <t>كريم محمود</t>
  </si>
  <si>
    <t>عمر ابراهيم</t>
  </si>
  <si>
    <t>ابو بكر</t>
  </si>
  <si>
    <t xml:space="preserve">محمد عبد الله </t>
  </si>
  <si>
    <t>حسام جمال</t>
  </si>
  <si>
    <t>محمد رجب</t>
  </si>
  <si>
    <t>شريف ابراهيم</t>
  </si>
  <si>
    <t>اسلام الجندي</t>
  </si>
  <si>
    <t>علي النبوي</t>
  </si>
  <si>
    <t>عاطف صابر</t>
  </si>
  <si>
    <t>رحلة ثالثة ( شرقى وغربى ومخبوزات )</t>
  </si>
  <si>
    <t>محمد حسان</t>
  </si>
  <si>
    <t>كارم سعيد</t>
  </si>
  <si>
    <t>شيت دخول وخروج السيارات ايتوال عن يوم السبت الموافق 21/3/2026</t>
  </si>
  <si>
    <t>شيت دخول وخروج السيارات ايتوال عن يوم الثلاثاء الموافق 21/4/2026</t>
  </si>
  <si>
    <t>شيت دخول وخروج السيارات ايتوال عن يوم الاربعاء الموافق 22/4/2026</t>
  </si>
  <si>
    <t>شيت دخول وخروج السيارات ايتوال عن يوم الخميس الموافق 23/4/2026</t>
  </si>
  <si>
    <t>شيت دخول وخروج السيارات ايتوال عن يوم الجمعة الموافق 24/4/2026</t>
  </si>
  <si>
    <t>شيت دخول وخروج السيارات ايتوال عن يوم السبت الموافق 25/4/2026</t>
  </si>
  <si>
    <t>شيت دخول وخروج السيارات ايتوال عن يوم الاحد الموافق 26/4/2026</t>
  </si>
  <si>
    <t>شيت دخول وخروج السيارات ايتوال عن يوم الاثنين الموافق 27/4/2026</t>
  </si>
  <si>
    <t>شيت دخول وخروج السيارات ايتوال عن يوم الاربعاء الموافق 29/4/2026</t>
  </si>
  <si>
    <t>شيت دخول وخروج السيارات ايتوال عن يوم الثلاثاء الموافق 28/4/2026</t>
  </si>
  <si>
    <t>شيت دخول وخروج السيارات ايتوال عن يوم الخميس الموافق 30/4/2026</t>
  </si>
  <si>
    <t>شيت دخول وخروج السيارات ايتوال عن يوم الجمعة الموافق 1/5/2026</t>
  </si>
  <si>
    <t>شيت دخول وخروج السيارات ايتوال عن يوم السبت الموافق 2/5/2026</t>
  </si>
  <si>
    <t>شيت دخول وخروج السيارات ايتوال عن يوم الاحد الموافق 3/5/2026</t>
  </si>
  <si>
    <t>شيت دخول وخروج السيارات ايتوال عن يوم الاثنين الموافق 4/5/2026</t>
  </si>
  <si>
    <t>شيت دخول وخروج السيارات ايتوال عن يوم الثلاثاء الموافق 5/5/2026</t>
  </si>
  <si>
    <t>شيت دخول وخروج السيارات ايتوال عن يوم الاربعاء الموافق 6/5/2026</t>
  </si>
  <si>
    <t>شيت دخول وخروج السيارات ايتوال عن يوم الخميس الموافق 7/5/2026</t>
  </si>
  <si>
    <t>عبدالرحمن هشام</t>
  </si>
  <si>
    <t>محمد علي</t>
  </si>
  <si>
    <t>محمد صادق</t>
  </si>
  <si>
    <t>عمر الجوهري</t>
  </si>
  <si>
    <t>احمد امام</t>
  </si>
  <si>
    <t>سيد رزق</t>
  </si>
  <si>
    <t>احمد حسين</t>
  </si>
  <si>
    <t>عبدالرحمن عاطف</t>
  </si>
  <si>
    <t>محمد عباس</t>
  </si>
  <si>
    <t>عمرو المهدي</t>
  </si>
  <si>
    <t>اسامه مصطفى</t>
  </si>
  <si>
    <t>رامي حسن</t>
  </si>
  <si>
    <t>احمد سعيد</t>
  </si>
  <si>
    <t>رامي عادل</t>
  </si>
  <si>
    <t>رضا معروف</t>
  </si>
  <si>
    <t>خالد صبري</t>
  </si>
  <si>
    <t>مصطفى احمد</t>
  </si>
  <si>
    <t>خالد محمد</t>
  </si>
  <si>
    <t>عبدالرحمن محمد</t>
  </si>
  <si>
    <t>محمود عبدالفتاح</t>
  </si>
  <si>
    <t>محمد امام</t>
  </si>
  <si>
    <t>عبدالرحمن ابراهيم</t>
  </si>
  <si>
    <t>محمود ابوطالب</t>
  </si>
  <si>
    <t>جمال حامد</t>
  </si>
  <si>
    <t>مصطفى عيسى</t>
  </si>
  <si>
    <t>حسين حامد</t>
  </si>
  <si>
    <t>مدحت محمد</t>
  </si>
  <si>
    <t>سعيد محمد</t>
  </si>
  <si>
    <t>محمد ابراهيم</t>
  </si>
  <si>
    <t>مصطفى ابراهيم</t>
  </si>
  <si>
    <t>سيد العسال</t>
  </si>
  <si>
    <t>صبري امام</t>
  </si>
  <si>
    <t>علي الشحات</t>
  </si>
  <si>
    <t>خالد عبدة</t>
  </si>
  <si>
    <t>عمرو عبدالرحمن</t>
  </si>
  <si>
    <t>احمد عبدالحميد</t>
  </si>
  <si>
    <t>شوقي فوزي</t>
  </si>
  <si>
    <t>اسلام عبدالرازق</t>
  </si>
  <si>
    <t>طارق عزت</t>
  </si>
  <si>
    <t>شريف محمد</t>
  </si>
  <si>
    <t>محمد زينهم</t>
  </si>
  <si>
    <t>ابراهيم محمد</t>
  </si>
  <si>
    <t>هشام احمد</t>
  </si>
  <si>
    <t>احمد عبدالجواد</t>
  </si>
  <si>
    <t>سامح عبدالسميع</t>
  </si>
  <si>
    <t>محمد عبدالله</t>
  </si>
  <si>
    <t>ابراهيم مغاوري</t>
  </si>
  <si>
    <t>احمد فتحي</t>
  </si>
  <si>
    <t>ناصر ابو السعود</t>
  </si>
  <si>
    <t>محمد حجازي</t>
  </si>
  <si>
    <t>اسلام عبد الرازق</t>
  </si>
  <si>
    <t>مصطفي عيسي</t>
  </si>
  <si>
    <t>دبابة</t>
  </si>
  <si>
    <t>احمد عبد الحميد</t>
  </si>
  <si>
    <t>محمد عطية</t>
  </si>
  <si>
    <t>خضر محمد</t>
  </si>
  <si>
    <t>الوردية الثانية</t>
  </si>
  <si>
    <t>اسامة مصطفي</t>
  </si>
  <si>
    <t>عمرو  محمد</t>
  </si>
  <si>
    <t>مصطفي احمد</t>
  </si>
  <si>
    <t>سامح عبد السميع</t>
  </si>
  <si>
    <t>عبد الرحمن محمد</t>
  </si>
  <si>
    <t>وائل  علي</t>
  </si>
  <si>
    <t>خالد عبده</t>
  </si>
  <si>
    <t>ابراهيم مرسي</t>
  </si>
  <si>
    <t xml:space="preserve">مصطفي ابراهيم </t>
  </si>
  <si>
    <t>مصطفي ابراهيم</t>
  </si>
  <si>
    <t>اشرف فتحي</t>
  </si>
  <si>
    <t>محمد احمد</t>
  </si>
  <si>
    <t>محمد عبد الله</t>
  </si>
  <si>
    <t>عمار حامد</t>
  </si>
  <si>
    <t>سيد بدوي</t>
  </si>
  <si>
    <t>سيف موافي</t>
  </si>
  <si>
    <t>محمد صلاح محمد</t>
  </si>
  <si>
    <t>على النبوى</t>
  </si>
  <si>
    <t>رضاء معروف</t>
  </si>
  <si>
    <t>علاء مجدى</t>
  </si>
  <si>
    <t>احمد عباس</t>
  </si>
  <si>
    <t>احمد فوزى</t>
  </si>
  <si>
    <t>احمد كرم</t>
  </si>
  <si>
    <t>صبرى امام</t>
  </si>
  <si>
    <t>على عادل</t>
  </si>
  <si>
    <t>اسامة مصطفى</t>
  </si>
  <si>
    <t>وائل على</t>
  </si>
  <si>
    <t>عبد الرحمن هشام</t>
  </si>
  <si>
    <t>رامى حسن</t>
  </si>
  <si>
    <t>الشناوى سرور</t>
  </si>
  <si>
    <t xml:space="preserve">رجب محمد </t>
  </si>
  <si>
    <t>على الشحات</t>
  </si>
  <si>
    <t>عبد الحمن عاطف</t>
  </si>
  <si>
    <t>رامى عادل</t>
  </si>
  <si>
    <t>رضاء عباس</t>
  </si>
  <si>
    <t>مصطفى محمد</t>
  </si>
  <si>
    <t>عمرو المهدى</t>
  </si>
  <si>
    <t>محمد  احمد</t>
  </si>
  <si>
    <t>جمعه السيد</t>
  </si>
  <si>
    <t>رامى  حسن</t>
  </si>
  <si>
    <t>محمد السيد</t>
  </si>
  <si>
    <t>محمد عبداالله</t>
  </si>
  <si>
    <t>ناصر ابوالسعود</t>
  </si>
  <si>
    <t>رضا عباس</t>
  </si>
  <si>
    <t>ابوبكر</t>
  </si>
  <si>
    <t>عبدالله امير</t>
  </si>
  <si>
    <t>توفيق دسوقي</t>
  </si>
  <si>
    <t>محمود رجب</t>
  </si>
  <si>
    <t>احمد سويدي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</si>
</sst>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0" fontId="1" fillId="0" borderId="4" xfId="0" applyNumberFormat="1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20" fontId="1" fillId="0" borderId="8" xfId="0" applyNumberFormat="1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20" fontId="1" fillId="0" borderId="12" xfId="0" applyNumberFormat="1" applyFont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20" fontId="1" fillId="0" borderId="16" xfId="0" applyNumberFormat="1" applyFont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textRotation="90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6" fillId="0" borderId="0" xfId="0" applyFont="1"/>
    <xf numFmtId="164" fontId="1" fillId="2" borderId="2" xfId="0" applyNumberFormat="1" applyFont="1" applyFill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0" fillId="0" borderId="0" xfId="0" applyNumberFormat="1"/>
    <xf numFmtId="20" fontId="1" fillId="0" borderId="0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20" fontId="1" fillId="2" borderId="8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 textRotation="90"/>
    </xf>
    <xf numFmtId="0" fontId="5" fillId="4" borderId="10" xfId="0" applyFont="1" applyFill="1" applyBorder="1" applyAlignment="1">
      <alignment horizontal="center" vertical="center" textRotation="90"/>
    </xf>
    <xf numFmtId="0" fontId="5" fillId="4" borderId="14" xfId="0" applyFont="1" applyFill="1" applyBorder="1" applyAlignment="1">
      <alignment horizontal="center" vertical="center" textRotation="90"/>
    </xf>
    <xf numFmtId="0" fontId="5" fillId="4" borderId="19" xfId="0" applyFont="1" applyFill="1" applyBorder="1" applyAlignment="1">
      <alignment horizontal="center" vertical="center" textRotation="90"/>
    </xf>
    <xf numFmtId="0" fontId="5" fillId="4" borderId="18" xfId="0" applyFont="1" applyFill="1" applyBorder="1" applyAlignment="1">
      <alignment horizontal="center" vertical="center" textRotation="90"/>
    </xf>
    <xf numFmtId="0" fontId="5" fillId="4" borderId="20" xfId="0" applyFont="1" applyFill="1" applyBorder="1" applyAlignment="1">
      <alignment horizontal="center" vertical="center" textRotation="90"/>
    </xf>
    <xf numFmtId="0" fontId="5" fillId="4" borderId="21" xfId="0" applyFont="1" applyFill="1" applyBorder="1" applyAlignment="1">
      <alignment horizontal="center" vertical="center" textRotation="90"/>
    </xf>
    <xf numFmtId="0" fontId="5" fillId="4" borderId="22" xfId="0" applyFont="1" applyFill="1" applyBorder="1" applyAlignment="1">
      <alignment horizontal="center" vertical="center" textRotation="90"/>
    </xf>
    <xf numFmtId="0" fontId="5" fillId="4" borderId="5" xfId="0" applyFont="1" applyFill="1" applyBorder="1" applyAlignment="1">
      <alignment horizontal="center" vertical="center" textRotation="90"/>
    </xf>
    <xf numFmtId="0" fontId="5" fillId="4" borderId="9" xfId="0" applyFont="1" applyFill="1" applyBorder="1" applyAlignment="1">
      <alignment horizontal="center" vertical="center" textRotation="90"/>
    </xf>
    <xf numFmtId="0" fontId="5" fillId="4" borderId="13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719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ew%20folder\&#1588;&#1607;&#1585;%20&#1601;&#1576;&#1585;&#1575;&#1610;&#1585;%202026\&#1583;&#1582;&#1608;&#1604;%20&#1608;&#1582;&#1585;&#1608;&#1580;%20&#1575;&#1604;&#1587;&#1610;&#1575;&#1585;&#1575;&#1578;%20&#1575;&#1610;&#1578;&#1608;&#1575;&#1604;%20&#1588;&#1607;&#1585;%20&#1601;&#1576;&#1585;&#1575;&#1610;&#1585;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hmed%20rezk\&#1605;&#1575;&#1610;&#1608;\&#1583;&#1582;&#1608;&#1604;%20&#1608;&#1582;&#1585;&#1608;&#1580;%20&#1575;&#1604;&#1587;&#1610;&#1575;&#1585;&#1575;&#1578;%20&#1575;&#1610;&#1578;&#1608;&#1575;&#1604;%20%20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1585;&#1586;&#1602;%20&#1608;&#1575;&#1581;&#1583;%20&#1576;&#1587;\&#1605;&#1575;&#1610;&#1608;\111111111111111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-1-2026"/>
      <sheetName val="22-1-2026"/>
      <sheetName val="23-1-2026"/>
      <sheetName val="24-1-2026"/>
      <sheetName val="25-1-2026"/>
      <sheetName val="26-1-2026"/>
      <sheetName val="27-1-2026"/>
      <sheetName val="28-1-2026"/>
      <sheetName val="29-1-2026"/>
      <sheetName val="30-1-2026"/>
      <sheetName val="31-1-2026"/>
      <sheetName val="1-2-2026"/>
      <sheetName val="2-2-2026"/>
      <sheetName val="3-2-2026"/>
      <sheetName val="4-2-2026"/>
      <sheetName val="5-2-2026"/>
      <sheetName val="6-2-2026"/>
      <sheetName val="7-2-2026"/>
      <sheetName val="8-2-2026"/>
      <sheetName val="9-2-2026"/>
      <sheetName val="10-2-2026"/>
      <sheetName val="11-2-2026"/>
      <sheetName val="12-2-2026"/>
      <sheetName val="13-2-2026"/>
      <sheetName val="14-2-2026"/>
      <sheetName val="15-2-2026"/>
      <sheetName val="16-2-2026"/>
      <sheetName val="17-2-2026"/>
      <sheetName val="18-2-2026"/>
      <sheetName val="19-2-2026"/>
      <sheetName val="20-2-2026"/>
    </sheetNames>
    <sheetDataSet>
      <sheetData sheetId="0">
        <row r="3">
          <cell r="B3">
            <v>2714</v>
          </cell>
          <cell r="C3" t="str">
            <v>تلتين</v>
          </cell>
          <cell r="D3">
            <v>3.125E-2</v>
          </cell>
          <cell r="E3" t="str">
            <v>النزهة</v>
          </cell>
          <cell r="F3" t="str">
            <v>علي النبوي</v>
          </cell>
          <cell r="G3">
            <v>0.25</v>
          </cell>
          <cell r="H3">
            <v>0.25694444444444398</v>
          </cell>
          <cell r="I3">
            <v>6.9444444444439757E-3</v>
          </cell>
          <cell r="J3">
            <v>0.1875</v>
          </cell>
          <cell r="K3">
            <v>0.20138888888888901</v>
          </cell>
          <cell r="L3" t="str">
            <v>محمد هشام</v>
          </cell>
          <cell r="M3" t="str">
            <v>محمد هشام</v>
          </cell>
          <cell r="N3">
            <v>1.3888888888889006E-2</v>
          </cell>
          <cell r="O3">
            <v>0</v>
          </cell>
          <cell r="P3">
            <v>6.9444444444444397E-3</v>
          </cell>
          <cell r="Q3">
            <v>0.20486111111111099</v>
          </cell>
          <cell r="R3">
            <v>0</v>
          </cell>
          <cell r="S3">
            <v>0.26736111111111099</v>
          </cell>
          <cell r="T3">
            <v>1.38888888888889E-2</v>
          </cell>
        </row>
        <row r="4">
          <cell r="B4">
            <v>3891</v>
          </cell>
          <cell r="C4" t="str">
            <v>تلتين</v>
          </cell>
          <cell r="D4">
            <v>3.125E-2</v>
          </cell>
          <cell r="E4" t="str">
            <v>اكتوبر</v>
          </cell>
          <cell r="F4" t="str">
            <v>علاء مجدي</v>
          </cell>
          <cell r="G4">
            <v>0.25</v>
          </cell>
          <cell r="H4">
            <v>0.243055555555556</v>
          </cell>
          <cell r="I4">
            <v>0</v>
          </cell>
          <cell r="J4">
            <v>0.20486111111111099</v>
          </cell>
          <cell r="K4">
            <v>0.24652777777777801</v>
          </cell>
          <cell r="L4" t="str">
            <v>محمد هشام</v>
          </cell>
          <cell r="M4" t="str">
            <v>محمد هشام</v>
          </cell>
          <cell r="N4">
            <v>4.1666666666667018E-2</v>
          </cell>
          <cell r="O4">
            <v>1.0416666666667018E-2</v>
          </cell>
          <cell r="P4">
            <v>6.9444444444444397E-3</v>
          </cell>
          <cell r="Q4">
            <v>0.25</v>
          </cell>
          <cell r="R4">
            <v>0</v>
          </cell>
          <cell r="S4">
            <v>0.26041666666666702</v>
          </cell>
          <cell r="T4">
            <v>4.1666666666666699E-2</v>
          </cell>
        </row>
        <row r="5">
          <cell r="B5">
            <v>3783</v>
          </cell>
          <cell r="C5" t="str">
            <v>دبابة</v>
          </cell>
          <cell r="D5">
            <v>2.0833333333333301E-2</v>
          </cell>
          <cell r="E5" t="str">
            <v>العاشر من رمضان</v>
          </cell>
          <cell r="F5" t="str">
            <v>الشناوي سرور</v>
          </cell>
          <cell r="G5">
            <v>0.25</v>
          </cell>
          <cell r="H5">
            <v>0.25347222222222199</v>
          </cell>
          <cell r="I5">
            <v>3.4722222222219878E-3</v>
          </cell>
          <cell r="J5">
            <v>0.25694444444444398</v>
          </cell>
          <cell r="K5">
            <v>0.28472222222222199</v>
          </cell>
          <cell r="L5" t="str">
            <v>محمد هشام</v>
          </cell>
          <cell r="M5" t="str">
            <v>محمد هشام</v>
          </cell>
          <cell r="N5">
            <v>2.7777777777778012E-2</v>
          </cell>
          <cell r="O5">
            <v>6.9444444444447112E-3</v>
          </cell>
          <cell r="P5">
            <v>6.9444444444444397E-3</v>
          </cell>
          <cell r="Q5">
            <v>0.28819444444444398</v>
          </cell>
          <cell r="R5">
            <v>0</v>
          </cell>
          <cell r="S5">
            <v>0.29513888888888901</v>
          </cell>
          <cell r="T5">
            <v>6.25E-2</v>
          </cell>
        </row>
        <row r="6">
          <cell r="B6">
            <v>1454</v>
          </cell>
          <cell r="C6" t="str">
            <v>تلتين</v>
          </cell>
          <cell r="D6">
            <v>3.125E-2</v>
          </cell>
          <cell r="E6" t="str">
            <v>الجسر</v>
          </cell>
          <cell r="F6" t="str">
            <v>احمد فوزي</v>
          </cell>
          <cell r="G6">
            <v>0.25</v>
          </cell>
          <cell r="H6">
            <v>0.27083333333333298</v>
          </cell>
          <cell r="I6">
            <v>2.0833333333332982E-2</v>
          </cell>
          <cell r="J6">
            <v>0.29166666666666702</v>
          </cell>
          <cell r="K6">
            <v>0.32291666666666702</v>
          </cell>
          <cell r="L6" t="str">
            <v>محمد هشام</v>
          </cell>
          <cell r="M6" t="str">
            <v>محمد هشام</v>
          </cell>
          <cell r="N6">
            <v>3.125E-2</v>
          </cell>
          <cell r="O6">
            <v>0</v>
          </cell>
          <cell r="P6">
            <v>6.9444444444444397E-3</v>
          </cell>
          <cell r="Q6">
            <v>0.32291666666666702</v>
          </cell>
          <cell r="R6">
            <v>0</v>
          </cell>
          <cell r="S6">
            <v>0.33333333333333298</v>
          </cell>
          <cell r="T6">
            <v>1.0416666666666701E-2</v>
          </cell>
        </row>
        <row r="7">
          <cell r="B7">
            <v>1537</v>
          </cell>
          <cell r="C7" t="str">
            <v>تلتين</v>
          </cell>
          <cell r="D7">
            <v>3.125E-2</v>
          </cell>
          <cell r="E7" t="str">
            <v>العاشر</v>
          </cell>
          <cell r="F7" t="str">
            <v>محمد حسان</v>
          </cell>
          <cell r="G7">
            <v>0.25</v>
          </cell>
          <cell r="H7">
            <v>0.243055555555556</v>
          </cell>
          <cell r="I7">
            <v>0</v>
          </cell>
          <cell r="J7">
            <v>0.19097222222222199</v>
          </cell>
          <cell r="K7">
            <v>0.20833333333333301</v>
          </cell>
          <cell r="L7" t="str">
            <v>احمد عبد الجواد</v>
          </cell>
          <cell r="M7" t="str">
            <v>احمد عبد الجواد</v>
          </cell>
          <cell r="N7">
            <v>1.7361111111111022E-2</v>
          </cell>
          <cell r="O7">
            <v>0</v>
          </cell>
          <cell r="P7">
            <v>6.9444444444444397E-3</v>
          </cell>
          <cell r="Q7">
            <v>0.211805555555556</v>
          </cell>
          <cell r="R7">
            <v>0</v>
          </cell>
          <cell r="S7">
            <v>0.25347222222222199</v>
          </cell>
          <cell r="T7">
            <v>2.7777777777777801E-2</v>
          </cell>
        </row>
        <row r="8">
          <cell r="B8">
            <v>1451</v>
          </cell>
          <cell r="C8" t="str">
            <v>تلتين</v>
          </cell>
          <cell r="D8">
            <v>3.125E-2</v>
          </cell>
          <cell r="E8" t="str">
            <v>مكرم</v>
          </cell>
          <cell r="F8" t="str">
            <v>مصطفى احمد</v>
          </cell>
          <cell r="G8">
            <v>0.25</v>
          </cell>
          <cell r="H8">
            <v>0.23958333333333301</v>
          </cell>
          <cell r="I8">
            <v>0</v>
          </cell>
          <cell r="J8">
            <v>0.21527777777777801</v>
          </cell>
          <cell r="K8">
            <v>0.24652777777777801</v>
          </cell>
          <cell r="L8" t="str">
            <v>احمد عبد الجواد</v>
          </cell>
          <cell r="M8" t="str">
            <v>احمد عبد الجواد</v>
          </cell>
          <cell r="N8">
            <v>3.125E-2</v>
          </cell>
          <cell r="O8">
            <v>0</v>
          </cell>
          <cell r="P8">
            <v>6.9444444444444397E-3</v>
          </cell>
          <cell r="Q8">
            <v>0.25</v>
          </cell>
          <cell r="R8">
            <v>0</v>
          </cell>
          <cell r="S8">
            <v>0.26041666666666702</v>
          </cell>
          <cell r="T8">
            <v>1.7361111111111101E-2</v>
          </cell>
        </row>
        <row r="9">
          <cell r="B9">
            <v>1451</v>
          </cell>
          <cell r="C9" t="str">
            <v>تلتين</v>
          </cell>
          <cell r="D9">
            <v>3.125E-2</v>
          </cell>
          <cell r="E9" t="str">
            <v>جاردينيا</v>
          </cell>
          <cell r="F9" t="str">
            <v>مصطفى احمد</v>
          </cell>
          <cell r="G9">
            <v>0.25</v>
          </cell>
          <cell r="H9">
            <v>0.23958333333333301</v>
          </cell>
          <cell r="I9">
            <v>0</v>
          </cell>
          <cell r="J9">
            <v>0.21527777777777801</v>
          </cell>
          <cell r="K9">
            <v>0.24652777777777801</v>
          </cell>
          <cell r="L9" t="str">
            <v>احمد عبد الجواد</v>
          </cell>
          <cell r="M9" t="str">
            <v>احمد عبد الجواد</v>
          </cell>
          <cell r="N9">
            <v>3.125E-2</v>
          </cell>
          <cell r="O9">
            <v>0</v>
          </cell>
          <cell r="P9">
            <v>6.9444444444444397E-3</v>
          </cell>
          <cell r="Q9">
            <v>0.25</v>
          </cell>
          <cell r="R9">
            <v>0</v>
          </cell>
          <cell r="S9">
            <v>0.26041666666666702</v>
          </cell>
          <cell r="T9">
            <v>1.0416666666666701E-2</v>
          </cell>
        </row>
        <row r="10">
          <cell r="B10">
            <v>3793</v>
          </cell>
          <cell r="C10" t="str">
            <v>دبابة</v>
          </cell>
          <cell r="D10">
            <v>2.0833333333333301E-2</v>
          </cell>
          <cell r="E10" t="str">
            <v>المعادي 2</v>
          </cell>
          <cell r="F10" t="str">
            <v>محمد مراد</v>
          </cell>
          <cell r="G10">
            <v>0.25</v>
          </cell>
          <cell r="H10">
            <v>0.25694444444444398</v>
          </cell>
          <cell r="I10">
            <v>6.9444444444439757E-3</v>
          </cell>
          <cell r="J10">
            <v>0.25347222222222199</v>
          </cell>
          <cell r="K10">
            <v>0.27083333333333298</v>
          </cell>
          <cell r="L10" t="str">
            <v>احمد عبد الجواد</v>
          </cell>
          <cell r="M10" t="str">
            <v>احمد عبد الجواد</v>
          </cell>
          <cell r="N10">
            <v>1.7361111111110994E-2</v>
          </cell>
          <cell r="O10">
            <v>0</v>
          </cell>
          <cell r="P10">
            <v>6.9444444444444397E-3</v>
          </cell>
          <cell r="Q10">
            <v>0.27430555555555602</v>
          </cell>
          <cell r="R10">
            <v>0</v>
          </cell>
          <cell r="S10">
            <v>0.28125</v>
          </cell>
          <cell r="T10">
            <v>3.4722222222222203E-2</v>
          </cell>
        </row>
        <row r="11">
          <cell r="B11">
            <v>539</v>
          </cell>
          <cell r="C11" t="str">
            <v>دبابة</v>
          </cell>
          <cell r="D11">
            <v>2.0833333333333301E-2</v>
          </cell>
          <cell r="E11" t="str">
            <v>العباسية</v>
          </cell>
          <cell r="F11" t="str">
            <v>خالد عبدة</v>
          </cell>
          <cell r="G11">
            <v>0.25</v>
          </cell>
          <cell r="H11">
            <v>0.26388888888888901</v>
          </cell>
          <cell r="I11">
            <v>1.3888888888889006E-2</v>
          </cell>
          <cell r="J11">
            <v>0.280555555555556</v>
          </cell>
          <cell r="K11">
            <v>0.30208333333333298</v>
          </cell>
          <cell r="L11" t="str">
            <v>احمد عبد الجواد</v>
          </cell>
          <cell r="M11" t="str">
            <v>احمد عبد الجواد</v>
          </cell>
          <cell r="N11">
            <v>2.152777777777698E-2</v>
          </cell>
          <cell r="O11">
            <v>6.944444444436787E-4</v>
          </cell>
          <cell r="P11">
            <v>6.9444444444444397E-3</v>
          </cell>
          <cell r="Q11">
            <v>0.30902777777777801</v>
          </cell>
          <cell r="R11">
            <v>6.106226635438361E-16</v>
          </cell>
          <cell r="S11">
            <v>0.3125</v>
          </cell>
          <cell r="T11">
            <v>2.0833333333333301E-2</v>
          </cell>
        </row>
        <row r="12">
          <cell r="B12">
            <v>634</v>
          </cell>
          <cell r="C12" t="str">
            <v>دبابة</v>
          </cell>
          <cell r="D12">
            <v>2.0833333333333301E-2</v>
          </cell>
          <cell r="E12" t="str">
            <v>الوسط</v>
          </cell>
          <cell r="F12" t="str">
            <v>احمد عواد</v>
          </cell>
          <cell r="G12">
            <v>0.25</v>
          </cell>
          <cell r="H12">
            <v>0.27083333333333298</v>
          </cell>
          <cell r="I12">
            <v>2.0833333333332982E-2</v>
          </cell>
          <cell r="J12">
            <v>0.1875</v>
          </cell>
          <cell r="K12">
            <v>0.20138888888888901</v>
          </cell>
          <cell r="L12" t="str">
            <v>عمر الجوهري</v>
          </cell>
          <cell r="M12" t="str">
            <v>عمر الجوهري</v>
          </cell>
          <cell r="N12">
            <v>1.3888888888889006E-2</v>
          </cell>
          <cell r="O12">
            <v>0</v>
          </cell>
          <cell r="P12">
            <v>6.9444444444444397E-3</v>
          </cell>
          <cell r="Q12">
            <v>0.20486111111111099</v>
          </cell>
          <cell r="R12">
            <v>0</v>
          </cell>
          <cell r="S12">
            <v>0.27430555555555602</v>
          </cell>
          <cell r="T12">
            <v>1.7361111111111101E-2</v>
          </cell>
        </row>
        <row r="13">
          <cell r="B13">
            <v>586</v>
          </cell>
          <cell r="C13" t="str">
            <v>سوزوكي</v>
          </cell>
          <cell r="D13">
            <v>2.0833333333333301E-2</v>
          </cell>
          <cell r="E13" t="str">
            <v>الشروق 3</v>
          </cell>
          <cell r="F13" t="str">
            <v>علي عادل</v>
          </cell>
          <cell r="G13">
            <v>0.25</v>
          </cell>
          <cell r="H13">
            <v>0.25</v>
          </cell>
          <cell r="I13">
            <v>0</v>
          </cell>
          <cell r="J13">
            <v>0.20486111111111099</v>
          </cell>
          <cell r="K13">
            <v>0.21527777777777801</v>
          </cell>
          <cell r="L13" t="str">
            <v>عمر الجوهري</v>
          </cell>
          <cell r="M13" t="str">
            <v>عمر الجوهري</v>
          </cell>
          <cell r="N13">
            <v>1.0416666666667018E-2</v>
          </cell>
          <cell r="O13">
            <v>0</v>
          </cell>
          <cell r="P13">
            <v>6.9444444444444397E-3</v>
          </cell>
          <cell r="Q13">
            <v>0.21875</v>
          </cell>
          <cell r="R13">
            <v>0</v>
          </cell>
          <cell r="S13">
            <v>0.25347222222222199</v>
          </cell>
          <cell r="T13">
            <v>3.8194444444444399E-2</v>
          </cell>
        </row>
        <row r="14">
          <cell r="B14">
            <v>2695</v>
          </cell>
          <cell r="C14" t="str">
            <v>تلتين</v>
          </cell>
          <cell r="D14">
            <v>3.125E-2</v>
          </cell>
          <cell r="E14" t="str">
            <v>الشروق</v>
          </cell>
          <cell r="F14" t="str">
            <v>وائل علي</v>
          </cell>
          <cell r="G14">
            <v>0.25</v>
          </cell>
          <cell r="H14">
            <v>0.25</v>
          </cell>
          <cell r="I14">
            <v>0</v>
          </cell>
          <cell r="J14">
            <v>0.21875</v>
          </cell>
          <cell r="K14">
            <v>0.23958333333333301</v>
          </cell>
          <cell r="L14" t="str">
            <v>عمر الجوهري</v>
          </cell>
          <cell r="M14" t="str">
            <v>عمر الجوهري</v>
          </cell>
          <cell r="N14">
            <v>2.083333333333301E-2</v>
          </cell>
          <cell r="O14">
            <v>0</v>
          </cell>
          <cell r="P14">
            <v>6.9444444444444397E-3</v>
          </cell>
          <cell r="Q14">
            <v>0.24652777777777801</v>
          </cell>
          <cell r="R14">
            <v>5.5511151231257827E-16</v>
          </cell>
          <cell r="S14">
            <v>0.26041666666666702</v>
          </cell>
          <cell r="T14">
            <v>3.4722222222222203E-2</v>
          </cell>
        </row>
        <row r="15">
          <cell r="B15">
            <v>2695</v>
          </cell>
          <cell r="C15" t="str">
            <v>تلتين</v>
          </cell>
          <cell r="D15">
            <v>3.125E-2</v>
          </cell>
          <cell r="E15" t="str">
            <v>الشروق 3</v>
          </cell>
          <cell r="F15" t="str">
            <v>وائل علي</v>
          </cell>
          <cell r="G15">
            <v>0.25</v>
          </cell>
          <cell r="H15">
            <v>0.25</v>
          </cell>
          <cell r="I15">
            <v>0</v>
          </cell>
          <cell r="J15">
            <v>0.21875</v>
          </cell>
          <cell r="K15">
            <v>0.23958333333333301</v>
          </cell>
          <cell r="L15" t="str">
            <v>عمر الجوهري</v>
          </cell>
          <cell r="M15" t="str">
            <v>عمر الجوهري</v>
          </cell>
          <cell r="N15">
            <v>2.083333333333301E-2</v>
          </cell>
          <cell r="O15">
            <v>0</v>
          </cell>
          <cell r="P15">
            <v>6.9444444444444397E-3</v>
          </cell>
          <cell r="Q15">
            <v>0.24652777777777801</v>
          </cell>
          <cell r="R15">
            <v>5.5511151231257827E-16</v>
          </cell>
          <cell r="S15">
            <v>0.26041666666666702</v>
          </cell>
          <cell r="T15">
            <v>1.0416666666666701E-2</v>
          </cell>
        </row>
        <row r="16">
          <cell r="B16">
            <v>2694</v>
          </cell>
          <cell r="C16" t="str">
            <v>تلتين</v>
          </cell>
          <cell r="D16">
            <v>3.125E-2</v>
          </cell>
          <cell r="E16" t="str">
            <v>عرابي</v>
          </cell>
          <cell r="F16" t="str">
            <v>رضا معروف</v>
          </cell>
          <cell r="G16">
            <v>0.25</v>
          </cell>
          <cell r="H16">
            <v>0.26388888888888901</v>
          </cell>
          <cell r="I16">
            <v>1.3888888888889006E-2</v>
          </cell>
          <cell r="J16">
            <v>0.24652777777777801</v>
          </cell>
          <cell r="K16">
            <v>0.26388888888888901</v>
          </cell>
          <cell r="L16" t="str">
            <v>عمر الجوهري</v>
          </cell>
          <cell r="M16" t="str">
            <v>عمر الجوهري</v>
          </cell>
          <cell r="N16">
            <v>1.7361111111110994E-2</v>
          </cell>
          <cell r="O16">
            <v>0</v>
          </cell>
          <cell r="P16">
            <v>6.9444444444444397E-3</v>
          </cell>
          <cell r="Q16">
            <v>0.26736111111111099</v>
          </cell>
          <cell r="R16">
            <v>0</v>
          </cell>
          <cell r="S16">
            <v>0.28125</v>
          </cell>
          <cell r="T16">
            <v>1.7361111111111101E-2</v>
          </cell>
        </row>
        <row r="17">
          <cell r="B17">
            <v>9198</v>
          </cell>
          <cell r="C17" t="str">
            <v>دبابة</v>
          </cell>
          <cell r="D17">
            <v>2.0833333333333301E-2</v>
          </cell>
          <cell r="E17" t="str">
            <v>المطرية</v>
          </cell>
          <cell r="F17" t="str">
            <v>احمد جمعة</v>
          </cell>
          <cell r="G17">
            <v>0.25</v>
          </cell>
          <cell r="H17">
            <v>0.26736111111111099</v>
          </cell>
          <cell r="I17">
            <v>1.7361111111110994E-2</v>
          </cell>
          <cell r="J17">
            <v>0.26736111111111099</v>
          </cell>
          <cell r="K17">
            <v>0.28472222222222199</v>
          </cell>
          <cell r="L17" t="str">
            <v>عمر الجوهري</v>
          </cell>
          <cell r="M17" t="str">
            <v>عمر الجوهري</v>
          </cell>
          <cell r="N17">
            <v>1.7361111111110994E-2</v>
          </cell>
          <cell r="O17">
            <v>0</v>
          </cell>
          <cell r="P17">
            <v>6.9444444444444397E-3</v>
          </cell>
          <cell r="Q17">
            <v>0.28819444444444398</v>
          </cell>
          <cell r="R17">
            <v>0</v>
          </cell>
          <cell r="S17">
            <v>0.30208333333333298</v>
          </cell>
          <cell r="T17">
            <v>4.8611111111111103E-3</v>
          </cell>
        </row>
        <row r="18">
          <cell r="B18">
            <v>1538</v>
          </cell>
          <cell r="C18" t="str">
            <v>تلتين</v>
          </cell>
          <cell r="D18">
            <v>3.125E-2</v>
          </cell>
          <cell r="E18" t="str">
            <v>الدقي</v>
          </cell>
          <cell r="F18" t="str">
            <v>احمد حسن</v>
          </cell>
          <cell r="G18">
            <v>0.25</v>
          </cell>
          <cell r="H18">
            <v>0.26041666666666702</v>
          </cell>
          <cell r="I18">
            <v>1.0416666666667018E-2</v>
          </cell>
          <cell r="J18">
            <v>0.1875</v>
          </cell>
          <cell r="K18">
            <v>0.20833333333333301</v>
          </cell>
          <cell r="L18" t="str">
            <v>ابراهيم محمد</v>
          </cell>
          <cell r="M18" t="str">
            <v>ابراهيم محمد</v>
          </cell>
          <cell r="N18">
            <v>2.083333333333301E-2</v>
          </cell>
          <cell r="O18">
            <v>0</v>
          </cell>
          <cell r="P18">
            <v>6.9444444444444397E-3</v>
          </cell>
          <cell r="Q18">
            <v>0.211805555555556</v>
          </cell>
          <cell r="R18">
            <v>0</v>
          </cell>
          <cell r="S18">
            <v>0.26388888888888901</v>
          </cell>
          <cell r="T18">
            <v>1.38888888888889E-2</v>
          </cell>
        </row>
        <row r="19">
          <cell r="B19">
            <v>2917</v>
          </cell>
          <cell r="C19" t="str">
            <v>تلتين</v>
          </cell>
          <cell r="D19">
            <v>3.125E-2</v>
          </cell>
          <cell r="E19" t="str">
            <v>الوايلي</v>
          </cell>
          <cell r="F19" t="str">
            <v>رجب محمد</v>
          </cell>
          <cell r="G19">
            <v>0.25</v>
          </cell>
          <cell r="H19">
            <v>0.243055555555556</v>
          </cell>
          <cell r="I19">
            <v>0</v>
          </cell>
          <cell r="J19">
            <v>0.21527777777777801</v>
          </cell>
          <cell r="K19">
            <v>0.23611111111111099</v>
          </cell>
          <cell r="L19" t="str">
            <v>ابراهيم محمد</v>
          </cell>
          <cell r="M19" t="str">
            <v>ابراهيم محمد</v>
          </cell>
          <cell r="N19">
            <v>2.0833333333332982E-2</v>
          </cell>
          <cell r="O19">
            <v>0</v>
          </cell>
          <cell r="P19">
            <v>6.9444444444444397E-3</v>
          </cell>
          <cell r="Q19">
            <v>0.243055555555556</v>
          </cell>
          <cell r="R19">
            <v>5.5511151231257827E-16</v>
          </cell>
          <cell r="S19">
            <v>0.26041666666666702</v>
          </cell>
          <cell r="T19">
            <v>1.0416666666666701E-2</v>
          </cell>
        </row>
        <row r="20">
          <cell r="B20">
            <v>2917</v>
          </cell>
          <cell r="C20" t="str">
            <v>تلتين</v>
          </cell>
          <cell r="D20">
            <v>3.125E-2</v>
          </cell>
          <cell r="E20" t="str">
            <v>المنتزة</v>
          </cell>
          <cell r="F20" t="str">
            <v>رجب محمد</v>
          </cell>
          <cell r="G20">
            <v>0.25</v>
          </cell>
          <cell r="H20">
            <v>0.243055555555556</v>
          </cell>
          <cell r="I20">
            <v>0</v>
          </cell>
          <cell r="J20">
            <v>0.21527777777777801</v>
          </cell>
          <cell r="K20">
            <v>0.23611111111111099</v>
          </cell>
          <cell r="L20" t="str">
            <v>ابراهيم محمد</v>
          </cell>
          <cell r="M20" t="str">
            <v>ابراهيم محمد</v>
          </cell>
          <cell r="N20">
            <v>2.0833333333332982E-2</v>
          </cell>
          <cell r="O20">
            <v>0</v>
          </cell>
          <cell r="P20">
            <v>6.9444444444444397E-3</v>
          </cell>
          <cell r="Q20">
            <v>0.243055555555556</v>
          </cell>
          <cell r="R20">
            <v>5.5511151231257827E-16</v>
          </cell>
          <cell r="S20">
            <v>0.26041666666666702</v>
          </cell>
          <cell r="T20">
            <v>1.0416666666666701E-2</v>
          </cell>
        </row>
        <row r="21">
          <cell r="B21">
            <v>3495</v>
          </cell>
          <cell r="C21" t="str">
            <v>تلتين</v>
          </cell>
          <cell r="D21">
            <v>3.125E-2</v>
          </cell>
          <cell r="E21" t="str">
            <v>الطوابق</v>
          </cell>
          <cell r="F21" t="str">
            <v>رامي حسن</v>
          </cell>
          <cell r="G21">
            <v>0.25</v>
          </cell>
          <cell r="H21">
            <v>0.22916666666666699</v>
          </cell>
          <cell r="I21">
            <v>0</v>
          </cell>
          <cell r="J21">
            <v>0.243055555555556</v>
          </cell>
          <cell r="K21">
            <v>0.26388888888888901</v>
          </cell>
          <cell r="L21" t="str">
            <v>ابراهيم محمد</v>
          </cell>
          <cell r="M21" t="str">
            <v>ابراهيم محمد</v>
          </cell>
          <cell r="N21">
            <v>2.083333333333301E-2</v>
          </cell>
          <cell r="O21">
            <v>0</v>
          </cell>
          <cell r="P21">
            <v>6.9444444444444397E-3</v>
          </cell>
          <cell r="Q21">
            <v>0.26736111111111099</v>
          </cell>
          <cell r="R21">
            <v>0</v>
          </cell>
          <cell r="S21">
            <v>0.27777777777777801</v>
          </cell>
          <cell r="T21">
            <v>3.4722222222222203E-2</v>
          </cell>
        </row>
        <row r="22">
          <cell r="B22">
            <v>2474</v>
          </cell>
          <cell r="C22" t="str">
            <v>دبابة</v>
          </cell>
          <cell r="D22">
            <v>2.0833333333333301E-2</v>
          </cell>
          <cell r="E22" t="str">
            <v>الشريف</v>
          </cell>
          <cell r="F22" t="str">
            <v>صبري امام</v>
          </cell>
          <cell r="G22">
            <v>0.25</v>
          </cell>
          <cell r="H22">
            <v>0.26041666666666702</v>
          </cell>
          <cell r="I22">
            <v>1.0416666666667018E-2</v>
          </cell>
          <cell r="J22">
            <v>0.27083333333333298</v>
          </cell>
          <cell r="K22">
            <v>0.29861111111111099</v>
          </cell>
          <cell r="L22" t="str">
            <v>ابراهيم محمد</v>
          </cell>
          <cell r="M22" t="str">
            <v>ابراهيم محمد</v>
          </cell>
          <cell r="N22">
            <v>2.7777777777778012E-2</v>
          </cell>
          <cell r="O22">
            <v>6.9444444444447112E-3</v>
          </cell>
          <cell r="P22">
            <v>6.9444444444444397E-3</v>
          </cell>
          <cell r="Q22">
            <v>0.30208333333333298</v>
          </cell>
          <cell r="R22">
            <v>0</v>
          </cell>
          <cell r="S22">
            <v>0.30902777777777801</v>
          </cell>
          <cell r="T22">
            <v>1.7361111111111101E-2</v>
          </cell>
        </row>
        <row r="23">
          <cell r="B23">
            <v>529</v>
          </cell>
          <cell r="C23" t="str">
            <v>تويوتا</v>
          </cell>
          <cell r="D23">
            <v>2.0833333333333301E-2</v>
          </cell>
          <cell r="E23" t="str">
            <v>الدوران</v>
          </cell>
          <cell r="F23" t="str">
            <v>محمد صلاح</v>
          </cell>
          <cell r="G23">
            <v>0.25</v>
          </cell>
          <cell r="H23">
            <v>0.24652777777777801</v>
          </cell>
          <cell r="I23">
            <v>0</v>
          </cell>
          <cell r="J23">
            <v>0.30208333333333298</v>
          </cell>
          <cell r="K23">
            <v>0.31944444444444398</v>
          </cell>
          <cell r="L23" t="str">
            <v>ابراهيم محمد</v>
          </cell>
          <cell r="M23" t="str">
            <v>ابراهيم محمد</v>
          </cell>
          <cell r="N23">
            <v>1.7361111111110994E-2</v>
          </cell>
          <cell r="O23">
            <v>0</v>
          </cell>
          <cell r="P23">
            <v>6.9444444444444397E-3</v>
          </cell>
          <cell r="Q23">
            <v>0.32291666666666702</v>
          </cell>
          <cell r="R23">
            <v>0</v>
          </cell>
          <cell r="S23">
            <v>0.32638888888888901</v>
          </cell>
          <cell r="T23">
            <v>1.38888888888889E-2</v>
          </cell>
        </row>
        <row r="24">
          <cell r="B24">
            <v>7464</v>
          </cell>
          <cell r="C24" t="str">
            <v>تلتين</v>
          </cell>
          <cell r="D24">
            <v>3.125E-2</v>
          </cell>
          <cell r="E24" t="str">
            <v>فيصل</v>
          </cell>
          <cell r="F24" t="str">
            <v>عمرو محمد</v>
          </cell>
          <cell r="G24">
            <v>0.25</v>
          </cell>
          <cell r="H24">
            <v>0.26041666666666702</v>
          </cell>
          <cell r="I24">
            <v>1.0416666666667018E-2</v>
          </cell>
          <cell r="J24">
            <v>0.180555555555556</v>
          </cell>
          <cell r="K24">
            <v>0.20833333333333301</v>
          </cell>
          <cell r="L24" t="str">
            <v>محمد صلاح</v>
          </cell>
          <cell r="M24" t="str">
            <v>محمد صلاح</v>
          </cell>
          <cell r="N24">
            <v>2.7777777777777013E-2</v>
          </cell>
          <cell r="O24">
            <v>0</v>
          </cell>
          <cell r="P24">
            <v>6.9444444444444397E-3</v>
          </cell>
          <cell r="Q24">
            <v>0.211805555555556</v>
          </cell>
          <cell r="R24">
            <v>0</v>
          </cell>
          <cell r="S24">
            <v>0.25347222222222199</v>
          </cell>
          <cell r="T24">
            <v>3.4722222222222203E-2</v>
          </cell>
        </row>
        <row r="25">
          <cell r="B25">
            <v>4987</v>
          </cell>
          <cell r="C25" t="str">
            <v>تلتين</v>
          </cell>
          <cell r="D25">
            <v>3.125E-2</v>
          </cell>
          <cell r="E25" t="str">
            <v>عباس</v>
          </cell>
          <cell r="F25" t="str">
            <v>علي حمدي</v>
          </cell>
          <cell r="G25">
            <v>0.25</v>
          </cell>
          <cell r="H25">
            <v>0.26041666666666702</v>
          </cell>
          <cell r="I25">
            <v>1.0416666666667018E-2</v>
          </cell>
          <cell r="J25">
            <v>0.211805555555556</v>
          </cell>
          <cell r="K25">
            <v>0.23958333333333301</v>
          </cell>
          <cell r="L25" t="str">
            <v>محمد صلاح</v>
          </cell>
          <cell r="M25" t="str">
            <v>محمد صلاح</v>
          </cell>
          <cell r="N25">
            <v>2.7777777777777013E-2</v>
          </cell>
          <cell r="O25">
            <v>0</v>
          </cell>
          <cell r="P25">
            <v>6.9444444444444397E-3</v>
          </cell>
          <cell r="Q25">
            <v>0.243055555555556</v>
          </cell>
          <cell r="R25">
            <v>0</v>
          </cell>
          <cell r="S25">
            <v>0.26388888888888901</v>
          </cell>
          <cell r="T25">
            <v>1.7361111111111101E-2</v>
          </cell>
        </row>
        <row r="26">
          <cell r="B26">
            <v>459</v>
          </cell>
          <cell r="C26" t="str">
            <v>دبابة</v>
          </cell>
          <cell r="D26">
            <v>2.0833333333333301E-2</v>
          </cell>
          <cell r="E26" t="str">
            <v>الميرغني</v>
          </cell>
          <cell r="F26" t="str">
            <v>اكرامي سعيد</v>
          </cell>
          <cell r="G26">
            <v>0.25</v>
          </cell>
          <cell r="H26">
            <v>0.25347222222222199</v>
          </cell>
          <cell r="I26">
            <v>3.4722222222219878E-3</v>
          </cell>
          <cell r="J26">
            <v>0.243055555555556</v>
          </cell>
          <cell r="K26">
            <v>0.26388888888888901</v>
          </cell>
          <cell r="L26" t="str">
            <v>محمد صلاح</v>
          </cell>
          <cell r="M26" t="str">
            <v>محمد صلاح</v>
          </cell>
          <cell r="N26">
            <v>2.083333333333301E-2</v>
          </cell>
          <cell r="O26">
            <v>0</v>
          </cell>
          <cell r="P26">
            <v>6.9444444444444397E-3</v>
          </cell>
          <cell r="Q26">
            <v>0.27083333333333298</v>
          </cell>
          <cell r="R26">
            <v>-4.4408920985006262E-16</v>
          </cell>
          <cell r="S26">
            <v>0.27430555555555602</v>
          </cell>
          <cell r="T26">
            <v>1.38888888888889E-2</v>
          </cell>
        </row>
        <row r="27">
          <cell r="B27">
            <v>796</v>
          </cell>
          <cell r="C27" t="str">
            <v>دبابة</v>
          </cell>
          <cell r="D27">
            <v>2.0833333333333301E-2</v>
          </cell>
          <cell r="E27" t="str">
            <v>الكوربة</v>
          </cell>
          <cell r="F27" t="str">
            <v>احمد فكري</v>
          </cell>
          <cell r="G27">
            <v>0.25</v>
          </cell>
          <cell r="H27">
            <v>0.27777777777777801</v>
          </cell>
          <cell r="I27">
            <v>2.7777777777778012E-2</v>
          </cell>
          <cell r="J27">
            <v>0.26736111111111099</v>
          </cell>
          <cell r="K27">
            <v>0.28472222222222199</v>
          </cell>
          <cell r="L27" t="str">
            <v>محمد صلاح</v>
          </cell>
          <cell r="M27" t="str">
            <v>محمد صلاح</v>
          </cell>
          <cell r="N27">
            <v>1.7361111111110994E-2</v>
          </cell>
          <cell r="O27">
            <v>0</v>
          </cell>
          <cell r="P27">
            <v>6.9444444444444397E-3</v>
          </cell>
          <cell r="Q27">
            <v>0.28819444444444398</v>
          </cell>
          <cell r="R27">
            <v>0</v>
          </cell>
          <cell r="S27">
            <v>0.29166666666666702</v>
          </cell>
          <cell r="T27">
            <v>1.38888888888889E-2</v>
          </cell>
        </row>
        <row r="28">
          <cell r="B28">
            <v>675</v>
          </cell>
          <cell r="C28" t="str">
            <v>جامبو</v>
          </cell>
          <cell r="D28">
            <v>4.1666666666666699E-2</v>
          </cell>
          <cell r="E28" t="str">
            <v>السواح</v>
          </cell>
          <cell r="F28" t="str">
            <v>عبدالرحمن عاطف</v>
          </cell>
          <cell r="G28">
            <v>0.25</v>
          </cell>
          <cell r="H28">
            <v>0.27083333333333298</v>
          </cell>
          <cell r="I28">
            <v>2.0833333333332982E-2</v>
          </cell>
          <cell r="J28">
            <v>0.28819444444444398</v>
          </cell>
          <cell r="K28">
            <v>0.31597222222222199</v>
          </cell>
          <cell r="L28" t="str">
            <v>محمد صلاح</v>
          </cell>
          <cell r="M28" t="str">
            <v>محمد صلاح</v>
          </cell>
          <cell r="N28">
            <v>2.7777777777778012E-2</v>
          </cell>
          <cell r="O28">
            <v>0</v>
          </cell>
          <cell r="P28">
            <v>6.9444444444444397E-3</v>
          </cell>
          <cell r="Q28">
            <v>0.32291666666666702</v>
          </cell>
          <cell r="R28">
            <v>6.106226635438361E-16</v>
          </cell>
          <cell r="S28">
            <v>0.31597222222222199</v>
          </cell>
          <cell r="T28">
            <v>1.0416666666666701E-2</v>
          </cell>
        </row>
        <row r="29">
          <cell r="B29">
            <v>5898</v>
          </cell>
          <cell r="C29" t="str">
            <v>تلتين</v>
          </cell>
          <cell r="D29">
            <v>3.125E-2</v>
          </cell>
          <cell r="E29" t="str">
            <v>التجمع 1</v>
          </cell>
          <cell r="F29" t="str">
            <v>طه محسن</v>
          </cell>
          <cell r="G29">
            <v>0.25</v>
          </cell>
          <cell r="H29">
            <v>0.25</v>
          </cell>
          <cell r="I29">
            <v>0</v>
          </cell>
          <cell r="J29">
            <v>0.20624999999999999</v>
          </cell>
          <cell r="K29">
            <v>0.22152777777777799</v>
          </cell>
          <cell r="L29" t="str">
            <v>احمد خيري</v>
          </cell>
          <cell r="M29" t="str">
            <v>احمد خيري</v>
          </cell>
          <cell r="N29">
            <v>1.5277777777778001E-2</v>
          </cell>
          <cell r="O29">
            <v>0</v>
          </cell>
          <cell r="P29">
            <v>6.9444444444444397E-3</v>
          </cell>
          <cell r="Q29">
            <v>0.22916666666666699</v>
          </cell>
          <cell r="R29">
            <v>6.94444444444553E-4</v>
          </cell>
          <cell r="S29">
            <v>0.25694444444444398</v>
          </cell>
          <cell r="T29">
            <v>2.4305555555555601E-2</v>
          </cell>
        </row>
        <row r="30">
          <cell r="B30">
            <v>5898</v>
          </cell>
          <cell r="C30" t="str">
            <v>تلتين</v>
          </cell>
          <cell r="D30">
            <v>3.125E-2</v>
          </cell>
          <cell r="E30" t="str">
            <v>التجمع 5</v>
          </cell>
          <cell r="F30" t="str">
            <v>طه محسن</v>
          </cell>
          <cell r="G30">
            <v>0.25</v>
          </cell>
          <cell r="H30">
            <v>0.25</v>
          </cell>
          <cell r="I30">
            <v>0</v>
          </cell>
          <cell r="J30">
            <v>0.20624999999999999</v>
          </cell>
          <cell r="K30">
            <v>0.22152777777777799</v>
          </cell>
          <cell r="L30" t="str">
            <v>احمد خيري</v>
          </cell>
          <cell r="M30" t="str">
            <v>احمد خيري</v>
          </cell>
          <cell r="N30">
            <v>1.5277777777778001E-2</v>
          </cell>
          <cell r="O30">
            <v>0</v>
          </cell>
          <cell r="P30">
            <v>6.9444444444444397E-3</v>
          </cell>
          <cell r="Q30">
            <v>0.22916666666666699</v>
          </cell>
          <cell r="R30">
            <v>6.94444444444553E-4</v>
          </cell>
          <cell r="S30">
            <v>0.25694444444444398</v>
          </cell>
          <cell r="T30">
            <v>1.0416666666666701E-2</v>
          </cell>
        </row>
        <row r="31">
          <cell r="B31">
            <v>3787</v>
          </cell>
          <cell r="C31" t="str">
            <v>دبابة</v>
          </cell>
          <cell r="D31">
            <v>2.0833333333333301E-2</v>
          </cell>
          <cell r="E31" t="str">
            <v>العبور</v>
          </cell>
          <cell r="F31" t="str">
            <v>احمد عماد</v>
          </cell>
          <cell r="G31">
            <v>0.25</v>
          </cell>
          <cell r="H31">
            <v>0.243055555555556</v>
          </cell>
          <cell r="I31">
            <v>0</v>
          </cell>
          <cell r="J31">
            <v>0.22916666666666699</v>
          </cell>
          <cell r="K31">
            <v>0.25</v>
          </cell>
          <cell r="L31" t="str">
            <v>احمد خيري</v>
          </cell>
          <cell r="M31" t="str">
            <v>احمد خيري</v>
          </cell>
          <cell r="N31">
            <v>2.083333333333301E-2</v>
          </cell>
          <cell r="O31">
            <v>-2.9143354396410359E-16</v>
          </cell>
          <cell r="P31">
            <v>6.9444444444444397E-3</v>
          </cell>
          <cell r="Q31">
            <v>0.25347222222222199</v>
          </cell>
          <cell r="R31">
            <v>0</v>
          </cell>
          <cell r="S31">
            <v>0.26041666666666702</v>
          </cell>
          <cell r="T31">
            <v>2.7777777777777801E-2</v>
          </cell>
        </row>
        <row r="32">
          <cell r="B32">
            <v>4879</v>
          </cell>
          <cell r="C32" t="str">
            <v>دبابة</v>
          </cell>
          <cell r="D32">
            <v>2.0833333333333301E-2</v>
          </cell>
          <cell r="E32" t="str">
            <v>الشيراتون</v>
          </cell>
          <cell r="F32" t="str">
            <v>جمال فؤاد</v>
          </cell>
          <cell r="G32">
            <v>0.25</v>
          </cell>
          <cell r="H32">
            <v>0.25</v>
          </cell>
          <cell r="I32">
            <v>0</v>
          </cell>
          <cell r="J32">
            <v>0.265972222222222</v>
          </cell>
          <cell r="K32">
            <v>0.27777777777777801</v>
          </cell>
          <cell r="L32" t="str">
            <v>احمد خيري</v>
          </cell>
          <cell r="M32" t="str">
            <v>احمد خيري</v>
          </cell>
          <cell r="N32">
            <v>1.1805555555556013E-2</v>
          </cell>
          <cell r="O32">
            <v>0</v>
          </cell>
          <cell r="P32">
            <v>6.9444444444444397E-3</v>
          </cell>
          <cell r="Q32">
            <v>0.28125</v>
          </cell>
          <cell r="R32">
            <v>0</v>
          </cell>
          <cell r="S32">
            <v>0.28472222222222199</v>
          </cell>
          <cell r="T32">
            <v>2.0833333333333301E-2</v>
          </cell>
        </row>
        <row r="33">
          <cell r="B33">
            <v>7435</v>
          </cell>
          <cell r="C33" t="str">
            <v>تلتين</v>
          </cell>
          <cell r="D33">
            <v>3.125E-2</v>
          </cell>
          <cell r="E33" t="str">
            <v>شبرا</v>
          </cell>
          <cell r="F33" t="str">
            <v>عمرو عبدالرحمن</v>
          </cell>
          <cell r="G33">
            <v>0.25</v>
          </cell>
          <cell r="H33">
            <v>0.25</v>
          </cell>
          <cell r="I33">
            <v>0</v>
          </cell>
          <cell r="J33">
            <v>0.29513888888888901</v>
          </cell>
          <cell r="K33">
            <v>0.30555555555555602</v>
          </cell>
          <cell r="L33" t="str">
            <v>احمد خيري</v>
          </cell>
          <cell r="M33" t="str">
            <v>احمد خيري</v>
          </cell>
          <cell r="N33">
            <v>1.0416666666667018E-2</v>
          </cell>
          <cell r="O33">
            <v>0</v>
          </cell>
          <cell r="P33">
            <v>6.9444444444444397E-3</v>
          </cell>
          <cell r="Q33">
            <v>0.3125</v>
          </cell>
          <cell r="R33">
            <v>-4.4408920985006262E-16</v>
          </cell>
          <cell r="S33">
            <v>0.31597222222222199</v>
          </cell>
          <cell r="T33">
            <v>1.38888888888889E-2</v>
          </cell>
        </row>
        <row r="34">
          <cell r="B34">
            <v>3492</v>
          </cell>
          <cell r="C34" t="str">
            <v>تلتين</v>
          </cell>
          <cell r="D34">
            <v>3.125E-2</v>
          </cell>
          <cell r="E34" t="str">
            <v>المعادي 1</v>
          </cell>
          <cell r="F34" t="str">
            <v>سيد العسال</v>
          </cell>
          <cell r="G34">
            <v>0.25</v>
          </cell>
          <cell r="H34">
            <v>0.25694444444444398</v>
          </cell>
          <cell r="I34">
            <v>6.9444444444439757E-3</v>
          </cell>
          <cell r="J34">
            <v>0.28125</v>
          </cell>
          <cell r="K34">
            <v>0.29513888888888901</v>
          </cell>
          <cell r="L34" t="str">
            <v>احمد امام</v>
          </cell>
          <cell r="M34" t="str">
            <v>عبدالله امير</v>
          </cell>
          <cell r="N34">
            <v>1.3888888888889006E-2</v>
          </cell>
          <cell r="O34">
            <v>0</v>
          </cell>
          <cell r="P34">
            <v>6.9444444444444397E-3</v>
          </cell>
          <cell r="Q34">
            <v>0.29861111111111099</v>
          </cell>
          <cell r="R34">
            <v>0</v>
          </cell>
          <cell r="S34">
            <v>0.28819444444444398</v>
          </cell>
          <cell r="T34">
            <v>3.4722222222222203E-2</v>
          </cell>
        </row>
        <row r="35">
          <cell r="B35">
            <v>745</v>
          </cell>
          <cell r="C35" t="str">
            <v>دبابة</v>
          </cell>
          <cell r="D35">
            <v>2.0833333333333301E-2</v>
          </cell>
          <cell r="E35" t="str">
            <v>مسطرد</v>
          </cell>
          <cell r="F35" t="str">
            <v>طاهر حسين</v>
          </cell>
          <cell r="G35">
            <v>0.25</v>
          </cell>
          <cell r="H35">
            <v>0.243055555555556</v>
          </cell>
          <cell r="I35">
            <v>0</v>
          </cell>
          <cell r="J35">
            <v>0.29861111111111099</v>
          </cell>
          <cell r="K35">
            <v>0.30555555555555602</v>
          </cell>
          <cell r="L35" t="str">
            <v>احمد امام</v>
          </cell>
          <cell r="M35" t="str">
            <v>عبدالله امير</v>
          </cell>
          <cell r="N35">
            <v>6.9444444444450304E-3</v>
          </cell>
          <cell r="O35">
            <v>0</v>
          </cell>
          <cell r="P35">
            <v>6.9444444444444397E-3</v>
          </cell>
          <cell r="Q35">
            <v>0.30902777777777801</v>
          </cell>
          <cell r="R35">
            <v>0</v>
          </cell>
          <cell r="S35">
            <v>0.30902777777777801</v>
          </cell>
          <cell r="T35">
            <v>3.4722222222222199E-3</v>
          </cell>
        </row>
        <row r="36">
          <cell r="E36" t="str">
            <v>التجمع 1</v>
          </cell>
          <cell r="F36" t="str">
            <v>علي حمدي</v>
          </cell>
          <cell r="G36">
            <v>0.25</v>
          </cell>
          <cell r="H36">
            <v>0.26041666666666702</v>
          </cell>
          <cell r="I36">
            <v>1.0416666666667018E-2</v>
          </cell>
          <cell r="J36">
            <v>0.38194444444444398</v>
          </cell>
          <cell r="K36">
            <v>0.41319444444444398</v>
          </cell>
          <cell r="L36" t="str">
            <v>حسام خليل</v>
          </cell>
          <cell r="M36" t="str">
            <v>حسام خليل</v>
          </cell>
          <cell r="N36">
            <v>3.125E-2</v>
          </cell>
          <cell r="O36">
            <v>0</v>
          </cell>
          <cell r="P36">
            <v>6.9444444444444397E-3</v>
          </cell>
          <cell r="Q36">
            <v>0.42013888888888901</v>
          </cell>
          <cell r="R36">
            <v>6.106226635438361E-16</v>
          </cell>
          <cell r="S36">
            <v>0.42013888888888901</v>
          </cell>
          <cell r="T36">
            <v>2.4305555555555601E-2</v>
          </cell>
        </row>
        <row r="37">
          <cell r="E37" t="str">
            <v>التجمع 5</v>
          </cell>
          <cell r="F37" t="str">
            <v>علي حمدي</v>
          </cell>
          <cell r="G37">
            <v>0.25</v>
          </cell>
          <cell r="H37">
            <v>0.26041666666666702</v>
          </cell>
          <cell r="I37">
            <v>1.0416666666667018E-2</v>
          </cell>
          <cell r="J37">
            <v>0.38194444444444398</v>
          </cell>
          <cell r="K37">
            <v>0.41319444444444398</v>
          </cell>
          <cell r="L37" t="str">
            <v>حسام خليل</v>
          </cell>
          <cell r="M37" t="str">
            <v>حسام خليل</v>
          </cell>
          <cell r="N37">
            <v>3.125E-2</v>
          </cell>
          <cell r="O37">
            <v>0</v>
          </cell>
          <cell r="P37">
            <v>6.9444444444444397E-3</v>
          </cell>
          <cell r="Q37">
            <v>0.42013888888888901</v>
          </cell>
          <cell r="R37">
            <v>6.106226635438361E-16</v>
          </cell>
          <cell r="S37">
            <v>0.42013888888888901</v>
          </cell>
          <cell r="T37">
            <v>1.0416666666666701E-2</v>
          </cell>
        </row>
        <row r="38">
          <cell r="E38" t="str">
            <v>شبرا</v>
          </cell>
          <cell r="F38" t="str">
            <v>رجب محمد</v>
          </cell>
          <cell r="G38">
            <v>0.25</v>
          </cell>
          <cell r="H38">
            <v>0.243055555555556</v>
          </cell>
          <cell r="I38">
            <v>0</v>
          </cell>
          <cell r="J38">
            <v>0.42638888888888898</v>
          </cell>
          <cell r="K38">
            <v>0.468055555555556</v>
          </cell>
          <cell r="L38" t="str">
            <v>شريف ابراهيم</v>
          </cell>
          <cell r="M38" t="str">
            <v>شريف ابراهيم</v>
          </cell>
          <cell r="N38">
            <v>4.1666666666667018E-2</v>
          </cell>
          <cell r="O38">
            <v>1.0416666666667018E-2</v>
          </cell>
          <cell r="P38">
            <v>6.9444444444444397E-3</v>
          </cell>
          <cell r="Q38">
            <v>0.46875</v>
          </cell>
          <cell r="R38">
            <v>0</v>
          </cell>
          <cell r="S38">
            <v>0.46875</v>
          </cell>
          <cell r="T38">
            <v>1.38888888888889E-2</v>
          </cell>
        </row>
        <row r="39">
          <cell r="E39" t="str">
            <v>الدوران</v>
          </cell>
          <cell r="F39" t="str">
            <v>رجب محمد</v>
          </cell>
          <cell r="G39">
            <v>0.25</v>
          </cell>
          <cell r="H39">
            <v>0.243055555555556</v>
          </cell>
          <cell r="I39">
            <v>0</v>
          </cell>
          <cell r="J39">
            <v>0.42638888888888898</v>
          </cell>
          <cell r="K39">
            <v>0.468055555555556</v>
          </cell>
          <cell r="L39" t="str">
            <v>شريف ابراهيم</v>
          </cell>
          <cell r="M39" t="str">
            <v>شريف ابراهيم</v>
          </cell>
          <cell r="N39">
            <v>4.1666666666667018E-2</v>
          </cell>
          <cell r="O39">
            <v>1.0416666666667018E-2</v>
          </cell>
          <cell r="P39">
            <v>6.9444444444444397E-3</v>
          </cell>
          <cell r="Q39">
            <v>0.46875</v>
          </cell>
          <cell r="R39">
            <v>0</v>
          </cell>
          <cell r="S39">
            <v>0.46875</v>
          </cell>
          <cell r="T39">
            <v>1.38888888888889E-2</v>
          </cell>
        </row>
        <row r="40">
          <cell r="E40" t="str">
            <v>مسطرد</v>
          </cell>
          <cell r="F40" t="str">
            <v>الشناوي سرور</v>
          </cell>
          <cell r="G40">
            <v>0.25</v>
          </cell>
          <cell r="H40">
            <v>0.25347222222222199</v>
          </cell>
          <cell r="I40">
            <v>3.4722222222219878E-3</v>
          </cell>
          <cell r="J40">
            <v>0.47569444444444398</v>
          </cell>
          <cell r="K40">
            <v>0.5</v>
          </cell>
          <cell r="L40" t="str">
            <v>حسام خليل</v>
          </cell>
          <cell r="M40" t="str">
            <v>حسام خليل</v>
          </cell>
          <cell r="N40">
            <v>2.4305555555556024E-2</v>
          </cell>
          <cell r="O40">
            <v>3.4722222222227234E-3</v>
          </cell>
          <cell r="P40">
            <v>6.9444444444444397E-3</v>
          </cell>
          <cell r="Q40">
            <v>0.51388888888888895</v>
          </cell>
          <cell r="R40">
            <v>6.9444444444445308E-3</v>
          </cell>
          <cell r="S40">
            <v>0.51388888888888895</v>
          </cell>
          <cell r="T40">
            <v>3.4722222222222199E-3</v>
          </cell>
        </row>
        <row r="41">
          <cell r="E41" t="str">
            <v>فيصل</v>
          </cell>
          <cell r="F41" t="str">
            <v>عمرو محمد</v>
          </cell>
          <cell r="G41">
            <v>0.25</v>
          </cell>
          <cell r="H41">
            <v>0.26041666666666702</v>
          </cell>
          <cell r="I41">
            <v>1.0416666666667018E-2</v>
          </cell>
          <cell r="J41">
            <v>0.38888888888888901</v>
          </cell>
          <cell r="K41">
            <v>0.42361111111111099</v>
          </cell>
          <cell r="L41" t="str">
            <v>عبدالرحمن ابراهيم</v>
          </cell>
          <cell r="M41" t="str">
            <v>عبدالرحمن ابراهيم</v>
          </cell>
          <cell r="N41">
            <v>3.4722222222221988E-2</v>
          </cell>
          <cell r="O41">
            <v>3.4722222222219878E-3</v>
          </cell>
          <cell r="P41">
            <v>6.9444444444444397E-3</v>
          </cell>
          <cell r="Q41">
            <v>0.43055555555555602</v>
          </cell>
          <cell r="R41">
            <v>6.106226635438361E-16</v>
          </cell>
          <cell r="S41">
            <v>0.43055555555555602</v>
          </cell>
          <cell r="T41">
            <v>3.4722222222222203E-2</v>
          </cell>
        </row>
        <row r="42">
          <cell r="E42" t="str">
            <v>الطوابق</v>
          </cell>
          <cell r="F42" t="str">
            <v>عمرو محمد</v>
          </cell>
          <cell r="G42">
            <v>0.25</v>
          </cell>
          <cell r="H42">
            <v>0.26041666666666702</v>
          </cell>
          <cell r="I42">
            <v>1.0416666666667018E-2</v>
          </cell>
          <cell r="J42">
            <v>0.38888888888888901</v>
          </cell>
          <cell r="K42">
            <v>0.42361111111111099</v>
          </cell>
          <cell r="L42" t="str">
            <v>عبدالرحمن ابراهيم</v>
          </cell>
          <cell r="M42" t="str">
            <v>عبدالرحمن ابراهيم</v>
          </cell>
          <cell r="N42">
            <v>3.4722222222221988E-2</v>
          </cell>
          <cell r="O42">
            <v>3.4722222222219878E-3</v>
          </cell>
          <cell r="P42">
            <v>6.9444444444444397E-3</v>
          </cell>
          <cell r="Q42">
            <v>0.43055555555555602</v>
          </cell>
          <cell r="R42">
            <v>6.106226635438361E-16</v>
          </cell>
          <cell r="S42">
            <v>0.43055555555555602</v>
          </cell>
          <cell r="T42">
            <v>3.4722222222222203E-2</v>
          </cell>
        </row>
        <row r="43">
          <cell r="E43" t="str">
            <v>الميرغني</v>
          </cell>
          <cell r="F43" t="str">
            <v>رضا معروف</v>
          </cell>
          <cell r="G43">
            <v>0.25</v>
          </cell>
          <cell r="H43">
            <v>0.26388888888888901</v>
          </cell>
          <cell r="I43">
            <v>1.3888888888889006E-2</v>
          </cell>
          <cell r="J43">
            <v>0.43541666666666701</v>
          </cell>
          <cell r="K43">
            <v>0.45833333333333298</v>
          </cell>
          <cell r="L43" t="str">
            <v>حسام جمال</v>
          </cell>
          <cell r="M43" t="str">
            <v>حسام جمال</v>
          </cell>
          <cell r="N43">
            <v>2.2916666666665975E-2</v>
          </cell>
          <cell r="O43">
            <v>0</v>
          </cell>
          <cell r="P43">
            <v>6.9444444444444397E-3</v>
          </cell>
          <cell r="Q43">
            <v>0.46527777777777801</v>
          </cell>
          <cell r="R43">
            <v>6.106226635438361E-16</v>
          </cell>
          <cell r="S43">
            <v>0.46527777777777801</v>
          </cell>
          <cell r="T43">
            <v>1.38888888888889E-2</v>
          </cell>
        </row>
        <row r="44">
          <cell r="E44" t="str">
            <v>عباس</v>
          </cell>
          <cell r="F44" t="str">
            <v>رضا معروف</v>
          </cell>
          <cell r="G44">
            <v>0.25</v>
          </cell>
          <cell r="H44">
            <v>0.26388888888888901</v>
          </cell>
          <cell r="I44">
            <v>1.3888888888889006E-2</v>
          </cell>
          <cell r="J44">
            <v>0.43541666666666701</v>
          </cell>
          <cell r="K44">
            <v>0.45833333333333298</v>
          </cell>
          <cell r="L44" t="str">
            <v>حسام جمال</v>
          </cell>
          <cell r="M44" t="str">
            <v>حسام جمال</v>
          </cell>
          <cell r="N44">
            <v>2.2916666666665975E-2</v>
          </cell>
          <cell r="O44">
            <v>0</v>
          </cell>
          <cell r="P44">
            <v>6.9444444444444397E-3</v>
          </cell>
          <cell r="Q44">
            <v>0.46527777777777801</v>
          </cell>
          <cell r="R44">
            <v>6.106226635438361E-16</v>
          </cell>
          <cell r="S44">
            <v>0.46527777777777801</v>
          </cell>
          <cell r="T44">
            <v>1.7361111111111101E-2</v>
          </cell>
        </row>
        <row r="45">
          <cell r="E45" t="str">
            <v>العاشر من رمضان</v>
          </cell>
          <cell r="F45" t="str">
            <v>جمال فؤاد</v>
          </cell>
          <cell r="G45">
            <v>0.25</v>
          </cell>
          <cell r="H45">
            <v>0.25</v>
          </cell>
          <cell r="I45">
            <v>0</v>
          </cell>
          <cell r="J45">
            <v>0.47569444444444398</v>
          </cell>
          <cell r="K45">
            <v>0.48958333333333298</v>
          </cell>
          <cell r="L45" t="str">
            <v>عبدالرحمن ابراهيم</v>
          </cell>
          <cell r="M45" t="str">
            <v>عبدالرحمن ابراهيم</v>
          </cell>
          <cell r="N45">
            <v>1.3888888888889006E-2</v>
          </cell>
          <cell r="O45">
            <v>0</v>
          </cell>
          <cell r="P45">
            <v>6.9444444444444397E-3</v>
          </cell>
          <cell r="Q45">
            <v>0.49305555555555602</v>
          </cell>
          <cell r="R45">
            <v>0</v>
          </cell>
          <cell r="S45">
            <v>0.49305555555555602</v>
          </cell>
          <cell r="T45">
            <v>6.25E-2</v>
          </cell>
        </row>
        <row r="46">
          <cell r="E46" t="str">
            <v>الشيراتون</v>
          </cell>
          <cell r="F46" t="str">
            <v>محمد مراد</v>
          </cell>
          <cell r="G46">
            <v>0.25</v>
          </cell>
          <cell r="H46">
            <v>0.25694444444444398</v>
          </cell>
          <cell r="I46">
            <v>6.9444444444439757E-3</v>
          </cell>
          <cell r="J46">
            <v>0.42013888888888901</v>
          </cell>
          <cell r="K46">
            <v>0.43055555555555602</v>
          </cell>
          <cell r="L46" t="str">
            <v>اسلام الجندي</v>
          </cell>
          <cell r="M46" t="str">
            <v>ابو بكر</v>
          </cell>
          <cell r="N46">
            <v>1.0416666666667018E-2</v>
          </cell>
          <cell r="O46">
            <v>0</v>
          </cell>
          <cell r="P46">
            <v>6.9444444444444397E-3</v>
          </cell>
          <cell r="Q46">
            <v>0.43402777777777801</v>
          </cell>
          <cell r="R46">
            <v>0</v>
          </cell>
          <cell r="S46">
            <v>0.43402777777777801</v>
          </cell>
          <cell r="T46">
            <v>2.0833333333333301E-2</v>
          </cell>
        </row>
        <row r="47">
          <cell r="E47" t="str">
            <v>جاردينيا</v>
          </cell>
          <cell r="F47" t="str">
            <v>محمد مراد</v>
          </cell>
          <cell r="G47">
            <v>0.25</v>
          </cell>
          <cell r="H47">
            <v>0.25694444444444398</v>
          </cell>
          <cell r="I47">
            <v>6.9444444444439757E-3</v>
          </cell>
          <cell r="J47">
            <v>0.42013888888888901</v>
          </cell>
          <cell r="K47">
            <v>0.43055555555555602</v>
          </cell>
          <cell r="L47" t="str">
            <v>اسلام الجندي</v>
          </cell>
          <cell r="M47" t="str">
            <v>ابو بكر</v>
          </cell>
          <cell r="N47">
            <v>1.0416666666667018E-2</v>
          </cell>
          <cell r="O47">
            <v>0</v>
          </cell>
          <cell r="P47">
            <v>6.9444444444444397E-3</v>
          </cell>
          <cell r="Q47">
            <v>0.43402777777777801</v>
          </cell>
          <cell r="R47">
            <v>0</v>
          </cell>
          <cell r="S47">
            <v>0.43402777777777801</v>
          </cell>
          <cell r="T47">
            <v>1.0416666666666701E-2</v>
          </cell>
        </row>
        <row r="48">
          <cell r="E48" t="str">
            <v>اكتوبر</v>
          </cell>
          <cell r="F48" t="str">
            <v>احمد جمعة</v>
          </cell>
          <cell r="G48">
            <v>0.25</v>
          </cell>
          <cell r="H48">
            <v>0.26736111111111099</v>
          </cell>
          <cell r="I48">
            <v>1.7361111111110994E-2</v>
          </cell>
          <cell r="J48">
            <v>0.43402777777777801</v>
          </cell>
          <cell r="K48">
            <v>0.50347222222222199</v>
          </cell>
          <cell r="L48" t="str">
            <v>اسلام الجندي</v>
          </cell>
          <cell r="M48" t="str">
            <v>ابو بكر</v>
          </cell>
          <cell r="N48">
            <v>6.9444444444443976E-2</v>
          </cell>
          <cell r="O48">
            <v>4.8611111111110675E-2</v>
          </cell>
          <cell r="P48">
            <v>6.9444444444444397E-3</v>
          </cell>
          <cell r="Q48">
            <v>0.51041666666666696</v>
          </cell>
          <cell r="R48">
            <v>0</v>
          </cell>
          <cell r="S48">
            <v>0.51041666666666696</v>
          </cell>
          <cell r="T48">
            <v>4.1666666666666699E-2</v>
          </cell>
        </row>
        <row r="49">
          <cell r="E49" t="str">
            <v>عرابي</v>
          </cell>
          <cell r="F49" t="str">
            <v>علي النبوي</v>
          </cell>
          <cell r="G49">
            <v>0.25</v>
          </cell>
          <cell r="H49">
            <v>0.25694444444444398</v>
          </cell>
          <cell r="I49">
            <v>6.9444444444439757E-3</v>
          </cell>
          <cell r="J49">
            <v>0.39583333333333298</v>
          </cell>
          <cell r="K49">
            <v>0.43055555555555602</v>
          </cell>
          <cell r="L49" t="str">
            <v>محمد دسوقي</v>
          </cell>
          <cell r="M49" t="str">
            <v>محمد دسوقي</v>
          </cell>
          <cell r="N49">
            <v>3.4722222222223043E-2</v>
          </cell>
          <cell r="O49">
            <v>3.4722222222230426E-3</v>
          </cell>
          <cell r="P49">
            <v>6.9444444444444397E-3</v>
          </cell>
          <cell r="Q49">
            <v>0.4375</v>
          </cell>
          <cell r="R49">
            <v>-4.4408920985006262E-16</v>
          </cell>
          <cell r="S49">
            <v>0.4375</v>
          </cell>
          <cell r="T49">
            <v>1.7361111111111101E-2</v>
          </cell>
        </row>
        <row r="50">
          <cell r="E50" t="str">
            <v>الدقي</v>
          </cell>
          <cell r="F50" t="str">
            <v>علي النبوي</v>
          </cell>
          <cell r="G50">
            <v>0.25</v>
          </cell>
          <cell r="H50">
            <v>0.25694444444444398</v>
          </cell>
          <cell r="I50">
            <v>6.9444444444439757E-3</v>
          </cell>
          <cell r="J50">
            <v>0.39583333333333298</v>
          </cell>
          <cell r="K50">
            <v>0.43055555555555602</v>
          </cell>
          <cell r="L50" t="str">
            <v>محمد دسوقي</v>
          </cell>
          <cell r="M50" t="str">
            <v>محمد دسوقي</v>
          </cell>
          <cell r="N50">
            <v>3.4722222222223043E-2</v>
          </cell>
          <cell r="O50">
            <v>3.4722222222230426E-3</v>
          </cell>
          <cell r="P50">
            <v>6.9444444444444397E-3</v>
          </cell>
          <cell r="Q50">
            <v>0.4375</v>
          </cell>
          <cell r="R50">
            <v>-4.4408920985006262E-16</v>
          </cell>
          <cell r="S50">
            <v>0.4375</v>
          </cell>
          <cell r="T50">
            <v>1.38888888888889E-2</v>
          </cell>
        </row>
        <row r="51">
          <cell r="E51" t="str">
            <v>العبور</v>
          </cell>
          <cell r="F51" t="str">
            <v>سيد العسال</v>
          </cell>
          <cell r="G51">
            <v>0.25</v>
          </cell>
          <cell r="H51">
            <v>0.25694444444444398</v>
          </cell>
          <cell r="I51">
            <v>6.9444444444439757E-3</v>
          </cell>
          <cell r="J51">
            <v>0.44444444444444398</v>
          </cell>
          <cell r="K51">
            <v>0.45833333333333298</v>
          </cell>
          <cell r="L51" t="str">
            <v>محمد دسوقي</v>
          </cell>
          <cell r="M51" t="str">
            <v>محمد دسوقي</v>
          </cell>
          <cell r="N51">
            <v>1.3888888888889006E-2</v>
          </cell>
          <cell r="O51">
            <v>0</v>
          </cell>
          <cell r="P51">
            <v>6.9444444444444397E-3</v>
          </cell>
          <cell r="Q51">
            <v>0.46875</v>
          </cell>
          <cell r="R51">
            <v>3.4722222222225985E-3</v>
          </cell>
          <cell r="S51">
            <v>0.46875</v>
          </cell>
          <cell r="T51">
            <v>2.7777777777777801E-2</v>
          </cell>
        </row>
        <row r="52">
          <cell r="E52" t="str">
            <v>السواح</v>
          </cell>
          <cell r="F52" t="str">
            <v>احمد فوزي</v>
          </cell>
          <cell r="G52">
            <v>0.25</v>
          </cell>
          <cell r="H52">
            <v>0.27083333333333298</v>
          </cell>
          <cell r="I52">
            <v>2.0833333333332982E-2</v>
          </cell>
          <cell r="J52">
            <v>0.47222222222222199</v>
          </cell>
          <cell r="K52">
            <v>0.5</v>
          </cell>
          <cell r="L52" t="str">
            <v>محمد دسوقي</v>
          </cell>
          <cell r="M52" t="str">
            <v>محمد دسوقي</v>
          </cell>
          <cell r="N52">
            <v>2.7777777777778012E-2</v>
          </cell>
          <cell r="O52">
            <v>0</v>
          </cell>
          <cell r="P52">
            <v>6.9444444444444397E-3</v>
          </cell>
          <cell r="Q52">
            <v>0.51041666666666696</v>
          </cell>
          <cell r="R52">
            <v>3.472222222222543E-3</v>
          </cell>
          <cell r="S52">
            <v>0.51041666666666696</v>
          </cell>
          <cell r="T52">
            <v>1.0416666666666701E-2</v>
          </cell>
        </row>
        <row r="53">
          <cell r="E53" t="str">
            <v>المعادي 1</v>
          </cell>
          <cell r="F53" t="str">
            <v>محمد حسان</v>
          </cell>
          <cell r="G53">
            <v>0.25</v>
          </cell>
          <cell r="H53">
            <v>0.243055555555556</v>
          </cell>
          <cell r="I53">
            <v>0</v>
          </cell>
          <cell r="J53">
            <v>0.39583333333333298</v>
          </cell>
          <cell r="K53">
            <v>0.42361111111111099</v>
          </cell>
          <cell r="L53" t="str">
            <v>احمد عبدالحميد</v>
          </cell>
          <cell r="M53" t="str">
            <v>احمد عبدالحميد</v>
          </cell>
          <cell r="N53">
            <v>2.7777777777778012E-2</v>
          </cell>
          <cell r="O53">
            <v>0</v>
          </cell>
          <cell r="P53">
            <v>6.9444444444444397E-3</v>
          </cell>
          <cell r="Q53">
            <v>0.4375</v>
          </cell>
          <cell r="R53">
            <v>6.9444444444445863E-3</v>
          </cell>
          <cell r="S53">
            <v>0.4375</v>
          </cell>
          <cell r="T53">
            <v>3.4722222222222203E-2</v>
          </cell>
        </row>
        <row r="54">
          <cell r="E54" t="str">
            <v>المعادي 2</v>
          </cell>
          <cell r="F54" t="str">
            <v>محمد حسان</v>
          </cell>
          <cell r="G54">
            <v>0.25</v>
          </cell>
          <cell r="H54">
            <v>0.243055555555556</v>
          </cell>
          <cell r="I54">
            <v>0</v>
          </cell>
          <cell r="J54">
            <v>0.39583333333333298</v>
          </cell>
          <cell r="K54">
            <v>0.42361111111111099</v>
          </cell>
          <cell r="L54" t="str">
            <v>احمد عبدالحميد</v>
          </cell>
          <cell r="M54" t="str">
            <v>احمد عبدالحميد</v>
          </cell>
          <cell r="N54">
            <v>2.7777777777778012E-2</v>
          </cell>
          <cell r="O54">
            <v>0</v>
          </cell>
          <cell r="P54">
            <v>6.9444444444444397E-3</v>
          </cell>
          <cell r="Q54">
            <v>0.4375</v>
          </cell>
          <cell r="R54">
            <v>6.9444444444445863E-3</v>
          </cell>
          <cell r="S54">
            <v>0.4375</v>
          </cell>
          <cell r="T54">
            <v>3.4722222222222203E-2</v>
          </cell>
        </row>
        <row r="55">
          <cell r="E55" t="str">
            <v>مكرم</v>
          </cell>
          <cell r="F55" t="str">
            <v>عمرو عبدالرحمن</v>
          </cell>
          <cell r="G55">
            <v>0.25</v>
          </cell>
          <cell r="H55">
            <v>0.25</v>
          </cell>
          <cell r="I55">
            <v>0</v>
          </cell>
          <cell r="J55">
            <v>0.43055555555555602</v>
          </cell>
          <cell r="K55">
            <v>0.44791666666666702</v>
          </cell>
          <cell r="L55" t="str">
            <v>محمد عادل</v>
          </cell>
          <cell r="M55" t="str">
            <v>محمد عادل</v>
          </cell>
          <cell r="N55">
            <v>1.7361111111110994E-2</v>
          </cell>
          <cell r="O55">
            <v>0</v>
          </cell>
          <cell r="P55">
            <v>6.9444444444444397E-3</v>
          </cell>
          <cell r="Q55">
            <v>0.45486111111111099</v>
          </cell>
          <cell r="R55">
            <v>-4.4408920985006262E-16</v>
          </cell>
          <cell r="S55">
            <v>0.45486111111111099</v>
          </cell>
          <cell r="T55">
            <v>1.7361111111111101E-2</v>
          </cell>
        </row>
        <row r="56">
          <cell r="E56" t="str">
            <v>العاشر</v>
          </cell>
          <cell r="F56" t="str">
            <v>طه محسن</v>
          </cell>
          <cell r="G56">
            <v>0.25</v>
          </cell>
          <cell r="H56">
            <v>0.25</v>
          </cell>
          <cell r="I56">
            <v>0</v>
          </cell>
          <cell r="J56">
            <v>0.45486111111111099</v>
          </cell>
          <cell r="K56">
            <v>0.47916666666666702</v>
          </cell>
          <cell r="L56" t="str">
            <v>احمد عبدالحميد</v>
          </cell>
          <cell r="M56" t="str">
            <v>احمد عبدالحميد</v>
          </cell>
          <cell r="N56">
            <v>2.4305555555556024E-2</v>
          </cell>
          <cell r="O56">
            <v>0</v>
          </cell>
          <cell r="P56">
            <v>6.9444444444444397E-3</v>
          </cell>
          <cell r="Q56">
            <v>0.48263888888888901</v>
          </cell>
          <cell r="R56">
            <v>0</v>
          </cell>
          <cell r="S56">
            <v>0.48263888888888901</v>
          </cell>
          <cell r="T56">
            <v>2.7777777777777801E-2</v>
          </cell>
        </row>
        <row r="57">
          <cell r="E57" t="str">
            <v>المنتزة</v>
          </cell>
          <cell r="F57" t="str">
            <v>صبري امام</v>
          </cell>
          <cell r="G57">
            <v>0.25</v>
          </cell>
          <cell r="H57">
            <v>0.26041666666666702</v>
          </cell>
          <cell r="I57">
            <v>1.0416666666667018E-2</v>
          </cell>
          <cell r="J57">
            <v>0.5</v>
          </cell>
          <cell r="K57">
            <v>0.52777777777777801</v>
          </cell>
          <cell r="L57" t="str">
            <v>محمد عبدالله</v>
          </cell>
          <cell r="M57" t="str">
            <v>محمد عبدالله</v>
          </cell>
          <cell r="N57">
            <v>2.7777777777778012E-2</v>
          </cell>
          <cell r="O57">
            <v>6.9444444444447112E-3</v>
          </cell>
          <cell r="P57">
            <v>6.9444444444444397E-3</v>
          </cell>
          <cell r="Q57">
            <v>0.53472222222222199</v>
          </cell>
          <cell r="R57">
            <v>0</v>
          </cell>
          <cell r="S57">
            <v>0.53472222222222199</v>
          </cell>
          <cell r="T57">
            <v>1.0416666666666701E-2</v>
          </cell>
        </row>
        <row r="58">
          <cell r="E58" t="str">
            <v>الكوربة</v>
          </cell>
          <cell r="F58" t="str">
            <v>صبري امام</v>
          </cell>
          <cell r="G58">
            <v>0.25</v>
          </cell>
          <cell r="H58">
            <v>0.26041666666666702</v>
          </cell>
          <cell r="I58">
            <v>1.0416666666667018E-2</v>
          </cell>
          <cell r="J58">
            <v>0.5</v>
          </cell>
          <cell r="K58">
            <v>0.52777777777777801</v>
          </cell>
          <cell r="L58" t="str">
            <v>محمد عبدالله</v>
          </cell>
          <cell r="M58" t="str">
            <v>محمد عبدالله</v>
          </cell>
          <cell r="N58">
            <v>2.7777777777778012E-2</v>
          </cell>
          <cell r="O58">
            <v>6.9444444444447112E-3</v>
          </cell>
          <cell r="P58">
            <v>6.9444444444444397E-3</v>
          </cell>
          <cell r="Q58">
            <v>0.53472222222222199</v>
          </cell>
          <cell r="R58">
            <v>0</v>
          </cell>
          <cell r="S58">
            <v>0.53472222222222199</v>
          </cell>
          <cell r="T58">
            <v>1.38888888888889E-2</v>
          </cell>
        </row>
        <row r="59">
          <cell r="E59" t="str">
            <v>الشريف</v>
          </cell>
          <cell r="F59" t="str">
            <v>احمد عواد</v>
          </cell>
          <cell r="G59">
            <v>0.25</v>
          </cell>
          <cell r="H59">
            <v>0.27083333333333298</v>
          </cell>
          <cell r="I59">
            <v>2.0833333333332982E-2</v>
          </cell>
          <cell r="J59">
            <v>0.39583333333333298</v>
          </cell>
          <cell r="K59">
            <v>0.41666666666666702</v>
          </cell>
          <cell r="L59" t="str">
            <v>اسلام محمد</v>
          </cell>
          <cell r="M59" t="str">
            <v>اسلام محمد</v>
          </cell>
          <cell r="N59">
            <v>2.0833333333334036E-2</v>
          </cell>
          <cell r="O59">
            <v>7.3552275381416621E-16</v>
          </cell>
          <cell r="P59">
            <v>6.9444444444444397E-3</v>
          </cell>
          <cell r="Q59">
            <v>0.43055555555555602</v>
          </cell>
          <cell r="R59">
            <v>6.9444444444445863E-3</v>
          </cell>
          <cell r="S59">
            <v>0.43055555555555602</v>
          </cell>
          <cell r="T59">
            <v>1.7361111111111101E-2</v>
          </cell>
        </row>
        <row r="60">
          <cell r="E60" t="str">
            <v>الوسط</v>
          </cell>
          <cell r="F60" t="str">
            <v>احمد عواد</v>
          </cell>
          <cell r="G60">
            <v>0.25</v>
          </cell>
          <cell r="H60">
            <v>0.27083333333333298</v>
          </cell>
          <cell r="I60">
            <v>2.0833333333332982E-2</v>
          </cell>
          <cell r="J60">
            <v>0.39583333333333298</v>
          </cell>
          <cell r="K60">
            <v>0.41666666666666702</v>
          </cell>
          <cell r="L60" t="str">
            <v>اسلام محمد</v>
          </cell>
          <cell r="M60" t="str">
            <v>اسلام محمد</v>
          </cell>
          <cell r="N60">
            <v>2.0833333333334036E-2</v>
          </cell>
          <cell r="O60">
            <v>7.3552275381416621E-16</v>
          </cell>
          <cell r="P60">
            <v>6.9444444444444397E-3</v>
          </cell>
          <cell r="Q60">
            <v>0.43055555555555602</v>
          </cell>
          <cell r="R60">
            <v>6.9444444444445863E-3</v>
          </cell>
          <cell r="S60">
            <v>0.43055555555555602</v>
          </cell>
          <cell r="T60">
            <v>1.0416666666666701E-2</v>
          </cell>
        </row>
        <row r="61">
          <cell r="E61" t="str">
            <v>النزهة</v>
          </cell>
          <cell r="F61" t="str">
            <v>مصطفى احمد</v>
          </cell>
          <cell r="G61">
            <v>0.25</v>
          </cell>
          <cell r="H61">
            <v>0.23958333333333301</v>
          </cell>
          <cell r="I61">
            <v>0</v>
          </cell>
          <cell r="J61">
            <v>0.43055555555555602</v>
          </cell>
          <cell r="K61">
            <v>0.47222222222222199</v>
          </cell>
          <cell r="L61" t="str">
            <v>احمد فايز</v>
          </cell>
          <cell r="M61" t="str">
            <v>احمد فايز</v>
          </cell>
          <cell r="N61">
            <v>4.1666666666665964E-2</v>
          </cell>
          <cell r="O61">
            <v>1.0416666666665964E-2</v>
          </cell>
          <cell r="P61">
            <v>6.9444444444444397E-3</v>
          </cell>
          <cell r="Q61">
            <v>0.48263888888888901</v>
          </cell>
          <cell r="R61">
            <v>3.4722222222225985E-3</v>
          </cell>
          <cell r="S61">
            <v>0.48263888888888901</v>
          </cell>
          <cell r="T61">
            <v>1.38888888888889E-2</v>
          </cell>
        </row>
        <row r="62">
          <cell r="E62" t="str">
            <v>الجسر</v>
          </cell>
          <cell r="F62" t="str">
            <v>مصطفى احمد</v>
          </cell>
          <cell r="G62">
            <v>0.25</v>
          </cell>
          <cell r="H62">
            <v>0.23958333333333301</v>
          </cell>
          <cell r="I62">
            <v>0</v>
          </cell>
          <cell r="J62">
            <v>0.43055555555555602</v>
          </cell>
          <cell r="K62">
            <v>0.47222222222222199</v>
          </cell>
          <cell r="L62" t="str">
            <v>احمد فايز</v>
          </cell>
          <cell r="M62" t="str">
            <v>احمد فايز</v>
          </cell>
          <cell r="N62">
            <v>4.1666666666665964E-2</v>
          </cell>
          <cell r="O62">
            <v>1.0416666666665964E-2</v>
          </cell>
          <cell r="P62">
            <v>6.9444444444444397E-3</v>
          </cell>
          <cell r="Q62">
            <v>0.48263888888888901</v>
          </cell>
          <cell r="R62">
            <v>3.4722222222225985E-3</v>
          </cell>
          <cell r="S62">
            <v>0.48263888888888901</v>
          </cell>
          <cell r="T62">
            <v>1.0416666666666701E-2</v>
          </cell>
        </row>
        <row r="63">
          <cell r="E63" t="str">
            <v>المطرية</v>
          </cell>
          <cell r="F63" t="str">
            <v>علاء مجدي</v>
          </cell>
          <cell r="G63">
            <v>0.25</v>
          </cell>
          <cell r="H63">
            <v>0.243055555555556</v>
          </cell>
          <cell r="I63">
            <v>0</v>
          </cell>
          <cell r="J63">
            <v>0.49652777777777801</v>
          </cell>
          <cell r="K63">
            <v>0.51041666666666696</v>
          </cell>
          <cell r="L63" t="str">
            <v>اسلام محمد</v>
          </cell>
          <cell r="M63" t="str">
            <v>اسلام محمد</v>
          </cell>
          <cell r="N63">
            <v>1.3888888888888951E-2</v>
          </cell>
          <cell r="O63">
            <v>0</v>
          </cell>
          <cell r="P63">
            <v>6.9444444444444397E-3</v>
          </cell>
          <cell r="Q63">
            <v>0.51388888888888895</v>
          </cell>
          <cell r="R63">
            <v>0</v>
          </cell>
          <cell r="S63">
            <v>0.51388888888888895</v>
          </cell>
          <cell r="T63">
            <v>4.8611111111111103E-3</v>
          </cell>
        </row>
        <row r="64">
          <cell r="E64" t="str">
            <v>الوايلي</v>
          </cell>
          <cell r="F64" t="str">
            <v>احمد حسن</v>
          </cell>
          <cell r="G64">
            <v>0.25</v>
          </cell>
          <cell r="H64">
            <v>0.26041666666666702</v>
          </cell>
          <cell r="I64">
            <v>1.0416666666667018E-2</v>
          </cell>
          <cell r="J64">
            <v>0.40277777777777801</v>
          </cell>
          <cell r="K64">
            <v>0.43055555555555602</v>
          </cell>
          <cell r="L64" t="str">
            <v>محمد امام</v>
          </cell>
          <cell r="M64" t="str">
            <v>محمد امام</v>
          </cell>
          <cell r="N64">
            <v>0</v>
          </cell>
          <cell r="O64">
            <v>0</v>
          </cell>
          <cell r="P64">
            <v>6.9444444444444397E-3</v>
          </cell>
          <cell r="Q64">
            <v>0.44097222222222199</v>
          </cell>
          <cell r="R64">
            <v>3.4722222222215438E-3</v>
          </cell>
          <cell r="S64">
            <v>0.44097222222222199</v>
          </cell>
          <cell r="T64">
            <v>1.0416666666666701E-2</v>
          </cell>
        </row>
        <row r="65">
          <cell r="E65" t="str">
            <v>العباسية</v>
          </cell>
          <cell r="F65" t="str">
            <v>احمد حسن</v>
          </cell>
          <cell r="G65">
            <v>0.25</v>
          </cell>
          <cell r="H65">
            <v>0.26041666666666702</v>
          </cell>
          <cell r="I65">
            <v>1.0416666666667018E-2</v>
          </cell>
          <cell r="J65">
            <v>0.40277777777777801</v>
          </cell>
          <cell r="K65">
            <v>0.43055555555555602</v>
          </cell>
          <cell r="L65" t="str">
            <v>محمد امام</v>
          </cell>
          <cell r="M65" t="str">
            <v>محمد امام</v>
          </cell>
          <cell r="N65">
            <v>2.7777777777778012E-2</v>
          </cell>
          <cell r="O65">
            <v>0</v>
          </cell>
          <cell r="P65">
            <v>6.9444444444444397E-3</v>
          </cell>
          <cell r="Q65">
            <v>0.44097222222222199</v>
          </cell>
          <cell r="R65">
            <v>3.4722222222215438E-3</v>
          </cell>
          <cell r="S65">
            <v>0.44097222222222199</v>
          </cell>
          <cell r="T65">
            <v>2.0833333333333301E-2</v>
          </cell>
        </row>
        <row r="66">
          <cell r="E66" t="str">
            <v>الشروق</v>
          </cell>
          <cell r="F66" t="str">
            <v>رامي حسن</v>
          </cell>
          <cell r="G66">
            <v>0.25</v>
          </cell>
          <cell r="H66">
            <v>0.22916666666666699</v>
          </cell>
          <cell r="I66">
            <v>0</v>
          </cell>
          <cell r="J66">
            <v>0.44930555555555601</v>
          </cell>
          <cell r="K66">
            <v>0.5</v>
          </cell>
          <cell r="L66" t="str">
            <v>عمر ابراهيم</v>
          </cell>
          <cell r="M66" t="str">
            <v>عمر ابراهيم</v>
          </cell>
          <cell r="N66">
            <v>5.0694444444443987E-2</v>
          </cell>
          <cell r="O66">
            <v>1.9444444444443987E-2</v>
          </cell>
          <cell r="P66">
            <v>6.9444444444444397E-3</v>
          </cell>
          <cell r="Q66">
            <v>0.5</v>
          </cell>
          <cell r="R66">
            <v>0</v>
          </cell>
          <cell r="S66">
            <v>0.5</v>
          </cell>
          <cell r="T66">
            <v>3.4722222222222203E-2</v>
          </cell>
        </row>
        <row r="67">
          <cell r="E67" t="str">
            <v>الشروق 3</v>
          </cell>
          <cell r="F67" t="str">
            <v>رامي حسن</v>
          </cell>
          <cell r="G67">
            <v>0.25</v>
          </cell>
          <cell r="H67">
            <v>0.22916666666666699</v>
          </cell>
          <cell r="I67">
            <v>0</v>
          </cell>
          <cell r="J67">
            <v>0.44930555555555601</v>
          </cell>
          <cell r="K67">
            <v>0.5</v>
          </cell>
          <cell r="L67" t="str">
            <v>عمر ابراهيم</v>
          </cell>
          <cell r="M67" t="str">
            <v>عمر ابراهيم</v>
          </cell>
          <cell r="N67">
            <v>5.0694444444443987E-2</v>
          </cell>
          <cell r="O67">
            <v>1.9444444444443987E-2</v>
          </cell>
          <cell r="P67">
            <v>6.9444444444444397E-3</v>
          </cell>
          <cell r="Q67">
            <v>0.5</v>
          </cell>
          <cell r="R67">
            <v>0</v>
          </cell>
          <cell r="S67">
            <v>0.5</v>
          </cell>
          <cell r="T67">
            <v>1.0416666666666701E-2</v>
          </cell>
        </row>
        <row r="68">
          <cell r="E68" t="str">
            <v>الميرغني</v>
          </cell>
          <cell r="F68" t="str">
            <v>محمود رجب</v>
          </cell>
          <cell r="G68">
            <v>8.3333333333333301E-2</v>
          </cell>
          <cell r="H68">
            <v>8.3333333333333301E-2</v>
          </cell>
          <cell r="I68">
            <v>0</v>
          </cell>
          <cell r="J68">
            <v>0.57638888888888895</v>
          </cell>
          <cell r="K68">
            <v>0.60416666666666696</v>
          </cell>
          <cell r="L68" t="str">
            <v>محمد امام</v>
          </cell>
          <cell r="M68" t="str">
            <v>محمد امام</v>
          </cell>
          <cell r="N68">
            <v>2.7777777777778012E-2</v>
          </cell>
          <cell r="O68">
            <v>0</v>
          </cell>
          <cell r="P68">
            <v>6.9444444444444397E-3</v>
          </cell>
          <cell r="Q68">
            <v>0.60763888888888895</v>
          </cell>
          <cell r="R68">
            <v>0</v>
          </cell>
          <cell r="S68">
            <v>0.60763888888888895</v>
          </cell>
          <cell r="T68">
            <v>1.38888888888889E-2</v>
          </cell>
        </row>
        <row r="69">
          <cell r="E69" t="str">
            <v>عباس</v>
          </cell>
          <cell r="F69" t="str">
            <v>محمود رجب</v>
          </cell>
          <cell r="G69">
            <v>8.3333333333333301E-2</v>
          </cell>
          <cell r="H69">
            <v>8.3333333333333301E-2</v>
          </cell>
          <cell r="I69">
            <v>0</v>
          </cell>
          <cell r="J69">
            <v>0.57638888888888895</v>
          </cell>
          <cell r="K69">
            <v>0.60416666666666696</v>
          </cell>
          <cell r="L69" t="str">
            <v>محمد امام</v>
          </cell>
          <cell r="M69" t="str">
            <v>محمد امام</v>
          </cell>
          <cell r="N69">
            <v>2.7777777777778012E-2</v>
          </cell>
          <cell r="O69">
            <v>0</v>
          </cell>
          <cell r="P69">
            <v>6.9444444444444397E-3</v>
          </cell>
          <cell r="Q69">
            <v>0.60763888888888895</v>
          </cell>
          <cell r="R69">
            <v>0</v>
          </cell>
          <cell r="S69">
            <v>0.60763888888888895</v>
          </cell>
          <cell r="T69">
            <v>1.0416666666666701E-2</v>
          </cell>
        </row>
        <row r="70">
          <cell r="E70" t="str">
            <v>مكرم</v>
          </cell>
          <cell r="F70" t="str">
            <v>محمود رجب</v>
          </cell>
          <cell r="G70">
            <v>8.3333333333333301E-2</v>
          </cell>
          <cell r="H70">
            <v>8.3333333333333301E-2</v>
          </cell>
          <cell r="I70">
            <v>0</v>
          </cell>
          <cell r="J70">
            <v>0.57638888888888895</v>
          </cell>
          <cell r="K70">
            <v>0.60416666666666696</v>
          </cell>
          <cell r="L70" t="str">
            <v>محمد امام</v>
          </cell>
          <cell r="M70" t="str">
            <v>محمد امام</v>
          </cell>
          <cell r="N70">
            <v>2.7777777777778012E-2</v>
          </cell>
          <cell r="O70">
            <v>0</v>
          </cell>
          <cell r="P70">
            <v>6.9444444444444397E-3</v>
          </cell>
          <cell r="Q70">
            <v>0.60763888888888895</v>
          </cell>
          <cell r="R70">
            <v>0</v>
          </cell>
          <cell r="S70">
            <v>0.60763888888888895</v>
          </cell>
          <cell r="T70">
            <v>1.0416666666666701E-2</v>
          </cell>
        </row>
        <row r="71">
          <cell r="E71" t="str">
            <v>التجمع 1</v>
          </cell>
          <cell r="F71" t="str">
            <v>شريف محمد</v>
          </cell>
          <cell r="G71">
            <v>8.3333333333333301E-2</v>
          </cell>
          <cell r="H71">
            <v>7.2916666666666699E-2</v>
          </cell>
          <cell r="I71">
            <v>0</v>
          </cell>
          <cell r="J71">
            <v>0.61111111111111105</v>
          </cell>
          <cell r="K71">
            <v>0.625</v>
          </cell>
          <cell r="L71" t="str">
            <v>محمد امام</v>
          </cell>
          <cell r="M71" t="str">
            <v>محمد امام</v>
          </cell>
          <cell r="N71">
            <v>1.3888888888888951E-2</v>
          </cell>
          <cell r="O71">
            <v>0</v>
          </cell>
          <cell r="P71">
            <v>6.9444444444444397E-3</v>
          </cell>
          <cell r="Q71">
            <v>0.63194444444444398</v>
          </cell>
          <cell r="R71">
            <v>0</v>
          </cell>
          <cell r="S71">
            <v>0.63194444444444398</v>
          </cell>
          <cell r="T71">
            <v>2.4305555555555601E-2</v>
          </cell>
        </row>
        <row r="72">
          <cell r="E72" t="str">
            <v>التجمع 5</v>
          </cell>
          <cell r="F72" t="str">
            <v>شريف محمد</v>
          </cell>
          <cell r="G72">
            <v>8.3333333333333301E-2</v>
          </cell>
          <cell r="H72">
            <v>7.2916666666666699E-2</v>
          </cell>
          <cell r="I72">
            <v>0</v>
          </cell>
          <cell r="J72">
            <v>0.61111111111111105</v>
          </cell>
          <cell r="K72">
            <v>0.625</v>
          </cell>
          <cell r="L72" t="str">
            <v>محمد امام</v>
          </cell>
          <cell r="M72" t="str">
            <v>محمد امام</v>
          </cell>
          <cell r="N72">
            <v>1.3888888888888951E-2</v>
          </cell>
          <cell r="O72">
            <v>0</v>
          </cell>
          <cell r="P72">
            <v>6.9444444444444397E-3</v>
          </cell>
          <cell r="Q72">
            <v>0.63194444444444398</v>
          </cell>
          <cell r="R72">
            <v>0</v>
          </cell>
          <cell r="S72">
            <v>0.63194444444444398</v>
          </cell>
          <cell r="T72">
            <v>1.0416666666666701E-2</v>
          </cell>
        </row>
        <row r="73">
          <cell r="E73" t="str">
            <v>العاشر</v>
          </cell>
          <cell r="F73" t="str">
            <v>جمال حامد</v>
          </cell>
          <cell r="G73">
            <v>8.3333333333333301E-2</v>
          </cell>
          <cell r="H73">
            <v>6.25E-2</v>
          </cell>
          <cell r="I73">
            <v>0</v>
          </cell>
          <cell r="J73">
            <v>0.59027777777777801</v>
          </cell>
          <cell r="K73">
            <v>0.63194444444444398</v>
          </cell>
          <cell r="L73" t="str">
            <v>اسلام محمد</v>
          </cell>
          <cell r="M73" t="str">
            <v>اسلام محمد</v>
          </cell>
          <cell r="N73">
            <v>4.1666666666665964E-2</v>
          </cell>
          <cell r="O73">
            <v>1.0416666666665964E-2</v>
          </cell>
          <cell r="P73">
            <v>6.9444444444444397E-3</v>
          </cell>
          <cell r="Q73">
            <v>0.65277777777777801</v>
          </cell>
          <cell r="R73">
            <v>1.3888888888889617E-2</v>
          </cell>
          <cell r="S73">
            <v>0.65277777777777801</v>
          </cell>
          <cell r="T73">
            <v>2.7777777777777801E-2</v>
          </cell>
        </row>
        <row r="74">
          <cell r="E74" t="str">
            <v>المعادي 1</v>
          </cell>
          <cell r="F74" t="str">
            <v>جمال حامد</v>
          </cell>
          <cell r="G74">
            <v>8.3333333333333301E-2</v>
          </cell>
          <cell r="H74">
            <v>6.25E-2</v>
          </cell>
          <cell r="I74">
            <v>0</v>
          </cell>
          <cell r="J74">
            <v>0.59027777777777801</v>
          </cell>
          <cell r="K74">
            <v>0.63194444444444398</v>
          </cell>
          <cell r="L74" t="str">
            <v>اسلام محمد</v>
          </cell>
          <cell r="M74" t="str">
            <v>اسلام محمد</v>
          </cell>
          <cell r="N74">
            <v>4.1666666666665964E-2</v>
          </cell>
          <cell r="O74">
            <v>1.0416666666665964E-2</v>
          </cell>
          <cell r="P74">
            <v>6.9444444444444397E-3</v>
          </cell>
          <cell r="Q74">
            <v>0.65277777777777801</v>
          </cell>
          <cell r="R74">
            <v>1.3888888888889617E-2</v>
          </cell>
          <cell r="S74">
            <v>0.65277777777777801</v>
          </cell>
          <cell r="T74">
            <v>2.0833333333333301E-2</v>
          </cell>
        </row>
        <row r="75">
          <cell r="E75" t="str">
            <v>المعادي 2</v>
          </cell>
          <cell r="F75" t="str">
            <v>جمال حامد</v>
          </cell>
          <cell r="G75">
            <v>8.3333333333333301E-2</v>
          </cell>
          <cell r="H75">
            <v>6.25E-2</v>
          </cell>
          <cell r="I75">
            <v>0</v>
          </cell>
          <cell r="J75">
            <v>0.59027777777777801</v>
          </cell>
          <cell r="K75">
            <v>0.63194444444444398</v>
          </cell>
          <cell r="L75" t="str">
            <v>اسلام محمد</v>
          </cell>
          <cell r="M75" t="str">
            <v>اسلام محمد</v>
          </cell>
          <cell r="N75">
            <v>4.1666666666665964E-2</v>
          </cell>
          <cell r="O75">
            <v>1.0416666666665964E-2</v>
          </cell>
          <cell r="P75">
            <v>6.9444444444444397E-3</v>
          </cell>
          <cell r="Q75">
            <v>0.65277777777777801</v>
          </cell>
          <cell r="R75">
            <v>1.3888888888889617E-2</v>
          </cell>
          <cell r="S75">
            <v>0.65277777777777801</v>
          </cell>
          <cell r="T75">
            <v>1.0416666666666701E-2</v>
          </cell>
        </row>
        <row r="76">
          <cell r="E76" t="str">
            <v>عرابي</v>
          </cell>
          <cell r="F76" t="str">
            <v>مصطفى عيسى</v>
          </cell>
          <cell r="G76">
            <v>8.3333333333333301E-2</v>
          </cell>
          <cell r="H76">
            <v>8.3333333333333301E-2</v>
          </cell>
          <cell r="I76">
            <v>0</v>
          </cell>
          <cell r="J76">
            <v>0.58333333333333304</v>
          </cell>
          <cell r="K76">
            <v>0.61111111111111105</v>
          </cell>
          <cell r="L76" t="str">
            <v>محمد اشرف</v>
          </cell>
          <cell r="M76" t="str">
            <v>محمد اشرف</v>
          </cell>
          <cell r="N76">
            <v>2.7777777777778012E-2</v>
          </cell>
          <cell r="O76">
            <v>0</v>
          </cell>
          <cell r="P76">
            <v>6.9444444444444397E-3</v>
          </cell>
          <cell r="Q76">
            <v>0.63194444444444398</v>
          </cell>
          <cell r="R76">
            <v>1.3888888888888506E-2</v>
          </cell>
          <cell r="S76">
            <v>0.63194444444444398</v>
          </cell>
          <cell r="T76">
            <v>1.7361111111111101E-2</v>
          </cell>
        </row>
        <row r="77">
          <cell r="E77" t="str">
            <v>الدقي</v>
          </cell>
          <cell r="F77" t="str">
            <v>مصطفى عيسى</v>
          </cell>
          <cell r="G77">
            <v>8.3333333333333301E-2</v>
          </cell>
          <cell r="H77">
            <v>8.3333333333333301E-2</v>
          </cell>
          <cell r="I77">
            <v>0</v>
          </cell>
          <cell r="J77">
            <v>0.58333333333333304</v>
          </cell>
          <cell r="K77">
            <v>0.61111111111111105</v>
          </cell>
          <cell r="L77" t="str">
            <v>محمد اشرف</v>
          </cell>
          <cell r="M77" t="str">
            <v>محمد اشرف</v>
          </cell>
          <cell r="N77">
            <v>2.7777777777778012E-2</v>
          </cell>
          <cell r="O77">
            <v>0</v>
          </cell>
          <cell r="P77">
            <v>6.9444444444444397E-3</v>
          </cell>
          <cell r="Q77">
            <v>0.63194444444444398</v>
          </cell>
          <cell r="R77">
            <v>1.3888888888888506E-2</v>
          </cell>
          <cell r="S77">
            <v>0.63194444444444398</v>
          </cell>
          <cell r="T77">
            <v>1.0416666666666701E-2</v>
          </cell>
        </row>
        <row r="78">
          <cell r="E78" t="str">
            <v>مسطرد</v>
          </cell>
          <cell r="F78" t="str">
            <v>شوقي فوزي</v>
          </cell>
          <cell r="G78">
            <v>8.3333333333333301E-2</v>
          </cell>
          <cell r="H78">
            <v>7.2916666666666699E-2</v>
          </cell>
          <cell r="I78">
            <v>0</v>
          </cell>
          <cell r="J78">
            <v>0.62847222222222199</v>
          </cell>
          <cell r="K78">
            <v>0.65277777777777801</v>
          </cell>
          <cell r="L78" t="str">
            <v>محمد دسوقي</v>
          </cell>
          <cell r="M78" t="str">
            <v>محمد دسوقي</v>
          </cell>
          <cell r="N78">
            <v>2.4305555555556024E-2</v>
          </cell>
          <cell r="O78">
            <v>0</v>
          </cell>
          <cell r="P78">
            <v>6.9444444444444397E-3</v>
          </cell>
          <cell r="Q78">
            <v>0.65972222222222199</v>
          </cell>
          <cell r="R78">
            <v>0</v>
          </cell>
          <cell r="S78">
            <v>0.65972222222222199</v>
          </cell>
          <cell r="T78">
            <v>3.4722222222222199E-3</v>
          </cell>
        </row>
        <row r="79">
          <cell r="E79" t="str">
            <v>المطرية</v>
          </cell>
          <cell r="F79" t="str">
            <v>شوقي فوزي</v>
          </cell>
          <cell r="G79">
            <v>8.3333333333333301E-2</v>
          </cell>
          <cell r="H79">
            <v>7.2916666666666699E-2</v>
          </cell>
          <cell r="I79">
            <v>0</v>
          </cell>
          <cell r="J79">
            <v>0.62847222222222199</v>
          </cell>
          <cell r="K79">
            <v>0.65277777777777801</v>
          </cell>
          <cell r="L79" t="str">
            <v>محمد دسوقي</v>
          </cell>
          <cell r="M79" t="str">
            <v>محمد دسوقي</v>
          </cell>
          <cell r="N79">
            <v>2.4305555555556024E-2</v>
          </cell>
          <cell r="O79">
            <v>0</v>
          </cell>
          <cell r="P79">
            <v>6.9444444444444397E-3</v>
          </cell>
          <cell r="Q79">
            <v>0.65972222222222199</v>
          </cell>
          <cell r="R79">
            <v>0</v>
          </cell>
          <cell r="S79">
            <v>0.65972222222222199</v>
          </cell>
          <cell r="T79">
            <v>4.8611111111111103E-3</v>
          </cell>
        </row>
        <row r="80">
          <cell r="E80" t="str">
            <v>السواح</v>
          </cell>
          <cell r="F80" t="str">
            <v>شوقي فوزي</v>
          </cell>
          <cell r="G80">
            <v>8.3333333333333301E-2</v>
          </cell>
          <cell r="H80">
            <v>7.2916666666666699E-2</v>
          </cell>
          <cell r="I80">
            <v>0</v>
          </cell>
          <cell r="J80">
            <v>0.62847222222222199</v>
          </cell>
          <cell r="K80">
            <v>0.65277777777777801</v>
          </cell>
          <cell r="L80" t="str">
            <v>محمد دسوقي</v>
          </cell>
          <cell r="M80" t="str">
            <v>محمد دسوقي</v>
          </cell>
          <cell r="N80">
            <v>2.4305555555556024E-2</v>
          </cell>
          <cell r="O80">
            <v>0</v>
          </cell>
          <cell r="P80">
            <v>6.9444444444444397E-3</v>
          </cell>
          <cell r="Q80">
            <v>0.65972222222222199</v>
          </cell>
          <cell r="R80">
            <v>0</v>
          </cell>
          <cell r="S80">
            <v>0.65972222222222199</v>
          </cell>
          <cell r="T80">
            <v>1.0416666666666701E-2</v>
          </cell>
        </row>
        <row r="81">
          <cell r="E81" t="str">
            <v>فيصل</v>
          </cell>
          <cell r="F81" t="str">
            <v>خضر محمد</v>
          </cell>
          <cell r="G81">
            <v>8.3333333333333301E-2</v>
          </cell>
          <cell r="H81">
            <v>0.104166666666667</v>
          </cell>
          <cell r="I81">
            <v>2.0833333333333703E-2</v>
          </cell>
          <cell r="J81">
            <v>0.61805555555555602</v>
          </cell>
          <cell r="K81">
            <v>0.625</v>
          </cell>
          <cell r="L81" t="str">
            <v>حسام جمال</v>
          </cell>
          <cell r="M81" t="str">
            <v>حسام جمال</v>
          </cell>
          <cell r="N81">
            <v>6.9444444444439757E-3</v>
          </cell>
          <cell r="O81">
            <v>0</v>
          </cell>
          <cell r="P81">
            <v>6.9444444444444397E-3</v>
          </cell>
          <cell r="Q81">
            <v>0.63541666666666696</v>
          </cell>
          <cell r="R81">
            <v>3.472222222222543E-3</v>
          </cell>
          <cell r="S81">
            <v>0.63541666666666696</v>
          </cell>
          <cell r="T81">
            <v>3.4722222222222203E-2</v>
          </cell>
        </row>
        <row r="82">
          <cell r="E82" t="str">
            <v>الطوابق</v>
          </cell>
          <cell r="F82" t="str">
            <v>خضر محمد</v>
          </cell>
          <cell r="G82">
            <v>8.3333333333333301E-2</v>
          </cell>
          <cell r="H82">
            <v>0.104166666666667</v>
          </cell>
          <cell r="I82">
            <v>2.0833333333333703E-2</v>
          </cell>
          <cell r="J82">
            <v>0.61805555555555602</v>
          </cell>
          <cell r="K82">
            <v>0.625</v>
          </cell>
          <cell r="L82" t="str">
            <v>حسام جمال</v>
          </cell>
          <cell r="M82" t="str">
            <v>حسام جمال</v>
          </cell>
          <cell r="N82">
            <v>6.9444444444439757E-3</v>
          </cell>
          <cell r="O82">
            <v>0</v>
          </cell>
          <cell r="P82">
            <v>6.9444444444444397E-3</v>
          </cell>
          <cell r="Q82">
            <v>0.63541666666666696</v>
          </cell>
          <cell r="R82">
            <v>3.472222222222543E-3</v>
          </cell>
          <cell r="S82">
            <v>0.63541666666666696</v>
          </cell>
          <cell r="T82">
            <v>1.0416666666666701E-2</v>
          </cell>
        </row>
        <row r="83">
          <cell r="E83" t="str">
            <v>الوايلي</v>
          </cell>
          <cell r="F83" t="str">
            <v>كارم سعيد</v>
          </cell>
          <cell r="G83">
            <v>8.3333333333333301E-2</v>
          </cell>
          <cell r="H83">
            <v>7.6388888888888895E-2</v>
          </cell>
          <cell r="I83">
            <v>0</v>
          </cell>
          <cell r="J83">
            <v>0.62847222222222199</v>
          </cell>
          <cell r="K83">
            <v>0.64236111111111105</v>
          </cell>
          <cell r="L83" t="str">
            <v>عبدالرحمن ابراهيم</v>
          </cell>
          <cell r="M83" t="str">
            <v>عبدالرحمن ابراهيم</v>
          </cell>
          <cell r="N83">
            <v>1.3888888888889062E-2</v>
          </cell>
          <cell r="O83">
            <v>0</v>
          </cell>
          <cell r="P83">
            <v>6.9444444444444397E-3</v>
          </cell>
          <cell r="Q83">
            <v>0.64236111111111105</v>
          </cell>
          <cell r="R83">
            <v>0</v>
          </cell>
          <cell r="S83">
            <v>0.64236111111111105</v>
          </cell>
          <cell r="T83">
            <v>1.0416666666666701E-2</v>
          </cell>
        </row>
        <row r="84">
          <cell r="E84" t="str">
            <v>العباسية</v>
          </cell>
          <cell r="F84" t="str">
            <v>كارم سعيد</v>
          </cell>
          <cell r="G84">
            <v>8.3333333333333301E-2</v>
          </cell>
          <cell r="H84">
            <v>7.6388888888888895E-2</v>
          </cell>
          <cell r="I84">
            <v>0</v>
          </cell>
          <cell r="J84">
            <v>0.62847222222222199</v>
          </cell>
          <cell r="K84">
            <v>0.64236111111111105</v>
          </cell>
          <cell r="L84" t="str">
            <v>عبدالرحمن ابراهيم</v>
          </cell>
          <cell r="M84" t="str">
            <v>عبدالرحمن ابراهيم</v>
          </cell>
          <cell r="N84">
            <v>1.3888888888889062E-2</v>
          </cell>
          <cell r="O84">
            <v>0</v>
          </cell>
          <cell r="P84">
            <v>6.9444444444444397E-3</v>
          </cell>
          <cell r="Q84">
            <v>0.64236111111111105</v>
          </cell>
          <cell r="R84">
            <v>0</v>
          </cell>
          <cell r="S84">
            <v>0.64236111111111105</v>
          </cell>
          <cell r="T84">
            <v>2.0833333333333301E-2</v>
          </cell>
        </row>
        <row r="85">
          <cell r="E85" t="str">
            <v>شبرا</v>
          </cell>
          <cell r="F85" t="str">
            <v>محمد عاطف</v>
          </cell>
          <cell r="G85">
            <v>8.3333333333333301E-2</v>
          </cell>
          <cell r="H85">
            <v>8.3333333333333301E-2</v>
          </cell>
          <cell r="I85">
            <v>0</v>
          </cell>
          <cell r="J85">
            <v>0.62152777777777801</v>
          </cell>
          <cell r="K85">
            <v>0.625</v>
          </cell>
          <cell r="L85" t="str">
            <v>حسام خليل</v>
          </cell>
          <cell r="M85" t="str">
            <v>حسام خليل</v>
          </cell>
          <cell r="N85">
            <v>3.4722222222219878E-3</v>
          </cell>
          <cell r="O85">
            <v>0</v>
          </cell>
          <cell r="P85">
            <v>6.9444444444444397E-3</v>
          </cell>
          <cell r="Q85">
            <v>0.63194444444444398</v>
          </cell>
          <cell r="R85">
            <v>0</v>
          </cell>
          <cell r="S85">
            <v>0.63194444444444398</v>
          </cell>
          <cell r="T85">
            <v>1.38888888888889E-2</v>
          </cell>
        </row>
        <row r="86">
          <cell r="E86" t="str">
            <v>الدوران</v>
          </cell>
          <cell r="F86" t="str">
            <v>محمد عاطف</v>
          </cell>
          <cell r="G86">
            <v>8.3333333333333301E-2</v>
          </cell>
          <cell r="H86">
            <v>8.3333333333333301E-2</v>
          </cell>
          <cell r="I86">
            <v>0</v>
          </cell>
          <cell r="J86">
            <v>0.62152777777777801</v>
          </cell>
          <cell r="K86">
            <v>0.625</v>
          </cell>
          <cell r="L86" t="str">
            <v>حسام خليل</v>
          </cell>
          <cell r="M86" t="str">
            <v>حسام خليل</v>
          </cell>
          <cell r="N86">
            <v>3.4722222222219878E-3</v>
          </cell>
          <cell r="O86">
            <v>0</v>
          </cell>
          <cell r="P86">
            <v>6.9444444444444397E-3</v>
          </cell>
          <cell r="Q86">
            <v>0.63194444444444398</v>
          </cell>
          <cell r="R86">
            <v>0</v>
          </cell>
          <cell r="S86">
            <v>0.63194444444444398</v>
          </cell>
          <cell r="T86">
            <v>1.38888888888889E-2</v>
          </cell>
        </row>
        <row r="87">
          <cell r="E87" t="str">
            <v>المنتزة</v>
          </cell>
          <cell r="F87" t="str">
            <v>اسلام عبد الرازق</v>
          </cell>
          <cell r="G87">
            <v>8.3333333333333301E-2</v>
          </cell>
          <cell r="H87">
            <v>8.3333333333333301E-2</v>
          </cell>
          <cell r="I87">
            <v>0</v>
          </cell>
          <cell r="J87">
            <v>0.60763888888888895</v>
          </cell>
          <cell r="K87">
            <v>0.61111111111111105</v>
          </cell>
          <cell r="L87" t="str">
            <v>اسلام الجندي</v>
          </cell>
          <cell r="M87" t="str">
            <v>ابو بكر</v>
          </cell>
          <cell r="N87">
            <v>3.4722222222220989E-3</v>
          </cell>
          <cell r="O87">
            <v>0</v>
          </cell>
          <cell r="P87">
            <v>6.9444444444444397E-3</v>
          </cell>
          <cell r="Q87">
            <v>0.61458333333333304</v>
          </cell>
          <cell r="R87">
            <v>0</v>
          </cell>
          <cell r="S87">
            <v>0.61458333333333304</v>
          </cell>
          <cell r="T87">
            <v>1.0416666666666701E-2</v>
          </cell>
        </row>
        <row r="88">
          <cell r="E88" t="str">
            <v>الكوربة</v>
          </cell>
          <cell r="F88" t="str">
            <v>اسلام عبد الرازق</v>
          </cell>
          <cell r="G88">
            <v>8.3333333333333301E-2</v>
          </cell>
          <cell r="H88">
            <v>8.3333333333333301E-2</v>
          </cell>
          <cell r="I88">
            <v>0</v>
          </cell>
          <cell r="J88">
            <v>0.60763888888888895</v>
          </cell>
          <cell r="K88">
            <v>0.61111111111111105</v>
          </cell>
          <cell r="L88" t="str">
            <v>اسلام الجندي</v>
          </cell>
          <cell r="M88" t="str">
            <v>ابو بكر</v>
          </cell>
          <cell r="N88">
            <v>3.4722222222220989E-3</v>
          </cell>
          <cell r="O88">
            <v>0</v>
          </cell>
          <cell r="P88">
            <v>6.9444444444444397E-3</v>
          </cell>
          <cell r="Q88">
            <v>0.61458333333333304</v>
          </cell>
          <cell r="R88">
            <v>0</v>
          </cell>
          <cell r="S88">
            <v>0.61458333333333304</v>
          </cell>
          <cell r="T88">
            <v>1.0416666666666701E-2</v>
          </cell>
        </row>
        <row r="89">
          <cell r="E89" t="str">
            <v>الشيراتون</v>
          </cell>
          <cell r="F89" t="str">
            <v>اسلام عبد الرازق</v>
          </cell>
          <cell r="G89">
            <v>8.3333333333333301E-2</v>
          </cell>
          <cell r="H89">
            <v>8.3333333333333301E-2</v>
          </cell>
          <cell r="I89">
            <v>0</v>
          </cell>
          <cell r="J89">
            <v>0.60763888888888895</v>
          </cell>
          <cell r="K89">
            <v>0.61111111111111105</v>
          </cell>
          <cell r="L89" t="str">
            <v>اسلام الجندي</v>
          </cell>
          <cell r="M89" t="str">
            <v>ابو بكر</v>
          </cell>
          <cell r="N89">
            <v>3.4722222222220989E-3</v>
          </cell>
          <cell r="O89">
            <v>0</v>
          </cell>
          <cell r="P89">
            <v>6.9444444444444397E-3</v>
          </cell>
          <cell r="Q89">
            <v>0.61458333333333304</v>
          </cell>
          <cell r="R89">
            <v>0</v>
          </cell>
          <cell r="S89">
            <v>0.61458333333333304</v>
          </cell>
          <cell r="T89">
            <v>2.0833333333333301E-2</v>
          </cell>
        </row>
        <row r="90">
          <cell r="E90" t="str">
            <v>جاردينيا</v>
          </cell>
          <cell r="F90" t="str">
            <v>اسلام عبد الرازق</v>
          </cell>
          <cell r="G90">
            <v>8.3333333333333301E-2</v>
          </cell>
          <cell r="H90">
            <v>8.3333333333333301E-2</v>
          </cell>
          <cell r="I90">
            <v>0</v>
          </cell>
          <cell r="J90">
            <v>0.60763888888888895</v>
          </cell>
          <cell r="K90">
            <v>0.61111111111111105</v>
          </cell>
          <cell r="L90" t="str">
            <v>اسلام الجندي</v>
          </cell>
          <cell r="M90" t="str">
            <v>ابو بكر</v>
          </cell>
          <cell r="N90">
            <v>3.4722222222220989E-3</v>
          </cell>
          <cell r="O90">
            <v>0</v>
          </cell>
          <cell r="P90">
            <v>6.9444444444444397E-3</v>
          </cell>
          <cell r="Q90">
            <v>0.61458333333333304</v>
          </cell>
          <cell r="R90">
            <v>0</v>
          </cell>
          <cell r="S90">
            <v>0.61458333333333304</v>
          </cell>
          <cell r="T90">
            <v>1.0416666666666701E-2</v>
          </cell>
        </row>
        <row r="91">
          <cell r="E91" t="str">
            <v>العبور</v>
          </cell>
          <cell r="F91" t="str">
            <v>حسين حامد</v>
          </cell>
          <cell r="G91">
            <v>8.3333333333333301E-2</v>
          </cell>
          <cell r="H91">
            <v>7.2916666666666699E-2</v>
          </cell>
          <cell r="I91">
            <v>0</v>
          </cell>
          <cell r="J91">
            <v>0.625</v>
          </cell>
          <cell r="K91">
            <v>0.63680555555555596</v>
          </cell>
          <cell r="L91" t="str">
            <v>اسلام الجندي</v>
          </cell>
          <cell r="M91" t="str">
            <v>ابو بكر</v>
          </cell>
          <cell r="N91">
            <v>1.1805555555555958E-2</v>
          </cell>
          <cell r="O91">
            <v>0</v>
          </cell>
          <cell r="P91">
            <v>6.9444444444444397E-3</v>
          </cell>
          <cell r="Q91">
            <v>0.64583333333333304</v>
          </cell>
          <cell r="R91">
            <v>2.0833333333326598E-3</v>
          </cell>
          <cell r="S91">
            <v>0.64583333333333304</v>
          </cell>
          <cell r="T91">
            <v>2.7777777777777801E-2</v>
          </cell>
        </row>
        <row r="92">
          <cell r="E92" t="str">
            <v>العاشر من رمضان</v>
          </cell>
          <cell r="F92" t="str">
            <v>حسين حامد</v>
          </cell>
          <cell r="G92">
            <v>8.3333333333333301E-2</v>
          </cell>
          <cell r="H92">
            <v>7.2916666666666699E-2</v>
          </cell>
          <cell r="I92">
            <v>0</v>
          </cell>
          <cell r="J92">
            <v>0.625</v>
          </cell>
          <cell r="K92">
            <v>0.63680555555555596</v>
          </cell>
          <cell r="L92" t="str">
            <v>اسلام الجندي</v>
          </cell>
          <cell r="M92" t="str">
            <v>ابو بكر</v>
          </cell>
          <cell r="N92">
            <v>1.1805555555555958E-2</v>
          </cell>
          <cell r="O92">
            <v>0</v>
          </cell>
          <cell r="P92">
            <v>6.9444444444444397E-3</v>
          </cell>
          <cell r="Q92">
            <v>0.64583333333333304</v>
          </cell>
          <cell r="R92">
            <v>2.0833333333326598E-3</v>
          </cell>
          <cell r="S92">
            <v>0.64583333333333304</v>
          </cell>
          <cell r="T92">
            <v>6.25E-2</v>
          </cell>
        </row>
        <row r="93">
          <cell r="E93" t="str">
            <v>النزهة</v>
          </cell>
          <cell r="F93" t="str">
            <v>سامح عبد السميع</v>
          </cell>
          <cell r="G93">
            <v>8.3333333333333301E-2</v>
          </cell>
          <cell r="H93">
            <v>8.3333333333333301E-2</v>
          </cell>
          <cell r="I93">
            <v>0</v>
          </cell>
          <cell r="J93">
            <v>0.62847222222222199</v>
          </cell>
          <cell r="K93">
            <v>0.66319444444444398</v>
          </cell>
          <cell r="L93" t="str">
            <v>احمد عبدالحميد</v>
          </cell>
          <cell r="M93" t="str">
            <v>احمد عبدالحميد</v>
          </cell>
          <cell r="N93">
            <v>3.4722222222221988E-2</v>
          </cell>
          <cell r="O93">
            <v>3.4722222222219878E-3</v>
          </cell>
          <cell r="P93">
            <v>6.9444444444444397E-3</v>
          </cell>
          <cell r="Q93">
            <v>0.67708333333333304</v>
          </cell>
          <cell r="R93">
            <v>0</v>
          </cell>
          <cell r="S93">
            <v>0.67708333333333304</v>
          </cell>
          <cell r="T93">
            <v>1.38888888888889E-2</v>
          </cell>
        </row>
        <row r="94">
          <cell r="E94" t="str">
            <v>الجسر</v>
          </cell>
          <cell r="F94" t="str">
            <v>سامح عبد السميع</v>
          </cell>
          <cell r="G94">
            <v>8.3333333333333301E-2</v>
          </cell>
          <cell r="H94">
            <v>8.3333333333333301E-2</v>
          </cell>
          <cell r="I94">
            <v>0</v>
          </cell>
          <cell r="J94">
            <v>0.62847222222222199</v>
          </cell>
          <cell r="K94">
            <v>0.66319444444444398</v>
          </cell>
          <cell r="L94" t="str">
            <v>احمد عبدالحميد</v>
          </cell>
          <cell r="M94" t="str">
            <v>احمد عبدالحميد</v>
          </cell>
          <cell r="N94">
            <v>3.4722222222221988E-2</v>
          </cell>
          <cell r="O94">
            <v>3.4722222222219878E-3</v>
          </cell>
          <cell r="P94">
            <v>6.9444444444444397E-3</v>
          </cell>
          <cell r="Q94">
            <v>0.67708333333333304</v>
          </cell>
          <cell r="R94">
            <v>0</v>
          </cell>
          <cell r="S94">
            <v>0.67708333333333304</v>
          </cell>
          <cell r="T94">
            <v>1.0416666666666701E-2</v>
          </cell>
        </row>
        <row r="95">
          <cell r="E95" t="str">
            <v>الشريف</v>
          </cell>
          <cell r="F95" t="str">
            <v>محمد السيد</v>
          </cell>
          <cell r="G95">
            <v>8.3333333333333301E-2</v>
          </cell>
          <cell r="H95">
            <v>8.3333333333333301E-2</v>
          </cell>
          <cell r="I95">
            <v>0</v>
          </cell>
          <cell r="J95">
            <v>0.59027777777777801</v>
          </cell>
          <cell r="K95">
            <v>0.61805555555555602</v>
          </cell>
          <cell r="L95" t="str">
            <v>محمد عادل</v>
          </cell>
          <cell r="M95" t="str">
            <v>محمد عادل</v>
          </cell>
          <cell r="N95">
            <v>2.7777777777778012E-2</v>
          </cell>
          <cell r="O95">
            <v>6.9444444444447112E-3</v>
          </cell>
          <cell r="P95">
            <v>6.9444444444444397E-3</v>
          </cell>
          <cell r="Q95">
            <v>0.62152777777777801</v>
          </cell>
          <cell r="R95">
            <v>0</v>
          </cell>
          <cell r="S95">
            <v>0.62152777777777801</v>
          </cell>
          <cell r="T95">
            <v>1.7361111111111101E-2</v>
          </cell>
        </row>
        <row r="96">
          <cell r="E96" t="str">
            <v>الوسط</v>
          </cell>
          <cell r="F96" t="str">
            <v>محمد السيد</v>
          </cell>
          <cell r="G96">
            <v>8.3333333333333301E-2</v>
          </cell>
          <cell r="H96">
            <v>8.3333333333333301E-2</v>
          </cell>
          <cell r="I96">
            <v>0</v>
          </cell>
          <cell r="J96">
            <v>0.59027777777777801</v>
          </cell>
          <cell r="K96">
            <v>0.61805555555555602</v>
          </cell>
          <cell r="L96" t="str">
            <v>محمد عادل</v>
          </cell>
          <cell r="M96" t="str">
            <v>محمد عادل</v>
          </cell>
          <cell r="N96">
            <v>2.7777777777778012E-2</v>
          </cell>
          <cell r="O96">
            <v>6.9444444444447112E-3</v>
          </cell>
          <cell r="P96">
            <v>6.9444444444444397E-3</v>
          </cell>
          <cell r="Q96">
            <v>0.62152777777777801</v>
          </cell>
          <cell r="R96">
            <v>0</v>
          </cell>
          <cell r="S96">
            <v>0.62152777777777801</v>
          </cell>
          <cell r="T96">
            <v>1.0416666666666701E-2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داتا"/>
      <sheetName val="21-3-2026"/>
      <sheetName val="22-3-2026"/>
      <sheetName val="23-3-2026"/>
      <sheetName val="24-3-2026"/>
      <sheetName val="25-3-2026"/>
      <sheetName val="26-3-2026"/>
      <sheetName val="27-3-2026"/>
      <sheetName val="28-3-2026"/>
      <sheetName val="29-3-2026"/>
      <sheetName val="30-3-2026"/>
      <sheetName val="31-3-2026"/>
      <sheetName val="1-4-2026"/>
      <sheetName val="2-4-2026"/>
      <sheetName val="3-4-2026"/>
      <sheetName val="4-4-2026"/>
      <sheetName val="5-4-2026"/>
      <sheetName val="6-4-2026"/>
      <sheetName val="7-4-2026"/>
      <sheetName val="8-4-2026"/>
      <sheetName val="9-4-2026"/>
      <sheetName val="10-4-2026"/>
      <sheetName val="11-4-2026"/>
      <sheetName val="12-4-2026"/>
      <sheetName val="13-4-2026"/>
      <sheetName val="14-4-2026"/>
      <sheetName val="15-4-2026"/>
      <sheetName val="16-4-2026"/>
      <sheetName val="17-4-2026"/>
      <sheetName val="18-4-2026"/>
      <sheetName val="19-4-2026"/>
      <sheetName val="20-4-2026"/>
    </sheetNames>
    <sheetDataSet>
      <sheetData sheetId="0" refreshError="1"/>
      <sheetData sheetId="1" refreshError="1">
        <row r="3">
          <cell r="E3" t="str">
            <v>النزهة</v>
          </cell>
          <cell r="F3" t="str">
            <v>محمد مراد</v>
          </cell>
          <cell r="G3">
            <v>0.25</v>
          </cell>
          <cell r="H3">
            <v>0.26041666666666669</v>
          </cell>
          <cell r="I3">
            <v>1.0416666666666685E-2</v>
          </cell>
          <cell r="J3">
            <v>0.15625</v>
          </cell>
          <cell r="K3">
            <v>0.1875</v>
          </cell>
          <cell r="L3" t="str">
            <v>احمد عبدالجواد</v>
          </cell>
          <cell r="M3" t="str">
            <v>احمد عبدالجواد</v>
          </cell>
          <cell r="N3">
            <v>3.125E-2</v>
          </cell>
          <cell r="O3">
            <v>0</v>
          </cell>
          <cell r="P3">
            <v>6.9444444444444397E-3</v>
          </cell>
          <cell r="Q3">
            <v>0.2638888888888889</v>
          </cell>
          <cell r="R3">
            <v>6.9444444444444475E-2</v>
          </cell>
          <cell r="S3">
            <v>0.2638888888888889</v>
          </cell>
          <cell r="T3">
            <v>1.38888888888889E-2</v>
          </cell>
        </row>
        <row r="4">
          <cell r="E4" t="str">
            <v>اكتوبر</v>
          </cell>
          <cell r="F4" t="str">
            <v>مصطفى احمد</v>
          </cell>
          <cell r="G4">
            <v>0.25</v>
          </cell>
          <cell r="H4">
            <v>0.23611111111111113</v>
          </cell>
          <cell r="I4">
            <v>0</v>
          </cell>
          <cell r="J4">
            <v>0.19791666666666666</v>
          </cell>
          <cell r="K4">
            <v>0.21527777777777779</v>
          </cell>
          <cell r="L4" t="str">
            <v>احمد عبدالجواد</v>
          </cell>
          <cell r="M4" t="str">
            <v>احمد عبدالجواد</v>
          </cell>
          <cell r="N4">
            <v>1.7361111111111133E-2</v>
          </cell>
          <cell r="O4">
            <v>0</v>
          </cell>
          <cell r="P4">
            <v>6.9444444444444397E-3</v>
          </cell>
          <cell r="Q4">
            <v>0.25347222222222221</v>
          </cell>
          <cell r="R4">
            <v>3.1249999999999972E-2</v>
          </cell>
          <cell r="S4">
            <v>0.25347222222222221</v>
          </cell>
          <cell r="T4">
            <v>4.1666666666666699E-2</v>
          </cell>
        </row>
        <row r="5">
          <cell r="E5" t="str">
            <v>الجسر</v>
          </cell>
          <cell r="F5" t="str">
            <v>عبدالرحمن عاطف</v>
          </cell>
          <cell r="G5">
            <v>0.25</v>
          </cell>
          <cell r="H5">
            <v>0.26041666666666669</v>
          </cell>
          <cell r="I5">
            <v>1.0416666666666685E-2</v>
          </cell>
          <cell r="J5">
            <v>0.22569444444444445</v>
          </cell>
          <cell r="K5">
            <v>0.25</v>
          </cell>
          <cell r="L5" t="str">
            <v>احمد عبدالجواد</v>
          </cell>
          <cell r="M5" t="str">
            <v>احمد عبدالجواد</v>
          </cell>
          <cell r="N5">
            <v>2.4305555555555552E-2</v>
          </cell>
          <cell r="O5">
            <v>0</v>
          </cell>
          <cell r="P5">
            <v>6.9444444444444397E-3</v>
          </cell>
          <cell r="Q5">
            <v>0.2673611111111111</v>
          </cell>
          <cell r="R5">
            <v>1.0416666666666685E-2</v>
          </cell>
          <cell r="S5">
            <v>0.2673611111111111</v>
          </cell>
          <cell r="T5">
            <v>1.0416666666666701E-2</v>
          </cell>
        </row>
        <row r="6">
          <cell r="E6" t="str">
            <v>العباسية</v>
          </cell>
          <cell r="F6" t="str">
            <v>جمال فؤاد</v>
          </cell>
          <cell r="G6">
            <v>0.25</v>
          </cell>
          <cell r="H6">
            <v>0.25694444444444448</v>
          </cell>
          <cell r="I6">
            <v>6.9444444444444753E-3</v>
          </cell>
          <cell r="J6">
            <v>0.2638888888888889</v>
          </cell>
          <cell r="K6">
            <v>0.27777777777777779</v>
          </cell>
          <cell r="L6" t="str">
            <v>احمد عبدالجواد</v>
          </cell>
          <cell r="M6" t="str">
            <v>احمد عبدالجواد</v>
          </cell>
          <cell r="N6">
            <v>1.3888888888888895E-2</v>
          </cell>
          <cell r="O6">
            <v>0</v>
          </cell>
          <cell r="P6">
            <v>6.9444444444444397E-3</v>
          </cell>
          <cell r="Q6">
            <v>0.27777777777777779</v>
          </cell>
          <cell r="R6">
            <v>0</v>
          </cell>
          <cell r="S6">
            <v>0.27777777777777779</v>
          </cell>
          <cell r="T6">
            <v>2.0833333333333301E-2</v>
          </cell>
        </row>
        <row r="7">
          <cell r="E7" t="str">
            <v>العاشر</v>
          </cell>
          <cell r="F7" t="str">
            <v>محمود ابو طالب</v>
          </cell>
          <cell r="G7">
            <v>0.25</v>
          </cell>
          <cell r="H7">
            <v>0.2638888888888889</v>
          </cell>
          <cell r="I7">
            <v>1.3888888888888895E-2</v>
          </cell>
          <cell r="J7">
            <v>0.15625</v>
          </cell>
          <cell r="K7">
            <v>0.15972222222222224</v>
          </cell>
          <cell r="L7" t="str">
            <v>رضا عباس</v>
          </cell>
          <cell r="M7" t="str">
            <v>رضا عباس</v>
          </cell>
          <cell r="N7">
            <v>3.4722222222222376E-3</v>
          </cell>
          <cell r="O7">
            <v>0</v>
          </cell>
          <cell r="P7">
            <v>6.9444444444444397E-3</v>
          </cell>
          <cell r="Q7">
            <v>0.2673611111111111</v>
          </cell>
          <cell r="R7">
            <v>0.10069444444444445</v>
          </cell>
          <cell r="S7">
            <v>0.2673611111111111</v>
          </cell>
          <cell r="T7">
            <v>1.0416666666666666E-2</v>
          </cell>
        </row>
        <row r="8">
          <cell r="E8" t="str">
            <v>الوسط</v>
          </cell>
          <cell r="F8" t="str">
            <v>خالد محمد</v>
          </cell>
          <cell r="G8">
            <v>0.25</v>
          </cell>
          <cell r="H8">
            <v>0.27083333333333331</v>
          </cell>
          <cell r="I8">
            <v>2.0833333333333315E-2</v>
          </cell>
          <cell r="J8">
            <v>0.16319444444444445</v>
          </cell>
          <cell r="K8">
            <v>0.19097222222222221</v>
          </cell>
          <cell r="L8" t="str">
            <v>رضا عباس</v>
          </cell>
          <cell r="M8" t="str">
            <v>رضا عباس</v>
          </cell>
          <cell r="N8">
            <v>2.7777777777777762E-2</v>
          </cell>
          <cell r="O8">
            <v>6.9444444444444614E-3</v>
          </cell>
          <cell r="P8">
            <v>6.9444444444444397E-3</v>
          </cell>
          <cell r="Q8">
            <v>0.28125</v>
          </cell>
          <cell r="R8">
            <v>8.333333333333337E-2</v>
          </cell>
          <cell r="S8">
            <v>0.28125</v>
          </cell>
          <cell r="T8">
            <v>1.7361111111111101E-2</v>
          </cell>
        </row>
        <row r="9">
          <cell r="E9" t="str">
            <v>المعادي 1</v>
          </cell>
          <cell r="F9" t="str">
            <v>رامي حسن</v>
          </cell>
          <cell r="G9">
            <v>0.25</v>
          </cell>
          <cell r="H9">
            <v>0.23263888888888887</v>
          </cell>
          <cell r="I9">
            <v>0</v>
          </cell>
          <cell r="J9">
            <v>0.19791666666666666</v>
          </cell>
          <cell r="K9">
            <v>0.23611111111111113</v>
          </cell>
          <cell r="L9" t="str">
            <v>رضا عباس</v>
          </cell>
          <cell r="M9" t="str">
            <v>رضا عباس</v>
          </cell>
          <cell r="N9">
            <v>3.8194444444444475E-2</v>
          </cell>
          <cell r="O9">
            <v>6.9444444444444753E-3</v>
          </cell>
          <cell r="P9">
            <v>6.9444444444444397E-3</v>
          </cell>
          <cell r="Q9">
            <v>0.27083333333333331</v>
          </cell>
          <cell r="R9">
            <v>2.7777777777777762E-2</v>
          </cell>
          <cell r="S9">
            <v>0.27083333333333331</v>
          </cell>
          <cell r="T9">
            <v>3.4722222222222203E-2</v>
          </cell>
        </row>
        <row r="10">
          <cell r="E10" t="str">
            <v>المطرية</v>
          </cell>
          <cell r="F10" t="str">
            <v>احمد عواد</v>
          </cell>
          <cell r="G10">
            <v>0.25</v>
          </cell>
          <cell r="H10">
            <v>0.24652777777777779</v>
          </cell>
          <cell r="I10">
            <v>0</v>
          </cell>
          <cell r="J10">
            <v>0.23958333333333334</v>
          </cell>
          <cell r="K10">
            <v>0.27430555555555552</v>
          </cell>
          <cell r="L10" t="str">
            <v>رضا عباس</v>
          </cell>
          <cell r="M10" t="str">
            <v>رضا عباس</v>
          </cell>
          <cell r="N10">
            <v>3.4722222222222182E-2</v>
          </cell>
          <cell r="O10">
            <v>1.3888888888888881E-2</v>
          </cell>
          <cell r="P10">
            <v>6.9444444444444397E-3</v>
          </cell>
          <cell r="Q10">
            <v>0.2986111111111111</v>
          </cell>
          <cell r="R10">
            <v>1.736111111111116E-2</v>
          </cell>
          <cell r="S10">
            <v>0.2986111111111111</v>
          </cell>
          <cell r="T10">
            <v>4.8611111111111103E-3</v>
          </cell>
        </row>
        <row r="11">
          <cell r="E11" t="str">
            <v>مكرم</v>
          </cell>
          <cell r="F11" t="str">
            <v>سيد العسال</v>
          </cell>
          <cell r="G11">
            <v>0.25</v>
          </cell>
          <cell r="H11">
            <v>0.2638888888888889</v>
          </cell>
          <cell r="I11">
            <v>1.3888888888888895E-2</v>
          </cell>
          <cell r="J11">
            <v>0.16319444444444445</v>
          </cell>
          <cell r="K11">
            <v>0.1875</v>
          </cell>
          <cell r="L11" t="str">
            <v>باسم خالد</v>
          </cell>
          <cell r="M11" t="str">
            <v>باسم خالد</v>
          </cell>
          <cell r="N11">
            <v>2.4305555555555552E-2</v>
          </cell>
          <cell r="O11">
            <v>0</v>
          </cell>
          <cell r="P11">
            <v>6.9444444444444397E-3</v>
          </cell>
          <cell r="Q11">
            <v>0.2673611111111111</v>
          </cell>
          <cell r="R11">
            <v>7.2916666666666685E-2</v>
          </cell>
          <cell r="S11">
            <v>0.2673611111111111</v>
          </cell>
          <cell r="T11">
            <v>1.7361111111111101E-2</v>
          </cell>
        </row>
        <row r="12">
          <cell r="E12" t="str">
            <v>جاردينيا</v>
          </cell>
          <cell r="F12" t="str">
            <v>سيد العسال</v>
          </cell>
          <cell r="G12">
            <v>0.25</v>
          </cell>
          <cell r="H12">
            <v>0.2638888888888889</v>
          </cell>
          <cell r="I12">
            <v>1.3888888888888895E-2</v>
          </cell>
          <cell r="J12">
            <v>0.16319444444444445</v>
          </cell>
          <cell r="K12">
            <v>0.1875</v>
          </cell>
          <cell r="L12" t="str">
            <v>باسم خالد</v>
          </cell>
          <cell r="M12" t="str">
            <v>باسم خالد</v>
          </cell>
          <cell r="N12">
            <v>2.4305555555555552E-2</v>
          </cell>
          <cell r="O12">
            <v>0</v>
          </cell>
          <cell r="P12">
            <v>6.9444444444444397E-3</v>
          </cell>
          <cell r="Q12">
            <v>0.2673611111111111</v>
          </cell>
          <cell r="R12">
            <v>7.2916666666666685E-2</v>
          </cell>
          <cell r="S12">
            <v>0.2673611111111111</v>
          </cell>
          <cell r="T12">
            <v>1.0416666666666701E-2</v>
          </cell>
        </row>
        <row r="13">
          <cell r="E13" t="str">
            <v>الشروق 3</v>
          </cell>
          <cell r="F13" t="str">
            <v>خالد عبدة</v>
          </cell>
          <cell r="G13">
            <v>0.25</v>
          </cell>
          <cell r="H13">
            <v>0.24305555555555555</v>
          </cell>
          <cell r="I13">
            <v>0</v>
          </cell>
          <cell r="J13">
            <v>0.21527777777777779</v>
          </cell>
          <cell r="K13">
            <v>0.22569444444444445</v>
          </cell>
          <cell r="L13" t="str">
            <v>باسم خالد</v>
          </cell>
          <cell r="M13" t="str">
            <v>باسم خالد</v>
          </cell>
          <cell r="N13">
            <v>1.0416666666666657E-2</v>
          </cell>
          <cell r="O13">
            <v>0</v>
          </cell>
          <cell r="P13">
            <v>6.9444444444444397E-3</v>
          </cell>
          <cell r="Q13">
            <v>0.25</v>
          </cell>
          <cell r="R13">
            <v>1.7361111111111105E-2</v>
          </cell>
          <cell r="S13">
            <v>0.25</v>
          </cell>
          <cell r="T13">
            <v>3.8194444444444399E-2</v>
          </cell>
        </row>
        <row r="14">
          <cell r="E14" t="str">
            <v>الشروق</v>
          </cell>
          <cell r="F14" t="str">
            <v>رامي عادل</v>
          </cell>
          <cell r="G14">
            <v>0.25</v>
          </cell>
          <cell r="H14">
            <v>0.26041666666666669</v>
          </cell>
          <cell r="I14">
            <v>1.0416666666666685E-2</v>
          </cell>
          <cell r="J14">
            <v>0.23611111111111113</v>
          </cell>
          <cell r="K14">
            <v>0.25347222222222221</v>
          </cell>
          <cell r="L14" t="str">
            <v>باسم خالد</v>
          </cell>
          <cell r="M14" t="str">
            <v>باسم خالد</v>
          </cell>
          <cell r="N14">
            <v>1.7361111111111077E-2</v>
          </cell>
          <cell r="O14">
            <v>0</v>
          </cell>
          <cell r="P14">
            <v>6.9444444444444397E-3</v>
          </cell>
          <cell r="Q14">
            <v>0.2673611111111111</v>
          </cell>
          <cell r="R14">
            <v>6.9444444444444753E-3</v>
          </cell>
          <cell r="S14">
            <v>0.2673611111111111</v>
          </cell>
          <cell r="T14">
            <v>3.4722222222222203E-2</v>
          </cell>
        </row>
        <row r="15">
          <cell r="E15" t="str">
            <v>الشريف</v>
          </cell>
          <cell r="F15" t="str">
            <v>كريم محمود</v>
          </cell>
          <cell r="G15">
            <v>0.25</v>
          </cell>
          <cell r="H15">
            <v>0.2673611111111111</v>
          </cell>
          <cell r="I15">
            <v>1.7361111111111105E-2</v>
          </cell>
          <cell r="J15">
            <v>0.26041666666666669</v>
          </cell>
          <cell r="K15">
            <v>0.27430555555555552</v>
          </cell>
          <cell r="L15" t="str">
            <v>باسم خالد</v>
          </cell>
          <cell r="M15" t="str">
            <v>باسم خالد</v>
          </cell>
          <cell r="N15">
            <v>1.388888888888884E-2</v>
          </cell>
          <cell r="O15">
            <v>0</v>
          </cell>
          <cell r="P15">
            <v>6.9444444444444397E-3</v>
          </cell>
          <cell r="Q15">
            <v>0.28819444444444448</v>
          </cell>
          <cell r="R15">
            <v>6.9444444444445308E-3</v>
          </cell>
          <cell r="S15">
            <v>0.28819444444444448</v>
          </cell>
          <cell r="T15">
            <v>1.7361111111111101E-2</v>
          </cell>
        </row>
        <row r="16">
          <cell r="E16" t="str">
            <v>الدقي</v>
          </cell>
          <cell r="F16" t="str">
            <v>عبدالرحمن محمد</v>
          </cell>
          <cell r="G16">
            <v>0.25</v>
          </cell>
          <cell r="H16">
            <v>0.26041666666666669</v>
          </cell>
          <cell r="I16">
            <v>1.0416666666666685E-2</v>
          </cell>
          <cell r="J16">
            <v>0.16319444444444445</v>
          </cell>
          <cell r="K16">
            <v>0.18402777777777779</v>
          </cell>
          <cell r="L16" t="str">
            <v>عبدالله امير</v>
          </cell>
          <cell r="M16" t="str">
            <v>عبدالله امير</v>
          </cell>
          <cell r="N16">
            <v>2.0833333333333343E-2</v>
          </cell>
          <cell r="O16">
            <v>0</v>
          </cell>
          <cell r="P16">
            <v>6.9444444444444397E-3</v>
          </cell>
          <cell r="Q16">
            <v>0.2638888888888889</v>
          </cell>
          <cell r="R16">
            <v>7.2916666666666685E-2</v>
          </cell>
          <cell r="S16">
            <v>0.2638888888888889</v>
          </cell>
          <cell r="T16">
            <v>1.38888888888889E-2</v>
          </cell>
        </row>
        <row r="17">
          <cell r="E17" t="str">
            <v>الوايلي</v>
          </cell>
          <cell r="F17" t="str">
            <v>علي عادل</v>
          </cell>
          <cell r="G17">
            <v>0.25</v>
          </cell>
          <cell r="H17">
            <v>0.25347222222222221</v>
          </cell>
          <cell r="I17">
            <v>3.4722222222222099E-3</v>
          </cell>
          <cell r="J17">
            <v>0.19791666666666666</v>
          </cell>
          <cell r="K17">
            <v>0.23958333333333334</v>
          </cell>
          <cell r="L17" t="str">
            <v>عبدالله امير</v>
          </cell>
          <cell r="M17" t="str">
            <v>عبدالله امير</v>
          </cell>
          <cell r="N17">
            <v>4.1666666666666685E-2</v>
          </cell>
          <cell r="O17">
            <v>1.0416666666666685E-2</v>
          </cell>
          <cell r="P17">
            <v>6.9444444444444397E-3</v>
          </cell>
          <cell r="Q17">
            <v>0.26041666666666669</v>
          </cell>
          <cell r="R17">
            <v>1.3888888888888923E-2</v>
          </cell>
          <cell r="S17">
            <v>0.26041666666666669</v>
          </cell>
          <cell r="T17">
            <v>1.0416666666666701E-2</v>
          </cell>
        </row>
        <row r="18">
          <cell r="E18" t="str">
            <v>المنتزة</v>
          </cell>
          <cell r="F18" t="str">
            <v>علي عادل</v>
          </cell>
          <cell r="G18">
            <v>0.25</v>
          </cell>
          <cell r="H18">
            <v>0.25347222222222221</v>
          </cell>
          <cell r="I18">
            <v>3.4722222222222099E-3</v>
          </cell>
          <cell r="J18">
            <v>0.19791666666666666</v>
          </cell>
          <cell r="K18">
            <v>0.23958333333333334</v>
          </cell>
          <cell r="L18" t="str">
            <v>عبدالله امير</v>
          </cell>
          <cell r="M18" t="str">
            <v>عبدالله امير</v>
          </cell>
          <cell r="N18">
            <v>4.1666666666666685E-2</v>
          </cell>
          <cell r="O18">
            <v>1.0416666666666685E-2</v>
          </cell>
          <cell r="P18">
            <v>6.9444444444444397E-3</v>
          </cell>
          <cell r="Q18">
            <v>0.26041666666666669</v>
          </cell>
          <cell r="R18">
            <v>1.3888888888888923E-2</v>
          </cell>
          <cell r="S18">
            <v>0.26041666666666669</v>
          </cell>
          <cell r="T18">
            <v>1.0416666666666701E-2</v>
          </cell>
        </row>
        <row r="19">
          <cell r="E19" t="str">
            <v>عرابي</v>
          </cell>
          <cell r="F19" t="str">
            <v>محمود عادل</v>
          </cell>
          <cell r="G19">
            <v>0.25</v>
          </cell>
          <cell r="H19">
            <v>0.24305555555555555</v>
          </cell>
          <cell r="I19">
            <v>0</v>
          </cell>
          <cell r="J19">
            <v>0.25</v>
          </cell>
          <cell r="K19">
            <v>0.28125</v>
          </cell>
          <cell r="L19" t="str">
            <v>عبدالله امير</v>
          </cell>
          <cell r="M19" t="str">
            <v>عبدالله امير</v>
          </cell>
          <cell r="N19">
            <v>3.125E-2</v>
          </cell>
          <cell r="O19">
            <v>0</v>
          </cell>
          <cell r="P19">
            <v>6.9444444444444397E-3</v>
          </cell>
          <cell r="Q19">
            <v>0.29166666666666669</v>
          </cell>
          <cell r="R19">
            <v>3.4722222222222654E-3</v>
          </cell>
          <cell r="S19">
            <v>0.29166666666666669</v>
          </cell>
          <cell r="T19">
            <v>1.7361111111111101E-2</v>
          </cell>
        </row>
        <row r="20">
          <cell r="E20" t="str">
            <v>فيصل</v>
          </cell>
          <cell r="F20" t="str">
            <v>وائل علي</v>
          </cell>
          <cell r="G20">
            <v>0.25</v>
          </cell>
          <cell r="H20">
            <v>0.25347222222222221</v>
          </cell>
          <cell r="I20">
            <v>3.4722222222222099E-3</v>
          </cell>
          <cell r="J20">
            <v>0.15625</v>
          </cell>
          <cell r="K20">
            <v>0.20833333333333334</v>
          </cell>
          <cell r="L20" t="str">
            <v>محمد صلاح</v>
          </cell>
          <cell r="M20" t="str">
            <v>محمد صلاح</v>
          </cell>
          <cell r="N20">
            <v>5.2083333333333343E-2</v>
          </cell>
          <cell r="O20">
            <v>1.0416666666666678E-2</v>
          </cell>
          <cell r="P20">
            <v>6.9444444444444397E-3</v>
          </cell>
          <cell r="Q20">
            <v>0.26041666666666669</v>
          </cell>
          <cell r="R20">
            <v>4.5138888888888923E-2</v>
          </cell>
          <cell r="S20">
            <v>0.26041666666666669</v>
          </cell>
          <cell r="T20">
            <v>3.4722222222222203E-2</v>
          </cell>
        </row>
        <row r="21">
          <cell r="E21" t="str">
            <v>الطوابق</v>
          </cell>
          <cell r="F21" t="str">
            <v>وائل علي</v>
          </cell>
          <cell r="G21">
            <v>0.25</v>
          </cell>
          <cell r="H21">
            <v>0.25347222222222221</v>
          </cell>
          <cell r="I21">
            <v>3.4722222222222099E-3</v>
          </cell>
          <cell r="J21">
            <v>0.15625</v>
          </cell>
          <cell r="K21">
            <v>0.20833333333333334</v>
          </cell>
          <cell r="L21" t="str">
            <v>محمد صلاح</v>
          </cell>
          <cell r="M21" t="str">
            <v>محمد صلاح</v>
          </cell>
          <cell r="N21">
            <v>5.2083333333333343E-2</v>
          </cell>
          <cell r="O21">
            <v>1.0416666666666678E-2</v>
          </cell>
          <cell r="P21">
            <v>6.9444444444444397E-3</v>
          </cell>
          <cell r="Q21">
            <v>0.26041666666666669</v>
          </cell>
          <cell r="R21">
            <v>4.5138888888888923E-2</v>
          </cell>
          <cell r="S21">
            <v>0.26041666666666669</v>
          </cell>
          <cell r="T21">
            <v>3.4722222222222203E-2</v>
          </cell>
        </row>
        <row r="22">
          <cell r="E22" t="str">
            <v>الكوربة</v>
          </cell>
          <cell r="F22" t="str">
            <v>احمد سعيد</v>
          </cell>
          <cell r="G22">
            <v>0.25</v>
          </cell>
          <cell r="H22">
            <v>0.25694444444444448</v>
          </cell>
          <cell r="I22">
            <v>6.9444444444444753E-3</v>
          </cell>
          <cell r="J22">
            <v>0.21527777777777779</v>
          </cell>
          <cell r="K22">
            <v>0.23611111111111113</v>
          </cell>
          <cell r="L22" t="str">
            <v>محمد صلاح</v>
          </cell>
          <cell r="M22" t="str">
            <v>محمد صلاح</v>
          </cell>
          <cell r="N22">
            <v>2.0833333333333343E-2</v>
          </cell>
          <cell r="O22">
            <v>0</v>
          </cell>
          <cell r="P22">
            <v>6.9444444444444397E-3</v>
          </cell>
          <cell r="Q22">
            <v>0.26041666666666669</v>
          </cell>
          <cell r="R22">
            <v>1.7361111111111133E-2</v>
          </cell>
          <cell r="S22">
            <v>0.26041666666666669</v>
          </cell>
          <cell r="T22">
            <v>1.38888888888889E-2</v>
          </cell>
        </row>
        <row r="23">
          <cell r="E23" t="str">
            <v>المعادي 2</v>
          </cell>
          <cell r="F23" t="str">
            <v>الشناوي سرور</v>
          </cell>
          <cell r="G23">
            <v>0.25</v>
          </cell>
          <cell r="H23">
            <v>0.24305555555555555</v>
          </cell>
          <cell r="I23">
            <v>0</v>
          </cell>
          <cell r="J23">
            <v>0.24305555555555555</v>
          </cell>
          <cell r="K23">
            <v>0.2673611111111111</v>
          </cell>
          <cell r="L23" t="str">
            <v>محمد صلاح</v>
          </cell>
          <cell r="M23" t="str">
            <v>محمد صلاح</v>
          </cell>
          <cell r="N23">
            <v>2.4305555555555552E-2</v>
          </cell>
          <cell r="O23">
            <v>3.4722222222222515E-3</v>
          </cell>
          <cell r="P23">
            <v>6.9444444444444397E-3</v>
          </cell>
          <cell r="Q23">
            <v>0.27777777777777779</v>
          </cell>
          <cell r="R23">
            <v>3.4722222222222654E-3</v>
          </cell>
          <cell r="S23">
            <v>0.27777777777777779</v>
          </cell>
          <cell r="T23">
            <v>3.4722222222222203E-2</v>
          </cell>
        </row>
        <row r="24">
          <cell r="E24" t="str">
            <v>مسطرد</v>
          </cell>
          <cell r="F24" t="str">
            <v>جمعة السيد</v>
          </cell>
          <cell r="G24">
            <v>0.25</v>
          </cell>
          <cell r="H24">
            <v>0.28472222222222221</v>
          </cell>
          <cell r="I24">
            <v>3.472222222222221E-2</v>
          </cell>
          <cell r="J24">
            <v>0.27430555555555552</v>
          </cell>
          <cell r="K24">
            <v>0.30208333333333331</v>
          </cell>
          <cell r="L24" t="str">
            <v>محمد صلاح</v>
          </cell>
          <cell r="M24" t="str">
            <v>محمد صلاح</v>
          </cell>
          <cell r="N24">
            <v>2.777777777777779E-2</v>
          </cell>
          <cell r="O24">
            <v>6.9444444444444892E-3</v>
          </cell>
          <cell r="P24">
            <v>6.9444444444444397E-3</v>
          </cell>
          <cell r="Q24">
            <v>0.30902777777777779</v>
          </cell>
          <cell r="R24">
            <v>0</v>
          </cell>
          <cell r="S24">
            <v>0.30902777777777779</v>
          </cell>
          <cell r="T24">
            <v>3.4722222222222199E-3</v>
          </cell>
        </row>
        <row r="25">
          <cell r="E25" t="str">
            <v>التجمع 1</v>
          </cell>
          <cell r="F25" t="str">
            <v>رجب محمد</v>
          </cell>
          <cell r="G25">
            <v>0.25</v>
          </cell>
          <cell r="H25">
            <v>0.24652777777777779</v>
          </cell>
          <cell r="I25">
            <v>0</v>
          </cell>
          <cell r="J25">
            <v>0.15763888888888888</v>
          </cell>
          <cell r="K25">
            <v>0.20138888888888887</v>
          </cell>
          <cell r="L25" t="str">
            <v>احمد خيري</v>
          </cell>
          <cell r="M25" t="str">
            <v>احمد خيري</v>
          </cell>
          <cell r="N25">
            <v>4.3749999999999983E-2</v>
          </cell>
          <cell r="O25">
            <v>1.2499999999999983E-2</v>
          </cell>
          <cell r="P25">
            <v>6.9444444444444397E-3</v>
          </cell>
          <cell r="Q25">
            <v>0.25347222222222221</v>
          </cell>
          <cell r="R25">
            <v>4.5138888888888895E-2</v>
          </cell>
          <cell r="S25">
            <v>0.25347222222222221</v>
          </cell>
          <cell r="T25">
            <v>2.4305555555555601E-2</v>
          </cell>
        </row>
        <row r="26">
          <cell r="E26" t="str">
            <v>التجمع 5</v>
          </cell>
          <cell r="F26" t="str">
            <v>رجب محمد</v>
          </cell>
          <cell r="G26">
            <v>0.25</v>
          </cell>
          <cell r="H26">
            <v>0.24652777777777779</v>
          </cell>
          <cell r="I26">
            <v>0</v>
          </cell>
          <cell r="J26">
            <v>0.15763888888888888</v>
          </cell>
          <cell r="K26">
            <v>0.20138888888888887</v>
          </cell>
          <cell r="L26" t="str">
            <v>احمد خيري</v>
          </cell>
          <cell r="M26" t="str">
            <v>احمد خيري</v>
          </cell>
          <cell r="N26">
            <v>4.3749999999999983E-2</v>
          </cell>
          <cell r="O26">
            <v>1.2499999999999983E-2</v>
          </cell>
          <cell r="P26">
            <v>6.9444444444444397E-3</v>
          </cell>
          <cell r="Q26">
            <v>0.25347222222222221</v>
          </cell>
          <cell r="R26">
            <v>4.5138888888888895E-2</v>
          </cell>
          <cell r="S26">
            <v>0.25347222222222221</v>
          </cell>
          <cell r="T26">
            <v>1.0416666666666701E-2</v>
          </cell>
        </row>
        <row r="27">
          <cell r="E27" t="str">
            <v>العبور</v>
          </cell>
          <cell r="F27" t="str">
            <v>محمد صلاح</v>
          </cell>
          <cell r="G27">
            <v>0.25</v>
          </cell>
          <cell r="H27">
            <v>0.25</v>
          </cell>
          <cell r="I27">
            <v>0</v>
          </cell>
          <cell r="J27">
            <v>0.21875</v>
          </cell>
          <cell r="K27">
            <v>0.23402777777777781</v>
          </cell>
          <cell r="L27" t="str">
            <v>احمد خيري</v>
          </cell>
          <cell r="M27" t="str">
            <v>احمد خيري</v>
          </cell>
          <cell r="N27">
            <v>1.5277777777777807E-2</v>
          </cell>
          <cell r="O27">
            <v>0</v>
          </cell>
          <cell r="P27">
            <v>6.9444444444444397E-3</v>
          </cell>
          <cell r="Q27">
            <v>0.26041666666666669</v>
          </cell>
          <cell r="R27">
            <v>1.9444444444444459E-2</v>
          </cell>
          <cell r="S27">
            <v>0.26041666666666669</v>
          </cell>
          <cell r="T27">
            <v>2.7777777777777801E-2</v>
          </cell>
        </row>
        <row r="28">
          <cell r="E28" t="str">
            <v>الدوران</v>
          </cell>
          <cell r="F28" t="str">
            <v>علي النبوي</v>
          </cell>
          <cell r="G28">
            <v>0.25</v>
          </cell>
          <cell r="H28">
            <v>0.2673611111111111</v>
          </cell>
          <cell r="I28">
            <v>1.7361111111111105E-2</v>
          </cell>
          <cell r="J28">
            <v>0.23958333333333334</v>
          </cell>
          <cell r="K28">
            <v>0.25</v>
          </cell>
          <cell r="L28" t="str">
            <v>احمد خيري</v>
          </cell>
          <cell r="M28" t="str">
            <v>احمد خيري</v>
          </cell>
          <cell r="N28">
            <v>1.0416666666666657E-2</v>
          </cell>
          <cell r="O28">
            <v>0</v>
          </cell>
          <cell r="P28">
            <v>6.9444444444444397E-3</v>
          </cell>
          <cell r="Q28">
            <v>0.27430555555555552</v>
          </cell>
          <cell r="R28">
            <v>1.7361111111111105E-2</v>
          </cell>
          <cell r="S28">
            <v>0.27430555555555552</v>
          </cell>
          <cell r="T28">
            <v>1.38888888888889E-2</v>
          </cell>
        </row>
        <row r="29">
          <cell r="E29" t="str">
            <v>شبرا</v>
          </cell>
          <cell r="F29" t="str">
            <v>احمد فوزي</v>
          </cell>
          <cell r="G29">
            <v>0.25</v>
          </cell>
          <cell r="H29">
            <v>0.2638888888888889</v>
          </cell>
          <cell r="I29">
            <v>1.3888888888888895E-2</v>
          </cell>
          <cell r="J29">
            <v>0.25694444444444448</v>
          </cell>
          <cell r="K29">
            <v>0.29166666666666669</v>
          </cell>
          <cell r="L29" t="str">
            <v>احمد خيري</v>
          </cell>
          <cell r="M29" t="str">
            <v>احمد خيري</v>
          </cell>
          <cell r="N29">
            <v>3.472222222222221E-2</v>
          </cell>
          <cell r="O29">
            <v>3.4722222222222099E-3</v>
          </cell>
          <cell r="P29">
            <v>6.9444444444444397E-3</v>
          </cell>
          <cell r="Q29">
            <v>0.30208333333333331</v>
          </cell>
          <cell r="R29">
            <v>3.4722222222222099E-3</v>
          </cell>
          <cell r="S29">
            <v>0.30208333333333331</v>
          </cell>
          <cell r="T29">
            <v>1.38888888888889E-2</v>
          </cell>
        </row>
        <row r="30">
          <cell r="E30" t="str">
            <v>الدوران</v>
          </cell>
          <cell r="F30" t="str">
            <v>احمد فوزي</v>
          </cell>
          <cell r="G30">
            <v>0.25</v>
          </cell>
          <cell r="H30">
            <v>0.2638888888888889</v>
          </cell>
          <cell r="I30">
            <v>1.3888888888888895E-2</v>
          </cell>
          <cell r="J30">
            <v>0.25694444444444448</v>
          </cell>
          <cell r="K30">
            <v>0.29166666666666669</v>
          </cell>
          <cell r="L30" t="str">
            <v>احمد خيري</v>
          </cell>
          <cell r="M30" t="str">
            <v>احمد خيري</v>
          </cell>
          <cell r="N30">
            <v>3.472222222222221E-2</v>
          </cell>
          <cell r="O30">
            <v>3.4722222222222099E-3</v>
          </cell>
          <cell r="P30">
            <v>6.9444444444444397E-3</v>
          </cell>
          <cell r="Q30">
            <v>0.30208333333333331</v>
          </cell>
          <cell r="R30">
            <v>3.4722222222222099E-3</v>
          </cell>
          <cell r="S30">
            <v>0.30208333333333331</v>
          </cell>
          <cell r="T30">
            <v>1.38888888888889E-2</v>
          </cell>
        </row>
        <row r="31">
          <cell r="E31" t="str">
            <v>عباس</v>
          </cell>
          <cell r="F31" t="str">
            <v>علاء مجدي</v>
          </cell>
          <cell r="G31">
            <v>0.25</v>
          </cell>
          <cell r="H31">
            <v>0.24652777777777779</v>
          </cell>
          <cell r="I31">
            <v>0</v>
          </cell>
          <cell r="J31">
            <v>0.15277777777777776</v>
          </cell>
          <cell r="K31">
            <v>0.19791666666666666</v>
          </cell>
          <cell r="L31" t="str">
            <v>محمد احمد</v>
          </cell>
          <cell r="M31" t="str">
            <v>محمد احمد</v>
          </cell>
          <cell r="N31">
            <v>4.5138888888888895E-2</v>
          </cell>
          <cell r="O31">
            <v>1.3888888888888895E-2</v>
          </cell>
          <cell r="P31">
            <v>6.9444444444444397E-3</v>
          </cell>
          <cell r="Q31">
            <v>0.2673611111111111</v>
          </cell>
          <cell r="R31">
            <v>6.2500000000000028E-2</v>
          </cell>
          <cell r="S31">
            <v>0.2673611111111111</v>
          </cell>
          <cell r="T31">
            <v>1.7361111111111101E-2</v>
          </cell>
        </row>
        <row r="32">
          <cell r="E32" t="str">
            <v>الميرغني</v>
          </cell>
          <cell r="F32" t="str">
            <v>علاء مجدي</v>
          </cell>
          <cell r="G32">
            <v>0.25</v>
          </cell>
          <cell r="H32">
            <v>0.24652777777777779</v>
          </cell>
          <cell r="I32">
            <v>0</v>
          </cell>
          <cell r="J32">
            <v>0.15277777777777776</v>
          </cell>
          <cell r="K32">
            <v>0.19791666666666666</v>
          </cell>
          <cell r="L32" t="str">
            <v>محمد احمد</v>
          </cell>
          <cell r="M32" t="str">
            <v>محمد احمد</v>
          </cell>
          <cell r="N32">
            <v>4.5138888888888895E-2</v>
          </cell>
          <cell r="O32">
            <v>1.3888888888888895E-2</v>
          </cell>
          <cell r="P32">
            <v>6.9444444444444397E-3</v>
          </cell>
          <cell r="Q32">
            <v>0.2673611111111111</v>
          </cell>
          <cell r="R32">
            <v>6.2500000000000028E-2</v>
          </cell>
          <cell r="S32">
            <v>0.2673611111111111</v>
          </cell>
          <cell r="T32">
            <v>1.38888888888889E-2</v>
          </cell>
        </row>
        <row r="33">
          <cell r="E33" t="str">
            <v>العاشر من رمضان</v>
          </cell>
          <cell r="F33" t="str">
            <v>صبري امام</v>
          </cell>
          <cell r="G33">
            <v>0.25</v>
          </cell>
          <cell r="H33">
            <v>0.25694444444444448</v>
          </cell>
          <cell r="I33">
            <v>6.9444444444444753E-3</v>
          </cell>
          <cell r="J33">
            <v>0.21527777777777779</v>
          </cell>
          <cell r="K33">
            <v>0.22569444444444445</v>
          </cell>
          <cell r="L33" t="str">
            <v>محمد احمد</v>
          </cell>
          <cell r="M33" t="str">
            <v>محمد احمد</v>
          </cell>
          <cell r="N33">
            <v>1.0416666666666657E-2</v>
          </cell>
          <cell r="O33">
            <v>0</v>
          </cell>
          <cell r="P33">
            <v>6.9444444444444397E-3</v>
          </cell>
          <cell r="Q33">
            <v>0.26041666666666669</v>
          </cell>
          <cell r="R33">
            <v>2.7777777777777818E-2</v>
          </cell>
          <cell r="S33">
            <v>0.26041666666666669</v>
          </cell>
          <cell r="T33">
            <v>6.25E-2</v>
          </cell>
        </row>
        <row r="34">
          <cell r="E34" t="str">
            <v>الشيراتون</v>
          </cell>
          <cell r="F34" t="str">
            <v>احمد عماد</v>
          </cell>
          <cell r="G34">
            <v>0.25</v>
          </cell>
          <cell r="H34">
            <v>0.25</v>
          </cell>
          <cell r="I34">
            <v>0</v>
          </cell>
          <cell r="J34">
            <v>0.22916666666666666</v>
          </cell>
          <cell r="K34">
            <v>0.24652777777777779</v>
          </cell>
          <cell r="L34" t="str">
            <v>محمد احمد</v>
          </cell>
          <cell r="M34" t="str">
            <v>محمد احمد</v>
          </cell>
          <cell r="N34">
            <v>1.7361111111111133E-2</v>
          </cell>
          <cell r="O34">
            <v>0</v>
          </cell>
          <cell r="P34">
            <v>6.9444444444444397E-3</v>
          </cell>
          <cell r="Q34">
            <v>0.25694444444444448</v>
          </cell>
          <cell r="R34">
            <v>3.4722222222222654E-3</v>
          </cell>
          <cell r="S34">
            <v>0.25694444444444448</v>
          </cell>
          <cell r="T34">
            <v>2.0833333333333301E-2</v>
          </cell>
        </row>
        <row r="35">
          <cell r="E35" t="str">
            <v>السواح</v>
          </cell>
          <cell r="F35" t="str">
            <v>علي حمدي</v>
          </cell>
          <cell r="G35">
            <v>0.25</v>
          </cell>
          <cell r="H35">
            <v>0.25</v>
          </cell>
          <cell r="I35">
            <v>0</v>
          </cell>
          <cell r="J35">
            <v>0.25</v>
          </cell>
          <cell r="K35">
            <v>0.28472222222222221</v>
          </cell>
          <cell r="L35" t="str">
            <v>محمد احمد</v>
          </cell>
          <cell r="M35" t="str">
            <v>محمد احمد</v>
          </cell>
          <cell r="N35">
            <v>3.472222222222221E-2</v>
          </cell>
          <cell r="O35">
            <v>3.4722222222222099E-3</v>
          </cell>
          <cell r="P35">
            <v>6.9444444444444397E-3</v>
          </cell>
          <cell r="Q35">
            <v>0.30208333333333331</v>
          </cell>
          <cell r="R35">
            <v>1.0416666666666685E-2</v>
          </cell>
          <cell r="S35">
            <v>0.30208333333333331</v>
          </cell>
          <cell r="T35">
            <v>1.0416666666666701E-2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داتا"/>
      <sheetName val="21-4-2026"/>
      <sheetName val="22-4-2026"/>
      <sheetName val="23-4-2026"/>
      <sheetName val="24-4-2026"/>
      <sheetName val="25-4-2026"/>
      <sheetName val="26-4-2026"/>
      <sheetName val="27-4-2026"/>
      <sheetName val="28-4-2026"/>
      <sheetName val="29-4-2026"/>
      <sheetName val="30-4-2026"/>
      <sheetName val="1-5-2026"/>
      <sheetName val="2-5-2026"/>
      <sheetName val="3-5-2026"/>
      <sheetName val="4-5-2026"/>
      <sheetName val="5-5-2026"/>
      <sheetName val="6-5-2026"/>
      <sheetName val="7-5-2026"/>
      <sheetName val="8-5-2026"/>
      <sheetName val="9-5-2026"/>
      <sheetName val="10-5-2026"/>
      <sheetName val="11-5-2026"/>
      <sheetName val="12-5-2026"/>
      <sheetName val="13-5-2026"/>
      <sheetName val="14-5-2026"/>
      <sheetName val="15-5-2026"/>
      <sheetName val="16-5-2026"/>
      <sheetName val="17-5-2026"/>
      <sheetName val="18-5-2026"/>
      <sheetName val="19-5-2026"/>
      <sheetName val="20-5-2026"/>
    </sheetNames>
    <sheetDataSet>
      <sheetData sheetId="0">
        <row r="3">
          <cell r="B3">
            <v>2695</v>
          </cell>
          <cell r="C3" t="str">
            <v>تلتين</v>
          </cell>
          <cell r="D3">
            <v>3.125E-2</v>
          </cell>
        </row>
        <row r="4">
          <cell r="B4">
            <v>2695</v>
          </cell>
          <cell r="C4" t="str">
            <v>تلتين</v>
          </cell>
          <cell r="D4">
            <v>3.125E-2</v>
          </cell>
        </row>
        <row r="5">
          <cell r="B5">
            <v>2917</v>
          </cell>
          <cell r="C5" t="str">
            <v>تلتين</v>
          </cell>
          <cell r="D5">
            <v>3.125E-2</v>
          </cell>
        </row>
        <row r="6">
          <cell r="B6">
            <v>2917</v>
          </cell>
          <cell r="C6" t="str">
            <v>تلتين</v>
          </cell>
          <cell r="D6">
            <v>3.125E-2</v>
          </cell>
        </row>
        <row r="7">
          <cell r="B7">
            <v>459</v>
          </cell>
          <cell r="C7" t="str">
            <v>دبابة</v>
          </cell>
          <cell r="D7">
            <v>2.0833333333333301E-2</v>
          </cell>
        </row>
        <row r="8">
          <cell r="B8">
            <v>1454</v>
          </cell>
          <cell r="C8" t="str">
            <v>تلتين</v>
          </cell>
          <cell r="D8">
            <v>3.125E-2</v>
          </cell>
        </row>
        <row r="9">
          <cell r="B9">
            <v>1454</v>
          </cell>
          <cell r="C9" t="str">
            <v>تلتين</v>
          </cell>
          <cell r="D9">
            <v>3.125E-2</v>
          </cell>
        </row>
        <row r="10">
          <cell r="B10">
            <v>7464</v>
          </cell>
          <cell r="C10" t="str">
            <v>تلتين</v>
          </cell>
          <cell r="D10">
            <v>3.125E-2</v>
          </cell>
        </row>
        <row r="11">
          <cell r="B11">
            <v>7464</v>
          </cell>
          <cell r="C11" t="str">
            <v>تلتين</v>
          </cell>
          <cell r="D11">
            <v>3.125E-2</v>
          </cell>
        </row>
        <row r="12">
          <cell r="B12">
            <v>6231</v>
          </cell>
          <cell r="C12" t="str">
            <v>خارجية</v>
          </cell>
          <cell r="D12">
            <v>6.25E-2</v>
          </cell>
        </row>
        <row r="13">
          <cell r="B13">
            <v>6231</v>
          </cell>
          <cell r="C13" t="str">
            <v>خارجية</v>
          </cell>
          <cell r="D13">
            <v>6.25E-2</v>
          </cell>
        </row>
        <row r="14">
          <cell r="B14">
            <v>586</v>
          </cell>
          <cell r="C14" t="str">
            <v>سوزوكي</v>
          </cell>
          <cell r="D14">
            <v>2.0833333333333301E-2</v>
          </cell>
        </row>
        <row r="15">
          <cell r="B15">
            <v>3495</v>
          </cell>
          <cell r="C15" t="str">
            <v>تلتين</v>
          </cell>
          <cell r="D15">
            <v>3.125E-2</v>
          </cell>
        </row>
        <row r="16">
          <cell r="B16">
            <v>3495</v>
          </cell>
          <cell r="C16" t="str">
            <v>تلتين</v>
          </cell>
          <cell r="D16">
            <v>3.125E-2</v>
          </cell>
        </row>
        <row r="17">
          <cell r="B17">
            <v>1538</v>
          </cell>
          <cell r="C17" t="str">
            <v>تلتين</v>
          </cell>
          <cell r="D17">
            <v>3.125E-2</v>
          </cell>
        </row>
        <row r="18">
          <cell r="B18">
            <v>1538</v>
          </cell>
          <cell r="C18" t="str">
            <v>تلتين</v>
          </cell>
          <cell r="D18">
            <v>3.125E-2</v>
          </cell>
        </row>
        <row r="19">
          <cell r="B19">
            <v>3492</v>
          </cell>
          <cell r="C19" t="str">
            <v>تلتين</v>
          </cell>
          <cell r="D19">
            <v>3.125E-2</v>
          </cell>
        </row>
        <row r="20">
          <cell r="B20">
            <v>3891</v>
          </cell>
          <cell r="C20" t="str">
            <v>تلتين</v>
          </cell>
          <cell r="D20">
            <v>3.125E-2</v>
          </cell>
        </row>
        <row r="21">
          <cell r="B21">
            <v>5898</v>
          </cell>
          <cell r="C21" t="str">
            <v>تلتين</v>
          </cell>
          <cell r="D21">
            <v>3.125E-2</v>
          </cell>
        </row>
        <row r="22">
          <cell r="B22">
            <v>5898</v>
          </cell>
          <cell r="C22" t="str">
            <v>تلتين</v>
          </cell>
          <cell r="D22">
            <v>3.125E-2</v>
          </cell>
        </row>
        <row r="23">
          <cell r="B23">
            <v>4987</v>
          </cell>
          <cell r="C23" t="str">
            <v>تلتين</v>
          </cell>
          <cell r="D23">
            <v>3.125E-2</v>
          </cell>
        </row>
        <row r="24">
          <cell r="B24">
            <v>4987</v>
          </cell>
          <cell r="C24" t="str">
            <v>تلتين</v>
          </cell>
          <cell r="D24">
            <v>3.125E-2</v>
          </cell>
        </row>
        <row r="25">
          <cell r="B25">
            <v>7435</v>
          </cell>
          <cell r="C25" t="str">
            <v>تلتين</v>
          </cell>
          <cell r="D25">
            <v>3.125E-2</v>
          </cell>
        </row>
        <row r="26">
          <cell r="B26">
            <v>3783</v>
          </cell>
          <cell r="C26" t="str">
            <v>دبابة</v>
          </cell>
          <cell r="D26">
            <v>2.0833333333333301E-2</v>
          </cell>
        </row>
        <row r="27">
          <cell r="B27">
            <v>796</v>
          </cell>
          <cell r="C27" t="str">
            <v>دبابة</v>
          </cell>
          <cell r="D27">
            <v>2.0833333333333301E-2</v>
          </cell>
        </row>
        <row r="28">
          <cell r="B28">
            <v>4879</v>
          </cell>
          <cell r="C28" t="str">
            <v>دبابة</v>
          </cell>
          <cell r="D28">
            <v>2.0833333333333301E-2</v>
          </cell>
        </row>
        <row r="29">
          <cell r="B29">
            <v>3787</v>
          </cell>
          <cell r="C29" t="str">
            <v>دبابة</v>
          </cell>
          <cell r="D29">
            <v>2.0833333333333301E-2</v>
          </cell>
        </row>
        <row r="30">
          <cell r="B30">
            <v>8527</v>
          </cell>
          <cell r="C30" t="str">
            <v>خارجية</v>
          </cell>
          <cell r="D30">
            <v>6.25E-2</v>
          </cell>
        </row>
        <row r="31">
          <cell r="B31">
            <v>9652</v>
          </cell>
          <cell r="C31" t="str">
            <v>خارجية</v>
          </cell>
          <cell r="D31">
            <v>6.25E-2</v>
          </cell>
        </row>
        <row r="32">
          <cell r="B32">
            <v>634</v>
          </cell>
          <cell r="C32" t="str">
            <v>دبابة</v>
          </cell>
          <cell r="D32">
            <v>2.0833333333333301E-2</v>
          </cell>
        </row>
        <row r="33">
          <cell r="B33">
            <v>3793</v>
          </cell>
          <cell r="C33" t="str">
            <v>دبابة</v>
          </cell>
          <cell r="D33">
            <v>2.0833333333333301E-2</v>
          </cell>
        </row>
        <row r="34">
          <cell r="B34">
            <v>714</v>
          </cell>
          <cell r="C34" t="str">
            <v>خارجية</v>
          </cell>
          <cell r="D34">
            <v>6.25E-2</v>
          </cell>
        </row>
        <row r="35">
          <cell r="B35">
            <v>2714</v>
          </cell>
          <cell r="C35" t="str">
            <v>تلتين</v>
          </cell>
          <cell r="D35">
            <v>3.125E-2</v>
          </cell>
        </row>
        <row r="36">
          <cell r="B36">
            <v>2474</v>
          </cell>
          <cell r="C36" t="str">
            <v>دبابة</v>
          </cell>
          <cell r="D36">
            <v>2.0833333333333332E-2</v>
          </cell>
        </row>
        <row r="37">
          <cell r="B37">
            <v>6143</v>
          </cell>
          <cell r="C37" t="str">
            <v>تلتين</v>
          </cell>
          <cell r="D37">
            <v>3.125E-2</v>
          </cell>
        </row>
        <row r="38">
          <cell r="B38">
            <v>6142</v>
          </cell>
          <cell r="C38" t="str">
            <v>تلتين</v>
          </cell>
          <cell r="D38">
            <v>3.125E-2</v>
          </cell>
        </row>
        <row r="39">
          <cell r="B39">
            <v>2694</v>
          </cell>
          <cell r="C39" t="str">
            <v>تلتين</v>
          </cell>
          <cell r="D39">
            <v>3.125E-2</v>
          </cell>
        </row>
        <row r="40">
          <cell r="B40">
            <v>1231</v>
          </cell>
          <cell r="C40" t="str">
            <v>خارجية</v>
          </cell>
          <cell r="D40">
            <v>4.1666666666666664E-2</v>
          </cell>
        </row>
        <row r="41">
          <cell r="B41">
            <v>1231</v>
          </cell>
          <cell r="C41" t="str">
            <v>خارجية</v>
          </cell>
          <cell r="D41">
            <v>4.1666666666666664E-2</v>
          </cell>
        </row>
        <row r="42">
          <cell r="B42">
            <v>459</v>
          </cell>
          <cell r="C42" t="str">
            <v>دبابة</v>
          </cell>
          <cell r="D42">
            <v>2.0833333333333301E-2</v>
          </cell>
        </row>
        <row r="43">
          <cell r="B43">
            <v>459</v>
          </cell>
          <cell r="C43" t="str">
            <v>دبابة</v>
          </cell>
          <cell r="D43">
            <v>2.0833333333333301E-2</v>
          </cell>
        </row>
        <row r="44">
          <cell r="B44">
            <v>9198</v>
          </cell>
          <cell r="C44" t="str">
            <v>دبابة</v>
          </cell>
          <cell r="D44">
            <v>2.0833333333333301E-2</v>
          </cell>
        </row>
        <row r="45">
          <cell r="B45">
            <v>9198</v>
          </cell>
          <cell r="C45" t="str">
            <v>دبابة</v>
          </cell>
          <cell r="D45">
            <v>2.0833333333333301E-2</v>
          </cell>
        </row>
        <row r="46">
          <cell r="B46">
            <v>796</v>
          </cell>
          <cell r="C46" t="str">
            <v>دبابة</v>
          </cell>
          <cell r="D46">
            <v>2.0833333333333301E-2</v>
          </cell>
        </row>
        <row r="47">
          <cell r="B47">
            <v>3783</v>
          </cell>
          <cell r="C47" t="str">
            <v>دبابة</v>
          </cell>
          <cell r="D47">
            <v>2.0833333333333301E-2</v>
          </cell>
        </row>
        <row r="48">
          <cell r="B48">
            <v>3495</v>
          </cell>
          <cell r="C48" t="str">
            <v>تلتين</v>
          </cell>
          <cell r="D48">
            <v>3.125E-2</v>
          </cell>
        </row>
        <row r="49">
          <cell r="B49">
            <v>4987</v>
          </cell>
          <cell r="C49" t="str">
            <v>تلتين</v>
          </cell>
          <cell r="D49">
            <v>3.125E-2</v>
          </cell>
        </row>
        <row r="50">
          <cell r="B50">
            <v>5898</v>
          </cell>
          <cell r="C50" t="str">
            <v>تلتين</v>
          </cell>
          <cell r="D50">
            <v>3.125E-2</v>
          </cell>
        </row>
        <row r="51">
          <cell r="B51">
            <v>5898</v>
          </cell>
          <cell r="C51" t="str">
            <v>تلتين</v>
          </cell>
          <cell r="D51">
            <v>3.125E-2</v>
          </cell>
        </row>
        <row r="52">
          <cell r="B52">
            <v>2695</v>
          </cell>
          <cell r="C52" t="str">
            <v>تلتين</v>
          </cell>
          <cell r="D52">
            <v>3.125E-2</v>
          </cell>
        </row>
        <row r="53">
          <cell r="B53">
            <v>2695</v>
          </cell>
          <cell r="C53" t="str">
            <v>تلتين</v>
          </cell>
          <cell r="D53">
            <v>3.125E-2</v>
          </cell>
        </row>
        <row r="54">
          <cell r="B54">
            <v>4879</v>
          </cell>
          <cell r="C54" t="str">
            <v>دبابة</v>
          </cell>
          <cell r="D54">
            <v>2.0833333333333301E-2</v>
          </cell>
        </row>
        <row r="55">
          <cell r="B55">
            <v>7435</v>
          </cell>
          <cell r="C55" t="str">
            <v>تلتين</v>
          </cell>
          <cell r="D55">
            <v>3.125E-2</v>
          </cell>
        </row>
        <row r="56">
          <cell r="B56">
            <v>3793</v>
          </cell>
          <cell r="C56" t="str">
            <v>دبابة</v>
          </cell>
          <cell r="D56">
            <v>2.0833333333333301E-2</v>
          </cell>
        </row>
        <row r="57">
          <cell r="B57">
            <v>3891</v>
          </cell>
          <cell r="C57" t="str">
            <v>تلتين</v>
          </cell>
          <cell r="D57">
            <v>3.125E-2</v>
          </cell>
        </row>
        <row r="58">
          <cell r="B58">
            <v>9652</v>
          </cell>
          <cell r="C58" t="str">
            <v>خارجية</v>
          </cell>
          <cell r="D58">
            <v>4.1666666666666664E-2</v>
          </cell>
        </row>
        <row r="59">
          <cell r="B59">
            <v>2714</v>
          </cell>
          <cell r="C59" t="str">
            <v>تلتين</v>
          </cell>
          <cell r="D59">
            <v>3.125E-2</v>
          </cell>
        </row>
        <row r="60">
          <cell r="B60">
            <v>3787</v>
          </cell>
          <cell r="C60" t="str">
            <v>دبابة</v>
          </cell>
          <cell r="D60">
            <v>2.0833333333333301E-2</v>
          </cell>
        </row>
        <row r="61">
          <cell r="B61">
            <v>6231</v>
          </cell>
          <cell r="C61" t="str">
            <v>خارجية</v>
          </cell>
          <cell r="D61">
            <v>4.1666666666666664E-2</v>
          </cell>
        </row>
        <row r="62">
          <cell r="B62">
            <v>3492</v>
          </cell>
          <cell r="C62" t="str">
            <v>تلتين</v>
          </cell>
          <cell r="D62">
            <v>3.125E-2</v>
          </cell>
        </row>
        <row r="63">
          <cell r="B63">
            <v>3492</v>
          </cell>
          <cell r="C63" t="str">
            <v>تلتين</v>
          </cell>
          <cell r="D63">
            <v>3.125E-2</v>
          </cell>
        </row>
        <row r="64">
          <cell r="B64">
            <v>8527</v>
          </cell>
          <cell r="C64" t="str">
            <v>خارجية</v>
          </cell>
          <cell r="D64">
            <v>4.1666666666666664E-2</v>
          </cell>
        </row>
        <row r="65">
          <cell r="B65">
            <v>1538</v>
          </cell>
          <cell r="C65" t="str">
            <v>تلتين</v>
          </cell>
          <cell r="D65">
            <v>3.125E-2</v>
          </cell>
        </row>
        <row r="66">
          <cell r="B66">
            <v>1538</v>
          </cell>
          <cell r="C66" t="str">
            <v>تلتين</v>
          </cell>
          <cell r="D66">
            <v>3.125E-2</v>
          </cell>
        </row>
        <row r="67">
          <cell r="B67">
            <v>7464</v>
          </cell>
          <cell r="C67" t="str">
            <v>تلتين</v>
          </cell>
          <cell r="D67">
            <v>3.125E-2</v>
          </cell>
        </row>
        <row r="68">
          <cell r="B68">
            <v>7464</v>
          </cell>
          <cell r="C68" t="str">
            <v>تلتين</v>
          </cell>
          <cell r="D68">
            <v>3.125E-2</v>
          </cell>
        </row>
        <row r="69">
          <cell r="B69">
            <v>459</v>
          </cell>
          <cell r="C69" t="str">
            <v>دبابة</v>
          </cell>
          <cell r="D69">
            <v>2.0833333333333301E-2</v>
          </cell>
        </row>
        <row r="70">
          <cell r="B70">
            <v>714</v>
          </cell>
          <cell r="C70" t="str">
            <v>خارجية</v>
          </cell>
          <cell r="D70">
            <v>4.1666666666666664E-2</v>
          </cell>
        </row>
        <row r="71">
          <cell r="B71">
            <v>714</v>
          </cell>
          <cell r="C71" t="str">
            <v>خارجية</v>
          </cell>
          <cell r="D71">
            <v>4.1666666666666664E-2</v>
          </cell>
        </row>
        <row r="72">
          <cell r="B72">
            <v>2474</v>
          </cell>
          <cell r="C72" t="str">
            <v>دبابة</v>
          </cell>
          <cell r="D72">
            <v>2.0833333333333332E-2</v>
          </cell>
        </row>
        <row r="73">
          <cell r="B73">
            <v>6143</v>
          </cell>
          <cell r="C73" t="str">
            <v>تلتين</v>
          </cell>
          <cell r="D73">
            <v>3.125E-2</v>
          </cell>
        </row>
        <row r="74">
          <cell r="B74">
            <v>6142</v>
          </cell>
          <cell r="C74" t="str">
            <v>تلتين</v>
          </cell>
          <cell r="D74">
            <v>3.125E-2</v>
          </cell>
        </row>
        <row r="75">
          <cell r="B75">
            <v>2694</v>
          </cell>
          <cell r="C75" t="str">
            <v>تلتين</v>
          </cell>
          <cell r="D75">
            <v>3.125E-2</v>
          </cell>
        </row>
        <row r="76">
          <cell r="B76">
            <v>634</v>
          </cell>
          <cell r="C76" t="str">
            <v>دبابة</v>
          </cell>
          <cell r="D76">
            <v>2.0833333333333301E-2</v>
          </cell>
        </row>
        <row r="77">
          <cell r="B77">
            <v>634</v>
          </cell>
          <cell r="C77" t="str">
            <v>دبابة</v>
          </cell>
          <cell r="D77">
            <v>2.0833333333333301E-2</v>
          </cell>
        </row>
        <row r="78">
          <cell r="B78">
            <v>745</v>
          </cell>
          <cell r="C78" t="str">
            <v>دبابة</v>
          </cell>
          <cell r="D78">
            <v>2.0833333333333301E-2</v>
          </cell>
        </row>
        <row r="79">
          <cell r="B79">
            <v>745</v>
          </cell>
          <cell r="C79" t="str">
            <v>دبابة</v>
          </cell>
          <cell r="D79">
            <v>2.0833333333333301E-2</v>
          </cell>
        </row>
        <row r="80">
          <cell r="B80">
            <v>2917</v>
          </cell>
          <cell r="C80" t="str">
            <v>تلتين</v>
          </cell>
          <cell r="D80">
            <v>3.125E-2</v>
          </cell>
        </row>
        <row r="81">
          <cell r="B81">
            <v>9198</v>
          </cell>
          <cell r="C81" t="str">
            <v>دبابة</v>
          </cell>
          <cell r="D81">
            <v>2.0833333333333301E-2</v>
          </cell>
        </row>
        <row r="82">
          <cell r="B82">
            <v>9198</v>
          </cell>
          <cell r="C82" t="str">
            <v>دبابة</v>
          </cell>
          <cell r="D82">
            <v>2.0833333333333301E-2</v>
          </cell>
        </row>
        <row r="83">
          <cell r="B83">
            <v>3495</v>
          </cell>
          <cell r="C83" t="str">
            <v>تلتين</v>
          </cell>
          <cell r="D83">
            <v>3.125E-2</v>
          </cell>
        </row>
        <row r="84">
          <cell r="B84">
            <v>3495</v>
          </cell>
          <cell r="C84" t="str">
            <v>تلتين</v>
          </cell>
          <cell r="D84">
            <v>3.125E-2</v>
          </cell>
        </row>
        <row r="85">
          <cell r="B85">
            <v>8527</v>
          </cell>
          <cell r="C85" t="str">
            <v>خارجية</v>
          </cell>
          <cell r="D85">
            <v>4.1666666666666664E-2</v>
          </cell>
        </row>
        <row r="86">
          <cell r="B86">
            <v>4987</v>
          </cell>
          <cell r="C86" t="str">
            <v>تلتين</v>
          </cell>
          <cell r="D86">
            <v>3.125E-2</v>
          </cell>
        </row>
        <row r="87">
          <cell r="B87">
            <v>796</v>
          </cell>
          <cell r="C87" t="str">
            <v>دبابة</v>
          </cell>
          <cell r="D87">
            <v>2.0833333333333301E-2</v>
          </cell>
        </row>
        <row r="88">
          <cell r="B88">
            <v>796</v>
          </cell>
          <cell r="C88" t="str">
            <v>دبابة</v>
          </cell>
          <cell r="D88">
            <v>2.0833333333333301E-2</v>
          </cell>
        </row>
        <row r="89">
          <cell r="B89">
            <v>3783</v>
          </cell>
          <cell r="C89" t="str">
            <v>دبابة</v>
          </cell>
          <cell r="D89">
            <v>2.0833333333333301E-2</v>
          </cell>
        </row>
        <row r="90">
          <cell r="B90">
            <v>3783</v>
          </cell>
          <cell r="C90" t="str">
            <v>دبابة</v>
          </cell>
          <cell r="D90">
            <v>2.0833333333333301E-2</v>
          </cell>
        </row>
        <row r="91">
          <cell r="B91">
            <v>459</v>
          </cell>
          <cell r="C91" t="str">
            <v>دبابة</v>
          </cell>
          <cell r="D91">
            <v>2.0833333333333301E-2</v>
          </cell>
        </row>
        <row r="92">
          <cell r="B92">
            <v>1538</v>
          </cell>
          <cell r="C92" t="str">
            <v>تلتين</v>
          </cell>
          <cell r="D92">
            <v>3.125E-2</v>
          </cell>
        </row>
        <row r="93">
          <cell r="B93">
            <v>1538</v>
          </cell>
          <cell r="C93" t="str">
            <v>تلتين</v>
          </cell>
          <cell r="D93">
            <v>3.125E-2</v>
          </cell>
        </row>
        <row r="94">
          <cell r="B94">
            <v>1538</v>
          </cell>
          <cell r="C94" t="str">
            <v>تلتين</v>
          </cell>
          <cell r="D94">
            <v>3.125E-2</v>
          </cell>
        </row>
        <row r="95">
          <cell r="B95">
            <v>1537</v>
          </cell>
          <cell r="C95" t="str">
            <v>تلتين</v>
          </cell>
          <cell r="D95">
            <v>3.125E-2</v>
          </cell>
        </row>
        <row r="96">
          <cell r="B96">
            <v>1537</v>
          </cell>
          <cell r="C96" t="str">
            <v>تلتين</v>
          </cell>
          <cell r="D96">
            <v>3.125E-2</v>
          </cell>
        </row>
        <row r="97">
          <cell r="B97">
            <v>675</v>
          </cell>
          <cell r="C97" t="str">
            <v>جامبو</v>
          </cell>
          <cell r="D97">
            <v>4.1666666666666699E-2</v>
          </cell>
        </row>
        <row r="98">
          <cell r="B98">
            <v>529</v>
          </cell>
          <cell r="C98" t="str">
            <v>تويوتا</v>
          </cell>
          <cell r="D98">
            <v>2.0833333333333301E-2</v>
          </cell>
        </row>
        <row r="99">
          <cell r="B99">
            <v>7435</v>
          </cell>
          <cell r="C99" t="str">
            <v>تلتين</v>
          </cell>
          <cell r="D99">
            <v>3.125E-2</v>
          </cell>
        </row>
        <row r="100">
          <cell r="B100">
            <v>7435</v>
          </cell>
          <cell r="C100" t="str">
            <v>تلتين</v>
          </cell>
          <cell r="D100">
            <v>3.125E-2</v>
          </cell>
        </row>
        <row r="101">
          <cell r="B101">
            <v>3793</v>
          </cell>
          <cell r="C101" t="str">
            <v>دبابة</v>
          </cell>
          <cell r="D101">
            <v>2.0833333333333301E-2</v>
          </cell>
        </row>
        <row r="102">
          <cell r="B102">
            <v>4879</v>
          </cell>
          <cell r="C102" t="str">
            <v>دبابة</v>
          </cell>
          <cell r="D102">
            <v>2.0833333333333301E-2</v>
          </cell>
        </row>
        <row r="103">
          <cell r="B103">
            <v>4879</v>
          </cell>
          <cell r="C103" t="str">
            <v>دبابة</v>
          </cell>
          <cell r="D103">
            <v>2.0833333333333301E-2</v>
          </cell>
        </row>
        <row r="104">
          <cell r="B104">
            <v>2474</v>
          </cell>
          <cell r="C104" t="str">
            <v>دبابة</v>
          </cell>
          <cell r="D104">
            <v>2.0833333333333332E-2</v>
          </cell>
        </row>
        <row r="105">
          <cell r="B105">
            <v>6143</v>
          </cell>
          <cell r="C105" t="str">
            <v>تلتين</v>
          </cell>
          <cell r="D105">
            <v>3.125E-2</v>
          </cell>
        </row>
        <row r="106">
          <cell r="B106">
            <v>6142</v>
          </cell>
          <cell r="C106" t="str">
            <v>تلتين</v>
          </cell>
          <cell r="D106">
            <v>3.125E-2</v>
          </cell>
        </row>
        <row r="107">
          <cell r="B107">
            <v>2694</v>
          </cell>
          <cell r="C107" t="str">
            <v>تلتين</v>
          </cell>
          <cell r="D107">
            <v>3.125E-2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8"/>
  <sheetViews>
    <sheetView rightToLeft="1" topLeftCell="A81" workbookViewId="0">
      <selection activeCell="B104" sqref="B104"/>
    </sheetView>
  </sheetViews>
  <sheetFormatPr defaultColWidth="9" defaultRowHeight="15.75" x14ac:dyDescent="0.25"/>
  <cols>
    <col min="1" max="1" width="5.42578125" customWidth="1"/>
    <col min="2" max="2" width="12.28515625" customWidth="1"/>
    <col min="3" max="3" width="12.5703125" customWidth="1"/>
    <col min="4" max="4" width="16.140625" customWidth="1"/>
    <col min="5" max="5" width="17.140625" customWidth="1"/>
    <col min="6" max="6" width="20.85546875" customWidth="1"/>
    <col min="7" max="7" width="12.7109375" customWidth="1"/>
    <col min="8" max="9" width="12.85546875" customWidth="1"/>
    <col min="10" max="10" width="12.5703125" customWidth="1"/>
    <col min="11" max="11" width="14.28515625" customWidth="1"/>
    <col min="12" max="12" width="22.7109375" customWidth="1"/>
    <col min="13" max="13" width="18.8554687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3.85546875" style="31" customWidth="1"/>
    <col min="30" max="30" width="11.140625" customWidth="1"/>
  </cols>
  <sheetData>
    <row r="1" spans="1:30" ht="33.75" customHeight="1" thickBot="1" x14ac:dyDescent="0.3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0" ht="49.5" customHeight="1" thickTop="1" thickBot="1" x14ac:dyDescent="0.3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8" t="s">
        <v>18</v>
      </c>
      <c r="S2" s="2" t="s">
        <v>19</v>
      </c>
      <c r="T2" s="8" t="s">
        <v>20</v>
      </c>
      <c r="U2" s="2" t="s">
        <v>21</v>
      </c>
      <c r="V2" s="8" t="s">
        <v>22</v>
      </c>
      <c r="W2" s="8" t="s">
        <v>23</v>
      </c>
      <c r="X2" s="2" t="s">
        <v>24</v>
      </c>
      <c r="Y2" s="2" t="s">
        <v>25</v>
      </c>
      <c r="Z2" s="2" t="s">
        <v>26</v>
      </c>
      <c r="AA2" s="8" t="s">
        <v>27</v>
      </c>
      <c r="AB2" s="2" t="s">
        <v>28</v>
      </c>
      <c r="AC2" s="9" t="s">
        <v>29</v>
      </c>
    </row>
    <row r="3" spans="1:30" ht="20.25" customHeight="1" thickTop="1" thickBot="1" x14ac:dyDescent="0.3">
      <c r="A3" s="10">
        <v>1</v>
      </c>
      <c r="B3" s="11">
        <v>2695</v>
      </c>
      <c r="C3" s="11" t="str">
        <f>VLOOKUP(B3,'[1]21-1-2026'!$B$3:$T$35,2,)</f>
        <v>تلتين</v>
      </c>
      <c r="D3" s="12">
        <f>VLOOKUP(B3,'[1]21-1-2026'!$B$3:$T$35,3,)</f>
        <v>3.125E-2</v>
      </c>
      <c r="E3" s="11" t="s">
        <v>30</v>
      </c>
      <c r="F3" s="11" t="s">
        <v>31</v>
      </c>
      <c r="G3" s="12">
        <v>0.25</v>
      </c>
      <c r="H3" s="12">
        <v>0.25</v>
      </c>
      <c r="I3" s="12">
        <f>H3-G3</f>
        <v>0</v>
      </c>
      <c r="J3" s="12">
        <v>0.19791666666666666</v>
      </c>
      <c r="K3" s="12">
        <v>0.25</v>
      </c>
      <c r="L3" s="12" t="s">
        <v>32</v>
      </c>
      <c r="M3" s="12" t="s">
        <v>32</v>
      </c>
      <c r="N3" s="12">
        <f>K3-J3</f>
        <v>5.2083333333333343E-2</v>
      </c>
      <c r="O3" s="12">
        <f>N3-D3</f>
        <v>2.0833333333333343E-2</v>
      </c>
      <c r="P3" s="12">
        <v>6.9444444444444397E-3</v>
      </c>
      <c r="Q3" s="12">
        <v>0.25</v>
      </c>
      <c r="R3" s="12">
        <v>0</v>
      </c>
      <c r="S3" s="12">
        <v>0.28819444444444442</v>
      </c>
      <c r="T3" s="12">
        <f>VLOOKUP(E3,'[1]21-1-2026'!$E$3:$T$35,16,FALSE)</f>
        <v>1.38888888888889E-2</v>
      </c>
      <c r="U3" s="12">
        <v>0.30555555555555552</v>
      </c>
      <c r="V3" s="12">
        <f>U3-T3-S3</f>
        <v>3.4722222222222099E-3</v>
      </c>
      <c r="W3" s="12">
        <v>3.125E-2</v>
      </c>
      <c r="X3" s="12">
        <v>0.30902777777777779</v>
      </c>
      <c r="Y3" s="12">
        <v>0.32291666666666669</v>
      </c>
      <c r="Z3" s="12">
        <f>Y3-X3</f>
        <v>1.3888888888888895E-2</v>
      </c>
      <c r="AA3" s="12">
        <v>0</v>
      </c>
      <c r="AB3" s="12">
        <v>0.32291666666666669</v>
      </c>
      <c r="AC3" s="13"/>
      <c r="AD3" s="47" t="s">
        <v>33</v>
      </c>
    </row>
    <row r="4" spans="1:30" ht="19.5" thickBot="1" x14ac:dyDescent="0.3">
      <c r="A4" s="14">
        <v>2</v>
      </c>
      <c r="B4" s="15">
        <v>2695</v>
      </c>
      <c r="C4" s="15" t="str">
        <f>VLOOKUP(B4,'[1]21-1-2026'!$B$3:$T$35,2,)</f>
        <v>تلتين</v>
      </c>
      <c r="D4" s="16">
        <f>VLOOKUP(B4,'[1]21-1-2026'!$B$3:$T$35,3,)</f>
        <v>3.125E-2</v>
      </c>
      <c r="E4" s="15" t="s">
        <v>34</v>
      </c>
      <c r="F4" s="15" t="s">
        <v>31</v>
      </c>
      <c r="G4" s="16">
        <v>0.25</v>
      </c>
      <c r="H4" s="16">
        <v>0.25</v>
      </c>
      <c r="I4" s="16">
        <f t="shared" ref="I4:I71" si="0">H4-G4</f>
        <v>0</v>
      </c>
      <c r="J4" s="16">
        <v>0.19791666666666666</v>
      </c>
      <c r="K4" s="16">
        <v>0.25</v>
      </c>
      <c r="L4" s="16" t="s">
        <v>32</v>
      </c>
      <c r="M4" s="16" t="s">
        <v>32</v>
      </c>
      <c r="N4" s="16">
        <f t="shared" ref="N4:N71" si="1">K4-J4</f>
        <v>5.2083333333333343E-2</v>
      </c>
      <c r="O4" s="16">
        <f t="shared" ref="O4:O68" si="2">N4-D4</f>
        <v>2.0833333333333343E-2</v>
      </c>
      <c r="P4" s="16">
        <v>6.9444444444444397E-3</v>
      </c>
      <c r="Q4" s="16">
        <v>0.25</v>
      </c>
      <c r="R4" s="16">
        <v>0</v>
      </c>
      <c r="S4" s="16">
        <v>0.28819444444444442</v>
      </c>
      <c r="T4" s="16">
        <f>VLOOKUP(E4,'[1]21-1-2026'!$E$3:$T$35,16,FALSE)</f>
        <v>1.0416666666666701E-2</v>
      </c>
      <c r="U4" s="16">
        <v>0.32708333333333334</v>
      </c>
      <c r="V4" s="16">
        <v>0</v>
      </c>
      <c r="W4" s="16">
        <v>4.1666666666666664E-2</v>
      </c>
      <c r="X4" s="16">
        <v>0.33333333333333331</v>
      </c>
      <c r="Y4" s="16">
        <v>0.375</v>
      </c>
      <c r="Z4" s="16">
        <f t="shared" ref="Z4:Z71" si="3">Y4-X4</f>
        <v>4.1666666666666685E-2</v>
      </c>
      <c r="AA4" s="16">
        <f t="shared" ref="AA4:AA63" si="4">Z4-W4</f>
        <v>0</v>
      </c>
      <c r="AB4" s="16">
        <v>0.38194444444444442</v>
      </c>
      <c r="AC4" s="17"/>
      <c r="AD4" s="48"/>
    </row>
    <row r="5" spans="1:30" ht="19.5" thickBot="1" x14ac:dyDescent="0.3">
      <c r="A5" s="14">
        <v>3</v>
      </c>
      <c r="B5" s="15">
        <v>2917</v>
      </c>
      <c r="C5" s="15" t="str">
        <f>VLOOKUP(B5,'[1]21-1-2026'!$B$3:$T$35,2,)</f>
        <v>تلتين</v>
      </c>
      <c r="D5" s="16">
        <f>VLOOKUP(B5,'[1]21-1-2026'!$B$3:$T$35,3,)</f>
        <v>3.125E-2</v>
      </c>
      <c r="E5" s="15" t="s">
        <v>35</v>
      </c>
      <c r="F5" s="15" t="s">
        <v>36</v>
      </c>
      <c r="G5" s="16">
        <v>0.25</v>
      </c>
      <c r="H5" s="16">
        <v>0.25347222222222221</v>
      </c>
      <c r="I5" s="16">
        <f t="shared" si="0"/>
        <v>3.4722222222222099E-3</v>
      </c>
      <c r="J5" s="16">
        <v>0.20833333333333334</v>
      </c>
      <c r="K5" s="16">
        <v>0.27777777777777779</v>
      </c>
      <c r="L5" s="16" t="s">
        <v>37</v>
      </c>
      <c r="M5" s="16" t="s">
        <v>37</v>
      </c>
      <c r="N5" s="16">
        <f t="shared" si="1"/>
        <v>6.9444444444444448E-2</v>
      </c>
      <c r="O5" s="16">
        <f t="shared" si="2"/>
        <v>3.8194444444444448E-2</v>
      </c>
      <c r="P5" s="16">
        <v>6.9444444444444397E-3</v>
      </c>
      <c r="Q5" s="16">
        <v>0.27777777777777779</v>
      </c>
      <c r="R5" s="16">
        <v>0</v>
      </c>
      <c r="S5" s="16">
        <v>0.28819444444444442</v>
      </c>
      <c r="T5" s="16">
        <f>VLOOKUP(E5,'[1]21-1-2026'!$E$3:$T$35,16,FALSE)</f>
        <v>3.4722222222222203E-2</v>
      </c>
      <c r="U5" s="16">
        <v>0.3298611111111111</v>
      </c>
      <c r="V5" s="16">
        <f t="shared" ref="V5:V69" si="5">U5-T5-S5</f>
        <v>6.9444444444444753E-3</v>
      </c>
      <c r="W5" s="16">
        <v>3.125E-2</v>
      </c>
      <c r="X5" s="16">
        <v>0.34027777777777779</v>
      </c>
      <c r="Y5" s="16">
        <v>0.37152777777777779</v>
      </c>
      <c r="Z5" s="16">
        <f t="shared" si="3"/>
        <v>3.125E-2</v>
      </c>
      <c r="AA5" s="16">
        <f t="shared" si="4"/>
        <v>0</v>
      </c>
      <c r="AB5" s="16">
        <v>0.375</v>
      </c>
      <c r="AC5" s="17"/>
      <c r="AD5" s="48"/>
    </row>
    <row r="6" spans="1:30" ht="19.5" thickBot="1" x14ac:dyDescent="0.3">
      <c r="A6" s="14">
        <v>4</v>
      </c>
      <c r="B6" s="15">
        <v>2917</v>
      </c>
      <c r="C6" s="15" t="str">
        <f>VLOOKUP(B6,'[1]21-1-2026'!$B$3:$T$35,2,)</f>
        <v>تلتين</v>
      </c>
      <c r="D6" s="16">
        <f>VLOOKUP(B6,'[1]21-1-2026'!$B$3:$T$35,3,)</f>
        <v>3.125E-2</v>
      </c>
      <c r="E6" s="15" t="s">
        <v>38</v>
      </c>
      <c r="F6" s="15" t="s">
        <v>36</v>
      </c>
      <c r="G6" s="16">
        <v>0.25</v>
      </c>
      <c r="H6" s="16">
        <v>0.25347222222222221</v>
      </c>
      <c r="I6" s="16">
        <f t="shared" si="0"/>
        <v>3.4722222222222099E-3</v>
      </c>
      <c r="J6" s="16">
        <v>0.20833333333333334</v>
      </c>
      <c r="K6" s="16">
        <v>0.27777777777777779</v>
      </c>
      <c r="L6" s="16" t="s">
        <v>37</v>
      </c>
      <c r="M6" s="16" t="s">
        <v>37</v>
      </c>
      <c r="N6" s="16">
        <f t="shared" si="1"/>
        <v>6.9444444444444448E-2</v>
      </c>
      <c r="O6" s="16">
        <v>0</v>
      </c>
      <c r="P6" s="16">
        <v>6.9444444444444397E-3</v>
      </c>
      <c r="Q6" s="16">
        <v>0.27777777777777779</v>
      </c>
      <c r="R6" s="16">
        <v>0</v>
      </c>
      <c r="S6" s="16">
        <v>0.28819444444444442</v>
      </c>
      <c r="T6" s="16">
        <v>1.0416666666666666E-2</v>
      </c>
      <c r="U6" s="16">
        <v>0.40138888888888891</v>
      </c>
      <c r="V6" s="16">
        <f t="shared" si="5"/>
        <v>0.1027777777777778</v>
      </c>
      <c r="W6" s="16">
        <v>4.1666666666666664E-2</v>
      </c>
      <c r="X6" s="16">
        <v>0.40625</v>
      </c>
      <c r="Y6" s="16">
        <v>0.45833333333333331</v>
      </c>
      <c r="Z6" s="16">
        <f t="shared" si="3"/>
        <v>5.2083333333333315E-2</v>
      </c>
      <c r="AA6" s="16">
        <f t="shared" si="4"/>
        <v>1.041666666666665E-2</v>
      </c>
      <c r="AB6" s="16">
        <v>0.46180555555555558</v>
      </c>
      <c r="AC6" s="17"/>
      <c r="AD6" s="48"/>
    </row>
    <row r="7" spans="1:30" ht="19.5" thickBot="1" x14ac:dyDescent="0.3">
      <c r="A7" s="14">
        <v>5</v>
      </c>
      <c r="B7" s="15">
        <v>459</v>
      </c>
      <c r="C7" s="15" t="str">
        <f>VLOOKUP(B7,'[1]21-1-2026'!$B$3:$T$35,2,)</f>
        <v>دبابة</v>
      </c>
      <c r="D7" s="16">
        <f>VLOOKUP(B7,'[1]21-1-2026'!$B$3:$T$35,3,)</f>
        <v>2.0833333333333301E-2</v>
      </c>
      <c r="E7" s="15" t="s">
        <v>39</v>
      </c>
      <c r="F7" s="15" t="s">
        <v>40</v>
      </c>
      <c r="G7" s="16">
        <v>0.25</v>
      </c>
      <c r="H7" s="16">
        <v>0.25</v>
      </c>
      <c r="I7" s="16">
        <f t="shared" si="0"/>
        <v>0</v>
      </c>
      <c r="J7" s="16">
        <v>0.20833333333333334</v>
      </c>
      <c r="K7" s="16">
        <v>0.22569444444444445</v>
      </c>
      <c r="L7" s="16" t="s">
        <v>41</v>
      </c>
      <c r="M7" s="16" t="s">
        <v>41</v>
      </c>
      <c r="N7" s="16">
        <f t="shared" si="1"/>
        <v>1.7361111111111105E-2</v>
      </c>
      <c r="O7" s="16">
        <v>0</v>
      </c>
      <c r="P7" s="16">
        <v>6.9444444444444397E-3</v>
      </c>
      <c r="Q7" s="16">
        <v>0.22569444444444445</v>
      </c>
      <c r="R7" s="16">
        <v>0</v>
      </c>
      <c r="S7" s="16">
        <v>0.2951388888888889</v>
      </c>
      <c r="T7" s="16">
        <f>VLOOKUP(E7,'[1]21-1-2026'!$E$3:$T$35,16,FALSE)</f>
        <v>1.7361111111111101E-2</v>
      </c>
      <c r="U7" s="16">
        <v>0.31944444444444442</v>
      </c>
      <c r="V7" s="16">
        <f t="shared" si="5"/>
        <v>6.9444444444444198E-3</v>
      </c>
      <c r="W7" s="16">
        <v>3.125E-2</v>
      </c>
      <c r="X7" s="16">
        <v>0.32291666666666669</v>
      </c>
      <c r="Y7" s="16">
        <v>0.34583333333333333</v>
      </c>
      <c r="Z7" s="16">
        <f t="shared" si="3"/>
        <v>2.2916666666666641E-2</v>
      </c>
      <c r="AA7" s="16">
        <v>0</v>
      </c>
      <c r="AB7" s="16">
        <v>0.34722222222222221</v>
      </c>
      <c r="AC7" s="17"/>
      <c r="AD7" s="48"/>
    </row>
    <row r="8" spans="1:30" ht="19.5" thickBot="1" x14ac:dyDescent="0.3">
      <c r="A8" s="14">
        <v>6</v>
      </c>
      <c r="B8" s="15">
        <v>1454</v>
      </c>
      <c r="C8" s="15" t="str">
        <f>VLOOKUP(B8,'[1]21-1-2026'!$B$3:$T$35,2,)</f>
        <v>تلتين</v>
      </c>
      <c r="D8" s="16">
        <f>VLOOKUP(B8,'[1]21-1-2026'!$B$3:$T$35,3,)</f>
        <v>3.125E-2</v>
      </c>
      <c r="E8" s="15" t="s">
        <v>42</v>
      </c>
      <c r="F8" s="15" t="s">
        <v>43</v>
      </c>
      <c r="G8" s="16">
        <v>0.25</v>
      </c>
      <c r="H8" s="16">
        <v>0.25</v>
      </c>
      <c r="I8" s="16">
        <f t="shared" si="0"/>
        <v>0</v>
      </c>
      <c r="J8" s="16">
        <v>0.22569444444444445</v>
      </c>
      <c r="K8" s="16">
        <v>0.25694444444444442</v>
      </c>
      <c r="L8" s="16" t="s">
        <v>44</v>
      </c>
      <c r="M8" s="16" t="s">
        <v>44</v>
      </c>
      <c r="N8" s="16">
        <f t="shared" si="1"/>
        <v>3.1249999999999972E-2</v>
      </c>
      <c r="O8" s="16">
        <v>0</v>
      </c>
      <c r="P8" s="16">
        <v>6.9444444444444397E-3</v>
      </c>
      <c r="Q8" s="16">
        <v>0.25694444444444442</v>
      </c>
      <c r="R8" s="16">
        <v>0</v>
      </c>
      <c r="S8" s="16">
        <v>0.2986111111111111</v>
      </c>
      <c r="T8" s="16">
        <f>VLOOKUP(E8,'[1]21-1-2026'!$E$3:$T$35,16,FALSE)</f>
        <v>1.7361111111111101E-2</v>
      </c>
      <c r="U8" s="16">
        <v>0.31874999999999998</v>
      </c>
      <c r="V8" s="16">
        <f t="shared" si="5"/>
        <v>2.7777777777777679E-3</v>
      </c>
      <c r="W8" s="16">
        <v>3.125E-2</v>
      </c>
      <c r="X8" s="16">
        <v>0.33888888888888891</v>
      </c>
      <c r="Y8" s="16">
        <v>0.37152777777777779</v>
      </c>
      <c r="Z8" s="16">
        <f t="shared" si="3"/>
        <v>3.2638888888888884E-2</v>
      </c>
      <c r="AA8" s="16">
        <f t="shared" si="4"/>
        <v>1.388888888888884E-3</v>
      </c>
      <c r="AB8" s="16">
        <v>0.37361111111111112</v>
      </c>
      <c r="AC8" s="18"/>
      <c r="AD8" s="48"/>
    </row>
    <row r="9" spans="1:30" ht="19.5" thickBot="1" x14ac:dyDescent="0.3">
      <c r="A9" s="14">
        <v>7</v>
      </c>
      <c r="B9" s="15">
        <v>1454</v>
      </c>
      <c r="C9" s="15" t="str">
        <f>VLOOKUP(B9,'[1]21-1-2026'!$B$3:$T$35,2,)</f>
        <v>تلتين</v>
      </c>
      <c r="D9" s="16">
        <f>VLOOKUP(B9,'[1]21-1-2026'!$B$3:$T$35,3,)</f>
        <v>3.125E-2</v>
      </c>
      <c r="E9" s="15" t="s">
        <v>45</v>
      </c>
      <c r="F9" s="15" t="s">
        <v>43</v>
      </c>
      <c r="G9" s="16">
        <v>0.25</v>
      </c>
      <c r="H9" s="16">
        <v>0.25</v>
      </c>
      <c r="I9" s="16">
        <f t="shared" si="0"/>
        <v>0</v>
      </c>
      <c r="J9" s="16">
        <v>0.22569444444444445</v>
      </c>
      <c r="K9" s="16">
        <v>0.25694444444444442</v>
      </c>
      <c r="L9" s="16" t="s">
        <v>44</v>
      </c>
      <c r="M9" s="16" t="s">
        <v>44</v>
      </c>
      <c r="N9" s="16">
        <f t="shared" si="1"/>
        <v>3.1249999999999972E-2</v>
      </c>
      <c r="O9" s="16">
        <v>0</v>
      </c>
      <c r="P9" s="16">
        <v>6.9444444444444397E-3</v>
      </c>
      <c r="Q9" s="16">
        <v>0.25694444444444442</v>
      </c>
      <c r="R9" s="16">
        <v>0</v>
      </c>
      <c r="S9" s="16">
        <v>0.2986111111111111</v>
      </c>
      <c r="T9" s="16">
        <f>VLOOKUP(E9,'[1]21-1-2026'!$E$3:$T$35,16,FALSE)</f>
        <v>1.38888888888889E-2</v>
      </c>
      <c r="U9" s="16">
        <v>0.37847222222222221</v>
      </c>
      <c r="V9" s="16">
        <f t="shared" si="5"/>
        <v>6.597222222222221E-2</v>
      </c>
      <c r="W9" s="16">
        <v>4.1666666666666664E-2</v>
      </c>
      <c r="X9" s="16">
        <v>0.38194444444444442</v>
      </c>
      <c r="Y9" s="16">
        <v>0.43194444444444446</v>
      </c>
      <c r="Z9" s="16">
        <f t="shared" si="3"/>
        <v>5.0000000000000044E-2</v>
      </c>
      <c r="AA9" s="16">
        <f t="shared" si="4"/>
        <v>8.3333333333333801E-3</v>
      </c>
      <c r="AB9" s="16">
        <v>0.43402777777777779</v>
      </c>
      <c r="AC9" s="17"/>
      <c r="AD9" s="48"/>
    </row>
    <row r="10" spans="1:30" ht="19.5" thickBot="1" x14ac:dyDescent="0.3">
      <c r="A10" s="14">
        <v>8</v>
      </c>
      <c r="B10" s="15">
        <v>7464</v>
      </c>
      <c r="C10" s="15" t="str">
        <f>VLOOKUP(B10,'[1]21-1-2026'!$B$3:$T$35,2,)</f>
        <v>تلتين</v>
      </c>
      <c r="D10" s="16">
        <f>VLOOKUP(B10,'[1]21-1-2026'!$B$3:$T$35,3,)</f>
        <v>3.125E-2</v>
      </c>
      <c r="E10" s="15" t="s">
        <v>46</v>
      </c>
      <c r="F10" s="15" t="s">
        <v>47</v>
      </c>
      <c r="G10" s="16">
        <v>0.25</v>
      </c>
      <c r="H10" s="16">
        <v>0.25</v>
      </c>
      <c r="I10" s="16">
        <f t="shared" si="0"/>
        <v>0</v>
      </c>
      <c r="J10" s="16">
        <v>0.19444444444444445</v>
      </c>
      <c r="K10" s="16">
        <v>0.22569444444444445</v>
      </c>
      <c r="L10" s="16" t="s">
        <v>48</v>
      </c>
      <c r="M10" s="16" t="s">
        <v>48</v>
      </c>
      <c r="N10" s="16">
        <f t="shared" si="1"/>
        <v>3.125E-2</v>
      </c>
      <c r="O10" s="16">
        <v>0</v>
      </c>
      <c r="P10" s="16">
        <v>6.9444444444444397E-3</v>
      </c>
      <c r="Q10" s="16">
        <v>0.22569444444444445</v>
      </c>
      <c r="R10" s="16">
        <v>0</v>
      </c>
      <c r="S10" s="16">
        <v>0.29166666666666669</v>
      </c>
      <c r="T10" s="16">
        <f>VLOOKUP(E10,'[1]21-1-2026'!$E$3:$T$35,16,FALSE)</f>
        <v>3.4722222222222203E-2</v>
      </c>
      <c r="U10" s="16">
        <v>0.33333333333333331</v>
      </c>
      <c r="V10" s="16">
        <f t="shared" si="5"/>
        <v>6.9444444444444198E-3</v>
      </c>
      <c r="W10" s="16">
        <v>3.125E-2</v>
      </c>
      <c r="X10" s="16">
        <v>0.33680555555555558</v>
      </c>
      <c r="Y10" s="16">
        <v>0.3888888888888889</v>
      </c>
      <c r="Z10" s="16">
        <f t="shared" si="3"/>
        <v>5.2083333333333315E-2</v>
      </c>
      <c r="AA10" s="16">
        <f t="shared" si="4"/>
        <v>2.0833333333333315E-2</v>
      </c>
      <c r="AB10" s="16">
        <v>0.3923611111111111</v>
      </c>
      <c r="AC10" s="17"/>
      <c r="AD10" s="48"/>
    </row>
    <row r="11" spans="1:30" ht="19.5" thickBot="1" x14ac:dyDescent="0.3">
      <c r="A11" s="14">
        <v>9</v>
      </c>
      <c r="B11" s="15">
        <v>7464</v>
      </c>
      <c r="C11" s="15" t="str">
        <f>VLOOKUP(B11,'[1]21-1-2026'!$B$3:$T$35,2,)</f>
        <v>تلتين</v>
      </c>
      <c r="D11" s="16">
        <f>VLOOKUP(B11,'[1]21-1-2026'!$B$3:$T$35,3,)</f>
        <v>3.125E-2</v>
      </c>
      <c r="E11" s="15" t="s">
        <v>49</v>
      </c>
      <c r="F11" s="15" t="s">
        <v>47</v>
      </c>
      <c r="G11" s="16">
        <v>0.25</v>
      </c>
      <c r="H11" s="16">
        <v>0.25</v>
      </c>
      <c r="I11" s="16">
        <f t="shared" si="0"/>
        <v>0</v>
      </c>
      <c r="J11" s="16">
        <v>0.19444444444444445</v>
      </c>
      <c r="K11" s="16">
        <v>0.22569444444444445</v>
      </c>
      <c r="L11" s="16" t="s">
        <v>48</v>
      </c>
      <c r="M11" s="16" t="s">
        <v>48</v>
      </c>
      <c r="N11" s="16">
        <f t="shared" si="1"/>
        <v>3.125E-2</v>
      </c>
      <c r="O11" s="16">
        <f t="shared" si="2"/>
        <v>0</v>
      </c>
      <c r="P11" s="16">
        <v>6.9444444444444397E-3</v>
      </c>
      <c r="Q11" s="16">
        <v>0.22569444444444445</v>
      </c>
      <c r="R11" s="16">
        <v>0</v>
      </c>
      <c r="S11" s="16">
        <v>0.29166666666666669</v>
      </c>
      <c r="T11" s="16">
        <f>VLOOKUP(E11,'[1]21-1-2026'!$E$3:$T$35,16,FALSE)</f>
        <v>3.4722222222222203E-2</v>
      </c>
      <c r="U11" s="16">
        <v>0.39930555555555558</v>
      </c>
      <c r="V11" s="16">
        <f t="shared" si="5"/>
        <v>7.2916666666666685E-2</v>
      </c>
      <c r="W11" s="16">
        <v>4.1666666666666664E-2</v>
      </c>
      <c r="X11" s="16">
        <v>0.40277777777777779</v>
      </c>
      <c r="Y11" s="16">
        <v>0.45</v>
      </c>
      <c r="Z11" s="16">
        <f t="shared" si="3"/>
        <v>4.7222222222222221E-2</v>
      </c>
      <c r="AA11" s="16">
        <f t="shared" si="4"/>
        <v>5.5555555555555566E-3</v>
      </c>
      <c r="AB11" s="16">
        <v>0.4548611111111111</v>
      </c>
      <c r="AC11" s="17"/>
      <c r="AD11" s="48"/>
    </row>
    <row r="12" spans="1:30" ht="19.5" thickBot="1" x14ac:dyDescent="0.3">
      <c r="A12" s="14">
        <v>10</v>
      </c>
      <c r="B12" s="15">
        <v>6231</v>
      </c>
      <c r="C12" s="15" t="s">
        <v>50</v>
      </c>
      <c r="D12" s="16">
        <v>6.25E-2</v>
      </c>
      <c r="E12" s="15" t="s">
        <v>51</v>
      </c>
      <c r="F12" s="15" t="s">
        <v>52</v>
      </c>
      <c r="G12" s="16">
        <v>0.25</v>
      </c>
      <c r="H12" s="16">
        <v>0.25</v>
      </c>
      <c r="I12" s="16">
        <f t="shared" si="0"/>
        <v>0</v>
      </c>
      <c r="J12" s="16">
        <v>0.21527777777777779</v>
      </c>
      <c r="K12" s="16">
        <v>0.28125</v>
      </c>
      <c r="L12" s="16" t="s">
        <v>53</v>
      </c>
      <c r="M12" s="16" t="s">
        <v>53</v>
      </c>
      <c r="N12" s="16">
        <f t="shared" si="1"/>
        <v>6.597222222222221E-2</v>
      </c>
      <c r="O12" s="16">
        <f t="shared" si="2"/>
        <v>3.4722222222222099E-3</v>
      </c>
      <c r="P12" s="16">
        <v>6.9444444444444397E-3</v>
      </c>
      <c r="Q12" s="16">
        <v>0.28125</v>
      </c>
      <c r="R12" s="16">
        <v>0</v>
      </c>
      <c r="S12" s="16">
        <v>0.29166666666666669</v>
      </c>
      <c r="T12" s="16">
        <f>VLOOKUP(E12,'[1]21-1-2026'!$E$3:$T$35,16,FALSE)</f>
        <v>2.4305555555555601E-2</v>
      </c>
      <c r="U12" s="16">
        <v>0</v>
      </c>
      <c r="V12" s="16">
        <v>0</v>
      </c>
      <c r="W12" s="16">
        <v>4.1666666666666664E-2</v>
      </c>
      <c r="X12" s="16">
        <v>0</v>
      </c>
      <c r="Y12" s="16">
        <v>0</v>
      </c>
      <c r="Z12" s="16">
        <f t="shared" si="3"/>
        <v>0</v>
      </c>
      <c r="AA12" s="16">
        <v>0</v>
      </c>
      <c r="AB12" s="16">
        <v>0</v>
      </c>
      <c r="AC12" s="17"/>
      <c r="AD12" s="48"/>
    </row>
    <row r="13" spans="1:30" ht="19.5" thickBot="1" x14ac:dyDescent="0.3">
      <c r="A13" s="14">
        <v>11</v>
      </c>
      <c r="B13" s="15">
        <v>6231</v>
      </c>
      <c r="C13" s="15" t="s">
        <v>50</v>
      </c>
      <c r="D13" s="16">
        <v>6.25E-2</v>
      </c>
      <c r="E13" s="15" t="s">
        <v>54</v>
      </c>
      <c r="F13" s="15" t="s">
        <v>52</v>
      </c>
      <c r="G13" s="16">
        <v>0.25</v>
      </c>
      <c r="H13" s="16">
        <v>0.25</v>
      </c>
      <c r="I13" s="16">
        <f t="shared" si="0"/>
        <v>0</v>
      </c>
      <c r="J13" s="16">
        <v>0.21527777777777779</v>
      </c>
      <c r="K13" s="16">
        <v>0.28125</v>
      </c>
      <c r="L13" s="16" t="s">
        <v>53</v>
      </c>
      <c r="M13" s="16" t="s">
        <v>53</v>
      </c>
      <c r="N13" s="16">
        <f t="shared" si="1"/>
        <v>6.597222222222221E-2</v>
      </c>
      <c r="O13" s="16">
        <f t="shared" si="2"/>
        <v>3.4722222222222099E-3</v>
      </c>
      <c r="P13" s="16">
        <v>6.9444444444444397E-3</v>
      </c>
      <c r="Q13" s="16">
        <v>0.28125</v>
      </c>
      <c r="R13" s="16">
        <v>0</v>
      </c>
      <c r="S13" s="16">
        <v>0.29166666666666669</v>
      </c>
      <c r="T13" s="16">
        <f>VLOOKUP(E13,'[1]21-1-2026'!$E$3:$T$35,16,FALSE)</f>
        <v>1.0416666666666701E-2</v>
      </c>
      <c r="U13" s="16">
        <v>0.40625</v>
      </c>
      <c r="V13" s="16">
        <f t="shared" si="5"/>
        <v>0.10416666666666663</v>
      </c>
      <c r="W13" s="16">
        <v>6.25E-2</v>
      </c>
      <c r="X13" s="16">
        <v>0.40972222222222221</v>
      </c>
      <c r="Y13" s="16">
        <v>0.44097222222222221</v>
      </c>
      <c r="Z13" s="16">
        <f t="shared" si="3"/>
        <v>3.125E-2</v>
      </c>
      <c r="AA13" s="16">
        <v>0</v>
      </c>
      <c r="AB13" s="16">
        <v>0.44444444444444442</v>
      </c>
      <c r="AC13" s="18"/>
      <c r="AD13" s="48"/>
    </row>
    <row r="14" spans="1:30" ht="19.5" thickBot="1" x14ac:dyDescent="0.3">
      <c r="A14" s="14">
        <v>12</v>
      </c>
      <c r="B14" s="15">
        <v>586</v>
      </c>
      <c r="C14" s="15" t="str">
        <f>VLOOKUP(B14,'[1]21-1-2026'!$B$3:$T$35,2,)</f>
        <v>سوزوكي</v>
      </c>
      <c r="D14" s="16">
        <f>VLOOKUP(B14,'[1]21-1-2026'!$B$3:$T$35,3,)</f>
        <v>2.0833333333333301E-2</v>
      </c>
      <c r="E14" s="15" t="s">
        <v>55</v>
      </c>
      <c r="F14" s="15" t="s">
        <v>56</v>
      </c>
      <c r="G14" s="16">
        <v>0.25</v>
      </c>
      <c r="H14" s="16">
        <v>0.25</v>
      </c>
      <c r="I14" s="16">
        <f t="shared" si="0"/>
        <v>0</v>
      </c>
      <c r="J14" s="16">
        <v>0.23958333333333334</v>
      </c>
      <c r="K14" s="16">
        <v>0.25694444444444442</v>
      </c>
      <c r="L14" s="16" t="s">
        <v>41</v>
      </c>
      <c r="M14" s="16" t="s">
        <v>41</v>
      </c>
      <c r="N14" s="16">
        <f t="shared" si="1"/>
        <v>1.7361111111111077E-2</v>
      </c>
      <c r="O14" s="16">
        <v>0</v>
      </c>
      <c r="P14" s="16">
        <v>6.9444444444444397E-3</v>
      </c>
      <c r="Q14" s="16">
        <v>0.25694444444444442</v>
      </c>
      <c r="R14" s="16">
        <v>0</v>
      </c>
      <c r="S14" s="16">
        <v>0.2986111111111111</v>
      </c>
      <c r="T14" s="16">
        <f>VLOOKUP(E14,'[1]21-1-2026'!$E$3:$T$35,16,FALSE)</f>
        <v>3.8194444444444399E-2</v>
      </c>
      <c r="U14" s="16">
        <v>0.35069444444444442</v>
      </c>
      <c r="V14" s="16">
        <f t="shared" si="5"/>
        <v>1.3888888888888895E-2</v>
      </c>
      <c r="W14" s="16">
        <v>3.125E-2</v>
      </c>
      <c r="X14" s="16">
        <v>0.35416666666666669</v>
      </c>
      <c r="Y14" s="16">
        <v>0.38194444444444442</v>
      </c>
      <c r="Z14" s="16">
        <f t="shared" si="3"/>
        <v>2.7777777777777735E-2</v>
      </c>
      <c r="AA14" s="16">
        <v>0</v>
      </c>
      <c r="AB14" s="16">
        <v>0.4513888888888889</v>
      </c>
      <c r="AC14" s="17"/>
      <c r="AD14" s="48"/>
    </row>
    <row r="15" spans="1:30" ht="19.5" thickBot="1" x14ac:dyDescent="0.3">
      <c r="A15" s="14">
        <v>13</v>
      </c>
      <c r="B15" s="15">
        <v>3495</v>
      </c>
      <c r="C15" s="15" t="str">
        <f>VLOOKUP(B15,'[1]21-1-2026'!$B$3:$T$35,2,)</f>
        <v>تلتين</v>
      </c>
      <c r="D15" s="16">
        <f>VLOOKUP(B15,'[1]21-1-2026'!$B$3:$T$35,3,)</f>
        <v>3.125E-2</v>
      </c>
      <c r="E15" s="15" t="s">
        <v>57</v>
      </c>
      <c r="F15" s="15" t="s">
        <v>58</v>
      </c>
      <c r="G15" s="16">
        <v>0.25</v>
      </c>
      <c r="H15" s="16">
        <v>0.25694444444444442</v>
      </c>
      <c r="I15" s="16">
        <f t="shared" si="0"/>
        <v>6.9444444444444198E-3</v>
      </c>
      <c r="J15" s="16">
        <v>0.2326388888888889</v>
      </c>
      <c r="K15" s="16">
        <v>0.25</v>
      </c>
      <c r="L15" s="16" t="s">
        <v>59</v>
      </c>
      <c r="M15" s="16" t="s">
        <v>59</v>
      </c>
      <c r="N15" s="16">
        <f t="shared" si="1"/>
        <v>1.7361111111111105E-2</v>
      </c>
      <c r="O15" s="16">
        <v>0</v>
      </c>
      <c r="P15" s="16">
        <v>6.9444444444444397E-3</v>
      </c>
      <c r="Q15" s="16">
        <v>0.25</v>
      </c>
      <c r="R15" s="16">
        <v>0</v>
      </c>
      <c r="S15" s="16">
        <v>0.29166666666666669</v>
      </c>
      <c r="T15" s="16">
        <f>VLOOKUP(E15,'[1]21-1-2026'!$E$3:$T$35,16,FALSE)</f>
        <v>1.7361111111111101E-2</v>
      </c>
      <c r="U15" s="16">
        <v>0.31597222222222221</v>
      </c>
      <c r="V15" s="16">
        <f t="shared" si="5"/>
        <v>6.9444444444444198E-3</v>
      </c>
      <c r="W15" s="16">
        <v>3.125E-2</v>
      </c>
      <c r="X15" s="16">
        <v>0.31944444444444442</v>
      </c>
      <c r="Y15" s="16">
        <v>0.36458333333333331</v>
      </c>
      <c r="Z15" s="16">
        <f t="shared" si="3"/>
        <v>4.5138888888888895E-2</v>
      </c>
      <c r="AA15" s="16">
        <f t="shared" si="4"/>
        <v>1.3888888888888895E-2</v>
      </c>
      <c r="AB15" s="16">
        <v>0.36805555555555558</v>
      </c>
      <c r="AC15" s="17"/>
      <c r="AD15" s="48"/>
    </row>
    <row r="16" spans="1:30" ht="19.5" thickBot="1" x14ac:dyDescent="0.3">
      <c r="A16" s="14">
        <v>14</v>
      </c>
      <c r="B16" s="15">
        <v>3495</v>
      </c>
      <c r="C16" s="15" t="str">
        <f>VLOOKUP(B16,'[1]21-1-2026'!$B$3:$T$35,2,)</f>
        <v>تلتين</v>
      </c>
      <c r="D16" s="16">
        <f>VLOOKUP(B16,'[1]21-1-2026'!$B$3:$T$35,3,)</f>
        <v>3.125E-2</v>
      </c>
      <c r="E16" s="15" t="s">
        <v>60</v>
      </c>
      <c r="F16" s="15" t="s">
        <v>48</v>
      </c>
      <c r="G16" s="16">
        <v>0.25</v>
      </c>
      <c r="H16" s="16">
        <v>0.25694444444444442</v>
      </c>
      <c r="I16" s="16">
        <f t="shared" si="0"/>
        <v>6.9444444444444198E-3</v>
      </c>
      <c r="J16" s="16">
        <v>0.2326388888888889</v>
      </c>
      <c r="K16" s="16">
        <v>0.25</v>
      </c>
      <c r="L16" s="16" t="s">
        <v>59</v>
      </c>
      <c r="M16" s="16" t="s">
        <v>59</v>
      </c>
      <c r="N16" s="16">
        <f t="shared" si="1"/>
        <v>1.7361111111111105E-2</v>
      </c>
      <c r="O16" s="16">
        <v>0</v>
      </c>
      <c r="P16" s="16">
        <v>6.9444444444444397E-3</v>
      </c>
      <c r="Q16" s="16">
        <v>0.25</v>
      </c>
      <c r="R16" s="16">
        <v>0</v>
      </c>
      <c r="S16" s="16">
        <v>0.29166666666666669</v>
      </c>
      <c r="T16" s="16">
        <f>VLOOKUP(E16,'[1]21-1-2026'!$E$3:$T$35,16,FALSE)</f>
        <v>1.0416666666666701E-2</v>
      </c>
      <c r="U16" s="16">
        <v>0.37847222222222221</v>
      </c>
      <c r="V16" s="16">
        <f t="shared" si="5"/>
        <v>7.638888888888884E-2</v>
      </c>
      <c r="W16" s="16">
        <v>4.1666666666666664E-2</v>
      </c>
      <c r="X16" s="16">
        <v>0.38194444444444442</v>
      </c>
      <c r="Y16" s="16">
        <v>0.40625</v>
      </c>
      <c r="Z16" s="16">
        <f t="shared" si="3"/>
        <v>2.430555555555558E-2</v>
      </c>
      <c r="AA16" s="16">
        <v>0</v>
      </c>
      <c r="AB16" s="16">
        <v>0.41319444444444442</v>
      </c>
      <c r="AC16" s="17"/>
      <c r="AD16" s="48"/>
    </row>
    <row r="17" spans="1:30" ht="19.5" thickBot="1" x14ac:dyDescent="0.3">
      <c r="A17" s="14">
        <v>15</v>
      </c>
      <c r="B17" s="15">
        <v>1538</v>
      </c>
      <c r="C17" s="15" t="str">
        <f>VLOOKUP(B17,'[1]21-1-2026'!$B$3:$T$35,2,)</f>
        <v>تلتين</v>
      </c>
      <c r="D17" s="16">
        <f>VLOOKUP(B17,'[1]21-1-2026'!$B$3:$T$35,3,)</f>
        <v>3.125E-2</v>
      </c>
      <c r="E17" s="15" t="s">
        <v>61</v>
      </c>
      <c r="F17" s="15" t="s">
        <v>62</v>
      </c>
      <c r="G17" s="16">
        <v>0.25</v>
      </c>
      <c r="H17" s="16">
        <v>0.25</v>
      </c>
      <c r="I17" s="16">
        <f t="shared" si="0"/>
        <v>0</v>
      </c>
      <c r="J17" s="16">
        <v>0.27083333333333331</v>
      </c>
      <c r="K17" s="16">
        <v>0.2986111111111111</v>
      </c>
      <c r="L17" s="16" t="s">
        <v>41</v>
      </c>
      <c r="M17" s="16" t="s">
        <v>41</v>
      </c>
      <c r="N17" s="16">
        <f t="shared" si="1"/>
        <v>2.777777777777779E-2</v>
      </c>
      <c r="O17" s="16">
        <v>0</v>
      </c>
      <c r="P17" s="16">
        <v>6.9444444444444397E-3</v>
      </c>
      <c r="Q17" s="16">
        <v>0.2986111111111111</v>
      </c>
      <c r="R17" s="16">
        <v>0</v>
      </c>
      <c r="S17" s="16">
        <v>0.30902777777777779</v>
      </c>
      <c r="T17" s="16">
        <f>VLOOKUP(E17,'[1]21-1-2026'!$E$3:$T$35,16,FALSE)</f>
        <v>3.4722222222222203E-2</v>
      </c>
      <c r="U17" s="16">
        <v>0.35416666666666669</v>
      </c>
      <c r="V17" s="16">
        <f t="shared" si="5"/>
        <v>1.0416666666666685E-2</v>
      </c>
      <c r="W17" s="16">
        <v>3.125E-2</v>
      </c>
      <c r="X17" s="16">
        <v>0.3576388888888889</v>
      </c>
      <c r="Y17" s="16">
        <v>0.3888888888888889</v>
      </c>
      <c r="Z17" s="16">
        <f t="shared" si="3"/>
        <v>3.125E-2</v>
      </c>
      <c r="AA17" s="16">
        <f t="shared" si="4"/>
        <v>0</v>
      </c>
      <c r="AB17" s="16">
        <v>0.3923611111111111</v>
      </c>
      <c r="AC17" s="17"/>
      <c r="AD17" s="48"/>
    </row>
    <row r="18" spans="1:30" ht="19.5" thickBot="1" x14ac:dyDescent="0.3">
      <c r="A18" s="14">
        <v>16</v>
      </c>
      <c r="B18" s="15">
        <v>1538</v>
      </c>
      <c r="C18" s="15" t="str">
        <f>VLOOKUP(B18,'[1]21-1-2026'!$B$3:$T$35,2,)</f>
        <v>تلتين</v>
      </c>
      <c r="D18" s="16">
        <f>VLOOKUP(B18,'[1]21-1-2026'!$B$3:$T$35,3,)</f>
        <v>3.125E-2</v>
      </c>
      <c r="E18" s="16" t="s">
        <v>55</v>
      </c>
      <c r="F18" s="15" t="s">
        <v>62</v>
      </c>
      <c r="G18" s="16">
        <v>0.25</v>
      </c>
      <c r="H18" s="16">
        <v>0.25</v>
      </c>
      <c r="I18" s="16">
        <f t="shared" si="0"/>
        <v>0</v>
      </c>
      <c r="J18" s="16">
        <v>0.27083333333333331</v>
      </c>
      <c r="K18" s="16">
        <v>0.2986111111111111</v>
      </c>
      <c r="L18" s="16" t="s">
        <v>41</v>
      </c>
      <c r="M18" s="16" t="s">
        <v>41</v>
      </c>
      <c r="N18" s="16">
        <f t="shared" si="1"/>
        <v>2.777777777777779E-2</v>
      </c>
      <c r="O18" s="16">
        <v>0</v>
      </c>
      <c r="P18" s="16">
        <v>6.9444444444444397E-3</v>
      </c>
      <c r="Q18" s="16">
        <v>0.2986111111111111</v>
      </c>
      <c r="R18" s="16">
        <v>0</v>
      </c>
      <c r="S18" s="16">
        <v>0.30902777777777779</v>
      </c>
      <c r="T18" s="16">
        <f>VLOOKUP(E18,'[1]21-1-2026'!$E$3:$T$35,16,FALSE)</f>
        <v>3.8194444444444399E-2</v>
      </c>
      <c r="U18" s="16">
        <v>0.40625</v>
      </c>
      <c r="V18" s="16">
        <f t="shared" si="5"/>
        <v>5.902777777777779E-2</v>
      </c>
      <c r="W18" s="16">
        <v>4.1666666666666664E-2</v>
      </c>
      <c r="X18" s="16">
        <v>0.40972222222222221</v>
      </c>
      <c r="Y18" s="16">
        <v>0.42708333333333331</v>
      </c>
      <c r="Z18" s="16">
        <f t="shared" si="3"/>
        <v>1.7361111111111105E-2</v>
      </c>
      <c r="AA18" s="16">
        <v>0</v>
      </c>
      <c r="AB18" s="16">
        <v>0.4513888888888889</v>
      </c>
      <c r="AC18" s="17"/>
      <c r="AD18" s="48"/>
    </row>
    <row r="19" spans="1:30" ht="19.5" thickBot="1" x14ac:dyDescent="0.3">
      <c r="A19" s="14">
        <v>17</v>
      </c>
      <c r="B19" s="15">
        <v>3492</v>
      </c>
      <c r="C19" s="15" t="str">
        <f>VLOOKUP(B19,'[1]21-1-2026'!$B$3:$T$35,2,)</f>
        <v>تلتين</v>
      </c>
      <c r="D19" s="16">
        <f>VLOOKUP(B19,'[1]21-1-2026'!$B$3:$T$35,3,)</f>
        <v>3.125E-2</v>
      </c>
      <c r="E19" s="15" t="s">
        <v>63</v>
      </c>
      <c r="F19" s="15" t="s">
        <v>64</v>
      </c>
      <c r="G19" s="16">
        <v>0.25</v>
      </c>
      <c r="H19" s="16">
        <v>0.25</v>
      </c>
      <c r="I19" s="16">
        <f t="shared" si="0"/>
        <v>0</v>
      </c>
      <c r="J19" s="16">
        <v>0.25694444444444442</v>
      </c>
      <c r="K19" s="16">
        <v>0.29166666666666669</v>
      </c>
      <c r="L19" s="16" t="s">
        <v>59</v>
      </c>
      <c r="M19" s="16" t="s">
        <v>59</v>
      </c>
      <c r="N19" s="16">
        <f t="shared" si="1"/>
        <v>3.4722222222222265E-2</v>
      </c>
      <c r="O19" s="16">
        <f t="shared" si="2"/>
        <v>3.4722222222222654E-3</v>
      </c>
      <c r="P19" s="16">
        <v>6.9444444444444397E-3</v>
      </c>
      <c r="Q19" s="16">
        <v>0.29166666666666669</v>
      </c>
      <c r="R19" s="16">
        <v>0</v>
      </c>
      <c r="S19" s="16">
        <v>0.31597222222222221</v>
      </c>
      <c r="T19" s="16">
        <f>VLOOKUP(E19,'[1]21-1-2026'!$E$3:$T$35,16,FALSE)</f>
        <v>6.25E-2</v>
      </c>
      <c r="U19" s="16">
        <v>0.37152777777777779</v>
      </c>
      <c r="V19" s="16">
        <v>0</v>
      </c>
      <c r="W19" s="16">
        <v>4.1666666666666664E-2</v>
      </c>
      <c r="X19" s="16">
        <v>0.375</v>
      </c>
      <c r="Y19" s="16">
        <v>0.4152777777777778</v>
      </c>
      <c r="Z19" s="16">
        <f t="shared" si="3"/>
        <v>4.0277777777777801E-2</v>
      </c>
      <c r="AA19" s="16">
        <v>0</v>
      </c>
      <c r="AB19" s="16">
        <v>0.4236111111111111</v>
      </c>
      <c r="AC19" s="17"/>
      <c r="AD19" s="48"/>
    </row>
    <row r="20" spans="1:30" ht="19.5" thickBot="1" x14ac:dyDescent="0.3">
      <c r="A20" s="14">
        <v>18</v>
      </c>
      <c r="B20" s="15">
        <v>3891</v>
      </c>
      <c r="C20" s="15" t="str">
        <f>VLOOKUP(B20,'[1]21-1-2026'!$B$3:$T$35,2,)</f>
        <v>تلتين</v>
      </c>
      <c r="D20" s="16">
        <f>VLOOKUP(B20,'[1]21-1-2026'!$B$3:$T$35,3,)</f>
        <v>3.125E-2</v>
      </c>
      <c r="E20" s="15" t="s">
        <v>65</v>
      </c>
      <c r="F20" s="15" t="s">
        <v>66</v>
      </c>
      <c r="G20" s="16">
        <v>0.25</v>
      </c>
      <c r="H20" s="16">
        <v>0.25</v>
      </c>
      <c r="I20" s="16">
        <f t="shared" si="0"/>
        <v>0</v>
      </c>
      <c r="J20" s="16">
        <v>0.28125</v>
      </c>
      <c r="K20" s="16">
        <v>0.30555555555555558</v>
      </c>
      <c r="L20" s="16" t="s">
        <v>32</v>
      </c>
      <c r="M20" s="16" t="s">
        <v>32</v>
      </c>
      <c r="N20" s="16">
        <f t="shared" si="1"/>
        <v>2.430555555555558E-2</v>
      </c>
      <c r="O20" s="16">
        <v>0</v>
      </c>
      <c r="P20" s="16">
        <v>6.9444444444444397E-3</v>
      </c>
      <c r="Q20" s="16">
        <v>0.30555555555555558</v>
      </c>
      <c r="R20" s="16">
        <v>0</v>
      </c>
      <c r="S20" s="16">
        <v>0.31597222222222221</v>
      </c>
      <c r="T20" s="16">
        <f>VLOOKUP(E20,'[1]21-1-2026'!$E$3:$T$35,16,FALSE)</f>
        <v>4.1666666666666699E-2</v>
      </c>
      <c r="U20" s="16">
        <v>0.3611111111111111</v>
      </c>
      <c r="V20" s="16">
        <f t="shared" si="5"/>
        <v>3.4722222222222099E-3</v>
      </c>
      <c r="W20" s="16">
        <v>4.1666666666666664E-2</v>
      </c>
      <c r="X20" s="16">
        <v>0.36458333333333331</v>
      </c>
      <c r="Y20" s="16">
        <v>0.40972222222222221</v>
      </c>
      <c r="Z20" s="16">
        <f t="shared" si="3"/>
        <v>4.5138888888888895E-2</v>
      </c>
      <c r="AA20" s="16">
        <f t="shared" si="4"/>
        <v>3.4722222222222307E-3</v>
      </c>
      <c r="AB20" s="16">
        <v>0.41319444444444442</v>
      </c>
      <c r="AC20" s="17"/>
      <c r="AD20" s="48"/>
    </row>
    <row r="21" spans="1:30" ht="19.5" thickBot="1" x14ac:dyDescent="0.3">
      <c r="A21" s="14">
        <v>19</v>
      </c>
      <c r="B21" s="15">
        <v>5898</v>
      </c>
      <c r="C21" s="15" t="str">
        <f>VLOOKUP(B21,'[1]21-1-2026'!$B$3:$T$35,2,)</f>
        <v>تلتين</v>
      </c>
      <c r="D21" s="16">
        <f>VLOOKUP(B21,'[1]21-1-2026'!$B$3:$T$35,3,)</f>
        <v>3.125E-2</v>
      </c>
      <c r="E21" s="15" t="s">
        <v>67</v>
      </c>
      <c r="F21" s="15" t="s">
        <v>68</v>
      </c>
      <c r="G21" s="16">
        <v>0.25</v>
      </c>
      <c r="H21" s="16">
        <v>0.25</v>
      </c>
      <c r="I21" s="16">
        <f t="shared" si="0"/>
        <v>0</v>
      </c>
      <c r="J21" s="16">
        <v>0.22916666666666666</v>
      </c>
      <c r="K21" s="16">
        <v>0.26041666666666669</v>
      </c>
      <c r="L21" s="16" t="s">
        <v>48</v>
      </c>
      <c r="M21" s="16" t="s">
        <v>48</v>
      </c>
      <c r="N21" s="16">
        <f t="shared" si="1"/>
        <v>3.1250000000000028E-2</v>
      </c>
      <c r="O21" s="16">
        <f t="shared" si="2"/>
        <v>0</v>
      </c>
      <c r="P21" s="16">
        <v>6.9444444444444397E-3</v>
      </c>
      <c r="Q21" s="16">
        <v>0.26041666666666669</v>
      </c>
      <c r="R21" s="16">
        <v>0</v>
      </c>
      <c r="S21" s="16">
        <v>0.32291666666666669</v>
      </c>
      <c r="T21" s="16">
        <f>VLOOKUP(E21,'[1]21-1-2026'!$E$3:$T$35,16,FALSE)</f>
        <v>1.7361111111111101E-2</v>
      </c>
      <c r="U21" s="16">
        <v>0.33333333333333331</v>
      </c>
      <c r="V21" s="16">
        <v>0</v>
      </c>
      <c r="W21" s="16">
        <v>3.125E-2</v>
      </c>
      <c r="X21" s="16">
        <v>0.34027777777777779</v>
      </c>
      <c r="Y21" s="16">
        <v>0.36805555555555558</v>
      </c>
      <c r="Z21" s="16">
        <f t="shared" si="3"/>
        <v>2.777777777777779E-2</v>
      </c>
      <c r="AA21" s="16">
        <v>0</v>
      </c>
      <c r="AB21" s="16">
        <v>0.37152777777777779</v>
      </c>
      <c r="AC21" s="17"/>
      <c r="AD21" s="48"/>
    </row>
    <row r="22" spans="1:30" ht="19.5" thickBot="1" x14ac:dyDescent="0.3">
      <c r="A22" s="14">
        <v>20</v>
      </c>
      <c r="B22" s="15">
        <v>5898</v>
      </c>
      <c r="C22" s="15" t="str">
        <f>VLOOKUP(B22,'[1]21-1-2026'!$B$3:$T$35,2,)</f>
        <v>تلتين</v>
      </c>
      <c r="D22" s="16">
        <f>VLOOKUP(B22,'[1]21-1-2026'!$B$3:$T$35,3,)</f>
        <v>3.125E-2</v>
      </c>
      <c r="E22" s="15" t="s">
        <v>69</v>
      </c>
      <c r="F22" s="15" t="s">
        <v>68</v>
      </c>
      <c r="G22" s="16">
        <v>0.25</v>
      </c>
      <c r="H22" s="16">
        <v>0.25</v>
      </c>
      <c r="I22" s="16">
        <f t="shared" si="0"/>
        <v>0</v>
      </c>
      <c r="J22" s="16">
        <v>0.22916666666666666</v>
      </c>
      <c r="K22" s="16">
        <v>0.26041666666666669</v>
      </c>
      <c r="L22" s="16" t="s">
        <v>48</v>
      </c>
      <c r="M22" s="16" t="s">
        <v>48</v>
      </c>
      <c r="N22" s="16">
        <f t="shared" si="1"/>
        <v>3.1250000000000028E-2</v>
      </c>
      <c r="O22" s="16">
        <f t="shared" si="2"/>
        <v>0</v>
      </c>
      <c r="P22" s="16">
        <v>6.9444444444444397E-3</v>
      </c>
      <c r="Q22" s="16">
        <v>0.26041666666666669</v>
      </c>
      <c r="R22" s="16">
        <v>0</v>
      </c>
      <c r="S22" s="16">
        <v>0.32291666666666669</v>
      </c>
      <c r="T22" s="16">
        <f>VLOOKUP(E22,'[1]21-1-2026'!$E$3:$T$35,16,FALSE)</f>
        <v>1.38888888888889E-2</v>
      </c>
      <c r="U22" s="16">
        <v>0.37847222222222221</v>
      </c>
      <c r="V22" s="16">
        <f t="shared" si="5"/>
        <v>4.166666666666663E-2</v>
      </c>
      <c r="W22" s="16">
        <v>4.1666666666666664E-2</v>
      </c>
      <c r="X22" s="16">
        <v>0.38055555555555554</v>
      </c>
      <c r="Y22" s="16">
        <v>0.4236111111111111</v>
      </c>
      <c r="Z22" s="16">
        <f t="shared" si="3"/>
        <v>4.3055555555555569E-2</v>
      </c>
      <c r="AA22" s="16">
        <f t="shared" si="4"/>
        <v>1.3888888888889048E-3</v>
      </c>
      <c r="AB22" s="16">
        <v>0.42708333333333331</v>
      </c>
      <c r="AC22" s="17"/>
      <c r="AD22" s="48"/>
    </row>
    <row r="23" spans="1:30" ht="19.5" thickBot="1" x14ac:dyDescent="0.3">
      <c r="A23" s="14">
        <v>21</v>
      </c>
      <c r="B23" s="15">
        <v>4987</v>
      </c>
      <c r="C23" s="15" t="str">
        <f>VLOOKUP(B23,'[1]21-1-2026'!$B$3:$T$35,2,)</f>
        <v>تلتين</v>
      </c>
      <c r="D23" s="16">
        <f>VLOOKUP(B23,'[1]21-1-2026'!$B$3:$T$35,3,)</f>
        <v>3.125E-2</v>
      </c>
      <c r="E23" s="15" t="s">
        <v>70</v>
      </c>
      <c r="F23" s="15" t="s">
        <v>71</v>
      </c>
      <c r="G23" s="16">
        <v>0.25</v>
      </c>
      <c r="H23" s="16">
        <v>0.25</v>
      </c>
      <c r="I23" s="16">
        <f t="shared" si="0"/>
        <v>0</v>
      </c>
      <c r="J23" s="16">
        <v>0.27777777777777779</v>
      </c>
      <c r="K23" s="16">
        <v>0.30902777777777779</v>
      </c>
      <c r="L23" s="16" t="s">
        <v>44</v>
      </c>
      <c r="M23" s="16" t="s">
        <v>44</v>
      </c>
      <c r="N23" s="16">
        <f t="shared" si="1"/>
        <v>3.125E-2</v>
      </c>
      <c r="O23" s="16">
        <f t="shared" si="2"/>
        <v>0</v>
      </c>
      <c r="P23" s="16">
        <v>6.9444444444444397E-3</v>
      </c>
      <c r="Q23" s="16">
        <v>0.30902777777777779</v>
      </c>
      <c r="R23" s="16">
        <v>0</v>
      </c>
      <c r="S23" s="16">
        <v>0.31944444444444442</v>
      </c>
      <c r="T23" s="16">
        <f>VLOOKUP(E23,'[1]21-1-2026'!$E$3:$T$35,16,FALSE)</f>
        <v>1.0416666666666701E-2</v>
      </c>
      <c r="U23" s="16">
        <v>0.33333333333333331</v>
      </c>
      <c r="V23" s="16">
        <f t="shared" si="5"/>
        <v>3.4722222222222099E-3</v>
      </c>
      <c r="W23" s="16">
        <v>3.125E-2</v>
      </c>
      <c r="X23" s="16">
        <v>0.33888888888888891</v>
      </c>
      <c r="Y23" s="16">
        <v>0.38055555555555554</v>
      </c>
      <c r="Z23" s="16">
        <f t="shared" si="3"/>
        <v>4.166666666666663E-2</v>
      </c>
      <c r="AA23" s="16">
        <f t="shared" si="4"/>
        <v>1.041666666666663E-2</v>
      </c>
      <c r="AB23" s="16">
        <v>0.38124999999999998</v>
      </c>
      <c r="AC23" s="17"/>
      <c r="AD23" s="48"/>
    </row>
    <row r="24" spans="1:30" ht="19.5" thickBot="1" x14ac:dyDescent="0.3">
      <c r="A24" s="14">
        <v>22</v>
      </c>
      <c r="B24" s="15">
        <v>4987</v>
      </c>
      <c r="C24" s="15" t="str">
        <f>VLOOKUP(B24,'[1]21-1-2026'!$B$3:$T$35,2,)</f>
        <v>تلتين</v>
      </c>
      <c r="D24" s="16">
        <f>VLOOKUP(B24,'[1]21-1-2026'!$B$3:$T$35,3,)</f>
        <v>3.125E-2</v>
      </c>
      <c r="E24" s="15" t="s">
        <v>72</v>
      </c>
      <c r="F24" s="16" t="s">
        <v>71</v>
      </c>
      <c r="G24" s="16">
        <v>0.25</v>
      </c>
      <c r="H24" s="16">
        <v>0.25</v>
      </c>
      <c r="I24" s="16">
        <f t="shared" si="0"/>
        <v>0</v>
      </c>
      <c r="J24" s="16">
        <v>0.27777777777777779</v>
      </c>
      <c r="K24" s="16">
        <v>0.30902777777777779</v>
      </c>
      <c r="L24" s="16" t="s">
        <v>44</v>
      </c>
      <c r="M24" s="16" t="s">
        <v>44</v>
      </c>
      <c r="N24" s="16">
        <f t="shared" si="1"/>
        <v>3.125E-2</v>
      </c>
      <c r="O24" s="16">
        <f t="shared" si="2"/>
        <v>0</v>
      </c>
      <c r="P24" s="16">
        <v>6.9444444444444397E-3</v>
      </c>
      <c r="Q24" s="16">
        <v>0.30902777777777779</v>
      </c>
      <c r="R24" s="16">
        <v>0</v>
      </c>
      <c r="S24" s="16">
        <v>0.31944444444444442</v>
      </c>
      <c r="T24" s="16">
        <f>VLOOKUP(E24,'[1]21-1-2026'!$E$3:$T$35,16,FALSE)</f>
        <v>1.0416666666666701E-2</v>
      </c>
      <c r="U24" s="16">
        <v>0.3888888888888889</v>
      </c>
      <c r="V24" s="16">
        <f t="shared" si="5"/>
        <v>5.902777777777779E-2</v>
      </c>
      <c r="W24" s="16">
        <v>4.1666666666666664E-2</v>
      </c>
      <c r="X24" s="16">
        <v>0.3923611111111111</v>
      </c>
      <c r="Y24" s="16">
        <v>0.41666666666666669</v>
      </c>
      <c r="Z24" s="16">
        <f t="shared" si="3"/>
        <v>2.430555555555558E-2</v>
      </c>
      <c r="AA24" s="16">
        <v>0</v>
      </c>
      <c r="AB24" s="16">
        <v>0.4236111111111111</v>
      </c>
      <c r="AC24" s="17"/>
      <c r="AD24" s="48"/>
    </row>
    <row r="25" spans="1:30" ht="19.5" thickBot="1" x14ac:dyDescent="0.3">
      <c r="A25" s="14">
        <v>23</v>
      </c>
      <c r="B25" s="15">
        <v>7435</v>
      </c>
      <c r="C25" s="15" t="str">
        <f>VLOOKUP(B25,'[1]21-1-2026'!$B$3:$T$35,2,)</f>
        <v>تلتين</v>
      </c>
      <c r="D25" s="16">
        <f>VLOOKUP(B25,'[1]21-1-2026'!$B$3:$T$35,3,)</f>
        <v>3.125E-2</v>
      </c>
      <c r="E25" s="15" t="s">
        <v>73</v>
      </c>
      <c r="F25" s="15" t="s">
        <v>74</v>
      </c>
      <c r="G25" s="16">
        <v>0.25</v>
      </c>
      <c r="H25" s="16">
        <v>0.25</v>
      </c>
      <c r="I25" s="16">
        <f t="shared" si="0"/>
        <v>0</v>
      </c>
      <c r="J25" s="16">
        <v>0.28472222222222221</v>
      </c>
      <c r="K25" s="16">
        <v>0.31597222222222221</v>
      </c>
      <c r="L25" s="16" t="s">
        <v>37</v>
      </c>
      <c r="M25" s="16" t="s">
        <v>37</v>
      </c>
      <c r="N25" s="16">
        <f t="shared" si="1"/>
        <v>3.125E-2</v>
      </c>
      <c r="O25" s="16">
        <f t="shared" si="2"/>
        <v>0</v>
      </c>
      <c r="P25" s="16">
        <v>6.9444444444444397E-3</v>
      </c>
      <c r="Q25" s="16">
        <v>0.31597222222222221</v>
      </c>
      <c r="R25" s="16">
        <v>0</v>
      </c>
      <c r="S25" s="16">
        <v>0.3263888888888889</v>
      </c>
      <c r="T25" s="16">
        <f>VLOOKUP(E25,'[1]21-1-2026'!$E$3:$T$35,16,FALSE)</f>
        <v>3.4722222222222203E-2</v>
      </c>
      <c r="U25" s="16">
        <v>0.3576388888888889</v>
      </c>
      <c r="V25" s="16">
        <v>0</v>
      </c>
      <c r="W25" s="16">
        <v>4.1666666666666664E-2</v>
      </c>
      <c r="X25" s="16">
        <v>0.3611111111111111</v>
      </c>
      <c r="Y25" s="16">
        <v>0.40277777777777779</v>
      </c>
      <c r="Z25" s="16">
        <f t="shared" si="3"/>
        <v>4.1666666666666685E-2</v>
      </c>
      <c r="AA25" s="16">
        <f t="shared" si="4"/>
        <v>0</v>
      </c>
      <c r="AB25" s="16">
        <v>0.40625</v>
      </c>
      <c r="AC25" s="19"/>
      <c r="AD25" s="48"/>
    </row>
    <row r="26" spans="1:30" ht="19.5" thickBot="1" x14ac:dyDescent="0.3">
      <c r="A26" s="14">
        <v>24</v>
      </c>
      <c r="B26" s="15">
        <v>3783</v>
      </c>
      <c r="C26" s="15" t="str">
        <f>VLOOKUP(B26,'[1]21-1-2026'!$B$3:$T$35,2,)</f>
        <v>دبابة</v>
      </c>
      <c r="D26" s="16">
        <f>VLOOKUP(B26,'[1]21-1-2026'!$B$3:$T$35,3,)</f>
        <v>2.0833333333333301E-2</v>
      </c>
      <c r="E26" s="15" t="s">
        <v>75</v>
      </c>
      <c r="F26" s="15" t="s">
        <v>76</v>
      </c>
      <c r="G26" s="16">
        <v>0.25</v>
      </c>
      <c r="H26" s="16">
        <v>0.26041666666666669</v>
      </c>
      <c r="I26" s="16">
        <f t="shared" si="0"/>
        <v>1.0416666666666685E-2</v>
      </c>
      <c r="J26" s="16">
        <v>0.3125</v>
      </c>
      <c r="K26" s="16">
        <v>0.3263888888888889</v>
      </c>
      <c r="L26" s="16" t="s">
        <v>41</v>
      </c>
      <c r="M26" s="16" t="s">
        <v>41</v>
      </c>
      <c r="N26" s="16">
        <f t="shared" si="1"/>
        <v>1.3888888888888895E-2</v>
      </c>
      <c r="O26" s="16">
        <v>0</v>
      </c>
      <c r="P26" s="16">
        <v>6.9444444444444397E-3</v>
      </c>
      <c r="Q26" s="16">
        <v>0.3263888888888889</v>
      </c>
      <c r="R26" s="16">
        <v>0</v>
      </c>
      <c r="S26" s="16">
        <v>0.34375</v>
      </c>
      <c r="T26" s="16">
        <f>VLOOKUP(E26,'[1]21-1-2026'!$E$3:$T$35,16,FALSE)</f>
        <v>2.0833333333333301E-2</v>
      </c>
      <c r="U26" s="16">
        <v>0.36180555555555555</v>
      </c>
      <c r="V26" s="16">
        <v>0</v>
      </c>
      <c r="W26" s="16">
        <v>3.125E-2</v>
      </c>
      <c r="X26" s="16">
        <v>0.36458333333333331</v>
      </c>
      <c r="Y26" s="16">
        <v>0.39583333333333331</v>
      </c>
      <c r="Z26" s="16">
        <f t="shared" si="3"/>
        <v>3.125E-2</v>
      </c>
      <c r="AA26" s="16">
        <f t="shared" si="4"/>
        <v>0</v>
      </c>
      <c r="AB26" s="16">
        <v>0.39930555555555558</v>
      </c>
      <c r="AC26" s="19"/>
      <c r="AD26" s="48"/>
    </row>
    <row r="27" spans="1:30" ht="19.5" thickBot="1" x14ac:dyDescent="0.3">
      <c r="A27" s="14">
        <v>25</v>
      </c>
      <c r="B27" s="15">
        <v>796</v>
      </c>
      <c r="C27" s="15" t="str">
        <f>VLOOKUP(B27,'[1]21-1-2026'!$B$3:$T$35,2,)</f>
        <v>دبابة</v>
      </c>
      <c r="D27" s="16">
        <f>VLOOKUP(B27,'[1]21-1-2026'!$B$3:$T$35,3,)</f>
        <v>2.0833333333333301E-2</v>
      </c>
      <c r="E27" s="15" t="s">
        <v>77</v>
      </c>
      <c r="F27" s="15" t="s">
        <v>78</v>
      </c>
      <c r="G27" s="16">
        <v>0.25</v>
      </c>
      <c r="H27" s="16">
        <v>0.25</v>
      </c>
      <c r="I27" s="16">
        <f t="shared" si="0"/>
        <v>0</v>
      </c>
      <c r="J27" s="16">
        <v>0.3125</v>
      </c>
      <c r="K27" s="16">
        <v>0.33333333333333331</v>
      </c>
      <c r="L27" s="16" t="s">
        <v>32</v>
      </c>
      <c r="M27" s="16" t="s">
        <v>32</v>
      </c>
      <c r="N27" s="16">
        <f t="shared" si="1"/>
        <v>2.0833333333333315E-2</v>
      </c>
      <c r="O27" s="16">
        <f t="shared" si="2"/>
        <v>0</v>
      </c>
      <c r="P27" s="16">
        <v>6.9444444444444397E-3</v>
      </c>
      <c r="Q27" s="16">
        <v>0.33333333333333331</v>
      </c>
      <c r="R27" s="16">
        <v>0</v>
      </c>
      <c r="S27" s="16">
        <v>0.34375</v>
      </c>
      <c r="T27" s="16">
        <f>VLOOKUP(E27,'[1]21-1-2026'!$E$3:$T$35,16,FALSE)</f>
        <v>1.38888888888889E-2</v>
      </c>
      <c r="U27" s="16">
        <v>0.35069444444444442</v>
      </c>
      <c r="V27" s="16">
        <v>0</v>
      </c>
      <c r="W27" s="16">
        <v>3.125E-2</v>
      </c>
      <c r="X27" s="16">
        <v>0.35972222222222222</v>
      </c>
      <c r="Y27" s="16">
        <v>0.38541666666666669</v>
      </c>
      <c r="Z27" s="16">
        <f t="shared" si="3"/>
        <v>2.5694444444444464E-2</v>
      </c>
      <c r="AA27" s="16">
        <v>0</v>
      </c>
      <c r="AB27" s="16">
        <v>0.3888888888888889</v>
      </c>
      <c r="AC27" s="19"/>
      <c r="AD27" s="48"/>
    </row>
    <row r="28" spans="1:30" ht="19.5" thickBot="1" x14ac:dyDescent="0.3">
      <c r="A28" s="14">
        <v>26</v>
      </c>
      <c r="B28" s="15">
        <v>4879</v>
      </c>
      <c r="C28" s="15" t="str">
        <f>VLOOKUP(B28,'[1]21-1-2026'!$B$3:$T$35,2,)</f>
        <v>دبابة</v>
      </c>
      <c r="D28" s="16">
        <f>VLOOKUP(B28,'[1]21-1-2026'!$B$3:$T$35,3,)</f>
        <v>2.0833333333333301E-2</v>
      </c>
      <c r="E28" s="15" t="s">
        <v>79</v>
      </c>
      <c r="F28" s="15" t="s">
        <v>80</v>
      </c>
      <c r="G28" s="16">
        <v>0.25</v>
      </c>
      <c r="H28" s="16">
        <v>0.25</v>
      </c>
      <c r="I28" s="16">
        <f t="shared" si="0"/>
        <v>0</v>
      </c>
      <c r="J28" s="16">
        <v>0.2986111111111111</v>
      </c>
      <c r="K28" s="16">
        <v>0.3125</v>
      </c>
      <c r="L28" s="16" t="s">
        <v>59</v>
      </c>
      <c r="M28" s="16" t="s">
        <v>59</v>
      </c>
      <c r="N28" s="16">
        <f t="shared" si="1"/>
        <v>1.3888888888888895E-2</v>
      </c>
      <c r="O28" s="16">
        <v>0</v>
      </c>
      <c r="P28" s="16">
        <v>6.9444444444444397E-3</v>
      </c>
      <c r="Q28" s="16">
        <v>0.3125</v>
      </c>
      <c r="R28" s="16">
        <v>0</v>
      </c>
      <c r="S28" s="16">
        <v>0.35069444444444442</v>
      </c>
      <c r="T28" s="16">
        <f>VLOOKUP(E28,'[1]21-1-2026'!$E$3:$T$35,16,FALSE)</f>
        <v>2.0833333333333301E-2</v>
      </c>
      <c r="U28" s="16">
        <v>0.37152777777777779</v>
      </c>
      <c r="V28" s="16">
        <f t="shared" si="5"/>
        <v>0</v>
      </c>
      <c r="W28" s="16">
        <v>3.125E-2</v>
      </c>
      <c r="X28" s="16">
        <v>0.375</v>
      </c>
      <c r="Y28" s="16">
        <v>0.41666666666666669</v>
      </c>
      <c r="Z28" s="16">
        <f t="shared" si="3"/>
        <v>4.1666666666666685E-2</v>
      </c>
      <c r="AA28" s="16">
        <f t="shared" si="4"/>
        <v>1.0416666666666685E-2</v>
      </c>
      <c r="AB28" s="16">
        <v>0.42708333333333331</v>
      </c>
      <c r="AC28" s="17"/>
      <c r="AD28" s="48"/>
    </row>
    <row r="29" spans="1:30" ht="19.5" thickBot="1" x14ac:dyDescent="0.3">
      <c r="A29" s="14">
        <v>27</v>
      </c>
      <c r="B29" s="15">
        <v>3787</v>
      </c>
      <c r="C29" s="15" t="str">
        <f>VLOOKUP(B29,'[1]21-1-2026'!$B$3:$T$35,2,)</f>
        <v>دبابة</v>
      </c>
      <c r="D29" s="16">
        <f>VLOOKUP(B29,'[1]21-1-2026'!$B$3:$T$35,3,)</f>
        <v>2.0833333333333301E-2</v>
      </c>
      <c r="E29" s="15" t="s">
        <v>81</v>
      </c>
      <c r="F29" s="15" t="s">
        <v>82</v>
      </c>
      <c r="G29" s="16">
        <v>0.25</v>
      </c>
      <c r="H29" s="16">
        <v>0.25</v>
      </c>
      <c r="I29" s="16">
        <f t="shared" si="0"/>
        <v>0</v>
      </c>
      <c r="J29" s="16">
        <v>0.2986111111111111</v>
      </c>
      <c r="K29" s="16">
        <v>0.33680555555555558</v>
      </c>
      <c r="L29" s="16" t="s">
        <v>53</v>
      </c>
      <c r="M29" s="16" t="s">
        <v>53</v>
      </c>
      <c r="N29" s="16">
        <f t="shared" si="1"/>
        <v>3.8194444444444475E-2</v>
      </c>
      <c r="O29" s="16">
        <f t="shared" si="2"/>
        <v>1.7361111111111174E-2</v>
      </c>
      <c r="P29" s="16">
        <v>6.9444444444444397E-3</v>
      </c>
      <c r="Q29" s="16">
        <v>0.33680555555555558</v>
      </c>
      <c r="R29" s="16">
        <v>0</v>
      </c>
      <c r="S29" s="16">
        <v>0.35069444444444442</v>
      </c>
      <c r="T29" s="16">
        <f>VLOOKUP(E29,'[1]21-1-2026'!$E$3:$T$35,16,FALSE)</f>
        <v>2.7777777777777801E-2</v>
      </c>
      <c r="U29" s="16">
        <v>0.37986111111111109</v>
      </c>
      <c r="V29" s="16">
        <f t="shared" si="5"/>
        <v>1.388888888888884E-3</v>
      </c>
      <c r="W29" s="16">
        <v>3.125E-2</v>
      </c>
      <c r="X29" s="16">
        <v>0.38333333333333336</v>
      </c>
      <c r="Y29" s="16">
        <v>0.42638888888888887</v>
      </c>
      <c r="Z29" s="16">
        <f t="shared" si="3"/>
        <v>4.3055555555555514E-2</v>
      </c>
      <c r="AA29" s="16">
        <f t="shared" si="4"/>
        <v>1.1805555555555514E-2</v>
      </c>
      <c r="AB29" s="16">
        <v>0.42708333333333331</v>
      </c>
      <c r="AC29" s="18"/>
      <c r="AD29" s="48"/>
    </row>
    <row r="30" spans="1:30" ht="19.5" thickBot="1" x14ac:dyDescent="0.3">
      <c r="A30" s="14">
        <v>28</v>
      </c>
      <c r="B30" s="15">
        <v>8527</v>
      </c>
      <c r="C30" s="15" t="s">
        <v>50</v>
      </c>
      <c r="D30" s="16">
        <v>6.25E-2</v>
      </c>
      <c r="E30" s="15" t="s">
        <v>83</v>
      </c>
      <c r="F30" s="15" t="s">
        <v>84</v>
      </c>
      <c r="G30" s="16">
        <v>0.25</v>
      </c>
      <c r="H30" s="16">
        <v>0.25</v>
      </c>
      <c r="I30" s="16">
        <f t="shared" si="0"/>
        <v>0</v>
      </c>
      <c r="J30" s="16">
        <v>0.31597222222222221</v>
      </c>
      <c r="K30" s="16">
        <v>0.39583333333333331</v>
      </c>
      <c r="L30" s="16" t="s">
        <v>85</v>
      </c>
      <c r="M30" s="16" t="s">
        <v>85</v>
      </c>
      <c r="N30" s="16">
        <f t="shared" si="1"/>
        <v>7.9861111111111105E-2</v>
      </c>
      <c r="O30" s="16">
        <f t="shared" si="2"/>
        <v>1.7361111111111105E-2</v>
      </c>
      <c r="P30" s="16">
        <v>6.9444444444444397E-3</v>
      </c>
      <c r="Q30" s="16">
        <v>0.39583333333333331</v>
      </c>
      <c r="R30" s="16">
        <v>0</v>
      </c>
      <c r="S30" s="16">
        <v>0.39930555555555558</v>
      </c>
      <c r="T30" s="16">
        <f>VLOOKUP(E30,'[1]21-1-2026'!$E$3:$T$35,16,FALSE)</f>
        <v>1.38888888888889E-2</v>
      </c>
      <c r="U30" s="16">
        <v>0</v>
      </c>
      <c r="V30" s="16">
        <v>0</v>
      </c>
      <c r="W30" s="16">
        <v>4.1666666666666664E-2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7"/>
      <c r="AD30" s="48"/>
    </row>
    <row r="31" spans="1:30" ht="19.5" thickBot="1" x14ac:dyDescent="0.3">
      <c r="A31" s="14">
        <v>29</v>
      </c>
      <c r="B31" s="15">
        <v>9652</v>
      </c>
      <c r="C31" s="15" t="s">
        <v>50</v>
      </c>
      <c r="D31" s="16">
        <v>6.25E-2</v>
      </c>
      <c r="E31" s="15" t="s">
        <v>86</v>
      </c>
      <c r="F31" s="15" t="s">
        <v>87</v>
      </c>
      <c r="G31" s="16">
        <v>0.25</v>
      </c>
      <c r="H31" s="16">
        <v>0.25</v>
      </c>
      <c r="I31" s="16">
        <f t="shared" si="0"/>
        <v>0</v>
      </c>
      <c r="J31" s="16">
        <v>0.34375</v>
      </c>
      <c r="K31" s="16">
        <v>0.39930555555555558</v>
      </c>
      <c r="L31" s="16" t="s">
        <v>88</v>
      </c>
      <c r="M31" s="16" t="s">
        <v>88</v>
      </c>
      <c r="N31" s="16">
        <f t="shared" si="1"/>
        <v>5.555555555555558E-2</v>
      </c>
      <c r="O31" s="16">
        <v>0</v>
      </c>
      <c r="P31" s="16">
        <v>6.9444444444444397E-3</v>
      </c>
      <c r="Q31" s="16">
        <v>0.39930555555555558</v>
      </c>
      <c r="R31" s="16">
        <v>0</v>
      </c>
      <c r="S31" s="16">
        <v>0.40277777777777779</v>
      </c>
      <c r="T31" s="16">
        <f>VLOOKUP(E31,'[1]21-1-2026'!$E$3:$T$35,16,FALSE)</f>
        <v>3.4722222222222199E-3</v>
      </c>
      <c r="U31" s="16">
        <v>0</v>
      </c>
      <c r="V31" s="16">
        <v>0</v>
      </c>
      <c r="W31" s="16">
        <v>6.25E-2</v>
      </c>
      <c r="X31" s="16">
        <v>0</v>
      </c>
      <c r="Y31" s="16">
        <v>0</v>
      </c>
      <c r="Z31" s="16">
        <f t="shared" si="3"/>
        <v>0</v>
      </c>
      <c r="AA31" s="16">
        <v>0</v>
      </c>
      <c r="AB31" s="16">
        <v>0</v>
      </c>
      <c r="AC31" s="17"/>
      <c r="AD31" s="48"/>
    </row>
    <row r="32" spans="1:30" ht="19.5" thickBot="1" x14ac:dyDescent="0.3">
      <c r="A32" s="14">
        <v>30</v>
      </c>
      <c r="B32" s="15">
        <v>634</v>
      </c>
      <c r="C32" s="15" t="str">
        <f>VLOOKUP(B32,'[1]21-1-2026'!$B$3:$T$35,2,)</f>
        <v>دبابة</v>
      </c>
      <c r="D32" s="16">
        <f>VLOOKUP(B32,'[1]21-1-2026'!$B$3:$T$35,3,)</f>
        <v>2.0833333333333301E-2</v>
      </c>
      <c r="E32" s="15" t="s">
        <v>89</v>
      </c>
      <c r="F32" s="15" t="s">
        <v>90</v>
      </c>
      <c r="G32" s="16">
        <v>0.25</v>
      </c>
      <c r="H32" s="16">
        <v>0.25</v>
      </c>
      <c r="I32" s="16">
        <f t="shared" si="0"/>
        <v>0</v>
      </c>
      <c r="J32" s="16">
        <v>0.31597222222222221</v>
      </c>
      <c r="K32" s="16">
        <v>0.36458333333333331</v>
      </c>
      <c r="L32" s="16" t="s">
        <v>91</v>
      </c>
      <c r="M32" s="16" t="s">
        <v>91</v>
      </c>
      <c r="N32" s="16">
        <f t="shared" si="1"/>
        <v>4.8611111111111105E-2</v>
      </c>
      <c r="O32" s="16">
        <f t="shared" si="2"/>
        <v>2.7777777777777804E-2</v>
      </c>
      <c r="P32" s="16">
        <v>6.9444444444444397E-3</v>
      </c>
      <c r="Q32" s="16">
        <v>0.36458333333333331</v>
      </c>
      <c r="R32" s="16">
        <v>0</v>
      </c>
      <c r="S32" s="16">
        <v>0.37152777777777779</v>
      </c>
      <c r="T32" s="16">
        <f>VLOOKUP(E32,'[1]21-1-2026'!$E$3:$T$35,16,FALSE)</f>
        <v>1.7361111111111101E-2</v>
      </c>
      <c r="U32" s="16">
        <v>0.39166666666666666</v>
      </c>
      <c r="V32" s="16">
        <f t="shared" si="5"/>
        <v>2.7777777777777679E-3</v>
      </c>
      <c r="W32" s="16">
        <v>3.125E-2</v>
      </c>
      <c r="X32" s="16">
        <v>0.39513888888888887</v>
      </c>
      <c r="Y32" s="16">
        <v>0.44166666666666665</v>
      </c>
      <c r="Z32" s="16">
        <f t="shared" si="3"/>
        <v>4.6527777777777779E-2</v>
      </c>
      <c r="AA32" s="16">
        <f t="shared" si="4"/>
        <v>1.5277777777777779E-2</v>
      </c>
      <c r="AB32" s="16">
        <v>0.44236111111111109</v>
      </c>
      <c r="AC32" s="17"/>
      <c r="AD32" s="48"/>
    </row>
    <row r="33" spans="1:30" ht="19.5" thickBot="1" x14ac:dyDescent="0.3">
      <c r="A33" s="14">
        <v>31</v>
      </c>
      <c r="B33" s="15">
        <v>3793</v>
      </c>
      <c r="C33" s="15" t="str">
        <f>VLOOKUP(B33,'[1]21-1-2026'!$B$3:$T$35,2,)</f>
        <v>دبابة</v>
      </c>
      <c r="D33" s="16">
        <f>VLOOKUP(B33,'[1]21-1-2026'!$B$3:$T$35,3,)</f>
        <v>2.0833333333333301E-2</v>
      </c>
      <c r="E33" s="15" t="s">
        <v>92</v>
      </c>
      <c r="F33" s="15" t="s">
        <v>93</v>
      </c>
      <c r="G33" s="16">
        <v>0.25</v>
      </c>
      <c r="H33" s="16">
        <v>0.25</v>
      </c>
      <c r="I33" s="16">
        <f t="shared" si="0"/>
        <v>0</v>
      </c>
      <c r="J33" s="16">
        <v>0.31597222222222221</v>
      </c>
      <c r="K33" s="16">
        <v>0.37152777777777779</v>
      </c>
      <c r="L33" s="16" t="s">
        <v>94</v>
      </c>
      <c r="M33" s="16" t="s">
        <v>94</v>
      </c>
      <c r="N33" s="16">
        <f t="shared" si="1"/>
        <v>5.555555555555558E-2</v>
      </c>
      <c r="O33" s="16">
        <f t="shared" si="2"/>
        <v>3.4722222222222279E-2</v>
      </c>
      <c r="P33" s="16">
        <v>6.9444444444444397E-3</v>
      </c>
      <c r="Q33" s="16">
        <v>0.37152777777777779</v>
      </c>
      <c r="R33" s="16">
        <v>0</v>
      </c>
      <c r="S33" s="16">
        <v>0.38194444444444442</v>
      </c>
      <c r="T33" s="16">
        <f>VLOOKUP(E33,'[1]21-1-2026'!$E$3:$T$35,16,FALSE)</f>
        <v>1.38888888888889E-2</v>
      </c>
      <c r="U33" s="16">
        <v>0.39930555555555558</v>
      </c>
      <c r="V33" s="16">
        <f t="shared" si="5"/>
        <v>3.4722222222222654E-3</v>
      </c>
      <c r="W33" s="16">
        <v>3.125E-2</v>
      </c>
      <c r="X33" s="16">
        <v>0.40208333333333335</v>
      </c>
      <c r="Y33" s="16">
        <v>0.4375</v>
      </c>
      <c r="Z33" s="16">
        <f t="shared" si="3"/>
        <v>3.5416666666666652E-2</v>
      </c>
      <c r="AA33" s="16">
        <f t="shared" si="4"/>
        <v>4.1666666666666519E-3</v>
      </c>
      <c r="AB33" s="16">
        <v>0.43888888888888888</v>
      </c>
      <c r="AC33" s="17"/>
      <c r="AD33" s="48"/>
    </row>
    <row r="34" spans="1:30" ht="19.5" thickBot="1" x14ac:dyDescent="0.3">
      <c r="A34" s="14">
        <v>32</v>
      </c>
      <c r="B34" s="15">
        <v>714</v>
      </c>
      <c r="C34" s="15" t="s">
        <v>50</v>
      </c>
      <c r="D34" s="16">
        <v>6.25E-2</v>
      </c>
      <c r="E34" s="15" t="s">
        <v>95</v>
      </c>
      <c r="F34" s="15" t="s">
        <v>96</v>
      </c>
      <c r="G34" s="16">
        <v>0.25</v>
      </c>
      <c r="H34" s="16">
        <v>0.25</v>
      </c>
      <c r="I34" s="16">
        <f t="shared" si="0"/>
        <v>0</v>
      </c>
      <c r="J34" s="16">
        <v>0.34375</v>
      </c>
      <c r="K34" s="16">
        <v>0.40625</v>
      </c>
      <c r="L34" s="16" t="s">
        <v>97</v>
      </c>
      <c r="M34" s="16" t="s">
        <v>97</v>
      </c>
      <c r="N34" s="16">
        <f t="shared" si="1"/>
        <v>6.25E-2</v>
      </c>
      <c r="O34" s="16">
        <f t="shared" si="2"/>
        <v>0</v>
      </c>
      <c r="P34" s="16">
        <v>6.9444444444444397E-3</v>
      </c>
      <c r="Q34" s="16">
        <v>0.40625</v>
      </c>
      <c r="R34" s="16">
        <v>0</v>
      </c>
      <c r="S34" s="16">
        <v>0.4201388888888889</v>
      </c>
      <c r="T34" s="16">
        <f>VLOOKUP(E34,'[1]21-1-2026'!$E$3:$T$35,16,FALSE)</f>
        <v>1.0416666666666701E-2</v>
      </c>
      <c r="U34" s="16">
        <v>0.43055555555555558</v>
      </c>
      <c r="V34" s="16">
        <f t="shared" si="5"/>
        <v>0</v>
      </c>
      <c r="W34" s="16">
        <v>6.25E-2</v>
      </c>
      <c r="X34" s="16">
        <v>0.43402777777777779</v>
      </c>
      <c r="Y34" s="16">
        <v>0.46875</v>
      </c>
      <c r="Z34" s="16">
        <f t="shared" si="3"/>
        <v>3.472222222222221E-2</v>
      </c>
      <c r="AA34" s="16">
        <v>0</v>
      </c>
      <c r="AB34" s="16">
        <v>0.47222222222222221</v>
      </c>
      <c r="AC34" s="17"/>
      <c r="AD34" s="48"/>
    </row>
    <row r="35" spans="1:30" ht="19.5" thickBot="1" x14ac:dyDescent="0.3">
      <c r="A35" s="20">
        <v>33</v>
      </c>
      <c r="B35" s="21">
        <v>2714</v>
      </c>
      <c r="C35" s="21" t="str">
        <f>VLOOKUP(B35,'[1]21-1-2026'!$B$3:$T$35,2,)</f>
        <v>تلتين</v>
      </c>
      <c r="D35" s="22">
        <f>VLOOKUP(B35,'[1]21-1-2026'!$B$3:$T$35,3,)</f>
        <v>3.125E-2</v>
      </c>
      <c r="E35" s="21" t="s">
        <v>98</v>
      </c>
      <c r="F35" s="21" t="s">
        <v>99</v>
      </c>
      <c r="G35" s="22">
        <v>0.25</v>
      </c>
      <c r="H35" s="22">
        <v>0.25</v>
      </c>
      <c r="I35" s="22">
        <f t="shared" si="0"/>
        <v>0</v>
      </c>
      <c r="J35" s="22">
        <v>0.36458333333333331</v>
      </c>
      <c r="K35" s="22">
        <v>0.3923611111111111</v>
      </c>
      <c r="L35" s="22" t="s">
        <v>100</v>
      </c>
      <c r="M35" s="22" t="s">
        <v>101</v>
      </c>
      <c r="N35" s="22">
        <f t="shared" si="1"/>
        <v>2.777777777777779E-2</v>
      </c>
      <c r="O35" s="22">
        <v>0</v>
      </c>
      <c r="P35" s="22">
        <v>6.9444444444444397E-3</v>
      </c>
      <c r="Q35" s="22">
        <v>0.3923611111111111</v>
      </c>
      <c r="R35" s="22">
        <v>0</v>
      </c>
      <c r="S35" s="22">
        <v>0.39583333333333331</v>
      </c>
      <c r="T35" s="22">
        <f>VLOOKUP(E35,'[1]21-1-2026'!$E$3:$T$35,16,FALSE)</f>
        <v>4.8611111111111103E-3</v>
      </c>
      <c r="U35" s="22">
        <v>0.40972222222222221</v>
      </c>
      <c r="V35" s="22">
        <f t="shared" si="5"/>
        <v>9.0277777777778012E-3</v>
      </c>
      <c r="W35" s="22">
        <v>3.125E-2</v>
      </c>
      <c r="X35" s="22">
        <v>0.41319444444444442</v>
      </c>
      <c r="Y35" s="22">
        <v>0.44930555555555557</v>
      </c>
      <c r="Z35" s="22">
        <f t="shared" si="3"/>
        <v>3.6111111111111149E-2</v>
      </c>
      <c r="AA35" s="22">
        <f t="shared" si="4"/>
        <v>4.8611111111111494E-3</v>
      </c>
      <c r="AB35" s="22">
        <v>0.4513888888888889</v>
      </c>
      <c r="AC35" s="23"/>
      <c r="AD35" s="49"/>
    </row>
    <row r="36" spans="1:30" ht="20.25" thickTop="1" thickBot="1" x14ac:dyDescent="0.3">
      <c r="A36" s="24"/>
      <c r="B36" s="25">
        <v>2474</v>
      </c>
      <c r="C36" s="21" t="str">
        <f>VLOOKUP(B36,'[1]21-1-2026'!$B$3:$T$35,2,)</f>
        <v>دبابة</v>
      </c>
      <c r="D36" s="16">
        <v>2.0833333333333332E-2</v>
      </c>
      <c r="E36" s="25"/>
      <c r="F36" s="25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7"/>
      <c r="AD36" s="28"/>
    </row>
    <row r="37" spans="1:30" ht="20.25" thickTop="1" thickBot="1" x14ac:dyDescent="0.3">
      <c r="A37" s="24"/>
      <c r="B37" s="25">
        <v>6143</v>
      </c>
      <c r="C37" s="21" t="s">
        <v>102</v>
      </c>
      <c r="D37" s="16">
        <v>3.125E-2</v>
      </c>
      <c r="E37" s="25"/>
      <c r="F37" s="25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7"/>
      <c r="AD37" s="28"/>
    </row>
    <row r="38" spans="1:30" ht="20.25" thickTop="1" thickBot="1" x14ac:dyDescent="0.3">
      <c r="A38" s="24"/>
      <c r="B38" s="25">
        <v>6142</v>
      </c>
      <c r="C38" s="21" t="s">
        <v>102</v>
      </c>
      <c r="D38" s="16">
        <v>3.125E-2</v>
      </c>
      <c r="E38" s="25"/>
      <c r="F38" s="25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7"/>
      <c r="AD38" s="28"/>
    </row>
    <row r="39" spans="1:30" ht="20.25" thickTop="1" thickBot="1" x14ac:dyDescent="0.3">
      <c r="A39" s="24"/>
      <c r="B39" s="25">
        <v>2694</v>
      </c>
      <c r="C39" s="21" t="str">
        <f>VLOOKUP(B39,'[1]21-1-2026'!$B$3:$T$35,2,)</f>
        <v>تلتين</v>
      </c>
      <c r="D39" s="16">
        <v>3.125E-2</v>
      </c>
      <c r="E39" s="25"/>
      <c r="F39" s="25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7"/>
      <c r="AD39" s="28"/>
    </row>
    <row r="40" spans="1:30" ht="20.25" customHeight="1" thickTop="1" thickBot="1" x14ac:dyDescent="0.3">
      <c r="A40" s="10">
        <v>1</v>
      </c>
      <c r="B40" s="11">
        <v>1231</v>
      </c>
      <c r="C40" s="11" t="s">
        <v>50</v>
      </c>
      <c r="D40" s="12">
        <v>4.1666666666666664E-2</v>
      </c>
      <c r="E40" s="11" t="s">
        <v>45</v>
      </c>
      <c r="F40" s="11" t="s">
        <v>103</v>
      </c>
      <c r="G40" s="12">
        <v>0.25</v>
      </c>
      <c r="H40" s="12">
        <v>0.25</v>
      </c>
      <c r="I40" s="12">
        <f t="shared" si="0"/>
        <v>0</v>
      </c>
      <c r="J40" s="12">
        <v>0.38194444444444442</v>
      </c>
      <c r="K40" s="12">
        <v>0.4375</v>
      </c>
      <c r="L40" s="12" t="s">
        <v>91</v>
      </c>
      <c r="M40" s="12" t="s">
        <v>91</v>
      </c>
      <c r="N40" s="12">
        <f t="shared" si="1"/>
        <v>5.555555555555558E-2</v>
      </c>
      <c r="O40" s="12">
        <f t="shared" si="2"/>
        <v>1.3888888888888916E-2</v>
      </c>
      <c r="P40" s="12">
        <v>6.9444444444444397E-3</v>
      </c>
      <c r="Q40" s="12">
        <v>0.4375</v>
      </c>
      <c r="R40" s="12">
        <v>0</v>
      </c>
      <c r="S40" s="12">
        <v>0.4513888888888889</v>
      </c>
      <c r="T40" s="12">
        <f>VLOOKUP(E40,'[1]21-1-2026'!$E$36:$T$67,16,FALSE)</f>
        <v>1.38888888888889E-2</v>
      </c>
      <c r="U40" s="12">
        <v>0</v>
      </c>
      <c r="V40" s="12">
        <v>0</v>
      </c>
      <c r="W40" s="12">
        <v>3.125E-2</v>
      </c>
      <c r="X40" s="12">
        <v>0</v>
      </c>
      <c r="Y40" s="12">
        <v>0</v>
      </c>
      <c r="Z40" s="12">
        <f t="shared" si="3"/>
        <v>0</v>
      </c>
      <c r="AA40" s="12">
        <v>0</v>
      </c>
      <c r="AB40" s="12">
        <v>0</v>
      </c>
      <c r="AC40" s="29"/>
      <c r="AD40" s="50" t="s">
        <v>104</v>
      </c>
    </row>
    <row r="41" spans="1:30" ht="19.5" thickBot="1" x14ac:dyDescent="0.3">
      <c r="A41" s="14">
        <v>2</v>
      </c>
      <c r="B41" s="15">
        <v>1231</v>
      </c>
      <c r="C41" s="15" t="s">
        <v>50</v>
      </c>
      <c r="D41" s="16">
        <v>4.1666666666666664E-2</v>
      </c>
      <c r="E41" s="15" t="s">
        <v>42</v>
      </c>
      <c r="F41" s="15" t="s">
        <v>103</v>
      </c>
      <c r="G41" s="16">
        <v>0.25</v>
      </c>
      <c r="H41" s="16">
        <v>0.25</v>
      </c>
      <c r="I41" s="16">
        <f t="shared" si="0"/>
        <v>0</v>
      </c>
      <c r="J41" s="16">
        <v>0.38194444444444442</v>
      </c>
      <c r="K41" s="16">
        <v>0.4375</v>
      </c>
      <c r="L41" s="16" t="s">
        <v>91</v>
      </c>
      <c r="M41" s="16" t="s">
        <v>91</v>
      </c>
      <c r="N41" s="16">
        <f t="shared" si="1"/>
        <v>5.555555555555558E-2</v>
      </c>
      <c r="O41" s="16">
        <f t="shared" si="2"/>
        <v>1.3888888888888916E-2</v>
      </c>
      <c r="P41" s="16">
        <v>6.9444444444444397E-3</v>
      </c>
      <c r="Q41" s="16">
        <v>0.4375</v>
      </c>
      <c r="R41" s="16">
        <v>0</v>
      </c>
      <c r="S41" s="16">
        <v>0.4513888888888889</v>
      </c>
      <c r="T41" s="16">
        <f>VLOOKUP(E41,'[1]21-1-2026'!$E$36:$T$67,16,FALSE)</f>
        <v>1.7361111111111101E-2</v>
      </c>
      <c r="U41" s="16">
        <v>0</v>
      </c>
      <c r="V41" s="16">
        <v>0</v>
      </c>
      <c r="W41" s="16">
        <v>4.1666666666666664E-2</v>
      </c>
      <c r="X41" s="16">
        <v>0</v>
      </c>
      <c r="Y41" s="16">
        <v>0</v>
      </c>
      <c r="Z41" s="16">
        <f t="shared" si="3"/>
        <v>0</v>
      </c>
      <c r="AA41" s="16">
        <v>0</v>
      </c>
      <c r="AB41" s="16">
        <v>0</v>
      </c>
      <c r="AC41" s="19"/>
      <c r="AD41" s="51"/>
    </row>
    <row r="42" spans="1:30" ht="19.5" thickBot="1" x14ac:dyDescent="0.3">
      <c r="A42" s="14">
        <v>3</v>
      </c>
      <c r="B42" s="15">
        <v>459</v>
      </c>
      <c r="C42" s="15" t="str">
        <f>VLOOKUP(B42,'[1]21-1-2026'!$B$3:$T$35,2,)</f>
        <v>دبابة</v>
      </c>
      <c r="D42" s="16">
        <f>VLOOKUP(B42,'[1]21-1-2026'!$B$3:$T$35,3,)</f>
        <v>2.0833333333333301E-2</v>
      </c>
      <c r="E42" s="15" t="s">
        <v>89</v>
      </c>
      <c r="F42" s="15" t="s">
        <v>40</v>
      </c>
      <c r="G42" s="16">
        <v>0.25</v>
      </c>
      <c r="H42" s="16">
        <f>VLOOKUP(F42,$F$3:$H$35,3,FALSE)</f>
        <v>0.25</v>
      </c>
      <c r="I42" s="16">
        <f t="shared" si="0"/>
        <v>0</v>
      </c>
      <c r="J42" s="16">
        <v>0.38194444444444442</v>
      </c>
      <c r="K42" s="16">
        <v>0.41666666666666669</v>
      </c>
      <c r="L42" s="16" t="s">
        <v>105</v>
      </c>
      <c r="M42" s="16" t="s">
        <v>105</v>
      </c>
      <c r="N42" s="16">
        <f t="shared" si="1"/>
        <v>3.4722222222222265E-2</v>
      </c>
      <c r="O42" s="16">
        <f t="shared" si="2"/>
        <v>1.3888888888888964E-2</v>
      </c>
      <c r="P42" s="16">
        <v>6.9444444444444397E-3</v>
      </c>
      <c r="Q42" s="16">
        <v>0.41666666666666669</v>
      </c>
      <c r="R42" s="16">
        <v>0</v>
      </c>
      <c r="S42" s="16">
        <v>0.42708333333333331</v>
      </c>
      <c r="T42" s="16">
        <f>VLOOKUP(E42,'[1]21-1-2026'!$E$36:$T$67,16,FALSE)</f>
        <v>1.7361111111111101E-2</v>
      </c>
      <c r="U42" s="16">
        <v>0.4548611111111111</v>
      </c>
      <c r="V42" s="16">
        <f t="shared" si="5"/>
        <v>1.0416666666666685E-2</v>
      </c>
      <c r="W42" s="16">
        <v>2.0833333333333332E-2</v>
      </c>
      <c r="X42" s="16">
        <v>0.45624999999999999</v>
      </c>
      <c r="Y42" s="16">
        <v>0.47152777777777777</v>
      </c>
      <c r="Z42" s="16">
        <f t="shared" si="3"/>
        <v>1.5277777777777779E-2</v>
      </c>
      <c r="AA42" s="16">
        <v>0</v>
      </c>
      <c r="AB42" s="16">
        <v>0.47222222222222221</v>
      </c>
      <c r="AC42" s="19"/>
      <c r="AD42" s="51"/>
    </row>
    <row r="43" spans="1:30" ht="19.5" thickBot="1" x14ac:dyDescent="0.3">
      <c r="A43" s="14">
        <v>4</v>
      </c>
      <c r="B43" s="15">
        <v>459</v>
      </c>
      <c r="C43" s="15" t="str">
        <f>VLOOKUP(B43,'[1]21-1-2026'!$B$3:$T$35,2,)</f>
        <v>دبابة</v>
      </c>
      <c r="D43" s="16">
        <f>VLOOKUP(B43,'[1]21-1-2026'!$B$3:$T$35,3,)</f>
        <v>2.0833333333333301E-2</v>
      </c>
      <c r="E43" s="15" t="s">
        <v>39</v>
      </c>
      <c r="F43" s="15" t="s">
        <v>40</v>
      </c>
      <c r="G43" s="16">
        <v>0.25</v>
      </c>
      <c r="H43" s="16">
        <f>VLOOKUP(F43,$F$3:$H$35,3,FALSE)</f>
        <v>0.25</v>
      </c>
      <c r="I43" s="16">
        <f t="shared" si="0"/>
        <v>0</v>
      </c>
      <c r="J43" s="16">
        <v>0.38194444444444442</v>
      </c>
      <c r="K43" s="16">
        <v>0.41666666666666669</v>
      </c>
      <c r="L43" s="16" t="s">
        <v>105</v>
      </c>
      <c r="M43" s="16" t="s">
        <v>105</v>
      </c>
      <c r="N43" s="16">
        <f t="shared" si="1"/>
        <v>3.4722222222222265E-2</v>
      </c>
      <c r="O43" s="16">
        <f t="shared" si="2"/>
        <v>1.3888888888888964E-2</v>
      </c>
      <c r="P43" s="16">
        <v>6.9444444444444397E-3</v>
      </c>
      <c r="Q43" s="16">
        <v>0.41666666666666669</v>
      </c>
      <c r="R43" s="16">
        <v>0</v>
      </c>
      <c r="S43" s="16">
        <v>0.42708333333333331</v>
      </c>
      <c r="T43" s="16">
        <f>VLOOKUP(E43,'[1]21-1-2026'!$E$36:$T$67,16,FALSE)</f>
        <v>1.0416666666666701E-2</v>
      </c>
      <c r="U43" s="16">
        <v>0.47638888888888886</v>
      </c>
      <c r="V43" s="16">
        <f t="shared" si="5"/>
        <v>3.8888888888888862E-2</v>
      </c>
      <c r="W43" s="16">
        <v>3.125E-2</v>
      </c>
      <c r="X43" s="16">
        <v>0.47916666666666669</v>
      </c>
      <c r="Y43" s="16">
        <v>0.51180555555555551</v>
      </c>
      <c r="Z43" s="16">
        <f t="shared" si="3"/>
        <v>3.2638888888888828E-2</v>
      </c>
      <c r="AA43" s="16">
        <f t="shared" si="4"/>
        <v>1.3888888888888284E-3</v>
      </c>
      <c r="AB43" s="16">
        <v>0.51388888888888884</v>
      </c>
      <c r="AC43" s="17"/>
      <c r="AD43" s="51"/>
    </row>
    <row r="44" spans="1:30" ht="19.5" thickBot="1" x14ac:dyDescent="0.3">
      <c r="A44" s="14">
        <v>5</v>
      </c>
      <c r="B44" s="15">
        <v>9198</v>
      </c>
      <c r="C44" s="15" t="str">
        <f>VLOOKUP(B44,'[1]21-1-2026'!$B$3:$T$35,2,)</f>
        <v>دبابة</v>
      </c>
      <c r="D44" s="16">
        <f>VLOOKUP(B44,'[1]21-1-2026'!$B$3:$T$35,3,)</f>
        <v>2.0833333333333301E-2</v>
      </c>
      <c r="E44" s="15" t="s">
        <v>75</v>
      </c>
      <c r="F44" s="15" t="s">
        <v>106</v>
      </c>
      <c r="G44" s="16">
        <v>0.25</v>
      </c>
      <c r="H44" s="16">
        <v>0.25</v>
      </c>
      <c r="I44" s="16">
        <f t="shared" si="0"/>
        <v>0</v>
      </c>
      <c r="J44" s="16">
        <v>0.4236111111111111</v>
      </c>
      <c r="K44" s="16">
        <v>0.4513888888888889</v>
      </c>
      <c r="L44" s="16" t="s">
        <v>107</v>
      </c>
      <c r="M44" s="16" t="s">
        <v>107</v>
      </c>
      <c r="N44" s="16">
        <f t="shared" si="1"/>
        <v>2.777777777777779E-2</v>
      </c>
      <c r="O44" s="16">
        <f t="shared" si="2"/>
        <v>6.9444444444444892E-3</v>
      </c>
      <c r="P44" s="16">
        <v>6.9444444444444397E-3</v>
      </c>
      <c r="Q44" s="16">
        <v>0.4513888888888889</v>
      </c>
      <c r="R44" s="16">
        <v>0</v>
      </c>
      <c r="S44" s="16">
        <v>0.45833333333333331</v>
      </c>
      <c r="T44" s="16">
        <f>VLOOKUP(E44,'[1]21-1-2026'!$E$36:$T$67,16,FALSE)</f>
        <v>2.0833333333333301E-2</v>
      </c>
      <c r="U44" s="16">
        <v>0.48958333333333331</v>
      </c>
      <c r="V44" s="16">
        <f t="shared" si="5"/>
        <v>1.0416666666666685E-2</v>
      </c>
      <c r="W44" s="16">
        <v>2.0833333333333332E-2</v>
      </c>
      <c r="X44" s="16">
        <v>0.49305555555555558</v>
      </c>
      <c r="Y44" s="16">
        <v>0.52083333333333337</v>
      </c>
      <c r="Z44" s="16">
        <f t="shared" si="3"/>
        <v>2.777777777777779E-2</v>
      </c>
      <c r="AA44" s="16">
        <f t="shared" si="4"/>
        <v>6.9444444444444579E-3</v>
      </c>
      <c r="AB44" s="16">
        <v>0.52430555555555558</v>
      </c>
      <c r="AC44" s="17"/>
      <c r="AD44" s="51"/>
    </row>
    <row r="45" spans="1:30" ht="19.5" thickBot="1" x14ac:dyDescent="0.3">
      <c r="A45" s="14">
        <v>6</v>
      </c>
      <c r="B45" s="15">
        <v>9198</v>
      </c>
      <c r="C45" s="15" t="str">
        <f>VLOOKUP(B45,'[1]21-1-2026'!$B$3:$T$35,2,)</f>
        <v>دبابة</v>
      </c>
      <c r="D45" s="16">
        <f>VLOOKUP(B45,'[1]21-1-2026'!$B$3:$T$35,3,)</f>
        <v>2.0833333333333301E-2</v>
      </c>
      <c r="E45" s="15" t="s">
        <v>60</v>
      </c>
      <c r="F45" s="15" t="s">
        <v>106</v>
      </c>
      <c r="G45" s="16">
        <v>0.25</v>
      </c>
      <c r="H45" s="16">
        <v>0.25</v>
      </c>
      <c r="I45" s="16">
        <f t="shared" si="0"/>
        <v>0</v>
      </c>
      <c r="J45" s="16">
        <v>0.4236111111111111</v>
      </c>
      <c r="K45" s="16">
        <v>0.4513888888888889</v>
      </c>
      <c r="L45" s="16" t="s">
        <v>107</v>
      </c>
      <c r="M45" s="16" t="s">
        <v>107</v>
      </c>
      <c r="N45" s="16">
        <f t="shared" si="1"/>
        <v>2.777777777777779E-2</v>
      </c>
      <c r="O45" s="16">
        <f t="shared" si="2"/>
        <v>6.9444444444444892E-3</v>
      </c>
      <c r="P45" s="16">
        <v>6.9444444444444397E-3</v>
      </c>
      <c r="Q45" s="16">
        <v>0.4513888888888889</v>
      </c>
      <c r="R45" s="16">
        <v>0</v>
      </c>
      <c r="S45" s="16">
        <v>0.45833333333333331</v>
      </c>
      <c r="T45" s="16">
        <f>VLOOKUP(E45,'[1]21-1-2026'!$E$36:$T$67,16,FALSE)</f>
        <v>1.0416666666666701E-2</v>
      </c>
      <c r="U45" s="16">
        <v>0.53125</v>
      </c>
      <c r="V45" s="16">
        <f t="shared" si="5"/>
        <v>6.2499999999999944E-2</v>
      </c>
      <c r="W45" s="16">
        <v>3.125E-2</v>
      </c>
      <c r="X45" s="16">
        <v>0.53194444444444444</v>
      </c>
      <c r="Y45" s="16">
        <v>0.55555555555555558</v>
      </c>
      <c r="Z45" s="16">
        <f t="shared" si="3"/>
        <v>2.3611111111111138E-2</v>
      </c>
      <c r="AA45" s="16">
        <v>0</v>
      </c>
      <c r="AB45" s="16">
        <v>0.55902777777777779</v>
      </c>
      <c r="AC45" s="17"/>
      <c r="AD45" s="51"/>
    </row>
    <row r="46" spans="1:30" ht="19.5" thickBot="1" x14ac:dyDescent="0.3">
      <c r="A46" s="14">
        <v>7</v>
      </c>
      <c r="B46" s="15">
        <v>796</v>
      </c>
      <c r="C46" s="15" t="str">
        <f>VLOOKUP(B46,'[1]21-1-2026'!$B$3:$T$35,2,)</f>
        <v>دبابة</v>
      </c>
      <c r="D46" s="16">
        <f>VLOOKUP(B46,'[1]21-1-2026'!$B$3:$T$35,3,)</f>
        <v>2.0833333333333301E-2</v>
      </c>
      <c r="E46" s="15" t="s">
        <v>65</v>
      </c>
      <c r="F46" s="15" t="s">
        <v>78</v>
      </c>
      <c r="G46" s="16">
        <v>0.25</v>
      </c>
      <c r="H46" s="16">
        <f t="shared" ref="H46:H58" si="6">VLOOKUP(F46,$F$3:$H$35,3,FALSE)</f>
        <v>0.25</v>
      </c>
      <c r="I46" s="16">
        <f t="shared" si="0"/>
        <v>0</v>
      </c>
      <c r="J46" s="16">
        <v>0.4375</v>
      </c>
      <c r="K46" s="16">
        <v>0.45833333333333331</v>
      </c>
      <c r="L46" s="16" t="s">
        <v>108</v>
      </c>
      <c r="M46" s="16" t="s">
        <v>108</v>
      </c>
      <c r="N46" s="16">
        <f t="shared" si="1"/>
        <v>2.0833333333333315E-2</v>
      </c>
      <c r="O46" s="16">
        <f t="shared" si="2"/>
        <v>0</v>
      </c>
      <c r="P46" s="16">
        <v>6.9444444444444397E-3</v>
      </c>
      <c r="Q46" s="16">
        <v>0.45833333333333331</v>
      </c>
      <c r="R46" s="16">
        <v>0</v>
      </c>
      <c r="S46" s="16">
        <v>0.46527777777777779</v>
      </c>
      <c r="T46" s="16">
        <f>VLOOKUP(E46,'[1]21-1-2026'!$E$36:$T$67,16,FALSE)</f>
        <v>4.1666666666666699E-2</v>
      </c>
      <c r="U46" s="16">
        <v>0.5</v>
      </c>
      <c r="V46" s="16">
        <v>0</v>
      </c>
      <c r="W46" s="16">
        <v>3.125E-2</v>
      </c>
      <c r="X46" s="16">
        <v>0.51736111111111116</v>
      </c>
      <c r="Y46" s="16">
        <v>0.55902777777777779</v>
      </c>
      <c r="Z46" s="16">
        <f t="shared" si="3"/>
        <v>4.166666666666663E-2</v>
      </c>
      <c r="AA46" s="16">
        <f t="shared" si="4"/>
        <v>1.041666666666663E-2</v>
      </c>
      <c r="AB46" s="16">
        <v>0.5625</v>
      </c>
      <c r="AC46" s="17"/>
      <c r="AD46" s="51"/>
    </row>
    <row r="47" spans="1:30" ht="19.5" thickBot="1" x14ac:dyDescent="0.3">
      <c r="A47" s="14">
        <v>8</v>
      </c>
      <c r="B47" s="15">
        <v>3783</v>
      </c>
      <c r="C47" s="15" t="str">
        <f>VLOOKUP(B47,'[1]21-1-2026'!$B$3:$T$35,2,)</f>
        <v>دبابة</v>
      </c>
      <c r="D47" s="16">
        <f>VLOOKUP(B47,'[1]21-1-2026'!$B$3:$T$35,3,)</f>
        <v>2.0833333333333301E-2</v>
      </c>
      <c r="E47" s="15" t="s">
        <v>55</v>
      </c>
      <c r="F47" s="15" t="s">
        <v>76</v>
      </c>
      <c r="G47" s="16">
        <v>0.25</v>
      </c>
      <c r="H47" s="16">
        <f t="shared" si="6"/>
        <v>0.26041666666666669</v>
      </c>
      <c r="I47" s="16">
        <f t="shared" si="0"/>
        <v>1.0416666666666685E-2</v>
      </c>
      <c r="J47" s="16">
        <v>0.43055555555555558</v>
      </c>
      <c r="K47" s="16">
        <v>0.45833333333333331</v>
      </c>
      <c r="L47" s="16" t="s">
        <v>94</v>
      </c>
      <c r="M47" s="16" t="s">
        <v>94</v>
      </c>
      <c r="N47" s="16">
        <f t="shared" si="1"/>
        <v>2.7777777777777735E-2</v>
      </c>
      <c r="O47" s="16">
        <f t="shared" si="2"/>
        <v>6.9444444444444337E-3</v>
      </c>
      <c r="P47" s="16">
        <v>6.9444444444444397E-3</v>
      </c>
      <c r="Q47" s="16">
        <v>0.45833333333333331</v>
      </c>
      <c r="R47" s="16">
        <v>0</v>
      </c>
      <c r="S47" s="16">
        <v>0.46875</v>
      </c>
      <c r="T47" s="16">
        <f>VLOOKUP(E47,'[1]21-1-2026'!$E$36:$T$67,16,FALSE)</f>
        <v>1.0416666666666701E-2</v>
      </c>
      <c r="U47" s="16">
        <v>0.50694444444444442</v>
      </c>
      <c r="V47" s="16">
        <f t="shared" si="5"/>
        <v>2.7777777777777735E-2</v>
      </c>
      <c r="W47" s="16">
        <v>3.125E-2</v>
      </c>
      <c r="X47" s="16">
        <v>0.51041666666666663</v>
      </c>
      <c r="Y47" s="16">
        <v>0.55208333333333337</v>
      </c>
      <c r="Z47" s="16">
        <f t="shared" si="3"/>
        <v>4.1666666666666741E-2</v>
      </c>
      <c r="AA47" s="16">
        <f t="shared" si="4"/>
        <v>1.0416666666666741E-2</v>
      </c>
      <c r="AB47" s="16">
        <v>0.55555555555555558</v>
      </c>
      <c r="AC47" s="17"/>
      <c r="AD47" s="51"/>
    </row>
    <row r="48" spans="1:30" ht="19.5" thickBot="1" x14ac:dyDescent="0.3">
      <c r="A48" s="14">
        <v>9</v>
      </c>
      <c r="B48" s="15">
        <v>3495</v>
      </c>
      <c r="C48" s="15" t="str">
        <f>VLOOKUP(B48,'[1]21-1-2026'!$B$3:$T$35,2,)</f>
        <v>تلتين</v>
      </c>
      <c r="D48" s="16">
        <f>VLOOKUP(B48,'[1]21-1-2026'!$B$3:$T$35,3,)</f>
        <v>3.125E-2</v>
      </c>
      <c r="E48" s="15" t="s">
        <v>67</v>
      </c>
      <c r="F48" s="15" t="s">
        <v>48</v>
      </c>
      <c r="G48" s="16">
        <v>0.25</v>
      </c>
      <c r="H48" s="16">
        <f t="shared" si="6"/>
        <v>0.25694444444444442</v>
      </c>
      <c r="I48" s="16">
        <f t="shared" si="0"/>
        <v>6.9444444444444198E-3</v>
      </c>
      <c r="J48" s="16">
        <v>0.4548611111111111</v>
      </c>
      <c r="K48" s="16">
        <v>0.5</v>
      </c>
      <c r="L48" s="16" t="s">
        <v>109</v>
      </c>
      <c r="M48" s="16" t="s">
        <v>110</v>
      </c>
      <c r="N48" s="16">
        <f t="shared" si="1"/>
        <v>4.5138888888888895E-2</v>
      </c>
      <c r="O48" s="16">
        <f t="shared" si="2"/>
        <v>1.3888888888888895E-2</v>
      </c>
      <c r="P48" s="16">
        <v>6.9444444444444397E-3</v>
      </c>
      <c r="Q48" s="16">
        <v>0.5</v>
      </c>
      <c r="R48" s="16">
        <v>0</v>
      </c>
      <c r="S48" s="16">
        <v>0.50694444444444442</v>
      </c>
      <c r="T48" s="16">
        <f>VLOOKUP(E48,'[1]21-1-2026'!$E$36:$T$67,16,FALSE)</f>
        <v>1.7361111111111101E-2</v>
      </c>
      <c r="U48" s="16">
        <v>0.53125</v>
      </c>
      <c r="V48" s="16">
        <f t="shared" si="5"/>
        <v>6.9444444444445308E-3</v>
      </c>
      <c r="W48" s="16">
        <v>4.1666666666666664E-2</v>
      </c>
      <c r="X48" s="16">
        <v>0.53472222222222221</v>
      </c>
      <c r="Y48" s="16">
        <v>0.58333333333333337</v>
      </c>
      <c r="Z48" s="16">
        <f t="shared" si="3"/>
        <v>4.861111111111116E-2</v>
      </c>
      <c r="AA48" s="16">
        <f t="shared" si="4"/>
        <v>6.9444444444444961E-3</v>
      </c>
      <c r="AB48" s="16">
        <v>0.58680555555555558</v>
      </c>
      <c r="AC48" s="17"/>
      <c r="AD48" s="51"/>
    </row>
    <row r="49" spans="1:30" ht="19.5" thickBot="1" x14ac:dyDescent="0.3">
      <c r="A49" s="14">
        <v>10</v>
      </c>
      <c r="B49" s="15">
        <v>4987</v>
      </c>
      <c r="C49" s="15" t="str">
        <f>VLOOKUP(B49,'[1]21-1-2026'!$B$3:$T$35,2,)</f>
        <v>تلتين</v>
      </c>
      <c r="D49" s="16">
        <f>VLOOKUP(B49,'[1]21-1-2026'!$B$3:$T$35,3,)</f>
        <v>3.125E-2</v>
      </c>
      <c r="E49" s="15" t="s">
        <v>38</v>
      </c>
      <c r="F49" s="15" t="s">
        <v>71</v>
      </c>
      <c r="G49" s="16">
        <v>0.25</v>
      </c>
      <c r="H49" s="16">
        <f t="shared" si="6"/>
        <v>0.25</v>
      </c>
      <c r="I49" s="16">
        <f t="shared" si="0"/>
        <v>0</v>
      </c>
      <c r="J49" s="16">
        <v>0.44097222222222221</v>
      </c>
      <c r="K49" s="16">
        <v>0.47569444444444442</v>
      </c>
      <c r="L49" s="16" t="s">
        <v>111</v>
      </c>
      <c r="M49" s="16" t="s">
        <v>111</v>
      </c>
      <c r="N49" s="16">
        <f t="shared" si="1"/>
        <v>3.472222222222221E-2</v>
      </c>
      <c r="O49" s="16">
        <f t="shared" si="2"/>
        <v>3.4722222222222099E-3</v>
      </c>
      <c r="P49" s="16">
        <v>6.9444444444444397E-3</v>
      </c>
      <c r="Q49" s="16">
        <v>0.47569444444444442</v>
      </c>
      <c r="R49" s="16">
        <v>0</v>
      </c>
      <c r="S49" s="16">
        <v>0.4826388888888889</v>
      </c>
      <c r="T49" s="16">
        <f>VLOOKUP(E49,'[1]21-1-2026'!$E$36:$T$67,16,FALSE)</f>
        <v>2.7777777777777801E-2</v>
      </c>
      <c r="U49" s="16">
        <v>0.50694444444444442</v>
      </c>
      <c r="V49" s="16">
        <v>0</v>
      </c>
      <c r="W49" s="16">
        <v>4.1666666666666664E-2</v>
      </c>
      <c r="X49" s="16">
        <v>0.51388888888888884</v>
      </c>
      <c r="Y49" s="16">
        <v>0.55902777777777779</v>
      </c>
      <c r="Z49" s="16">
        <f t="shared" si="3"/>
        <v>4.5138888888888951E-2</v>
      </c>
      <c r="AA49" s="16">
        <f t="shared" si="4"/>
        <v>3.4722222222222862E-3</v>
      </c>
      <c r="AB49" s="16">
        <v>0.5625</v>
      </c>
      <c r="AC49" s="17"/>
      <c r="AD49" s="51"/>
    </row>
    <row r="50" spans="1:30" ht="19.5" thickBot="1" x14ac:dyDescent="0.3">
      <c r="A50" s="14">
        <v>11</v>
      </c>
      <c r="B50" s="15">
        <v>5898</v>
      </c>
      <c r="C50" s="15" t="str">
        <f>VLOOKUP(B50,'[1]21-1-2026'!$B$3:$T$35,2,)</f>
        <v>تلتين</v>
      </c>
      <c r="D50" s="16">
        <f>VLOOKUP(B50,'[1]21-1-2026'!$B$3:$T$35,3,)</f>
        <v>3.125E-2</v>
      </c>
      <c r="E50" s="15" t="s">
        <v>51</v>
      </c>
      <c r="F50" s="15" t="s">
        <v>68</v>
      </c>
      <c r="G50" s="16">
        <v>0.25</v>
      </c>
      <c r="H50" s="16">
        <f t="shared" si="6"/>
        <v>0.25</v>
      </c>
      <c r="I50" s="16">
        <f t="shared" si="0"/>
        <v>0</v>
      </c>
      <c r="J50" s="16">
        <v>0.4513888888888889</v>
      </c>
      <c r="K50" s="16">
        <v>0.49305555555555558</v>
      </c>
      <c r="L50" s="16" t="s">
        <v>112</v>
      </c>
      <c r="M50" s="16" t="s">
        <v>112</v>
      </c>
      <c r="N50" s="16">
        <f t="shared" si="1"/>
        <v>4.1666666666666685E-2</v>
      </c>
      <c r="O50" s="16">
        <f t="shared" si="2"/>
        <v>1.0416666666666685E-2</v>
      </c>
      <c r="P50" s="16">
        <v>6.9444444444444397E-3</v>
      </c>
      <c r="Q50" s="16">
        <v>0.49305555555555558</v>
      </c>
      <c r="R50" s="16">
        <v>0</v>
      </c>
      <c r="S50" s="16">
        <v>0.5</v>
      </c>
      <c r="T50" s="16">
        <f>VLOOKUP(E50,'[1]21-1-2026'!$E$36:$T$67,16,FALSE)</f>
        <v>2.4305555555555601E-2</v>
      </c>
      <c r="U50" s="16">
        <v>0.51388888888888884</v>
      </c>
      <c r="V50" s="16">
        <v>0</v>
      </c>
      <c r="W50" s="16">
        <v>3.125E-2</v>
      </c>
      <c r="X50" s="16">
        <v>0.52083333333333337</v>
      </c>
      <c r="Y50" s="16">
        <v>0.56666666666666665</v>
      </c>
      <c r="Z50" s="16">
        <f t="shared" si="3"/>
        <v>4.5833333333333282E-2</v>
      </c>
      <c r="AA50" s="16">
        <f t="shared" si="4"/>
        <v>1.4583333333333282E-2</v>
      </c>
      <c r="AB50" s="16">
        <v>0.56736111111111109</v>
      </c>
      <c r="AC50" s="17"/>
      <c r="AD50" s="51"/>
    </row>
    <row r="51" spans="1:30" ht="19.5" thickBot="1" x14ac:dyDescent="0.3">
      <c r="A51" s="14">
        <v>12</v>
      </c>
      <c r="B51" s="15">
        <v>5898</v>
      </c>
      <c r="C51" s="15" t="str">
        <f>VLOOKUP(B51,'[1]21-1-2026'!$B$3:$T$35,2,)</f>
        <v>تلتين</v>
      </c>
      <c r="D51" s="16">
        <f>VLOOKUP(B51,'[1]21-1-2026'!$B$3:$T$35,3,)</f>
        <v>3.125E-2</v>
      </c>
      <c r="E51" s="15" t="s">
        <v>54</v>
      </c>
      <c r="F51" s="15" t="s">
        <v>68</v>
      </c>
      <c r="G51" s="16">
        <v>0.25</v>
      </c>
      <c r="H51" s="16">
        <f t="shared" si="6"/>
        <v>0.25</v>
      </c>
      <c r="I51" s="16">
        <f t="shared" si="0"/>
        <v>0</v>
      </c>
      <c r="J51" s="16">
        <v>0.4513888888888889</v>
      </c>
      <c r="K51" s="16">
        <v>0.49305555555555558</v>
      </c>
      <c r="L51" s="16" t="s">
        <v>112</v>
      </c>
      <c r="M51" s="16" t="s">
        <v>112</v>
      </c>
      <c r="N51" s="16">
        <f t="shared" si="1"/>
        <v>4.1666666666666685E-2</v>
      </c>
      <c r="O51" s="16">
        <f t="shared" si="2"/>
        <v>1.0416666666666685E-2</v>
      </c>
      <c r="P51" s="16">
        <v>6.9444444444444397E-3</v>
      </c>
      <c r="Q51" s="16">
        <v>0.49305555555555558</v>
      </c>
      <c r="R51" s="16">
        <v>0</v>
      </c>
      <c r="S51" s="16">
        <v>0.5</v>
      </c>
      <c r="T51" s="16">
        <f>VLOOKUP(E51,'[1]21-1-2026'!$E$36:$T$67,16,FALSE)</f>
        <v>1.0416666666666701E-2</v>
      </c>
      <c r="U51" s="16">
        <v>0.58680555555555558</v>
      </c>
      <c r="V51" s="16">
        <f t="shared" si="5"/>
        <v>7.638888888888884E-2</v>
      </c>
      <c r="W51" s="16">
        <v>4.1666666666666664E-2</v>
      </c>
      <c r="X51" s="16">
        <v>0.59027777777777779</v>
      </c>
      <c r="Y51" s="16">
        <v>0.61111111111111116</v>
      </c>
      <c r="Z51" s="16">
        <f t="shared" si="3"/>
        <v>2.083333333333337E-2</v>
      </c>
      <c r="AA51" s="16">
        <v>0</v>
      </c>
      <c r="AB51" s="16">
        <v>0.61458333333333337</v>
      </c>
      <c r="AC51" s="17"/>
      <c r="AD51" s="51"/>
    </row>
    <row r="52" spans="1:30" ht="19.5" thickBot="1" x14ac:dyDescent="0.3">
      <c r="A52" s="14">
        <v>13</v>
      </c>
      <c r="B52" s="15">
        <v>2695</v>
      </c>
      <c r="C52" s="15" t="str">
        <f>VLOOKUP(B52,'[1]21-1-2026'!$B$3:$T$35,2,)</f>
        <v>تلتين</v>
      </c>
      <c r="D52" s="16">
        <f>VLOOKUP(B52,'[1]21-1-2026'!$B$3:$T$35,3,)</f>
        <v>3.125E-2</v>
      </c>
      <c r="E52" s="15" t="s">
        <v>73</v>
      </c>
      <c r="F52" s="15" t="s">
        <v>31</v>
      </c>
      <c r="G52" s="16">
        <v>0.25</v>
      </c>
      <c r="H52" s="16">
        <f t="shared" si="6"/>
        <v>0.25</v>
      </c>
      <c r="I52" s="16">
        <f t="shared" si="0"/>
        <v>0</v>
      </c>
      <c r="J52" s="16">
        <v>0.4513888888888889</v>
      </c>
      <c r="K52" s="16">
        <v>0.5</v>
      </c>
      <c r="L52" s="16" t="s">
        <v>113</v>
      </c>
      <c r="M52" s="16" t="s">
        <v>113</v>
      </c>
      <c r="N52" s="16">
        <f t="shared" si="1"/>
        <v>4.8611111111111105E-2</v>
      </c>
      <c r="O52" s="16">
        <f t="shared" si="2"/>
        <v>1.7361111111111105E-2</v>
      </c>
      <c r="P52" s="16">
        <v>6.9444444444444397E-3</v>
      </c>
      <c r="Q52" s="16">
        <v>0.5</v>
      </c>
      <c r="R52" s="16">
        <v>0</v>
      </c>
      <c r="S52" s="16">
        <v>0.50347222222222221</v>
      </c>
      <c r="T52" s="16">
        <f>VLOOKUP(E52,'[1]21-1-2026'!$E$36:$T$67,16,FALSE)</f>
        <v>3.4722222222222203E-2</v>
      </c>
      <c r="U52" s="16">
        <v>0.54513888888888895</v>
      </c>
      <c r="V52" s="16">
        <f t="shared" si="5"/>
        <v>6.9444444444445308E-3</v>
      </c>
      <c r="W52" s="16">
        <v>3.125E-2</v>
      </c>
      <c r="X52" s="16">
        <v>0.54861111111111105</v>
      </c>
      <c r="Y52" s="16">
        <v>0.59722222222222221</v>
      </c>
      <c r="Z52" s="16">
        <f t="shared" si="3"/>
        <v>4.861111111111116E-2</v>
      </c>
      <c r="AA52" s="16">
        <f t="shared" si="4"/>
        <v>1.736111111111116E-2</v>
      </c>
      <c r="AB52" s="16">
        <v>0.60069444444444442</v>
      </c>
      <c r="AC52" s="17"/>
      <c r="AD52" s="51"/>
    </row>
    <row r="53" spans="1:30" ht="19.5" thickBot="1" x14ac:dyDescent="0.3">
      <c r="A53" s="14">
        <v>14</v>
      </c>
      <c r="B53" s="15">
        <v>2695</v>
      </c>
      <c r="C53" s="15" t="str">
        <f>VLOOKUP(B53,'[1]21-1-2026'!$B$3:$T$35,2,)</f>
        <v>تلتين</v>
      </c>
      <c r="D53" s="16">
        <f>VLOOKUP(B53,'[1]21-1-2026'!$B$3:$T$35,3,)</f>
        <v>3.125E-2</v>
      </c>
      <c r="E53" s="15" t="s">
        <v>35</v>
      </c>
      <c r="F53" s="15" t="s">
        <v>31</v>
      </c>
      <c r="G53" s="16">
        <v>0.25</v>
      </c>
      <c r="H53" s="16">
        <f t="shared" si="6"/>
        <v>0.25</v>
      </c>
      <c r="I53" s="16">
        <f t="shared" si="0"/>
        <v>0</v>
      </c>
      <c r="J53" s="16">
        <v>0.4513888888888889</v>
      </c>
      <c r="K53" s="16">
        <v>0.5</v>
      </c>
      <c r="L53" s="16" t="s">
        <v>113</v>
      </c>
      <c r="M53" s="16" t="s">
        <v>113</v>
      </c>
      <c r="N53" s="16">
        <f t="shared" si="1"/>
        <v>4.8611111111111105E-2</v>
      </c>
      <c r="O53" s="16">
        <f t="shared" si="2"/>
        <v>1.7361111111111105E-2</v>
      </c>
      <c r="P53" s="16">
        <v>6.9444444444444397E-3</v>
      </c>
      <c r="Q53" s="16">
        <v>0.5</v>
      </c>
      <c r="R53" s="16">
        <v>0</v>
      </c>
      <c r="S53" s="16">
        <v>0.50347222222222221</v>
      </c>
      <c r="T53" s="16">
        <v>1.0416666666666666E-2</v>
      </c>
      <c r="U53" s="16">
        <v>0.61111111111111105</v>
      </c>
      <c r="V53" s="16">
        <v>0</v>
      </c>
      <c r="W53" s="16">
        <v>4.1666666666666664E-2</v>
      </c>
      <c r="X53" s="16">
        <v>0.61458333333333337</v>
      </c>
      <c r="Y53" s="16">
        <v>0.63888888888888895</v>
      </c>
      <c r="Z53" s="16">
        <f t="shared" si="3"/>
        <v>2.430555555555558E-2</v>
      </c>
      <c r="AA53" s="16">
        <v>0</v>
      </c>
      <c r="AB53" s="16">
        <v>0.64930555555555558</v>
      </c>
      <c r="AC53" s="17"/>
      <c r="AD53" s="51"/>
    </row>
    <row r="54" spans="1:30" ht="19.5" thickBot="1" x14ac:dyDescent="0.3">
      <c r="A54" s="14">
        <v>15</v>
      </c>
      <c r="B54" s="15">
        <v>4879</v>
      </c>
      <c r="C54" s="15" t="str">
        <f>VLOOKUP(B54,'[1]21-1-2026'!$B$3:$T$35,2,)</f>
        <v>دبابة</v>
      </c>
      <c r="D54" s="16">
        <f>VLOOKUP(B54,'[1]21-1-2026'!$B$3:$T$35,3,)</f>
        <v>2.0833333333333301E-2</v>
      </c>
      <c r="E54" s="15" t="s">
        <v>63</v>
      </c>
      <c r="F54" s="15" t="s">
        <v>80</v>
      </c>
      <c r="G54" s="16">
        <v>0.25</v>
      </c>
      <c r="H54" s="16">
        <f t="shared" si="6"/>
        <v>0.25</v>
      </c>
      <c r="I54" s="16">
        <f t="shared" si="0"/>
        <v>0</v>
      </c>
      <c r="J54" s="16">
        <v>0.46527777777777779</v>
      </c>
      <c r="K54" s="16">
        <v>0.48958333333333331</v>
      </c>
      <c r="L54" s="16" t="s">
        <v>107</v>
      </c>
      <c r="M54" s="16" t="s">
        <v>107</v>
      </c>
      <c r="N54" s="16">
        <f t="shared" si="1"/>
        <v>2.4305555555555525E-2</v>
      </c>
      <c r="O54" s="16">
        <f t="shared" si="2"/>
        <v>3.4722222222222238E-3</v>
      </c>
      <c r="P54" s="16">
        <v>6.9444444444444397E-3</v>
      </c>
      <c r="Q54" s="16">
        <v>0.48958333333333331</v>
      </c>
      <c r="R54" s="16">
        <v>0</v>
      </c>
      <c r="S54" s="16">
        <v>0.49305555555555558</v>
      </c>
      <c r="T54" s="16">
        <f>VLOOKUP(E54,'[1]21-1-2026'!$E$36:$T$67,16,FALSE)</f>
        <v>6.25E-2</v>
      </c>
      <c r="U54" s="16">
        <v>0.54861111111111105</v>
      </c>
      <c r="V54" s="16">
        <v>0</v>
      </c>
      <c r="W54" s="16">
        <v>3.125E-2</v>
      </c>
      <c r="X54" s="16">
        <v>0.55208333333333337</v>
      </c>
      <c r="Y54" s="16">
        <v>0.59861111111111109</v>
      </c>
      <c r="Z54" s="16">
        <f t="shared" si="3"/>
        <v>4.6527777777777724E-2</v>
      </c>
      <c r="AA54" s="16">
        <f t="shared" si="4"/>
        <v>1.5277777777777724E-2</v>
      </c>
      <c r="AB54" s="16">
        <v>0.60416666666666663</v>
      </c>
      <c r="AC54" s="17"/>
      <c r="AD54" s="51"/>
    </row>
    <row r="55" spans="1:30" ht="19.5" thickBot="1" x14ac:dyDescent="0.3">
      <c r="A55" s="14">
        <v>16</v>
      </c>
      <c r="B55" s="15">
        <v>7435</v>
      </c>
      <c r="C55" s="15" t="str">
        <f>VLOOKUP(B55,'[1]21-1-2026'!$B$3:$T$35,2,)</f>
        <v>تلتين</v>
      </c>
      <c r="D55" s="16">
        <f>VLOOKUP(B55,'[1]21-1-2026'!$B$3:$T$35,3,)</f>
        <v>3.125E-2</v>
      </c>
      <c r="E55" s="15" t="s">
        <v>49</v>
      </c>
      <c r="F55" s="15" t="s">
        <v>74</v>
      </c>
      <c r="G55" s="16">
        <v>0.25</v>
      </c>
      <c r="H55" s="16">
        <f t="shared" si="6"/>
        <v>0.25</v>
      </c>
      <c r="I55" s="16">
        <f t="shared" si="0"/>
        <v>0</v>
      </c>
      <c r="J55" s="16">
        <v>0.4826388888888889</v>
      </c>
      <c r="K55" s="16">
        <v>0.5</v>
      </c>
      <c r="L55" s="16" t="s">
        <v>85</v>
      </c>
      <c r="M55" s="16" t="s">
        <v>85</v>
      </c>
      <c r="N55" s="16">
        <f t="shared" si="1"/>
        <v>1.7361111111111105E-2</v>
      </c>
      <c r="O55" s="16">
        <v>0</v>
      </c>
      <c r="P55" s="16">
        <v>6.9444444444444397E-3</v>
      </c>
      <c r="Q55" s="16">
        <v>0.5</v>
      </c>
      <c r="R55" s="16">
        <v>0</v>
      </c>
      <c r="S55" s="16">
        <v>0.50694444444444442</v>
      </c>
      <c r="T55" s="16">
        <f>VLOOKUP(E55,'[1]21-1-2026'!$E$36:$T$67,16,FALSE)</f>
        <v>3.4722222222222203E-2</v>
      </c>
      <c r="U55" s="16">
        <v>0.52986111111111112</v>
      </c>
      <c r="V55" s="16">
        <v>0</v>
      </c>
      <c r="W55" s="16">
        <v>4.1666666666666664E-2</v>
      </c>
      <c r="X55" s="16">
        <v>0.53333333333333333</v>
      </c>
      <c r="Y55" s="16">
        <v>0.57291666666666663</v>
      </c>
      <c r="Z55" s="16">
        <f t="shared" si="3"/>
        <v>3.9583333333333304E-2</v>
      </c>
      <c r="AA55" s="16">
        <v>0</v>
      </c>
      <c r="AB55" s="16">
        <v>0.57499999999999996</v>
      </c>
      <c r="AC55" s="17"/>
      <c r="AD55" s="51"/>
    </row>
    <row r="56" spans="1:30" ht="19.5" thickBot="1" x14ac:dyDescent="0.3">
      <c r="A56" s="14">
        <v>17</v>
      </c>
      <c r="B56" s="15">
        <v>3793</v>
      </c>
      <c r="C56" s="15" t="str">
        <f>VLOOKUP(B56,'[1]21-1-2026'!$B$3:$T$35,2,)</f>
        <v>دبابة</v>
      </c>
      <c r="D56" s="16">
        <f>VLOOKUP(B56,'[1]21-1-2026'!$B$3:$T$35,3,)</f>
        <v>2.0833333333333301E-2</v>
      </c>
      <c r="E56" s="15" t="s">
        <v>61</v>
      </c>
      <c r="F56" s="15" t="s">
        <v>93</v>
      </c>
      <c r="G56" s="16">
        <v>0.25</v>
      </c>
      <c r="H56" s="16">
        <f t="shared" si="6"/>
        <v>0.25</v>
      </c>
      <c r="I56" s="16">
        <f t="shared" si="0"/>
        <v>0</v>
      </c>
      <c r="J56" s="16">
        <v>0.47222222222222221</v>
      </c>
      <c r="K56" s="16">
        <v>0.49305555555555558</v>
      </c>
      <c r="L56" s="16" t="s">
        <v>105</v>
      </c>
      <c r="M56" s="16" t="s">
        <v>105</v>
      </c>
      <c r="N56" s="16">
        <f t="shared" si="1"/>
        <v>2.083333333333337E-2</v>
      </c>
      <c r="O56" s="16">
        <f t="shared" si="2"/>
        <v>6.9388939039072284E-17</v>
      </c>
      <c r="P56" s="16">
        <v>6.9444444444444397E-3</v>
      </c>
      <c r="Q56" s="16">
        <v>0.49305555555555558</v>
      </c>
      <c r="R56" s="16">
        <v>0</v>
      </c>
      <c r="S56" s="16">
        <v>0.5</v>
      </c>
      <c r="T56" s="16">
        <f>VLOOKUP(E56,'[1]21-1-2026'!$E$36:$T$67,16,FALSE)</f>
        <v>3.4722222222222203E-2</v>
      </c>
      <c r="U56" s="16">
        <v>0.53819444444444442</v>
      </c>
      <c r="V56" s="16">
        <f t="shared" si="5"/>
        <v>3.4722222222222099E-3</v>
      </c>
      <c r="W56" s="16">
        <v>3.125E-2</v>
      </c>
      <c r="X56" s="16">
        <v>0.54027777777777775</v>
      </c>
      <c r="Y56" s="16">
        <v>0.56388888888888888</v>
      </c>
      <c r="Z56" s="16">
        <f t="shared" si="3"/>
        <v>2.3611111111111138E-2</v>
      </c>
      <c r="AA56" s="16">
        <v>0</v>
      </c>
      <c r="AB56" s="16">
        <v>0.56597222222222221</v>
      </c>
      <c r="AC56" s="17"/>
      <c r="AD56" s="51"/>
    </row>
    <row r="57" spans="1:30" ht="19.5" thickBot="1" x14ac:dyDescent="0.3">
      <c r="A57" s="14">
        <v>18</v>
      </c>
      <c r="B57" s="15">
        <v>3891</v>
      </c>
      <c r="C57" s="15" t="str">
        <f>VLOOKUP(B57,'[1]21-1-2026'!$B$3:$T$35,2,)</f>
        <v>تلتين</v>
      </c>
      <c r="D57" s="16">
        <f>VLOOKUP(B57,'[1]21-1-2026'!$B$3:$T$35,3,)</f>
        <v>3.125E-2</v>
      </c>
      <c r="E57" s="15" t="s">
        <v>81</v>
      </c>
      <c r="F57" s="15" t="s">
        <v>66</v>
      </c>
      <c r="G57" s="16">
        <v>0.25</v>
      </c>
      <c r="H57" s="16">
        <f t="shared" si="6"/>
        <v>0.25</v>
      </c>
      <c r="I57" s="16">
        <f t="shared" si="0"/>
        <v>0</v>
      </c>
      <c r="J57" s="16">
        <v>0.4861111111111111</v>
      </c>
      <c r="K57" s="16">
        <v>0.52083333333333337</v>
      </c>
      <c r="L57" s="16" t="s">
        <v>97</v>
      </c>
      <c r="M57" s="16" t="s">
        <v>97</v>
      </c>
      <c r="N57" s="16">
        <f t="shared" si="1"/>
        <v>3.4722222222222265E-2</v>
      </c>
      <c r="O57" s="16">
        <f t="shared" si="2"/>
        <v>3.4722222222222654E-3</v>
      </c>
      <c r="P57" s="16">
        <v>6.9444444444444397E-3</v>
      </c>
      <c r="Q57" s="16">
        <v>0.52083333333333337</v>
      </c>
      <c r="R57" s="16">
        <v>0</v>
      </c>
      <c r="S57" s="16">
        <v>0.53125</v>
      </c>
      <c r="T57" s="16">
        <f>VLOOKUP(E57,'[1]21-1-2026'!$E$36:$T$67,16,FALSE)</f>
        <v>2.7777777777777801E-2</v>
      </c>
      <c r="U57" s="16">
        <v>0.57430555555555551</v>
      </c>
      <c r="V57" s="16">
        <f t="shared" si="5"/>
        <v>1.5277777777777724E-2</v>
      </c>
      <c r="W57" s="16">
        <v>4.1666666666666664E-2</v>
      </c>
      <c r="X57" s="16">
        <v>0.57708333333333328</v>
      </c>
      <c r="Y57" s="16">
        <v>0.64444444444444449</v>
      </c>
      <c r="Z57" s="16">
        <f t="shared" si="3"/>
        <v>6.7361111111111205E-2</v>
      </c>
      <c r="AA57" s="16">
        <f t="shared" si="4"/>
        <v>2.5694444444444541E-2</v>
      </c>
      <c r="AB57" s="16">
        <v>0.64583333333333337</v>
      </c>
      <c r="AC57" s="17"/>
      <c r="AD57" s="51"/>
    </row>
    <row r="58" spans="1:30" ht="19.5" thickBot="1" x14ac:dyDescent="0.3">
      <c r="A58" s="14">
        <v>19</v>
      </c>
      <c r="B58" s="15">
        <v>9652</v>
      </c>
      <c r="C58" s="15" t="s">
        <v>50</v>
      </c>
      <c r="D58" s="16">
        <v>4.1666666666666664E-2</v>
      </c>
      <c r="E58" s="15" t="s">
        <v>46</v>
      </c>
      <c r="F58" s="15" t="s">
        <v>87</v>
      </c>
      <c r="G58" s="16">
        <v>0.25</v>
      </c>
      <c r="H58" s="16">
        <f t="shared" si="6"/>
        <v>0.25</v>
      </c>
      <c r="I58" s="16">
        <f t="shared" si="0"/>
        <v>0</v>
      </c>
      <c r="J58" s="16">
        <v>0.51041666666666663</v>
      </c>
      <c r="K58" s="16">
        <v>0.54166666666666663</v>
      </c>
      <c r="L58" s="16" t="s">
        <v>88</v>
      </c>
      <c r="M58" s="16" t="s">
        <v>88</v>
      </c>
      <c r="N58" s="16">
        <f t="shared" si="1"/>
        <v>3.125E-2</v>
      </c>
      <c r="O58" s="16">
        <v>0</v>
      </c>
      <c r="P58" s="16">
        <v>6.9444444444444397E-3</v>
      </c>
      <c r="Q58" s="16">
        <v>0.54166666666666663</v>
      </c>
      <c r="R58" s="16">
        <v>0</v>
      </c>
      <c r="S58" s="16">
        <v>0.54861111111111116</v>
      </c>
      <c r="T58" s="16">
        <f>VLOOKUP(E58,'[1]21-1-2026'!$E$36:$T$67,16,FALSE)</f>
        <v>3.4722222222222203E-2</v>
      </c>
      <c r="U58" s="16">
        <v>0</v>
      </c>
      <c r="V58" s="16">
        <v>0</v>
      </c>
      <c r="W58" s="16">
        <v>4.1666666666666664E-2</v>
      </c>
      <c r="X58" s="16">
        <v>0</v>
      </c>
      <c r="Y58" s="16">
        <v>0</v>
      </c>
      <c r="Z58" s="16">
        <f t="shared" si="3"/>
        <v>0</v>
      </c>
      <c r="AA58" s="16">
        <v>0</v>
      </c>
      <c r="AB58" s="16">
        <v>0</v>
      </c>
      <c r="AC58" s="17"/>
      <c r="AD58" s="51"/>
    </row>
    <row r="59" spans="1:30" ht="19.5" thickBot="1" x14ac:dyDescent="0.3">
      <c r="A59" s="14">
        <v>20</v>
      </c>
      <c r="B59" s="15">
        <v>2714</v>
      </c>
      <c r="C59" s="15" t="str">
        <f>VLOOKUP(B59,'[1]21-1-2026'!$B$3:$T$35,2,)</f>
        <v>تلتين</v>
      </c>
      <c r="D59" s="16">
        <f>VLOOKUP(B59,'[1]21-1-2026'!$B$3:$T$35,3,)</f>
        <v>3.125E-2</v>
      </c>
      <c r="E59" s="15" t="s">
        <v>57</v>
      </c>
      <c r="F59" s="15" t="s">
        <v>114</v>
      </c>
      <c r="G59" s="16">
        <v>0.25</v>
      </c>
      <c r="H59" s="16">
        <v>0.25</v>
      </c>
      <c r="I59" s="16">
        <f t="shared" si="0"/>
        <v>0</v>
      </c>
      <c r="J59" s="16">
        <v>0.51041666666666663</v>
      </c>
      <c r="K59" s="16">
        <v>0.54166666666666663</v>
      </c>
      <c r="L59" s="16" t="s">
        <v>113</v>
      </c>
      <c r="M59" s="16" t="s">
        <v>113</v>
      </c>
      <c r="N59" s="16">
        <f t="shared" si="1"/>
        <v>3.125E-2</v>
      </c>
      <c r="O59" s="16">
        <f t="shared" si="2"/>
        <v>0</v>
      </c>
      <c r="P59" s="16">
        <v>6.9444444444444397E-3</v>
      </c>
      <c r="Q59" s="16">
        <v>0.54166666666666663</v>
      </c>
      <c r="R59" s="16">
        <v>0</v>
      </c>
      <c r="S59" s="16">
        <v>0.54513888888888884</v>
      </c>
      <c r="T59" s="16">
        <f>VLOOKUP(E59,'[1]21-1-2026'!$E$36:$T$67,16,FALSE)</f>
        <v>1.7361111111111101E-2</v>
      </c>
      <c r="U59" s="16">
        <v>0.5625</v>
      </c>
      <c r="V59" s="16">
        <f t="shared" si="5"/>
        <v>0</v>
      </c>
      <c r="W59" s="16">
        <v>4.1666666666666664E-2</v>
      </c>
      <c r="X59" s="16">
        <v>0.56944444444444442</v>
      </c>
      <c r="Y59" s="16">
        <v>0.61805555555555558</v>
      </c>
      <c r="Z59" s="16">
        <f t="shared" si="3"/>
        <v>4.861111111111116E-2</v>
      </c>
      <c r="AA59" s="16">
        <f t="shared" si="4"/>
        <v>6.9444444444444961E-3</v>
      </c>
      <c r="AB59" s="16">
        <v>0.62152777777777779</v>
      </c>
      <c r="AC59" s="17"/>
      <c r="AD59" s="51"/>
    </row>
    <row r="60" spans="1:30" ht="19.5" thickBot="1" x14ac:dyDescent="0.3">
      <c r="A60" s="14">
        <v>21</v>
      </c>
      <c r="B60" s="15">
        <v>3787</v>
      </c>
      <c r="C60" s="15" t="str">
        <f>VLOOKUP(B60,'[1]21-1-2026'!$B$3:$T$35,2,)</f>
        <v>دبابة</v>
      </c>
      <c r="D60" s="16">
        <f>VLOOKUP(B60,'[1]21-1-2026'!$B$3:$T$35,3,)</f>
        <v>2.0833333333333301E-2</v>
      </c>
      <c r="E60" s="15" t="s">
        <v>69</v>
      </c>
      <c r="F60" s="15" t="s">
        <v>82</v>
      </c>
      <c r="G60" s="16">
        <v>0.25</v>
      </c>
      <c r="H60" s="16">
        <f>VLOOKUP(F60,$F$3:$H$35,3,FALSE)</f>
        <v>0.25</v>
      </c>
      <c r="I60" s="16">
        <f t="shared" si="0"/>
        <v>0</v>
      </c>
      <c r="J60" s="16">
        <v>0.52083333333333337</v>
      </c>
      <c r="K60" s="16">
        <v>0.56597222222222221</v>
      </c>
      <c r="L60" s="16" t="s">
        <v>109</v>
      </c>
      <c r="M60" s="16" t="s">
        <v>110</v>
      </c>
      <c r="N60" s="16">
        <f t="shared" si="1"/>
        <v>4.513888888888884E-2</v>
      </c>
      <c r="O60" s="16">
        <f t="shared" si="2"/>
        <v>2.4305555555555539E-2</v>
      </c>
      <c r="P60" s="16">
        <v>6.9444444444444397E-3</v>
      </c>
      <c r="Q60" s="16">
        <v>0.56597222222222221</v>
      </c>
      <c r="R60" s="16">
        <v>0</v>
      </c>
      <c r="S60" s="16">
        <v>0.55555555555555558</v>
      </c>
      <c r="T60" s="16">
        <f>VLOOKUP(E60,'[1]21-1-2026'!$E$36:$T$67,16,FALSE)</f>
        <v>1.38888888888889E-2</v>
      </c>
      <c r="U60" s="16">
        <v>0.59027777777777779</v>
      </c>
      <c r="V60" s="16">
        <f t="shared" si="5"/>
        <v>2.0833333333333259E-2</v>
      </c>
      <c r="W60" s="16">
        <v>3.125E-2</v>
      </c>
      <c r="X60" s="16">
        <v>0.60763888888888895</v>
      </c>
      <c r="Y60" s="16">
        <v>0.72569444444444453</v>
      </c>
      <c r="Z60" s="16">
        <f t="shared" si="3"/>
        <v>0.11805555555555558</v>
      </c>
      <c r="AA60" s="16">
        <f t="shared" si="4"/>
        <v>8.680555555555558E-2</v>
      </c>
      <c r="AB60" s="16">
        <v>0.7270833333333333</v>
      </c>
      <c r="AC60" s="17"/>
      <c r="AD60" s="51"/>
    </row>
    <row r="61" spans="1:30" ht="19.5" thickBot="1" x14ac:dyDescent="0.3">
      <c r="A61" s="14">
        <v>22</v>
      </c>
      <c r="B61" s="15">
        <v>6231</v>
      </c>
      <c r="C61" s="15" t="s">
        <v>50</v>
      </c>
      <c r="D61" s="16">
        <v>4.1666666666666664E-2</v>
      </c>
      <c r="E61" s="15" t="s">
        <v>34</v>
      </c>
      <c r="F61" s="15" t="s">
        <v>52</v>
      </c>
      <c r="G61" s="16">
        <v>0.25</v>
      </c>
      <c r="H61" s="16">
        <f>VLOOKUP(F61,$F$3:$H$35,3,FALSE)</f>
        <v>0.25</v>
      </c>
      <c r="I61" s="16">
        <f t="shared" si="0"/>
        <v>0</v>
      </c>
      <c r="J61" s="16">
        <v>0.50694444444444442</v>
      </c>
      <c r="K61" s="16">
        <v>0.54513888888888884</v>
      </c>
      <c r="L61" s="16" t="s">
        <v>94</v>
      </c>
      <c r="M61" s="16" t="s">
        <v>94</v>
      </c>
      <c r="N61" s="16">
        <f t="shared" si="1"/>
        <v>3.819444444444442E-2</v>
      </c>
      <c r="O61" s="16">
        <v>0</v>
      </c>
      <c r="P61" s="16">
        <v>6.9444444444444397E-3</v>
      </c>
      <c r="Q61" s="16">
        <v>0.54513888888888884</v>
      </c>
      <c r="R61" s="16">
        <v>0</v>
      </c>
      <c r="S61" s="16">
        <v>0.55555555555555558</v>
      </c>
      <c r="T61" s="16">
        <f>VLOOKUP(E61,'[1]21-1-2026'!$E$36:$T$67,16,FALSE)</f>
        <v>1.0416666666666701E-2</v>
      </c>
      <c r="U61" s="16">
        <v>0</v>
      </c>
      <c r="V61" s="16">
        <v>0</v>
      </c>
      <c r="W61" s="16">
        <v>4.1666666666666664E-2</v>
      </c>
      <c r="X61" s="16">
        <v>0</v>
      </c>
      <c r="Y61" s="16">
        <v>0</v>
      </c>
      <c r="Z61" s="16">
        <f t="shared" si="3"/>
        <v>0</v>
      </c>
      <c r="AA61" s="16">
        <v>0</v>
      </c>
      <c r="AB61" s="16">
        <v>0</v>
      </c>
      <c r="AC61" s="17"/>
      <c r="AD61" s="51"/>
    </row>
    <row r="62" spans="1:30" ht="19.5" thickBot="1" x14ac:dyDescent="0.3">
      <c r="A62" s="14">
        <v>23</v>
      </c>
      <c r="B62" s="15">
        <v>3492</v>
      </c>
      <c r="C62" s="15" t="str">
        <f>VLOOKUP(B62,'[1]21-1-2026'!$B$3:$T$35,2,)</f>
        <v>تلتين</v>
      </c>
      <c r="D62" s="16">
        <f>VLOOKUP(B62,'[1]21-1-2026'!$B$3:$T$35,3,)</f>
        <v>3.125E-2</v>
      </c>
      <c r="E62" s="16" t="s">
        <v>70</v>
      </c>
      <c r="F62" s="15" t="s">
        <v>64</v>
      </c>
      <c r="G62" s="16">
        <v>0.25</v>
      </c>
      <c r="H62" s="16">
        <f>VLOOKUP(F62,$F$3:$H$35,3,FALSE)</f>
        <v>0.25</v>
      </c>
      <c r="I62" s="16">
        <f t="shared" si="0"/>
        <v>0</v>
      </c>
      <c r="J62" s="16">
        <v>0.50347222222222221</v>
      </c>
      <c r="K62" s="16">
        <v>0.54166666666666663</v>
      </c>
      <c r="L62" s="16" t="s">
        <v>107</v>
      </c>
      <c r="M62" s="16" t="s">
        <v>107</v>
      </c>
      <c r="N62" s="16">
        <f t="shared" si="1"/>
        <v>3.819444444444442E-2</v>
      </c>
      <c r="O62" s="16">
        <f t="shared" si="2"/>
        <v>6.9444444444444198E-3</v>
      </c>
      <c r="P62" s="16">
        <v>6.9444444444444397E-3</v>
      </c>
      <c r="Q62" s="16">
        <v>0.54166666666666663</v>
      </c>
      <c r="R62" s="16">
        <v>0</v>
      </c>
      <c r="S62" s="16">
        <v>0.55555555555555558</v>
      </c>
      <c r="T62" s="16">
        <f>VLOOKUP(E62,'[1]21-1-2026'!$E$36:$T$67,16,FALSE)</f>
        <v>1.0416666666666701E-2</v>
      </c>
      <c r="U62" s="16">
        <v>0.56944444444444442</v>
      </c>
      <c r="V62" s="16">
        <f t="shared" si="5"/>
        <v>3.4722222222220989E-3</v>
      </c>
      <c r="W62" s="16">
        <v>3.125E-2</v>
      </c>
      <c r="X62" s="16">
        <v>0.57638888888888895</v>
      </c>
      <c r="Y62" s="16">
        <v>0.60416666666666663</v>
      </c>
      <c r="Z62" s="16">
        <f t="shared" si="3"/>
        <v>2.7777777777777679E-2</v>
      </c>
      <c r="AA62" s="16">
        <v>0</v>
      </c>
      <c r="AB62" s="16">
        <v>0.60763888888888895</v>
      </c>
      <c r="AC62" s="17"/>
      <c r="AD62" s="51"/>
    </row>
    <row r="63" spans="1:30" ht="19.5" thickBot="1" x14ac:dyDescent="0.3">
      <c r="A63" s="14">
        <v>24</v>
      </c>
      <c r="B63" s="15">
        <v>3492</v>
      </c>
      <c r="C63" s="15" t="str">
        <f>VLOOKUP(B63,'[1]21-1-2026'!$B$3:$T$35,2,)</f>
        <v>تلتين</v>
      </c>
      <c r="D63" s="16">
        <f>VLOOKUP(B63,'[1]21-1-2026'!$B$3:$T$35,3,)</f>
        <v>3.125E-2</v>
      </c>
      <c r="E63" s="15" t="s">
        <v>79</v>
      </c>
      <c r="F63" s="15" t="s">
        <v>64</v>
      </c>
      <c r="G63" s="16">
        <v>0.25</v>
      </c>
      <c r="H63" s="16">
        <f>VLOOKUP(F63,$F$3:$H$35,3,FALSE)</f>
        <v>0.25</v>
      </c>
      <c r="I63" s="16">
        <f t="shared" si="0"/>
        <v>0</v>
      </c>
      <c r="J63" s="16">
        <v>0.50347222222222221</v>
      </c>
      <c r="K63" s="16">
        <v>0.54166666666666663</v>
      </c>
      <c r="L63" s="16" t="s">
        <v>107</v>
      </c>
      <c r="M63" s="16" t="s">
        <v>107</v>
      </c>
      <c r="N63" s="16">
        <f t="shared" si="1"/>
        <v>3.819444444444442E-2</v>
      </c>
      <c r="O63" s="16">
        <f t="shared" si="2"/>
        <v>6.9444444444444198E-3</v>
      </c>
      <c r="P63" s="16">
        <v>6.9444444444444397E-3</v>
      </c>
      <c r="Q63" s="16">
        <v>0.54166666666666663</v>
      </c>
      <c r="R63" s="16">
        <v>0</v>
      </c>
      <c r="S63" s="16">
        <v>0.55555555555555558</v>
      </c>
      <c r="T63" s="16">
        <f>VLOOKUP(E63,'[1]21-1-2026'!$E$36:$T$67,16,FALSE)</f>
        <v>2.0833333333333301E-2</v>
      </c>
      <c r="U63" s="16">
        <v>0.625</v>
      </c>
      <c r="V63" s="16">
        <v>6.9444444444444441E-3</v>
      </c>
      <c r="W63" s="16">
        <v>4.1666666666666664E-2</v>
      </c>
      <c r="X63" s="16">
        <v>0.62847222222222221</v>
      </c>
      <c r="Y63" s="16">
        <v>0.67361111111111116</v>
      </c>
      <c r="Z63" s="16">
        <f t="shared" si="3"/>
        <v>4.5138888888888951E-2</v>
      </c>
      <c r="AA63" s="16">
        <f t="shared" si="4"/>
        <v>3.4722222222222862E-3</v>
      </c>
      <c r="AB63" s="16">
        <v>0.67708333333333337</v>
      </c>
      <c r="AC63" s="17"/>
      <c r="AD63" s="51"/>
    </row>
    <row r="64" spans="1:30" ht="19.5" thickBot="1" x14ac:dyDescent="0.3">
      <c r="A64" s="14">
        <v>25</v>
      </c>
      <c r="B64" s="15">
        <v>8527</v>
      </c>
      <c r="C64" s="15" t="s">
        <v>50</v>
      </c>
      <c r="D64" s="16">
        <v>4.1666666666666664E-2</v>
      </c>
      <c r="E64" s="15" t="s">
        <v>30</v>
      </c>
      <c r="F64" s="15" t="s">
        <v>115</v>
      </c>
      <c r="G64" s="16">
        <v>0.25</v>
      </c>
      <c r="H64" s="16">
        <v>0.25</v>
      </c>
      <c r="I64" s="16">
        <f t="shared" si="0"/>
        <v>0</v>
      </c>
      <c r="J64" s="16">
        <v>0.54861111111111116</v>
      </c>
      <c r="K64" s="16">
        <v>0.56597222222222221</v>
      </c>
      <c r="L64" s="16" t="s">
        <v>111</v>
      </c>
      <c r="M64" s="16" t="s">
        <v>111</v>
      </c>
      <c r="N64" s="16">
        <f t="shared" si="1"/>
        <v>1.7361111111111049E-2</v>
      </c>
      <c r="O64" s="16">
        <v>0</v>
      </c>
      <c r="P64" s="16">
        <v>6.9444444444444397E-3</v>
      </c>
      <c r="Q64" s="16">
        <v>0.56597222222222221</v>
      </c>
      <c r="R64" s="16">
        <v>0</v>
      </c>
      <c r="S64" s="16">
        <v>0.56944444444444442</v>
      </c>
      <c r="T64" s="16">
        <f>VLOOKUP(E64,'[1]21-1-2026'!$E$36:$T$67,16,FALSE)</f>
        <v>1.38888888888889E-2</v>
      </c>
      <c r="U64" s="16">
        <v>0</v>
      </c>
      <c r="V64" s="16">
        <v>0</v>
      </c>
      <c r="W64" s="16">
        <v>4.1666666666666664E-2</v>
      </c>
      <c r="X64" s="16">
        <v>0</v>
      </c>
      <c r="Y64" s="16">
        <v>0</v>
      </c>
      <c r="Z64" s="16">
        <f t="shared" si="3"/>
        <v>0</v>
      </c>
      <c r="AA64" s="16">
        <v>0</v>
      </c>
      <c r="AB64" s="16">
        <v>0</v>
      </c>
      <c r="AC64" s="17"/>
      <c r="AD64" s="51"/>
    </row>
    <row r="65" spans="1:30" ht="19.5" thickBot="1" x14ac:dyDescent="0.3">
      <c r="A65" s="14">
        <v>26</v>
      </c>
      <c r="B65" s="15">
        <v>1538</v>
      </c>
      <c r="C65" s="15" t="str">
        <f>VLOOKUP(B65,'[1]21-1-2026'!$B$3:$T$35,2,)</f>
        <v>تلتين</v>
      </c>
      <c r="D65" s="16">
        <f>VLOOKUP(B65,'[1]21-1-2026'!$B$3:$T$35,3,)</f>
        <v>3.125E-2</v>
      </c>
      <c r="E65" s="15" t="s">
        <v>72</v>
      </c>
      <c r="F65" s="15" t="s">
        <v>62</v>
      </c>
      <c r="G65" s="16">
        <v>0.25</v>
      </c>
      <c r="H65" s="16">
        <f t="shared" ref="H65:H80" si="7">VLOOKUP(F65,$F$3:$H$35,3,FALSE)</f>
        <v>0.25</v>
      </c>
      <c r="I65" s="16">
        <f t="shared" si="0"/>
        <v>0</v>
      </c>
      <c r="J65" s="16">
        <v>0.53472222222222221</v>
      </c>
      <c r="K65" s="16">
        <v>0.5625</v>
      </c>
      <c r="L65" s="16" t="s">
        <v>108</v>
      </c>
      <c r="M65" s="16" t="s">
        <v>108</v>
      </c>
      <c r="N65" s="16">
        <f t="shared" si="1"/>
        <v>2.777777777777779E-2</v>
      </c>
      <c r="O65" s="16">
        <v>0</v>
      </c>
      <c r="P65" s="16">
        <v>6.9444444444444397E-3</v>
      </c>
      <c r="Q65" s="16">
        <v>0.5625</v>
      </c>
      <c r="R65" s="16">
        <v>0</v>
      </c>
      <c r="S65" s="16">
        <v>0.56944444444444442</v>
      </c>
      <c r="T65" s="16">
        <f>VLOOKUP(E65,'[1]21-1-2026'!$E$36:$T$67,16,FALSE)</f>
        <v>1.0416666666666701E-2</v>
      </c>
      <c r="U65" s="16">
        <v>0.59027777777777779</v>
      </c>
      <c r="V65" s="16">
        <f t="shared" si="5"/>
        <v>1.041666666666663E-2</v>
      </c>
      <c r="W65" s="16">
        <v>3.125E-2</v>
      </c>
      <c r="X65" s="16">
        <v>0.59583333333333333</v>
      </c>
      <c r="Y65" s="16">
        <v>0.61805555555555558</v>
      </c>
      <c r="Z65" s="16">
        <f t="shared" si="3"/>
        <v>2.2222222222222254E-2</v>
      </c>
      <c r="AA65" s="16">
        <v>0</v>
      </c>
      <c r="AB65" s="16">
        <v>0.61944444444444446</v>
      </c>
      <c r="AC65" s="17"/>
      <c r="AD65" s="51"/>
    </row>
    <row r="66" spans="1:30" ht="19.5" thickBot="1" x14ac:dyDescent="0.3">
      <c r="A66" s="14">
        <v>27</v>
      </c>
      <c r="B66" s="15">
        <v>1538</v>
      </c>
      <c r="C66" s="15" t="str">
        <f>VLOOKUP(B66,'[1]21-1-2026'!$B$3:$T$35,2,)</f>
        <v>تلتين</v>
      </c>
      <c r="D66" s="16">
        <f>VLOOKUP(B66,'[1]21-1-2026'!$B$3:$T$35,3,)</f>
        <v>3.125E-2</v>
      </c>
      <c r="E66" s="15" t="s">
        <v>92</v>
      </c>
      <c r="F66" s="15" t="s">
        <v>62</v>
      </c>
      <c r="G66" s="16">
        <v>0.25</v>
      </c>
      <c r="H66" s="16">
        <f t="shared" si="7"/>
        <v>0.25</v>
      </c>
      <c r="I66" s="16">
        <f t="shared" si="0"/>
        <v>0</v>
      </c>
      <c r="J66" s="16">
        <v>0.53472222222222221</v>
      </c>
      <c r="K66" s="16">
        <v>0.5625</v>
      </c>
      <c r="L66" s="16" t="s">
        <v>108</v>
      </c>
      <c r="M66" s="16" t="s">
        <v>108</v>
      </c>
      <c r="N66" s="16">
        <f t="shared" si="1"/>
        <v>2.777777777777779E-2</v>
      </c>
      <c r="O66" s="16">
        <v>0</v>
      </c>
      <c r="P66" s="16">
        <v>6.9444444444444397E-3</v>
      </c>
      <c r="Q66" s="16">
        <v>0.5625</v>
      </c>
      <c r="R66" s="16">
        <v>0</v>
      </c>
      <c r="S66" s="16">
        <v>0.56944444444444442</v>
      </c>
      <c r="T66" s="16">
        <f>VLOOKUP(E66,'[1]21-1-2026'!$E$36:$T$67,16,FALSE)</f>
        <v>1.38888888888889E-2</v>
      </c>
      <c r="U66" s="16">
        <v>0.625</v>
      </c>
      <c r="V66" s="16">
        <v>0</v>
      </c>
      <c r="W66" s="16">
        <v>4.1666666666666664E-2</v>
      </c>
      <c r="X66" s="16">
        <v>0.62847222222222221</v>
      </c>
      <c r="Y66" s="16">
        <v>0.65277777777777779</v>
      </c>
      <c r="Z66" s="16">
        <f t="shared" si="3"/>
        <v>2.430555555555558E-2</v>
      </c>
      <c r="AA66" s="16">
        <v>0</v>
      </c>
      <c r="AB66" s="16">
        <v>0.65625</v>
      </c>
      <c r="AC66" s="17"/>
      <c r="AD66" s="51"/>
    </row>
    <row r="67" spans="1:30" ht="19.5" thickBot="1" x14ac:dyDescent="0.3">
      <c r="A67" s="14">
        <v>28</v>
      </c>
      <c r="B67" s="15">
        <v>7464</v>
      </c>
      <c r="C67" s="15" t="str">
        <f>VLOOKUP(B67,'[1]21-1-2026'!$B$3:$T$35,2,)</f>
        <v>تلتين</v>
      </c>
      <c r="D67" s="16">
        <f>VLOOKUP(B67,'[1]21-1-2026'!$B$3:$T$35,3,)</f>
        <v>3.125E-2</v>
      </c>
      <c r="E67" s="15" t="s">
        <v>83</v>
      </c>
      <c r="F67" s="15" t="s">
        <v>47</v>
      </c>
      <c r="G67" s="16">
        <v>0.25</v>
      </c>
      <c r="H67" s="16">
        <f t="shared" si="7"/>
        <v>0.25</v>
      </c>
      <c r="I67" s="16">
        <f t="shared" si="0"/>
        <v>0</v>
      </c>
      <c r="J67" s="16">
        <v>0.52430555555555558</v>
      </c>
      <c r="K67" s="16">
        <v>0.57291666666666663</v>
      </c>
      <c r="L67" s="16" t="s">
        <v>108</v>
      </c>
      <c r="M67" s="16" t="s">
        <v>108</v>
      </c>
      <c r="N67" s="16">
        <f t="shared" si="1"/>
        <v>4.8611111111111049E-2</v>
      </c>
      <c r="O67" s="16">
        <f t="shared" si="2"/>
        <v>1.7361111111111049E-2</v>
      </c>
      <c r="P67" s="16">
        <v>6.9444444444444397E-3</v>
      </c>
      <c r="Q67" s="16">
        <v>0.57986111111111116</v>
      </c>
      <c r="R67" s="16">
        <v>0</v>
      </c>
      <c r="S67" s="16">
        <v>0.57986111111111116</v>
      </c>
      <c r="T67" s="16">
        <f>VLOOKUP(E67,'[1]21-1-2026'!$E$36:$T$67,16,FALSE)</f>
        <v>1.38888888888889E-2</v>
      </c>
      <c r="U67" s="16">
        <v>0.60069444444444442</v>
      </c>
      <c r="V67" s="16">
        <f t="shared" si="5"/>
        <v>6.9444444444443088E-3</v>
      </c>
      <c r="W67" s="16">
        <v>3.125E-2</v>
      </c>
      <c r="X67" s="16">
        <v>0.60416666666666663</v>
      </c>
      <c r="Y67" s="16">
        <v>0.63194444444444442</v>
      </c>
      <c r="Z67" s="16">
        <f t="shared" si="3"/>
        <v>2.777777777777779E-2</v>
      </c>
      <c r="AA67" s="16">
        <v>0</v>
      </c>
      <c r="AB67" s="16">
        <v>0.63541666666666663</v>
      </c>
      <c r="AC67" s="17"/>
      <c r="AD67" s="51"/>
    </row>
    <row r="68" spans="1:30" ht="19.5" thickBot="1" x14ac:dyDescent="0.3">
      <c r="A68" s="14">
        <v>29</v>
      </c>
      <c r="B68" s="15">
        <v>7464</v>
      </c>
      <c r="C68" s="15" t="str">
        <f>VLOOKUP(B68,'[1]21-1-2026'!$B$3:$T$35,2,)</f>
        <v>تلتين</v>
      </c>
      <c r="D68" s="16">
        <f>VLOOKUP(B68,'[1]21-1-2026'!$B$3:$T$35,3,)</f>
        <v>3.125E-2</v>
      </c>
      <c r="E68" s="15" t="s">
        <v>77</v>
      </c>
      <c r="F68" s="15" t="s">
        <v>47</v>
      </c>
      <c r="G68" s="16">
        <v>0.25</v>
      </c>
      <c r="H68" s="16">
        <f t="shared" si="7"/>
        <v>0.25</v>
      </c>
      <c r="I68" s="16">
        <f t="shared" si="0"/>
        <v>0</v>
      </c>
      <c r="J68" s="16">
        <v>0.52430555555555558</v>
      </c>
      <c r="K68" s="16">
        <v>0.57291666666666663</v>
      </c>
      <c r="L68" s="16" t="s">
        <v>108</v>
      </c>
      <c r="M68" s="16" t="s">
        <v>108</v>
      </c>
      <c r="N68" s="16">
        <f t="shared" si="1"/>
        <v>4.8611111111111049E-2</v>
      </c>
      <c r="O68" s="16">
        <f t="shared" si="2"/>
        <v>1.7361111111111049E-2</v>
      </c>
      <c r="P68" s="16">
        <v>6.9444444444444397E-3</v>
      </c>
      <c r="Q68" s="16">
        <v>0.57986111111111116</v>
      </c>
      <c r="R68" s="16">
        <v>0</v>
      </c>
      <c r="S68" s="16">
        <v>0.57986111111111116</v>
      </c>
      <c r="T68" s="16">
        <f>VLOOKUP(E68,'[1]21-1-2026'!$E$36:$T$67,16,FALSE)</f>
        <v>1.38888888888889E-2</v>
      </c>
      <c r="U68" s="16">
        <v>0.64583333333333337</v>
      </c>
      <c r="V68" s="16">
        <v>0</v>
      </c>
      <c r="W68" s="16">
        <v>4.1666666666666664E-2</v>
      </c>
      <c r="X68" s="16">
        <v>0.64930555555555558</v>
      </c>
      <c r="Y68" s="16">
        <v>0.68611111111111101</v>
      </c>
      <c r="Z68" s="16">
        <f t="shared" si="3"/>
        <v>3.6805555555555425E-2</v>
      </c>
      <c r="AA68" s="16">
        <v>0</v>
      </c>
      <c r="AB68" s="16">
        <v>0.6875</v>
      </c>
      <c r="AC68" s="17"/>
      <c r="AD68" s="51"/>
    </row>
    <row r="69" spans="1:30" ht="20.25" customHeight="1" thickBot="1" x14ac:dyDescent="0.3">
      <c r="A69" s="14">
        <v>30</v>
      </c>
      <c r="B69" s="15">
        <v>459</v>
      </c>
      <c r="C69" s="15" t="str">
        <f>VLOOKUP(B69,'[1]21-1-2026'!$B$3:$T$35,2,)</f>
        <v>دبابة</v>
      </c>
      <c r="D69" s="16">
        <f>VLOOKUP(B69,'[1]21-1-2026'!$B$3:$T$35,3,)</f>
        <v>2.0833333333333301E-2</v>
      </c>
      <c r="E69" s="15" t="s">
        <v>98</v>
      </c>
      <c r="F69" s="15" t="s">
        <v>40</v>
      </c>
      <c r="G69" s="16">
        <v>0.25</v>
      </c>
      <c r="H69" s="16">
        <f t="shared" si="7"/>
        <v>0.25</v>
      </c>
      <c r="I69" s="16">
        <f t="shared" si="0"/>
        <v>0</v>
      </c>
      <c r="J69" s="16">
        <v>0.54861111111111116</v>
      </c>
      <c r="K69" s="16">
        <v>0.5625</v>
      </c>
      <c r="L69" s="16" t="s">
        <v>113</v>
      </c>
      <c r="M69" s="16" t="s">
        <v>113</v>
      </c>
      <c r="N69" s="16">
        <f t="shared" si="1"/>
        <v>1.388888888888884E-2</v>
      </c>
      <c r="O69" s="16">
        <v>0</v>
      </c>
      <c r="P69" s="16">
        <v>6.9444444444444397E-3</v>
      </c>
      <c r="Q69" s="16">
        <v>0.5625</v>
      </c>
      <c r="R69" s="16">
        <v>0</v>
      </c>
      <c r="S69" s="16">
        <v>0.5625</v>
      </c>
      <c r="T69" s="16">
        <f>VLOOKUP(E69,'[1]21-1-2026'!$E$36:$T$67,16,FALSE)</f>
        <v>4.8611111111111103E-3</v>
      </c>
      <c r="U69" s="16">
        <v>0.57986111111111116</v>
      </c>
      <c r="V69" s="16">
        <f t="shared" si="5"/>
        <v>1.2500000000000067E-2</v>
      </c>
      <c r="W69" s="16">
        <v>3.125E-2</v>
      </c>
      <c r="X69" s="16">
        <v>0.58125000000000004</v>
      </c>
      <c r="Y69" s="16">
        <v>0.59583333333333333</v>
      </c>
      <c r="Z69" s="16">
        <f t="shared" si="3"/>
        <v>1.4583333333333282E-2</v>
      </c>
      <c r="AA69" s="16">
        <v>0</v>
      </c>
      <c r="AB69" s="16">
        <v>0.6020833333333333</v>
      </c>
      <c r="AC69" s="19"/>
      <c r="AD69" s="51"/>
    </row>
    <row r="70" spans="1:30" ht="19.5" customHeight="1" thickBot="1" x14ac:dyDescent="0.3">
      <c r="A70" s="14">
        <v>31</v>
      </c>
      <c r="B70" s="15">
        <v>714</v>
      </c>
      <c r="C70" s="15" t="s">
        <v>50</v>
      </c>
      <c r="D70" s="16">
        <v>4.1666666666666664E-2</v>
      </c>
      <c r="E70" s="15" t="s">
        <v>86</v>
      </c>
      <c r="F70" s="15" t="s">
        <v>84</v>
      </c>
      <c r="G70" s="16">
        <v>0.25</v>
      </c>
      <c r="H70" s="16">
        <f t="shared" si="7"/>
        <v>0.25</v>
      </c>
      <c r="I70" s="16">
        <f t="shared" si="0"/>
        <v>0</v>
      </c>
      <c r="J70" s="16">
        <v>0.625</v>
      </c>
      <c r="K70" s="16">
        <v>0.64930555555555558</v>
      </c>
      <c r="L70" s="16" t="s">
        <v>88</v>
      </c>
      <c r="M70" s="16" t="s">
        <v>88</v>
      </c>
      <c r="N70" s="16">
        <f t="shared" si="1"/>
        <v>2.430555555555558E-2</v>
      </c>
      <c r="O70" s="16">
        <v>0</v>
      </c>
      <c r="P70" s="16">
        <v>6.9444444444444397E-3</v>
      </c>
      <c r="Q70" s="16">
        <v>0.64930555555555558</v>
      </c>
      <c r="R70" s="16">
        <v>0</v>
      </c>
      <c r="S70" s="16">
        <v>0.64930555555555558</v>
      </c>
      <c r="T70" s="16">
        <f>VLOOKUP(E70,'[1]21-1-2026'!$E$36:$T$67,16,FALSE)</f>
        <v>3.4722222222222199E-3</v>
      </c>
      <c r="U70" s="16">
        <v>0</v>
      </c>
      <c r="V70" s="16">
        <v>0</v>
      </c>
      <c r="W70" s="16">
        <v>3.125E-2</v>
      </c>
      <c r="X70" s="16">
        <v>0</v>
      </c>
      <c r="Y70" s="16">
        <v>0</v>
      </c>
      <c r="Z70" s="16">
        <f t="shared" si="3"/>
        <v>0</v>
      </c>
      <c r="AA70" s="16">
        <v>0</v>
      </c>
      <c r="AB70" s="16">
        <v>0</v>
      </c>
      <c r="AC70" s="17"/>
      <c r="AD70" s="52"/>
    </row>
    <row r="71" spans="1:30" ht="19.5" customHeight="1" thickBot="1" x14ac:dyDescent="0.3">
      <c r="A71" s="20">
        <v>32</v>
      </c>
      <c r="B71" s="21">
        <v>714</v>
      </c>
      <c r="C71" s="21" t="s">
        <v>50</v>
      </c>
      <c r="D71" s="22">
        <v>4.1666666666666664E-2</v>
      </c>
      <c r="E71" s="21" t="s">
        <v>95</v>
      </c>
      <c r="F71" s="21" t="s">
        <v>84</v>
      </c>
      <c r="G71" s="22">
        <v>0.25</v>
      </c>
      <c r="H71" s="22">
        <f t="shared" si="7"/>
        <v>0.25</v>
      </c>
      <c r="I71" s="22">
        <f t="shared" si="0"/>
        <v>0</v>
      </c>
      <c r="J71" s="22">
        <v>0.625</v>
      </c>
      <c r="K71" s="22">
        <v>0.64930555555555558</v>
      </c>
      <c r="L71" s="22" t="s">
        <v>88</v>
      </c>
      <c r="M71" s="22" t="s">
        <v>88</v>
      </c>
      <c r="N71" s="22">
        <f t="shared" si="1"/>
        <v>2.430555555555558E-2</v>
      </c>
      <c r="O71" s="22">
        <v>0</v>
      </c>
      <c r="P71" s="22">
        <v>6.9444444444444397E-3</v>
      </c>
      <c r="Q71" s="22">
        <v>0.64930555555555558</v>
      </c>
      <c r="R71" s="22">
        <v>0</v>
      </c>
      <c r="S71" s="22">
        <v>0.64930555555555558</v>
      </c>
      <c r="T71" s="22">
        <f>VLOOKUP(E71,'[1]21-1-2026'!$E$36:$T$67,16,FALSE)</f>
        <v>1.0416666666666701E-2</v>
      </c>
      <c r="U71" s="22">
        <v>0</v>
      </c>
      <c r="V71" s="22">
        <v>0</v>
      </c>
      <c r="W71" s="22">
        <v>4.1666666666666664E-2</v>
      </c>
      <c r="X71" s="22">
        <v>0</v>
      </c>
      <c r="Y71" s="22">
        <v>0</v>
      </c>
      <c r="Z71" s="22">
        <f t="shared" si="3"/>
        <v>0</v>
      </c>
      <c r="AA71" s="22">
        <v>0</v>
      </c>
      <c r="AB71" s="22">
        <v>0</v>
      </c>
      <c r="AC71" s="23"/>
      <c r="AD71" s="28"/>
    </row>
    <row r="72" spans="1:30" ht="20.25" thickTop="1" thickBot="1" x14ac:dyDescent="0.3">
      <c r="A72" s="24"/>
      <c r="B72" s="25">
        <v>2474</v>
      </c>
      <c r="C72" s="21" t="str">
        <f>VLOOKUP(B72,'[1]21-1-2026'!$B$3:$T$35,2,)</f>
        <v>دبابة</v>
      </c>
      <c r="D72" s="16">
        <v>2.0833333333333332E-2</v>
      </c>
      <c r="E72" s="25"/>
      <c r="F72" s="25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7"/>
      <c r="AD72" s="28"/>
    </row>
    <row r="73" spans="1:30" ht="20.25" thickTop="1" thickBot="1" x14ac:dyDescent="0.3">
      <c r="A73" s="24"/>
      <c r="B73" s="25">
        <v>6143</v>
      </c>
      <c r="C73" s="21" t="s">
        <v>102</v>
      </c>
      <c r="D73" s="16">
        <v>3.125E-2</v>
      </c>
      <c r="E73" s="25"/>
      <c r="F73" s="25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7"/>
      <c r="AD73" s="28"/>
    </row>
    <row r="74" spans="1:30" ht="20.25" thickTop="1" thickBot="1" x14ac:dyDescent="0.3">
      <c r="A74" s="24"/>
      <c r="B74" s="25">
        <v>6142</v>
      </c>
      <c r="C74" s="21" t="s">
        <v>102</v>
      </c>
      <c r="D74" s="16">
        <v>3.125E-2</v>
      </c>
      <c r="E74" s="25"/>
      <c r="F74" s="25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7"/>
      <c r="AD74" s="28"/>
    </row>
    <row r="75" spans="1:30" ht="20.25" thickTop="1" thickBot="1" x14ac:dyDescent="0.3">
      <c r="A75" s="24"/>
      <c r="B75" s="25">
        <v>2694</v>
      </c>
      <c r="C75" s="21" t="str">
        <f>VLOOKUP(B75,'[1]21-1-2026'!$B$3:$T$35,2,)</f>
        <v>تلتين</v>
      </c>
      <c r="D75" s="16">
        <v>3.125E-2</v>
      </c>
      <c r="E75" s="25"/>
      <c r="F75" s="25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7"/>
      <c r="AD75" s="28"/>
    </row>
    <row r="76" spans="1:30" ht="20.25" thickTop="1" thickBot="1" x14ac:dyDescent="0.3">
      <c r="A76" s="10">
        <v>1</v>
      </c>
      <c r="B76" s="11">
        <v>634</v>
      </c>
      <c r="C76" s="11" t="str">
        <f>VLOOKUP(B76,'[1]21-1-2026'!$B$3:$T$35,2,)</f>
        <v>دبابة</v>
      </c>
      <c r="D76" s="12">
        <f>VLOOKUP(B76,'[1]21-1-2026'!$B$3:$T$35,3,)</f>
        <v>2.0833333333333301E-2</v>
      </c>
      <c r="E76" s="11" t="s">
        <v>61</v>
      </c>
      <c r="F76" s="11" t="s">
        <v>90</v>
      </c>
      <c r="G76" s="12">
        <v>0.25</v>
      </c>
      <c r="H76" s="12">
        <f t="shared" si="7"/>
        <v>0.25</v>
      </c>
      <c r="I76" s="12">
        <f t="shared" ref="I76:I103" si="8">H76-G76</f>
        <v>0</v>
      </c>
      <c r="J76" s="12">
        <v>0.58333333333333337</v>
      </c>
      <c r="K76" s="12">
        <v>0.60763888888888884</v>
      </c>
      <c r="L76" s="12" t="s">
        <v>100</v>
      </c>
      <c r="M76" s="12" t="s">
        <v>101</v>
      </c>
      <c r="N76" s="12">
        <f t="shared" ref="N76:N103" si="9">K76-J76</f>
        <v>2.4305555555555469E-2</v>
      </c>
      <c r="O76" s="12">
        <f t="shared" ref="O76:O103" si="10">N76-D76</f>
        <v>3.4722222222221683E-3</v>
      </c>
      <c r="P76" s="12">
        <v>6.9444444444444397E-3</v>
      </c>
      <c r="Q76" s="12">
        <v>0.62847222222222221</v>
      </c>
      <c r="R76" s="12">
        <f t="shared" ref="R76:R100" si="11">Q76-P76-K76</f>
        <v>1.3888888888888951E-2</v>
      </c>
      <c r="S76" s="12">
        <v>0.62847222222222221</v>
      </c>
      <c r="T76" s="12">
        <v>3.4722222222222224E-2</v>
      </c>
      <c r="U76" s="12">
        <v>0.66666666666666663</v>
      </c>
      <c r="V76" s="12">
        <f t="shared" ref="V76:V102" si="12">U76-T76-S76</f>
        <v>3.4722222222222099E-3</v>
      </c>
      <c r="W76" s="12">
        <v>2.0833333333333332E-2</v>
      </c>
      <c r="X76" s="12">
        <v>0.67708333333333337</v>
      </c>
      <c r="Y76" s="12">
        <v>0.68888888888888899</v>
      </c>
      <c r="Z76" s="12">
        <f t="shared" ref="Z76:Z103" si="13">Y76-X76</f>
        <v>1.1805555555555625E-2</v>
      </c>
      <c r="AA76" s="12">
        <v>0</v>
      </c>
      <c r="AB76" s="12">
        <v>0.69097222222222221</v>
      </c>
      <c r="AC76" s="13"/>
      <c r="AD76" s="53" t="s">
        <v>116</v>
      </c>
    </row>
    <row r="77" spans="1:30" ht="19.5" thickBot="1" x14ac:dyDescent="0.3">
      <c r="A77" s="14">
        <v>2</v>
      </c>
      <c r="B77" s="15">
        <v>634</v>
      </c>
      <c r="C77" s="15" t="str">
        <f>VLOOKUP(B77,'[1]21-1-2026'!$B$3:$T$35,2,)</f>
        <v>دبابة</v>
      </c>
      <c r="D77" s="16">
        <f>VLOOKUP(B77,'[1]21-1-2026'!$B$3:$T$35,3,)</f>
        <v>2.0833333333333301E-2</v>
      </c>
      <c r="E77" s="15" t="s">
        <v>55</v>
      </c>
      <c r="F77" s="15" t="s">
        <v>90</v>
      </c>
      <c r="G77" s="16">
        <v>0.25</v>
      </c>
      <c r="H77" s="16">
        <f t="shared" si="7"/>
        <v>0.25</v>
      </c>
      <c r="I77" s="16">
        <f t="shared" si="8"/>
        <v>0</v>
      </c>
      <c r="J77" s="16">
        <v>0.58333333333333337</v>
      </c>
      <c r="K77" s="16">
        <v>0.60763888888888884</v>
      </c>
      <c r="L77" s="16" t="s">
        <v>100</v>
      </c>
      <c r="M77" s="16" t="s">
        <v>101</v>
      </c>
      <c r="N77" s="16">
        <f t="shared" si="9"/>
        <v>2.4305555555555469E-2</v>
      </c>
      <c r="O77" s="16">
        <f t="shared" si="10"/>
        <v>3.4722222222221683E-3</v>
      </c>
      <c r="P77" s="16">
        <v>6.9444444444444397E-3</v>
      </c>
      <c r="Q77" s="16">
        <v>0.62847222222222221</v>
      </c>
      <c r="R77" s="16">
        <f t="shared" si="11"/>
        <v>1.3888888888888951E-2</v>
      </c>
      <c r="S77" s="16">
        <v>0.62847222222222221</v>
      </c>
      <c r="T77" s="16">
        <v>1.0416666666666666E-2</v>
      </c>
      <c r="U77" s="16">
        <v>0.71180555555555547</v>
      </c>
      <c r="V77" s="16">
        <v>1.7361111111111112E-2</v>
      </c>
      <c r="W77" s="16">
        <v>3.125E-2</v>
      </c>
      <c r="X77" s="16">
        <v>0.71527777777777779</v>
      </c>
      <c r="Y77" s="16">
        <v>0.72569444444444453</v>
      </c>
      <c r="Z77" s="16">
        <f t="shared" si="13"/>
        <v>1.0416666666666741E-2</v>
      </c>
      <c r="AA77" s="16">
        <v>0</v>
      </c>
      <c r="AB77" s="16">
        <v>0.72916666666666663</v>
      </c>
      <c r="AC77" s="17"/>
      <c r="AD77" s="51"/>
    </row>
    <row r="78" spans="1:30" ht="19.5" thickBot="1" x14ac:dyDescent="0.3">
      <c r="A78" s="14">
        <v>3</v>
      </c>
      <c r="B78" s="15">
        <v>745</v>
      </c>
      <c r="C78" s="15" t="str">
        <f>VLOOKUP(B78,'[1]21-1-2026'!$B$3:$T$35,2,)</f>
        <v>دبابة</v>
      </c>
      <c r="D78" s="16">
        <f>VLOOKUP(B78,'[1]21-1-2026'!$B$3:$T$35,3,)</f>
        <v>2.0833333333333301E-2</v>
      </c>
      <c r="E78" s="15" t="s">
        <v>73</v>
      </c>
      <c r="F78" s="15" t="s">
        <v>99</v>
      </c>
      <c r="G78" s="16">
        <v>0.25</v>
      </c>
      <c r="H78" s="16">
        <f t="shared" si="7"/>
        <v>0.25</v>
      </c>
      <c r="I78" s="16">
        <f t="shared" si="8"/>
        <v>0</v>
      </c>
      <c r="J78" s="16">
        <v>0.625</v>
      </c>
      <c r="K78" s="16">
        <v>0.64236111111111116</v>
      </c>
      <c r="L78" s="16" t="s">
        <v>107</v>
      </c>
      <c r="M78" s="16" t="s">
        <v>107</v>
      </c>
      <c r="N78" s="16">
        <f t="shared" si="9"/>
        <v>1.736111111111116E-2</v>
      </c>
      <c r="O78" s="16">
        <v>0</v>
      </c>
      <c r="P78" s="16">
        <v>6.9444444444444397E-3</v>
      </c>
      <c r="Q78" s="16">
        <v>0.64236111111111105</v>
      </c>
      <c r="R78" s="16">
        <v>0</v>
      </c>
      <c r="S78" s="16">
        <v>0.64236111111111105</v>
      </c>
      <c r="T78" s="16">
        <f>VLOOKUP(E78,'[1]21-1-2026'!$E$68:$T$96,16,FALSE)</f>
        <v>2.0833333333333301E-2</v>
      </c>
      <c r="U78" s="16">
        <v>0.68055555555555547</v>
      </c>
      <c r="V78" s="16">
        <f t="shared" si="12"/>
        <v>1.736111111111116E-2</v>
      </c>
      <c r="W78" s="16">
        <v>2.0833333333333332E-2</v>
      </c>
      <c r="X78" s="16">
        <v>0.6875</v>
      </c>
      <c r="Y78" s="16">
        <v>0.69791666666666663</v>
      </c>
      <c r="Z78" s="16">
        <f t="shared" si="13"/>
        <v>1.041666666666663E-2</v>
      </c>
      <c r="AA78" s="16">
        <v>0</v>
      </c>
      <c r="AB78" s="16">
        <v>0.70138888888888884</v>
      </c>
      <c r="AC78" s="17"/>
      <c r="AD78" s="51"/>
    </row>
    <row r="79" spans="1:30" ht="19.5" thickBot="1" x14ac:dyDescent="0.3">
      <c r="A79" s="14">
        <v>4</v>
      </c>
      <c r="B79" s="15">
        <v>745</v>
      </c>
      <c r="C79" s="15" t="str">
        <f>VLOOKUP(B79,'[1]21-1-2026'!$B$3:$T$35,2,)</f>
        <v>دبابة</v>
      </c>
      <c r="D79" s="16">
        <f>VLOOKUP(B79,'[1]21-1-2026'!$B$3:$T$35,3,)</f>
        <v>2.0833333333333301E-2</v>
      </c>
      <c r="E79" s="15" t="s">
        <v>35</v>
      </c>
      <c r="F79" s="15" t="s">
        <v>99</v>
      </c>
      <c r="G79" s="16">
        <v>0.25</v>
      </c>
      <c r="H79" s="16">
        <f t="shared" si="7"/>
        <v>0.25</v>
      </c>
      <c r="I79" s="16">
        <f t="shared" si="8"/>
        <v>0</v>
      </c>
      <c r="J79" s="16">
        <v>0.625</v>
      </c>
      <c r="K79" s="16">
        <v>0.64236111111111116</v>
      </c>
      <c r="L79" s="16" t="s">
        <v>107</v>
      </c>
      <c r="M79" s="16" t="s">
        <v>107</v>
      </c>
      <c r="N79" s="16">
        <f t="shared" si="9"/>
        <v>1.736111111111116E-2</v>
      </c>
      <c r="O79" s="16">
        <v>0</v>
      </c>
      <c r="P79" s="16">
        <v>6.9444444444444397E-3</v>
      </c>
      <c r="Q79" s="16">
        <v>0.64236111111111105</v>
      </c>
      <c r="R79" s="16">
        <v>0</v>
      </c>
      <c r="S79" s="16">
        <v>0.64236111111111105</v>
      </c>
      <c r="T79" s="16">
        <f>VLOOKUP(E79,'[1]21-1-2026'!$E$68:$T$96,16,FALSE)</f>
        <v>1.0416666666666701E-2</v>
      </c>
      <c r="U79" s="16">
        <v>0.70833333333333337</v>
      </c>
      <c r="V79" s="16">
        <v>0</v>
      </c>
      <c r="W79" s="16">
        <v>3.125E-2</v>
      </c>
      <c r="X79" s="16">
        <v>0.71180555555555547</v>
      </c>
      <c r="Y79" s="16">
        <v>0.71666666666666667</v>
      </c>
      <c r="Z79" s="16">
        <f t="shared" si="13"/>
        <v>4.8611111111112049E-3</v>
      </c>
      <c r="AA79" s="16">
        <v>0</v>
      </c>
      <c r="AB79" s="16">
        <v>0.71875</v>
      </c>
      <c r="AC79" s="17"/>
      <c r="AD79" s="51"/>
    </row>
    <row r="80" spans="1:30" ht="19.5" thickBot="1" x14ac:dyDescent="0.3">
      <c r="A80" s="14">
        <v>5</v>
      </c>
      <c r="B80" s="15">
        <v>2917</v>
      </c>
      <c r="C80" s="15" t="str">
        <f>VLOOKUP(B80,'[1]21-1-2026'!$B$3:$T$35,2,)</f>
        <v>تلتين</v>
      </c>
      <c r="D80" s="16">
        <f>VLOOKUP(B80,'[1]21-1-2026'!$B$3:$T$35,3,)</f>
        <v>3.125E-2</v>
      </c>
      <c r="E80" s="15" t="s">
        <v>38</v>
      </c>
      <c r="F80" s="15" t="s">
        <v>36</v>
      </c>
      <c r="G80" s="16">
        <v>0.25</v>
      </c>
      <c r="H80" s="16">
        <f t="shared" si="7"/>
        <v>0.25347222222222221</v>
      </c>
      <c r="I80" s="16">
        <f t="shared" si="8"/>
        <v>3.4722222222222099E-3</v>
      </c>
      <c r="J80" s="16">
        <v>0.56597222222222221</v>
      </c>
      <c r="K80" s="16">
        <v>0.57986111111111116</v>
      </c>
      <c r="L80" s="16" t="s">
        <v>105</v>
      </c>
      <c r="M80" s="16" t="s">
        <v>105</v>
      </c>
      <c r="N80" s="16">
        <f t="shared" si="9"/>
        <v>1.3888888888888951E-2</v>
      </c>
      <c r="O80" s="16">
        <v>0</v>
      </c>
      <c r="P80" s="16">
        <v>6.9444444444444397E-3</v>
      </c>
      <c r="Q80" s="16">
        <v>0.59722222222222221</v>
      </c>
      <c r="R80" s="16">
        <f t="shared" si="11"/>
        <v>1.041666666666663E-2</v>
      </c>
      <c r="S80" s="16">
        <v>0.59722222222222221</v>
      </c>
      <c r="T80" s="16">
        <f>VLOOKUP(E80,'[1]21-1-2026'!$E$68:$T$96,16,FALSE)</f>
        <v>2.7777777777777801E-2</v>
      </c>
      <c r="U80" s="16">
        <v>0.63541666666666663</v>
      </c>
      <c r="V80" s="16">
        <f t="shared" si="12"/>
        <v>1.041666666666663E-2</v>
      </c>
      <c r="W80" s="16">
        <v>4.1666666666666664E-2</v>
      </c>
      <c r="X80" s="16">
        <v>0.66666666666666663</v>
      </c>
      <c r="Y80" s="16">
        <v>0.70486111111111116</v>
      </c>
      <c r="Z80" s="16">
        <f t="shared" si="13"/>
        <v>3.8194444444444531E-2</v>
      </c>
      <c r="AA80" s="16">
        <v>0</v>
      </c>
      <c r="AB80" s="16">
        <v>0.70833333333333337</v>
      </c>
      <c r="AC80" s="17"/>
      <c r="AD80" s="51"/>
    </row>
    <row r="81" spans="1:30" ht="19.5" thickBot="1" x14ac:dyDescent="0.3">
      <c r="A81" s="14">
        <v>6</v>
      </c>
      <c r="B81" s="15">
        <v>9198</v>
      </c>
      <c r="C81" s="15" t="str">
        <f>VLOOKUP(B81,'[1]21-1-2026'!$B$3:$T$35,2,)</f>
        <v>دبابة</v>
      </c>
      <c r="D81" s="16">
        <f>VLOOKUP(B81,'[1]21-1-2026'!$B$3:$T$35,3,)</f>
        <v>2.0833333333333301E-2</v>
      </c>
      <c r="E81" s="15" t="s">
        <v>51</v>
      </c>
      <c r="F81" s="15" t="s">
        <v>106</v>
      </c>
      <c r="G81" s="16">
        <v>0.25</v>
      </c>
      <c r="H81" s="16">
        <v>0.25</v>
      </c>
      <c r="I81" s="16">
        <f t="shared" si="8"/>
        <v>0</v>
      </c>
      <c r="J81" s="16">
        <v>0.59722222222222221</v>
      </c>
      <c r="K81" s="16">
        <v>0.61805555555555558</v>
      </c>
      <c r="L81" s="16" t="s">
        <v>94</v>
      </c>
      <c r="M81" s="16" t="s">
        <v>94</v>
      </c>
      <c r="N81" s="16">
        <f t="shared" si="9"/>
        <v>2.083333333333337E-2</v>
      </c>
      <c r="O81" s="16">
        <f t="shared" si="10"/>
        <v>6.9388939039072284E-17</v>
      </c>
      <c r="P81" s="16">
        <v>6.9444444444444397E-3</v>
      </c>
      <c r="Q81" s="16">
        <v>0.63541666666666663</v>
      </c>
      <c r="R81" s="16">
        <f t="shared" si="11"/>
        <v>1.041666666666663E-2</v>
      </c>
      <c r="S81" s="16">
        <v>0.63541666666666663</v>
      </c>
      <c r="T81" s="16">
        <f>VLOOKUP(E81,'[1]21-1-2026'!$E$68:$T$96,16,FALSE)</f>
        <v>2.4305555555555601E-2</v>
      </c>
      <c r="U81" s="16">
        <v>0.65625</v>
      </c>
      <c r="V81" s="16">
        <v>0</v>
      </c>
      <c r="W81" s="16">
        <v>2.0833333333333332E-2</v>
      </c>
      <c r="X81" s="16">
        <v>0.65972222222222221</v>
      </c>
      <c r="Y81" s="16">
        <v>0.67708333333333337</v>
      </c>
      <c r="Z81" s="16">
        <f t="shared" si="13"/>
        <v>1.736111111111116E-2</v>
      </c>
      <c r="AA81" s="16">
        <v>0</v>
      </c>
      <c r="AB81" s="16">
        <v>0.6791666666666667</v>
      </c>
      <c r="AC81" s="17"/>
      <c r="AD81" s="51"/>
    </row>
    <row r="82" spans="1:30" ht="19.5" thickBot="1" x14ac:dyDescent="0.3">
      <c r="A82" s="14">
        <v>7</v>
      </c>
      <c r="B82" s="15">
        <v>9198</v>
      </c>
      <c r="C82" s="15" t="str">
        <f>VLOOKUP(B82,'[1]21-1-2026'!$B$3:$T$35,2,)</f>
        <v>دبابة</v>
      </c>
      <c r="D82" s="16">
        <f>VLOOKUP(B82,'[1]21-1-2026'!$B$3:$T$35,3,)</f>
        <v>2.0833333333333301E-2</v>
      </c>
      <c r="E82" s="15" t="s">
        <v>54</v>
      </c>
      <c r="F82" s="15" t="s">
        <v>106</v>
      </c>
      <c r="G82" s="16">
        <v>0.25</v>
      </c>
      <c r="H82" s="16">
        <v>0.25</v>
      </c>
      <c r="I82" s="16">
        <f t="shared" si="8"/>
        <v>0</v>
      </c>
      <c r="J82" s="16">
        <v>0.59722222222222221</v>
      </c>
      <c r="K82" s="16">
        <v>0.61805555555555558</v>
      </c>
      <c r="L82" s="16" t="s">
        <v>94</v>
      </c>
      <c r="M82" s="16" t="s">
        <v>94</v>
      </c>
      <c r="N82" s="16">
        <f t="shared" si="9"/>
        <v>2.083333333333337E-2</v>
      </c>
      <c r="O82" s="16">
        <f t="shared" si="10"/>
        <v>6.9388939039072284E-17</v>
      </c>
      <c r="P82" s="16">
        <v>6.9444444444444397E-3</v>
      </c>
      <c r="Q82" s="16">
        <v>0.63541666666666663</v>
      </c>
      <c r="R82" s="16">
        <f t="shared" si="11"/>
        <v>1.041666666666663E-2</v>
      </c>
      <c r="S82" s="16">
        <v>0.63541666666666663</v>
      </c>
      <c r="T82" s="16">
        <f>VLOOKUP(E82,'[1]21-1-2026'!$E$68:$T$96,16,FALSE)</f>
        <v>1.0416666666666701E-2</v>
      </c>
      <c r="U82" s="16">
        <v>0.69444444444444453</v>
      </c>
      <c r="V82" s="16">
        <v>4.8611111111111112E-3</v>
      </c>
      <c r="W82" s="16">
        <v>3.125E-2</v>
      </c>
      <c r="X82" s="16">
        <v>0.69791666666666663</v>
      </c>
      <c r="Y82" s="16">
        <v>0.71180555555555547</v>
      </c>
      <c r="Z82" s="16">
        <f t="shared" si="13"/>
        <v>1.388888888888884E-2</v>
      </c>
      <c r="AA82" s="16">
        <v>0</v>
      </c>
      <c r="AB82" s="16">
        <v>0.71527777777777779</v>
      </c>
      <c r="AC82" s="17"/>
      <c r="AD82" s="51"/>
    </row>
    <row r="83" spans="1:30" ht="19.5" thickBot="1" x14ac:dyDescent="0.3">
      <c r="A83" s="14">
        <v>8</v>
      </c>
      <c r="B83" s="15">
        <v>3495</v>
      </c>
      <c r="C83" s="15" t="str">
        <f>VLOOKUP(B83,'[1]21-1-2026'!$B$3:$T$35,2,)</f>
        <v>تلتين</v>
      </c>
      <c r="D83" s="16">
        <f>VLOOKUP(B83,'[1]21-1-2026'!$B$3:$T$35,3,)</f>
        <v>3.125E-2</v>
      </c>
      <c r="E83" s="15" t="s">
        <v>83</v>
      </c>
      <c r="F83" s="15" t="s">
        <v>48</v>
      </c>
      <c r="G83" s="16">
        <v>0.25</v>
      </c>
      <c r="H83" s="16">
        <f t="shared" ref="H83:H94" si="14">VLOOKUP(F83,$F$3:$H$35,3,FALSE)</f>
        <v>0.25694444444444442</v>
      </c>
      <c r="I83" s="16">
        <f t="shared" si="8"/>
        <v>6.9444444444444198E-3</v>
      </c>
      <c r="J83" s="16">
        <v>0.62847222222222221</v>
      </c>
      <c r="K83" s="16">
        <v>0.63541666666666663</v>
      </c>
      <c r="L83" s="16" t="s">
        <v>105</v>
      </c>
      <c r="M83" s="16" t="s">
        <v>105</v>
      </c>
      <c r="N83" s="16">
        <f t="shared" si="9"/>
        <v>6.9444444444444198E-3</v>
      </c>
      <c r="O83" s="16">
        <v>0</v>
      </c>
      <c r="P83" s="16">
        <v>6.9444444444444397E-3</v>
      </c>
      <c r="Q83" s="16">
        <v>0.65625</v>
      </c>
      <c r="R83" s="16">
        <f t="shared" si="11"/>
        <v>1.3888888888888951E-2</v>
      </c>
      <c r="S83" s="16">
        <v>0.65625</v>
      </c>
      <c r="T83" s="16">
        <f>VLOOKUP(E83,'[1]21-1-2026'!$E$68:$T$96,16,FALSE)</f>
        <v>1.38888888888889E-2</v>
      </c>
      <c r="U83" s="16">
        <v>0.67708333333333337</v>
      </c>
      <c r="V83" s="16">
        <f t="shared" si="12"/>
        <v>6.9444444444444198E-3</v>
      </c>
      <c r="W83" s="16">
        <v>3.125E-2</v>
      </c>
      <c r="X83" s="16">
        <v>0.68055555555555547</v>
      </c>
      <c r="Y83" s="16">
        <v>0.70000000000000007</v>
      </c>
      <c r="Z83" s="16">
        <f t="shared" si="13"/>
        <v>1.9444444444444597E-2</v>
      </c>
      <c r="AA83" s="16">
        <v>0</v>
      </c>
      <c r="AB83" s="16">
        <v>0.70138888888888884</v>
      </c>
      <c r="AC83" s="17"/>
      <c r="AD83" s="51"/>
    </row>
    <row r="84" spans="1:30" ht="19.5" thickBot="1" x14ac:dyDescent="0.3">
      <c r="A84" s="14">
        <v>9</v>
      </c>
      <c r="B84" s="15">
        <v>3495</v>
      </c>
      <c r="C84" s="15" t="str">
        <f>VLOOKUP(B84,'[1]21-1-2026'!$B$3:$T$35,2,)</f>
        <v>تلتين</v>
      </c>
      <c r="D84" s="16">
        <f>VLOOKUP(B84,'[1]21-1-2026'!$B$3:$T$35,3,)</f>
        <v>3.125E-2</v>
      </c>
      <c r="E84" s="16" t="s">
        <v>77</v>
      </c>
      <c r="F84" s="15" t="s">
        <v>48</v>
      </c>
      <c r="G84" s="16">
        <v>0.25</v>
      </c>
      <c r="H84" s="16">
        <f t="shared" si="14"/>
        <v>0.25694444444444442</v>
      </c>
      <c r="I84" s="16">
        <f t="shared" si="8"/>
        <v>6.9444444444444198E-3</v>
      </c>
      <c r="J84" s="16">
        <v>0.62847222222222221</v>
      </c>
      <c r="K84" s="16">
        <v>0.63541666666666663</v>
      </c>
      <c r="L84" s="16" t="s">
        <v>105</v>
      </c>
      <c r="M84" s="16" t="s">
        <v>105</v>
      </c>
      <c r="N84" s="16">
        <f t="shared" si="9"/>
        <v>6.9444444444444198E-3</v>
      </c>
      <c r="O84" s="16">
        <v>0</v>
      </c>
      <c r="P84" s="16">
        <v>6.9444444444444397E-3</v>
      </c>
      <c r="Q84" s="16">
        <v>0.65625</v>
      </c>
      <c r="R84" s="16">
        <f t="shared" si="11"/>
        <v>1.3888888888888951E-2</v>
      </c>
      <c r="S84" s="16">
        <v>0.65625</v>
      </c>
      <c r="T84" s="16">
        <f>VLOOKUP(E84,'[1]21-1-2026'!$E$68:$T$96,16,FALSE)</f>
        <v>1.38888888888889E-2</v>
      </c>
      <c r="U84" s="16">
        <v>0.70833333333333337</v>
      </c>
      <c r="V84" s="16">
        <v>0</v>
      </c>
      <c r="W84" s="16">
        <v>4.1666666666666664E-2</v>
      </c>
      <c r="X84" s="16">
        <v>0.71180555555555547</v>
      </c>
      <c r="Y84" s="16">
        <v>0.73263888888888884</v>
      </c>
      <c r="Z84" s="16">
        <f t="shared" si="13"/>
        <v>2.083333333333337E-2</v>
      </c>
      <c r="AA84" s="16">
        <v>0</v>
      </c>
      <c r="AB84" s="16">
        <v>0.73611111111111116</v>
      </c>
      <c r="AC84" s="17"/>
      <c r="AD84" s="51"/>
    </row>
    <row r="85" spans="1:30" ht="19.5" thickBot="1" x14ac:dyDescent="0.3">
      <c r="A85" s="14">
        <v>10</v>
      </c>
      <c r="B85" s="15">
        <v>8527</v>
      </c>
      <c r="C85" s="15" t="s">
        <v>50</v>
      </c>
      <c r="D85" s="16">
        <v>4.1666666666666664E-2</v>
      </c>
      <c r="E85" s="15" t="s">
        <v>30</v>
      </c>
      <c r="F85" s="15" t="s">
        <v>84</v>
      </c>
      <c r="G85" s="16">
        <v>0.25</v>
      </c>
      <c r="H85" s="16">
        <f t="shared" si="14"/>
        <v>0.25</v>
      </c>
      <c r="I85" s="16">
        <f t="shared" si="8"/>
        <v>0</v>
      </c>
      <c r="J85" s="16">
        <v>0.54861111111111116</v>
      </c>
      <c r="K85" s="16">
        <v>0.56597222222222221</v>
      </c>
      <c r="L85" s="16" t="s">
        <v>111</v>
      </c>
      <c r="M85" s="16" t="s">
        <v>111</v>
      </c>
      <c r="N85" s="16">
        <f t="shared" si="9"/>
        <v>1.7361111111111049E-2</v>
      </c>
      <c r="O85" s="16">
        <v>0</v>
      </c>
      <c r="P85" s="16">
        <v>6.9444444444444397E-3</v>
      </c>
      <c r="Q85" s="16">
        <v>0</v>
      </c>
      <c r="R85" s="16">
        <v>0</v>
      </c>
      <c r="S85" s="16">
        <v>0</v>
      </c>
      <c r="T85" s="16">
        <f>VLOOKUP(E85,'[1]21-1-2026'!$E$68:$T$96,16,FALSE)</f>
        <v>1.38888888888889E-2</v>
      </c>
      <c r="U85" s="16">
        <v>0</v>
      </c>
      <c r="V85" s="16">
        <v>0</v>
      </c>
      <c r="W85" s="16">
        <v>4.1666666666666664E-2</v>
      </c>
      <c r="X85" s="16">
        <v>0</v>
      </c>
      <c r="Y85" s="16">
        <v>0</v>
      </c>
      <c r="Z85" s="16">
        <f t="shared" si="13"/>
        <v>0</v>
      </c>
      <c r="AA85" s="16">
        <v>0</v>
      </c>
      <c r="AB85" s="16">
        <v>0</v>
      </c>
      <c r="AC85" s="17"/>
      <c r="AD85" s="51"/>
    </row>
    <row r="86" spans="1:30" ht="19.5" thickBot="1" x14ac:dyDescent="0.3">
      <c r="A86" s="14">
        <v>11</v>
      </c>
      <c r="B86" s="15">
        <v>4987</v>
      </c>
      <c r="C86" s="15" t="str">
        <f>VLOOKUP(B86,'[1]21-1-2026'!$B$3:$T$35,2,)</f>
        <v>تلتين</v>
      </c>
      <c r="D86" s="16">
        <f>VLOOKUP(B86,'[1]21-1-2026'!$B$3:$T$35,3,)</f>
        <v>3.125E-2</v>
      </c>
      <c r="E86" s="15" t="s">
        <v>81</v>
      </c>
      <c r="F86" s="15" t="s">
        <v>71</v>
      </c>
      <c r="G86" s="16">
        <v>0.25</v>
      </c>
      <c r="H86" s="16">
        <f t="shared" si="14"/>
        <v>0.25</v>
      </c>
      <c r="I86" s="16">
        <f t="shared" si="8"/>
        <v>0</v>
      </c>
      <c r="J86" s="16">
        <v>0.59722222222222221</v>
      </c>
      <c r="K86" s="16">
        <v>0.625</v>
      </c>
      <c r="L86" s="16" t="s">
        <v>111</v>
      </c>
      <c r="M86" s="16" t="s">
        <v>111</v>
      </c>
      <c r="N86" s="16">
        <f t="shared" si="9"/>
        <v>2.777777777777779E-2</v>
      </c>
      <c r="O86" s="16">
        <v>0</v>
      </c>
      <c r="P86" s="16">
        <v>6.9444444444444397E-3</v>
      </c>
      <c r="Q86" s="16">
        <v>0.625</v>
      </c>
      <c r="R86" s="16">
        <v>0</v>
      </c>
      <c r="S86" s="16">
        <v>0.625</v>
      </c>
      <c r="T86" s="16">
        <f>VLOOKUP(E86,'[1]21-1-2026'!$E$68:$T$96,16,FALSE)</f>
        <v>2.7777777777777801E-2</v>
      </c>
      <c r="U86" s="16">
        <v>0.67013888888888884</v>
      </c>
      <c r="V86" s="16">
        <f t="shared" si="12"/>
        <v>1.7361111111111049E-2</v>
      </c>
      <c r="W86" s="16">
        <v>4.1666666666666664E-2</v>
      </c>
      <c r="X86" s="16">
        <v>0.67708333333333337</v>
      </c>
      <c r="Y86" s="16">
        <v>0.70486111111111116</v>
      </c>
      <c r="Z86" s="16">
        <f t="shared" si="13"/>
        <v>2.777777777777779E-2</v>
      </c>
      <c r="AA86" s="16">
        <v>0</v>
      </c>
      <c r="AB86" s="16">
        <v>0.70833333333333337</v>
      </c>
      <c r="AC86" s="17"/>
      <c r="AD86" s="51"/>
    </row>
    <row r="87" spans="1:30" ht="19.5" thickBot="1" x14ac:dyDescent="0.3">
      <c r="A87" s="14">
        <v>12</v>
      </c>
      <c r="B87" s="15">
        <v>796</v>
      </c>
      <c r="C87" s="15" t="str">
        <f>VLOOKUP(B87,'[1]21-1-2026'!$B$3:$T$35,2,)</f>
        <v>دبابة</v>
      </c>
      <c r="D87" s="16">
        <f>VLOOKUP(B87,'[1]21-1-2026'!$B$3:$T$35,3,)</f>
        <v>2.0833333333333301E-2</v>
      </c>
      <c r="E87" s="15" t="s">
        <v>86</v>
      </c>
      <c r="F87" s="15" t="s">
        <v>78</v>
      </c>
      <c r="G87" s="16">
        <v>0.25</v>
      </c>
      <c r="H87" s="16">
        <f t="shared" si="14"/>
        <v>0.25</v>
      </c>
      <c r="I87" s="16">
        <f t="shared" si="8"/>
        <v>0</v>
      </c>
      <c r="J87" s="16">
        <v>0.63888888888888884</v>
      </c>
      <c r="K87" s="16">
        <v>0.65625</v>
      </c>
      <c r="L87" s="16" t="s">
        <v>97</v>
      </c>
      <c r="M87" s="16" t="s">
        <v>97</v>
      </c>
      <c r="N87" s="16">
        <f t="shared" si="9"/>
        <v>1.736111111111116E-2</v>
      </c>
      <c r="O87" s="16">
        <v>0</v>
      </c>
      <c r="P87" s="16">
        <v>6.9444444444444397E-3</v>
      </c>
      <c r="Q87" s="16">
        <v>0.67361111111111116</v>
      </c>
      <c r="R87" s="16">
        <f t="shared" si="11"/>
        <v>1.0416666666666741E-2</v>
      </c>
      <c r="S87" s="16">
        <v>0.67361111111111116</v>
      </c>
      <c r="T87" s="16">
        <f>VLOOKUP(E87,'[1]21-1-2026'!$E$68:$T$96,16,FALSE)</f>
        <v>3.4722222222222199E-3</v>
      </c>
      <c r="U87" s="16">
        <v>0.67708333333333337</v>
      </c>
      <c r="V87" s="16">
        <f t="shared" si="12"/>
        <v>0</v>
      </c>
      <c r="W87" s="16">
        <v>2.0833333333333332E-2</v>
      </c>
      <c r="X87" s="16">
        <v>0.68055555555555547</v>
      </c>
      <c r="Y87" s="16">
        <v>0.6875</v>
      </c>
      <c r="Z87" s="16">
        <f t="shared" si="13"/>
        <v>6.9444444444445308E-3</v>
      </c>
      <c r="AA87" s="16">
        <v>0</v>
      </c>
      <c r="AB87" s="16">
        <v>0.69097222222222221</v>
      </c>
      <c r="AC87" s="17"/>
      <c r="AD87" s="51"/>
    </row>
    <row r="88" spans="1:30" ht="19.5" thickBot="1" x14ac:dyDescent="0.3">
      <c r="A88" s="14">
        <v>13</v>
      </c>
      <c r="B88" s="15">
        <v>796</v>
      </c>
      <c r="C88" s="15" t="str">
        <f>VLOOKUP(B88,'[1]21-1-2026'!$B$3:$T$35,2,)</f>
        <v>دبابة</v>
      </c>
      <c r="D88" s="16">
        <f>VLOOKUP(B88,'[1]21-1-2026'!$B$3:$T$35,3,)</f>
        <v>2.0833333333333301E-2</v>
      </c>
      <c r="E88" s="15" t="s">
        <v>79</v>
      </c>
      <c r="F88" s="15" t="s">
        <v>78</v>
      </c>
      <c r="G88" s="16">
        <v>0.25</v>
      </c>
      <c r="H88" s="16">
        <f t="shared" si="14"/>
        <v>0.25</v>
      </c>
      <c r="I88" s="16">
        <f t="shared" si="8"/>
        <v>0</v>
      </c>
      <c r="J88" s="16">
        <v>0.63888888888888884</v>
      </c>
      <c r="K88" s="16">
        <v>0.65625</v>
      </c>
      <c r="L88" s="16" t="s">
        <v>97</v>
      </c>
      <c r="M88" s="16" t="s">
        <v>97</v>
      </c>
      <c r="N88" s="16">
        <f t="shared" si="9"/>
        <v>1.736111111111116E-2</v>
      </c>
      <c r="O88" s="16">
        <v>0</v>
      </c>
      <c r="P88" s="16">
        <v>6.9444444444444397E-3</v>
      </c>
      <c r="Q88" s="16">
        <v>0.67361111111111116</v>
      </c>
      <c r="R88" s="16">
        <f t="shared" si="11"/>
        <v>1.0416666666666741E-2</v>
      </c>
      <c r="S88" s="16">
        <v>0.67361111111111116</v>
      </c>
      <c r="T88" s="16">
        <f>VLOOKUP(E88,'[1]21-1-2026'!$E$68:$T$96,16,FALSE)</f>
        <v>2.0833333333333301E-2</v>
      </c>
      <c r="U88" s="16">
        <v>0.70833333333333337</v>
      </c>
      <c r="V88" s="16">
        <f t="shared" si="12"/>
        <v>1.3888888888888951E-2</v>
      </c>
      <c r="W88" s="16">
        <v>3.125E-2</v>
      </c>
      <c r="X88" s="16">
        <v>0.71180555555555547</v>
      </c>
      <c r="Y88" s="16">
        <v>0.72916666666666663</v>
      </c>
      <c r="Z88" s="16">
        <f t="shared" si="13"/>
        <v>1.736111111111116E-2</v>
      </c>
      <c r="AA88" s="16">
        <v>0</v>
      </c>
      <c r="AB88" s="16">
        <v>0.73263888888888884</v>
      </c>
      <c r="AC88" s="17"/>
      <c r="AD88" s="51"/>
    </row>
    <row r="89" spans="1:30" ht="19.5" thickBot="1" x14ac:dyDescent="0.3">
      <c r="A89" s="14">
        <v>14</v>
      </c>
      <c r="B89" s="15">
        <v>3783</v>
      </c>
      <c r="C89" s="15" t="str">
        <f>VLOOKUP(B89,'[1]21-1-2026'!$B$3:$T$35,2,)</f>
        <v>دبابة</v>
      </c>
      <c r="D89" s="16">
        <f>VLOOKUP(B89,'[1]21-1-2026'!$B$3:$T$35,3,)</f>
        <v>2.0833333333333301E-2</v>
      </c>
      <c r="E89" s="16" t="s">
        <v>75</v>
      </c>
      <c r="F89" s="15" t="s">
        <v>76</v>
      </c>
      <c r="G89" s="16">
        <v>0.25</v>
      </c>
      <c r="H89" s="16">
        <f t="shared" si="14"/>
        <v>0.26041666666666669</v>
      </c>
      <c r="I89" s="16">
        <f t="shared" si="8"/>
        <v>1.0416666666666685E-2</v>
      </c>
      <c r="J89" s="16">
        <v>0.60069444444444442</v>
      </c>
      <c r="K89" s="16">
        <v>0.62847222222222221</v>
      </c>
      <c r="L89" s="16" t="s">
        <v>113</v>
      </c>
      <c r="M89" s="16" t="s">
        <v>113</v>
      </c>
      <c r="N89" s="16">
        <f t="shared" si="9"/>
        <v>2.777777777777779E-2</v>
      </c>
      <c r="O89" s="16">
        <f t="shared" si="10"/>
        <v>6.9444444444444892E-3</v>
      </c>
      <c r="P89" s="16">
        <v>6.9444444444444397E-3</v>
      </c>
      <c r="Q89" s="16">
        <v>0.63888888888888895</v>
      </c>
      <c r="R89" s="16">
        <f t="shared" si="11"/>
        <v>3.4722222222223209E-3</v>
      </c>
      <c r="S89" s="16">
        <v>0.63888888888888895</v>
      </c>
      <c r="T89" s="16">
        <f>VLOOKUP(E89,'[1]21-1-2026'!$E$68:$T$96,16,FALSE)</f>
        <v>2.0833333333333301E-2</v>
      </c>
      <c r="U89" s="16">
        <v>0.65833333333333333</v>
      </c>
      <c r="V89" s="16">
        <v>0</v>
      </c>
      <c r="W89" s="16">
        <v>2.0833333333333332E-2</v>
      </c>
      <c r="X89" s="16">
        <v>0.65972222222222221</v>
      </c>
      <c r="Y89" s="16">
        <v>0.6875</v>
      </c>
      <c r="Z89" s="16">
        <f t="shared" si="13"/>
        <v>2.777777777777779E-2</v>
      </c>
      <c r="AA89" s="16">
        <f t="shared" ref="AA89:AA90" si="15">Z89-W89</f>
        <v>6.9444444444444579E-3</v>
      </c>
      <c r="AB89" s="16">
        <v>0.69097222222222221</v>
      </c>
      <c r="AC89" s="17"/>
      <c r="AD89" s="51"/>
    </row>
    <row r="90" spans="1:30" ht="19.5" thickBot="1" x14ac:dyDescent="0.3">
      <c r="A90" s="14">
        <v>15</v>
      </c>
      <c r="B90" s="15">
        <v>3783</v>
      </c>
      <c r="C90" s="15" t="str">
        <f>VLOOKUP(B90,'[1]21-1-2026'!$B$3:$T$35,2,)</f>
        <v>دبابة</v>
      </c>
      <c r="D90" s="16">
        <f>VLOOKUP(B90,'[1]21-1-2026'!$B$3:$T$35,3,)</f>
        <v>2.0833333333333301E-2</v>
      </c>
      <c r="E90" s="15" t="s">
        <v>60</v>
      </c>
      <c r="F90" s="15" t="s">
        <v>76</v>
      </c>
      <c r="G90" s="16">
        <v>0.25</v>
      </c>
      <c r="H90" s="16">
        <f t="shared" si="14"/>
        <v>0.26041666666666669</v>
      </c>
      <c r="I90" s="16">
        <f t="shared" si="8"/>
        <v>1.0416666666666685E-2</v>
      </c>
      <c r="J90" s="16">
        <v>0.60069444444444442</v>
      </c>
      <c r="K90" s="16">
        <v>0.62847222222222221</v>
      </c>
      <c r="L90" s="16" t="s">
        <v>113</v>
      </c>
      <c r="M90" s="16" t="s">
        <v>113</v>
      </c>
      <c r="N90" s="16">
        <f t="shared" si="9"/>
        <v>2.777777777777779E-2</v>
      </c>
      <c r="O90" s="16">
        <f t="shared" si="10"/>
        <v>6.9444444444444892E-3</v>
      </c>
      <c r="P90" s="16">
        <v>6.9444444444444397E-3</v>
      </c>
      <c r="Q90" s="16">
        <v>0.63888888888888895</v>
      </c>
      <c r="R90" s="16">
        <f t="shared" si="11"/>
        <v>3.4722222222223209E-3</v>
      </c>
      <c r="S90" s="16">
        <v>0.63888888888888895</v>
      </c>
      <c r="T90" s="16">
        <f>VLOOKUP(E90,'[1]21-1-2026'!$E$68:$T$96,16,FALSE)</f>
        <v>1.0416666666666701E-2</v>
      </c>
      <c r="U90" s="16">
        <v>0.70138888888888884</v>
      </c>
      <c r="V90" s="16">
        <v>0</v>
      </c>
      <c r="W90" s="16">
        <v>3.125E-2</v>
      </c>
      <c r="X90" s="16">
        <v>0.70486111111111116</v>
      </c>
      <c r="Y90" s="16">
        <v>0.74305555555555547</v>
      </c>
      <c r="Z90" s="16">
        <f t="shared" si="13"/>
        <v>3.8194444444444309E-2</v>
      </c>
      <c r="AA90" s="16">
        <f t="shared" si="15"/>
        <v>6.9444444444443088E-3</v>
      </c>
      <c r="AB90" s="16">
        <v>0.74652777777777779</v>
      </c>
      <c r="AC90" s="17"/>
      <c r="AD90" s="51"/>
    </row>
    <row r="91" spans="1:30" ht="19.5" thickBot="1" x14ac:dyDescent="0.3">
      <c r="A91" s="14">
        <v>16</v>
      </c>
      <c r="B91" s="15">
        <v>459</v>
      </c>
      <c r="C91" s="15" t="str">
        <f>VLOOKUP(B91,'[1]21-1-2026'!$B$3:$T$35,2,)</f>
        <v>دبابة</v>
      </c>
      <c r="D91" s="16">
        <f>VLOOKUP(B91,'[1]21-1-2026'!$B$3:$T$35,3,)</f>
        <v>2.0833333333333301E-2</v>
      </c>
      <c r="E91" s="15" t="s">
        <v>63</v>
      </c>
      <c r="F91" s="15" t="s">
        <v>40</v>
      </c>
      <c r="G91" s="16">
        <v>0.25</v>
      </c>
      <c r="H91" s="16">
        <f t="shared" si="14"/>
        <v>0.25</v>
      </c>
      <c r="I91" s="16">
        <f t="shared" si="8"/>
        <v>0</v>
      </c>
      <c r="J91" s="16">
        <v>0.63194444444444442</v>
      </c>
      <c r="K91" s="16">
        <v>0.64583333333333337</v>
      </c>
      <c r="L91" s="16" t="s">
        <v>91</v>
      </c>
      <c r="M91" s="16" t="s">
        <v>91</v>
      </c>
      <c r="N91" s="16">
        <f t="shared" si="9"/>
        <v>1.3888888888888951E-2</v>
      </c>
      <c r="O91" s="16">
        <v>0</v>
      </c>
      <c r="P91" s="16">
        <v>6.9444444444444397E-3</v>
      </c>
      <c r="Q91" s="16">
        <v>0.65625</v>
      </c>
      <c r="R91" s="16">
        <f t="shared" si="11"/>
        <v>3.4722222222222099E-3</v>
      </c>
      <c r="S91" s="16">
        <v>0.65625</v>
      </c>
      <c r="T91" s="16">
        <f>VLOOKUP(E91,'[1]21-1-2026'!$E$68:$T$96,16,FALSE)</f>
        <v>6.25E-2</v>
      </c>
      <c r="U91" s="16">
        <v>0.70486111111111116</v>
      </c>
      <c r="V91" s="16">
        <v>0</v>
      </c>
      <c r="W91" s="16">
        <v>3.125E-2</v>
      </c>
      <c r="X91" s="16">
        <v>0.70833333333333337</v>
      </c>
      <c r="Y91" s="16">
        <v>0.72569444444444453</v>
      </c>
      <c r="Z91" s="16">
        <f t="shared" si="13"/>
        <v>1.736111111111116E-2</v>
      </c>
      <c r="AA91" s="16">
        <v>0</v>
      </c>
      <c r="AB91" s="16">
        <v>0.73263888888888884</v>
      </c>
      <c r="AC91" s="17"/>
      <c r="AD91" s="51"/>
    </row>
    <row r="92" spans="1:30" ht="19.5" thickBot="1" x14ac:dyDescent="0.3">
      <c r="A92" s="14">
        <v>17</v>
      </c>
      <c r="B92" s="15">
        <v>1538</v>
      </c>
      <c r="C92" s="15" t="str">
        <f>VLOOKUP(B92,'[1]21-1-2026'!$B$3:$T$35,2,)</f>
        <v>تلتين</v>
      </c>
      <c r="D92" s="16">
        <f>VLOOKUP(B92,'[1]21-1-2026'!$B$3:$T$35,3,)</f>
        <v>3.125E-2</v>
      </c>
      <c r="E92" s="15" t="s">
        <v>70</v>
      </c>
      <c r="F92" s="15" t="s">
        <v>62</v>
      </c>
      <c r="G92" s="16">
        <v>0.25</v>
      </c>
      <c r="H92" s="16">
        <f t="shared" si="14"/>
        <v>0.25</v>
      </c>
      <c r="I92" s="16">
        <f t="shared" si="8"/>
        <v>0</v>
      </c>
      <c r="J92" s="16">
        <v>0.69444444444444442</v>
      </c>
      <c r="K92" s="16">
        <v>0.71180555555555547</v>
      </c>
      <c r="L92" s="16" t="s">
        <v>91</v>
      </c>
      <c r="M92" s="16" t="s">
        <v>91</v>
      </c>
      <c r="N92" s="16">
        <f t="shared" si="9"/>
        <v>1.7361111111111049E-2</v>
      </c>
      <c r="O92" s="16">
        <v>0</v>
      </c>
      <c r="P92" s="16">
        <v>6.9444444444444397E-3</v>
      </c>
      <c r="Q92" s="16">
        <v>0.73263888888888884</v>
      </c>
      <c r="R92" s="16">
        <f t="shared" si="11"/>
        <v>1.3888888888888951E-2</v>
      </c>
      <c r="S92" s="16">
        <v>0.73263888888888884</v>
      </c>
      <c r="T92" s="16">
        <f>VLOOKUP(E92,'[1]21-1-2026'!$E$68:$T$96,16,FALSE)</f>
        <v>1.0416666666666701E-2</v>
      </c>
      <c r="U92" s="16">
        <v>0.74652777777777779</v>
      </c>
      <c r="V92" s="16">
        <f t="shared" si="12"/>
        <v>3.4722222222222099E-3</v>
      </c>
      <c r="W92" s="16">
        <v>3.125E-2</v>
      </c>
      <c r="X92" s="16">
        <v>0.75694444444444453</v>
      </c>
      <c r="Y92" s="16">
        <v>0.76597222222222217</v>
      </c>
      <c r="Z92" s="16">
        <f t="shared" si="13"/>
        <v>9.0277777777776347E-3</v>
      </c>
      <c r="AA92" s="16">
        <v>0</v>
      </c>
      <c r="AB92" s="16">
        <v>0.76736111111111116</v>
      </c>
      <c r="AC92" s="17"/>
      <c r="AD92" s="51"/>
    </row>
    <row r="93" spans="1:30" ht="19.5" thickBot="1" x14ac:dyDescent="0.3">
      <c r="A93" s="14">
        <v>18</v>
      </c>
      <c r="B93" s="15">
        <v>1538</v>
      </c>
      <c r="C93" s="15" t="str">
        <f>VLOOKUP(B93,'[1]21-1-2026'!$B$3:$T$35,2,)</f>
        <v>تلتين</v>
      </c>
      <c r="D93" s="16">
        <f>VLOOKUP(B93,'[1]21-1-2026'!$B$3:$T$35,3,)</f>
        <v>3.125E-2</v>
      </c>
      <c r="E93" s="15" t="s">
        <v>95</v>
      </c>
      <c r="F93" s="15" t="s">
        <v>62</v>
      </c>
      <c r="G93" s="16">
        <v>0.25</v>
      </c>
      <c r="H93" s="16">
        <f t="shared" si="14"/>
        <v>0.25</v>
      </c>
      <c r="I93" s="16">
        <f t="shared" si="8"/>
        <v>0</v>
      </c>
      <c r="J93" s="16">
        <v>0.69444444444444442</v>
      </c>
      <c r="K93" s="16">
        <v>0.71180555555555547</v>
      </c>
      <c r="L93" s="16" t="s">
        <v>91</v>
      </c>
      <c r="M93" s="16" t="s">
        <v>91</v>
      </c>
      <c r="N93" s="16">
        <f t="shared" si="9"/>
        <v>1.7361111111111049E-2</v>
      </c>
      <c r="O93" s="16">
        <v>0</v>
      </c>
      <c r="P93" s="16">
        <v>6.9444444444444397E-3</v>
      </c>
      <c r="Q93" s="16">
        <v>0.73263888888888884</v>
      </c>
      <c r="R93" s="16">
        <f t="shared" si="11"/>
        <v>1.3888888888888951E-2</v>
      </c>
      <c r="S93" s="16">
        <v>0.73263888888888884</v>
      </c>
      <c r="T93" s="16">
        <f>VLOOKUP(E93,'[1]21-1-2026'!$E$68:$T$96,16,FALSE)</f>
        <v>1.0416666666666701E-2</v>
      </c>
      <c r="U93" s="16">
        <v>0.77430555555555547</v>
      </c>
      <c r="V93" s="16">
        <v>0</v>
      </c>
      <c r="W93" s="16">
        <v>3.125E-2</v>
      </c>
      <c r="X93" s="16">
        <v>0.78472222222222221</v>
      </c>
      <c r="Y93" s="16">
        <v>0.81111111111111101</v>
      </c>
      <c r="Z93" s="16">
        <f t="shared" si="13"/>
        <v>2.6388888888888795E-2</v>
      </c>
      <c r="AA93" s="16">
        <v>0</v>
      </c>
      <c r="AB93" s="16">
        <v>0.8125</v>
      </c>
      <c r="AC93" s="17"/>
      <c r="AD93" s="51"/>
    </row>
    <row r="94" spans="1:30" ht="19.5" thickBot="1" x14ac:dyDescent="0.3">
      <c r="A94" s="14">
        <v>19</v>
      </c>
      <c r="B94" s="15">
        <v>1538</v>
      </c>
      <c r="C94" s="15" t="str">
        <f>VLOOKUP(B94,'[1]21-1-2026'!$B$3:$T$35,2,)</f>
        <v>تلتين</v>
      </c>
      <c r="D94" s="16">
        <f>VLOOKUP(B94,'[1]21-1-2026'!$B$3:$T$35,3,)</f>
        <v>3.125E-2</v>
      </c>
      <c r="E94" s="15" t="s">
        <v>98</v>
      </c>
      <c r="F94" s="15" t="s">
        <v>62</v>
      </c>
      <c r="G94" s="16">
        <v>0.25</v>
      </c>
      <c r="H94" s="16">
        <f t="shared" si="14"/>
        <v>0.25</v>
      </c>
      <c r="I94" s="16">
        <f t="shared" si="8"/>
        <v>0</v>
      </c>
      <c r="J94" s="16">
        <v>0.69444444444444442</v>
      </c>
      <c r="K94" s="16">
        <v>0.71180555555555547</v>
      </c>
      <c r="L94" s="16" t="s">
        <v>91</v>
      </c>
      <c r="M94" s="16" t="s">
        <v>91</v>
      </c>
      <c r="N94" s="16">
        <f t="shared" si="9"/>
        <v>1.7361111111111049E-2</v>
      </c>
      <c r="O94" s="16">
        <v>0</v>
      </c>
      <c r="P94" s="16">
        <v>6.9444444444444397E-3</v>
      </c>
      <c r="Q94" s="16">
        <v>0.73263888888888884</v>
      </c>
      <c r="R94" s="16">
        <f t="shared" si="11"/>
        <v>1.3888888888888951E-2</v>
      </c>
      <c r="S94" s="16">
        <v>0.73263888888888884</v>
      </c>
      <c r="T94" s="16">
        <f>VLOOKUP(E94,'[1]21-1-2026'!$E$68:$T$96,16,FALSE)</f>
        <v>4.8611111111111103E-3</v>
      </c>
      <c r="U94" s="16">
        <v>0.81944444444444453</v>
      </c>
      <c r="V94" s="16">
        <v>0</v>
      </c>
      <c r="W94" s="16">
        <v>4.1666666666666664E-2</v>
      </c>
      <c r="X94" s="16">
        <v>0.82291666666666663</v>
      </c>
      <c r="Y94" s="16">
        <v>0.82986111111111116</v>
      </c>
      <c r="Z94" s="16">
        <f t="shared" si="13"/>
        <v>6.9444444444445308E-3</v>
      </c>
      <c r="AA94" s="16">
        <v>0</v>
      </c>
      <c r="AB94" s="16">
        <v>0.83888888888888891</v>
      </c>
      <c r="AC94" s="17"/>
      <c r="AD94" s="51"/>
    </row>
    <row r="95" spans="1:30" ht="19.5" thickBot="1" x14ac:dyDescent="0.3">
      <c r="A95" s="14">
        <v>20</v>
      </c>
      <c r="B95" s="15">
        <v>1537</v>
      </c>
      <c r="C95" s="15" t="str">
        <f>VLOOKUP(B95,'[1]21-1-2026'!$B$3:$T$35,2,)</f>
        <v>تلتين</v>
      </c>
      <c r="D95" s="16">
        <f>VLOOKUP(B95,'[1]21-1-2026'!$B$3:$T$35,3,)</f>
        <v>3.125E-2</v>
      </c>
      <c r="E95" s="15" t="s">
        <v>46</v>
      </c>
      <c r="F95" s="15" t="s">
        <v>117</v>
      </c>
      <c r="G95" s="16">
        <v>0.25</v>
      </c>
      <c r="H95" s="16">
        <v>0.25</v>
      </c>
      <c r="I95" s="16">
        <f t="shared" si="8"/>
        <v>0</v>
      </c>
      <c r="J95" s="16">
        <v>0.61111111111111116</v>
      </c>
      <c r="K95" s="16">
        <v>0.63541666666666663</v>
      </c>
      <c r="L95" s="16" t="s">
        <v>85</v>
      </c>
      <c r="M95" s="16" t="s">
        <v>85</v>
      </c>
      <c r="N95" s="16">
        <f t="shared" si="9"/>
        <v>2.4305555555555469E-2</v>
      </c>
      <c r="O95" s="16">
        <v>0</v>
      </c>
      <c r="P95" s="16">
        <v>6.9444444444444397E-3</v>
      </c>
      <c r="Q95" s="16">
        <v>0.63888888888888895</v>
      </c>
      <c r="R95" s="16">
        <v>0</v>
      </c>
      <c r="S95" s="16">
        <v>0.63888888888888895</v>
      </c>
      <c r="T95" s="16">
        <f>VLOOKUP(E95,'[1]21-1-2026'!$E$68:$T$96,16,FALSE)</f>
        <v>3.4722222222222203E-2</v>
      </c>
      <c r="U95" s="16">
        <v>0.66666666666666663</v>
      </c>
      <c r="V95" s="16">
        <v>0</v>
      </c>
      <c r="W95" s="16">
        <v>3.125E-2</v>
      </c>
      <c r="X95" s="16">
        <v>0.67708333333333337</v>
      </c>
      <c r="Y95" s="16">
        <v>0.6875</v>
      </c>
      <c r="Z95" s="16">
        <f t="shared" si="13"/>
        <v>1.041666666666663E-2</v>
      </c>
      <c r="AA95" s="16">
        <v>0</v>
      </c>
      <c r="AB95" s="16">
        <v>0.69097222222222221</v>
      </c>
      <c r="AC95" s="17"/>
      <c r="AD95" s="51"/>
    </row>
    <row r="96" spans="1:30" ht="19.5" thickBot="1" x14ac:dyDescent="0.3">
      <c r="A96" s="14">
        <v>21</v>
      </c>
      <c r="B96" s="15">
        <v>1537</v>
      </c>
      <c r="C96" s="15" t="str">
        <f>VLOOKUP(B96,'[1]21-1-2026'!$B$3:$T$35,2,)</f>
        <v>تلتين</v>
      </c>
      <c r="D96" s="16">
        <f>VLOOKUP(B96,'[1]21-1-2026'!$B$3:$T$35,3,)</f>
        <v>3.125E-2</v>
      </c>
      <c r="E96" s="15" t="s">
        <v>49</v>
      </c>
      <c r="F96" s="15" t="s">
        <v>117</v>
      </c>
      <c r="G96" s="16">
        <v>0.25</v>
      </c>
      <c r="H96" s="16">
        <v>0.25</v>
      </c>
      <c r="I96" s="16">
        <f t="shared" si="8"/>
        <v>0</v>
      </c>
      <c r="J96" s="16">
        <v>0.61111111111111116</v>
      </c>
      <c r="K96" s="16">
        <v>0.63541666666666663</v>
      </c>
      <c r="L96" s="16" t="s">
        <v>85</v>
      </c>
      <c r="M96" s="16" t="s">
        <v>85</v>
      </c>
      <c r="N96" s="16">
        <f t="shared" si="9"/>
        <v>2.4305555555555469E-2</v>
      </c>
      <c r="O96" s="16">
        <v>0</v>
      </c>
      <c r="P96" s="16">
        <v>6.9444444444444397E-3</v>
      </c>
      <c r="Q96" s="16">
        <v>0.63888888888888895</v>
      </c>
      <c r="R96" s="16">
        <v>0</v>
      </c>
      <c r="S96" s="16">
        <v>0.63888888888888895</v>
      </c>
      <c r="T96" s="16">
        <f>VLOOKUP(E96,'[1]21-1-2026'!$E$68:$T$96,16,FALSE)</f>
        <v>1.0416666666666701E-2</v>
      </c>
      <c r="U96" s="16">
        <v>0.70833333333333337</v>
      </c>
      <c r="V96" s="16">
        <v>6.9444444444444441E-3</v>
      </c>
      <c r="W96" s="16">
        <v>4.1666666666666664E-2</v>
      </c>
      <c r="X96" s="16">
        <v>0.71180555555555547</v>
      </c>
      <c r="Y96" s="16">
        <v>0.72222222222222221</v>
      </c>
      <c r="Z96" s="16">
        <f t="shared" si="13"/>
        <v>1.0416666666666741E-2</v>
      </c>
      <c r="AA96" s="16">
        <v>0</v>
      </c>
      <c r="AB96" s="16">
        <v>0.72569444444444453</v>
      </c>
      <c r="AC96" s="19"/>
      <c r="AD96" s="51"/>
    </row>
    <row r="97" spans="1:30" ht="19.5" thickBot="1" x14ac:dyDescent="0.3">
      <c r="A97" s="14">
        <v>22</v>
      </c>
      <c r="B97" s="15">
        <v>675</v>
      </c>
      <c r="C97" s="15" t="str">
        <f>VLOOKUP(B97,'[1]21-1-2026'!$B$3:$T$35,2,)</f>
        <v>جامبو</v>
      </c>
      <c r="D97" s="16">
        <f>VLOOKUP(B97,'[1]21-1-2026'!$B$3:$T$35,3,)</f>
        <v>4.1666666666666699E-2</v>
      </c>
      <c r="E97" s="15" t="s">
        <v>89</v>
      </c>
      <c r="F97" s="15" t="s">
        <v>118</v>
      </c>
      <c r="G97" s="16">
        <v>0.29166666666666669</v>
      </c>
      <c r="H97" s="16">
        <v>0.29166666666666669</v>
      </c>
      <c r="I97" s="16">
        <f t="shared" si="8"/>
        <v>0</v>
      </c>
      <c r="J97" s="16">
        <v>0.75347222222222221</v>
      </c>
      <c r="K97" s="16">
        <v>0.77430555555555547</v>
      </c>
      <c r="L97" s="16" t="s">
        <v>108</v>
      </c>
      <c r="M97" s="16" t="s">
        <v>108</v>
      </c>
      <c r="N97" s="16">
        <f t="shared" si="9"/>
        <v>2.0833333333333259E-2</v>
      </c>
      <c r="O97" s="16">
        <v>0</v>
      </c>
      <c r="P97" s="16">
        <v>6.9444444444444397E-3</v>
      </c>
      <c r="Q97" s="16">
        <v>0.79513888888888884</v>
      </c>
      <c r="R97" s="16">
        <f t="shared" si="11"/>
        <v>1.3888888888888951E-2</v>
      </c>
      <c r="S97" s="16">
        <v>0.79513888888888884</v>
      </c>
      <c r="T97" s="16">
        <f>VLOOKUP(E97,'[1]21-1-2026'!$E$68:$T$96,16,FALSE)</f>
        <v>1.7361111111111101E-2</v>
      </c>
      <c r="U97" s="16">
        <v>0.81736111111111109</v>
      </c>
      <c r="V97" s="16">
        <f t="shared" si="12"/>
        <v>4.8611111111112049E-3</v>
      </c>
      <c r="W97" s="16">
        <v>2.0833333333333332E-2</v>
      </c>
      <c r="X97" s="16">
        <v>0.81944444444444453</v>
      </c>
      <c r="Y97" s="16">
        <v>0.8256944444444444</v>
      </c>
      <c r="Z97" s="16">
        <f t="shared" si="13"/>
        <v>6.2499999999998668E-3</v>
      </c>
      <c r="AA97" s="16">
        <v>0</v>
      </c>
      <c r="AB97" s="16">
        <v>0.82638888888888884</v>
      </c>
      <c r="AC97" s="19"/>
      <c r="AD97" s="51"/>
    </row>
    <row r="98" spans="1:30" ht="19.5" thickBot="1" x14ac:dyDescent="0.3">
      <c r="A98" s="14">
        <v>23</v>
      </c>
      <c r="B98" s="15">
        <v>529</v>
      </c>
      <c r="C98" s="15" t="str">
        <f>VLOOKUP(B98,'[1]21-1-2026'!$B$3:$T$35,2,)</f>
        <v>تويوتا</v>
      </c>
      <c r="D98" s="16">
        <f>VLOOKUP(B98,'[1]21-1-2026'!$B$3:$T$35,3,)</f>
        <v>2.0833333333333301E-2</v>
      </c>
      <c r="E98" s="15" t="s">
        <v>39</v>
      </c>
      <c r="F98" s="15" t="s">
        <v>118</v>
      </c>
      <c r="G98" s="16">
        <v>0.29166666666666669</v>
      </c>
      <c r="H98" s="16">
        <v>0.29166666666666669</v>
      </c>
      <c r="I98" s="16">
        <f t="shared" si="8"/>
        <v>0</v>
      </c>
      <c r="J98" s="16">
        <v>0.75347222222222221</v>
      </c>
      <c r="K98" s="16">
        <v>0.77430555555555547</v>
      </c>
      <c r="L98" s="16" t="s">
        <v>108</v>
      </c>
      <c r="M98" s="16" t="s">
        <v>108</v>
      </c>
      <c r="N98" s="16">
        <f t="shared" si="9"/>
        <v>2.0833333333333259E-2</v>
      </c>
      <c r="O98" s="16">
        <v>0</v>
      </c>
      <c r="P98" s="16">
        <v>6.9444444444444397E-3</v>
      </c>
      <c r="Q98" s="16">
        <v>0.79513888888888884</v>
      </c>
      <c r="R98" s="16">
        <f t="shared" si="11"/>
        <v>1.3888888888888951E-2</v>
      </c>
      <c r="S98" s="16">
        <v>0.79513888888888884</v>
      </c>
      <c r="T98" s="16">
        <f>VLOOKUP(E98,'[1]21-1-2026'!$E$68:$T$96,16,FALSE)</f>
        <v>1.0416666666666701E-2</v>
      </c>
      <c r="U98" s="16">
        <v>0.83333333333333337</v>
      </c>
      <c r="V98" s="16">
        <f t="shared" si="12"/>
        <v>2.777777777777779E-2</v>
      </c>
      <c r="W98" s="16">
        <v>3.125E-2</v>
      </c>
      <c r="X98" s="16">
        <v>0.83680555555555547</v>
      </c>
      <c r="Y98" s="16">
        <v>0.85069444444444453</v>
      </c>
      <c r="Z98" s="16">
        <f t="shared" si="13"/>
        <v>1.3888888888889062E-2</v>
      </c>
      <c r="AA98" s="16">
        <v>0</v>
      </c>
      <c r="AB98" s="16">
        <v>0.85416666666666663</v>
      </c>
      <c r="AC98" s="19"/>
      <c r="AD98" s="51"/>
    </row>
    <row r="99" spans="1:30" ht="19.5" thickBot="1" x14ac:dyDescent="0.3">
      <c r="A99" s="14">
        <v>24</v>
      </c>
      <c r="B99" s="15">
        <v>7435</v>
      </c>
      <c r="C99" s="15" t="str">
        <f>VLOOKUP(B99,'[1]21-1-2026'!$B$3:$T$35,2,)</f>
        <v>تلتين</v>
      </c>
      <c r="D99" s="16">
        <f>VLOOKUP(B99,'[1]21-1-2026'!$B$3:$T$35,3,)</f>
        <v>3.125E-2</v>
      </c>
      <c r="E99" s="15" t="s">
        <v>42</v>
      </c>
      <c r="F99" s="15" t="s">
        <v>74</v>
      </c>
      <c r="G99" s="16">
        <v>0.25</v>
      </c>
      <c r="H99" s="16">
        <f>VLOOKUP(F99,$F$3:$H$35,3,FALSE)</f>
        <v>0.25</v>
      </c>
      <c r="I99" s="16">
        <f t="shared" si="8"/>
        <v>0</v>
      </c>
      <c r="J99" s="16">
        <v>0.625</v>
      </c>
      <c r="K99" s="16">
        <v>0.64930555555555558</v>
      </c>
      <c r="L99" s="16" t="s">
        <v>88</v>
      </c>
      <c r="M99" s="16" t="s">
        <v>88</v>
      </c>
      <c r="N99" s="16">
        <f t="shared" si="9"/>
        <v>2.430555555555558E-2</v>
      </c>
      <c r="O99" s="16">
        <v>0</v>
      </c>
      <c r="P99" s="16">
        <v>6.9444444444444397E-3</v>
      </c>
      <c r="Q99" s="16">
        <v>0.65625</v>
      </c>
      <c r="R99" s="16">
        <f t="shared" si="11"/>
        <v>0</v>
      </c>
      <c r="S99" s="16">
        <v>0.65625</v>
      </c>
      <c r="T99" s="16">
        <f>VLOOKUP(E99,'[1]21-1-2026'!$E$68:$T$96,16,FALSE)</f>
        <v>1.7361111111111101E-2</v>
      </c>
      <c r="U99" s="16">
        <v>0.67708333333333337</v>
      </c>
      <c r="V99" s="16">
        <f t="shared" si="12"/>
        <v>3.4722222222223209E-3</v>
      </c>
      <c r="W99" s="16">
        <v>3.125E-2</v>
      </c>
      <c r="X99" s="16">
        <v>0.68611111111111101</v>
      </c>
      <c r="Y99" s="16">
        <v>0.70000000000000007</v>
      </c>
      <c r="Z99" s="16">
        <f t="shared" si="13"/>
        <v>1.3888888888889062E-2</v>
      </c>
      <c r="AA99" s="16">
        <v>0</v>
      </c>
      <c r="AB99" s="16">
        <v>0.70138888888888884</v>
      </c>
      <c r="AC99" s="19"/>
      <c r="AD99" s="51"/>
    </row>
    <row r="100" spans="1:30" ht="19.5" thickBot="1" x14ac:dyDescent="0.3">
      <c r="A100" s="14">
        <v>25</v>
      </c>
      <c r="B100" s="15">
        <v>7435</v>
      </c>
      <c r="C100" s="15" t="str">
        <f>VLOOKUP(B100,'[1]21-1-2026'!$B$3:$T$35,2,)</f>
        <v>تلتين</v>
      </c>
      <c r="D100" s="16">
        <f>VLOOKUP(B100,'[1]21-1-2026'!$B$3:$T$35,3,)</f>
        <v>3.125E-2</v>
      </c>
      <c r="E100" s="15" t="s">
        <v>45</v>
      </c>
      <c r="F100" s="15" t="s">
        <v>74</v>
      </c>
      <c r="G100" s="16">
        <v>0.25</v>
      </c>
      <c r="H100" s="16">
        <f>VLOOKUP(F100,$F$3:$H$35,3,FALSE)</f>
        <v>0.25</v>
      </c>
      <c r="I100" s="16">
        <f t="shared" si="8"/>
        <v>0</v>
      </c>
      <c r="J100" s="16">
        <v>0.625</v>
      </c>
      <c r="K100" s="16">
        <v>0.64930555555555558</v>
      </c>
      <c r="L100" s="16" t="s">
        <v>88</v>
      </c>
      <c r="M100" s="16" t="s">
        <v>88</v>
      </c>
      <c r="N100" s="16">
        <f t="shared" si="9"/>
        <v>2.430555555555558E-2</v>
      </c>
      <c r="O100" s="16">
        <v>0</v>
      </c>
      <c r="P100" s="16">
        <v>6.9444444444444397E-3</v>
      </c>
      <c r="Q100" s="16">
        <v>0.65625</v>
      </c>
      <c r="R100" s="16">
        <f t="shared" si="11"/>
        <v>0</v>
      </c>
      <c r="S100" s="16">
        <v>0.65625</v>
      </c>
      <c r="T100" s="16">
        <f>VLOOKUP(E100,'[1]21-1-2026'!$E$68:$T$96,16,FALSE)</f>
        <v>1.0416666666666701E-2</v>
      </c>
      <c r="U100" s="16">
        <v>0.70833333333333337</v>
      </c>
      <c r="V100" s="16">
        <v>0</v>
      </c>
      <c r="W100" s="16">
        <v>4.1666666666666664E-2</v>
      </c>
      <c r="X100" s="16">
        <v>0.71180555555555547</v>
      </c>
      <c r="Y100" s="16">
        <v>0.73611111111111116</v>
      </c>
      <c r="Z100" s="16">
        <f t="shared" si="13"/>
        <v>2.4305555555555691E-2</v>
      </c>
      <c r="AA100" s="16">
        <v>0</v>
      </c>
      <c r="AB100" s="16">
        <v>0.73749999999999993</v>
      </c>
      <c r="AC100" s="19"/>
      <c r="AD100" s="51"/>
    </row>
    <row r="101" spans="1:30" ht="19.5" thickBot="1" x14ac:dyDescent="0.3">
      <c r="A101" s="14">
        <v>26</v>
      </c>
      <c r="B101" s="15">
        <v>3793</v>
      </c>
      <c r="C101" s="15" t="str">
        <f>VLOOKUP(B101,'[1]21-1-2026'!$B$3:$T$35,2,)</f>
        <v>دبابة</v>
      </c>
      <c r="D101" s="16">
        <f>VLOOKUP(B101,'[1]21-1-2026'!$B$3:$T$35,3,)</f>
        <v>2.0833333333333301E-2</v>
      </c>
      <c r="E101" s="15" t="s">
        <v>65</v>
      </c>
      <c r="F101" s="15" t="s">
        <v>93</v>
      </c>
      <c r="G101" s="16">
        <v>0.25</v>
      </c>
      <c r="H101" s="16">
        <f>VLOOKUP(F101,$F$3:$H$35,3,FALSE)</f>
        <v>0.25</v>
      </c>
      <c r="I101" s="16">
        <f t="shared" si="8"/>
        <v>0</v>
      </c>
      <c r="J101" s="16">
        <v>0.62847222222222221</v>
      </c>
      <c r="K101" s="16">
        <v>0.63888888888888884</v>
      </c>
      <c r="L101" s="16" t="s">
        <v>109</v>
      </c>
      <c r="M101" s="16" t="s">
        <v>110</v>
      </c>
      <c r="N101" s="16">
        <f t="shared" si="9"/>
        <v>1.041666666666663E-2</v>
      </c>
      <c r="O101" s="16">
        <v>0</v>
      </c>
      <c r="P101" s="16">
        <v>6.9444444444444397E-3</v>
      </c>
      <c r="Q101" s="16">
        <v>0.63888888888888895</v>
      </c>
      <c r="R101" s="16">
        <v>0</v>
      </c>
      <c r="S101" s="16">
        <v>0.63888888888888895</v>
      </c>
      <c r="T101" s="16">
        <v>4.1666666666666664E-2</v>
      </c>
      <c r="U101" s="16">
        <v>0.68055555555555547</v>
      </c>
      <c r="V101" s="16">
        <f t="shared" si="12"/>
        <v>0</v>
      </c>
      <c r="W101" s="16">
        <v>3.125E-2</v>
      </c>
      <c r="X101" s="16">
        <v>0.6875</v>
      </c>
      <c r="Y101" s="16">
        <v>0.70277777777777783</v>
      </c>
      <c r="Z101" s="16">
        <f t="shared" si="13"/>
        <v>1.5277777777777835E-2</v>
      </c>
      <c r="AA101" s="16">
        <v>0</v>
      </c>
      <c r="AB101" s="16">
        <v>0.70624999999999993</v>
      </c>
      <c r="AC101" s="19"/>
      <c r="AD101" s="51"/>
    </row>
    <row r="102" spans="1:30" ht="19.5" thickBot="1" x14ac:dyDescent="0.3">
      <c r="A102" s="14">
        <v>27</v>
      </c>
      <c r="B102" s="15">
        <v>1451</v>
      </c>
      <c r="C102" s="15" t="str">
        <f>VLOOKUP(B102,'[1]21-1-2026'!$B$3:$T$35,2,)</f>
        <v>تلتين</v>
      </c>
      <c r="D102" s="16">
        <f>VLOOKUP(B102,'[1]21-1-2026'!$B$3:$T$35,3,)</f>
        <v>3.125E-2</v>
      </c>
      <c r="E102" s="15" t="s">
        <v>72</v>
      </c>
      <c r="F102" s="15" t="s">
        <v>80</v>
      </c>
      <c r="G102" s="16">
        <v>0.25</v>
      </c>
      <c r="H102" s="16">
        <f>VLOOKUP(F102,$F$3:$H$35,3,FALSE)</f>
        <v>0.25</v>
      </c>
      <c r="I102" s="16">
        <f t="shared" si="8"/>
        <v>0</v>
      </c>
      <c r="J102" s="16">
        <v>0.67708333333333337</v>
      </c>
      <c r="K102" s="16">
        <v>0.70486111111111116</v>
      </c>
      <c r="L102" s="16" t="s">
        <v>109</v>
      </c>
      <c r="M102" s="16" t="s">
        <v>110</v>
      </c>
      <c r="N102" s="16">
        <f t="shared" si="9"/>
        <v>2.777777777777779E-2</v>
      </c>
      <c r="O102" s="16">
        <f t="shared" si="10"/>
        <v>-3.4722222222222099E-3</v>
      </c>
      <c r="P102" s="16">
        <v>6.9444444444444397E-3</v>
      </c>
      <c r="Q102" s="16">
        <v>0.70833333333333337</v>
      </c>
      <c r="R102" s="16">
        <v>0</v>
      </c>
      <c r="S102" s="16">
        <v>0.70833333333333337</v>
      </c>
      <c r="T102" s="16">
        <f>VLOOKUP(E102,'[1]21-1-2026'!$E$68:$T$96,16,FALSE)</f>
        <v>1.0416666666666701E-2</v>
      </c>
      <c r="U102" s="16">
        <v>0.72222222222222221</v>
      </c>
      <c r="V102" s="16">
        <f t="shared" si="12"/>
        <v>3.4722222222220989E-3</v>
      </c>
      <c r="W102" s="16">
        <v>2.0833333333333332E-2</v>
      </c>
      <c r="X102" s="16">
        <v>0.72569444444444453</v>
      </c>
      <c r="Y102" s="16">
        <v>0.73263888888888884</v>
      </c>
      <c r="Z102" s="16">
        <f t="shared" si="13"/>
        <v>6.9444444444443088E-3</v>
      </c>
      <c r="AA102" s="16">
        <v>0</v>
      </c>
      <c r="AB102" s="16">
        <v>0.73611111111111116</v>
      </c>
      <c r="AC102" s="19"/>
      <c r="AD102" s="51"/>
    </row>
    <row r="103" spans="1:30" ht="19.5" thickBot="1" x14ac:dyDescent="0.3">
      <c r="A103" s="20">
        <v>28</v>
      </c>
      <c r="B103" s="21">
        <v>1454</v>
      </c>
      <c r="C103" s="21" t="str">
        <f>VLOOKUP(B103,'[1]21-1-2026'!$B$3:$T$35,2,)</f>
        <v>تلتين</v>
      </c>
      <c r="D103" s="22">
        <f>VLOOKUP(B103,'[1]21-1-2026'!$B$3:$T$35,3,)</f>
        <v>3.125E-2</v>
      </c>
      <c r="E103" s="21" t="s">
        <v>92</v>
      </c>
      <c r="F103" s="21" t="s">
        <v>80</v>
      </c>
      <c r="G103" s="22">
        <v>0.25</v>
      </c>
      <c r="H103" s="22">
        <f>VLOOKUP(F103,$F$3:$H$35,3,FALSE)</f>
        <v>0.25</v>
      </c>
      <c r="I103" s="22">
        <f t="shared" si="8"/>
        <v>0</v>
      </c>
      <c r="J103" s="22">
        <v>0.67708333333333337</v>
      </c>
      <c r="K103" s="22">
        <v>0.70486111111111116</v>
      </c>
      <c r="L103" s="22" t="s">
        <v>109</v>
      </c>
      <c r="M103" s="22" t="s">
        <v>110</v>
      </c>
      <c r="N103" s="22">
        <f t="shared" si="9"/>
        <v>2.777777777777779E-2</v>
      </c>
      <c r="O103" s="22">
        <f t="shared" si="10"/>
        <v>-3.4722222222222099E-3</v>
      </c>
      <c r="P103" s="22">
        <v>6.9444444444444397E-3</v>
      </c>
      <c r="Q103" s="22">
        <v>0.70833333333333337</v>
      </c>
      <c r="R103" s="22">
        <v>0</v>
      </c>
      <c r="S103" s="22">
        <v>0.70833333333333337</v>
      </c>
      <c r="T103" s="22">
        <f>VLOOKUP(E103,'[1]21-1-2026'!$E$68:$T$96,16,FALSE)</f>
        <v>1.0416666666666701E-2</v>
      </c>
      <c r="U103" s="22">
        <v>0.73611111111111116</v>
      </c>
      <c r="V103" s="22">
        <v>0</v>
      </c>
      <c r="W103" s="22">
        <v>3.125E-2</v>
      </c>
      <c r="X103" s="22">
        <v>0.73888888888888893</v>
      </c>
      <c r="Y103" s="22">
        <v>0.74305555555555547</v>
      </c>
      <c r="Z103" s="22">
        <f t="shared" si="13"/>
        <v>4.1666666666665408E-3</v>
      </c>
      <c r="AA103" s="22">
        <v>0</v>
      </c>
      <c r="AB103" s="22">
        <v>0.74652777777777779</v>
      </c>
      <c r="AC103" s="30"/>
      <c r="AD103" s="54"/>
    </row>
    <row r="104" spans="1:30" ht="20.25" thickTop="1" thickBot="1" x14ac:dyDescent="0.3">
      <c r="A104" s="24"/>
      <c r="B104" s="25">
        <v>2474</v>
      </c>
      <c r="C104" s="21" t="str">
        <f>VLOOKUP(B104,'[1]21-1-2026'!$B$3:$T$35,2,)</f>
        <v>دبابة</v>
      </c>
      <c r="D104" s="16">
        <v>2.0833333333333332E-2</v>
      </c>
      <c r="E104" s="25"/>
      <c r="F104" s="25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7"/>
      <c r="AD104" s="28"/>
    </row>
    <row r="105" spans="1:30" ht="20.25" thickTop="1" thickBot="1" x14ac:dyDescent="0.3">
      <c r="A105" s="24"/>
      <c r="B105" s="25">
        <v>6143</v>
      </c>
      <c r="C105" s="21" t="s">
        <v>102</v>
      </c>
      <c r="D105" s="16">
        <v>3.125E-2</v>
      </c>
      <c r="E105" s="25"/>
      <c r="F105" s="25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7"/>
      <c r="AD105" s="28"/>
    </row>
    <row r="106" spans="1:30" ht="20.25" thickTop="1" thickBot="1" x14ac:dyDescent="0.3">
      <c r="A106" s="24"/>
      <c r="B106" s="25">
        <v>6142</v>
      </c>
      <c r="C106" s="21" t="s">
        <v>102</v>
      </c>
      <c r="D106" s="16">
        <v>3.125E-2</v>
      </c>
      <c r="E106" s="25"/>
      <c r="F106" s="25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7"/>
      <c r="AD106" s="28"/>
    </row>
    <row r="107" spans="1:30" ht="20.25" thickTop="1" thickBot="1" x14ac:dyDescent="0.3">
      <c r="A107" s="24"/>
      <c r="B107" s="25">
        <v>2694</v>
      </c>
      <c r="C107" s="21" t="str">
        <f>VLOOKUP(B107,'[1]21-1-2026'!$B$3:$T$35,2,)</f>
        <v>تلتين</v>
      </c>
      <c r="D107" s="16">
        <v>3.125E-2</v>
      </c>
      <c r="E107" s="25"/>
      <c r="F107" s="25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7"/>
      <c r="AD107" s="28"/>
    </row>
    <row r="108" spans="1:30" ht="16.5" thickTop="1" x14ac:dyDescent="0.25"/>
  </sheetData>
  <mergeCells count="4">
    <mergeCell ref="A1:AC1"/>
    <mergeCell ref="AD3:AD35"/>
    <mergeCell ref="AD40:AD70"/>
    <mergeCell ref="AD76:AD103"/>
  </mergeCells>
  <conditionalFormatting sqref="O1:O70 R1:R40 V1:V57 I1:I70 AA1:AA57 I76:I103 AA76:AA103 V76:V103 O76:O103 R76:R103 V59:V60 V62:V63 V65:V69 AA65:AA69 AA62:AA63 AA59:AA60 R108:R1048576 O108:O1048576 V108:V1048576 AA108:AA1048576 I108:I1048576">
    <cfRule type="cellIs" dxfId="718" priority="16" operator="between">
      <formula>0.00277777777777778</formula>
      <formula>1</formula>
    </cfRule>
  </conditionalFormatting>
  <conditionalFormatting sqref="O76:O103">
    <cfRule type="cellIs" dxfId="717" priority="15" operator="between">
      <formula>0.00277777777777778</formula>
      <formula>1</formula>
    </cfRule>
  </conditionalFormatting>
  <conditionalFormatting sqref="R76:R103">
    <cfRule type="cellIs" dxfId="716" priority="14" operator="between">
      <formula>0.00277777777777778</formula>
      <formula>1</formula>
    </cfRule>
  </conditionalFormatting>
  <conditionalFormatting sqref="V76:V103">
    <cfRule type="cellIs" dxfId="715" priority="13" operator="between">
      <formula>0.00277777777777778</formula>
      <formula>1</formula>
    </cfRule>
  </conditionalFormatting>
  <conditionalFormatting sqref="AA76:AA103">
    <cfRule type="cellIs" dxfId="714" priority="12" operator="between">
      <formula>0.00277777777777778</formula>
      <formula>1</formula>
    </cfRule>
  </conditionalFormatting>
  <conditionalFormatting sqref="AC1:AC70 AC76:AC103 AC108:AC1048576">
    <cfRule type="containsText" dxfId="713" priority="17" operator="containsText" text="ت">
      <formula>NOT(ISERROR(SEARCH("ت",AC1)))</formula>
    </cfRule>
  </conditionalFormatting>
  <conditionalFormatting sqref="AC76:AC103">
    <cfRule type="containsText" dxfId="712" priority="11" operator="containsText" text="ت">
      <formula>NOT(ISERROR(SEARCH("ت",AC76)))</formula>
    </cfRule>
  </conditionalFormatting>
  <conditionalFormatting sqref="I71">
    <cfRule type="cellIs" dxfId="711" priority="8" operator="between">
      <formula>0.00277777777777778</formula>
      <formula>1</formula>
    </cfRule>
  </conditionalFormatting>
  <conditionalFormatting sqref="O71">
    <cfRule type="cellIs" dxfId="710" priority="7" operator="between">
      <formula>0.00277777777777778</formula>
      <formula>1</formula>
    </cfRule>
  </conditionalFormatting>
  <conditionalFormatting sqref="AC71">
    <cfRule type="containsText" dxfId="709" priority="9" operator="containsText" text="ت">
      <formula>NOT(ISERROR(SEARCH("ت",AC71)))</formula>
    </cfRule>
  </conditionalFormatting>
  <conditionalFormatting sqref="AC71">
    <cfRule type="containsText" dxfId="708" priority="6" operator="containsText" text="ت">
      <formula>NOT(ISERROR(SEARCH("ت",AC71)))</formula>
    </cfRule>
  </conditionalFormatting>
  <conditionalFormatting sqref="O71 I71">
    <cfRule type="cellIs" dxfId="707" priority="10" operator="between">
      <formula>0.00277777777777778</formula>
      <formula>1</formula>
    </cfRule>
  </conditionalFormatting>
  <conditionalFormatting sqref="R41:R71">
    <cfRule type="cellIs" dxfId="706" priority="5" operator="between">
      <formula>0.00277777777777778</formula>
      <formula>1</formula>
    </cfRule>
  </conditionalFormatting>
  <conditionalFormatting sqref="O72:O75 R72:R75 V72:V75 I72:I75 AA72:AA75">
    <cfRule type="cellIs" dxfId="705" priority="3" operator="between">
      <formula>0.00277777777777778</formula>
      <formula>1</formula>
    </cfRule>
  </conditionalFormatting>
  <conditionalFormatting sqref="AC72:AC75">
    <cfRule type="containsText" dxfId="704" priority="4" operator="containsText" text="ت">
      <formula>NOT(ISERROR(SEARCH("ت",AC72)))</formula>
    </cfRule>
  </conditionalFormatting>
  <conditionalFormatting sqref="O104:O107 R104:R107 V104:V107 I104:I107 AA104:AA107">
    <cfRule type="cellIs" dxfId="703" priority="1" operator="between">
      <formula>0.00277777777777778</formula>
      <formula>1</formula>
    </cfRule>
  </conditionalFormatting>
  <conditionalFormatting sqref="AC104:AC107">
    <cfRule type="containsText" dxfId="702" priority="2" operator="containsText" text="ت">
      <formula>NOT(ISERROR(SEARCH("ت",AC104)))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0"/>
  <sheetViews>
    <sheetView rightToLeft="1" workbookViewId="0">
      <pane xSplit="6" ySplit="2" topLeftCell="T78" activePane="bottomRight" state="frozen"/>
      <selection pane="topRight" activeCell="G1" sqref="G1"/>
      <selection pane="bottomLeft" activeCell="A3" sqref="A3"/>
      <selection pane="bottomRight" activeCell="E84" sqref="E84"/>
    </sheetView>
  </sheetViews>
  <sheetFormatPr defaultColWidth="9" defaultRowHeight="15.75" x14ac:dyDescent="0.25"/>
  <cols>
    <col min="1" max="1" width="5.42578125" customWidth="1"/>
    <col min="2" max="2" width="12.28515625" customWidth="1"/>
    <col min="3" max="3" width="12.5703125" customWidth="1"/>
    <col min="4" max="4" width="16.140625" style="36" customWidth="1"/>
    <col min="5" max="5" width="17.140625" customWidth="1"/>
    <col min="6" max="6" width="20.7109375" customWidth="1"/>
    <col min="7" max="7" width="12.7109375" customWidth="1"/>
    <col min="8" max="9" width="12.85546875" customWidth="1"/>
    <col min="10" max="10" width="12.5703125" customWidth="1"/>
    <col min="11" max="11" width="14.28515625" customWidth="1"/>
    <col min="12" max="12" width="22.7109375" customWidth="1"/>
    <col min="13" max="13" width="18.8554687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3.85546875" style="31" customWidth="1"/>
    <col min="30" max="30" width="11.140625" customWidth="1"/>
  </cols>
  <sheetData>
    <row r="1" spans="1:30" ht="33.75" customHeight="1" thickBot="1" x14ac:dyDescent="0.3">
      <c r="A1" s="46" t="s">
        <v>120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0" ht="49.5" customHeight="1" thickTop="1" thickBot="1" x14ac:dyDescent="0.3">
      <c r="A2" s="1" t="s">
        <v>1</v>
      </c>
      <c r="B2" s="2" t="s">
        <v>2</v>
      </c>
      <c r="C2" s="2" t="s">
        <v>3</v>
      </c>
      <c r="D2" s="3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8" t="s">
        <v>18</v>
      </c>
      <c r="S2" s="2" t="s">
        <v>19</v>
      </c>
      <c r="T2" s="8" t="s">
        <v>20</v>
      </c>
      <c r="U2" s="2" t="s">
        <v>21</v>
      </c>
      <c r="V2" s="8" t="s">
        <v>22</v>
      </c>
      <c r="W2" s="8" t="s">
        <v>23</v>
      </c>
      <c r="X2" s="2" t="s">
        <v>24</v>
      </c>
      <c r="Y2" s="2" t="s">
        <v>25</v>
      </c>
      <c r="Z2" s="2" t="s">
        <v>26</v>
      </c>
      <c r="AA2" s="8" t="s">
        <v>27</v>
      </c>
      <c r="AB2" s="2" t="s">
        <v>28</v>
      </c>
      <c r="AC2" s="9" t="s">
        <v>29</v>
      </c>
    </row>
    <row r="3" spans="1:30" ht="20.25" customHeight="1" thickTop="1" thickBot="1" x14ac:dyDescent="0.3">
      <c r="A3" s="10">
        <v>1</v>
      </c>
      <c r="B3" s="11">
        <v>4987</v>
      </c>
      <c r="C3" s="11" t="str">
        <f>VLOOKUP(B3,داتا!$B$3:$D$107,2,FALSE)</f>
        <v>تلتين</v>
      </c>
      <c r="D3" s="33">
        <f>VLOOKUP(B3,داتا!$B$3:$D$107,3,FALSE)</f>
        <v>3.125E-2</v>
      </c>
      <c r="E3" s="11" t="s">
        <v>30</v>
      </c>
      <c r="F3" s="11" t="s">
        <v>146</v>
      </c>
      <c r="G3" s="12">
        <v>0.25</v>
      </c>
      <c r="H3" s="12">
        <v>0.23958333333333334</v>
      </c>
      <c r="I3" s="12">
        <v>0</v>
      </c>
      <c r="J3" s="12">
        <v>0.18402777777777779</v>
      </c>
      <c r="K3" s="12">
        <v>0.20138888888888887</v>
      </c>
      <c r="L3" s="12" t="s">
        <v>137</v>
      </c>
      <c r="M3" s="12" t="s">
        <v>137</v>
      </c>
      <c r="N3" s="12">
        <f>K3-J3</f>
        <v>1.7361111111111077E-2</v>
      </c>
      <c r="O3" s="12">
        <v>0</v>
      </c>
      <c r="P3" s="12">
        <v>6.9444444444444397E-3</v>
      </c>
      <c r="Q3" s="12">
        <v>0.21180555555555555</v>
      </c>
      <c r="R3" s="12">
        <f>Q3-P3-K3</f>
        <v>3.4722222222222376E-3</v>
      </c>
      <c r="S3" s="12">
        <v>0.24652777777777779</v>
      </c>
      <c r="T3" s="12">
        <f>VLOOKUP(E3,'[2]21-3-2026'!E$3:T$35,16,FALSE)</f>
        <v>1.38888888888889E-2</v>
      </c>
      <c r="U3" s="12">
        <v>0.26041666666666669</v>
      </c>
      <c r="V3" s="12">
        <f>U3-T3-S3</f>
        <v>0</v>
      </c>
      <c r="W3" s="12">
        <v>4.1666666666666664E-2</v>
      </c>
      <c r="X3" s="12">
        <v>0.3</v>
      </c>
      <c r="Y3" s="12">
        <v>0.33680555555555558</v>
      </c>
      <c r="Z3" s="12">
        <f>Y3-X3</f>
        <v>3.6805555555555591E-2</v>
      </c>
      <c r="AA3" s="12">
        <v>0</v>
      </c>
      <c r="AB3" s="12">
        <v>0.34027777777777773</v>
      </c>
      <c r="AC3" s="13"/>
      <c r="AD3" s="47" t="s">
        <v>33</v>
      </c>
    </row>
    <row r="4" spans="1:30" ht="20.25" thickTop="1" thickBot="1" x14ac:dyDescent="0.3">
      <c r="A4" s="14">
        <v>2</v>
      </c>
      <c r="B4" s="15">
        <v>3495</v>
      </c>
      <c r="C4" s="15" t="str">
        <f>VLOOKUP(B4,داتا!$B$3:$D$107,2,FALSE)</f>
        <v>تلتين</v>
      </c>
      <c r="D4" s="34">
        <f>VLOOKUP(B4,داتا!$B$3:$D$107,3,FALSE)</f>
        <v>3.125E-2</v>
      </c>
      <c r="E4" s="15" t="s">
        <v>65</v>
      </c>
      <c r="F4" s="15" t="s">
        <v>148</v>
      </c>
      <c r="G4" s="16">
        <v>0.25</v>
      </c>
      <c r="H4" s="16">
        <v>0.22916666666666666</v>
      </c>
      <c r="I4" s="16">
        <v>0</v>
      </c>
      <c r="J4" s="16">
        <v>0.21041666666666667</v>
      </c>
      <c r="K4" s="16">
        <v>0.23611111111111113</v>
      </c>
      <c r="L4" s="12" t="s">
        <v>137</v>
      </c>
      <c r="M4" s="12" t="s">
        <v>137</v>
      </c>
      <c r="N4" s="16">
        <f t="shared" ref="N4:N67" si="0">K4-J4</f>
        <v>2.5694444444444464E-2</v>
      </c>
      <c r="O4" s="16">
        <v>0</v>
      </c>
      <c r="P4" s="16">
        <v>6.9444444444444397E-3</v>
      </c>
      <c r="Q4" s="16">
        <v>0.24652777777777779</v>
      </c>
      <c r="R4" s="16">
        <f t="shared" ref="R4:R65" si="1">Q4-P4-K4</f>
        <v>3.4722222222222099E-3</v>
      </c>
      <c r="S4" s="16">
        <v>0.24652777777777779</v>
      </c>
      <c r="T4" s="16">
        <f>VLOOKUP(E4,'[2]21-3-2026'!E$3:T$35,16,FALSE)</f>
        <v>4.1666666666666699E-2</v>
      </c>
      <c r="U4" s="16">
        <v>0.30208333333333331</v>
      </c>
      <c r="V4" s="16">
        <f t="shared" ref="V4:V66" si="2">U4-T4-S4</f>
        <v>1.388888888888884E-2</v>
      </c>
      <c r="W4" s="16">
        <v>4.1666666666666664E-2</v>
      </c>
      <c r="X4" s="16">
        <v>0.33680555555555558</v>
      </c>
      <c r="Y4" s="16">
        <v>0.37847222222222227</v>
      </c>
      <c r="Z4" s="16">
        <f t="shared" ref="Z4:Z67" si="3">Y4-X4</f>
        <v>4.1666666666666685E-2</v>
      </c>
      <c r="AA4" s="16">
        <v>0</v>
      </c>
      <c r="AB4" s="16">
        <v>0.38194444444444442</v>
      </c>
      <c r="AC4" s="17"/>
      <c r="AD4" s="48"/>
    </row>
    <row r="5" spans="1:30" ht="20.25" thickTop="1" thickBot="1" x14ac:dyDescent="0.3">
      <c r="A5" s="14">
        <v>3</v>
      </c>
      <c r="B5" s="15">
        <v>1451</v>
      </c>
      <c r="C5" s="15" t="s">
        <v>102</v>
      </c>
      <c r="D5" s="34">
        <v>3.125E-2</v>
      </c>
      <c r="E5" s="15" t="s">
        <v>34</v>
      </c>
      <c r="F5" s="15" t="s">
        <v>153</v>
      </c>
      <c r="G5" s="16">
        <v>0.25</v>
      </c>
      <c r="H5" s="16">
        <v>0.25</v>
      </c>
      <c r="I5" s="16">
        <f t="shared" ref="I5:I65" si="4">H5-G5</f>
        <v>0</v>
      </c>
      <c r="J5" s="16">
        <v>0.24652777777777779</v>
      </c>
      <c r="K5" s="16">
        <v>0.2638888888888889</v>
      </c>
      <c r="L5" s="12" t="s">
        <v>137</v>
      </c>
      <c r="M5" s="12" t="s">
        <v>137</v>
      </c>
      <c r="N5" s="16">
        <f t="shared" si="0"/>
        <v>1.7361111111111105E-2</v>
      </c>
      <c r="O5" s="16">
        <v>0</v>
      </c>
      <c r="P5" s="16">
        <v>6.9444444444444397E-3</v>
      </c>
      <c r="Q5" s="16">
        <v>0.27430555555555552</v>
      </c>
      <c r="R5" s="16">
        <f t="shared" si="1"/>
        <v>3.4722222222222099E-3</v>
      </c>
      <c r="S5" s="16">
        <v>0.27430555555555552</v>
      </c>
      <c r="T5" s="16">
        <f>VLOOKUP(E5,'[2]21-3-2026'!E$3:T$35,16,FALSE)</f>
        <v>1.0416666666666701E-2</v>
      </c>
      <c r="U5" s="16">
        <v>0.2951388888888889</v>
      </c>
      <c r="V5" s="16">
        <f t="shared" si="2"/>
        <v>1.0416666666666685E-2</v>
      </c>
      <c r="W5" s="16">
        <v>4.1666666666666664E-2</v>
      </c>
      <c r="X5" s="16">
        <v>0.34236111111111112</v>
      </c>
      <c r="Y5" s="16">
        <v>0.3888888888888889</v>
      </c>
      <c r="Z5" s="16">
        <f t="shared" si="3"/>
        <v>4.6527777777777779E-2</v>
      </c>
      <c r="AA5" s="16">
        <f t="shared" ref="AA5:AA52" si="5">Z5-W5</f>
        <v>4.8611111111111147E-3</v>
      </c>
      <c r="AB5" s="16">
        <v>0.3972222222222222</v>
      </c>
      <c r="AC5" s="17"/>
      <c r="AD5" s="48"/>
    </row>
    <row r="6" spans="1:30" ht="20.25" thickTop="1" thickBot="1" x14ac:dyDescent="0.3">
      <c r="A6" s="14">
        <v>4</v>
      </c>
      <c r="B6" s="15">
        <v>2714</v>
      </c>
      <c r="C6" s="15" t="str">
        <f>VLOOKUP(B6,داتا!$B$3:$D$107,2,FALSE)</f>
        <v>تلتين</v>
      </c>
      <c r="D6" s="34">
        <f>VLOOKUP(B6,داتا!$B$3:$D$107,3,FALSE)</f>
        <v>3.125E-2</v>
      </c>
      <c r="E6" s="15" t="s">
        <v>79</v>
      </c>
      <c r="F6" s="15" t="s">
        <v>114</v>
      </c>
      <c r="G6" s="16">
        <v>0.25</v>
      </c>
      <c r="H6" s="16">
        <v>0.26180555555555557</v>
      </c>
      <c r="I6" s="16">
        <f t="shared" si="4"/>
        <v>1.1805555555555569E-2</v>
      </c>
      <c r="J6" s="16">
        <v>0.2673611111111111</v>
      </c>
      <c r="K6" s="16">
        <v>0.2986111111111111</v>
      </c>
      <c r="L6" s="12" t="s">
        <v>137</v>
      </c>
      <c r="M6" s="12" t="s">
        <v>137</v>
      </c>
      <c r="N6" s="16">
        <f t="shared" si="0"/>
        <v>3.125E-2</v>
      </c>
      <c r="O6" s="16">
        <f t="shared" ref="O6:O67" si="6">N6-D6</f>
        <v>0</v>
      </c>
      <c r="P6" s="16">
        <v>6.9444444444444397E-3</v>
      </c>
      <c r="Q6" s="16">
        <v>0.3125</v>
      </c>
      <c r="R6" s="16">
        <f t="shared" si="1"/>
        <v>6.9444444444444753E-3</v>
      </c>
      <c r="S6" s="16">
        <v>0.3125</v>
      </c>
      <c r="T6" s="16">
        <f>VLOOKUP(E6,'[2]21-3-2026'!E$3:T$35,16,FALSE)</f>
        <v>2.0833333333333301E-2</v>
      </c>
      <c r="U6" s="16">
        <v>0.3444444444444445</v>
      </c>
      <c r="V6" s="16">
        <f t="shared" si="2"/>
        <v>1.1111111111111183E-2</v>
      </c>
      <c r="W6" s="16">
        <v>4.1666666666666664E-2</v>
      </c>
      <c r="X6" s="16">
        <v>0.34861111111111115</v>
      </c>
      <c r="Y6" s="16">
        <v>0.37916666666666665</v>
      </c>
      <c r="Z6" s="16">
        <f t="shared" si="3"/>
        <v>3.0555555555555503E-2</v>
      </c>
      <c r="AA6" s="16">
        <v>0</v>
      </c>
      <c r="AB6" s="16">
        <v>0.38194444444444442</v>
      </c>
      <c r="AC6" s="17"/>
      <c r="AD6" s="48"/>
    </row>
    <row r="7" spans="1:30" ht="19.5" thickBot="1" x14ac:dyDescent="0.3">
      <c r="A7" s="14">
        <v>5</v>
      </c>
      <c r="B7" s="15">
        <v>3891</v>
      </c>
      <c r="C7" s="15" t="str">
        <f>VLOOKUP(B7,داتا!$B$3:$D$107,2,FALSE)</f>
        <v>تلتين</v>
      </c>
      <c r="D7" s="34">
        <f>VLOOKUP(B7,داتا!$B$3:$D$107,3,FALSE)</f>
        <v>3.125E-2</v>
      </c>
      <c r="E7" s="15" t="s">
        <v>38</v>
      </c>
      <c r="F7" s="15" t="s">
        <v>48</v>
      </c>
      <c r="G7" s="16">
        <v>0.25</v>
      </c>
      <c r="H7" s="16">
        <v>0.24305555555555555</v>
      </c>
      <c r="I7" s="16">
        <v>0</v>
      </c>
      <c r="J7" s="16">
        <v>0.1875</v>
      </c>
      <c r="K7" s="16">
        <v>0.21527777777777779</v>
      </c>
      <c r="L7" s="16" t="s">
        <v>138</v>
      </c>
      <c r="M7" s="16" t="s">
        <v>138</v>
      </c>
      <c r="N7" s="16">
        <f t="shared" si="0"/>
        <v>2.777777777777779E-2</v>
      </c>
      <c r="O7" s="16">
        <v>0</v>
      </c>
      <c r="P7" s="16">
        <v>6.9444444444444397E-3</v>
      </c>
      <c r="Q7" s="16">
        <v>0.22569444444444445</v>
      </c>
      <c r="R7" s="16">
        <f t="shared" si="1"/>
        <v>3.4722222222222099E-3</v>
      </c>
      <c r="S7" s="16">
        <v>0.24305555555555555</v>
      </c>
      <c r="T7" s="16">
        <f>VLOOKUP(E7,'[2]21-3-2026'!E$3:T$35,16,FALSE)</f>
        <v>1.0416666666666666E-2</v>
      </c>
      <c r="U7" s="16">
        <v>0.27777777777777779</v>
      </c>
      <c r="V7" s="16">
        <f t="shared" si="2"/>
        <v>2.4305555555555552E-2</v>
      </c>
      <c r="W7" s="16">
        <v>4.1666666666666664E-2</v>
      </c>
      <c r="X7" s="16">
        <v>0.2986111111111111</v>
      </c>
      <c r="Y7" s="16">
        <v>0.3263888888888889</v>
      </c>
      <c r="Z7" s="16">
        <f t="shared" si="3"/>
        <v>2.777777777777779E-2</v>
      </c>
      <c r="AA7" s="16">
        <v>0</v>
      </c>
      <c r="AB7" s="16">
        <v>0.3298611111111111</v>
      </c>
      <c r="AC7" s="17"/>
      <c r="AD7" s="48"/>
    </row>
    <row r="8" spans="1:30" ht="19.5" thickBot="1" x14ac:dyDescent="0.3">
      <c r="A8" s="14">
        <v>6</v>
      </c>
      <c r="B8" s="15">
        <v>3787</v>
      </c>
      <c r="C8" s="15" t="str">
        <f>VLOOKUP(B8,داتا!$B$3:$D$107,2,FALSE)</f>
        <v>دبابة</v>
      </c>
      <c r="D8" s="34">
        <f>VLOOKUP(B8,داتا!$B$3:$D$107,3,FALSE)</f>
        <v>2.0833333333333301E-2</v>
      </c>
      <c r="E8" s="15" t="s">
        <v>39</v>
      </c>
      <c r="F8" s="15" t="s">
        <v>99</v>
      </c>
      <c r="G8" s="16">
        <v>0.25</v>
      </c>
      <c r="H8" s="16">
        <v>0.23958333333333334</v>
      </c>
      <c r="I8" s="16">
        <v>0</v>
      </c>
      <c r="J8" s="16">
        <v>0.22222222222222221</v>
      </c>
      <c r="K8" s="16">
        <v>0.24305555555555555</v>
      </c>
      <c r="L8" s="16" t="s">
        <v>138</v>
      </c>
      <c r="M8" s="16" t="s">
        <v>138</v>
      </c>
      <c r="N8" s="16">
        <f t="shared" si="0"/>
        <v>2.0833333333333343E-2</v>
      </c>
      <c r="O8" s="16">
        <f t="shared" si="6"/>
        <v>4.163336342344337E-17</v>
      </c>
      <c r="P8" s="16">
        <v>6.9444444444444397E-3</v>
      </c>
      <c r="Q8" s="16">
        <v>0.25694444444444448</v>
      </c>
      <c r="R8" s="16">
        <f t="shared" si="1"/>
        <v>6.944444444444503E-3</v>
      </c>
      <c r="S8" s="16">
        <v>0.28125</v>
      </c>
      <c r="T8" s="16">
        <f>VLOOKUP(E8,'[2]21-3-2026'!E$3:T$35,16,FALSE)</f>
        <v>1.7361111111111101E-2</v>
      </c>
      <c r="U8" s="16">
        <v>0.30555555555555552</v>
      </c>
      <c r="V8" s="16">
        <f t="shared" si="2"/>
        <v>6.9444444444444198E-3</v>
      </c>
      <c r="W8" s="16">
        <v>3.125E-2</v>
      </c>
      <c r="X8" s="16">
        <v>0.30902777777777779</v>
      </c>
      <c r="Y8" s="16">
        <v>0.32291666666666669</v>
      </c>
      <c r="Z8" s="16">
        <f t="shared" si="3"/>
        <v>1.3888888888888895E-2</v>
      </c>
      <c r="AA8" s="16">
        <v>0</v>
      </c>
      <c r="AB8" s="16">
        <v>0.3263888888888889</v>
      </c>
      <c r="AC8" s="18"/>
      <c r="AD8" s="48"/>
    </row>
    <row r="9" spans="1:30" ht="19.5" thickBot="1" x14ac:dyDescent="0.3">
      <c r="A9" s="14">
        <v>7</v>
      </c>
      <c r="B9" s="15">
        <v>1537</v>
      </c>
      <c r="C9" s="15" t="str">
        <f>VLOOKUP(B9,داتا!$B$3:$D$107,2,FALSE)</f>
        <v>تلتين</v>
      </c>
      <c r="D9" s="34">
        <f>VLOOKUP(B9,داتا!$B$3:$D$107,3,FALSE)</f>
        <v>3.125E-2</v>
      </c>
      <c r="E9" s="15" t="s">
        <v>73</v>
      </c>
      <c r="F9" s="15" t="s">
        <v>154</v>
      </c>
      <c r="G9" s="16">
        <v>0.25</v>
      </c>
      <c r="H9" s="16">
        <v>0.25694444444444448</v>
      </c>
      <c r="I9" s="16">
        <f t="shared" si="4"/>
        <v>6.9444444444444753E-3</v>
      </c>
      <c r="J9" s="16">
        <v>0.25</v>
      </c>
      <c r="K9" s="16">
        <v>0.27777777777777779</v>
      </c>
      <c r="L9" s="16" t="s">
        <v>138</v>
      </c>
      <c r="M9" s="16" t="s">
        <v>138</v>
      </c>
      <c r="N9" s="16">
        <f t="shared" si="0"/>
        <v>2.777777777777779E-2</v>
      </c>
      <c r="O9" s="16">
        <v>0</v>
      </c>
      <c r="P9" s="16">
        <v>6.9444444444444397E-3</v>
      </c>
      <c r="Q9" s="16">
        <v>0.28472222222222221</v>
      </c>
      <c r="R9" s="16">
        <f t="shared" si="1"/>
        <v>0</v>
      </c>
      <c r="S9" s="16">
        <v>0.28125</v>
      </c>
      <c r="T9" s="16">
        <f>VLOOKUP(E9,'[2]21-3-2026'!E$3:T$35,16,FALSE)</f>
        <v>3.4722222222222203E-2</v>
      </c>
      <c r="U9" s="16">
        <v>0.32291666666666669</v>
      </c>
      <c r="V9" s="16">
        <f t="shared" si="2"/>
        <v>6.9444444444444753E-3</v>
      </c>
      <c r="W9" s="16">
        <v>4.1666666666666664E-2</v>
      </c>
      <c r="X9" s="16">
        <v>0.33333333333333331</v>
      </c>
      <c r="Y9" s="16">
        <v>0.37152777777777773</v>
      </c>
      <c r="Z9" s="16">
        <f t="shared" si="3"/>
        <v>3.819444444444442E-2</v>
      </c>
      <c r="AA9" s="16">
        <v>0</v>
      </c>
      <c r="AB9" s="16">
        <v>0.375</v>
      </c>
      <c r="AC9" s="17"/>
      <c r="AD9" s="48"/>
    </row>
    <row r="10" spans="1:30" ht="19.5" thickBot="1" x14ac:dyDescent="0.3">
      <c r="A10" s="14">
        <v>8</v>
      </c>
      <c r="B10" s="15">
        <v>3783</v>
      </c>
      <c r="C10" s="15" t="str">
        <f>VLOOKUP(B10,داتا!$B$3:$D$107,2,FALSE)</f>
        <v>دبابة</v>
      </c>
      <c r="D10" s="34">
        <f>VLOOKUP(B10,داتا!$B$3:$D$107,3,FALSE)</f>
        <v>2.0833333333333301E-2</v>
      </c>
      <c r="E10" s="15" t="s">
        <v>35</v>
      </c>
      <c r="F10" s="15" t="s">
        <v>76</v>
      </c>
      <c r="G10" s="16">
        <v>0.25</v>
      </c>
      <c r="H10" s="16">
        <v>0.25347222222222221</v>
      </c>
      <c r="I10" s="16">
        <f t="shared" si="4"/>
        <v>3.4722222222222099E-3</v>
      </c>
      <c r="J10" s="16">
        <v>0.28472222222222221</v>
      </c>
      <c r="K10" s="16">
        <v>0.2951388888888889</v>
      </c>
      <c r="L10" s="16" t="s">
        <v>138</v>
      </c>
      <c r="M10" s="16" t="s">
        <v>138</v>
      </c>
      <c r="N10" s="16">
        <f t="shared" si="0"/>
        <v>1.0416666666666685E-2</v>
      </c>
      <c r="O10" s="16">
        <v>0</v>
      </c>
      <c r="P10" s="16">
        <v>6.9444444444444397E-3</v>
      </c>
      <c r="Q10" s="16">
        <v>0.2986111111111111</v>
      </c>
      <c r="R10" s="16">
        <v>0</v>
      </c>
      <c r="S10" s="16">
        <v>0.2986111111111111</v>
      </c>
      <c r="T10" s="16">
        <f>VLOOKUP(E10,'[2]21-3-2026'!E$3:T$35,16,FALSE)</f>
        <v>3.4722222222222203E-2</v>
      </c>
      <c r="U10" s="16">
        <v>0.33680555555555558</v>
      </c>
      <c r="V10" s="16">
        <f t="shared" si="2"/>
        <v>3.4722222222222654E-3</v>
      </c>
      <c r="W10" s="16">
        <v>3.125E-2</v>
      </c>
      <c r="X10" s="16">
        <v>0.34375</v>
      </c>
      <c r="Y10" s="16">
        <v>0.37152777777777773</v>
      </c>
      <c r="Z10" s="16">
        <f t="shared" si="3"/>
        <v>2.7777777777777735E-2</v>
      </c>
      <c r="AA10" s="16">
        <v>0</v>
      </c>
      <c r="AB10" s="16">
        <v>0.38194444444444442</v>
      </c>
      <c r="AC10" s="17"/>
      <c r="AD10" s="48"/>
    </row>
    <row r="11" spans="1:30" ht="19.5" thickBot="1" x14ac:dyDescent="0.3">
      <c r="A11" s="14">
        <v>9</v>
      </c>
      <c r="B11" s="15">
        <v>6143</v>
      </c>
      <c r="C11" s="15" t="str">
        <f>VLOOKUP(B11,داتا!$B$3:$D$107,2,FALSE)</f>
        <v>تلتين</v>
      </c>
      <c r="D11" s="34">
        <f>VLOOKUP(B11,داتا!$B$3:$D$107,3,FALSE)</f>
        <v>3.125E-2</v>
      </c>
      <c r="E11" s="15" t="s">
        <v>57</v>
      </c>
      <c r="F11" s="15" t="s">
        <v>117</v>
      </c>
      <c r="G11" s="16">
        <v>0.25</v>
      </c>
      <c r="H11" s="16">
        <v>0.23958333333333334</v>
      </c>
      <c r="I11" s="16">
        <v>0</v>
      </c>
      <c r="J11" s="16">
        <v>0.18402777777777779</v>
      </c>
      <c r="K11" s="16">
        <v>0.23611111111111113</v>
      </c>
      <c r="L11" s="16" t="s">
        <v>139</v>
      </c>
      <c r="M11" s="16" t="s">
        <v>139</v>
      </c>
      <c r="N11" s="16">
        <f t="shared" si="0"/>
        <v>5.2083333333333343E-2</v>
      </c>
      <c r="O11" s="16">
        <f t="shared" si="6"/>
        <v>2.0833333333333343E-2</v>
      </c>
      <c r="P11" s="16">
        <v>6.9444444444444397E-3</v>
      </c>
      <c r="Q11" s="16">
        <v>0.24652777777777779</v>
      </c>
      <c r="R11" s="16">
        <f t="shared" si="1"/>
        <v>3.4722222222222099E-3</v>
      </c>
      <c r="S11" s="16">
        <v>0.24305555555555555</v>
      </c>
      <c r="T11" s="16">
        <f>VLOOKUP(E11,'[2]21-3-2026'!E$3:T$35,16,FALSE)</f>
        <v>1.7361111111111101E-2</v>
      </c>
      <c r="U11" s="16">
        <v>0.25833333333333336</v>
      </c>
      <c r="V11" s="16">
        <v>0</v>
      </c>
      <c r="W11" s="16">
        <v>3.125E-2</v>
      </c>
      <c r="X11" s="16">
        <v>0.2951388888888889</v>
      </c>
      <c r="Y11" s="16">
        <v>0.32291666666666669</v>
      </c>
      <c r="Z11" s="16">
        <f t="shared" si="3"/>
        <v>2.777777777777779E-2</v>
      </c>
      <c r="AA11" s="16">
        <v>0</v>
      </c>
      <c r="AB11" s="16">
        <v>0.3263888888888889</v>
      </c>
      <c r="AC11" s="17"/>
      <c r="AD11" s="48"/>
    </row>
    <row r="12" spans="1:30" ht="19.5" thickBot="1" x14ac:dyDescent="0.3">
      <c r="A12" s="14">
        <v>10</v>
      </c>
      <c r="B12" s="15">
        <v>6143</v>
      </c>
      <c r="C12" s="15" t="str">
        <f>VLOOKUP(B12,داتا!$B$3:$D$107,2,FALSE)</f>
        <v>تلتين</v>
      </c>
      <c r="D12" s="34">
        <f>VLOOKUP(B12,داتا!$B$3:$D$107,3,FALSE)</f>
        <v>3.125E-2</v>
      </c>
      <c r="E12" s="15" t="s">
        <v>60</v>
      </c>
      <c r="F12" s="15" t="s">
        <v>117</v>
      </c>
      <c r="G12" s="16">
        <v>0.25</v>
      </c>
      <c r="H12" s="16">
        <v>0.23958333333333334</v>
      </c>
      <c r="I12" s="16">
        <v>0</v>
      </c>
      <c r="J12" s="16">
        <v>0.18402777777777779</v>
      </c>
      <c r="K12" s="16">
        <v>0.23611111111111113</v>
      </c>
      <c r="L12" s="16" t="s">
        <v>139</v>
      </c>
      <c r="M12" s="16" t="s">
        <v>139</v>
      </c>
      <c r="N12" s="16">
        <f t="shared" si="0"/>
        <v>5.2083333333333343E-2</v>
      </c>
      <c r="O12" s="16">
        <f t="shared" si="6"/>
        <v>2.0833333333333343E-2</v>
      </c>
      <c r="P12" s="16">
        <v>6.9444444444444397E-3</v>
      </c>
      <c r="Q12" s="16">
        <v>0.24652777777777779</v>
      </c>
      <c r="R12" s="16">
        <f t="shared" si="1"/>
        <v>3.4722222222222099E-3</v>
      </c>
      <c r="S12" s="16">
        <v>0.24305555555555555</v>
      </c>
      <c r="T12" s="16">
        <f>VLOOKUP(E12,'[2]21-3-2026'!E$3:T$35,16,FALSE)</f>
        <v>1.0416666666666701E-2</v>
      </c>
      <c r="U12" s="16">
        <v>0.34375</v>
      </c>
      <c r="V12" s="16">
        <v>6.9444444444444441E-3</v>
      </c>
      <c r="W12" s="16">
        <v>4.1666666666666664E-2</v>
      </c>
      <c r="X12" s="16">
        <v>0.35416666666666669</v>
      </c>
      <c r="Y12" s="16">
        <v>0.375</v>
      </c>
      <c r="Z12" s="16">
        <f t="shared" si="3"/>
        <v>2.0833333333333315E-2</v>
      </c>
      <c r="AA12" s="16">
        <v>0</v>
      </c>
      <c r="AB12" s="16">
        <v>0.38541666666666669</v>
      </c>
      <c r="AC12" s="17"/>
      <c r="AD12" s="48"/>
    </row>
    <row r="13" spans="1:30" ht="19.5" thickBot="1" x14ac:dyDescent="0.3">
      <c r="A13" s="14">
        <v>11</v>
      </c>
      <c r="B13" s="15">
        <v>2917</v>
      </c>
      <c r="C13" s="15" t="str">
        <f>VLOOKUP(B13,داتا!$B$3:$D$107,2,FALSE)</f>
        <v>تلتين</v>
      </c>
      <c r="D13" s="34">
        <f>VLOOKUP(B13,داتا!$B$3:$D$107,3,FALSE)</f>
        <v>3.125E-2</v>
      </c>
      <c r="E13" s="15" t="s">
        <v>61</v>
      </c>
      <c r="F13" s="15" t="s">
        <v>36</v>
      </c>
      <c r="G13" s="16">
        <v>0.25</v>
      </c>
      <c r="H13" s="16">
        <v>0.24305555555555555</v>
      </c>
      <c r="I13" s="16">
        <v>0</v>
      </c>
      <c r="J13" s="16">
        <v>0.24305555555555555</v>
      </c>
      <c r="K13" s="16">
        <v>0.29166666666666669</v>
      </c>
      <c r="L13" s="16" t="s">
        <v>139</v>
      </c>
      <c r="M13" s="16" t="s">
        <v>139</v>
      </c>
      <c r="N13" s="16">
        <f t="shared" si="0"/>
        <v>4.8611111111111133E-2</v>
      </c>
      <c r="O13" s="16">
        <f t="shared" si="6"/>
        <v>1.7361111111111133E-2</v>
      </c>
      <c r="P13" s="16">
        <v>6.9444444444444397E-3</v>
      </c>
      <c r="Q13" s="16">
        <v>0.2986111111111111</v>
      </c>
      <c r="R13" s="16">
        <f t="shared" si="1"/>
        <v>0</v>
      </c>
      <c r="S13" s="16">
        <v>0.2986111111111111</v>
      </c>
      <c r="T13" s="16">
        <f>VLOOKUP(E13,'[2]21-3-2026'!E$3:T$35,16,FALSE)</f>
        <v>3.4722222222222203E-2</v>
      </c>
      <c r="U13" s="16">
        <v>0.34375</v>
      </c>
      <c r="V13" s="16">
        <f t="shared" si="2"/>
        <v>1.0416666666666685E-2</v>
      </c>
      <c r="W13" s="16">
        <v>3.125E-2</v>
      </c>
      <c r="X13" s="16">
        <v>0.34513888888888888</v>
      </c>
      <c r="Y13" s="16">
        <v>0.36319444444444443</v>
      </c>
      <c r="Z13" s="16">
        <f t="shared" si="3"/>
        <v>1.8055555555555547E-2</v>
      </c>
      <c r="AA13" s="16">
        <v>0</v>
      </c>
      <c r="AB13" s="16">
        <v>0.36458333333333331</v>
      </c>
      <c r="AC13" s="18"/>
      <c r="AD13" s="48"/>
    </row>
    <row r="14" spans="1:30" ht="19.5" thickBot="1" x14ac:dyDescent="0.3">
      <c r="A14" s="14">
        <v>12</v>
      </c>
      <c r="B14" s="15">
        <v>2917</v>
      </c>
      <c r="C14" s="15" t="str">
        <f>VLOOKUP(B14,داتا!$B$3:$D$107,2,FALSE)</f>
        <v>تلتين</v>
      </c>
      <c r="D14" s="34">
        <f>VLOOKUP(B14,داتا!$B$3:$D$107,3,FALSE)</f>
        <v>3.125E-2</v>
      </c>
      <c r="E14" s="15" t="s">
        <v>55</v>
      </c>
      <c r="F14" s="15" t="s">
        <v>36</v>
      </c>
      <c r="G14" s="16">
        <v>0.25</v>
      </c>
      <c r="H14" s="16">
        <v>0.24305555555555555</v>
      </c>
      <c r="I14" s="16">
        <v>0</v>
      </c>
      <c r="J14" s="16">
        <v>0.24305555555555555</v>
      </c>
      <c r="K14" s="16">
        <v>0.29166666666666669</v>
      </c>
      <c r="L14" s="16" t="s">
        <v>139</v>
      </c>
      <c r="M14" s="16" t="s">
        <v>139</v>
      </c>
      <c r="N14" s="16">
        <f t="shared" si="0"/>
        <v>4.8611111111111133E-2</v>
      </c>
      <c r="O14" s="16">
        <f t="shared" si="6"/>
        <v>1.7361111111111133E-2</v>
      </c>
      <c r="P14" s="16">
        <v>6.9444444444444397E-3</v>
      </c>
      <c r="Q14" s="16">
        <v>0.2986111111111111</v>
      </c>
      <c r="R14" s="16">
        <f t="shared" si="1"/>
        <v>0</v>
      </c>
      <c r="S14" s="16">
        <v>0.2986111111111111</v>
      </c>
      <c r="T14" s="16">
        <v>1.0416666666666666E-2</v>
      </c>
      <c r="U14" s="16">
        <v>0.38055555555555554</v>
      </c>
      <c r="V14" s="16">
        <v>5.5555555555555558E-3</v>
      </c>
      <c r="W14" s="16">
        <v>4.1666666666666664E-2</v>
      </c>
      <c r="X14" s="16">
        <v>0.38541666666666669</v>
      </c>
      <c r="Y14" s="16">
        <v>0.4201388888888889</v>
      </c>
      <c r="Z14" s="16">
        <f t="shared" si="3"/>
        <v>3.472222222222221E-2</v>
      </c>
      <c r="AA14" s="16">
        <v>0</v>
      </c>
      <c r="AB14" s="16">
        <v>0.4236111111111111</v>
      </c>
      <c r="AC14" s="17"/>
      <c r="AD14" s="48"/>
    </row>
    <row r="15" spans="1:30" ht="19.5" thickBot="1" x14ac:dyDescent="0.3">
      <c r="A15" s="14">
        <v>13</v>
      </c>
      <c r="B15" s="15">
        <v>5898</v>
      </c>
      <c r="C15" s="15" t="str">
        <f>VLOOKUP(B15,داتا!$B$3:$D$107,2,FALSE)</f>
        <v>تلتين</v>
      </c>
      <c r="D15" s="34">
        <f>VLOOKUP(B15,داتا!$B$3:$D$107,3,FALSE)</f>
        <v>3.125E-2</v>
      </c>
      <c r="E15" s="15" t="s">
        <v>45</v>
      </c>
      <c r="F15" s="15" t="s">
        <v>66</v>
      </c>
      <c r="G15" s="16">
        <v>0.25</v>
      </c>
      <c r="H15" s="16">
        <v>0.23958333333333334</v>
      </c>
      <c r="I15" s="16">
        <v>0</v>
      </c>
      <c r="J15" s="16">
        <v>0.1875</v>
      </c>
      <c r="K15" s="16">
        <v>0.23611111111111113</v>
      </c>
      <c r="L15" s="16" t="s">
        <v>140</v>
      </c>
      <c r="M15" s="16" t="s">
        <v>140</v>
      </c>
      <c r="N15" s="16">
        <f t="shared" si="0"/>
        <v>4.8611111111111133E-2</v>
      </c>
      <c r="O15" s="16">
        <f t="shared" si="6"/>
        <v>1.7361111111111133E-2</v>
      </c>
      <c r="P15" s="16">
        <v>6.9444444444444397E-3</v>
      </c>
      <c r="Q15" s="16">
        <v>0.24305555555555555</v>
      </c>
      <c r="R15" s="16">
        <f t="shared" si="1"/>
        <v>0</v>
      </c>
      <c r="S15" s="16">
        <v>0.25</v>
      </c>
      <c r="T15" s="16">
        <f>VLOOKUP(E15,'[2]21-3-2026'!E$3:T$35,16,FALSE)</f>
        <v>1.38888888888889E-2</v>
      </c>
      <c r="U15" s="16">
        <v>0.29166666666666669</v>
      </c>
      <c r="V15" s="16">
        <f t="shared" si="2"/>
        <v>2.777777777777779E-2</v>
      </c>
      <c r="W15" s="16">
        <v>3.125E-2</v>
      </c>
      <c r="X15" s="16">
        <v>0.30208333333333331</v>
      </c>
      <c r="Y15" s="16">
        <v>0.33958333333333335</v>
      </c>
      <c r="Z15" s="16">
        <f t="shared" si="3"/>
        <v>3.7500000000000033E-2</v>
      </c>
      <c r="AA15" s="16">
        <f t="shared" si="5"/>
        <v>6.2500000000000333E-3</v>
      </c>
      <c r="AB15" s="16">
        <v>0.34027777777777773</v>
      </c>
      <c r="AC15" s="17"/>
      <c r="AD15" s="48"/>
    </row>
    <row r="16" spans="1:30" ht="19.5" thickBot="1" x14ac:dyDescent="0.3">
      <c r="A16" s="14">
        <v>14</v>
      </c>
      <c r="B16" s="15">
        <v>5898</v>
      </c>
      <c r="C16" s="15" t="str">
        <f>VLOOKUP(B16,داتا!$B$3:$D$107,2,FALSE)</f>
        <v>تلتين</v>
      </c>
      <c r="D16" s="34">
        <f>VLOOKUP(B16,داتا!$B$3:$D$107,3,FALSE)</f>
        <v>3.125E-2</v>
      </c>
      <c r="E16" s="15" t="s">
        <v>42</v>
      </c>
      <c r="F16" s="15" t="s">
        <v>66</v>
      </c>
      <c r="G16" s="16">
        <v>0.25</v>
      </c>
      <c r="H16" s="16">
        <v>0.23958333333333334</v>
      </c>
      <c r="I16" s="16">
        <v>0</v>
      </c>
      <c r="J16" s="16">
        <v>0.1875</v>
      </c>
      <c r="K16" s="16">
        <v>0.23611111111111113</v>
      </c>
      <c r="L16" s="16" t="s">
        <v>140</v>
      </c>
      <c r="M16" s="16" t="s">
        <v>140</v>
      </c>
      <c r="N16" s="16">
        <f t="shared" si="0"/>
        <v>4.8611111111111133E-2</v>
      </c>
      <c r="O16" s="16">
        <f t="shared" si="6"/>
        <v>1.7361111111111133E-2</v>
      </c>
      <c r="P16" s="16">
        <v>6.9444444444444397E-3</v>
      </c>
      <c r="Q16" s="16">
        <v>0.24305555555555555</v>
      </c>
      <c r="R16" s="16">
        <f t="shared" si="1"/>
        <v>0</v>
      </c>
      <c r="S16" s="16">
        <v>0.25</v>
      </c>
      <c r="T16" s="16">
        <f>VLOOKUP(E16,'[2]21-3-2026'!E$3:T$35,16,FALSE)</f>
        <v>1.7361111111111101E-2</v>
      </c>
      <c r="U16" s="16">
        <v>0.35416666666666669</v>
      </c>
      <c r="V16" s="16">
        <v>0</v>
      </c>
      <c r="W16" s="16">
        <v>4.1666666666666664E-2</v>
      </c>
      <c r="X16" s="16">
        <v>0.3576388888888889</v>
      </c>
      <c r="Y16" s="16">
        <v>0.3923611111111111</v>
      </c>
      <c r="Z16" s="16">
        <f t="shared" si="3"/>
        <v>3.472222222222221E-2</v>
      </c>
      <c r="AA16" s="16">
        <v>0</v>
      </c>
      <c r="AB16" s="16">
        <v>0.39583333333333331</v>
      </c>
      <c r="AC16" s="17"/>
      <c r="AD16" s="48"/>
    </row>
    <row r="17" spans="1:30" ht="19.5" thickBot="1" x14ac:dyDescent="0.3">
      <c r="A17" s="14">
        <v>15</v>
      </c>
      <c r="B17" s="15">
        <v>2695</v>
      </c>
      <c r="C17" s="15" t="str">
        <f>VLOOKUP(B17,داتا!$B$3:$D$107,2,FALSE)</f>
        <v>تلتين</v>
      </c>
      <c r="D17" s="34">
        <f>VLOOKUP(B17,داتا!$B$3:$D$107,3,FALSE)</f>
        <v>3.125E-2</v>
      </c>
      <c r="E17" s="15" t="s">
        <v>70</v>
      </c>
      <c r="F17" s="15" t="s">
        <v>150</v>
      </c>
      <c r="G17" s="16">
        <v>0.25</v>
      </c>
      <c r="H17" s="16">
        <v>0.25347222222222221</v>
      </c>
      <c r="I17" s="16">
        <f t="shared" si="4"/>
        <v>3.4722222222222099E-3</v>
      </c>
      <c r="J17" s="16">
        <v>0.23958333333333334</v>
      </c>
      <c r="K17" s="16">
        <v>0.2638888888888889</v>
      </c>
      <c r="L17" s="16" t="s">
        <v>140</v>
      </c>
      <c r="M17" s="16" t="s">
        <v>140</v>
      </c>
      <c r="N17" s="16">
        <f t="shared" si="0"/>
        <v>2.4305555555555552E-2</v>
      </c>
      <c r="O17" s="16">
        <v>0</v>
      </c>
      <c r="P17" s="16">
        <v>6.9444444444444397E-3</v>
      </c>
      <c r="Q17" s="16">
        <v>0.27430555555555552</v>
      </c>
      <c r="R17" s="16">
        <f t="shared" si="1"/>
        <v>3.4722222222222099E-3</v>
      </c>
      <c r="S17" s="16">
        <v>0.27430555555555552</v>
      </c>
      <c r="T17" s="16">
        <f>VLOOKUP(E17,'[2]21-3-2026'!E$3:T$35,16,FALSE)</f>
        <v>1.0416666666666701E-2</v>
      </c>
      <c r="U17" s="16">
        <v>0.28819444444444448</v>
      </c>
      <c r="V17" s="16">
        <f t="shared" si="2"/>
        <v>3.4722222222222654E-3</v>
      </c>
      <c r="W17" s="16">
        <v>3.125E-2</v>
      </c>
      <c r="X17" s="16">
        <v>0.30138888888888887</v>
      </c>
      <c r="Y17" s="16">
        <v>0.3298611111111111</v>
      </c>
      <c r="Z17" s="16">
        <f t="shared" si="3"/>
        <v>2.8472222222222232E-2</v>
      </c>
      <c r="AA17" s="16">
        <v>0</v>
      </c>
      <c r="AB17" s="16">
        <v>0.33333333333333331</v>
      </c>
      <c r="AC17" s="17"/>
      <c r="AD17" s="48"/>
    </row>
    <row r="18" spans="1:30" ht="19.5" thickBot="1" x14ac:dyDescent="0.3">
      <c r="A18" s="14">
        <v>16</v>
      </c>
      <c r="B18" s="15">
        <v>2695</v>
      </c>
      <c r="C18" s="15" t="str">
        <f>VLOOKUP(B18,داتا!$B$3:$D$107,2,FALSE)</f>
        <v>تلتين</v>
      </c>
      <c r="D18" s="34">
        <f>VLOOKUP(B18,داتا!$B$3:$D$107,3,FALSE)</f>
        <v>3.125E-2</v>
      </c>
      <c r="E18" s="16" t="s">
        <v>72</v>
      </c>
      <c r="F18" s="15" t="s">
        <v>150</v>
      </c>
      <c r="G18" s="16">
        <v>0.25</v>
      </c>
      <c r="H18" s="16">
        <v>0.25347222222222221</v>
      </c>
      <c r="I18" s="16">
        <f t="shared" si="4"/>
        <v>3.4722222222222099E-3</v>
      </c>
      <c r="J18" s="16">
        <v>0.23958333333333334</v>
      </c>
      <c r="K18" s="16">
        <v>0.2638888888888889</v>
      </c>
      <c r="L18" s="16" t="s">
        <v>140</v>
      </c>
      <c r="M18" s="16" t="s">
        <v>140</v>
      </c>
      <c r="N18" s="16">
        <f t="shared" si="0"/>
        <v>2.4305555555555552E-2</v>
      </c>
      <c r="O18" s="16">
        <v>0</v>
      </c>
      <c r="P18" s="16">
        <v>6.9444444444444397E-3</v>
      </c>
      <c r="Q18" s="16">
        <v>0.27430555555555552</v>
      </c>
      <c r="R18" s="16">
        <f t="shared" si="1"/>
        <v>3.4722222222222099E-3</v>
      </c>
      <c r="S18" s="16">
        <v>0.27430555555555552</v>
      </c>
      <c r="T18" s="16">
        <f>VLOOKUP(E18,'[2]21-3-2026'!E$3:T$35,16,FALSE)</f>
        <v>1.0416666666666701E-2</v>
      </c>
      <c r="U18" s="16">
        <v>0.3576388888888889</v>
      </c>
      <c r="V18" s="16">
        <v>1.3888888888888888E-2</v>
      </c>
      <c r="W18" s="16">
        <v>4.1666666666666664E-2</v>
      </c>
      <c r="X18" s="16">
        <v>0.3611111111111111</v>
      </c>
      <c r="Y18" s="16">
        <v>0.37847222222222227</v>
      </c>
      <c r="Z18" s="16">
        <f t="shared" si="3"/>
        <v>1.736111111111116E-2</v>
      </c>
      <c r="AA18" s="16">
        <v>0</v>
      </c>
      <c r="AB18" s="16">
        <v>0.38194444444444442</v>
      </c>
      <c r="AC18" s="17"/>
      <c r="AD18" s="48"/>
    </row>
    <row r="19" spans="1:30" ht="19.5" thickBot="1" x14ac:dyDescent="0.3">
      <c r="A19" s="14">
        <v>17</v>
      </c>
      <c r="B19" s="15">
        <v>459</v>
      </c>
      <c r="C19" s="15" t="str">
        <f>VLOOKUP(B19,داتا!$B$3:$D$107,2,FALSE)</f>
        <v>دبابة</v>
      </c>
      <c r="D19" s="34">
        <f>VLOOKUP(B19,داتا!$B$3:$D$107,3,FALSE)</f>
        <v>2.0833333333333301E-2</v>
      </c>
      <c r="E19" s="15" t="s">
        <v>89</v>
      </c>
      <c r="F19" s="15" t="s">
        <v>155</v>
      </c>
      <c r="G19" s="16">
        <v>0.25</v>
      </c>
      <c r="H19" s="16">
        <v>0.26041666666666669</v>
      </c>
      <c r="I19" s="16">
        <f t="shared" si="4"/>
        <v>1.0416666666666685E-2</v>
      </c>
      <c r="J19" s="16">
        <v>0.2673611111111111</v>
      </c>
      <c r="K19" s="16">
        <v>0.29166666666666669</v>
      </c>
      <c r="L19" s="16" t="s">
        <v>140</v>
      </c>
      <c r="M19" s="16" t="s">
        <v>140</v>
      </c>
      <c r="N19" s="16">
        <f t="shared" si="0"/>
        <v>2.430555555555558E-2</v>
      </c>
      <c r="O19" s="16">
        <f t="shared" si="6"/>
        <v>3.4722222222222793E-3</v>
      </c>
      <c r="P19" s="16">
        <v>6.9444444444444397E-3</v>
      </c>
      <c r="Q19" s="16">
        <v>0.2986111111111111</v>
      </c>
      <c r="R19" s="16">
        <f t="shared" si="1"/>
        <v>0</v>
      </c>
      <c r="S19" s="16">
        <v>0.2986111111111111</v>
      </c>
      <c r="T19" s="16">
        <f>VLOOKUP(E19,'[2]21-3-2026'!E$3:T$35,16,FALSE)</f>
        <v>1.7361111111111101E-2</v>
      </c>
      <c r="U19" s="16">
        <v>0.31597222222222221</v>
      </c>
      <c r="V19" s="16">
        <f t="shared" si="2"/>
        <v>0</v>
      </c>
      <c r="W19" s="16">
        <v>3.125E-2</v>
      </c>
      <c r="X19" s="16">
        <v>0.33333333333333331</v>
      </c>
      <c r="Y19" s="16">
        <v>0.37152777777777773</v>
      </c>
      <c r="Z19" s="16">
        <f t="shared" si="3"/>
        <v>3.819444444444442E-2</v>
      </c>
      <c r="AA19" s="16">
        <f t="shared" si="5"/>
        <v>6.9444444444444198E-3</v>
      </c>
      <c r="AB19" s="16">
        <v>0.375</v>
      </c>
      <c r="AC19" s="17"/>
      <c r="AD19" s="48"/>
    </row>
    <row r="20" spans="1:30" ht="19.5" thickBot="1" x14ac:dyDescent="0.3">
      <c r="A20" s="14">
        <v>18</v>
      </c>
      <c r="B20" s="15">
        <v>1538</v>
      </c>
      <c r="C20" s="15" t="str">
        <f>VLOOKUP(B20,داتا!$B$3:$D$107,2,FALSE)</f>
        <v>تلتين</v>
      </c>
      <c r="D20" s="34">
        <f>VLOOKUP(B20,داتا!$B$3:$D$107,3,FALSE)</f>
        <v>3.125E-2</v>
      </c>
      <c r="E20" s="15" t="s">
        <v>46</v>
      </c>
      <c r="F20" s="15" t="s">
        <v>147</v>
      </c>
      <c r="G20" s="16">
        <v>0.25</v>
      </c>
      <c r="H20" s="16">
        <v>0.24305555555555555</v>
      </c>
      <c r="I20" s="16">
        <v>0</v>
      </c>
      <c r="J20" s="16">
        <v>0.19791666666666666</v>
      </c>
      <c r="K20" s="16">
        <v>0.21875</v>
      </c>
      <c r="L20" s="16" t="s">
        <v>141</v>
      </c>
      <c r="M20" s="16" t="s">
        <v>141</v>
      </c>
      <c r="N20" s="16">
        <f t="shared" si="0"/>
        <v>2.0833333333333343E-2</v>
      </c>
      <c r="O20" s="16">
        <v>0</v>
      </c>
      <c r="P20" s="16">
        <v>6.9444444444444397E-3</v>
      </c>
      <c r="Q20" s="16">
        <v>0.22222222222222221</v>
      </c>
      <c r="R20" s="16">
        <v>0</v>
      </c>
      <c r="S20" s="16">
        <v>0.24305555555555555</v>
      </c>
      <c r="T20" s="16">
        <f>VLOOKUP(E20,'[2]21-3-2026'!E$3:T$35,16,FALSE)</f>
        <v>3.4722222222222203E-2</v>
      </c>
      <c r="U20" s="16">
        <v>0.27986111111111112</v>
      </c>
      <c r="V20" s="16">
        <f t="shared" si="2"/>
        <v>2.0833333333333537E-3</v>
      </c>
      <c r="W20" s="16">
        <v>4.1666666666666664E-2</v>
      </c>
      <c r="X20" s="16">
        <v>0.2951388888888889</v>
      </c>
      <c r="Y20" s="16">
        <v>0.33263888888888887</v>
      </c>
      <c r="Z20" s="16">
        <f t="shared" si="3"/>
        <v>3.7499999999999978E-2</v>
      </c>
      <c r="AA20" s="16">
        <v>0</v>
      </c>
      <c r="AB20" s="16">
        <v>0.33888888888888885</v>
      </c>
      <c r="AC20" s="17"/>
      <c r="AD20" s="48"/>
    </row>
    <row r="21" spans="1:30" ht="19.5" thickBot="1" x14ac:dyDescent="0.3">
      <c r="A21" s="14">
        <v>19</v>
      </c>
      <c r="B21" s="15">
        <v>2694</v>
      </c>
      <c r="C21" s="15" t="str">
        <f>VLOOKUP(B21,داتا!$B$3:$D$107,2,FALSE)</f>
        <v>تلتين</v>
      </c>
      <c r="D21" s="34">
        <f>VLOOKUP(B21,داتا!$B$3:$D$107,3,FALSE)</f>
        <v>3.125E-2</v>
      </c>
      <c r="E21" s="15" t="s">
        <v>49</v>
      </c>
      <c r="F21" s="15" t="s">
        <v>151</v>
      </c>
      <c r="G21" s="16">
        <v>0.25</v>
      </c>
      <c r="H21" s="16">
        <v>0.2638888888888889</v>
      </c>
      <c r="I21" s="16">
        <f t="shared" si="4"/>
        <v>1.3888888888888895E-2</v>
      </c>
      <c r="J21" s="16">
        <v>0.22222222222222221</v>
      </c>
      <c r="K21" s="16">
        <v>0.24305555555555555</v>
      </c>
      <c r="L21" s="16" t="s">
        <v>141</v>
      </c>
      <c r="M21" s="16" t="s">
        <v>141</v>
      </c>
      <c r="N21" s="16">
        <f t="shared" si="0"/>
        <v>2.0833333333333343E-2</v>
      </c>
      <c r="O21" s="16">
        <v>0</v>
      </c>
      <c r="P21" s="16">
        <v>6.9444444444444397E-3</v>
      </c>
      <c r="Q21" s="16">
        <v>0.25347222222222221</v>
      </c>
      <c r="R21" s="16">
        <f t="shared" si="1"/>
        <v>3.4722222222222099E-3</v>
      </c>
      <c r="S21" s="16">
        <v>0.2673611111111111</v>
      </c>
      <c r="T21" s="16">
        <f>VLOOKUP(E21,'[2]21-3-2026'!E$3:T$35,16,FALSE)</f>
        <v>3.4722222222222203E-2</v>
      </c>
      <c r="U21" s="16">
        <v>0.30208333333333331</v>
      </c>
      <c r="V21" s="16">
        <f t="shared" si="2"/>
        <v>0</v>
      </c>
      <c r="W21" s="16">
        <v>4.1666666666666664E-2</v>
      </c>
      <c r="X21" s="16">
        <v>0.34166666666666662</v>
      </c>
      <c r="Y21" s="16">
        <v>0.37847222222222227</v>
      </c>
      <c r="Z21" s="16">
        <f t="shared" si="3"/>
        <v>3.6805555555555647E-2</v>
      </c>
      <c r="AA21" s="16">
        <v>0</v>
      </c>
      <c r="AB21" s="16">
        <v>0.38541666666666669</v>
      </c>
      <c r="AC21" s="17"/>
      <c r="AD21" s="48"/>
    </row>
    <row r="22" spans="1:30" ht="19.5" thickBot="1" x14ac:dyDescent="0.3">
      <c r="A22" s="14">
        <v>20</v>
      </c>
      <c r="B22" s="15">
        <v>4879</v>
      </c>
      <c r="C22" s="15" t="str">
        <f>VLOOKUP(B22,داتا!$B$3:$D$107,2,FALSE)</f>
        <v>دبابة</v>
      </c>
      <c r="D22" s="34">
        <f>VLOOKUP(B22,داتا!$B$3:$D$107,3,FALSE)</f>
        <v>2.0833333333333301E-2</v>
      </c>
      <c r="E22" s="15" t="s">
        <v>75</v>
      </c>
      <c r="F22" s="15" t="s">
        <v>80</v>
      </c>
      <c r="G22" s="16">
        <v>0.25</v>
      </c>
      <c r="H22" s="16">
        <v>0.25</v>
      </c>
      <c r="I22" s="16">
        <f t="shared" si="4"/>
        <v>0</v>
      </c>
      <c r="J22" s="16">
        <v>0.24652777777777779</v>
      </c>
      <c r="K22" s="16">
        <v>0.2638888888888889</v>
      </c>
      <c r="L22" s="16" t="s">
        <v>141</v>
      </c>
      <c r="M22" s="16" t="s">
        <v>141</v>
      </c>
      <c r="N22" s="16">
        <f t="shared" si="0"/>
        <v>1.7361111111111105E-2</v>
      </c>
      <c r="O22" s="16">
        <v>0</v>
      </c>
      <c r="P22" s="16">
        <v>6.9444444444444397E-3</v>
      </c>
      <c r="Q22" s="16">
        <v>0.2673611111111111</v>
      </c>
      <c r="R22" s="16">
        <v>0</v>
      </c>
      <c r="S22" s="16">
        <v>0.26041666666666669</v>
      </c>
      <c r="T22" s="16">
        <f>VLOOKUP(E22,'[2]21-3-2026'!E$3:T$35,16,FALSE)</f>
        <v>2.0833333333333301E-2</v>
      </c>
      <c r="U22" s="16">
        <v>0.28125</v>
      </c>
      <c r="V22" s="16">
        <f t="shared" si="2"/>
        <v>0</v>
      </c>
      <c r="W22" s="16">
        <v>3.125E-2</v>
      </c>
      <c r="X22" s="16">
        <v>0.33680555555555558</v>
      </c>
      <c r="Y22" s="16">
        <v>0.36458333333333331</v>
      </c>
      <c r="Z22" s="16">
        <f t="shared" si="3"/>
        <v>2.7777777777777735E-2</v>
      </c>
      <c r="AA22" s="16">
        <v>0</v>
      </c>
      <c r="AB22" s="16">
        <v>0.36805555555555558</v>
      </c>
      <c r="AC22" s="17"/>
      <c r="AD22" s="48"/>
    </row>
    <row r="23" spans="1:30" ht="19.5" thickBot="1" x14ac:dyDescent="0.3">
      <c r="A23" s="14">
        <v>21</v>
      </c>
      <c r="B23" s="15">
        <v>675</v>
      </c>
      <c r="C23" s="15" t="str">
        <f>VLOOKUP(B23,داتا!$B$3:$D$107,2,FALSE)</f>
        <v>جامبو</v>
      </c>
      <c r="D23" s="34">
        <f>VLOOKUP(B23,داتا!$B$3:$D$107,3,FALSE)</f>
        <v>4.1666666666666699E-2</v>
      </c>
      <c r="E23" s="15" t="s">
        <v>95</v>
      </c>
      <c r="F23" s="15" t="s">
        <v>144</v>
      </c>
      <c r="G23" s="16">
        <v>0.25</v>
      </c>
      <c r="H23" s="16">
        <v>0.26180555555555557</v>
      </c>
      <c r="I23" s="16">
        <f t="shared" si="4"/>
        <v>1.1805555555555569E-2</v>
      </c>
      <c r="J23" s="16">
        <v>0.2673611111111111</v>
      </c>
      <c r="K23" s="16">
        <v>0.2951388888888889</v>
      </c>
      <c r="L23" s="16" t="s">
        <v>141</v>
      </c>
      <c r="M23" s="16" t="s">
        <v>141</v>
      </c>
      <c r="N23" s="16">
        <f t="shared" si="0"/>
        <v>2.777777777777779E-2</v>
      </c>
      <c r="O23" s="16">
        <v>0</v>
      </c>
      <c r="P23" s="16">
        <v>6.9444444444444397E-3</v>
      </c>
      <c r="Q23" s="16">
        <v>0.2986111111111111</v>
      </c>
      <c r="R23" s="16">
        <v>0</v>
      </c>
      <c r="S23" s="16">
        <v>0.2986111111111111</v>
      </c>
      <c r="T23" s="16">
        <f>VLOOKUP(E23,'[2]21-3-2026'!E$3:T$35,16,FALSE)</f>
        <v>1.0416666666666701E-2</v>
      </c>
      <c r="U23" s="16">
        <v>0.31597222222222221</v>
      </c>
      <c r="V23" s="16">
        <f t="shared" si="2"/>
        <v>6.9444444444444198E-3</v>
      </c>
      <c r="W23" s="16">
        <v>6.25E-2</v>
      </c>
      <c r="X23" s="16">
        <v>0.33680555555555558</v>
      </c>
      <c r="Y23" s="16">
        <v>0.38194444444444442</v>
      </c>
      <c r="Z23" s="16">
        <f t="shared" si="3"/>
        <v>4.513888888888884E-2</v>
      </c>
      <c r="AA23" s="16">
        <v>0</v>
      </c>
      <c r="AB23" s="16">
        <v>0.38541666666666669</v>
      </c>
      <c r="AC23" s="17"/>
      <c r="AD23" s="48"/>
    </row>
    <row r="24" spans="1:30" ht="19.5" thickBot="1" x14ac:dyDescent="0.3">
      <c r="A24" s="14">
        <v>22</v>
      </c>
      <c r="B24" s="15">
        <v>7464</v>
      </c>
      <c r="C24" s="15" t="str">
        <f>VLOOKUP(B24,داتا!$B$3:$D$107,2,FALSE)</f>
        <v>تلتين</v>
      </c>
      <c r="D24" s="34">
        <f>VLOOKUP(B24,داتا!$B$3:$D$107,3,FALSE)</f>
        <v>3.125E-2</v>
      </c>
      <c r="E24" s="15" t="s">
        <v>51</v>
      </c>
      <c r="F24" s="16" t="s">
        <v>47</v>
      </c>
      <c r="G24" s="16">
        <v>0.25</v>
      </c>
      <c r="H24" s="16">
        <v>0.25347222222222221</v>
      </c>
      <c r="I24" s="16">
        <f t="shared" si="4"/>
        <v>3.4722222222222099E-3</v>
      </c>
      <c r="J24" s="16">
        <v>0.1875</v>
      </c>
      <c r="K24" s="16">
        <v>0.22222222222222221</v>
      </c>
      <c r="L24" s="16" t="s">
        <v>53</v>
      </c>
      <c r="M24" s="16" t="s">
        <v>53</v>
      </c>
      <c r="N24" s="16">
        <f t="shared" si="0"/>
        <v>3.472222222222221E-2</v>
      </c>
      <c r="O24" s="16">
        <f t="shared" si="6"/>
        <v>3.4722222222222099E-3</v>
      </c>
      <c r="P24" s="16">
        <v>6.9444444444444397E-3</v>
      </c>
      <c r="Q24" s="16">
        <v>0.23263888888888887</v>
      </c>
      <c r="R24" s="16">
        <f t="shared" si="1"/>
        <v>3.4722222222222099E-3</v>
      </c>
      <c r="S24" s="16">
        <v>0.25694444444444448</v>
      </c>
      <c r="T24" s="16">
        <f>VLOOKUP(E24,'[2]21-3-2026'!E$3:T$35,16,FALSE)</f>
        <v>2.4305555555555601E-2</v>
      </c>
      <c r="U24" s="16">
        <v>0.28125</v>
      </c>
      <c r="V24" s="16">
        <f t="shared" si="2"/>
        <v>0</v>
      </c>
      <c r="W24" s="16">
        <v>3.125E-2</v>
      </c>
      <c r="X24" s="16">
        <v>0.2986111111111111</v>
      </c>
      <c r="Y24" s="16">
        <v>0.3263888888888889</v>
      </c>
      <c r="Z24" s="16">
        <f t="shared" si="3"/>
        <v>2.777777777777779E-2</v>
      </c>
      <c r="AA24" s="16">
        <v>0</v>
      </c>
      <c r="AB24" s="16">
        <v>0.3298611111111111</v>
      </c>
      <c r="AC24" s="17"/>
      <c r="AD24" s="48"/>
    </row>
    <row r="25" spans="1:30" ht="19.5" thickBot="1" x14ac:dyDescent="0.3">
      <c r="A25" s="14">
        <v>23</v>
      </c>
      <c r="B25" s="15">
        <v>7464</v>
      </c>
      <c r="C25" s="15" t="str">
        <f>VLOOKUP(B25,داتا!$B$3:$D$107,2,FALSE)</f>
        <v>تلتين</v>
      </c>
      <c r="D25" s="34">
        <f>VLOOKUP(B25,داتا!$B$3:$D$107,3,FALSE)</f>
        <v>3.125E-2</v>
      </c>
      <c r="E25" s="15" t="s">
        <v>54</v>
      </c>
      <c r="F25" s="16" t="s">
        <v>47</v>
      </c>
      <c r="G25" s="16">
        <v>0.25</v>
      </c>
      <c r="H25" s="16">
        <v>0.25347222222222221</v>
      </c>
      <c r="I25" s="16">
        <f t="shared" si="4"/>
        <v>3.4722222222222099E-3</v>
      </c>
      <c r="J25" s="16">
        <v>0.1875</v>
      </c>
      <c r="K25" s="16">
        <v>0.22222222222222221</v>
      </c>
      <c r="L25" s="16" t="s">
        <v>53</v>
      </c>
      <c r="M25" s="16" t="s">
        <v>53</v>
      </c>
      <c r="N25" s="16">
        <f t="shared" si="0"/>
        <v>3.472222222222221E-2</v>
      </c>
      <c r="O25" s="16">
        <f t="shared" si="6"/>
        <v>3.4722222222222099E-3</v>
      </c>
      <c r="P25" s="16">
        <v>6.9444444444444397E-3</v>
      </c>
      <c r="Q25" s="16">
        <v>0.23263888888888887</v>
      </c>
      <c r="R25" s="16">
        <f t="shared" si="1"/>
        <v>3.4722222222222099E-3</v>
      </c>
      <c r="S25" s="16">
        <v>0.25694444444444448</v>
      </c>
      <c r="T25" s="16">
        <f>VLOOKUP(E25,'[2]21-3-2026'!E$3:T$35,16,FALSE)</f>
        <v>1.0416666666666701E-2</v>
      </c>
      <c r="U25" s="16">
        <v>0.35069444444444442</v>
      </c>
      <c r="V25" s="16">
        <v>1.0416666666666666E-2</v>
      </c>
      <c r="W25" s="16">
        <v>4.1666666666666664E-2</v>
      </c>
      <c r="X25" s="16">
        <v>0.35416666666666669</v>
      </c>
      <c r="Y25" s="16">
        <v>0.3888888888888889</v>
      </c>
      <c r="Z25" s="16">
        <f t="shared" si="3"/>
        <v>3.472222222222221E-2</v>
      </c>
      <c r="AA25" s="16">
        <v>0</v>
      </c>
      <c r="AB25" s="16">
        <v>0.3923611111111111</v>
      </c>
      <c r="AC25" s="19"/>
      <c r="AD25" s="48"/>
    </row>
    <row r="26" spans="1:30" ht="19.5" thickBot="1" x14ac:dyDescent="0.3">
      <c r="A26" s="14">
        <v>24</v>
      </c>
      <c r="B26" s="15">
        <v>586</v>
      </c>
      <c r="C26" s="15" t="str">
        <f>VLOOKUP(B26,داتا!$B$3:$D$107,2,FALSE)</f>
        <v>سوزوكي</v>
      </c>
      <c r="D26" s="34">
        <f>VLOOKUP(B26,داتا!$B$3:$D$107,3,FALSE)</f>
        <v>2.0833333333333301E-2</v>
      </c>
      <c r="E26" s="15" t="s">
        <v>77</v>
      </c>
      <c r="F26" s="15" t="s">
        <v>152</v>
      </c>
      <c r="G26" s="16">
        <v>0.25</v>
      </c>
      <c r="H26" s="16">
        <v>0.2638888888888889</v>
      </c>
      <c r="I26" s="16">
        <f t="shared" si="4"/>
        <v>1.3888888888888895E-2</v>
      </c>
      <c r="J26" s="16">
        <v>0.22916666666666666</v>
      </c>
      <c r="K26" s="16">
        <v>0.23263888888888887</v>
      </c>
      <c r="L26" s="16" t="s">
        <v>53</v>
      </c>
      <c r="M26" s="16" t="s">
        <v>53</v>
      </c>
      <c r="N26" s="16">
        <f t="shared" si="0"/>
        <v>3.4722222222222099E-3</v>
      </c>
      <c r="O26" s="16">
        <v>0</v>
      </c>
      <c r="P26" s="16">
        <v>6.9444444444444397E-3</v>
      </c>
      <c r="Q26" s="16">
        <v>0.23958333333333334</v>
      </c>
      <c r="R26" s="16">
        <f t="shared" si="1"/>
        <v>0</v>
      </c>
      <c r="S26" s="16">
        <v>0.2673611111111111</v>
      </c>
      <c r="T26" s="16">
        <f>VLOOKUP(E26,'[2]21-3-2026'!E$3:T$35,16,FALSE)</f>
        <v>1.38888888888889E-2</v>
      </c>
      <c r="U26" s="16">
        <v>0.29166666666666669</v>
      </c>
      <c r="V26" s="16">
        <f t="shared" si="2"/>
        <v>1.0416666666666685E-2</v>
      </c>
      <c r="W26" s="16">
        <v>3.125E-2</v>
      </c>
      <c r="X26" s="16">
        <v>0.34027777777777773</v>
      </c>
      <c r="Y26" s="16">
        <v>0.35416666666666669</v>
      </c>
      <c r="Z26" s="16">
        <f t="shared" si="3"/>
        <v>1.3888888888888951E-2</v>
      </c>
      <c r="AA26" s="16">
        <v>0</v>
      </c>
      <c r="AB26" s="16">
        <v>0.36458333333333331</v>
      </c>
      <c r="AC26" s="19"/>
      <c r="AD26" s="48"/>
    </row>
    <row r="27" spans="1:30" ht="19.5" thickBot="1" x14ac:dyDescent="0.3">
      <c r="A27" s="14">
        <v>25</v>
      </c>
      <c r="B27" s="15">
        <v>1454</v>
      </c>
      <c r="C27" s="15" t="str">
        <f>VLOOKUP(B27,داتا!$B$3:$D$107,2,FALSE)</f>
        <v>تلتين</v>
      </c>
      <c r="D27" s="34">
        <f>VLOOKUP(B27,داتا!$B$3:$D$107,3,FALSE)</f>
        <v>3.125E-2</v>
      </c>
      <c r="E27" s="15" t="s">
        <v>83</v>
      </c>
      <c r="F27" s="15" t="s">
        <v>43</v>
      </c>
      <c r="G27" s="16">
        <v>0.25</v>
      </c>
      <c r="H27" s="16">
        <v>0.26319444444444445</v>
      </c>
      <c r="I27" s="16">
        <f t="shared" si="4"/>
        <v>1.3194444444444453E-2</v>
      </c>
      <c r="J27" s="16">
        <v>0.23611111111111113</v>
      </c>
      <c r="K27" s="16">
        <v>0.26041666666666669</v>
      </c>
      <c r="L27" s="16" t="s">
        <v>53</v>
      </c>
      <c r="M27" s="16" t="s">
        <v>53</v>
      </c>
      <c r="N27" s="16">
        <f t="shared" si="0"/>
        <v>2.4305555555555552E-2</v>
      </c>
      <c r="O27" s="16">
        <v>0</v>
      </c>
      <c r="P27" s="16">
        <v>6.9444444444444397E-3</v>
      </c>
      <c r="Q27" s="16">
        <v>0.27777777777777779</v>
      </c>
      <c r="R27" s="16">
        <f t="shared" si="1"/>
        <v>1.0416666666666685E-2</v>
      </c>
      <c r="S27" s="16">
        <v>0.27083333333333331</v>
      </c>
      <c r="T27" s="16">
        <f>VLOOKUP(E27,'[2]21-3-2026'!E$3:T$35,16,FALSE)</f>
        <v>1.38888888888889E-2</v>
      </c>
      <c r="U27" s="16">
        <v>0.28263888888888888</v>
      </c>
      <c r="V27" s="16">
        <v>0</v>
      </c>
      <c r="W27" s="16">
        <v>3.125E-2</v>
      </c>
      <c r="X27" s="16">
        <v>0.33333333333333331</v>
      </c>
      <c r="Y27" s="16">
        <v>0.36805555555555558</v>
      </c>
      <c r="Z27" s="16">
        <f t="shared" si="3"/>
        <v>3.4722222222222265E-2</v>
      </c>
      <c r="AA27" s="16">
        <f t="shared" si="5"/>
        <v>3.4722222222222654E-3</v>
      </c>
      <c r="AB27" s="16">
        <v>0.37152777777777773</v>
      </c>
      <c r="AC27" s="19"/>
      <c r="AD27" s="48"/>
    </row>
    <row r="28" spans="1:30" ht="19.5" thickBot="1" x14ac:dyDescent="0.3">
      <c r="A28" s="14">
        <v>26</v>
      </c>
      <c r="B28" s="15">
        <v>1454</v>
      </c>
      <c r="C28" s="15" t="str">
        <f>VLOOKUP(B28,داتا!$B$3:$D$107,2,FALSE)</f>
        <v>تلتين</v>
      </c>
      <c r="D28" s="34">
        <f>VLOOKUP(B28,داتا!$B$3:$D$107,3,FALSE)</f>
        <v>3.125E-2</v>
      </c>
      <c r="E28" s="15" t="s">
        <v>77</v>
      </c>
      <c r="F28" s="15" t="s">
        <v>43</v>
      </c>
      <c r="G28" s="16">
        <v>0.25</v>
      </c>
      <c r="H28" s="16">
        <v>0.26319444444444445</v>
      </c>
      <c r="I28" s="16">
        <f t="shared" si="4"/>
        <v>1.3194444444444453E-2</v>
      </c>
      <c r="J28" s="16">
        <v>0.23611111111111113</v>
      </c>
      <c r="K28" s="16">
        <v>0.26041666666666669</v>
      </c>
      <c r="L28" s="16" t="s">
        <v>53</v>
      </c>
      <c r="M28" s="16" t="s">
        <v>53</v>
      </c>
      <c r="N28" s="16">
        <f t="shared" si="0"/>
        <v>2.4305555555555552E-2</v>
      </c>
      <c r="O28" s="16">
        <v>0</v>
      </c>
      <c r="P28" s="16">
        <v>6.9444444444444397E-3</v>
      </c>
      <c r="Q28" s="16">
        <v>0.27777777777777779</v>
      </c>
      <c r="R28" s="16">
        <f t="shared" si="1"/>
        <v>1.0416666666666685E-2</v>
      </c>
      <c r="S28" s="16">
        <v>0.27083333333333331</v>
      </c>
      <c r="T28" s="16">
        <f>VLOOKUP(E28,'[2]21-3-2026'!E$3:T$35,16,FALSE)</f>
        <v>1.38888888888889E-2</v>
      </c>
      <c r="U28" s="16">
        <v>0.38194444444444442</v>
      </c>
      <c r="V28" s="16">
        <v>0</v>
      </c>
      <c r="W28" s="16">
        <v>4.1666666666666664E-2</v>
      </c>
      <c r="X28" s="16">
        <v>0.3888888888888889</v>
      </c>
      <c r="Y28" s="16">
        <v>0.41319444444444442</v>
      </c>
      <c r="Z28" s="16">
        <f t="shared" si="3"/>
        <v>2.4305555555555525E-2</v>
      </c>
      <c r="AA28" s="16">
        <v>0</v>
      </c>
      <c r="AB28" s="16">
        <v>0.41666666666666669</v>
      </c>
      <c r="AC28" s="17"/>
      <c r="AD28" s="48"/>
    </row>
    <row r="29" spans="1:30" ht="19.5" thickBot="1" x14ac:dyDescent="0.3">
      <c r="A29" s="14">
        <v>27</v>
      </c>
      <c r="B29" s="15">
        <v>9198</v>
      </c>
      <c r="C29" s="15" t="str">
        <f>VLOOKUP(B29,داتا!$B$3:$D$107,2,FALSE)</f>
        <v>دبابة</v>
      </c>
      <c r="D29" s="34">
        <f>VLOOKUP(B29,داتا!$B$3:$D$107,3,FALSE)</f>
        <v>2.0833333333333301E-2</v>
      </c>
      <c r="E29" s="15" t="s">
        <v>86</v>
      </c>
      <c r="F29" s="15" t="s">
        <v>106</v>
      </c>
      <c r="G29" s="16">
        <v>0.25</v>
      </c>
      <c r="H29" s="16">
        <v>0.27083333333333331</v>
      </c>
      <c r="I29" s="16">
        <f t="shared" si="4"/>
        <v>2.0833333333333315E-2</v>
      </c>
      <c r="J29" s="16">
        <v>0.27430555555555552</v>
      </c>
      <c r="K29" s="16">
        <v>0.28819444444444448</v>
      </c>
      <c r="L29" s="16" t="s">
        <v>53</v>
      </c>
      <c r="M29" s="16" t="s">
        <v>53</v>
      </c>
      <c r="N29" s="16">
        <f t="shared" si="0"/>
        <v>1.3888888888888951E-2</v>
      </c>
      <c r="O29" s="16">
        <v>0</v>
      </c>
      <c r="P29" s="16">
        <v>6.9444444444444397E-3</v>
      </c>
      <c r="Q29" s="16">
        <v>0.2951388888888889</v>
      </c>
      <c r="R29" s="16">
        <f t="shared" si="1"/>
        <v>0</v>
      </c>
      <c r="S29" s="16">
        <v>0.29166666666666669</v>
      </c>
      <c r="T29" s="16">
        <f>VLOOKUP(E29,'[2]21-3-2026'!E$3:T$35,16,FALSE)</f>
        <v>3.4722222222222199E-3</v>
      </c>
      <c r="U29" s="16">
        <v>0.2951388888888889</v>
      </c>
      <c r="V29" s="16">
        <f t="shared" si="2"/>
        <v>0</v>
      </c>
      <c r="W29" s="16">
        <v>3.125E-2</v>
      </c>
      <c r="X29" s="16">
        <v>0.33333333333333331</v>
      </c>
      <c r="Y29" s="16">
        <v>0.37152777777777773</v>
      </c>
      <c r="Z29" s="16">
        <f t="shared" si="3"/>
        <v>3.819444444444442E-2</v>
      </c>
      <c r="AA29" s="16">
        <f t="shared" si="5"/>
        <v>6.9444444444444198E-3</v>
      </c>
      <c r="AB29" s="16">
        <v>0.375</v>
      </c>
      <c r="AC29" s="18"/>
      <c r="AD29" s="48"/>
    </row>
    <row r="30" spans="1:30" ht="19.5" thickBot="1" x14ac:dyDescent="0.3">
      <c r="A30" s="14">
        <v>28</v>
      </c>
      <c r="B30" s="15">
        <v>634</v>
      </c>
      <c r="C30" s="15" t="str">
        <f>VLOOKUP(B30,داتا!$B$3:$D$107,2,FALSE)</f>
        <v>دبابة</v>
      </c>
      <c r="D30" s="34">
        <f>VLOOKUP(B30,داتا!$B$3:$D$107,3,FALSE)</f>
        <v>2.0833333333333301E-2</v>
      </c>
      <c r="E30" s="15" t="s">
        <v>98</v>
      </c>
      <c r="F30" s="15" t="s">
        <v>156</v>
      </c>
      <c r="G30" s="16">
        <v>0.29166666666666669</v>
      </c>
      <c r="H30" s="16">
        <v>0.28472222222222221</v>
      </c>
      <c r="I30" s="16">
        <v>0</v>
      </c>
      <c r="J30" s="16">
        <v>0.29166666666666669</v>
      </c>
      <c r="K30" s="16">
        <v>0.30555555555555552</v>
      </c>
      <c r="L30" s="16" t="s">
        <v>53</v>
      </c>
      <c r="M30" s="16" t="s">
        <v>53</v>
      </c>
      <c r="N30" s="16">
        <f t="shared" si="0"/>
        <v>1.388888888888884E-2</v>
      </c>
      <c r="O30" s="16">
        <v>0</v>
      </c>
      <c r="P30" s="16">
        <v>6.9444444444444397E-3</v>
      </c>
      <c r="Q30" s="16">
        <v>0.3125</v>
      </c>
      <c r="R30" s="16">
        <f t="shared" si="1"/>
        <v>0</v>
      </c>
      <c r="S30" s="16">
        <v>0.31597222222222221</v>
      </c>
      <c r="T30" s="16">
        <f>VLOOKUP(E30,'[2]21-3-2026'!E$3:T$35,16,FALSE)</f>
        <v>4.8611111111111103E-3</v>
      </c>
      <c r="U30" s="16">
        <v>0.3298611111111111</v>
      </c>
      <c r="V30" s="16">
        <f t="shared" si="2"/>
        <v>9.0277777777778012E-3</v>
      </c>
      <c r="W30" s="16">
        <v>3.125E-2</v>
      </c>
      <c r="X30" s="16">
        <v>0.33333333333333331</v>
      </c>
      <c r="Y30" s="16">
        <v>0.36805555555555558</v>
      </c>
      <c r="Z30" s="16">
        <f t="shared" si="3"/>
        <v>3.4722222222222265E-2</v>
      </c>
      <c r="AA30" s="16">
        <f t="shared" si="5"/>
        <v>3.4722222222222654E-3</v>
      </c>
      <c r="AB30" s="16">
        <v>0.36874999999999997</v>
      </c>
      <c r="AC30" s="17"/>
      <c r="AD30" s="48"/>
    </row>
    <row r="31" spans="1:30" ht="19.5" thickBot="1" x14ac:dyDescent="0.3">
      <c r="A31" s="14">
        <v>29</v>
      </c>
      <c r="B31" s="15">
        <v>6142</v>
      </c>
      <c r="C31" s="15" t="str">
        <f>VLOOKUP(B31,داتا!$B$3:$D$107,2,FALSE)</f>
        <v>تلتين</v>
      </c>
      <c r="D31" s="34">
        <f>VLOOKUP(B31,داتا!$B$3:$D$107,3,FALSE)</f>
        <v>3.125E-2</v>
      </c>
      <c r="E31" s="15" t="s">
        <v>67</v>
      </c>
      <c r="F31" s="15" t="s">
        <v>40</v>
      </c>
      <c r="G31" s="16">
        <v>0.25</v>
      </c>
      <c r="H31" s="16">
        <v>0.25</v>
      </c>
      <c r="I31" s="16">
        <f t="shared" si="4"/>
        <v>0</v>
      </c>
      <c r="J31" s="16">
        <v>0.1875</v>
      </c>
      <c r="K31" s="16">
        <v>0.23263888888888887</v>
      </c>
      <c r="L31" s="16" t="s">
        <v>142</v>
      </c>
      <c r="M31" s="16" t="s">
        <v>143</v>
      </c>
      <c r="N31" s="16">
        <f t="shared" si="0"/>
        <v>4.5138888888888867E-2</v>
      </c>
      <c r="O31" s="16">
        <f t="shared" si="6"/>
        <v>1.3888888888888867E-2</v>
      </c>
      <c r="P31" s="16">
        <v>6.9444444444444397E-3</v>
      </c>
      <c r="Q31" s="16">
        <v>0.23958333333333334</v>
      </c>
      <c r="R31" s="16">
        <f t="shared" si="1"/>
        <v>0</v>
      </c>
      <c r="S31" s="16">
        <v>0.25347222222222221</v>
      </c>
      <c r="T31" s="16">
        <f>VLOOKUP(E31,'[2]21-3-2026'!E$3:T$35,16,FALSE)</f>
        <v>1.7361111111111101E-2</v>
      </c>
      <c r="U31" s="16">
        <v>0.27083333333333331</v>
      </c>
      <c r="V31" s="16">
        <f t="shared" si="2"/>
        <v>0</v>
      </c>
      <c r="W31" s="16">
        <v>3.125E-2</v>
      </c>
      <c r="X31" s="16">
        <v>0.2986111111111111</v>
      </c>
      <c r="Y31" s="16">
        <v>0.3263888888888889</v>
      </c>
      <c r="Z31" s="16">
        <f t="shared" si="3"/>
        <v>2.777777777777779E-2</v>
      </c>
      <c r="AA31" s="16">
        <v>0</v>
      </c>
      <c r="AB31" s="16">
        <v>0.3298611111111111</v>
      </c>
      <c r="AC31" s="17"/>
      <c r="AD31" s="48"/>
    </row>
    <row r="32" spans="1:30" ht="19.5" thickBot="1" x14ac:dyDescent="0.3">
      <c r="A32" s="14">
        <v>30</v>
      </c>
      <c r="B32" s="15">
        <v>6142</v>
      </c>
      <c r="C32" s="15" t="str">
        <f>VLOOKUP(B32,داتا!$B$3:$D$107,2,FALSE)</f>
        <v>تلتين</v>
      </c>
      <c r="D32" s="34">
        <f>VLOOKUP(B32,داتا!$B$3:$D$107,3,FALSE)</f>
        <v>3.125E-2</v>
      </c>
      <c r="E32" s="15" t="s">
        <v>69</v>
      </c>
      <c r="F32" s="15" t="s">
        <v>40</v>
      </c>
      <c r="G32" s="16">
        <v>0.25</v>
      </c>
      <c r="H32" s="16">
        <v>0.25</v>
      </c>
      <c r="I32" s="16">
        <f t="shared" ref="I32" si="7">H32-G32</f>
        <v>0</v>
      </c>
      <c r="J32" s="16">
        <v>0.1875</v>
      </c>
      <c r="K32" s="16">
        <v>0.23263888888888887</v>
      </c>
      <c r="L32" s="16" t="s">
        <v>142</v>
      </c>
      <c r="M32" s="16" t="s">
        <v>143</v>
      </c>
      <c r="N32" s="16">
        <f t="shared" ref="N32" si="8">K32-J32</f>
        <v>4.5138888888888867E-2</v>
      </c>
      <c r="O32" s="16">
        <f t="shared" ref="O32" si="9">N32-D32</f>
        <v>1.3888888888888867E-2</v>
      </c>
      <c r="P32" s="16">
        <v>6.9444444444444397E-3</v>
      </c>
      <c r="Q32" s="16">
        <v>0.23958333333333334</v>
      </c>
      <c r="R32" s="16">
        <f t="shared" ref="R32" si="10">Q32-P32-K32</f>
        <v>0</v>
      </c>
      <c r="S32" s="16">
        <v>0.25347222222222221</v>
      </c>
      <c r="T32" s="16">
        <f>VLOOKUP(E32,'[2]21-3-2026'!E$3:T$35,16,FALSE)</f>
        <v>1.38888888888889E-2</v>
      </c>
      <c r="U32" s="16">
        <v>0.34097222222222223</v>
      </c>
      <c r="V32" s="16">
        <v>0</v>
      </c>
      <c r="W32" s="16">
        <v>4.1666666666666664E-2</v>
      </c>
      <c r="X32" s="16">
        <v>0.34236111111111112</v>
      </c>
      <c r="Y32" s="16">
        <v>0.36458333333333331</v>
      </c>
      <c r="Z32" s="16">
        <f t="shared" si="3"/>
        <v>2.2222222222222199E-2</v>
      </c>
      <c r="AA32" s="16">
        <v>0</v>
      </c>
      <c r="AB32" s="16">
        <v>0.36805555555555558</v>
      </c>
      <c r="AC32" s="17"/>
      <c r="AD32" s="48"/>
    </row>
    <row r="33" spans="1:30" ht="19.5" thickBot="1" x14ac:dyDescent="0.3">
      <c r="A33" s="14">
        <v>31</v>
      </c>
      <c r="B33" s="15">
        <v>2474</v>
      </c>
      <c r="C33" s="15" t="str">
        <f>VLOOKUP(B33,داتا!$B$3:$D$107,2,FALSE)</f>
        <v>دبابة</v>
      </c>
      <c r="D33" s="34">
        <f>VLOOKUP(B33,داتا!$B$3:$D$107,3,FALSE)</f>
        <v>2.0833333333333332E-2</v>
      </c>
      <c r="E33" s="15" t="s">
        <v>63</v>
      </c>
      <c r="F33" s="15" t="s">
        <v>149</v>
      </c>
      <c r="G33" s="16">
        <v>0.25</v>
      </c>
      <c r="H33" s="16">
        <v>0.25347222222222221</v>
      </c>
      <c r="I33" s="16">
        <f t="shared" si="4"/>
        <v>3.4722222222222099E-3</v>
      </c>
      <c r="J33" s="16">
        <v>0.23958333333333334</v>
      </c>
      <c r="K33" s="16">
        <v>0.25347222222222221</v>
      </c>
      <c r="L33" s="16" t="s">
        <v>142</v>
      </c>
      <c r="M33" s="16" t="s">
        <v>143</v>
      </c>
      <c r="N33" s="16">
        <f t="shared" si="0"/>
        <v>1.3888888888888867E-2</v>
      </c>
      <c r="O33" s="16">
        <v>0</v>
      </c>
      <c r="P33" s="16">
        <v>6.9444444444444397E-3</v>
      </c>
      <c r="Q33" s="16">
        <v>0.26041666666666669</v>
      </c>
      <c r="R33" s="16">
        <f t="shared" si="1"/>
        <v>0</v>
      </c>
      <c r="S33" s="16">
        <v>0.26041666666666669</v>
      </c>
      <c r="T33" s="16">
        <f>VLOOKUP(E33,'[2]21-3-2026'!E$3:T$35,16,FALSE)</f>
        <v>6.25E-2</v>
      </c>
      <c r="U33" s="16">
        <v>0.30555555555555552</v>
      </c>
      <c r="V33" s="16">
        <v>0</v>
      </c>
      <c r="W33" s="16">
        <v>3.125E-2</v>
      </c>
      <c r="X33" s="16">
        <v>0.33680555555555558</v>
      </c>
      <c r="Y33" s="16">
        <v>0.36805555555555558</v>
      </c>
      <c r="Z33" s="16">
        <f t="shared" si="3"/>
        <v>3.125E-2</v>
      </c>
      <c r="AA33" s="16">
        <f t="shared" si="5"/>
        <v>0</v>
      </c>
      <c r="AB33" s="16">
        <v>0.37152777777777773</v>
      </c>
      <c r="AC33" s="17"/>
      <c r="AD33" s="48"/>
    </row>
    <row r="34" spans="1:30" ht="19.5" thickBot="1" x14ac:dyDescent="0.3">
      <c r="A34" s="14">
        <v>32</v>
      </c>
      <c r="B34" s="15">
        <v>3492</v>
      </c>
      <c r="C34" s="15" t="str">
        <f>VLOOKUP(B34,داتا!$B$3:$D$107,2,FALSE)</f>
        <v>تلتين</v>
      </c>
      <c r="D34" s="34">
        <f>VLOOKUP(B34,داتا!$B$3:$D$107,3,FALSE)</f>
        <v>3.125E-2</v>
      </c>
      <c r="E34" s="15" t="s">
        <v>81</v>
      </c>
      <c r="F34" s="15" t="s">
        <v>74</v>
      </c>
      <c r="G34" s="16">
        <v>0.25</v>
      </c>
      <c r="H34" s="16">
        <v>0.25347222222222221</v>
      </c>
      <c r="I34" s="16">
        <f t="shared" si="4"/>
        <v>3.4722222222222099E-3</v>
      </c>
      <c r="J34" s="16">
        <v>0.26041666666666669</v>
      </c>
      <c r="K34" s="16">
        <v>0.27777777777777779</v>
      </c>
      <c r="L34" s="16" t="s">
        <v>142</v>
      </c>
      <c r="M34" s="16" t="s">
        <v>143</v>
      </c>
      <c r="N34" s="16">
        <f t="shared" si="0"/>
        <v>1.7361111111111105E-2</v>
      </c>
      <c r="O34" s="16">
        <v>0</v>
      </c>
      <c r="P34" s="16">
        <v>6.9444444444444397E-3</v>
      </c>
      <c r="Q34" s="16">
        <v>0.28472222222222221</v>
      </c>
      <c r="R34" s="16">
        <f t="shared" si="1"/>
        <v>0</v>
      </c>
      <c r="S34" s="16">
        <v>0.27777777777777779</v>
      </c>
      <c r="T34" s="16">
        <f>VLOOKUP(E34,'[2]21-3-2026'!E$3:T$35,16,FALSE)</f>
        <v>2.7777777777777801E-2</v>
      </c>
      <c r="U34" s="16">
        <v>0.3125</v>
      </c>
      <c r="V34" s="16">
        <f t="shared" si="2"/>
        <v>6.9444444444444198E-3</v>
      </c>
      <c r="W34" s="16">
        <v>4.1666666666666664E-2</v>
      </c>
      <c r="X34" s="16">
        <v>0.34027777777777773</v>
      </c>
      <c r="Y34" s="16">
        <v>0.37152777777777773</v>
      </c>
      <c r="Z34" s="16">
        <f t="shared" si="3"/>
        <v>3.125E-2</v>
      </c>
      <c r="AA34" s="16">
        <v>0</v>
      </c>
      <c r="AB34" s="16">
        <v>0.37847222222222227</v>
      </c>
      <c r="AC34" s="17"/>
      <c r="AD34" s="48"/>
    </row>
    <row r="35" spans="1:30" ht="19.5" thickBot="1" x14ac:dyDescent="0.3">
      <c r="A35" s="20">
        <v>33</v>
      </c>
      <c r="B35" s="21">
        <v>796</v>
      </c>
      <c r="C35" s="21" t="str">
        <f>VLOOKUP(B35,داتا!$B$3:$D$107,2,FALSE)</f>
        <v>دبابة</v>
      </c>
      <c r="D35" s="35">
        <f>VLOOKUP(B35,داتا!$B$3:$D$107,3,FALSE)</f>
        <v>2.0833333333333301E-2</v>
      </c>
      <c r="E35" s="21" t="s">
        <v>92</v>
      </c>
      <c r="F35" s="21" t="s">
        <v>145</v>
      </c>
      <c r="G35" s="22">
        <v>0.25</v>
      </c>
      <c r="H35" s="22">
        <v>0.26041666666666669</v>
      </c>
      <c r="I35" s="22">
        <f t="shared" si="4"/>
        <v>1.0416666666666685E-2</v>
      </c>
      <c r="J35" s="22">
        <v>0.28819444444444448</v>
      </c>
      <c r="K35" s="22">
        <v>0.30555555555555552</v>
      </c>
      <c r="L35" s="16" t="s">
        <v>142</v>
      </c>
      <c r="M35" s="16" t="s">
        <v>143</v>
      </c>
      <c r="N35" s="22">
        <f t="shared" si="0"/>
        <v>1.7361111111111049E-2</v>
      </c>
      <c r="O35" s="22">
        <v>0</v>
      </c>
      <c r="P35" s="22">
        <v>6.9444444444444397E-3</v>
      </c>
      <c r="Q35" s="22">
        <v>0.3125</v>
      </c>
      <c r="R35" s="22">
        <f t="shared" si="1"/>
        <v>0</v>
      </c>
      <c r="S35" s="22">
        <v>0.31597222222222221</v>
      </c>
      <c r="T35" s="22">
        <f>VLOOKUP(E35,'[2]21-3-2026'!E$3:T$35,16,FALSE)</f>
        <v>1.38888888888889E-2</v>
      </c>
      <c r="U35" s="22">
        <v>0.34722222222222227</v>
      </c>
      <c r="V35" s="22">
        <f t="shared" si="2"/>
        <v>1.736111111111116E-2</v>
      </c>
      <c r="W35" s="22">
        <v>3.125E-2</v>
      </c>
      <c r="X35" s="22">
        <v>0.34861111111111115</v>
      </c>
      <c r="Y35" s="22">
        <v>0.375</v>
      </c>
      <c r="Z35" s="22">
        <f t="shared" si="3"/>
        <v>2.6388888888888851E-2</v>
      </c>
      <c r="AA35" s="22">
        <v>0</v>
      </c>
      <c r="AB35" s="22">
        <v>0.37847222222222227</v>
      </c>
      <c r="AC35" s="23"/>
      <c r="AD35" s="49"/>
    </row>
    <row r="36" spans="1:30" ht="20.25" customHeight="1" thickTop="1" thickBot="1" x14ac:dyDescent="0.3">
      <c r="A36" s="10">
        <v>1</v>
      </c>
      <c r="B36" s="11">
        <v>634</v>
      </c>
      <c r="C36" s="11" t="str">
        <f>VLOOKUP(B36,داتا!$B$3:$D$107,2,FALSE)</f>
        <v>دبابة</v>
      </c>
      <c r="D36" s="33">
        <f>VLOOKUP(B36,داتا!$B$3:$D$107,3,FALSE)</f>
        <v>2.0833333333333301E-2</v>
      </c>
      <c r="E36" s="11" t="s">
        <v>75</v>
      </c>
      <c r="F36" s="12" t="s">
        <v>156</v>
      </c>
      <c r="G36" s="12">
        <v>0.25</v>
      </c>
      <c r="H36" s="12">
        <f>VLOOKUP(F36,$F$3:$H$35,3,FALSE)</f>
        <v>0.28472222222222221</v>
      </c>
      <c r="I36" s="12">
        <f t="shared" si="4"/>
        <v>3.472222222222221E-2</v>
      </c>
      <c r="J36" s="12">
        <v>0.40277777777777773</v>
      </c>
      <c r="K36" s="12">
        <v>0.41319444444444442</v>
      </c>
      <c r="L36" s="12" t="s">
        <v>157</v>
      </c>
      <c r="M36" s="12" t="s">
        <v>157</v>
      </c>
      <c r="N36" s="12">
        <f t="shared" si="0"/>
        <v>1.0416666666666685E-2</v>
      </c>
      <c r="O36" s="12">
        <v>0</v>
      </c>
      <c r="P36" s="12">
        <v>6.9444444444444397E-3</v>
      </c>
      <c r="Q36" s="12">
        <v>0.41666666666666669</v>
      </c>
      <c r="R36" s="12">
        <v>0</v>
      </c>
      <c r="S36" s="12">
        <v>0.41666666666666669</v>
      </c>
      <c r="T36" s="12">
        <f>VLOOKUP(E36,'[2]21-3-2026'!E$3:T$35,16,FALSE)</f>
        <v>2.0833333333333301E-2</v>
      </c>
      <c r="U36" s="12">
        <v>0.4548611111111111</v>
      </c>
      <c r="V36" s="12">
        <f t="shared" si="2"/>
        <v>1.7361111111111105E-2</v>
      </c>
      <c r="W36" s="12">
        <v>2.0833333333333332E-2</v>
      </c>
      <c r="X36" s="12">
        <v>0.45833333333333331</v>
      </c>
      <c r="Y36" s="12">
        <v>0.46875</v>
      </c>
      <c r="Z36" s="12">
        <f t="shared" si="3"/>
        <v>1.0416666666666685E-2</v>
      </c>
      <c r="AA36" s="12">
        <v>0</v>
      </c>
      <c r="AB36" s="12">
        <v>0.47222222222222227</v>
      </c>
      <c r="AC36" s="29"/>
      <c r="AD36" s="50" t="s">
        <v>104</v>
      </c>
    </row>
    <row r="37" spans="1:30" ht="19.5" thickBot="1" x14ac:dyDescent="0.3">
      <c r="A37" s="14">
        <v>2</v>
      </c>
      <c r="B37" s="15">
        <v>634</v>
      </c>
      <c r="C37" s="15" t="str">
        <f>VLOOKUP(B37,داتا!$B$3:$D$107,2,FALSE)</f>
        <v>دبابة</v>
      </c>
      <c r="D37" s="34">
        <f>VLOOKUP(B37,داتا!$B$3:$D$107,3,FALSE)</f>
        <v>2.0833333333333301E-2</v>
      </c>
      <c r="E37" s="15" t="s">
        <v>60</v>
      </c>
      <c r="F37" s="16" t="s">
        <v>156</v>
      </c>
      <c r="G37" s="16">
        <v>0.25</v>
      </c>
      <c r="H37" s="16">
        <f t="shared" ref="H37:H67" si="11">VLOOKUP(F37,$F$3:$H$35,3,FALSE)</f>
        <v>0.28472222222222221</v>
      </c>
      <c r="I37" s="16">
        <f t="shared" si="4"/>
        <v>3.472222222222221E-2</v>
      </c>
      <c r="J37" s="16">
        <v>0.40277777777777773</v>
      </c>
      <c r="K37" s="16">
        <v>0.41319444444444442</v>
      </c>
      <c r="L37" s="16" t="s">
        <v>157</v>
      </c>
      <c r="M37" s="16" t="s">
        <v>157</v>
      </c>
      <c r="N37" s="16">
        <f t="shared" si="0"/>
        <v>1.0416666666666685E-2</v>
      </c>
      <c r="O37" s="16">
        <v>0</v>
      </c>
      <c r="P37" s="16">
        <v>6.9444444444444397E-3</v>
      </c>
      <c r="Q37" s="16">
        <v>0.41666666666666669</v>
      </c>
      <c r="R37" s="16">
        <v>0</v>
      </c>
      <c r="S37" s="16">
        <v>0.41666666666666669</v>
      </c>
      <c r="T37" s="16">
        <f>VLOOKUP(E37,'[2]21-3-2026'!E$3:T$35,16,FALSE)</f>
        <v>1.0416666666666701E-2</v>
      </c>
      <c r="U37" s="16">
        <v>0.48958333333333331</v>
      </c>
      <c r="V37" s="16">
        <v>6.9444444444444441E-3</v>
      </c>
      <c r="W37" s="16">
        <v>3.125E-2</v>
      </c>
      <c r="X37" s="16">
        <v>0.49305555555555558</v>
      </c>
      <c r="Y37" s="16">
        <v>0.50694444444444442</v>
      </c>
      <c r="Z37" s="16">
        <f t="shared" si="3"/>
        <v>1.388888888888884E-2</v>
      </c>
      <c r="AA37" s="16">
        <v>0</v>
      </c>
      <c r="AB37" s="16">
        <v>0.51736111111111105</v>
      </c>
      <c r="AC37" s="19"/>
      <c r="AD37" s="51"/>
    </row>
    <row r="38" spans="1:30" ht="19.5" thickBot="1" x14ac:dyDescent="0.3">
      <c r="A38" s="14">
        <v>3</v>
      </c>
      <c r="B38" s="15">
        <v>459</v>
      </c>
      <c r="C38" s="15" t="str">
        <f>VLOOKUP(B38,داتا!$B$3:$D$107,2,FALSE)</f>
        <v>دبابة</v>
      </c>
      <c r="D38" s="34">
        <f>VLOOKUP(B38,داتا!$B$3:$D$107,3,FALSE)</f>
        <v>2.0833333333333301E-2</v>
      </c>
      <c r="E38" s="15" t="s">
        <v>72</v>
      </c>
      <c r="F38" s="15" t="s">
        <v>155</v>
      </c>
      <c r="G38" s="16">
        <v>0.25</v>
      </c>
      <c r="H38" s="16">
        <f t="shared" si="11"/>
        <v>0.26041666666666669</v>
      </c>
      <c r="I38" s="16">
        <f t="shared" si="4"/>
        <v>1.0416666666666685E-2</v>
      </c>
      <c r="J38" s="16">
        <v>0.4236111111111111</v>
      </c>
      <c r="K38" s="16">
        <v>0.4375</v>
      </c>
      <c r="L38" s="16" t="s">
        <v>157</v>
      </c>
      <c r="M38" s="16" t="s">
        <v>157</v>
      </c>
      <c r="N38" s="16">
        <f t="shared" si="0"/>
        <v>1.3888888888888895E-2</v>
      </c>
      <c r="O38" s="16">
        <v>0</v>
      </c>
      <c r="P38" s="16">
        <v>6.9444444444444397E-3</v>
      </c>
      <c r="Q38" s="16">
        <v>0.44097222222222227</v>
      </c>
      <c r="R38" s="16">
        <v>0</v>
      </c>
      <c r="S38" s="16">
        <v>0.44097222222222227</v>
      </c>
      <c r="T38" s="16">
        <f>VLOOKUP(E38,'[2]21-3-2026'!E$3:T$35,16,FALSE)</f>
        <v>1.0416666666666701E-2</v>
      </c>
      <c r="U38" s="16">
        <v>0.45624999999999999</v>
      </c>
      <c r="V38" s="16">
        <f t="shared" si="2"/>
        <v>4.8611111111110383E-3</v>
      </c>
      <c r="W38" s="16">
        <v>2.0833333333333332E-2</v>
      </c>
      <c r="X38" s="16">
        <v>0.45833333333333331</v>
      </c>
      <c r="Y38" s="16">
        <v>0.47083333333333338</v>
      </c>
      <c r="Z38" s="16">
        <f t="shared" si="3"/>
        <v>1.2500000000000067E-2</v>
      </c>
      <c r="AA38" s="16">
        <v>0</v>
      </c>
      <c r="AB38" s="16">
        <v>0.47222222222222227</v>
      </c>
      <c r="AC38" s="19"/>
      <c r="AD38" s="51"/>
    </row>
    <row r="39" spans="1:30" ht="19.5" thickBot="1" x14ac:dyDescent="0.3">
      <c r="A39" s="14">
        <v>4</v>
      </c>
      <c r="B39" s="15">
        <v>459</v>
      </c>
      <c r="C39" s="15" t="str">
        <f>VLOOKUP(B39,داتا!$B$3:$D$107,2,FALSE)</f>
        <v>دبابة</v>
      </c>
      <c r="D39" s="34">
        <f>VLOOKUP(B39,داتا!$B$3:$D$107,3,FALSE)</f>
        <v>2.0833333333333301E-2</v>
      </c>
      <c r="E39" s="15" t="s">
        <v>92</v>
      </c>
      <c r="F39" s="15" t="s">
        <v>155</v>
      </c>
      <c r="G39" s="16">
        <v>0.25</v>
      </c>
      <c r="H39" s="16">
        <f t="shared" si="11"/>
        <v>0.26041666666666669</v>
      </c>
      <c r="I39" s="16">
        <f t="shared" si="4"/>
        <v>1.0416666666666685E-2</v>
      </c>
      <c r="J39" s="16">
        <v>0.4236111111111111</v>
      </c>
      <c r="K39" s="16">
        <v>0.4375</v>
      </c>
      <c r="L39" s="16" t="s">
        <v>157</v>
      </c>
      <c r="M39" s="16" t="s">
        <v>157</v>
      </c>
      <c r="N39" s="16">
        <f t="shared" si="0"/>
        <v>1.3888888888888895E-2</v>
      </c>
      <c r="O39" s="16">
        <v>0</v>
      </c>
      <c r="P39" s="16">
        <v>6.9444444444444397E-3</v>
      </c>
      <c r="Q39" s="16">
        <v>0.44097222222222227</v>
      </c>
      <c r="R39" s="16">
        <v>0</v>
      </c>
      <c r="S39" s="16">
        <v>0.44097222222222227</v>
      </c>
      <c r="T39" s="16">
        <f>VLOOKUP(E39,'[2]21-3-2026'!E$3:T$35,16,FALSE)</f>
        <v>1.38888888888889E-2</v>
      </c>
      <c r="U39" s="16">
        <v>0.47916666666666669</v>
      </c>
      <c r="V39" s="16">
        <v>0</v>
      </c>
      <c r="W39" s="16">
        <v>3.125E-2</v>
      </c>
      <c r="X39" s="16">
        <v>0.4826388888888889</v>
      </c>
      <c r="Y39" s="16">
        <v>0.49305555555555558</v>
      </c>
      <c r="Z39" s="16">
        <f t="shared" si="3"/>
        <v>1.0416666666666685E-2</v>
      </c>
      <c r="AA39" s="16">
        <v>0</v>
      </c>
      <c r="AB39" s="16">
        <v>0.49652777777777773</v>
      </c>
      <c r="AC39" s="17"/>
      <c r="AD39" s="51"/>
    </row>
    <row r="40" spans="1:30" ht="19.5" thickBot="1" x14ac:dyDescent="0.3">
      <c r="A40" s="14">
        <v>5</v>
      </c>
      <c r="B40" s="15">
        <v>3783</v>
      </c>
      <c r="C40" s="15" t="str">
        <f>VLOOKUP(B40,داتا!$B$3:$D$107,2,FALSE)</f>
        <v>دبابة</v>
      </c>
      <c r="D40" s="34">
        <f>VLOOKUP(B40,داتا!$B$3:$D$107,3,FALSE)</f>
        <v>2.0833333333333301E-2</v>
      </c>
      <c r="E40" s="15" t="s">
        <v>55</v>
      </c>
      <c r="F40" s="15" t="s">
        <v>76</v>
      </c>
      <c r="G40" s="16">
        <v>0.25</v>
      </c>
      <c r="H40" s="16">
        <f t="shared" si="11"/>
        <v>0.25347222222222221</v>
      </c>
      <c r="I40" s="16">
        <f t="shared" si="4"/>
        <v>3.4722222222222099E-3</v>
      </c>
      <c r="J40" s="16">
        <v>0.4513888888888889</v>
      </c>
      <c r="K40" s="16">
        <v>0.49305555555555558</v>
      </c>
      <c r="L40" s="16" t="s">
        <v>157</v>
      </c>
      <c r="M40" s="16" t="s">
        <v>157</v>
      </c>
      <c r="N40" s="16">
        <f t="shared" si="0"/>
        <v>4.1666666666666685E-2</v>
      </c>
      <c r="O40" s="16">
        <f t="shared" si="6"/>
        <v>2.0833333333333384E-2</v>
      </c>
      <c r="P40" s="16">
        <v>6.9444444444444397E-3</v>
      </c>
      <c r="Q40" s="16">
        <v>0.49305555555555558</v>
      </c>
      <c r="R40" s="16">
        <v>0</v>
      </c>
      <c r="S40" s="16">
        <v>0.49305555555555558</v>
      </c>
      <c r="T40" s="16">
        <f>VLOOKUP(E40,'[2]21-3-2026'!E$3:T$35,16,FALSE)</f>
        <v>3.8194444444444399E-2</v>
      </c>
      <c r="U40" s="16">
        <v>0.52083333333333337</v>
      </c>
      <c r="V40" s="16">
        <v>0</v>
      </c>
      <c r="W40" s="16">
        <v>2.0833333333333332E-2</v>
      </c>
      <c r="X40" s="16">
        <v>0.53472222222222221</v>
      </c>
      <c r="Y40" s="16">
        <v>0.54166666666666663</v>
      </c>
      <c r="Z40" s="16">
        <f t="shared" si="3"/>
        <v>6.9444444444444198E-3</v>
      </c>
      <c r="AA40" s="16">
        <v>0</v>
      </c>
      <c r="AB40" s="16">
        <v>0.54513888888888895</v>
      </c>
      <c r="AC40" s="17"/>
      <c r="AD40" s="51"/>
    </row>
    <row r="41" spans="1:30" ht="19.5" thickBot="1" x14ac:dyDescent="0.3">
      <c r="A41" s="14">
        <v>6</v>
      </c>
      <c r="B41" s="15">
        <v>3783</v>
      </c>
      <c r="C41" s="15" t="str">
        <f>VLOOKUP(B41,داتا!$B$3:$D$107,2,FALSE)</f>
        <v>دبابة</v>
      </c>
      <c r="D41" s="34">
        <f>VLOOKUP(B41,داتا!$B$3:$D$107,3,FALSE)</f>
        <v>2.0833333333333301E-2</v>
      </c>
      <c r="E41" s="15" t="s">
        <v>61</v>
      </c>
      <c r="F41" s="15" t="s">
        <v>76</v>
      </c>
      <c r="G41" s="16">
        <v>0.25</v>
      </c>
      <c r="H41" s="16">
        <f t="shared" si="11"/>
        <v>0.25347222222222221</v>
      </c>
      <c r="I41" s="16">
        <f t="shared" si="4"/>
        <v>3.4722222222222099E-3</v>
      </c>
      <c r="J41" s="16">
        <v>0.4513888888888889</v>
      </c>
      <c r="K41" s="16">
        <v>0.49305555555555558</v>
      </c>
      <c r="L41" s="16" t="s">
        <v>157</v>
      </c>
      <c r="M41" s="16" t="s">
        <v>157</v>
      </c>
      <c r="N41" s="16">
        <f t="shared" si="0"/>
        <v>4.1666666666666685E-2</v>
      </c>
      <c r="O41" s="16">
        <f t="shared" si="6"/>
        <v>2.0833333333333384E-2</v>
      </c>
      <c r="P41" s="16">
        <v>6.9444444444444397E-3</v>
      </c>
      <c r="Q41" s="16">
        <v>0.49305555555555558</v>
      </c>
      <c r="R41" s="16">
        <v>0</v>
      </c>
      <c r="S41" s="16">
        <v>0.49305555555555558</v>
      </c>
      <c r="T41" s="16">
        <v>1.0416666666666666E-2</v>
      </c>
      <c r="U41" s="16">
        <v>0.55694444444444446</v>
      </c>
      <c r="V41" s="16">
        <v>0</v>
      </c>
      <c r="W41" s="16">
        <v>3.125E-2</v>
      </c>
      <c r="X41" s="16">
        <v>0.55902777777777779</v>
      </c>
      <c r="Y41" s="16">
        <v>0.57638888888888895</v>
      </c>
      <c r="Z41" s="16">
        <f t="shared" si="3"/>
        <v>1.736111111111116E-2</v>
      </c>
      <c r="AA41" s="16">
        <v>0</v>
      </c>
      <c r="AB41" s="16">
        <v>0.57847222222222217</v>
      </c>
      <c r="AC41" s="17"/>
      <c r="AD41" s="51"/>
    </row>
    <row r="42" spans="1:30" ht="19.5" thickBot="1" x14ac:dyDescent="0.3">
      <c r="A42" s="14">
        <v>7</v>
      </c>
      <c r="B42" s="15">
        <v>3787</v>
      </c>
      <c r="C42" s="15" t="str">
        <f>VLOOKUP(B42,داتا!$B$3:$D$107,2,FALSE)</f>
        <v>دبابة</v>
      </c>
      <c r="D42" s="34">
        <f>VLOOKUP(B42,داتا!$B$3:$D$107,3,FALSE)</f>
        <v>2.0833333333333301E-2</v>
      </c>
      <c r="E42" s="15" t="s">
        <v>89</v>
      </c>
      <c r="F42" s="15" t="s">
        <v>99</v>
      </c>
      <c r="G42" s="16">
        <v>0.25</v>
      </c>
      <c r="H42" s="16">
        <f t="shared" si="11"/>
        <v>0.23958333333333334</v>
      </c>
      <c r="I42" s="16">
        <v>0</v>
      </c>
      <c r="J42" s="16">
        <v>0.39930555555555558</v>
      </c>
      <c r="K42" s="16">
        <v>0.4236111111111111</v>
      </c>
      <c r="L42" s="16" t="s">
        <v>88</v>
      </c>
      <c r="M42" s="16" t="s">
        <v>88</v>
      </c>
      <c r="N42" s="16">
        <f t="shared" si="0"/>
        <v>2.4305555555555525E-2</v>
      </c>
      <c r="O42" s="16">
        <f t="shared" si="6"/>
        <v>3.4722222222222238E-3</v>
      </c>
      <c r="P42" s="16">
        <v>6.9444444444444397E-3</v>
      </c>
      <c r="Q42" s="16">
        <v>0.43402777777777773</v>
      </c>
      <c r="R42" s="16">
        <f t="shared" si="1"/>
        <v>3.4722222222222099E-3</v>
      </c>
      <c r="S42" s="16">
        <v>0.43402777777777773</v>
      </c>
      <c r="T42" s="16">
        <f>VLOOKUP(E42,'[2]21-3-2026'!E$3:T$35,16,FALSE)</f>
        <v>1.7361111111111101E-2</v>
      </c>
      <c r="U42" s="16">
        <v>0</v>
      </c>
      <c r="V42" s="16">
        <v>0</v>
      </c>
      <c r="W42" s="16">
        <v>2.0833333333333332E-2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7"/>
      <c r="AD42" s="51"/>
    </row>
    <row r="43" spans="1:30" ht="19.5" thickBot="1" x14ac:dyDescent="0.3">
      <c r="A43" s="14">
        <v>8</v>
      </c>
      <c r="B43" s="15">
        <v>3787</v>
      </c>
      <c r="C43" s="15" t="str">
        <f>VLOOKUP(B43,داتا!$B$3:$D$107,2,FALSE)</f>
        <v>دبابة</v>
      </c>
      <c r="D43" s="34">
        <f>VLOOKUP(B43,داتا!$B$3:$D$107,3,FALSE)</f>
        <v>2.0833333333333301E-2</v>
      </c>
      <c r="E43" s="15" t="s">
        <v>39</v>
      </c>
      <c r="F43" s="15" t="s">
        <v>99</v>
      </c>
      <c r="G43" s="16">
        <v>0.25</v>
      </c>
      <c r="H43" s="16">
        <f t="shared" si="11"/>
        <v>0.23958333333333334</v>
      </c>
      <c r="I43" s="16">
        <v>0</v>
      </c>
      <c r="J43" s="16">
        <v>0.39930555555555558</v>
      </c>
      <c r="K43" s="16">
        <v>0.4236111111111111</v>
      </c>
      <c r="L43" s="16" t="s">
        <v>88</v>
      </c>
      <c r="M43" s="16" t="s">
        <v>88</v>
      </c>
      <c r="N43" s="16">
        <f t="shared" si="0"/>
        <v>2.4305555555555525E-2</v>
      </c>
      <c r="O43" s="16">
        <f t="shared" si="6"/>
        <v>3.4722222222222238E-3</v>
      </c>
      <c r="P43" s="16">
        <v>6.9444444444444397E-3</v>
      </c>
      <c r="Q43" s="16">
        <v>0.43402777777777773</v>
      </c>
      <c r="R43" s="16">
        <f t="shared" si="1"/>
        <v>3.4722222222222099E-3</v>
      </c>
      <c r="S43" s="16">
        <v>0.43402777777777773</v>
      </c>
      <c r="T43" s="16">
        <f>VLOOKUP(E43,'[2]21-3-2026'!E$3:T$35,16,FALSE)</f>
        <v>1.7361111111111101E-2</v>
      </c>
      <c r="U43" s="16">
        <v>0</v>
      </c>
      <c r="V43" s="16">
        <v>0</v>
      </c>
      <c r="W43" s="16">
        <v>3.125E-2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7"/>
      <c r="AD43" s="51"/>
    </row>
    <row r="44" spans="1:30" ht="19.5" thickBot="1" x14ac:dyDescent="0.3">
      <c r="A44" s="14">
        <v>9</v>
      </c>
      <c r="B44" s="15">
        <v>6143</v>
      </c>
      <c r="C44" s="15" t="str">
        <f>VLOOKUP(B44,داتا!$B$3:$D$107,2,FALSE)</f>
        <v>تلتين</v>
      </c>
      <c r="D44" s="34">
        <f>VLOOKUP(B44,داتا!$B$3:$D$107,3,FALSE)</f>
        <v>3.125E-2</v>
      </c>
      <c r="E44" s="15" t="s">
        <v>34</v>
      </c>
      <c r="F44" s="15" t="s">
        <v>117</v>
      </c>
      <c r="G44" s="16">
        <v>0.25</v>
      </c>
      <c r="H44" s="16">
        <f t="shared" si="11"/>
        <v>0.23958333333333334</v>
      </c>
      <c r="I44" s="16">
        <v>0</v>
      </c>
      <c r="J44" s="16">
        <v>0.43402777777777773</v>
      </c>
      <c r="K44" s="16">
        <v>0.45833333333333331</v>
      </c>
      <c r="L44" s="16" t="s">
        <v>88</v>
      </c>
      <c r="M44" s="16" t="s">
        <v>88</v>
      </c>
      <c r="N44" s="16">
        <f t="shared" si="0"/>
        <v>2.430555555555558E-2</v>
      </c>
      <c r="O44" s="16">
        <v>0</v>
      </c>
      <c r="P44" s="16">
        <v>6.9444444444444397E-3</v>
      </c>
      <c r="Q44" s="16">
        <v>0.46180555555555558</v>
      </c>
      <c r="R44" s="16">
        <v>0</v>
      </c>
      <c r="S44" s="16">
        <v>0.46180555555555558</v>
      </c>
      <c r="T44" s="16">
        <f>VLOOKUP(E44,'[2]21-3-2026'!E$3:T$35,16,FALSE)</f>
        <v>1.0416666666666701E-2</v>
      </c>
      <c r="U44" s="16">
        <v>0.4826388888888889</v>
      </c>
      <c r="V44" s="16">
        <f t="shared" si="2"/>
        <v>1.041666666666663E-2</v>
      </c>
      <c r="W44" s="16">
        <v>4.1666666666666664E-2</v>
      </c>
      <c r="X44" s="16">
        <v>0.48958333333333331</v>
      </c>
      <c r="Y44" s="16">
        <v>0.52083333333333337</v>
      </c>
      <c r="Z44" s="16">
        <f t="shared" si="3"/>
        <v>3.1250000000000056E-2</v>
      </c>
      <c r="AA44" s="16">
        <v>0</v>
      </c>
      <c r="AB44" s="16">
        <v>0.52430555555555558</v>
      </c>
      <c r="AC44" s="17"/>
      <c r="AD44" s="51"/>
    </row>
    <row r="45" spans="1:30" ht="19.5" thickBot="1" x14ac:dyDescent="0.3">
      <c r="A45" s="14">
        <v>10</v>
      </c>
      <c r="B45" s="15">
        <v>3495</v>
      </c>
      <c r="C45" s="15" t="str">
        <f>VLOOKUP(B45,داتا!$B$3:$D$107,2,FALSE)</f>
        <v>تلتين</v>
      </c>
      <c r="D45" s="34">
        <f>VLOOKUP(B45,داتا!$B$3:$D$107,3,FALSE)</f>
        <v>3.125E-2</v>
      </c>
      <c r="E45" s="15" t="s">
        <v>30</v>
      </c>
      <c r="F45" s="15" t="s">
        <v>148</v>
      </c>
      <c r="G45" s="16">
        <v>0.25</v>
      </c>
      <c r="H45" s="16">
        <f t="shared" si="11"/>
        <v>0.22916666666666666</v>
      </c>
      <c r="I45" s="16">
        <v>0</v>
      </c>
      <c r="J45" s="16">
        <v>0.47222222222222227</v>
      </c>
      <c r="K45" s="16">
        <v>0.4826388888888889</v>
      </c>
      <c r="L45" s="16" t="s">
        <v>88</v>
      </c>
      <c r="M45" s="16" t="s">
        <v>88</v>
      </c>
      <c r="N45" s="16">
        <f t="shared" si="0"/>
        <v>1.041666666666663E-2</v>
      </c>
      <c r="O45" s="16">
        <v>0</v>
      </c>
      <c r="P45" s="16">
        <v>6.9444444444444397E-3</v>
      </c>
      <c r="Q45" s="16">
        <v>0.4826388888888889</v>
      </c>
      <c r="R45" s="16">
        <v>0</v>
      </c>
      <c r="S45" s="16">
        <v>0.4826388888888889</v>
      </c>
      <c r="T45" s="16">
        <f>VLOOKUP(E45,'[2]21-3-2026'!E$3:T$35,16,FALSE)</f>
        <v>1.38888888888889E-2</v>
      </c>
      <c r="U45" s="16">
        <v>0.5</v>
      </c>
      <c r="V45" s="16">
        <f t="shared" si="2"/>
        <v>3.4722222222222099E-3</v>
      </c>
      <c r="W45" s="16">
        <v>4.1666666666666664E-2</v>
      </c>
      <c r="X45" s="16">
        <v>0.50347222222222221</v>
      </c>
      <c r="Y45" s="16">
        <v>0.52777777777777779</v>
      </c>
      <c r="Z45" s="16">
        <f t="shared" si="3"/>
        <v>2.430555555555558E-2</v>
      </c>
      <c r="AA45" s="16">
        <v>0</v>
      </c>
      <c r="AB45" s="16">
        <v>0.53125</v>
      </c>
      <c r="AC45" s="17"/>
      <c r="AD45" s="51"/>
    </row>
    <row r="46" spans="1:30" ht="19.5" thickBot="1" x14ac:dyDescent="0.3">
      <c r="A46" s="14">
        <v>11</v>
      </c>
      <c r="B46" s="15">
        <v>4879</v>
      </c>
      <c r="C46" s="15" t="str">
        <f>VLOOKUP(B46,داتا!$B$3:$D$107,2,FALSE)</f>
        <v>دبابة</v>
      </c>
      <c r="D46" s="34">
        <f>VLOOKUP(B46,داتا!$B$3:$D$107,3,FALSE)</f>
        <v>2.0833333333333301E-2</v>
      </c>
      <c r="E46" s="15" t="s">
        <v>63</v>
      </c>
      <c r="F46" s="15" t="s">
        <v>80</v>
      </c>
      <c r="G46" s="16">
        <v>0.25</v>
      </c>
      <c r="H46" s="16">
        <f t="shared" si="11"/>
        <v>0.25</v>
      </c>
      <c r="I46" s="16">
        <f t="shared" si="4"/>
        <v>0</v>
      </c>
      <c r="J46" s="16">
        <v>0.4861111111111111</v>
      </c>
      <c r="K46" s="16">
        <v>0.5</v>
      </c>
      <c r="L46" s="16" t="s">
        <v>88</v>
      </c>
      <c r="M46" s="16" t="s">
        <v>88</v>
      </c>
      <c r="N46" s="16">
        <f t="shared" si="0"/>
        <v>1.3888888888888895E-2</v>
      </c>
      <c r="O46" s="16">
        <v>0</v>
      </c>
      <c r="P46" s="16">
        <v>6.9444444444444397E-3</v>
      </c>
      <c r="Q46" s="16">
        <v>0.5</v>
      </c>
      <c r="R46" s="16">
        <v>0</v>
      </c>
      <c r="S46" s="16">
        <v>0.5</v>
      </c>
      <c r="T46" s="16">
        <f>VLOOKUP(E46,'[2]21-3-2026'!E$3:T$35,16,FALSE)</f>
        <v>6.25E-2</v>
      </c>
      <c r="U46" s="16">
        <v>0.54513888888888895</v>
      </c>
      <c r="V46" s="16">
        <v>0</v>
      </c>
      <c r="W46" s="16">
        <v>3.125E-2</v>
      </c>
      <c r="X46" s="16">
        <v>0.54861111111111105</v>
      </c>
      <c r="Y46" s="16">
        <v>0.5625</v>
      </c>
      <c r="Z46" s="16">
        <f t="shared" si="3"/>
        <v>1.3888888888888951E-2</v>
      </c>
      <c r="AA46" s="16">
        <v>0</v>
      </c>
      <c r="AB46" s="16">
        <v>0.56597222222222221</v>
      </c>
      <c r="AC46" s="17"/>
      <c r="AD46" s="51"/>
    </row>
    <row r="47" spans="1:30" ht="19.5" thickBot="1" x14ac:dyDescent="0.3">
      <c r="A47" s="14">
        <v>12</v>
      </c>
      <c r="B47" s="15">
        <v>3891</v>
      </c>
      <c r="C47" s="15" t="str">
        <f>VLOOKUP(B47,داتا!$B$3:$D$107,2,FALSE)</f>
        <v>تلتين</v>
      </c>
      <c r="D47" s="34">
        <f>VLOOKUP(B47,داتا!$B$3:$D$107,3,FALSE)</f>
        <v>3.125E-2</v>
      </c>
      <c r="E47" s="15" t="s">
        <v>73</v>
      </c>
      <c r="F47" s="15" t="s">
        <v>48</v>
      </c>
      <c r="G47" s="16">
        <v>0.25</v>
      </c>
      <c r="H47" s="16">
        <f t="shared" si="11"/>
        <v>0.24305555555555555</v>
      </c>
      <c r="I47" s="16">
        <v>0</v>
      </c>
      <c r="J47" s="16">
        <v>0.3923611111111111</v>
      </c>
      <c r="K47" s="16">
        <v>0.41666666666666669</v>
      </c>
      <c r="L47" s="16" t="s">
        <v>97</v>
      </c>
      <c r="M47" s="16" t="s">
        <v>97</v>
      </c>
      <c r="N47" s="16">
        <f t="shared" si="0"/>
        <v>2.430555555555558E-2</v>
      </c>
      <c r="O47" s="16">
        <v>0</v>
      </c>
      <c r="P47" s="16">
        <v>6.9444444444444397E-3</v>
      </c>
      <c r="Q47" s="16">
        <v>0.4201388888888889</v>
      </c>
      <c r="R47" s="16">
        <v>0</v>
      </c>
      <c r="S47" s="16">
        <v>0.4201388888888889</v>
      </c>
      <c r="T47" s="16">
        <f>VLOOKUP(E47,'[2]21-3-2026'!E$3:T$35,16,FALSE)</f>
        <v>3.4722222222222203E-2</v>
      </c>
      <c r="U47" s="16">
        <v>0.46527777777777773</v>
      </c>
      <c r="V47" s="16">
        <f t="shared" si="2"/>
        <v>1.041666666666663E-2</v>
      </c>
      <c r="W47" s="16">
        <v>3.125E-2</v>
      </c>
      <c r="X47" s="16">
        <v>0.46875</v>
      </c>
      <c r="Y47" s="16">
        <v>0.48958333333333331</v>
      </c>
      <c r="Z47" s="16">
        <f t="shared" si="3"/>
        <v>2.0833333333333315E-2</v>
      </c>
      <c r="AA47" s="16">
        <v>0</v>
      </c>
      <c r="AB47" s="16">
        <v>0.49652777777777773</v>
      </c>
      <c r="AC47" s="17"/>
      <c r="AD47" s="51"/>
    </row>
    <row r="48" spans="1:30" ht="19.5" thickBot="1" x14ac:dyDescent="0.3">
      <c r="A48" s="14">
        <v>13</v>
      </c>
      <c r="B48" s="15">
        <v>3891</v>
      </c>
      <c r="C48" s="15" t="str">
        <f>VLOOKUP(B48,داتا!$B$3:$D$107,2,FALSE)</f>
        <v>تلتين</v>
      </c>
      <c r="D48" s="34">
        <f>VLOOKUP(B48,داتا!$B$3:$D$107,3,FALSE)</f>
        <v>3.125E-2</v>
      </c>
      <c r="E48" s="15" t="s">
        <v>35</v>
      </c>
      <c r="F48" s="15" t="s">
        <v>48</v>
      </c>
      <c r="G48" s="16">
        <v>0.25</v>
      </c>
      <c r="H48" s="16">
        <f t="shared" si="11"/>
        <v>0.24305555555555555</v>
      </c>
      <c r="I48" s="16">
        <v>0</v>
      </c>
      <c r="J48" s="16">
        <v>0.3923611111111111</v>
      </c>
      <c r="K48" s="16">
        <v>0.41666666666666669</v>
      </c>
      <c r="L48" s="16" t="s">
        <v>97</v>
      </c>
      <c r="M48" s="16" t="s">
        <v>97</v>
      </c>
      <c r="N48" s="16">
        <f t="shared" si="0"/>
        <v>2.430555555555558E-2</v>
      </c>
      <c r="O48" s="16">
        <v>0</v>
      </c>
      <c r="P48" s="16">
        <v>6.9444444444444397E-3</v>
      </c>
      <c r="Q48" s="16">
        <v>0.4201388888888889</v>
      </c>
      <c r="R48" s="16">
        <v>0</v>
      </c>
      <c r="S48" s="16">
        <v>0.4201388888888889</v>
      </c>
      <c r="T48" s="16">
        <v>1.0416666666666666E-2</v>
      </c>
      <c r="U48" s="16">
        <v>0.50694444444444442</v>
      </c>
      <c r="V48" s="16">
        <v>0</v>
      </c>
      <c r="W48" s="16">
        <v>4.1666666666666664E-2</v>
      </c>
      <c r="X48" s="16">
        <v>0.51041666666666663</v>
      </c>
      <c r="Y48" s="16">
        <v>0.51388888888888895</v>
      </c>
      <c r="Z48" s="16">
        <f t="shared" si="3"/>
        <v>3.4722222222223209E-3</v>
      </c>
      <c r="AA48" s="16">
        <v>0</v>
      </c>
      <c r="AB48" s="16">
        <v>0.51736111111111105</v>
      </c>
      <c r="AC48" s="17"/>
      <c r="AD48" s="51"/>
    </row>
    <row r="49" spans="1:30" ht="19.5" thickBot="1" x14ac:dyDescent="0.3">
      <c r="A49" s="14">
        <v>14</v>
      </c>
      <c r="B49" s="15">
        <v>2714</v>
      </c>
      <c r="C49" s="15" t="str">
        <f>VLOOKUP(B49,داتا!$B$3:$D$107,2,FALSE)</f>
        <v>تلتين</v>
      </c>
      <c r="D49" s="34">
        <f>VLOOKUP(B49,داتا!$B$3:$D$107,3,FALSE)</f>
        <v>3.125E-2</v>
      </c>
      <c r="E49" s="15" t="s">
        <v>57</v>
      </c>
      <c r="F49" s="15" t="s">
        <v>114</v>
      </c>
      <c r="G49" s="16">
        <v>0.25</v>
      </c>
      <c r="H49" s="16">
        <f t="shared" si="11"/>
        <v>0.26180555555555557</v>
      </c>
      <c r="I49" s="16">
        <f t="shared" si="4"/>
        <v>1.1805555555555569E-2</v>
      </c>
      <c r="J49" s="16">
        <v>0.4236111111111111</v>
      </c>
      <c r="K49" s="16">
        <v>0.44444444444444442</v>
      </c>
      <c r="L49" s="16" t="s">
        <v>97</v>
      </c>
      <c r="M49" s="16" t="s">
        <v>97</v>
      </c>
      <c r="N49" s="16">
        <f t="shared" si="0"/>
        <v>2.0833333333333315E-2</v>
      </c>
      <c r="O49" s="16">
        <v>0</v>
      </c>
      <c r="P49" s="16">
        <v>6.9444444444444397E-3</v>
      </c>
      <c r="Q49" s="16">
        <v>0.4513888888888889</v>
      </c>
      <c r="R49" s="16">
        <f t="shared" si="1"/>
        <v>0</v>
      </c>
      <c r="S49" s="16">
        <v>0.4513888888888889</v>
      </c>
      <c r="T49" s="16">
        <f>VLOOKUP(E49,'[2]21-3-2026'!E$3:T$35,16,FALSE)</f>
        <v>1.7361111111111101E-2</v>
      </c>
      <c r="U49" s="16">
        <v>0.47569444444444442</v>
      </c>
      <c r="V49" s="16">
        <f t="shared" si="2"/>
        <v>6.9444444444444198E-3</v>
      </c>
      <c r="W49" s="16">
        <v>3.125E-2</v>
      </c>
      <c r="X49" s="16">
        <v>0.47916666666666669</v>
      </c>
      <c r="Y49" s="16">
        <v>0.5</v>
      </c>
      <c r="Z49" s="16">
        <f t="shared" si="3"/>
        <v>2.0833333333333315E-2</v>
      </c>
      <c r="AA49" s="16">
        <v>0</v>
      </c>
      <c r="AB49" s="16">
        <v>0.50347222222222221</v>
      </c>
      <c r="AC49" s="17"/>
      <c r="AD49" s="51"/>
    </row>
    <row r="50" spans="1:30" ht="19.5" thickBot="1" x14ac:dyDescent="0.3">
      <c r="A50" s="14">
        <v>15</v>
      </c>
      <c r="B50" s="15">
        <v>2714</v>
      </c>
      <c r="C50" s="15" t="str">
        <f>VLOOKUP(B50,داتا!$B$3:$D$107,2,FALSE)</f>
        <v>تلتين</v>
      </c>
      <c r="D50" s="34">
        <f>VLOOKUP(B50,داتا!$B$3:$D$107,3,FALSE)</f>
        <v>3.125E-2</v>
      </c>
      <c r="E50" s="15" t="s">
        <v>38</v>
      </c>
      <c r="F50" s="15" t="s">
        <v>114</v>
      </c>
      <c r="G50" s="16">
        <v>0.25</v>
      </c>
      <c r="H50" s="16">
        <f t="shared" si="11"/>
        <v>0.26180555555555557</v>
      </c>
      <c r="I50" s="16">
        <f t="shared" ref="I50" si="12">H50-G50</f>
        <v>1.1805555555555569E-2</v>
      </c>
      <c r="J50" s="16">
        <v>0.4236111111111111</v>
      </c>
      <c r="K50" s="16">
        <v>0.44444444444444442</v>
      </c>
      <c r="L50" s="16" t="s">
        <v>97</v>
      </c>
      <c r="M50" s="16" t="s">
        <v>97</v>
      </c>
      <c r="N50" s="16">
        <f t="shared" ref="N50" si="13">K50-J50</f>
        <v>2.0833333333333315E-2</v>
      </c>
      <c r="O50" s="16">
        <v>0</v>
      </c>
      <c r="P50" s="16">
        <v>6.9444444444444397E-3</v>
      </c>
      <c r="Q50" s="16">
        <v>0.4513888888888889</v>
      </c>
      <c r="R50" s="16">
        <f t="shared" si="1"/>
        <v>0</v>
      </c>
      <c r="S50" s="16">
        <v>0.4513888888888889</v>
      </c>
      <c r="T50" s="16">
        <f>VLOOKUP(E50,'[2]21-3-2026'!E$3:T$35,16,FALSE)</f>
        <v>1.0416666666666666E-2</v>
      </c>
      <c r="U50" s="16">
        <v>0.51388888888888895</v>
      </c>
      <c r="V50" s="16">
        <v>0</v>
      </c>
      <c r="W50" s="16">
        <v>4.1666666666666664E-2</v>
      </c>
      <c r="X50" s="16">
        <v>0.51736111111111105</v>
      </c>
      <c r="Y50" s="16">
        <v>0.55555555555555558</v>
      </c>
      <c r="Z50" s="16">
        <f t="shared" si="3"/>
        <v>3.8194444444444531E-2</v>
      </c>
      <c r="AA50" s="16">
        <v>0</v>
      </c>
      <c r="AB50" s="16">
        <v>0.55902777777777779</v>
      </c>
      <c r="AC50" s="17"/>
      <c r="AD50" s="51"/>
    </row>
    <row r="51" spans="1:30" ht="19.5" thickBot="1" x14ac:dyDescent="0.3">
      <c r="A51" s="14">
        <v>16</v>
      </c>
      <c r="B51" s="15">
        <v>796</v>
      </c>
      <c r="C51" s="15" t="str">
        <f>VLOOKUP(B51,داتا!$B$3:$D$107,2,FALSE)</f>
        <v>دبابة</v>
      </c>
      <c r="D51" s="34">
        <f>VLOOKUP(B51,داتا!$B$3:$D$107,3,FALSE)</f>
        <v>2.0833333333333301E-2</v>
      </c>
      <c r="E51" s="15" t="s">
        <v>65</v>
      </c>
      <c r="F51" s="15" t="s">
        <v>145</v>
      </c>
      <c r="G51" s="16">
        <v>0.25</v>
      </c>
      <c r="H51" s="16">
        <f t="shared" si="11"/>
        <v>0.26041666666666669</v>
      </c>
      <c r="I51" s="16">
        <f t="shared" si="4"/>
        <v>1.0416666666666685E-2</v>
      </c>
      <c r="J51" s="16">
        <v>0.45833333333333331</v>
      </c>
      <c r="K51" s="16">
        <v>0.48958333333333331</v>
      </c>
      <c r="L51" s="16" t="s">
        <v>97</v>
      </c>
      <c r="M51" s="16" t="s">
        <v>97</v>
      </c>
      <c r="N51" s="16">
        <f t="shared" si="0"/>
        <v>3.125E-2</v>
      </c>
      <c r="O51" s="16">
        <f t="shared" si="6"/>
        <v>1.0416666666666699E-2</v>
      </c>
      <c r="P51" s="16">
        <v>6.9444444444444397E-3</v>
      </c>
      <c r="Q51" s="16">
        <v>0.49652777777777773</v>
      </c>
      <c r="R51" s="16">
        <f t="shared" si="1"/>
        <v>0</v>
      </c>
      <c r="S51" s="16">
        <v>0.49652777777777773</v>
      </c>
      <c r="T51" s="16">
        <f>VLOOKUP(E51,'[2]21-3-2026'!E$3:T$35,16,FALSE)</f>
        <v>4.1666666666666699E-2</v>
      </c>
      <c r="U51" s="16">
        <v>0.53819444444444442</v>
      </c>
      <c r="V51" s="16">
        <f t="shared" si="2"/>
        <v>0</v>
      </c>
      <c r="W51" s="16">
        <v>3.125E-2</v>
      </c>
      <c r="X51" s="16">
        <v>0.54166666666666663</v>
      </c>
      <c r="Y51" s="16">
        <v>0.57291666666666663</v>
      </c>
      <c r="Z51" s="16">
        <f t="shared" si="3"/>
        <v>3.125E-2</v>
      </c>
      <c r="AA51" s="16">
        <f t="shared" si="5"/>
        <v>0</v>
      </c>
      <c r="AB51" s="16">
        <v>0.57638888888888895</v>
      </c>
      <c r="AC51" s="17"/>
      <c r="AD51" s="51"/>
    </row>
    <row r="52" spans="1:30" ht="19.5" thickBot="1" x14ac:dyDescent="0.3">
      <c r="A52" s="14">
        <v>17</v>
      </c>
      <c r="B52" s="15">
        <v>1538</v>
      </c>
      <c r="C52" s="15" t="str">
        <f>VLOOKUP(B52,داتا!$B$3:$D$107,2,FALSE)</f>
        <v>تلتين</v>
      </c>
      <c r="D52" s="34">
        <f>VLOOKUP(B52,داتا!$B$3:$D$107,3,FALSE)</f>
        <v>3.125E-2</v>
      </c>
      <c r="E52" s="15" t="s">
        <v>42</v>
      </c>
      <c r="F52" s="15" t="s">
        <v>147</v>
      </c>
      <c r="G52" s="16">
        <v>0.25</v>
      </c>
      <c r="H52" s="16">
        <f t="shared" si="11"/>
        <v>0.24305555555555555</v>
      </c>
      <c r="I52" s="16">
        <v>0</v>
      </c>
      <c r="J52" s="16">
        <v>0.39583333333333331</v>
      </c>
      <c r="K52" s="16">
        <v>0.41666666666666669</v>
      </c>
      <c r="L52" s="15" t="s">
        <v>85</v>
      </c>
      <c r="M52" s="15" t="s">
        <v>85</v>
      </c>
      <c r="N52" s="16">
        <f t="shared" si="0"/>
        <v>2.083333333333337E-2</v>
      </c>
      <c r="O52" s="16">
        <v>0</v>
      </c>
      <c r="P52" s="16">
        <v>6.9444444444444397E-3</v>
      </c>
      <c r="Q52" s="16">
        <v>0.4201388888888889</v>
      </c>
      <c r="R52" s="16">
        <v>0</v>
      </c>
      <c r="S52" s="16">
        <v>0.4201388888888889</v>
      </c>
      <c r="T52" s="16">
        <f>VLOOKUP(E52,'[2]21-3-2026'!E$3:T$35,16,FALSE)</f>
        <v>1.7361111111111101E-2</v>
      </c>
      <c r="U52" s="16">
        <v>0.45</v>
      </c>
      <c r="V52" s="16">
        <f t="shared" si="2"/>
        <v>1.2500000000000011E-2</v>
      </c>
      <c r="W52" s="16">
        <v>3.125E-2</v>
      </c>
      <c r="X52" s="16">
        <v>0.45347222222222222</v>
      </c>
      <c r="Y52" s="16">
        <v>0.4861111111111111</v>
      </c>
      <c r="Z52" s="16">
        <f t="shared" si="3"/>
        <v>3.2638888888888884E-2</v>
      </c>
      <c r="AA52" s="16">
        <f t="shared" si="5"/>
        <v>1.388888888888884E-3</v>
      </c>
      <c r="AB52" s="16">
        <v>0.48958333333333331</v>
      </c>
      <c r="AC52" s="17"/>
      <c r="AD52" s="51"/>
    </row>
    <row r="53" spans="1:30" ht="19.5" thickBot="1" x14ac:dyDescent="0.3">
      <c r="A53" s="14">
        <v>18</v>
      </c>
      <c r="B53" s="15">
        <v>1538</v>
      </c>
      <c r="C53" s="15" t="str">
        <f>VLOOKUP(B53,داتا!$B$3:$D$107,2,FALSE)</f>
        <v>تلتين</v>
      </c>
      <c r="D53" s="34">
        <f>VLOOKUP(B53,داتا!$B$3:$D$107,3,FALSE)</f>
        <v>3.125E-2</v>
      </c>
      <c r="E53" s="15" t="s">
        <v>45</v>
      </c>
      <c r="F53" s="15" t="s">
        <v>147</v>
      </c>
      <c r="G53" s="16">
        <v>0.25</v>
      </c>
      <c r="H53" s="16">
        <f t="shared" si="11"/>
        <v>0.24305555555555555</v>
      </c>
      <c r="I53" s="16">
        <v>0</v>
      </c>
      <c r="J53" s="16">
        <v>0.39583333333333331</v>
      </c>
      <c r="K53" s="16">
        <v>0.41666666666666669</v>
      </c>
      <c r="L53" s="15" t="s">
        <v>85</v>
      </c>
      <c r="M53" s="15" t="s">
        <v>85</v>
      </c>
      <c r="N53" s="16">
        <f t="shared" ref="N53" si="14">K53-J53</f>
        <v>2.083333333333337E-2</v>
      </c>
      <c r="O53" s="16">
        <v>0</v>
      </c>
      <c r="P53" s="16">
        <v>6.9444444444444397E-3</v>
      </c>
      <c r="Q53" s="16">
        <v>0.4201388888888889</v>
      </c>
      <c r="R53" s="16">
        <v>0</v>
      </c>
      <c r="S53" s="16">
        <v>0.4201388888888889</v>
      </c>
      <c r="T53" s="16">
        <f>VLOOKUP(E53,'[2]21-3-2026'!E$3:T$35,16,FALSE)</f>
        <v>1.38888888888889E-2</v>
      </c>
      <c r="U53" s="16">
        <v>0.5</v>
      </c>
      <c r="V53" s="16">
        <v>0</v>
      </c>
      <c r="W53" s="16">
        <v>4.1666666666666664E-2</v>
      </c>
      <c r="X53" s="16">
        <v>0.50347222222222221</v>
      </c>
      <c r="Y53" s="16">
        <v>0.51944444444444449</v>
      </c>
      <c r="Z53" s="16">
        <f t="shared" si="3"/>
        <v>1.5972222222222276E-2</v>
      </c>
      <c r="AA53" s="16">
        <v>0</v>
      </c>
      <c r="AB53" s="16">
        <v>0.52083333333333337</v>
      </c>
      <c r="AC53" s="17"/>
      <c r="AD53" s="51"/>
    </row>
    <row r="54" spans="1:30" ht="19.5" thickBot="1" x14ac:dyDescent="0.3">
      <c r="A54" s="14">
        <v>19</v>
      </c>
      <c r="B54" s="15">
        <v>3492</v>
      </c>
      <c r="C54" s="15" t="str">
        <f>VLOOKUP(B54,داتا!$B$3:$D$107,2,FALSE)</f>
        <v>تلتين</v>
      </c>
      <c r="D54" s="34">
        <f>VLOOKUP(B54,داتا!$B$3:$D$107,3,FALSE)</f>
        <v>3.125E-2</v>
      </c>
      <c r="E54" s="15" t="s">
        <v>98</v>
      </c>
      <c r="F54" s="15" t="s">
        <v>159</v>
      </c>
      <c r="G54" s="16">
        <v>0.25</v>
      </c>
      <c r="H54" s="16">
        <v>0.25</v>
      </c>
      <c r="I54" s="16">
        <f t="shared" si="4"/>
        <v>0</v>
      </c>
      <c r="J54" s="16">
        <v>0.42708333333333331</v>
      </c>
      <c r="K54" s="16">
        <v>0.45833333333333331</v>
      </c>
      <c r="L54" s="15" t="s">
        <v>85</v>
      </c>
      <c r="M54" s="15" t="s">
        <v>85</v>
      </c>
      <c r="N54" s="16">
        <f t="shared" si="0"/>
        <v>3.125E-2</v>
      </c>
      <c r="O54" s="16">
        <f t="shared" si="6"/>
        <v>0</v>
      </c>
      <c r="P54" s="16">
        <v>6.9444444444444397E-3</v>
      </c>
      <c r="Q54" s="16">
        <v>0.46527777777777773</v>
      </c>
      <c r="R54" s="16">
        <f t="shared" si="1"/>
        <v>0</v>
      </c>
      <c r="S54" s="16">
        <v>0.46527777777777773</v>
      </c>
      <c r="T54" s="16">
        <f>VLOOKUP(E54,'[2]21-3-2026'!E$3:T$35,16,FALSE)</f>
        <v>4.8611111111111103E-3</v>
      </c>
      <c r="U54" s="16">
        <v>0.47222222222222227</v>
      </c>
      <c r="V54" s="16">
        <f t="shared" si="2"/>
        <v>2.083333333333437E-3</v>
      </c>
      <c r="W54" s="16">
        <v>3.125E-2</v>
      </c>
      <c r="X54" s="16">
        <v>0.47291666666666665</v>
      </c>
      <c r="Y54" s="16">
        <v>0.4861111111111111</v>
      </c>
      <c r="Z54" s="16">
        <f t="shared" si="3"/>
        <v>1.3194444444444453E-2</v>
      </c>
      <c r="AA54" s="16">
        <v>0</v>
      </c>
      <c r="AB54" s="16">
        <v>0.49444444444444446</v>
      </c>
      <c r="AC54" s="17"/>
      <c r="AD54" s="51"/>
    </row>
    <row r="55" spans="1:30" ht="19.5" thickBot="1" x14ac:dyDescent="0.3">
      <c r="A55" s="14">
        <v>20</v>
      </c>
      <c r="B55" s="15">
        <v>3492</v>
      </c>
      <c r="C55" s="15" t="str">
        <f>VLOOKUP(B55,داتا!$B$3:$D$107,2,FALSE)</f>
        <v>تلتين</v>
      </c>
      <c r="D55" s="34">
        <f>VLOOKUP(B55,داتا!$B$3:$D$107,3,FALSE)</f>
        <v>3.125E-2</v>
      </c>
      <c r="E55" s="15" t="s">
        <v>95</v>
      </c>
      <c r="F55" s="15" t="s">
        <v>159</v>
      </c>
      <c r="G55" s="16">
        <v>0.25</v>
      </c>
      <c r="H55" s="16">
        <v>0.25</v>
      </c>
      <c r="I55" s="16">
        <f t="shared" si="4"/>
        <v>0</v>
      </c>
      <c r="J55" s="16">
        <v>0.42708333333333331</v>
      </c>
      <c r="K55" s="16">
        <v>0.45833333333333331</v>
      </c>
      <c r="L55" s="15" t="s">
        <v>85</v>
      </c>
      <c r="M55" s="15" t="s">
        <v>85</v>
      </c>
      <c r="N55" s="16">
        <f t="shared" si="0"/>
        <v>3.125E-2</v>
      </c>
      <c r="O55" s="16">
        <f t="shared" si="6"/>
        <v>0</v>
      </c>
      <c r="P55" s="16">
        <v>6.9444444444444397E-3</v>
      </c>
      <c r="Q55" s="16">
        <v>0.46527777777777773</v>
      </c>
      <c r="R55" s="16">
        <f t="shared" si="1"/>
        <v>0</v>
      </c>
      <c r="S55" s="16">
        <v>0.46527777777777773</v>
      </c>
      <c r="T55" s="16">
        <f>VLOOKUP(E55,'[2]21-3-2026'!E$3:T$35,16,FALSE)</f>
        <v>1.0416666666666701E-2</v>
      </c>
      <c r="U55" s="16">
        <v>0.50347222222222221</v>
      </c>
      <c r="V55" s="16">
        <v>0</v>
      </c>
      <c r="W55" s="16">
        <v>4.1666666666666664E-2</v>
      </c>
      <c r="X55" s="16">
        <v>0.50694444444444442</v>
      </c>
      <c r="Y55" s="16">
        <v>0.52777777777777779</v>
      </c>
      <c r="Z55" s="16">
        <f t="shared" si="3"/>
        <v>2.083333333333337E-2</v>
      </c>
      <c r="AA55" s="16">
        <v>0</v>
      </c>
      <c r="AB55" s="16">
        <v>0.53125</v>
      </c>
      <c r="AC55" s="17"/>
      <c r="AD55" s="51"/>
    </row>
    <row r="56" spans="1:30" ht="19.5" thickBot="1" x14ac:dyDescent="0.3">
      <c r="A56" s="14">
        <v>21</v>
      </c>
      <c r="B56" s="15">
        <v>1454</v>
      </c>
      <c r="C56" s="15" t="str">
        <f>VLOOKUP(B56,داتا!$B$3:$D$107,2,FALSE)</f>
        <v>تلتين</v>
      </c>
      <c r="D56" s="34">
        <f>VLOOKUP(B56,داتا!$B$3:$D$107,3,FALSE)</f>
        <v>3.125E-2</v>
      </c>
      <c r="E56" s="15" t="s">
        <v>51</v>
      </c>
      <c r="F56" s="15" t="s">
        <v>43</v>
      </c>
      <c r="G56" s="16">
        <v>0.25</v>
      </c>
      <c r="H56" s="16">
        <f t="shared" si="11"/>
        <v>0.26319444444444445</v>
      </c>
      <c r="I56" s="16">
        <f t="shared" si="4"/>
        <v>1.3194444444444453E-2</v>
      </c>
      <c r="J56" s="16">
        <v>0.47916666666666669</v>
      </c>
      <c r="K56" s="16">
        <v>0.5</v>
      </c>
      <c r="L56" s="15" t="s">
        <v>85</v>
      </c>
      <c r="M56" s="15" t="s">
        <v>85</v>
      </c>
      <c r="N56" s="16">
        <f t="shared" si="0"/>
        <v>2.0833333333333315E-2</v>
      </c>
      <c r="O56" s="16">
        <v>0</v>
      </c>
      <c r="P56" s="16">
        <v>6.9444444444444397E-3</v>
      </c>
      <c r="Q56" s="16">
        <v>0.50347222222222221</v>
      </c>
      <c r="R56" s="16">
        <v>0</v>
      </c>
      <c r="S56" s="16">
        <v>0.50347222222222221</v>
      </c>
      <c r="T56" s="16">
        <f>VLOOKUP(E56,'[2]21-3-2026'!E$3:T$35,16,FALSE)</f>
        <v>2.4305555555555601E-2</v>
      </c>
      <c r="U56" s="16">
        <v>0.52430555555555558</v>
      </c>
      <c r="V56" s="16">
        <v>0</v>
      </c>
      <c r="W56" s="16">
        <v>3.125E-2</v>
      </c>
      <c r="X56" s="16">
        <v>0.52777777777777779</v>
      </c>
      <c r="Y56" s="16">
        <v>0.54513888888888895</v>
      </c>
      <c r="Z56" s="16">
        <f t="shared" si="3"/>
        <v>1.736111111111116E-2</v>
      </c>
      <c r="AA56" s="16">
        <v>0</v>
      </c>
      <c r="AB56" s="16">
        <v>0.54861111111111105</v>
      </c>
      <c r="AC56" s="17"/>
      <c r="AD56" s="51"/>
    </row>
    <row r="57" spans="1:30" ht="19.5" thickBot="1" x14ac:dyDescent="0.3">
      <c r="A57" s="14">
        <v>22</v>
      </c>
      <c r="B57" s="15">
        <v>1454</v>
      </c>
      <c r="C57" s="15" t="str">
        <f>VLOOKUP(B57,داتا!$B$3:$D$107,2,FALSE)</f>
        <v>تلتين</v>
      </c>
      <c r="D57" s="34">
        <f>VLOOKUP(B57,داتا!$B$3:$D$107,3,FALSE)</f>
        <v>3.125E-2</v>
      </c>
      <c r="E57" s="15" t="s">
        <v>54</v>
      </c>
      <c r="F57" s="15" t="s">
        <v>43</v>
      </c>
      <c r="G57" s="16">
        <v>0.25</v>
      </c>
      <c r="H57" s="16">
        <f t="shared" si="11"/>
        <v>0.26319444444444445</v>
      </c>
      <c r="I57" s="16">
        <f t="shared" si="4"/>
        <v>1.3194444444444453E-2</v>
      </c>
      <c r="J57" s="16">
        <v>0.47916666666666669</v>
      </c>
      <c r="K57" s="16">
        <v>0.5</v>
      </c>
      <c r="L57" s="15" t="s">
        <v>85</v>
      </c>
      <c r="M57" s="15" t="s">
        <v>85</v>
      </c>
      <c r="N57" s="16">
        <f t="shared" si="0"/>
        <v>2.0833333333333315E-2</v>
      </c>
      <c r="O57" s="16">
        <v>0</v>
      </c>
      <c r="P57" s="16">
        <v>6.9444444444444397E-3</v>
      </c>
      <c r="Q57" s="16">
        <v>0.50347222222222221</v>
      </c>
      <c r="R57" s="16">
        <v>0</v>
      </c>
      <c r="S57" s="16">
        <v>0.50347222222222221</v>
      </c>
      <c r="T57" s="16">
        <f>VLOOKUP(E57,'[2]21-3-2026'!E$3:T$35,16,FALSE)</f>
        <v>1.0416666666666701E-2</v>
      </c>
      <c r="U57" s="16">
        <v>0.55555555555555558</v>
      </c>
      <c r="V57" s="16">
        <v>0</v>
      </c>
      <c r="W57" s="16">
        <v>4.1666666666666664E-2</v>
      </c>
      <c r="X57" s="16">
        <v>0.55902777777777779</v>
      </c>
      <c r="Y57" s="16">
        <v>0.57986111111111105</v>
      </c>
      <c r="Z57" s="16">
        <f t="shared" si="3"/>
        <v>2.0833333333333259E-2</v>
      </c>
      <c r="AA57" s="16">
        <v>0</v>
      </c>
      <c r="AB57" s="16">
        <v>0.58333333333333337</v>
      </c>
      <c r="AC57" s="17"/>
      <c r="AD57" s="51"/>
    </row>
    <row r="58" spans="1:30" ht="19.5" thickBot="1" x14ac:dyDescent="0.3">
      <c r="A58" s="14">
        <v>23</v>
      </c>
      <c r="B58" s="15">
        <v>2695</v>
      </c>
      <c r="C58" s="15" t="str">
        <f>VLOOKUP(B58,داتا!$B$3:$D$107,2,FALSE)</f>
        <v>تلتين</v>
      </c>
      <c r="D58" s="34">
        <f>VLOOKUP(B58,داتا!$B$3:$D$107,3,FALSE)</f>
        <v>3.125E-2</v>
      </c>
      <c r="E58" s="15" t="s">
        <v>83</v>
      </c>
      <c r="F58" s="15" t="s">
        <v>150</v>
      </c>
      <c r="G58" s="16">
        <v>0.25</v>
      </c>
      <c r="H58" s="16">
        <f t="shared" si="11"/>
        <v>0.25347222222222221</v>
      </c>
      <c r="I58" s="16">
        <f t="shared" si="4"/>
        <v>3.4722222222222099E-3</v>
      </c>
      <c r="J58" s="16">
        <v>0.39583333333333331</v>
      </c>
      <c r="K58" s="16">
        <v>0.42708333333333331</v>
      </c>
      <c r="L58" s="16" t="s">
        <v>158</v>
      </c>
      <c r="M58" s="16" t="s">
        <v>158</v>
      </c>
      <c r="N58" s="16">
        <f t="shared" si="0"/>
        <v>3.125E-2</v>
      </c>
      <c r="O58" s="16">
        <f t="shared" si="6"/>
        <v>0</v>
      </c>
      <c r="P58" s="16">
        <v>6.9444444444444397E-3</v>
      </c>
      <c r="Q58" s="16">
        <v>0.42708333333333331</v>
      </c>
      <c r="R58" s="16">
        <v>0</v>
      </c>
      <c r="S58" s="16">
        <v>0.42708333333333331</v>
      </c>
      <c r="T58" s="16">
        <f>VLOOKUP(E58,'[2]21-3-2026'!E$3:T$35,16,FALSE)</f>
        <v>1.38888888888889E-2</v>
      </c>
      <c r="U58" s="16">
        <v>0.44444444444444442</v>
      </c>
      <c r="V58" s="16">
        <f t="shared" si="2"/>
        <v>3.4722222222222099E-3</v>
      </c>
      <c r="W58" s="16">
        <v>3.125E-2</v>
      </c>
      <c r="X58" s="16">
        <v>0.44791666666666669</v>
      </c>
      <c r="Y58" s="16">
        <v>0.4680555555555555</v>
      </c>
      <c r="Z58" s="16">
        <f t="shared" si="3"/>
        <v>2.0138888888888817E-2</v>
      </c>
      <c r="AA58" s="16">
        <v>0</v>
      </c>
      <c r="AB58" s="16">
        <v>0.46875</v>
      </c>
      <c r="AC58" s="17"/>
      <c r="AD58" s="51"/>
    </row>
    <row r="59" spans="1:30" ht="19.5" thickBot="1" x14ac:dyDescent="0.3">
      <c r="A59" s="14">
        <v>24</v>
      </c>
      <c r="B59" s="15">
        <v>2695</v>
      </c>
      <c r="C59" s="15" t="str">
        <f>VLOOKUP(B59,داتا!$B$3:$D$107,2,FALSE)</f>
        <v>تلتين</v>
      </c>
      <c r="D59" s="34">
        <f>VLOOKUP(B59,داتا!$B$3:$D$107,3,FALSE)</f>
        <v>3.125E-2</v>
      </c>
      <c r="E59" s="16" t="s">
        <v>77</v>
      </c>
      <c r="F59" s="15" t="s">
        <v>150</v>
      </c>
      <c r="G59" s="16">
        <v>0.25</v>
      </c>
      <c r="H59" s="16">
        <f t="shared" si="11"/>
        <v>0.25347222222222221</v>
      </c>
      <c r="I59" s="16">
        <f t="shared" si="4"/>
        <v>3.4722222222222099E-3</v>
      </c>
      <c r="J59" s="16">
        <v>0.39583333333333331</v>
      </c>
      <c r="K59" s="16">
        <v>0.42708333333333331</v>
      </c>
      <c r="L59" s="16" t="s">
        <v>158</v>
      </c>
      <c r="M59" s="16" t="s">
        <v>158</v>
      </c>
      <c r="N59" s="16">
        <f t="shared" si="0"/>
        <v>3.125E-2</v>
      </c>
      <c r="O59" s="16">
        <f t="shared" si="6"/>
        <v>0</v>
      </c>
      <c r="P59" s="16">
        <v>6.9444444444444397E-3</v>
      </c>
      <c r="Q59" s="16">
        <v>0.42708333333333331</v>
      </c>
      <c r="R59" s="16">
        <v>0</v>
      </c>
      <c r="S59" s="16">
        <v>0.42708333333333331</v>
      </c>
      <c r="T59" s="16">
        <f>VLOOKUP(E59,'[2]21-3-2026'!E$3:T$35,16,FALSE)</f>
        <v>1.38888888888889E-2</v>
      </c>
      <c r="U59" s="16">
        <v>0.47569444444444442</v>
      </c>
      <c r="V59" s="16">
        <v>0</v>
      </c>
      <c r="W59" s="16">
        <v>4.1666666666666664E-2</v>
      </c>
      <c r="X59" s="16">
        <v>0.47916666666666669</v>
      </c>
      <c r="Y59" s="16">
        <v>0.49652777777777773</v>
      </c>
      <c r="Z59" s="16">
        <f t="shared" si="3"/>
        <v>1.7361111111111049E-2</v>
      </c>
      <c r="AA59" s="16">
        <v>0</v>
      </c>
      <c r="AB59" s="16">
        <v>0.5</v>
      </c>
      <c r="AC59" s="17"/>
      <c r="AD59" s="51"/>
    </row>
    <row r="60" spans="1:30" ht="19.5" thickBot="1" x14ac:dyDescent="0.3">
      <c r="A60" s="14">
        <v>25</v>
      </c>
      <c r="B60" s="15">
        <v>2694</v>
      </c>
      <c r="C60" s="15" t="str">
        <f>VLOOKUP(B60,داتا!$B$3:$D$107,2,FALSE)</f>
        <v>تلتين</v>
      </c>
      <c r="D60" s="34">
        <f>VLOOKUP(B60,داتا!$B$3:$D$107,3,FALSE)</f>
        <v>3.125E-2</v>
      </c>
      <c r="E60" s="15" t="s">
        <v>81</v>
      </c>
      <c r="F60" s="15" t="s">
        <v>151</v>
      </c>
      <c r="G60" s="16">
        <v>0.25</v>
      </c>
      <c r="H60" s="16">
        <f t="shared" si="11"/>
        <v>0.2638888888888889</v>
      </c>
      <c r="I60" s="16">
        <f t="shared" si="4"/>
        <v>1.3888888888888895E-2</v>
      </c>
      <c r="J60" s="16">
        <v>0.4375</v>
      </c>
      <c r="K60" s="16">
        <v>0.48958333333333331</v>
      </c>
      <c r="L60" s="16" t="s">
        <v>158</v>
      </c>
      <c r="M60" s="16" t="s">
        <v>158</v>
      </c>
      <c r="N60" s="16">
        <f t="shared" si="0"/>
        <v>5.2083333333333315E-2</v>
      </c>
      <c r="O60" s="16">
        <f t="shared" si="6"/>
        <v>2.0833333333333315E-2</v>
      </c>
      <c r="P60" s="16">
        <v>6.9444444444444397E-3</v>
      </c>
      <c r="Q60" s="16">
        <v>0.49305555555555558</v>
      </c>
      <c r="R60" s="16">
        <v>0</v>
      </c>
      <c r="S60" s="16">
        <v>0.49305555555555558</v>
      </c>
      <c r="T60" s="16">
        <f>VLOOKUP(E60,'[2]21-3-2026'!E$3:T$35,16,FALSE)</f>
        <v>2.7777777777777801E-2</v>
      </c>
      <c r="U60" s="16">
        <v>0.52708333333333335</v>
      </c>
      <c r="V60" s="16">
        <f t="shared" si="2"/>
        <v>6.2499999999999778E-3</v>
      </c>
      <c r="W60" s="16">
        <v>4.1666666666666664E-2</v>
      </c>
      <c r="X60" s="16">
        <v>0.53125</v>
      </c>
      <c r="Y60" s="16">
        <v>0.5625</v>
      </c>
      <c r="Z60" s="16">
        <f t="shared" si="3"/>
        <v>3.125E-2</v>
      </c>
      <c r="AA60" s="16">
        <v>0</v>
      </c>
      <c r="AB60" s="16">
        <v>0.56597222222222221</v>
      </c>
      <c r="AC60" s="17"/>
      <c r="AD60" s="51"/>
    </row>
    <row r="61" spans="1:30" ht="19.5" thickBot="1" x14ac:dyDescent="0.3">
      <c r="A61" s="14">
        <v>26</v>
      </c>
      <c r="B61" s="15">
        <v>2474</v>
      </c>
      <c r="C61" s="15" t="str">
        <f>VLOOKUP(B61,داتا!$B$3:$D$107,2,FALSE)</f>
        <v>دبابة</v>
      </c>
      <c r="D61" s="34">
        <f>VLOOKUP(B61,داتا!$B$3:$D$107,3,FALSE)</f>
        <v>2.0833333333333332E-2</v>
      </c>
      <c r="E61" s="15" t="s">
        <v>86</v>
      </c>
      <c r="F61" s="15" t="s">
        <v>149</v>
      </c>
      <c r="G61" s="16">
        <v>0.25</v>
      </c>
      <c r="H61" s="16">
        <f t="shared" si="11"/>
        <v>0.25347222222222221</v>
      </c>
      <c r="I61" s="16">
        <f t="shared" si="4"/>
        <v>3.4722222222222099E-3</v>
      </c>
      <c r="J61" s="16">
        <v>0.49305555555555558</v>
      </c>
      <c r="K61" s="16">
        <v>0.51041666666666663</v>
      </c>
      <c r="L61" s="16" t="s">
        <v>158</v>
      </c>
      <c r="M61" s="16" t="s">
        <v>158</v>
      </c>
      <c r="N61" s="16">
        <f t="shared" si="0"/>
        <v>1.7361111111111049E-2</v>
      </c>
      <c r="O61" s="16">
        <v>0</v>
      </c>
      <c r="P61" s="16">
        <v>6.9444444444444397E-3</v>
      </c>
      <c r="Q61" s="16">
        <v>0.51388888888888895</v>
      </c>
      <c r="R61" s="16">
        <v>0</v>
      </c>
      <c r="S61" s="16">
        <v>0.51388888888888895</v>
      </c>
      <c r="T61" s="16">
        <f>VLOOKUP(E61,'[2]21-3-2026'!E$3:T$35,16,FALSE)</f>
        <v>3.4722222222222199E-3</v>
      </c>
      <c r="U61" s="16">
        <v>0.51736111111111105</v>
      </c>
      <c r="V61" s="16">
        <f t="shared" si="2"/>
        <v>0</v>
      </c>
      <c r="W61" s="16">
        <v>3.125E-2</v>
      </c>
      <c r="X61" s="16">
        <v>0.52083333333333337</v>
      </c>
      <c r="Y61" s="16">
        <v>0.54166666666666663</v>
      </c>
      <c r="Z61" s="16">
        <f t="shared" si="3"/>
        <v>2.0833333333333259E-2</v>
      </c>
      <c r="AA61" s="16">
        <v>0</v>
      </c>
      <c r="AB61" s="16">
        <v>0.54513888888888895</v>
      </c>
      <c r="AC61" s="17"/>
      <c r="AD61" s="51"/>
    </row>
    <row r="62" spans="1:30" ht="19.5" thickBot="1" x14ac:dyDescent="0.3">
      <c r="A62" s="14">
        <v>27</v>
      </c>
      <c r="B62" s="15">
        <v>4987</v>
      </c>
      <c r="C62" s="15" t="str">
        <f>VLOOKUP(B62,داتا!$B$3:$D$107,2,FALSE)</f>
        <v>تلتين</v>
      </c>
      <c r="D62" s="34">
        <f>VLOOKUP(B62,داتا!$B$3:$D$107,3,FALSE)</f>
        <v>3.125E-2</v>
      </c>
      <c r="E62" s="15" t="s">
        <v>69</v>
      </c>
      <c r="F62" s="15" t="s">
        <v>146</v>
      </c>
      <c r="G62" s="16">
        <v>0.25</v>
      </c>
      <c r="H62" s="16">
        <f t="shared" si="11"/>
        <v>0.23958333333333334</v>
      </c>
      <c r="I62" s="16">
        <v>0</v>
      </c>
      <c r="J62" s="16">
        <v>0.38541666666666669</v>
      </c>
      <c r="K62" s="16">
        <v>0.41666666666666669</v>
      </c>
      <c r="L62" s="16" t="s">
        <v>111</v>
      </c>
      <c r="M62" s="16" t="s">
        <v>111</v>
      </c>
      <c r="N62" s="16">
        <f t="shared" si="0"/>
        <v>3.125E-2</v>
      </c>
      <c r="O62" s="16">
        <f t="shared" si="6"/>
        <v>0</v>
      </c>
      <c r="P62" s="16">
        <v>6.9444444444444397E-3</v>
      </c>
      <c r="Q62" s="16">
        <v>0.4201388888888889</v>
      </c>
      <c r="R62" s="16">
        <v>0</v>
      </c>
      <c r="S62" s="16">
        <v>0.4201388888888889</v>
      </c>
      <c r="T62" s="16">
        <f>VLOOKUP(E62,'[2]21-3-2026'!E$3:T$35,16,FALSE)</f>
        <v>1.38888888888889E-2</v>
      </c>
      <c r="U62" s="16">
        <v>0.4375</v>
      </c>
      <c r="V62" s="16">
        <f t="shared" si="2"/>
        <v>3.4722222222222099E-3</v>
      </c>
      <c r="W62" s="16">
        <v>3.125E-2</v>
      </c>
      <c r="X62" s="16">
        <v>0.44097222222222227</v>
      </c>
      <c r="Y62" s="16">
        <v>0.4465277777777778</v>
      </c>
      <c r="Z62" s="16">
        <f t="shared" si="3"/>
        <v>5.5555555555555358E-3</v>
      </c>
      <c r="AA62" s="16">
        <v>0</v>
      </c>
      <c r="AB62" s="16">
        <v>0.44791666666666669</v>
      </c>
      <c r="AC62" s="17"/>
      <c r="AD62" s="51"/>
    </row>
    <row r="63" spans="1:30" ht="19.5" thickBot="1" x14ac:dyDescent="0.3">
      <c r="A63" s="14">
        <v>28</v>
      </c>
      <c r="B63" s="15">
        <v>4987</v>
      </c>
      <c r="C63" s="15" t="str">
        <f>VLOOKUP(B63,داتا!$B$3:$D$107,2,FALSE)</f>
        <v>تلتين</v>
      </c>
      <c r="D63" s="34">
        <f>VLOOKUP(B63,داتا!$B$3:$D$107,3,FALSE)</f>
        <v>3.125E-2</v>
      </c>
      <c r="E63" s="15" t="s">
        <v>67</v>
      </c>
      <c r="F63" s="15" t="s">
        <v>146</v>
      </c>
      <c r="G63" s="16">
        <v>0.25</v>
      </c>
      <c r="H63" s="16">
        <f t="shared" si="11"/>
        <v>0.23958333333333334</v>
      </c>
      <c r="I63" s="16">
        <v>0</v>
      </c>
      <c r="J63" s="16">
        <v>0.38541666666666669</v>
      </c>
      <c r="K63" s="16">
        <v>0.41666666666666669</v>
      </c>
      <c r="L63" s="16" t="s">
        <v>111</v>
      </c>
      <c r="M63" s="16" t="s">
        <v>111</v>
      </c>
      <c r="N63" s="16">
        <f t="shared" si="0"/>
        <v>3.125E-2</v>
      </c>
      <c r="O63" s="16">
        <f t="shared" si="6"/>
        <v>0</v>
      </c>
      <c r="P63" s="16">
        <v>6.9444444444444397E-3</v>
      </c>
      <c r="Q63" s="16">
        <v>0.4201388888888889</v>
      </c>
      <c r="R63" s="16">
        <v>0</v>
      </c>
      <c r="S63" s="16">
        <v>0.4201388888888889</v>
      </c>
      <c r="T63" s="16">
        <v>1.0416666666666666E-2</v>
      </c>
      <c r="U63" s="16">
        <v>0.4548611111111111</v>
      </c>
      <c r="V63" s="16">
        <v>0</v>
      </c>
      <c r="W63" s="16">
        <v>4.1666666666666664E-2</v>
      </c>
      <c r="X63" s="16">
        <v>0.45833333333333331</v>
      </c>
      <c r="Y63" s="16">
        <v>0.47916666666666669</v>
      </c>
      <c r="Z63" s="16">
        <f t="shared" si="3"/>
        <v>2.083333333333337E-2</v>
      </c>
      <c r="AA63" s="16">
        <v>0</v>
      </c>
      <c r="AB63" s="16">
        <v>0.4826388888888889</v>
      </c>
      <c r="AC63" s="17"/>
      <c r="AD63" s="51"/>
    </row>
    <row r="64" spans="1:30" ht="19.5" thickBot="1" x14ac:dyDescent="0.3">
      <c r="A64" s="14">
        <v>29</v>
      </c>
      <c r="B64" s="15">
        <v>1537</v>
      </c>
      <c r="C64" s="15" t="str">
        <f>VLOOKUP(B64,داتا!$B$3:$D$107,2,FALSE)</f>
        <v>تلتين</v>
      </c>
      <c r="D64" s="34">
        <f>VLOOKUP(B64,داتا!$B$3:$D$107,3,FALSE)</f>
        <v>3.125E-2</v>
      </c>
      <c r="E64" s="15" t="s">
        <v>70</v>
      </c>
      <c r="F64" s="15" t="s">
        <v>154</v>
      </c>
      <c r="G64" s="16">
        <v>0.25</v>
      </c>
      <c r="H64" s="16">
        <f t="shared" si="11"/>
        <v>0.25694444444444448</v>
      </c>
      <c r="I64" s="16">
        <f t="shared" si="4"/>
        <v>6.9444444444444753E-3</v>
      </c>
      <c r="J64" s="16">
        <v>0.4236111111111111</v>
      </c>
      <c r="K64" s="16">
        <v>0.4513888888888889</v>
      </c>
      <c r="L64" s="16" t="s">
        <v>111</v>
      </c>
      <c r="M64" s="16" t="s">
        <v>111</v>
      </c>
      <c r="N64" s="16">
        <f t="shared" si="0"/>
        <v>2.777777777777779E-2</v>
      </c>
      <c r="O64" s="16">
        <v>0</v>
      </c>
      <c r="P64" s="16">
        <v>6.9444444444444397E-3</v>
      </c>
      <c r="Q64" s="16">
        <v>0.45833333333333331</v>
      </c>
      <c r="R64" s="16">
        <f t="shared" si="1"/>
        <v>0</v>
      </c>
      <c r="S64" s="16">
        <v>0.45833333333333331</v>
      </c>
      <c r="T64" s="16">
        <f>VLOOKUP(E64,'[2]21-3-2026'!E$3:T$35,16,FALSE)</f>
        <v>1.0416666666666701E-2</v>
      </c>
      <c r="U64" s="16">
        <v>0.47222222222222227</v>
      </c>
      <c r="V64" s="16">
        <f t="shared" si="2"/>
        <v>3.4722222222222654E-3</v>
      </c>
      <c r="W64" s="16">
        <v>3.125E-2</v>
      </c>
      <c r="X64" s="16">
        <v>0.47569444444444442</v>
      </c>
      <c r="Y64" s="16">
        <v>0.48749999999999999</v>
      </c>
      <c r="Z64" s="16">
        <f t="shared" si="3"/>
        <v>1.1805555555555569E-2</v>
      </c>
      <c r="AA64" s="16">
        <v>0</v>
      </c>
      <c r="AB64" s="16">
        <v>0.48958333333333331</v>
      </c>
      <c r="AC64" s="17"/>
      <c r="AD64" s="51"/>
    </row>
    <row r="65" spans="1:30" ht="19.5" thickBot="1" x14ac:dyDescent="0.3">
      <c r="A65" s="14">
        <v>30</v>
      </c>
      <c r="B65" s="15">
        <v>1537</v>
      </c>
      <c r="C65" s="15" t="str">
        <f>VLOOKUP(B65,داتا!$B$3:$D$107,2,FALSE)</f>
        <v>تلتين</v>
      </c>
      <c r="D65" s="34">
        <f>VLOOKUP(B65,داتا!$B$3:$D$107,3,FALSE)</f>
        <v>3.125E-2</v>
      </c>
      <c r="E65" s="15" t="s">
        <v>79</v>
      </c>
      <c r="F65" s="15" t="s">
        <v>154</v>
      </c>
      <c r="G65" s="16">
        <v>0.25</v>
      </c>
      <c r="H65" s="16">
        <f t="shared" si="11"/>
        <v>0.25694444444444448</v>
      </c>
      <c r="I65" s="16">
        <f t="shared" si="4"/>
        <v>6.9444444444444753E-3</v>
      </c>
      <c r="J65" s="16">
        <v>0.4236111111111111</v>
      </c>
      <c r="K65" s="16">
        <v>0.4513888888888889</v>
      </c>
      <c r="L65" s="16" t="s">
        <v>111</v>
      </c>
      <c r="M65" s="16" t="s">
        <v>111</v>
      </c>
      <c r="N65" s="16">
        <f t="shared" si="0"/>
        <v>2.777777777777779E-2</v>
      </c>
      <c r="O65" s="16">
        <v>0</v>
      </c>
      <c r="P65" s="16">
        <v>6.9444444444444397E-3</v>
      </c>
      <c r="Q65" s="16">
        <v>0.45833333333333331</v>
      </c>
      <c r="R65" s="16">
        <f t="shared" si="1"/>
        <v>0</v>
      </c>
      <c r="S65" s="16">
        <v>0.45833333333333331</v>
      </c>
      <c r="T65" s="16">
        <f>VLOOKUP(E65,'[2]21-3-2026'!E$3:T$35,16,FALSE)</f>
        <v>2.0833333333333301E-2</v>
      </c>
      <c r="U65" s="16">
        <v>0.50416666666666665</v>
      </c>
      <c r="V65" s="16">
        <v>4.1666666666666666E-3</v>
      </c>
      <c r="W65" s="16">
        <v>4.1666666666666664E-2</v>
      </c>
      <c r="X65" s="16">
        <v>0.5083333333333333</v>
      </c>
      <c r="Y65" s="16">
        <v>0.52569444444444446</v>
      </c>
      <c r="Z65" s="16">
        <f t="shared" si="3"/>
        <v>1.736111111111116E-2</v>
      </c>
      <c r="AA65" s="16">
        <v>0</v>
      </c>
      <c r="AB65" s="16">
        <v>0.53055555555555556</v>
      </c>
      <c r="AC65" s="17"/>
      <c r="AD65" s="51"/>
    </row>
    <row r="66" spans="1:30" ht="20.25" customHeight="1" thickBot="1" x14ac:dyDescent="0.3">
      <c r="A66" s="14">
        <v>31</v>
      </c>
      <c r="B66" s="15">
        <v>5898</v>
      </c>
      <c r="C66" s="15" t="str">
        <f>VLOOKUP(B66,داتا!$B$3:$D$107,2,FALSE)</f>
        <v>تلتين</v>
      </c>
      <c r="D66" s="34">
        <f>VLOOKUP(B66,داتا!$B$3:$D$107,3,FALSE)</f>
        <v>3.125E-2</v>
      </c>
      <c r="E66" s="15" t="s">
        <v>46</v>
      </c>
      <c r="F66" s="15" t="s">
        <v>66</v>
      </c>
      <c r="G66" s="16">
        <v>0.25</v>
      </c>
      <c r="H66" s="16">
        <f t="shared" si="11"/>
        <v>0.23958333333333334</v>
      </c>
      <c r="I66" s="16">
        <v>0</v>
      </c>
      <c r="J66" s="16">
        <v>0.47222222222222227</v>
      </c>
      <c r="K66" s="16">
        <v>0.52083333333333337</v>
      </c>
      <c r="L66" s="16" t="s">
        <v>111</v>
      </c>
      <c r="M66" s="16" t="s">
        <v>111</v>
      </c>
      <c r="N66" s="16">
        <f t="shared" si="0"/>
        <v>4.8611111111111105E-2</v>
      </c>
      <c r="O66" s="16">
        <f t="shared" si="6"/>
        <v>1.7361111111111105E-2</v>
      </c>
      <c r="P66" s="16">
        <v>6.9444444444444397E-3</v>
      </c>
      <c r="Q66" s="16">
        <v>0.52083333333333337</v>
      </c>
      <c r="R66" s="16">
        <v>0</v>
      </c>
      <c r="S66" s="16">
        <v>0.52083333333333337</v>
      </c>
      <c r="T66" s="16">
        <f>VLOOKUP(E66,'[2]21-3-2026'!E$3:T$35,16,FALSE)</f>
        <v>3.4722222222222203E-2</v>
      </c>
      <c r="U66" s="16">
        <v>0.55555555555555558</v>
      </c>
      <c r="V66" s="16">
        <f t="shared" si="2"/>
        <v>0</v>
      </c>
      <c r="W66" s="16">
        <v>3.125E-2</v>
      </c>
      <c r="X66" s="16">
        <v>0.55902777777777779</v>
      </c>
      <c r="Y66" s="16">
        <v>0.58333333333333337</v>
      </c>
      <c r="Z66" s="16">
        <f t="shared" si="3"/>
        <v>2.430555555555558E-2</v>
      </c>
      <c r="AA66" s="16">
        <v>0</v>
      </c>
      <c r="AB66" s="16">
        <v>0.59027777777777779</v>
      </c>
      <c r="AC66" s="19"/>
      <c r="AD66" s="51"/>
    </row>
    <row r="67" spans="1:30" ht="19.5" customHeight="1" thickBot="1" x14ac:dyDescent="0.3">
      <c r="A67" s="20">
        <v>32</v>
      </c>
      <c r="B67" s="21">
        <v>5898</v>
      </c>
      <c r="C67" s="21" t="str">
        <f>VLOOKUP(B67,داتا!$B$3:$D$107,2,FALSE)</f>
        <v>تلتين</v>
      </c>
      <c r="D67" s="35">
        <f>VLOOKUP(B67,داتا!$B$3:$D$107,3,FALSE)</f>
        <v>3.125E-2</v>
      </c>
      <c r="E67" s="21" t="s">
        <v>49</v>
      </c>
      <c r="F67" s="21" t="s">
        <v>66</v>
      </c>
      <c r="G67" s="22">
        <v>0.25</v>
      </c>
      <c r="H67" s="22">
        <f t="shared" si="11"/>
        <v>0.23958333333333334</v>
      </c>
      <c r="I67" s="22">
        <v>0</v>
      </c>
      <c r="J67" s="22">
        <v>0.47222222222222227</v>
      </c>
      <c r="K67" s="22">
        <v>0.52083333333333337</v>
      </c>
      <c r="L67" s="22" t="s">
        <v>111</v>
      </c>
      <c r="M67" s="22" t="s">
        <v>111</v>
      </c>
      <c r="N67" s="22">
        <f t="shared" si="0"/>
        <v>4.8611111111111105E-2</v>
      </c>
      <c r="O67" s="22">
        <f t="shared" si="6"/>
        <v>1.7361111111111105E-2</v>
      </c>
      <c r="P67" s="22">
        <v>6.9444444444444397E-3</v>
      </c>
      <c r="Q67" s="22">
        <v>0.52083333333333337</v>
      </c>
      <c r="R67" s="22">
        <v>0</v>
      </c>
      <c r="S67" s="22">
        <v>0.52083333333333337</v>
      </c>
      <c r="T67" s="22">
        <v>1.0416666666666666E-2</v>
      </c>
      <c r="U67" s="22">
        <v>0.60763888888888895</v>
      </c>
      <c r="V67" s="22">
        <v>6.9444444444444441E-3</v>
      </c>
      <c r="W67" s="22">
        <v>4.1666666666666664E-2</v>
      </c>
      <c r="X67" s="22">
        <v>0.61111111111111105</v>
      </c>
      <c r="Y67" s="22">
        <v>0.63541666666666663</v>
      </c>
      <c r="Z67" s="22">
        <f t="shared" si="3"/>
        <v>2.430555555555558E-2</v>
      </c>
      <c r="AA67" s="22">
        <v>0</v>
      </c>
      <c r="AB67" s="22">
        <v>0.63888888888888895</v>
      </c>
      <c r="AC67" s="23"/>
      <c r="AD67" s="52"/>
    </row>
    <row r="68" spans="1:30" ht="20.25" thickTop="1" thickBot="1" x14ac:dyDescent="0.3">
      <c r="A68" s="10">
        <v>1</v>
      </c>
      <c r="B68" s="11">
        <v>2917</v>
      </c>
      <c r="C68" s="11" t="str">
        <f>VLOOKUP(B68,داتا!$B$3:$D$107,2,FALSE)</f>
        <v>تلتين</v>
      </c>
      <c r="D68" s="33">
        <f>VLOOKUP(B68,داتا!$B$3:$D$107,3,FALSE)</f>
        <v>3.125E-2</v>
      </c>
      <c r="E68" s="11" t="s">
        <v>38</v>
      </c>
      <c r="F68" s="11" t="s">
        <v>160</v>
      </c>
      <c r="G68" s="12">
        <v>8.3333333333333329E-2</v>
      </c>
      <c r="H68" s="12">
        <v>7.6388888888888895E-2</v>
      </c>
      <c r="I68" s="12">
        <v>0</v>
      </c>
      <c r="J68" s="12">
        <v>0.55902777777777779</v>
      </c>
      <c r="K68" s="12">
        <v>0.59027777777777779</v>
      </c>
      <c r="L68" s="12" t="s">
        <v>85</v>
      </c>
      <c r="M68" s="12" t="s">
        <v>85</v>
      </c>
      <c r="N68" s="12">
        <f t="shared" ref="N68:N90" si="15">K68-J68</f>
        <v>3.125E-2</v>
      </c>
      <c r="O68" s="12">
        <f t="shared" ref="O68:O85" si="16">N68-D68</f>
        <v>0</v>
      </c>
      <c r="P68" s="12">
        <v>6.9444444444444397E-3</v>
      </c>
      <c r="Q68" s="12">
        <v>0.59375</v>
      </c>
      <c r="R68" s="12">
        <v>0</v>
      </c>
      <c r="S68" s="12">
        <v>0.59375</v>
      </c>
      <c r="T68" s="12">
        <f>VLOOKUP(E68,'[2]21-3-2026'!E$3:T$35,16,FALSE)</f>
        <v>1.0416666666666666E-2</v>
      </c>
      <c r="U68" s="12">
        <v>0.625</v>
      </c>
      <c r="V68" s="12">
        <f t="shared" ref="V68:V89" si="17">U68-T68-S68</f>
        <v>2.083333333333337E-2</v>
      </c>
      <c r="W68" s="12">
        <v>3.125E-2</v>
      </c>
      <c r="X68" s="12">
        <v>0.63055555555555554</v>
      </c>
      <c r="Y68" s="12">
        <v>0.64236111111111105</v>
      </c>
      <c r="Z68" s="12">
        <f t="shared" ref="Z68:Z90" si="18">Y68-X68</f>
        <v>1.1805555555555514E-2</v>
      </c>
      <c r="AA68" s="12">
        <v>0</v>
      </c>
      <c r="AB68" s="12">
        <v>0.64583333333333337</v>
      </c>
      <c r="AC68" s="13"/>
      <c r="AD68" s="53" t="s">
        <v>116</v>
      </c>
    </row>
    <row r="69" spans="1:30" ht="19.5" thickBot="1" x14ac:dyDescent="0.3">
      <c r="A69" s="14">
        <v>2</v>
      </c>
      <c r="B69" s="15">
        <v>2917</v>
      </c>
      <c r="C69" s="15" t="str">
        <f>VLOOKUP(B69,داتا!$B$3:$D$107,2,FALSE)</f>
        <v>تلتين</v>
      </c>
      <c r="D69" s="34">
        <f>VLOOKUP(B69,داتا!$B$3:$D$107,3,FALSE)</f>
        <v>3.125E-2</v>
      </c>
      <c r="E69" s="15" t="s">
        <v>73</v>
      </c>
      <c r="F69" s="15" t="s">
        <v>160</v>
      </c>
      <c r="G69" s="16">
        <v>8.3333333333333329E-2</v>
      </c>
      <c r="H69" s="16">
        <v>7.6388888888888895E-2</v>
      </c>
      <c r="I69" s="16">
        <v>0</v>
      </c>
      <c r="J69" s="16">
        <v>0.55902777777777779</v>
      </c>
      <c r="K69" s="16">
        <v>0.59027777777777779</v>
      </c>
      <c r="L69" s="16" t="s">
        <v>85</v>
      </c>
      <c r="M69" s="16" t="s">
        <v>85</v>
      </c>
      <c r="N69" s="16">
        <f t="shared" ref="N69:N70" si="19">K69-J69</f>
        <v>3.125E-2</v>
      </c>
      <c r="O69" s="16">
        <f t="shared" ref="O69:O70" si="20">N69-D69</f>
        <v>0</v>
      </c>
      <c r="P69" s="16">
        <v>6.9444444444444397E-3</v>
      </c>
      <c r="Q69" s="16">
        <v>0.59375</v>
      </c>
      <c r="R69" s="16">
        <v>0</v>
      </c>
      <c r="S69" s="16">
        <v>0.59375</v>
      </c>
      <c r="T69" s="16">
        <v>1.3888888888888888E-2</v>
      </c>
      <c r="U69" s="16">
        <v>0.65972222222222221</v>
      </c>
      <c r="V69" s="16">
        <v>0</v>
      </c>
      <c r="W69" s="16">
        <v>3.125E-2</v>
      </c>
      <c r="X69" s="16">
        <v>0.66319444444444442</v>
      </c>
      <c r="Y69" s="16">
        <v>0.68402777777777779</v>
      </c>
      <c r="Z69" s="16">
        <f t="shared" si="18"/>
        <v>2.083333333333337E-2</v>
      </c>
      <c r="AA69" s="16">
        <v>0</v>
      </c>
      <c r="AB69" s="16">
        <v>0.6875</v>
      </c>
      <c r="AC69" s="17"/>
      <c r="AD69" s="51"/>
    </row>
    <row r="70" spans="1:30" ht="19.5" thickBot="1" x14ac:dyDescent="0.3">
      <c r="A70" s="14">
        <v>3</v>
      </c>
      <c r="B70" s="15">
        <v>2917</v>
      </c>
      <c r="C70" s="15" t="str">
        <f>VLOOKUP(B70,داتا!$B$3:$D$107,2,FALSE)</f>
        <v>تلتين</v>
      </c>
      <c r="D70" s="34">
        <f>VLOOKUP(B70,داتا!$B$3:$D$107,3,FALSE)</f>
        <v>3.125E-2</v>
      </c>
      <c r="E70" s="15" t="s">
        <v>35</v>
      </c>
      <c r="F70" s="15" t="s">
        <v>160</v>
      </c>
      <c r="G70" s="16">
        <v>8.3333333333333329E-2</v>
      </c>
      <c r="H70" s="16">
        <v>7.6388888888888895E-2</v>
      </c>
      <c r="I70" s="16">
        <v>0</v>
      </c>
      <c r="J70" s="16">
        <v>0.55902777777777779</v>
      </c>
      <c r="K70" s="16">
        <v>0.59027777777777779</v>
      </c>
      <c r="L70" s="16" t="s">
        <v>85</v>
      </c>
      <c r="M70" s="16" t="s">
        <v>85</v>
      </c>
      <c r="N70" s="16">
        <f t="shared" si="19"/>
        <v>3.125E-2</v>
      </c>
      <c r="O70" s="16">
        <f t="shared" si="20"/>
        <v>0</v>
      </c>
      <c r="P70" s="16">
        <v>6.9444444444444397E-3</v>
      </c>
      <c r="Q70" s="16">
        <v>0.59375</v>
      </c>
      <c r="R70" s="16">
        <v>0</v>
      </c>
      <c r="S70" s="16">
        <v>0.59375</v>
      </c>
      <c r="T70" s="16">
        <f>VLOOKUP(E70,'[2]21-3-2026'!E$3:T$35,16,FALSE)</f>
        <v>3.4722222222222203E-2</v>
      </c>
      <c r="U70" s="16">
        <v>0.69791666666666663</v>
      </c>
      <c r="V70" s="16">
        <v>0</v>
      </c>
      <c r="W70" s="16">
        <v>4.1666666666666664E-2</v>
      </c>
      <c r="X70" s="16">
        <v>0.70138888888888884</v>
      </c>
      <c r="Y70" s="16">
        <v>0.70833333333333337</v>
      </c>
      <c r="Z70" s="16">
        <f t="shared" si="18"/>
        <v>6.9444444444445308E-3</v>
      </c>
      <c r="AA70" s="16">
        <v>0</v>
      </c>
      <c r="AB70" s="16">
        <v>0.71527777777777779</v>
      </c>
      <c r="AC70" s="17"/>
      <c r="AD70" s="51"/>
    </row>
    <row r="71" spans="1:30" ht="19.5" thickBot="1" x14ac:dyDescent="0.3">
      <c r="A71" s="14">
        <v>4</v>
      </c>
      <c r="B71" s="15">
        <v>1538</v>
      </c>
      <c r="C71" s="15" t="str">
        <f>VLOOKUP(B71,داتا!$B$3:$D$107,2,FALSE)</f>
        <v>تلتين</v>
      </c>
      <c r="D71" s="34">
        <f>VLOOKUP(B71,داتا!$B$3:$D$107,3,FALSE)</f>
        <v>3.125E-2</v>
      </c>
      <c r="E71" s="15" t="s">
        <v>69</v>
      </c>
      <c r="F71" s="15" t="s">
        <v>161</v>
      </c>
      <c r="G71" s="16">
        <v>8.3333333333333329E-2</v>
      </c>
      <c r="H71" s="16">
        <v>8.3333333333333329E-2</v>
      </c>
      <c r="I71" s="16">
        <f t="shared" ref="I71:I90" si="21">H71-G71</f>
        <v>0</v>
      </c>
      <c r="J71" s="16">
        <v>0.56944444444444442</v>
      </c>
      <c r="K71" s="16">
        <v>0.58680555555555558</v>
      </c>
      <c r="L71" s="16" t="s">
        <v>157</v>
      </c>
      <c r="M71" s="16" t="s">
        <v>157</v>
      </c>
      <c r="N71" s="16">
        <f t="shared" si="15"/>
        <v>1.736111111111116E-2</v>
      </c>
      <c r="O71" s="16">
        <v>0</v>
      </c>
      <c r="P71" s="16">
        <v>6.9444444444444397E-3</v>
      </c>
      <c r="Q71" s="16">
        <v>0.59375</v>
      </c>
      <c r="R71" s="16">
        <f t="shared" ref="R71:R90" si="22">Q71-P71-K71</f>
        <v>0</v>
      </c>
      <c r="S71" s="16">
        <v>0.59375</v>
      </c>
      <c r="T71" s="16">
        <f>VLOOKUP(E71,'[2]21-3-2026'!E$3:T$35,16,FALSE)</f>
        <v>1.38888888888889E-2</v>
      </c>
      <c r="U71" s="16">
        <v>0.61805555555555558</v>
      </c>
      <c r="V71" s="16">
        <f t="shared" si="17"/>
        <v>1.041666666666663E-2</v>
      </c>
      <c r="W71" s="16">
        <v>3.125E-2</v>
      </c>
      <c r="X71" s="16">
        <v>0.62152777777777779</v>
      </c>
      <c r="Y71" s="16">
        <v>0.62847222222222221</v>
      </c>
      <c r="Z71" s="16">
        <f t="shared" si="18"/>
        <v>6.9444444444444198E-3</v>
      </c>
      <c r="AA71" s="16">
        <v>0</v>
      </c>
      <c r="AB71" s="16">
        <v>0.63194444444444442</v>
      </c>
      <c r="AC71" s="17"/>
      <c r="AD71" s="51"/>
    </row>
    <row r="72" spans="1:30" ht="19.5" thickBot="1" x14ac:dyDescent="0.3">
      <c r="A72" s="14">
        <v>5</v>
      </c>
      <c r="B72" s="15">
        <v>1538</v>
      </c>
      <c r="C72" s="15" t="str">
        <f>VLOOKUP(B72,داتا!$B$3:$D$107,2,FALSE)</f>
        <v>تلتين</v>
      </c>
      <c r="D72" s="34">
        <f>VLOOKUP(B72,داتا!$B$3:$D$107,3,FALSE)</f>
        <v>3.125E-2</v>
      </c>
      <c r="E72" s="15" t="s">
        <v>67</v>
      </c>
      <c r="F72" s="15" t="s">
        <v>161</v>
      </c>
      <c r="G72" s="16">
        <v>8.3333333333333329E-2</v>
      </c>
      <c r="H72" s="16">
        <v>8.3333333333333329E-2</v>
      </c>
      <c r="I72" s="16">
        <f t="shared" ref="I72:I73" si="23">H72-G72</f>
        <v>0</v>
      </c>
      <c r="J72" s="16">
        <v>0.56944444444444442</v>
      </c>
      <c r="K72" s="16">
        <v>0.58680555555555558</v>
      </c>
      <c r="L72" s="16" t="s">
        <v>157</v>
      </c>
      <c r="M72" s="16" t="s">
        <v>157</v>
      </c>
      <c r="N72" s="16">
        <f t="shared" ref="N72:N73" si="24">K72-J72</f>
        <v>1.736111111111116E-2</v>
      </c>
      <c r="O72" s="16">
        <v>0</v>
      </c>
      <c r="P72" s="16">
        <v>6.9444444444444397E-3</v>
      </c>
      <c r="Q72" s="16">
        <v>0.59375</v>
      </c>
      <c r="R72" s="16">
        <f t="shared" si="22"/>
        <v>0</v>
      </c>
      <c r="S72" s="16">
        <v>0.59375</v>
      </c>
      <c r="T72" s="16">
        <f>VLOOKUP(E72,'[2]21-3-2026'!E$3:T$35,16,FALSE)</f>
        <v>1.7361111111111101E-2</v>
      </c>
      <c r="U72" s="16">
        <v>0.63888888888888895</v>
      </c>
      <c r="V72" s="16">
        <v>0</v>
      </c>
      <c r="W72" s="16">
        <v>3.125E-2</v>
      </c>
      <c r="X72" s="16">
        <v>0.64236111111111105</v>
      </c>
      <c r="Y72" s="16">
        <v>0.66319444444444442</v>
      </c>
      <c r="Z72" s="16">
        <f t="shared" si="18"/>
        <v>2.083333333333337E-2</v>
      </c>
      <c r="AA72" s="16">
        <v>0</v>
      </c>
      <c r="AB72" s="16">
        <v>0.66527777777777775</v>
      </c>
      <c r="AC72" s="17"/>
      <c r="AD72" s="51"/>
    </row>
    <row r="73" spans="1:30" ht="19.5" thickBot="1" x14ac:dyDescent="0.3">
      <c r="A73" s="14">
        <v>6</v>
      </c>
      <c r="B73" s="15">
        <v>1538</v>
      </c>
      <c r="C73" s="15" t="str">
        <f>VLOOKUP(B73,داتا!$B$3:$D$107,2,FALSE)</f>
        <v>تلتين</v>
      </c>
      <c r="D73" s="34">
        <f>VLOOKUP(B73,داتا!$B$3:$D$107,3,FALSE)</f>
        <v>3.125E-2</v>
      </c>
      <c r="E73" s="15" t="s">
        <v>57</v>
      </c>
      <c r="F73" s="15" t="s">
        <v>161</v>
      </c>
      <c r="G73" s="16">
        <v>8.3333333333333329E-2</v>
      </c>
      <c r="H73" s="16">
        <v>8.3333333333333329E-2</v>
      </c>
      <c r="I73" s="16">
        <f t="shared" si="23"/>
        <v>0</v>
      </c>
      <c r="J73" s="16">
        <v>0.56944444444444442</v>
      </c>
      <c r="K73" s="16">
        <v>0.58680555555555558</v>
      </c>
      <c r="L73" s="16" t="s">
        <v>157</v>
      </c>
      <c r="M73" s="16" t="s">
        <v>157</v>
      </c>
      <c r="N73" s="16">
        <f t="shared" si="24"/>
        <v>1.736111111111116E-2</v>
      </c>
      <c r="O73" s="16">
        <v>0</v>
      </c>
      <c r="P73" s="16">
        <v>6.9444444444444397E-3</v>
      </c>
      <c r="Q73" s="16">
        <v>0.59375</v>
      </c>
      <c r="R73" s="16">
        <f t="shared" si="22"/>
        <v>0</v>
      </c>
      <c r="S73" s="16">
        <v>0.59375</v>
      </c>
      <c r="T73" s="16">
        <f>VLOOKUP(E73,'[2]21-3-2026'!E$3:T$35,16,FALSE)</f>
        <v>1.7361111111111101E-2</v>
      </c>
      <c r="U73" s="16">
        <v>0.67013888888888884</v>
      </c>
      <c r="V73" s="16">
        <v>0</v>
      </c>
      <c r="W73" s="16">
        <v>4.1666666666666664E-2</v>
      </c>
      <c r="X73" s="16">
        <v>0.67361111111111116</v>
      </c>
      <c r="Y73" s="16">
        <v>0.69444444444444453</v>
      </c>
      <c r="Z73" s="16">
        <f t="shared" si="18"/>
        <v>2.083333333333337E-2</v>
      </c>
      <c r="AA73" s="16">
        <v>0</v>
      </c>
      <c r="AB73" s="16">
        <v>0.69791666666666663</v>
      </c>
      <c r="AC73" s="17"/>
      <c r="AD73" s="51"/>
    </row>
    <row r="74" spans="1:30" ht="19.5" thickBot="1" x14ac:dyDescent="0.3">
      <c r="A74" s="14">
        <v>7</v>
      </c>
      <c r="B74" s="15">
        <v>459</v>
      </c>
      <c r="C74" s="15" t="str">
        <f>VLOOKUP(B74,داتا!$B$3:$D$107,2,FALSE)</f>
        <v>دبابة</v>
      </c>
      <c r="D74" s="34">
        <f>VLOOKUP(B74,داتا!$B$3:$D$107,3,FALSE)</f>
        <v>2.0833333333333301E-2</v>
      </c>
      <c r="E74" s="15" t="s">
        <v>89</v>
      </c>
      <c r="F74" s="15" t="s">
        <v>118</v>
      </c>
      <c r="G74" s="16">
        <v>8.3333333333333329E-2</v>
      </c>
      <c r="H74" s="16">
        <v>9.0277777777777776E-2</v>
      </c>
      <c r="I74" s="16">
        <f t="shared" si="21"/>
        <v>6.9444444444444475E-3</v>
      </c>
      <c r="J74" s="16">
        <v>0.56597222222222221</v>
      </c>
      <c r="K74" s="16">
        <v>0.57986111111111105</v>
      </c>
      <c r="L74" s="16" t="s">
        <v>88</v>
      </c>
      <c r="M74" s="16" t="s">
        <v>88</v>
      </c>
      <c r="N74" s="16">
        <f t="shared" si="15"/>
        <v>1.388888888888884E-2</v>
      </c>
      <c r="O74" s="16">
        <v>0</v>
      </c>
      <c r="P74" s="16">
        <v>6.9444444444444397E-3</v>
      </c>
      <c r="Q74" s="16">
        <v>0.59027777777777779</v>
      </c>
      <c r="R74" s="16">
        <f t="shared" si="22"/>
        <v>3.4722222222223209E-3</v>
      </c>
      <c r="S74" s="16">
        <v>0.59027777777777779</v>
      </c>
      <c r="T74" s="16">
        <f>VLOOKUP(E74,'[2]21-3-2026'!E$3:T$35,16,FALSE)</f>
        <v>1.7361111111111101E-2</v>
      </c>
      <c r="U74" s="16">
        <v>0.63194444444444442</v>
      </c>
      <c r="V74" s="16">
        <f t="shared" si="17"/>
        <v>2.430555555555558E-2</v>
      </c>
      <c r="W74" s="16">
        <v>2.0833333333333332E-2</v>
      </c>
      <c r="X74" s="16">
        <v>0.6333333333333333</v>
      </c>
      <c r="Y74" s="16">
        <v>0.64236111111111105</v>
      </c>
      <c r="Z74" s="16">
        <f t="shared" si="18"/>
        <v>9.0277777777777457E-3</v>
      </c>
      <c r="AA74" s="16">
        <v>0</v>
      </c>
      <c r="AB74" s="16">
        <v>0.64583333333333337</v>
      </c>
      <c r="AC74" s="17"/>
      <c r="AD74" s="51"/>
    </row>
    <row r="75" spans="1:30" ht="19.5" thickBot="1" x14ac:dyDescent="0.3">
      <c r="A75" s="14">
        <v>8</v>
      </c>
      <c r="B75" s="15">
        <v>459</v>
      </c>
      <c r="C75" s="15" t="str">
        <f>VLOOKUP(B75,داتا!$B$3:$D$107,2,FALSE)</f>
        <v>دبابة</v>
      </c>
      <c r="D75" s="34">
        <f>VLOOKUP(B75,داتا!$B$3:$D$107,3,FALSE)</f>
        <v>2.0833333333333301E-2</v>
      </c>
      <c r="E75" s="15" t="s">
        <v>39</v>
      </c>
      <c r="F75" s="15" t="s">
        <v>118</v>
      </c>
      <c r="G75" s="16">
        <v>8.3333333333333329E-2</v>
      </c>
      <c r="H75" s="16">
        <v>9.0277777777777776E-2</v>
      </c>
      <c r="I75" s="16">
        <f t="shared" si="21"/>
        <v>6.9444444444444475E-3</v>
      </c>
      <c r="J75" s="16">
        <v>0.56597222222222221</v>
      </c>
      <c r="K75" s="16">
        <v>0.57986111111111105</v>
      </c>
      <c r="L75" s="16" t="s">
        <v>88</v>
      </c>
      <c r="M75" s="16" t="s">
        <v>88</v>
      </c>
      <c r="N75" s="16">
        <f t="shared" si="15"/>
        <v>1.388888888888884E-2</v>
      </c>
      <c r="O75" s="16">
        <v>0</v>
      </c>
      <c r="P75" s="16">
        <v>6.9444444444444397E-3</v>
      </c>
      <c r="Q75" s="16">
        <v>0.59027777777777779</v>
      </c>
      <c r="R75" s="16">
        <f t="shared" si="22"/>
        <v>3.4722222222223209E-3</v>
      </c>
      <c r="S75" s="16">
        <v>0.59027777777777779</v>
      </c>
      <c r="T75" s="16">
        <f>VLOOKUP(E75,'[2]21-3-2026'!E$3:T$35,16,FALSE)</f>
        <v>1.7361111111111101E-2</v>
      </c>
      <c r="U75" s="16">
        <v>0.65625</v>
      </c>
      <c r="V75" s="16">
        <v>0</v>
      </c>
      <c r="W75" s="16">
        <v>3.125E-2</v>
      </c>
      <c r="X75" s="16">
        <v>0.65972222222222221</v>
      </c>
      <c r="Y75" s="16">
        <v>0.66666666666666663</v>
      </c>
      <c r="Z75" s="16">
        <f t="shared" si="18"/>
        <v>6.9444444444444198E-3</v>
      </c>
      <c r="AA75" s="16">
        <v>0</v>
      </c>
      <c r="AB75" s="16">
        <v>0.67013888888888884</v>
      </c>
      <c r="AC75" s="17"/>
      <c r="AD75" s="51"/>
    </row>
    <row r="76" spans="1:30" ht="19.5" thickBot="1" x14ac:dyDescent="0.3">
      <c r="A76" s="14">
        <v>9</v>
      </c>
      <c r="B76" s="15">
        <v>3495</v>
      </c>
      <c r="C76" s="15" t="str">
        <f>VLOOKUP(B76,داتا!$B$3:$D$107,2,FALSE)</f>
        <v>تلتين</v>
      </c>
      <c r="D76" s="34">
        <f>VLOOKUP(B76,داتا!$B$3:$D$107,3,FALSE)</f>
        <v>3.125E-2</v>
      </c>
      <c r="E76" s="16" t="s">
        <v>30</v>
      </c>
      <c r="F76" s="15" t="s">
        <v>165</v>
      </c>
      <c r="G76" s="16">
        <v>8.3333333333333329E-2</v>
      </c>
      <c r="H76" s="16">
        <v>8.3333333333333329E-2</v>
      </c>
      <c r="I76" s="16">
        <f t="shared" si="21"/>
        <v>0</v>
      </c>
      <c r="J76" s="16">
        <v>0.58333333333333337</v>
      </c>
      <c r="K76" s="16">
        <v>0.60069444444444442</v>
      </c>
      <c r="L76" s="16" t="s">
        <v>88</v>
      </c>
      <c r="M76" s="16" t="s">
        <v>88</v>
      </c>
      <c r="N76" s="16">
        <f t="shared" si="15"/>
        <v>1.7361111111111049E-2</v>
      </c>
      <c r="O76" s="16">
        <v>0</v>
      </c>
      <c r="P76" s="16">
        <v>6.9444444444444397E-3</v>
      </c>
      <c r="Q76" s="16">
        <v>0.60416666666666663</v>
      </c>
      <c r="R76" s="16">
        <v>0</v>
      </c>
      <c r="S76" s="16">
        <v>0.60416666666666663</v>
      </c>
      <c r="T76" s="16">
        <f>VLOOKUP(E76,'[2]21-3-2026'!E$3:T$35,16,FALSE)</f>
        <v>1.38888888888889E-2</v>
      </c>
      <c r="U76" s="16">
        <v>0.625</v>
      </c>
      <c r="V76" s="16">
        <f t="shared" si="17"/>
        <v>6.9444444444444198E-3</v>
      </c>
      <c r="W76" s="16">
        <v>3.125E-2</v>
      </c>
      <c r="X76" s="16">
        <v>0.62847222222222221</v>
      </c>
      <c r="Y76" s="16">
        <v>0.63541666666666663</v>
      </c>
      <c r="Z76" s="16">
        <f t="shared" si="18"/>
        <v>6.9444444444444198E-3</v>
      </c>
      <c r="AA76" s="16">
        <v>0</v>
      </c>
      <c r="AB76" s="16">
        <v>0.63888888888888895</v>
      </c>
      <c r="AC76" s="17"/>
      <c r="AD76" s="51"/>
    </row>
    <row r="77" spans="1:30" ht="19.5" thickBot="1" x14ac:dyDescent="0.3">
      <c r="A77" s="14">
        <v>10</v>
      </c>
      <c r="B77" s="15">
        <v>3495</v>
      </c>
      <c r="C77" s="15" t="str">
        <f>VLOOKUP(B77,داتا!$B$3:$D$107,2,FALSE)</f>
        <v>تلتين</v>
      </c>
      <c r="D77" s="34">
        <f>VLOOKUP(B77,داتا!$B$3:$D$107,3,FALSE)</f>
        <v>3.125E-2</v>
      </c>
      <c r="E77" s="15" t="s">
        <v>34</v>
      </c>
      <c r="F77" s="15" t="s">
        <v>165</v>
      </c>
      <c r="G77" s="16">
        <v>8.3333333333333329E-2</v>
      </c>
      <c r="H77" s="16">
        <v>8.3333333333333329E-2</v>
      </c>
      <c r="I77" s="16">
        <f t="shared" ref="I77" si="25">H77-G77</f>
        <v>0</v>
      </c>
      <c r="J77" s="16">
        <v>0.58333333333333337</v>
      </c>
      <c r="K77" s="16">
        <v>0.60069444444444442</v>
      </c>
      <c r="L77" s="16" t="s">
        <v>88</v>
      </c>
      <c r="M77" s="16" t="s">
        <v>88</v>
      </c>
      <c r="N77" s="16">
        <f t="shared" ref="N77" si="26">K77-J77</f>
        <v>1.7361111111111049E-2</v>
      </c>
      <c r="O77" s="16">
        <v>0</v>
      </c>
      <c r="P77" s="16">
        <v>6.9444444444444397E-3</v>
      </c>
      <c r="Q77" s="16">
        <v>0.60416666666666663</v>
      </c>
      <c r="R77" s="16">
        <v>0</v>
      </c>
      <c r="S77" s="16">
        <v>0.60416666666666663</v>
      </c>
      <c r="T77" s="16">
        <f>VLOOKUP(E77,'[2]21-3-2026'!E$3:T$35,16,FALSE)</f>
        <v>1.0416666666666701E-2</v>
      </c>
      <c r="U77" s="16">
        <v>0.6479166666666667</v>
      </c>
      <c r="V77" s="16">
        <v>0</v>
      </c>
      <c r="W77" s="16">
        <v>4.1666666666666664E-2</v>
      </c>
      <c r="X77" s="16">
        <v>0.65069444444444446</v>
      </c>
      <c r="Y77" s="16">
        <v>0.66249999999999998</v>
      </c>
      <c r="Z77" s="16">
        <f t="shared" si="18"/>
        <v>1.1805555555555514E-2</v>
      </c>
      <c r="AA77" s="16">
        <v>0</v>
      </c>
      <c r="AB77" s="16">
        <v>0.66666666666666663</v>
      </c>
      <c r="AC77" s="17"/>
      <c r="AD77" s="51"/>
    </row>
    <row r="78" spans="1:30" ht="19.5" thickBot="1" x14ac:dyDescent="0.3">
      <c r="A78" s="14">
        <v>11</v>
      </c>
      <c r="B78" s="15">
        <v>634</v>
      </c>
      <c r="C78" s="15" t="str">
        <f>VLOOKUP(B78,داتا!$B$3:$D$107,2,FALSE)</f>
        <v>دبابة</v>
      </c>
      <c r="D78" s="34">
        <f>VLOOKUP(B78,داتا!$B$3:$D$107,3,FALSE)</f>
        <v>2.0833333333333301E-2</v>
      </c>
      <c r="E78" s="15" t="s">
        <v>70</v>
      </c>
      <c r="F78" s="15" t="s">
        <v>164</v>
      </c>
      <c r="G78" s="16">
        <v>8.3333333333333329E-2</v>
      </c>
      <c r="H78" s="16">
        <v>8.3333333333333329E-2</v>
      </c>
      <c r="I78" s="16">
        <f t="shared" si="21"/>
        <v>0</v>
      </c>
      <c r="J78" s="16">
        <v>0.56944444444444442</v>
      </c>
      <c r="K78" s="16">
        <v>0.58333333333333337</v>
      </c>
      <c r="L78" s="16" t="s">
        <v>111</v>
      </c>
      <c r="M78" s="16" t="s">
        <v>111</v>
      </c>
      <c r="N78" s="16">
        <f t="shared" si="15"/>
        <v>1.3888888888888951E-2</v>
      </c>
      <c r="O78" s="16">
        <v>0</v>
      </c>
      <c r="P78" s="16">
        <v>6.9444444444444397E-3</v>
      </c>
      <c r="Q78" s="16">
        <v>0.59027777777777779</v>
      </c>
      <c r="R78" s="16">
        <f t="shared" si="22"/>
        <v>0</v>
      </c>
      <c r="S78" s="16">
        <v>0.59027777777777779</v>
      </c>
      <c r="T78" s="16">
        <f>VLOOKUP(E78,'[2]21-3-2026'!E$3:T$35,16,FALSE)</f>
        <v>1.0416666666666701E-2</v>
      </c>
      <c r="U78" s="16">
        <v>0.61111111111111105</v>
      </c>
      <c r="V78" s="16">
        <f t="shared" si="17"/>
        <v>1.0416666666666519E-2</v>
      </c>
      <c r="W78" s="16">
        <v>2.0833333333333332E-2</v>
      </c>
      <c r="X78" s="16">
        <v>0.61458333333333337</v>
      </c>
      <c r="Y78" s="16">
        <v>0.62013888888888891</v>
      </c>
      <c r="Z78" s="16">
        <f t="shared" si="18"/>
        <v>5.5555555555555358E-3</v>
      </c>
      <c r="AA78" s="16">
        <v>0</v>
      </c>
      <c r="AB78" s="16">
        <v>0.625</v>
      </c>
      <c r="AC78" s="17"/>
      <c r="AD78" s="51"/>
    </row>
    <row r="79" spans="1:30" ht="19.5" thickBot="1" x14ac:dyDescent="0.3">
      <c r="A79" s="14">
        <v>12</v>
      </c>
      <c r="B79" s="15">
        <v>634</v>
      </c>
      <c r="C79" s="15" t="str">
        <f>VLOOKUP(B79,داتا!$B$3:$D$107,2,FALSE)</f>
        <v>دبابة</v>
      </c>
      <c r="D79" s="34">
        <f>VLOOKUP(B79,داتا!$B$3:$D$107,3,FALSE)</f>
        <v>2.0833333333333301E-2</v>
      </c>
      <c r="E79" s="15" t="s">
        <v>79</v>
      </c>
      <c r="F79" s="15" t="s">
        <v>164</v>
      </c>
      <c r="G79" s="16">
        <v>8.3333333333333329E-2</v>
      </c>
      <c r="H79" s="16">
        <v>8.3333333333333329E-2</v>
      </c>
      <c r="I79" s="16">
        <f t="shared" si="21"/>
        <v>0</v>
      </c>
      <c r="J79" s="16">
        <v>0.56944444444444442</v>
      </c>
      <c r="K79" s="16">
        <v>0.58333333333333337</v>
      </c>
      <c r="L79" s="16" t="s">
        <v>111</v>
      </c>
      <c r="M79" s="16" t="s">
        <v>111</v>
      </c>
      <c r="N79" s="16">
        <f t="shared" si="15"/>
        <v>1.3888888888888951E-2</v>
      </c>
      <c r="O79" s="16">
        <v>0</v>
      </c>
      <c r="P79" s="16">
        <v>6.9444444444444397E-3</v>
      </c>
      <c r="Q79" s="16">
        <v>0.59027777777777779</v>
      </c>
      <c r="R79" s="16">
        <f t="shared" si="22"/>
        <v>0</v>
      </c>
      <c r="S79" s="16">
        <v>0.59027777777777779</v>
      </c>
      <c r="T79" s="16">
        <f>VLOOKUP(E79,'[2]21-3-2026'!E$3:T$35,16,FALSE)</f>
        <v>2.0833333333333301E-2</v>
      </c>
      <c r="U79" s="16">
        <v>0.64513888888888882</v>
      </c>
      <c r="V79" s="16">
        <v>0</v>
      </c>
      <c r="W79" s="16">
        <v>3.125E-2</v>
      </c>
      <c r="X79" s="16">
        <v>0.65</v>
      </c>
      <c r="Y79" s="16">
        <v>0.66527777777777775</v>
      </c>
      <c r="Z79" s="16">
        <f t="shared" si="18"/>
        <v>1.5277777777777724E-2</v>
      </c>
      <c r="AA79" s="16">
        <v>0</v>
      </c>
      <c r="AB79" s="16">
        <v>0.66666666666666663</v>
      </c>
      <c r="AC79" s="17"/>
      <c r="AD79" s="51"/>
    </row>
    <row r="80" spans="1:30" ht="19.5" thickBot="1" x14ac:dyDescent="0.3">
      <c r="A80" s="14">
        <v>13</v>
      </c>
      <c r="B80" s="15">
        <v>3891</v>
      </c>
      <c r="C80" s="15" t="str">
        <f>VLOOKUP(B80,داتا!$B$3:$D$107,2,FALSE)</f>
        <v>تلتين</v>
      </c>
      <c r="D80" s="34">
        <f>VLOOKUP(B80,داتا!$B$3:$D$107,3,FALSE)</f>
        <v>3.125E-2</v>
      </c>
      <c r="E80" s="15" t="s">
        <v>45</v>
      </c>
      <c r="F80" s="15" t="s">
        <v>149</v>
      </c>
      <c r="G80" s="16">
        <v>8.3333333333333329E-2</v>
      </c>
      <c r="H80" s="16">
        <v>8.3333333333333329E-2</v>
      </c>
      <c r="I80" s="16">
        <v>0</v>
      </c>
      <c r="J80" s="16">
        <v>0.59722222222222221</v>
      </c>
      <c r="K80" s="16">
        <v>0.61111111111111105</v>
      </c>
      <c r="L80" s="16" t="s">
        <v>111</v>
      </c>
      <c r="M80" s="16" t="s">
        <v>111</v>
      </c>
      <c r="N80" s="16">
        <f t="shared" si="15"/>
        <v>1.388888888888884E-2</v>
      </c>
      <c r="O80" s="16">
        <v>0</v>
      </c>
      <c r="P80" s="16">
        <v>6.9444444444444397E-3</v>
      </c>
      <c r="Q80" s="16">
        <v>0.625</v>
      </c>
      <c r="R80" s="16">
        <f t="shared" si="22"/>
        <v>6.9444444444445308E-3</v>
      </c>
      <c r="S80" s="16">
        <v>0.625</v>
      </c>
      <c r="T80" s="16">
        <f>VLOOKUP(E80,'[2]21-3-2026'!E$3:T$35,16,FALSE)</f>
        <v>1.38888888888889E-2</v>
      </c>
      <c r="U80" s="16">
        <v>0.6875</v>
      </c>
      <c r="V80" s="16">
        <v>0</v>
      </c>
      <c r="W80" s="16">
        <v>3.125E-2</v>
      </c>
      <c r="X80" s="16">
        <v>0.69097222222222221</v>
      </c>
      <c r="Y80" s="16">
        <v>0.71319444444444446</v>
      </c>
      <c r="Z80" s="16">
        <f t="shared" si="18"/>
        <v>2.2222222222222254E-2</v>
      </c>
      <c r="AA80" s="16">
        <v>0</v>
      </c>
      <c r="AB80" s="16">
        <v>0.71388888888888891</v>
      </c>
      <c r="AC80" s="17"/>
      <c r="AD80" s="51"/>
    </row>
    <row r="81" spans="1:30" ht="19.5" thickBot="1" x14ac:dyDescent="0.3">
      <c r="A81" s="14">
        <v>14</v>
      </c>
      <c r="B81" s="15">
        <v>3492</v>
      </c>
      <c r="C81" s="15" t="str">
        <f>VLOOKUP(B81,داتا!$B$3:$D$107,2,FALSE)</f>
        <v>تلتين</v>
      </c>
      <c r="D81" s="34">
        <f>VLOOKUP(B81,داتا!$B$3:$D$107,3,FALSE)</f>
        <v>3.125E-2</v>
      </c>
      <c r="E81" s="15" t="s">
        <v>86</v>
      </c>
      <c r="F81" s="15" t="s">
        <v>163</v>
      </c>
      <c r="G81" s="16">
        <v>8.3333333333333329E-2</v>
      </c>
      <c r="H81" s="16">
        <v>9.7222222222222224E-2</v>
      </c>
      <c r="I81" s="16">
        <f t="shared" si="21"/>
        <v>1.3888888888888895E-2</v>
      </c>
      <c r="J81" s="16">
        <v>0.56944444444444442</v>
      </c>
      <c r="K81" s="16">
        <v>0.60763888888888895</v>
      </c>
      <c r="L81" s="16" t="s">
        <v>158</v>
      </c>
      <c r="M81" s="16" t="s">
        <v>158</v>
      </c>
      <c r="N81" s="16">
        <f t="shared" si="15"/>
        <v>3.8194444444444531E-2</v>
      </c>
      <c r="O81" s="16">
        <f t="shared" si="16"/>
        <v>6.9444444444445308E-3</v>
      </c>
      <c r="P81" s="16">
        <v>6.9444444444444397E-3</v>
      </c>
      <c r="Q81" s="16">
        <v>0.60763888888888895</v>
      </c>
      <c r="R81" s="16">
        <v>0</v>
      </c>
      <c r="S81" s="16">
        <v>0.60763888888888895</v>
      </c>
      <c r="T81" s="16">
        <f>VLOOKUP(E81,'[2]21-3-2026'!E$3:T$35,16,FALSE)</f>
        <v>3.4722222222222199E-3</v>
      </c>
      <c r="U81" s="16">
        <v>0.61458333333333337</v>
      </c>
      <c r="V81" s="16">
        <f t="shared" si="17"/>
        <v>3.4722222222222099E-3</v>
      </c>
      <c r="W81" s="16">
        <v>3.125E-2</v>
      </c>
      <c r="X81" s="16">
        <v>0.61805555555555558</v>
      </c>
      <c r="Y81" s="16">
        <v>0.62847222222222221</v>
      </c>
      <c r="Z81" s="16">
        <f t="shared" si="18"/>
        <v>1.041666666666663E-2</v>
      </c>
      <c r="AA81" s="16">
        <v>0</v>
      </c>
      <c r="AB81" s="16">
        <v>0.63194444444444442</v>
      </c>
      <c r="AC81" s="17"/>
      <c r="AD81" s="51"/>
    </row>
    <row r="82" spans="1:30" ht="19.5" thickBot="1" x14ac:dyDescent="0.3">
      <c r="A82" s="14">
        <v>15</v>
      </c>
      <c r="B82" s="15">
        <v>3492</v>
      </c>
      <c r="C82" s="15" t="str">
        <f>VLOOKUP(B82,داتا!$B$3:$D$107,2,FALSE)</f>
        <v>تلتين</v>
      </c>
      <c r="D82" s="34">
        <f>VLOOKUP(B82,داتا!$B$3:$D$107,3,FALSE)</f>
        <v>3.125E-2</v>
      </c>
      <c r="E82" s="15" t="s">
        <v>83</v>
      </c>
      <c r="F82" s="15" t="s">
        <v>163</v>
      </c>
      <c r="G82" s="16">
        <v>8.3333333333333329E-2</v>
      </c>
      <c r="H82" s="16">
        <v>9.7222222222222224E-2</v>
      </c>
      <c r="I82" s="16">
        <f t="shared" ref="I82:I84" si="27">H82-G82</f>
        <v>1.3888888888888895E-2</v>
      </c>
      <c r="J82" s="16">
        <v>0.56944444444444442</v>
      </c>
      <c r="K82" s="16">
        <v>0.60763888888888895</v>
      </c>
      <c r="L82" s="16" t="s">
        <v>158</v>
      </c>
      <c r="M82" s="16" t="s">
        <v>158</v>
      </c>
      <c r="N82" s="16">
        <f t="shared" ref="N82:N84" si="28">K82-J82</f>
        <v>3.8194444444444531E-2</v>
      </c>
      <c r="O82" s="16">
        <f t="shared" ref="O82:O83" si="29">N82-D82</f>
        <v>6.9444444444445308E-3</v>
      </c>
      <c r="P82" s="16">
        <v>6.9444444444444397E-3</v>
      </c>
      <c r="Q82" s="16">
        <v>0.60763888888888895</v>
      </c>
      <c r="R82" s="16">
        <v>0</v>
      </c>
      <c r="S82" s="16">
        <v>0.60763888888888895</v>
      </c>
      <c r="T82" s="16">
        <f>VLOOKUP(E82,'[2]21-3-2026'!E$3:T$35,16,FALSE)</f>
        <v>1.38888888888889E-2</v>
      </c>
      <c r="U82" s="16">
        <v>0.64236111111111105</v>
      </c>
      <c r="V82" s="16">
        <v>0</v>
      </c>
      <c r="W82" s="16">
        <v>3.125E-2</v>
      </c>
      <c r="X82" s="16">
        <v>0.64583333333333337</v>
      </c>
      <c r="Y82" s="16">
        <v>0.66666666666666663</v>
      </c>
      <c r="Z82" s="16">
        <f t="shared" si="18"/>
        <v>2.0833333333333259E-2</v>
      </c>
      <c r="AA82" s="16">
        <v>0</v>
      </c>
      <c r="AB82" s="16">
        <v>0.67013888888888884</v>
      </c>
      <c r="AC82" s="17"/>
      <c r="AD82" s="51"/>
    </row>
    <row r="83" spans="1:30" ht="19.5" thickBot="1" x14ac:dyDescent="0.3">
      <c r="A83" s="14">
        <v>16</v>
      </c>
      <c r="B83" s="15">
        <v>3492</v>
      </c>
      <c r="C83" s="15" t="str">
        <f>VLOOKUP(B83,داتا!$B$3:$D$107,2,FALSE)</f>
        <v>تلتين</v>
      </c>
      <c r="D83" s="34">
        <f>VLOOKUP(B83,داتا!$B$3:$D$107,3,FALSE)</f>
        <v>3.125E-2</v>
      </c>
      <c r="E83" s="15" t="s">
        <v>77</v>
      </c>
      <c r="F83" s="15" t="s">
        <v>163</v>
      </c>
      <c r="G83" s="16">
        <v>8.3333333333333329E-2</v>
      </c>
      <c r="H83" s="16">
        <v>9.7222222222222224E-2</v>
      </c>
      <c r="I83" s="16">
        <f t="shared" si="27"/>
        <v>1.3888888888888895E-2</v>
      </c>
      <c r="J83" s="16">
        <v>0.56944444444444442</v>
      </c>
      <c r="K83" s="16">
        <v>0.60763888888888895</v>
      </c>
      <c r="L83" s="16" t="s">
        <v>158</v>
      </c>
      <c r="M83" s="16" t="s">
        <v>158</v>
      </c>
      <c r="N83" s="16">
        <f t="shared" si="28"/>
        <v>3.8194444444444531E-2</v>
      </c>
      <c r="O83" s="16">
        <f t="shared" si="29"/>
        <v>6.9444444444445308E-3</v>
      </c>
      <c r="P83" s="16">
        <v>6.9444444444444397E-3</v>
      </c>
      <c r="Q83" s="16">
        <v>0.60763888888888895</v>
      </c>
      <c r="R83" s="16">
        <v>0</v>
      </c>
      <c r="S83" s="16">
        <v>0.60763888888888895</v>
      </c>
      <c r="T83" s="16">
        <f>VLOOKUP(E83,'[2]21-3-2026'!E$3:T$35,16,FALSE)</f>
        <v>1.38888888888889E-2</v>
      </c>
      <c r="U83" s="16">
        <v>0.68055555555555547</v>
      </c>
      <c r="V83" s="16">
        <v>0</v>
      </c>
      <c r="W83" s="16">
        <v>4.1666666666666664E-2</v>
      </c>
      <c r="X83" s="16">
        <v>0.68402777777777779</v>
      </c>
      <c r="Y83" s="16">
        <v>0.69791666666666663</v>
      </c>
      <c r="Z83" s="16">
        <f t="shared" si="18"/>
        <v>1.388888888888884E-2</v>
      </c>
      <c r="AA83" s="16">
        <v>0</v>
      </c>
      <c r="AB83" s="16">
        <v>0.70138888888888884</v>
      </c>
      <c r="AC83" s="17"/>
      <c r="AD83" s="51"/>
    </row>
    <row r="84" spans="1:30" ht="19.5" thickBot="1" x14ac:dyDescent="0.3">
      <c r="A84" s="14">
        <v>17</v>
      </c>
      <c r="B84" s="15">
        <v>3891</v>
      </c>
      <c r="C84" s="15" t="str">
        <f>VLOOKUP(B84,داتا!$B$3:$D$107,2,FALSE)</f>
        <v>تلتين</v>
      </c>
      <c r="D84" s="34">
        <f>VLOOKUP(B84,داتا!$B$3:$D$107,3,FALSE)</f>
        <v>3.125E-2</v>
      </c>
      <c r="E84" s="15" t="s">
        <v>42</v>
      </c>
      <c r="F84" s="15" t="s">
        <v>143</v>
      </c>
      <c r="G84" s="16">
        <v>8.3333333333333329E-2</v>
      </c>
      <c r="H84" s="16">
        <v>8.3333333333333329E-2</v>
      </c>
      <c r="I84" s="16">
        <f t="shared" si="27"/>
        <v>0</v>
      </c>
      <c r="J84" s="16">
        <v>0.59722222222222221</v>
      </c>
      <c r="K84" s="16">
        <v>0.61111111111111105</v>
      </c>
      <c r="L84" s="16" t="s">
        <v>111</v>
      </c>
      <c r="M84" s="16" t="s">
        <v>111</v>
      </c>
      <c r="N84" s="16">
        <f t="shared" si="28"/>
        <v>1.388888888888884E-2</v>
      </c>
      <c r="O84" s="16">
        <v>0</v>
      </c>
      <c r="P84" s="16">
        <v>6.9444444444444397E-3</v>
      </c>
      <c r="Q84" s="16">
        <v>0.625</v>
      </c>
      <c r="R84" s="16">
        <f t="shared" si="22"/>
        <v>6.9444444444445308E-3</v>
      </c>
      <c r="S84" s="16">
        <v>0.625</v>
      </c>
      <c r="T84" s="16">
        <f>VLOOKUP(E84,'[2]21-3-2026'!E$3:T$35,16,FALSE)</f>
        <v>1.7361111111111101E-2</v>
      </c>
      <c r="U84" s="16">
        <v>0.64583333333333337</v>
      </c>
      <c r="V84" s="16">
        <f t="shared" si="17"/>
        <v>3.4722222222223209E-3</v>
      </c>
      <c r="W84" s="16">
        <v>4.1666666666666664E-2</v>
      </c>
      <c r="X84" s="16">
        <v>0.64930555555555558</v>
      </c>
      <c r="Y84" s="16">
        <v>0.67361111111111116</v>
      </c>
      <c r="Z84" s="16">
        <f t="shared" si="18"/>
        <v>2.430555555555558E-2</v>
      </c>
      <c r="AA84" s="16">
        <v>0</v>
      </c>
      <c r="AB84" s="16">
        <v>0.67708333333333337</v>
      </c>
      <c r="AC84" s="17"/>
      <c r="AD84" s="51"/>
    </row>
    <row r="85" spans="1:30" ht="19.5" thickBot="1" x14ac:dyDescent="0.3">
      <c r="A85" s="14">
        <v>18</v>
      </c>
      <c r="B85" s="15">
        <v>2474</v>
      </c>
      <c r="C85" s="15" t="str">
        <f>VLOOKUP(B85,داتا!$B$3:$D$107,2,FALSE)</f>
        <v>دبابة</v>
      </c>
      <c r="D85" s="34">
        <f>VLOOKUP(B85,داتا!$B$3:$D$107,3,FALSE)</f>
        <v>2.0833333333333332E-2</v>
      </c>
      <c r="E85" s="15" t="s">
        <v>72</v>
      </c>
      <c r="F85" s="15" t="s">
        <v>162</v>
      </c>
      <c r="G85" s="16">
        <v>8.3333333333333329E-2</v>
      </c>
      <c r="H85" s="16">
        <v>7.2916666666666671E-2</v>
      </c>
      <c r="I85" s="16">
        <v>0</v>
      </c>
      <c r="J85" s="16">
        <v>0.5625</v>
      </c>
      <c r="K85" s="16">
        <v>0.58333333333333337</v>
      </c>
      <c r="L85" s="16" t="s">
        <v>97</v>
      </c>
      <c r="M85" s="16" t="s">
        <v>97</v>
      </c>
      <c r="N85" s="16">
        <f t="shared" si="15"/>
        <v>2.083333333333337E-2</v>
      </c>
      <c r="O85" s="16">
        <f t="shared" si="16"/>
        <v>3.8163916471489756E-17</v>
      </c>
      <c r="P85" s="16">
        <v>6.9444444444444397E-3</v>
      </c>
      <c r="Q85" s="16">
        <v>0.59027777777777779</v>
      </c>
      <c r="R85" s="16">
        <f t="shared" si="22"/>
        <v>0</v>
      </c>
      <c r="S85" s="16">
        <v>0.59027777777777779</v>
      </c>
      <c r="T85" s="16">
        <f>VLOOKUP(E85,'[2]21-3-2026'!E$3:T$35,16,FALSE)</f>
        <v>1.0416666666666701E-2</v>
      </c>
      <c r="U85" s="16">
        <v>0.60763888888888895</v>
      </c>
      <c r="V85" s="16">
        <f t="shared" si="17"/>
        <v>6.9444444444444198E-3</v>
      </c>
      <c r="W85" s="16">
        <v>2.0833333333333332E-2</v>
      </c>
      <c r="X85" s="16">
        <v>0.60902777777777783</v>
      </c>
      <c r="Y85" s="16">
        <v>0.61805555555555558</v>
      </c>
      <c r="Z85" s="16">
        <f t="shared" si="18"/>
        <v>9.0277777777777457E-3</v>
      </c>
      <c r="AA85" s="16">
        <v>0</v>
      </c>
      <c r="AB85" s="16">
        <v>0.62152777777777779</v>
      </c>
      <c r="AC85" s="17"/>
      <c r="AD85" s="51"/>
    </row>
    <row r="86" spans="1:30" ht="19.5" thickBot="1" x14ac:dyDescent="0.3">
      <c r="A86" s="14">
        <v>19</v>
      </c>
      <c r="B86" s="15">
        <v>2474</v>
      </c>
      <c r="C86" s="15" t="str">
        <f>VLOOKUP(B86,داتا!$B$3:$D$107,2,FALSE)</f>
        <v>دبابة</v>
      </c>
      <c r="D86" s="34">
        <f>VLOOKUP(B86,داتا!$B$3:$D$107,3,FALSE)</f>
        <v>2.0833333333333332E-2</v>
      </c>
      <c r="E86" s="15" t="s">
        <v>92</v>
      </c>
      <c r="F86" s="15" t="s">
        <v>162</v>
      </c>
      <c r="G86" s="16">
        <v>8.3333333333333329E-2</v>
      </c>
      <c r="H86" s="16">
        <v>7.2916666666666671E-2</v>
      </c>
      <c r="I86" s="16">
        <v>0</v>
      </c>
      <c r="J86" s="16">
        <v>0.5625</v>
      </c>
      <c r="K86" s="16">
        <v>0.58333333333333337</v>
      </c>
      <c r="L86" s="16" t="s">
        <v>97</v>
      </c>
      <c r="M86" s="16" t="s">
        <v>97</v>
      </c>
      <c r="N86" s="16">
        <f t="shared" ref="N86:N88" si="30">K86-J86</f>
        <v>2.083333333333337E-2</v>
      </c>
      <c r="O86" s="16">
        <f t="shared" ref="O86:O88" si="31">N86-D86</f>
        <v>3.8163916471489756E-17</v>
      </c>
      <c r="P86" s="16">
        <v>6.9444444444444397E-3</v>
      </c>
      <c r="Q86" s="16">
        <v>0.59027777777777779</v>
      </c>
      <c r="R86" s="16">
        <f t="shared" si="22"/>
        <v>0</v>
      </c>
      <c r="S86" s="16">
        <v>0.59027777777777779</v>
      </c>
      <c r="T86" s="16">
        <f>VLOOKUP(E86,'[2]21-3-2026'!E$3:T$35,16,FALSE)</f>
        <v>1.38888888888889E-2</v>
      </c>
      <c r="U86" s="16">
        <v>0.63194444444444442</v>
      </c>
      <c r="V86" s="16">
        <v>0</v>
      </c>
      <c r="W86" s="16">
        <v>2.0833333333333332E-2</v>
      </c>
      <c r="X86" s="16">
        <v>0.63541666666666663</v>
      </c>
      <c r="Y86" s="16">
        <v>0.64374999999999993</v>
      </c>
      <c r="Z86" s="16">
        <f t="shared" si="18"/>
        <v>8.3333333333333037E-3</v>
      </c>
      <c r="AA86" s="16">
        <v>0</v>
      </c>
      <c r="AB86" s="16">
        <v>0.64583333333333337</v>
      </c>
      <c r="AC86" s="17"/>
      <c r="AD86" s="51"/>
    </row>
    <row r="87" spans="1:30" ht="19.5" thickBot="1" x14ac:dyDescent="0.3">
      <c r="A87" s="14">
        <v>20</v>
      </c>
      <c r="B87" s="15">
        <v>2474</v>
      </c>
      <c r="C87" s="15" t="str">
        <f>VLOOKUP(B87,داتا!$B$3:$D$107,2,FALSE)</f>
        <v>دبابة</v>
      </c>
      <c r="D87" s="34">
        <f>VLOOKUP(B87,داتا!$B$3:$D$107,3,FALSE)</f>
        <v>2.0833333333333332E-2</v>
      </c>
      <c r="E87" s="15" t="s">
        <v>75</v>
      </c>
      <c r="F87" s="15" t="s">
        <v>162</v>
      </c>
      <c r="G87" s="16">
        <v>8.3333333333333329E-2</v>
      </c>
      <c r="H87" s="16">
        <v>7.2916666666666671E-2</v>
      </c>
      <c r="I87" s="16">
        <v>5</v>
      </c>
      <c r="J87" s="16">
        <v>0.5625</v>
      </c>
      <c r="K87" s="16">
        <v>0.58333333333333337</v>
      </c>
      <c r="L87" s="16" t="s">
        <v>97</v>
      </c>
      <c r="M87" s="16" t="s">
        <v>97</v>
      </c>
      <c r="N87" s="16">
        <f t="shared" si="30"/>
        <v>2.083333333333337E-2</v>
      </c>
      <c r="O87" s="16">
        <f t="shared" si="31"/>
        <v>3.8163916471489756E-17</v>
      </c>
      <c r="P87" s="16">
        <v>6.9444444444444397E-3</v>
      </c>
      <c r="Q87" s="16">
        <v>0.59027777777777779</v>
      </c>
      <c r="R87" s="16">
        <f t="shared" si="22"/>
        <v>0</v>
      </c>
      <c r="S87" s="16">
        <v>0.59027777777777779</v>
      </c>
      <c r="T87" s="16">
        <f>VLOOKUP(E87,'[2]21-3-2026'!E$3:T$35,16,FALSE)</f>
        <v>2.0833333333333301E-2</v>
      </c>
      <c r="U87" s="16">
        <v>0.65625</v>
      </c>
      <c r="V87" s="16">
        <v>0</v>
      </c>
      <c r="W87" s="16">
        <v>2.0833333333333332E-2</v>
      </c>
      <c r="X87" s="16">
        <v>0.65972222222222221</v>
      </c>
      <c r="Y87" s="16">
        <v>0.67013888888888884</v>
      </c>
      <c r="Z87" s="16">
        <f t="shared" si="18"/>
        <v>1.041666666666663E-2</v>
      </c>
      <c r="AA87" s="16">
        <v>0</v>
      </c>
      <c r="AB87" s="16">
        <v>0.67361111111111116</v>
      </c>
      <c r="AC87" s="17"/>
      <c r="AD87" s="51"/>
    </row>
    <row r="88" spans="1:30" ht="19.5" thickBot="1" x14ac:dyDescent="0.3">
      <c r="A88" s="14">
        <v>21</v>
      </c>
      <c r="B88" s="15">
        <v>2474</v>
      </c>
      <c r="C88" s="15" t="str">
        <f>VLOOKUP(B88,داتا!$B$3:$D$107,2,FALSE)</f>
        <v>دبابة</v>
      </c>
      <c r="D88" s="34">
        <f>VLOOKUP(B88,داتا!$B$3:$D$107,3,FALSE)</f>
        <v>2.0833333333333332E-2</v>
      </c>
      <c r="E88" s="15" t="s">
        <v>60</v>
      </c>
      <c r="F88" s="15" t="s">
        <v>162</v>
      </c>
      <c r="G88" s="16">
        <v>8.3333333333333329E-2</v>
      </c>
      <c r="H88" s="16">
        <v>7.2916666666666671E-2</v>
      </c>
      <c r="I88" s="16">
        <v>0</v>
      </c>
      <c r="J88" s="16">
        <v>0.5625</v>
      </c>
      <c r="K88" s="16">
        <v>0.58333333333333337</v>
      </c>
      <c r="L88" s="16" t="s">
        <v>97</v>
      </c>
      <c r="M88" s="16" t="s">
        <v>97</v>
      </c>
      <c r="N88" s="16">
        <f t="shared" si="30"/>
        <v>2.083333333333337E-2</v>
      </c>
      <c r="O88" s="16">
        <f t="shared" si="31"/>
        <v>3.8163916471489756E-17</v>
      </c>
      <c r="P88" s="16">
        <v>6.9444444444444397E-3</v>
      </c>
      <c r="Q88" s="16">
        <v>0.59027777777777779</v>
      </c>
      <c r="R88" s="16">
        <f t="shared" si="22"/>
        <v>0</v>
      </c>
      <c r="S88" s="16">
        <v>0.59027777777777779</v>
      </c>
      <c r="T88" s="16">
        <f>VLOOKUP(E88,'[2]21-3-2026'!E$3:T$35,16,FALSE)</f>
        <v>1.0416666666666701E-2</v>
      </c>
      <c r="U88" s="16">
        <v>0.68402777777777779</v>
      </c>
      <c r="V88" s="16">
        <v>0</v>
      </c>
      <c r="W88" s="16">
        <v>3.125E-2</v>
      </c>
      <c r="X88" s="16">
        <v>0.6875</v>
      </c>
      <c r="Y88" s="16">
        <v>0.69791666666666663</v>
      </c>
      <c r="Z88" s="16">
        <f t="shared" si="18"/>
        <v>1.041666666666663E-2</v>
      </c>
      <c r="AA88" s="16">
        <v>0</v>
      </c>
      <c r="AB88" s="16">
        <v>0.70138888888888884</v>
      </c>
      <c r="AC88" s="19"/>
      <c r="AD88" s="51"/>
    </row>
    <row r="89" spans="1:30" ht="19.5" thickBot="1" x14ac:dyDescent="0.3">
      <c r="A89" s="14">
        <v>22</v>
      </c>
      <c r="B89" s="15">
        <v>1537</v>
      </c>
      <c r="C89" s="15" t="str">
        <f>VLOOKUP(B89,داتا!$B$3:$D$107,2,FALSE)</f>
        <v>تلتين</v>
      </c>
      <c r="D89" s="34">
        <f>VLOOKUP(B89,داتا!$B$3:$D$107,3,FALSE)</f>
        <v>3.125E-2</v>
      </c>
      <c r="E89" s="15" t="s">
        <v>98</v>
      </c>
      <c r="F89" s="15" t="s">
        <v>149</v>
      </c>
      <c r="G89" s="16">
        <v>8.3333333333333329E-2</v>
      </c>
      <c r="H89" s="16">
        <v>8.3333333333333329E-2</v>
      </c>
      <c r="I89" s="16">
        <f t="shared" si="21"/>
        <v>0</v>
      </c>
      <c r="J89" s="16">
        <v>0.60069444444444442</v>
      </c>
      <c r="K89" s="16">
        <v>0.61458333333333337</v>
      </c>
      <c r="L89" s="16" t="s">
        <v>97</v>
      </c>
      <c r="M89" s="16" t="s">
        <v>97</v>
      </c>
      <c r="N89" s="16">
        <f t="shared" si="15"/>
        <v>1.3888888888888951E-2</v>
      </c>
      <c r="O89" s="16">
        <v>0</v>
      </c>
      <c r="P89" s="16">
        <v>6.9444444444444397E-3</v>
      </c>
      <c r="Q89" s="16">
        <v>0.625</v>
      </c>
      <c r="R89" s="16">
        <f t="shared" si="22"/>
        <v>3.4722222222222099E-3</v>
      </c>
      <c r="S89" s="16">
        <v>0.625</v>
      </c>
      <c r="T89" s="16">
        <f>VLOOKUP(E89,'[2]21-3-2026'!E$3:T$35,16,FALSE)</f>
        <v>4.8611111111111103E-3</v>
      </c>
      <c r="U89" s="16">
        <v>0.6333333333333333</v>
      </c>
      <c r="V89" s="16">
        <f t="shared" si="17"/>
        <v>3.4722222222222099E-3</v>
      </c>
      <c r="W89" s="16">
        <v>3.125E-2</v>
      </c>
      <c r="X89" s="16">
        <v>0.63472222222222219</v>
      </c>
      <c r="Y89" s="16">
        <v>0.65208333333333335</v>
      </c>
      <c r="Z89" s="16">
        <f t="shared" si="18"/>
        <v>1.736111111111116E-2</v>
      </c>
      <c r="AA89" s="16">
        <v>0</v>
      </c>
      <c r="AB89" s="16">
        <v>0.65347222222222223</v>
      </c>
      <c r="AC89" s="19"/>
      <c r="AD89" s="51"/>
    </row>
    <row r="90" spans="1:30" ht="19.5" thickBot="1" x14ac:dyDescent="0.3">
      <c r="A90" s="14">
        <v>23</v>
      </c>
      <c r="B90" s="15">
        <v>1537</v>
      </c>
      <c r="C90" s="15" t="str">
        <f>VLOOKUP(B90,داتا!$B$3:$D$107,2,FALSE)</f>
        <v>تلتين</v>
      </c>
      <c r="D90" s="34">
        <f>VLOOKUP(B90,داتا!$B$3:$D$107,3,FALSE)</f>
        <v>3.125E-2</v>
      </c>
      <c r="E90" s="15" t="s">
        <v>95</v>
      </c>
      <c r="F90" s="15" t="s">
        <v>149</v>
      </c>
      <c r="G90" s="16">
        <v>8.3333333333333329E-2</v>
      </c>
      <c r="H90" s="16">
        <v>8.3333333333333329E-2</v>
      </c>
      <c r="I90" s="16">
        <f t="shared" si="21"/>
        <v>0</v>
      </c>
      <c r="J90" s="16">
        <v>0.60069444444444442</v>
      </c>
      <c r="K90" s="16">
        <v>0.61458333333333337</v>
      </c>
      <c r="L90" s="16" t="s">
        <v>97</v>
      </c>
      <c r="M90" s="16" t="s">
        <v>97</v>
      </c>
      <c r="N90" s="16">
        <f t="shared" si="15"/>
        <v>1.3888888888888951E-2</v>
      </c>
      <c r="O90" s="16">
        <v>0</v>
      </c>
      <c r="P90" s="16">
        <v>6.9444444444444397E-3</v>
      </c>
      <c r="Q90" s="16">
        <v>0.625</v>
      </c>
      <c r="R90" s="16">
        <f t="shared" si="22"/>
        <v>3.4722222222222099E-3</v>
      </c>
      <c r="S90" s="16">
        <v>0.625</v>
      </c>
      <c r="T90" s="16">
        <f>VLOOKUP(E90,'[2]21-3-2026'!E$3:T$35,16,FALSE)</f>
        <v>1.0416666666666701E-2</v>
      </c>
      <c r="U90" s="16">
        <v>0.65625</v>
      </c>
      <c r="V90" s="16">
        <v>0</v>
      </c>
      <c r="W90" s="16">
        <v>4.1666666666666664E-2</v>
      </c>
      <c r="X90" s="16">
        <v>0.66666666666666663</v>
      </c>
      <c r="Y90" s="16">
        <v>0.68333333333333324</v>
      </c>
      <c r="Z90" s="16">
        <f t="shared" si="18"/>
        <v>1.6666666666666607E-2</v>
      </c>
      <c r="AA90" s="16">
        <v>0</v>
      </c>
      <c r="AB90" s="16">
        <v>0.68402777777777779</v>
      </c>
      <c r="AC90" s="19"/>
      <c r="AD90" s="51"/>
    </row>
  </sheetData>
  <mergeCells count="4">
    <mergeCell ref="A1:AC1"/>
    <mergeCell ref="AD3:AD35"/>
    <mergeCell ref="AD36:AD67"/>
    <mergeCell ref="AD68:AD90"/>
  </mergeCells>
  <conditionalFormatting sqref="AC1:AC1048576">
    <cfRule type="containsText" dxfId="701" priority="97" operator="containsText" text="ت">
      <formula>NOT(ISERROR(SEARCH("ت",AC1)))</formula>
    </cfRule>
  </conditionalFormatting>
  <conditionalFormatting sqref="AC4:AC90">
    <cfRule type="containsText" dxfId="700" priority="91" operator="containsText" text="ت">
      <formula>NOT(ISERROR(SEARCH("ت",AC4)))</formula>
    </cfRule>
  </conditionalFormatting>
  <conditionalFormatting sqref="O1:O2 I1:I2 R1:R2 V1:V2 AA91:AA1048576 V91:V1048576 R91:R1048576 O91:O1048576 I91:I1048576 AA1:AA2">
    <cfRule type="cellIs" dxfId="699" priority="98" operator="between">
      <formula>0.00277777777777778</formula>
      <formula>1</formula>
    </cfRule>
  </conditionalFormatting>
  <conditionalFormatting sqref="I3:I31 I33:I49 I51:I52 I54:I68 I71 I74:I76 I89:I90 I85 I78:I81">
    <cfRule type="cellIs" dxfId="698" priority="51" operator="between">
      <formula>0.00277777777777778</formula>
      <formula>1</formula>
    </cfRule>
  </conditionalFormatting>
  <conditionalFormatting sqref="I3:I31 I33:I49 I51:I52 I54:I68 I71 I74:I76 I89:I90 I85 I78:I81">
    <cfRule type="cellIs" dxfId="697" priority="52" operator="between">
      <formula>0.00277777777777778</formula>
      <formula>1</formula>
    </cfRule>
  </conditionalFormatting>
  <conditionalFormatting sqref="O3:O31 O33:O49 O51:O52 O54:O68 O71 O74:O76 O89:O90 O85 O78:O81">
    <cfRule type="cellIs" dxfId="696" priority="49" operator="between">
      <formula>0.00277777777777778</formula>
      <formula>1</formula>
    </cfRule>
  </conditionalFormatting>
  <conditionalFormatting sqref="O3:O31 O33:O49 O51:O52 O54:O68 O71 O74:O76 O89:O90 O85 O78:O81">
    <cfRule type="cellIs" dxfId="695" priority="50" operator="between">
      <formula>0.00277777777777778</formula>
      <formula>1</formula>
    </cfRule>
  </conditionalFormatting>
  <conditionalFormatting sqref="R3:R31 R33:R90">
    <cfRule type="cellIs" dxfId="694" priority="47" operator="between">
      <formula>0.00277777777777778</formula>
      <formula>1</formula>
    </cfRule>
  </conditionalFormatting>
  <conditionalFormatting sqref="R3:R31 R33:R90">
    <cfRule type="cellIs" dxfId="693" priority="48" operator="between">
      <formula>0.00277777777777778</formula>
      <formula>1</formula>
    </cfRule>
  </conditionalFormatting>
  <conditionalFormatting sqref="V3:V41 V44:V90">
    <cfRule type="cellIs" dxfId="692" priority="45" operator="between">
      <formula>0.00277777777777778</formula>
      <formula>1</formula>
    </cfRule>
  </conditionalFormatting>
  <conditionalFormatting sqref="V3:V41 V44:V90">
    <cfRule type="cellIs" dxfId="691" priority="46" operator="between">
      <formula>0.00277777777777778</formula>
      <formula>1</formula>
    </cfRule>
  </conditionalFormatting>
  <conditionalFormatting sqref="AA3:AA41 AA44:AA90">
    <cfRule type="cellIs" dxfId="690" priority="43" operator="between">
      <formula>0.00277777777777778</formula>
      <formula>1</formula>
    </cfRule>
  </conditionalFormatting>
  <conditionalFormatting sqref="AA3:AA41 AA44:AA90">
    <cfRule type="cellIs" dxfId="689" priority="44" operator="between">
      <formula>0.00277777777777778</formula>
      <formula>1</formula>
    </cfRule>
  </conditionalFormatting>
  <conditionalFormatting sqref="I32">
    <cfRule type="cellIs" dxfId="688" priority="41" operator="between">
      <formula>0.00277777777777778</formula>
      <formula>1</formula>
    </cfRule>
  </conditionalFormatting>
  <conditionalFormatting sqref="I32">
    <cfRule type="cellIs" dxfId="687" priority="42" operator="between">
      <formula>0.00277777777777778</formula>
      <formula>1</formula>
    </cfRule>
  </conditionalFormatting>
  <conditionalFormatting sqref="O32">
    <cfRule type="cellIs" dxfId="686" priority="39" operator="between">
      <formula>0.00277777777777778</formula>
      <formula>1</formula>
    </cfRule>
  </conditionalFormatting>
  <conditionalFormatting sqref="O32">
    <cfRule type="cellIs" dxfId="685" priority="40" operator="between">
      <formula>0.00277777777777778</formula>
      <formula>1</formula>
    </cfRule>
  </conditionalFormatting>
  <conditionalFormatting sqref="R32">
    <cfRule type="cellIs" dxfId="684" priority="37" operator="between">
      <formula>0.00277777777777778</formula>
      <formula>1</formula>
    </cfRule>
  </conditionalFormatting>
  <conditionalFormatting sqref="R32">
    <cfRule type="cellIs" dxfId="683" priority="38" operator="between">
      <formula>0.00277777777777778</formula>
      <formula>1</formula>
    </cfRule>
  </conditionalFormatting>
  <conditionalFormatting sqref="I50">
    <cfRule type="cellIs" dxfId="682" priority="35" operator="between">
      <formula>0.00277777777777778</formula>
      <formula>1</formula>
    </cfRule>
  </conditionalFormatting>
  <conditionalFormatting sqref="I50">
    <cfRule type="cellIs" dxfId="681" priority="36" operator="between">
      <formula>0.00277777777777778</formula>
      <formula>1</formula>
    </cfRule>
  </conditionalFormatting>
  <conditionalFormatting sqref="O50">
    <cfRule type="cellIs" dxfId="680" priority="33" operator="between">
      <formula>0.00277777777777778</formula>
      <formula>1</formula>
    </cfRule>
  </conditionalFormatting>
  <conditionalFormatting sqref="O50">
    <cfRule type="cellIs" dxfId="679" priority="34" operator="between">
      <formula>0.00277777777777778</formula>
      <formula>1</formula>
    </cfRule>
  </conditionalFormatting>
  <conditionalFormatting sqref="I53">
    <cfRule type="cellIs" dxfId="678" priority="31" operator="between">
      <formula>0.00277777777777778</formula>
      <formula>1</formula>
    </cfRule>
  </conditionalFormatting>
  <conditionalFormatting sqref="I53">
    <cfRule type="cellIs" dxfId="677" priority="32" operator="between">
      <formula>0.00277777777777778</formula>
      <formula>1</formula>
    </cfRule>
  </conditionalFormatting>
  <conditionalFormatting sqref="O53">
    <cfRule type="cellIs" dxfId="676" priority="29" operator="between">
      <formula>0.00277777777777778</formula>
      <formula>1</formula>
    </cfRule>
  </conditionalFormatting>
  <conditionalFormatting sqref="O53">
    <cfRule type="cellIs" dxfId="675" priority="30" operator="between">
      <formula>0.00277777777777778</formula>
      <formula>1</formula>
    </cfRule>
  </conditionalFormatting>
  <conditionalFormatting sqref="I69:I70">
    <cfRule type="cellIs" dxfId="674" priority="27" operator="between">
      <formula>0.00277777777777778</formula>
      <formula>1</formula>
    </cfRule>
  </conditionalFormatting>
  <conditionalFormatting sqref="I69:I70">
    <cfRule type="cellIs" dxfId="673" priority="28" operator="between">
      <formula>0.00277777777777778</formula>
      <formula>1</formula>
    </cfRule>
  </conditionalFormatting>
  <conditionalFormatting sqref="O69:O70">
    <cfRule type="cellIs" dxfId="672" priority="25" operator="between">
      <formula>0.00277777777777778</formula>
      <formula>1</formula>
    </cfRule>
  </conditionalFormatting>
  <conditionalFormatting sqref="O69:O70">
    <cfRule type="cellIs" dxfId="671" priority="26" operator="between">
      <formula>0.00277777777777778</formula>
      <formula>1</formula>
    </cfRule>
  </conditionalFormatting>
  <conditionalFormatting sqref="I72:I73">
    <cfRule type="cellIs" dxfId="670" priority="23" operator="between">
      <formula>0.00277777777777778</formula>
      <formula>1</formula>
    </cfRule>
  </conditionalFormatting>
  <conditionalFormatting sqref="I72:I73">
    <cfRule type="cellIs" dxfId="669" priority="24" operator="between">
      <formula>0.00277777777777778</formula>
      <formula>1</formula>
    </cfRule>
  </conditionalFormatting>
  <conditionalFormatting sqref="O72:O73">
    <cfRule type="cellIs" dxfId="668" priority="21" operator="between">
      <formula>0.00277777777777778</formula>
      <formula>1</formula>
    </cfRule>
  </conditionalFormatting>
  <conditionalFormatting sqref="O72:O73">
    <cfRule type="cellIs" dxfId="667" priority="22" operator="between">
      <formula>0.00277777777777778</formula>
      <formula>1</formula>
    </cfRule>
  </conditionalFormatting>
  <conditionalFormatting sqref="I86:I88">
    <cfRule type="cellIs" dxfId="666" priority="19" operator="between">
      <formula>0.00277777777777778</formula>
      <formula>1</formula>
    </cfRule>
  </conditionalFormatting>
  <conditionalFormatting sqref="I86:I88">
    <cfRule type="cellIs" dxfId="665" priority="20" operator="between">
      <formula>0.00277777777777778</formula>
      <formula>1</formula>
    </cfRule>
  </conditionalFormatting>
  <conditionalFormatting sqref="O86:O88">
    <cfRule type="cellIs" dxfId="664" priority="17" operator="between">
      <formula>0.00277777777777778</formula>
      <formula>1</formula>
    </cfRule>
  </conditionalFormatting>
  <conditionalFormatting sqref="O86:O88">
    <cfRule type="cellIs" dxfId="663" priority="18" operator="between">
      <formula>0.00277777777777778</formula>
      <formula>1</formula>
    </cfRule>
  </conditionalFormatting>
  <conditionalFormatting sqref="I82:I83">
    <cfRule type="cellIs" dxfId="662" priority="15" operator="between">
      <formula>0.00277777777777778</formula>
      <formula>1</formula>
    </cfRule>
  </conditionalFormatting>
  <conditionalFormatting sqref="I82:I83">
    <cfRule type="cellIs" dxfId="661" priority="16" operator="between">
      <formula>0.00277777777777778</formula>
      <formula>1</formula>
    </cfRule>
  </conditionalFormatting>
  <conditionalFormatting sqref="O82:O83">
    <cfRule type="cellIs" dxfId="660" priority="13" operator="between">
      <formula>0.00277777777777778</formula>
      <formula>1</formula>
    </cfRule>
  </conditionalFormatting>
  <conditionalFormatting sqref="O82:O83">
    <cfRule type="cellIs" dxfId="659" priority="14" operator="between">
      <formula>0.00277777777777778</formula>
      <formula>1</formula>
    </cfRule>
  </conditionalFormatting>
  <conditionalFormatting sqref="I84">
    <cfRule type="cellIs" dxfId="658" priority="11" operator="between">
      <formula>0.00277777777777778</formula>
      <formula>1</formula>
    </cfRule>
  </conditionalFormatting>
  <conditionalFormatting sqref="I84">
    <cfRule type="cellIs" dxfId="657" priority="12" operator="between">
      <formula>0.00277777777777778</formula>
      <formula>1</formula>
    </cfRule>
  </conditionalFormatting>
  <conditionalFormatting sqref="O84">
    <cfRule type="cellIs" dxfId="656" priority="9" operator="between">
      <formula>0.00277777777777778</formula>
      <formula>1</formula>
    </cfRule>
  </conditionalFormatting>
  <conditionalFormatting sqref="O84">
    <cfRule type="cellIs" dxfId="655" priority="10" operator="between">
      <formula>0.00277777777777778</formula>
      <formula>1</formula>
    </cfRule>
  </conditionalFormatting>
  <conditionalFormatting sqref="I77">
    <cfRule type="cellIs" dxfId="654" priority="7" operator="between">
      <formula>0.00277777777777778</formula>
      <formula>1</formula>
    </cfRule>
  </conditionalFormatting>
  <conditionalFormatting sqref="I77">
    <cfRule type="cellIs" dxfId="653" priority="8" operator="between">
      <formula>0.00277777777777778</formula>
      <formula>1</formula>
    </cfRule>
  </conditionalFormatting>
  <conditionalFormatting sqref="O77">
    <cfRule type="cellIs" dxfId="652" priority="5" operator="between">
      <formula>0.00277777777777778</formula>
      <formula>1</formula>
    </cfRule>
  </conditionalFormatting>
  <conditionalFormatting sqref="O77">
    <cfRule type="cellIs" dxfId="651" priority="6" operator="between">
      <formula>0.00277777777777778</formula>
      <formula>1</formula>
    </cfRule>
  </conditionalFormatting>
  <conditionalFormatting sqref="U42:V43">
    <cfRule type="cellIs" dxfId="650" priority="3" operator="between">
      <formula>0.00277777777777778</formula>
      <formula>1</formula>
    </cfRule>
  </conditionalFormatting>
  <conditionalFormatting sqref="U42:V43">
    <cfRule type="cellIs" dxfId="649" priority="4" operator="between">
      <formula>0.00277777777777778</formula>
      <formula>1</formula>
    </cfRule>
  </conditionalFormatting>
  <conditionalFormatting sqref="X42:AB43">
    <cfRule type="cellIs" dxfId="648" priority="1" operator="between">
      <formula>0.00277777777777778</formula>
      <formula>1</formula>
    </cfRule>
  </conditionalFormatting>
  <conditionalFormatting sqref="X42:AB43">
    <cfRule type="cellIs" dxfId="647" priority="2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2"/>
  <sheetViews>
    <sheetView rightToLeft="1" workbookViewId="0">
      <pane xSplit="6" ySplit="2" topLeftCell="U3" activePane="bottomRight" state="frozen"/>
      <selection activeCell="A92" sqref="A92"/>
      <selection pane="topRight" activeCell="A92" sqref="A92"/>
      <selection pane="bottomLeft" activeCell="A92" sqref="A92"/>
      <selection pane="bottomRight" activeCell="AA11" sqref="AA11"/>
    </sheetView>
  </sheetViews>
  <sheetFormatPr defaultColWidth="9" defaultRowHeight="15.75" x14ac:dyDescent="0.25"/>
  <cols>
    <col min="1" max="1" width="5.42578125" customWidth="1"/>
    <col min="2" max="2" width="12.28515625" customWidth="1"/>
    <col min="3" max="3" width="12.5703125" customWidth="1"/>
    <col min="4" max="4" width="16.140625" style="36" customWidth="1"/>
    <col min="5" max="5" width="17.140625" customWidth="1"/>
    <col min="6" max="6" width="20.85546875" customWidth="1"/>
    <col min="7" max="7" width="12.7109375" customWidth="1"/>
    <col min="8" max="9" width="12.85546875" customWidth="1"/>
    <col min="10" max="10" width="12.5703125" customWidth="1"/>
    <col min="11" max="11" width="14.28515625" customWidth="1"/>
    <col min="12" max="12" width="22.7109375" customWidth="1"/>
    <col min="13" max="13" width="18.8554687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3.85546875" style="31" customWidth="1"/>
    <col min="30" max="30" width="11.140625" customWidth="1"/>
  </cols>
  <sheetData>
    <row r="1" spans="1:30" ht="33.75" customHeight="1" thickBot="1" x14ac:dyDescent="0.3">
      <c r="A1" s="46" t="s">
        <v>121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0" ht="49.5" customHeight="1" thickTop="1" thickBot="1" x14ac:dyDescent="0.3">
      <c r="A2" s="1" t="s">
        <v>1</v>
      </c>
      <c r="B2" s="2" t="s">
        <v>2</v>
      </c>
      <c r="C2" s="2" t="s">
        <v>3</v>
      </c>
      <c r="D2" s="3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8" t="s">
        <v>18</v>
      </c>
      <c r="S2" s="2" t="s">
        <v>19</v>
      </c>
      <c r="T2" s="8" t="s">
        <v>20</v>
      </c>
      <c r="U2" s="2" t="s">
        <v>21</v>
      </c>
      <c r="V2" s="8" t="s">
        <v>22</v>
      </c>
      <c r="W2" s="8" t="s">
        <v>23</v>
      </c>
      <c r="X2" s="2" t="s">
        <v>24</v>
      </c>
      <c r="Y2" s="2" t="s">
        <v>25</v>
      </c>
      <c r="Z2" s="2" t="s">
        <v>26</v>
      </c>
      <c r="AA2" s="8" t="s">
        <v>27</v>
      </c>
      <c r="AB2" s="2" t="s">
        <v>28</v>
      </c>
      <c r="AC2" s="9" t="s">
        <v>29</v>
      </c>
    </row>
    <row r="3" spans="1:30" ht="20.25" customHeight="1" thickTop="1" thickBot="1" x14ac:dyDescent="0.3">
      <c r="A3" s="10">
        <v>1</v>
      </c>
      <c r="B3" s="11">
        <v>3495</v>
      </c>
      <c r="C3" s="11" t="str">
        <f>VLOOKUP(B3,داتا!$B$3:$D$107,2,FALSE)</f>
        <v>تلتين</v>
      </c>
      <c r="D3" s="33">
        <f>VLOOKUP(B3,داتا!$B$3:$D$107,3,FALSE)</f>
        <v>3.125E-2</v>
      </c>
      <c r="E3" s="11" t="s">
        <v>30</v>
      </c>
      <c r="F3" s="11" t="s">
        <v>148</v>
      </c>
      <c r="G3" s="12">
        <v>0.25</v>
      </c>
      <c r="H3" s="12">
        <v>0.22569444444444445</v>
      </c>
      <c r="I3" s="12">
        <v>0</v>
      </c>
      <c r="J3" s="12">
        <v>0.18402777777777779</v>
      </c>
      <c r="K3" s="12">
        <v>0.20138888888888887</v>
      </c>
      <c r="L3" s="12" t="s">
        <v>137</v>
      </c>
      <c r="M3" s="12" t="s">
        <v>137</v>
      </c>
      <c r="N3" s="12">
        <f>K3-J3</f>
        <v>1.7361111111111077E-2</v>
      </c>
      <c r="O3" s="12">
        <v>0</v>
      </c>
      <c r="P3" s="12">
        <v>6.9444444444444397E-3</v>
      </c>
      <c r="Q3" s="12">
        <v>0.20833333333333334</v>
      </c>
      <c r="R3" s="12">
        <f>Q3-P3-K3</f>
        <v>0</v>
      </c>
      <c r="S3" s="12">
        <v>0.24652777777777779</v>
      </c>
      <c r="T3" s="12">
        <f>VLOOKUP(E3,'[2]21-3-2026'!E$3:T$35,16,FALSE)</f>
        <v>1.38888888888889E-2</v>
      </c>
      <c r="U3" s="12">
        <v>0.26111111111111113</v>
      </c>
      <c r="V3" s="12">
        <f>U3-T3-S3</f>
        <v>6.9444444444444198E-4</v>
      </c>
      <c r="W3" s="12">
        <v>4.1666666666666664E-2</v>
      </c>
      <c r="X3" s="12">
        <v>0.30208333333333331</v>
      </c>
      <c r="Y3" s="12">
        <v>0.33333333333333331</v>
      </c>
      <c r="Z3" s="12">
        <f>Y3-X3</f>
        <v>3.125E-2</v>
      </c>
      <c r="AA3" s="12">
        <v>0</v>
      </c>
      <c r="AB3" s="12">
        <v>0.33680555555555558</v>
      </c>
      <c r="AC3" s="13"/>
      <c r="AD3" s="47" t="s">
        <v>33</v>
      </c>
    </row>
    <row r="4" spans="1:30" ht="19.5" thickBot="1" x14ac:dyDescent="0.3">
      <c r="A4" s="14">
        <v>2</v>
      </c>
      <c r="B4" s="15">
        <v>1538</v>
      </c>
      <c r="C4" s="15" t="str">
        <f>VLOOKUP(B4,داتا!$B$3:$D$107,2,FALSE)</f>
        <v>تلتين</v>
      </c>
      <c r="D4" s="34">
        <f>VLOOKUP(B4,داتا!$B$3:$D$107,3,FALSE)</f>
        <v>3.125E-2</v>
      </c>
      <c r="E4" s="15" t="s">
        <v>65</v>
      </c>
      <c r="F4" s="15" t="s">
        <v>146</v>
      </c>
      <c r="G4" s="16">
        <v>0.25</v>
      </c>
      <c r="H4" s="16">
        <v>0.23958333333333334</v>
      </c>
      <c r="I4" s="16">
        <v>0</v>
      </c>
      <c r="J4" s="16">
        <v>0.20486111111111113</v>
      </c>
      <c r="K4" s="16">
        <v>0.23611111111111113</v>
      </c>
      <c r="L4" s="16" t="s">
        <v>137</v>
      </c>
      <c r="M4" s="16" t="s">
        <v>137</v>
      </c>
      <c r="N4" s="16">
        <f t="shared" ref="N4:N67" si="0">K4-J4</f>
        <v>3.125E-2</v>
      </c>
      <c r="O4" s="16">
        <f t="shared" ref="O4:O64" si="1">N4-D4</f>
        <v>0</v>
      </c>
      <c r="P4" s="16">
        <v>6.9444444444444397E-3</v>
      </c>
      <c r="Q4" s="16">
        <v>0.24652777777777779</v>
      </c>
      <c r="R4" s="16">
        <f t="shared" ref="R4:R67" si="2">Q4-P4-K4</f>
        <v>3.4722222222222099E-3</v>
      </c>
      <c r="S4" s="16">
        <v>0.25</v>
      </c>
      <c r="T4" s="16">
        <f>VLOOKUP(E4,'[2]21-3-2026'!E$3:T$35,16,FALSE)</f>
        <v>4.1666666666666699E-2</v>
      </c>
      <c r="U4" s="16">
        <v>0.2951388888888889</v>
      </c>
      <c r="V4" s="16">
        <f t="shared" ref="V4:V66" si="3">U4-T4-S4</f>
        <v>3.4722222222222099E-3</v>
      </c>
      <c r="W4" s="16">
        <v>4.1666666666666664E-2</v>
      </c>
      <c r="X4" s="16">
        <v>0.33333333333333331</v>
      </c>
      <c r="Y4" s="16">
        <v>0.36458333333333331</v>
      </c>
      <c r="Z4" s="16">
        <f t="shared" ref="Z4:Z67" si="4">Y4-X4</f>
        <v>3.125E-2</v>
      </c>
      <c r="AA4" s="16">
        <v>0</v>
      </c>
      <c r="AB4" s="16">
        <v>0.36805555555555558</v>
      </c>
      <c r="AC4" s="17"/>
      <c r="AD4" s="48"/>
    </row>
    <row r="5" spans="1:30" ht="19.5" thickBot="1" x14ac:dyDescent="0.3">
      <c r="A5" s="14">
        <v>3</v>
      </c>
      <c r="B5" s="15">
        <v>2714</v>
      </c>
      <c r="C5" s="15" t="str">
        <f>VLOOKUP(B5,داتا!$B$3:$D$107,2,FALSE)</f>
        <v>تلتين</v>
      </c>
      <c r="D5" s="34">
        <f>VLOOKUP(B5,داتا!$B$3:$D$107,3,FALSE)</f>
        <v>3.125E-2</v>
      </c>
      <c r="E5" s="15" t="s">
        <v>34</v>
      </c>
      <c r="F5" s="15" t="s">
        <v>114</v>
      </c>
      <c r="G5" s="16">
        <v>0.25</v>
      </c>
      <c r="H5" s="16">
        <v>0.2673611111111111</v>
      </c>
      <c r="I5" s="16">
        <f t="shared" ref="I5:I67" si="5">H5-G5</f>
        <v>1.7361111111111105E-2</v>
      </c>
      <c r="J5" s="16">
        <v>0.23958333333333334</v>
      </c>
      <c r="K5" s="16">
        <v>0.27430555555555552</v>
      </c>
      <c r="L5" s="16" t="s">
        <v>137</v>
      </c>
      <c r="M5" s="16" t="s">
        <v>137</v>
      </c>
      <c r="N5" s="16">
        <f t="shared" si="0"/>
        <v>3.4722222222222182E-2</v>
      </c>
      <c r="O5" s="16">
        <f t="shared" si="1"/>
        <v>3.4722222222221821E-3</v>
      </c>
      <c r="P5" s="16">
        <v>6.9444444444444397E-3</v>
      </c>
      <c r="Q5" s="16">
        <v>0.28125</v>
      </c>
      <c r="R5" s="16">
        <f t="shared" si="2"/>
        <v>0</v>
      </c>
      <c r="S5" s="16">
        <v>0.28472222222222221</v>
      </c>
      <c r="T5" s="16">
        <f>VLOOKUP(E5,'[2]21-3-2026'!E$3:T$35,16,FALSE)</f>
        <v>1.0416666666666701E-2</v>
      </c>
      <c r="U5" s="16">
        <v>0.31597222222222221</v>
      </c>
      <c r="V5" s="16">
        <f t="shared" si="3"/>
        <v>2.0833333333333315E-2</v>
      </c>
      <c r="W5" s="16">
        <v>4.1666666666666664E-2</v>
      </c>
      <c r="X5" s="16">
        <v>0.33819444444444446</v>
      </c>
      <c r="Y5" s="16">
        <v>0.39930555555555558</v>
      </c>
      <c r="Z5" s="16">
        <f t="shared" si="4"/>
        <v>6.1111111111111116E-2</v>
      </c>
      <c r="AA5" s="16">
        <f t="shared" ref="AA5:AA66" si="6">Z5-W5</f>
        <v>1.9444444444444452E-2</v>
      </c>
      <c r="AB5" s="16">
        <v>0.40625</v>
      </c>
      <c r="AC5" s="17"/>
      <c r="AD5" s="48"/>
    </row>
    <row r="6" spans="1:30" ht="19.5" thickBot="1" x14ac:dyDescent="0.3">
      <c r="A6" s="14">
        <v>4</v>
      </c>
      <c r="B6" s="15">
        <v>4987</v>
      </c>
      <c r="C6" s="15" t="str">
        <f>VLOOKUP(B6,داتا!$B$3:$D$107,2,FALSE)</f>
        <v>تلتين</v>
      </c>
      <c r="D6" s="34">
        <f>VLOOKUP(B6,داتا!$B$3:$D$107,3,FALSE)</f>
        <v>3.125E-2</v>
      </c>
      <c r="E6" s="15" t="s">
        <v>79</v>
      </c>
      <c r="F6" s="15" t="s">
        <v>145</v>
      </c>
      <c r="G6" s="16">
        <v>0.25</v>
      </c>
      <c r="H6" s="16">
        <v>0.26041666666666669</v>
      </c>
      <c r="I6" s="16">
        <f t="shared" si="5"/>
        <v>1.0416666666666685E-2</v>
      </c>
      <c r="J6" s="16">
        <v>0.28125</v>
      </c>
      <c r="K6" s="16">
        <v>0.29166666666666669</v>
      </c>
      <c r="L6" s="16" t="s">
        <v>137</v>
      </c>
      <c r="M6" s="16" t="s">
        <v>137</v>
      </c>
      <c r="N6" s="16">
        <f t="shared" si="0"/>
        <v>1.0416666666666685E-2</v>
      </c>
      <c r="O6" s="16">
        <v>0</v>
      </c>
      <c r="P6" s="16">
        <v>6.9444444444444397E-3</v>
      </c>
      <c r="Q6" s="16">
        <v>0.29166666666666669</v>
      </c>
      <c r="R6" s="16">
        <v>0</v>
      </c>
      <c r="S6" s="16">
        <v>0.30208333333333331</v>
      </c>
      <c r="T6" s="16">
        <f>VLOOKUP(E6,'[2]21-3-2026'!E$3:T$35,16,FALSE)</f>
        <v>2.0833333333333301E-2</v>
      </c>
      <c r="U6" s="16">
        <v>0.34722222222222227</v>
      </c>
      <c r="V6" s="16">
        <f t="shared" si="3"/>
        <v>2.4305555555555636E-2</v>
      </c>
      <c r="W6" s="16">
        <v>4.1666666666666664E-2</v>
      </c>
      <c r="X6" s="16">
        <v>0.35069444444444442</v>
      </c>
      <c r="Y6" s="16">
        <v>0.36805555555555558</v>
      </c>
      <c r="Z6" s="16">
        <f t="shared" si="4"/>
        <v>1.736111111111116E-2</v>
      </c>
      <c r="AA6" s="16">
        <v>0</v>
      </c>
      <c r="AB6" s="16">
        <v>0.37152777777777773</v>
      </c>
      <c r="AC6" s="17"/>
      <c r="AD6" s="48"/>
    </row>
    <row r="7" spans="1:30" ht="19.5" thickBot="1" x14ac:dyDescent="0.3">
      <c r="A7" s="14">
        <v>5</v>
      </c>
      <c r="B7" s="15">
        <v>2917</v>
      </c>
      <c r="C7" s="15" t="str">
        <f>VLOOKUP(B7,داتا!$B$3:$D$107,2,FALSE)</f>
        <v>تلتين</v>
      </c>
      <c r="D7" s="34">
        <f>VLOOKUP(B7,داتا!$B$3:$D$107,3,FALSE)</f>
        <v>3.125E-2</v>
      </c>
      <c r="E7" s="15" t="s">
        <v>38</v>
      </c>
      <c r="F7" s="15" t="s">
        <v>36</v>
      </c>
      <c r="G7" s="16">
        <v>0.25</v>
      </c>
      <c r="H7" s="16">
        <v>0.23958333333333334</v>
      </c>
      <c r="I7" s="16">
        <v>0</v>
      </c>
      <c r="J7" s="16">
        <v>0.20833333333333334</v>
      </c>
      <c r="K7" s="16">
        <v>0.25694444444444448</v>
      </c>
      <c r="L7" s="16" t="s">
        <v>138</v>
      </c>
      <c r="M7" s="16" t="s">
        <v>138</v>
      </c>
      <c r="N7" s="16">
        <f t="shared" si="0"/>
        <v>4.8611111111111133E-2</v>
      </c>
      <c r="O7" s="16">
        <f t="shared" si="1"/>
        <v>1.7361111111111133E-2</v>
      </c>
      <c r="P7" s="16">
        <v>6.9444444444444397E-3</v>
      </c>
      <c r="Q7" s="16">
        <v>0.2673611111111111</v>
      </c>
      <c r="R7" s="16">
        <f t="shared" si="2"/>
        <v>3.4722222222222099E-3</v>
      </c>
      <c r="S7" s="16">
        <v>0.2638888888888889</v>
      </c>
      <c r="T7" s="16">
        <f>VLOOKUP(E7,'[2]21-3-2026'!E$3:T$35,16,FALSE)</f>
        <v>1.0416666666666666E-2</v>
      </c>
      <c r="U7" s="16">
        <v>0.29166666666666669</v>
      </c>
      <c r="V7" s="16">
        <f t="shared" si="3"/>
        <v>1.7361111111111105E-2</v>
      </c>
      <c r="W7" s="16">
        <v>3.125E-2</v>
      </c>
      <c r="X7" s="16">
        <v>0.29652777777777778</v>
      </c>
      <c r="Y7" s="16">
        <v>0.32083333333333336</v>
      </c>
      <c r="Z7" s="16">
        <f t="shared" si="4"/>
        <v>2.430555555555558E-2</v>
      </c>
      <c r="AA7" s="16">
        <v>0</v>
      </c>
      <c r="AB7" s="16">
        <v>0.32291666666666669</v>
      </c>
      <c r="AC7" s="17"/>
      <c r="AD7" s="48"/>
    </row>
    <row r="8" spans="1:30" ht="19.5" thickBot="1" x14ac:dyDescent="0.3">
      <c r="A8" s="14">
        <v>6</v>
      </c>
      <c r="B8" s="15">
        <v>2917</v>
      </c>
      <c r="C8" s="15" t="str">
        <f>VLOOKUP(B8,داتا!$B$3:$D$107,2,FALSE)</f>
        <v>تلتين</v>
      </c>
      <c r="D8" s="34">
        <f>VLOOKUP(B8,داتا!$B$3:$D$107,3,FALSE)</f>
        <v>3.125E-2</v>
      </c>
      <c r="E8" s="15" t="s">
        <v>73</v>
      </c>
      <c r="F8" s="15" t="s">
        <v>36</v>
      </c>
      <c r="G8" s="16">
        <v>0.25</v>
      </c>
      <c r="H8" s="16">
        <v>0.23958333333333334</v>
      </c>
      <c r="I8" s="16">
        <v>0</v>
      </c>
      <c r="J8" s="16">
        <v>0.20833333333333334</v>
      </c>
      <c r="K8" s="16">
        <v>0.25694444444444448</v>
      </c>
      <c r="L8" s="16" t="s">
        <v>138</v>
      </c>
      <c r="M8" s="16" t="s">
        <v>138</v>
      </c>
      <c r="N8" s="16">
        <f t="shared" si="0"/>
        <v>4.8611111111111133E-2</v>
      </c>
      <c r="O8" s="16">
        <f t="shared" si="1"/>
        <v>1.7361111111111133E-2</v>
      </c>
      <c r="P8" s="16">
        <v>6.9444444444444397E-3</v>
      </c>
      <c r="Q8" s="16">
        <v>0.2673611111111111</v>
      </c>
      <c r="R8" s="16">
        <f t="shared" si="2"/>
        <v>3.4722222222222099E-3</v>
      </c>
      <c r="S8" s="16">
        <v>0.2638888888888889</v>
      </c>
      <c r="T8" s="16">
        <f>VLOOKUP(E8,'[2]21-3-2026'!E$3:T$35,16,FALSE)</f>
        <v>3.4722222222222203E-2</v>
      </c>
      <c r="U8" s="16">
        <v>0.33333333333333331</v>
      </c>
      <c r="V8" s="16">
        <v>0</v>
      </c>
      <c r="W8" s="16">
        <v>4.1666666666666664E-2</v>
      </c>
      <c r="X8" s="16">
        <v>0.34027777777777773</v>
      </c>
      <c r="Y8" s="16">
        <v>0.37152777777777773</v>
      </c>
      <c r="Z8" s="16">
        <f t="shared" si="4"/>
        <v>3.125E-2</v>
      </c>
      <c r="AA8" s="16">
        <v>0</v>
      </c>
      <c r="AB8" s="16">
        <v>0.375</v>
      </c>
      <c r="AC8" s="18"/>
      <c r="AD8" s="48"/>
    </row>
    <row r="9" spans="1:30" ht="19.5" thickBot="1" x14ac:dyDescent="0.3">
      <c r="A9" s="14">
        <v>7</v>
      </c>
      <c r="B9" s="15">
        <v>3793</v>
      </c>
      <c r="C9" s="15" t="str">
        <f>VLOOKUP(B9,داتا!$B$3:$D$107,2,FALSE)</f>
        <v>دبابة</v>
      </c>
      <c r="D9" s="34">
        <f>VLOOKUP(B9,داتا!$B$3:$D$107,3,FALSE)</f>
        <v>2.0833333333333301E-2</v>
      </c>
      <c r="E9" s="15" t="s">
        <v>35</v>
      </c>
      <c r="F9" s="15" t="s">
        <v>93</v>
      </c>
      <c r="G9" s="16">
        <v>0.25</v>
      </c>
      <c r="H9" s="16">
        <v>0.2638888888888889</v>
      </c>
      <c r="I9" s="16">
        <f t="shared" si="5"/>
        <v>1.3888888888888895E-2</v>
      </c>
      <c r="J9" s="16">
        <v>0.2638888888888889</v>
      </c>
      <c r="K9" s="16">
        <v>0.27430555555555552</v>
      </c>
      <c r="L9" s="16" t="s">
        <v>138</v>
      </c>
      <c r="M9" s="16" t="s">
        <v>138</v>
      </c>
      <c r="N9" s="16">
        <f t="shared" si="0"/>
        <v>1.041666666666663E-2</v>
      </c>
      <c r="O9" s="16">
        <v>0</v>
      </c>
      <c r="P9" s="16">
        <v>6.9444444444444397E-3</v>
      </c>
      <c r="Q9" s="16">
        <v>0.28819444444444448</v>
      </c>
      <c r="R9" s="16">
        <f t="shared" si="2"/>
        <v>6.9444444444445308E-3</v>
      </c>
      <c r="S9" s="16">
        <v>0.28472222222222221</v>
      </c>
      <c r="T9" s="16">
        <f>VLOOKUP(E9,'[2]21-3-2026'!E$3:T$35,16,FALSE)</f>
        <v>3.4722222222222203E-2</v>
      </c>
      <c r="U9" s="16">
        <v>0.32291666666666669</v>
      </c>
      <c r="V9" s="16">
        <f t="shared" si="3"/>
        <v>3.4722222222222654E-3</v>
      </c>
      <c r="W9" s="16">
        <v>3.125E-2</v>
      </c>
      <c r="X9" s="16">
        <v>0.33680555555555558</v>
      </c>
      <c r="Y9" s="16">
        <v>0.36458333333333331</v>
      </c>
      <c r="Z9" s="16">
        <f t="shared" si="4"/>
        <v>2.7777777777777735E-2</v>
      </c>
      <c r="AA9" s="16">
        <v>0</v>
      </c>
      <c r="AB9" s="16">
        <v>0.36805555555555558</v>
      </c>
      <c r="AC9" s="17"/>
      <c r="AD9" s="48"/>
    </row>
    <row r="10" spans="1:30" ht="19.5" thickBot="1" x14ac:dyDescent="0.3">
      <c r="A10" s="14">
        <v>8</v>
      </c>
      <c r="B10" s="15">
        <v>5898</v>
      </c>
      <c r="C10" s="15" t="str">
        <f>VLOOKUP(B10,داتا!$B$3:$D$107,2,FALSE)</f>
        <v>تلتين</v>
      </c>
      <c r="D10" s="34">
        <f>VLOOKUP(B10,داتا!$B$3:$D$107,3,FALSE)</f>
        <v>3.125E-2</v>
      </c>
      <c r="E10" s="15" t="s">
        <v>57</v>
      </c>
      <c r="F10" s="15" t="s">
        <v>66</v>
      </c>
      <c r="G10" s="16">
        <v>0.25</v>
      </c>
      <c r="H10" s="16">
        <v>0.23958333333333334</v>
      </c>
      <c r="I10" s="16">
        <v>0</v>
      </c>
      <c r="J10" s="16">
        <v>0.1875</v>
      </c>
      <c r="K10" s="16">
        <v>0.21527777777777779</v>
      </c>
      <c r="L10" s="16" t="s">
        <v>166</v>
      </c>
      <c r="M10" s="16" t="s">
        <v>166</v>
      </c>
      <c r="N10" s="16">
        <f t="shared" si="0"/>
        <v>2.777777777777779E-2</v>
      </c>
      <c r="O10" s="16">
        <v>0</v>
      </c>
      <c r="P10" s="16">
        <v>6.9444444444444397E-3</v>
      </c>
      <c r="Q10" s="16">
        <v>0.22916666666666666</v>
      </c>
      <c r="R10" s="16">
        <f t="shared" si="2"/>
        <v>6.9444444444444198E-3</v>
      </c>
      <c r="S10" s="16">
        <v>0.2638888888888889</v>
      </c>
      <c r="T10" s="16">
        <f>VLOOKUP(E10,'[2]21-3-2026'!E$3:T$35,16,FALSE)</f>
        <v>1.7361111111111101E-2</v>
      </c>
      <c r="U10" s="16">
        <v>0.28819444444444448</v>
      </c>
      <c r="V10" s="16">
        <f t="shared" si="3"/>
        <v>6.9444444444444753E-3</v>
      </c>
      <c r="W10" s="16">
        <v>3.125E-2</v>
      </c>
      <c r="X10" s="16">
        <v>0.29166666666666669</v>
      </c>
      <c r="Y10" s="16">
        <v>0.3298611111111111</v>
      </c>
      <c r="Z10" s="16">
        <f t="shared" si="4"/>
        <v>3.819444444444442E-2</v>
      </c>
      <c r="AA10" s="16">
        <f t="shared" si="6"/>
        <v>6.9444444444444198E-3</v>
      </c>
      <c r="AB10" s="16">
        <v>0.33333333333333331</v>
      </c>
      <c r="AC10" s="17"/>
      <c r="AD10" s="48"/>
    </row>
    <row r="11" spans="1:30" ht="19.5" thickBot="1" x14ac:dyDescent="0.3">
      <c r="A11" s="14">
        <v>9</v>
      </c>
      <c r="B11" s="15">
        <v>5898</v>
      </c>
      <c r="C11" s="15" t="str">
        <f>VLOOKUP(B11,داتا!$B$3:$D$107,2,FALSE)</f>
        <v>تلتين</v>
      </c>
      <c r="D11" s="34">
        <f>VLOOKUP(B11,داتا!$B$3:$D$107,3,FALSE)</f>
        <v>3.125E-2</v>
      </c>
      <c r="E11" s="15" t="s">
        <v>60</v>
      </c>
      <c r="F11" s="15" t="s">
        <v>66</v>
      </c>
      <c r="G11" s="16">
        <v>0.25</v>
      </c>
      <c r="H11" s="16">
        <v>0.23958333333333334</v>
      </c>
      <c r="I11" s="16">
        <v>0</v>
      </c>
      <c r="J11" s="16">
        <v>0.1875</v>
      </c>
      <c r="K11" s="16">
        <v>0.21527777777777779</v>
      </c>
      <c r="L11" s="16" t="s">
        <v>166</v>
      </c>
      <c r="M11" s="16" t="s">
        <v>166</v>
      </c>
      <c r="N11" s="16">
        <f t="shared" si="0"/>
        <v>2.777777777777779E-2</v>
      </c>
      <c r="O11" s="16">
        <v>0</v>
      </c>
      <c r="P11" s="16">
        <v>6.9444444444444397E-3</v>
      </c>
      <c r="Q11" s="16">
        <v>0.22916666666666666</v>
      </c>
      <c r="R11" s="16">
        <f t="shared" si="2"/>
        <v>6.9444444444444198E-3</v>
      </c>
      <c r="S11" s="16">
        <v>0.2638888888888889</v>
      </c>
      <c r="T11" s="16">
        <f>VLOOKUP(E11,'[2]21-3-2026'!E$3:T$35,16,FALSE)</f>
        <v>1.0416666666666701E-2</v>
      </c>
      <c r="U11" s="16">
        <v>0.34027777777777773</v>
      </c>
      <c r="V11" s="16">
        <v>0</v>
      </c>
      <c r="W11" s="16">
        <v>4.1666666666666664E-2</v>
      </c>
      <c r="X11" s="16">
        <v>0.34375</v>
      </c>
      <c r="Y11" s="16">
        <v>0.37847222222222227</v>
      </c>
      <c r="Z11" s="16">
        <f t="shared" si="4"/>
        <v>3.4722222222222265E-2</v>
      </c>
      <c r="AA11" s="16">
        <v>0</v>
      </c>
      <c r="AB11" s="16">
        <v>0.38194444444444442</v>
      </c>
      <c r="AC11" s="17"/>
      <c r="AD11" s="48"/>
    </row>
    <row r="12" spans="1:30" ht="19.5" thickBot="1" x14ac:dyDescent="0.3">
      <c r="A12" s="14">
        <v>10</v>
      </c>
      <c r="B12" s="15">
        <v>7464</v>
      </c>
      <c r="C12" s="15" t="str">
        <f>VLOOKUP(B12,داتا!$B$3:$D$107,2,FALSE)</f>
        <v>تلتين</v>
      </c>
      <c r="D12" s="34">
        <f>VLOOKUP(B12,داتا!$B$3:$D$107,3,FALSE)</f>
        <v>3.125E-2</v>
      </c>
      <c r="E12" s="15" t="s">
        <v>61</v>
      </c>
      <c r="F12" s="15" t="s">
        <v>47</v>
      </c>
      <c r="G12" s="16">
        <v>0.25</v>
      </c>
      <c r="H12" s="16">
        <v>0.25</v>
      </c>
      <c r="I12" s="16">
        <v>0</v>
      </c>
      <c r="J12" s="16">
        <v>0.22916666666666666</v>
      </c>
      <c r="K12" s="16">
        <v>0.25694444444444448</v>
      </c>
      <c r="L12" s="16" t="s">
        <v>166</v>
      </c>
      <c r="M12" s="16" t="s">
        <v>166</v>
      </c>
      <c r="N12" s="16">
        <f t="shared" si="0"/>
        <v>2.7777777777777818E-2</v>
      </c>
      <c r="O12" s="16">
        <v>0</v>
      </c>
      <c r="P12" s="16">
        <v>6.9444444444444397E-3</v>
      </c>
      <c r="Q12" s="16">
        <v>0.2673611111111111</v>
      </c>
      <c r="R12" s="16">
        <f t="shared" si="2"/>
        <v>3.4722222222222099E-3</v>
      </c>
      <c r="S12" s="16">
        <v>0.2638888888888889</v>
      </c>
      <c r="T12" s="16">
        <f>VLOOKUP(E12,'[2]21-3-2026'!E$3:T$35,16,FALSE)</f>
        <v>3.4722222222222203E-2</v>
      </c>
      <c r="U12" s="16">
        <v>0.2986111111111111</v>
      </c>
      <c r="V12" s="16">
        <f t="shared" si="3"/>
        <v>0</v>
      </c>
      <c r="W12" s="16">
        <v>3.125E-2</v>
      </c>
      <c r="X12" s="16">
        <v>0.3347222222222222</v>
      </c>
      <c r="Y12" s="16">
        <v>0.3611111111111111</v>
      </c>
      <c r="Z12" s="16">
        <f t="shared" si="4"/>
        <v>2.6388888888888906E-2</v>
      </c>
      <c r="AA12" s="16">
        <v>0</v>
      </c>
      <c r="AB12" s="16">
        <v>0.36319444444444443</v>
      </c>
      <c r="AC12" s="17"/>
      <c r="AD12" s="48"/>
    </row>
    <row r="13" spans="1:30" ht="19.5" thickBot="1" x14ac:dyDescent="0.3">
      <c r="A13" s="14">
        <v>11</v>
      </c>
      <c r="B13" s="15">
        <v>7464</v>
      </c>
      <c r="C13" s="15" t="str">
        <f>VLOOKUP(B13,داتا!$B$3:$D$107,2,FALSE)</f>
        <v>تلتين</v>
      </c>
      <c r="D13" s="34">
        <f>VLOOKUP(B13,داتا!$B$3:$D$107,3,FALSE)</f>
        <v>3.125E-2</v>
      </c>
      <c r="E13" s="15" t="s">
        <v>55</v>
      </c>
      <c r="F13" s="15" t="s">
        <v>47</v>
      </c>
      <c r="G13" s="16">
        <v>0.25</v>
      </c>
      <c r="H13" s="16">
        <v>0.25</v>
      </c>
      <c r="I13" s="16">
        <v>0</v>
      </c>
      <c r="J13" s="16">
        <v>0.22916666666666666</v>
      </c>
      <c r="K13" s="16">
        <v>0.25694444444444448</v>
      </c>
      <c r="L13" s="16" t="s">
        <v>166</v>
      </c>
      <c r="M13" s="16" t="s">
        <v>166</v>
      </c>
      <c r="N13" s="16">
        <f t="shared" si="0"/>
        <v>2.7777777777777818E-2</v>
      </c>
      <c r="O13" s="16">
        <v>0</v>
      </c>
      <c r="P13" s="16">
        <v>6.9444444444444397E-3</v>
      </c>
      <c r="Q13" s="16">
        <v>0.2673611111111111</v>
      </c>
      <c r="R13" s="16">
        <f t="shared" si="2"/>
        <v>3.4722222222222099E-3</v>
      </c>
      <c r="S13" s="16">
        <v>0.2638888888888889</v>
      </c>
      <c r="T13" s="16">
        <f>VLOOKUP(E13,'[2]21-3-2026'!E$3:T$35,16,FALSE)</f>
        <v>3.8194444444444399E-2</v>
      </c>
      <c r="U13" s="16">
        <v>0.37847222222222227</v>
      </c>
      <c r="V13" s="16">
        <v>0</v>
      </c>
      <c r="W13" s="16">
        <v>4.1666666666666664E-2</v>
      </c>
      <c r="X13" s="16">
        <v>0.38194444444444442</v>
      </c>
      <c r="Y13" s="16">
        <v>0.41319444444444442</v>
      </c>
      <c r="Z13" s="16">
        <f t="shared" si="4"/>
        <v>3.125E-2</v>
      </c>
      <c r="AA13" s="16">
        <v>0</v>
      </c>
      <c r="AB13" s="16">
        <v>0.41666666666666669</v>
      </c>
      <c r="AC13" s="18"/>
      <c r="AD13" s="48"/>
    </row>
    <row r="14" spans="1:30" ht="19.5" thickBot="1" x14ac:dyDescent="0.3">
      <c r="A14" s="14">
        <v>12</v>
      </c>
      <c r="B14" s="15">
        <v>4879</v>
      </c>
      <c r="C14" s="15" t="str">
        <f>VLOOKUP(B14,داتا!$B$3:$D$107,2,FALSE)</f>
        <v>دبابة</v>
      </c>
      <c r="D14" s="34">
        <f>VLOOKUP(B14,داتا!$B$3:$D$107,3,FALSE)</f>
        <v>2.0833333333333301E-2</v>
      </c>
      <c r="E14" s="15" t="s">
        <v>98</v>
      </c>
      <c r="F14" s="15" t="s">
        <v>80</v>
      </c>
      <c r="G14" s="16">
        <v>0.25</v>
      </c>
      <c r="H14" s="16">
        <v>0.25</v>
      </c>
      <c r="I14" s="16">
        <f t="shared" si="5"/>
        <v>0</v>
      </c>
      <c r="J14" s="16">
        <v>0.2673611111111111</v>
      </c>
      <c r="K14" s="16">
        <v>0.28125</v>
      </c>
      <c r="L14" s="16" t="s">
        <v>166</v>
      </c>
      <c r="M14" s="16" t="s">
        <v>166</v>
      </c>
      <c r="N14" s="16">
        <f t="shared" si="0"/>
        <v>1.3888888888888895E-2</v>
      </c>
      <c r="O14" s="16">
        <v>0</v>
      </c>
      <c r="P14" s="16">
        <v>6.9444444444444397E-3</v>
      </c>
      <c r="Q14" s="16">
        <v>0.28472222222222221</v>
      </c>
      <c r="R14" s="16">
        <v>0</v>
      </c>
      <c r="S14" s="16">
        <v>0.28472222222222221</v>
      </c>
      <c r="T14" s="16">
        <f>VLOOKUP(E14,'[2]21-3-2026'!E$3:T$35,16,FALSE)</f>
        <v>4.8611111111111103E-3</v>
      </c>
      <c r="U14" s="16">
        <v>0.2986111111111111</v>
      </c>
      <c r="V14" s="16">
        <f t="shared" si="3"/>
        <v>9.0277777777778012E-3</v>
      </c>
      <c r="W14" s="16">
        <v>3.125E-2</v>
      </c>
      <c r="X14" s="16">
        <v>0.33333333333333331</v>
      </c>
      <c r="Y14" s="16">
        <v>0.36458333333333331</v>
      </c>
      <c r="Z14" s="16">
        <f t="shared" si="4"/>
        <v>3.125E-2</v>
      </c>
      <c r="AA14" s="16">
        <f t="shared" si="6"/>
        <v>0</v>
      </c>
      <c r="AB14" s="16">
        <v>0.36736111111111108</v>
      </c>
      <c r="AC14" s="17"/>
      <c r="AD14" s="48"/>
    </row>
    <row r="15" spans="1:30" ht="19.5" thickBot="1" x14ac:dyDescent="0.3">
      <c r="A15" s="14">
        <v>13</v>
      </c>
      <c r="B15" s="15">
        <v>1454</v>
      </c>
      <c r="C15" s="15" t="str">
        <f>VLOOKUP(B15,داتا!$B$3:$D$107,2,FALSE)</f>
        <v>تلتين</v>
      </c>
      <c r="D15" s="34">
        <f>VLOOKUP(B15,داتا!$B$3:$D$107,3,FALSE)</f>
        <v>3.125E-2</v>
      </c>
      <c r="E15" s="15" t="s">
        <v>45</v>
      </c>
      <c r="F15" s="15" t="s">
        <v>43</v>
      </c>
      <c r="G15" s="16">
        <v>0.25</v>
      </c>
      <c r="H15" s="16">
        <v>0.25</v>
      </c>
      <c r="I15" s="16">
        <v>0</v>
      </c>
      <c r="J15" s="16">
        <v>0.1875</v>
      </c>
      <c r="K15" s="16">
        <v>0.22569444444444445</v>
      </c>
      <c r="L15" s="16" t="s">
        <v>140</v>
      </c>
      <c r="M15" s="16" t="s">
        <v>140</v>
      </c>
      <c r="N15" s="16">
        <f t="shared" si="0"/>
        <v>3.8194444444444448E-2</v>
      </c>
      <c r="O15" s="16">
        <f t="shared" si="1"/>
        <v>6.9444444444444475E-3</v>
      </c>
      <c r="P15" s="16">
        <v>6.9444444444444397E-3</v>
      </c>
      <c r="Q15" s="16">
        <v>0.23263888888888887</v>
      </c>
      <c r="R15" s="16">
        <f t="shared" si="2"/>
        <v>0</v>
      </c>
      <c r="S15" s="16">
        <v>0.26041666666666669</v>
      </c>
      <c r="T15" s="16">
        <f>VLOOKUP(E15,'[2]21-3-2026'!E$3:T$35,16,FALSE)</f>
        <v>1.38888888888889E-2</v>
      </c>
      <c r="U15" s="16">
        <v>0.28819444444444448</v>
      </c>
      <c r="V15" s="16">
        <f t="shared" si="3"/>
        <v>1.3888888888888895E-2</v>
      </c>
      <c r="W15" s="16">
        <v>3.125E-2</v>
      </c>
      <c r="X15" s="16">
        <v>0.2951388888888889</v>
      </c>
      <c r="Y15" s="16">
        <v>0.33333333333333331</v>
      </c>
      <c r="Z15" s="16">
        <f t="shared" si="4"/>
        <v>3.819444444444442E-2</v>
      </c>
      <c r="AA15" s="16">
        <f t="shared" si="6"/>
        <v>6.9444444444444198E-3</v>
      </c>
      <c r="AB15" s="16">
        <v>0.33680555555555558</v>
      </c>
      <c r="AC15" s="17"/>
      <c r="AD15" s="48"/>
    </row>
    <row r="16" spans="1:30" ht="19.5" thickBot="1" x14ac:dyDescent="0.3">
      <c r="A16" s="14">
        <v>14</v>
      </c>
      <c r="B16" s="15">
        <v>1454</v>
      </c>
      <c r="C16" s="15" t="str">
        <f>VLOOKUP(B16,داتا!$B$3:$D$107,2,FALSE)</f>
        <v>تلتين</v>
      </c>
      <c r="D16" s="34">
        <f>VLOOKUP(B16,داتا!$B$3:$D$107,3,FALSE)</f>
        <v>3.125E-2</v>
      </c>
      <c r="E16" s="15" t="s">
        <v>42</v>
      </c>
      <c r="F16" s="15" t="s">
        <v>43</v>
      </c>
      <c r="G16" s="16">
        <v>0.25</v>
      </c>
      <c r="H16" s="16">
        <v>0.25</v>
      </c>
      <c r="I16" s="16">
        <v>0</v>
      </c>
      <c r="J16" s="16">
        <v>0.1875</v>
      </c>
      <c r="K16" s="16">
        <v>0.22569444444444445</v>
      </c>
      <c r="L16" s="16" t="s">
        <v>140</v>
      </c>
      <c r="M16" s="16" t="s">
        <v>140</v>
      </c>
      <c r="N16" s="16">
        <f t="shared" si="0"/>
        <v>3.8194444444444448E-2</v>
      </c>
      <c r="O16" s="16">
        <f t="shared" si="1"/>
        <v>6.9444444444444475E-3</v>
      </c>
      <c r="P16" s="16">
        <v>6.9444444444444397E-3</v>
      </c>
      <c r="Q16" s="16">
        <v>0.23263888888888887</v>
      </c>
      <c r="R16" s="16">
        <f t="shared" si="2"/>
        <v>0</v>
      </c>
      <c r="S16" s="16">
        <v>0.26041666666666669</v>
      </c>
      <c r="T16" s="16">
        <f>VLOOKUP(E16,'[2]21-3-2026'!E$3:T$35,16,FALSE)</f>
        <v>1.7361111111111101E-2</v>
      </c>
      <c r="U16" s="16">
        <v>0.34375</v>
      </c>
      <c r="V16" s="16">
        <v>0</v>
      </c>
      <c r="W16" s="16">
        <v>4.1666666666666664E-2</v>
      </c>
      <c r="X16" s="16">
        <v>0.35069444444444442</v>
      </c>
      <c r="Y16" s="16">
        <v>0.3923611111111111</v>
      </c>
      <c r="Z16" s="16">
        <f t="shared" si="4"/>
        <v>4.1666666666666685E-2</v>
      </c>
      <c r="AA16" s="16">
        <f t="shared" si="6"/>
        <v>0</v>
      </c>
      <c r="AB16" s="16">
        <v>0.39583333333333331</v>
      </c>
      <c r="AC16" s="17"/>
      <c r="AD16" s="48"/>
    </row>
    <row r="17" spans="1:30" ht="19.5" thickBot="1" x14ac:dyDescent="0.3">
      <c r="A17" s="14">
        <v>15</v>
      </c>
      <c r="B17" s="15">
        <v>2694</v>
      </c>
      <c r="C17" s="15" t="str">
        <f>VLOOKUP(B17,داتا!$B$3:$D$107,2,FALSE)</f>
        <v>تلتين</v>
      </c>
      <c r="D17" s="34">
        <f>VLOOKUP(B17,داتا!$B$3:$D$107,3,FALSE)</f>
        <v>3.125E-2</v>
      </c>
      <c r="E17" s="15" t="s">
        <v>70</v>
      </c>
      <c r="F17" s="15" t="s">
        <v>151</v>
      </c>
      <c r="G17" s="16">
        <v>0.25</v>
      </c>
      <c r="H17" s="16">
        <v>0.25</v>
      </c>
      <c r="I17" s="16">
        <f t="shared" si="5"/>
        <v>0</v>
      </c>
      <c r="J17" s="16">
        <v>0.23263888888888887</v>
      </c>
      <c r="K17" s="16">
        <v>0.25694444444444448</v>
      </c>
      <c r="L17" s="16" t="s">
        <v>140</v>
      </c>
      <c r="M17" s="16" t="s">
        <v>140</v>
      </c>
      <c r="N17" s="16">
        <f t="shared" si="0"/>
        <v>2.4305555555555608E-2</v>
      </c>
      <c r="O17" s="16">
        <v>0</v>
      </c>
      <c r="P17" s="16">
        <v>6.9444444444444397E-3</v>
      </c>
      <c r="Q17" s="16">
        <v>0.26041666666666669</v>
      </c>
      <c r="R17" s="16">
        <v>0</v>
      </c>
      <c r="S17" s="16">
        <v>0.26041666666666669</v>
      </c>
      <c r="T17" s="16">
        <f>VLOOKUP(E17,'[2]21-3-2026'!E$3:T$35,16,FALSE)</f>
        <v>1.0416666666666701E-2</v>
      </c>
      <c r="U17" s="16">
        <v>0.27430555555555552</v>
      </c>
      <c r="V17" s="16">
        <f t="shared" si="3"/>
        <v>3.4722222222221544E-3</v>
      </c>
      <c r="W17" s="16">
        <v>3.125E-2</v>
      </c>
      <c r="X17" s="16">
        <v>0.30277777777777776</v>
      </c>
      <c r="Y17" s="16">
        <v>0.3263888888888889</v>
      </c>
      <c r="Z17" s="16">
        <f t="shared" si="4"/>
        <v>2.3611111111111138E-2</v>
      </c>
      <c r="AA17" s="16">
        <v>0</v>
      </c>
      <c r="AB17" s="16">
        <v>0.3298611111111111</v>
      </c>
      <c r="AC17" s="17"/>
      <c r="AD17" s="48"/>
    </row>
    <row r="18" spans="1:30" ht="19.5" thickBot="1" x14ac:dyDescent="0.3">
      <c r="A18" s="14">
        <v>16</v>
      </c>
      <c r="B18" s="15">
        <v>2694</v>
      </c>
      <c r="C18" s="15" t="str">
        <f>VLOOKUP(B18,داتا!$B$3:$D$107,2,FALSE)</f>
        <v>تلتين</v>
      </c>
      <c r="D18" s="34">
        <f>VLOOKUP(B18,داتا!$B$3:$D$107,3,FALSE)</f>
        <v>3.125E-2</v>
      </c>
      <c r="E18" s="16" t="s">
        <v>72</v>
      </c>
      <c r="F18" s="15" t="s">
        <v>151</v>
      </c>
      <c r="G18" s="16">
        <v>0.25</v>
      </c>
      <c r="H18" s="16">
        <v>0.25</v>
      </c>
      <c r="I18" s="16">
        <f t="shared" ref="I18" si="7">H18-G18</f>
        <v>0</v>
      </c>
      <c r="J18" s="16">
        <v>0.23263888888888887</v>
      </c>
      <c r="K18" s="16">
        <v>0.25694444444444448</v>
      </c>
      <c r="L18" s="16" t="s">
        <v>140</v>
      </c>
      <c r="M18" s="16" t="s">
        <v>140</v>
      </c>
      <c r="N18" s="16">
        <f t="shared" ref="N18" si="8">K18-J18</f>
        <v>2.4305555555555608E-2</v>
      </c>
      <c r="O18" s="16">
        <v>0</v>
      </c>
      <c r="P18" s="16">
        <v>6.9444444444444397E-3</v>
      </c>
      <c r="Q18" s="16">
        <v>0.26041666666666669</v>
      </c>
      <c r="R18" s="16">
        <v>0</v>
      </c>
      <c r="S18" s="16">
        <v>0.26041666666666669</v>
      </c>
      <c r="T18" s="16">
        <f>VLOOKUP(E18,'[2]21-3-2026'!E$3:T$35,16,FALSE)</f>
        <v>1.0416666666666701E-2</v>
      </c>
      <c r="U18" s="16">
        <v>0.35069444444444442</v>
      </c>
      <c r="V18" s="16">
        <v>1.0416666666666666E-2</v>
      </c>
      <c r="W18" s="16">
        <v>4.1666666666666664E-2</v>
      </c>
      <c r="X18" s="16">
        <v>0.35416666666666669</v>
      </c>
      <c r="Y18" s="16">
        <v>0.37083333333333335</v>
      </c>
      <c r="Z18" s="16">
        <f t="shared" si="4"/>
        <v>1.6666666666666663E-2</v>
      </c>
      <c r="AA18" s="16">
        <v>0</v>
      </c>
      <c r="AB18" s="16">
        <v>0.38194444444444442</v>
      </c>
      <c r="AC18" s="17"/>
      <c r="AD18" s="48"/>
    </row>
    <row r="19" spans="1:30" ht="19.5" thickBot="1" x14ac:dyDescent="0.3">
      <c r="A19" s="14">
        <v>17</v>
      </c>
      <c r="B19" s="15">
        <v>3783</v>
      </c>
      <c r="C19" s="15" t="str">
        <f>VLOOKUP(B19,داتا!$B$3:$D$107,2,FALSE)</f>
        <v>دبابة</v>
      </c>
      <c r="D19" s="34">
        <f>VLOOKUP(B19,داتا!$B$3:$D$107,3,FALSE)</f>
        <v>2.0833333333333301E-2</v>
      </c>
      <c r="E19" s="15" t="s">
        <v>39</v>
      </c>
      <c r="F19" s="15" t="s">
        <v>76</v>
      </c>
      <c r="G19" s="16">
        <v>0.25</v>
      </c>
      <c r="H19" s="16">
        <v>0.25</v>
      </c>
      <c r="I19" s="16">
        <f t="shared" si="5"/>
        <v>0</v>
      </c>
      <c r="J19" s="16">
        <v>0.26041666666666669</v>
      </c>
      <c r="K19" s="16">
        <v>0.27083333333333331</v>
      </c>
      <c r="L19" s="16" t="s">
        <v>140</v>
      </c>
      <c r="M19" s="16" t="s">
        <v>140</v>
      </c>
      <c r="N19" s="16">
        <f t="shared" si="0"/>
        <v>1.041666666666663E-2</v>
      </c>
      <c r="O19" s="16">
        <v>0</v>
      </c>
      <c r="P19" s="16">
        <v>6.9444444444444397E-3</v>
      </c>
      <c r="Q19" s="16">
        <v>0.28125</v>
      </c>
      <c r="R19" s="16">
        <v>5</v>
      </c>
      <c r="S19" s="16">
        <v>0.28472222222222221</v>
      </c>
      <c r="T19" s="16">
        <f>VLOOKUP(E19,'[2]21-3-2026'!E$3:T$35,16,FALSE)</f>
        <v>1.7361111111111101E-2</v>
      </c>
      <c r="U19" s="16">
        <v>0.2986111111111111</v>
      </c>
      <c r="V19" s="16">
        <v>0</v>
      </c>
      <c r="W19" s="16">
        <v>3.125E-2</v>
      </c>
      <c r="X19" s="16">
        <v>0.30208333333333331</v>
      </c>
      <c r="Y19" s="16">
        <v>0.31944444444444448</v>
      </c>
      <c r="Z19" s="16">
        <f t="shared" si="4"/>
        <v>1.736111111111116E-2</v>
      </c>
      <c r="AA19" s="16">
        <v>0</v>
      </c>
      <c r="AB19" s="16">
        <v>0.32291666666666669</v>
      </c>
      <c r="AC19" s="17"/>
      <c r="AD19" s="48"/>
    </row>
    <row r="20" spans="1:30" ht="19.5" thickBot="1" x14ac:dyDescent="0.3">
      <c r="A20" s="14">
        <v>18</v>
      </c>
      <c r="B20" s="15">
        <v>796</v>
      </c>
      <c r="C20" s="15" t="str">
        <f>VLOOKUP(B20,داتا!$B$3:$D$107,2,FALSE)</f>
        <v>دبابة</v>
      </c>
      <c r="D20" s="34">
        <f>VLOOKUP(B20,داتا!$B$3:$D$107,3,FALSE)</f>
        <v>2.0833333333333301E-2</v>
      </c>
      <c r="E20" s="15" t="s">
        <v>89</v>
      </c>
      <c r="F20" s="15" t="s">
        <v>171</v>
      </c>
      <c r="G20" s="16">
        <v>0.25</v>
      </c>
      <c r="H20" s="16">
        <v>0.27083333333333331</v>
      </c>
      <c r="I20" s="16">
        <f t="shared" si="5"/>
        <v>2.0833333333333315E-2</v>
      </c>
      <c r="J20" s="16">
        <v>0.27430555555555552</v>
      </c>
      <c r="K20" s="16">
        <v>0.29166666666666669</v>
      </c>
      <c r="L20" s="16" t="s">
        <v>140</v>
      </c>
      <c r="M20" s="16" t="s">
        <v>140</v>
      </c>
      <c r="N20" s="16">
        <f t="shared" si="0"/>
        <v>1.736111111111116E-2</v>
      </c>
      <c r="O20" s="16">
        <v>0</v>
      </c>
      <c r="P20" s="16">
        <v>6.9444444444444397E-3</v>
      </c>
      <c r="Q20" s="16">
        <v>0.29166666666666669</v>
      </c>
      <c r="R20" s="16">
        <v>0</v>
      </c>
      <c r="S20" s="16">
        <v>0.30555555555555552</v>
      </c>
      <c r="T20" s="16">
        <f>VLOOKUP(E20,'[2]21-3-2026'!E$3:T$35,16,FALSE)</f>
        <v>1.7361111111111101E-2</v>
      </c>
      <c r="U20" s="16">
        <v>0.3263888888888889</v>
      </c>
      <c r="V20" s="16">
        <f t="shared" si="3"/>
        <v>3.4722222222222654E-3</v>
      </c>
      <c r="W20" s="16">
        <v>3.125E-2</v>
      </c>
      <c r="X20" s="16">
        <v>0.33819444444444446</v>
      </c>
      <c r="Y20" s="16">
        <v>0.37083333333333335</v>
      </c>
      <c r="Z20" s="16">
        <f t="shared" si="4"/>
        <v>3.2638888888888884E-2</v>
      </c>
      <c r="AA20" s="16">
        <f t="shared" si="6"/>
        <v>1.388888888888884E-3</v>
      </c>
      <c r="AB20" s="16">
        <v>0.375</v>
      </c>
      <c r="AC20" s="17"/>
      <c r="AD20" s="48"/>
    </row>
    <row r="21" spans="1:30" ht="19.5" thickBot="1" x14ac:dyDescent="0.3">
      <c r="A21" s="14">
        <v>19</v>
      </c>
      <c r="B21" s="15">
        <v>1537</v>
      </c>
      <c r="C21" s="15" t="str">
        <f>VLOOKUP(B21,داتا!$B$3:$D$107,2,FALSE)</f>
        <v>تلتين</v>
      </c>
      <c r="D21" s="34">
        <f>VLOOKUP(B21,داتا!$B$3:$D$107,3,FALSE)</f>
        <v>3.125E-2</v>
      </c>
      <c r="E21" s="15" t="s">
        <v>46</v>
      </c>
      <c r="F21" s="15" t="s">
        <v>147</v>
      </c>
      <c r="G21" s="16">
        <v>0.25</v>
      </c>
      <c r="H21" s="16">
        <v>0.24305555555555555</v>
      </c>
      <c r="I21" s="16">
        <v>0</v>
      </c>
      <c r="J21" s="16">
        <v>0.18402777777777779</v>
      </c>
      <c r="K21" s="16">
        <v>0.21527777777777779</v>
      </c>
      <c r="L21" s="16" t="s">
        <v>139</v>
      </c>
      <c r="M21" s="16" t="s">
        <v>139</v>
      </c>
      <c r="N21" s="16">
        <f t="shared" si="0"/>
        <v>3.125E-2</v>
      </c>
      <c r="O21" s="16">
        <f t="shared" si="1"/>
        <v>0</v>
      </c>
      <c r="P21" s="16">
        <v>6.9444444444444397E-3</v>
      </c>
      <c r="Q21" s="16">
        <v>0.22222222222222221</v>
      </c>
      <c r="R21" s="16">
        <f t="shared" si="2"/>
        <v>0</v>
      </c>
      <c r="S21" s="16">
        <v>0.2673611111111111</v>
      </c>
      <c r="T21" s="16">
        <f>VLOOKUP(E21,'[2]21-3-2026'!E$3:T$35,16,FALSE)</f>
        <v>3.4722222222222203E-2</v>
      </c>
      <c r="U21" s="16">
        <v>0.30277777777777776</v>
      </c>
      <c r="V21" s="16">
        <f t="shared" si="3"/>
        <v>6.9444444444444198E-4</v>
      </c>
      <c r="W21" s="16">
        <v>4.1666666666666664E-2</v>
      </c>
      <c r="X21" s="16">
        <v>0.30555555555555552</v>
      </c>
      <c r="Y21" s="16">
        <v>0.34513888888888888</v>
      </c>
      <c r="Z21" s="16">
        <f t="shared" si="4"/>
        <v>3.9583333333333359E-2</v>
      </c>
      <c r="AA21" s="16">
        <v>0</v>
      </c>
      <c r="AB21" s="16">
        <v>0.35069444444444442</v>
      </c>
      <c r="AC21" s="17"/>
      <c r="AD21" s="48"/>
    </row>
    <row r="22" spans="1:30" ht="19.5" thickBot="1" x14ac:dyDescent="0.3">
      <c r="A22" s="14">
        <v>20</v>
      </c>
      <c r="B22" s="15">
        <v>3492</v>
      </c>
      <c r="C22" s="15" t="str">
        <f>VLOOKUP(B22,داتا!$B$3:$D$107,2,FALSE)</f>
        <v>تلتين</v>
      </c>
      <c r="D22" s="34">
        <f>VLOOKUP(B22,داتا!$B$3:$D$107,3,FALSE)</f>
        <v>3.125E-2</v>
      </c>
      <c r="E22" s="15" t="s">
        <v>49</v>
      </c>
      <c r="F22" s="15" t="s">
        <v>169</v>
      </c>
      <c r="G22" s="16">
        <v>0.25</v>
      </c>
      <c r="H22" s="16">
        <v>0.24305555555555555</v>
      </c>
      <c r="I22" s="16">
        <v>0</v>
      </c>
      <c r="J22" s="16">
        <v>0.21875</v>
      </c>
      <c r="K22" s="16">
        <v>0.24305555555555555</v>
      </c>
      <c r="L22" s="16" t="s">
        <v>139</v>
      </c>
      <c r="M22" s="16" t="s">
        <v>139</v>
      </c>
      <c r="N22" s="16">
        <f t="shared" si="0"/>
        <v>2.4305555555555552E-2</v>
      </c>
      <c r="O22" s="16">
        <v>0</v>
      </c>
      <c r="P22" s="16">
        <v>6.9444444444444397E-3</v>
      </c>
      <c r="Q22" s="16">
        <v>0.25</v>
      </c>
      <c r="R22" s="16">
        <f t="shared" si="2"/>
        <v>0</v>
      </c>
      <c r="S22" s="16">
        <v>0.2673611111111111</v>
      </c>
      <c r="T22" s="16">
        <f>VLOOKUP(E22,'[2]21-3-2026'!E$3:T$35,16,FALSE)</f>
        <v>3.4722222222222203E-2</v>
      </c>
      <c r="U22" s="16">
        <v>0.31597222222222221</v>
      </c>
      <c r="V22" s="16">
        <f t="shared" si="3"/>
        <v>1.3888888888888895E-2</v>
      </c>
      <c r="W22" s="16">
        <v>4.1666666666666664E-2</v>
      </c>
      <c r="X22" s="16">
        <v>0.34166666666666662</v>
      </c>
      <c r="Y22" s="16">
        <v>0.38194444444444442</v>
      </c>
      <c r="Z22" s="16">
        <f t="shared" si="4"/>
        <v>4.0277777777777801E-2</v>
      </c>
      <c r="AA22" s="16">
        <v>0</v>
      </c>
      <c r="AB22" s="16">
        <v>0.3833333333333333</v>
      </c>
      <c r="AC22" s="17"/>
      <c r="AD22" s="48"/>
    </row>
    <row r="23" spans="1:30" ht="19.5" thickBot="1" x14ac:dyDescent="0.3">
      <c r="A23" s="14">
        <v>21</v>
      </c>
      <c r="B23" s="15">
        <v>634</v>
      </c>
      <c r="C23" s="15" t="str">
        <f>VLOOKUP(B23,داتا!$B$3:$D$107,2,FALSE)</f>
        <v>دبابة</v>
      </c>
      <c r="D23" s="34">
        <f>VLOOKUP(B23,داتا!$B$3:$D$107,3,FALSE)</f>
        <v>2.0833333333333301E-2</v>
      </c>
      <c r="E23" s="15" t="s">
        <v>75</v>
      </c>
      <c r="F23" s="15" t="s">
        <v>90</v>
      </c>
      <c r="G23" s="16">
        <v>0.25</v>
      </c>
      <c r="H23" s="16">
        <v>0.22222222222222221</v>
      </c>
      <c r="I23" s="16">
        <v>0</v>
      </c>
      <c r="J23" s="16">
        <v>0.24305555555555555</v>
      </c>
      <c r="K23" s="16">
        <v>0.2673611111111111</v>
      </c>
      <c r="L23" s="16" t="s">
        <v>139</v>
      </c>
      <c r="M23" s="16" t="s">
        <v>139</v>
      </c>
      <c r="N23" s="16">
        <f t="shared" si="0"/>
        <v>2.4305555555555552E-2</v>
      </c>
      <c r="O23" s="16">
        <f t="shared" si="1"/>
        <v>3.4722222222222515E-3</v>
      </c>
      <c r="P23" s="16">
        <v>6.9444444444444397E-3</v>
      </c>
      <c r="Q23" s="16">
        <v>0.2638888888888889</v>
      </c>
      <c r="R23" s="16">
        <v>0</v>
      </c>
      <c r="S23" s="16">
        <v>0.2673611111111111</v>
      </c>
      <c r="T23" s="16">
        <f>VLOOKUP(E23,'[2]21-3-2026'!E$3:T$35,16,FALSE)</f>
        <v>2.0833333333333301E-2</v>
      </c>
      <c r="U23" s="16">
        <v>0.29166666666666669</v>
      </c>
      <c r="V23" s="16">
        <f t="shared" si="3"/>
        <v>3.4722222222222654E-3</v>
      </c>
      <c r="W23" s="16">
        <v>3.125E-2</v>
      </c>
      <c r="X23" s="16">
        <v>0.33333333333333331</v>
      </c>
      <c r="Y23" s="16">
        <v>0.3611111111111111</v>
      </c>
      <c r="Z23" s="16">
        <f t="shared" si="4"/>
        <v>2.777777777777779E-2</v>
      </c>
      <c r="AA23" s="16">
        <v>0</v>
      </c>
      <c r="AB23" s="16">
        <v>0.36458333333333331</v>
      </c>
      <c r="AC23" s="17"/>
      <c r="AD23" s="48"/>
    </row>
    <row r="24" spans="1:30" ht="19.5" thickBot="1" x14ac:dyDescent="0.3">
      <c r="A24" s="14">
        <v>22</v>
      </c>
      <c r="B24" s="15">
        <v>675</v>
      </c>
      <c r="C24" s="15" t="str">
        <f>VLOOKUP(B24,داتا!$B$3:$D$107,2,FALSE)</f>
        <v>جامبو</v>
      </c>
      <c r="D24" s="34">
        <f>VLOOKUP(B24,داتا!$B$3:$D$107,3,FALSE)</f>
        <v>4.1666666666666699E-2</v>
      </c>
      <c r="E24" s="15" t="s">
        <v>95</v>
      </c>
      <c r="F24" s="16" t="s">
        <v>144</v>
      </c>
      <c r="G24" s="16">
        <v>0.25</v>
      </c>
      <c r="H24" s="16">
        <v>0.25</v>
      </c>
      <c r="I24" s="16">
        <f t="shared" si="5"/>
        <v>0</v>
      </c>
      <c r="J24" s="16">
        <v>0.27083333333333331</v>
      </c>
      <c r="K24" s="16">
        <v>0.2986111111111111</v>
      </c>
      <c r="L24" s="16" t="s">
        <v>139</v>
      </c>
      <c r="M24" s="16" t="s">
        <v>139</v>
      </c>
      <c r="N24" s="16">
        <f t="shared" si="0"/>
        <v>2.777777777777779E-2</v>
      </c>
      <c r="O24" s="16">
        <v>0</v>
      </c>
      <c r="P24" s="16">
        <v>6.9444444444444397E-3</v>
      </c>
      <c r="Q24" s="16">
        <v>0.29166666666666669</v>
      </c>
      <c r="R24" s="16">
        <v>0</v>
      </c>
      <c r="S24" s="16">
        <v>0.30208333333333331</v>
      </c>
      <c r="T24" s="16">
        <f>VLOOKUP(E24,'[2]21-3-2026'!E$3:T$35,16,FALSE)</f>
        <v>1.0416666666666701E-2</v>
      </c>
      <c r="U24" s="16">
        <v>0.31944444444444448</v>
      </c>
      <c r="V24" s="16">
        <f t="shared" si="3"/>
        <v>6.9444444444444753E-3</v>
      </c>
      <c r="W24" s="16">
        <v>6.25E-2</v>
      </c>
      <c r="X24" s="16">
        <v>0.33680555555555558</v>
      </c>
      <c r="Y24" s="16">
        <v>0.38194444444444442</v>
      </c>
      <c r="Z24" s="16">
        <f t="shared" si="4"/>
        <v>4.513888888888884E-2</v>
      </c>
      <c r="AA24" s="16">
        <v>0</v>
      </c>
      <c r="AB24" s="16">
        <v>0.38541666666666669</v>
      </c>
      <c r="AC24" s="17"/>
      <c r="AD24" s="48"/>
    </row>
    <row r="25" spans="1:30" ht="19.5" thickBot="1" x14ac:dyDescent="0.3">
      <c r="A25" s="14">
        <v>23</v>
      </c>
      <c r="B25" s="15">
        <v>2695</v>
      </c>
      <c r="C25" s="15" t="str">
        <f>VLOOKUP(B25,داتا!$B$3:$D$107,2,FALSE)</f>
        <v>تلتين</v>
      </c>
      <c r="D25" s="34">
        <f>VLOOKUP(B25,داتا!$B$3:$D$107,3,FALSE)</f>
        <v>3.125E-2</v>
      </c>
      <c r="E25" s="15" t="s">
        <v>51</v>
      </c>
      <c r="F25" s="15" t="s">
        <v>31</v>
      </c>
      <c r="G25" s="16">
        <v>0.25</v>
      </c>
      <c r="H25" s="16">
        <v>0.25</v>
      </c>
      <c r="I25" s="16">
        <f t="shared" si="5"/>
        <v>0</v>
      </c>
      <c r="J25" s="16">
        <v>0.1875</v>
      </c>
      <c r="K25" s="16">
        <v>0.21180555555555555</v>
      </c>
      <c r="L25" s="16" t="s">
        <v>53</v>
      </c>
      <c r="M25" s="16" t="s">
        <v>53</v>
      </c>
      <c r="N25" s="16">
        <f t="shared" si="0"/>
        <v>2.4305555555555552E-2</v>
      </c>
      <c r="O25" s="16">
        <v>0</v>
      </c>
      <c r="P25" s="16">
        <v>6.9444444444444397E-3</v>
      </c>
      <c r="Q25" s="16">
        <v>0.25</v>
      </c>
      <c r="R25" s="16">
        <f t="shared" si="2"/>
        <v>3.125E-2</v>
      </c>
      <c r="S25" s="16">
        <v>0.25347222222222221</v>
      </c>
      <c r="T25" s="16">
        <f>VLOOKUP(E25,'[2]21-3-2026'!E$3:T$35,16,FALSE)</f>
        <v>2.4305555555555601E-2</v>
      </c>
      <c r="U25" s="16">
        <v>0.28472222222222221</v>
      </c>
      <c r="V25" s="16">
        <f t="shared" si="3"/>
        <v>6.9444444444444198E-3</v>
      </c>
      <c r="W25" s="16">
        <v>3.125E-2</v>
      </c>
      <c r="X25" s="16">
        <v>0.30555555555555552</v>
      </c>
      <c r="Y25" s="16">
        <v>0.3263888888888889</v>
      </c>
      <c r="Z25" s="16">
        <f t="shared" si="4"/>
        <v>2.083333333333337E-2</v>
      </c>
      <c r="AA25" s="16">
        <v>0</v>
      </c>
      <c r="AB25" s="16">
        <v>0.3298611111111111</v>
      </c>
      <c r="AC25" s="19"/>
      <c r="AD25" s="48"/>
    </row>
    <row r="26" spans="1:30" ht="19.5" thickBot="1" x14ac:dyDescent="0.3">
      <c r="A26" s="14">
        <v>24</v>
      </c>
      <c r="B26" s="15">
        <v>2695</v>
      </c>
      <c r="C26" s="15" t="str">
        <f>VLOOKUP(B26,داتا!$B$3:$D$107,2,FALSE)</f>
        <v>تلتين</v>
      </c>
      <c r="D26" s="34">
        <f>VLOOKUP(B26,داتا!$B$3:$D$107,3,FALSE)</f>
        <v>3.125E-2</v>
      </c>
      <c r="E26" s="15" t="s">
        <v>54</v>
      </c>
      <c r="F26" s="15" t="s">
        <v>31</v>
      </c>
      <c r="G26" s="16">
        <v>0.25</v>
      </c>
      <c r="H26" s="16">
        <v>0.25</v>
      </c>
      <c r="I26" s="16">
        <f t="shared" si="5"/>
        <v>0</v>
      </c>
      <c r="J26" s="16">
        <v>0.1875</v>
      </c>
      <c r="K26" s="16">
        <v>0.21180555555555555</v>
      </c>
      <c r="L26" s="16" t="s">
        <v>53</v>
      </c>
      <c r="M26" s="16" t="s">
        <v>53</v>
      </c>
      <c r="N26" s="16">
        <f t="shared" si="0"/>
        <v>2.4305555555555552E-2</v>
      </c>
      <c r="O26" s="16">
        <v>0</v>
      </c>
      <c r="P26" s="16">
        <v>6.9444444444444397E-3</v>
      </c>
      <c r="Q26" s="16">
        <v>0.25</v>
      </c>
      <c r="R26" s="16">
        <f t="shared" si="2"/>
        <v>3.125E-2</v>
      </c>
      <c r="S26" s="16">
        <v>0.25347222222222221</v>
      </c>
      <c r="T26" s="16">
        <f>VLOOKUP(E26,'[2]21-3-2026'!E$3:T$35,16,FALSE)</f>
        <v>1.0416666666666701E-2</v>
      </c>
      <c r="U26" s="16">
        <v>0.34722222222222227</v>
      </c>
      <c r="V26" s="16">
        <v>6.9444444444444441E-3</v>
      </c>
      <c r="W26" s="16">
        <v>4.1666666666666664E-2</v>
      </c>
      <c r="X26" s="16">
        <v>0.35069444444444442</v>
      </c>
      <c r="Y26" s="16">
        <v>0.37847222222222227</v>
      </c>
      <c r="Z26" s="16">
        <f t="shared" si="4"/>
        <v>2.7777777777777846E-2</v>
      </c>
      <c r="AA26" s="16">
        <v>0</v>
      </c>
      <c r="AB26" s="16">
        <v>0.38194444444444442</v>
      </c>
      <c r="AC26" s="19"/>
      <c r="AD26" s="48"/>
    </row>
    <row r="27" spans="1:30" ht="19.5" thickBot="1" x14ac:dyDescent="0.3">
      <c r="A27" s="14">
        <v>25</v>
      </c>
      <c r="B27" s="15">
        <v>586</v>
      </c>
      <c r="C27" s="15" t="str">
        <f>VLOOKUP(B27,داتا!$B$3:$D$107,2,FALSE)</f>
        <v>سوزوكي</v>
      </c>
      <c r="D27" s="34">
        <f>VLOOKUP(B27,داتا!$B$3:$D$107,3,FALSE)</f>
        <v>2.0833333333333301E-2</v>
      </c>
      <c r="E27" s="15" t="s">
        <v>77</v>
      </c>
      <c r="F27" s="15" t="s">
        <v>170</v>
      </c>
      <c r="G27" s="16">
        <v>0.25</v>
      </c>
      <c r="H27" s="16">
        <v>0.2638888888888889</v>
      </c>
      <c r="I27" s="16">
        <f t="shared" si="5"/>
        <v>1.3888888888888895E-2</v>
      </c>
      <c r="J27" s="16">
        <v>0.21527777777777779</v>
      </c>
      <c r="K27" s="16">
        <v>0.21875</v>
      </c>
      <c r="L27" s="16" t="s">
        <v>53</v>
      </c>
      <c r="M27" s="16" t="s">
        <v>53</v>
      </c>
      <c r="N27" s="16">
        <f t="shared" si="0"/>
        <v>3.4722222222222099E-3</v>
      </c>
      <c r="O27" s="16">
        <v>0</v>
      </c>
      <c r="P27" s="16">
        <v>6.9444444444444397E-3</v>
      </c>
      <c r="Q27" s="16">
        <v>0.21875</v>
      </c>
      <c r="R27" s="16">
        <v>0</v>
      </c>
      <c r="S27" s="16">
        <v>0.27083333333333331</v>
      </c>
      <c r="T27" s="16">
        <f>VLOOKUP(E27,'[2]21-3-2026'!E$3:T$35,16,FALSE)</f>
        <v>1.38888888888889E-2</v>
      </c>
      <c r="U27" s="16">
        <v>0.28819444444444448</v>
      </c>
      <c r="V27" s="16">
        <f t="shared" si="3"/>
        <v>3.4722222222222654E-3</v>
      </c>
      <c r="W27" s="16">
        <v>3.125E-2</v>
      </c>
      <c r="X27" s="16">
        <v>0.34027777777777773</v>
      </c>
      <c r="Y27" s="16">
        <v>0.3527777777777778</v>
      </c>
      <c r="Z27" s="16">
        <f t="shared" si="4"/>
        <v>1.2500000000000067E-2</v>
      </c>
      <c r="AA27" s="16">
        <v>0</v>
      </c>
      <c r="AB27" s="16">
        <v>0.35416666666666669</v>
      </c>
      <c r="AC27" s="19"/>
      <c r="AD27" s="48"/>
    </row>
    <row r="28" spans="1:30" ht="19.5" thickBot="1" x14ac:dyDescent="0.3">
      <c r="A28" s="14">
        <v>26</v>
      </c>
      <c r="B28" s="15">
        <v>6143</v>
      </c>
      <c r="C28" s="15" t="str">
        <f>VLOOKUP(B28,داتا!$B$3:$D$107,2,FALSE)</f>
        <v>تلتين</v>
      </c>
      <c r="D28" s="34">
        <f>VLOOKUP(B28,داتا!$B$3:$D$107,3,FALSE)</f>
        <v>3.125E-2</v>
      </c>
      <c r="E28" s="15" t="s">
        <v>83</v>
      </c>
      <c r="F28" s="15" t="s">
        <v>117</v>
      </c>
      <c r="G28" s="16">
        <v>0.25</v>
      </c>
      <c r="H28" s="16">
        <v>0.23958333333333334</v>
      </c>
      <c r="I28" s="16">
        <v>0</v>
      </c>
      <c r="J28" s="16">
        <v>0.22222222222222221</v>
      </c>
      <c r="K28" s="16">
        <v>0.23958333333333334</v>
      </c>
      <c r="L28" s="16" t="s">
        <v>53</v>
      </c>
      <c r="M28" s="16" t="s">
        <v>53</v>
      </c>
      <c r="N28" s="16">
        <f t="shared" si="0"/>
        <v>1.7361111111111133E-2</v>
      </c>
      <c r="O28" s="16">
        <v>0</v>
      </c>
      <c r="P28" s="16">
        <v>6.9444444444444397E-3</v>
      </c>
      <c r="Q28" s="16">
        <v>0.25694444444444448</v>
      </c>
      <c r="R28" s="16">
        <f t="shared" si="2"/>
        <v>1.0416666666666713E-2</v>
      </c>
      <c r="S28" s="16">
        <v>0.30208333333333331</v>
      </c>
      <c r="T28" s="16">
        <f>VLOOKUP(E28,'[2]21-3-2026'!E$3:T$35,16,FALSE)</f>
        <v>1.38888888888889E-2</v>
      </c>
      <c r="U28" s="16">
        <v>0.31944444444444448</v>
      </c>
      <c r="V28" s="16">
        <f t="shared" si="3"/>
        <v>3.4722222222222654E-3</v>
      </c>
      <c r="W28" s="16">
        <v>3.125E-2</v>
      </c>
      <c r="X28" s="16">
        <v>0.34027777777777773</v>
      </c>
      <c r="Y28" s="16">
        <v>0.3611111111111111</v>
      </c>
      <c r="Z28" s="16">
        <f t="shared" si="4"/>
        <v>2.083333333333337E-2</v>
      </c>
      <c r="AA28" s="16">
        <v>0</v>
      </c>
      <c r="AB28" s="16">
        <v>0.36458333333333331</v>
      </c>
      <c r="AC28" s="17"/>
      <c r="AD28" s="48"/>
    </row>
    <row r="29" spans="1:30" ht="19.5" thickBot="1" x14ac:dyDescent="0.3">
      <c r="A29" s="14">
        <v>27</v>
      </c>
      <c r="B29" s="15">
        <v>6143</v>
      </c>
      <c r="C29" s="15" t="str">
        <f>VLOOKUP(B29,داتا!$B$3:$D$107,2,FALSE)</f>
        <v>تلتين</v>
      </c>
      <c r="D29" s="34">
        <f>VLOOKUP(B29,داتا!$B$3:$D$107,3,FALSE)</f>
        <v>3.125E-2</v>
      </c>
      <c r="E29" s="15" t="s">
        <v>77</v>
      </c>
      <c r="F29" s="15" t="s">
        <v>117</v>
      </c>
      <c r="G29" s="16">
        <v>0.25</v>
      </c>
      <c r="H29" s="16">
        <v>0.23958333333333334</v>
      </c>
      <c r="I29" s="16">
        <v>0</v>
      </c>
      <c r="J29" s="16">
        <v>0.22222222222222221</v>
      </c>
      <c r="K29" s="16">
        <v>0.23958333333333334</v>
      </c>
      <c r="L29" s="16" t="s">
        <v>53</v>
      </c>
      <c r="M29" s="16" t="s">
        <v>53</v>
      </c>
      <c r="N29" s="16">
        <f t="shared" si="0"/>
        <v>1.7361111111111133E-2</v>
      </c>
      <c r="O29" s="16">
        <v>0</v>
      </c>
      <c r="P29" s="16">
        <v>6.9444444444444397E-3</v>
      </c>
      <c r="Q29" s="16">
        <v>0.25694444444444448</v>
      </c>
      <c r="R29" s="16">
        <f t="shared" si="2"/>
        <v>1.0416666666666713E-2</v>
      </c>
      <c r="S29" s="16">
        <v>0.30208333333333331</v>
      </c>
      <c r="T29" s="16">
        <f>VLOOKUP(E29,'[2]21-3-2026'!E$3:T$35,16,FALSE)</f>
        <v>1.38888888888889E-2</v>
      </c>
      <c r="U29" s="16">
        <v>0.37847222222222227</v>
      </c>
      <c r="V29" s="16">
        <v>3.472222222222222E-3</v>
      </c>
      <c r="W29" s="16">
        <v>4.1666666666666664E-2</v>
      </c>
      <c r="X29" s="16">
        <v>0.38541666666666669</v>
      </c>
      <c r="Y29" s="16">
        <v>0.40833333333333338</v>
      </c>
      <c r="Z29" s="16">
        <f t="shared" si="4"/>
        <v>2.2916666666666696E-2</v>
      </c>
      <c r="AA29" s="16">
        <v>0</v>
      </c>
      <c r="AB29" s="16">
        <v>0.40972222222222227</v>
      </c>
      <c r="AC29" s="18"/>
      <c r="AD29" s="48"/>
    </row>
    <row r="30" spans="1:30" ht="19.5" thickBot="1" x14ac:dyDescent="0.3">
      <c r="A30" s="14">
        <v>28</v>
      </c>
      <c r="B30" s="15">
        <v>9198</v>
      </c>
      <c r="C30" s="15" t="str">
        <f>VLOOKUP(B30,داتا!$B$3:$D$107,2,FALSE)</f>
        <v>دبابة</v>
      </c>
      <c r="D30" s="34">
        <f>VLOOKUP(B30,داتا!$B$3:$D$107,3,FALSE)</f>
        <v>2.0833333333333301E-2</v>
      </c>
      <c r="E30" s="15" t="s">
        <v>86</v>
      </c>
      <c r="F30" s="15" t="s">
        <v>106</v>
      </c>
      <c r="G30" s="16">
        <v>0.25</v>
      </c>
      <c r="H30" s="16">
        <v>0.27083333333333331</v>
      </c>
      <c r="I30" s="16">
        <f t="shared" si="5"/>
        <v>2.0833333333333315E-2</v>
      </c>
      <c r="J30" s="16">
        <v>0.24652777777777779</v>
      </c>
      <c r="K30" s="16">
        <v>0.25694444444444448</v>
      </c>
      <c r="L30" s="16" t="s">
        <v>53</v>
      </c>
      <c r="M30" s="16" t="s">
        <v>53</v>
      </c>
      <c r="N30" s="16">
        <f t="shared" si="0"/>
        <v>1.0416666666666685E-2</v>
      </c>
      <c r="O30" s="16">
        <v>0</v>
      </c>
      <c r="P30" s="16">
        <v>6.9444444444444397E-3</v>
      </c>
      <c r="Q30" s="16">
        <v>0.2673611111111111</v>
      </c>
      <c r="R30" s="16">
        <f t="shared" si="2"/>
        <v>3.4722222222222099E-3</v>
      </c>
      <c r="S30" s="16">
        <v>0.2951388888888889</v>
      </c>
      <c r="T30" s="16">
        <f>VLOOKUP(E30,'[2]21-3-2026'!E$3:T$35,16,FALSE)</f>
        <v>3.4722222222222199E-3</v>
      </c>
      <c r="U30" s="16">
        <v>0.2986111111111111</v>
      </c>
      <c r="V30" s="16">
        <f t="shared" si="3"/>
        <v>0</v>
      </c>
      <c r="W30" s="16">
        <v>3.125E-2</v>
      </c>
      <c r="X30" s="16">
        <v>0.33333333333333331</v>
      </c>
      <c r="Y30" s="16">
        <v>0.37847222222222227</v>
      </c>
      <c r="Z30" s="16">
        <f t="shared" si="4"/>
        <v>4.5138888888888951E-2</v>
      </c>
      <c r="AA30" s="16">
        <f t="shared" si="6"/>
        <v>1.3888888888888951E-2</v>
      </c>
      <c r="AB30" s="16">
        <v>0.38194444444444442</v>
      </c>
      <c r="AC30" s="17"/>
      <c r="AD30" s="48"/>
    </row>
    <row r="31" spans="1:30" ht="19.5" thickBot="1" x14ac:dyDescent="0.3">
      <c r="A31" s="14">
        <v>29</v>
      </c>
      <c r="B31" s="15">
        <v>459</v>
      </c>
      <c r="C31" s="15" t="str">
        <f>VLOOKUP(B31,داتا!$B$3:$D$107,2,FALSE)</f>
        <v>دبابة</v>
      </c>
      <c r="D31" s="34">
        <f>VLOOKUP(B31,داتا!$B$3:$D$107,3,FALSE)</f>
        <v>2.0833333333333301E-2</v>
      </c>
      <c r="E31" s="15" t="s">
        <v>92</v>
      </c>
      <c r="F31" s="15" t="s">
        <v>156</v>
      </c>
      <c r="G31" s="16">
        <v>0.25</v>
      </c>
      <c r="H31" s="16">
        <v>0.29166666666666669</v>
      </c>
      <c r="I31" s="16">
        <f t="shared" si="5"/>
        <v>4.1666666666666685E-2</v>
      </c>
      <c r="J31" s="16">
        <v>0.27430555555555552</v>
      </c>
      <c r="K31" s="16">
        <v>0.28819444444444448</v>
      </c>
      <c r="L31" s="16" t="s">
        <v>53</v>
      </c>
      <c r="M31" s="16" t="s">
        <v>53</v>
      </c>
      <c r="N31" s="16">
        <f t="shared" si="0"/>
        <v>1.3888888888888951E-2</v>
      </c>
      <c r="O31" s="16">
        <v>0</v>
      </c>
      <c r="P31" s="16">
        <v>6.9444444444444397E-3</v>
      </c>
      <c r="Q31" s="16">
        <v>0.29166666666666669</v>
      </c>
      <c r="R31" s="16">
        <v>0</v>
      </c>
      <c r="S31" s="16">
        <v>0.2986111111111111</v>
      </c>
      <c r="T31" s="16">
        <f>VLOOKUP(E31,'[2]21-3-2026'!E$3:T$35,16,FALSE)</f>
        <v>1.38888888888889E-2</v>
      </c>
      <c r="U31" s="16">
        <v>0.33333333333333331</v>
      </c>
      <c r="V31" s="16">
        <f t="shared" si="3"/>
        <v>2.0833333333333315E-2</v>
      </c>
      <c r="W31" s="16">
        <v>3.125E-2</v>
      </c>
      <c r="X31" s="16">
        <v>0.33680555555555558</v>
      </c>
      <c r="Y31" s="16">
        <v>0.36458333333333331</v>
      </c>
      <c r="Z31" s="16">
        <f t="shared" si="4"/>
        <v>2.7777777777777735E-2</v>
      </c>
      <c r="AA31" s="16">
        <v>0</v>
      </c>
      <c r="AB31" s="16">
        <v>0.36805555555555558</v>
      </c>
      <c r="AC31" s="17"/>
      <c r="AD31" s="48"/>
    </row>
    <row r="32" spans="1:30" ht="19.5" thickBot="1" x14ac:dyDescent="0.3">
      <c r="A32" s="14">
        <v>30</v>
      </c>
      <c r="B32" s="15">
        <v>6142</v>
      </c>
      <c r="C32" s="15" t="str">
        <f>VLOOKUP(B32,داتا!$B$3:$D$107,2,FALSE)</f>
        <v>تلتين</v>
      </c>
      <c r="D32" s="34">
        <f>VLOOKUP(B32,داتا!$B$3:$D$107,3,FALSE)</f>
        <v>3.125E-2</v>
      </c>
      <c r="E32" s="15" t="s">
        <v>67</v>
      </c>
      <c r="F32" s="15" t="s">
        <v>167</v>
      </c>
      <c r="G32" s="16">
        <v>0.25</v>
      </c>
      <c r="H32" s="16">
        <v>0.25</v>
      </c>
      <c r="I32" s="16">
        <f t="shared" si="5"/>
        <v>0</v>
      </c>
      <c r="J32" s="16">
        <v>0.1875</v>
      </c>
      <c r="K32" s="16">
        <v>0.22222222222222221</v>
      </c>
      <c r="L32" s="16" t="s">
        <v>142</v>
      </c>
      <c r="M32" s="16" t="s">
        <v>141</v>
      </c>
      <c r="N32" s="16">
        <f t="shared" si="0"/>
        <v>3.472222222222221E-2</v>
      </c>
      <c r="O32" s="16">
        <f t="shared" si="1"/>
        <v>3.4722222222222099E-3</v>
      </c>
      <c r="P32" s="16">
        <v>6.9444444444444397E-3</v>
      </c>
      <c r="Q32" s="16">
        <v>0.22569444444444445</v>
      </c>
      <c r="R32" s="16">
        <v>0</v>
      </c>
      <c r="S32" s="16">
        <v>0.25694444444444448</v>
      </c>
      <c r="T32" s="16">
        <f>VLOOKUP(E32,'[2]21-3-2026'!E$3:T$35,16,FALSE)</f>
        <v>1.7361111111111101E-2</v>
      </c>
      <c r="U32" s="16">
        <v>0.27430555555555552</v>
      </c>
      <c r="V32" s="16">
        <f t="shared" si="3"/>
        <v>0</v>
      </c>
      <c r="W32" s="16">
        <v>3.125E-2</v>
      </c>
      <c r="X32" s="16">
        <v>0.29375000000000001</v>
      </c>
      <c r="Y32" s="16">
        <v>0.3263888888888889</v>
      </c>
      <c r="Z32" s="16">
        <f t="shared" si="4"/>
        <v>3.2638888888888884E-2</v>
      </c>
      <c r="AA32" s="16">
        <f t="shared" si="6"/>
        <v>1.388888888888884E-3</v>
      </c>
      <c r="AB32" s="16">
        <v>0.32847222222222222</v>
      </c>
      <c r="AC32" s="17"/>
      <c r="AD32" s="48"/>
    </row>
    <row r="33" spans="1:30" ht="19.5" thickBot="1" x14ac:dyDescent="0.3">
      <c r="A33" s="14">
        <v>31</v>
      </c>
      <c r="B33" s="15">
        <v>6142</v>
      </c>
      <c r="C33" s="15" t="str">
        <f>VLOOKUP(B33,داتا!$B$3:$D$107,2,FALSE)</f>
        <v>تلتين</v>
      </c>
      <c r="D33" s="34">
        <f>VLOOKUP(B33,داتا!$B$3:$D$107,3,FALSE)</f>
        <v>3.125E-2</v>
      </c>
      <c r="E33" s="15" t="s">
        <v>69</v>
      </c>
      <c r="F33" s="15" t="s">
        <v>167</v>
      </c>
      <c r="G33" s="16">
        <v>0.25</v>
      </c>
      <c r="H33" s="16">
        <v>0.25</v>
      </c>
      <c r="I33" s="16">
        <f t="shared" si="5"/>
        <v>0</v>
      </c>
      <c r="J33" s="16">
        <v>0.1875</v>
      </c>
      <c r="K33" s="16">
        <v>0.22222222222222221</v>
      </c>
      <c r="L33" s="16" t="s">
        <v>142</v>
      </c>
      <c r="M33" s="16" t="s">
        <v>141</v>
      </c>
      <c r="N33" s="16">
        <f t="shared" si="0"/>
        <v>3.472222222222221E-2</v>
      </c>
      <c r="O33" s="16">
        <f t="shared" si="1"/>
        <v>3.4722222222222099E-3</v>
      </c>
      <c r="P33" s="16">
        <v>6.9444444444444397E-3</v>
      </c>
      <c r="Q33" s="16">
        <v>0.22569444444444445</v>
      </c>
      <c r="R33" s="16">
        <v>0</v>
      </c>
      <c r="S33" s="16">
        <v>0.25694444444444448</v>
      </c>
      <c r="T33" s="16">
        <f>VLOOKUP(E33,'[2]21-3-2026'!E$3:T$35,16,FALSE)</f>
        <v>1.38888888888889E-2</v>
      </c>
      <c r="U33" s="16">
        <v>0.34027777777777773</v>
      </c>
      <c r="V33" s="16">
        <v>0</v>
      </c>
      <c r="W33" s="16">
        <v>4.1666666666666664E-2</v>
      </c>
      <c r="X33" s="16">
        <v>0.34375</v>
      </c>
      <c r="Y33" s="16">
        <v>0.37152777777777773</v>
      </c>
      <c r="Z33" s="16">
        <f t="shared" si="4"/>
        <v>2.7777777777777735E-2</v>
      </c>
      <c r="AA33" s="16">
        <v>0</v>
      </c>
      <c r="AB33" s="16">
        <v>0.375</v>
      </c>
      <c r="AC33" s="17"/>
      <c r="AD33" s="48"/>
    </row>
    <row r="34" spans="1:30" ht="19.5" thickBot="1" x14ac:dyDescent="0.3">
      <c r="A34" s="14">
        <v>32</v>
      </c>
      <c r="B34" s="15">
        <v>3787</v>
      </c>
      <c r="C34" s="15" t="str">
        <f>VLOOKUP(B34,داتا!$B$3:$D$107,2,FALSE)</f>
        <v>دبابة</v>
      </c>
      <c r="D34" s="34">
        <f>VLOOKUP(B34,داتا!$B$3:$D$107,3,FALSE)</f>
        <v>2.0833333333333301E-2</v>
      </c>
      <c r="E34" s="15" t="s">
        <v>63</v>
      </c>
      <c r="F34" s="15" t="s">
        <v>168</v>
      </c>
      <c r="G34" s="16">
        <v>0.25</v>
      </c>
      <c r="H34" s="16">
        <v>0.25</v>
      </c>
      <c r="I34" s="16">
        <f t="shared" si="5"/>
        <v>0</v>
      </c>
      <c r="J34" s="16">
        <v>0.22569444444444445</v>
      </c>
      <c r="K34" s="16">
        <v>0.24652777777777779</v>
      </c>
      <c r="L34" s="16" t="s">
        <v>142</v>
      </c>
      <c r="M34" s="16" t="s">
        <v>141</v>
      </c>
      <c r="N34" s="16">
        <f t="shared" si="0"/>
        <v>2.0833333333333343E-2</v>
      </c>
      <c r="O34" s="16">
        <f t="shared" si="1"/>
        <v>4.163336342344337E-17</v>
      </c>
      <c r="P34" s="16">
        <v>6.9444444444444397E-3</v>
      </c>
      <c r="Q34" s="16">
        <v>0.25694444444444448</v>
      </c>
      <c r="R34" s="16">
        <f t="shared" si="2"/>
        <v>3.4722222222222654E-3</v>
      </c>
      <c r="S34" s="16">
        <v>0.25694444444444448</v>
      </c>
      <c r="T34" s="16">
        <f>VLOOKUP(E34,'[2]21-3-2026'!E$3:T$35,16,FALSE)</f>
        <v>6.25E-2</v>
      </c>
      <c r="U34" s="16">
        <v>0.30555555555555552</v>
      </c>
      <c r="V34" s="16">
        <v>0</v>
      </c>
      <c r="W34" s="16">
        <v>3.125E-2</v>
      </c>
      <c r="X34" s="16">
        <v>0.33124999999999999</v>
      </c>
      <c r="Y34" s="16">
        <v>0.37222222222222223</v>
      </c>
      <c r="Z34" s="16">
        <f t="shared" si="4"/>
        <v>4.0972222222222243E-2</v>
      </c>
      <c r="AA34" s="16">
        <f t="shared" si="6"/>
        <v>9.7222222222222432E-3</v>
      </c>
      <c r="AB34" s="16">
        <v>0.375</v>
      </c>
      <c r="AC34" s="17"/>
      <c r="AD34" s="48"/>
    </row>
    <row r="35" spans="1:30" ht="19.5" thickBot="1" x14ac:dyDescent="0.3">
      <c r="A35" s="20">
        <v>33</v>
      </c>
      <c r="B35" s="21">
        <v>3891</v>
      </c>
      <c r="C35" s="21" t="str">
        <f>VLOOKUP(B35,داتا!$B$3:$D$107,2,FALSE)</f>
        <v>تلتين</v>
      </c>
      <c r="D35" s="35">
        <f>VLOOKUP(B35,داتا!$B$3:$D$107,3,FALSE)</f>
        <v>3.125E-2</v>
      </c>
      <c r="E35" s="21" t="s">
        <v>81</v>
      </c>
      <c r="F35" s="21" t="s">
        <v>48</v>
      </c>
      <c r="G35" s="22">
        <v>0.25</v>
      </c>
      <c r="H35" s="22">
        <v>0.23958333333333334</v>
      </c>
      <c r="I35" s="22">
        <v>0</v>
      </c>
      <c r="J35" s="22">
        <v>0.25</v>
      </c>
      <c r="K35" s="22">
        <v>0.2673611111111111</v>
      </c>
      <c r="L35" s="22" t="s">
        <v>142</v>
      </c>
      <c r="M35" s="22" t="s">
        <v>141</v>
      </c>
      <c r="N35" s="22">
        <f t="shared" si="0"/>
        <v>1.7361111111111105E-2</v>
      </c>
      <c r="O35" s="22">
        <v>0</v>
      </c>
      <c r="P35" s="22">
        <v>6.9444444444444397E-3</v>
      </c>
      <c r="Q35" s="22">
        <v>0.27430555555555552</v>
      </c>
      <c r="R35" s="22">
        <f t="shared" si="2"/>
        <v>0</v>
      </c>
      <c r="S35" s="22">
        <v>0.27083333333333331</v>
      </c>
      <c r="T35" s="22">
        <f>VLOOKUP(E35,'[2]21-3-2026'!E$3:T$35,16,FALSE)</f>
        <v>2.7777777777777801E-2</v>
      </c>
      <c r="U35" s="22">
        <v>0.30208333333333331</v>
      </c>
      <c r="V35" s="22">
        <f t="shared" si="3"/>
        <v>3.4722222222222099E-3</v>
      </c>
      <c r="W35" s="22">
        <v>4.1666666666666664E-2</v>
      </c>
      <c r="X35" s="22">
        <v>0.31597222222222221</v>
      </c>
      <c r="Y35" s="22">
        <v>0.36388888888888887</v>
      </c>
      <c r="Z35" s="22">
        <f t="shared" si="4"/>
        <v>4.7916666666666663E-2</v>
      </c>
      <c r="AA35" s="22">
        <f t="shared" si="6"/>
        <v>6.2499999999999986E-3</v>
      </c>
      <c r="AB35" s="22">
        <v>0.3659722222222222</v>
      </c>
      <c r="AC35" s="23"/>
      <c r="AD35" s="49"/>
    </row>
    <row r="36" spans="1:30" ht="20.25" customHeight="1" thickTop="1" thickBot="1" x14ac:dyDescent="0.3">
      <c r="A36" s="10">
        <v>1</v>
      </c>
      <c r="B36" s="11">
        <v>1537</v>
      </c>
      <c r="C36" s="11" t="str">
        <f>VLOOKUP(B36,داتا!$B$3:$D$107,2,FALSE)</f>
        <v>تلتين</v>
      </c>
      <c r="D36" s="33">
        <f>VLOOKUP(B36,داتا!$B$3:$D$107,3,FALSE)</f>
        <v>3.125E-2</v>
      </c>
      <c r="E36" s="11" t="s">
        <v>83</v>
      </c>
      <c r="F36" s="11" t="s">
        <v>147</v>
      </c>
      <c r="G36" s="12">
        <v>0.25</v>
      </c>
      <c r="H36" s="12">
        <f>VLOOKUP(F36,$F$3:$H$35,3,FALSE)</f>
        <v>0.24305555555555555</v>
      </c>
      <c r="I36" s="12">
        <v>0</v>
      </c>
      <c r="J36" s="12">
        <v>0.39930555555555558</v>
      </c>
      <c r="K36" s="12">
        <v>0.4236111111111111</v>
      </c>
      <c r="L36" s="12" t="s">
        <v>85</v>
      </c>
      <c r="M36" s="12" t="s">
        <v>85</v>
      </c>
      <c r="N36" s="12">
        <f t="shared" si="0"/>
        <v>2.4305555555555525E-2</v>
      </c>
      <c r="O36" s="12">
        <v>0</v>
      </c>
      <c r="P36" s="12">
        <v>6.9444444444444397E-3</v>
      </c>
      <c r="Q36" s="12">
        <v>0.42708333333333331</v>
      </c>
      <c r="R36" s="12">
        <v>0</v>
      </c>
      <c r="S36" s="12">
        <v>0.42708333333333331</v>
      </c>
      <c r="T36" s="12">
        <f>VLOOKUP(E36,'[2]21-3-2026'!E$3:T$35,16,FALSE)</f>
        <v>1.38888888888889E-2</v>
      </c>
      <c r="U36" s="12">
        <v>0.44444444444444442</v>
      </c>
      <c r="V36" s="12">
        <f t="shared" si="3"/>
        <v>3.4722222222222099E-3</v>
      </c>
      <c r="W36" s="12">
        <v>3.125E-2</v>
      </c>
      <c r="X36" s="12">
        <v>0.44791666666666669</v>
      </c>
      <c r="Y36" s="12">
        <v>0.46875</v>
      </c>
      <c r="Z36" s="12">
        <f t="shared" si="4"/>
        <v>2.0833333333333315E-2</v>
      </c>
      <c r="AA36" s="12">
        <v>0</v>
      </c>
      <c r="AB36" s="12">
        <v>0.47013888888888888</v>
      </c>
      <c r="AC36" s="29"/>
      <c r="AD36" s="50" t="s">
        <v>104</v>
      </c>
    </row>
    <row r="37" spans="1:30" ht="19.5" thickBot="1" x14ac:dyDescent="0.3">
      <c r="A37" s="14">
        <v>2</v>
      </c>
      <c r="B37" s="15">
        <v>1537</v>
      </c>
      <c r="C37" s="15" t="str">
        <f>VLOOKUP(B37,داتا!$B$3:$D$107,2,FALSE)</f>
        <v>تلتين</v>
      </c>
      <c r="D37" s="34">
        <f>VLOOKUP(B37,داتا!$B$3:$D$107,3,FALSE)</f>
        <v>3.125E-2</v>
      </c>
      <c r="E37" s="15" t="s">
        <v>77</v>
      </c>
      <c r="F37" s="15" t="s">
        <v>147</v>
      </c>
      <c r="G37" s="16">
        <v>0.25</v>
      </c>
      <c r="H37" s="16">
        <f t="shared" ref="H37:H67" si="9">VLOOKUP(F37,$F$3:$H$35,3,FALSE)</f>
        <v>0.24305555555555555</v>
      </c>
      <c r="I37" s="16">
        <v>0</v>
      </c>
      <c r="J37" s="16">
        <v>0.39930555555555558</v>
      </c>
      <c r="K37" s="16">
        <v>0.4236111111111111</v>
      </c>
      <c r="L37" s="16" t="s">
        <v>85</v>
      </c>
      <c r="M37" s="16" t="s">
        <v>85</v>
      </c>
      <c r="N37" s="16">
        <f t="shared" si="0"/>
        <v>2.4305555555555525E-2</v>
      </c>
      <c r="O37" s="16">
        <v>0</v>
      </c>
      <c r="P37" s="16">
        <v>6.9444444444444397E-3</v>
      </c>
      <c r="Q37" s="16">
        <v>0.42708333333333331</v>
      </c>
      <c r="R37" s="16">
        <v>0</v>
      </c>
      <c r="S37" s="16">
        <v>0.42708333333333331</v>
      </c>
      <c r="T37" s="16">
        <f>VLOOKUP(E37,'[2]21-3-2026'!E$3:T$35,16,FALSE)</f>
        <v>1.38888888888889E-2</v>
      </c>
      <c r="U37" s="16">
        <v>0.48472222222222222</v>
      </c>
      <c r="V37" s="16">
        <v>0</v>
      </c>
      <c r="W37" s="16">
        <v>4.1666666666666664E-2</v>
      </c>
      <c r="X37" s="16">
        <v>0.4861111111111111</v>
      </c>
      <c r="Y37" s="16">
        <v>0.50486111111111109</v>
      </c>
      <c r="Z37" s="16">
        <f t="shared" si="4"/>
        <v>1.8749999999999989E-2</v>
      </c>
      <c r="AA37" s="16">
        <v>0</v>
      </c>
      <c r="AB37" s="16">
        <v>0.50694444444444442</v>
      </c>
      <c r="AC37" s="19"/>
      <c r="AD37" s="51"/>
    </row>
    <row r="38" spans="1:30" ht="19.5" thickBot="1" x14ac:dyDescent="0.3">
      <c r="A38" s="14">
        <v>3</v>
      </c>
      <c r="B38" s="15">
        <v>3891</v>
      </c>
      <c r="C38" s="15" t="str">
        <f>VLOOKUP(B38,داتا!$B$3:$D$107,2,FALSE)</f>
        <v>تلتين</v>
      </c>
      <c r="D38" s="34">
        <f>VLOOKUP(B38,داتا!$B$3:$D$107,3,FALSE)</f>
        <v>3.125E-2</v>
      </c>
      <c r="E38" s="15" t="s">
        <v>51</v>
      </c>
      <c r="F38" s="15" t="s">
        <v>48</v>
      </c>
      <c r="G38" s="16">
        <v>0.25</v>
      </c>
      <c r="H38" s="16">
        <f t="shared" si="9"/>
        <v>0.23958333333333334</v>
      </c>
      <c r="I38" s="16">
        <v>0</v>
      </c>
      <c r="J38" s="16">
        <v>0.42708333333333331</v>
      </c>
      <c r="K38" s="16">
        <v>0.46180555555555558</v>
      </c>
      <c r="L38" s="16" t="s">
        <v>85</v>
      </c>
      <c r="M38" s="16" t="s">
        <v>85</v>
      </c>
      <c r="N38" s="16">
        <f t="shared" si="0"/>
        <v>3.4722222222222265E-2</v>
      </c>
      <c r="O38" s="16">
        <f t="shared" si="1"/>
        <v>3.4722222222222654E-3</v>
      </c>
      <c r="P38" s="16">
        <v>6.9444444444444397E-3</v>
      </c>
      <c r="Q38" s="16">
        <v>0.47569444444444442</v>
      </c>
      <c r="R38" s="16">
        <f t="shared" si="2"/>
        <v>6.9444444444444198E-3</v>
      </c>
      <c r="S38" s="16">
        <v>0.47569444444444442</v>
      </c>
      <c r="T38" s="16">
        <f>VLOOKUP(E38,'[2]21-3-2026'!E$3:T$35,16,FALSE)</f>
        <v>2.4305555555555601E-2</v>
      </c>
      <c r="U38" s="16">
        <v>0.5</v>
      </c>
      <c r="V38" s="16">
        <f t="shared" si="3"/>
        <v>0</v>
      </c>
      <c r="W38" s="16">
        <v>3.125E-2</v>
      </c>
      <c r="X38" s="16">
        <v>0.50347222222222221</v>
      </c>
      <c r="Y38" s="16">
        <v>0.52430555555555558</v>
      </c>
      <c r="Z38" s="16">
        <f t="shared" si="4"/>
        <v>2.083333333333337E-2</v>
      </c>
      <c r="AA38" s="16">
        <v>0</v>
      </c>
      <c r="AB38" s="16">
        <v>0.52777777777777779</v>
      </c>
      <c r="AC38" s="19"/>
      <c r="AD38" s="51"/>
    </row>
    <row r="39" spans="1:30" ht="19.5" thickBot="1" x14ac:dyDescent="0.3">
      <c r="A39" s="14">
        <v>4</v>
      </c>
      <c r="B39" s="15">
        <v>3891</v>
      </c>
      <c r="C39" s="15" t="str">
        <f>VLOOKUP(B39,داتا!$B$3:$D$107,2,FALSE)</f>
        <v>تلتين</v>
      </c>
      <c r="D39" s="34">
        <f>VLOOKUP(B39,داتا!$B$3:$D$107,3,FALSE)</f>
        <v>3.125E-2</v>
      </c>
      <c r="E39" s="15" t="s">
        <v>54</v>
      </c>
      <c r="F39" s="15" t="s">
        <v>48</v>
      </c>
      <c r="G39" s="16">
        <v>0.25</v>
      </c>
      <c r="H39" s="16">
        <f t="shared" si="9"/>
        <v>0.23958333333333334</v>
      </c>
      <c r="I39" s="16">
        <v>0</v>
      </c>
      <c r="J39" s="16">
        <v>0.42708333333333331</v>
      </c>
      <c r="K39" s="16">
        <v>0.46180555555555558</v>
      </c>
      <c r="L39" s="16" t="s">
        <v>85</v>
      </c>
      <c r="M39" s="16" t="s">
        <v>85</v>
      </c>
      <c r="N39" s="16">
        <f t="shared" si="0"/>
        <v>3.4722222222222265E-2</v>
      </c>
      <c r="O39" s="16">
        <f t="shared" si="1"/>
        <v>3.4722222222222654E-3</v>
      </c>
      <c r="P39" s="16">
        <v>6.9444444444444397E-3</v>
      </c>
      <c r="Q39" s="16">
        <v>0.47569444444444442</v>
      </c>
      <c r="R39" s="16">
        <f t="shared" si="2"/>
        <v>6.9444444444444198E-3</v>
      </c>
      <c r="S39" s="16">
        <v>0.47569444444444442</v>
      </c>
      <c r="T39" s="16">
        <f>VLOOKUP(E39,'[2]21-3-2026'!E$3:T$35,16,FALSE)</f>
        <v>1.0416666666666701E-2</v>
      </c>
      <c r="U39" s="16">
        <v>0.54513888888888895</v>
      </c>
      <c r="V39" s="16">
        <v>0</v>
      </c>
      <c r="W39" s="16">
        <v>4.1666666666666664E-2</v>
      </c>
      <c r="X39" s="16">
        <v>0.54861111111111105</v>
      </c>
      <c r="Y39" s="16">
        <v>0.56944444444444442</v>
      </c>
      <c r="Z39" s="16">
        <f t="shared" si="4"/>
        <v>2.083333333333337E-2</v>
      </c>
      <c r="AA39" s="16">
        <v>0</v>
      </c>
      <c r="AB39" s="16">
        <v>0.57291666666666663</v>
      </c>
      <c r="AC39" s="17"/>
      <c r="AD39" s="51"/>
    </row>
    <row r="40" spans="1:30" ht="19.5" thickBot="1" x14ac:dyDescent="0.3">
      <c r="A40" s="14">
        <v>5</v>
      </c>
      <c r="B40" s="15">
        <v>2714</v>
      </c>
      <c r="C40" s="15" t="str">
        <f>VLOOKUP(B40,داتا!$B$3:$D$107,2,FALSE)</f>
        <v>تلتين</v>
      </c>
      <c r="D40" s="34">
        <f>VLOOKUP(B40,داتا!$B$3:$D$107,3,FALSE)</f>
        <v>3.125E-2</v>
      </c>
      <c r="E40" s="15" t="s">
        <v>46</v>
      </c>
      <c r="F40" s="15" t="s">
        <v>114</v>
      </c>
      <c r="G40" s="16">
        <v>0.25</v>
      </c>
      <c r="H40" s="16">
        <f t="shared" si="9"/>
        <v>0.2673611111111111</v>
      </c>
      <c r="I40" s="16">
        <f t="shared" si="5"/>
        <v>1.7361111111111105E-2</v>
      </c>
      <c r="J40" s="16">
        <v>0.47916666666666669</v>
      </c>
      <c r="K40" s="16">
        <v>0.50347222222222221</v>
      </c>
      <c r="L40" s="16" t="s">
        <v>85</v>
      </c>
      <c r="M40" s="16" t="s">
        <v>85</v>
      </c>
      <c r="N40" s="16">
        <f t="shared" si="0"/>
        <v>2.4305555555555525E-2</v>
      </c>
      <c r="O40" s="16">
        <v>0</v>
      </c>
      <c r="P40" s="16">
        <v>6.9444444444444397E-3</v>
      </c>
      <c r="Q40" s="16">
        <v>0.50694444444444442</v>
      </c>
      <c r="R40" s="16">
        <v>0</v>
      </c>
      <c r="S40" s="16">
        <v>0.50694444444444442</v>
      </c>
      <c r="T40" s="16">
        <f>VLOOKUP(E40,'[2]21-3-2026'!E$3:T$35,16,FALSE)</f>
        <v>3.4722222222222203E-2</v>
      </c>
      <c r="U40" s="16">
        <v>0.53472222222222221</v>
      </c>
      <c r="V40" s="16">
        <v>0</v>
      </c>
      <c r="W40" s="16">
        <v>4.1666666666666664E-2</v>
      </c>
      <c r="X40" s="16">
        <v>0.53819444444444442</v>
      </c>
      <c r="Y40" s="16">
        <v>0.57638888888888895</v>
      </c>
      <c r="Z40" s="16">
        <f t="shared" si="4"/>
        <v>3.8194444444444531E-2</v>
      </c>
      <c r="AA40" s="16">
        <v>0</v>
      </c>
      <c r="AB40" s="16">
        <v>0.57986111111111105</v>
      </c>
      <c r="AC40" s="17"/>
      <c r="AD40" s="51"/>
    </row>
    <row r="41" spans="1:30" ht="19.5" thickBot="1" x14ac:dyDescent="0.3">
      <c r="A41" s="14">
        <v>6</v>
      </c>
      <c r="B41" s="15">
        <v>3495</v>
      </c>
      <c r="C41" s="15" t="str">
        <f>VLOOKUP(B41,داتا!$B$3:$D$107,2,FALSE)</f>
        <v>تلتين</v>
      </c>
      <c r="D41" s="34">
        <f>VLOOKUP(B41,داتا!$B$3:$D$107,3,FALSE)</f>
        <v>3.125E-2</v>
      </c>
      <c r="E41" s="15" t="s">
        <v>69</v>
      </c>
      <c r="F41" s="15" t="s">
        <v>148</v>
      </c>
      <c r="G41" s="16">
        <v>0.25</v>
      </c>
      <c r="H41" s="16">
        <f t="shared" si="9"/>
        <v>0.22569444444444445</v>
      </c>
      <c r="I41" s="16">
        <v>0</v>
      </c>
      <c r="J41" s="16">
        <v>0.40625</v>
      </c>
      <c r="K41" s="16">
        <v>0.4236111111111111</v>
      </c>
      <c r="L41" s="16" t="s">
        <v>88</v>
      </c>
      <c r="M41" s="16" t="s">
        <v>88</v>
      </c>
      <c r="N41" s="16">
        <f t="shared" si="0"/>
        <v>1.7361111111111105E-2</v>
      </c>
      <c r="O41" s="16">
        <v>0</v>
      </c>
      <c r="P41" s="16">
        <v>6.9444444444444397E-3</v>
      </c>
      <c r="Q41" s="16">
        <v>0.43055555555555558</v>
      </c>
      <c r="R41" s="16">
        <f t="shared" si="2"/>
        <v>0</v>
      </c>
      <c r="S41" s="16">
        <v>0.43055555555555558</v>
      </c>
      <c r="T41" s="16">
        <f>VLOOKUP(E41,'[2]21-3-2026'!E$3:T$35,16,FALSE)</f>
        <v>1.38888888888889E-2</v>
      </c>
      <c r="U41" s="16">
        <v>0.4513888888888889</v>
      </c>
      <c r="V41" s="16">
        <f t="shared" si="3"/>
        <v>6.9444444444444198E-3</v>
      </c>
      <c r="W41" s="16">
        <v>3.125E-2</v>
      </c>
      <c r="X41" s="16">
        <v>0.4548611111111111</v>
      </c>
      <c r="Y41" s="16">
        <v>0.47569444444444442</v>
      </c>
      <c r="Z41" s="16">
        <f t="shared" si="4"/>
        <v>2.0833333333333315E-2</v>
      </c>
      <c r="AA41" s="16">
        <v>0</v>
      </c>
      <c r="AB41" s="16">
        <v>0.47916666666666669</v>
      </c>
      <c r="AC41" s="17"/>
      <c r="AD41" s="51"/>
    </row>
    <row r="42" spans="1:30" ht="19.5" thickBot="1" x14ac:dyDescent="0.3">
      <c r="A42" s="14">
        <v>7</v>
      </c>
      <c r="B42" s="15">
        <v>3495</v>
      </c>
      <c r="C42" s="15" t="str">
        <f>VLOOKUP(B42,داتا!$B$3:$D$107,2,FALSE)</f>
        <v>تلتين</v>
      </c>
      <c r="D42" s="34">
        <f>VLOOKUP(B42,داتا!$B$3:$D$107,3,FALSE)</f>
        <v>3.125E-2</v>
      </c>
      <c r="E42" s="15" t="s">
        <v>67</v>
      </c>
      <c r="F42" s="15" t="s">
        <v>148</v>
      </c>
      <c r="G42" s="16">
        <v>0.25</v>
      </c>
      <c r="H42" s="16">
        <f t="shared" si="9"/>
        <v>0.22569444444444445</v>
      </c>
      <c r="I42" s="16">
        <v>0</v>
      </c>
      <c r="J42" s="16">
        <v>0.40625</v>
      </c>
      <c r="K42" s="16">
        <v>0.4236111111111111</v>
      </c>
      <c r="L42" s="16" t="s">
        <v>88</v>
      </c>
      <c r="M42" s="16" t="s">
        <v>88</v>
      </c>
      <c r="N42" s="16">
        <f t="shared" si="0"/>
        <v>1.7361111111111105E-2</v>
      </c>
      <c r="O42" s="16">
        <v>0</v>
      </c>
      <c r="P42" s="16">
        <v>6.9444444444444397E-3</v>
      </c>
      <c r="Q42" s="16">
        <v>0.43055555555555558</v>
      </c>
      <c r="R42" s="16">
        <f t="shared" si="2"/>
        <v>0</v>
      </c>
      <c r="S42" s="16">
        <v>0.43055555555555558</v>
      </c>
      <c r="T42" s="16">
        <v>1.0416666666666666E-2</v>
      </c>
      <c r="U42" s="16">
        <v>0.4826388888888889</v>
      </c>
      <c r="V42" s="16">
        <v>0</v>
      </c>
      <c r="W42" s="16">
        <v>4.1666666666666664E-2</v>
      </c>
      <c r="X42" s="16">
        <v>0.4861111111111111</v>
      </c>
      <c r="Y42" s="16">
        <v>0.50694444444444442</v>
      </c>
      <c r="Z42" s="16">
        <f t="shared" si="4"/>
        <v>2.0833333333333315E-2</v>
      </c>
      <c r="AA42" s="16">
        <v>0</v>
      </c>
      <c r="AB42" s="16">
        <v>0.51041666666666663</v>
      </c>
      <c r="AC42" s="17"/>
      <c r="AD42" s="51"/>
    </row>
    <row r="43" spans="1:30" ht="19.5" thickBot="1" x14ac:dyDescent="0.3">
      <c r="A43" s="14">
        <v>8</v>
      </c>
      <c r="B43" s="15">
        <v>2694</v>
      </c>
      <c r="C43" s="15" t="str">
        <f>VLOOKUP(B43,داتا!$B$3:$D$107,2,FALSE)</f>
        <v>تلتين</v>
      </c>
      <c r="D43" s="34">
        <f>VLOOKUP(B43,داتا!$B$3:$D$107,3,FALSE)</f>
        <v>3.125E-2</v>
      </c>
      <c r="E43" s="15" t="s">
        <v>49</v>
      </c>
      <c r="F43" s="15" t="s">
        <v>151</v>
      </c>
      <c r="G43" s="16">
        <v>0.25</v>
      </c>
      <c r="H43" s="16">
        <f t="shared" si="9"/>
        <v>0.25</v>
      </c>
      <c r="I43" s="16">
        <f t="shared" si="5"/>
        <v>0</v>
      </c>
      <c r="J43" s="16">
        <v>0.4375</v>
      </c>
      <c r="K43" s="16">
        <v>0.4680555555555555</v>
      </c>
      <c r="L43" s="16" t="s">
        <v>110</v>
      </c>
      <c r="M43" s="16" t="s">
        <v>110</v>
      </c>
      <c r="N43" s="16">
        <f t="shared" si="0"/>
        <v>3.0555555555555503E-2</v>
      </c>
      <c r="O43" s="16">
        <v>0</v>
      </c>
      <c r="P43" s="16">
        <v>6.9444444444444397E-3</v>
      </c>
      <c r="Q43" s="16">
        <v>0.47222222222222227</v>
      </c>
      <c r="R43" s="16">
        <v>0</v>
      </c>
      <c r="S43" s="16">
        <v>0.47222222222222227</v>
      </c>
      <c r="T43" s="16">
        <f>VLOOKUP(E43,'[2]21-3-2026'!E$3:T$35,16,FALSE)</f>
        <v>3.4722222222222203E-2</v>
      </c>
      <c r="U43" s="16">
        <v>0.51388888888888895</v>
      </c>
      <c r="V43" s="16">
        <f t="shared" si="3"/>
        <v>6.9444444444444753E-3</v>
      </c>
      <c r="W43" s="16">
        <v>4.1666666666666664E-2</v>
      </c>
      <c r="X43" s="16">
        <v>0.52083333333333337</v>
      </c>
      <c r="Y43" s="16">
        <v>0.55902777777777779</v>
      </c>
      <c r="Z43" s="16">
        <f t="shared" si="4"/>
        <v>3.819444444444442E-2</v>
      </c>
      <c r="AA43" s="16">
        <v>0</v>
      </c>
      <c r="AB43" s="16">
        <v>0.5625</v>
      </c>
      <c r="AC43" s="17"/>
      <c r="AD43" s="51"/>
    </row>
    <row r="44" spans="1:30" ht="19.5" thickBot="1" x14ac:dyDescent="0.3">
      <c r="A44" s="14">
        <v>9</v>
      </c>
      <c r="B44" s="15">
        <v>3787</v>
      </c>
      <c r="C44" s="15" t="str">
        <f>VLOOKUP(B44,داتا!$B$3:$D$107,2,FALSE)</f>
        <v>دبابة</v>
      </c>
      <c r="D44" s="34">
        <f>VLOOKUP(B44,داتا!$B$3:$D$107,3,FALSE)</f>
        <v>2.0833333333333301E-2</v>
      </c>
      <c r="E44" s="15" t="s">
        <v>86</v>
      </c>
      <c r="F44" s="15" t="s">
        <v>168</v>
      </c>
      <c r="G44" s="16">
        <v>0.25</v>
      </c>
      <c r="H44" s="16">
        <f t="shared" si="9"/>
        <v>0.25</v>
      </c>
      <c r="I44" s="16">
        <f t="shared" si="5"/>
        <v>0</v>
      </c>
      <c r="J44" s="16">
        <v>0.4826388888888889</v>
      </c>
      <c r="K44" s="16">
        <v>0.5</v>
      </c>
      <c r="L44" s="16" t="s">
        <v>88</v>
      </c>
      <c r="M44" s="16" t="s">
        <v>88</v>
      </c>
      <c r="N44" s="16">
        <f t="shared" si="0"/>
        <v>1.7361111111111105E-2</v>
      </c>
      <c r="O44" s="16">
        <v>0</v>
      </c>
      <c r="P44" s="16">
        <v>6.9444444444444397E-3</v>
      </c>
      <c r="Q44" s="16">
        <v>0.50347222222222221</v>
      </c>
      <c r="R44" s="16">
        <v>0</v>
      </c>
      <c r="S44" s="16">
        <v>0.50347222222222221</v>
      </c>
      <c r="T44" s="16">
        <f>VLOOKUP(E44,'[2]21-3-2026'!E$3:T$35,16,FALSE)</f>
        <v>3.4722222222222199E-3</v>
      </c>
      <c r="U44" s="16">
        <v>0.51388888888888895</v>
      </c>
      <c r="V44" s="16">
        <f t="shared" si="3"/>
        <v>6.9444444444445308E-3</v>
      </c>
      <c r="W44" s="16">
        <v>3.125E-2</v>
      </c>
      <c r="X44" s="16">
        <v>0.51736111111111105</v>
      </c>
      <c r="Y44" s="16">
        <v>0.55555555555555558</v>
      </c>
      <c r="Z44" s="16">
        <f t="shared" si="4"/>
        <v>3.8194444444444531E-2</v>
      </c>
      <c r="AA44" s="16">
        <f t="shared" si="6"/>
        <v>6.9444444444445308E-3</v>
      </c>
      <c r="AB44" s="16">
        <v>0.55902777777777779</v>
      </c>
      <c r="AC44" s="17"/>
      <c r="AD44" s="51"/>
    </row>
    <row r="45" spans="1:30" ht="19.5" thickBot="1" x14ac:dyDescent="0.3">
      <c r="A45" s="14">
        <v>10</v>
      </c>
      <c r="B45" s="15">
        <v>4987</v>
      </c>
      <c r="C45" s="15" t="str">
        <f>VLOOKUP(B45,داتا!$B$3:$D$107,2,FALSE)</f>
        <v>تلتين</v>
      </c>
      <c r="D45" s="34">
        <f>VLOOKUP(B45,داتا!$B$3:$D$107,3,FALSE)</f>
        <v>3.125E-2</v>
      </c>
      <c r="E45" s="15" t="s">
        <v>42</v>
      </c>
      <c r="F45" s="15" t="s">
        <v>145</v>
      </c>
      <c r="G45" s="16">
        <v>0.25</v>
      </c>
      <c r="H45" s="16">
        <f t="shared" si="9"/>
        <v>0.26041666666666669</v>
      </c>
      <c r="I45" s="16">
        <f t="shared" si="5"/>
        <v>1.0416666666666685E-2</v>
      </c>
      <c r="J45" s="16">
        <v>0.40277777777777773</v>
      </c>
      <c r="K45" s="16">
        <v>0.43402777777777773</v>
      </c>
      <c r="L45" s="16" t="s">
        <v>112</v>
      </c>
      <c r="M45" s="16" t="s">
        <v>112</v>
      </c>
      <c r="N45" s="16">
        <f t="shared" si="0"/>
        <v>3.125E-2</v>
      </c>
      <c r="O45" s="16">
        <f t="shared" si="1"/>
        <v>0</v>
      </c>
      <c r="P45" s="16">
        <v>6.9444444444444397E-3</v>
      </c>
      <c r="Q45" s="16">
        <v>0.4375</v>
      </c>
      <c r="R45" s="16">
        <v>0</v>
      </c>
      <c r="S45" s="16">
        <v>0.4375</v>
      </c>
      <c r="T45" s="16">
        <f>VLOOKUP(E45,'[2]21-3-2026'!E$3:T$35,16,FALSE)</f>
        <v>1.7361111111111101E-2</v>
      </c>
      <c r="U45" s="16">
        <v>0.45833333333333331</v>
      </c>
      <c r="V45" s="16">
        <f t="shared" si="3"/>
        <v>3.4722222222222099E-3</v>
      </c>
      <c r="W45" s="16">
        <v>3.125E-2</v>
      </c>
      <c r="X45" s="16">
        <v>0.46527777777777773</v>
      </c>
      <c r="Y45" s="16">
        <v>0.4826388888888889</v>
      </c>
      <c r="Z45" s="16">
        <f t="shared" si="4"/>
        <v>1.736111111111116E-2</v>
      </c>
      <c r="AA45" s="16">
        <v>0</v>
      </c>
      <c r="AB45" s="16">
        <v>0.5</v>
      </c>
      <c r="AC45" s="17"/>
      <c r="AD45" s="51"/>
    </row>
    <row r="46" spans="1:30" ht="19.5" thickBot="1" x14ac:dyDescent="0.3">
      <c r="A46" s="14">
        <v>11</v>
      </c>
      <c r="B46" s="15">
        <v>4987</v>
      </c>
      <c r="C46" s="15" t="str">
        <f>VLOOKUP(B46,داتا!$B$3:$D$107,2,FALSE)</f>
        <v>تلتين</v>
      </c>
      <c r="D46" s="34">
        <f>VLOOKUP(B46,داتا!$B$3:$D$107,3,FALSE)</f>
        <v>3.125E-2</v>
      </c>
      <c r="E46" s="15" t="s">
        <v>45</v>
      </c>
      <c r="F46" s="15" t="s">
        <v>145</v>
      </c>
      <c r="G46" s="16">
        <v>0.25</v>
      </c>
      <c r="H46" s="16">
        <f t="shared" si="9"/>
        <v>0.26041666666666669</v>
      </c>
      <c r="I46" s="16">
        <f t="shared" si="5"/>
        <v>1.0416666666666685E-2</v>
      </c>
      <c r="J46" s="16">
        <v>0.40277777777777773</v>
      </c>
      <c r="K46" s="16">
        <v>0.43402777777777773</v>
      </c>
      <c r="L46" s="16" t="s">
        <v>112</v>
      </c>
      <c r="M46" s="16" t="s">
        <v>112</v>
      </c>
      <c r="N46" s="16">
        <f t="shared" si="0"/>
        <v>3.125E-2</v>
      </c>
      <c r="O46" s="16">
        <f t="shared" si="1"/>
        <v>0</v>
      </c>
      <c r="P46" s="16">
        <v>6.9444444444444397E-3</v>
      </c>
      <c r="Q46" s="16">
        <v>0.4375</v>
      </c>
      <c r="R46" s="16">
        <v>0</v>
      </c>
      <c r="S46" s="16">
        <v>0.4375</v>
      </c>
      <c r="T46" s="16">
        <f>VLOOKUP(E46,'[2]21-3-2026'!E$3:T$35,16,FALSE)</f>
        <v>1.38888888888889E-2</v>
      </c>
      <c r="U46" s="16">
        <v>0.51527777777777783</v>
      </c>
      <c r="V46" s="16">
        <v>1.3888888888888889E-3</v>
      </c>
      <c r="W46" s="16">
        <v>4.1666666666666664E-2</v>
      </c>
      <c r="X46" s="16">
        <v>0.52708333333333335</v>
      </c>
      <c r="Y46" s="16">
        <v>0.5541666666666667</v>
      </c>
      <c r="Z46" s="16">
        <f t="shared" si="4"/>
        <v>2.7083333333333348E-2</v>
      </c>
      <c r="AA46" s="16">
        <v>0</v>
      </c>
      <c r="AB46" s="16">
        <v>0.55902777777777779</v>
      </c>
      <c r="AC46" s="17"/>
      <c r="AD46" s="51"/>
    </row>
    <row r="47" spans="1:30" ht="19.5" thickBot="1" x14ac:dyDescent="0.3">
      <c r="A47" s="14">
        <v>12</v>
      </c>
      <c r="B47" s="15">
        <v>2917</v>
      </c>
      <c r="C47" s="15" t="str">
        <f>VLOOKUP(B47,داتا!$B$3:$D$107,2,FALSE)</f>
        <v>تلتين</v>
      </c>
      <c r="D47" s="34">
        <f>VLOOKUP(B47,داتا!$B$3:$D$107,3,FALSE)</f>
        <v>3.125E-2</v>
      </c>
      <c r="E47" s="15" t="s">
        <v>98</v>
      </c>
      <c r="F47" s="15" t="s">
        <v>36</v>
      </c>
      <c r="G47" s="16">
        <v>0.25</v>
      </c>
      <c r="H47" s="16">
        <f t="shared" si="9"/>
        <v>0.23958333333333334</v>
      </c>
      <c r="I47" s="16">
        <v>0</v>
      </c>
      <c r="J47" s="16">
        <v>0.4548611111111111</v>
      </c>
      <c r="K47" s="16">
        <v>0.48958333333333331</v>
      </c>
      <c r="L47" s="16" t="s">
        <v>112</v>
      </c>
      <c r="M47" s="16" t="s">
        <v>112</v>
      </c>
      <c r="N47" s="16">
        <f t="shared" si="0"/>
        <v>3.472222222222221E-2</v>
      </c>
      <c r="O47" s="16">
        <f t="shared" si="1"/>
        <v>3.4722222222222099E-3</v>
      </c>
      <c r="P47" s="16">
        <v>6.9444444444444397E-3</v>
      </c>
      <c r="Q47" s="16">
        <v>0.49652777777777773</v>
      </c>
      <c r="R47" s="16">
        <f t="shared" si="2"/>
        <v>0</v>
      </c>
      <c r="S47" s="16">
        <v>0.49652777777777773</v>
      </c>
      <c r="T47" s="16">
        <f>VLOOKUP(E47,'[2]21-3-2026'!E$3:T$35,16,FALSE)</f>
        <v>4.8611111111111103E-3</v>
      </c>
      <c r="U47" s="16">
        <v>0.50694444444444442</v>
      </c>
      <c r="V47" s="16">
        <f t="shared" si="3"/>
        <v>5.5555555555555913E-3</v>
      </c>
      <c r="W47" s="16">
        <v>3.125E-2</v>
      </c>
      <c r="X47" s="16">
        <v>0.50763888888888886</v>
      </c>
      <c r="Y47" s="16">
        <v>0.52500000000000002</v>
      </c>
      <c r="Z47" s="16">
        <f t="shared" si="4"/>
        <v>1.736111111111116E-2</v>
      </c>
      <c r="AA47" s="16">
        <v>0</v>
      </c>
      <c r="AB47" s="16">
        <v>0.52569444444444446</v>
      </c>
      <c r="AC47" s="17"/>
      <c r="AD47" s="51"/>
    </row>
    <row r="48" spans="1:30" ht="19.5" thickBot="1" x14ac:dyDescent="0.3">
      <c r="A48" s="14">
        <v>13</v>
      </c>
      <c r="B48" s="15">
        <v>2917</v>
      </c>
      <c r="C48" s="15" t="str">
        <f>VLOOKUP(B48,داتا!$B$3:$D$107,2,FALSE)</f>
        <v>تلتين</v>
      </c>
      <c r="D48" s="34">
        <f>VLOOKUP(B48,داتا!$B$3:$D$107,3,FALSE)</f>
        <v>3.125E-2</v>
      </c>
      <c r="E48" s="15" t="s">
        <v>95</v>
      </c>
      <c r="F48" s="15" t="s">
        <v>36</v>
      </c>
      <c r="G48" s="16">
        <v>0.25</v>
      </c>
      <c r="H48" s="16">
        <f t="shared" si="9"/>
        <v>0.23958333333333334</v>
      </c>
      <c r="I48" s="16">
        <v>0</v>
      </c>
      <c r="J48" s="16">
        <v>0.4548611111111111</v>
      </c>
      <c r="K48" s="16">
        <v>0.48958333333333331</v>
      </c>
      <c r="L48" s="16" t="s">
        <v>112</v>
      </c>
      <c r="M48" s="16" t="s">
        <v>112</v>
      </c>
      <c r="N48" s="16">
        <f t="shared" si="0"/>
        <v>3.472222222222221E-2</v>
      </c>
      <c r="O48" s="16">
        <f t="shared" si="1"/>
        <v>3.4722222222222099E-3</v>
      </c>
      <c r="P48" s="16">
        <v>6.9444444444444397E-3</v>
      </c>
      <c r="Q48" s="16">
        <v>0.49652777777777773</v>
      </c>
      <c r="R48" s="16">
        <f t="shared" si="2"/>
        <v>0</v>
      </c>
      <c r="S48" s="16">
        <v>0.49652777777777773</v>
      </c>
      <c r="T48" s="16">
        <f>VLOOKUP(E48,'[2]21-3-2026'!E$3:T$35,16,FALSE)</f>
        <v>1.0416666666666701E-2</v>
      </c>
      <c r="U48" s="16">
        <v>0.53819444444444442</v>
      </c>
      <c r="V48" s="16">
        <v>0</v>
      </c>
      <c r="W48" s="16">
        <v>4.1666666666666664E-2</v>
      </c>
      <c r="X48" s="16">
        <v>0.54166666666666663</v>
      </c>
      <c r="Y48" s="16">
        <v>0.57291666666666663</v>
      </c>
      <c r="Z48" s="16">
        <f t="shared" si="4"/>
        <v>3.125E-2</v>
      </c>
      <c r="AA48" s="16">
        <v>0</v>
      </c>
      <c r="AB48" s="16">
        <v>0.57638888888888895</v>
      </c>
      <c r="AC48" s="17"/>
      <c r="AD48" s="51"/>
    </row>
    <row r="49" spans="1:30" ht="19.5" thickBot="1" x14ac:dyDescent="0.3">
      <c r="A49" s="14">
        <v>14</v>
      </c>
      <c r="B49" s="15">
        <v>6142</v>
      </c>
      <c r="C49" s="15" t="str">
        <f>VLOOKUP(B49,داتا!$B$3:$D$107,2,FALSE)</f>
        <v>تلتين</v>
      </c>
      <c r="D49" s="34">
        <f>VLOOKUP(B49,داتا!$B$3:$D$107,3,FALSE)</f>
        <v>3.125E-2</v>
      </c>
      <c r="E49" s="15" t="s">
        <v>73</v>
      </c>
      <c r="F49" s="15" t="s">
        <v>167</v>
      </c>
      <c r="G49" s="16">
        <v>0.25</v>
      </c>
      <c r="H49" s="16">
        <f t="shared" si="9"/>
        <v>0.25</v>
      </c>
      <c r="I49" s="16">
        <f t="shared" si="5"/>
        <v>0</v>
      </c>
      <c r="J49" s="16">
        <v>0.40277777777777773</v>
      </c>
      <c r="K49" s="16">
        <v>0.43055555555555558</v>
      </c>
      <c r="L49" s="16" t="s">
        <v>94</v>
      </c>
      <c r="M49" s="16" t="s">
        <v>94</v>
      </c>
      <c r="N49" s="16">
        <f t="shared" si="0"/>
        <v>2.7777777777777846E-2</v>
      </c>
      <c r="O49" s="16">
        <v>0</v>
      </c>
      <c r="P49" s="16">
        <v>6.9444444444444397E-3</v>
      </c>
      <c r="Q49" s="16">
        <v>0.4375</v>
      </c>
      <c r="R49" s="16">
        <f t="shared" si="2"/>
        <v>0</v>
      </c>
      <c r="S49" s="16">
        <v>0.4375</v>
      </c>
      <c r="T49" s="16">
        <f>VLOOKUP(E49,'[2]21-3-2026'!E$3:T$35,16,FALSE)</f>
        <v>3.4722222222222203E-2</v>
      </c>
      <c r="U49" s="16">
        <v>0.46875</v>
      </c>
      <c r="V49" s="16">
        <v>0</v>
      </c>
      <c r="W49" s="16">
        <v>3.125E-2</v>
      </c>
      <c r="X49" s="16">
        <v>0.47222222222222227</v>
      </c>
      <c r="Y49" s="16">
        <v>0.48958333333333331</v>
      </c>
      <c r="Z49" s="16">
        <f t="shared" si="4"/>
        <v>1.7361111111111049E-2</v>
      </c>
      <c r="AA49" s="16">
        <v>0</v>
      </c>
      <c r="AB49" s="16">
        <v>0.49305555555555558</v>
      </c>
      <c r="AC49" s="17"/>
      <c r="AD49" s="51"/>
    </row>
    <row r="50" spans="1:30" ht="19.5" thickBot="1" x14ac:dyDescent="0.3">
      <c r="A50" s="14">
        <v>15</v>
      </c>
      <c r="B50" s="15">
        <v>6142</v>
      </c>
      <c r="C50" s="15" t="str">
        <f>VLOOKUP(B50,داتا!$B$3:$D$107,2,FALSE)</f>
        <v>تلتين</v>
      </c>
      <c r="D50" s="34">
        <f>VLOOKUP(B50,داتا!$B$3:$D$107,3,FALSE)</f>
        <v>3.125E-2</v>
      </c>
      <c r="E50" s="15" t="s">
        <v>35</v>
      </c>
      <c r="F50" s="15" t="s">
        <v>167</v>
      </c>
      <c r="G50" s="16">
        <v>0.25</v>
      </c>
      <c r="H50" s="16">
        <f t="shared" si="9"/>
        <v>0.25</v>
      </c>
      <c r="I50" s="16">
        <f t="shared" si="5"/>
        <v>0</v>
      </c>
      <c r="J50" s="16">
        <v>0.40277777777777773</v>
      </c>
      <c r="K50" s="16">
        <v>0.43055555555555558</v>
      </c>
      <c r="L50" s="16" t="s">
        <v>94</v>
      </c>
      <c r="M50" s="16" t="s">
        <v>94</v>
      </c>
      <c r="N50" s="16">
        <f t="shared" si="0"/>
        <v>2.7777777777777846E-2</v>
      </c>
      <c r="O50" s="16">
        <v>0</v>
      </c>
      <c r="P50" s="16">
        <v>6.9444444444444397E-3</v>
      </c>
      <c r="Q50" s="16">
        <v>0.4375</v>
      </c>
      <c r="R50" s="16">
        <f t="shared" si="2"/>
        <v>0</v>
      </c>
      <c r="S50" s="16">
        <v>0.4375</v>
      </c>
      <c r="T50" s="16">
        <v>1.0416666666666666E-2</v>
      </c>
      <c r="U50" s="16">
        <v>0.5</v>
      </c>
      <c r="V50" s="16">
        <v>0</v>
      </c>
      <c r="W50" s="16">
        <v>4.1666666666666664E-2</v>
      </c>
      <c r="X50" s="16">
        <v>0.50347222222222221</v>
      </c>
      <c r="Y50" s="16">
        <v>0.52083333333333337</v>
      </c>
      <c r="Z50" s="16">
        <f t="shared" si="4"/>
        <v>1.736111111111116E-2</v>
      </c>
      <c r="AA50" s="16">
        <v>0</v>
      </c>
      <c r="AB50" s="16">
        <v>0.52430555555555558</v>
      </c>
      <c r="AC50" s="17"/>
      <c r="AD50" s="51"/>
    </row>
    <row r="51" spans="1:30" ht="19.5" thickBot="1" x14ac:dyDescent="0.3">
      <c r="A51" s="14">
        <v>16</v>
      </c>
      <c r="B51" s="15">
        <v>1454</v>
      </c>
      <c r="C51" s="15" t="str">
        <f>VLOOKUP(B51,داتا!$B$3:$D$107,2,FALSE)</f>
        <v>تلتين</v>
      </c>
      <c r="D51" s="34">
        <f>VLOOKUP(B51,داتا!$B$3:$D$107,3,FALSE)</f>
        <v>3.125E-2</v>
      </c>
      <c r="E51" s="15" t="s">
        <v>57</v>
      </c>
      <c r="F51" s="15" t="s">
        <v>43</v>
      </c>
      <c r="G51" s="16">
        <v>0.25</v>
      </c>
      <c r="H51" s="16">
        <f t="shared" si="9"/>
        <v>0.25</v>
      </c>
      <c r="I51" s="16">
        <f t="shared" si="5"/>
        <v>0</v>
      </c>
      <c r="J51" s="16">
        <v>0.44791666666666669</v>
      </c>
      <c r="K51" s="16">
        <v>0.47222222222222227</v>
      </c>
      <c r="L51" s="16" t="s">
        <v>97</v>
      </c>
      <c r="M51" s="16" t="s">
        <v>97</v>
      </c>
      <c r="N51" s="16">
        <f t="shared" si="0"/>
        <v>2.430555555555558E-2</v>
      </c>
      <c r="O51" s="16">
        <v>0</v>
      </c>
      <c r="P51" s="16">
        <v>6.9444444444444397E-3</v>
      </c>
      <c r="Q51" s="16">
        <v>0.47569444444444442</v>
      </c>
      <c r="R51" s="16">
        <v>0</v>
      </c>
      <c r="S51" s="16">
        <v>0.47569444444444442</v>
      </c>
      <c r="T51" s="16">
        <f>VLOOKUP(E51,'[2]21-3-2026'!E$3:T$35,16,FALSE)</f>
        <v>1.7361111111111101E-2</v>
      </c>
      <c r="U51" s="16">
        <v>0.49305555555555558</v>
      </c>
      <c r="V51" s="16">
        <f t="shared" si="3"/>
        <v>0</v>
      </c>
      <c r="W51" s="16">
        <v>3.125E-2</v>
      </c>
      <c r="X51" s="16">
        <v>0.49652777777777773</v>
      </c>
      <c r="Y51" s="16">
        <v>0.51388888888888895</v>
      </c>
      <c r="Z51" s="16">
        <f t="shared" si="4"/>
        <v>1.7361111111111216E-2</v>
      </c>
      <c r="AA51" s="16">
        <v>0</v>
      </c>
      <c r="AB51" s="16">
        <v>0.51736111111111105</v>
      </c>
      <c r="AC51" s="17"/>
      <c r="AD51" s="51"/>
    </row>
    <row r="52" spans="1:30" ht="19.5" thickBot="1" x14ac:dyDescent="0.3">
      <c r="A52" s="14">
        <v>17</v>
      </c>
      <c r="B52" s="15">
        <v>1454</v>
      </c>
      <c r="C52" s="15" t="str">
        <f>VLOOKUP(B52,داتا!$B$3:$D$107,2,FALSE)</f>
        <v>تلتين</v>
      </c>
      <c r="D52" s="34">
        <f>VLOOKUP(B52,داتا!$B$3:$D$107,3,FALSE)</f>
        <v>3.125E-2</v>
      </c>
      <c r="E52" s="15" t="s">
        <v>38</v>
      </c>
      <c r="F52" s="15" t="s">
        <v>43</v>
      </c>
      <c r="G52" s="16">
        <v>0.25</v>
      </c>
      <c r="H52" s="16">
        <f t="shared" si="9"/>
        <v>0.25</v>
      </c>
      <c r="I52" s="16">
        <f t="shared" si="5"/>
        <v>0</v>
      </c>
      <c r="J52" s="16">
        <v>0.44791666666666669</v>
      </c>
      <c r="K52" s="16">
        <v>0.47222222222222227</v>
      </c>
      <c r="L52" s="16" t="s">
        <v>97</v>
      </c>
      <c r="M52" s="16" t="s">
        <v>97</v>
      </c>
      <c r="N52" s="16">
        <f t="shared" si="0"/>
        <v>2.430555555555558E-2</v>
      </c>
      <c r="O52" s="16">
        <v>0</v>
      </c>
      <c r="P52" s="16">
        <v>6.9444444444444397E-3</v>
      </c>
      <c r="Q52" s="16">
        <v>0.47569444444444442</v>
      </c>
      <c r="R52" s="16">
        <v>0</v>
      </c>
      <c r="S52" s="16">
        <v>0.47569444444444442</v>
      </c>
      <c r="T52" s="16">
        <f>VLOOKUP(E52,'[2]21-3-2026'!E$3:T$35,16,FALSE)</f>
        <v>1.0416666666666666E-2</v>
      </c>
      <c r="U52" s="16">
        <v>0.53125</v>
      </c>
      <c r="V52" s="16">
        <v>3.472222222222222E-3</v>
      </c>
      <c r="W52" s="16">
        <v>4.1666666666666664E-2</v>
      </c>
      <c r="X52" s="16">
        <v>0.53472222222222221</v>
      </c>
      <c r="Y52" s="16">
        <v>0.56597222222222221</v>
      </c>
      <c r="Z52" s="16">
        <f t="shared" si="4"/>
        <v>3.125E-2</v>
      </c>
      <c r="AA52" s="16">
        <v>0</v>
      </c>
      <c r="AB52" s="16">
        <v>0.56944444444444442</v>
      </c>
      <c r="AC52" s="17"/>
      <c r="AD52" s="51"/>
    </row>
    <row r="53" spans="1:30" ht="19.5" thickBot="1" x14ac:dyDescent="0.3">
      <c r="A53" s="14">
        <v>18</v>
      </c>
      <c r="B53" s="15">
        <v>3793</v>
      </c>
      <c r="C53" s="15" t="str">
        <f>VLOOKUP(B53,داتا!$B$3:$D$107,2,FALSE)</f>
        <v>دبابة</v>
      </c>
      <c r="D53" s="34">
        <f>VLOOKUP(B53,داتا!$B$3:$D$107,3,FALSE)</f>
        <v>2.0833333333333301E-2</v>
      </c>
      <c r="E53" s="15" t="s">
        <v>65</v>
      </c>
      <c r="F53" s="15" t="s">
        <v>93</v>
      </c>
      <c r="G53" s="16">
        <v>0.25</v>
      </c>
      <c r="H53" s="16">
        <f t="shared" si="9"/>
        <v>0.2638888888888889</v>
      </c>
      <c r="I53" s="16">
        <f t="shared" si="5"/>
        <v>1.3888888888888895E-2</v>
      </c>
      <c r="J53" s="16">
        <v>0.47916666666666669</v>
      </c>
      <c r="K53" s="16">
        <v>0.49305555555555558</v>
      </c>
      <c r="L53" s="16" t="s">
        <v>94</v>
      </c>
      <c r="M53" s="16" t="s">
        <v>94</v>
      </c>
      <c r="N53" s="16">
        <f t="shared" si="0"/>
        <v>1.3888888888888895E-2</v>
      </c>
      <c r="O53" s="16">
        <v>0</v>
      </c>
      <c r="P53" s="16">
        <v>6.9444444444444397E-3</v>
      </c>
      <c r="Q53" s="16">
        <v>0.5</v>
      </c>
      <c r="R53" s="16">
        <f t="shared" si="2"/>
        <v>0</v>
      </c>
      <c r="S53" s="16">
        <v>0.5</v>
      </c>
      <c r="T53" s="16">
        <f>VLOOKUP(E53,'[2]21-3-2026'!E$3:T$35,16,FALSE)</f>
        <v>4.1666666666666699E-2</v>
      </c>
      <c r="U53" s="16">
        <v>0.54166666666666663</v>
      </c>
      <c r="V53" s="16">
        <f t="shared" si="3"/>
        <v>0</v>
      </c>
      <c r="W53" s="16">
        <v>3.125E-2</v>
      </c>
      <c r="X53" s="16">
        <v>0.54513888888888895</v>
      </c>
      <c r="Y53" s="16">
        <v>0.57638888888888895</v>
      </c>
      <c r="Z53" s="16">
        <f t="shared" si="4"/>
        <v>3.125E-2</v>
      </c>
      <c r="AA53" s="16">
        <f t="shared" si="6"/>
        <v>0</v>
      </c>
      <c r="AB53" s="16">
        <v>0.57986111111111105</v>
      </c>
      <c r="AC53" s="17"/>
      <c r="AD53" s="51"/>
    </row>
    <row r="54" spans="1:30" ht="19.5" thickBot="1" x14ac:dyDescent="0.3">
      <c r="A54" s="14">
        <v>19</v>
      </c>
      <c r="B54" s="15">
        <v>459</v>
      </c>
      <c r="C54" s="15" t="str">
        <f>VLOOKUP(B54,داتا!$B$3:$D$107,2,FALSE)</f>
        <v>دبابة</v>
      </c>
      <c r="D54" s="34">
        <f>VLOOKUP(B54,داتا!$B$3:$D$107,3,FALSE)</f>
        <v>2.0833333333333301E-2</v>
      </c>
      <c r="E54" s="15" t="s">
        <v>89</v>
      </c>
      <c r="F54" s="15" t="s">
        <v>156</v>
      </c>
      <c r="G54" s="16">
        <v>0.29166666666666669</v>
      </c>
      <c r="H54" s="16">
        <f t="shared" si="9"/>
        <v>0.29166666666666669</v>
      </c>
      <c r="I54" s="16">
        <f t="shared" si="5"/>
        <v>0</v>
      </c>
      <c r="J54" s="16">
        <v>0.39583333333333331</v>
      </c>
      <c r="K54" s="16">
        <v>0.44444444444444442</v>
      </c>
      <c r="L54" s="16" t="s">
        <v>105</v>
      </c>
      <c r="M54" s="16" t="s">
        <v>105</v>
      </c>
      <c r="N54" s="16">
        <f t="shared" si="0"/>
        <v>4.8611111111111105E-2</v>
      </c>
      <c r="O54" s="16">
        <f t="shared" si="1"/>
        <v>2.7777777777777804E-2</v>
      </c>
      <c r="P54" s="16">
        <v>6.9444444444444397E-3</v>
      </c>
      <c r="Q54" s="16">
        <v>0.4375</v>
      </c>
      <c r="R54" s="16">
        <v>0</v>
      </c>
      <c r="S54" s="16">
        <v>0.4375</v>
      </c>
      <c r="T54" s="16">
        <f>VLOOKUP(E54,'[2]21-3-2026'!E$3:T$35,16,FALSE)</f>
        <v>1.7361111111111101E-2</v>
      </c>
      <c r="U54" s="16">
        <v>0.47222222222222227</v>
      </c>
      <c r="V54" s="16">
        <f t="shared" si="3"/>
        <v>1.736111111111116E-2</v>
      </c>
      <c r="W54" s="16">
        <v>2.0833333333333332E-2</v>
      </c>
      <c r="X54" s="16">
        <v>0.47569444444444442</v>
      </c>
      <c r="Y54" s="16">
        <v>0.49305555555555558</v>
      </c>
      <c r="Z54" s="16">
        <f t="shared" si="4"/>
        <v>1.736111111111116E-2</v>
      </c>
      <c r="AA54" s="16">
        <v>0</v>
      </c>
      <c r="AB54" s="16">
        <v>0.49652777777777773</v>
      </c>
      <c r="AC54" s="17"/>
      <c r="AD54" s="51"/>
    </row>
    <row r="55" spans="1:30" ht="19.5" thickBot="1" x14ac:dyDescent="0.3">
      <c r="A55" s="14">
        <v>20</v>
      </c>
      <c r="B55" s="15">
        <v>459</v>
      </c>
      <c r="C55" s="15" t="str">
        <f>VLOOKUP(B55,داتا!$B$3:$D$107,2,FALSE)</f>
        <v>دبابة</v>
      </c>
      <c r="D55" s="34">
        <f>VLOOKUP(B55,داتا!$B$3:$D$107,3,FALSE)</f>
        <v>2.0833333333333301E-2</v>
      </c>
      <c r="E55" s="15" t="s">
        <v>39</v>
      </c>
      <c r="F55" s="15" t="s">
        <v>156</v>
      </c>
      <c r="G55" s="16">
        <v>0.29166666666666669</v>
      </c>
      <c r="H55" s="16">
        <f t="shared" si="9"/>
        <v>0.29166666666666669</v>
      </c>
      <c r="I55" s="16">
        <f t="shared" si="5"/>
        <v>0</v>
      </c>
      <c r="J55" s="16">
        <v>0.39583333333333331</v>
      </c>
      <c r="K55" s="16">
        <v>0.44444444444444442</v>
      </c>
      <c r="L55" s="16" t="s">
        <v>105</v>
      </c>
      <c r="M55" s="16" t="s">
        <v>105</v>
      </c>
      <c r="N55" s="16">
        <f t="shared" si="0"/>
        <v>4.8611111111111105E-2</v>
      </c>
      <c r="O55" s="16">
        <f t="shared" si="1"/>
        <v>2.7777777777777804E-2</v>
      </c>
      <c r="P55" s="16">
        <v>6.9444444444444397E-3</v>
      </c>
      <c r="Q55" s="16">
        <v>0.4375</v>
      </c>
      <c r="R55" s="16">
        <v>0</v>
      </c>
      <c r="S55" s="16">
        <v>0.4375</v>
      </c>
      <c r="T55" s="16">
        <f>VLOOKUP(E55,'[2]21-3-2026'!E$3:T$35,16,FALSE)</f>
        <v>1.7361111111111101E-2</v>
      </c>
      <c r="U55" s="16">
        <v>0.50347222222222221</v>
      </c>
      <c r="V55" s="16">
        <v>0</v>
      </c>
      <c r="W55" s="16">
        <v>3.125E-2</v>
      </c>
      <c r="X55" s="16">
        <v>0.50486111111111109</v>
      </c>
      <c r="Y55" s="16">
        <v>0.51527777777777783</v>
      </c>
      <c r="Z55" s="16">
        <f t="shared" si="4"/>
        <v>1.0416666666666741E-2</v>
      </c>
      <c r="AA55" s="16">
        <v>0</v>
      </c>
      <c r="AB55" s="16">
        <v>0.51736111111111105</v>
      </c>
      <c r="AC55" s="17"/>
      <c r="AD55" s="51"/>
    </row>
    <row r="56" spans="1:30" ht="19.5" thickBot="1" x14ac:dyDescent="0.3">
      <c r="A56" s="14">
        <v>21</v>
      </c>
      <c r="B56" s="15">
        <v>5898</v>
      </c>
      <c r="C56" s="15" t="str">
        <f>VLOOKUP(B56,داتا!$B$3:$D$107,2,FALSE)</f>
        <v>تلتين</v>
      </c>
      <c r="D56" s="34">
        <f>VLOOKUP(B56,داتا!$B$3:$D$107,3,FALSE)</f>
        <v>3.125E-2</v>
      </c>
      <c r="E56" s="15" t="s">
        <v>34</v>
      </c>
      <c r="F56" s="15" t="s">
        <v>66</v>
      </c>
      <c r="G56" s="16">
        <v>0.25</v>
      </c>
      <c r="H56" s="16">
        <f t="shared" si="9"/>
        <v>0.23958333333333334</v>
      </c>
      <c r="I56" s="16">
        <v>0</v>
      </c>
      <c r="J56" s="16">
        <v>0.44791666666666669</v>
      </c>
      <c r="K56" s="16">
        <v>0.46527777777777773</v>
      </c>
      <c r="L56" s="16" t="s">
        <v>105</v>
      </c>
      <c r="M56" s="16" t="s">
        <v>105</v>
      </c>
      <c r="N56" s="16">
        <f t="shared" si="0"/>
        <v>1.7361111111111049E-2</v>
      </c>
      <c r="O56" s="16">
        <v>0</v>
      </c>
      <c r="P56" s="16">
        <v>6.9444444444444397E-3</v>
      </c>
      <c r="Q56" s="16">
        <v>0.47222222222222227</v>
      </c>
      <c r="R56" s="16">
        <f t="shared" si="2"/>
        <v>0</v>
      </c>
      <c r="S56" s="16">
        <v>0.47222222222222227</v>
      </c>
      <c r="T56" s="16">
        <f>VLOOKUP(E56,'[2]21-3-2026'!E$3:T$35,16,FALSE)</f>
        <v>1.0416666666666701E-2</v>
      </c>
      <c r="U56" s="16">
        <v>0.49305555555555558</v>
      </c>
      <c r="V56" s="16">
        <f t="shared" si="3"/>
        <v>1.041666666666663E-2</v>
      </c>
      <c r="W56" s="16">
        <v>4.1666666666666664E-2</v>
      </c>
      <c r="X56" s="16">
        <v>0.49583333333333335</v>
      </c>
      <c r="Y56" s="16">
        <v>0.54097222222222219</v>
      </c>
      <c r="Z56" s="16">
        <f t="shared" si="4"/>
        <v>4.513888888888884E-2</v>
      </c>
      <c r="AA56" s="16">
        <f t="shared" si="6"/>
        <v>3.4722222222221752E-3</v>
      </c>
      <c r="AB56" s="16">
        <v>0.54166666666666663</v>
      </c>
      <c r="AC56" s="17"/>
      <c r="AD56" s="51"/>
    </row>
    <row r="57" spans="1:30" ht="19.5" thickBot="1" x14ac:dyDescent="0.3">
      <c r="A57" s="14">
        <v>22</v>
      </c>
      <c r="B57" s="15">
        <v>3492</v>
      </c>
      <c r="C57" s="15" t="str">
        <f>VLOOKUP(B57,داتا!$B$3:$D$107,2,FALSE)</f>
        <v>تلتين</v>
      </c>
      <c r="D57" s="34">
        <f>VLOOKUP(B57,داتا!$B$3:$D$107,3,FALSE)</f>
        <v>3.125E-2</v>
      </c>
      <c r="E57" s="15" t="s">
        <v>30</v>
      </c>
      <c r="F57" s="15" t="s">
        <v>169</v>
      </c>
      <c r="G57" s="16">
        <v>0.25</v>
      </c>
      <c r="H57" s="16">
        <f t="shared" si="9"/>
        <v>0.24305555555555555</v>
      </c>
      <c r="I57" s="16">
        <v>0</v>
      </c>
      <c r="J57" s="16">
        <v>0.47916666666666669</v>
      </c>
      <c r="K57" s="16">
        <v>0.4861111111111111</v>
      </c>
      <c r="L57" s="16" t="s">
        <v>105</v>
      </c>
      <c r="M57" s="16" t="s">
        <v>105</v>
      </c>
      <c r="N57" s="16">
        <f t="shared" si="0"/>
        <v>6.9444444444444198E-3</v>
      </c>
      <c r="O57" s="16">
        <v>0</v>
      </c>
      <c r="P57" s="16">
        <v>6.9444444444444397E-3</v>
      </c>
      <c r="Q57" s="16">
        <v>0.49652777777777773</v>
      </c>
      <c r="R57" s="16">
        <f t="shared" si="2"/>
        <v>3.4722222222222099E-3</v>
      </c>
      <c r="S57" s="16">
        <v>0.49652777777777773</v>
      </c>
      <c r="T57" s="16">
        <f>VLOOKUP(E57,'[2]21-3-2026'!E$3:T$35,16,FALSE)</f>
        <v>1.38888888888889E-2</v>
      </c>
      <c r="U57" s="16">
        <v>0.51041666666666663</v>
      </c>
      <c r="V57" s="16">
        <f t="shared" si="3"/>
        <v>0</v>
      </c>
      <c r="W57" s="16">
        <v>4.1666666666666664E-2</v>
      </c>
      <c r="X57" s="16">
        <v>0.51388888888888895</v>
      </c>
      <c r="Y57" s="16">
        <v>0.54166666666666663</v>
      </c>
      <c r="Z57" s="16">
        <f t="shared" si="4"/>
        <v>2.7777777777777679E-2</v>
      </c>
      <c r="AA57" s="16">
        <v>0</v>
      </c>
      <c r="AB57" s="16">
        <v>0.54513888888888895</v>
      </c>
      <c r="AC57" s="17"/>
      <c r="AD57" s="51"/>
    </row>
    <row r="58" spans="1:30" ht="19.5" thickBot="1" x14ac:dyDescent="0.3">
      <c r="A58" s="14">
        <v>23</v>
      </c>
      <c r="B58" s="15">
        <v>3783</v>
      </c>
      <c r="C58" s="15" t="str">
        <f>VLOOKUP(B58,داتا!$B$3:$D$107,2,FALSE)</f>
        <v>دبابة</v>
      </c>
      <c r="D58" s="34">
        <f>VLOOKUP(B58,داتا!$B$3:$D$107,3,FALSE)</f>
        <v>2.0833333333333301E-2</v>
      </c>
      <c r="E58" s="15" t="s">
        <v>75</v>
      </c>
      <c r="F58" s="15" t="s">
        <v>76</v>
      </c>
      <c r="G58" s="16">
        <v>0.25</v>
      </c>
      <c r="H58" s="16">
        <f t="shared" si="9"/>
        <v>0.25</v>
      </c>
      <c r="I58" s="16">
        <f t="shared" si="5"/>
        <v>0</v>
      </c>
      <c r="J58" s="16">
        <v>0.39583333333333331</v>
      </c>
      <c r="K58" s="16">
        <v>0.41666666666666669</v>
      </c>
      <c r="L58" s="16" t="s">
        <v>157</v>
      </c>
      <c r="M58" s="16" t="s">
        <v>157</v>
      </c>
      <c r="N58" s="16">
        <f t="shared" si="0"/>
        <v>2.083333333333337E-2</v>
      </c>
      <c r="O58" s="16">
        <f t="shared" si="1"/>
        <v>6.9388939039072284E-17</v>
      </c>
      <c r="P58" s="16">
        <v>6.9444444444444397E-3</v>
      </c>
      <c r="Q58" s="16">
        <v>0.4201388888888889</v>
      </c>
      <c r="R58" s="16">
        <v>0</v>
      </c>
      <c r="S58" s="16">
        <v>0.4201388888888889</v>
      </c>
      <c r="T58" s="16">
        <f>VLOOKUP(E58,'[2]21-3-2026'!E$3:T$35,16,FALSE)</f>
        <v>2.0833333333333301E-2</v>
      </c>
      <c r="U58" s="16">
        <v>0.44791666666666669</v>
      </c>
      <c r="V58" s="16">
        <f t="shared" si="3"/>
        <v>6.9444444444444753E-3</v>
      </c>
      <c r="W58" s="16">
        <v>2.0833333333333332E-2</v>
      </c>
      <c r="X58" s="16">
        <v>0.4513888888888889</v>
      </c>
      <c r="Y58" s="16">
        <v>0.46527777777777773</v>
      </c>
      <c r="Z58" s="16">
        <f t="shared" si="4"/>
        <v>1.388888888888884E-2</v>
      </c>
      <c r="AA58" s="16">
        <v>0</v>
      </c>
      <c r="AB58" s="16">
        <v>0.46875</v>
      </c>
      <c r="AC58" s="17"/>
      <c r="AD58" s="51"/>
    </row>
    <row r="59" spans="1:30" ht="19.5" thickBot="1" x14ac:dyDescent="0.3">
      <c r="A59" s="14">
        <v>24</v>
      </c>
      <c r="B59" s="15">
        <v>3783</v>
      </c>
      <c r="C59" s="15" t="str">
        <f>VLOOKUP(B59,داتا!$B$3:$D$107,2,FALSE)</f>
        <v>دبابة</v>
      </c>
      <c r="D59" s="34">
        <f>VLOOKUP(B59,داتا!$B$3:$D$107,3,FALSE)</f>
        <v>2.0833333333333301E-2</v>
      </c>
      <c r="E59" s="16" t="s">
        <v>60</v>
      </c>
      <c r="F59" s="15" t="s">
        <v>76</v>
      </c>
      <c r="G59" s="16">
        <v>0.25</v>
      </c>
      <c r="H59" s="16">
        <f t="shared" si="9"/>
        <v>0.25</v>
      </c>
      <c r="I59" s="16">
        <f t="shared" si="5"/>
        <v>0</v>
      </c>
      <c r="J59" s="16">
        <v>0.39583333333333331</v>
      </c>
      <c r="K59" s="16">
        <v>0.41666666666666669</v>
      </c>
      <c r="L59" s="16" t="s">
        <v>157</v>
      </c>
      <c r="M59" s="16" t="s">
        <v>157</v>
      </c>
      <c r="N59" s="16">
        <f t="shared" si="0"/>
        <v>2.083333333333337E-2</v>
      </c>
      <c r="O59" s="16">
        <f t="shared" si="1"/>
        <v>6.9388939039072284E-17</v>
      </c>
      <c r="P59" s="16">
        <v>6.9444444444444397E-3</v>
      </c>
      <c r="Q59" s="16">
        <v>0.4201388888888889</v>
      </c>
      <c r="R59" s="16">
        <v>0</v>
      </c>
      <c r="S59" s="16">
        <v>0.4201388888888889</v>
      </c>
      <c r="T59" s="16">
        <f>VLOOKUP(E59,'[2]21-3-2026'!E$3:T$35,16,FALSE)</f>
        <v>1.0416666666666701E-2</v>
      </c>
      <c r="U59" s="16">
        <v>0.4826388888888889</v>
      </c>
      <c r="V59" s="16">
        <v>3.472222222222222E-3</v>
      </c>
      <c r="W59" s="16">
        <v>3.125E-2</v>
      </c>
      <c r="X59" s="16">
        <v>0.4861111111111111</v>
      </c>
      <c r="Y59" s="16">
        <v>0.50347222222222221</v>
      </c>
      <c r="Z59" s="16">
        <f t="shared" si="4"/>
        <v>1.7361111111111105E-2</v>
      </c>
      <c r="AA59" s="16">
        <v>0</v>
      </c>
      <c r="AB59" s="16">
        <v>0.50694444444444442</v>
      </c>
      <c r="AC59" s="17"/>
      <c r="AD59" s="51"/>
    </row>
    <row r="60" spans="1:30" ht="19.5" thickBot="1" x14ac:dyDescent="0.3">
      <c r="A60" s="14">
        <v>25</v>
      </c>
      <c r="B60" s="15">
        <v>1538</v>
      </c>
      <c r="C60" s="15" t="str">
        <f>VLOOKUP(B60,داتا!$B$3:$D$107,2,FALSE)</f>
        <v>تلتين</v>
      </c>
      <c r="D60" s="34">
        <f>VLOOKUP(B60,داتا!$B$3:$D$107,3,FALSE)</f>
        <v>3.125E-2</v>
      </c>
      <c r="E60" s="15" t="s">
        <v>70</v>
      </c>
      <c r="F60" s="15" t="s">
        <v>146</v>
      </c>
      <c r="G60" s="16">
        <v>0.25</v>
      </c>
      <c r="H60" s="16">
        <f t="shared" si="9"/>
        <v>0.23958333333333334</v>
      </c>
      <c r="I60" s="16">
        <v>0</v>
      </c>
      <c r="J60" s="16">
        <v>0.43055555555555558</v>
      </c>
      <c r="K60" s="16">
        <v>0.45833333333333331</v>
      </c>
      <c r="L60" s="16" t="s">
        <v>107</v>
      </c>
      <c r="M60" s="16" t="s">
        <v>107</v>
      </c>
      <c r="N60" s="16">
        <f t="shared" si="0"/>
        <v>2.7777777777777735E-2</v>
      </c>
      <c r="O60" s="16">
        <v>0</v>
      </c>
      <c r="P60" s="16">
        <v>6.9444444444444397E-3</v>
      </c>
      <c r="Q60" s="16">
        <v>0.47222222222222227</v>
      </c>
      <c r="R60" s="16">
        <f t="shared" si="2"/>
        <v>6.9444444444445308E-3</v>
      </c>
      <c r="S60" s="16">
        <v>0.47222222222222227</v>
      </c>
      <c r="T60" s="16">
        <f>VLOOKUP(E60,'[2]21-3-2026'!E$3:T$35,16,FALSE)</f>
        <v>1.0416666666666701E-2</v>
      </c>
      <c r="U60" s="16">
        <v>0.4861111111111111</v>
      </c>
      <c r="V60" s="16">
        <f t="shared" si="3"/>
        <v>3.4722222222221544E-3</v>
      </c>
      <c r="W60" s="16">
        <v>3.125E-2</v>
      </c>
      <c r="X60" s="16">
        <v>0.49444444444444446</v>
      </c>
      <c r="Y60" s="16">
        <v>0.5083333333333333</v>
      </c>
      <c r="Z60" s="16">
        <f t="shared" si="4"/>
        <v>1.388888888888884E-2</v>
      </c>
      <c r="AA60" s="16">
        <v>0</v>
      </c>
      <c r="AB60" s="16">
        <v>0.51041666666666663</v>
      </c>
      <c r="AC60" s="17"/>
      <c r="AD60" s="51"/>
    </row>
    <row r="61" spans="1:30" ht="19.5" thickBot="1" x14ac:dyDescent="0.3">
      <c r="A61" s="14">
        <v>26</v>
      </c>
      <c r="B61" s="15">
        <v>1538</v>
      </c>
      <c r="C61" s="15" t="str">
        <f>VLOOKUP(B61,داتا!$B$3:$D$107,2,FALSE)</f>
        <v>تلتين</v>
      </c>
      <c r="D61" s="34">
        <f>VLOOKUP(B61,داتا!$B$3:$D$107,3,FALSE)</f>
        <v>3.125E-2</v>
      </c>
      <c r="E61" s="15" t="s">
        <v>79</v>
      </c>
      <c r="F61" s="15" t="s">
        <v>146</v>
      </c>
      <c r="G61" s="16">
        <v>0.25</v>
      </c>
      <c r="H61" s="16">
        <f t="shared" si="9"/>
        <v>0.23958333333333334</v>
      </c>
      <c r="I61" s="16">
        <v>0</v>
      </c>
      <c r="J61" s="16">
        <v>0.43055555555555558</v>
      </c>
      <c r="K61" s="16">
        <v>0.45833333333333331</v>
      </c>
      <c r="L61" s="16" t="s">
        <v>107</v>
      </c>
      <c r="M61" s="16" t="s">
        <v>107</v>
      </c>
      <c r="N61" s="16">
        <f t="shared" si="0"/>
        <v>2.7777777777777735E-2</v>
      </c>
      <c r="O61" s="16">
        <v>0</v>
      </c>
      <c r="P61" s="16">
        <v>6.9444444444444397E-3</v>
      </c>
      <c r="Q61" s="16">
        <v>0.47222222222222227</v>
      </c>
      <c r="R61" s="16">
        <f t="shared" si="2"/>
        <v>6.9444444444445308E-3</v>
      </c>
      <c r="S61" s="16">
        <v>0.47222222222222227</v>
      </c>
      <c r="T61" s="16">
        <f>VLOOKUP(E61,'[2]21-3-2026'!E$3:T$35,16,FALSE)</f>
        <v>2.0833333333333301E-2</v>
      </c>
      <c r="U61" s="16">
        <v>0.53472222222222221</v>
      </c>
      <c r="V61" s="16">
        <v>3.472222222222222E-3</v>
      </c>
      <c r="W61" s="16">
        <v>4.1666666666666664E-2</v>
      </c>
      <c r="X61" s="16">
        <v>0.53819444444444442</v>
      </c>
      <c r="Y61" s="16">
        <v>0.55902777777777779</v>
      </c>
      <c r="Z61" s="16">
        <f t="shared" si="4"/>
        <v>2.083333333333337E-2</v>
      </c>
      <c r="AA61" s="16">
        <v>0</v>
      </c>
      <c r="AB61" s="16">
        <v>0.5625</v>
      </c>
      <c r="AC61" s="17"/>
      <c r="AD61" s="51"/>
    </row>
    <row r="62" spans="1:30" ht="19.5" thickBot="1" x14ac:dyDescent="0.3">
      <c r="A62" s="14">
        <v>27</v>
      </c>
      <c r="B62" s="15">
        <v>634</v>
      </c>
      <c r="C62" s="15" t="str">
        <f>VLOOKUP(B62,داتا!$B$3:$D$107,2,FALSE)</f>
        <v>دبابة</v>
      </c>
      <c r="D62" s="34">
        <f>VLOOKUP(B62,داتا!$B$3:$D$107,3,FALSE)</f>
        <v>2.0833333333333301E-2</v>
      </c>
      <c r="E62" s="15" t="s">
        <v>61</v>
      </c>
      <c r="F62" s="15" t="s">
        <v>90</v>
      </c>
      <c r="G62" s="16">
        <v>0.25</v>
      </c>
      <c r="H62" s="16">
        <f t="shared" si="9"/>
        <v>0.22222222222222221</v>
      </c>
      <c r="I62" s="16">
        <v>0</v>
      </c>
      <c r="J62" s="16">
        <v>0.47222222222222227</v>
      </c>
      <c r="K62" s="16">
        <v>0.48958333333333331</v>
      </c>
      <c r="L62" s="16" t="s">
        <v>107</v>
      </c>
      <c r="M62" s="16" t="s">
        <v>107</v>
      </c>
      <c r="N62" s="16">
        <f t="shared" si="0"/>
        <v>1.7361111111111049E-2</v>
      </c>
      <c r="O62" s="16">
        <v>0</v>
      </c>
      <c r="P62" s="16">
        <v>6.9444444444444397E-3</v>
      </c>
      <c r="Q62" s="16">
        <v>0.5</v>
      </c>
      <c r="R62" s="16">
        <f t="shared" si="2"/>
        <v>3.4722222222222654E-3</v>
      </c>
      <c r="S62" s="16">
        <v>0.5</v>
      </c>
      <c r="T62" s="16">
        <f>VLOOKUP(E62,'[2]21-3-2026'!E$3:T$35,16,FALSE)</f>
        <v>3.4722222222222203E-2</v>
      </c>
      <c r="U62" s="16">
        <v>0.53888888888888886</v>
      </c>
      <c r="V62" s="16">
        <f t="shared" si="3"/>
        <v>4.1666666666666519E-3</v>
      </c>
      <c r="W62" s="16">
        <v>2.0833333333333332E-2</v>
      </c>
      <c r="X62" s="16">
        <v>0.54166666666666663</v>
      </c>
      <c r="Y62" s="16">
        <v>0.5541666666666667</v>
      </c>
      <c r="Z62" s="16">
        <f t="shared" si="4"/>
        <v>1.2500000000000067E-2</v>
      </c>
      <c r="AA62" s="16">
        <v>0</v>
      </c>
      <c r="AB62" s="16">
        <v>0.55555555555555558</v>
      </c>
      <c r="AC62" s="17"/>
      <c r="AD62" s="51"/>
    </row>
    <row r="63" spans="1:30" ht="19.5" thickBot="1" x14ac:dyDescent="0.3">
      <c r="A63" s="14">
        <v>28</v>
      </c>
      <c r="B63" s="15">
        <v>634</v>
      </c>
      <c r="C63" s="15" t="str">
        <f>VLOOKUP(B63,داتا!$B$3:$D$107,2,FALSE)</f>
        <v>دبابة</v>
      </c>
      <c r="D63" s="34">
        <f>VLOOKUP(B63,داتا!$B$3:$D$107,3,FALSE)</f>
        <v>2.0833333333333301E-2</v>
      </c>
      <c r="E63" s="15" t="s">
        <v>55</v>
      </c>
      <c r="F63" s="15" t="s">
        <v>90</v>
      </c>
      <c r="G63" s="16">
        <v>0.25</v>
      </c>
      <c r="H63" s="16">
        <f t="shared" si="9"/>
        <v>0.22222222222222221</v>
      </c>
      <c r="I63" s="16">
        <v>0</v>
      </c>
      <c r="J63" s="16">
        <v>0.47222222222222227</v>
      </c>
      <c r="K63" s="16">
        <v>0.48958333333333331</v>
      </c>
      <c r="L63" s="16" t="s">
        <v>107</v>
      </c>
      <c r="M63" s="16" t="s">
        <v>107</v>
      </c>
      <c r="N63" s="16">
        <f t="shared" si="0"/>
        <v>1.7361111111111049E-2</v>
      </c>
      <c r="O63" s="16">
        <v>0</v>
      </c>
      <c r="P63" s="16">
        <v>6.9444444444444397E-3</v>
      </c>
      <c r="Q63" s="16">
        <v>0.5</v>
      </c>
      <c r="R63" s="16">
        <f t="shared" si="2"/>
        <v>3.4722222222222654E-3</v>
      </c>
      <c r="S63" s="16">
        <v>0.5</v>
      </c>
      <c r="T63" s="16">
        <f>VLOOKUP(E63,'[2]21-3-2026'!E$3:T$35,16,FALSE)</f>
        <v>3.8194444444444399E-2</v>
      </c>
      <c r="U63" s="16">
        <v>0.56944444444444442</v>
      </c>
      <c r="V63" s="16">
        <v>3.472222222222222E-3</v>
      </c>
      <c r="W63" s="16">
        <v>3.125E-2</v>
      </c>
      <c r="X63" s="16">
        <v>0.57152777777777775</v>
      </c>
      <c r="Y63" s="16">
        <v>0.58680555555555558</v>
      </c>
      <c r="Z63" s="16">
        <f t="shared" si="4"/>
        <v>1.5277777777777835E-2</v>
      </c>
      <c r="AA63" s="16">
        <v>0</v>
      </c>
      <c r="AB63" s="16">
        <v>0.59027777777777779</v>
      </c>
      <c r="AC63" s="17"/>
      <c r="AD63" s="51"/>
    </row>
    <row r="64" spans="1:30" ht="19.5" thickBot="1" x14ac:dyDescent="0.3">
      <c r="A64" s="14">
        <v>29</v>
      </c>
      <c r="B64" s="15">
        <v>4879</v>
      </c>
      <c r="C64" s="15" t="str">
        <f>VLOOKUP(B64,داتا!$B$3:$D$107,2,FALSE)</f>
        <v>دبابة</v>
      </c>
      <c r="D64" s="34">
        <f>VLOOKUP(B64,داتا!$B$3:$D$107,3,FALSE)</f>
        <v>2.0833333333333301E-2</v>
      </c>
      <c r="E64" s="15" t="s">
        <v>72</v>
      </c>
      <c r="F64" s="15" t="s">
        <v>80</v>
      </c>
      <c r="G64" s="16">
        <v>0.25</v>
      </c>
      <c r="H64" s="16">
        <f t="shared" si="9"/>
        <v>0.25</v>
      </c>
      <c r="I64" s="16">
        <f t="shared" si="5"/>
        <v>0</v>
      </c>
      <c r="J64" s="16">
        <v>0.40972222222222227</v>
      </c>
      <c r="K64" s="16">
        <v>0.43402777777777773</v>
      </c>
      <c r="L64" s="16" t="s">
        <v>158</v>
      </c>
      <c r="M64" s="16" t="s">
        <v>172</v>
      </c>
      <c r="N64" s="16">
        <f t="shared" si="0"/>
        <v>2.4305555555555469E-2</v>
      </c>
      <c r="O64" s="16">
        <f t="shared" si="1"/>
        <v>3.4722222222221683E-3</v>
      </c>
      <c r="P64" s="16">
        <v>6.9444444444444397E-3</v>
      </c>
      <c r="Q64" s="16">
        <v>0.43055555555555558</v>
      </c>
      <c r="R64" s="16">
        <v>0</v>
      </c>
      <c r="S64" s="16">
        <v>0.43055555555555558</v>
      </c>
      <c r="T64" s="16">
        <f>VLOOKUP(E64,'[2]21-3-2026'!E$3:T$35,16,FALSE)</f>
        <v>1.0416666666666701E-2</v>
      </c>
      <c r="U64" s="16">
        <v>0.44791666666666669</v>
      </c>
      <c r="V64" s="16">
        <f t="shared" si="3"/>
        <v>6.9444444444444198E-3</v>
      </c>
      <c r="W64" s="16">
        <v>2.0833333333333332E-2</v>
      </c>
      <c r="X64" s="16">
        <v>0.45347222222222222</v>
      </c>
      <c r="Y64" s="16">
        <v>0.46319444444444446</v>
      </c>
      <c r="Z64" s="16">
        <f t="shared" si="4"/>
        <v>9.7222222222222432E-3</v>
      </c>
      <c r="AA64" s="16">
        <v>0</v>
      </c>
      <c r="AB64" s="16">
        <v>0.46527777777777773</v>
      </c>
      <c r="AC64" s="17"/>
      <c r="AD64" s="51"/>
    </row>
    <row r="65" spans="1:30" ht="19.5" thickBot="1" x14ac:dyDescent="0.3">
      <c r="A65" s="14">
        <v>30</v>
      </c>
      <c r="B65" s="15">
        <v>4879</v>
      </c>
      <c r="C65" s="15" t="str">
        <f>VLOOKUP(B65,داتا!$B$3:$D$107,2,FALSE)</f>
        <v>دبابة</v>
      </c>
      <c r="D65" s="34">
        <f>VLOOKUP(B65,داتا!$B$3:$D$107,3,FALSE)</f>
        <v>2.0833333333333301E-2</v>
      </c>
      <c r="E65" s="15" t="s">
        <v>92</v>
      </c>
      <c r="F65" s="15" t="s">
        <v>80</v>
      </c>
      <c r="G65" s="16">
        <v>0.25</v>
      </c>
      <c r="H65" s="16">
        <f t="shared" si="9"/>
        <v>0.25</v>
      </c>
      <c r="I65" s="16">
        <f t="shared" si="5"/>
        <v>0</v>
      </c>
      <c r="J65" s="16">
        <v>0.40972222222222227</v>
      </c>
      <c r="K65" s="16">
        <v>0.43402777777777773</v>
      </c>
      <c r="L65" s="16" t="s">
        <v>158</v>
      </c>
      <c r="M65" s="16" t="s">
        <v>172</v>
      </c>
      <c r="N65" s="16">
        <f t="shared" si="0"/>
        <v>2.4305555555555469E-2</v>
      </c>
      <c r="O65" s="16">
        <v>0</v>
      </c>
      <c r="P65" s="16">
        <v>6.9444444444444397E-3</v>
      </c>
      <c r="Q65" s="16">
        <v>0.43055555555555558</v>
      </c>
      <c r="R65" s="16">
        <v>0</v>
      </c>
      <c r="S65" s="16">
        <v>0.43055555555555558</v>
      </c>
      <c r="T65" s="16">
        <f>VLOOKUP(E65,'[2]21-3-2026'!E$3:T$35,16,FALSE)</f>
        <v>1.38888888888889E-2</v>
      </c>
      <c r="U65" s="16">
        <v>0.47916666666666669</v>
      </c>
      <c r="V65" s="16">
        <v>0</v>
      </c>
      <c r="W65" s="16">
        <v>3.125E-2</v>
      </c>
      <c r="X65" s="16">
        <v>0.48055555555555557</v>
      </c>
      <c r="Y65" s="16">
        <v>0.48958333333333331</v>
      </c>
      <c r="Z65" s="16">
        <f t="shared" si="4"/>
        <v>9.0277777777777457E-3</v>
      </c>
      <c r="AA65" s="16">
        <v>0</v>
      </c>
      <c r="AB65" s="16">
        <v>0.49652777777777773</v>
      </c>
      <c r="AC65" s="17"/>
      <c r="AD65" s="51"/>
    </row>
    <row r="66" spans="1:30" ht="20.25" customHeight="1" thickBot="1" x14ac:dyDescent="0.3">
      <c r="A66" s="14">
        <v>31</v>
      </c>
      <c r="B66" s="15">
        <v>9198</v>
      </c>
      <c r="C66" s="15" t="str">
        <f>VLOOKUP(B66,داتا!$B$3:$D$107,2,FALSE)</f>
        <v>دبابة</v>
      </c>
      <c r="D66" s="34">
        <f>VLOOKUP(B66,داتا!$B$3:$D$107,3,FALSE)</f>
        <v>2.0833333333333301E-2</v>
      </c>
      <c r="E66" s="15" t="s">
        <v>81</v>
      </c>
      <c r="F66" s="15" t="s">
        <v>106</v>
      </c>
      <c r="G66" s="16">
        <v>0.25</v>
      </c>
      <c r="H66" s="16">
        <f t="shared" si="9"/>
        <v>0.27083333333333331</v>
      </c>
      <c r="I66" s="16">
        <f t="shared" si="5"/>
        <v>2.0833333333333315E-2</v>
      </c>
      <c r="J66" s="16">
        <v>0.44097222222222227</v>
      </c>
      <c r="K66" s="16">
        <v>0.4513888888888889</v>
      </c>
      <c r="L66" s="16" t="s">
        <v>158</v>
      </c>
      <c r="M66" s="16" t="s">
        <v>172</v>
      </c>
      <c r="N66" s="16">
        <f t="shared" si="0"/>
        <v>1.041666666666663E-2</v>
      </c>
      <c r="O66" s="16">
        <v>0</v>
      </c>
      <c r="P66" s="16">
        <v>6.9444444444444397E-3</v>
      </c>
      <c r="Q66" s="16">
        <v>0.46875</v>
      </c>
      <c r="R66" s="16">
        <f t="shared" si="2"/>
        <v>1.0416666666666685E-2</v>
      </c>
      <c r="S66" s="16">
        <v>0.46875</v>
      </c>
      <c r="T66" s="16">
        <f>VLOOKUP(E66,'[2]21-3-2026'!E$3:T$35,16,FALSE)</f>
        <v>2.7777777777777801E-2</v>
      </c>
      <c r="U66" s="16">
        <v>0.49652777777777773</v>
      </c>
      <c r="V66" s="16">
        <f t="shared" si="3"/>
        <v>0</v>
      </c>
      <c r="W66" s="16">
        <v>3.125E-2</v>
      </c>
      <c r="X66" s="16">
        <v>0.5</v>
      </c>
      <c r="Y66" s="16">
        <v>0.53472222222222221</v>
      </c>
      <c r="Z66" s="16">
        <f t="shared" si="4"/>
        <v>3.472222222222221E-2</v>
      </c>
      <c r="AA66" s="16">
        <f t="shared" si="6"/>
        <v>3.4722222222222099E-3</v>
      </c>
      <c r="AB66" s="16">
        <v>0.53819444444444442</v>
      </c>
      <c r="AC66" s="19"/>
      <c r="AD66" s="51"/>
    </row>
    <row r="67" spans="1:30" ht="19.5" customHeight="1" thickBot="1" x14ac:dyDescent="0.3">
      <c r="A67" s="20">
        <v>32</v>
      </c>
      <c r="B67" s="21">
        <v>796</v>
      </c>
      <c r="C67" s="21" t="str">
        <f>VLOOKUP(B67,داتا!$B$3:$D$107,2,FALSE)</f>
        <v>دبابة</v>
      </c>
      <c r="D67" s="35">
        <f>VLOOKUP(B67,داتا!$B$3:$D$107,3,FALSE)</f>
        <v>2.0833333333333301E-2</v>
      </c>
      <c r="E67" s="21" t="s">
        <v>63</v>
      </c>
      <c r="F67" s="21" t="s">
        <v>171</v>
      </c>
      <c r="G67" s="22">
        <v>0.25</v>
      </c>
      <c r="H67" s="22">
        <f t="shared" si="9"/>
        <v>0.27083333333333331</v>
      </c>
      <c r="I67" s="22">
        <f t="shared" si="5"/>
        <v>2.0833333333333315E-2</v>
      </c>
      <c r="J67" s="22">
        <v>0.45833333333333331</v>
      </c>
      <c r="K67" s="22">
        <v>0.47569444444444442</v>
      </c>
      <c r="L67" s="22" t="s">
        <v>158</v>
      </c>
      <c r="M67" s="22" t="s">
        <v>172</v>
      </c>
      <c r="N67" s="22">
        <f t="shared" si="0"/>
        <v>1.7361111111111105E-2</v>
      </c>
      <c r="O67" s="22">
        <v>0</v>
      </c>
      <c r="P67" s="22">
        <v>6.9444444444444397E-3</v>
      </c>
      <c r="Q67" s="22">
        <v>0.49305555555555558</v>
      </c>
      <c r="R67" s="22">
        <f t="shared" si="2"/>
        <v>1.0416666666666741E-2</v>
      </c>
      <c r="S67" s="22">
        <v>0.49305555555555558</v>
      </c>
      <c r="T67" s="22">
        <f>VLOOKUP(E67,'[2]21-3-2026'!E$3:T$35,16,FALSE)</f>
        <v>6.25E-2</v>
      </c>
      <c r="U67" s="22">
        <v>0.54166666666666663</v>
      </c>
      <c r="V67" s="22">
        <v>0</v>
      </c>
      <c r="W67" s="22">
        <v>3.125E-2</v>
      </c>
      <c r="X67" s="22">
        <v>0.55555555555555558</v>
      </c>
      <c r="Y67" s="22">
        <v>0.57222222222222219</v>
      </c>
      <c r="Z67" s="22">
        <f t="shared" si="4"/>
        <v>1.6666666666666607E-2</v>
      </c>
      <c r="AA67" s="22">
        <v>0</v>
      </c>
      <c r="AB67" s="22">
        <v>0.57638888888888895</v>
      </c>
      <c r="AC67" s="23"/>
      <c r="AD67" s="52"/>
    </row>
    <row r="68" spans="1:30" ht="20.25" thickTop="1" thickBot="1" x14ac:dyDescent="0.3">
      <c r="A68" s="10">
        <v>1</v>
      </c>
      <c r="B68" s="11">
        <v>1537</v>
      </c>
      <c r="C68" s="11" t="str">
        <f>VLOOKUP(B68,داتا!$B$3:$D$107,2,FALSE)</f>
        <v>تلتين</v>
      </c>
      <c r="D68" s="33">
        <f>VLOOKUP(B68,داتا!$B$3:$D$107,3,FALSE)</f>
        <v>3.125E-2</v>
      </c>
      <c r="E68" s="11" t="s">
        <v>69</v>
      </c>
      <c r="F68" s="11" t="s">
        <v>177</v>
      </c>
      <c r="G68" s="12">
        <v>8.3333333333333329E-2</v>
      </c>
      <c r="H68" s="12">
        <v>8.3333333333333329E-2</v>
      </c>
      <c r="I68" s="12">
        <f t="shared" ref="I68:I91" si="10">H68-G68</f>
        <v>0</v>
      </c>
      <c r="J68" s="12">
        <v>0.5625</v>
      </c>
      <c r="K68" s="12">
        <v>0.58333333333333337</v>
      </c>
      <c r="L68" s="12" t="s">
        <v>110</v>
      </c>
      <c r="M68" s="12" t="s">
        <v>110</v>
      </c>
      <c r="N68" s="12">
        <f t="shared" ref="N68:N91" si="11">K68-J68</f>
        <v>2.083333333333337E-2</v>
      </c>
      <c r="O68" s="12">
        <v>0</v>
      </c>
      <c r="P68" s="12">
        <v>6.9444444444444397E-3</v>
      </c>
      <c r="Q68" s="12">
        <v>0.59027777777777779</v>
      </c>
      <c r="R68" s="12">
        <f t="shared" ref="R68:R91" si="12">Q68-P68-K68</f>
        <v>0</v>
      </c>
      <c r="S68" s="12">
        <v>0.59027777777777779</v>
      </c>
      <c r="T68" s="12">
        <f>VLOOKUP(E68,'[2]21-3-2026'!E$3:T$35,16,FALSE)</f>
        <v>1.38888888888889E-2</v>
      </c>
      <c r="U68" s="12">
        <v>0.61458333333333337</v>
      </c>
      <c r="V68" s="12">
        <f t="shared" ref="V68:V90" si="13">U68-T68-S68</f>
        <v>1.041666666666663E-2</v>
      </c>
      <c r="W68" s="12">
        <v>3.125E-2</v>
      </c>
      <c r="X68" s="12">
        <v>0.61805555555555558</v>
      </c>
      <c r="Y68" s="12">
        <v>0.62152777777777779</v>
      </c>
      <c r="Z68" s="12">
        <f t="shared" ref="Z68:Z91" si="14">Y68-X68</f>
        <v>3.4722222222222099E-3</v>
      </c>
      <c r="AA68" s="12">
        <v>0</v>
      </c>
      <c r="AB68" s="12">
        <v>0.625</v>
      </c>
      <c r="AC68" s="13"/>
      <c r="AD68" s="53" t="s">
        <v>116</v>
      </c>
    </row>
    <row r="69" spans="1:30" ht="19.5" thickBot="1" x14ac:dyDescent="0.3">
      <c r="A69" s="14">
        <v>2</v>
      </c>
      <c r="B69" s="15">
        <v>1537</v>
      </c>
      <c r="C69" s="15" t="str">
        <f>VLOOKUP(B69,داتا!$B$3:$D$107,2,FALSE)</f>
        <v>تلتين</v>
      </c>
      <c r="D69" s="34">
        <f>VLOOKUP(B69,داتا!$B$3:$D$107,3,FALSE)</f>
        <v>3.125E-2</v>
      </c>
      <c r="E69" s="15" t="s">
        <v>67</v>
      </c>
      <c r="F69" s="15" t="s">
        <v>177</v>
      </c>
      <c r="G69" s="16">
        <v>8.3333333333333329E-2</v>
      </c>
      <c r="H69" s="16">
        <v>8.3333333333333329E-2</v>
      </c>
      <c r="I69" s="16">
        <f t="shared" ref="I69:I70" si="15">H69-G69</f>
        <v>0</v>
      </c>
      <c r="J69" s="16">
        <v>0.5625</v>
      </c>
      <c r="K69" s="16">
        <v>0.58333333333333337</v>
      </c>
      <c r="L69" s="16" t="s">
        <v>110</v>
      </c>
      <c r="M69" s="16" t="s">
        <v>110</v>
      </c>
      <c r="N69" s="16">
        <f t="shared" ref="N69:N70" si="16">K69-J69</f>
        <v>2.083333333333337E-2</v>
      </c>
      <c r="O69" s="16">
        <v>0</v>
      </c>
      <c r="P69" s="16">
        <v>6.9444444444444397E-3</v>
      </c>
      <c r="Q69" s="16">
        <v>0.59027777777777779</v>
      </c>
      <c r="R69" s="16">
        <f t="shared" si="12"/>
        <v>0</v>
      </c>
      <c r="S69" s="16">
        <v>0.59027777777777779</v>
      </c>
      <c r="T69" s="16">
        <f>VLOOKUP(E69,'[2]21-3-2026'!E$3:T$35,16,FALSE)</f>
        <v>1.7361111111111101E-2</v>
      </c>
      <c r="U69" s="16">
        <v>0.63124999999999998</v>
      </c>
      <c r="V69" s="16">
        <v>0</v>
      </c>
      <c r="W69" s="16">
        <v>3.125E-2</v>
      </c>
      <c r="X69" s="16">
        <v>0.63402777777777775</v>
      </c>
      <c r="Y69" s="16">
        <v>0.64930555555555558</v>
      </c>
      <c r="Z69" s="16">
        <f t="shared" si="14"/>
        <v>1.5277777777777835E-2</v>
      </c>
      <c r="AA69" s="16">
        <v>0</v>
      </c>
      <c r="AB69" s="16">
        <v>0.65138888888888891</v>
      </c>
      <c r="AC69" s="17"/>
      <c r="AD69" s="51"/>
    </row>
    <row r="70" spans="1:30" ht="19.5" thickBot="1" x14ac:dyDescent="0.3">
      <c r="A70" s="14">
        <v>3</v>
      </c>
      <c r="B70" s="15">
        <v>1537</v>
      </c>
      <c r="C70" s="15" t="str">
        <f>VLOOKUP(B70,داتا!$B$3:$D$107,2,FALSE)</f>
        <v>تلتين</v>
      </c>
      <c r="D70" s="34">
        <f>VLOOKUP(B70,داتا!$B$3:$D$107,3,FALSE)</f>
        <v>3.125E-2</v>
      </c>
      <c r="E70" s="15" t="s">
        <v>57</v>
      </c>
      <c r="F70" s="15" t="s">
        <v>177</v>
      </c>
      <c r="G70" s="16">
        <v>8.3333333333333329E-2</v>
      </c>
      <c r="H70" s="16">
        <v>8.3333333333333329E-2</v>
      </c>
      <c r="I70" s="16">
        <f t="shared" si="15"/>
        <v>0</v>
      </c>
      <c r="J70" s="16">
        <v>0.5625</v>
      </c>
      <c r="K70" s="16">
        <v>0.58333333333333337</v>
      </c>
      <c r="L70" s="16" t="s">
        <v>110</v>
      </c>
      <c r="M70" s="16" t="s">
        <v>110</v>
      </c>
      <c r="N70" s="16">
        <f t="shared" si="16"/>
        <v>2.083333333333337E-2</v>
      </c>
      <c r="O70" s="16">
        <v>0</v>
      </c>
      <c r="P70" s="16">
        <v>6.9444444444444397E-3</v>
      </c>
      <c r="Q70" s="16">
        <v>0.59027777777777779</v>
      </c>
      <c r="R70" s="16">
        <f t="shared" si="12"/>
        <v>0</v>
      </c>
      <c r="S70" s="16">
        <v>0.59027777777777779</v>
      </c>
      <c r="T70" s="16">
        <f>VLOOKUP(E70,'[2]21-3-2026'!E$3:T$35,16,FALSE)</f>
        <v>1.7361111111111101E-2</v>
      </c>
      <c r="U70" s="16">
        <v>0.65972222222222221</v>
      </c>
      <c r="V70" s="16">
        <v>0</v>
      </c>
      <c r="W70" s="16">
        <v>4.1666666666666664E-2</v>
      </c>
      <c r="X70" s="16">
        <v>0.66319444444444442</v>
      </c>
      <c r="Y70" s="16">
        <v>0.67361111111111116</v>
      </c>
      <c r="Z70" s="16">
        <f t="shared" si="14"/>
        <v>1.0416666666666741E-2</v>
      </c>
      <c r="AA70" s="16">
        <v>0</v>
      </c>
      <c r="AB70" s="16">
        <v>0.67708333333333337</v>
      </c>
      <c r="AC70" s="17"/>
      <c r="AD70" s="51"/>
    </row>
    <row r="71" spans="1:30" ht="19.5" thickBot="1" x14ac:dyDescent="0.3">
      <c r="A71" s="14">
        <v>4</v>
      </c>
      <c r="B71" s="15">
        <v>3492</v>
      </c>
      <c r="C71" s="15" t="str">
        <f>VLOOKUP(B71,داتا!$B$3:$D$107,2,FALSE)</f>
        <v>تلتين</v>
      </c>
      <c r="D71" s="34">
        <f>VLOOKUP(B71,داتا!$B$3:$D$107,3,FALSE)</f>
        <v>3.125E-2</v>
      </c>
      <c r="E71" s="15" t="s">
        <v>83</v>
      </c>
      <c r="F71" s="15" t="s">
        <v>175</v>
      </c>
      <c r="G71" s="16">
        <v>8.3333333333333329E-2</v>
      </c>
      <c r="H71" s="16">
        <v>8.3333333333333329E-2</v>
      </c>
      <c r="I71" s="16">
        <f t="shared" si="10"/>
        <v>0</v>
      </c>
      <c r="J71" s="16">
        <v>0.57291666666666663</v>
      </c>
      <c r="K71" s="16">
        <v>0.58680555555555558</v>
      </c>
      <c r="L71" s="16" t="s">
        <v>85</v>
      </c>
      <c r="M71" s="16" t="s">
        <v>85</v>
      </c>
      <c r="N71" s="16">
        <f t="shared" si="11"/>
        <v>1.3888888888888951E-2</v>
      </c>
      <c r="O71" s="16">
        <v>0</v>
      </c>
      <c r="P71" s="16">
        <v>6.9444444444444397E-3</v>
      </c>
      <c r="Q71" s="16">
        <v>0.59375</v>
      </c>
      <c r="R71" s="16">
        <f t="shared" si="12"/>
        <v>0</v>
      </c>
      <c r="S71" s="16">
        <v>0.59375</v>
      </c>
      <c r="T71" s="16">
        <f>VLOOKUP(E71,'[2]21-3-2026'!E$3:T$35,16,FALSE)</f>
        <v>1.38888888888889E-2</v>
      </c>
      <c r="U71" s="16">
        <v>0.60763888888888895</v>
      </c>
      <c r="V71" s="16">
        <f t="shared" si="13"/>
        <v>0</v>
      </c>
      <c r="W71" s="16">
        <v>3.125E-2</v>
      </c>
      <c r="X71" s="16">
        <v>0.61111111111111105</v>
      </c>
      <c r="Y71" s="16">
        <v>0.625</v>
      </c>
      <c r="Z71" s="16">
        <f t="shared" si="14"/>
        <v>1.3888888888888951E-2</v>
      </c>
      <c r="AA71" s="16">
        <v>0</v>
      </c>
      <c r="AB71" s="16">
        <v>0.625</v>
      </c>
      <c r="AC71" s="17"/>
      <c r="AD71" s="51"/>
    </row>
    <row r="72" spans="1:30" ht="19.5" thickBot="1" x14ac:dyDescent="0.3">
      <c r="A72" s="14">
        <v>5</v>
      </c>
      <c r="B72" s="15">
        <v>3492</v>
      </c>
      <c r="C72" s="15" t="str">
        <f>VLOOKUP(B72,داتا!$B$3:$D$107,2,FALSE)</f>
        <v>تلتين</v>
      </c>
      <c r="D72" s="34">
        <f>VLOOKUP(B72,داتا!$B$3:$D$107,3,FALSE)</f>
        <v>3.125E-2</v>
      </c>
      <c r="E72" s="15" t="s">
        <v>77</v>
      </c>
      <c r="F72" s="15" t="s">
        <v>175</v>
      </c>
      <c r="G72" s="16">
        <v>8.3333333333333329E-2</v>
      </c>
      <c r="H72" s="16">
        <v>8.3333333333333329E-2</v>
      </c>
      <c r="I72" s="16">
        <f t="shared" ref="I72" si="17">H72-G72</f>
        <v>0</v>
      </c>
      <c r="J72" s="16">
        <v>0.57291666666666663</v>
      </c>
      <c r="K72" s="16">
        <v>0.58680555555555558</v>
      </c>
      <c r="L72" s="16" t="s">
        <v>85</v>
      </c>
      <c r="M72" s="16" t="s">
        <v>85</v>
      </c>
      <c r="N72" s="16">
        <f t="shared" ref="N72" si="18">K72-J72</f>
        <v>1.3888888888888951E-2</v>
      </c>
      <c r="O72" s="16">
        <v>0</v>
      </c>
      <c r="P72" s="16">
        <v>6.9444444444444397E-3</v>
      </c>
      <c r="Q72" s="16">
        <v>0.59375</v>
      </c>
      <c r="R72" s="16">
        <f t="shared" si="12"/>
        <v>0</v>
      </c>
      <c r="S72" s="16">
        <v>0.59375</v>
      </c>
      <c r="T72" s="16">
        <f>VLOOKUP(E72,'[2]21-3-2026'!E$3:T$35,16,FALSE)</f>
        <v>1.38888888888889E-2</v>
      </c>
      <c r="U72" s="16">
        <v>0.63541666666666663</v>
      </c>
      <c r="V72" s="16">
        <v>0</v>
      </c>
      <c r="W72" s="16">
        <v>4.1666666666666664E-2</v>
      </c>
      <c r="X72" s="16">
        <v>0.63888888888888895</v>
      </c>
      <c r="Y72" s="16">
        <v>0.6479166666666667</v>
      </c>
      <c r="Z72" s="16">
        <f t="shared" si="14"/>
        <v>9.0277777777777457E-3</v>
      </c>
      <c r="AA72" s="16">
        <v>0</v>
      </c>
      <c r="AB72" s="16">
        <v>0.64930555555555558</v>
      </c>
      <c r="AC72" s="17"/>
      <c r="AD72" s="51"/>
    </row>
    <row r="73" spans="1:30" ht="19.5" thickBot="1" x14ac:dyDescent="0.3">
      <c r="A73" s="14">
        <v>6</v>
      </c>
      <c r="B73" s="15">
        <v>3495</v>
      </c>
      <c r="C73" s="15" t="str">
        <f>VLOOKUP(B73,داتا!$B$3:$D$107,2,FALSE)</f>
        <v>تلتين</v>
      </c>
      <c r="D73" s="34">
        <f>VLOOKUP(B73,داتا!$B$3:$D$107,3,FALSE)</f>
        <v>3.125E-2</v>
      </c>
      <c r="E73" s="15" t="s">
        <v>38</v>
      </c>
      <c r="F73" s="15" t="s">
        <v>173</v>
      </c>
      <c r="G73" s="16">
        <v>8.3333333333333329E-2</v>
      </c>
      <c r="H73" s="16">
        <v>8.3333333333333329E-2</v>
      </c>
      <c r="I73" s="16">
        <f t="shared" si="10"/>
        <v>0</v>
      </c>
      <c r="J73" s="16">
        <v>0.55208333333333337</v>
      </c>
      <c r="K73" s="16">
        <v>0.56944444444444442</v>
      </c>
      <c r="L73" s="16" t="s">
        <v>94</v>
      </c>
      <c r="M73" s="16" t="s">
        <v>94</v>
      </c>
      <c r="N73" s="16">
        <f t="shared" si="11"/>
        <v>1.7361111111111049E-2</v>
      </c>
      <c r="O73" s="16">
        <v>0</v>
      </c>
      <c r="P73" s="16">
        <v>6.9444444444444397E-3</v>
      </c>
      <c r="Q73" s="16">
        <v>0.58333333333333337</v>
      </c>
      <c r="R73" s="16">
        <f t="shared" si="12"/>
        <v>6.9444444444445308E-3</v>
      </c>
      <c r="S73" s="16">
        <v>0.58333333333333337</v>
      </c>
      <c r="T73" s="16">
        <f>VLOOKUP(E73,'[2]21-3-2026'!E$3:T$35,16,FALSE)</f>
        <v>1.0416666666666666E-2</v>
      </c>
      <c r="U73" s="16">
        <v>0.61458333333333337</v>
      </c>
      <c r="V73" s="16">
        <f t="shared" si="13"/>
        <v>2.083333333333337E-2</v>
      </c>
      <c r="W73" s="16">
        <v>3.125E-2</v>
      </c>
      <c r="X73" s="16">
        <v>0.6166666666666667</v>
      </c>
      <c r="Y73" s="16">
        <v>0.62152777777777779</v>
      </c>
      <c r="Z73" s="16">
        <f t="shared" si="14"/>
        <v>4.8611111111110938E-3</v>
      </c>
      <c r="AA73" s="16">
        <v>0</v>
      </c>
      <c r="AB73" s="16">
        <v>0.62152777777777779</v>
      </c>
      <c r="AC73" s="17"/>
      <c r="AD73" s="51"/>
    </row>
    <row r="74" spans="1:30" ht="19.5" thickBot="1" x14ac:dyDescent="0.3">
      <c r="A74" s="14">
        <v>7</v>
      </c>
      <c r="B74" s="15">
        <v>3495</v>
      </c>
      <c r="C74" s="15" t="str">
        <f>VLOOKUP(B74,داتا!$B$3:$D$107,2,FALSE)</f>
        <v>تلتين</v>
      </c>
      <c r="D74" s="34">
        <f>VLOOKUP(B74,داتا!$B$3:$D$107,3,FALSE)</f>
        <v>3.125E-2</v>
      </c>
      <c r="E74" s="15" t="s">
        <v>73</v>
      </c>
      <c r="F74" s="15" t="s">
        <v>173</v>
      </c>
      <c r="G74" s="16">
        <v>8.3333333333333329E-2</v>
      </c>
      <c r="H74" s="16">
        <v>8.3333333333333329E-2</v>
      </c>
      <c r="I74" s="16">
        <f t="shared" ref="I74:I75" si="19">H74-G74</f>
        <v>0</v>
      </c>
      <c r="J74" s="16">
        <v>0.55208333333333337</v>
      </c>
      <c r="K74" s="16">
        <v>0.56944444444444442</v>
      </c>
      <c r="L74" s="16" t="s">
        <v>94</v>
      </c>
      <c r="M74" s="16" t="s">
        <v>94</v>
      </c>
      <c r="N74" s="16">
        <f t="shared" ref="N74:N75" si="20">K74-J74</f>
        <v>1.7361111111111049E-2</v>
      </c>
      <c r="O74" s="16">
        <v>0</v>
      </c>
      <c r="P74" s="16">
        <v>6.9444444444444397E-3</v>
      </c>
      <c r="Q74" s="16">
        <v>0.58333333333333337</v>
      </c>
      <c r="R74" s="16">
        <f t="shared" si="12"/>
        <v>6.9444444444445308E-3</v>
      </c>
      <c r="S74" s="16">
        <v>0.58333333333333337</v>
      </c>
      <c r="T74" s="16">
        <f>VLOOKUP(E74,'[2]21-3-2026'!E$3:T$35,16,FALSE)</f>
        <v>3.4722222222222203E-2</v>
      </c>
      <c r="U74" s="16">
        <v>0.63541666666666663</v>
      </c>
      <c r="V74" s="16">
        <v>0</v>
      </c>
      <c r="W74" s="16">
        <v>3.125E-2</v>
      </c>
      <c r="X74" s="16">
        <v>0.63888888888888895</v>
      </c>
      <c r="Y74" s="16">
        <v>0.65625</v>
      </c>
      <c r="Z74" s="16">
        <f t="shared" si="14"/>
        <v>1.7361111111111049E-2</v>
      </c>
      <c r="AA74" s="16">
        <v>0</v>
      </c>
      <c r="AB74" s="16">
        <v>0.65972222222222221</v>
      </c>
      <c r="AC74" s="17"/>
      <c r="AD74" s="51"/>
    </row>
    <row r="75" spans="1:30" ht="19.5" thickBot="1" x14ac:dyDescent="0.3">
      <c r="A75" s="14">
        <v>8</v>
      </c>
      <c r="B75" s="15">
        <v>3495</v>
      </c>
      <c r="C75" s="15" t="str">
        <f>VLOOKUP(B75,داتا!$B$3:$D$107,2,FALSE)</f>
        <v>تلتين</v>
      </c>
      <c r="D75" s="34">
        <f>VLOOKUP(B75,داتا!$B$3:$D$107,3,FALSE)</f>
        <v>3.125E-2</v>
      </c>
      <c r="E75" s="15" t="s">
        <v>35</v>
      </c>
      <c r="F75" s="15" t="s">
        <v>173</v>
      </c>
      <c r="G75" s="16">
        <v>8.3333333333333329E-2</v>
      </c>
      <c r="H75" s="16">
        <v>8.3333333333333329E-2</v>
      </c>
      <c r="I75" s="16">
        <f t="shared" si="19"/>
        <v>0</v>
      </c>
      <c r="J75" s="16">
        <v>0.55208333333333337</v>
      </c>
      <c r="K75" s="16">
        <v>0.56944444444444442</v>
      </c>
      <c r="L75" s="16" t="s">
        <v>94</v>
      </c>
      <c r="M75" s="16" t="s">
        <v>94</v>
      </c>
      <c r="N75" s="16">
        <f t="shared" si="20"/>
        <v>1.7361111111111049E-2</v>
      </c>
      <c r="O75" s="16">
        <v>0</v>
      </c>
      <c r="P75" s="16">
        <v>6.9444444444444397E-3</v>
      </c>
      <c r="Q75" s="16">
        <v>0.58333333333333337</v>
      </c>
      <c r="R75" s="16">
        <f t="shared" si="12"/>
        <v>6.9444444444445308E-3</v>
      </c>
      <c r="S75" s="16">
        <v>0.58333333333333337</v>
      </c>
      <c r="T75" s="16">
        <f>VLOOKUP(E75,'[2]21-3-2026'!E$3:T$35,16,FALSE)</f>
        <v>3.4722222222222203E-2</v>
      </c>
      <c r="U75" s="16">
        <v>0.67013888888888884</v>
      </c>
      <c r="V75" s="16">
        <v>0</v>
      </c>
      <c r="W75" s="16">
        <v>4.1666666666666664E-2</v>
      </c>
      <c r="X75" s="16">
        <v>0.6791666666666667</v>
      </c>
      <c r="Y75" s="16">
        <v>0.69097222222222221</v>
      </c>
      <c r="Z75" s="16">
        <f t="shared" si="14"/>
        <v>1.1805555555555514E-2</v>
      </c>
      <c r="AA75" s="16">
        <v>0</v>
      </c>
      <c r="AB75" s="16">
        <v>0.69444444444444453</v>
      </c>
      <c r="AC75" s="17"/>
      <c r="AD75" s="51"/>
    </row>
    <row r="76" spans="1:30" ht="19.5" thickBot="1" x14ac:dyDescent="0.3">
      <c r="A76" s="14">
        <v>9</v>
      </c>
      <c r="B76" s="15">
        <v>3787</v>
      </c>
      <c r="C76" s="15" t="str">
        <f>VLOOKUP(B76,داتا!$B$3:$D$107,2,FALSE)</f>
        <v>دبابة</v>
      </c>
      <c r="D76" s="34">
        <f>VLOOKUP(B76,داتا!$B$3:$D$107,3,FALSE)</f>
        <v>2.0833333333333301E-2</v>
      </c>
      <c r="E76" s="16" t="s">
        <v>70</v>
      </c>
      <c r="F76" s="15" t="s">
        <v>174</v>
      </c>
      <c r="G76" s="16">
        <v>8.3333333333333329E-2</v>
      </c>
      <c r="H76" s="16">
        <v>7.2916666666666671E-2</v>
      </c>
      <c r="I76" s="16">
        <v>0</v>
      </c>
      <c r="J76" s="16">
        <v>0.57638888888888895</v>
      </c>
      <c r="K76" s="16">
        <v>0.59375</v>
      </c>
      <c r="L76" s="16" t="s">
        <v>97</v>
      </c>
      <c r="M76" s="16" t="s">
        <v>97</v>
      </c>
      <c r="N76" s="16">
        <f t="shared" si="11"/>
        <v>1.7361111111111049E-2</v>
      </c>
      <c r="O76" s="16">
        <v>0</v>
      </c>
      <c r="P76" s="16">
        <v>6.9444444444444397E-3</v>
      </c>
      <c r="Q76" s="16">
        <v>0.60069444444444442</v>
      </c>
      <c r="R76" s="16">
        <f t="shared" si="12"/>
        <v>0</v>
      </c>
      <c r="S76" s="16">
        <v>0.60069444444444442</v>
      </c>
      <c r="T76" s="16">
        <f>VLOOKUP(E76,'[2]21-3-2026'!E$3:T$35,16,FALSE)</f>
        <v>1.0416666666666701E-2</v>
      </c>
      <c r="U76" s="16">
        <v>0.61805555555555558</v>
      </c>
      <c r="V76" s="16">
        <f t="shared" si="13"/>
        <v>6.9444444444444198E-3</v>
      </c>
      <c r="W76" s="16">
        <v>2.0833333333333332E-2</v>
      </c>
      <c r="X76" s="16">
        <v>0.62013888888888891</v>
      </c>
      <c r="Y76" s="16">
        <v>0.62291666666666667</v>
      </c>
      <c r="Z76" s="16">
        <f t="shared" si="14"/>
        <v>2.7777777777777679E-3</v>
      </c>
      <c r="AA76" s="16">
        <v>0</v>
      </c>
      <c r="AB76" s="16">
        <v>0.62847222222222221</v>
      </c>
      <c r="AC76" s="17"/>
      <c r="AD76" s="51"/>
    </row>
    <row r="77" spans="1:30" ht="19.5" thickBot="1" x14ac:dyDescent="0.3">
      <c r="A77" s="14">
        <v>10</v>
      </c>
      <c r="B77" s="15">
        <v>3787</v>
      </c>
      <c r="C77" s="15" t="str">
        <f>VLOOKUP(B77,داتا!$B$3:$D$107,2,FALSE)</f>
        <v>دبابة</v>
      </c>
      <c r="D77" s="34">
        <f>VLOOKUP(B77,داتا!$B$3:$D$107,3,FALSE)</f>
        <v>2.0833333333333301E-2</v>
      </c>
      <c r="E77" s="15" t="s">
        <v>79</v>
      </c>
      <c r="F77" s="15" t="s">
        <v>174</v>
      </c>
      <c r="G77" s="16">
        <v>8.3333333333333329E-2</v>
      </c>
      <c r="H77" s="16">
        <v>7.2916666666666671E-2</v>
      </c>
      <c r="I77" s="16">
        <v>0</v>
      </c>
      <c r="J77" s="16">
        <v>0.57638888888888895</v>
      </c>
      <c r="K77" s="16">
        <v>0.59375</v>
      </c>
      <c r="L77" s="16" t="s">
        <v>97</v>
      </c>
      <c r="M77" s="16" t="s">
        <v>97</v>
      </c>
      <c r="N77" s="16">
        <f t="shared" ref="N77" si="21">K77-J77</f>
        <v>1.7361111111111049E-2</v>
      </c>
      <c r="O77" s="16">
        <v>0</v>
      </c>
      <c r="P77" s="16">
        <v>6.9444444444444397E-3</v>
      </c>
      <c r="Q77" s="16">
        <v>0.60069444444444442</v>
      </c>
      <c r="R77" s="16">
        <f t="shared" si="12"/>
        <v>0</v>
      </c>
      <c r="S77" s="16">
        <v>0.60069444444444442</v>
      </c>
      <c r="T77" s="16">
        <f>VLOOKUP(E77,'[2]21-3-2026'!E$3:T$35,16,FALSE)</f>
        <v>2.0833333333333301E-2</v>
      </c>
      <c r="U77" s="16">
        <v>0.65277777777777779</v>
      </c>
      <c r="V77" s="16">
        <v>3.472222222222222E-3</v>
      </c>
      <c r="W77" s="16">
        <v>3.125E-2</v>
      </c>
      <c r="X77" s="16">
        <v>0.65625</v>
      </c>
      <c r="Y77" s="16">
        <v>0.66319444444444442</v>
      </c>
      <c r="Z77" s="16">
        <f t="shared" si="14"/>
        <v>6.9444444444444198E-3</v>
      </c>
      <c r="AA77" s="16">
        <v>0</v>
      </c>
      <c r="AB77" s="16">
        <v>0.67013888888888884</v>
      </c>
      <c r="AC77" s="17"/>
      <c r="AD77" s="51"/>
    </row>
    <row r="78" spans="1:30" ht="19.5" thickBot="1" x14ac:dyDescent="0.3">
      <c r="A78" s="14">
        <v>11</v>
      </c>
      <c r="B78" s="15">
        <v>3783</v>
      </c>
      <c r="C78" s="15" t="str">
        <f>VLOOKUP(B78,داتا!$B$3:$D$107,2,FALSE)</f>
        <v>دبابة</v>
      </c>
      <c r="D78" s="34">
        <f>VLOOKUP(B78,داتا!$B$3:$D$107,3,FALSE)</f>
        <v>2.0833333333333301E-2</v>
      </c>
      <c r="E78" s="15" t="s">
        <v>72</v>
      </c>
      <c r="F78" s="15" t="s">
        <v>162</v>
      </c>
      <c r="G78" s="16">
        <v>8.3333333333333329E-2</v>
      </c>
      <c r="H78" s="16">
        <v>7.2916666666666671E-2</v>
      </c>
      <c r="I78" s="16">
        <v>0</v>
      </c>
      <c r="J78" s="16">
        <v>0.55555555555555558</v>
      </c>
      <c r="K78" s="16">
        <v>0.56597222222222221</v>
      </c>
      <c r="L78" s="16" t="s">
        <v>112</v>
      </c>
      <c r="M78" s="16" t="s">
        <v>112</v>
      </c>
      <c r="N78" s="16">
        <f t="shared" si="11"/>
        <v>1.041666666666663E-2</v>
      </c>
      <c r="O78" s="16">
        <v>0</v>
      </c>
      <c r="P78" s="16">
        <v>6.9444444444444397E-3</v>
      </c>
      <c r="Q78" s="16">
        <v>0.57291666666666663</v>
      </c>
      <c r="R78" s="16">
        <f t="shared" si="12"/>
        <v>0</v>
      </c>
      <c r="S78" s="16">
        <v>0.57291666666666663</v>
      </c>
      <c r="T78" s="16">
        <f>VLOOKUP(E78,'[2]21-3-2026'!E$3:T$35,16,FALSE)</f>
        <v>1.0416666666666701E-2</v>
      </c>
      <c r="U78" s="16">
        <v>0.59027777777777779</v>
      </c>
      <c r="V78" s="16">
        <f t="shared" si="13"/>
        <v>6.9444444444444198E-3</v>
      </c>
      <c r="W78" s="16">
        <v>2.0833333333333332E-2</v>
      </c>
      <c r="X78" s="16">
        <v>0.59375</v>
      </c>
      <c r="Y78" s="16">
        <v>0.59722222222222221</v>
      </c>
      <c r="Z78" s="16">
        <f t="shared" si="14"/>
        <v>3.4722222222222099E-3</v>
      </c>
      <c r="AA78" s="16">
        <v>0</v>
      </c>
      <c r="AB78" s="16">
        <v>0.60069444444444442</v>
      </c>
      <c r="AC78" s="17"/>
      <c r="AD78" s="51"/>
    </row>
    <row r="79" spans="1:30" ht="19.5" thickBot="1" x14ac:dyDescent="0.3">
      <c r="A79" s="14">
        <v>12</v>
      </c>
      <c r="B79" s="15">
        <v>3783</v>
      </c>
      <c r="C79" s="15" t="str">
        <f>VLOOKUP(B79,داتا!$B$3:$D$107,2,FALSE)</f>
        <v>دبابة</v>
      </c>
      <c r="D79" s="34">
        <f>VLOOKUP(B79,داتا!$B$3:$D$107,3,FALSE)</f>
        <v>2.0833333333333301E-2</v>
      </c>
      <c r="E79" s="15" t="s">
        <v>92</v>
      </c>
      <c r="F79" s="15" t="s">
        <v>162</v>
      </c>
      <c r="G79" s="16">
        <v>8.3333333333333329E-2</v>
      </c>
      <c r="H79" s="16">
        <v>7.2916666666666671E-2</v>
      </c>
      <c r="I79" s="16">
        <v>0</v>
      </c>
      <c r="J79" s="16">
        <v>0.55555555555555558</v>
      </c>
      <c r="K79" s="16">
        <v>0.56597222222222221</v>
      </c>
      <c r="L79" s="16" t="s">
        <v>112</v>
      </c>
      <c r="M79" s="16" t="s">
        <v>112</v>
      </c>
      <c r="N79" s="16">
        <f t="shared" ref="N79:N81" si="22">K79-J79</f>
        <v>1.041666666666663E-2</v>
      </c>
      <c r="O79" s="16">
        <v>0</v>
      </c>
      <c r="P79" s="16">
        <v>6.9444444444444397E-3</v>
      </c>
      <c r="Q79" s="16">
        <v>0.57291666666666663</v>
      </c>
      <c r="R79" s="16">
        <f t="shared" si="12"/>
        <v>0</v>
      </c>
      <c r="S79" s="16">
        <v>0.57291666666666663</v>
      </c>
      <c r="T79" s="16">
        <f>VLOOKUP(E79,'[2]21-3-2026'!E$3:T$35,16,FALSE)</f>
        <v>1.38888888888889E-2</v>
      </c>
      <c r="U79" s="16">
        <v>0.61458333333333337</v>
      </c>
      <c r="V79" s="16">
        <v>3.472222222222222E-3</v>
      </c>
      <c r="W79" s="16">
        <v>2.0833333333333332E-2</v>
      </c>
      <c r="X79" s="16">
        <v>0.62152777777777779</v>
      </c>
      <c r="Y79" s="16">
        <v>0.62708333333333333</v>
      </c>
      <c r="Z79" s="16">
        <f t="shared" si="14"/>
        <v>5.5555555555555358E-3</v>
      </c>
      <c r="AA79" s="16">
        <v>0</v>
      </c>
      <c r="AB79" s="16">
        <v>0.62847222222222221</v>
      </c>
      <c r="AC79" s="17"/>
      <c r="AD79" s="51"/>
    </row>
    <row r="80" spans="1:30" ht="19.5" thickBot="1" x14ac:dyDescent="0.3">
      <c r="A80" s="14">
        <v>13</v>
      </c>
      <c r="B80" s="15">
        <v>3783</v>
      </c>
      <c r="C80" s="15" t="str">
        <f>VLOOKUP(B80,داتا!$B$3:$D$107,2,FALSE)</f>
        <v>دبابة</v>
      </c>
      <c r="D80" s="34">
        <f>VLOOKUP(B80,داتا!$B$3:$D$107,3,FALSE)</f>
        <v>2.0833333333333301E-2</v>
      </c>
      <c r="E80" s="15" t="s">
        <v>75</v>
      </c>
      <c r="F80" s="15" t="s">
        <v>162</v>
      </c>
      <c r="G80" s="16">
        <v>8.3333333333333329E-2</v>
      </c>
      <c r="H80" s="16">
        <v>7.2916666666666671E-2</v>
      </c>
      <c r="I80" s="16">
        <v>0</v>
      </c>
      <c r="J80" s="16">
        <v>0.55555555555555558</v>
      </c>
      <c r="K80" s="16">
        <v>0.56597222222222221</v>
      </c>
      <c r="L80" s="16" t="s">
        <v>112</v>
      </c>
      <c r="M80" s="16" t="s">
        <v>112</v>
      </c>
      <c r="N80" s="16">
        <f t="shared" si="22"/>
        <v>1.041666666666663E-2</v>
      </c>
      <c r="O80" s="16">
        <v>0</v>
      </c>
      <c r="P80" s="16">
        <v>6.9444444444444397E-3</v>
      </c>
      <c r="Q80" s="16">
        <v>0.57291666666666663</v>
      </c>
      <c r="R80" s="16">
        <f t="shared" si="12"/>
        <v>0</v>
      </c>
      <c r="S80" s="16">
        <v>0.57291666666666663</v>
      </c>
      <c r="T80" s="16">
        <f>VLOOKUP(E80,'[2]21-3-2026'!E$3:T$35,16,FALSE)</f>
        <v>2.0833333333333301E-2</v>
      </c>
      <c r="U80" s="16">
        <v>0.64236111111111105</v>
      </c>
      <c r="V80" s="16">
        <v>0</v>
      </c>
      <c r="W80" s="16">
        <v>2.0833333333333332E-2</v>
      </c>
      <c r="X80" s="16">
        <v>0.64583333333333337</v>
      </c>
      <c r="Y80" s="16">
        <v>0.65972222222222221</v>
      </c>
      <c r="Z80" s="16">
        <f t="shared" si="14"/>
        <v>1.388888888888884E-2</v>
      </c>
      <c r="AA80" s="16">
        <v>0</v>
      </c>
      <c r="AB80" s="16">
        <v>0.66319444444444442</v>
      </c>
      <c r="AC80" s="17"/>
      <c r="AD80" s="51"/>
    </row>
    <row r="81" spans="1:30" ht="19.5" thickBot="1" x14ac:dyDescent="0.3">
      <c r="A81" s="14">
        <v>14</v>
      </c>
      <c r="B81" s="15">
        <v>3783</v>
      </c>
      <c r="C81" s="15" t="str">
        <f>VLOOKUP(B81,داتا!$B$3:$D$107,2,FALSE)</f>
        <v>دبابة</v>
      </c>
      <c r="D81" s="34">
        <f>VLOOKUP(B81,داتا!$B$3:$D$107,3,FALSE)</f>
        <v>2.0833333333333301E-2</v>
      </c>
      <c r="E81" s="15" t="s">
        <v>60</v>
      </c>
      <c r="F81" s="15" t="s">
        <v>162</v>
      </c>
      <c r="G81" s="16">
        <v>8.3333333333333329E-2</v>
      </c>
      <c r="H81" s="16">
        <v>7.2916666666666671E-2</v>
      </c>
      <c r="I81" s="16">
        <v>0</v>
      </c>
      <c r="J81" s="16">
        <v>0.55555555555555558</v>
      </c>
      <c r="K81" s="16">
        <v>0.56597222222222221</v>
      </c>
      <c r="L81" s="16" t="s">
        <v>112</v>
      </c>
      <c r="M81" s="16" t="s">
        <v>112</v>
      </c>
      <c r="N81" s="16">
        <f t="shared" si="22"/>
        <v>1.041666666666663E-2</v>
      </c>
      <c r="O81" s="16">
        <v>0</v>
      </c>
      <c r="P81" s="16">
        <v>6.9444444444444397E-3</v>
      </c>
      <c r="Q81" s="16">
        <v>0.57291666666666663</v>
      </c>
      <c r="R81" s="16">
        <f t="shared" si="12"/>
        <v>0</v>
      </c>
      <c r="S81" s="16">
        <v>0.57291666666666663</v>
      </c>
      <c r="T81" s="16">
        <f>VLOOKUP(E81,'[2]21-3-2026'!E$3:T$35,16,FALSE)</f>
        <v>1.0416666666666701E-2</v>
      </c>
      <c r="U81" s="16">
        <v>0.66666666666666663</v>
      </c>
      <c r="V81" s="16">
        <v>0</v>
      </c>
      <c r="W81" s="16">
        <v>3.125E-2</v>
      </c>
      <c r="X81" s="16">
        <v>0.67013888888888884</v>
      </c>
      <c r="Y81" s="16">
        <v>0.67361111111111116</v>
      </c>
      <c r="Z81" s="16">
        <f t="shared" si="14"/>
        <v>3.4722222222223209E-3</v>
      </c>
      <c r="AA81" s="16">
        <v>0</v>
      </c>
      <c r="AB81" s="16">
        <v>0.67708333333333337</v>
      </c>
      <c r="AC81" s="17"/>
      <c r="AD81" s="51"/>
    </row>
    <row r="82" spans="1:30" ht="19.5" thickBot="1" x14ac:dyDescent="0.3">
      <c r="A82" s="14">
        <v>15</v>
      </c>
      <c r="B82" s="15">
        <v>5898</v>
      </c>
      <c r="C82" s="15" t="str">
        <f>VLOOKUP(B82,داتا!$B$3:$D$107,2,FALSE)</f>
        <v>تلتين</v>
      </c>
      <c r="D82" s="34">
        <f>VLOOKUP(B82,داتا!$B$3:$D$107,3,FALSE)</f>
        <v>3.125E-2</v>
      </c>
      <c r="E82" s="15" t="s">
        <v>42</v>
      </c>
      <c r="F82" s="15" t="s">
        <v>161</v>
      </c>
      <c r="G82" s="16">
        <v>8.3333333333333329E-2</v>
      </c>
      <c r="H82" s="16">
        <v>8.3333333333333329E-2</v>
      </c>
      <c r="I82" s="16">
        <f t="shared" si="10"/>
        <v>0</v>
      </c>
      <c r="J82" s="16">
        <v>0.57986111111111105</v>
      </c>
      <c r="K82" s="16">
        <v>0.59375</v>
      </c>
      <c r="L82" s="16" t="s">
        <v>112</v>
      </c>
      <c r="M82" s="16" t="s">
        <v>112</v>
      </c>
      <c r="N82" s="16">
        <f t="shared" si="11"/>
        <v>1.3888888888888951E-2</v>
      </c>
      <c r="O82" s="16">
        <v>0</v>
      </c>
      <c r="P82" s="16">
        <v>6.9444444444444397E-3</v>
      </c>
      <c r="Q82" s="16">
        <v>0.60416666666666663</v>
      </c>
      <c r="R82" s="16">
        <f t="shared" si="12"/>
        <v>3.4722222222222099E-3</v>
      </c>
      <c r="S82" s="16">
        <v>0.60416666666666663</v>
      </c>
      <c r="T82" s="16">
        <f>VLOOKUP(E82,'[2]21-3-2026'!E$3:T$35,16,FALSE)</f>
        <v>1.7361111111111101E-2</v>
      </c>
      <c r="U82" s="16">
        <v>0.62847222222222221</v>
      </c>
      <c r="V82" s="16">
        <f t="shared" si="13"/>
        <v>6.9444444444445308E-3</v>
      </c>
      <c r="W82" s="16">
        <v>3.125E-2</v>
      </c>
      <c r="X82" s="16">
        <v>0.63541666666666663</v>
      </c>
      <c r="Y82" s="16">
        <v>0.65277777777777779</v>
      </c>
      <c r="Z82" s="16">
        <f t="shared" si="14"/>
        <v>1.736111111111116E-2</v>
      </c>
      <c r="AA82" s="16">
        <v>0</v>
      </c>
      <c r="AB82" s="16">
        <v>0.65625</v>
      </c>
      <c r="AC82" s="17"/>
      <c r="AD82" s="51"/>
    </row>
    <row r="83" spans="1:30" ht="19.5" thickBot="1" x14ac:dyDescent="0.3">
      <c r="A83" s="14">
        <v>16</v>
      </c>
      <c r="B83" s="15">
        <v>5898</v>
      </c>
      <c r="C83" s="15" t="str">
        <f>VLOOKUP(B83,داتا!$B$3:$D$107,2,FALSE)</f>
        <v>تلتين</v>
      </c>
      <c r="D83" s="34">
        <f>VLOOKUP(B83,داتا!$B$3:$D$107,3,FALSE)</f>
        <v>3.125E-2</v>
      </c>
      <c r="E83" s="15" t="s">
        <v>45</v>
      </c>
      <c r="F83" s="15" t="s">
        <v>161</v>
      </c>
      <c r="G83" s="16">
        <v>8.3333333333333329E-2</v>
      </c>
      <c r="H83" s="16">
        <v>8.3333333333333329E-2</v>
      </c>
      <c r="I83" s="16">
        <f t="shared" ref="I83" si="23">H83-G83</f>
        <v>0</v>
      </c>
      <c r="J83" s="16">
        <v>0.57986111111111105</v>
      </c>
      <c r="K83" s="16">
        <v>0.59375</v>
      </c>
      <c r="L83" s="16" t="s">
        <v>112</v>
      </c>
      <c r="M83" s="16" t="s">
        <v>112</v>
      </c>
      <c r="N83" s="16">
        <f t="shared" ref="N83" si="24">K83-J83</f>
        <v>1.3888888888888951E-2</v>
      </c>
      <c r="O83" s="16">
        <v>0</v>
      </c>
      <c r="P83" s="16">
        <v>6.9444444444444397E-3</v>
      </c>
      <c r="Q83" s="16">
        <v>0.60416666666666663</v>
      </c>
      <c r="R83" s="16">
        <f t="shared" si="12"/>
        <v>3.4722222222222099E-3</v>
      </c>
      <c r="S83" s="16">
        <v>0.60416666666666663</v>
      </c>
      <c r="T83" s="16">
        <f>VLOOKUP(E83,'[2]21-3-2026'!E$3:T$35,16,FALSE)</f>
        <v>1.38888888888889E-2</v>
      </c>
      <c r="U83" s="16">
        <v>0.67013888888888884</v>
      </c>
      <c r="V83" s="16">
        <v>3.472222222222222E-3</v>
      </c>
      <c r="W83" s="16">
        <v>4.1666666666666664E-2</v>
      </c>
      <c r="X83" s="16">
        <v>0.67361111111111116</v>
      </c>
      <c r="Y83" s="16">
        <v>0.69097222222222221</v>
      </c>
      <c r="Z83" s="16">
        <f t="shared" si="14"/>
        <v>1.7361111111111049E-2</v>
      </c>
      <c r="AA83" s="16">
        <v>0</v>
      </c>
      <c r="AB83" s="16">
        <v>0.69444444444444453</v>
      </c>
      <c r="AC83" s="17"/>
      <c r="AD83" s="51"/>
    </row>
    <row r="84" spans="1:30" ht="19.5" thickBot="1" x14ac:dyDescent="0.3">
      <c r="A84" s="14">
        <v>17</v>
      </c>
      <c r="B84" s="15">
        <v>4879</v>
      </c>
      <c r="C84" s="15" t="str">
        <f>VLOOKUP(B84,داتا!$B$3:$D$107,2,FALSE)</f>
        <v>دبابة</v>
      </c>
      <c r="D84" s="34">
        <f>VLOOKUP(B84,داتا!$B$3:$D$107,3,FALSE)</f>
        <v>2.0833333333333301E-2</v>
      </c>
      <c r="E84" s="15" t="s">
        <v>51</v>
      </c>
      <c r="F84" s="15" t="s">
        <v>176</v>
      </c>
      <c r="G84" s="16">
        <v>8.3333333333333329E-2</v>
      </c>
      <c r="H84" s="16">
        <v>9.375E-2</v>
      </c>
      <c r="I84" s="16">
        <f t="shared" si="10"/>
        <v>1.0416666666666671E-2</v>
      </c>
      <c r="J84" s="16">
        <v>0.60416666666666663</v>
      </c>
      <c r="K84" s="16">
        <v>0.61111111111111105</v>
      </c>
      <c r="L84" s="16" t="s">
        <v>158</v>
      </c>
      <c r="M84" s="16" t="s">
        <v>158</v>
      </c>
      <c r="N84" s="16">
        <f t="shared" si="11"/>
        <v>6.9444444444444198E-3</v>
      </c>
      <c r="O84" s="16">
        <v>0</v>
      </c>
      <c r="P84" s="16">
        <v>6.9444444444444397E-3</v>
      </c>
      <c r="Q84" s="16">
        <v>0.61458333333333337</v>
      </c>
      <c r="R84" s="16">
        <v>0</v>
      </c>
      <c r="S84" s="16">
        <v>0.61458333333333337</v>
      </c>
      <c r="T84" s="16">
        <f>VLOOKUP(E84,'[2]21-3-2026'!E$3:T$35,16,FALSE)</f>
        <v>2.4305555555555601E-2</v>
      </c>
      <c r="U84" s="16">
        <v>0.64930555555555558</v>
      </c>
      <c r="V84" s="16">
        <f t="shared" si="13"/>
        <v>1.041666666666663E-2</v>
      </c>
      <c r="W84" s="16">
        <v>2.0833333333333332E-2</v>
      </c>
      <c r="X84" s="16">
        <v>0.65138888888888891</v>
      </c>
      <c r="Y84" s="16">
        <v>0.65972222222222221</v>
      </c>
      <c r="Z84" s="16">
        <f t="shared" si="14"/>
        <v>8.3333333333333037E-3</v>
      </c>
      <c r="AA84" s="16">
        <v>0</v>
      </c>
      <c r="AB84" s="16">
        <v>0.66666666666666663</v>
      </c>
      <c r="AC84" s="17"/>
      <c r="AD84" s="51"/>
    </row>
    <row r="85" spans="1:30" ht="19.5" thickBot="1" x14ac:dyDescent="0.3">
      <c r="A85" s="14">
        <v>18</v>
      </c>
      <c r="B85" s="15">
        <v>4879</v>
      </c>
      <c r="C85" s="15" t="str">
        <f>VLOOKUP(B85,داتا!$B$3:$D$107,2,FALSE)</f>
        <v>دبابة</v>
      </c>
      <c r="D85" s="34">
        <f>VLOOKUP(B85,داتا!$B$3:$D$107,3,FALSE)</f>
        <v>2.0833333333333301E-2</v>
      </c>
      <c r="E85" s="15" t="s">
        <v>81</v>
      </c>
      <c r="F85" s="15" t="s">
        <v>176</v>
      </c>
      <c r="G85" s="16">
        <v>8.3333333333333329E-2</v>
      </c>
      <c r="H85" s="16">
        <v>9.375E-2</v>
      </c>
      <c r="I85" s="16">
        <f t="shared" ref="I85" si="25">H85-G85</f>
        <v>1.0416666666666671E-2</v>
      </c>
      <c r="J85" s="16">
        <v>0.60416666666666663</v>
      </c>
      <c r="K85" s="16">
        <v>0.61111111111111105</v>
      </c>
      <c r="L85" s="16" t="s">
        <v>158</v>
      </c>
      <c r="M85" s="16" t="s">
        <v>158</v>
      </c>
      <c r="N85" s="16">
        <f t="shared" ref="N85" si="26">K85-J85</f>
        <v>6.9444444444444198E-3</v>
      </c>
      <c r="O85" s="16">
        <v>0</v>
      </c>
      <c r="P85" s="16">
        <v>6.9444444444444397E-3</v>
      </c>
      <c r="Q85" s="16">
        <v>0.61458333333333337</v>
      </c>
      <c r="R85" s="16">
        <v>0</v>
      </c>
      <c r="S85" s="16">
        <v>0.61458333333333337</v>
      </c>
      <c r="T85" s="16">
        <f>VLOOKUP(E85,'[2]21-3-2026'!E$3:T$35,16,FALSE)</f>
        <v>2.7777777777777801E-2</v>
      </c>
      <c r="U85" s="16">
        <v>0.69444444444444453</v>
      </c>
      <c r="V85" s="16">
        <v>0</v>
      </c>
      <c r="W85" s="16">
        <v>3.125E-2</v>
      </c>
      <c r="X85" s="16">
        <v>0.69791666666666663</v>
      </c>
      <c r="Y85" s="16">
        <v>0.70833333333333337</v>
      </c>
      <c r="Z85" s="16">
        <f t="shared" si="14"/>
        <v>1.0416666666666741E-2</v>
      </c>
      <c r="AA85" s="16">
        <v>0</v>
      </c>
      <c r="AB85" s="16">
        <v>0.71180555555555547</v>
      </c>
      <c r="AC85" s="17"/>
      <c r="AD85" s="51"/>
    </row>
    <row r="86" spans="1:30" ht="19.5" thickBot="1" x14ac:dyDescent="0.3">
      <c r="A86" s="14">
        <v>19</v>
      </c>
      <c r="B86" s="15">
        <v>4987</v>
      </c>
      <c r="C86" s="15" t="str">
        <f>VLOOKUP(B86,داتا!$B$3:$D$107,2,FALSE)</f>
        <v>تلتين</v>
      </c>
      <c r="D86" s="34">
        <f>VLOOKUP(B86,داتا!$B$3:$D$107,3,FALSE)</f>
        <v>3.125E-2</v>
      </c>
      <c r="E86" s="15" t="s">
        <v>98</v>
      </c>
      <c r="F86" s="15" t="s">
        <v>165</v>
      </c>
      <c r="G86" s="16">
        <v>8.3333333333333329E-2</v>
      </c>
      <c r="H86" s="16">
        <v>9.375E-2</v>
      </c>
      <c r="I86" s="16">
        <f t="shared" si="10"/>
        <v>1.0416666666666671E-2</v>
      </c>
      <c r="J86" s="16">
        <v>0.58333333333333337</v>
      </c>
      <c r="K86" s="16">
        <v>0.60416666666666663</v>
      </c>
      <c r="L86" s="16" t="s">
        <v>157</v>
      </c>
      <c r="M86" s="16" t="s">
        <v>157</v>
      </c>
      <c r="N86" s="16">
        <f t="shared" si="11"/>
        <v>2.0833333333333259E-2</v>
      </c>
      <c r="O86" s="16">
        <v>0</v>
      </c>
      <c r="P86" s="16">
        <v>6.9444444444444397E-3</v>
      </c>
      <c r="Q86" s="16">
        <v>0.60763888888888895</v>
      </c>
      <c r="R86" s="16">
        <v>0</v>
      </c>
      <c r="S86" s="16">
        <v>0.60763888888888895</v>
      </c>
      <c r="T86" s="16">
        <f>VLOOKUP(E86,'[2]21-3-2026'!E$3:T$35,16,FALSE)</f>
        <v>4.8611111111111103E-3</v>
      </c>
      <c r="U86" s="16">
        <v>0.62083333333333335</v>
      </c>
      <c r="V86" s="16">
        <f t="shared" si="13"/>
        <v>8.3333333333333037E-3</v>
      </c>
      <c r="W86" s="16">
        <v>3.125E-2</v>
      </c>
      <c r="X86" s="16">
        <v>0.62430555555555556</v>
      </c>
      <c r="Y86" s="16">
        <v>0.62986111111111109</v>
      </c>
      <c r="Z86" s="16">
        <f t="shared" si="14"/>
        <v>5.5555555555555358E-3</v>
      </c>
      <c r="AA86" s="16">
        <v>0</v>
      </c>
      <c r="AB86" s="16">
        <v>0.63055555555555554</v>
      </c>
      <c r="AC86" s="17"/>
      <c r="AD86" s="51"/>
    </row>
    <row r="87" spans="1:30" ht="19.5" thickBot="1" x14ac:dyDescent="0.3">
      <c r="A87" s="14">
        <v>20</v>
      </c>
      <c r="B87" s="15">
        <v>4987</v>
      </c>
      <c r="C87" s="15" t="str">
        <f>VLOOKUP(B87,داتا!$B$3:$D$107,2,FALSE)</f>
        <v>تلتين</v>
      </c>
      <c r="D87" s="34">
        <f>VLOOKUP(B87,داتا!$B$3:$D$107,3,FALSE)</f>
        <v>3.125E-2</v>
      </c>
      <c r="E87" s="15" t="s">
        <v>95</v>
      </c>
      <c r="F87" s="15" t="s">
        <v>165</v>
      </c>
      <c r="G87" s="16">
        <v>8.3333333333333329E-2</v>
      </c>
      <c r="H87" s="16">
        <v>9.375E-2</v>
      </c>
      <c r="I87" s="16">
        <f t="shared" ref="I87" si="27">H87-G87</f>
        <v>1.0416666666666671E-2</v>
      </c>
      <c r="J87" s="16">
        <v>0.58333333333333337</v>
      </c>
      <c r="K87" s="16">
        <v>0.60416666666666663</v>
      </c>
      <c r="L87" s="16" t="s">
        <v>157</v>
      </c>
      <c r="M87" s="16" t="s">
        <v>157</v>
      </c>
      <c r="N87" s="16">
        <f t="shared" ref="N87" si="28">K87-J87</f>
        <v>2.0833333333333259E-2</v>
      </c>
      <c r="O87" s="16">
        <v>0</v>
      </c>
      <c r="P87" s="16">
        <v>6.9444444444444397E-3</v>
      </c>
      <c r="Q87" s="16">
        <v>0.60763888888888895</v>
      </c>
      <c r="R87" s="16">
        <v>0</v>
      </c>
      <c r="S87" s="16">
        <v>0.60763888888888895</v>
      </c>
      <c r="T87" s="16">
        <f>VLOOKUP(E87,'[2]21-3-2026'!E$3:T$35,16,FALSE)</f>
        <v>1.0416666666666701E-2</v>
      </c>
      <c r="U87" s="16">
        <v>0.64236111111111105</v>
      </c>
      <c r="V87" s="16">
        <v>0</v>
      </c>
      <c r="W87" s="16">
        <v>4.1666666666666664E-2</v>
      </c>
      <c r="X87" s="16">
        <v>0.64583333333333337</v>
      </c>
      <c r="Y87" s="16">
        <v>0.65625</v>
      </c>
      <c r="Z87" s="16">
        <f t="shared" si="14"/>
        <v>1.041666666666663E-2</v>
      </c>
      <c r="AA87" s="16">
        <v>0</v>
      </c>
      <c r="AB87" s="16">
        <v>0.65972222222222221</v>
      </c>
      <c r="AC87" s="17"/>
      <c r="AD87" s="51"/>
    </row>
    <row r="88" spans="1:30" ht="19.5" thickBot="1" x14ac:dyDescent="0.3">
      <c r="A88" s="14">
        <v>21</v>
      </c>
      <c r="B88" s="15">
        <v>459</v>
      </c>
      <c r="C88" s="15" t="str">
        <f>VLOOKUP(B88,داتا!$B$3:$D$107,2,FALSE)</f>
        <v>دبابة</v>
      </c>
      <c r="D88" s="34">
        <f>VLOOKUP(B88,داتا!$B$3:$D$107,3,FALSE)</f>
        <v>2.0833333333333301E-2</v>
      </c>
      <c r="E88" s="15" t="s">
        <v>89</v>
      </c>
      <c r="F88" s="15" t="s">
        <v>118</v>
      </c>
      <c r="G88" s="16">
        <v>8.3333333333333329E-2</v>
      </c>
      <c r="H88" s="16">
        <v>8.3333333333333329E-2</v>
      </c>
      <c r="I88" s="16">
        <f t="shared" si="10"/>
        <v>0</v>
      </c>
      <c r="J88" s="16">
        <v>0.56944444444444442</v>
      </c>
      <c r="K88" s="16">
        <v>0.58333333333333337</v>
      </c>
      <c r="L88" s="16" t="s">
        <v>105</v>
      </c>
      <c r="M88" s="16" t="s">
        <v>105</v>
      </c>
      <c r="N88" s="16">
        <f t="shared" si="11"/>
        <v>1.3888888888888951E-2</v>
      </c>
      <c r="O88" s="16">
        <v>0</v>
      </c>
      <c r="P88" s="16">
        <v>6.9444444444444397E-3</v>
      </c>
      <c r="Q88" s="16">
        <v>0.59027777777777779</v>
      </c>
      <c r="R88" s="16">
        <f t="shared" si="12"/>
        <v>0</v>
      </c>
      <c r="S88" s="16">
        <v>0.59027777777777779</v>
      </c>
      <c r="T88" s="16">
        <f>VLOOKUP(E88,'[2]21-3-2026'!E$3:T$35,16,FALSE)</f>
        <v>1.7361111111111101E-2</v>
      </c>
      <c r="U88" s="16">
        <v>0.62013888888888891</v>
      </c>
      <c r="V88" s="16">
        <f t="shared" si="13"/>
        <v>1.2500000000000067E-2</v>
      </c>
      <c r="W88" s="16">
        <v>2.0833333333333332E-2</v>
      </c>
      <c r="X88" s="16">
        <v>0.62152777777777779</v>
      </c>
      <c r="Y88" s="16">
        <v>0.62986111111111109</v>
      </c>
      <c r="Z88" s="16">
        <f t="shared" si="14"/>
        <v>8.3333333333333037E-3</v>
      </c>
      <c r="AA88" s="16">
        <v>0</v>
      </c>
      <c r="AB88" s="16">
        <v>0.6333333333333333</v>
      </c>
      <c r="AC88" s="19"/>
      <c r="AD88" s="51"/>
    </row>
    <row r="89" spans="1:30" ht="19.5" thickBot="1" x14ac:dyDescent="0.3">
      <c r="A89" s="14">
        <v>22</v>
      </c>
      <c r="B89" s="15">
        <v>459</v>
      </c>
      <c r="C89" s="15" t="str">
        <f>VLOOKUP(B89,داتا!$B$3:$D$107,2,FALSE)</f>
        <v>دبابة</v>
      </c>
      <c r="D89" s="34">
        <f>VLOOKUP(B89,داتا!$B$3:$D$107,3,FALSE)</f>
        <v>2.0833333333333301E-2</v>
      </c>
      <c r="E89" s="15" t="s">
        <v>39</v>
      </c>
      <c r="F89" s="15" t="s">
        <v>118</v>
      </c>
      <c r="G89" s="16">
        <v>8.3333333333333329E-2</v>
      </c>
      <c r="H89" s="16">
        <v>8.3333333333333329E-2</v>
      </c>
      <c r="I89" s="16">
        <f t="shared" ref="I89" si="29">H89-G89</f>
        <v>0</v>
      </c>
      <c r="J89" s="16">
        <v>0.56944444444444442</v>
      </c>
      <c r="K89" s="16">
        <v>0.58333333333333337</v>
      </c>
      <c r="L89" s="16" t="s">
        <v>105</v>
      </c>
      <c r="M89" s="16" t="s">
        <v>105</v>
      </c>
      <c r="N89" s="16">
        <f t="shared" ref="N89" si="30">K89-J89</f>
        <v>1.3888888888888951E-2</v>
      </c>
      <c r="O89" s="16">
        <v>0</v>
      </c>
      <c r="P89" s="16">
        <v>6.9444444444444397E-3</v>
      </c>
      <c r="Q89" s="16">
        <v>0.59027777777777779</v>
      </c>
      <c r="R89" s="16">
        <f t="shared" si="12"/>
        <v>0</v>
      </c>
      <c r="S89" s="16">
        <v>0.59027777777777779</v>
      </c>
      <c r="T89" s="16">
        <f>VLOOKUP(E89,'[2]21-3-2026'!E$3:T$35,16,FALSE)</f>
        <v>1.7361111111111101E-2</v>
      </c>
      <c r="U89" s="16">
        <v>0.63888888888888895</v>
      </c>
      <c r="V89" s="16">
        <v>0</v>
      </c>
      <c r="W89" s="16">
        <v>3.125E-2</v>
      </c>
      <c r="X89" s="16">
        <v>0.64236111111111105</v>
      </c>
      <c r="Y89" s="16">
        <v>0.65277777777777779</v>
      </c>
      <c r="Z89" s="16">
        <f t="shared" si="14"/>
        <v>1.0416666666666741E-2</v>
      </c>
      <c r="AA89" s="16">
        <v>0</v>
      </c>
      <c r="AB89" s="16">
        <v>0.65625</v>
      </c>
      <c r="AC89" s="19"/>
      <c r="AD89" s="51"/>
    </row>
    <row r="90" spans="1:30" ht="19.5" thickBot="1" x14ac:dyDescent="0.3">
      <c r="A90" s="14">
        <v>23</v>
      </c>
      <c r="B90" s="15">
        <v>6143</v>
      </c>
      <c r="C90" s="15" t="str">
        <f>VLOOKUP(B90,داتا!$B$3:$D$107,2,FALSE)</f>
        <v>تلتين</v>
      </c>
      <c r="D90" s="34">
        <f>VLOOKUP(B90,داتا!$B$3:$D$107,3,FALSE)</f>
        <v>3.125E-2</v>
      </c>
      <c r="E90" s="15" t="s">
        <v>30</v>
      </c>
      <c r="F90" s="15" t="s">
        <v>163</v>
      </c>
      <c r="G90" s="16">
        <v>8.3333333333333329E-2</v>
      </c>
      <c r="H90" s="16">
        <v>0.10416666666666667</v>
      </c>
      <c r="I90" s="16">
        <f t="shared" si="10"/>
        <v>2.0833333333333343E-2</v>
      </c>
      <c r="J90" s="16">
        <v>0.59027777777777779</v>
      </c>
      <c r="K90" s="16">
        <v>0.60416666666666663</v>
      </c>
      <c r="L90" s="16" t="s">
        <v>105</v>
      </c>
      <c r="M90" s="16" t="s">
        <v>105</v>
      </c>
      <c r="N90" s="16">
        <f t="shared" si="11"/>
        <v>1.388888888888884E-2</v>
      </c>
      <c r="O90" s="16">
        <v>0</v>
      </c>
      <c r="P90" s="16">
        <v>6.9444444444444397E-3</v>
      </c>
      <c r="Q90" s="16">
        <v>0.62152777777777779</v>
      </c>
      <c r="R90" s="16">
        <f t="shared" si="12"/>
        <v>1.0416666666666741E-2</v>
      </c>
      <c r="S90" s="16">
        <v>0.62152777777777779</v>
      </c>
      <c r="T90" s="16">
        <f>VLOOKUP(E90,'[2]21-3-2026'!E$3:T$35,16,FALSE)</f>
        <v>1.38888888888889E-2</v>
      </c>
      <c r="U90" s="16">
        <v>0.65625</v>
      </c>
      <c r="V90" s="16">
        <f t="shared" si="13"/>
        <v>2.0833333333333259E-2</v>
      </c>
      <c r="W90" s="16">
        <v>3.125E-2</v>
      </c>
      <c r="X90" s="16">
        <v>0.65972222222222221</v>
      </c>
      <c r="Y90" s="16">
        <v>0.67361111111111116</v>
      </c>
      <c r="Z90" s="16">
        <f t="shared" si="14"/>
        <v>1.3888888888888951E-2</v>
      </c>
      <c r="AA90" s="16">
        <v>0</v>
      </c>
      <c r="AB90" s="16">
        <v>0.67708333333333337</v>
      </c>
      <c r="AC90" s="19"/>
      <c r="AD90" s="51"/>
    </row>
    <row r="91" spans="1:30" ht="19.5" thickBot="1" x14ac:dyDescent="0.3">
      <c r="A91" s="20">
        <v>24</v>
      </c>
      <c r="B91" s="21">
        <v>6143</v>
      </c>
      <c r="C91" s="21" t="str">
        <f>VLOOKUP(B91,داتا!$B$3:$D$107,2,FALSE)</f>
        <v>تلتين</v>
      </c>
      <c r="D91" s="35">
        <f>VLOOKUP(B91,داتا!$B$3:$D$107,3,FALSE)</f>
        <v>3.125E-2</v>
      </c>
      <c r="E91" s="21" t="s">
        <v>34</v>
      </c>
      <c r="F91" s="21" t="s">
        <v>163</v>
      </c>
      <c r="G91" s="22">
        <v>8.3333333333333329E-2</v>
      </c>
      <c r="H91" s="22">
        <v>0.10416666666666667</v>
      </c>
      <c r="I91" s="22">
        <f t="shared" si="10"/>
        <v>2.0833333333333343E-2</v>
      </c>
      <c r="J91" s="22">
        <v>0.59027777777777779</v>
      </c>
      <c r="K91" s="22">
        <v>0.60416666666666663</v>
      </c>
      <c r="L91" s="22" t="s">
        <v>105</v>
      </c>
      <c r="M91" s="22" t="s">
        <v>105</v>
      </c>
      <c r="N91" s="22">
        <f t="shared" si="11"/>
        <v>1.388888888888884E-2</v>
      </c>
      <c r="O91" s="22">
        <v>0</v>
      </c>
      <c r="P91" s="22">
        <v>6.9444444444444397E-3</v>
      </c>
      <c r="Q91" s="22">
        <v>0.62152777777777779</v>
      </c>
      <c r="R91" s="22">
        <f t="shared" si="12"/>
        <v>1.0416666666666741E-2</v>
      </c>
      <c r="S91" s="22">
        <v>0.62152777777777779</v>
      </c>
      <c r="T91" s="22">
        <f>VLOOKUP(E91,'[2]21-3-2026'!E$3:T$35,16,FALSE)</f>
        <v>1.0416666666666701E-2</v>
      </c>
      <c r="U91" s="22">
        <v>0.68263888888888891</v>
      </c>
      <c r="V91" s="22">
        <v>0</v>
      </c>
      <c r="W91" s="22">
        <v>4.1666666666666664E-2</v>
      </c>
      <c r="X91" s="22">
        <v>0.69097222222222221</v>
      </c>
      <c r="Y91" s="22">
        <v>0.70833333333333337</v>
      </c>
      <c r="Z91" s="22">
        <f t="shared" si="14"/>
        <v>1.736111111111116E-2</v>
      </c>
      <c r="AA91" s="22">
        <v>0</v>
      </c>
      <c r="AB91" s="22">
        <v>0.71180555555555547</v>
      </c>
      <c r="AC91" s="30"/>
      <c r="AD91" s="51"/>
    </row>
    <row r="92" spans="1:30" ht="16.5" thickTop="1" x14ac:dyDescent="0.25"/>
  </sheetData>
  <autoFilter ref="E1:E92"/>
  <mergeCells count="4">
    <mergeCell ref="A1:AC1"/>
    <mergeCell ref="AD3:AD35"/>
    <mergeCell ref="AD36:AD67"/>
    <mergeCell ref="AD68:AD91"/>
  </mergeCells>
  <conditionalFormatting sqref="AC1:AC1048576">
    <cfRule type="containsText" dxfId="646" priority="52" operator="containsText" text="ت">
      <formula>NOT(ISERROR(SEARCH("ت",AC1)))</formula>
    </cfRule>
  </conditionalFormatting>
  <conditionalFormatting sqref="AC4:AC91">
    <cfRule type="containsText" dxfId="645" priority="51" operator="containsText" text="ت">
      <formula>NOT(ISERROR(SEARCH("ت",AC4)))</formula>
    </cfRule>
  </conditionalFormatting>
  <conditionalFormatting sqref="O1:O2 I1:I2 R1:R2 V1:V2 AA92:AA1048576 V92:V1048576 R92:R1048576 O92:O1048576 I92:I1048576 AA1:AA2">
    <cfRule type="cellIs" dxfId="644" priority="53" operator="between">
      <formula>0.00277777777777778</formula>
      <formula>1</formula>
    </cfRule>
  </conditionalFormatting>
  <conditionalFormatting sqref="I3:I17 I82 I76 I19:I71 I84 I78 I73 I90:I91 I88 I86">
    <cfRule type="cellIs" dxfId="643" priority="47" operator="between">
      <formula>0.00277777777777778</formula>
      <formula>1</formula>
    </cfRule>
  </conditionalFormatting>
  <conditionalFormatting sqref="I3:I17 I82 I76 I19:I71 I84 I78 I73 I90:I91 I88 I86">
    <cfRule type="cellIs" dxfId="642" priority="48" operator="between">
      <formula>0.00277777777777778</formula>
      <formula>1</formula>
    </cfRule>
  </conditionalFormatting>
  <conditionalFormatting sqref="O3:O17 O82 O76 O19:O71 O84 O78 O73 O90:O91 O88 O86">
    <cfRule type="cellIs" dxfId="641" priority="45" operator="between">
      <formula>0.00277777777777778</formula>
      <formula>1</formula>
    </cfRule>
  </conditionalFormatting>
  <conditionalFormatting sqref="O3:O17 O82 O76 O19:O71 O84 O78 O73 O90:O91 O88 O86">
    <cfRule type="cellIs" dxfId="640" priority="46" operator="between">
      <formula>0.00277777777777778</formula>
      <formula>1</formula>
    </cfRule>
  </conditionalFormatting>
  <conditionalFormatting sqref="R3:R17 R19:R91">
    <cfRule type="cellIs" dxfId="639" priority="43" operator="between">
      <formula>0.00277777777777778</formula>
      <formula>1</formula>
    </cfRule>
  </conditionalFormatting>
  <conditionalFormatting sqref="R3:R17 R19:R91">
    <cfRule type="cellIs" dxfId="638" priority="44" operator="between">
      <formula>0.00277777777777778</formula>
      <formula>1</formula>
    </cfRule>
  </conditionalFormatting>
  <conditionalFormatting sqref="V3:V91">
    <cfRule type="cellIs" dxfId="637" priority="41" operator="between">
      <formula>0.00277777777777778</formula>
      <formula>1</formula>
    </cfRule>
  </conditionalFormatting>
  <conditionalFormatting sqref="V3:V91">
    <cfRule type="cellIs" dxfId="636" priority="42" operator="between">
      <formula>0.00277777777777778</formula>
      <formula>1</formula>
    </cfRule>
  </conditionalFormatting>
  <conditionalFormatting sqref="AA3:AA91">
    <cfRule type="cellIs" dxfId="635" priority="39" operator="between">
      <formula>0.00277777777777778</formula>
      <formula>1</formula>
    </cfRule>
  </conditionalFormatting>
  <conditionalFormatting sqref="AA3:AA91">
    <cfRule type="cellIs" dxfId="634" priority="40" operator="between">
      <formula>0.00277777777777778</formula>
      <formula>1</formula>
    </cfRule>
  </conditionalFormatting>
  <conditionalFormatting sqref="I18">
    <cfRule type="cellIs" dxfId="633" priority="37" operator="between">
      <formula>0.00277777777777778</formula>
      <formula>1</formula>
    </cfRule>
  </conditionalFormatting>
  <conditionalFormatting sqref="I18">
    <cfRule type="cellIs" dxfId="632" priority="38" operator="between">
      <formula>0.00277777777777778</formula>
      <formula>1</formula>
    </cfRule>
  </conditionalFormatting>
  <conditionalFormatting sqref="O18">
    <cfRule type="cellIs" dxfId="631" priority="35" operator="between">
      <formula>0.00277777777777778</formula>
      <formula>1</formula>
    </cfRule>
  </conditionalFormatting>
  <conditionalFormatting sqref="O18">
    <cfRule type="cellIs" dxfId="630" priority="36" operator="between">
      <formula>0.00277777777777778</formula>
      <formula>1</formula>
    </cfRule>
  </conditionalFormatting>
  <conditionalFormatting sqref="R18">
    <cfRule type="cellIs" dxfId="629" priority="33" operator="between">
      <formula>0.00277777777777778</formula>
      <formula>1</formula>
    </cfRule>
  </conditionalFormatting>
  <conditionalFormatting sqref="R18">
    <cfRule type="cellIs" dxfId="628" priority="34" operator="between">
      <formula>0.00277777777777778</formula>
      <formula>1</formula>
    </cfRule>
  </conditionalFormatting>
  <conditionalFormatting sqref="I79:I81">
    <cfRule type="cellIs" dxfId="627" priority="31" operator="between">
      <formula>0.00277777777777778</formula>
      <formula>1</formula>
    </cfRule>
  </conditionalFormatting>
  <conditionalFormatting sqref="I79:I81">
    <cfRule type="cellIs" dxfId="626" priority="32" operator="between">
      <formula>0.00277777777777778</formula>
      <formula>1</formula>
    </cfRule>
  </conditionalFormatting>
  <conditionalFormatting sqref="O79:O81">
    <cfRule type="cellIs" dxfId="625" priority="29" operator="between">
      <formula>0.00277777777777778</formula>
      <formula>1</formula>
    </cfRule>
  </conditionalFormatting>
  <conditionalFormatting sqref="O79:O81">
    <cfRule type="cellIs" dxfId="624" priority="30" operator="between">
      <formula>0.00277777777777778</formula>
      <formula>1</formula>
    </cfRule>
  </conditionalFormatting>
  <conditionalFormatting sqref="I74:I75">
    <cfRule type="cellIs" dxfId="623" priority="27" operator="between">
      <formula>0.00277777777777778</formula>
      <formula>1</formula>
    </cfRule>
  </conditionalFormatting>
  <conditionalFormatting sqref="I74:I75">
    <cfRule type="cellIs" dxfId="622" priority="28" operator="between">
      <formula>0.00277777777777778</formula>
      <formula>1</formula>
    </cfRule>
  </conditionalFormatting>
  <conditionalFormatting sqref="O74:O75">
    <cfRule type="cellIs" dxfId="621" priority="25" operator="between">
      <formula>0.00277777777777778</formula>
      <formula>1</formula>
    </cfRule>
  </conditionalFormatting>
  <conditionalFormatting sqref="O74:O75">
    <cfRule type="cellIs" dxfId="620" priority="26" operator="between">
      <formula>0.00277777777777778</formula>
      <formula>1</formula>
    </cfRule>
  </conditionalFormatting>
  <conditionalFormatting sqref="I83">
    <cfRule type="cellIs" dxfId="619" priority="23" operator="between">
      <formula>0.00277777777777778</formula>
      <formula>1</formula>
    </cfRule>
  </conditionalFormatting>
  <conditionalFormatting sqref="I83">
    <cfRule type="cellIs" dxfId="618" priority="24" operator="between">
      <formula>0.00277777777777778</formula>
      <formula>1</formula>
    </cfRule>
  </conditionalFormatting>
  <conditionalFormatting sqref="O83">
    <cfRule type="cellIs" dxfId="617" priority="21" operator="between">
      <formula>0.00277777777777778</formula>
      <formula>1</formula>
    </cfRule>
  </conditionalFormatting>
  <conditionalFormatting sqref="O83">
    <cfRule type="cellIs" dxfId="616" priority="22" operator="between">
      <formula>0.00277777777777778</formula>
      <formula>1</formula>
    </cfRule>
  </conditionalFormatting>
  <conditionalFormatting sqref="I77">
    <cfRule type="cellIs" dxfId="615" priority="19" operator="between">
      <formula>0.00277777777777778</formula>
      <formula>1</formula>
    </cfRule>
  </conditionalFormatting>
  <conditionalFormatting sqref="I77">
    <cfRule type="cellIs" dxfId="614" priority="20" operator="between">
      <formula>0.00277777777777778</formula>
      <formula>1</formula>
    </cfRule>
  </conditionalFormatting>
  <conditionalFormatting sqref="O77">
    <cfRule type="cellIs" dxfId="613" priority="17" operator="between">
      <formula>0.00277777777777778</formula>
      <formula>1</formula>
    </cfRule>
  </conditionalFormatting>
  <conditionalFormatting sqref="O77">
    <cfRule type="cellIs" dxfId="612" priority="18" operator="between">
      <formula>0.00277777777777778</formula>
      <formula>1</formula>
    </cfRule>
  </conditionalFormatting>
  <conditionalFormatting sqref="I72">
    <cfRule type="cellIs" dxfId="611" priority="15" operator="between">
      <formula>0.00277777777777778</formula>
      <formula>1</formula>
    </cfRule>
  </conditionalFormatting>
  <conditionalFormatting sqref="I72">
    <cfRule type="cellIs" dxfId="610" priority="16" operator="between">
      <formula>0.00277777777777778</formula>
      <formula>1</formula>
    </cfRule>
  </conditionalFormatting>
  <conditionalFormatting sqref="O72">
    <cfRule type="cellIs" dxfId="609" priority="13" operator="between">
      <formula>0.00277777777777778</formula>
      <formula>1</formula>
    </cfRule>
  </conditionalFormatting>
  <conditionalFormatting sqref="O72">
    <cfRule type="cellIs" dxfId="608" priority="14" operator="between">
      <formula>0.00277777777777778</formula>
      <formula>1</formula>
    </cfRule>
  </conditionalFormatting>
  <conditionalFormatting sqref="I89">
    <cfRule type="cellIs" dxfId="607" priority="11" operator="between">
      <formula>0.00277777777777778</formula>
      <formula>1</formula>
    </cfRule>
  </conditionalFormatting>
  <conditionalFormatting sqref="I89">
    <cfRule type="cellIs" dxfId="606" priority="12" operator="between">
      <formula>0.00277777777777778</formula>
      <formula>1</formula>
    </cfRule>
  </conditionalFormatting>
  <conditionalFormatting sqref="O89">
    <cfRule type="cellIs" dxfId="605" priority="9" operator="between">
      <formula>0.00277777777777778</formula>
      <formula>1</formula>
    </cfRule>
  </conditionalFormatting>
  <conditionalFormatting sqref="O89">
    <cfRule type="cellIs" dxfId="604" priority="10" operator="between">
      <formula>0.00277777777777778</formula>
      <formula>1</formula>
    </cfRule>
  </conditionalFormatting>
  <conditionalFormatting sqref="I87">
    <cfRule type="cellIs" dxfId="603" priority="7" operator="between">
      <formula>0.00277777777777778</formula>
      <formula>1</formula>
    </cfRule>
  </conditionalFormatting>
  <conditionalFormatting sqref="I87">
    <cfRule type="cellIs" dxfId="602" priority="8" operator="between">
      <formula>0.00277777777777778</formula>
      <formula>1</formula>
    </cfRule>
  </conditionalFormatting>
  <conditionalFormatting sqref="O87">
    <cfRule type="cellIs" dxfId="601" priority="5" operator="between">
      <formula>0.00277777777777778</formula>
      <formula>1</formula>
    </cfRule>
  </conditionalFormatting>
  <conditionalFormatting sqref="O87">
    <cfRule type="cellIs" dxfId="600" priority="6" operator="between">
      <formula>0.00277777777777778</formula>
      <formula>1</formula>
    </cfRule>
  </conditionalFormatting>
  <conditionalFormatting sqref="I85">
    <cfRule type="cellIs" dxfId="599" priority="3" operator="between">
      <formula>0.00277777777777778</formula>
      <formula>1</formula>
    </cfRule>
  </conditionalFormatting>
  <conditionalFormatting sqref="I85">
    <cfRule type="cellIs" dxfId="598" priority="4" operator="between">
      <formula>0.00277777777777778</formula>
      <formula>1</formula>
    </cfRule>
  </conditionalFormatting>
  <conditionalFormatting sqref="O85">
    <cfRule type="cellIs" dxfId="597" priority="1" operator="between">
      <formula>0.00277777777777778</formula>
      <formula>1</formula>
    </cfRule>
  </conditionalFormatting>
  <conditionalFormatting sqref="O85">
    <cfRule type="cellIs" dxfId="596" priority="2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1"/>
  <sheetViews>
    <sheetView rightToLeft="1" zoomScale="85" zoomScaleNormal="85" workbookViewId="0">
      <pane xSplit="6" ySplit="2" topLeftCell="G3" activePane="bottomRight" state="frozen"/>
      <selection activeCell="A92" sqref="A92"/>
      <selection pane="topRight" activeCell="A92" sqref="A92"/>
      <selection pane="bottomLeft" activeCell="A92" sqref="A92"/>
      <selection pane="bottomRight" activeCell="K16" sqref="K16"/>
    </sheetView>
  </sheetViews>
  <sheetFormatPr defaultColWidth="9" defaultRowHeight="15.75" x14ac:dyDescent="0.25"/>
  <cols>
    <col min="1" max="1" width="5.42578125" customWidth="1"/>
    <col min="2" max="2" width="12.28515625" customWidth="1"/>
    <col min="3" max="3" width="12.5703125" customWidth="1"/>
    <col min="4" max="4" width="16.140625" style="36" customWidth="1"/>
    <col min="5" max="5" width="17.140625" customWidth="1"/>
    <col min="6" max="6" width="20.85546875" customWidth="1"/>
    <col min="7" max="7" width="12.7109375" customWidth="1"/>
    <col min="8" max="9" width="12.85546875" customWidth="1"/>
    <col min="10" max="10" width="12.5703125" customWidth="1"/>
    <col min="11" max="11" width="14.28515625" customWidth="1"/>
    <col min="12" max="12" width="22.7109375" customWidth="1"/>
    <col min="13" max="13" width="18.8554687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3.85546875" style="31" customWidth="1"/>
    <col min="30" max="30" width="11.140625" customWidth="1"/>
  </cols>
  <sheetData>
    <row r="1" spans="1:30" ht="33.75" customHeight="1" thickBot="1" x14ac:dyDescent="0.3">
      <c r="A1" s="46" t="s">
        <v>122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0" ht="49.5" customHeight="1" thickTop="1" thickBot="1" x14ac:dyDescent="0.3">
      <c r="A2" s="1" t="s">
        <v>1</v>
      </c>
      <c r="B2" s="2" t="s">
        <v>2</v>
      </c>
      <c r="C2" s="2" t="s">
        <v>3</v>
      </c>
      <c r="D2" s="3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8" t="s">
        <v>18</v>
      </c>
      <c r="S2" s="2" t="s">
        <v>19</v>
      </c>
      <c r="T2" s="8" t="s">
        <v>20</v>
      </c>
      <c r="U2" s="2" t="s">
        <v>21</v>
      </c>
      <c r="V2" s="8" t="s">
        <v>22</v>
      </c>
      <c r="W2" s="8" t="s">
        <v>23</v>
      </c>
      <c r="X2" s="2" t="s">
        <v>24</v>
      </c>
      <c r="Y2" s="2" t="s">
        <v>25</v>
      </c>
      <c r="Z2" s="2" t="s">
        <v>26</v>
      </c>
      <c r="AA2" s="8" t="s">
        <v>27</v>
      </c>
      <c r="AB2" s="2" t="s">
        <v>28</v>
      </c>
      <c r="AC2" s="9" t="s">
        <v>29</v>
      </c>
    </row>
    <row r="3" spans="1:30" ht="20.25" customHeight="1" thickTop="1" thickBot="1" x14ac:dyDescent="0.3">
      <c r="A3" s="10">
        <v>1</v>
      </c>
      <c r="B3" s="11">
        <v>2714</v>
      </c>
      <c r="C3" s="11" t="str">
        <f>VLOOKUP(B3,داتا!$B$3:$D$107,2,FALSE)</f>
        <v>تلتين</v>
      </c>
      <c r="D3" s="33">
        <f>VLOOKUP(B3,داتا!$B$3:$D$107,3,FALSE)</f>
        <v>3.125E-2</v>
      </c>
      <c r="E3" s="11" t="s">
        <v>30</v>
      </c>
      <c r="F3" s="11" t="s">
        <v>114</v>
      </c>
      <c r="G3" s="16">
        <v>0.25</v>
      </c>
      <c r="H3" s="16">
        <v>0.2638888888888889</v>
      </c>
      <c r="I3" s="12">
        <f t="shared" ref="I3:I5" si="0">H3-G3</f>
        <v>1.3888888888888895E-2</v>
      </c>
      <c r="J3" s="12">
        <v>0.18055555555555555</v>
      </c>
      <c r="K3" s="12">
        <v>0.20138888888888887</v>
      </c>
      <c r="L3" s="12" t="s">
        <v>178</v>
      </c>
      <c r="M3" s="12" t="s">
        <v>178</v>
      </c>
      <c r="N3" s="12">
        <f>K3-J3</f>
        <v>2.0833333333333315E-2</v>
      </c>
      <c r="O3" s="12">
        <v>0</v>
      </c>
      <c r="P3" s="12">
        <v>6.9444444444444397E-3</v>
      </c>
      <c r="Q3" s="12">
        <v>0.20486111111111113</v>
      </c>
      <c r="R3" s="12">
        <v>0</v>
      </c>
      <c r="S3" s="12">
        <v>0.2673611111111111</v>
      </c>
      <c r="T3" s="12">
        <f>VLOOKUP(E3,'[2]21-3-2026'!E$3:T$35,16,FALSE)</f>
        <v>1.38888888888889E-2</v>
      </c>
      <c r="U3" s="12">
        <v>0.28819444444444448</v>
      </c>
      <c r="V3" s="12">
        <f>U3-T3-S3</f>
        <v>6.9444444444444753E-3</v>
      </c>
      <c r="W3" s="12">
        <v>4.1666666666666664E-2</v>
      </c>
      <c r="X3" s="12">
        <v>0.30069444444444443</v>
      </c>
      <c r="Y3" s="12">
        <v>0.3298611111111111</v>
      </c>
      <c r="Z3" s="12">
        <f>Y3-X3</f>
        <v>2.9166666666666674E-2</v>
      </c>
      <c r="AA3" s="12">
        <v>0</v>
      </c>
      <c r="AB3" s="12">
        <v>0.33680555555555558</v>
      </c>
      <c r="AC3" s="13"/>
      <c r="AD3" s="47" t="s">
        <v>33</v>
      </c>
    </row>
    <row r="4" spans="1:30" ht="19.5" thickBot="1" x14ac:dyDescent="0.3">
      <c r="A4" s="14">
        <v>2</v>
      </c>
      <c r="B4" s="15">
        <v>3495</v>
      </c>
      <c r="C4" s="15" t="str">
        <f>VLOOKUP(B4,داتا!$B$3:$D$107,2,FALSE)</f>
        <v>تلتين</v>
      </c>
      <c r="D4" s="34">
        <f>VLOOKUP(B4,داتا!$B$3:$D$107,3,FALSE)</f>
        <v>3.125E-2</v>
      </c>
      <c r="E4" s="15" t="s">
        <v>65</v>
      </c>
      <c r="F4" s="15" t="s">
        <v>147</v>
      </c>
      <c r="G4" s="16">
        <v>0.25</v>
      </c>
      <c r="H4" s="16">
        <v>0.25</v>
      </c>
      <c r="I4" s="16">
        <f t="shared" si="0"/>
        <v>0</v>
      </c>
      <c r="J4" s="16">
        <v>0.20138888888888887</v>
      </c>
      <c r="K4" s="16">
        <v>0.22222222222222221</v>
      </c>
      <c r="L4" s="16" t="s">
        <v>178</v>
      </c>
      <c r="M4" s="16" t="s">
        <v>178</v>
      </c>
      <c r="N4" s="16">
        <f t="shared" ref="N4:N67" si="1">K4-J4</f>
        <v>2.0833333333333343E-2</v>
      </c>
      <c r="O4" s="16">
        <v>0</v>
      </c>
      <c r="P4" s="16">
        <v>6.9444444444444397E-3</v>
      </c>
      <c r="Q4" s="16">
        <v>0.23263888888888887</v>
      </c>
      <c r="R4" s="16">
        <f t="shared" ref="R4:R66" si="2">Q4-P4-K4</f>
        <v>3.4722222222222099E-3</v>
      </c>
      <c r="S4" s="16">
        <v>0.25</v>
      </c>
      <c r="T4" s="16">
        <f>VLOOKUP(E4,'[2]21-3-2026'!E$3:T$35,16,FALSE)</f>
        <v>4.1666666666666699E-2</v>
      </c>
      <c r="U4" s="16">
        <v>0.30555555555555552</v>
      </c>
      <c r="V4" s="16">
        <f t="shared" ref="V4:V67" si="3">U4-T4-S4</f>
        <v>1.388888888888884E-2</v>
      </c>
      <c r="W4" s="16">
        <v>4.1666666666666664E-2</v>
      </c>
      <c r="X4" s="16">
        <v>0.33680555555555558</v>
      </c>
      <c r="Y4" s="16">
        <v>0.37847222222222227</v>
      </c>
      <c r="Z4" s="16">
        <f t="shared" ref="Z4:Z67" si="4">Y4-X4</f>
        <v>4.1666666666666685E-2</v>
      </c>
      <c r="AA4" s="16">
        <f t="shared" ref="AA4:AA64" si="5">Z4-W4</f>
        <v>0</v>
      </c>
      <c r="AB4" s="16">
        <v>0.38194444444444442</v>
      </c>
      <c r="AC4" s="17"/>
      <c r="AD4" s="48"/>
    </row>
    <row r="5" spans="1:30" ht="19.5" thickBot="1" x14ac:dyDescent="0.3">
      <c r="A5" s="14">
        <v>3</v>
      </c>
      <c r="B5" s="15">
        <v>6143</v>
      </c>
      <c r="C5" s="15" t="str">
        <f>VLOOKUP(B5,داتا!$B$3:$D$107,2,FALSE)</f>
        <v>تلتين</v>
      </c>
      <c r="D5" s="34">
        <f>VLOOKUP(B5,داتا!$B$3:$D$107,3,FALSE)</f>
        <v>3.125E-2</v>
      </c>
      <c r="E5" s="15" t="s">
        <v>34</v>
      </c>
      <c r="F5" s="15" t="s">
        <v>117</v>
      </c>
      <c r="G5" s="16">
        <v>0.25</v>
      </c>
      <c r="H5" s="16">
        <v>0.25</v>
      </c>
      <c r="I5" s="16">
        <f t="shared" si="0"/>
        <v>0</v>
      </c>
      <c r="J5" s="16">
        <v>0.22916666666666666</v>
      </c>
      <c r="K5" s="16">
        <v>0.25694444444444448</v>
      </c>
      <c r="L5" s="16" t="s">
        <v>178</v>
      </c>
      <c r="M5" s="16" t="s">
        <v>178</v>
      </c>
      <c r="N5" s="16">
        <f t="shared" si="1"/>
        <v>2.7777777777777818E-2</v>
      </c>
      <c r="O5" s="16">
        <v>0</v>
      </c>
      <c r="P5" s="16">
        <v>6.9444444444444397E-3</v>
      </c>
      <c r="Q5" s="16">
        <v>0.2638888888888889</v>
      </c>
      <c r="R5" s="16">
        <f t="shared" si="2"/>
        <v>0</v>
      </c>
      <c r="S5" s="16">
        <v>0.2673611111111111</v>
      </c>
      <c r="T5" s="16">
        <f>VLOOKUP(E5,'[2]21-3-2026'!E$3:T$35,16,FALSE)</f>
        <v>1.0416666666666701E-2</v>
      </c>
      <c r="U5" s="16">
        <v>0.28472222222222221</v>
      </c>
      <c r="V5" s="16">
        <f t="shared" si="3"/>
        <v>6.9444444444444198E-3</v>
      </c>
      <c r="W5" s="16">
        <v>4.1666666666666664E-2</v>
      </c>
      <c r="X5" s="16">
        <v>0.34236111111111112</v>
      </c>
      <c r="Y5" s="16">
        <v>0.39583333333333331</v>
      </c>
      <c r="Z5" s="16">
        <f t="shared" si="4"/>
        <v>5.3472222222222199E-2</v>
      </c>
      <c r="AA5" s="16">
        <f t="shared" si="5"/>
        <v>1.1805555555555534E-2</v>
      </c>
      <c r="AB5" s="16">
        <v>0.40625</v>
      </c>
      <c r="AC5" s="17"/>
      <c r="AD5" s="48"/>
    </row>
    <row r="6" spans="1:30" ht="19.5" thickBot="1" x14ac:dyDescent="0.3">
      <c r="A6" s="14">
        <v>4</v>
      </c>
      <c r="B6" s="15">
        <v>459</v>
      </c>
      <c r="C6" s="15" t="str">
        <f>VLOOKUP(B6,داتا!$B$3:$D$107,2,FALSE)</f>
        <v>دبابة</v>
      </c>
      <c r="D6" s="34">
        <f>VLOOKUP(B6,داتا!$B$3:$D$107,3,FALSE)</f>
        <v>2.0833333333333301E-2</v>
      </c>
      <c r="E6" s="15" t="s">
        <v>79</v>
      </c>
      <c r="F6" s="15" t="s">
        <v>99</v>
      </c>
      <c r="G6" s="16">
        <v>0.25</v>
      </c>
      <c r="H6" s="16">
        <v>0.24305555555555555</v>
      </c>
      <c r="I6" s="16">
        <v>0</v>
      </c>
      <c r="J6" s="16">
        <v>0.2673611111111111</v>
      </c>
      <c r="K6" s="16">
        <v>0.28472222222222221</v>
      </c>
      <c r="L6" s="16" t="s">
        <v>178</v>
      </c>
      <c r="M6" s="16" t="s">
        <v>178</v>
      </c>
      <c r="N6" s="16">
        <f t="shared" si="1"/>
        <v>1.7361111111111105E-2</v>
      </c>
      <c r="O6" s="16">
        <v>0</v>
      </c>
      <c r="P6" s="16">
        <v>6.9444444444444397E-3</v>
      </c>
      <c r="Q6" s="16">
        <v>0.29166666666666669</v>
      </c>
      <c r="R6" s="16">
        <f t="shared" si="2"/>
        <v>0</v>
      </c>
      <c r="S6" s="16">
        <v>0.29166666666666669</v>
      </c>
      <c r="T6" s="16">
        <f>VLOOKUP(E6,'[2]21-3-2026'!E$3:T$35,16,FALSE)</f>
        <v>2.0833333333333301E-2</v>
      </c>
      <c r="U6" s="16">
        <v>0.32083333333333336</v>
      </c>
      <c r="V6" s="16">
        <f t="shared" si="3"/>
        <v>8.3333333333333592E-3</v>
      </c>
      <c r="W6" s="16">
        <v>3.125E-2</v>
      </c>
      <c r="X6" s="16">
        <v>0.33333333333333331</v>
      </c>
      <c r="Y6" s="16">
        <v>0.36805555555555558</v>
      </c>
      <c r="Z6" s="16">
        <f t="shared" si="4"/>
        <v>3.4722222222222265E-2</v>
      </c>
      <c r="AA6" s="16">
        <f t="shared" si="5"/>
        <v>3.4722222222222654E-3</v>
      </c>
      <c r="AB6" s="16">
        <v>0.37152777777777773</v>
      </c>
      <c r="AC6" s="17"/>
      <c r="AD6" s="48"/>
    </row>
    <row r="7" spans="1:30" ht="19.5" thickBot="1" x14ac:dyDescent="0.3">
      <c r="A7" s="14">
        <v>5</v>
      </c>
      <c r="B7" s="15">
        <v>1454</v>
      </c>
      <c r="C7" s="15" t="str">
        <f>VLOOKUP(B7,داتا!$B$3:$D$107,2,FALSE)</f>
        <v>تلتين</v>
      </c>
      <c r="D7" s="34">
        <f>VLOOKUP(B7,داتا!$B$3:$D$107,3,FALSE)</f>
        <v>3.125E-2</v>
      </c>
      <c r="E7" s="15" t="s">
        <v>38</v>
      </c>
      <c r="F7" s="15" t="s">
        <v>40</v>
      </c>
      <c r="G7" s="16">
        <v>0.25</v>
      </c>
      <c r="H7" s="16">
        <v>0.23263888888888887</v>
      </c>
      <c r="I7" s="16">
        <v>0</v>
      </c>
      <c r="J7" s="16">
        <v>0.1875</v>
      </c>
      <c r="K7" s="16">
        <v>0.21527777777777779</v>
      </c>
      <c r="L7" s="16" t="s">
        <v>179</v>
      </c>
      <c r="M7" s="16" t="s">
        <v>179</v>
      </c>
      <c r="N7" s="16">
        <f t="shared" si="1"/>
        <v>2.777777777777779E-2</v>
      </c>
      <c r="O7" s="16">
        <v>0</v>
      </c>
      <c r="P7" s="16">
        <v>6.9444444444444397E-3</v>
      </c>
      <c r="Q7" s="16">
        <v>0.21875</v>
      </c>
      <c r="R7" s="16">
        <v>0</v>
      </c>
      <c r="S7" s="16">
        <v>0.25</v>
      </c>
      <c r="T7" s="16">
        <f>VLOOKUP(E7,'[2]21-3-2026'!E$3:T$35,16,FALSE)</f>
        <v>1.0416666666666666E-2</v>
      </c>
      <c r="U7" s="16">
        <v>0.27430555555555552</v>
      </c>
      <c r="V7" s="16">
        <f t="shared" si="3"/>
        <v>1.388888888888884E-2</v>
      </c>
      <c r="W7" s="16">
        <v>4.1666666666666664E-2</v>
      </c>
      <c r="X7" s="16">
        <v>0.2986111111111111</v>
      </c>
      <c r="Y7" s="16">
        <v>0.3263888888888889</v>
      </c>
      <c r="Z7" s="16">
        <f t="shared" si="4"/>
        <v>2.777777777777779E-2</v>
      </c>
      <c r="AA7" s="16">
        <v>0</v>
      </c>
      <c r="AB7" s="16">
        <v>0.3298611111111111</v>
      </c>
      <c r="AC7" s="17"/>
      <c r="AD7" s="48"/>
    </row>
    <row r="8" spans="1:30" ht="19.5" thickBot="1" x14ac:dyDescent="0.3">
      <c r="A8" s="14">
        <v>6</v>
      </c>
      <c r="B8" s="15">
        <v>3787</v>
      </c>
      <c r="C8" s="15" t="str">
        <f>VLOOKUP(B8,داتا!$B$3:$D$107,2,FALSE)</f>
        <v>دبابة</v>
      </c>
      <c r="D8" s="34">
        <f>VLOOKUP(B8,داتا!$B$3:$D$107,3,FALSE)</f>
        <v>2.0833333333333301E-2</v>
      </c>
      <c r="E8" s="15" t="s">
        <v>39</v>
      </c>
      <c r="F8" s="15" t="s">
        <v>168</v>
      </c>
      <c r="G8" s="16">
        <v>0.25</v>
      </c>
      <c r="H8" s="16">
        <v>0.2638888888888889</v>
      </c>
      <c r="I8" s="16">
        <f t="shared" ref="I8:I67" si="6">H8-G8</f>
        <v>1.3888888888888895E-2</v>
      </c>
      <c r="J8" s="16">
        <v>0.22916666666666666</v>
      </c>
      <c r="K8" s="16">
        <v>0.24652777777777779</v>
      </c>
      <c r="L8" s="16" t="s">
        <v>179</v>
      </c>
      <c r="M8" s="16" t="s">
        <v>179</v>
      </c>
      <c r="N8" s="16">
        <f t="shared" si="1"/>
        <v>1.7361111111111133E-2</v>
      </c>
      <c r="O8" s="16">
        <v>0</v>
      </c>
      <c r="P8" s="16">
        <v>6.9444444444444397E-3</v>
      </c>
      <c r="Q8" s="16">
        <v>0.25347222222222221</v>
      </c>
      <c r="R8" s="16">
        <f t="shared" si="2"/>
        <v>0</v>
      </c>
      <c r="S8" s="16">
        <v>0.27430555555555552</v>
      </c>
      <c r="T8" s="16">
        <f>VLOOKUP(E8,'[2]21-3-2026'!E$3:T$35,16,FALSE)</f>
        <v>1.7361111111111101E-2</v>
      </c>
      <c r="U8" s="16">
        <v>0.29166666666666669</v>
      </c>
      <c r="V8" s="16">
        <f t="shared" si="3"/>
        <v>0</v>
      </c>
      <c r="W8" s="16">
        <v>3.125E-2</v>
      </c>
      <c r="X8" s="16">
        <v>0.2951388888888889</v>
      </c>
      <c r="Y8" s="16">
        <v>0.31944444444444448</v>
      </c>
      <c r="Z8" s="16">
        <f t="shared" si="4"/>
        <v>2.430555555555558E-2</v>
      </c>
      <c r="AA8" s="16">
        <v>0</v>
      </c>
      <c r="AB8" s="16">
        <v>0.32291666666666669</v>
      </c>
      <c r="AC8" s="18"/>
      <c r="AD8" s="48"/>
    </row>
    <row r="9" spans="1:30" ht="19.5" thickBot="1" x14ac:dyDescent="0.3">
      <c r="A9" s="14">
        <v>7</v>
      </c>
      <c r="B9" s="15">
        <v>3492</v>
      </c>
      <c r="C9" s="15" t="str">
        <f>VLOOKUP(B9,داتا!$B$3:$D$107,2,FALSE)</f>
        <v>تلتين</v>
      </c>
      <c r="D9" s="34">
        <f>VLOOKUP(B9,داتا!$B$3:$D$107,3,FALSE)</f>
        <v>3.125E-2</v>
      </c>
      <c r="E9" s="15" t="s">
        <v>73</v>
      </c>
      <c r="F9" s="15" t="s">
        <v>181</v>
      </c>
      <c r="G9" s="16">
        <v>0.25</v>
      </c>
      <c r="H9" s="16">
        <v>0.25694444444444448</v>
      </c>
      <c r="I9" s="16">
        <f t="shared" si="6"/>
        <v>6.9444444444444753E-3</v>
      </c>
      <c r="J9" s="16">
        <v>0.25</v>
      </c>
      <c r="K9" s="16">
        <v>0.27777777777777779</v>
      </c>
      <c r="L9" s="16" t="s">
        <v>179</v>
      </c>
      <c r="M9" s="16" t="s">
        <v>179</v>
      </c>
      <c r="N9" s="16">
        <f t="shared" si="1"/>
        <v>2.777777777777779E-2</v>
      </c>
      <c r="O9" s="16">
        <v>0</v>
      </c>
      <c r="P9" s="16">
        <v>6.9444444444444397E-3</v>
      </c>
      <c r="Q9" s="16">
        <v>0.28472222222222221</v>
      </c>
      <c r="R9" s="16">
        <f t="shared" si="2"/>
        <v>0</v>
      </c>
      <c r="S9" s="16">
        <v>0.28125</v>
      </c>
      <c r="T9" s="16">
        <f>VLOOKUP(E9,'[2]21-3-2026'!E$3:T$35,16,FALSE)</f>
        <v>3.4722222222222203E-2</v>
      </c>
      <c r="U9" s="16">
        <v>0.32777777777777778</v>
      </c>
      <c r="V9" s="16">
        <f t="shared" si="3"/>
        <v>1.1805555555555569E-2</v>
      </c>
      <c r="W9" s="16">
        <v>4.1666666666666664E-2</v>
      </c>
      <c r="X9" s="16">
        <v>0.33819444444444446</v>
      </c>
      <c r="Y9" s="16">
        <v>0.375</v>
      </c>
      <c r="Z9" s="16">
        <f t="shared" si="4"/>
        <v>3.6805555555555536E-2</v>
      </c>
      <c r="AA9" s="16">
        <v>0</v>
      </c>
      <c r="AB9" s="16">
        <v>0.38541666666666669</v>
      </c>
      <c r="AC9" s="17"/>
      <c r="AD9" s="48"/>
    </row>
    <row r="10" spans="1:30" ht="19.5" thickBot="1" x14ac:dyDescent="0.3">
      <c r="A10" s="14">
        <v>8</v>
      </c>
      <c r="B10" s="15">
        <v>3793</v>
      </c>
      <c r="C10" s="15" t="str">
        <f>VLOOKUP(B10,داتا!$B$3:$D$107,2,FALSE)</f>
        <v>دبابة</v>
      </c>
      <c r="D10" s="34">
        <f>VLOOKUP(B10,داتا!$B$3:$D$107,3,FALSE)</f>
        <v>2.0833333333333301E-2</v>
      </c>
      <c r="E10" s="15" t="s">
        <v>35</v>
      </c>
      <c r="F10" s="15" t="s">
        <v>93</v>
      </c>
      <c r="G10" s="16">
        <v>0.25</v>
      </c>
      <c r="H10" s="16">
        <v>0.25347222222222221</v>
      </c>
      <c r="I10" s="16">
        <f t="shared" si="6"/>
        <v>3.4722222222222099E-3</v>
      </c>
      <c r="J10" s="16">
        <v>0.28819444444444448</v>
      </c>
      <c r="K10" s="16">
        <v>0.2986111111111111</v>
      </c>
      <c r="L10" s="16" t="s">
        <v>179</v>
      </c>
      <c r="M10" s="16" t="s">
        <v>179</v>
      </c>
      <c r="N10" s="16">
        <f t="shared" si="1"/>
        <v>1.041666666666663E-2</v>
      </c>
      <c r="O10" s="16">
        <v>0</v>
      </c>
      <c r="P10" s="16">
        <v>6.9444444444444397E-3</v>
      </c>
      <c r="Q10" s="16">
        <v>0.2986111111111111</v>
      </c>
      <c r="R10" s="16">
        <v>0</v>
      </c>
      <c r="S10" s="16">
        <v>0.2986111111111111</v>
      </c>
      <c r="T10" s="16">
        <f>VLOOKUP(E10,'[2]21-3-2026'!E$3:T$35,16,FALSE)</f>
        <v>3.4722222222222203E-2</v>
      </c>
      <c r="U10" s="16">
        <v>0.34027777777777773</v>
      </c>
      <c r="V10" s="16">
        <f t="shared" si="3"/>
        <v>6.9444444444444198E-3</v>
      </c>
      <c r="W10" s="16">
        <v>3.125E-2</v>
      </c>
      <c r="X10" s="16">
        <v>0.34375</v>
      </c>
      <c r="Y10" s="16">
        <v>0.375</v>
      </c>
      <c r="Z10" s="16">
        <f t="shared" si="4"/>
        <v>3.125E-2</v>
      </c>
      <c r="AA10" s="16">
        <v>0</v>
      </c>
      <c r="AB10" s="16">
        <v>0.37847222222222227</v>
      </c>
      <c r="AC10" s="17"/>
      <c r="AD10" s="48"/>
    </row>
    <row r="11" spans="1:30" ht="19.5" thickBot="1" x14ac:dyDescent="0.3">
      <c r="A11" s="14">
        <v>9</v>
      </c>
      <c r="B11" s="15">
        <v>634</v>
      </c>
      <c r="C11" s="15" t="str">
        <f>VLOOKUP(B11,داتا!$B$3:$D$107,2,FALSE)</f>
        <v>دبابة</v>
      </c>
      <c r="D11" s="34">
        <f>VLOOKUP(B11,داتا!$B$3:$D$107,3,FALSE)</f>
        <v>2.0833333333333301E-2</v>
      </c>
      <c r="E11" s="15" t="s">
        <v>98</v>
      </c>
      <c r="F11" s="15" t="s">
        <v>90</v>
      </c>
      <c r="G11" s="16">
        <v>0.25</v>
      </c>
      <c r="H11" s="16">
        <v>0.22222222222222221</v>
      </c>
      <c r="I11" s="16">
        <v>0</v>
      </c>
      <c r="J11" s="16">
        <v>0.3</v>
      </c>
      <c r="K11" s="16">
        <v>0.3125</v>
      </c>
      <c r="L11" s="16" t="s">
        <v>179</v>
      </c>
      <c r="M11" s="16" t="s">
        <v>179</v>
      </c>
      <c r="N11" s="16">
        <f t="shared" si="1"/>
        <v>1.2500000000000011E-2</v>
      </c>
      <c r="O11" s="16">
        <v>0</v>
      </c>
      <c r="P11" s="16">
        <v>6.9444444444444397E-3</v>
      </c>
      <c r="Q11" s="16">
        <v>0.31944444444444448</v>
      </c>
      <c r="R11" s="16">
        <f t="shared" si="2"/>
        <v>0</v>
      </c>
      <c r="S11" s="16">
        <v>0.31944444444444448</v>
      </c>
      <c r="T11" s="16">
        <f>VLOOKUP(E11,'[2]21-3-2026'!E$3:T$35,16,FALSE)</f>
        <v>4.8611111111111103E-3</v>
      </c>
      <c r="U11" s="16">
        <v>0.32777777777777778</v>
      </c>
      <c r="V11" s="16">
        <f t="shared" si="3"/>
        <v>3.4722222222222099E-3</v>
      </c>
      <c r="W11" s="16">
        <v>3.125E-2</v>
      </c>
      <c r="X11" s="16">
        <v>0.33333333333333331</v>
      </c>
      <c r="Y11" s="16">
        <v>0.36388888888888887</v>
      </c>
      <c r="Z11" s="16">
        <f t="shared" si="4"/>
        <v>3.0555555555555558E-2</v>
      </c>
      <c r="AA11" s="16">
        <v>0</v>
      </c>
      <c r="AB11" s="16">
        <v>0.36527777777777781</v>
      </c>
      <c r="AC11" s="17"/>
      <c r="AD11" s="48"/>
    </row>
    <row r="12" spans="1:30" ht="19.5" thickBot="1" x14ac:dyDescent="0.3">
      <c r="A12" s="14">
        <v>10</v>
      </c>
      <c r="B12" s="15">
        <v>1451</v>
      </c>
      <c r="C12" s="15" t="s">
        <v>102</v>
      </c>
      <c r="D12" s="34">
        <v>3.125E-2</v>
      </c>
      <c r="E12" s="15" t="s">
        <v>57</v>
      </c>
      <c r="F12" s="15" t="s">
        <v>153</v>
      </c>
      <c r="G12" s="16">
        <v>0.25</v>
      </c>
      <c r="H12" s="16">
        <v>0.25</v>
      </c>
      <c r="I12" s="16">
        <f t="shared" si="6"/>
        <v>0</v>
      </c>
      <c r="J12" s="16">
        <v>0.1875</v>
      </c>
      <c r="K12" s="16">
        <v>0.21527777777777779</v>
      </c>
      <c r="L12" s="16" t="s">
        <v>166</v>
      </c>
      <c r="M12" s="16" t="s">
        <v>166</v>
      </c>
      <c r="N12" s="16">
        <f t="shared" si="1"/>
        <v>2.777777777777779E-2</v>
      </c>
      <c r="O12" s="16">
        <v>0</v>
      </c>
      <c r="P12" s="16">
        <v>6.9444444444444397E-3</v>
      </c>
      <c r="Q12" s="16">
        <v>0.22569444444444445</v>
      </c>
      <c r="R12" s="16">
        <f t="shared" si="2"/>
        <v>3.4722222222222099E-3</v>
      </c>
      <c r="S12" s="16">
        <v>0.26041666666666669</v>
      </c>
      <c r="T12" s="16">
        <f>VLOOKUP(E12,'[2]21-3-2026'!E$3:T$35,16,FALSE)</f>
        <v>1.7361111111111101E-2</v>
      </c>
      <c r="U12" s="16">
        <v>0.27986111111111112</v>
      </c>
      <c r="V12" s="16">
        <f t="shared" si="3"/>
        <v>2.0833333333333259E-3</v>
      </c>
      <c r="W12" s="16">
        <v>3.125E-2</v>
      </c>
      <c r="X12" s="16">
        <v>0.29375000000000001</v>
      </c>
      <c r="Y12" s="16">
        <v>0.3298611111111111</v>
      </c>
      <c r="Z12" s="16">
        <f t="shared" si="4"/>
        <v>3.6111111111111094E-2</v>
      </c>
      <c r="AA12" s="16">
        <f t="shared" si="5"/>
        <v>4.8611111111110938E-3</v>
      </c>
      <c r="AB12" s="16">
        <v>0.33333333333333331</v>
      </c>
      <c r="AC12" s="17"/>
      <c r="AD12" s="48"/>
    </row>
    <row r="13" spans="1:30" ht="19.5" thickBot="1" x14ac:dyDescent="0.3">
      <c r="A13" s="14">
        <v>11</v>
      </c>
      <c r="B13" s="15">
        <v>1451</v>
      </c>
      <c r="C13" s="15" t="s">
        <v>102</v>
      </c>
      <c r="D13" s="34">
        <v>3.125E-2</v>
      </c>
      <c r="E13" s="15" t="s">
        <v>60</v>
      </c>
      <c r="F13" s="15" t="s">
        <v>153</v>
      </c>
      <c r="G13" s="16">
        <v>0.25</v>
      </c>
      <c r="H13" s="16">
        <v>0.25</v>
      </c>
      <c r="I13" s="16">
        <f t="shared" si="6"/>
        <v>0</v>
      </c>
      <c r="J13" s="16">
        <v>0.1875</v>
      </c>
      <c r="K13" s="16">
        <v>0.21527777777777779</v>
      </c>
      <c r="L13" s="16" t="s">
        <v>166</v>
      </c>
      <c r="M13" s="16" t="s">
        <v>166</v>
      </c>
      <c r="N13" s="16">
        <f t="shared" si="1"/>
        <v>2.777777777777779E-2</v>
      </c>
      <c r="O13" s="16">
        <v>0</v>
      </c>
      <c r="P13" s="16">
        <v>6.9444444444444397E-3</v>
      </c>
      <c r="Q13" s="16">
        <v>0.22569444444444445</v>
      </c>
      <c r="R13" s="16">
        <f t="shared" si="2"/>
        <v>3.4722222222222099E-3</v>
      </c>
      <c r="S13" s="16">
        <v>0.26041666666666669</v>
      </c>
      <c r="T13" s="16">
        <f>VLOOKUP(E13,'[2]21-3-2026'!E$3:T$35,16,FALSE)</f>
        <v>1.0416666666666701E-2</v>
      </c>
      <c r="U13" s="16">
        <v>0.34375</v>
      </c>
      <c r="V13" s="16">
        <v>0</v>
      </c>
      <c r="W13" s="16">
        <v>4.1666666666666664E-2</v>
      </c>
      <c r="X13" s="16">
        <v>0.34722222222222227</v>
      </c>
      <c r="Y13" s="16">
        <v>0.375</v>
      </c>
      <c r="Z13" s="16">
        <f t="shared" si="4"/>
        <v>2.7777777777777735E-2</v>
      </c>
      <c r="AA13" s="16">
        <v>0</v>
      </c>
      <c r="AB13" s="16">
        <v>0.37847222222222227</v>
      </c>
      <c r="AC13" s="18"/>
      <c r="AD13" s="48"/>
    </row>
    <row r="14" spans="1:30" ht="19.5" thickBot="1" x14ac:dyDescent="0.3">
      <c r="A14" s="14">
        <v>12</v>
      </c>
      <c r="B14" s="15">
        <v>2695</v>
      </c>
      <c r="C14" s="15" t="str">
        <f>VLOOKUP(B14,داتا!$B$3:$D$107,2,FALSE)</f>
        <v>تلتين</v>
      </c>
      <c r="D14" s="34">
        <f>VLOOKUP(B14,داتا!$B$3:$D$107,3,FALSE)</f>
        <v>3.125E-2</v>
      </c>
      <c r="E14" s="15" t="s">
        <v>61</v>
      </c>
      <c r="F14" s="15" t="s">
        <v>31</v>
      </c>
      <c r="G14" s="16">
        <v>0.25</v>
      </c>
      <c r="H14" s="16">
        <v>0.25</v>
      </c>
      <c r="I14" s="16">
        <f t="shared" si="6"/>
        <v>0</v>
      </c>
      <c r="J14" s="16">
        <v>0.23263888888888887</v>
      </c>
      <c r="K14" s="16">
        <v>0.2673611111111111</v>
      </c>
      <c r="L14" s="16" t="s">
        <v>166</v>
      </c>
      <c r="M14" s="16" t="s">
        <v>166</v>
      </c>
      <c r="N14" s="16">
        <f t="shared" si="1"/>
        <v>3.4722222222222238E-2</v>
      </c>
      <c r="O14" s="16">
        <f t="shared" ref="O14:O67" si="7">N14-D14</f>
        <v>3.4722222222222376E-3</v>
      </c>
      <c r="P14" s="16">
        <v>6.9444444444444397E-3</v>
      </c>
      <c r="Q14" s="16">
        <v>0.27430555555555552</v>
      </c>
      <c r="R14" s="16">
        <f t="shared" si="2"/>
        <v>0</v>
      </c>
      <c r="S14" s="16">
        <v>0.27430555555555552</v>
      </c>
      <c r="T14" s="16">
        <f>VLOOKUP(E14,'[2]21-3-2026'!E$3:T$35,16,FALSE)</f>
        <v>3.4722222222222203E-2</v>
      </c>
      <c r="U14" s="16">
        <v>0.3125</v>
      </c>
      <c r="V14" s="16">
        <f t="shared" si="3"/>
        <v>3.4722222222222654E-3</v>
      </c>
      <c r="W14" s="16">
        <v>3.125E-2</v>
      </c>
      <c r="X14" s="16">
        <v>0.33124999999999999</v>
      </c>
      <c r="Y14" s="16">
        <v>0.3611111111111111</v>
      </c>
      <c r="Z14" s="16">
        <f t="shared" si="4"/>
        <v>2.9861111111111116E-2</v>
      </c>
      <c r="AA14" s="16">
        <v>0</v>
      </c>
      <c r="AB14" s="16">
        <v>0.36319444444444443</v>
      </c>
      <c r="AC14" s="17"/>
      <c r="AD14" s="48"/>
    </row>
    <row r="15" spans="1:30" ht="19.5" thickBot="1" x14ac:dyDescent="0.3">
      <c r="A15" s="14">
        <v>13</v>
      </c>
      <c r="B15" s="15">
        <v>2695</v>
      </c>
      <c r="C15" s="15" t="str">
        <f>VLOOKUP(B15,داتا!$B$3:$D$107,2,FALSE)</f>
        <v>تلتين</v>
      </c>
      <c r="D15" s="34">
        <f>VLOOKUP(B15,داتا!$B$3:$D$107,3,FALSE)</f>
        <v>3.125E-2</v>
      </c>
      <c r="E15" s="15" t="s">
        <v>55</v>
      </c>
      <c r="F15" s="15" t="s">
        <v>31</v>
      </c>
      <c r="G15" s="16">
        <v>0.25</v>
      </c>
      <c r="H15" s="16">
        <v>0.25</v>
      </c>
      <c r="I15" s="16">
        <f t="shared" si="6"/>
        <v>0</v>
      </c>
      <c r="J15" s="16">
        <v>0.23263888888888887</v>
      </c>
      <c r="K15" s="16">
        <v>0.2673611111111111</v>
      </c>
      <c r="L15" s="16" t="s">
        <v>166</v>
      </c>
      <c r="M15" s="16" t="s">
        <v>166</v>
      </c>
      <c r="N15" s="16">
        <f t="shared" si="1"/>
        <v>3.4722222222222238E-2</v>
      </c>
      <c r="O15" s="16">
        <f t="shared" si="7"/>
        <v>3.4722222222222376E-3</v>
      </c>
      <c r="P15" s="16">
        <v>6.9444444444444397E-3</v>
      </c>
      <c r="Q15" s="16">
        <v>0.27430555555555552</v>
      </c>
      <c r="R15" s="16">
        <f t="shared" si="2"/>
        <v>0</v>
      </c>
      <c r="S15" s="16">
        <v>0.27430555555555552</v>
      </c>
      <c r="T15" s="16">
        <f>VLOOKUP(E15,'[2]21-3-2026'!E$3:T$35,16,FALSE)</f>
        <v>3.8194444444444399E-2</v>
      </c>
      <c r="U15" s="16">
        <v>0.375</v>
      </c>
      <c r="V15" s="16">
        <v>0</v>
      </c>
      <c r="W15" s="16">
        <v>4.1666666666666664E-2</v>
      </c>
      <c r="X15" s="16">
        <v>0.37847222222222227</v>
      </c>
      <c r="Y15" s="16">
        <v>0.40277777777777773</v>
      </c>
      <c r="Z15" s="16">
        <f t="shared" si="4"/>
        <v>2.4305555555555469E-2</v>
      </c>
      <c r="AA15" s="16">
        <v>0</v>
      </c>
      <c r="AB15" s="16">
        <v>0.40972222222222227</v>
      </c>
      <c r="AC15" s="17"/>
      <c r="AD15" s="48"/>
    </row>
    <row r="16" spans="1:30" ht="19.5" thickBot="1" x14ac:dyDescent="0.3">
      <c r="A16" s="14">
        <v>14</v>
      </c>
      <c r="B16" s="15">
        <v>9198</v>
      </c>
      <c r="C16" s="15" t="str">
        <f>VLOOKUP(B16,داتا!$B$3:$D$107,2,FALSE)</f>
        <v>دبابة</v>
      </c>
      <c r="D16" s="34">
        <f>VLOOKUP(B16,داتا!$B$3:$D$107,3,FALSE)</f>
        <v>2.0833333333333301E-2</v>
      </c>
      <c r="E16" s="15" t="s">
        <v>92</v>
      </c>
      <c r="F16" s="15" t="s">
        <v>106</v>
      </c>
      <c r="G16" s="16">
        <v>0.25</v>
      </c>
      <c r="H16" s="16">
        <v>0.27430555555555552</v>
      </c>
      <c r="I16" s="16">
        <f t="shared" si="6"/>
        <v>2.4305555555555525E-2</v>
      </c>
      <c r="J16" s="16">
        <v>0.27777777777777779</v>
      </c>
      <c r="K16" s="16">
        <v>0.29166666666666669</v>
      </c>
      <c r="L16" s="16" t="s">
        <v>166</v>
      </c>
      <c r="M16" s="16" t="s">
        <v>166</v>
      </c>
      <c r="N16" s="16">
        <f t="shared" si="1"/>
        <v>1.3888888888888895E-2</v>
      </c>
      <c r="O16" s="16">
        <v>0</v>
      </c>
      <c r="P16" s="16">
        <v>6.9444444444444397E-3</v>
      </c>
      <c r="Q16" s="16">
        <v>0.30555555555555552</v>
      </c>
      <c r="R16" s="16">
        <f t="shared" si="2"/>
        <v>6.9444444444444198E-3</v>
      </c>
      <c r="S16" s="16">
        <v>0.2986111111111111</v>
      </c>
      <c r="T16" s="16">
        <f>VLOOKUP(E16,'[2]21-3-2026'!E$3:T$35,16,FALSE)</f>
        <v>1.38888888888889E-2</v>
      </c>
      <c r="U16" s="16">
        <v>0.3298611111111111</v>
      </c>
      <c r="V16" s="16">
        <f t="shared" si="3"/>
        <v>1.7361111111111105E-2</v>
      </c>
      <c r="W16" s="16">
        <v>3.125E-2</v>
      </c>
      <c r="X16" s="16">
        <v>0.33333333333333331</v>
      </c>
      <c r="Y16" s="16">
        <v>0.3611111111111111</v>
      </c>
      <c r="Z16" s="16">
        <f t="shared" si="4"/>
        <v>2.777777777777779E-2</v>
      </c>
      <c r="AA16" s="16">
        <v>0</v>
      </c>
      <c r="AB16" s="16">
        <v>0.3666666666666667</v>
      </c>
      <c r="AC16" s="17"/>
      <c r="AD16" s="48"/>
    </row>
    <row r="17" spans="1:30" ht="19.5" thickBot="1" x14ac:dyDescent="0.3">
      <c r="A17" s="14">
        <v>15</v>
      </c>
      <c r="B17" s="15">
        <v>3891</v>
      </c>
      <c r="C17" s="15" t="str">
        <f>VLOOKUP(B17,داتا!$B$3:$D$107,2,FALSE)</f>
        <v>تلتين</v>
      </c>
      <c r="D17" s="34">
        <f>VLOOKUP(B17,داتا!$B$3:$D$107,3,FALSE)</f>
        <v>3.125E-2</v>
      </c>
      <c r="E17" s="15" t="s">
        <v>45</v>
      </c>
      <c r="F17" s="15" t="s">
        <v>48</v>
      </c>
      <c r="G17" s="16">
        <v>0.25</v>
      </c>
      <c r="H17" s="16">
        <v>0.25</v>
      </c>
      <c r="I17" s="16">
        <f t="shared" si="6"/>
        <v>0</v>
      </c>
      <c r="J17" s="16">
        <v>0.1875</v>
      </c>
      <c r="K17" s="16">
        <v>0.21527777777777779</v>
      </c>
      <c r="L17" s="16" t="s">
        <v>140</v>
      </c>
      <c r="M17" s="16" t="s">
        <v>140</v>
      </c>
      <c r="N17" s="16">
        <f t="shared" si="1"/>
        <v>2.777777777777779E-2</v>
      </c>
      <c r="O17" s="16">
        <v>0</v>
      </c>
      <c r="P17" s="16">
        <v>6.9444444444444397E-3</v>
      </c>
      <c r="Q17" s="16">
        <v>0.22222222222222221</v>
      </c>
      <c r="R17" s="16">
        <f t="shared" si="2"/>
        <v>0</v>
      </c>
      <c r="S17" s="16">
        <v>0.25347222222222221</v>
      </c>
      <c r="T17" s="16">
        <f>VLOOKUP(E17,'[2]21-3-2026'!E$3:T$35,16,FALSE)</f>
        <v>1.38888888888889E-2</v>
      </c>
      <c r="U17" s="16">
        <v>0.28125</v>
      </c>
      <c r="V17" s="16">
        <f t="shared" si="3"/>
        <v>1.3888888888888895E-2</v>
      </c>
      <c r="W17" s="16">
        <v>4.1666666666666664E-2</v>
      </c>
      <c r="X17" s="16">
        <v>0.2951388888888889</v>
      </c>
      <c r="Y17" s="16">
        <v>0.33333333333333331</v>
      </c>
      <c r="Z17" s="16">
        <f t="shared" si="4"/>
        <v>3.819444444444442E-2</v>
      </c>
      <c r="AA17" s="16">
        <v>0</v>
      </c>
      <c r="AB17" s="16">
        <v>0.33680555555555558</v>
      </c>
      <c r="AC17" s="17"/>
      <c r="AD17" s="48"/>
    </row>
    <row r="18" spans="1:30" ht="19.5" thickBot="1" x14ac:dyDescent="0.3">
      <c r="A18" s="14">
        <v>16</v>
      </c>
      <c r="B18" s="15">
        <v>5898</v>
      </c>
      <c r="C18" s="15" t="str">
        <f>VLOOKUP(B18,داتا!$B$3:$D$107,2,FALSE)</f>
        <v>تلتين</v>
      </c>
      <c r="D18" s="34">
        <f>VLOOKUP(B18,داتا!$B$3:$D$107,3,FALSE)</f>
        <v>3.125E-2</v>
      </c>
      <c r="E18" s="16" t="s">
        <v>70</v>
      </c>
      <c r="F18" s="15" t="s">
        <v>66</v>
      </c>
      <c r="G18" s="16">
        <v>0.25</v>
      </c>
      <c r="H18" s="16">
        <v>0.23958333333333334</v>
      </c>
      <c r="I18" s="16">
        <v>0</v>
      </c>
      <c r="J18" s="16">
        <v>0.21875</v>
      </c>
      <c r="K18" s="16">
        <v>0.25</v>
      </c>
      <c r="L18" s="16" t="s">
        <v>140</v>
      </c>
      <c r="M18" s="16" t="s">
        <v>140</v>
      </c>
      <c r="N18" s="16">
        <f t="shared" si="1"/>
        <v>3.125E-2</v>
      </c>
      <c r="O18" s="16">
        <f t="shared" si="7"/>
        <v>0</v>
      </c>
      <c r="P18" s="16">
        <v>6.9444444444444397E-3</v>
      </c>
      <c r="Q18" s="16">
        <v>0.25694444444444448</v>
      </c>
      <c r="R18" s="16">
        <f t="shared" si="2"/>
        <v>0</v>
      </c>
      <c r="S18" s="16">
        <v>0.25694444444444448</v>
      </c>
      <c r="T18" s="16">
        <f>VLOOKUP(E18,'[2]21-3-2026'!E$3:T$35,16,FALSE)</f>
        <v>1.0416666666666701E-2</v>
      </c>
      <c r="U18" s="16">
        <v>0.27430555555555552</v>
      </c>
      <c r="V18" s="16">
        <f t="shared" si="3"/>
        <v>6.9444444444443643E-3</v>
      </c>
      <c r="W18" s="16">
        <v>3.125E-2</v>
      </c>
      <c r="X18" s="16">
        <v>0.30555555555555552</v>
      </c>
      <c r="Y18" s="16">
        <v>0.3298611111111111</v>
      </c>
      <c r="Z18" s="16">
        <f t="shared" si="4"/>
        <v>2.430555555555558E-2</v>
      </c>
      <c r="AA18" s="16">
        <v>0</v>
      </c>
      <c r="AB18" s="16">
        <v>0.33333333333333331</v>
      </c>
      <c r="AC18" s="17"/>
      <c r="AD18" s="48"/>
    </row>
    <row r="19" spans="1:30" ht="19.5" thickBot="1" x14ac:dyDescent="0.3">
      <c r="A19" s="14">
        <v>17</v>
      </c>
      <c r="B19" s="15">
        <v>5898</v>
      </c>
      <c r="C19" s="15" t="str">
        <f>VLOOKUP(B19,داتا!$B$3:$D$107,2,FALSE)</f>
        <v>تلتين</v>
      </c>
      <c r="D19" s="34">
        <f>VLOOKUP(B19,داتا!$B$3:$D$107,3,FALSE)</f>
        <v>3.125E-2</v>
      </c>
      <c r="E19" s="15" t="s">
        <v>72</v>
      </c>
      <c r="F19" s="15" t="s">
        <v>66</v>
      </c>
      <c r="G19" s="16">
        <v>0.25</v>
      </c>
      <c r="H19" s="16">
        <v>0.23958333333333334</v>
      </c>
      <c r="I19" s="16">
        <v>0</v>
      </c>
      <c r="J19" s="16">
        <v>0.21875</v>
      </c>
      <c r="K19" s="16">
        <v>0.25</v>
      </c>
      <c r="L19" s="16" t="s">
        <v>140</v>
      </c>
      <c r="M19" s="16" t="s">
        <v>140</v>
      </c>
      <c r="N19" s="16">
        <f t="shared" si="1"/>
        <v>3.125E-2</v>
      </c>
      <c r="O19" s="16">
        <f t="shared" si="7"/>
        <v>0</v>
      </c>
      <c r="P19" s="16">
        <v>6.9444444444444397E-3</v>
      </c>
      <c r="Q19" s="16">
        <v>0.25694444444444448</v>
      </c>
      <c r="R19" s="16">
        <f t="shared" si="2"/>
        <v>0</v>
      </c>
      <c r="S19" s="16">
        <v>0.25694444444444448</v>
      </c>
      <c r="T19" s="16">
        <f>VLOOKUP(E19,'[2]21-3-2026'!E$3:T$35,16,FALSE)</f>
        <v>1.0416666666666701E-2</v>
      </c>
      <c r="U19" s="16">
        <v>0.34722222222222227</v>
      </c>
      <c r="V19" s="16">
        <v>3.472222222222222E-3</v>
      </c>
      <c r="W19" s="16">
        <v>4.1666666666666664E-2</v>
      </c>
      <c r="X19" s="16">
        <v>0.35069444444444442</v>
      </c>
      <c r="Y19" s="16">
        <v>0.37291666666666662</v>
      </c>
      <c r="Z19" s="16">
        <f t="shared" si="4"/>
        <v>2.2222222222222199E-2</v>
      </c>
      <c r="AA19" s="16">
        <v>0</v>
      </c>
      <c r="AB19" s="16">
        <v>0.375</v>
      </c>
      <c r="AC19" s="17"/>
      <c r="AD19" s="48"/>
    </row>
    <row r="20" spans="1:30" ht="19.5" thickBot="1" x14ac:dyDescent="0.3">
      <c r="A20" s="14">
        <v>18</v>
      </c>
      <c r="B20" s="15">
        <v>2694</v>
      </c>
      <c r="C20" s="15" t="str">
        <f>VLOOKUP(B20,داتا!$B$3:$D$107,2,FALSE)</f>
        <v>تلتين</v>
      </c>
      <c r="D20" s="34">
        <f>VLOOKUP(B20,داتا!$B$3:$D$107,3,FALSE)</f>
        <v>3.125E-2</v>
      </c>
      <c r="E20" s="15" t="s">
        <v>42</v>
      </c>
      <c r="F20" s="15" t="s">
        <v>151</v>
      </c>
      <c r="G20" s="16">
        <v>0.25</v>
      </c>
      <c r="H20" s="16">
        <v>0.2638888888888889</v>
      </c>
      <c r="I20" s="16">
        <f t="shared" si="6"/>
        <v>1.3888888888888895E-2</v>
      </c>
      <c r="J20" s="16">
        <v>0.25694444444444448</v>
      </c>
      <c r="K20" s="16">
        <v>0.27777777777777779</v>
      </c>
      <c r="L20" s="16" t="s">
        <v>140</v>
      </c>
      <c r="M20" s="16" t="s">
        <v>140</v>
      </c>
      <c r="N20" s="16">
        <f t="shared" si="1"/>
        <v>2.0833333333333315E-2</v>
      </c>
      <c r="O20" s="16">
        <v>0</v>
      </c>
      <c r="P20" s="16">
        <v>6.9444444444444397E-3</v>
      </c>
      <c r="Q20" s="16">
        <v>0.28819444444444448</v>
      </c>
      <c r="R20" s="16">
        <f t="shared" si="2"/>
        <v>3.4722222222222654E-3</v>
      </c>
      <c r="S20" s="16">
        <v>0.28819444444444448</v>
      </c>
      <c r="T20" s="16">
        <f>VLOOKUP(E20,'[2]21-3-2026'!E$3:T$35,16,FALSE)</f>
        <v>1.7361111111111101E-2</v>
      </c>
      <c r="U20" s="16">
        <v>0.3125</v>
      </c>
      <c r="V20" s="16">
        <f t="shared" si="3"/>
        <v>6.9444444444444198E-3</v>
      </c>
      <c r="W20" s="16">
        <v>4.1666666666666664E-2</v>
      </c>
      <c r="X20" s="16">
        <v>0.34027777777777773</v>
      </c>
      <c r="Y20" s="16">
        <v>0.375</v>
      </c>
      <c r="Z20" s="16">
        <f t="shared" si="4"/>
        <v>3.4722222222222265E-2</v>
      </c>
      <c r="AA20" s="16">
        <v>0</v>
      </c>
      <c r="AB20" s="16">
        <v>0.37847222222222227</v>
      </c>
      <c r="AC20" s="17"/>
      <c r="AD20" s="48"/>
    </row>
    <row r="21" spans="1:30" ht="19.5" thickBot="1" x14ac:dyDescent="0.3">
      <c r="A21" s="14">
        <v>19</v>
      </c>
      <c r="B21" s="15">
        <v>4879</v>
      </c>
      <c r="C21" s="15" t="str">
        <f>VLOOKUP(B21,داتا!$B$3:$D$107,2,FALSE)</f>
        <v>دبابة</v>
      </c>
      <c r="D21" s="34">
        <f>VLOOKUP(B21,داتا!$B$3:$D$107,3,FALSE)</f>
        <v>2.0833333333333301E-2</v>
      </c>
      <c r="E21" s="15" t="s">
        <v>89</v>
      </c>
      <c r="F21" s="15" t="s">
        <v>80</v>
      </c>
      <c r="G21" s="16">
        <v>0.25</v>
      </c>
      <c r="H21" s="16">
        <v>0.25</v>
      </c>
      <c r="I21" s="16">
        <f t="shared" si="6"/>
        <v>0</v>
      </c>
      <c r="J21" s="16">
        <v>0.28125</v>
      </c>
      <c r="K21" s="16">
        <v>0.2986111111111111</v>
      </c>
      <c r="L21" s="16" t="s">
        <v>140</v>
      </c>
      <c r="M21" s="16" t="s">
        <v>140</v>
      </c>
      <c r="N21" s="16">
        <f t="shared" si="1"/>
        <v>1.7361111111111105E-2</v>
      </c>
      <c r="O21" s="16">
        <v>0</v>
      </c>
      <c r="P21" s="16">
        <v>6.9444444444444397E-3</v>
      </c>
      <c r="Q21" s="16">
        <v>0.30902777777777779</v>
      </c>
      <c r="R21" s="16">
        <f t="shared" si="2"/>
        <v>3.4722222222222654E-3</v>
      </c>
      <c r="S21" s="16">
        <v>0.30902777777777779</v>
      </c>
      <c r="T21" s="16">
        <f>VLOOKUP(E21,'[2]21-3-2026'!E$3:T$35,16,FALSE)</f>
        <v>1.7361111111111101E-2</v>
      </c>
      <c r="U21" s="16">
        <v>0.33680555555555558</v>
      </c>
      <c r="V21" s="16">
        <f t="shared" si="3"/>
        <v>1.0416666666666685E-2</v>
      </c>
      <c r="W21" s="16">
        <v>3.125E-2</v>
      </c>
      <c r="X21" s="16">
        <v>0.33819444444444446</v>
      </c>
      <c r="Y21" s="16">
        <v>0.36319444444444443</v>
      </c>
      <c r="Z21" s="16">
        <f t="shared" si="4"/>
        <v>2.4999999999999967E-2</v>
      </c>
      <c r="AA21" s="16">
        <v>0</v>
      </c>
      <c r="AB21" s="16">
        <v>0.36458333333333331</v>
      </c>
      <c r="AC21" s="17"/>
      <c r="AD21" s="48"/>
    </row>
    <row r="22" spans="1:30" ht="19.5" thickBot="1" x14ac:dyDescent="0.3">
      <c r="A22" s="14">
        <v>20</v>
      </c>
      <c r="B22" s="15">
        <v>1538</v>
      </c>
      <c r="C22" s="15" t="str">
        <f>VLOOKUP(B22,داتا!$B$3:$D$107,2,FALSE)</f>
        <v>تلتين</v>
      </c>
      <c r="D22" s="34">
        <f>VLOOKUP(B22,داتا!$B$3:$D$107,3,FALSE)</f>
        <v>3.125E-2</v>
      </c>
      <c r="E22" s="15" t="s">
        <v>46</v>
      </c>
      <c r="F22" s="15" t="s">
        <v>146</v>
      </c>
      <c r="G22" s="16">
        <v>0.25</v>
      </c>
      <c r="H22" s="16">
        <v>0.23263888888888887</v>
      </c>
      <c r="I22" s="16">
        <v>0</v>
      </c>
      <c r="J22" s="16">
        <v>0.19097222222222221</v>
      </c>
      <c r="K22" s="16">
        <v>0.20833333333333334</v>
      </c>
      <c r="L22" s="16" t="s">
        <v>180</v>
      </c>
      <c r="M22" s="16" t="s">
        <v>180</v>
      </c>
      <c r="N22" s="16">
        <f t="shared" si="1"/>
        <v>1.7361111111111133E-2</v>
      </c>
      <c r="O22" s="16">
        <v>0</v>
      </c>
      <c r="P22" s="16">
        <v>6.9444444444444397E-3</v>
      </c>
      <c r="Q22" s="16">
        <v>0.21180555555555555</v>
      </c>
      <c r="R22" s="16">
        <v>0</v>
      </c>
      <c r="S22" s="16">
        <v>0.24652777777777779</v>
      </c>
      <c r="T22" s="16">
        <f>VLOOKUP(E22,'[2]21-3-2026'!E$3:T$35,16,FALSE)</f>
        <v>3.4722222222222203E-2</v>
      </c>
      <c r="U22" s="16">
        <v>0.27986111111111112</v>
      </c>
      <c r="V22" s="16">
        <v>0</v>
      </c>
      <c r="W22" s="16">
        <v>4.1666666666666664E-2</v>
      </c>
      <c r="X22" s="16">
        <v>0.29375000000000001</v>
      </c>
      <c r="Y22" s="16">
        <v>0.3354166666666667</v>
      </c>
      <c r="Z22" s="16">
        <f t="shared" si="4"/>
        <v>4.1666666666666685E-2</v>
      </c>
      <c r="AA22" s="16">
        <f t="shared" si="5"/>
        <v>0</v>
      </c>
      <c r="AB22" s="16">
        <v>0.34027777777777773</v>
      </c>
      <c r="AC22" s="17"/>
      <c r="AD22" s="48"/>
    </row>
    <row r="23" spans="1:30" ht="19.5" thickBot="1" x14ac:dyDescent="0.3">
      <c r="A23" s="14">
        <v>21</v>
      </c>
      <c r="B23" s="15">
        <v>4987</v>
      </c>
      <c r="C23" s="15" t="str">
        <f>VLOOKUP(B23,داتا!$B$3:$D$107,2,FALSE)</f>
        <v>تلتين</v>
      </c>
      <c r="D23" s="34">
        <f>VLOOKUP(B23,داتا!$B$3:$D$107,3,FALSE)</f>
        <v>3.125E-2</v>
      </c>
      <c r="E23" s="15" t="s">
        <v>49</v>
      </c>
      <c r="F23" s="15" t="s">
        <v>169</v>
      </c>
      <c r="G23" s="16">
        <v>0.25</v>
      </c>
      <c r="H23" s="16">
        <v>0.25</v>
      </c>
      <c r="I23" s="16">
        <f t="shared" si="6"/>
        <v>0</v>
      </c>
      <c r="J23" s="16">
        <v>0.21527777777777779</v>
      </c>
      <c r="K23" s="16">
        <v>0.22916666666666666</v>
      </c>
      <c r="L23" s="16" t="s">
        <v>180</v>
      </c>
      <c r="M23" s="16" t="s">
        <v>180</v>
      </c>
      <c r="N23" s="16">
        <f t="shared" si="1"/>
        <v>1.3888888888888867E-2</v>
      </c>
      <c r="O23" s="16">
        <v>0</v>
      </c>
      <c r="P23" s="16">
        <v>6.9444444444444397E-3</v>
      </c>
      <c r="Q23" s="16">
        <v>0.23958333333333334</v>
      </c>
      <c r="R23" s="16">
        <f t="shared" si="2"/>
        <v>3.4722222222222376E-3</v>
      </c>
      <c r="S23" s="16">
        <v>0.25347222222222221</v>
      </c>
      <c r="T23" s="16">
        <f>VLOOKUP(E23,'[2]21-3-2026'!E$3:T$35,16,FALSE)</f>
        <v>3.4722222222222203E-2</v>
      </c>
      <c r="U23" s="16">
        <v>0.30555555555555552</v>
      </c>
      <c r="V23" s="16">
        <f t="shared" si="3"/>
        <v>1.7361111111111105E-2</v>
      </c>
      <c r="W23" s="16">
        <v>4.1666666666666664E-2</v>
      </c>
      <c r="X23" s="16">
        <v>0.34097222222222223</v>
      </c>
      <c r="Y23" s="16">
        <v>0.38125000000000003</v>
      </c>
      <c r="Z23" s="16">
        <f t="shared" si="4"/>
        <v>4.0277777777777801E-2</v>
      </c>
      <c r="AA23" s="16">
        <v>0</v>
      </c>
      <c r="AB23" s="16">
        <v>0.38611111111111113</v>
      </c>
      <c r="AC23" s="17"/>
      <c r="AD23" s="48"/>
    </row>
    <row r="24" spans="1:30" ht="19.5" thickBot="1" x14ac:dyDescent="0.3">
      <c r="A24" s="14">
        <v>22</v>
      </c>
      <c r="B24" s="15">
        <v>2474</v>
      </c>
      <c r="C24" s="15" t="str">
        <f>VLOOKUP(B24,داتا!$B$3:$D$107,2,FALSE)</f>
        <v>دبابة</v>
      </c>
      <c r="D24" s="34">
        <f>VLOOKUP(B24,داتا!$B$3:$D$107,3,FALSE)</f>
        <v>2.0833333333333332E-2</v>
      </c>
      <c r="E24" s="15" t="s">
        <v>75</v>
      </c>
      <c r="F24" s="16" t="s">
        <v>155</v>
      </c>
      <c r="G24" s="16">
        <v>0.25</v>
      </c>
      <c r="H24" s="16">
        <v>0.2638888888888889</v>
      </c>
      <c r="I24" s="16">
        <f t="shared" si="6"/>
        <v>1.3888888888888895E-2</v>
      </c>
      <c r="J24" s="16">
        <v>0.23958333333333334</v>
      </c>
      <c r="K24" s="16">
        <v>0.26041666666666669</v>
      </c>
      <c r="L24" s="16" t="s">
        <v>180</v>
      </c>
      <c r="M24" s="16" t="s">
        <v>180</v>
      </c>
      <c r="N24" s="16">
        <f t="shared" si="1"/>
        <v>2.0833333333333343E-2</v>
      </c>
      <c r="O24" s="16">
        <f t="shared" si="7"/>
        <v>0</v>
      </c>
      <c r="P24" s="16">
        <v>6.9444444444444397E-3</v>
      </c>
      <c r="Q24" s="16">
        <v>0.2673611111111111</v>
      </c>
      <c r="R24" s="16">
        <f t="shared" si="2"/>
        <v>0</v>
      </c>
      <c r="S24" s="16">
        <v>0.2673611111111111</v>
      </c>
      <c r="T24" s="16">
        <f>VLOOKUP(E24,'[2]21-3-2026'!E$3:T$35,16,FALSE)</f>
        <v>2.0833333333333301E-2</v>
      </c>
      <c r="U24" s="16">
        <v>0.29166666666666669</v>
      </c>
      <c r="V24" s="16">
        <f t="shared" si="3"/>
        <v>3.4722222222222654E-3</v>
      </c>
      <c r="W24" s="16">
        <v>3.125E-2</v>
      </c>
      <c r="X24" s="16">
        <v>0.33680555555555558</v>
      </c>
      <c r="Y24" s="16">
        <v>0.36458333333333331</v>
      </c>
      <c r="Z24" s="16">
        <f t="shared" si="4"/>
        <v>2.7777777777777735E-2</v>
      </c>
      <c r="AA24" s="16">
        <v>0</v>
      </c>
      <c r="AB24" s="16">
        <v>0.36458333333333331</v>
      </c>
      <c r="AC24" s="17"/>
      <c r="AD24" s="48"/>
    </row>
    <row r="25" spans="1:30" ht="19.5" thickBot="1" x14ac:dyDescent="0.3">
      <c r="A25" s="14">
        <v>23</v>
      </c>
      <c r="B25" s="15">
        <v>675</v>
      </c>
      <c r="C25" s="15" t="str">
        <f>VLOOKUP(B25,داتا!$B$3:$D$107,2,FALSE)</f>
        <v>جامبو</v>
      </c>
      <c r="D25" s="34">
        <f>VLOOKUP(B25,داتا!$B$3:$D$107,3,FALSE)</f>
        <v>4.1666666666666699E-2</v>
      </c>
      <c r="E25" s="15" t="s">
        <v>95</v>
      </c>
      <c r="F25" s="15" t="s">
        <v>144</v>
      </c>
      <c r="G25" s="16">
        <v>0.25</v>
      </c>
      <c r="H25" s="16">
        <v>0.25694444444444448</v>
      </c>
      <c r="I25" s="16">
        <f t="shared" si="6"/>
        <v>6.9444444444444753E-3</v>
      </c>
      <c r="J25" s="16">
        <v>0.2673611111111111</v>
      </c>
      <c r="K25" s="16">
        <v>0.2951388888888889</v>
      </c>
      <c r="L25" s="16" t="s">
        <v>180</v>
      </c>
      <c r="M25" s="16" t="s">
        <v>180</v>
      </c>
      <c r="N25" s="16">
        <f t="shared" si="1"/>
        <v>2.777777777777779E-2</v>
      </c>
      <c r="O25" s="16">
        <v>0</v>
      </c>
      <c r="P25" s="16">
        <v>6.9444444444444397E-3</v>
      </c>
      <c r="Q25" s="16">
        <v>0.30902777777777779</v>
      </c>
      <c r="R25" s="16">
        <f t="shared" si="2"/>
        <v>6.9444444444444753E-3</v>
      </c>
      <c r="S25" s="16">
        <v>0.30208333333333331</v>
      </c>
      <c r="T25" s="16">
        <f>VLOOKUP(E25,'[2]21-3-2026'!E$3:T$35,16,FALSE)</f>
        <v>1.0416666666666701E-2</v>
      </c>
      <c r="U25" s="16">
        <v>0.31597222222222221</v>
      </c>
      <c r="V25" s="16">
        <f t="shared" si="3"/>
        <v>3.4722222222222099E-3</v>
      </c>
      <c r="W25" s="16">
        <v>6.25E-2</v>
      </c>
      <c r="X25" s="16">
        <v>0.33680555555555558</v>
      </c>
      <c r="Y25" s="16">
        <v>0.38194444444444442</v>
      </c>
      <c r="Z25" s="16">
        <f t="shared" si="4"/>
        <v>4.513888888888884E-2</v>
      </c>
      <c r="AA25" s="16">
        <v>0</v>
      </c>
      <c r="AB25" s="16">
        <v>0.38541666666666669</v>
      </c>
      <c r="AC25" s="19"/>
      <c r="AD25" s="48"/>
    </row>
    <row r="26" spans="1:30" ht="19.5" thickBot="1" x14ac:dyDescent="0.3">
      <c r="A26" s="14">
        <v>24</v>
      </c>
      <c r="B26" s="15">
        <v>6142</v>
      </c>
      <c r="C26" s="15" t="str">
        <f>VLOOKUP(B26,داتا!$B$3:$D$107,2,FALSE)</f>
        <v>تلتين</v>
      </c>
      <c r="D26" s="34">
        <f>VLOOKUP(B26,داتا!$B$3:$D$107,3,FALSE)</f>
        <v>3.125E-2</v>
      </c>
      <c r="E26" s="15" t="s">
        <v>51</v>
      </c>
      <c r="F26" s="15" t="s">
        <v>167</v>
      </c>
      <c r="G26" s="16">
        <v>0.25</v>
      </c>
      <c r="H26" s="16">
        <v>0.26041666666666669</v>
      </c>
      <c r="I26" s="16">
        <f t="shared" si="6"/>
        <v>1.0416666666666685E-2</v>
      </c>
      <c r="J26" s="16">
        <v>0.1875</v>
      </c>
      <c r="K26" s="16">
        <v>0.23263888888888887</v>
      </c>
      <c r="L26" s="16" t="s">
        <v>53</v>
      </c>
      <c r="M26" s="16" t="s">
        <v>53</v>
      </c>
      <c r="N26" s="16">
        <f t="shared" si="1"/>
        <v>4.5138888888888867E-2</v>
      </c>
      <c r="O26" s="16">
        <f t="shared" si="7"/>
        <v>1.3888888888888867E-2</v>
      </c>
      <c r="P26" s="16">
        <v>6.9444444444444397E-3</v>
      </c>
      <c r="Q26" s="16">
        <v>0.24305555555555555</v>
      </c>
      <c r="R26" s="16">
        <f t="shared" si="2"/>
        <v>3.4722222222222376E-3</v>
      </c>
      <c r="S26" s="16">
        <v>0.26041666666666669</v>
      </c>
      <c r="T26" s="16">
        <f>VLOOKUP(E26,'[2]21-3-2026'!E$3:T$35,16,FALSE)</f>
        <v>2.4305555555555601E-2</v>
      </c>
      <c r="U26" s="16">
        <v>0.29166666666666669</v>
      </c>
      <c r="V26" s="16">
        <f t="shared" si="3"/>
        <v>6.9444444444444198E-3</v>
      </c>
      <c r="W26" s="16">
        <v>3.125E-2</v>
      </c>
      <c r="X26" s="16">
        <v>0.2986111111111111</v>
      </c>
      <c r="Y26" s="16">
        <v>0.32291666666666669</v>
      </c>
      <c r="Z26" s="16">
        <f t="shared" si="4"/>
        <v>2.430555555555558E-2</v>
      </c>
      <c r="AA26" s="16">
        <v>0</v>
      </c>
      <c r="AB26" s="16">
        <v>0.3263888888888889</v>
      </c>
      <c r="AC26" s="19"/>
      <c r="AD26" s="48"/>
    </row>
    <row r="27" spans="1:30" ht="19.5" thickBot="1" x14ac:dyDescent="0.3">
      <c r="A27" s="14">
        <v>25</v>
      </c>
      <c r="B27" s="15">
        <v>6142</v>
      </c>
      <c r="C27" s="15" t="str">
        <f>VLOOKUP(B27,داتا!$B$3:$D$107,2,FALSE)</f>
        <v>تلتين</v>
      </c>
      <c r="D27" s="34">
        <f>VLOOKUP(B27,داتا!$B$3:$D$107,3,FALSE)</f>
        <v>3.125E-2</v>
      </c>
      <c r="E27" s="15" t="s">
        <v>54</v>
      </c>
      <c r="F27" s="15" t="s">
        <v>167</v>
      </c>
      <c r="G27" s="16">
        <v>0.25</v>
      </c>
      <c r="H27" s="16">
        <v>0.26041666666666669</v>
      </c>
      <c r="I27" s="16">
        <f t="shared" si="6"/>
        <v>1.0416666666666685E-2</v>
      </c>
      <c r="J27" s="16">
        <v>0.1875</v>
      </c>
      <c r="K27" s="16">
        <v>0.23263888888888887</v>
      </c>
      <c r="L27" s="16" t="s">
        <v>53</v>
      </c>
      <c r="M27" s="16" t="s">
        <v>53</v>
      </c>
      <c r="N27" s="16">
        <f t="shared" si="1"/>
        <v>4.5138888888888867E-2</v>
      </c>
      <c r="O27" s="16">
        <f t="shared" si="7"/>
        <v>1.3888888888888867E-2</v>
      </c>
      <c r="P27" s="16">
        <v>6.9444444444444397E-3</v>
      </c>
      <c r="Q27" s="16">
        <v>0.24305555555555555</v>
      </c>
      <c r="R27" s="16">
        <f t="shared" si="2"/>
        <v>3.4722222222222376E-3</v>
      </c>
      <c r="S27" s="16">
        <v>0.26041666666666669</v>
      </c>
      <c r="T27" s="16">
        <f>VLOOKUP(E27,'[2]21-3-2026'!E$3:T$35,16,FALSE)</f>
        <v>1.0416666666666701E-2</v>
      </c>
      <c r="U27" s="16">
        <v>0.35416666666666669</v>
      </c>
      <c r="V27" s="16">
        <v>0</v>
      </c>
      <c r="W27" s="16">
        <v>4.1666666666666664E-2</v>
      </c>
      <c r="X27" s="16">
        <v>0.3576388888888889</v>
      </c>
      <c r="Y27" s="16">
        <v>0.39583333333333331</v>
      </c>
      <c r="Z27" s="16">
        <f t="shared" si="4"/>
        <v>3.819444444444442E-2</v>
      </c>
      <c r="AA27" s="16">
        <v>0</v>
      </c>
      <c r="AB27" s="16">
        <v>0.45833333333333331</v>
      </c>
      <c r="AC27" s="19"/>
      <c r="AD27" s="48"/>
    </row>
    <row r="28" spans="1:30" ht="19.5" thickBot="1" x14ac:dyDescent="0.3">
      <c r="A28" s="14">
        <v>26</v>
      </c>
      <c r="B28" s="15">
        <v>586</v>
      </c>
      <c r="C28" s="15" t="str">
        <f>VLOOKUP(B28,داتا!$B$3:$D$107,2,FALSE)</f>
        <v>سوزوكي</v>
      </c>
      <c r="D28" s="34">
        <f>VLOOKUP(B28,داتا!$B$3:$D$107,3,FALSE)</f>
        <v>2.0833333333333301E-2</v>
      </c>
      <c r="E28" s="15" t="s">
        <v>77</v>
      </c>
      <c r="F28" s="15" t="s">
        <v>170</v>
      </c>
      <c r="G28" s="16">
        <v>0.25</v>
      </c>
      <c r="H28" s="16">
        <v>0.26041666666666669</v>
      </c>
      <c r="I28" s="16">
        <f t="shared" si="6"/>
        <v>1.0416666666666685E-2</v>
      </c>
      <c r="J28" s="16">
        <v>0.24305555555555555</v>
      </c>
      <c r="K28" s="16">
        <v>0.24652777777777779</v>
      </c>
      <c r="L28" s="16" t="s">
        <v>53</v>
      </c>
      <c r="M28" s="16" t="s">
        <v>53</v>
      </c>
      <c r="N28" s="16">
        <f t="shared" si="1"/>
        <v>3.4722222222222376E-3</v>
      </c>
      <c r="O28" s="16">
        <v>0</v>
      </c>
      <c r="P28" s="16">
        <v>6.9444444444444397E-3</v>
      </c>
      <c r="Q28" s="16">
        <v>0.25</v>
      </c>
      <c r="R28" s="16">
        <v>0</v>
      </c>
      <c r="S28" s="16">
        <v>0.27083333333333331</v>
      </c>
      <c r="T28" s="16">
        <f>VLOOKUP(E28,'[2]21-3-2026'!E$3:T$35,16,FALSE)</f>
        <v>1.38888888888889E-2</v>
      </c>
      <c r="U28" s="16">
        <v>0.30416666666666664</v>
      </c>
      <c r="V28" s="16">
        <f t="shared" si="3"/>
        <v>1.9444444444444431E-2</v>
      </c>
      <c r="W28" s="16">
        <v>3.125E-2</v>
      </c>
      <c r="X28" s="16">
        <v>0.33888888888888885</v>
      </c>
      <c r="Y28" s="16">
        <v>0.3520833333333333</v>
      </c>
      <c r="Z28" s="16">
        <f t="shared" si="4"/>
        <v>1.3194444444444453E-2</v>
      </c>
      <c r="AA28" s="16">
        <v>0</v>
      </c>
      <c r="AB28" s="16">
        <v>0.3527777777777778</v>
      </c>
      <c r="AC28" s="17"/>
      <c r="AD28" s="48"/>
    </row>
    <row r="29" spans="1:30" ht="19.5" thickBot="1" x14ac:dyDescent="0.3">
      <c r="A29" s="14">
        <v>27</v>
      </c>
      <c r="B29" s="15">
        <v>7464</v>
      </c>
      <c r="C29" s="15" t="str">
        <f>VLOOKUP(B29,داتا!$B$3:$D$107,2,FALSE)</f>
        <v>تلتين</v>
      </c>
      <c r="D29" s="34">
        <f>VLOOKUP(B29,داتا!$B$3:$D$107,3,FALSE)</f>
        <v>3.125E-2</v>
      </c>
      <c r="E29" s="15" t="s">
        <v>83</v>
      </c>
      <c r="F29" s="15" t="s">
        <v>47</v>
      </c>
      <c r="G29" s="16">
        <v>0.25</v>
      </c>
      <c r="H29" s="16">
        <v>0.25347222222222221</v>
      </c>
      <c r="I29" s="16">
        <f t="shared" si="6"/>
        <v>3.4722222222222099E-3</v>
      </c>
      <c r="J29" s="16">
        <v>0.25347222222222221</v>
      </c>
      <c r="K29" s="16">
        <v>0.2951388888888889</v>
      </c>
      <c r="L29" s="16" t="s">
        <v>53</v>
      </c>
      <c r="M29" s="16" t="s">
        <v>53</v>
      </c>
      <c r="N29" s="16">
        <f t="shared" si="1"/>
        <v>4.1666666666666685E-2</v>
      </c>
      <c r="O29" s="16">
        <f t="shared" si="7"/>
        <v>1.0416666666666685E-2</v>
      </c>
      <c r="P29" s="16">
        <v>6.9444444444444397E-3</v>
      </c>
      <c r="Q29" s="16">
        <v>0.30208333333333331</v>
      </c>
      <c r="R29" s="16">
        <f t="shared" si="2"/>
        <v>0</v>
      </c>
      <c r="S29" s="16">
        <v>0.30208333333333331</v>
      </c>
      <c r="T29" s="16">
        <f>VLOOKUP(E29,'[2]21-3-2026'!E$3:T$35,16,FALSE)</f>
        <v>1.38888888888889E-2</v>
      </c>
      <c r="U29" s="16">
        <v>0.3125</v>
      </c>
      <c r="V29" s="16">
        <v>0</v>
      </c>
      <c r="W29" s="16">
        <v>3.125E-2</v>
      </c>
      <c r="X29" s="16">
        <v>0.33680555555555558</v>
      </c>
      <c r="Y29" s="16">
        <v>0.37152777777777773</v>
      </c>
      <c r="Z29" s="16">
        <f t="shared" si="4"/>
        <v>3.4722222222222154E-2</v>
      </c>
      <c r="AA29" s="16">
        <f t="shared" si="5"/>
        <v>3.4722222222221544E-3</v>
      </c>
      <c r="AB29" s="16">
        <v>0.375</v>
      </c>
      <c r="AC29" s="18"/>
      <c r="AD29" s="48"/>
    </row>
    <row r="30" spans="1:30" ht="19.5" thickBot="1" x14ac:dyDescent="0.3">
      <c r="A30" s="14">
        <v>28</v>
      </c>
      <c r="B30" s="15">
        <v>7464</v>
      </c>
      <c r="C30" s="15" t="str">
        <f>VLOOKUP(B30,داتا!$B$3:$D$107,2,FALSE)</f>
        <v>تلتين</v>
      </c>
      <c r="D30" s="34">
        <f>VLOOKUP(B30,داتا!$B$3:$D$107,3,FALSE)</f>
        <v>3.125E-2</v>
      </c>
      <c r="E30" s="15" t="s">
        <v>77</v>
      </c>
      <c r="F30" s="15" t="s">
        <v>47</v>
      </c>
      <c r="G30" s="16">
        <v>0.25</v>
      </c>
      <c r="H30" s="16">
        <v>0.25347222222222221</v>
      </c>
      <c r="I30" s="16">
        <f t="shared" si="6"/>
        <v>3.4722222222222099E-3</v>
      </c>
      <c r="J30" s="16">
        <v>0.25347222222222221</v>
      </c>
      <c r="K30" s="16">
        <v>0.2951388888888889</v>
      </c>
      <c r="L30" s="16" t="s">
        <v>53</v>
      </c>
      <c r="M30" s="16" t="s">
        <v>53</v>
      </c>
      <c r="N30" s="16">
        <f t="shared" si="1"/>
        <v>4.1666666666666685E-2</v>
      </c>
      <c r="O30" s="16">
        <f t="shared" si="7"/>
        <v>1.0416666666666685E-2</v>
      </c>
      <c r="P30" s="16">
        <v>6.9444444444444397E-3</v>
      </c>
      <c r="Q30" s="16">
        <v>0.30208333333333331</v>
      </c>
      <c r="R30" s="16">
        <f t="shared" si="2"/>
        <v>0</v>
      </c>
      <c r="S30" s="16">
        <v>0.30208333333333331</v>
      </c>
      <c r="T30" s="16">
        <f>VLOOKUP(E30,'[2]21-3-2026'!E$3:T$35,16,FALSE)</f>
        <v>1.38888888888889E-2</v>
      </c>
      <c r="U30" s="16">
        <v>0.38541666666666669</v>
      </c>
      <c r="V30" s="16">
        <v>0</v>
      </c>
      <c r="W30" s="16">
        <v>4.1666666666666664E-2</v>
      </c>
      <c r="X30" s="16">
        <v>0.3888888888888889</v>
      </c>
      <c r="Y30" s="16">
        <v>0.4201388888888889</v>
      </c>
      <c r="Z30" s="16">
        <f t="shared" si="4"/>
        <v>3.125E-2</v>
      </c>
      <c r="AA30" s="16">
        <v>0</v>
      </c>
      <c r="AB30" s="16">
        <v>0.4236111111111111</v>
      </c>
      <c r="AC30" s="17"/>
      <c r="AD30" s="48"/>
    </row>
    <row r="31" spans="1:30" ht="19.5" thickBot="1" x14ac:dyDescent="0.3">
      <c r="A31" s="14">
        <v>29</v>
      </c>
      <c r="B31" s="15">
        <v>796</v>
      </c>
      <c r="C31" s="15" t="str">
        <f>VLOOKUP(B31,داتا!$B$3:$D$107,2,FALSE)</f>
        <v>دبابة</v>
      </c>
      <c r="D31" s="34">
        <f>VLOOKUP(B31,داتا!$B$3:$D$107,3,FALSE)</f>
        <v>2.0833333333333301E-2</v>
      </c>
      <c r="E31" s="15" t="s">
        <v>86</v>
      </c>
      <c r="F31" s="15" t="s">
        <v>156</v>
      </c>
      <c r="G31" s="16">
        <v>0.29166666666666669</v>
      </c>
      <c r="H31" s="16">
        <v>0.28472222222222221</v>
      </c>
      <c r="I31" s="16">
        <v>0</v>
      </c>
      <c r="J31" s="16">
        <v>0.30555555555555552</v>
      </c>
      <c r="K31" s="16">
        <v>0.3298611111111111</v>
      </c>
      <c r="L31" s="16" t="s">
        <v>53</v>
      </c>
      <c r="M31" s="16" t="s">
        <v>53</v>
      </c>
      <c r="N31" s="16">
        <f t="shared" si="1"/>
        <v>2.430555555555558E-2</v>
      </c>
      <c r="O31" s="16">
        <f t="shared" si="7"/>
        <v>3.4722222222222793E-3</v>
      </c>
      <c r="P31" s="16">
        <v>6.9444444444444397E-3</v>
      </c>
      <c r="Q31" s="16">
        <v>0.33680555555555558</v>
      </c>
      <c r="R31" s="16">
        <f t="shared" si="2"/>
        <v>0</v>
      </c>
      <c r="S31" s="16">
        <v>0.34027777777777773</v>
      </c>
      <c r="T31" s="16">
        <f>VLOOKUP(E31,'[2]21-3-2026'!E$3:T$35,16,FALSE)</f>
        <v>3.4722222222222199E-3</v>
      </c>
      <c r="U31" s="16">
        <v>0.34375</v>
      </c>
      <c r="V31" s="16">
        <f t="shared" si="3"/>
        <v>0</v>
      </c>
      <c r="W31" s="16">
        <v>3.125E-2</v>
      </c>
      <c r="X31" s="16">
        <v>0.34722222222222227</v>
      </c>
      <c r="Y31" s="16">
        <v>0.38541666666666669</v>
      </c>
      <c r="Z31" s="16">
        <f t="shared" si="4"/>
        <v>3.819444444444442E-2</v>
      </c>
      <c r="AA31" s="16">
        <f t="shared" si="5"/>
        <v>6.9444444444444198E-3</v>
      </c>
      <c r="AB31" s="16">
        <v>0.3888888888888889</v>
      </c>
      <c r="AC31" s="17"/>
      <c r="AD31" s="48"/>
    </row>
    <row r="32" spans="1:30" ht="19.5" thickBot="1" x14ac:dyDescent="0.3">
      <c r="A32" s="14">
        <v>30</v>
      </c>
      <c r="B32" s="15">
        <v>2917</v>
      </c>
      <c r="C32" s="15" t="str">
        <f>VLOOKUP(B32,داتا!$B$3:$D$107,2,FALSE)</f>
        <v>تلتين</v>
      </c>
      <c r="D32" s="34">
        <f>VLOOKUP(B32,داتا!$B$3:$D$107,3,FALSE)</f>
        <v>3.125E-2</v>
      </c>
      <c r="E32" s="15" t="s">
        <v>67</v>
      </c>
      <c r="F32" s="15" t="s">
        <v>36</v>
      </c>
      <c r="G32" s="16">
        <v>0.25</v>
      </c>
      <c r="H32" s="16">
        <v>0.24305555555555555</v>
      </c>
      <c r="I32" s="16">
        <v>0</v>
      </c>
      <c r="J32" s="16">
        <v>0.1875</v>
      </c>
      <c r="K32" s="16">
        <v>0.22916666666666666</v>
      </c>
      <c r="L32" s="16" t="s">
        <v>142</v>
      </c>
      <c r="M32" s="16" t="s">
        <v>138</v>
      </c>
      <c r="N32" s="16">
        <f t="shared" si="1"/>
        <v>4.1666666666666657E-2</v>
      </c>
      <c r="O32" s="16">
        <f t="shared" si="7"/>
        <v>1.0416666666666657E-2</v>
      </c>
      <c r="P32" s="16">
        <v>6.9444444444444397E-3</v>
      </c>
      <c r="Q32" s="16">
        <v>0.23958333333333334</v>
      </c>
      <c r="R32" s="16">
        <f t="shared" si="2"/>
        <v>3.4722222222222376E-3</v>
      </c>
      <c r="S32" s="16">
        <v>0.25347222222222221</v>
      </c>
      <c r="T32" s="16">
        <f>VLOOKUP(E32,'[2]21-3-2026'!E$3:T$35,16,FALSE)</f>
        <v>1.7361111111111101E-2</v>
      </c>
      <c r="U32" s="16">
        <v>0.27430555555555552</v>
      </c>
      <c r="V32" s="16">
        <f t="shared" si="3"/>
        <v>3.4722222222222099E-3</v>
      </c>
      <c r="W32" s="16">
        <v>3.125E-2</v>
      </c>
      <c r="X32" s="16">
        <v>0.2951388888888889</v>
      </c>
      <c r="Y32" s="16">
        <v>0.32291666666666669</v>
      </c>
      <c r="Z32" s="16">
        <f t="shared" si="4"/>
        <v>2.777777777777779E-2</v>
      </c>
      <c r="AA32" s="16">
        <v>0</v>
      </c>
      <c r="AB32" s="16">
        <v>0.3263888888888889</v>
      </c>
      <c r="AC32" s="17"/>
      <c r="AD32" s="48"/>
    </row>
    <row r="33" spans="1:30" ht="19.5" thickBot="1" x14ac:dyDescent="0.3">
      <c r="A33" s="14">
        <v>31</v>
      </c>
      <c r="B33" s="15">
        <v>2917</v>
      </c>
      <c r="C33" s="15" t="str">
        <f>VLOOKUP(B33,داتا!$B$3:$D$107,2,FALSE)</f>
        <v>تلتين</v>
      </c>
      <c r="D33" s="34">
        <f>VLOOKUP(B33,داتا!$B$3:$D$107,3,FALSE)</f>
        <v>3.125E-2</v>
      </c>
      <c r="E33" s="15" t="s">
        <v>69</v>
      </c>
      <c r="F33" s="15" t="s">
        <v>36</v>
      </c>
      <c r="G33" s="16">
        <v>0.25</v>
      </c>
      <c r="H33" s="16">
        <v>0.24305555555555555</v>
      </c>
      <c r="I33" s="16">
        <v>0</v>
      </c>
      <c r="J33" s="16">
        <v>0.1875</v>
      </c>
      <c r="K33" s="16">
        <v>0.22916666666666666</v>
      </c>
      <c r="L33" s="16" t="s">
        <v>142</v>
      </c>
      <c r="M33" s="16" t="s">
        <v>138</v>
      </c>
      <c r="N33" s="16">
        <f t="shared" si="1"/>
        <v>4.1666666666666657E-2</v>
      </c>
      <c r="O33" s="16">
        <f t="shared" si="7"/>
        <v>1.0416666666666657E-2</v>
      </c>
      <c r="P33" s="16">
        <v>6.9444444444444397E-3</v>
      </c>
      <c r="Q33" s="16">
        <v>0.23958333333333334</v>
      </c>
      <c r="R33" s="16">
        <f t="shared" si="2"/>
        <v>3.4722222222222376E-3</v>
      </c>
      <c r="S33" s="16">
        <v>0.25347222222222221</v>
      </c>
      <c r="T33" s="16">
        <v>1.0416666666666666E-2</v>
      </c>
      <c r="U33" s="16">
        <v>0.34027777777777773</v>
      </c>
      <c r="V33" s="16">
        <v>3.472222222222222E-3</v>
      </c>
      <c r="W33" s="16">
        <v>4.1666666666666664E-2</v>
      </c>
      <c r="X33" s="16">
        <v>0.34375</v>
      </c>
      <c r="Y33" s="16">
        <v>0.38194444444444442</v>
      </c>
      <c r="Z33" s="16">
        <f t="shared" si="4"/>
        <v>3.819444444444442E-2</v>
      </c>
      <c r="AA33" s="16">
        <v>0</v>
      </c>
      <c r="AB33" s="16">
        <v>0.38541666666666669</v>
      </c>
      <c r="AC33" s="17"/>
      <c r="AD33" s="48"/>
    </row>
    <row r="34" spans="1:30" ht="19.5" thickBot="1" x14ac:dyDescent="0.3">
      <c r="A34" s="14">
        <v>32</v>
      </c>
      <c r="B34" s="15">
        <v>3783</v>
      </c>
      <c r="C34" s="15" t="str">
        <f>VLOOKUP(B34,داتا!$B$3:$D$107,2,FALSE)</f>
        <v>دبابة</v>
      </c>
      <c r="D34" s="34">
        <f>VLOOKUP(B34,داتا!$B$3:$D$107,3,FALSE)</f>
        <v>2.0833333333333301E-2</v>
      </c>
      <c r="E34" s="15" t="s">
        <v>63</v>
      </c>
      <c r="F34" s="15" t="s">
        <v>76</v>
      </c>
      <c r="G34" s="16">
        <v>0.25</v>
      </c>
      <c r="H34" s="16">
        <v>0.25347222222222221</v>
      </c>
      <c r="I34" s="16">
        <f t="shared" si="6"/>
        <v>3.4722222222222099E-3</v>
      </c>
      <c r="J34" s="16">
        <v>0.23958333333333334</v>
      </c>
      <c r="K34" s="16">
        <v>0.26041666666666669</v>
      </c>
      <c r="L34" s="16" t="s">
        <v>142</v>
      </c>
      <c r="M34" s="16" t="s">
        <v>138</v>
      </c>
      <c r="N34" s="16">
        <f t="shared" si="1"/>
        <v>2.0833333333333343E-2</v>
      </c>
      <c r="O34" s="16">
        <f t="shared" si="7"/>
        <v>4.163336342344337E-17</v>
      </c>
      <c r="P34" s="16">
        <v>6.9444444444444397E-3</v>
      </c>
      <c r="Q34" s="16">
        <v>0.27777777777777779</v>
      </c>
      <c r="R34" s="16">
        <f t="shared" si="2"/>
        <v>1.0416666666666685E-2</v>
      </c>
      <c r="S34" s="16">
        <v>0.27430555555555552</v>
      </c>
      <c r="T34" s="16">
        <f>VLOOKUP(E34,'[2]21-3-2026'!E$3:T$35,16,FALSE)</f>
        <v>6.25E-2</v>
      </c>
      <c r="U34" s="16">
        <v>0.3263888888888889</v>
      </c>
      <c r="V34" s="16">
        <v>0</v>
      </c>
      <c r="W34" s="16">
        <v>3.125E-2</v>
      </c>
      <c r="X34" s="16">
        <v>0.33333333333333331</v>
      </c>
      <c r="Y34" s="16">
        <v>0.37291666666666662</v>
      </c>
      <c r="Z34" s="16">
        <f t="shared" si="4"/>
        <v>3.9583333333333304E-2</v>
      </c>
      <c r="AA34" s="16">
        <f t="shared" si="5"/>
        <v>8.3333333333333037E-3</v>
      </c>
      <c r="AB34" s="16">
        <v>0.38125000000000003</v>
      </c>
      <c r="AC34" s="17"/>
      <c r="AD34" s="48"/>
    </row>
    <row r="35" spans="1:30" ht="19.5" thickBot="1" x14ac:dyDescent="0.3">
      <c r="A35" s="20">
        <v>33</v>
      </c>
      <c r="B35" s="21">
        <v>1537</v>
      </c>
      <c r="C35" s="21" t="str">
        <f>VLOOKUP(B35,داتا!$B$3:$D$107,2,FALSE)</f>
        <v>تلتين</v>
      </c>
      <c r="D35" s="35">
        <f>VLOOKUP(B35,داتا!$B$3:$D$107,3,FALSE)</f>
        <v>3.125E-2</v>
      </c>
      <c r="E35" s="21" t="s">
        <v>81</v>
      </c>
      <c r="F35" s="21" t="s">
        <v>154</v>
      </c>
      <c r="G35" s="22">
        <v>0.25</v>
      </c>
      <c r="H35" s="22">
        <v>0.25694444444444448</v>
      </c>
      <c r="I35" s="22">
        <f t="shared" si="6"/>
        <v>6.9444444444444753E-3</v>
      </c>
      <c r="J35" s="22">
        <v>0.27430555555555552</v>
      </c>
      <c r="K35" s="22">
        <v>0.29166666666666669</v>
      </c>
      <c r="L35" s="16" t="s">
        <v>142</v>
      </c>
      <c r="M35" s="16" t="s">
        <v>138</v>
      </c>
      <c r="N35" s="22">
        <f t="shared" si="1"/>
        <v>1.736111111111116E-2</v>
      </c>
      <c r="O35" s="22">
        <v>0</v>
      </c>
      <c r="P35" s="22">
        <v>6.9444444444444397E-3</v>
      </c>
      <c r="Q35" s="22">
        <v>0.30208333333333331</v>
      </c>
      <c r="R35" s="22">
        <f t="shared" si="2"/>
        <v>3.4722222222222099E-3</v>
      </c>
      <c r="S35" s="22">
        <v>0.30555555555555552</v>
      </c>
      <c r="T35" s="22">
        <f>VLOOKUP(E35,'[2]21-3-2026'!E$3:T$35,16,FALSE)</f>
        <v>2.7777777777777801E-2</v>
      </c>
      <c r="U35" s="22">
        <v>0.34166666666666662</v>
      </c>
      <c r="V35" s="22">
        <f t="shared" si="3"/>
        <v>8.3333333333333037E-3</v>
      </c>
      <c r="W35" s="22">
        <v>4.1666666666666664E-2</v>
      </c>
      <c r="X35" s="22">
        <v>0.34375</v>
      </c>
      <c r="Y35" s="22">
        <v>0.37986111111111115</v>
      </c>
      <c r="Z35" s="22">
        <f t="shared" si="4"/>
        <v>3.6111111111111149E-2</v>
      </c>
      <c r="AA35" s="22">
        <v>0</v>
      </c>
      <c r="AB35" s="22">
        <v>0.38541666666666669</v>
      </c>
      <c r="AC35" s="23"/>
      <c r="AD35" s="49"/>
    </row>
    <row r="36" spans="1:30" ht="20.25" customHeight="1" thickTop="1" thickBot="1" x14ac:dyDescent="0.3">
      <c r="A36" s="10">
        <v>1</v>
      </c>
      <c r="B36" s="11">
        <v>1538</v>
      </c>
      <c r="C36" s="11" t="str">
        <f>VLOOKUP(B36,داتا!$B$3:$D$107,2,FALSE)</f>
        <v>تلتين</v>
      </c>
      <c r="D36" s="33">
        <f>VLOOKUP(B36,داتا!$B$3:$D$107,3,FALSE)</f>
        <v>3.125E-2</v>
      </c>
      <c r="E36" s="11" t="s">
        <v>51</v>
      </c>
      <c r="F36" s="11" t="s">
        <v>146</v>
      </c>
      <c r="G36" s="12">
        <v>0.25</v>
      </c>
      <c r="H36" s="12">
        <f>VLOOKUP(F36,$F$3:$H$35,3,FALSE)</f>
        <v>0.23263888888888887</v>
      </c>
      <c r="I36" s="12">
        <v>0</v>
      </c>
      <c r="J36" s="12">
        <v>0.3888888888888889</v>
      </c>
      <c r="K36" s="12">
        <v>0.40625</v>
      </c>
      <c r="L36" s="12" t="s">
        <v>88</v>
      </c>
      <c r="M36" s="12" t="s">
        <v>88</v>
      </c>
      <c r="N36" s="12">
        <f t="shared" si="1"/>
        <v>1.7361111111111105E-2</v>
      </c>
      <c r="O36" s="12">
        <v>0</v>
      </c>
      <c r="P36" s="12">
        <v>6.9444444444444397E-3</v>
      </c>
      <c r="Q36" s="12">
        <v>0.41666666666666669</v>
      </c>
      <c r="R36" s="12">
        <f t="shared" si="2"/>
        <v>3.4722222222222654E-3</v>
      </c>
      <c r="S36" s="12">
        <v>0.41666666666666669</v>
      </c>
      <c r="T36" s="12">
        <f>VLOOKUP(E36,'[2]21-3-2026'!E$3:T$35,16,FALSE)</f>
        <v>2.4305555555555601E-2</v>
      </c>
      <c r="U36" s="12">
        <v>0.47916666666666669</v>
      </c>
      <c r="V36" s="12">
        <f t="shared" si="3"/>
        <v>3.819444444444442E-2</v>
      </c>
      <c r="W36" s="12">
        <v>3.125E-2</v>
      </c>
      <c r="X36" s="12">
        <v>0.4826388888888889</v>
      </c>
      <c r="Y36" s="12">
        <v>0.50694444444444442</v>
      </c>
      <c r="Z36" s="12">
        <f t="shared" si="4"/>
        <v>2.4305555555555525E-2</v>
      </c>
      <c r="AA36" s="12">
        <v>0</v>
      </c>
      <c r="AB36" s="12">
        <v>0.51041666666666663</v>
      </c>
      <c r="AC36" s="29"/>
      <c r="AD36" s="50" t="s">
        <v>104</v>
      </c>
    </row>
    <row r="37" spans="1:30" ht="19.5" thickBot="1" x14ac:dyDescent="0.3">
      <c r="A37" s="14">
        <v>2</v>
      </c>
      <c r="B37" s="15">
        <v>1538</v>
      </c>
      <c r="C37" s="15" t="str">
        <f>VLOOKUP(B37,داتا!$B$3:$D$107,2,FALSE)</f>
        <v>تلتين</v>
      </c>
      <c r="D37" s="34">
        <f>VLOOKUP(B37,داتا!$B$3:$D$107,3,FALSE)</f>
        <v>3.125E-2</v>
      </c>
      <c r="E37" s="15" t="s">
        <v>54</v>
      </c>
      <c r="F37" s="15" t="s">
        <v>146</v>
      </c>
      <c r="G37" s="16">
        <v>0.25</v>
      </c>
      <c r="H37" s="16">
        <f t="shared" ref="H37:H67" si="8">VLOOKUP(F37,$F$3:$H$35,3,FALSE)</f>
        <v>0.23263888888888887</v>
      </c>
      <c r="I37" s="16">
        <v>0</v>
      </c>
      <c r="J37" s="16">
        <v>0.3888888888888889</v>
      </c>
      <c r="K37" s="16">
        <v>0.40625</v>
      </c>
      <c r="L37" s="16" t="s">
        <v>88</v>
      </c>
      <c r="M37" s="16" t="s">
        <v>88</v>
      </c>
      <c r="N37" s="16">
        <f t="shared" si="1"/>
        <v>1.7361111111111105E-2</v>
      </c>
      <c r="O37" s="16">
        <v>0</v>
      </c>
      <c r="P37" s="16">
        <v>6.9444444444444397E-3</v>
      </c>
      <c r="Q37" s="16">
        <v>0.41666666666666669</v>
      </c>
      <c r="R37" s="16">
        <f t="shared" si="2"/>
        <v>3.4722222222222654E-3</v>
      </c>
      <c r="S37" s="16">
        <v>0.41666666666666669</v>
      </c>
      <c r="T37" s="16">
        <f>VLOOKUP(E37,'[2]21-3-2026'!E$3:T$35,16,FALSE)</f>
        <v>1.0416666666666701E-2</v>
      </c>
      <c r="U37" s="16">
        <v>0.52777777777777779</v>
      </c>
      <c r="V37" s="16">
        <v>6.9444444444444441E-3</v>
      </c>
      <c r="W37" s="16">
        <v>4.1666666666666664E-2</v>
      </c>
      <c r="X37" s="16">
        <v>0.53125</v>
      </c>
      <c r="Y37" s="16">
        <v>0.55208333333333337</v>
      </c>
      <c r="Z37" s="16">
        <f t="shared" si="4"/>
        <v>2.083333333333337E-2</v>
      </c>
      <c r="AA37" s="16">
        <v>0</v>
      </c>
      <c r="AB37" s="16">
        <v>0.55555555555555558</v>
      </c>
      <c r="AC37" s="19"/>
      <c r="AD37" s="51"/>
    </row>
    <row r="38" spans="1:30" ht="19.5" thickBot="1" x14ac:dyDescent="0.3">
      <c r="A38" s="14">
        <v>3</v>
      </c>
      <c r="B38" s="15">
        <v>675</v>
      </c>
      <c r="C38" s="15" t="str">
        <f>VLOOKUP(B38,داتا!$B$3:$D$107,2,FALSE)</f>
        <v>جامبو</v>
      </c>
      <c r="D38" s="34">
        <f>VLOOKUP(B38,داتا!$B$3:$D$107,3,FALSE)</f>
        <v>4.1666666666666699E-2</v>
      </c>
      <c r="E38" s="15" t="s">
        <v>83</v>
      </c>
      <c r="F38" s="15" t="s">
        <v>144</v>
      </c>
      <c r="G38" s="16">
        <v>0.25</v>
      </c>
      <c r="H38" s="16">
        <f t="shared" si="8"/>
        <v>0.25694444444444448</v>
      </c>
      <c r="I38" s="16">
        <f t="shared" si="6"/>
        <v>6.9444444444444753E-3</v>
      </c>
      <c r="J38" s="16">
        <v>0.43055555555555558</v>
      </c>
      <c r="K38" s="16">
        <v>0.46180555555555558</v>
      </c>
      <c r="L38" s="16" t="s">
        <v>88</v>
      </c>
      <c r="M38" s="16" t="s">
        <v>88</v>
      </c>
      <c r="N38" s="16">
        <f t="shared" si="1"/>
        <v>3.125E-2</v>
      </c>
      <c r="O38" s="16">
        <v>0</v>
      </c>
      <c r="P38" s="16">
        <v>6.9444444444444397E-3</v>
      </c>
      <c r="Q38" s="16">
        <v>0.46875</v>
      </c>
      <c r="R38" s="16">
        <f t="shared" si="2"/>
        <v>0</v>
      </c>
      <c r="S38" s="16">
        <v>0.46875</v>
      </c>
      <c r="T38" s="16">
        <f>VLOOKUP(E38,'[2]21-3-2026'!E$3:T$35,16,FALSE)</f>
        <v>1.38888888888889E-2</v>
      </c>
      <c r="U38" s="16">
        <v>0.47569444444444442</v>
      </c>
      <c r="V38" s="16">
        <v>0</v>
      </c>
      <c r="W38" s="16">
        <v>4.1666666666666664E-2</v>
      </c>
      <c r="X38" s="16">
        <v>0.47916666666666669</v>
      </c>
      <c r="Y38" s="16">
        <v>0.51250000000000007</v>
      </c>
      <c r="Z38" s="16">
        <f t="shared" si="4"/>
        <v>3.3333333333333381E-2</v>
      </c>
      <c r="AA38" s="16">
        <v>0</v>
      </c>
      <c r="AB38" s="16">
        <v>0.52013888888888882</v>
      </c>
      <c r="AC38" s="19"/>
      <c r="AD38" s="51"/>
    </row>
    <row r="39" spans="1:30" ht="19.5" thickBot="1" x14ac:dyDescent="0.3">
      <c r="A39" s="14">
        <v>4</v>
      </c>
      <c r="B39" s="15">
        <v>675</v>
      </c>
      <c r="C39" s="15" t="str">
        <f>VLOOKUP(B39,داتا!$B$3:$D$107,2,FALSE)</f>
        <v>جامبو</v>
      </c>
      <c r="D39" s="34">
        <f>VLOOKUP(B39,داتا!$B$3:$D$107,3,FALSE)</f>
        <v>4.1666666666666699E-2</v>
      </c>
      <c r="E39" s="15" t="s">
        <v>77</v>
      </c>
      <c r="F39" s="15" t="s">
        <v>144</v>
      </c>
      <c r="G39" s="16">
        <v>0.25</v>
      </c>
      <c r="H39" s="16">
        <f t="shared" si="8"/>
        <v>0.25694444444444448</v>
      </c>
      <c r="I39" s="16">
        <f t="shared" ref="I39" si="9">H39-G39</f>
        <v>6.9444444444444753E-3</v>
      </c>
      <c r="J39" s="16">
        <v>0.43055555555555558</v>
      </c>
      <c r="K39" s="16">
        <v>0.46180555555555558</v>
      </c>
      <c r="L39" s="16" t="s">
        <v>88</v>
      </c>
      <c r="M39" s="16" t="s">
        <v>88</v>
      </c>
      <c r="N39" s="16">
        <f t="shared" ref="N39" si="10">K39-J39</f>
        <v>3.125E-2</v>
      </c>
      <c r="O39" s="16">
        <v>0</v>
      </c>
      <c r="P39" s="16">
        <v>6.9444444444444397E-3</v>
      </c>
      <c r="Q39" s="16">
        <v>0.46875</v>
      </c>
      <c r="R39" s="16">
        <f t="shared" si="2"/>
        <v>0</v>
      </c>
      <c r="S39" s="16">
        <v>0.46875</v>
      </c>
      <c r="T39" s="16">
        <f>VLOOKUP(E39,'[2]21-3-2026'!E$3:T$35,16,FALSE)</f>
        <v>1.38888888888889E-2</v>
      </c>
      <c r="U39" s="16">
        <v>0.52777777777777779</v>
      </c>
      <c r="V39" s="16">
        <v>0</v>
      </c>
      <c r="W39" s="16">
        <v>6.25E-2</v>
      </c>
      <c r="X39" s="16">
        <v>0.53125</v>
      </c>
      <c r="Y39" s="16">
        <v>0.54861111111111105</v>
      </c>
      <c r="Z39" s="16">
        <f t="shared" si="4"/>
        <v>1.7361111111111049E-2</v>
      </c>
      <c r="AA39" s="16">
        <v>0</v>
      </c>
      <c r="AB39" s="16">
        <v>0.55208333333333337</v>
      </c>
      <c r="AC39" s="17"/>
      <c r="AD39" s="51"/>
    </row>
    <row r="40" spans="1:30" ht="19.5" thickBot="1" x14ac:dyDescent="0.3">
      <c r="A40" s="14">
        <v>5</v>
      </c>
      <c r="B40" s="15">
        <v>3783</v>
      </c>
      <c r="C40" s="15" t="str">
        <f>VLOOKUP(B40,داتا!$B$3:$D$107,2,FALSE)</f>
        <v>دبابة</v>
      </c>
      <c r="D40" s="34">
        <f>VLOOKUP(B40,داتا!$B$3:$D$107,3,FALSE)</f>
        <v>2.0833333333333301E-2</v>
      </c>
      <c r="E40" s="15" t="s">
        <v>72</v>
      </c>
      <c r="F40" s="15" t="s">
        <v>76</v>
      </c>
      <c r="G40" s="16">
        <v>0.25</v>
      </c>
      <c r="H40" s="16">
        <f t="shared" si="8"/>
        <v>0.25347222222222221</v>
      </c>
      <c r="I40" s="16">
        <f t="shared" si="6"/>
        <v>3.4722222222222099E-3</v>
      </c>
      <c r="J40" s="16">
        <v>0.4826388888888889</v>
      </c>
      <c r="K40" s="16">
        <v>0.49652777777777773</v>
      </c>
      <c r="L40" s="16" t="s">
        <v>88</v>
      </c>
      <c r="M40" s="16" t="s">
        <v>88</v>
      </c>
      <c r="N40" s="16">
        <f t="shared" si="1"/>
        <v>1.388888888888884E-2</v>
      </c>
      <c r="O40" s="16">
        <v>0</v>
      </c>
      <c r="P40" s="16">
        <v>6.9444444444444397E-3</v>
      </c>
      <c r="Q40" s="16">
        <v>0.49652777777777773</v>
      </c>
      <c r="R40" s="16">
        <v>0</v>
      </c>
      <c r="S40" s="16">
        <v>0.49652777777777773</v>
      </c>
      <c r="T40" s="16">
        <f>VLOOKUP(E40,'[2]21-3-2026'!E$3:T$35,16,FALSE)</f>
        <v>1.0416666666666701E-2</v>
      </c>
      <c r="U40" s="16">
        <v>0.51041666666666663</v>
      </c>
      <c r="V40" s="16">
        <f t="shared" si="3"/>
        <v>3.4722222222222099E-3</v>
      </c>
      <c r="W40" s="16">
        <v>2.0833333333333332E-2</v>
      </c>
      <c r="X40" s="16">
        <v>0.51388888888888895</v>
      </c>
      <c r="Y40" s="16">
        <v>0.5229166666666667</v>
      </c>
      <c r="Z40" s="16">
        <f t="shared" si="4"/>
        <v>9.0277777777777457E-3</v>
      </c>
      <c r="AA40" s="16">
        <v>0</v>
      </c>
      <c r="AB40" s="16">
        <v>0.52430555555555558</v>
      </c>
      <c r="AC40" s="17"/>
      <c r="AD40" s="51"/>
    </row>
    <row r="41" spans="1:30" ht="19.5" thickBot="1" x14ac:dyDescent="0.3">
      <c r="A41" s="14">
        <v>6</v>
      </c>
      <c r="B41" s="15">
        <v>3783</v>
      </c>
      <c r="C41" s="15" t="str">
        <f>VLOOKUP(B41,داتا!$B$3:$D$107,2,FALSE)</f>
        <v>دبابة</v>
      </c>
      <c r="D41" s="34">
        <f>VLOOKUP(B41,داتا!$B$3:$D$107,3,FALSE)</f>
        <v>2.0833333333333301E-2</v>
      </c>
      <c r="E41" s="15" t="s">
        <v>92</v>
      </c>
      <c r="F41" s="15" t="s">
        <v>76</v>
      </c>
      <c r="G41" s="16">
        <v>0.25</v>
      </c>
      <c r="H41" s="16">
        <f t="shared" si="8"/>
        <v>0.25347222222222221</v>
      </c>
      <c r="I41" s="16">
        <f t="shared" si="6"/>
        <v>3.4722222222222099E-3</v>
      </c>
      <c r="J41" s="16">
        <v>0.4826388888888889</v>
      </c>
      <c r="K41" s="16">
        <v>0.49652777777777773</v>
      </c>
      <c r="L41" s="16" t="s">
        <v>88</v>
      </c>
      <c r="M41" s="16" t="s">
        <v>88</v>
      </c>
      <c r="N41" s="16">
        <f t="shared" si="1"/>
        <v>1.388888888888884E-2</v>
      </c>
      <c r="O41" s="16">
        <v>0</v>
      </c>
      <c r="P41" s="16">
        <v>6.9444444444444397E-3</v>
      </c>
      <c r="Q41" s="16">
        <v>0.49652777777777773</v>
      </c>
      <c r="R41" s="16">
        <v>0</v>
      </c>
      <c r="S41" s="16">
        <v>0.49652777777777773</v>
      </c>
      <c r="T41" s="16">
        <f>VLOOKUP(E41,'[2]21-3-2026'!E$3:T$35,16,FALSE)</f>
        <v>1.38888888888889E-2</v>
      </c>
      <c r="U41" s="16">
        <v>0.53819444444444442</v>
      </c>
      <c r="V41" s="16">
        <v>3.472222222222222E-3</v>
      </c>
      <c r="W41" s="16">
        <v>3.125E-2</v>
      </c>
      <c r="X41" s="16">
        <v>0.54027777777777775</v>
      </c>
      <c r="Y41" s="16">
        <v>0.55208333333333337</v>
      </c>
      <c r="Z41" s="16">
        <f t="shared" si="4"/>
        <v>1.1805555555555625E-2</v>
      </c>
      <c r="AA41" s="16">
        <v>0</v>
      </c>
      <c r="AB41" s="16">
        <v>0.55555555555555558</v>
      </c>
      <c r="AC41" s="17"/>
      <c r="AD41" s="51"/>
    </row>
    <row r="42" spans="1:30" ht="19.5" thickBot="1" x14ac:dyDescent="0.3">
      <c r="A42" s="14">
        <v>7</v>
      </c>
      <c r="B42" s="15">
        <v>5898</v>
      </c>
      <c r="C42" s="15" t="str">
        <f>VLOOKUP(B42,داتا!$B$3:$D$107,2,FALSE)</f>
        <v>تلتين</v>
      </c>
      <c r="D42" s="34">
        <f>VLOOKUP(B42,داتا!$B$3:$D$107,3,FALSE)</f>
        <v>3.125E-2</v>
      </c>
      <c r="E42" s="15" t="s">
        <v>46</v>
      </c>
      <c r="F42" s="15" t="s">
        <v>66</v>
      </c>
      <c r="G42" s="16">
        <v>0.25</v>
      </c>
      <c r="H42" s="16">
        <f t="shared" si="8"/>
        <v>0.23958333333333334</v>
      </c>
      <c r="I42" s="16">
        <v>0</v>
      </c>
      <c r="J42" s="16">
        <v>0.39930555555555558</v>
      </c>
      <c r="K42" s="16">
        <v>0.43055555555555558</v>
      </c>
      <c r="L42" s="16" t="s">
        <v>85</v>
      </c>
      <c r="M42" s="16" t="s">
        <v>85</v>
      </c>
      <c r="N42" s="16">
        <f t="shared" si="1"/>
        <v>3.125E-2</v>
      </c>
      <c r="O42" s="16">
        <f t="shared" si="7"/>
        <v>0</v>
      </c>
      <c r="P42" s="16">
        <v>6.9444444444444397E-3</v>
      </c>
      <c r="Q42" s="16">
        <v>0.4375</v>
      </c>
      <c r="R42" s="16">
        <f t="shared" si="2"/>
        <v>0</v>
      </c>
      <c r="S42" s="16">
        <v>0.4375</v>
      </c>
      <c r="T42" s="16">
        <f>VLOOKUP(E42,'[2]21-3-2026'!E$3:T$35,16,FALSE)</f>
        <v>3.4722222222222203E-2</v>
      </c>
      <c r="U42" s="16">
        <v>0.46527777777777773</v>
      </c>
      <c r="V42" s="16">
        <v>0</v>
      </c>
      <c r="W42" s="16">
        <v>3.125E-2</v>
      </c>
      <c r="X42" s="16">
        <v>0.46875</v>
      </c>
      <c r="Y42" s="16">
        <v>0.4993055555555555</v>
      </c>
      <c r="Z42" s="16">
        <f t="shared" si="4"/>
        <v>3.0555555555555503E-2</v>
      </c>
      <c r="AA42" s="16">
        <v>0</v>
      </c>
      <c r="AB42" s="16">
        <v>0.50624999999999998</v>
      </c>
      <c r="AC42" s="17"/>
      <c r="AD42" s="51"/>
    </row>
    <row r="43" spans="1:30" ht="19.5" thickBot="1" x14ac:dyDescent="0.3">
      <c r="A43" s="14">
        <v>8</v>
      </c>
      <c r="B43" s="15">
        <v>5898</v>
      </c>
      <c r="C43" s="15" t="str">
        <f>VLOOKUP(B43,داتا!$B$3:$D$107,2,FALSE)</f>
        <v>تلتين</v>
      </c>
      <c r="D43" s="34">
        <f>VLOOKUP(B43,داتا!$B$3:$D$107,3,FALSE)</f>
        <v>3.125E-2</v>
      </c>
      <c r="E43" s="15" t="s">
        <v>49</v>
      </c>
      <c r="F43" s="15" t="s">
        <v>66</v>
      </c>
      <c r="G43" s="16">
        <v>0.25</v>
      </c>
      <c r="H43" s="16">
        <f t="shared" si="8"/>
        <v>0.23958333333333334</v>
      </c>
      <c r="I43" s="16">
        <v>0</v>
      </c>
      <c r="J43" s="16">
        <v>0.39930555555555558</v>
      </c>
      <c r="K43" s="16">
        <v>0.43055555555555558</v>
      </c>
      <c r="L43" s="16" t="s">
        <v>85</v>
      </c>
      <c r="M43" s="16" t="s">
        <v>85</v>
      </c>
      <c r="N43" s="16">
        <f t="shared" si="1"/>
        <v>3.125E-2</v>
      </c>
      <c r="O43" s="16">
        <f t="shared" si="7"/>
        <v>0</v>
      </c>
      <c r="P43" s="16">
        <v>6.9444444444444397E-3</v>
      </c>
      <c r="Q43" s="16">
        <v>0.4375</v>
      </c>
      <c r="R43" s="16">
        <f t="shared" si="2"/>
        <v>0</v>
      </c>
      <c r="S43" s="16">
        <v>0.4375</v>
      </c>
      <c r="T43" s="16">
        <f>VLOOKUP(E43,'[2]21-3-2026'!E$3:T$35,16,FALSE)</f>
        <v>3.4722222222222203E-2</v>
      </c>
      <c r="U43" s="16">
        <v>0.52430555555555558</v>
      </c>
      <c r="V43" s="16">
        <v>7.6388888888888886E-3</v>
      </c>
      <c r="W43" s="16">
        <v>4.1666666666666664E-2</v>
      </c>
      <c r="X43" s="16">
        <v>0.52986111111111112</v>
      </c>
      <c r="Y43" s="16">
        <v>0.5625</v>
      </c>
      <c r="Z43" s="16">
        <f t="shared" si="4"/>
        <v>3.2638888888888884E-2</v>
      </c>
      <c r="AA43" s="16">
        <v>0</v>
      </c>
      <c r="AB43" s="16">
        <v>0.56597222222222221</v>
      </c>
      <c r="AC43" s="17"/>
      <c r="AD43" s="51"/>
    </row>
    <row r="44" spans="1:30" ht="19.5" thickBot="1" x14ac:dyDescent="0.3">
      <c r="A44" s="14">
        <v>9</v>
      </c>
      <c r="B44" s="15">
        <v>1537</v>
      </c>
      <c r="C44" s="15" t="str">
        <f>VLOOKUP(B44,داتا!$B$3:$D$107,2,FALSE)</f>
        <v>تلتين</v>
      </c>
      <c r="D44" s="34">
        <f>VLOOKUP(B44,داتا!$B$3:$D$107,3,FALSE)</f>
        <v>3.125E-2</v>
      </c>
      <c r="E44" s="15" t="s">
        <v>69</v>
      </c>
      <c r="F44" s="15" t="s">
        <v>154</v>
      </c>
      <c r="G44" s="16">
        <v>0.25</v>
      </c>
      <c r="H44" s="16">
        <f t="shared" si="8"/>
        <v>0.25694444444444448</v>
      </c>
      <c r="I44" s="16">
        <f t="shared" si="6"/>
        <v>6.9444444444444753E-3</v>
      </c>
      <c r="J44" s="16">
        <v>0.4513888888888889</v>
      </c>
      <c r="K44" s="16">
        <v>0.46875</v>
      </c>
      <c r="L44" s="16" t="s">
        <v>85</v>
      </c>
      <c r="M44" s="16" t="s">
        <v>85</v>
      </c>
      <c r="N44" s="16">
        <f t="shared" si="1"/>
        <v>1.7361111111111105E-2</v>
      </c>
      <c r="O44" s="16">
        <v>0</v>
      </c>
      <c r="P44" s="16">
        <v>6.9444444444444397E-3</v>
      </c>
      <c r="Q44" s="16">
        <v>0.47222222222222227</v>
      </c>
      <c r="R44" s="16">
        <v>0</v>
      </c>
      <c r="S44" s="16">
        <v>0.47222222222222227</v>
      </c>
      <c r="T44" s="16">
        <f>VLOOKUP(E44,'[2]21-3-2026'!E$3:T$35,16,FALSE)</f>
        <v>1.38888888888889E-2</v>
      </c>
      <c r="U44" s="16">
        <v>0.50347222222222221</v>
      </c>
      <c r="V44" s="16">
        <f t="shared" si="3"/>
        <v>1.7361111111111049E-2</v>
      </c>
      <c r="W44" s="16">
        <v>3.125E-2</v>
      </c>
      <c r="X44" s="16">
        <v>0.50694444444444442</v>
      </c>
      <c r="Y44" s="16">
        <v>0.52083333333333337</v>
      </c>
      <c r="Z44" s="16">
        <f t="shared" si="4"/>
        <v>1.3888888888888951E-2</v>
      </c>
      <c r="AA44" s="16">
        <v>0</v>
      </c>
      <c r="AB44" s="16">
        <v>0.52430555555555558</v>
      </c>
      <c r="AC44" s="17"/>
      <c r="AD44" s="51"/>
    </row>
    <row r="45" spans="1:30" ht="19.5" thickBot="1" x14ac:dyDescent="0.3">
      <c r="A45" s="14">
        <v>10</v>
      </c>
      <c r="B45" s="15">
        <v>1537</v>
      </c>
      <c r="C45" s="15" t="str">
        <f>VLOOKUP(B45,داتا!$B$3:$D$107,2,FALSE)</f>
        <v>تلتين</v>
      </c>
      <c r="D45" s="34">
        <f>VLOOKUP(B45,داتا!$B$3:$D$107,3,FALSE)</f>
        <v>3.125E-2</v>
      </c>
      <c r="E45" s="15" t="s">
        <v>67</v>
      </c>
      <c r="F45" s="15" t="s">
        <v>154</v>
      </c>
      <c r="G45" s="16">
        <v>0.25</v>
      </c>
      <c r="H45" s="16">
        <f t="shared" si="8"/>
        <v>0.25694444444444448</v>
      </c>
      <c r="I45" s="16">
        <f t="shared" si="6"/>
        <v>6.9444444444444753E-3</v>
      </c>
      <c r="J45" s="16">
        <v>0.4513888888888889</v>
      </c>
      <c r="K45" s="16">
        <v>0.46875</v>
      </c>
      <c r="L45" s="16" t="s">
        <v>85</v>
      </c>
      <c r="M45" s="16" t="s">
        <v>85</v>
      </c>
      <c r="N45" s="16">
        <f t="shared" si="1"/>
        <v>1.7361111111111105E-2</v>
      </c>
      <c r="O45" s="16">
        <v>0</v>
      </c>
      <c r="P45" s="16">
        <v>6.9444444444444397E-3</v>
      </c>
      <c r="Q45" s="16">
        <v>0.47222222222222227</v>
      </c>
      <c r="R45" s="16">
        <v>0</v>
      </c>
      <c r="S45" s="16">
        <v>0.47222222222222227</v>
      </c>
      <c r="T45" s="16">
        <f>VLOOKUP(E45,'[2]21-3-2026'!E$3:T$35,16,FALSE)</f>
        <v>1.7361111111111101E-2</v>
      </c>
      <c r="U45" s="16">
        <v>0.52777777777777779</v>
      </c>
      <c r="V45" s="16">
        <v>0</v>
      </c>
      <c r="W45" s="16">
        <v>4.1666666666666664E-2</v>
      </c>
      <c r="X45" s="16">
        <v>0.53125</v>
      </c>
      <c r="Y45" s="16">
        <v>0.55555555555555558</v>
      </c>
      <c r="Z45" s="16">
        <f t="shared" si="4"/>
        <v>2.430555555555558E-2</v>
      </c>
      <c r="AA45" s="16">
        <v>0</v>
      </c>
      <c r="AB45" s="16">
        <v>0.55902777777777779</v>
      </c>
      <c r="AC45" s="17"/>
      <c r="AD45" s="51"/>
    </row>
    <row r="46" spans="1:30" ht="19.5" thickBot="1" x14ac:dyDescent="0.3">
      <c r="A46" s="14">
        <v>11</v>
      </c>
      <c r="B46" s="15">
        <v>7464</v>
      </c>
      <c r="C46" s="15" t="str">
        <f>VLOOKUP(B46,داتا!$B$3:$D$107,2,FALSE)</f>
        <v>تلتين</v>
      </c>
      <c r="D46" s="34">
        <f>VLOOKUP(B46,داتا!$B$3:$D$107,3,FALSE)</f>
        <v>3.125E-2</v>
      </c>
      <c r="E46" s="15" t="s">
        <v>86</v>
      </c>
      <c r="F46" s="15" t="s">
        <v>47</v>
      </c>
      <c r="G46" s="16">
        <v>0.25</v>
      </c>
      <c r="H46" s="16">
        <f t="shared" si="8"/>
        <v>0.25347222222222221</v>
      </c>
      <c r="I46" s="16">
        <f t="shared" si="6"/>
        <v>3.4722222222222099E-3</v>
      </c>
      <c r="J46" s="16">
        <v>0.51388888888888884</v>
      </c>
      <c r="K46" s="16">
        <v>0.52430555555555558</v>
      </c>
      <c r="L46" s="16" t="s">
        <v>85</v>
      </c>
      <c r="M46" s="16" t="s">
        <v>85</v>
      </c>
      <c r="N46" s="16">
        <f t="shared" si="1"/>
        <v>1.0416666666666741E-2</v>
      </c>
      <c r="O46" s="16">
        <v>0</v>
      </c>
      <c r="P46" s="16">
        <v>6.9444444444444397E-3</v>
      </c>
      <c r="Q46" s="16">
        <v>0.52430555555555558</v>
      </c>
      <c r="R46" s="16">
        <v>0</v>
      </c>
      <c r="S46" s="16">
        <v>0.52430555555555558</v>
      </c>
      <c r="T46" s="16">
        <f>VLOOKUP(E46,'[2]21-3-2026'!E$3:T$35,16,FALSE)</f>
        <v>3.4722222222222199E-3</v>
      </c>
      <c r="U46" s="16">
        <v>0.53819444444444442</v>
      </c>
      <c r="V46" s="16">
        <f t="shared" si="3"/>
        <v>1.041666666666663E-2</v>
      </c>
      <c r="W46" s="16">
        <v>4.1666666666666664E-2</v>
      </c>
      <c r="X46" s="16">
        <v>0.54166666666666663</v>
      </c>
      <c r="Y46" s="16">
        <v>0.57986111111111105</v>
      </c>
      <c r="Z46" s="16">
        <f t="shared" si="4"/>
        <v>3.819444444444442E-2</v>
      </c>
      <c r="AA46" s="16">
        <v>0</v>
      </c>
      <c r="AB46" s="16">
        <v>0.58333333333333337</v>
      </c>
      <c r="AC46" s="17"/>
      <c r="AD46" s="51"/>
    </row>
    <row r="47" spans="1:30" ht="19.5" thickBot="1" x14ac:dyDescent="0.3">
      <c r="A47" s="14">
        <v>12</v>
      </c>
      <c r="B47" s="15">
        <v>2714</v>
      </c>
      <c r="C47" s="15" t="str">
        <f>VLOOKUP(B47,داتا!$B$3:$D$107,2,FALSE)</f>
        <v>تلتين</v>
      </c>
      <c r="D47" s="34">
        <f>VLOOKUP(B47,داتا!$B$3:$D$107,3,FALSE)</f>
        <v>3.125E-2</v>
      </c>
      <c r="E47" s="15" t="s">
        <v>42</v>
      </c>
      <c r="F47" s="15" t="s">
        <v>114</v>
      </c>
      <c r="G47" s="16">
        <v>0.25</v>
      </c>
      <c r="H47" s="16">
        <f t="shared" si="8"/>
        <v>0.2638888888888889</v>
      </c>
      <c r="I47" s="16">
        <f t="shared" si="6"/>
        <v>1.3888888888888895E-2</v>
      </c>
      <c r="J47" s="16">
        <v>0.37847222222222227</v>
      </c>
      <c r="K47" s="16">
        <v>0.41666666666666669</v>
      </c>
      <c r="L47" s="16" t="s">
        <v>108</v>
      </c>
      <c r="M47" s="16" t="s">
        <v>108</v>
      </c>
      <c r="N47" s="16">
        <f t="shared" si="1"/>
        <v>3.819444444444442E-2</v>
      </c>
      <c r="O47" s="16">
        <f t="shared" si="7"/>
        <v>6.9444444444444198E-3</v>
      </c>
      <c r="P47" s="16">
        <v>6.9444444444444397E-3</v>
      </c>
      <c r="Q47" s="16">
        <v>0.42708333333333331</v>
      </c>
      <c r="R47" s="16">
        <f t="shared" si="2"/>
        <v>3.4722222222222099E-3</v>
      </c>
      <c r="S47" s="16">
        <v>0.42708333333333331</v>
      </c>
      <c r="T47" s="16">
        <f>VLOOKUP(E47,'[2]21-3-2026'!E$3:T$35,16,FALSE)</f>
        <v>1.7361111111111101E-2</v>
      </c>
      <c r="U47" s="16">
        <v>0.44791666666666669</v>
      </c>
      <c r="V47" s="16">
        <f t="shared" si="3"/>
        <v>3.4722222222222654E-3</v>
      </c>
      <c r="W47" s="16">
        <v>3.125E-2</v>
      </c>
      <c r="X47" s="16">
        <v>0.4513888888888889</v>
      </c>
      <c r="Y47" s="16">
        <v>0.47916666666666669</v>
      </c>
      <c r="Z47" s="16">
        <f t="shared" si="4"/>
        <v>2.777777777777779E-2</v>
      </c>
      <c r="AA47" s="16">
        <v>0</v>
      </c>
      <c r="AB47" s="16">
        <v>0.4861111111111111</v>
      </c>
      <c r="AC47" s="17"/>
      <c r="AD47" s="51"/>
    </row>
    <row r="48" spans="1:30" ht="19.5" thickBot="1" x14ac:dyDescent="0.3">
      <c r="A48" s="14">
        <v>13</v>
      </c>
      <c r="B48" s="15">
        <v>2714</v>
      </c>
      <c r="C48" s="15" t="str">
        <f>VLOOKUP(B48,داتا!$B$3:$D$107,2,FALSE)</f>
        <v>تلتين</v>
      </c>
      <c r="D48" s="34">
        <f>VLOOKUP(B48,داتا!$B$3:$D$107,3,FALSE)</f>
        <v>3.125E-2</v>
      </c>
      <c r="E48" s="15" t="s">
        <v>45</v>
      </c>
      <c r="F48" s="15" t="s">
        <v>114</v>
      </c>
      <c r="G48" s="16">
        <v>0.25</v>
      </c>
      <c r="H48" s="16">
        <f t="shared" si="8"/>
        <v>0.2638888888888889</v>
      </c>
      <c r="I48" s="16">
        <f t="shared" ref="I48" si="11">H48-G48</f>
        <v>1.3888888888888895E-2</v>
      </c>
      <c r="J48" s="16">
        <v>0.37847222222222227</v>
      </c>
      <c r="K48" s="16">
        <v>0.41666666666666669</v>
      </c>
      <c r="L48" s="16" t="s">
        <v>108</v>
      </c>
      <c r="M48" s="16" t="s">
        <v>108</v>
      </c>
      <c r="N48" s="16">
        <f t="shared" ref="N48" si="12">K48-J48</f>
        <v>3.819444444444442E-2</v>
      </c>
      <c r="O48" s="16">
        <f t="shared" ref="O48" si="13">N48-D48</f>
        <v>6.9444444444444198E-3</v>
      </c>
      <c r="P48" s="16">
        <v>6.9444444444444397E-3</v>
      </c>
      <c r="Q48" s="16">
        <v>0.42708333333333331</v>
      </c>
      <c r="R48" s="16">
        <f t="shared" si="2"/>
        <v>3.4722222222222099E-3</v>
      </c>
      <c r="S48" s="16">
        <v>0.42708333333333331</v>
      </c>
      <c r="T48" s="16">
        <f>VLOOKUP(E48,'[2]21-3-2026'!E$3:T$35,16,FALSE)</f>
        <v>1.38888888888889E-2</v>
      </c>
      <c r="U48" s="16">
        <v>0.49861111111111112</v>
      </c>
      <c r="V48" s="16">
        <v>0</v>
      </c>
      <c r="W48" s="16">
        <v>4.1666666666666664E-2</v>
      </c>
      <c r="X48" s="16">
        <v>0.50138888888888888</v>
      </c>
      <c r="Y48" s="16">
        <v>0.53333333333333333</v>
      </c>
      <c r="Z48" s="16">
        <f t="shared" si="4"/>
        <v>3.1944444444444442E-2</v>
      </c>
      <c r="AA48" s="16">
        <v>0</v>
      </c>
      <c r="AB48" s="16">
        <v>0.53819444444444442</v>
      </c>
      <c r="AC48" s="17"/>
      <c r="AD48" s="51"/>
    </row>
    <row r="49" spans="1:30" ht="19.5" thickBot="1" x14ac:dyDescent="0.3">
      <c r="A49" s="14">
        <v>14</v>
      </c>
      <c r="B49" s="15">
        <v>3495</v>
      </c>
      <c r="C49" s="15" t="str">
        <f>VLOOKUP(B49,داتا!$B$3:$D$107,2,FALSE)</f>
        <v>تلتين</v>
      </c>
      <c r="D49" s="34">
        <f>VLOOKUP(B49,داتا!$B$3:$D$107,3,FALSE)</f>
        <v>3.125E-2</v>
      </c>
      <c r="E49" s="15" t="s">
        <v>81</v>
      </c>
      <c r="F49" s="15" t="s">
        <v>147</v>
      </c>
      <c r="G49" s="16">
        <v>0.25</v>
      </c>
      <c r="H49" s="16">
        <f t="shared" si="8"/>
        <v>0.25</v>
      </c>
      <c r="I49" s="16">
        <f t="shared" si="6"/>
        <v>0</v>
      </c>
      <c r="J49" s="16">
        <v>0.44444444444444442</v>
      </c>
      <c r="K49" s="16">
        <v>0.4513888888888889</v>
      </c>
      <c r="L49" s="16" t="s">
        <v>110</v>
      </c>
      <c r="M49" s="16" t="s">
        <v>110</v>
      </c>
      <c r="N49" s="16">
        <f t="shared" si="1"/>
        <v>6.9444444444444753E-3</v>
      </c>
      <c r="O49" s="16">
        <v>0</v>
      </c>
      <c r="P49" s="16">
        <v>6.9444444444444397E-3</v>
      </c>
      <c r="Q49" s="16">
        <v>0.46180555555555558</v>
      </c>
      <c r="R49" s="16">
        <f t="shared" si="2"/>
        <v>3.4722222222222654E-3</v>
      </c>
      <c r="S49" s="16">
        <v>0.46180555555555558</v>
      </c>
      <c r="T49" s="16">
        <f>VLOOKUP(E49,'[2]21-3-2026'!E$3:T$35,16,FALSE)</f>
        <v>2.7777777777777801E-2</v>
      </c>
      <c r="U49" s="16">
        <v>0.49652777777777773</v>
      </c>
      <c r="V49" s="16">
        <f t="shared" si="3"/>
        <v>6.9444444444443643E-3</v>
      </c>
      <c r="W49" s="16">
        <v>4.1666666666666664E-2</v>
      </c>
      <c r="X49" s="16">
        <v>0.5</v>
      </c>
      <c r="Y49" s="16">
        <v>0.53541666666666665</v>
      </c>
      <c r="Z49" s="16">
        <f t="shared" si="4"/>
        <v>3.5416666666666652E-2</v>
      </c>
      <c r="AA49" s="16">
        <v>0</v>
      </c>
      <c r="AB49" s="16">
        <v>0.54166666666666663</v>
      </c>
      <c r="AC49" s="17"/>
      <c r="AD49" s="51"/>
    </row>
    <row r="50" spans="1:30" ht="19.5" thickBot="1" x14ac:dyDescent="0.3">
      <c r="A50" s="14">
        <v>15</v>
      </c>
      <c r="B50" s="15">
        <v>6143</v>
      </c>
      <c r="C50" s="15" t="str">
        <f>VLOOKUP(B50,داتا!$B$3:$D$107,2,FALSE)</f>
        <v>تلتين</v>
      </c>
      <c r="D50" s="34">
        <f>VLOOKUP(B50,داتا!$B$3:$D$107,3,FALSE)</f>
        <v>3.125E-2</v>
      </c>
      <c r="E50" s="15" t="s">
        <v>95</v>
      </c>
      <c r="F50" s="15" t="s">
        <v>117</v>
      </c>
      <c r="G50" s="16">
        <v>0.25</v>
      </c>
      <c r="H50" s="16">
        <f t="shared" si="8"/>
        <v>0.25</v>
      </c>
      <c r="I50" s="16">
        <f t="shared" si="6"/>
        <v>0</v>
      </c>
      <c r="J50" s="16">
        <v>0.46527777777777773</v>
      </c>
      <c r="K50" s="16">
        <v>0.48958333333333331</v>
      </c>
      <c r="L50" s="16" t="s">
        <v>108</v>
      </c>
      <c r="M50" s="16" t="s">
        <v>108</v>
      </c>
      <c r="N50" s="16">
        <f t="shared" si="1"/>
        <v>2.430555555555558E-2</v>
      </c>
      <c r="O50" s="16">
        <v>0</v>
      </c>
      <c r="P50" s="16">
        <v>6.9444444444444397E-3</v>
      </c>
      <c r="Q50" s="16">
        <v>0.50347222222222221</v>
      </c>
      <c r="R50" s="16">
        <f t="shared" si="2"/>
        <v>6.9444444444444753E-3</v>
      </c>
      <c r="S50" s="16">
        <v>0.50347222222222221</v>
      </c>
      <c r="T50" s="16">
        <f>VLOOKUP(E50,'[2]21-3-2026'!E$3:T$35,16,FALSE)</f>
        <v>1.0416666666666701E-2</v>
      </c>
      <c r="U50" s="16">
        <v>0.51736111111111105</v>
      </c>
      <c r="V50" s="16">
        <f t="shared" si="3"/>
        <v>3.4722222222220989E-3</v>
      </c>
      <c r="W50" s="16">
        <v>4.1666666666666664E-2</v>
      </c>
      <c r="X50" s="16">
        <v>0.52083333333333337</v>
      </c>
      <c r="Y50" s="16">
        <v>0.55555555555555558</v>
      </c>
      <c r="Z50" s="16">
        <f t="shared" si="4"/>
        <v>3.472222222222221E-2</v>
      </c>
      <c r="AA50" s="16">
        <v>0</v>
      </c>
      <c r="AB50" s="16">
        <v>0.55902777777777779</v>
      </c>
      <c r="AC50" s="17"/>
      <c r="AD50" s="51"/>
    </row>
    <row r="51" spans="1:30" ht="19.5" thickBot="1" x14ac:dyDescent="0.3">
      <c r="A51" s="14">
        <v>16</v>
      </c>
      <c r="B51" s="15">
        <v>3891</v>
      </c>
      <c r="C51" s="15" t="str">
        <f>VLOOKUP(B51,داتا!$B$3:$D$107,2,FALSE)</f>
        <v>تلتين</v>
      </c>
      <c r="D51" s="34">
        <f>VLOOKUP(B51,داتا!$B$3:$D$107,3,FALSE)</f>
        <v>3.125E-2</v>
      </c>
      <c r="E51" s="15" t="s">
        <v>73</v>
      </c>
      <c r="F51" s="15" t="s">
        <v>48</v>
      </c>
      <c r="G51" s="16">
        <v>0.25</v>
      </c>
      <c r="H51" s="16">
        <f t="shared" si="8"/>
        <v>0.25</v>
      </c>
      <c r="I51" s="16">
        <f t="shared" si="6"/>
        <v>0</v>
      </c>
      <c r="J51" s="16">
        <v>0.36458333333333331</v>
      </c>
      <c r="K51" s="16">
        <v>0.40277777777777773</v>
      </c>
      <c r="L51" s="16" t="s">
        <v>97</v>
      </c>
      <c r="M51" s="16" t="s">
        <v>97</v>
      </c>
      <c r="N51" s="16">
        <f t="shared" si="1"/>
        <v>3.819444444444442E-2</v>
      </c>
      <c r="O51" s="16">
        <f t="shared" si="7"/>
        <v>6.9444444444444198E-3</v>
      </c>
      <c r="P51" s="16">
        <v>6.9444444444444397E-3</v>
      </c>
      <c r="Q51" s="16">
        <v>0.41666666666666669</v>
      </c>
      <c r="R51" s="16">
        <f t="shared" si="2"/>
        <v>6.9444444444445308E-3</v>
      </c>
      <c r="S51" s="16">
        <v>0.41666666666666669</v>
      </c>
      <c r="T51" s="16">
        <f>VLOOKUP(E51,'[2]21-3-2026'!E$3:T$35,16,FALSE)</f>
        <v>3.4722222222222203E-2</v>
      </c>
      <c r="U51" s="16">
        <v>0.4548611111111111</v>
      </c>
      <c r="V51" s="16">
        <f t="shared" si="3"/>
        <v>3.4722222222222099E-3</v>
      </c>
      <c r="W51" s="16">
        <v>3.125E-2</v>
      </c>
      <c r="X51" s="16">
        <v>0.46180555555555558</v>
      </c>
      <c r="Y51" s="16">
        <v>0.4826388888888889</v>
      </c>
      <c r="Z51" s="16">
        <f t="shared" si="4"/>
        <v>2.0833333333333315E-2</v>
      </c>
      <c r="AA51" s="16">
        <v>0</v>
      </c>
      <c r="AB51" s="16">
        <v>0.48958333333333331</v>
      </c>
      <c r="AC51" s="17"/>
      <c r="AD51" s="51"/>
    </row>
    <row r="52" spans="1:30" ht="19.5" thickBot="1" x14ac:dyDescent="0.3">
      <c r="A52" s="14">
        <v>17</v>
      </c>
      <c r="B52" s="15">
        <v>3891</v>
      </c>
      <c r="C52" s="15" t="str">
        <f>VLOOKUP(B52,داتا!$B$3:$D$107,2,FALSE)</f>
        <v>تلتين</v>
      </c>
      <c r="D52" s="34">
        <f>VLOOKUP(B52,داتا!$B$3:$D$107,3,FALSE)</f>
        <v>3.125E-2</v>
      </c>
      <c r="E52" s="15" t="s">
        <v>35</v>
      </c>
      <c r="F52" s="15" t="s">
        <v>48</v>
      </c>
      <c r="G52" s="16">
        <v>0.25</v>
      </c>
      <c r="H52" s="16">
        <f t="shared" si="8"/>
        <v>0.25</v>
      </c>
      <c r="I52" s="16">
        <f t="shared" si="6"/>
        <v>0</v>
      </c>
      <c r="J52" s="16">
        <v>0.36458333333333331</v>
      </c>
      <c r="K52" s="16">
        <v>0.40277777777777773</v>
      </c>
      <c r="L52" s="16" t="s">
        <v>97</v>
      </c>
      <c r="M52" s="16" t="s">
        <v>97</v>
      </c>
      <c r="N52" s="16">
        <f t="shared" si="1"/>
        <v>3.819444444444442E-2</v>
      </c>
      <c r="O52" s="16">
        <f t="shared" si="7"/>
        <v>6.9444444444444198E-3</v>
      </c>
      <c r="P52" s="16">
        <v>6.9444444444444397E-3</v>
      </c>
      <c r="Q52" s="16">
        <v>0.41666666666666669</v>
      </c>
      <c r="R52" s="16">
        <f t="shared" si="2"/>
        <v>6.9444444444445308E-3</v>
      </c>
      <c r="S52" s="16">
        <v>0.41666666666666669</v>
      </c>
      <c r="T52" s="16">
        <f>VLOOKUP(E52,'[2]21-3-2026'!E$3:T$35,16,FALSE)</f>
        <v>3.4722222222222203E-2</v>
      </c>
      <c r="U52" s="16">
        <v>0.49652777777777773</v>
      </c>
      <c r="V52" s="16">
        <v>0</v>
      </c>
      <c r="W52" s="16">
        <v>4.1666666666666664E-2</v>
      </c>
      <c r="X52" s="16">
        <v>0.5</v>
      </c>
      <c r="Y52" s="16">
        <v>0.51388888888888895</v>
      </c>
      <c r="Z52" s="16">
        <f t="shared" si="4"/>
        <v>1.3888888888888951E-2</v>
      </c>
      <c r="AA52" s="16">
        <v>0</v>
      </c>
      <c r="AB52" s="16">
        <v>0.51736111111111105</v>
      </c>
      <c r="AC52" s="17"/>
      <c r="AD52" s="51"/>
    </row>
    <row r="53" spans="1:30" ht="19.5" thickBot="1" x14ac:dyDescent="0.3">
      <c r="A53" s="14">
        <v>18</v>
      </c>
      <c r="B53" s="15">
        <v>2694</v>
      </c>
      <c r="C53" s="15" t="str">
        <f>VLOOKUP(B53,داتا!$B$3:$D$107,2,FALSE)</f>
        <v>تلتين</v>
      </c>
      <c r="D53" s="34">
        <f>VLOOKUP(B53,داتا!$B$3:$D$107,3,FALSE)</f>
        <v>3.125E-2</v>
      </c>
      <c r="E53" s="15" t="s">
        <v>38</v>
      </c>
      <c r="F53" s="15" t="s">
        <v>171</v>
      </c>
      <c r="G53" s="16">
        <v>0.25</v>
      </c>
      <c r="H53" s="16">
        <v>0.25</v>
      </c>
      <c r="I53" s="16">
        <f t="shared" si="6"/>
        <v>0</v>
      </c>
      <c r="J53" s="16">
        <v>0.4236111111111111</v>
      </c>
      <c r="K53" s="16">
        <v>0.44791666666666669</v>
      </c>
      <c r="L53" s="16" t="s">
        <v>97</v>
      </c>
      <c r="M53" s="16" t="s">
        <v>97</v>
      </c>
      <c r="N53" s="16">
        <f t="shared" si="1"/>
        <v>2.430555555555558E-2</v>
      </c>
      <c r="O53" s="16">
        <v>0</v>
      </c>
      <c r="P53" s="16">
        <v>6.9444444444444397E-3</v>
      </c>
      <c r="Q53" s="16">
        <v>0.45833333333333331</v>
      </c>
      <c r="R53" s="16">
        <f t="shared" si="2"/>
        <v>3.4722222222222099E-3</v>
      </c>
      <c r="S53" s="16">
        <v>0.45833333333333331</v>
      </c>
      <c r="T53" s="16">
        <f>VLOOKUP(E53,'[2]21-3-2026'!E$3:T$35,16,FALSE)</f>
        <v>1.0416666666666666E-2</v>
      </c>
      <c r="U53" s="16">
        <v>0.4861111111111111</v>
      </c>
      <c r="V53" s="16">
        <f t="shared" si="3"/>
        <v>1.7361111111111105E-2</v>
      </c>
      <c r="W53" s="16">
        <v>4.1666666666666664E-2</v>
      </c>
      <c r="X53" s="16">
        <v>0.48958333333333331</v>
      </c>
      <c r="Y53" s="16">
        <v>0.53472222222222221</v>
      </c>
      <c r="Z53" s="16">
        <f t="shared" si="4"/>
        <v>4.5138888888888895E-2</v>
      </c>
      <c r="AA53" s="16">
        <f t="shared" si="5"/>
        <v>3.4722222222222307E-3</v>
      </c>
      <c r="AB53" s="16">
        <v>0.53819444444444442</v>
      </c>
      <c r="AC53" s="17"/>
      <c r="AD53" s="51"/>
    </row>
    <row r="54" spans="1:30" ht="19.5" thickBot="1" x14ac:dyDescent="0.3">
      <c r="A54" s="14">
        <v>19</v>
      </c>
      <c r="B54" s="15">
        <v>4987</v>
      </c>
      <c r="C54" s="15" t="str">
        <f>VLOOKUP(B54,داتا!$B$3:$D$107,2,FALSE)</f>
        <v>تلتين</v>
      </c>
      <c r="D54" s="34">
        <f>VLOOKUP(B54,داتا!$B$3:$D$107,3,FALSE)</f>
        <v>3.125E-2</v>
      </c>
      <c r="E54" s="15" t="s">
        <v>98</v>
      </c>
      <c r="F54" s="15" t="s">
        <v>169</v>
      </c>
      <c r="G54" s="16">
        <v>0.25</v>
      </c>
      <c r="H54" s="16">
        <f t="shared" si="8"/>
        <v>0.25</v>
      </c>
      <c r="I54" s="16">
        <f t="shared" si="6"/>
        <v>0</v>
      </c>
      <c r="J54" s="16">
        <v>0.46180555555555558</v>
      </c>
      <c r="K54" s="16">
        <v>0.4861111111111111</v>
      </c>
      <c r="L54" s="16" t="s">
        <v>97</v>
      </c>
      <c r="M54" s="16" t="s">
        <v>97</v>
      </c>
      <c r="N54" s="16">
        <f t="shared" si="1"/>
        <v>2.4305555555555525E-2</v>
      </c>
      <c r="O54" s="16">
        <v>0</v>
      </c>
      <c r="P54" s="16">
        <v>6.9444444444444397E-3</v>
      </c>
      <c r="Q54" s="16">
        <v>0.49305555555555558</v>
      </c>
      <c r="R54" s="16">
        <f t="shared" si="2"/>
        <v>0</v>
      </c>
      <c r="S54" s="16">
        <v>0.49305555555555558</v>
      </c>
      <c r="T54" s="16">
        <f>VLOOKUP(E54,'[2]21-3-2026'!E$3:T$35,16,FALSE)</f>
        <v>4.8611111111111103E-3</v>
      </c>
      <c r="U54" s="16">
        <v>0.51527777777777783</v>
      </c>
      <c r="V54" s="16">
        <f t="shared" si="3"/>
        <v>1.736111111111116E-2</v>
      </c>
      <c r="W54" s="16">
        <v>4.1666666666666664E-2</v>
      </c>
      <c r="X54" s="16">
        <v>0.51597222222222217</v>
      </c>
      <c r="Y54" s="16">
        <v>0.53541666666666665</v>
      </c>
      <c r="Z54" s="16">
        <f t="shared" si="4"/>
        <v>1.9444444444444486E-2</v>
      </c>
      <c r="AA54" s="16">
        <v>0</v>
      </c>
      <c r="AB54" s="16">
        <v>0.53611111111111109</v>
      </c>
      <c r="AC54" s="17"/>
      <c r="AD54" s="51"/>
    </row>
    <row r="55" spans="1:30" ht="19.5" thickBot="1" x14ac:dyDescent="0.3">
      <c r="A55" s="14">
        <v>20</v>
      </c>
      <c r="B55" s="15">
        <v>634</v>
      </c>
      <c r="C55" s="15" t="str">
        <f>VLOOKUP(B55,داتا!$B$3:$D$107,2,FALSE)</f>
        <v>دبابة</v>
      </c>
      <c r="D55" s="34">
        <f>VLOOKUP(B55,داتا!$B$3:$D$107,3,FALSE)</f>
        <v>2.0833333333333301E-2</v>
      </c>
      <c r="E55" s="15" t="s">
        <v>89</v>
      </c>
      <c r="F55" s="15" t="s">
        <v>90</v>
      </c>
      <c r="G55" s="16">
        <v>0.25</v>
      </c>
      <c r="H55" s="16">
        <f t="shared" si="8"/>
        <v>0.22222222222222221</v>
      </c>
      <c r="I55" s="16">
        <v>0</v>
      </c>
      <c r="J55" s="16">
        <v>0.3888888888888889</v>
      </c>
      <c r="K55" s="16">
        <v>0.40972222222222227</v>
      </c>
      <c r="L55" s="16" t="s">
        <v>105</v>
      </c>
      <c r="M55" s="16" t="s">
        <v>105</v>
      </c>
      <c r="N55" s="16">
        <f t="shared" si="1"/>
        <v>2.083333333333337E-2</v>
      </c>
      <c r="O55" s="16">
        <f t="shared" si="7"/>
        <v>6.9388939039072284E-17</v>
      </c>
      <c r="P55" s="16">
        <v>6.9444444444444397E-3</v>
      </c>
      <c r="Q55" s="16">
        <v>0.41666666666666669</v>
      </c>
      <c r="R55" s="16">
        <f t="shared" si="2"/>
        <v>0</v>
      </c>
      <c r="S55" s="16">
        <v>0.41666666666666669</v>
      </c>
      <c r="T55" s="16">
        <f>VLOOKUP(E55,'[2]21-3-2026'!E$3:T$35,16,FALSE)</f>
        <v>1.7361111111111101E-2</v>
      </c>
      <c r="U55" s="16">
        <v>0.44791666666666669</v>
      </c>
      <c r="V55" s="16">
        <f t="shared" si="3"/>
        <v>1.3888888888888895E-2</v>
      </c>
      <c r="W55" s="16">
        <v>2.0833333333333332E-2</v>
      </c>
      <c r="X55" s="16">
        <v>0.44930555555555557</v>
      </c>
      <c r="Y55" s="16">
        <v>0.46527777777777773</v>
      </c>
      <c r="Z55" s="16">
        <f t="shared" si="4"/>
        <v>1.5972222222222165E-2</v>
      </c>
      <c r="AA55" s="16">
        <v>0</v>
      </c>
      <c r="AB55" s="16">
        <v>0.46736111111111112</v>
      </c>
      <c r="AC55" s="17"/>
      <c r="AD55" s="51"/>
    </row>
    <row r="56" spans="1:30" ht="19.5" thickBot="1" x14ac:dyDescent="0.3">
      <c r="A56" s="14">
        <v>21</v>
      </c>
      <c r="B56" s="15">
        <v>634</v>
      </c>
      <c r="C56" s="15" t="str">
        <f>VLOOKUP(B56,داتا!$B$3:$D$107,2,FALSE)</f>
        <v>دبابة</v>
      </c>
      <c r="D56" s="34">
        <f>VLOOKUP(B56,داتا!$B$3:$D$107,3,FALSE)</f>
        <v>2.0833333333333301E-2</v>
      </c>
      <c r="E56" s="15" t="s">
        <v>39</v>
      </c>
      <c r="F56" s="15" t="s">
        <v>90</v>
      </c>
      <c r="G56" s="16">
        <v>0.25</v>
      </c>
      <c r="H56" s="16">
        <f t="shared" si="8"/>
        <v>0.22222222222222221</v>
      </c>
      <c r="I56" s="16">
        <v>0</v>
      </c>
      <c r="J56" s="16">
        <v>0.3888888888888889</v>
      </c>
      <c r="K56" s="16">
        <v>0.40972222222222227</v>
      </c>
      <c r="L56" s="16" t="s">
        <v>105</v>
      </c>
      <c r="M56" s="16" t="s">
        <v>105</v>
      </c>
      <c r="N56" s="16">
        <f t="shared" si="1"/>
        <v>2.083333333333337E-2</v>
      </c>
      <c r="O56" s="16">
        <f t="shared" si="7"/>
        <v>6.9388939039072284E-17</v>
      </c>
      <c r="P56" s="16">
        <v>6.9444444444444397E-3</v>
      </c>
      <c r="Q56" s="16">
        <v>0.41666666666666669</v>
      </c>
      <c r="R56" s="16">
        <f t="shared" si="2"/>
        <v>0</v>
      </c>
      <c r="S56" s="16">
        <v>0.41666666666666669</v>
      </c>
      <c r="T56" s="16">
        <f>VLOOKUP(E56,'[2]21-3-2026'!E$3:T$35,16,FALSE)</f>
        <v>1.7361111111111101E-2</v>
      </c>
      <c r="U56" s="16">
        <v>0.47569444444444442</v>
      </c>
      <c r="V56" s="16">
        <v>0</v>
      </c>
      <c r="W56" s="16">
        <v>3.125E-2</v>
      </c>
      <c r="X56" s="16">
        <v>0.4777777777777778</v>
      </c>
      <c r="Y56" s="16">
        <v>0.4861111111111111</v>
      </c>
      <c r="Z56" s="16">
        <f t="shared" si="4"/>
        <v>8.3333333333333037E-3</v>
      </c>
      <c r="AA56" s="16">
        <v>0</v>
      </c>
      <c r="AB56" s="16">
        <v>0.48958333333333331</v>
      </c>
      <c r="AC56" s="17"/>
      <c r="AD56" s="51"/>
    </row>
    <row r="57" spans="1:30" ht="19.5" thickBot="1" x14ac:dyDescent="0.3">
      <c r="A57" s="14">
        <v>22</v>
      </c>
      <c r="B57" s="15">
        <v>2917</v>
      </c>
      <c r="C57" s="15" t="str">
        <f>VLOOKUP(B57,داتا!$B$3:$D$107,2,FALSE)</f>
        <v>تلتين</v>
      </c>
      <c r="D57" s="34">
        <f>VLOOKUP(B57,داتا!$B$3:$D$107,3,FALSE)</f>
        <v>3.125E-2</v>
      </c>
      <c r="E57" s="15" t="s">
        <v>34</v>
      </c>
      <c r="F57" s="15" t="s">
        <v>36</v>
      </c>
      <c r="G57" s="16">
        <v>0.25</v>
      </c>
      <c r="H57" s="16">
        <f t="shared" si="8"/>
        <v>0.24305555555555555</v>
      </c>
      <c r="I57" s="16">
        <v>0</v>
      </c>
      <c r="J57" s="16">
        <v>0.4236111111111111</v>
      </c>
      <c r="K57" s="16">
        <v>0.44791666666666669</v>
      </c>
      <c r="L57" s="15" t="s">
        <v>94</v>
      </c>
      <c r="M57" s="15" t="s">
        <v>94</v>
      </c>
      <c r="N57" s="16">
        <f t="shared" si="1"/>
        <v>2.430555555555558E-2</v>
      </c>
      <c r="O57" s="16">
        <v>0</v>
      </c>
      <c r="P57" s="16">
        <v>6.9444444444444397E-3</v>
      </c>
      <c r="Q57" s="16">
        <v>0.4548611111111111</v>
      </c>
      <c r="R57" s="16">
        <f t="shared" si="2"/>
        <v>0</v>
      </c>
      <c r="S57" s="16">
        <v>0.4548611111111111</v>
      </c>
      <c r="T57" s="16">
        <f>VLOOKUP(E57,'[2]21-3-2026'!E$3:T$35,16,FALSE)</f>
        <v>1.0416666666666701E-2</v>
      </c>
      <c r="U57" s="16">
        <v>0.47916666666666669</v>
      </c>
      <c r="V57" s="16">
        <f t="shared" si="3"/>
        <v>1.3888888888888895E-2</v>
      </c>
      <c r="W57" s="16">
        <v>4.1666666666666664E-2</v>
      </c>
      <c r="X57" s="16">
        <v>0.4826388888888889</v>
      </c>
      <c r="Y57" s="16">
        <v>0.52430555555555558</v>
      </c>
      <c r="Z57" s="16">
        <f t="shared" si="4"/>
        <v>4.1666666666666685E-2</v>
      </c>
      <c r="AA57" s="16">
        <f t="shared" si="5"/>
        <v>0</v>
      </c>
      <c r="AB57" s="16">
        <v>0.52777777777777779</v>
      </c>
      <c r="AC57" s="17"/>
      <c r="AD57" s="51"/>
    </row>
    <row r="58" spans="1:30" ht="19.5" thickBot="1" x14ac:dyDescent="0.3">
      <c r="A58" s="14">
        <v>23</v>
      </c>
      <c r="B58" s="15">
        <v>2695</v>
      </c>
      <c r="C58" s="15" t="str">
        <f>VLOOKUP(B58,داتا!$B$3:$D$107,2,FALSE)</f>
        <v>تلتين</v>
      </c>
      <c r="D58" s="34">
        <f>VLOOKUP(B58,داتا!$B$3:$D$107,3,FALSE)</f>
        <v>3.125E-2</v>
      </c>
      <c r="E58" s="15" t="s">
        <v>30</v>
      </c>
      <c r="F58" s="15" t="s">
        <v>31</v>
      </c>
      <c r="G58" s="16">
        <v>0.25</v>
      </c>
      <c r="H58" s="16">
        <f t="shared" si="8"/>
        <v>0.25</v>
      </c>
      <c r="I58" s="16">
        <f t="shared" si="6"/>
        <v>0</v>
      </c>
      <c r="J58" s="16">
        <v>0.46180555555555558</v>
      </c>
      <c r="K58" s="16">
        <v>0.47916666666666669</v>
      </c>
      <c r="L58" s="16" t="s">
        <v>105</v>
      </c>
      <c r="M58" s="16" t="s">
        <v>105</v>
      </c>
      <c r="N58" s="16">
        <f t="shared" si="1"/>
        <v>1.7361111111111105E-2</v>
      </c>
      <c r="O58" s="16">
        <v>0</v>
      </c>
      <c r="P58" s="16">
        <v>6.9444444444444397E-3</v>
      </c>
      <c r="Q58" s="16">
        <v>0.4826388888888889</v>
      </c>
      <c r="R58" s="16">
        <v>0</v>
      </c>
      <c r="S58" s="16">
        <v>0.4826388888888889</v>
      </c>
      <c r="T58" s="16">
        <f>VLOOKUP(E58,'[2]21-3-2026'!E$3:T$35,16,FALSE)</f>
        <v>1.38888888888889E-2</v>
      </c>
      <c r="U58" s="16">
        <v>0.50347222222222221</v>
      </c>
      <c r="V58" s="16">
        <f t="shared" si="3"/>
        <v>6.9444444444444198E-3</v>
      </c>
      <c r="W58" s="16">
        <v>4.1666666666666664E-2</v>
      </c>
      <c r="X58" s="16">
        <v>0.50694444444444442</v>
      </c>
      <c r="Y58" s="16">
        <v>0.53472222222222221</v>
      </c>
      <c r="Z58" s="16">
        <f t="shared" si="4"/>
        <v>2.777777777777779E-2</v>
      </c>
      <c r="AA58" s="16">
        <v>0</v>
      </c>
      <c r="AB58" s="16">
        <v>0.53819444444444442</v>
      </c>
      <c r="AC58" s="17"/>
      <c r="AD58" s="51"/>
    </row>
    <row r="59" spans="1:30" ht="19.5" thickBot="1" x14ac:dyDescent="0.3">
      <c r="A59" s="14">
        <v>24</v>
      </c>
      <c r="B59" s="15">
        <v>3787</v>
      </c>
      <c r="C59" s="15" t="str">
        <f>VLOOKUP(B59,داتا!$B$3:$D$107,2,FALSE)</f>
        <v>دبابة</v>
      </c>
      <c r="D59" s="34">
        <f>VLOOKUP(B59,داتا!$B$3:$D$107,3,FALSE)</f>
        <v>2.0833333333333301E-2</v>
      </c>
      <c r="E59" s="16" t="s">
        <v>61</v>
      </c>
      <c r="F59" s="15" t="s">
        <v>168</v>
      </c>
      <c r="G59" s="16">
        <v>0.25</v>
      </c>
      <c r="H59" s="16">
        <f t="shared" si="8"/>
        <v>0.2638888888888889</v>
      </c>
      <c r="I59" s="16">
        <f t="shared" si="6"/>
        <v>1.3888888888888895E-2</v>
      </c>
      <c r="J59" s="16">
        <v>0.35416666666666669</v>
      </c>
      <c r="K59" s="16">
        <v>0.36805555555555558</v>
      </c>
      <c r="L59" s="15" t="s">
        <v>107</v>
      </c>
      <c r="M59" s="15" t="s">
        <v>107</v>
      </c>
      <c r="N59" s="16">
        <f t="shared" si="1"/>
        <v>1.3888888888888895E-2</v>
      </c>
      <c r="O59" s="16">
        <v>0</v>
      </c>
      <c r="P59" s="16">
        <v>6.9444444444444397E-3</v>
      </c>
      <c r="Q59" s="16">
        <v>0.3888888888888889</v>
      </c>
      <c r="R59" s="16">
        <f t="shared" si="2"/>
        <v>1.3888888888888895E-2</v>
      </c>
      <c r="S59" s="16">
        <v>0.3888888888888889</v>
      </c>
      <c r="T59" s="16">
        <f>VLOOKUP(E59,'[2]21-3-2026'!E$3:T$35,16,FALSE)</f>
        <v>3.4722222222222203E-2</v>
      </c>
      <c r="U59" s="16">
        <v>0.43055555555555558</v>
      </c>
      <c r="V59" s="16">
        <f t="shared" si="3"/>
        <v>6.9444444444444753E-3</v>
      </c>
      <c r="W59" s="16">
        <v>2.0833333333333332E-2</v>
      </c>
      <c r="X59" s="16">
        <v>0.43263888888888885</v>
      </c>
      <c r="Y59" s="16">
        <v>0.44444444444444442</v>
      </c>
      <c r="Z59" s="16">
        <f t="shared" si="4"/>
        <v>1.1805555555555569E-2</v>
      </c>
      <c r="AA59" s="16">
        <v>0</v>
      </c>
      <c r="AB59" s="16">
        <v>0.4465277777777778</v>
      </c>
      <c r="AC59" s="17"/>
      <c r="AD59" s="51"/>
    </row>
    <row r="60" spans="1:30" ht="19.5" thickBot="1" x14ac:dyDescent="0.3">
      <c r="A60" s="14">
        <v>25</v>
      </c>
      <c r="B60" s="15">
        <v>3787</v>
      </c>
      <c r="C60" s="15" t="str">
        <f>VLOOKUP(B60,داتا!$B$3:$D$107,2,FALSE)</f>
        <v>دبابة</v>
      </c>
      <c r="D60" s="34">
        <f>VLOOKUP(B60,داتا!$B$3:$D$107,3,FALSE)</f>
        <v>2.0833333333333301E-2</v>
      </c>
      <c r="E60" s="15" t="s">
        <v>55</v>
      </c>
      <c r="F60" s="15" t="s">
        <v>168</v>
      </c>
      <c r="G60" s="16">
        <v>0.25</v>
      </c>
      <c r="H60" s="16">
        <f t="shared" si="8"/>
        <v>0.2638888888888889</v>
      </c>
      <c r="I60" s="16">
        <f t="shared" si="6"/>
        <v>1.3888888888888895E-2</v>
      </c>
      <c r="J60" s="16">
        <v>0.35416666666666669</v>
      </c>
      <c r="K60" s="16">
        <v>0.36805555555555558</v>
      </c>
      <c r="L60" s="15" t="s">
        <v>107</v>
      </c>
      <c r="M60" s="15" t="s">
        <v>107</v>
      </c>
      <c r="N60" s="16">
        <f t="shared" si="1"/>
        <v>1.3888888888888895E-2</v>
      </c>
      <c r="O60" s="16">
        <v>0</v>
      </c>
      <c r="P60" s="16">
        <v>6.9444444444444397E-3</v>
      </c>
      <c r="Q60" s="16">
        <v>0.3888888888888889</v>
      </c>
      <c r="R60" s="16">
        <f t="shared" si="2"/>
        <v>1.3888888888888895E-2</v>
      </c>
      <c r="S60" s="16">
        <v>0.3888888888888889</v>
      </c>
      <c r="T60" s="16">
        <f>VLOOKUP(E60,'[2]21-3-2026'!E$3:T$35,16,FALSE)</f>
        <v>3.8194444444444399E-2</v>
      </c>
      <c r="U60" s="16">
        <v>0.45833333333333331</v>
      </c>
      <c r="V60" s="16">
        <v>0</v>
      </c>
      <c r="W60" s="16">
        <v>3.125E-2</v>
      </c>
      <c r="X60" s="16">
        <v>0.46180555555555558</v>
      </c>
      <c r="Y60" s="16">
        <v>0.47916666666666669</v>
      </c>
      <c r="Z60" s="16">
        <f t="shared" si="4"/>
        <v>1.7361111111111105E-2</v>
      </c>
      <c r="AA60" s="16">
        <v>0</v>
      </c>
      <c r="AB60" s="16">
        <v>0.4826388888888889</v>
      </c>
      <c r="AC60" s="17"/>
      <c r="AD60" s="51"/>
    </row>
    <row r="61" spans="1:30" ht="19.5" thickBot="1" x14ac:dyDescent="0.3">
      <c r="A61" s="14">
        <v>26</v>
      </c>
      <c r="B61" s="15">
        <v>1454</v>
      </c>
      <c r="C61" s="15" t="str">
        <f>VLOOKUP(B61,داتا!$B$3:$D$107,2,FALSE)</f>
        <v>تلتين</v>
      </c>
      <c r="D61" s="34">
        <f>VLOOKUP(B61,داتا!$B$3:$D$107,3,FALSE)</f>
        <v>3.125E-2</v>
      </c>
      <c r="E61" s="15" t="s">
        <v>63</v>
      </c>
      <c r="F61" s="15" t="s">
        <v>99</v>
      </c>
      <c r="G61" s="16">
        <v>0.25</v>
      </c>
      <c r="H61" s="16">
        <f t="shared" si="8"/>
        <v>0.24305555555555555</v>
      </c>
      <c r="I61" s="16">
        <v>0</v>
      </c>
      <c r="J61" s="16">
        <v>0.40277777777777773</v>
      </c>
      <c r="K61" s="16">
        <v>0.40972222222222227</v>
      </c>
      <c r="L61" s="15" t="s">
        <v>107</v>
      </c>
      <c r="M61" s="15" t="s">
        <v>107</v>
      </c>
      <c r="N61" s="16">
        <f t="shared" si="1"/>
        <v>6.9444444444445308E-3</v>
      </c>
      <c r="O61" s="16">
        <v>0</v>
      </c>
      <c r="P61" s="16">
        <v>6.9444444444444397E-3</v>
      </c>
      <c r="Q61" s="16">
        <v>0.41666666666666669</v>
      </c>
      <c r="R61" s="16">
        <f t="shared" si="2"/>
        <v>0</v>
      </c>
      <c r="S61" s="16">
        <v>0.41666666666666669</v>
      </c>
      <c r="T61" s="16">
        <f>VLOOKUP(E61,'[2]21-3-2026'!E$3:T$35,16,FALSE)</f>
        <v>6.25E-2</v>
      </c>
      <c r="U61" s="16">
        <v>0.48958333333333331</v>
      </c>
      <c r="V61" s="16">
        <f t="shared" si="3"/>
        <v>1.041666666666663E-2</v>
      </c>
      <c r="W61" s="16">
        <v>4.1666666666666664E-2</v>
      </c>
      <c r="X61" s="16">
        <v>0.49791666666666667</v>
      </c>
      <c r="Y61" s="16">
        <v>0.52430555555555558</v>
      </c>
      <c r="Z61" s="16">
        <f t="shared" si="4"/>
        <v>2.6388888888888906E-2</v>
      </c>
      <c r="AA61" s="16">
        <v>0</v>
      </c>
      <c r="AB61" s="16">
        <v>0.52777777777777779</v>
      </c>
      <c r="AC61" s="17"/>
      <c r="AD61" s="51"/>
    </row>
    <row r="62" spans="1:30" ht="19.5" thickBot="1" x14ac:dyDescent="0.3">
      <c r="A62" s="14">
        <v>27</v>
      </c>
      <c r="B62" s="15">
        <v>3492</v>
      </c>
      <c r="C62" s="15" t="str">
        <f>VLOOKUP(B62,داتا!$B$3:$D$107,2,FALSE)</f>
        <v>تلتين</v>
      </c>
      <c r="D62" s="34">
        <f>VLOOKUP(B62,داتا!$B$3:$D$107,3,FALSE)</f>
        <v>3.125E-2</v>
      </c>
      <c r="E62" s="15" t="s">
        <v>70</v>
      </c>
      <c r="F62" s="15" t="s">
        <v>181</v>
      </c>
      <c r="G62" s="16">
        <v>0.25</v>
      </c>
      <c r="H62" s="16">
        <f t="shared" si="8"/>
        <v>0.25694444444444448</v>
      </c>
      <c r="I62" s="16">
        <f t="shared" si="6"/>
        <v>6.9444444444444753E-3</v>
      </c>
      <c r="J62" s="16">
        <v>0.44444444444444442</v>
      </c>
      <c r="K62" s="16">
        <v>0.4548611111111111</v>
      </c>
      <c r="L62" s="15" t="s">
        <v>107</v>
      </c>
      <c r="M62" s="15" t="s">
        <v>107</v>
      </c>
      <c r="N62" s="16">
        <f t="shared" si="1"/>
        <v>1.0416666666666685E-2</v>
      </c>
      <c r="O62" s="16">
        <v>0</v>
      </c>
      <c r="P62" s="16">
        <v>6.9444444444444397E-3</v>
      </c>
      <c r="Q62" s="16">
        <v>0.46875</v>
      </c>
      <c r="R62" s="16">
        <f t="shared" si="2"/>
        <v>6.9444444444444753E-3</v>
      </c>
      <c r="S62" s="16">
        <v>0.46875</v>
      </c>
      <c r="T62" s="16">
        <f>VLOOKUP(E62,'[2]21-3-2026'!E$3:T$35,16,FALSE)</f>
        <v>1.0416666666666701E-2</v>
      </c>
      <c r="U62" s="16">
        <v>0.47916666666666669</v>
      </c>
      <c r="V62" s="16">
        <f t="shared" si="3"/>
        <v>0</v>
      </c>
      <c r="W62" s="16">
        <v>3.125E-2</v>
      </c>
      <c r="X62" s="16">
        <v>0.48125000000000001</v>
      </c>
      <c r="Y62" s="16">
        <v>0.5</v>
      </c>
      <c r="Z62" s="16">
        <f t="shared" si="4"/>
        <v>1.8749999999999989E-2</v>
      </c>
      <c r="AA62" s="16">
        <v>0</v>
      </c>
      <c r="AB62" s="16">
        <v>0.50347222222222221</v>
      </c>
      <c r="AC62" s="17"/>
      <c r="AD62" s="51"/>
    </row>
    <row r="63" spans="1:30" ht="19.5" thickBot="1" x14ac:dyDescent="0.3">
      <c r="A63" s="14">
        <v>28</v>
      </c>
      <c r="B63" s="15">
        <v>3492</v>
      </c>
      <c r="C63" s="15" t="str">
        <f>VLOOKUP(B63,داتا!$B$3:$D$107,2,FALSE)</f>
        <v>تلتين</v>
      </c>
      <c r="D63" s="34">
        <f>VLOOKUP(B63,داتا!$B$3:$D$107,3,FALSE)</f>
        <v>3.125E-2</v>
      </c>
      <c r="E63" s="15" t="s">
        <v>79</v>
      </c>
      <c r="F63" s="15" t="s">
        <v>181</v>
      </c>
      <c r="G63" s="16">
        <v>0.25</v>
      </c>
      <c r="H63" s="16">
        <f t="shared" si="8"/>
        <v>0.25694444444444448</v>
      </c>
      <c r="I63" s="16">
        <f t="shared" si="6"/>
        <v>6.9444444444444753E-3</v>
      </c>
      <c r="J63" s="16">
        <v>0.44444444444444442</v>
      </c>
      <c r="K63" s="16">
        <v>0.4548611111111111</v>
      </c>
      <c r="L63" s="15" t="s">
        <v>107</v>
      </c>
      <c r="M63" s="15" t="s">
        <v>107</v>
      </c>
      <c r="N63" s="16">
        <f t="shared" si="1"/>
        <v>1.0416666666666685E-2</v>
      </c>
      <c r="O63" s="16">
        <v>0</v>
      </c>
      <c r="P63" s="16">
        <v>6.9444444444444397E-3</v>
      </c>
      <c r="Q63" s="16">
        <v>0.46875</v>
      </c>
      <c r="R63" s="16">
        <f t="shared" si="2"/>
        <v>6.9444444444444753E-3</v>
      </c>
      <c r="S63" s="16">
        <v>0.46875</v>
      </c>
      <c r="T63" s="16">
        <f>VLOOKUP(E63,'[2]21-3-2026'!E$3:T$35,16,FALSE)</f>
        <v>2.0833333333333301E-2</v>
      </c>
      <c r="U63" s="16">
        <v>0.52430555555555558</v>
      </c>
      <c r="V63" s="16">
        <v>0</v>
      </c>
      <c r="W63" s="16">
        <v>4.1666666666666664E-2</v>
      </c>
      <c r="X63" s="16">
        <v>0.52777777777777779</v>
      </c>
      <c r="Y63" s="16">
        <v>0.55208333333333337</v>
      </c>
      <c r="Z63" s="16">
        <f t="shared" si="4"/>
        <v>2.430555555555558E-2</v>
      </c>
      <c r="AA63" s="16">
        <v>0</v>
      </c>
      <c r="AB63" s="16">
        <v>0.55555555555555558</v>
      </c>
      <c r="AC63" s="17"/>
      <c r="AD63" s="51"/>
    </row>
    <row r="64" spans="1:30" ht="19.5" thickBot="1" x14ac:dyDescent="0.3">
      <c r="A64" s="14">
        <v>29</v>
      </c>
      <c r="B64" s="15">
        <v>9198</v>
      </c>
      <c r="C64" s="15" t="str">
        <f>VLOOKUP(B64,داتا!$B$3:$D$107,2,FALSE)</f>
        <v>دبابة</v>
      </c>
      <c r="D64" s="34">
        <f>VLOOKUP(B64,داتا!$B$3:$D$107,3,FALSE)</f>
        <v>2.0833333333333301E-2</v>
      </c>
      <c r="E64" s="15" t="s">
        <v>65</v>
      </c>
      <c r="F64" s="15" t="s">
        <v>106</v>
      </c>
      <c r="G64" s="16">
        <v>0.25</v>
      </c>
      <c r="H64" s="16">
        <f t="shared" si="8"/>
        <v>0.27430555555555552</v>
      </c>
      <c r="I64" s="16">
        <f t="shared" si="6"/>
        <v>2.4305555555555525E-2</v>
      </c>
      <c r="J64" s="16">
        <v>0.3888888888888889</v>
      </c>
      <c r="K64" s="16">
        <v>0.39930555555555558</v>
      </c>
      <c r="L64" s="16" t="s">
        <v>182</v>
      </c>
      <c r="M64" s="16" t="s">
        <v>111</v>
      </c>
      <c r="N64" s="16">
        <f t="shared" si="1"/>
        <v>1.0416666666666685E-2</v>
      </c>
      <c r="O64" s="16">
        <v>0</v>
      </c>
      <c r="P64" s="16">
        <v>6.9444444444444397E-3</v>
      </c>
      <c r="Q64" s="16">
        <v>0.41666666666666669</v>
      </c>
      <c r="R64" s="16">
        <f t="shared" si="2"/>
        <v>1.0416666666666685E-2</v>
      </c>
      <c r="S64" s="16">
        <v>0.41666666666666669</v>
      </c>
      <c r="T64" s="16">
        <f>VLOOKUP(E64,'[2]21-3-2026'!E$3:T$35,16,FALSE)</f>
        <v>4.1666666666666699E-2</v>
      </c>
      <c r="U64" s="16">
        <v>0.46875</v>
      </c>
      <c r="V64" s="16">
        <f t="shared" si="3"/>
        <v>1.041666666666663E-2</v>
      </c>
      <c r="W64" s="16">
        <v>3.125E-2</v>
      </c>
      <c r="X64" s="16">
        <v>0.47222222222222227</v>
      </c>
      <c r="Y64" s="16">
        <v>0.50694444444444442</v>
      </c>
      <c r="Z64" s="16">
        <f t="shared" si="4"/>
        <v>3.4722222222222154E-2</v>
      </c>
      <c r="AA64" s="16">
        <f t="shared" si="5"/>
        <v>3.4722222222221544E-3</v>
      </c>
      <c r="AB64" s="16">
        <v>0.51041666666666663</v>
      </c>
      <c r="AC64" s="17"/>
      <c r="AD64" s="51"/>
    </row>
    <row r="65" spans="1:30" ht="19.5" thickBot="1" x14ac:dyDescent="0.3">
      <c r="A65" s="14">
        <v>30</v>
      </c>
      <c r="B65" s="15">
        <v>2474</v>
      </c>
      <c r="C65" s="15" t="str">
        <f>VLOOKUP(B65,داتا!$B$3:$D$107,2,FALSE)</f>
        <v>دبابة</v>
      </c>
      <c r="D65" s="34">
        <f>VLOOKUP(B65,داتا!$B$3:$D$107,3,FALSE)</f>
        <v>2.0833333333333332E-2</v>
      </c>
      <c r="E65" s="15" t="s">
        <v>75</v>
      </c>
      <c r="F65" s="15" t="s">
        <v>155</v>
      </c>
      <c r="G65" s="16">
        <v>0.25</v>
      </c>
      <c r="H65" s="16">
        <f t="shared" si="8"/>
        <v>0.2638888888888889</v>
      </c>
      <c r="I65" s="16">
        <f t="shared" si="6"/>
        <v>1.3888888888888895E-2</v>
      </c>
      <c r="J65" s="16">
        <v>0.40972222222222227</v>
      </c>
      <c r="K65" s="16">
        <v>0.43055555555555558</v>
      </c>
      <c r="L65" s="16" t="s">
        <v>182</v>
      </c>
      <c r="M65" s="16" t="s">
        <v>111</v>
      </c>
      <c r="N65" s="16">
        <f t="shared" si="1"/>
        <v>2.0833333333333315E-2</v>
      </c>
      <c r="O65" s="16">
        <f t="shared" si="7"/>
        <v>0</v>
      </c>
      <c r="P65" s="16">
        <v>6.9444444444444397E-3</v>
      </c>
      <c r="Q65" s="16">
        <v>0.4375</v>
      </c>
      <c r="R65" s="16">
        <f t="shared" si="2"/>
        <v>0</v>
      </c>
      <c r="S65" s="16">
        <v>0.4375</v>
      </c>
      <c r="T65" s="16">
        <f>VLOOKUP(E65,'[2]21-3-2026'!E$3:T$35,16,FALSE)</f>
        <v>2.0833333333333301E-2</v>
      </c>
      <c r="U65" s="16">
        <v>0.45833333333333331</v>
      </c>
      <c r="V65" s="16">
        <f t="shared" si="3"/>
        <v>0</v>
      </c>
      <c r="W65" s="16">
        <v>2.0833333333333332E-2</v>
      </c>
      <c r="X65" s="16">
        <v>0.46875</v>
      </c>
      <c r="Y65" s="16">
        <v>0.4861111111111111</v>
      </c>
      <c r="Z65" s="16">
        <f t="shared" si="4"/>
        <v>1.7361111111111105E-2</v>
      </c>
      <c r="AA65" s="16">
        <v>0</v>
      </c>
      <c r="AB65" s="16">
        <v>0.48958333333333331</v>
      </c>
      <c r="AC65" s="17"/>
      <c r="AD65" s="51"/>
    </row>
    <row r="66" spans="1:30" ht="20.25" customHeight="1" thickBot="1" x14ac:dyDescent="0.3">
      <c r="A66" s="14">
        <v>31</v>
      </c>
      <c r="B66" s="15">
        <v>2474</v>
      </c>
      <c r="C66" s="15" t="str">
        <f>VLOOKUP(B66,داتا!$B$3:$D$107,2,FALSE)</f>
        <v>دبابة</v>
      </c>
      <c r="D66" s="34">
        <f>VLOOKUP(B66,داتا!$B$3:$D$107,3,FALSE)</f>
        <v>2.0833333333333332E-2</v>
      </c>
      <c r="E66" s="15" t="s">
        <v>60</v>
      </c>
      <c r="F66" s="15" t="s">
        <v>155</v>
      </c>
      <c r="G66" s="16">
        <v>0.25</v>
      </c>
      <c r="H66" s="16">
        <f t="shared" si="8"/>
        <v>0.2638888888888889</v>
      </c>
      <c r="I66" s="16">
        <f t="shared" ref="I66" si="14">H66-G66</f>
        <v>1.3888888888888895E-2</v>
      </c>
      <c r="J66" s="16">
        <v>0.40972222222222227</v>
      </c>
      <c r="K66" s="16">
        <v>0.43055555555555558</v>
      </c>
      <c r="L66" s="16" t="s">
        <v>182</v>
      </c>
      <c r="M66" s="16" t="s">
        <v>111</v>
      </c>
      <c r="N66" s="16">
        <f t="shared" ref="N66" si="15">K66-J66</f>
        <v>2.0833333333333315E-2</v>
      </c>
      <c r="O66" s="16">
        <f t="shared" ref="O66" si="16">N66-D66</f>
        <v>0</v>
      </c>
      <c r="P66" s="16">
        <v>6.9444444444444397E-3</v>
      </c>
      <c r="Q66" s="16">
        <v>0.4375</v>
      </c>
      <c r="R66" s="16">
        <f t="shared" si="2"/>
        <v>0</v>
      </c>
      <c r="S66" s="16">
        <v>0.4375</v>
      </c>
      <c r="T66" s="16">
        <f>VLOOKUP(E66,'[2]21-3-2026'!E$3:T$35,16,FALSE)</f>
        <v>1.0416666666666701E-2</v>
      </c>
      <c r="U66" s="16">
        <v>0.51388888888888895</v>
      </c>
      <c r="V66" s="16">
        <v>1.3888888888888888E-2</v>
      </c>
      <c r="W66" s="16">
        <v>3.125E-2</v>
      </c>
      <c r="X66" s="16">
        <v>0.51666666666666672</v>
      </c>
      <c r="Y66" s="16">
        <v>0.54166666666666663</v>
      </c>
      <c r="Z66" s="16">
        <f t="shared" si="4"/>
        <v>2.4999999999999911E-2</v>
      </c>
      <c r="AA66" s="16">
        <v>0</v>
      </c>
      <c r="AB66" s="16">
        <v>0.54513888888888895</v>
      </c>
      <c r="AC66" s="19"/>
      <c r="AD66" s="51"/>
    </row>
    <row r="67" spans="1:30" ht="19.5" customHeight="1" thickBot="1" x14ac:dyDescent="0.3">
      <c r="A67" s="20">
        <v>32</v>
      </c>
      <c r="B67" s="21">
        <v>3793</v>
      </c>
      <c r="C67" s="21" t="str">
        <f>VLOOKUP(B67,داتا!$B$3:$D$107,2,FALSE)</f>
        <v>دبابة</v>
      </c>
      <c r="D67" s="35">
        <f>VLOOKUP(B67,داتا!$B$3:$D$107,3,FALSE)</f>
        <v>2.0833333333333301E-2</v>
      </c>
      <c r="E67" s="21" t="s">
        <v>57</v>
      </c>
      <c r="F67" s="21" t="s">
        <v>93</v>
      </c>
      <c r="G67" s="22">
        <v>0.25</v>
      </c>
      <c r="H67" s="22">
        <f t="shared" si="8"/>
        <v>0.25347222222222221</v>
      </c>
      <c r="I67" s="22">
        <f t="shared" si="6"/>
        <v>3.4722222222222099E-3</v>
      </c>
      <c r="J67" s="22">
        <v>0.44097222222222227</v>
      </c>
      <c r="K67" s="22">
        <v>0.49652777777777773</v>
      </c>
      <c r="L67" s="22" t="s">
        <v>182</v>
      </c>
      <c r="M67" s="22" t="s">
        <v>111</v>
      </c>
      <c r="N67" s="22">
        <f t="shared" si="1"/>
        <v>5.5555555555555469E-2</v>
      </c>
      <c r="O67" s="22">
        <f t="shared" si="7"/>
        <v>3.4722222222222168E-2</v>
      </c>
      <c r="P67" s="22">
        <v>6.9444444444444397E-3</v>
      </c>
      <c r="Q67" s="22">
        <v>0.46180555555555558</v>
      </c>
      <c r="R67" s="22">
        <v>0</v>
      </c>
      <c r="S67" s="22">
        <v>0.46180555555555558</v>
      </c>
      <c r="T67" s="22">
        <f>VLOOKUP(E67,'[2]21-3-2026'!E$3:T$35,16,FALSE)</f>
        <v>1.7361111111111101E-2</v>
      </c>
      <c r="U67" s="22">
        <v>0.50347222222222221</v>
      </c>
      <c r="V67" s="22">
        <f t="shared" si="3"/>
        <v>2.4305555555555525E-2</v>
      </c>
      <c r="W67" s="22">
        <v>3.125E-2</v>
      </c>
      <c r="X67" s="22">
        <v>0.50694444444444442</v>
      </c>
      <c r="Y67" s="22">
        <v>0.54166666666666663</v>
      </c>
      <c r="Z67" s="22">
        <f t="shared" si="4"/>
        <v>3.472222222222221E-2</v>
      </c>
      <c r="AA67" s="22">
        <f t="shared" ref="AA67:AA93" si="17">Z67-W67</f>
        <v>3.4722222222222099E-3</v>
      </c>
      <c r="AB67" s="22">
        <v>0.54513888888888895</v>
      </c>
      <c r="AC67" s="23"/>
      <c r="AD67" s="52"/>
    </row>
    <row r="68" spans="1:30" ht="20.25" thickTop="1" thickBot="1" x14ac:dyDescent="0.3">
      <c r="A68" s="10">
        <v>1</v>
      </c>
      <c r="B68" s="11">
        <v>3787</v>
      </c>
      <c r="C68" s="11" t="str">
        <f>VLOOKUP(B68,داتا!$B$3:$D$107,2,FALSE)</f>
        <v>دبابة</v>
      </c>
      <c r="D68" s="33">
        <f>VLOOKUP(B68,داتا!$B$3:$D$107,3,FALSE)</f>
        <v>2.0833333333333301E-2</v>
      </c>
      <c r="E68" s="11" t="s">
        <v>81</v>
      </c>
      <c r="F68" s="11" t="s">
        <v>183</v>
      </c>
      <c r="G68" s="12">
        <v>8.3333333333333329E-2</v>
      </c>
      <c r="H68" s="12">
        <v>8.3333333333333329E-2</v>
      </c>
      <c r="I68" s="12">
        <f t="shared" ref="I68:I71" si="18">H68-G68</f>
        <v>0</v>
      </c>
      <c r="J68" s="12">
        <v>0.54166666666666663</v>
      </c>
      <c r="K68" s="12">
        <v>0.5625</v>
      </c>
      <c r="L68" s="12" t="s">
        <v>111</v>
      </c>
      <c r="M68" s="12" t="s">
        <v>111</v>
      </c>
      <c r="N68" s="12">
        <f t="shared" ref="N68:N83" si="19">K68-J68</f>
        <v>2.083333333333337E-2</v>
      </c>
      <c r="O68" s="12">
        <f t="shared" ref="O68" si="20">N68-D68</f>
        <v>6.9388939039072284E-17</v>
      </c>
      <c r="P68" s="12">
        <v>6.9444444444444397E-3</v>
      </c>
      <c r="Q68" s="12">
        <v>0.59027777777777779</v>
      </c>
      <c r="R68" s="12">
        <f t="shared" ref="R68:R81" si="21">Q68-P68-K68</f>
        <v>2.083333333333337E-2</v>
      </c>
      <c r="S68" s="12">
        <v>0.59027777777777779</v>
      </c>
      <c r="T68" s="12">
        <f>VLOOKUP(E68,'[2]21-3-2026'!E$3:T$35,16,FALSE)</f>
        <v>2.7777777777777801E-2</v>
      </c>
      <c r="U68" s="12">
        <v>0.61805555555555558</v>
      </c>
      <c r="V68" s="12">
        <f t="shared" ref="V68:V98" si="22">U68-T68-S68</f>
        <v>0</v>
      </c>
      <c r="W68" s="12">
        <v>3.125E-2</v>
      </c>
      <c r="X68" s="12">
        <v>0.62083333333333335</v>
      </c>
      <c r="Y68" s="12">
        <v>0.63680555555555551</v>
      </c>
      <c r="Z68" s="12">
        <f t="shared" ref="Z68:Z99" si="23">Y68-X68</f>
        <v>1.5972222222222165E-2</v>
      </c>
      <c r="AA68" s="12">
        <v>0</v>
      </c>
      <c r="AB68" s="12">
        <v>0.63888888888888884</v>
      </c>
      <c r="AC68" s="13"/>
      <c r="AD68" s="53" t="s">
        <v>116</v>
      </c>
    </row>
    <row r="69" spans="1:30" ht="19.5" thickBot="1" x14ac:dyDescent="0.3">
      <c r="A69" s="14">
        <v>2</v>
      </c>
      <c r="B69" s="15">
        <v>3495</v>
      </c>
      <c r="C69" s="15" t="str">
        <f>VLOOKUP(B69,داتا!$B$3:$D$107,2,FALSE)</f>
        <v>تلتين</v>
      </c>
      <c r="D69" s="34">
        <f>VLOOKUP(B69,داتا!$B$3:$D$107,3,FALSE)</f>
        <v>3.125E-2</v>
      </c>
      <c r="E69" s="15" t="s">
        <v>38</v>
      </c>
      <c r="F69" s="15" t="s">
        <v>165</v>
      </c>
      <c r="G69" s="16">
        <v>8.3333333333333329E-2</v>
      </c>
      <c r="H69" s="16">
        <v>8.3333333333333329E-2</v>
      </c>
      <c r="I69" s="16">
        <f t="shared" si="18"/>
        <v>0</v>
      </c>
      <c r="J69" s="16">
        <v>0.59027777777777779</v>
      </c>
      <c r="K69" s="16">
        <v>0.61458333333333337</v>
      </c>
      <c r="L69" s="16" t="s">
        <v>97</v>
      </c>
      <c r="M69" s="16" t="s">
        <v>97</v>
      </c>
      <c r="N69" s="16">
        <f t="shared" si="19"/>
        <v>2.430555555555558E-2</v>
      </c>
      <c r="O69" s="16">
        <v>0</v>
      </c>
      <c r="P69" s="16">
        <v>6.9444444444444397E-3</v>
      </c>
      <c r="Q69" s="16">
        <v>0.62152777777777779</v>
      </c>
      <c r="R69" s="16">
        <f t="shared" si="21"/>
        <v>0</v>
      </c>
      <c r="S69" s="16">
        <v>0.62152777777777779</v>
      </c>
      <c r="T69" s="16">
        <f>VLOOKUP(E69,'[2]21-3-2026'!E$3:T$35,16,FALSE)</f>
        <v>1.0416666666666666E-2</v>
      </c>
      <c r="U69" s="16">
        <v>0.65277777777777779</v>
      </c>
      <c r="V69" s="16">
        <f t="shared" si="22"/>
        <v>2.083333333333337E-2</v>
      </c>
      <c r="W69" s="16">
        <v>4.1666666666666664E-2</v>
      </c>
      <c r="X69" s="16">
        <v>0.65972222222222221</v>
      </c>
      <c r="Y69" s="16">
        <v>0.69097222222222221</v>
      </c>
      <c r="Z69" s="16">
        <f t="shared" si="23"/>
        <v>3.125E-2</v>
      </c>
      <c r="AA69" s="16">
        <v>0</v>
      </c>
      <c r="AB69" s="16">
        <v>0.69444444444444442</v>
      </c>
      <c r="AC69" s="17"/>
      <c r="AD69" s="51"/>
    </row>
    <row r="70" spans="1:30" ht="19.5" thickBot="1" x14ac:dyDescent="0.3">
      <c r="A70" s="14">
        <v>3</v>
      </c>
      <c r="B70" s="15">
        <v>2474</v>
      </c>
      <c r="C70" s="15" t="str">
        <f>VLOOKUP(B70,داتا!$B$3:$D$107,2,FALSE)</f>
        <v>دبابة</v>
      </c>
      <c r="D70" s="34">
        <f>VLOOKUP(B70,داتا!$B$3:$D$107,3,FALSE)</f>
        <v>2.0833333333333332E-2</v>
      </c>
      <c r="E70" s="15" t="s">
        <v>63</v>
      </c>
      <c r="F70" s="15" t="s">
        <v>162</v>
      </c>
      <c r="G70" s="16">
        <v>8.3333333333333329E-2</v>
      </c>
      <c r="H70" s="16">
        <v>9.375E-2</v>
      </c>
      <c r="I70" s="16">
        <f t="shared" si="18"/>
        <v>1.0416666666666671E-2</v>
      </c>
      <c r="J70" s="16">
        <v>0.59027777777777779</v>
      </c>
      <c r="K70" s="16">
        <v>0.60069444444444442</v>
      </c>
      <c r="L70" s="16" t="s">
        <v>105</v>
      </c>
      <c r="M70" s="16" t="s">
        <v>172</v>
      </c>
      <c r="N70" s="16">
        <f t="shared" si="19"/>
        <v>1.041666666666663E-2</v>
      </c>
      <c r="O70" s="16">
        <v>0</v>
      </c>
      <c r="P70" s="16">
        <v>6.9444444444444397E-3</v>
      </c>
      <c r="Q70" s="16">
        <v>0.60763888888888884</v>
      </c>
      <c r="R70" s="16">
        <f t="shared" si="21"/>
        <v>0</v>
      </c>
      <c r="S70" s="16">
        <v>0.60763888888888884</v>
      </c>
      <c r="T70" s="16">
        <f>VLOOKUP(E70,'[2]21-3-2026'!E$3:T$35,16,FALSE)</f>
        <v>6.25E-2</v>
      </c>
      <c r="U70" s="16">
        <v>0</v>
      </c>
      <c r="V70" s="16">
        <v>0</v>
      </c>
      <c r="W70" s="16">
        <v>3.125E-2</v>
      </c>
      <c r="X70" s="16">
        <v>0</v>
      </c>
      <c r="Y70" s="16">
        <v>0</v>
      </c>
      <c r="Z70" s="16">
        <f t="shared" si="23"/>
        <v>0</v>
      </c>
      <c r="AA70" s="16">
        <v>0</v>
      </c>
      <c r="AB70" s="16">
        <v>0</v>
      </c>
      <c r="AC70" s="17"/>
      <c r="AD70" s="51"/>
    </row>
    <row r="71" spans="1:30" ht="19.5" thickBot="1" x14ac:dyDescent="0.3">
      <c r="A71" s="14">
        <v>4</v>
      </c>
      <c r="B71" s="15">
        <v>459</v>
      </c>
      <c r="C71" s="15" t="str">
        <f>VLOOKUP(B71,داتا!$B$3:$D$107,2,FALSE)</f>
        <v>دبابة</v>
      </c>
      <c r="D71" s="34">
        <f>VLOOKUP(B71,داتا!$B$3:$D$107,3,FALSE)</f>
        <v>2.0833333333333301E-2</v>
      </c>
      <c r="E71" s="15" t="s">
        <v>75</v>
      </c>
      <c r="F71" s="15" t="s">
        <v>176</v>
      </c>
      <c r="G71" s="16">
        <v>8.3333333333333329E-2</v>
      </c>
      <c r="H71" s="16">
        <v>8.3333333333333329E-2</v>
      </c>
      <c r="I71" s="16">
        <f t="shared" si="18"/>
        <v>0</v>
      </c>
      <c r="J71" s="16">
        <v>0.61111111111111105</v>
      </c>
      <c r="K71" s="16">
        <v>0.62152777777777779</v>
      </c>
      <c r="L71" s="16" t="s">
        <v>105</v>
      </c>
      <c r="M71" s="16" t="s">
        <v>172</v>
      </c>
      <c r="N71" s="16">
        <f t="shared" si="19"/>
        <v>1.0416666666666741E-2</v>
      </c>
      <c r="O71" s="16">
        <v>0</v>
      </c>
      <c r="P71" s="16">
        <v>6.9444444444444397E-3</v>
      </c>
      <c r="Q71" s="16">
        <v>0.61805555555555558</v>
      </c>
      <c r="R71" s="16">
        <v>0</v>
      </c>
      <c r="S71" s="16">
        <v>0.61805555555555558</v>
      </c>
      <c r="T71" s="16">
        <f>VLOOKUP(E71,'[2]21-3-2026'!E$3:T$35,16,FALSE)</f>
        <v>2.0833333333333301E-2</v>
      </c>
      <c r="U71" s="16">
        <v>0.63888888888888884</v>
      </c>
      <c r="V71" s="16">
        <f t="shared" si="22"/>
        <v>0</v>
      </c>
      <c r="W71" s="16">
        <v>2.0833333333333332E-2</v>
      </c>
      <c r="X71" s="16">
        <v>0.64236111111111116</v>
      </c>
      <c r="Y71" s="16">
        <v>0.64930555555555558</v>
      </c>
      <c r="Z71" s="16">
        <f t="shared" si="23"/>
        <v>6.9444444444444198E-3</v>
      </c>
      <c r="AA71" s="16">
        <v>0</v>
      </c>
      <c r="AB71" s="16">
        <v>0.65277777777777779</v>
      </c>
      <c r="AC71" s="17"/>
      <c r="AD71" s="51"/>
    </row>
    <row r="72" spans="1:30" ht="19.5" thickBot="1" x14ac:dyDescent="0.3">
      <c r="A72" s="14">
        <v>5</v>
      </c>
      <c r="B72" s="15">
        <v>459</v>
      </c>
      <c r="C72" s="15" t="str">
        <f>VLOOKUP(B72,داتا!$B$3:$D$107,2,FALSE)</f>
        <v>دبابة</v>
      </c>
      <c r="D72" s="34">
        <f>VLOOKUP(B72,داتا!$B$3:$D$107,3,FALSE)</f>
        <v>2.0833333333333301E-2</v>
      </c>
      <c r="E72" s="15" t="s">
        <v>60</v>
      </c>
      <c r="F72" s="15" t="s">
        <v>176</v>
      </c>
      <c r="G72" s="16">
        <v>8.3333333333333329E-2</v>
      </c>
      <c r="H72" s="16">
        <v>8.3333333333333329E-2</v>
      </c>
      <c r="I72" s="16">
        <f t="shared" ref="I72:I99" si="24">H72-G72</f>
        <v>0</v>
      </c>
      <c r="J72" s="16">
        <v>0.61111111111111105</v>
      </c>
      <c r="K72" s="16">
        <v>0.62152777777777779</v>
      </c>
      <c r="L72" s="16" t="s">
        <v>105</v>
      </c>
      <c r="M72" s="16" t="s">
        <v>172</v>
      </c>
      <c r="N72" s="16">
        <f t="shared" si="19"/>
        <v>1.0416666666666741E-2</v>
      </c>
      <c r="O72" s="16">
        <v>0</v>
      </c>
      <c r="P72" s="16">
        <v>6.9444444444444397E-3</v>
      </c>
      <c r="Q72" s="16">
        <v>0.61805555555555558</v>
      </c>
      <c r="R72" s="16">
        <v>0</v>
      </c>
      <c r="S72" s="16">
        <v>0.61805555555555558</v>
      </c>
      <c r="T72" s="16">
        <f>VLOOKUP(E72,'[2]21-3-2026'!E$3:T$35,16,FALSE)</f>
        <v>1.0416666666666701E-2</v>
      </c>
      <c r="U72" s="16">
        <v>0.65972222222222221</v>
      </c>
      <c r="V72" s="16">
        <v>0</v>
      </c>
      <c r="W72" s="16">
        <v>3.125E-2</v>
      </c>
      <c r="X72" s="16">
        <v>0.66319444444444442</v>
      </c>
      <c r="Y72" s="16">
        <v>0.66527777777777775</v>
      </c>
      <c r="Z72" s="16">
        <f t="shared" si="23"/>
        <v>2.0833333333333259E-3</v>
      </c>
      <c r="AA72" s="16">
        <v>0</v>
      </c>
      <c r="AB72" s="16">
        <v>0.76388888888888884</v>
      </c>
      <c r="AC72" s="17"/>
      <c r="AD72" s="51"/>
    </row>
    <row r="73" spans="1:30" ht="19.5" thickBot="1" x14ac:dyDescent="0.3">
      <c r="A73" s="14">
        <v>6</v>
      </c>
      <c r="B73" s="15">
        <v>4987</v>
      </c>
      <c r="C73" s="15" t="str">
        <f>VLOOKUP(B73,داتا!$B$3:$D$107,2,FALSE)</f>
        <v>تلتين</v>
      </c>
      <c r="D73" s="34">
        <f>VLOOKUP(B73,داتا!$B$3:$D$107,3,FALSE)</f>
        <v>3.125E-2</v>
      </c>
      <c r="E73" s="15" t="s">
        <v>73</v>
      </c>
      <c r="F73" s="15" t="s">
        <v>160</v>
      </c>
      <c r="G73" s="16">
        <v>8.3333333333333329E-2</v>
      </c>
      <c r="H73" s="16">
        <v>8.3333333333333329E-2</v>
      </c>
      <c r="I73" s="16">
        <f t="shared" si="24"/>
        <v>0</v>
      </c>
      <c r="J73" s="16">
        <v>0.56597222222222221</v>
      </c>
      <c r="K73" s="16">
        <v>0.58680555555555558</v>
      </c>
      <c r="L73" s="16" t="s">
        <v>107</v>
      </c>
      <c r="M73" s="16" t="s">
        <v>107</v>
      </c>
      <c r="N73" s="16">
        <f t="shared" si="19"/>
        <v>2.083333333333337E-2</v>
      </c>
      <c r="O73" s="16">
        <v>0</v>
      </c>
      <c r="P73" s="16">
        <v>6.9444444444444397E-3</v>
      </c>
      <c r="Q73" s="16">
        <v>0.60416666666666663</v>
      </c>
      <c r="R73" s="16">
        <f t="shared" si="21"/>
        <v>1.041666666666663E-2</v>
      </c>
      <c r="S73" s="16">
        <v>0.60416666666666663</v>
      </c>
      <c r="T73" s="16">
        <f>VLOOKUP(E73,'[2]21-3-2026'!E$3:T$35,16,FALSE)</f>
        <v>3.4722222222222203E-2</v>
      </c>
      <c r="U73" s="16">
        <v>0.64930555555555558</v>
      </c>
      <c r="V73" s="16">
        <f t="shared" si="22"/>
        <v>1.0416666666666741E-2</v>
      </c>
      <c r="W73" s="16">
        <v>3.125E-2</v>
      </c>
      <c r="X73" s="16">
        <v>0.66319444444444442</v>
      </c>
      <c r="Y73" s="16">
        <v>0.69444444444444442</v>
      </c>
      <c r="Z73" s="16">
        <f t="shared" si="23"/>
        <v>3.125E-2</v>
      </c>
      <c r="AA73" s="16">
        <f t="shared" si="17"/>
        <v>0</v>
      </c>
      <c r="AB73" s="16">
        <v>0.70138888888888884</v>
      </c>
      <c r="AC73" s="17"/>
      <c r="AD73" s="51"/>
    </row>
    <row r="74" spans="1:30" ht="19.5" thickBot="1" x14ac:dyDescent="0.3">
      <c r="A74" s="14">
        <v>7</v>
      </c>
      <c r="B74" s="15">
        <v>4987</v>
      </c>
      <c r="C74" s="15" t="str">
        <f>VLOOKUP(B74,داتا!$B$3:$D$107,2,FALSE)</f>
        <v>تلتين</v>
      </c>
      <c r="D74" s="34">
        <f>VLOOKUP(B74,داتا!$B$3:$D$107,3,FALSE)</f>
        <v>3.125E-2</v>
      </c>
      <c r="E74" s="15" t="s">
        <v>35</v>
      </c>
      <c r="F74" s="15" t="s">
        <v>160</v>
      </c>
      <c r="G74" s="16">
        <v>8.3333333333333329E-2</v>
      </c>
      <c r="H74" s="16">
        <v>8.3333333333333329E-2</v>
      </c>
      <c r="I74" s="16">
        <f t="shared" si="24"/>
        <v>0</v>
      </c>
      <c r="J74" s="16">
        <v>0.56597222222222221</v>
      </c>
      <c r="K74" s="16">
        <v>0.58680555555555558</v>
      </c>
      <c r="L74" s="16" t="s">
        <v>107</v>
      </c>
      <c r="M74" s="16" t="s">
        <v>107</v>
      </c>
      <c r="N74" s="16">
        <f t="shared" si="19"/>
        <v>2.083333333333337E-2</v>
      </c>
      <c r="O74" s="16">
        <v>0</v>
      </c>
      <c r="P74" s="16">
        <v>6.9444444444444397E-3</v>
      </c>
      <c r="Q74" s="16">
        <v>0.60416666666666663</v>
      </c>
      <c r="R74" s="16">
        <f t="shared" si="21"/>
        <v>1.041666666666663E-2</v>
      </c>
      <c r="S74" s="16">
        <v>0.60416666666666663</v>
      </c>
      <c r="T74" s="16">
        <f>VLOOKUP(E74,'[2]21-3-2026'!E$3:T$35,16,FALSE)</f>
        <v>3.4722222222222203E-2</v>
      </c>
      <c r="U74" s="16">
        <v>0.70486111111111116</v>
      </c>
      <c r="V74" s="16">
        <v>0</v>
      </c>
      <c r="W74" s="16">
        <v>4.1666666666666664E-2</v>
      </c>
      <c r="X74" s="16">
        <v>0.70833333333333337</v>
      </c>
      <c r="Y74" s="16">
        <v>0.72222222222222221</v>
      </c>
      <c r="Z74" s="16">
        <f t="shared" si="23"/>
        <v>1.388888888888884E-2</v>
      </c>
      <c r="AA74" s="16">
        <v>0</v>
      </c>
      <c r="AB74" s="16">
        <v>0.73263888888888884</v>
      </c>
      <c r="AC74" s="17"/>
      <c r="AD74" s="51"/>
    </row>
    <row r="75" spans="1:30" ht="19.5" thickBot="1" x14ac:dyDescent="0.3">
      <c r="A75" s="14">
        <v>8</v>
      </c>
      <c r="B75" s="15">
        <v>2714</v>
      </c>
      <c r="C75" s="15" t="str">
        <f>VLOOKUP(B75,داتا!$B$3:$D$107,2,FALSE)</f>
        <v>تلتين</v>
      </c>
      <c r="D75" s="34">
        <f>VLOOKUP(B75,داتا!$B$3:$D$107,3,FALSE)</f>
        <v>3.125E-2</v>
      </c>
      <c r="E75" s="15" t="s">
        <v>70</v>
      </c>
      <c r="F75" s="15" t="s">
        <v>165</v>
      </c>
      <c r="G75" s="16">
        <v>8.3333333333333329E-2</v>
      </c>
      <c r="H75" s="16">
        <v>8.3333333333333329E-2</v>
      </c>
      <c r="I75" s="16">
        <f t="shared" si="24"/>
        <v>0</v>
      </c>
      <c r="J75" s="16">
        <v>0.61111111111111105</v>
      </c>
      <c r="K75" s="16">
        <v>0.62152777777777779</v>
      </c>
      <c r="L75" s="16" t="s">
        <v>107</v>
      </c>
      <c r="M75" s="16" t="s">
        <v>107</v>
      </c>
      <c r="N75" s="16">
        <f t="shared" si="19"/>
        <v>1.0416666666666741E-2</v>
      </c>
      <c r="O75" s="16">
        <v>0</v>
      </c>
      <c r="P75" s="16">
        <v>6.9444444444444397E-3</v>
      </c>
      <c r="Q75" s="16">
        <v>0.625</v>
      </c>
      <c r="R75" s="16">
        <v>0</v>
      </c>
      <c r="S75" s="16">
        <v>0.625</v>
      </c>
      <c r="T75" s="16">
        <f>VLOOKUP(E75,'[2]21-3-2026'!E$3:T$35,16,FALSE)</f>
        <v>1.0416666666666701E-2</v>
      </c>
      <c r="U75" s="16">
        <v>0.64583333333333337</v>
      </c>
      <c r="V75" s="16">
        <f t="shared" si="22"/>
        <v>1.041666666666663E-2</v>
      </c>
      <c r="W75" s="16">
        <v>3.125E-2</v>
      </c>
      <c r="X75" s="16">
        <v>0.65138888888888891</v>
      </c>
      <c r="Y75" s="16">
        <v>0.66319444444444442</v>
      </c>
      <c r="Z75" s="16">
        <f t="shared" si="23"/>
        <v>1.1805555555555514E-2</v>
      </c>
      <c r="AA75" s="16">
        <v>0</v>
      </c>
      <c r="AB75" s="16">
        <v>0.66666666666666663</v>
      </c>
      <c r="AC75" s="17"/>
      <c r="AD75" s="51"/>
    </row>
    <row r="76" spans="1:30" ht="19.5" thickBot="1" x14ac:dyDescent="0.3">
      <c r="A76" s="14">
        <v>9</v>
      </c>
      <c r="B76" s="15">
        <v>2714</v>
      </c>
      <c r="C76" s="15" t="str">
        <f>VLOOKUP(B76,داتا!$B$3:$D$107,2,FALSE)</f>
        <v>تلتين</v>
      </c>
      <c r="D76" s="34">
        <f>VLOOKUP(B76,داتا!$B$3:$D$107,3,FALSE)</f>
        <v>3.125E-2</v>
      </c>
      <c r="E76" s="16" t="s">
        <v>79</v>
      </c>
      <c r="F76" s="15" t="s">
        <v>165</v>
      </c>
      <c r="G76" s="16">
        <v>8.3333333333333329E-2</v>
      </c>
      <c r="H76" s="16">
        <v>8.3333333333333329E-2</v>
      </c>
      <c r="I76" s="16">
        <f t="shared" si="24"/>
        <v>0</v>
      </c>
      <c r="J76" s="16">
        <v>0.61111111111111105</v>
      </c>
      <c r="K76" s="16">
        <v>0.62152777777777779</v>
      </c>
      <c r="L76" s="16" t="s">
        <v>107</v>
      </c>
      <c r="M76" s="16" t="s">
        <v>107</v>
      </c>
      <c r="N76" s="16">
        <f t="shared" si="19"/>
        <v>1.0416666666666741E-2</v>
      </c>
      <c r="O76" s="16">
        <v>0</v>
      </c>
      <c r="P76" s="16">
        <v>6.9444444444444397E-3</v>
      </c>
      <c r="Q76" s="16">
        <v>0.625</v>
      </c>
      <c r="R76" s="16">
        <v>0</v>
      </c>
      <c r="S76" s="16">
        <v>0.625</v>
      </c>
      <c r="T76" s="16">
        <v>1.0416666666666666E-2</v>
      </c>
      <c r="U76" s="16">
        <v>0.69097222222222221</v>
      </c>
      <c r="V76" s="16">
        <v>1.0416666666666666E-2</v>
      </c>
      <c r="W76" s="16">
        <v>4.1666666666666664E-2</v>
      </c>
      <c r="X76" s="16">
        <v>0.6694444444444444</v>
      </c>
      <c r="Y76" s="16">
        <v>0.71180555555555558</v>
      </c>
      <c r="Z76" s="16">
        <f t="shared" si="23"/>
        <v>4.2361111111111183E-2</v>
      </c>
      <c r="AA76" s="16">
        <v>0</v>
      </c>
      <c r="AB76" s="16">
        <v>0.71527777777777779</v>
      </c>
      <c r="AC76" s="17"/>
      <c r="AD76" s="51"/>
    </row>
    <row r="77" spans="1:30" ht="19.5" thickBot="1" x14ac:dyDescent="0.3">
      <c r="A77" s="14">
        <v>10</v>
      </c>
      <c r="B77" s="15">
        <v>6142</v>
      </c>
      <c r="C77" s="15" t="str">
        <f>VLOOKUP(B77,داتا!$B$3:$D$107,2,FALSE)</f>
        <v>تلتين</v>
      </c>
      <c r="D77" s="34">
        <f>VLOOKUP(B77,داتا!$B$3:$D$107,3,FALSE)</f>
        <v>3.125E-2</v>
      </c>
      <c r="E77" s="15" t="s">
        <v>98</v>
      </c>
      <c r="F77" s="15" t="s">
        <v>173</v>
      </c>
      <c r="G77" s="16">
        <v>8.3333333333333329E-2</v>
      </c>
      <c r="H77" s="16">
        <v>8.3333333333333329E-2</v>
      </c>
      <c r="I77" s="16">
        <f t="shared" si="24"/>
        <v>0</v>
      </c>
      <c r="J77" s="16">
        <v>0.5625</v>
      </c>
      <c r="K77" s="16">
        <v>0.58680555555555558</v>
      </c>
      <c r="L77" s="16" t="s">
        <v>94</v>
      </c>
      <c r="M77" s="16" t="s">
        <v>94</v>
      </c>
      <c r="N77" s="16">
        <f t="shared" si="19"/>
        <v>2.430555555555558E-2</v>
      </c>
      <c r="O77" s="16">
        <v>0</v>
      </c>
      <c r="P77" s="16">
        <v>6.9444444444444397E-3</v>
      </c>
      <c r="Q77" s="16">
        <v>0.60069444444444442</v>
      </c>
      <c r="R77" s="16">
        <f t="shared" si="21"/>
        <v>6.9444444444444198E-3</v>
      </c>
      <c r="S77" s="16">
        <v>0.60069444444444442</v>
      </c>
      <c r="T77" s="16">
        <f>VLOOKUP(E77,'[2]21-3-2026'!E$3:T$35,16,FALSE)</f>
        <v>4.8611111111111103E-3</v>
      </c>
      <c r="U77" s="16">
        <v>0.60763888888888884</v>
      </c>
      <c r="V77" s="16">
        <f t="shared" si="22"/>
        <v>2.0833333333333259E-3</v>
      </c>
      <c r="W77" s="16">
        <v>3.125E-2</v>
      </c>
      <c r="X77" s="16">
        <v>0.60902777777777772</v>
      </c>
      <c r="Y77" s="16">
        <v>0.62291666666666667</v>
      </c>
      <c r="Z77" s="16">
        <f t="shared" si="23"/>
        <v>1.3888888888888951E-2</v>
      </c>
      <c r="AA77" s="16">
        <v>0</v>
      </c>
      <c r="AB77" s="16">
        <v>0.62361111111111112</v>
      </c>
      <c r="AC77" s="17"/>
      <c r="AD77" s="51"/>
    </row>
    <row r="78" spans="1:30" ht="19.5" thickBot="1" x14ac:dyDescent="0.3">
      <c r="A78" s="14">
        <v>11</v>
      </c>
      <c r="B78" s="15">
        <v>6142</v>
      </c>
      <c r="C78" s="15" t="str">
        <f>VLOOKUP(B78,داتا!$B$3:$D$107,2,FALSE)</f>
        <v>تلتين</v>
      </c>
      <c r="D78" s="34">
        <f>VLOOKUP(B78,داتا!$B$3:$D$107,3,FALSE)</f>
        <v>3.125E-2</v>
      </c>
      <c r="E78" s="15" t="s">
        <v>30</v>
      </c>
      <c r="F78" s="15" t="s">
        <v>173</v>
      </c>
      <c r="G78" s="16">
        <v>8.3333333333333329E-2</v>
      </c>
      <c r="H78" s="16">
        <v>8.3333333333333329E-2</v>
      </c>
      <c r="I78" s="16">
        <f t="shared" si="24"/>
        <v>0</v>
      </c>
      <c r="J78" s="16">
        <v>0.5625</v>
      </c>
      <c r="K78" s="16">
        <v>0.58680555555555558</v>
      </c>
      <c r="L78" s="16" t="s">
        <v>94</v>
      </c>
      <c r="M78" s="16" t="s">
        <v>94</v>
      </c>
      <c r="N78" s="16">
        <f t="shared" si="19"/>
        <v>2.430555555555558E-2</v>
      </c>
      <c r="O78" s="16">
        <v>0</v>
      </c>
      <c r="P78" s="16">
        <v>6.9444444444444397E-3</v>
      </c>
      <c r="Q78" s="16">
        <v>0.60069444444444442</v>
      </c>
      <c r="R78" s="16">
        <f t="shared" si="21"/>
        <v>6.9444444444444198E-3</v>
      </c>
      <c r="S78" s="16">
        <v>0.60069444444444442</v>
      </c>
      <c r="T78" s="16">
        <f>VLOOKUP(E78,'[2]21-3-2026'!E$3:T$35,16,FALSE)</f>
        <v>1.38888888888889E-2</v>
      </c>
      <c r="U78" s="16">
        <v>0.64027777777777772</v>
      </c>
      <c r="V78" s="16">
        <v>2.7777777777777779E-3</v>
      </c>
      <c r="W78" s="16">
        <v>3.125E-2</v>
      </c>
      <c r="X78" s="16">
        <v>0.64097222222222228</v>
      </c>
      <c r="Y78" s="16">
        <v>0.65277777777777779</v>
      </c>
      <c r="Z78" s="16">
        <f t="shared" si="23"/>
        <v>1.1805555555555514E-2</v>
      </c>
      <c r="AA78" s="16">
        <v>0</v>
      </c>
      <c r="AB78" s="16">
        <v>0.65625</v>
      </c>
      <c r="AC78" s="17"/>
      <c r="AD78" s="51"/>
    </row>
    <row r="79" spans="1:30" ht="19.5" thickBot="1" x14ac:dyDescent="0.3">
      <c r="A79" s="14">
        <v>12</v>
      </c>
      <c r="B79" s="15">
        <v>6142</v>
      </c>
      <c r="C79" s="15" t="str">
        <f>VLOOKUP(B79,داتا!$B$3:$D$107,2,FALSE)</f>
        <v>تلتين</v>
      </c>
      <c r="D79" s="34">
        <f>VLOOKUP(B79,داتا!$B$3:$D$107,3,FALSE)</f>
        <v>3.125E-2</v>
      </c>
      <c r="E79" s="15" t="s">
        <v>34</v>
      </c>
      <c r="F79" s="15" t="s">
        <v>173</v>
      </c>
      <c r="G79" s="16">
        <v>8.3333333333333329E-2</v>
      </c>
      <c r="H79" s="16">
        <v>8.3333333333333329E-2</v>
      </c>
      <c r="I79" s="16">
        <f t="shared" si="24"/>
        <v>0</v>
      </c>
      <c r="J79" s="16">
        <v>0.5625</v>
      </c>
      <c r="K79" s="16">
        <v>0.58680555555555558</v>
      </c>
      <c r="L79" s="16" t="s">
        <v>94</v>
      </c>
      <c r="M79" s="16" t="s">
        <v>94</v>
      </c>
      <c r="N79" s="16">
        <f t="shared" si="19"/>
        <v>2.430555555555558E-2</v>
      </c>
      <c r="O79" s="16">
        <v>0</v>
      </c>
      <c r="P79" s="16">
        <v>6.9444444444444397E-3</v>
      </c>
      <c r="Q79" s="16">
        <v>0.60069444444444442</v>
      </c>
      <c r="R79" s="16">
        <f t="shared" si="21"/>
        <v>6.9444444444444198E-3</v>
      </c>
      <c r="S79" s="16">
        <v>0.60069444444444442</v>
      </c>
      <c r="T79" s="16">
        <f>VLOOKUP(E79,'[2]21-3-2026'!E$3:T$35,16,FALSE)</f>
        <v>1.0416666666666701E-2</v>
      </c>
      <c r="U79" s="16">
        <v>0.65972222222222221</v>
      </c>
      <c r="V79" s="16">
        <v>0</v>
      </c>
      <c r="W79" s="16">
        <v>4.1666666666666664E-2</v>
      </c>
      <c r="X79" s="16">
        <v>0.66319444444444442</v>
      </c>
      <c r="Y79" s="16">
        <v>0.6875</v>
      </c>
      <c r="Z79" s="16">
        <f t="shared" si="23"/>
        <v>2.430555555555558E-2</v>
      </c>
      <c r="AA79" s="16">
        <v>0</v>
      </c>
      <c r="AB79" s="16">
        <v>0.69097222222222221</v>
      </c>
      <c r="AC79" s="17"/>
      <c r="AD79" s="51"/>
    </row>
    <row r="80" spans="1:30" ht="19.5" thickBot="1" x14ac:dyDescent="0.3">
      <c r="A80" s="14">
        <v>13</v>
      </c>
      <c r="B80" s="15">
        <v>3793</v>
      </c>
      <c r="C80" s="15" t="str">
        <f>VLOOKUP(B80,داتا!$B$3:$D$107,2,FALSE)</f>
        <v>دبابة</v>
      </c>
      <c r="D80" s="34">
        <f>VLOOKUP(B80,داتا!$B$3:$D$107,3,FALSE)</f>
        <v>2.0833333333333301E-2</v>
      </c>
      <c r="E80" s="15" t="s">
        <v>61</v>
      </c>
      <c r="F80" s="15" t="s">
        <v>186</v>
      </c>
      <c r="G80" s="16">
        <v>8.3333333333333329E-2</v>
      </c>
      <c r="H80" s="16">
        <v>8.3333333333333329E-2</v>
      </c>
      <c r="I80" s="16">
        <f t="shared" si="24"/>
        <v>0</v>
      </c>
      <c r="J80" s="16">
        <v>0.60069444444444442</v>
      </c>
      <c r="K80" s="16">
        <v>0.61111111111111105</v>
      </c>
      <c r="L80" s="16" t="s">
        <v>94</v>
      </c>
      <c r="M80" s="16" t="s">
        <v>94</v>
      </c>
      <c r="N80" s="16">
        <f t="shared" si="19"/>
        <v>1.041666666666663E-2</v>
      </c>
      <c r="O80" s="16">
        <v>0</v>
      </c>
      <c r="P80" s="16">
        <v>6.9444444444444397E-3</v>
      </c>
      <c r="Q80" s="16">
        <v>0.61805555555555558</v>
      </c>
      <c r="R80" s="16">
        <f t="shared" si="21"/>
        <v>0</v>
      </c>
      <c r="S80" s="16">
        <v>0.61805555555555558</v>
      </c>
      <c r="T80" s="16">
        <f>VLOOKUP(E80,'[2]21-3-2026'!E$3:T$35,16,FALSE)</f>
        <v>3.4722222222222203E-2</v>
      </c>
      <c r="U80" s="16">
        <v>0.65625</v>
      </c>
      <c r="V80" s="16">
        <f t="shared" si="22"/>
        <v>3.4722222222222099E-3</v>
      </c>
      <c r="W80" s="16">
        <v>2.0833333333333332E-2</v>
      </c>
      <c r="X80" s="16">
        <v>0.65902777777777777</v>
      </c>
      <c r="Y80" s="16">
        <v>0.67361111111111116</v>
      </c>
      <c r="Z80" s="16">
        <f t="shared" si="23"/>
        <v>1.4583333333333393E-2</v>
      </c>
      <c r="AA80" s="16">
        <v>0</v>
      </c>
      <c r="AB80" s="16">
        <v>0.67569444444444449</v>
      </c>
      <c r="AC80" s="17"/>
      <c r="AD80" s="51"/>
    </row>
    <row r="81" spans="1:30" ht="19.5" thickBot="1" x14ac:dyDescent="0.3">
      <c r="A81" s="14">
        <v>14</v>
      </c>
      <c r="B81" s="15">
        <v>3793</v>
      </c>
      <c r="C81" s="15" t="str">
        <f>VLOOKUP(B81,داتا!$B$3:$D$107,2,FALSE)</f>
        <v>دبابة</v>
      </c>
      <c r="D81" s="34">
        <f>VLOOKUP(B81,داتا!$B$3:$D$107,3,FALSE)</f>
        <v>2.0833333333333301E-2</v>
      </c>
      <c r="E81" s="15" t="s">
        <v>55</v>
      </c>
      <c r="F81" s="15" t="s">
        <v>186</v>
      </c>
      <c r="G81" s="16">
        <v>8.3333333333333329E-2</v>
      </c>
      <c r="H81" s="16">
        <v>8.3333333333333329E-2</v>
      </c>
      <c r="I81" s="16">
        <f t="shared" si="24"/>
        <v>0</v>
      </c>
      <c r="J81" s="16">
        <v>0.60069444444444442</v>
      </c>
      <c r="K81" s="16">
        <v>0.61111111111111105</v>
      </c>
      <c r="L81" s="16" t="s">
        <v>94</v>
      </c>
      <c r="M81" s="16" t="s">
        <v>94</v>
      </c>
      <c r="N81" s="16">
        <f t="shared" si="19"/>
        <v>1.041666666666663E-2</v>
      </c>
      <c r="O81" s="16">
        <v>0</v>
      </c>
      <c r="P81" s="16">
        <v>6.9444444444444397E-3</v>
      </c>
      <c r="Q81" s="16">
        <v>0.61805555555555558</v>
      </c>
      <c r="R81" s="16">
        <f t="shared" si="21"/>
        <v>0</v>
      </c>
      <c r="S81" s="16">
        <v>0.61805555555555558</v>
      </c>
      <c r="T81" s="16">
        <v>1.0416666666666666E-2</v>
      </c>
      <c r="U81" s="16">
        <v>0.68819444444444444</v>
      </c>
      <c r="V81" s="16">
        <v>2.0833333333333333E-3</v>
      </c>
      <c r="W81" s="16">
        <v>3.125E-2</v>
      </c>
      <c r="X81" s="16">
        <v>0.69097222222222221</v>
      </c>
      <c r="Y81" s="16">
        <v>0.71180555555555558</v>
      </c>
      <c r="Z81" s="16">
        <f t="shared" si="23"/>
        <v>2.083333333333337E-2</v>
      </c>
      <c r="AA81" s="16">
        <v>0</v>
      </c>
      <c r="AB81" s="16">
        <v>0.71527777777777779</v>
      </c>
      <c r="AC81" s="17"/>
      <c r="AD81" s="51"/>
    </row>
    <row r="82" spans="1:30" ht="19.5" thickBot="1" x14ac:dyDescent="0.3">
      <c r="A82" s="14">
        <v>15</v>
      </c>
      <c r="B82" s="15">
        <v>586</v>
      </c>
      <c r="C82" s="15" t="str">
        <f>VLOOKUP(B82,داتا!$B$3:$D$107,2,FALSE)</f>
        <v>سوزوكي</v>
      </c>
      <c r="D82" s="34">
        <f>VLOOKUP(B82,داتا!$B$3:$D$107,3,FALSE)</f>
        <v>2.0833333333333301E-2</v>
      </c>
      <c r="E82" s="15" t="s">
        <v>72</v>
      </c>
      <c r="F82" s="15" t="s">
        <v>187</v>
      </c>
      <c r="G82" s="16">
        <v>8.3333333333333329E-2</v>
      </c>
      <c r="H82" s="16">
        <v>8.6805555555555552E-2</v>
      </c>
      <c r="I82" s="16">
        <f t="shared" si="24"/>
        <v>3.4722222222222238E-3</v>
      </c>
      <c r="J82" s="16">
        <v>0.625</v>
      </c>
      <c r="K82" s="16">
        <v>0.62847222222222221</v>
      </c>
      <c r="L82" s="16" t="s">
        <v>94</v>
      </c>
      <c r="M82" s="16" t="s">
        <v>94</v>
      </c>
      <c r="N82" s="16">
        <f t="shared" si="19"/>
        <v>3.4722222222222099E-3</v>
      </c>
      <c r="O82" s="16">
        <v>0</v>
      </c>
      <c r="P82" s="16">
        <v>6.9444444444444397E-3</v>
      </c>
      <c r="Q82" s="16">
        <v>0.62847222222222221</v>
      </c>
      <c r="R82" s="16">
        <v>0</v>
      </c>
      <c r="S82" s="16">
        <v>0.62847222222222221</v>
      </c>
      <c r="T82" s="16">
        <f>VLOOKUP(E82,'[2]21-3-2026'!E$3:T$35,16,FALSE)</f>
        <v>1.0416666666666701E-2</v>
      </c>
      <c r="U82" s="16">
        <v>0.64236111111111116</v>
      </c>
      <c r="V82" s="16">
        <f t="shared" si="22"/>
        <v>3.4722222222222099E-3</v>
      </c>
      <c r="W82" s="16">
        <v>2.0833333333333332E-2</v>
      </c>
      <c r="X82" s="16">
        <v>0.64583333333333337</v>
      </c>
      <c r="Y82" s="16">
        <v>0.65138888888888891</v>
      </c>
      <c r="Z82" s="16">
        <f t="shared" si="23"/>
        <v>5.5555555555555358E-3</v>
      </c>
      <c r="AA82" s="16">
        <v>0</v>
      </c>
      <c r="AB82" s="16">
        <v>0.65277777777777779</v>
      </c>
      <c r="AC82" s="17"/>
      <c r="AD82" s="51"/>
    </row>
    <row r="83" spans="1:30" ht="19.5" thickBot="1" x14ac:dyDescent="0.3">
      <c r="A83" s="14">
        <v>16</v>
      </c>
      <c r="B83" s="15">
        <v>586</v>
      </c>
      <c r="C83" s="15" t="str">
        <f>VLOOKUP(B83,داتا!$B$3:$D$107,2,FALSE)</f>
        <v>سوزوكي</v>
      </c>
      <c r="D83" s="34">
        <f>VLOOKUP(B83,داتا!$B$3:$D$107,3,FALSE)</f>
        <v>2.0833333333333301E-2</v>
      </c>
      <c r="E83" s="15" t="s">
        <v>92</v>
      </c>
      <c r="F83" s="15" t="s">
        <v>187</v>
      </c>
      <c r="G83" s="16">
        <v>8.3333333333333329E-2</v>
      </c>
      <c r="H83" s="16">
        <v>8.6805555555555552E-2</v>
      </c>
      <c r="I83" s="16">
        <f t="shared" si="24"/>
        <v>3.4722222222222238E-3</v>
      </c>
      <c r="J83" s="16">
        <v>0.625</v>
      </c>
      <c r="K83" s="16">
        <v>0.62847222222222221</v>
      </c>
      <c r="L83" s="16" t="s">
        <v>94</v>
      </c>
      <c r="M83" s="16" t="s">
        <v>94</v>
      </c>
      <c r="N83" s="16">
        <f t="shared" si="19"/>
        <v>3.4722222222222099E-3</v>
      </c>
      <c r="O83" s="16">
        <v>0</v>
      </c>
      <c r="P83" s="16">
        <v>6.9444444444444397E-3</v>
      </c>
      <c r="Q83" s="16">
        <v>0.62847222222222221</v>
      </c>
      <c r="R83" s="16">
        <v>0</v>
      </c>
      <c r="S83" s="16">
        <v>0.62847222222222221</v>
      </c>
      <c r="T83" s="16">
        <f>VLOOKUP(E83,'[2]21-3-2026'!E$3:T$35,16,FALSE)</f>
        <v>1.38888888888889E-2</v>
      </c>
      <c r="U83" s="16">
        <v>0.65972222222222221</v>
      </c>
      <c r="V83" s="16">
        <f t="shared" si="22"/>
        <v>1.7361111111111049E-2</v>
      </c>
      <c r="W83" s="16">
        <v>3.125E-2</v>
      </c>
      <c r="X83" s="16">
        <v>0.66111111111111109</v>
      </c>
      <c r="Y83" s="16">
        <v>0.66388888888888886</v>
      </c>
      <c r="Z83" s="16">
        <f t="shared" si="23"/>
        <v>2.7777777777777679E-3</v>
      </c>
      <c r="AA83" s="16">
        <v>0</v>
      </c>
      <c r="AB83" s="16">
        <v>0.66666666666666663</v>
      </c>
      <c r="AC83" s="17"/>
      <c r="AD83" s="51"/>
    </row>
    <row r="84" spans="1:30" ht="19.5" thickBot="1" x14ac:dyDescent="0.3">
      <c r="A84" s="14">
        <v>17</v>
      </c>
      <c r="B84" s="15">
        <v>796</v>
      </c>
      <c r="C84" s="15" t="s">
        <v>189</v>
      </c>
      <c r="D84" s="34">
        <v>2.0833333333333301E-2</v>
      </c>
      <c r="E84" s="15" t="s">
        <v>89</v>
      </c>
      <c r="F84" s="15" t="s">
        <v>118</v>
      </c>
      <c r="G84" s="16">
        <v>8.3333333333333329E-2</v>
      </c>
      <c r="H84" s="16">
        <v>8.3333333333333329E-2</v>
      </c>
      <c r="I84" s="16">
        <f t="shared" si="24"/>
        <v>0</v>
      </c>
      <c r="J84" s="16">
        <v>0.56597222222222221</v>
      </c>
      <c r="K84" s="16">
        <v>0.57986111111111116</v>
      </c>
      <c r="L84" s="16" t="s">
        <v>108</v>
      </c>
      <c r="M84" s="16" t="s">
        <v>108</v>
      </c>
      <c r="N84" s="16">
        <v>1.3888888888888951E-2</v>
      </c>
      <c r="O84" s="16">
        <v>0</v>
      </c>
      <c r="P84" s="16">
        <v>6.9444444444444397E-3</v>
      </c>
      <c r="Q84" s="16">
        <v>0.61458333333333337</v>
      </c>
      <c r="R84" s="16">
        <v>0</v>
      </c>
      <c r="S84" s="16">
        <v>0.61458333333333337</v>
      </c>
      <c r="T84" s="16">
        <f>VLOOKUP(E84,'[2]21-3-2026'!E$3:T$35,16,FALSE)</f>
        <v>1.7361111111111101E-2</v>
      </c>
      <c r="U84" s="16">
        <v>0.64236111111111116</v>
      </c>
      <c r="V84" s="16">
        <f t="shared" si="22"/>
        <v>1.0416666666666741E-2</v>
      </c>
      <c r="W84" s="16">
        <v>2.0833333333333332E-2</v>
      </c>
      <c r="X84" s="16">
        <v>0.64375000000000004</v>
      </c>
      <c r="Y84" s="16">
        <v>0.65486111111111112</v>
      </c>
      <c r="Z84" s="16">
        <f t="shared" si="23"/>
        <v>1.1111111111111072E-2</v>
      </c>
      <c r="AA84" s="16">
        <v>0</v>
      </c>
      <c r="AB84" s="16">
        <v>0.65625</v>
      </c>
      <c r="AC84" s="17"/>
      <c r="AD84" s="51"/>
    </row>
    <row r="85" spans="1:30" ht="19.5" thickBot="1" x14ac:dyDescent="0.3">
      <c r="A85" s="14">
        <v>18</v>
      </c>
      <c r="B85" s="15">
        <v>796</v>
      </c>
      <c r="C85" s="15" t="s">
        <v>189</v>
      </c>
      <c r="D85" s="34">
        <v>2.0833333333333301E-2</v>
      </c>
      <c r="E85" s="15" t="s">
        <v>39</v>
      </c>
      <c r="F85" s="15" t="s">
        <v>118</v>
      </c>
      <c r="G85" s="16">
        <v>8.3333333333333329E-2</v>
      </c>
      <c r="H85" s="16">
        <v>8.3333333333333329E-2</v>
      </c>
      <c r="I85" s="16">
        <f t="shared" si="24"/>
        <v>0</v>
      </c>
      <c r="J85" s="16">
        <v>0.56597222222222221</v>
      </c>
      <c r="K85" s="16">
        <v>0.57986111111111116</v>
      </c>
      <c r="L85" s="16" t="s">
        <v>108</v>
      </c>
      <c r="M85" s="16" t="s">
        <v>108</v>
      </c>
      <c r="N85" s="16">
        <v>1.3888888888888951E-2</v>
      </c>
      <c r="O85" s="16">
        <v>0</v>
      </c>
      <c r="P85" s="16">
        <v>6.9444444444444397E-3</v>
      </c>
      <c r="Q85" s="16">
        <v>0.61458333333333337</v>
      </c>
      <c r="R85" s="16">
        <v>0</v>
      </c>
      <c r="S85" s="16">
        <v>0.61458333333333337</v>
      </c>
      <c r="T85" s="16">
        <v>6.9444444444444441E-3</v>
      </c>
      <c r="U85" s="16">
        <v>0.66666666666666663</v>
      </c>
      <c r="V85" s="16">
        <v>3.472222222222222E-3</v>
      </c>
      <c r="W85" s="16">
        <v>3.125E-2</v>
      </c>
      <c r="X85" s="16">
        <v>0.66805555555555551</v>
      </c>
      <c r="Y85" s="16">
        <v>0.67708333333333337</v>
      </c>
      <c r="Z85" s="16">
        <f t="shared" si="23"/>
        <v>9.0277777777778567E-3</v>
      </c>
      <c r="AA85" s="16">
        <v>0</v>
      </c>
      <c r="AB85" s="16">
        <v>0.70138888888888884</v>
      </c>
      <c r="AC85" s="17"/>
      <c r="AD85" s="51"/>
    </row>
    <row r="86" spans="1:30" ht="19.5" thickBot="1" x14ac:dyDescent="0.3">
      <c r="A86" s="14">
        <v>19</v>
      </c>
      <c r="B86" s="15">
        <v>2695</v>
      </c>
      <c r="C86" s="15" t="s">
        <v>102</v>
      </c>
      <c r="D86" s="34">
        <v>3.125E-2</v>
      </c>
      <c r="E86" s="15" t="s">
        <v>69</v>
      </c>
      <c r="F86" s="15" t="s">
        <v>143</v>
      </c>
      <c r="G86" s="16">
        <v>8.3333333333333329E-2</v>
      </c>
      <c r="H86" s="16">
        <v>8.3333333333333329E-2</v>
      </c>
      <c r="I86" s="16">
        <f t="shared" si="24"/>
        <v>0</v>
      </c>
      <c r="J86" s="16">
        <v>0.59722222222222221</v>
      </c>
      <c r="K86" s="16">
        <v>0.63541666666666663</v>
      </c>
      <c r="L86" s="16" t="s">
        <v>110</v>
      </c>
      <c r="M86" s="16" t="s">
        <v>110</v>
      </c>
      <c r="N86" s="16">
        <v>3.819444444444442E-2</v>
      </c>
      <c r="O86" s="16">
        <v>6.9444444444444198E-3</v>
      </c>
      <c r="P86" s="16">
        <v>6.9444444444444397E-3</v>
      </c>
      <c r="Q86" s="16">
        <v>0.64236111111111116</v>
      </c>
      <c r="R86" s="16">
        <v>0</v>
      </c>
      <c r="S86" s="16">
        <v>0.64236111111111116</v>
      </c>
      <c r="T86" s="16">
        <f>VLOOKUP(E86,'[2]21-3-2026'!E$3:T$35,16,FALSE)</f>
        <v>1.38888888888889E-2</v>
      </c>
      <c r="U86" s="16">
        <v>0.65277777777777779</v>
      </c>
      <c r="V86" s="16">
        <v>0</v>
      </c>
      <c r="W86" s="16">
        <v>3.125E-2</v>
      </c>
      <c r="X86" s="16">
        <v>0.65625</v>
      </c>
      <c r="Y86" s="16">
        <v>0.66319444444444442</v>
      </c>
      <c r="Z86" s="16">
        <f t="shared" si="23"/>
        <v>6.9444444444444198E-3</v>
      </c>
      <c r="AA86" s="16">
        <v>0</v>
      </c>
      <c r="AB86" s="16">
        <v>0.66666666666666663</v>
      </c>
      <c r="AC86" s="17"/>
      <c r="AD86" s="51"/>
    </row>
    <row r="87" spans="1:30" ht="19.5" thickBot="1" x14ac:dyDescent="0.3">
      <c r="A87" s="14">
        <v>20</v>
      </c>
      <c r="B87" s="15">
        <v>2695</v>
      </c>
      <c r="C87" s="15" t="s">
        <v>102</v>
      </c>
      <c r="D87" s="34">
        <v>3.125E-2</v>
      </c>
      <c r="E87" s="15" t="s">
        <v>67</v>
      </c>
      <c r="F87" s="15" t="s">
        <v>143</v>
      </c>
      <c r="G87" s="16">
        <v>8.3333333333333329E-2</v>
      </c>
      <c r="H87" s="16">
        <v>7.6388888888888895E-2</v>
      </c>
      <c r="I87" s="16">
        <v>0</v>
      </c>
      <c r="J87" s="16">
        <v>0.59722222222222221</v>
      </c>
      <c r="K87" s="16">
        <v>0.63541666666666663</v>
      </c>
      <c r="L87" s="16" t="s">
        <v>110</v>
      </c>
      <c r="M87" s="16" t="s">
        <v>110</v>
      </c>
      <c r="N87" s="16">
        <v>3.819444444444442E-2</v>
      </c>
      <c r="O87" s="16">
        <v>6.9444444444444198E-3</v>
      </c>
      <c r="P87" s="16">
        <v>6.9444444444444397E-3</v>
      </c>
      <c r="Q87" s="16">
        <v>0.64236111111111116</v>
      </c>
      <c r="R87" s="16">
        <v>0</v>
      </c>
      <c r="S87" s="16">
        <v>0.64236111111111116</v>
      </c>
      <c r="T87" s="16">
        <f>VLOOKUP(E87,'[2]21-3-2026'!E$3:T$35,16,FALSE)</f>
        <v>1.7361111111111101E-2</v>
      </c>
      <c r="U87" s="16">
        <v>0.67638888888888893</v>
      </c>
      <c r="V87" s="16">
        <f t="shared" si="22"/>
        <v>1.6666666666666718E-2</v>
      </c>
      <c r="W87" s="16">
        <v>3.125E-2</v>
      </c>
      <c r="X87" s="16">
        <v>0.68055555555555558</v>
      </c>
      <c r="Y87" s="16">
        <v>0.6875</v>
      </c>
      <c r="Z87" s="16">
        <f t="shared" si="23"/>
        <v>6.9444444444444198E-3</v>
      </c>
      <c r="AA87" s="16">
        <v>0</v>
      </c>
      <c r="AB87" s="16">
        <v>0.69097222222222221</v>
      </c>
      <c r="AC87" s="17"/>
      <c r="AD87" s="51"/>
    </row>
    <row r="88" spans="1:30" ht="19.5" thickBot="1" x14ac:dyDescent="0.3">
      <c r="A88" s="14">
        <v>21</v>
      </c>
      <c r="B88" s="15">
        <v>2695</v>
      </c>
      <c r="C88" s="15" t="s">
        <v>102</v>
      </c>
      <c r="D88" s="34">
        <v>3.125E-2</v>
      </c>
      <c r="E88" s="15" t="s">
        <v>57</v>
      </c>
      <c r="F88" s="15" t="s">
        <v>143</v>
      </c>
      <c r="G88" s="16">
        <v>8.3333333333333329E-2</v>
      </c>
      <c r="H88" s="16">
        <v>7.6388888888888895E-2</v>
      </c>
      <c r="I88" s="16">
        <v>0</v>
      </c>
      <c r="J88" s="16">
        <v>0.59722222222222221</v>
      </c>
      <c r="K88" s="16">
        <v>0.63541666666666663</v>
      </c>
      <c r="L88" s="16" t="s">
        <v>110</v>
      </c>
      <c r="M88" s="16" t="s">
        <v>110</v>
      </c>
      <c r="N88" s="16">
        <v>3.819444444444442E-2</v>
      </c>
      <c r="O88" s="16">
        <v>6.9444444444444198E-3</v>
      </c>
      <c r="P88" s="16">
        <v>6.9444444444444397E-3</v>
      </c>
      <c r="Q88" s="16">
        <v>0.64236111111111116</v>
      </c>
      <c r="R88" s="16">
        <v>0</v>
      </c>
      <c r="S88" s="16">
        <v>0.64236111111111116</v>
      </c>
      <c r="T88" s="16">
        <v>1.0416666666666666E-2</v>
      </c>
      <c r="U88" s="16">
        <v>0.70833333333333337</v>
      </c>
      <c r="V88" s="16">
        <v>6.9444444444444441E-3</v>
      </c>
      <c r="W88" s="16">
        <v>4.1666666666666664E-2</v>
      </c>
      <c r="X88" s="16">
        <v>0.71180555555555558</v>
      </c>
      <c r="Y88" s="16">
        <v>0.73611111111111116</v>
      </c>
      <c r="Z88" s="16">
        <f t="shared" si="23"/>
        <v>2.430555555555558E-2</v>
      </c>
      <c r="AA88" s="16">
        <v>0</v>
      </c>
      <c r="AB88" s="16">
        <v>0.73958333333333337</v>
      </c>
      <c r="AC88" s="19"/>
      <c r="AD88" s="51"/>
    </row>
    <row r="89" spans="1:30" ht="19.5" thickBot="1" x14ac:dyDescent="0.3">
      <c r="A89" s="14">
        <v>22</v>
      </c>
      <c r="B89" s="15">
        <v>6143</v>
      </c>
      <c r="C89" s="15" t="s">
        <v>102</v>
      </c>
      <c r="D89" s="34">
        <v>3.125E-2</v>
      </c>
      <c r="E89" s="15" t="s">
        <v>46</v>
      </c>
      <c r="F89" s="15" t="s">
        <v>184</v>
      </c>
      <c r="G89" s="16">
        <v>8.3333333333333329E-2</v>
      </c>
      <c r="H89" s="16">
        <v>8.3333333333333329E-2</v>
      </c>
      <c r="I89" s="16">
        <f t="shared" si="24"/>
        <v>0</v>
      </c>
      <c r="J89" s="16">
        <v>0.58333333333333337</v>
      </c>
      <c r="K89" s="16">
        <v>0.61458333333333337</v>
      </c>
      <c r="L89" s="16" t="s">
        <v>85</v>
      </c>
      <c r="M89" s="16" t="s">
        <v>85</v>
      </c>
      <c r="N89" s="16">
        <v>3.125E-2</v>
      </c>
      <c r="O89" s="16">
        <v>0</v>
      </c>
      <c r="P89" s="16">
        <v>6.9444444444444397E-3</v>
      </c>
      <c r="Q89" s="16">
        <v>0.61805555555555558</v>
      </c>
      <c r="R89" s="16">
        <v>0</v>
      </c>
      <c r="S89" s="16">
        <v>0.61805555555555558</v>
      </c>
      <c r="T89" s="16">
        <f>VLOOKUP(E89,'[2]21-3-2026'!E$3:T$35,16,FALSE)</f>
        <v>3.4722222222222203E-2</v>
      </c>
      <c r="U89" s="16">
        <v>0.65277777777777779</v>
      </c>
      <c r="V89" s="16">
        <f t="shared" si="22"/>
        <v>0</v>
      </c>
      <c r="W89" s="16">
        <v>3.125E-2</v>
      </c>
      <c r="X89" s="16">
        <v>0.65347222222222223</v>
      </c>
      <c r="Y89" s="16">
        <v>0.6875</v>
      </c>
      <c r="Z89" s="16">
        <f t="shared" si="23"/>
        <v>3.4027777777777768E-2</v>
      </c>
      <c r="AA89" s="16">
        <f t="shared" si="17"/>
        <v>2.7777777777777679E-3</v>
      </c>
      <c r="AB89" s="16">
        <v>0.69097222222222221</v>
      </c>
      <c r="AC89" s="19"/>
      <c r="AD89" s="51"/>
    </row>
    <row r="90" spans="1:30" ht="19.5" thickBot="1" x14ac:dyDescent="0.3">
      <c r="A90" s="14">
        <v>23</v>
      </c>
      <c r="B90" s="15">
        <v>6143</v>
      </c>
      <c r="C90" s="15" t="s">
        <v>102</v>
      </c>
      <c r="D90" s="34">
        <v>3.125E-2</v>
      </c>
      <c r="E90" s="15" t="s">
        <v>49</v>
      </c>
      <c r="F90" s="15" t="s">
        <v>184</v>
      </c>
      <c r="G90" s="16">
        <v>8.3333333333333329E-2</v>
      </c>
      <c r="H90" s="16">
        <v>9.0277777777777776E-2</v>
      </c>
      <c r="I90" s="16">
        <f t="shared" si="24"/>
        <v>6.9444444444444475E-3</v>
      </c>
      <c r="J90" s="16">
        <v>0.58333333333333337</v>
      </c>
      <c r="K90" s="16">
        <v>0.61458333333333337</v>
      </c>
      <c r="L90" s="16" t="s">
        <v>85</v>
      </c>
      <c r="M90" s="16" t="s">
        <v>85</v>
      </c>
      <c r="N90" s="16">
        <v>3.125E-2</v>
      </c>
      <c r="O90" s="16">
        <v>0</v>
      </c>
      <c r="P90" s="16">
        <v>6.9444444444444397E-3</v>
      </c>
      <c r="Q90" s="16">
        <v>0.61805555555555558</v>
      </c>
      <c r="R90" s="16">
        <v>0</v>
      </c>
      <c r="S90" s="16">
        <v>0.61805555555555558</v>
      </c>
      <c r="T90" s="16">
        <v>1.0416666666666666E-2</v>
      </c>
      <c r="U90" s="16">
        <v>0.70138888888888884</v>
      </c>
      <c r="V90" s="16">
        <v>0</v>
      </c>
      <c r="W90" s="16">
        <v>4.1666666666666664E-2</v>
      </c>
      <c r="X90" s="16">
        <v>0.70486111111111116</v>
      </c>
      <c r="Y90" s="16">
        <v>0.75</v>
      </c>
      <c r="Z90" s="16">
        <f t="shared" si="23"/>
        <v>4.513888888888884E-2</v>
      </c>
      <c r="AA90" s="16">
        <f t="shared" si="17"/>
        <v>3.4722222222221752E-3</v>
      </c>
      <c r="AB90" s="16">
        <v>0.75347222222222221</v>
      </c>
      <c r="AC90" s="19"/>
      <c r="AD90" s="51"/>
    </row>
    <row r="91" spans="1:30" ht="19.5" thickBot="1" x14ac:dyDescent="0.3">
      <c r="A91" s="14">
        <v>24</v>
      </c>
      <c r="B91" s="15">
        <v>1537</v>
      </c>
      <c r="C91" s="15" t="s">
        <v>102</v>
      </c>
      <c r="D91" s="34">
        <v>3.125E-2</v>
      </c>
      <c r="E91" s="15" t="s">
        <v>83</v>
      </c>
      <c r="F91" s="15" t="s">
        <v>163</v>
      </c>
      <c r="G91" s="16">
        <v>8.3333333333333329E-2</v>
      </c>
      <c r="H91" s="16">
        <v>9.0277777777777776E-2</v>
      </c>
      <c r="I91" s="16">
        <f t="shared" si="24"/>
        <v>6.9444444444444475E-3</v>
      </c>
      <c r="J91" s="16">
        <v>0.62847222222222221</v>
      </c>
      <c r="K91" s="16">
        <v>0.63541666666666663</v>
      </c>
      <c r="L91" s="16" t="s">
        <v>85</v>
      </c>
      <c r="M91" s="16" t="s">
        <v>85</v>
      </c>
      <c r="N91" s="16">
        <v>6.9444444444444198E-3</v>
      </c>
      <c r="O91" s="16">
        <v>0</v>
      </c>
      <c r="P91" s="16">
        <v>6.9444444444444397E-3</v>
      </c>
      <c r="Q91" s="16">
        <v>0.63541666666666663</v>
      </c>
      <c r="R91" s="16">
        <v>0</v>
      </c>
      <c r="S91" s="16">
        <v>0.63541666666666663</v>
      </c>
      <c r="T91" s="16">
        <f>VLOOKUP(E91,'[2]21-3-2026'!E$3:T$35,16,FALSE)</f>
        <v>1.38888888888889E-2</v>
      </c>
      <c r="U91" s="16">
        <v>0.65277777777777779</v>
      </c>
      <c r="V91" s="16">
        <f t="shared" si="22"/>
        <v>3.4722222222222099E-3</v>
      </c>
      <c r="W91" s="16">
        <v>3.125E-2</v>
      </c>
      <c r="X91" s="16">
        <v>0.65972222222222221</v>
      </c>
      <c r="Y91" s="16">
        <v>0.67361111111111116</v>
      </c>
      <c r="Z91" s="16">
        <f t="shared" si="23"/>
        <v>1.3888888888888951E-2</v>
      </c>
      <c r="AA91" s="16">
        <v>0</v>
      </c>
      <c r="AB91" s="16">
        <v>0.67708333333333337</v>
      </c>
      <c r="AC91" s="19"/>
      <c r="AD91" s="51"/>
    </row>
    <row r="92" spans="1:30" ht="19.5" thickBot="1" x14ac:dyDescent="0.3">
      <c r="A92" s="14">
        <v>25</v>
      </c>
      <c r="B92" s="15">
        <v>1537</v>
      </c>
      <c r="C92" s="15" t="s">
        <v>102</v>
      </c>
      <c r="D92" s="34">
        <v>3.125E-2</v>
      </c>
      <c r="E92" s="15" t="s">
        <v>77</v>
      </c>
      <c r="F92" s="15" t="s">
        <v>163</v>
      </c>
      <c r="G92" s="16">
        <v>8.3333333333333329E-2</v>
      </c>
      <c r="H92" s="16">
        <v>8.3333333333333329E-2</v>
      </c>
      <c r="I92" s="16">
        <f t="shared" si="24"/>
        <v>0</v>
      </c>
      <c r="J92" s="16">
        <v>0.62847222222222221</v>
      </c>
      <c r="K92" s="16">
        <v>0.63541666666666663</v>
      </c>
      <c r="L92" s="16" t="s">
        <v>85</v>
      </c>
      <c r="M92" s="16" t="s">
        <v>85</v>
      </c>
      <c r="N92" s="16">
        <v>6.9444444444444198E-3</v>
      </c>
      <c r="O92" s="16">
        <v>0</v>
      </c>
      <c r="P92" s="16">
        <v>6.9444444444444397E-3</v>
      </c>
      <c r="Q92" s="16">
        <v>0.63541666666666663</v>
      </c>
      <c r="R92" s="16">
        <v>0</v>
      </c>
      <c r="S92" s="16">
        <v>0.63541666666666663</v>
      </c>
      <c r="T92" s="16">
        <v>3.472222222222222E-3</v>
      </c>
      <c r="U92" s="16">
        <v>0.6875</v>
      </c>
      <c r="V92" s="16">
        <v>6.9444444444444441E-3</v>
      </c>
      <c r="W92" s="16">
        <v>4.1666666666666664E-2</v>
      </c>
      <c r="X92" s="16">
        <v>0.69097222222222221</v>
      </c>
      <c r="Y92" s="16">
        <v>0.70138888888888884</v>
      </c>
      <c r="Z92" s="16">
        <f t="shared" si="23"/>
        <v>1.041666666666663E-2</v>
      </c>
      <c r="AA92" s="16">
        <v>0</v>
      </c>
      <c r="AB92" s="16">
        <v>0.70486111111111116</v>
      </c>
      <c r="AC92" s="19"/>
      <c r="AD92" s="51"/>
    </row>
    <row r="93" spans="1:30" ht="19.5" thickBot="1" x14ac:dyDescent="0.3">
      <c r="A93" s="14">
        <v>26</v>
      </c>
      <c r="B93" s="15">
        <v>3891</v>
      </c>
      <c r="C93" s="15" t="s">
        <v>102</v>
      </c>
      <c r="D93" s="34">
        <v>3.125E-2</v>
      </c>
      <c r="E93" s="15" t="s">
        <v>51</v>
      </c>
      <c r="F93" s="15" t="s">
        <v>185</v>
      </c>
      <c r="G93" s="16">
        <v>8.3333333333333329E-2</v>
      </c>
      <c r="H93" s="16">
        <v>8.3333333333333329E-2</v>
      </c>
      <c r="I93" s="16">
        <f t="shared" si="24"/>
        <v>0</v>
      </c>
      <c r="J93" s="16">
        <v>0.59375</v>
      </c>
      <c r="K93" s="16">
        <v>0.61458333333333337</v>
      </c>
      <c r="L93" s="16" t="s">
        <v>88</v>
      </c>
      <c r="M93" s="16" t="s">
        <v>88</v>
      </c>
      <c r="N93" s="16">
        <v>2.0833333333333332E-2</v>
      </c>
      <c r="O93" s="16">
        <v>0</v>
      </c>
      <c r="P93" s="16">
        <v>6.9444444444444397E-3</v>
      </c>
      <c r="Q93" s="16">
        <v>0.62152777777777779</v>
      </c>
      <c r="R93" s="16">
        <v>0</v>
      </c>
      <c r="S93" s="16">
        <v>0.62152777777777779</v>
      </c>
      <c r="T93" s="16">
        <f>VLOOKUP(E93,'[2]21-3-2026'!E$3:T$35,16,FALSE)</f>
        <v>2.4305555555555601E-2</v>
      </c>
      <c r="U93" s="16">
        <v>0.65625</v>
      </c>
      <c r="V93" s="16">
        <f t="shared" si="22"/>
        <v>1.041666666666663E-2</v>
      </c>
      <c r="W93" s="16">
        <v>4.1666666666666664E-2</v>
      </c>
      <c r="X93" s="16">
        <v>0.66319444444444442</v>
      </c>
      <c r="Y93" s="16">
        <v>0.72569444444444442</v>
      </c>
      <c r="Z93" s="16">
        <f t="shared" si="23"/>
        <v>6.25E-2</v>
      </c>
      <c r="AA93" s="16">
        <f t="shared" si="17"/>
        <v>2.0833333333333336E-2</v>
      </c>
      <c r="AB93" s="16">
        <v>0.73263888888888884</v>
      </c>
      <c r="AC93" s="19"/>
      <c r="AD93" s="51"/>
    </row>
    <row r="94" spans="1:30" ht="19.5" thickBot="1" x14ac:dyDescent="0.3">
      <c r="A94" s="14">
        <v>27</v>
      </c>
      <c r="B94" s="15">
        <v>3492</v>
      </c>
      <c r="C94" s="15" t="s">
        <v>102</v>
      </c>
      <c r="D94" s="34">
        <v>3.125E-2</v>
      </c>
      <c r="E94" s="15" t="s">
        <v>86</v>
      </c>
      <c r="F94" s="15" t="s">
        <v>188</v>
      </c>
      <c r="G94" s="16">
        <v>8.3333333333333329E-2</v>
      </c>
      <c r="H94" s="16">
        <v>8.3333333333333329E-2</v>
      </c>
      <c r="I94" s="16">
        <f t="shared" si="24"/>
        <v>0</v>
      </c>
      <c r="J94" s="16">
        <v>0.62847222222222221</v>
      </c>
      <c r="K94" s="16">
        <v>0.64236111111111116</v>
      </c>
      <c r="L94" s="16" t="s">
        <v>88</v>
      </c>
      <c r="M94" s="16" t="s">
        <v>88</v>
      </c>
      <c r="N94" s="16">
        <v>1.3888888888888951E-2</v>
      </c>
      <c r="O94" s="16">
        <v>0</v>
      </c>
      <c r="P94" s="16">
        <v>6.9444444444444397E-3</v>
      </c>
      <c r="Q94" s="16">
        <v>0.64930555555555558</v>
      </c>
      <c r="R94" s="16">
        <v>0</v>
      </c>
      <c r="S94" s="16">
        <v>0.64930555555555558</v>
      </c>
      <c r="T94" s="16">
        <f>VLOOKUP(E94,'[2]21-3-2026'!E$3:T$35,16,FALSE)</f>
        <v>3.4722222222222199E-3</v>
      </c>
      <c r="U94" s="16">
        <v>0.65277777777777779</v>
      </c>
      <c r="V94" s="16">
        <f t="shared" si="22"/>
        <v>0</v>
      </c>
      <c r="W94" s="16">
        <v>3.125E-2</v>
      </c>
      <c r="X94" s="16">
        <v>0.65625</v>
      </c>
      <c r="Y94" s="16">
        <v>0.66666666666666663</v>
      </c>
      <c r="Z94" s="16">
        <f t="shared" si="23"/>
        <v>1.041666666666663E-2</v>
      </c>
      <c r="AA94" s="16">
        <v>0</v>
      </c>
      <c r="AB94" s="16">
        <v>0.67013888888888884</v>
      </c>
      <c r="AC94" s="19"/>
      <c r="AD94" s="51"/>
    </row>
    <row r="95" spans="1:30" ht="19.5" thickBot="1" x14ac:dyDescent="0.3">
      <c r="A95" s="14">
        <v>28</v>
      </c>
      <c r="B95" s="15">
        <v>3492</v>
      </c>
      <c r="C95" s="15" t="s">
        <v>102</v>
      </c>
      <c r="D95" s="34">
        <v>3.125E-2</v>
      </c>
      <c r="E95" s="15" t="s">
        <v>95</v>
      </c>
      <c r="F95" s="16" t="s">
        <v>188</v>
      </c>
      <c r="G95" s="16">
        <v>8.3333333333333329E-2</v>
      </c>
      <c r="H95" s="16">
        <v>8.3333333333333329E-2</v>
      </c>
      <c r="I95" s="16">
        <f t="shared" si="24"/>
        <v>0</v>
      </c>
      <c r="J95" s="16">
        <v>0.62847222222222221</v>
      </c>
      <c r="K95" s="16">
        <v>0.64236111111111116</v>
      </c>
      <c r="L95" s="16" t="s">
        <v>88</v>
      </c>
      <c r="M95" s="16" t="s">
        <v>88</v>
      </c>
      <c r="N95" s="16">
        <v>1.3888888888888951E-2</v>
      </c>
      <c r="O95" s="16">
        <v>0</v>
      </c>
      <c r="P95" s="16">
        <v>6.9444444444444397E-3</v>
      </c>
      <c r="Q95" s="16">
        <v>0.64930555555555558</v>
      </c>
      <c r="R95" s="16">
        <v>0</v>
      </c>
      <c r="S95" s="16">
        <v>0.64930555555555558</v>
      </c>
      <c r="T95" s="16">
        <f>VLOOKUP(E95,'[2]21-3-2026'!E$3:T$35,16,FALSE)</f>
        <v>1.0416666666666701E-2</v>
      </c>
      <c r="U95" s="16">
        <v>0.6875</v>
      </c>
      <c r="V95" s="16">
        <v>6.9444444444444441E-3</v>
      </c>
      <c r="W95" s="16">
        <v>4.1666666666666664E-2</v>
      </c>
      <c r="X95" s="16">
        <v>0.69097222222222221</v>
      </c>
      <c r="Y95" s="16">
        <v>0.70833333333333337</v>
      </c>
      <c r="Z95" s="16">
        <f t="shared" si="23"/>
        <v>1.736111111111116E-2</v>
      </c>
      <c r="AA95" s="16">
        <v>0</v>
      </c>
      <c r="AB95" s="16">
        <v>0.71180555555555558</v>
      </c>
      <c r="AC95" s="19"/>
      <c r="AD95" s="51"/>
    </row>
    <row r="96" spans="1:30" ht="19.5" thickBot="1" x14ac:dyDescent="0.3">
      <c r="A96" s="14">
        <v>29</v>
      </c>
      <c r="B96" s="15">
        <v>2917</v>
      </c>
      <c r="C96" s="15" t="s">
        <v>102</v>
      </c>
      <c r="D96" s="34">
        <v>3.125E-2</v>
      </c>
      <c r="E96" s="15" t="s">
        <v>42</v>
      </c>
      <c r="F96" s="16" t="s">
        <v>175</v>
      </c>
      <c r="G96" s="16">
        <v>8.3333333333333329E-2</v>
      </c>
      <c r="H96" s="16">
        <v>7.9861111111111105E-2</v>
      </c>
      <c r="I96" s="16">
        <v>0</v>
      </c>
      <c r="J96" s="16">
        <v>0.56944444444444442</v>
      </c>
      <c r="K96" s="16">
        <v>0.61111111111111116</v>
      </c>
      <c r="L96" s="16" t="s">
        <v>182</v>
      </c>
      <c r="M96" s="16" t="s">
        <v>111</v>
      </c>
      <c r="N96" s="16">
        <v>4.1666666666666741E-2</v>
      </c>
      <c r="O96" s="16">
        <v>1.0416666666666741E-2</v>
      </c>
      <c r="P96" s="16">
        <v>6.9444444444444397E-3</v>
      </c>
      <c r="Q96" s="16">
        <v>0.62152777777777779</v>
      </c>
      <c r="R96" s="16">
        <v>0</v>
      </c>
      <c r="S96" s="16">
        <v>0.62152777777777779</v>
      </c>
      <c r="T96" s="16">
        <f>VLOOKUP(E96,'[2]21-3-2026'!E$3:T$35,16,FALSE)</f>
        <v>1.7361111111111101E-2</v>
      </c>
      <c r="U96" s="16">
        <v>0.65625</v>
      </c>
      <c r="V96" s="16">
        <f t="shared" si="22"/>
        <v>1.736111111111116E-2</v>
      </c>
      <c r="W96" s="16">
        <v>3.125E-2</v>
      </c>
      <c r="X96" s="16">
        <v>0.65972222222222221</v>
      </c>
      <c r="Y96" s="16">
        <v>0.67361111111111116</v>
      </c>
      <c r="Z96" s="16">
        <f t="shared" si="23"/>
        <v>1.3888888888888951E-2</v>
      </c>
      <c r="AA96" s="16">
        <v>0</v>
      </c>
      <c r="AB96" s="16">
        <v>0.67708333333333337</v>
      </c>
      <c r="AC96" s="19"/>
      <c r="AD96" s="54"/>
    </row>
    <row r="97" spans="1:29" ht="19.5" thickBot="1" x14ac:dyDescent="0.3">
      <c r="A97" s="14">
        <v>30</v>
      </c>
      <c r="B97" s="15">
        <v>2917</v>
      </c>
      <c r="C97" s="15" t="s">
        <v>102</v>
      </c>
      <c r="D97" s="34">
        <v>3.125E-2</v>
      </c>
      <c r="E97" s="15" t="s">
        <v>45</v>
      </c>
      <c r="F97" s="16" t="s">
        <v>175</v>
      </c>
      <c r="G97" s="16">
        <v>8.3333333333333329E-2</v>
      </c>
      <c r="H97" s="16">
        <v>7.9861111111111105E-2</v>
      </c>
      <c r="I97" s="16">
        <v>0</v>
      </c>
      <c r="J97" s="16">
        <v>0.56944444444444442</v>
      </c>
      <c r="K97" s="16">
        <v>0.61111111111111116</v>
      </c>
      <c r="L97" s="16" t="s">
        <v>182</v>
      </c>
      <c r="M97" s="16" t="s">
        <v>111</v>
      </c>
      <c r="N97" s="16">
        <v>4.1666666666666741E-2</v>
      </c>
      <c r="O97" s="16">
        <v>1.0416666666666666E-2</v>
      </c>
      <c r="P97" s="16">
        <v>6.9444444444444397E-3</v>
      </c>
      <c r="Q97" s="16">
        <v>0.62152777777777779</v>
      </c>
      <c r="R97" s="16">
        <v>0</v>
      </c>
      <c r="S97" s="16">
        <v>0.62152777777777779</v>
      </c>
      <c r="T97" s="16">
        <f>VLOOKUP(E97,'[2]21-3-2026'!E$3:T$35,16,FALSE)</f>
        <v>1.38888888888889E-2</v>
      </c>
      <c r="U97" s="16">
        <v>0.68888888888888888</v>
      </c>
      <c r="V97" s="16">
        <v>0</v>
      </c>
      <c r="W97" s="16">
        <v>4.1666666666666664E-2</v>
      </c>
      <c r="X97" s="16">
        <v>0.69236111111111109</v>
      </c>
      <c r="Y97" s="16">
        <v>0.72916666666666663</v>
      </c>
      <c r="Z97" s="16">
        <f t="shared" si="23"/>
        <v>3.6805555555555536E-2</v>
      </c>
      <c r="AA97" s="16">
        <v>0</v>
      </c>
      <c r="AB97" s="16">
        <v>0.73263888888888884</v>
      </c>
      <c r="AC97" s="19"/>
    </row>
    <row r="98" spans="1:29" ht="19.5" thickBot="1" x14ac:dyDescent="0.3">
      <c r="A98" s="14">
        <v>31</v>
      </c>
      <c r="B98" s="15">
        <v>9198</v>
      </c>
      <c r="C98" s="15" t="s">
        <v>189</v>
      </c>
      <c r="D98" s="34">
        <v>3.125E-2</v>
      </c>
      <c r="E98" s="15" t="s">
        <v>65</v>
      </c>
      <c r="F98" s="16" t="s">
        <v>191</v>
      </c>
      <c r="G98" s="16">
        <v>8.3333333333333329E-2</v>
      </c>
      <c r="H98" s="16">
        <v>8.3333333333333329E-2</v>
      </c>
      <c r="I98" s="16">
        <f t="shared" si="24"/>
        <v>0</v>
      </c>
      <c r="J98" s="16">
        <v>0.57986111111111116</v>
      </c>
      <c r="K98" s="16">
        <v>0.58680555555555558</v>
      </c>
      <c r="L98" s="16" t="s">
        <v>105</v>
      </c>
      <c r="M98" s="16" t="s">
        <v>190</v>
      </c>
      <c r="N98" s="16">
        <v>6.9444444444444441E-3</v>
      </c>
      <c r="O98" s="16">
        <v>0</v>
      </c>
      <c r="P98" s="16">
        <v>6.9444444444444397E-3</v>
      </c>
      <c r="Q98" s="16">
        <v>0.59722222222222221</v>
      </c>
      <c r="R98" s="16">
        <v>0</v>
      </c>
      <c r="S98" s="16">
        <v>0.59722222222222221</v>
      </c>
      <c r="T98" s="16">
        <f>VLOOKUP(E98,'[2]21-3-2026'!E$3:T$35,16,FALSE)</f>
        <v>4.1666666666666699E-2</v>
      </c>
      <c r="U98" s="16">
        <v>0.64583333333333337</v>
      </c>
      <c r="V98" s="16">
        <f t="shared" si="22"/>
        <v>6.9444444444444198E-3</v>
      </c>
      <c r="W98" s="16">
        <v>3.125E-2</v>
      </c>
      <c r="X98" s="16">
        <v>0.64930555555555558</v>
      </c>
      <c r="Y98" s="16">
        <v>0.67361111111111116</v>
      </c>
      <c r="Z98" s="16">
        <f t="shared" si="23"/>
        <v>2.430555555555558E-2</v>
      </c>
      <c r="AA98" s="16">
        <v>0</v>
      </c>
      <c r="AB98" s="16">
        <v>0.67708333333333337</v>
      </c>
      <c r="AC98" s="19"/>
    </row>
    <row r="99" spans="1:29" ht="19.5" thickBot="1" x14ac:dyDescent="0.3">
      <c r="A99" s="20">
        <v>32</v>
      </c>
      <c r="B99" s="21">
        <v>3783</v>
      </c>
      <c r="C99" s="21" t="s">
        <v>189</v>
      </c>
      <c r="D99" s="35">
        <v>3.125E-2</v>
      </c>
      <c r="E99" s="21" t="s">
        <v>54</v>
      </c>
      <c r="F99" s="22" t="s">
        <v>192</v>
      </c>
      <c r="G99" s="22">
        <v>8.3333333333333329E-2</v>
      </c>
      <c r="H99" s="22">
        <v>8.3333333333333329E-2</v>
      </c>
      <c r="I99" s="22">
        <f t="shared" si="24"/>
        <v>0</v>
      </c>
      <c r="J99" s="22">
        <v>0.62152777777777779</v>
      </c>
      <c r="K99" s="22">
        <v>0.61458333333333337</v>
      </c>
      <c r="L99" s="22" t="s">
        <v>193</v>
      </c>
      <c r="M99" s="22" t="s">
        <v>193</v>
      </c>
      <c r="N99" s="22">
        <v>0.125</v>
      </c>
      <c r="O99" s="22">
        <v>9.375E-2</v>
      </c>
      <c r="P99" s="22">
        <v>6.9444444444444397E-3</v>
      </c>
      <c r="Q99" s="22">
        <v>0.63194444444444442</v>
      </c>
      <c r="R99" s="22">
        <v>0</v>
      </c>
      <c r="S99" s="22">
        <v>0.63194444444444442</v>
      </c>
      <c r="T99" s="22">
        <f>VLOOKUP(E99,'[2]21-3-2026'!E$3:T$35,16,FALSE)</f>
        <v>1.0416666666666701E-2</v>
      </c>
      <c r="U99" s="22">
        <v>0</v>
      </c>
      <c r="V99" s="22">
        <v>0</v>
      </c>
      <c r="W99" s="22">
        <v>3.125E-2</v>
      </c>
      <c r="X99" s="22">
        <v>0</v>
      </c>
      <c r="Y99" s="22">
        <v>0</v>
      </c>
      <c r="Z99" s="22">
        <f t="shared" si="23"/>
        <v>0</v>
      </c>
      <c r="AA99" s="22">
        <v>0</v>
      </c>
      <c r="AB99" s="22">
        <v>0</v>
      </c>
      <c r="AC99" s="30"/>
    </row>
    <row r="100" spans="1:29" ht="16.5" thickTop="1" x14ac:dyDescent="0.25"/>
    <row r="101" spans="1:29" ht="18.75" x14ac:dyDescent="0.25">
      <c r="X101" s="37"/>
    </row>
  </sheetData>
  <mergeCells count="4">
    <mergeCell ref="A1:AC1"/>
    <mergeCell ref="AD3:AD35"/>
    <mergeCell ref="AD36:AD67"/>
    <mergeCell ref="AD68:AD96"/>
  </mergeCells>
  <conditionalFormatting sqref="AC1:AC96 AC100:AC1048576">
    <cfRule type="containsText" dxfId="595" priority="28" operator="containsText" text="ت">
      <formula>NOT(ISERROR(SEARCH("ت",AC1)))</formula>
    </cfRule>
  </conditionalFormatting>
  <conditionalFormatting sqref="AC4:AC96">
    <cfRule type="containsText" dxfId="594" priority="27" operator="containsText" text="ت">
      <formula>NOT(ISERROR(SEARCH("ت",AC4)))</formula>
    </cfRule>
  </conditionalFormatting>
  <conditionalFormatting sqref="O1:O2 I1:I2 R1:R2 V1:V2 AA100:AA1048576 V100:V1048576 R100:R1048576 O100:O1048576 I100:I1048576 AA1:AA2">
    <cfRule type="cellIs" dxfId="593" priority="29" operator="between">
      <formula>0.00277777777777778</formula>
      <formula>1</formula>
    </cfRule>
  </conditionalFormatting>
  <conditionalFormatting sqref="AC97:AC99">
    <cfRule type="containsText" dxfId="592" priority="26" operator="containsText" text="ت">
      <formula>NOT(ISERROR(SEARCH("ت",AC97)))</formula>
    </cfRule>
  </conditionalFormatting>
  <conditionalFormatting sqref="AC97:AC99">
    <cfRule type="containsText" dxfId="591" priority="25" operator="containsText" text="ت">
      <formula>NOT(ISERROR(SEARCH("ت",AC97)))</formula>
    </cfRule>
  </conditionalFormatting>
  <conditionalFormatting sqref="I7:I38 I49:I65 I40:I47 I67:I99">
    <cfRule type="cellIs" dxfId="590" priority="23" operator="between">
      <formula>0.00277777777777778</formula>
      <formula>1</formula>
    </cfRule>
  </conditionalFormatting>
  <conditionalFormatting sqref="I7:I38 I49:I65 I40:I47 I67:I99">
    <cfRule type="cellIs" dxfId="589" priority="24" operator="between">
      <formula>0.00277777777777778</formula>
      <formula>1</formula>
    </cfRule>
  </conditionalFormatting>
  <conditionalFormatting sqref="O3:O38 O49:O65 O40:O47 O67:O99">
    <cfRule type="cellIs" dxfId="588" priority="21" operator="between">
      <formula>0.00277777777777778</formula>
      <formula>1</formula>
    </cfRule>
  </conditionalFormatting>
  <conditionalFormatting sqref="O3:O38 O49:O65 O40:O47 O67:O99">
    <cfRule type="cellIs" dxfId="587" priority="22" operator="between">
      <formula>0.00277777777777778</formula>
      <formula>1</formula>
    </cfRule>
  </conditionalFormatting>
  <conditionalFormatting sqref="R3:R99">
    <cfRule type="cellIs" dxfId="586" priority="19" operator="between">
      <formula>0.00277777777777778</formula>
      <formula>1</formula>
    </cfRule>
  </conditionalFormatting>
  <conditionalFormatting sqref="R3:R99">
    <cfRule type="cellIs" dxfId="585" priority="20" operator="between">
      <formula>0.00277777777777778</formula>
      <formula>1</formula>
    </cfRule>
  </conditionalFormatting>
  <conditionalFormatting sqref="V3:V99">
    <cfRule type="cellIs" dxfId="584" priority="17" operator="between">
      <formula>0.00277777777777778</formula>
      <formula>1</formula>
    </cfRule>
  </conditionalFormatting>
  <conditionalFormatting sqref="V3:V99">
    <cfRule type="cellIs" dxfId="583" priority="18" operator="between">
      <formula>0.00277777777777778</formula>
      <formula>1</formula>
    </cfRule>
  </conditionalFormatting>
  <conditionalFormatting sqref="AA3:AA99">
    <cfRule type="cellIs" dxfId="582" priority="15" operator="between">
      <formula>0.00277777777777778</formula>
      <formula>1</formula>
    </cfRule>
  </conditionalFormatting>
  <conditionalFormatting sqref="AA3:AA99">
    <cfRule type="cellIs" dxfId="581" priority="16" operator="between">
      <formula>0.00277777777777778</formula>
      <formula>1</formula>
    </cfRule>
  </conditionalFormatting>
  <conditionalFormatting sqref="I3:I6">
    <cfRule type="cellIs" dxfId="580" priority="13" operator="between">
      <formula>0.00277777777777778</formula>
      <formula>1</formula>
    </cfRule>
  </conditionalFormatting>
  <conditionalFormatting sqref="I3:I6">
    <cfRule type="cellIs" dxfId="579" priority="14" operator="between">
      <formula>0.00277777777777778</formula>
      <formula>1</formula>
    </cfRule>
  </conditionalFormatting>
  <conditionalFormatting sqref="I48">
    <cfRule type="cellIs" dxfId="578" priority="11" operator="between">
      <formula>0.00277777777777778</formula>
      <formula>1</formula>
    </cfRule>
  </conditionalFormatting>
  <conditionalFormatting sqref="I48">
    <cfRule type="cellIs" dxfId="577" priority="12" operator="between">
      <formula>0.00277777777777778</formula>
      <formula>1</formula>
    </cfRule>
  </conditionalFormatting>
  <conditionalFormatting sqref="O48">
    <cfRule type="cellIs" dxfId="576" priority="9" operator="between">
      <formula>0.00277777777777778</formula>
      <formula>1</formula>
    </cfRule>
  </conditionalFormatting>
  <conditionalFormatting sqref="O48">
    <cfRule type="cellIs" dxfId="575" priority="10" operator="between">
      <formula>0.00277777777777778</formula>
      <formula>1</formula>
    </cfRule>
  </conditionalFormatting>
  <conditionalFormatting sqref="I66">
    <cfRule type="cellIs" dxfId="574" priority="7" operator="between">
      <formula>0.00277777777777778</formula>
      <formula>1</formula>
    </cfRule>
  </conditionalFormatting>
  <conditionalFormatting sqref="I66">
    <cfRule type="cellIs" dxfId="573" priority="8" operator="between">
      <formula>0.00277777777777778</formula>
      <formula>1</formula>
    </cfRule>
  </conditionalFormatting>
  <conditionalFormatting sqref="O66">
    <cfRule type="cellIs" dxfId="572" priority="5" operator="between">
      <formula>0.00277777777777778</formula>
      <formula>1</formula>
    </cfRule>
  </conditionalFormatting>
  <conditionalFormatting sqref="O66">
    <cfRule type="cellIs" dxfId="571" priority="6" operator="between">
      <formula>0.00277777777777778</formula>
      <formula>1</formula>
    </cfRule>
  </conditionalFormatting>
  <conditionalFormatting sqref="I39">
    <cfRule type="cellIs" dxfId="570" priority="3" operator="between">
      <formula>0.00277777777777778</formula>
      <formula>1</formula>
    </cfRule>
  </conditionalFormatting>
  <conditionalFormatting sqref="I39">
    <cfRule type="cellIs" dxfId="569" priority="4" operator="between">
      <formula>0.00277777777777778</formula>
      <formula>1</formula>
    </cfRule>
  </conditionalFormatting>
  <conditionalFormatting sqref="O39">
    <cfRule type="cellIs" dxfId="568" priority="1" operator="between">
      <formula>0.00277777777777778</formula>
      <formula>1</formula>
    </cfRule>
  </conditionalFormatting>
  <conditionalFormatting sqref="O39">
    <cfRule type="cellIs" dxfId="567" priority="2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1"/>
  <sheetViews>
    <sheetView rightToLeft="1" workbookViewId="0">
      <pane xSplit="6" ySplit="2" topLeftCell="G3" activePane="bottomRight" state="frozen"/>
      <selection activeCell="A92" sqref="A92"/>
      <selection pane="topRight" activeCell="A92" sqref="A92"/>
      <selection pane="bottomLeft" activeCell="A92" sqref="A92"/>
      <selection pane="bottomRight" activeCell="F6" sqref="F6"/>
    </sheetView>
  </sheetViews>
  <sheetFormatPr defaultColWidth="9" defaultRowHeight="15.75" x14ac:dyDescent="0.25"/>
  <cols>
    <col min="1" max="1" width="5.42578125" customWidth="1"/>
    <col min="2" max="2" width="12.28515625" customWidth="1"/>
    <col min="3" max="3" width="12.5703125" customWidth="1"/>
    <col min="4" max="4" width="16.140625" style="36" customWidth="1"/>
    <col min="5" max="5" width="17.140625" customWidth="1"/>
    <col min="6" max="6" width="20.85546875" customWidth="1"/>
    <col min="7" max="7" width="12.7109375" customWidth="1"/>
    <col min="8" max="9" width="12.85546875" customWidth="1"/>
    <col min="10" max="10" width="12.5703125" customWidth="1"/>
    <col min="11" max="11" width="14.28515625" customWidth="1"/>
    <col min="12" max="12" width="22.7109375" customWidth="1"/>
    <col min="13" max="13" width="18.8554687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3.85546875" style="31" customWidth="1"/>
    <col min="30" max="30" width="11.140625" customWidth="1"/>
  </cols>
  <sheetData>
    <row r="1" spans="1:30" ht="33.75" customHeight="1" thickBot="1" x14ac:dyDescent="0.3">
      <c r="A1" s="46" t="s">
        <v>123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0" ht="49.5" customHeight="1" thickTop="1" thickBot="1" x14ac:dyDescent="0.3">
      <c r="A2" s="1" t="s">
        <v>1</v>
      </c>
      <c r="B2" s="2" t="s">
        <v>2</v>
      </c>
      <c r="C2" s="2" t="s">
        <v>3</v>
      </c>
      <c r="D2" s="3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8" t="s">
        <v>18</v>
      </c>
      <c r="S2" s="2" t="s">
        <v>19</v>
      </c>
      <c r="T2" s="8" t="s">
        <v>20</v>
      </c>
      <c r="U2" s="2" t="s">
        <v>21</v>
      </c>
      <c r="V2" s="8" t="s">
        <v>22</v>
      </c>
      <c r="W2" s="8" t="s">
        <v>23</v>
      </c>
      <c r="X2" s="2" t="s">
        <v>24</v>
      </c>
      <c r="Y2" s="2" t="s">
        <v>25</v>
      </c>
      <c r="Z2" s="2" t="s">
        <v>26</v>
      </c>
      <c r="AA2" s="8" t="s">
        <v>27</v>
      </c>
      <c r="AB2" s="2" t="s">
        <v>28</v>
      </c>
      <c r="AC2" s="9" t="s">
        <v>29</v>
      </c>
    </row>
    <row r="3" spans="1:30" ht="20.25" customHeight="1" thickTop="1" thickBot="1" x14ac:dyDescent="0.3">
      <c r="A3" s="10">
        <v>1</v>
      </c>
      <c r="B3" s="11">
        <v>4987</v>
      </c>
      <c r="C3" s="11" t="str">
        <f>VLOOKUP(B3,داتا!$B$3:$D$107,2,FALSE)</f>
        <v>تلتين</v>
      </c>
      <c r="D3" s="33">
        <f>VLOOKUP(B3,داتا!$B$3:$D$107,3,FALSE)</f>
        <v>3.125E-2</v>
      </c>
      <c r="E3" s="11" t="s">
        <v>30</v>
      </c>
      <c r="F3" s="11" t="s">
        <v>194</v>
      </c>
      <c r="G3" s="12">
        <v>0.25</v>
      </c>
      <c r="H3" s="12">
        <v>0.25</v>
      </c>
      <c r="I3" s="12">
        <f>H3-G3</f>
        <v>0</v>
      </c>
      <c r="J3" s="12">
        <v>0.19791666666666666</v>
      </c>
      <c r="K3" s="12">
        <v>0.22222222222222221</v>
      </c>
      <c r="L3" s="12" t="s">
        <v>201</v>
      </c>
      <c r="M3" s="12" t="s">
        <v>201</v>
      </c>
      <c r="N3" s="12">
        <f>K3-J3</f>
        <v>2.4305555555555552E-2</v>
      </c>
      <c r="O3" s="12">
        <v>0</v>
      </c>
      <c r="P3" s="12">
        <v>6.9444444444444397E-3</v>
      </c>
      <c r="Q3" s="12">
        <v>0.22916666666666666</v>
      </c>
      <c r="R3" s="12">
        <f>Q3-P3-K3</f>
        <v>0</v>
      </c>
      <c r="S3" s="12">
        <v>0.25347222222222221</v>
      </c>
      <c r="T3" s="12">
        <f>VLOOKUP(E3,'[2]21-3-2026'!E$3:T$35,16,FALSE)</f>
        <v>1.38888888888889E-2</v>
      </c>
      <c r="U3" s="12">
        <v>0.27083333333333331</v>
      </c>
      <c r="V3" s="12">
        <f>U3-T3-S3</f>
        <v>3.4722222222222099E-3</v>
      </c>
      <c r="W3" s="12">
        <v>4.1666666666666664E-2</v>
      </c>
      <c r="X3" s="12">
        <v>0.30138888888888887</v>
      </c>
      <c r="Y3" s="12">
        <v>0.33680555555555558</v>
      </c>
      <c r="Z3" s="12">
        <f>Y3-X3</f>
        <v>3.5416666666666707E-2</v>
      </c>
      <c r="AA3" s="12">
        <v>0</v>
      </c>
      <c r="AB3" s="12">
        <v>0.34027777777777779</v>
      </c>
      <c r="AC3" s="38"/>
      <c r="AD3" s="55" t="s">
        <v>33</v>
      </c>
    </row>
    <row r="4" spans="1:30" ht="19.5" thickBot="1" x14ac:dyDescent="0.3">
      <c r="A4" s="14">
        <v>2</v>
      </c>
      <c r="B4" s="15">
        <v>7464</v>
      </c>
      <c r="C4" s="15" t="str">
        <f>VLOOKUP(B4,داتا!$B$3:$D$107,2,FALSE)</f>
        <v>تلتين</v>
      </c>
      <c r="D4" s="34">
        <f>VLOOKUP(B4,داتا!$B$3:$D$107,3,FALSE)</f>
        <v>3.125E-2</v>
      </c>
      <c r="E4" s="15" t="s">
        <v>38</v>
      </c>
      <c r="F4" s="15" t="s">
        <v>195</v>
      </c>
      <c r="G4" s="16">
        <v>0.25</v>
      </c>
      <c r="H4" s="16">
        <v>0.25</v>
      </c>
      <c r="I4" s="16">
        <f t="shared" ref="I4:I67" si="0">H4-G4</f>
        <v>0</v>
      </c>
      <c r="J4" s="16">
        <v>0.21180555555555555</v>
      </c>
      <c r="K4" s="16">
        <v>0.21875</v>
      </c>
      <c r="L4" s="16" t="s">
        <v>202</v>
      </c>
      <c r="M4" s="16" t="s">
        <v>203</v>
      </c>
      <c r="N4" s="16">
        <f t="shared" ref="N4:N67" si="1">K4-J4</f>
        <v>6.9444444444444475E-3</v>
      </c>
      <c r="O4" s="16">
        <v>0</v>
      </c>
      <c r="P4" s="16">
        <v>6.9444444444444397E-3</v>
      </c>
      <c r="Q4" s="16">
        <v>0.22916666666666666</v>
      </c>
      <c r="R4" s="16">
        <f t="shared" ref="R4:R67" si="2">Q4-P4-K4</f>
        <v>3.4722222222222099E-3</v>
      </c>
      <c r="S4" s="16">
        <v>0.26041666666666669</v>
      </c>
      <c r="T4" s="16">
        <f>VLOOKUP(E4,'[2]21-3-2026'!E$3:T$35,16,FALSE)</f>
        <v>1.0416666666666666E-2</v>
      </c>
      <c r="U4" s="16">
        <v>0.27777777777777779</v>
      </c>
      <c r="V4" s="16">
        <f t="shared" ref="V4:V64" si="3">U4-T4-S4</f>
        <v>6.9444444444444198E-3</v>
      </c>
      <c r="W4" s="16">
        <v>4.1666666666666664E-2</v>
      </c>
      <c r="X4" s="16">
        <v>0.30208333333333331</v>
      </c>
      <c r="Y4" s="16">
        <v>0.3263888888888889</v>
      </c>
      <c r="Z4" s="16">
        <f t="shared" ref="Z4:Z67" si="4">Y4-X4</f>
        <v>2.430555555555558E-2</v>
      </c>
      <c r="AA4" s="16">
        <v>0</v>
      </c>
      <c r="AB4" s="16">
        <v>0.3298611111111111</v>
      </c>
      <c r="AC4" s="39"/>
      <c r="AD4" s="56"/>
    </row>
    <row r="5" spans="1:30" ht="19.5" thickBot="1" x14ac:dyDescent="0.3">
      <c r="A5" s="14">
        <v>3</v>
      </c>
      <c r="B5" s="15">
        <v>6142</v>
      </c>
      <c r="C5" s="15" t="str">
        <f>VLOOKUP(B5,داتا!$B$3:$D$107,2,FALSE)</f>
        <v>تلتين</v>
      </c>
      <c r="D5" s="34">
        <f>VLOOKUP(B5,داتا!$B$3:$D$107,3,FALSE)</f>
        <v>3.125E-2</v>
      </c>
      <c r="E5" s="15" t="s">
        <v>57</v>
      </c>
      <c r="F5" s="15" t="s">
        <v>167</v>
      </c>
      <c r="G5" s="16">
        <v>0.25</v>
      </c>
      <c r="H5" s="16">
        <v>0.24652777777777779</v>
      </c>
      <c r="I5" s="16">
        <v>0</v>
      </c>
      <c r="J5" s="16">
        <v>0.20833333333333334</v>
      </c>
      <c r="K5" s="16">
        <v>0.2326388888888889</v>
      </c>
      <c r="L5" s="16" t="s">
        <v>141</v>
      </c>
      <c r="M5" s="16" t="s">
        <v>141</v>
      </c>
      <c r="N5" s="16">
        <f t="shared" si="1"/>
        <v>2.4305555555555552E-2</v>
      </c>
      <c r="O5" s="16">
        <v>0</v>
      </c>
      <c r="P5" s="16">
        <v>6.9444444444444397E-3</v>
      </c>
      <c r="Q5" s="16">
        <v>0.2361111111111111</v>
      </c>
      <c r="R5" s="16">
        <v>0</v>
      </c>
      <c r="S5" s="16">
        <v>0.2638888888888889</v>
      </c>
      <c r="T5" s="16">
        <f>VLOOKUP(E5,'[2]21-3-2026'!E$3:T$35,16,FALSE)</f>
        <v>1.7361111111111101E-2</v>
      </c>
      <c r="U5" s="16">
        <v>0.28472222222222221</v>
      </c>
      <c r="V5" s="16">
        <f t="shared" si="3"/>
        <v>3.4722222222222099E-3</v>
      </c>
      <c r="W5" s="16">
        <v>3.125E-2</v>
      </c>
      <c r="X5" s="16">
        <v>0.29166666666666669</v>
      </c>
      <c r="Y5" s="16">
        <v>0.3298611111111111</v>
      </c>
      <c r="Z5" s="16">
        <f t="shared" si="4"/>
        <v>3.819444444444442E-2</v>
      </c>
      <c r="AA5" s="16">
        <f t="shared" ref="AA5:AA62" si="5">Z5-W5</f>
        <v>6.9444444444444198E-3</v>
      </c>
      <c r="AB5" s="16">
        <v>0.33333333333333331</v>
      </c>
      <c r="AC5" s="39"/>
      <c r="AD5" s="56"/>
    </row>
    <row r="6" spans="1:30" ht="19.5" thickBot="1" x14ac:dyDescent="0.3">
      <c r="A6" s="14">
        <v>4</v>
      </c>
      <c r="B6" s="15">
        <v>6142</v>
      </c>
      <c r="C6" s="15" t="str">
        <f>VLOOKUP(B6,داتا!$B$3:$D$107,2,FALSE)</f>
        <v>تلتين</v>
      </c>
      <c r="D6" s="34">
        <f>VLOOKUP(B6,داتا!$B$3:$D$107,3,FALSE)</f>
        <v>3.125E-2</v>
      </c>
      <c r="E6" s="15" t="s">
        <v>60</v>
      </c>
      <c r="F6" s="15" t="s">
        <v>167</v>
      </c>
      <c r="G6" s="16">
        <v>0.25</v>
      </c>
      <c r="H6" s="16">
        <v>0.24652777777777779</v>
      </c>
      <c r="I6" s="16">
        <v>0</v>
      </c>
      <c r="J6" s="16">
        <v>0.20833333333333334</v>
      </c>
      <c r="K6" s="16">
        <v>0.2326388888888889</v>
      </c>
      <c r="L6" s="16" t="s">
        <v>141</v>
      </c>
      <c r="M6" s="16" t="s">
        <v>141</v>
      </c>
      <c r="N6" s="16">
        <f t="shared" si="1"/>
        <v>2.4305555555555552E-2</v>
      </c>
      <c r="O6" s="16">
        <v>0</v>
      </c>
      <c r="P6" s="16">
        <v>6.9444444444444397E-3</v>
      </c>
      <c r="Q6" s="16">
        <v>0.2361111111111111</v>
      </c>
      <c r="R6" s="16">
        <v>0</v>
      </c>
      <c r="S6" s="16">
        <v>0.2638888888888889</v>
      </c>
      <c r="T6" s="16">
        <f>VLOOKUP(E6,'[2]21-3-2026'!E$3:T$35,16,FALSE)</f>
        <v>1.0416666666666701E-2</v>
      </c>
      <c r="U6" s="16">
        <v>0.34027777777777779</v>
      </c>
      <c r="V6" s="16">
        <v>0</v>
      </c>
      <c r="W6" s="16">
        <v>4.1666666666666664E-2</v>
      </c>
      <c r="X6" s="16">
        <v>0.34722222222222221</v>
      </c>
      <c r="Y6" s="16">
        <v>0.37847222222222221</v>
      </c>
      <c r="Z6" s="16">
        <f t="shared" si="4"/>
        <v>3.125E-2</v>
      </c>
      <c r="AA6" s="16">
        <v>0</v>
      </c>
      <c r="AB6" s="16">
        <v>0.38541666666666669</v>
      </c>
      <c r="AC6" s="39"/>
      <c r="AD6" s="56"/>
    </row>
    <row r="7" spans="1:30" ht="19.5" thickBot="1" x14ac:dyDescent="0.3">
      <c r="A7" s="14">
        <v>5</v>
      </c>
      <c r="B7" s="15">
        <v>6143</v>
      </c>
      <c r="C7" s="15" t="str">
        <f>VLOOKUP(B7,داتا!$B$3:$D$107,2,FALSE)</f>
        <v>تلتين</v>
      </c>
      <c r="D7" s="34">
        <f>VLOOKUP(B7,داتا!$B$3:$D$107,3,FALSE)</f>
        <v>3.125E-2</v>
      </c>
      <c r="E7" s="15" t="s">
        <v>67</v>
      </c>
      <c r="F7" s="15" t="s">
        <v>117</v>
      </c>
      <c r="G7" s="16">
        <v>0.25</v>
      </c>
      <c r="H7" s="16">
        <v>0.25</v>
      </c>
      <c r="I7" s="16">
        <f t="shared" si="0"/>
        <v>0</v>
      </c>
      <c r="J7" s="16">
        <v>0.20833333333333334</v>
      </c>
      <c r="K7" s="16">
        <v>0.24652777777777779</v>
      </c>
      <c r="L7" s="16" t="s">
        <v>204</v>
      </c>
      <c r="M7" s="16" t="s">
        <v>205</v>
      </c>
      <c r="N7" s="16">
        <f t="shared" si="1"/>
        <v>3.8194444444444448E-2</v>
      </c>
      <c r="O7" s="16">
        <f t="shared" ref="O7:O67" si="6">N7-D7</f>
        <v>6.9444444444444475E-3</v>
      </c>
      <c r="P7" s="16">
        <v>6.9444444444444397E-3</v>
      </c>
      <c r="Q7" s="16">
        <v>0.2673611111111111</v>
      </c>
      <c r="R7" s="16">
        <f t="shared" si="2"/>
        <v>1.3888888888888895E-2</v>
      </c>
      <c r="S7" s="16">
        <v>0.2673611111111111</v>
      </c>
      <c r="T7" s="16">
        <f>VLOOKUP(E7,'[2]21-3-2026'!E$3:T$35,16,FALSE)</f>
        <v>1.7361111111111101E-2</v>
      </c>
      <c r="U7" s="16">
        <v>0.27777777777777779</v>
      </c>
      <c r="V7" s="16">
        <v>0</v>
      </c>
      <c r="W7" s="16">
        <v>3.125E-2</v>
      </c>
      <c r="X7" s="16">
        <v>0.3</v>
      </c>
      <c r="Y7" s="16">
        <v>0.3263888888888889</v>
      </c>
      <c r="Z7" s="16">
        <f t="shared" si="4"/>
        <v>2.6388888888888906E-2</v>
      </c>
      <c r="AA7" s="16">
        <v>0</v>
      </c>
      <c r="AB7" s="16">
        <v>0.3298611111111111</v>
      </c>
      <c r="AC7" s="39"/>
      <c r="AD7" s="56"/>
    </row>
    <row r="8" spans="1:30" ht="19.5" thickBot="1" x14ac:dyDescent="0.3">
      <c r="A8" s="14">
        <v>6</v>
      </c>
      <c r="B8" s="15">
        <v>6143</v>
      </c>
      <c r="C8" s="15" t="str">
        <f>VLOOKUP(B8,داتا!$B$3:$D$107,2,FALSE)</f>
        <v>تلتين</v>
      </c>
      <c r="D8" s="34">
        <f>VLOOKUP(B8,داتا!$B$3:$D$107,3,FALSE)</f>
        <v>3.125E-2</v>
      </c>
      <c r="E8" s="15" t="s">
        <v>69</v>
      </c>
      <c r="F8" s="15" t="s">
        <v>117</v>
      </c>
      <c r="G8" s="16">
        <v>0.25</v>
      </c>
      <c r="H8" s="16">
        <v>0.25</v>
      </c>
      <c r="I8" s="16">
        <f t="shared" si="0"/>
        <v>0</v>
      </c>
      <c r="J8" s="16">
        <v>0.20833333333333334</v>
      </c>
      <c r="K8" s="16">
        <v>0.24652777777777779</v>
      </c>
      <c r="L8" s="16" t="s">
        <v>204</v>
      </c>
      <c r="M8" s="16" t="s">
        <v>205</v>
      </c>
      <c r="N8" s="16">
        <f t="shared" si="1"/>
        <v>3.8194444444444448E-2</v>
      </c>
      <c r="O8" s="16">
        <f t="shared" si="6"/>
        <v>6.9444444444444475E-3</v>
      </c>
      <c r="P8" s="16">
        <v>6.9444444444444397E-3</v>
      </c>
      <c r="Q8" s="16">
        <v>0.2673611111111111</v>
      </c>
      <c r="R8" s="16">
        <f t="shared" si="2"/>
        <v>1.3888888888888895E-2</v>
      </c>
      <c r="S8" s="16">
        <v>0.2673611111111111</v>
      </c>
      <c r="T8" s="16">
        <v>1.0416666666666666E-2</v>
      </c>
      <c r="U8" s="16">
        <v>0.34722222222222221</v>
      </c>
      <c r="V8" s="16">
        <v>6.9444444444444441E-3</v>
      </c>
      <c r="W8" s="16">
        <v>4.1666666666666664E-2</v>
      </c>
      <c r="X8" s="16">
        <v>0.35069444444444442</v>
      </c>
      <c r="Y8" s="16">
        <v>0.38194444444444442</v>
      </c>
      <c r="Z8" s="16">
        <f t="shared" si="4"/>
        <v>3.125E-2</v>
      </c>
      <c r="AA8" s="16">
        <v>0</v>
      </c>
      <c r="AB8" s="16">
        <v>0.38541666666666669</v>
      </c>
      <c r="AC8" s="40"/>
      <c r="AD8" s="56"/>
    </row>
    <row r="9" spans="1:30" ht="19.5" thickBot="1" x14ac:dyDescent="0.3">
      <c r="A9" s="14">
        <v>7</v>
      </c>
      <c r="B9" s="15">
        <v>3492</v>
      </c>
      <c r="C9" s="15" t="str">
        <f>VLOOKUP(B9,داتا!$B$3:$D$107,2,FALSE)</f>
        <v>تلتين</v>
      </c>
      <c r="D9" s="34">
        <f>VLOOKUP(B9,داتا!$B$3:$D$107,3,FALSE)</f>
        <v>3.125E-2</v>
      </c>
      <c r="E9" s="15" t="s">
        <v>45</v>
      </c>
      <c r="F9" s="15" t="s">
        <v>150</v>
      </c>
      <c r="G9" s="16">
        <v>0.25</v>
      </c>
      <c r="H9" s="16">
        <v>0.25</v>
      </c>
      <c r="I9" s="16">
        <f t="shared" si="0"/>
        <v>0</v>
      </c>
      <c r="J9" s="16">
        <v>0.19097222222222221</v>
      </c>
      <c r="K9" s="16">
        <v>0.22222222222222221</v>
      </c>
      <c r="L9" s="16" t="s">
        <v>32</v>
      </c>
      <c r="M9" s="16" t="s">
        <v>32</v>
      </c>
      <c r="N9" s="16">
        <f t="shared" si="1"/>
        <v>3.125E-2</v>
      </c>
      <c r="O9" s="16">
        <f t="shared" si="6"/>
        <v>0</v>
      </c>
      <c r="P9" s="16">
        <v>6.9444444444444397E-3</v>
      </c>
      <c r="Q9" s="16">
        <v>0.2326388888888889</v>
      </c>
      <c r="R9" s="16">
        <f t="shared" si="2"/>
        <v>3.4722222222222376E-3</v>
      </c>
      <c r="S9" s="16">
        <v>0.26041666666666669</v>
      </c>
      <c r="T9" s="16">
        <f>VLOOKUP(E9,'[2]21-3-2026'!E$3:T$35,16,FALSE)</f>
        <v>1.38888888888889E-2</v>
      </c>
      <c r="U9" s="16">
        <v>0.28472222222222221</v>
      </c>
      <c r="V9" s="16">
        <f t="shared" si="3"/>
        <v>1.041666666666663E-2</v>
      </c>
      <c r="W9" s="16">
        <v>4.1666666666666664E-2</v>
      </c>
      <c r="X9" s="16">
        <v>0.30069444444444443</v>
      </c>
      <c r="Y9" s="16">
        <v>0.33333333333333331</v>
      </c>
      <c r="Z9" s="16">
        <f t="shared" si="4"/>
        <v>3.2638888888888884E-2</v>
      </c>
      <c r="AA9" s="16">
        <v>0</v>
      </c>
      <c r="AB9" s="16">
        <v>0.34027777777777779</v>
      </c>
      <c r="AC9" s="39"/>
      <c r="AD9" s="56"/>
    </row>
    <row r="10" spans="1:30" ht="19.5" thickBot="1" x14ac:dyDescent="0.3">
      <c r="A10" s="14">
        <v>8</v>
      </c>
      <c r="B10" s="15">
        <v>2694</v>
      </c>
      <c r="C10" s="15" t="str">
        <f>VLOOKUP(B10,داتا!$B$3:$D$107,2,FALSE)</f>
        <v>تلتين</v>
      </c>
      <c r="D10" s="34">
        <f>VLOOKUP(B10,داتا!$B$3:$D$107,3,FALSE)</f>
        <v>3.125E-2</v>
      </c>
      <c r="E10" s="15" t="s">
        <v>46</v>
      </c>
      <c r="F10" s="15" t="s">
        <v>151</v>
      </c>
      <c r="G10" s="16">
        <v>0.25</v>
      </c>
      <c r="H10" s="16">
        <v>0.25</v>
      </c>
      <c r="I10" s="16">
        <f t="shared" si="0"/>
        <v>0</v>
      </c>
      <c r="J10" s="16">
        <v>0.20833333333333334</v>
      </c>
      <c r="K10" s="16">
        <v>0.22569444444444445</v>
      </c>
      <c r="L10" s="16" t="s">
        <v>48</v>
      </c>
      <c r="M10" s="16" t="s">
        <v>48</v>
      </c>
      <c r="N10" s="16">
        <f t="shared" si="1"/>
        <v>1.7361111111111105E-2</v>
      </c>
      <c r="O10" s="16">
        <v>0</v>
      </c>
      <c r="P10" s="16">
        <v>6.9444444444444397E-3</v>
      </c>
      <c r="Q10" s="16">
        <v>0.22916666666666666</v>
      </c>
      <c r="R10" s="16">
        <v>0</v>
      </c>
      <c r="S10" s="16">
        <v>0.27083333333333331</v>
      </c>
      <c r="T10" s="16">
        <f>VLOOKUP(E10,'[2]21-3-2026'!E$3:T$35,16,FALSE)</f>
        <v>3.4722222222222203E-2</v>
      </c>
      <c r="U10" s="16">
        <v>0.29722222222222222</v>
      </c>
      <c r="V10" s="16">
        <v>0</v>
      </c>
      <c r="W10" s="16">
        <v>4.1666666666666664E-2</v>
      </c>
      <c r="X10" s="16">
        <v>0.30208333333333331</v>
      </c>
      <c r="Y10" s="16">
        <v>0.34027777777777779</v>
      </c>
      <c r="Z10" s="16">
        <f t="shared" si="4"/>
        <v>3.8194444444444475E-2</v>
      </c>
      <c r="AA10" s="16">
        <v>0</v>
      </c>
      <c r="AB10" s="16">
        <v>0.34722222222222221</v>
      </c>
      <c r="AC10" s="39"/>
      <c r="AD10" s="56"/>
    </row>
    <row r="11" spans="1:30" ht="19.5" thickBot="1" x14ac:dyDescent="0.3">
      <c r="A11" s="14">
        <v>9</v>
      </c>
      <c r="B11" s="15">
        <v>2917</v>
      </c>
      <c r="C11" s="15" t="str">
        <f>VLOOKUP(B11,داتا!$B$3:$D$107,2,FALSE)</f>
        <v>تلتين</v>
      </c>
      <c r="D11" s="34">
        <f>VLOOKUP(B11,داتا!$B$3:$D$107,3,FALSE)</f>
        <v>3.125E-2</v>
      </c>
      <c r="E11" s="15" t="s">
        <v>51</v>
      </c>
      <c r="F11" s="15" t="s">
        <v>36</v>
      </c>
      <c r="G11" s="16">
        <v>0.25</v>
      </c>
      <c r="H11" s="16">
        <v>0.25</v>
      </c>
      <c r="I11" s="16">
        <f t="shared" si="0"/>
        <v>0</v>
      </c>
      <c r="J11" s="16">
        <v>0.19791666666666666</v>
      </c>
      <c r="K11" s="16">
        <v>0.22222222222222221</v>
      </c>
      <c r="L11" s="16" t="s">
        <v>53</v>
      </c>
      <c r="M11" s="16" t="s">
        <v>53</v>
      </c>
      <c r="N11" s="16">
        <f t="shared" si="1"/>
        <v>2.4305555555555552E-2</v>
      </c>
      <c r="O11" s="16">
        <v>0</v>
      </c>
      <c r="P11" s="16">
        <v>6.9444444444444397E-3</v>
      </c>
      <c r="Q11" s="16">
        <v>0.22916666666666666</v>
      </c>
      <c r="R11" s="16">
        <f t="shared" si="2"/>
        <v>0</v>
      </c>
      <c r="S11" s="16">
        <v>0.25347222222222221</v>
      </c>
      <c r="T11" s="16">
        <f>VLOOKUP(E11,'[2]21-3-2026'!E$3:T$35,16,FALSE)</f>
        <v>2.4305555555555601E-2</v>
      </c>
      <c r="U11" s="16">
        <v>0.28472222222222221</v>
      </c>
      <c r="V11" s="16">
        <f t="shared" si="3"/>
        <v>6.9444444444444198E-3</v>
      </c>
      <c r="W11" s="16">
        <v>4.1666666666666664E-2</v>
      </c>
      <c r="X11" s="16">
        <v>0.31041666666666667</v>
      </c>
      <c r="Y11" s="16">
        <v>0.36458333333333331</v>
      </c>
      <c r="Z11" s="16">
        <f t="shared" si="4"/>
        <v>5.4166666666666641E-2</v>
      </c>
      <c r="AA11" s="16">
        <f t="shared" si="5"/>
        <v>1.2499999999999976E-2</v>
      </c>
      <c r="AB11" s="16">
        <v>0.375</v>
      </c>
      <c r="AC11" s="39"/>
      <c r="AD11" s="56"/>
    </row>
    <row r="12" spans="1:30" ht="19.5" thickBot="1" x14ac:dyDescent="0.3">
      <c r="A12" s="14">
        <v>10</v>
      </c>
      <c r="B12" s="15">
        <v>1537</v>
      </c>
      <c r="C12" s="15" t="str">
        <f>VLOOKUP(B12,داتا!$B$3:$D$107,2,FALSE)</f>
        <v>تلتين</v>
      </c>
      <c r="D12" s="34">
        <f>VLOOKUP(B12,داتا!$B$3:$D$107,3,FALSE)</f>
        <v>3.125E-2</v>
      </c>
      <c r="E12" s="15" t="s">
        <v>65</v>
      </c>
      <c r="F12" s="15" t="s">
        <v>146</v>
      </c>
      <c r="G12" s="16">
        <v>0.25</v>
      </c>
      <c r="H12" s="16">
        <v>0.25</v>
      </c>
      <c r="I12" s="16">
        <f t="shared" si="0"/>
        <v>0</v>
      </c>
      <c r="J12" s="16">
        <v>0.22569444444444445</v>
      </c>
      <c r="K12" s="16">
        <v>0.25</v>
      </c>
      <c r="L12" s="16" t="s">
        <v>201</v>
      </c>
      <c r="M12" s="16" t="s">
        <v>201</v>
      </c>
      <c r="N12" s="16">
        <f t="shared" si="1"/>
        <v>2.4305555555555552E-2</v>
      </c>
      <c r="O12" s="16">
        <v>0</v>
      </c>
      <c r="P12" s="16">
        <v>6.9444444444444397E-3</v>
      </c>
      <c r="Q12" s="16">
        <v>0.25347222222222221</v>
      </c>
      <c r="R12" s="16">
        <v>0</v>
      </c>
      <c r="S12" s="16">
        <v>0.25694444444444442</v>
      </c>
      <c r="T12" s="16">
        <f>VLOOKUP(E12,'[2]21-3-2026'!E$3:T$35,16,FALSE)</f>
        <v>4.1666666666666699E-2</v>
      </c>
      <c r="U12" s="16">
        <v>0.29652777777777778</v>
      </c>
      <c r="V12" s="16">
        <v>0</v>
      </c>
      <c r="W12" s="16">
        <v>4.1666666666666664E-2</v>
      </c>
      <c r="X12" s="16">
        <v>0.3347222222222222</v>
      </c>
      <c r="Y12" s="16">
        <v>0.37430555555555556</v>
      </c>
      <c r="Z12" s="16">
        <f t="shared" si="4"/>
        <v>3.9583333333333359E-2</v>
      </c>
      <c r="AA12" s="16">
        <v>0</v>
      </c>
      <c r="AB12" s="16">
        <v>0.375</v>
      </c>
      <c r="AC12" s="39"/>
      <c r="AD12" s="56"/>
    </row>
    <row r="13" spans="1:30" ht="19.5" thickBot="1" x14ac:dyDescent="0.3">
      <c r="A13" s="14">
        <v>11</v>
      </c>
      <c r="B13" s="15">
        <v>634</v>
      </c>
      <c r="C13" s="15" t="str">
        <f>VLOOKUP(B13,داتا!$B$3:$D$107,2,FALSE)</f>
        <v>دبابة</v>
      </c>
      <c r="D13" s="34">
        <f>VLOOKUP(B13,داتا!$B$3:$D$107,3,FALSE)</f>
        <v>2.0833333333333301E-2</v>
      </c>
      <c r="E13" s="15" t="s">
        <v>39</v>
      </c>
      <c r="F13" s="15" t="s">
        <v>90</v>
      </c>
      <c r="G13" s="16">
        <v>0.25</v>
      </c>
      <c r="H13" s="16">
        <v>0.25</v>
      </c>
      <c r="I13" s="16">
        <f t="shared" si="0"/>
        <v>0</v>
      </c>
      <c r="J13" s="16">
        <v>0.19097222222222221</v>
      </c>
      <c r="K13" s="16">
        <v>0.19791666666666666</v>
      </c>
      <c r="L13" s="16" t="s">
        <v>202</v>
      </c>
      <c r="M13" s="16" t="s">
        <v>203</v>
      </c>
      <c r="N13" s="16">
        <f t="shared" si="1"/>
        <v>6.9444444444444475E-3</v>
      </c>
      <c r="O13" s="16">
        <v>0</v>
      </c>
      <c r="P13" s="16">
        <v>6.9444444444444397E-3</v>
      </c>
      <c r="Q13" s="16">
        <v>0.24652777777777779</v>
      </c>
      <c r="R13" s="16">
        <f t="shared" si="2"/>
        <v>4.1666666666666685E-2</v>
      </c>
      <c r="S13" s="16">
        <v>0.24652777777777779</v>
      </c>
      <c r="T13" s="16">
        <f>VLOOKUP(E13,'[2]21-3-2026'!E$3:T$35,16,FALSE)</f>
        <v>1.7361111111111101E-2</v>
      </c>
      <c r="U13" s="16">
        <v>0.27083333333333331</v>
      </c>
      <c r="V13" s="16">
        <f t="shared" si="3"/>
        <v>6.9444444444444198E-3</v>
      </c>
      <c r="W13" s="16">
        <v>3.125E-2</v>
      </c>
      <c r="X13" s="16">
        <v>0.2951388888888889</v>
      </c>
      <c r="Y13" s="16">
        <v>0.31944444444444442</v>
      </c>
      <c r="Z13" s="16">
        <f t="shared" si="4"/>
        <v>2.4305555555555525E-2</v>
      </c>
      <c r="AA13" s="16">
        <v>0</v>
      </c>
      <c r="AB13" s="16">
        <v>0.32291666666666669</v>
      </c>
      <c r="AC13" s="40"/>
      <c r="AD13" s="56"/>
    </row>
    <row r="14" spans="1:30" ht="19.5" thickBot="1" x14ac:dyDescent="0.3">
      <c r="A14" s="14">
        <v>12</v>
      </c>
      <c r="B14" s="15">
        <v>1451</v>
      </c>
      <c r="C14" s="15" t="str">
        <f>VLOOKUP(B14,داتا!$B$3:$D$107,2,FALSE)</f>
        <v>تلتين</v>
      </c>
      <c r="D14" s="34">
        <f>VLOOKUP(B14,داتا!$B$3:$D$107,3,FALSE)</f>
        <v>3.125E-2</v>
      </c>
      <c r="E14" s="15" t="s">
        <v>70</v>
      </c>
      <c r="F14" s="15" t="s">
        <v>196</v>
      </c>
      <c r="G14" s="16">
        <v>0.25</v>
      </c>
      <c r="H14" s="16">
        <v>0.25</v>
      </c>
      <c r="I14" s="16">
        <f t="shared" si="0"/>
        <v>0</v>
      </c>
      <c r="J14" s="16">
        <v>0.2326388888888889</v>
      </c>
      <c r="K14" s="16">
        <v>0.2673611111111111</v>
      </c>
      <c r="L14" s="16" t="s">
        <v>32</v>
      </c>
      <c r="M14" s="16" t="s">
        <v>32</v>
      </c>
      <c r="N14" s="16">
        <f t="shared" si="1"/>
        <v>3.472222222222221E-2</v>
      </c>
      <c r="O14" s="16">
        <f t="shared" si="6"/>
        <v>3.4722222222222099E-3</v>
      </c>
      <c r="P14" s="16">
        <v>6.9444444444444397E-3</v>
      </c>
      <c r="Q14" s="16">
        <v>0.27430555555555558</v>
      </c>
      <c r="R14" s="16">
        <f t="shared" si="2"/>
        <v>0</v>
      </c>
      <c r="S14" s="16">
        <v>0.27430555555555558</v>
      </c>
      <c r="T14" s="16">
        <f>VLOOKUP(E14,'[2]21-3-2026'!E$3:T$35,16,FALSE)</f>
        <v>1.0416666666666701E-2</v>
      </c>
      <c r="U14" s="16">
        <v>0.28819444444444442</v>
      </c>
      <c r="V14" s="16">
        <f t="shared" si="3"/>
        <v>3.4722222222221544E-3</v>
      </c>
      <c r="W14" s="16">
        <v>3.125E-2</v>
      </c>
      <c r="X14" s="16">
        <v>0.30069444444444443</v>
      </c>
      <c r="Y14" s="16">
        <v>0.3298611111111111</v>
      </c>
      <c r="Z14" s="16">
        <f t="shared" si="4"/>
        <v>2.9166666666666674E-2</v>
      </c>
      <c r="AA14" s="16">
        <v>0</v>
      </c>
      <c r="AB14" s="16">
        <v>0.33333333333333331</v>
      </c>
      <c r="AC14" s="39"/>
      <c r="AD14" s="56"/>
    </row>
    <row r="15" spans="1:30" ht="19.5" thickBot="1" x14ac:dyDescent="0.3">
      <c r="A15" s="14">
        <v>13</v>
      </c>
      <c r="B15" s="15">
        <v>1451</v>
      </c>
      <c r="C15" s="15" t="str">
        <f>VLOOKUP(B15,داتا!$B$3:$D$107,2,FALSE)</f>
        <v>تلتين</v>
      </c>
      <c r="D15" s="34">
        <f>VLOOKUP(B15,داتا!$B$3:$D$107,3,FALSE)</f>
        <v>3.125E-2</v>
      </c>
      <c r="E15" s="15" t="s">
        <v>72</v>
      </c>
      <c r="F15" s="15" t="s">
        <v>196</v>
      </c>
      <c r="G15" s="16">
        <v>0.25</v>
      </c>
      <c r="H15" s="16">
        <v>0.25</v>
      </c>
      <c r="I15" s="16">
        <f t="shared" si="0"/>
        <v>0</v>
      </c>
      <c r="J15" s="16">
        <v>0.2326388888888889</v>
      </c>
      <c r="K15" s="16">
        <v>0.2673611111111111</v>
      </c>
      <c r="L15" s="16" t="s">
        <v>32</v>
      </c>
      <c r="M15" s="16" t="s">
        <v>32</v>
      </c>
      <c r="N15" s="16">
        <f t="shared" si="1"/>
        <v>3.472222222222221E-2</v>
      </c>
      <c r="O15" s="16">
        <f t="shared" si="6"/>
        <v>3.4722222222222099E-3</v>
      </c>
      <c r="P15" s="16">
        <v>6.9444444444444397E-3</v>
      </c>
      <c r="Q15" s="16">
        <v>0.27430555555555558</v>
      </c>
      <c r="R15" s="16">
        <f t="shared" si="2"/>
        <v>0</v>
      </c>
      <c r="S15" s="16">
        <v>0.27430555555555558</v>
      </c>
      <c r="T15" s="16">
        <f>VLOOKUP(E15,'[2]21-3-2026'!E$3:T$35,16,FALSE)</f>
        <v>1.0416666666666701E-2</v>
      </c>
      <c r="U15" s="16">
        <v>0.34027777777777779</v>
      </c>
      <c r="V15" s="16">
        <v>0</v>
      </c>
      <c r="W15" s="16">
        <v>4.1666666666666664E-2</v>
      </c>
      <c r="X15" s="16">
        <v>0.34375</v>
      </c>
      <c r="Y15" s="16">
        <v>0.36805555555555558</v>
      </c>
      <c r="Z15" s="16">
        <f t="shared" si="4"/>
        <v>2.430555555555558E-2</v>
      </c>
      <c r="AA15" s="16">
        <v>0</v>
      </c>
      <c r="AB15" s="16">
        <v>0.36944444444444446</v>
      </c>
      <c r="AC15" s="39"/>
      <c r="AD15" s="56"/>
    </row>
    <row r="16" spans="1:30" ht="19.5" thickBot="1" x14ac:dyDescent="0.3">
      <c r="A16" s="14">
        <v>14</v>
      </c>
      <c r="B16" s="15">
        <v>5898</v>
      </c>
      <c r="C16" s="15" t="str">
        <f>VLOOKUP(B16,داتا!$B$3:$D$107,2,FALSE)</f>
        <v>تلتين</v>
      </c>
      <c r="D16" s="34">
        <f>VLOOKUP(B16,داتا!$B$3:$D$107,3,FALSE)</f>
        <v>3.125E-2</v>
      </c>
      <c r="E16" s="15" t="s">
        <v>61</v>
      </c>
      <c r="F16" s="15" t="s">
        <v>66</v>
      </c>
      <c r="G16" s="16">
        <v>0.25</v>
      </c>
      <c r="H16" s="16">
        <v>0.25</v>
      </c>
      <c r="I16" s="16">
        <f t="shared" si="0"/>
        <v>0</v>
      </c>
      <c r="J16" s="16">
        <v>0.2361111111111111</v>
      </c>
      <c r="K16" s="16">
        <v>0.27777777777777779</v>
      </c>
      <c r="L16" s="16" t="s">
        <v>141</v>
      </c>
      <c r="M16" s="16" t="s">
        <v>141</v>
      </c>
      <c r="N16" s="16">
        <f t="shared" si="1"/>
        <v>4.1666666666666685E-2</v>
      </c>
      <c r="O16" s="16">
        <f t="shared" si="6"/>
        <v>1.0416666666666685E-2</v>
      </c>
      <c r="P16" s="16">
        <v>6.9444444444444397E-3</v>
      </c>
      <c r="Q16" s="16">
        <v>0.28472222222222221</v>
      </c>
      <c r="R16" s="16">
        <f t="shared" si="2"/>
        <v>0</v>
      </c>
      <c r="S16" s="16">
        <v>0.28125</v>
      </c>
      <c r="T16" s="16">
        <f>VLOOKUP(E16,'[2]21-3-2026'!E$3:T$35,16,FALSE)</f>
        <v>3.4722222222222203E-2</v>
      </c>
      <c r="U16" s="16">
        <v>0.31944444444444442</v>
      </c>
      <c r="V16" s="16">
        <f t="shared" si="3"/>
        <v>3.4722222222222099E-3</v>
      </c>
      <c r="W16" s="16">
        <v>3.125E-2</v>
      </c>
      <c r="X16" s="16">
        <v>0.33333333333333331</v>
      </c>
      <c r="Y16" s="16">
        <v>0.36458333333333331</v>
      </c>
      <c r="Z16" s="16">
        <f t="shared" si="4"/>
        <v>3.125E-2</v>
      </c>
      <c r="AA16" s="16">
        <f t="shared" si="5"/>
        <v>0</v>
      </c>
      <c r="AB16" s="16">
        <v>0.3659722222222222</v>
      </c>
      <c r="AC16" s="39"/>
      <c r="AD16" s="56"/>
    </row>
    <row r="17" spans="1:30" ht="19.5" thickBot="1" x14ac:dyDescent="0.3">
      <c r="A17" s="14">
        <v>15</v>
      </c>
      <c r="B17" s="15">
        <v>5898</v>
      </c>
      <c r="C17" s="15" t="str">
        <f>VLOOKUP(B17,داتا!$B$3:$D$107,2,FALSE)</f>
        <v>تلتين</v>
      </c>
      <c r="D17" s="34">
        <f>VLOOKUP(B17,داتا!$B$3:$D$107,3,FALSE)</f>
        <v>3.125E-2</v>
      </c>
      <c r="E17" s="15" t="s">
        <v>55</v>
      </c>
      <c r="F17" s="15" t="s">
        <v>66</v>
      </c>
      <c r="G17" s="16">
        <v>0.25</v>
      </c>
      <c r="H17" s="16">
        <v>0.25</v>
      </c>
      <c r="I17" s="16">
        <f t="shared" si="0"/>
        <v>0</v>
      </c>
      <c r="J17" s="16">
        <v>0.2361111111111111</v>
      </c>
      <c r="K17" s="16">
        <v>0.27777777777777779</v>
      </c>
      <c r="L17" s="16" t="s">
        <v>141</v>
      </c>
      <c r="M17" s="16" t="s">
        <v>141</v>
      </c>
      <c r="N17" s="16">
        <f t="shared" si="1"/>
        <v>4.1666666666666685E-2</v>
      </c>
      <c r="O17" s="16">
        <f t="shared" si="6"/>
        <v>1.0416666666666685E-2</v>
      </c>
      <c r="P17" s="16">
        <v>6.9444444444444397E-3</v>
      </c>
      <c r="Q17" s="16">
        <v>0.28472222222222221</v>
      </c>
      <c r="R17" s="16">
        <f t="shared" si="2"/>
        <v>0</v>
      </c>
      <c r="S17" s="16">
        <v>0.28125</v>
      </c>
      <c r="T17" s="16">
        <v>5</v>
      </c>
      <c r="U17" s="16">
        <v>0.38194444444444442</v>
      </c>
      <c r="V17" s="16">
        <v>0</v>
      </c>
      <c r="W17" s="16">
        <v>4.1666666666666664E-2</v>
      </c>
      <c r="X17" s="16">
        <v>0.38541666666666669</v>
      </c>
      <c r="Y17" s="16">
        <v>0.4201388888888889</v>
      </c>
      <c r="Z17" s="16">
        <f t="shared" si="4"/>
        <v>3.472222222222221E-2</v>
      </c>
      <c r="AA17" s="16">
        <v>0</v>
      </c>
      <c r="AB17" s="16">
        <v>0.4236111111111111</v>
      </c>
      <c r="AC17" s="39"/>
      <c r="AD17" s="56"/>
    </row>
    <row r="18" spans="1:30" ht="19.5" thickBot="1" x14ac:dyDescent="0.3">
      <c r="A18" s="14">
        <v>16</v>
      </c>
      <c r="B18" s="15">
        <v>1538</v>
      </c>
      <c r="C18" s="15" t="str">
        <f>VLOOKUP(B18,داتا!$B$3:$D$107,2,FALSE)</f>
        <v>تلتين</v>
      </c>
      <c r="D18" s="34">
        <f>VLOOKUP(B18,داتا!$B$3:$D$107,3,FALSE)</f>
        <v>3.125E-2</v>
      </c>
      <c r="E18" s="16" t="s">
        <v>73</v>
      </c>
      <c r="F18" s="15" t="s">
        <v>197</v>
      </c>
      <c r="G18" s="16">
        <v>0.25</v>
      </c>
      <c r="H18" s="16">
        <v>0.25347222222222221</v>
      </c>
      <c r="I18" s="16">
        <f t="shared" si="0"/>
        <v>3.4722222222222099E-3</v>
      </c>
      <c r="J18" s="16">
        <v>0.21527777777777779</v>
      </c>
      <c r="K18" s="16">
        <v>0.23958333333333334</v>
      </c>
      <c r="L18" s="16" t="s">
        <v>202</v>
      </c>
      <c r="M18" s="16" t="s">
        <v>203</v>
      </c>
      <c r="N18" s="16">
        <f t="shared" si="1"/>
        <v>2.4305555555555552E-2</v>
      </c>
      <c r="O18" s="16">
        <v>0</v>
      </c>
      <c r="P18" s="16">
        <v>6.9444444444444397E-3</v>
      </c>
      <c r="Q18" s="16">
        <v>0.24305555555555555</v>
      </c>
      <c r="R18" s="16">
        <v>0</v>
      </c>
      <c r="S18" s="16">
        <v>0.29166666666666669</v>
      </c>
      <c r="T18" s="16">
        <f>VLOOKUP(E18,'[2]21-3-2026'!E$3:T$35,16,FALSE)</f>
        <v>3.4722222222222203E-2</v>
      </c>
      <c r="U18" s="16">
        <v>0.3263888888888889</v>
      </c>
      <c r="V18" s="16">
        <f t="shared" si="3"/>
        <v>0</v>
      </c>
      <c r="W18" s="16">
        <v>4.1666666666666664E-2</v>
      </c>
      <c r="X18" s="16">
        <v>0.34027777777777779</v>
      </c>
      <c r="Y18" s="16">
        <v>0.37847222222222221</v>
      </c>
      <c r="Z18" s="16">
        <f t="shared" si="4"/>
        <v>3.819444444444442E-2</v>
      </c>
      <c r="AA18" s="16">
        <v>0</v>
      </c>
      <c r="AB18" s="16">
        <v>0.38194444444444442</v>
      </c>
      <c r="AC18" s="39"/>
      <c r="AD18" s="56"/>
    </row>
    <row r="19" spans="1:30" ht="19.5" thickBot="1" x14ac:dyDescent="0.3">
      <c r="A19" s="14">
        <v>17</v>
      </c>
      <c r="B19" s="15">
        <v>1454</v>
      </c>
      <c r="C19" s="15" t="str">
        <f>VLOOKUP(B19,داتا!$B$3:$D$107,2,FALSE)</f>
        <v>تلتين</v>
      </c>
      <c r="D19" s="34">
        <f>VLOOKUP(B19,داتا!$B$3:$D$107,3,FALSE)</f>
        <v>3.125E-2</v>
      </c>
      <c r="E19" s="15" t="s">
        <v>34</v>
      </c>
      <c r="F19" s="15" t="s">
        <v>40</v>
      </c>
      <c r="G19" s="16">
        <v>0.25</v>
      </c>
      <c r="H19" s="16">
        <v>0.25</v>
      </c>
      <c r="I19" s="16">
        <f t="shared" si="0"/>
        <v>0</v>
      </c>
      <c r="J19" s="16">
        <v>0.25</v>
      </c>
      <c r="K19" s="16">
        <v>0.28125</v>
      </c>
      <c r="L19" s="16" t="s">
        <v>201</v>
      </c>
      <c r="M19" s="16" t="s">
        <v>201</v>
      </c>
      <c r="N19" s="16">
        <f t="shared" si="1"/>
        <v>3.125E-2</v>
      </c>
      <c r="O19" s="16">
        <v>0</v>
      </c>
      <c r="P19" s="16">
        <v>6.9444444444444397E-3</v>
      </c>
      <c r="Q19" s="16">
        <v>0.28819444444444442</v>
      </c>
      <c r="R19" s="16">
        <f t="shared" si="2"/>
        <v>0</v>
      </c>
      <c r="S19" s="16">
        <v>0.2951388888888889</v>
      </c>
      <c r="T19" s="16">
        <f>VLOOKUP(E19,'[2]21-3-2026'!E$3:T$35,16,FALSE)</f>
        <v>1.0416666666666701E-2</v>
      </c>
      <c r="U19" s="16">
        <v>0.30902777777777779</v>
      </c>
      <c r="V19" s="16">
        <f t="shared" si="3"/>
        <v>3.4722222222222099E-3</v>
      </c>
      <c r="W19" s="16">
        <v>4.1666666666666664E-2</v>
      </c>
      <c r="X19" s="16">
        <v>0.34166666666666667</v>
      </c>
      <c r="Y19" s="16">
        <v>0.39930555555555558</v>
      </c>
      <c r="Z19" s="16">
        <f t="shared" si="4"/>
        <v>5.7638888888888906E-2</v>
      </c>
      <c r="AA19" s="16">
        <f t="shared" si="5"/>
        <v>1.5972222222222242E-2</v>
      </c>
      <c r="AB19" s="16">
        <v>0.40277777777777779</v>
      </c>
      <c r="AC19" s="39"/>
      <c r="AD19" s="56"/>
    </row>
    <row r="20" spans="1:30" ht="19.5" thickBot="1" x14ac:dyDescent="0.3">
      <c r="A20" s="14">
        <v>18</v>
      </c>
      <c r="B20" s="15">
        <v>2714</v>
      </c>
      <c r="C20" s="15" t="str">
        <f>VLOOKUP(B20,داتا!$B$3:$D$107,2,FALSE)</f>
        <v>تلتين</v>
      </c>
      <c r="D20" s="34">
        <f>VLOOKUP(B20,داتا!$B$3:$D$107,3,FALSE)</f>
        <v>3.125E-2</v>
      </c>
      <c r="E20" s="15" t="s">
        <v>49</v>
      </c>
      <c r="F20" s="15" t="s">
        <v>169</v>
      </c>
      <c r="G20" s="16">
        <v>0.25</v>
      </c>
      <c r="H20" s="16">
        <v>0.25</v>
      </c>
      <c r="I20" s="16">
        <f t="shared" si="0"/>
        <v>0</v>
      </c>
      <c r="J20" s="16">
        <v>0.2326388888888889</v>
      </c>
      <c r="K20" s="16">
        <v>0.25347222222222221</v>
      </c>
      <c r="L20" s="16" t="s">
        <v>48</v>
      </c>
      <c r="M20" s="16" t="s">
        <v>48</v>
      </c>
      <c r="N20" s="16">
        <f t="shared" si="1"/>
        <v>2.0833333333333315E-2</v>
      </c>
      <c r="O20" s="16">
        <v>0</v>
      </c>
      <c r="P20" s="16">
        <v>6.9444444444444397E-3</v>
      </c>
      <c r="Q20" s="16">
        <v>0.2638888888888889</v>
      </c>
      <c r="R20" s="16">
        <f t="shared" si="2"/>
        <v>3.4722222222222654E-3</v>
      </c>
      <c r="S20" s="16">
        <v>0.2673611111111111</v>
      </c>
      <c r="T20" s="16">
        <f>VLOOKUP(E20,'[2]21-3-2026'!E$3:T$35,16,FALSE)</f>
        <v>3.4722222222222203E-2</v>
      </c>
      <c r="U20" s="16">
        <v>0.31874999999999998</v>
      </c>
      <c r="V20" s="16">
        <f t="shared" si="3"/>
        <v>1.6666666666666663E-2</v>
      </c>
      <c r="W20" s="16">
        <v>4.1666666666666664E-2</v>
      </c>
      <c r="X20" s="16">
        <v>0.34097222222222223</v>
      </c>
      <c r="Y20" s="16">
        <v>0.37847222222222221</v>
      </c>
      <c r="Z20" s="16">
        <f t="shared" si="4"/>
        <v>3.7499999999999978E-2</v>
      </c>
      <c r="AA20" s="16">
        <v>0</v>
      </c>
      <c r="AB20" s="16">
        <v>0.38055555555555554</v>
      </c>
      <c r="AC20" s="39"/>
      <c r="AD20" s="56"/>
    </row>
    <row r="21" spans="1:30" ht="19.5" thickBot="1" x14ac:dyDescent="0.3">
      <c r="A21" s="14">
        <v>19</v>
      </c>
      <c r="B21" s="15">
        <v>796</v>
      </c>
      <c r="C21" s="15" t="str">
        <f>VLOOKUP(B21,داتا!$B$3:$D$107,2,FALSE)</f>
        <v>دبابة</v>
      </c>
      <c r="D21" s="34">
        <f>VLOOKUP(B21,داتا!$B$3:$D$107,3,FALSE)</f>
        <v>2.0833333333333301E-2</v>
      </c>
      <c r="E21" s="15" t="s">
        <v>75</v>
      </c>
      <c r="F21" s="15" t="s">
        <v>198</v>
      </c>
      <c r="G21" s="16">
        <v>0.25</v>
      </c>
      <c r="H21" s="16">
        <v>0.25694444444444442</v>
      </c>
      <c r="I21" s="16">
        <f t="shared" si="0"/>
        <v>6.9444444444444198E-3</v>
      </c>
      <c r="J21" s="16">
        <v>0.25694444444444442</v>
      </c>
      <c r="K21" s="16">
        <v>0.28125</v>
      </c>
      <c r="L21" s="16" t="s">
        <v>48</v>
      </c>
      <c r="M21" s="16" t="s">
        <v>48</v>
      </c>
      <c r="N21" s="16">
        <f t="shared" si="1"/>
        <v>2.430555555555558E-2</v>
      </c>
      <c r="O21" s="16">
        <f t="shared" si="6"/>
        <v>3.4722222222222793E-3</v>
      </c>
      <c r="P21" s="16">
        <v>6.9444444444444397E-3</v>
      </c>
      <c r="Q21" s="16">
        <v>0.28819444444444442</v>
      </c>
      <c r="R21" s="16">
        <f t="shared" si="2"/>
        <v>0</v>
      </c>
      <c r="S21" s="16">
        <v>0.29166666666666669</v>
      </c>
      <c r="T21" s="16">
        <f>VLOOKUP(E21,'[2]21-3-2026'!E$3:T$35,16,FALSE)</f>
        <v>2.0833333333333301E-2</v>
      </c>
      <c r="U21" s="16">
        <v>0.30555555555555558</v>
      </c>
      <c r="V21" s="16">
        <v>0</v>
      </c>
      <c r="W21" s="16">
        <v>3.125E-2</v>
      </c>
      <c r="X21" s="16">
        <v>0.33333333333333331</v>
      </c>
      <c r="Y21" s="16">
        <v>0.36805555555555558</v>
      </c>
      <c r="Z21" s="16">
        <f t="shared" si="4"/>
        <v>3.4722222222222265E-2</v>
      </c>
      <c r="AA21" s="16">
        <f t="shared" si="5"/>
        <v>3.4722222222222654E-3</v>
      </c>
      <c r="AB21" s="16">
        <v>0.37152777777777779</v>
      </c>
      <c r="AC21" s="39"/>
      <c r="AD21" s="56"/>
    </row>
    <row r="22" spans="1:30" ht="19.5" thickBot="1" x14ac:dyDescent="0.3">
      <c r="A22" s="14">
        <v>20</v>
      </c>
      <c r="B22" s="15">
        <v>3793</v>
      </c>
      <c r="C22" s="15" t="str">
        <f>VLOOKUP(B22,داتا!$B$3:$D$107,2,FALSE)</f>
        <v>دبابة</v>
      </c>
      <c r="D22" s="34">
        <f>VLOOKUP(B22,داتا!$B$3:$D$107,3,FALSE)</f>
        <v>2.0833333333333301E-2</v>
      </c>
      <c r="E22" s="15" t="s">
        <v>54</v>
      </c>
      <c r="F22" s="15" t="s">
        <v>93</v>
      </c>
      <c r="G22" s="16">
        <v>0.25</v>
      </c>
      <c r="H22" s="16">
        <v>0.25</v>
      </c>
      <c r="I22" s="16">
        <f t="shared" si="0"/>
        <v>0</v>
      </c>
      <c r="J22" s="16">
        <v>0.2326388888888889</v>
      </c>
      <c r="K22" s="16">
        <v>0.25694444444444442</v>
      </c>
      <c r="L22" s="16" t="s">
        <v>53</v>
      </c>
      <c r="M22" s="16" t="s">
        <v>53</v>
      </c>
      <c r="N22" s="16">
        <f t="shared" si="1"/>
        <v>2.4305555555555525E-2</v>
      </c>
      <c r="O22" s="16">
        <f t="shared" si="6"/>
        <v>3.4722222222222238E-3</v>
      </c>
      <c r="P22" s="16">
        <v>6.9444444444444397E-3</v>
      </c>
      <c r="Q22" s="16">
        <v>0.2673611111111111</v>
      </c>
      <c r="R22" s="16">
        <f t="shared" si="2"/>
        <v>3.4722222222222654E-3</v>
      </c>
      <c r="S22" s="16">
        <v>0.2673611111111111</v>
      </c>
      <c r="T22" s="16">
        <f>VLOOKUP(E22,'[2]21-3-2026'!E$3:T$35,16,FALSE)</f>
        <v>1.0416666666666701E-2</v>
      </c>
      <c r="U22" s="16">
        <v>0.29166666666666669</v>
      </c>
      <c r="V22" s="16">
        <f t="shared" si="3"/>
        <v>1.3888888888888895E-2</v>
      </c>
      <c r="W22" s="16">
        <v>3.125E-2</v>
      </c>
      <c r="X22" s="16">
        <v>0.33680555555555558</v>
      </c>
      <c r="Y22" s="16">
        <v>0.375</v>
      </c>
      <c r="Z22" s="16">
        <f t="shared" si="4"/>
        <v>3.819444444444442E-2</v>
      </c>
      <c r="AA22" s="16">
        <f t="shared" si="5"/>
        <v>6.9444444444444198E-3</v>
      </c>
      <c r="AB22" s="16">
        <v>0.38541666666666669</v>
      </c>
      <c r="AC22" s="39"/>
      <c r="AD22" s="56"/>
    </row>
    <row r="23" spans="1:30" ht="19.5" thickBot="1" x14ac:dyDescent="0.3">
      <c r="A23" s="14">
        <v>21</v>
      </c>
      <c r="B23" s="15">
        <v>3787</v>
      </c>
      <c r="C23" s="15" t="str">
        <f>VLOOKUP(B23,داتا!$B$3:$D$107,2,FALSE)</f>
        <v>دبابة</v>
      </c>
      <c r="D23" s="34">
        <f>VLOOKUP(B23,داتا!$B$3:$D$107,3,FALSE)</f>
        <v>2.0833333333333301E-2</v>
      </c>
      <c r="E23" s="15" t="s">
        <v>63</v>
      </c>
      <c r="F23" s="15" t="s">
        <v>168</v>
      </c>
      <c r="G23" s="16">
        <v>0.25</v>
      </c>
      <c r="H23" s="16">
        <v>0.25</v>
      </c>
      <c r="I23" s="16">
        <f t="shared" si="0"/>
        <v>0</v>
      </c>
      <c r="J23" s="16">
        <v>0.2638888888888889</v>
      </c>
      <c r="K23" s="16">
        <v>0.27777777777777779</v>
      </c>
      <c r="L23" s="16" t="s">
        <v>204</v>
      </c>
      <c r="M23" s="16" t="s">
        <v>205</v>
      </c>
      <c r="N23" s="16">
        <f t="shared" si="1"/>
        <v>1.3888888888888895E-2</v>
      </c>
      <c r="O23" s="16">
        <v>0</v>
      </c>
      <c r="P23" s="16">
        <v>6.9444444444444397E-3</v>
      </c>
      <c r="Q23" s="16">
        <v>0.28472222222222221</v>
      </c>
      <c r="R23" s="16">
        <f t="shared" si="2"/>
        <v>0</v>
      </c>
      <c r="S23" s="16">
        <v>0.28472222222222221</v>
      </c>
      <c r="T23" s="16">
        <f>VLOOKUP(E23,'[2]21-3-2026'!E$3:T$35,16,FALSE)</f>
        <v>6.25E-2</v>
      </c>
      <c r="U23" s="16">
        <v>0.29166666666666669</v>
      </c>
      <c r="V23" s="16">
        <v>0</v>
      </c>
      <c r="W23" s="16">
        <v>3.125E-2</v>
      </c>
      <c r="X23" s="16">
        <v>0.33680555555555558</v>
      </c>
      <c r="Y23" s="16">
        <v>0.36805555555555558</v>
      </c>
      <c r="Z23" s="16">
        <f t="shared" si="4"/>
        <v>3.125E-2</v>
      </c>
      <c r="AA23" s="16">
        <f t="shared" si="5"/>
        <v>0</v>
      </c>
      <c r="AB23" s="16">
        <v>0.375</v>
      </c>
      <c r="AC23" s="39"/>
      <c r="AD23" s="56"/>
    </row>
    <row r="24" spans="1:30" ht="19.5" thickBot="1" x14ac:dyDescent="0.3">
      <c r="A24" s="14">
        <v>22</v>
      </c>
      <c r="B24" s="15">
        <v>3495</v>
      </c>
      <c r="C24" s="15" t="str">
        <f>VLOOKUP(B24,داتا!$B$3:$D$107,2,FALSE)</f>
        <v>تلتين</v>
      </c>
      <c r="D24" s="34">
        <f>VLOOKUP(B24,داتا!$B$3:$D$107,3,FALSE)</f>
        <v>3.125E-2</v>
      </c>
      <c r="E24" s="15" t="s">
        <v>42</v>
      </c>
      <c r="F24" s="16" t="s">
        <v>148</v>
      </c>
      <c r="G24" s="16">
        <v>0.25</v>
      </c>
      <c r="H24" s="16">
        <v>0.25</v>
      </c>
      <c r="I24" s="16">
        <f t="shared" si="0"/>
        <v>0</v>
      </c>
      <c r="J24" s="16">
        <v>0.27430555555555558</v>
      </c>
      <c r="K24" s="16">
        <v>0.2951388888888889</v>
      </c>
      <c r="L24" s="16" t="s">
        <v>32</v>
      </c>
      <c r="M24" s="16" t="s">
        <v>32</v>
      </c>
      <c r="N24" s="16">
        <f t="shared" si="1"/>
        <v>2.0833333333333315E-2</v>
      </c>
      <c r="O24" s="16">
        <v>0</v>
      </c>
      <c r="P24" s="16">
        <v>6.9444444444444397E-3</v>
      </c>
      <c r="Q24" s="16">
        <v>0.2986111111111111</v>
      </c>
      <c r="R24" s="16">
        <v>0</v>
      </c>
      <c r="S24" s="16">
        <v>0.30208333333333331</v>
      </c>
      <c r="T24" s="16">
        <f>VLOOKUP(E24,'[2]21-3-2026'!E$3:T$35,16,FALSE)</f>
        <v>1.7361111111111101E-2</v>
      </c>
      <c r="U24" s="16">
        <v>0.31597222222222221</v>
      </c>
      <c r="V24" s="16">
        <v>0</v>
      </c>
      <c r="W24" s="16">
        <v>4.1666666666666664E-2</v>
      </c>
      <c r="X24" s="16">
        <v>0.34097222222222223</v>
      </c>
      <c r="Y24" s="16">
        <v>0.38124999999999998</v>
      </c>
      <c r="Z24" s="16">
        <f t="shared" si="4"/>
        <v>4.0277777777777746E-2</v>
      </c>
      <c r="AA24" s="16">
        <v>0</v>
      </c>
      <c r="AB24" s="16">
        <v>0.38750000000000001</v>
      </c>
      <c r="AC24" s="39"/>
      <c r="AD24" s="56"/>
    </row>
    <row r="25" spans="1:30" ht="19.5" thickBot="1" x14ac:dyDescent="0.3">
      <c r="A25" s="14">
        <v>23</v>
      </c>
      <c r="B25" s="15">
        <v>3783</v>
      </c>
      <c r="C25" s="15" t="str">
        <f>VLOOKUP(B25,داتا!$B$3:$D$107,2,FALSE)</f>
        <v>دبابة</v>
      </c>
      <c r="D25" s="34">
        <f>VLOOKUP(B25,داتا!$B$3:$D$107,3,FALSE)</f>
        <v>2.0833333333333301E-2</v>
      </c>
      <c r="E25" s="15" t="s">
        <v>35</v>
      </c>
      <c r="F25" s="15" t="s">
        <v>76</v>
      </c>
      <c r="G25" s="16">
        <v>0.25</v>
      </c>
      <c r="H25" s="16">
        <v>0.25</v>
      </c>
      <c r="I25" s="16">
        <f t="shared" si="0"/>
        <v>0</v>
      </c>
      <c r="J25" s="16">
        <v>0.28819444444444442</v>
      </c>
      <c r="K25" s="16">
        <v>0.30555555555555558</v>
      </c>
      <c r="L25" s="16" t="s">
        <v>141</v>
      </c>
      <c r="M25" s="16" t="s">
        <v>141</v>
      </c>
      <c r="N25" s="16">
        <f t="shared" si="1"/>
        <v>1.736111111111116E-2</v>
      </c>
      <c r="O25" s="16">
        <v>0</v>
      </c>
      <c r="P25" s="16">
        <v>6.9444444444444397E-3</v>
      </c>
      <c r="Q25" s="16">
        <v>0.30902777777777779</v>
      </c>
      <c r="R25" s="16">
        <v>0</v>
      </c>
      <c r="S25" s="16">
        <v>0.30555555555555558</v>
      </c>
      <c r="T25" s="16">
        <f>VLOOKUP(E25,'[2]21-3-2026'!E$3:T$35,16,FALSE)</f>
        <v>3.4722222222222203E-2</v>
      </c>
      <c r="U25" s="16">
        <v>0.34027777777777779</v>
      </c>
      <c r="V25" s="16">
        <f t="shared" si="3"/>
        <v>0</v>
      </c>
      <c r="W25" s="16">
        <v>3.125E-2</v>
      </c>
      <c r="X25" s="16">
        <v>0.34375</v>
      </c>
      <c r="Y25" s="16">
        <v>0.375</v>
      </c>
      <c r="Z25" s="16">
        <f t="shared" si="4"/>
        <v>3.125E-2</v>
      </c>
      <c r="AA25" s="16">
        <f t="shared" si="5"/>
        <v>0</v>
      </c>
      <c r="AB25" s="16">
        <v>0.375</v>
      </c>
      <c r="AC25" s="41"/>
      <c r="AD25" s="56"/>
    </row>
    <row r="26" spans="1:30" ht="19.5" thickBot="1" x14ac:dyDescent="0.3">
      <c r="A26" s="14">
        <v>24</v>
      </c>
      <c r="B26" s="15">
        <v>586</v>
      </c>
      <c r="C26" s="15" t="str">
        <f>VLOOKUP(B26,داتا!$B$3:$D$107,2,FALSE)</f>
        <v>سوزوكي</v>
      </c>
      <c r="D26" s="34">
        <f>VLOOKUP(B26,داتا!$B$3:$D$107,3,FALSE)</f>
        <v>2.0833333333333301E-2</v>
      </c>
      <c r="E26" s="15" t="s">
        <v>77</v>
      </c>
      <c r="F26" s="15" t="s">
        <v>145</v>
      </c>
      <c r="G26" s="16">
        <v>0.25</v>
      </c>
      <c r="H26" s="16">
        <v>0.25</v>
      </c>
      <c r="I26" s="16">
        <f t="shared" si="0"/>
        <v>0</v>
      </c>
      <c r="J26" s="16">
        <v>0.2638888888888889</v>
      </c>
      <c r="K26" s="16">
        <v>0.27777777777777779</v>
      </c>
      <c r="L26" s="16" t="s">
        <v>53</v>
      </c>
      <c r="M26" s="16" t="s">
        <v>53</v>
      </c>
      <c r="N26" s="16">
        <f t="shared" si="1"/>
        <v>1.3888888888888895E-2</v>
      </c>
      <c r="O26" s="16">
        <v>0</v>
      </c>
      <c r="P26" s="16">
        <v>6.9444444444444397E-3</v>
      </c>
      <c r="Q26" s="16">
        <v>0.28472222222222221</v>
      </c>
      <c r="R26" s="16">
        <v>0</v>
      </c>
      <c r="S26" s="16">
        <v>0.2951388888888889</v>
      </c>
      <c r="T26" s="16">
        <f>VLOOKUP(E26,'[2]21-3-2026'!E$3:T$35,16,FALSE)</f>
        <v>1.38888888888889E-2</v>
      </c>
      <c r="U26" s="16">
        <v>0.31597222222222221</v>
      </c>
      <c r="V26" s="16">
        <f t="shared" si="3"/>
        <v>6.9444444444444198E-3</v>
      </c>
      <c r="W26" s="16">
        <v>3.125E-2</v>
      </c>
      <c r="X26" s="16">
        <v>0.34027777777777779</v>
      </c>
      <c r="Y26" s="16">
        <v>0.36041666666666666</v>
      </c>
      <c r="Z26" s="16">
        <f t="shared" si="4"/>
        <v>2.0138888888888873E-2</v>
      </c>
      <c r="AA26" s="16">
        <v>0</v>
      </c>
      <c r="AB26" s="16">
        <v>0.36249999999999999</v>
      </c>
      <c r="AC26" s="41"/>
      <c r="AD26" s="56"/>
    </row>
    <row r="27" spans="1:30" ht="19.5" thickBot="1" x14ac:dyDescent="0.3">
      <c r="A27" s="14">
        <v>25</v>
      </c>
      <c r="B27" s="15">
        <v>3891</v>
      </c>
      <c r="C27" s="15" t="str">
        <f>VLOOKUP(B27,داتا!$B$3:$D$107,2,FALSE)</f>
        <v>تلتين</v>
      </c>
      <c r="D27" s="34">
        <f>VLOOKUP(B27,داتا!$B$3:$D$107,3,FALSE)</f>
        <v>3.125E-2</v>
      </c>
      <c r="E27" s="15" t="s">
        <v>81</v>
      </c>
      <c r="F27" s="15" t="s">
        <v>48</v>
      </c>
      <c r="G27" s="16">
        <v>0.25</v>
      </c>
      <c r="H27" s="16">
        <v>0.25</v>
      </c>
      <c r="I27" s="16">
        <f t="shared" si="0"/>
        <v>0</v>
      </c>
      <c r="J27" s="16">
        <v>0.29166666666666669</v>
      </c>
      <c r="K27" s="16">
        <v>0.30902777777777779</v>
      </c>
      <c r="L27" s="16" t="s">
        <v>204</v>
      </c>
      <c r="M27" s="16" t="s">
        <v>205</v>
      </c>
      <c r="N27" s="16">
        <f t="shared" si="1"/>
        <v>1.7361111111111105E-2</v>
      </c>
      <c r="O27" s="16">
        <v>0</v>
      </c>
      <c r="P27" s="16">
        <v>6.9444444444444397E-3</v>
      </c>
      <c r="Q27" s="16">
        <v>0.30555555555555558</v>
      </c>
      <c r="R27" s="16">
        <v>0</v>
      </c>
      <c r="S27" s="16">
        <v>0.3125</v>
      </c>
      <c r="T27" s="16">
        <f>VLOOKUP(E27,'[2]21-3-2026'!E$3:T$35,16,FALSE)</f>
        <v>2.7777777777777801E-2</v>
      </c>
      <c r="U27" s="16">
        <v>0.34027777777777779</v>
      </c>
      <c r="V27" s="16">
        <f t="shared" si="3"/>
        <v>0</v>
      </c>
      <c r="W27" s="16">
        <v>4.1666666666666664E-2</v>
      </c>
      <c r="X27" s="16">
        <v>0.34166666666666667</v>
      </c>
      <c r="Y27" s="16">
        <v>0.37847222222222221</v>
      </c>
      <c r="Z27" s="16">
        <f t="shared" si="4"/>
        <v>3.6805555555555536E-2</v>
      </c>
      <c r="AA27" s="16">
        <v>0</v>
      </c>
      <c r="AB27" s="16">
        <v>0.38194444444444442</v>
      </c>
      <c r="AC27" s="41"/>
      <c r="AD27" s="56"/>
    </row>
    <row r="28" spans="1:30" ht="19.5" thickBot="1" x14ac:dyDescent="0.3">
      <c r="A28" s="14">
        <v>26</v>
      </c>
      <c r="B28" s="15">
        <v>675</v>
      </c>
      <c r="C28" s="15" t="str">
        <f>VLOOKUP(B28,داتا!$B$3:$D$107,2,FALSE)</f>
        <v>جامبو</v>
      </c>
      <c r="D28" s="34">
        <f>VLOOKUP(B28,داتا!$B$3:$D$107,3,FALSE)</f>
        <v>4.1666666666666699E-2</v>
      </c>
      <c r="E28" s="15" t="s">
        <v>95</v>
      </c>
      <c r="F28" s="15" t="s">
        <v>149</v>
      </c>
      <c r="G28" s="16">
        <v>0.25</v>
      </c>
      <c r="H28" s="16">
        <v>0.25</v>
      </c>
      <c r="I28" s="16">
        <f t="shared" si="0"/>
        <v>0</v>
      </c>
      <c r="J28" s="16">
        <v>0.28472222222222221</v>
      </c>
      <c r="K28" s="16">
        <v>0.3125</v>
      </c>
      <c r="L28" s="16" t="s">
        <v>48</v>
      </c>
      <c r="M28" s="16" t="s">
        <v>48</v>
      </c>
      <c r="N28" s="16">
        <f t="shared" si="1"/>
        <v>2.777777777777779E-2</v>
      </c>
      <c r="O28" s="16">
        <v>0</v>
      </c>
      <c r="P28" s="16">
        <v>6.9444444444444397E-3</v>
      </c>
      <c r="Q28" s="16">
        <v>0.31944444444444442</v>
      </c>
      <c r="R28" s="16">
        <f t="shared" si="2"/>
        <v>0</v>
      </c>
      <c r="S28" s="16">
        <v>0.31944444444444442</v>
      </c>
      <c r="T28" s="16">
        <f>VLOOKUP(E28,'[2]21-3-2026'!E$3:T$35,16,FALSE)</f>
        <v>1.0416666666666701E-2</v>
      </c>
      <c r="U28" s="16">
        <v>0.3263888888888889</v>
      </c>
      <c r="V28" s="16">
        <v>0</v>
      </c>
      <c r="W28" s="16">
        <v>6.25E-2</v>
      </c>
      <c r="X28" s="16">
        <v>0.34375</v>
      </c>
      <c r="Y28" s="16">
        <v>0.39583333333333331</v>
      </c>
      <c r="Z28" s="16">
        <f t="shared" si="4"/>
        <v>5.2083333333333315E-2</v>
      </c>
      <c r="AA28" s="16">
        <v>0</v>
      </c>
      <c r="AB28" s="16">
        <v>0.39652777777777776</v>
      </c>
      <c r="AC28" s="39"/>
      <c r="AD28" s="56"/>
    </row>
    <row r="29" spans="1:30" ht="19.5" thickBot="1" x14ac:dyDescent="0.3">
      <c r="A29" s="14">
        <v>27</v>
      </c>
      <c r="B29" s="15">
        <v>2695</v>
      </c>
      <c r="C29" s="15" t="str">
        <f>VLOOKUP(B29,داتا!$B$3:$D$107,2,FALSE)</f>
        <v>تلتين</v>
      </c>
      <c r="D29" s="34">
        <f>VLOOKUP(B29,داتا!$B$3:$D$107,3,FALSE)</f>
        <v>3.125E-2</v>
      </c>
      <c r="E29" s="15" t="s">
        <v>83</v>
      </c>
      <c r="F29" s="15" t="s">
        <v>199</v>
      </c>
      <c r="G29" s="16">
        <v>0.25</v>
      </c>
      <c r="H29" s="16">
        <v>0.25</v>
      </c>
      <c r="I29" s="16">
        <f t="shared" si="0"/>
        <v>0</v>
      </c>
      <c r="J29" s="16">
        <v>0.28472222222222221</v>
      </c>
      <c r="K29" s="16">
        <v>0.31944444444444442</v>
      </c>
      <c r="L29" s="16" t="s">
        <v>53</v>
      </c>
      <c r="M29" s="16" t="s">
        <v>53</v>
      </c>
      <c r="N29" s="16">
        <f t="shared" si="1"/>
        <v>3.472222222222221E-2</v>
      </c>
      <c r="O29" s="16">
        <f t="shared" si="6"/>
        <v>3.4722222222222099E-3</v>
      </c>
      <c r="P29" s="16">
        <v>6.9444444444444397E-3</v>
      </c>
      <c r="Q29" s="16">
        <v>0.3298611111111111</v>
      </c>
      <c r="R29" s="16">
        <f t="shared" si="2"/>
        <v>3.4722222222222654E-3</v>
      </c>
      <c r="S29" s="16">
        <v>0.3263888888888889</v>
      </c>
      <c r="T29" s="16">
        <f>VLOOKUP(E29,'[2]21-3-2026'!E$3:T$35,16,FALSE)</f>
        <v>1.38888888888889E-2</v>
      </c>
      <c r="U29" s="16">
        <v>0.3347222222222222</v>
      </c>
      <c r="V29" s="16">
        <v>0</v>
      </c>
      <c r="W29" s="16">
        <v>3.125E-2</v>
      </c>
      <c r="X29" s="16">
        <v>0.33888888888888891</v>
      </c>
      <c r="Y29" s="16">
        <v>0.37152777777777779</v>
      </c>
      <c r="Z29" s="16">
        <f t="shared" si="4"/>
        <v>3.2638888888888884E-2</v>
      </c>
      <c r="AA29" s="16">
        <f t="shared" si="5"/>
        <v>1.388888888888884E-3</v>
      </c>
      <c r="AB29" s="16">
        <v>0.375</v>
      </c>
      <c r="AC29" s="40"/>
      <c r="AD29" s="56"/>
    </row>
    <row r="30" spans="1:30" ht="19.5" thickBot="1" x14ac:dyDescent="0.3">
      <c r="A30" s="14">
        <v>28</v>
      </c>
      <c r="B30" s="15">
        <v>2695</v>
      </c>
      <c r="C30" s="15" t="str">
        <f>VLOOKUP(B30,داتا!$B$3:$D$107,2,FALSE)</f>
        <v>تلتين</v>
      </c>
      <c r="D30" s="34">
        <f>VLOOKUP(B30,داتا!$B$3:$D$107,3,FALSE)</f>
        <v>3.125E-2</v>
      </c>
      <c r="E30" s="15" t="s">
        <v>77</v>
      </c>
      <c r="F30" s="15" t="s">
        <v>199</v>
      </c>
      <c r="G30" s="16">
        <v>0.25</v>
      </c>
      <c r="H30" s="16">
        <v>0.25</v>
      </c>
      <c r="I30" s="16">
        <f t="shared" si="0"/>
        <v>0</v>
      </c>
      <c r="J30" s="16">
        <v>0.28472222222222221</v>
      </c>
      <c r="K30" s="16">
        <v>0.31944444444444442</v>
      </c>
      <c r="L30" s="16" t="s">
        <v>53</v>
      </c>
      <c r="M30" s="16" t="s">
        <v>53</v>
      </c>
      <c r="N30" s="16">
        <f t="shared" si="1"/>
        <v>3.472222222222221E-2</v>
      </c>
      <c r="O30" s="16">
        <f t="shared" si="6"/>
        <v>3.4722222222222099E-3</v>
      </c>
      <c r="P30" s="16">
        <v>6.9444444444444397E-3</v>
      </c>
      <c r="Q30" s="16">
        <v>0.3298611111111111</v>
      </c>
      <c r="R30" s="16">
        <f t="shared" si="2"/>
        <v>3.4722222222222654E-3</v>
      </c>
      <c r="S30" s="16">
        <v>0.3263888888888889</v>
      </c>
      <c r="T30" s="16">
        <v>1.0416666666666666E-2</v>
      </c>
      <c r="U30" s="16">
        <v>0.38194444444444442</v>
      </c>
      <c r="V30" s="16">
        <v>0</v>
      </c>
      <c r="W30" s="16">
        <v>4.1666666666666664E-2</v>
      </c>
      <c r="X30" s="16">
        <v>0.38541666666666669</v>
      </c>
      <c r="Y30" s="16">
        <v>0.41319444444444442</v>
      </c>
      <c r="Z30" s="16">
        <f t="shared" si="4"/>
        <v>2.7777777777777735E-2</v>
      </c>
      <c r="AA30" s="16">
        <v>0</v>
      </c>
      <c r="AB30" s="16">
        <v>0.41666666666666669</v>
      </c>
      <c r="AC30" s="39"/>
      <c r="AD30" s="56"/>
    </row>
    <row r="31" spans="1:30" ht="19.5" thickBot="1" x14ac:dyDescent="0.3">
      <c r="A31" s="14">
        <v>29</v>
      </c>
      <c r="B31" s="15">
        <v>459</v>
      </c>
      <c r="C31" s="15" t="str">
        <f>VLOOKUP(B31,داتا!$B$3:$D$107,2,FALSE)</f>
        <v>دبابة</v>
      </c>
      <c r="D31" s="34">
        <f>VLOOKUP(B31,داتا!$B$3:$D$107,3,FALSE)</f>
        <v>2.0833333333333301E-2</v>
      </c>
      <c r="E31" s="15" t="s">
        <v>92</v>
      </c>
      <c r="F31" s="15" t="s">
        <v>99</v>
      </c>
      <c r="G31" s="16">
        <v>0.25</v>
      </c>
      <c r="H31" s="16">
        <v>0.25</v>
      </c>
      <c r="I31" s="16">
        <f t="shared" si="0"/>
        <v>0</v>
      </c>
      <c r="J31" s="16">
        <v>0.25</v>
      </c>
      <c r="K31" s="16">
        <v>0.26041666666666669</v>
      </c>
      <c r="L31" s="16" t="s">
        <v>202</v>
      </c>
      <c r="M31" s="16" t="s">
        <v>203</v>
      </c>
      <c r="N31" s="16">
        <f t="shared" si="1"/>
        <v>1.0416666666666685E-2</v>
      </c>
      <c r="O31" s="16">
        <v>0</v>
      </c>
      <c r="P31" s="16">
        <v>6.9444444444444397E-3</v>
      </c>
      <c r="Q31" s="16">
        <v>0.2638888888888889</v>
      </c>
      <c r="R31" s="16">
        <v>0</v>
      </c>
      <c r="S31" s="16">
        <v>0.31597222222222221</v>
      </c>
      <c r="T31" s="16">
        <f>VLOOKUP(E31,'[2]21-3-2026'!E$3:T$35,16,FALSE)</f>
        <v>1.38888888888889E-2</v>
      </c>
      <c r="U31" s="16">
        <v>0.32291666666666669</v>
      </c>
      <c r="V31" s="16">
        <v>0</v>
      </c>
      <c r="W31" s="16">
        <v>3.125E-2</v>
      </c>
      <c r="X31" s="16">
        <v>0.33333333333333331</v>
      </c>
      <c r="Y31" s="16">
        <v>0.35416666666666669</v>
      </c>
      <c r="Z31" s="16">
        <f t="shared" si="4"/>
        <v>2.083333333333337E-2</v>
      </c>
      <c r="AA31" s="16">
        <v>0</v>
      </c>
      <c r="AB31" s="16">
        <v>0.3576388888888889</v>
      </c>
      <c r="AC31" s="39"/>
      <c r="AD31" s="56"/>
    </row>
    <row r="32" spans="1:30" ht="19.5" thickBot="1" x14ac:dyDescent="0.3">
      <c r="A32" s="14">
        <v>30</v>
      </c>
      <c r="B32" s="15">
        <v>4879</v>
      </c>
      <c r="C32" s="15" t="str">
        <f>VLOOKUP(B32,داتا!$B$3:$D$107,2,FALSE)</f>
        <v>دبابة</v>
      </c>
      <c r="D32" s="34">
        <f>VLOOKUP(B32,داتا!$B$3:$D$107,3,FALSE)</f>
        <v>2.0833333333333301E-2</v>
      </c>
      <c r="E32" s="15" t="s">
        <v>79</v>
      </c>
      <c r="F32" s="15" t="s">
        <v>200</v>
      </c>
      <c r="G32" s="16">
        <v>0.25</v>
      </c>
      <c r="H32" s="16">
        <v>0.25</v>
      </c>
      <c r="I32" s="16">
        <f t="shared" si="0"/>
        <v>0</v>
      </c>
      <c r="J32" s="16">
        <v>0.28472222222222221</v>
      </c>
      <c r="K32" s="16">
        <v>0.30902777777777779</v>
      </c>
      <c r="L32" s="16" t="s">
        <v>201</v>
      </c>
      <c r="M32" s="16" t="s">
        <v>201</v>
      </c>
      <c r="N32" s="16">
        <f t="shared" si="1"/>
        <v>2.430555555555558E-2</v>
      </c>
      <c r="O32" s="16">
        <f t="shared" si="6"/>
        <v>3.4722222222222793E-3</v>
      </c>
      <c r="P32" s="16">
        <v>6.9444444444444397E-3</v>
      </c>
      <c r="Q32" s="16">
        <v>0.31597222222222221</v>
      </c>
      <c r="R32" s="16">
        <f t="shared" si="2"/>
        <v>0</v>
      </c>
      <c r="S32" s="16">
        <v>0.3125</v>
      </c>
      <c r="T32" s="16">
        <f>VLOOKUP(E32,'[2]21-3-2026'!E$3:T$35,16,FALSE)</f>
        <v>2.0833333333333301E-2</v>
      </c>
      <c r="U32" s="16">
        <v>0.32083333333333336</v>
      </c>
      <c r="V32" s="16">
        <v>0</v>
      </c>
      <c r="W32" s="16">
        <v>3.125E-2</v>
      </c>
      <c r="X32" s="16">
        <v>0.33680555555555558</v>
      </c>
      <c r="Y32" s="16">
        <v>0.36458333333333331</v>
      </c>
      <c r="Z32" s="16">
        <f t="shared" si="4"/>
        <v>2.7777777777777735E-2</v>
      </c>
      <c r="AA32" s="16">
        <v>0</v>
      </c>
      <c r="AB32" s="16">
        <v>0.36805555555555558</v>
      </c>
      <c r="AC32" s="39"/>
      <c r="AD32" s="56"/>
    </row>
    <row r="33" spans="1:30" ht="19.5" thickBot="1" x14ac:dyDescent="0.3">
      <c r="A33" s="14">
        <v>31</v>
      </c>
      <c r="B33" s="15">
        <v>2474</v>
      </c>
      <c r="C33" s="15" t="str">
        <f>VLOOKUP(B33,داتا!$B$3:$D$107,2,FALSE)</f>
        <v>دبابة</v>
      </c>
      <c r="D33" s="34">
        <f>VLOOKUP(B33,داتا!$B$3:$D$107,3,FALSE)</f>
        <v>2.0833333333333332E-2</v>
      </c>
      <c r="E33" s="15" t="s">
        <v>89</v>
      </c>
      <c r="F33" s="15" t="s">
        <v>78</v>
      </c>
      <c r="G33" s="16">
        <v>0.25</v>
      </c>
      <c r="H33" s="16">
        <v>0.25</v>
      </c>
      <c r="I33" s="16">
        <f t="shared" si="0"/>
        <v>0</v>
      </c>
      <c r="J33" s="16">
        <v>0.2986111111111111</v>
      </c>
      <c r="K33" s="16">
        <v>0.3125</v>
      </c>
      <c r="L33" s="16" t="s">
        <v>32</v>
      </c>
      <c r="M33" s="16" t="s">
        <v>32</v>
      </c>
      <c r="N33" s="16">
        <f t="shared" si="1"/>
        <v>1.3888888888888895E-2</v>
      </c>
      <c r="O33" s="16">
        <v>0</v>
      </c>
      <c r="P33" s="16">
        <v>6.9444444444444397E-3</v>
      </c>
      <c r="Q33" s="16">
        <v>0.3263888888888889</v>
      </c>
      <c r="R33" s="16">
        <f t="shared" si="2"/>
        <v>6.9444444444444753E-3</v>
      </c>
      <c r="S33" s="16">
        <v>0.3298611111111111</v>
      </c>
      <c r="T33" s="16">
        <f>VLOOKUP(E33,'[2]21-3-2026'!E$3:T$35,16,FALSE)</f>
        <v>1.7361111111111101E-2</v>
      </c>
      <c r="U33" s="16">
        <v>0.34375</v>
      </c>
      <c r="V33" s="16">
        <v>0</v>
      </c>
      <c r="W33" s="16">
        <v>3.125E-2</v>
      </c>
      <c r="X33" s="16">
        <v>0.34722222222222221</v>
      </c>
      <c r="Y33" s="16">
        <v>0.375</v>
      </c>
      <c r="Z33" s="16">
        <f t="shared" si="4"/>
        <v>2.777777777777779E-2</v>
      </c>
      <c r="AA33" s="16">
        <v>0</v>
      </c>
      <c r="AB33" s="16">
        <v>0.37708333333333333</v>
      </c>
      <c r="AC33" s="39"/>
      <c r="AD33" s="56"/>
    </row>
    <row r="34" spans="1:30" ht="19.5" thickBot="1" x14ac:dyDescent="0.3">
      <c r="A34" s="14">
        <v>32</v>
      </c>
      <c r="B34" s="15">
        <v>9198</v>
      </c>
      <c r="C34" s="15" t="str">
        <f>VLOOKUP(B34,داتا!$B$3:$D$107,2,FALSE)</f>
        <v>دبابة</v>
      </c>
      <c r="D34" s="34">
        <f>VLOOKUP(B34,داتا!$B$3:$D$107,3,FALSE)</f>
        <v>2.0833333333333301E-2</v>
      </c>
      <c r="E34" s="15" t="s">
        <v>98</v>
      </c>
      <c r="F34" s="15" t="s">
        <v>106</v>
      </c>
      <c r="G34" s="16">
        <v>0.25</v>
      </c>
      <c r="H34" s="16">
        <v>0.25</v>
      </c>
      <c r="I34" s="16">
        <f t="shared" si="0"/>
        <v>0</v>
      </c>
      <c r="J34" s="16">
        <v>0.30902777777777779</v>
      </c>
      <c r="K34" s="16">
        <v>0.3263888888888889</v>
      </c>
      <c r="L34" s="16" t="s">
        <v>141</v>
      </c>
      <c r="M34" s="16" t="s">
        <v>141</v>
      </c>
      <c r="N34" s="16">
        <f t="shared" si="1"/>
        <v>1.7361111111111105E-2</v>
      </c>
      <c r="O34" s="16">
        <v>0</v>
      </c>
      <c r="P34" s="16">
        <v>6.9444444444444397E-3</v>
      </c>
      <c r="Q34" s="16">
        <v>0.3298611111111111</v>
      </c>
      <c r="R34" s="16">
        <v>0</v>
      </c>
      <c r="S34" s="16">
        <v>0.3298611111111111</v>
      </c>
      <c r="T34" s="16">
        <f>VLOOKUP(E34,'[2]21-3-2026'!E$3:T$35,16,FALSE)</f>
        <v>4.8611111111111103E-3</v>
      </c>
      <c r="U34" s="16">
        <v>0.34027777777777779</v>
      </c>
      <c r="V34" s="16">
        <f t="shared" si="3"/>
        <v>5.5555555555555913E-3</v>
      </c>
      <c r="W34" s="16">
        <v>3.125E-2</v>
      </c>
      <c r="X34" s="16">
        <v>0.3527777777777778</v>
      </c>
      <c r="Y34" s="16">
        <v>0.375</v>
      </c>
      <c r="Z34" s="16">
        <f t="shared" si="4"/>
        <v>2.2222222222222199E-2</v>
      </c>
      <c r="AA34" s="16">
        <v>0</v>
      </c>
      <c r="AB34" s="16">
        <v>0.3888888888888889</v>
      </c>
      <c r="AC34" s="39"/>
      <c r="AD34" s="56"/>
    </row>
    <row r="35" spans="1:30" ht="19.5" thickBot="1" x14ac:dyDescent="0.3">
      <c r="A35" s="20">
        <v>33</v>
      </c>
      <c r="B35" s="21">
        <v>745</v>
      </c>
      <c r="C35" s="21" t="str">
        <f>VLOOKUP(B35,داتا!$B$3:$D$107,2,FALSE)</f>
        <v>دبابة</v>
      </c>
      <c r="D35" s="35">
        <f>VLOOKUP(B35,داتا!$B$3:$D$107,3,FALSE)</f>
        <v>2.0833333333333301E-2</v>
      </c>
      <c r="E35" s="21" t="s">
        <v>86</v>
      </c>
      <c r="F35" s="21" t="s">
        <v>90</v>
      </c>
      <c r="G35" s="22">
        <v>0.25</v>
      </c>
      <c r="H35" s="22">
        <v>0.25</v>
      </c>
      <c r="I35" s="22">
        <f t="shared" si="0"/>
        <v>0</v>
      </c>
      <c r="J35" s="22">
        <v>0.27083333333333331</v>
      </c>
      <c r="K35" s="22">
        <v>0.28125</v>
      </c>
      <c r="L35" s="22" t="s">
        <v>202</v>
      </c>
      <c r="M35" s="22" t="s">
        <v>203</v>
      </c>
      <c r="N35" s="22">
        <f t="shared" si="1"/>
        <v>1.0416666666666685E-2</v>
      </c>
      <c r="O35" s="22">
        <v>0</v>
      </c>
      <c r="P35" s="22">
        <v>6.9444444444444397E-3</v>
      </c>
      <c r="Q35" s="22">
        <v>0.33333333333333331</v>
      </c>
      <c r="R35" s="22">
        <f t="shared" si="2"/>
        <v>4.5138888888888895E-2</v>
      </c>
      <c r="S35" s="22">
        <v>0.34375</v>
      </c>
      <c r="T35" s="22">
        <f>VLOOKUP(E35,'[2]21-3-2026'!E$3:T$35,16,FALSE)</f>
        <v>3.4722222222222199E-3</v>
      </c>
      <c r="U35" s="22">
        <v>0.34375</v>
      </c>
      <c r="V35" s="22">
        <v>0</v>
      </c>
      <c r="W35" s="22">
        <v>3.125E-2</v>
      </c>
      <c r="X35" s="22">
        <v>0.34722222222222221</v>
      </c>
      <c r="Y35" s="22">
        <v>0.3923611111111111</v>
      </c>
      <c r="Z35" s="22">
        <f t="shared" si="4"/>
        <v>4.5138888888888895E-2</v>
      </c>
      <c r="AA35" s="22">
        <f t="shared" si="5"/>
        <v>1.3888888888888895E-2</v>
      </c>
      <c r="AB35" s="22">
        <v>0.39583333333333331</v>
      </c>
      <c r="AC35" s="42"/>
      <c r="AD35" s="57"/>
    </row>
    <row r="36" spans="1:30" ht="20.25" customHeight="1" thickTop="1" thickBot="1" x14ac:dyDescent="0.3">
      <c r="A36" s="10">
        <v>1</v>
      </c>
      <c r="B36" s="11">
        <v>4987</v>
      </c>
      <c r="C36" s="11" t="str">
        <f>VLOOKUP(B36,داتا!$B$3:$D$107,2,FALSE)</f>
        <v>تلتين</v>
      </c>
      <c r="D36" s="33">
        <f>VLOOKUP(B36,داتا!$B$3:$D$107,3,FALSE)</f>
        <v>3.125E-2</v>
      </c>
      <c r="E36" s="11" t="s">
        <v>49</v>
      </c>
      <c r="F36" s="11" t="s">
        <v>194</v>
      </c>
      <c r="G36" s="12">
        <v>0.25</v>
      </c>
      <c r="H36" s="12">
        <f>VLOOKUP(F36,$F$3:$I$35,3,FALSE)</f>
        <v>0.25</v>
      </c>
      <c r="I36" s="12">
        <f t="shared" si="0"/>
        <v>0</v>
      </c>
      <c r="J36" s="12">
        <v>0.38194444444444442</v>
      </c>
      <c r="K36" s="12">
        <v>0.40972222222222221</v>
      </c>
      <c r="L36" s="12" t="s">
        <v>85</v>
      </c>
      <c r="M36" s="12" t="s">
        <v>85</v>
      </c>
      <c r="N36" s="12">
        <f t="shared" si="1"/>
        <v>2.777777777777779E-2</v>
      </c>
      <c r="O36" s="12">
        <v>0</v>
      </c>
      <c r="P36" s="12">
        <v>6.9444444444444397E-3</v>
      </c>
      <c r="Q36" s="12">
        <v>0.41666666666666669</v>
      </c>
      <c r="R36" s="12">
        <f t="shared" si="2"/>
        <v>0</v>
      </c>
      <c r="S36" s="12">
        <v>0.41666666666666669</v>
      </c>
      <c r="T36" s="12">
        <f>VLOOKUP(E36,'[2]21-3-2026'!E$3:T$35,16,FALSE)</f>
        <v>3.4722222222222203E-2</v>
      </c>
      <c r="U36" s="12">
        <v>0.46180555555555558</v>
      </c>
      <c r="V36" s="12">
        <f t="shared" si="3"/>
        <v>1.0416666666666685E-2</v>
      </c>
      <c r="W36" s="12">
        <v>4.1666666666666664E-2</v>
      </c>
      <c r="X36" s="12">
        <v>0.46388888888888891</v>
      </c>
      <c r="Y36" s="12">
        <v>0.50694444444444442</v>
      </c>
      <c r="Z36" s="12">
        <f t="shared" si="4"/>
        <v>4.3055555555555514E-2</v>
      </c>
      <c r="AA36" s="12">
        <f t="shared" si="5"/>
        <v>1.3888888888888493E-3</v>
      </c>
      <c r="AB36" s="12">
        <v>0.51041666666666663</v>
      </c>
      <c r="AC36" s="43"/>
      <c r="AD36" s="55" t="s">
        <v>104</v>
      </c>
    </row>
    <row r="37" spans="1:30" ht="19.5" thickBot="1" x14ac:dyDescent="0.3">
      <c r="A37" s="14">
        <v>2</v>
      </c>
      <c r="B37" s="15">
        <v>6143</v>
      </c>
      <c r="C37" s="15" t="str">
        <f>VLOOKUP(B37,داتا!$B$3:$D$107,2,FALSE)</f>
        <v>تلتين</v>
      </c>
      <c r="D37" s="34">
        <f>VLOOKUP(B37,داتا!$B$3:$D$107,3,FALSE)</f>
        <v>3.125E-2</v>
      </c>
      <c r="E37" s="15" t="s">
        <v>46</v>
      </c>
      <c r="F37" s="15" t="s">
        <v>117</v>
      </c>
      <c r="G37" s="16">
        <v>0.25</v>
      </c>
      <c r="H37" s="16">
        <f t="shared" ref="H37:H68" si="7">VLOOKUP(F37,$F$3:$I$35,3,FALSE)</f>
        <v>0.25</v>
      </c>
      <c r="I37" s="16">
        <f t="shared" si="0"/>
        <v>0</v>
      </c>
      <c r="J37" s="16">
        <v>0.4236111111111111</v>
      </c>
      <c r="K37" s="16">
        <v>0.44097222222222221</v>
      </c>
      <c r="L37" s="16" t="s">
        <v>85</v>
      </c>
      <c r="M37" s="16" t="s">
        <v>85</v>
      </c>
      <c r="N37" s="16">
        <f t="shared" si="1"/>
        <v>1.7361111111111105E-2</v>
      </c>
      <c r="O37" s="16">
        <v>0</v>
      </c>
      <c r="P37" s="16">
        <v>6.9444444444444397E-3</v>
      </c>
      <c r="Q37" s="16">
        <v>0.44791666666666669</v>
      </c>
      <c r="R37" s="16">
        <f t="shared" si="2"/>
        <v>0</v>
      </c>
      <c r="S37" s="16">
        <v>0.44791666666666669</v>
      </c>
      <c r="T37" s="16">
        <f>VLOOKUP(E37,'[2]21-3-2026'!E$3:T$35,16,FALSE)</f>
        <v>3.4722222222222203E-2</v>
      </c>
      <c r="U37" s="16">
        <v>0.46875</v>
      </c>
      <c r="V37" s="16">
        <v>0</v>
      </c>
      <c r="W37" s="16">
        <v>4.1666666666666664E-2</v>
      </c>
      <c r="X37" s="16">
        <v>0.47152777777777777</v>
      </c>
      <c r="Y37" s="16">
        <v>0.50138888888888888</v>
      </c>
      <c r="Z37" s="16">
        <f t="shared" si="4"/>
        <v>2.9861111111111116E-2</v>
      </c>
      <c r="AA37" s="16">
        <v>0</v>
      </c>
      <c r="AB37" s="16">
        <v>0.51111111111111107</v>
      </c>
      <c r="AC37" s="41"/>
      <c r="AD37" s="56"/>
    </row>
    <row r="38" spans="1:30" ht="19.5" thickBot="1" x14ac:dyDescent="0.3">
      <c r="A38" s="14">
        <v>3</v>
      </c>
      <c r="B38" s="15">
        <v>1538</v>
      </c>
      <c r="C38" s="15" t="str">
        <f>VLOOKUP(B38,داتا!$B$3:$D$107,2,FALSE)</f>
        <v>تلتين</v>
      </c>
      <c r="D38" s="34">
        <f>VLOOKUP(B38,داتا!$B$3:$D$107,3,FALSE)</f>
        <v>3.125E-2</v>
      </c>
      <c r="E38" s="15" t="s">
        <v>69</v>
      </c>
      <c r="F38" s="15" t="s">
        <v>197</v>
      </c>
      <c r="G38" s="16">
        <v>0.25</v>
      </c>
      <c r="H38" s="16">
        <f t="shared" si="7"/>
        <v>0.25347222222222221</v>
      </c>
      <c r="I38" s="16">
        <f t="shared" si="0"/>
        <v>3.4722222222222099E-3</v>
      </c>
      <c r="J38" s="16">
        <v>0.4548611111111111</v>
      </c>
      <c r="K38" s="16">
        <v>0.48958333333333331</v>
      </c>
      <c r="L38" s="16" t="s">
        <v>85</v>
      </c>
      <c r="M38" s="16" t="s">
        <v>85</v>
      </c>
      <c r="N38" s="16">
        <f t="shared" si="1"/>
        <v>3.472222222222221E-2</v>
      </c>
      <c r="O38" s="16">
        <f t="shared" si="6"/>
        <v>3.4722222222222099E-3</v>
      </c>
      <c r="P38" s="16">
        <v>6.9444444444444397E-3</v>
      </c>
      <c r="Q38" s="16">
        <v>0.49305555555555558</v>
      </c>
      <c r="R38" s="16">
        <v>0</v>
      </c>
      <c r="S38" s="16">
        <v>0.49305555555555558</v>
      </c>
      <c r="T38" s="16">
        <f>VLOOKUP(E38,'[2]21-3-2026'!E$3:T$35,16,FALSE)</f>
        <v>1.38888888888889E-2</v>
      </c>
      <c r="U38" s="16">
        <v>0.50347222222222221</v>
      </c>
      <c r="V38" s="16">
        <v>0</v>
      </c>
      <c r="W38" s="16">
        <v>3.125E-2</v>
      </c>
      <c r="X38" s="16">
        <v>0.50694444444444442</v>
      </c>
      <c r="Y38" s="16">
        <v>0.52430555555555558</v>
      </c>
      <c r="Z38" s="16">
        <f t="shared" si="4"/>
        <v>1.736111111111116E-2</v>
      </c>
      <c r="AA38" s="16">
        <v>0</v>
      </c>
      <c r="AB38" s="16">
        <v>0.52777777777777779</v>
      </c>
      <c r="AC38" s="41"/>
      <c r="AD38" s="56"/>
    </row>
    <row r="39" spans="1:30" ht="19.5" thickBot="1" x14ac:dyDescent="0.3">
      <c r="A39" s="14">
        <v>4</v>
      </c>
      <c r="B39" s="15">
        <v>1538</v>
      </c>
      <c r="C39" s="15" t="str">
        <f>VLOOKUP(B39,داتا!$B$3:$D$107,2,FALSE)</f>
        <v>تلتين</v>
      </c>
      <c r="D39" s="34">
        <f>VLOOKUP(B39,داتا!$B$3:$D$107,3,FALSE)</f>
        <v>3.125E-2</v>
      </c>
      <c r="E39" s="15" t="s">
        <v>67</v>
      </c>
      <c r="F39" s="15" t="s">
        <v>197</v>
      </c>
      <c r="G39" s="16">
        <v>0.25</v>
      </c>
      <c r="H39" s="16">
        <f t="shared" si="7"/>
        <v>0.25347222222222221</v>
      </c>
      <c r="I39" s="16">
        <f t="shared" si="0"/>
        <v>3.4722222222222099E-3</v>
      </c>
      <c r="J39" s="16">
        <v>0.4548611111111111</v>
      </c>
      <c r="K39" s="16">
        <v>0.48958333333333331</v>
      </c>
      <c r="L39" s="16" t="s">
        <v>85</v>
      </c>
      <c r="M39" s="16" t="s">
        <v>85</v>
      </c>
      <c r="N39" s="16">
        <f t="shared" si="1"/>
        <v>3.472222222222221E-2</v>
      </c>
      <c r="O39" s="16">
        <f t="shared" si="6"/>
        <v>3.4722222222222099E-3</v>
      </c>
      <c r="P39" s="16">
        <v>6.9444444444444397E-3</v>
      </c>
      <c r="Q39" s="16">
        <v>0.49305555555555558</v>
      </c>
      <c r="R39" s="16">
        <v>0</v>
      </c>
      <c r="S39" s="16">
        <v>0.49305555555555558</v>
      </c>
      <c r="T39" s="16">
        <f>VLOOKUP(E39,'[2]21-3-2026'!E$3:T$35,16,FALSE)</f>
        <v>1.7361111111111101E-2</v>
      </c>
      <c r="U39" s="16">
        <v>0.53125</v>
      </c>
      <c r="V39" s="16">
        <f t="shared" si="3"/>
        <v>2.083333333333337E-2</v>
      </c>
      <c r="W39" s="16">
        <v>4.1666666666666664E-2</v>
      </c>
      <c r="X39" s="16">
        <v>0.53472222222222221</v>
      </c>
      <c r="Y39" s="16">
        <v>0.58125000000000004</v>
      </c>
      <c r="Z39" s="16">
        <f t="shared" si="4"/>
        <v>4.6527777777777835E-2</v>
      </c>
      <c r="AA39" s="16">
        <f t="shared" si="5"/>
        <v>4.8611111111111702E-3</v>
      </c>
      <c r="AB39" s="16">
        <v>0.58333333333333337</v>
      </c>
      <c r="AC39" s="39"/>
      <c r="AD39" s="56"/>
    </row>
    <row r="40" spans="1:30" ht="19.5" thickBot="1" x14ac:dyDescent="0.3">
      <c r="A40" s="14">
        <v>5</v>
      </c>
      <c r="B40" s="15">
        <v>3492</v>
      </c>
      <c r="C40" s="15" t="str">
        <f>VLOOKUP(B40,داتا!$B$3:$D$107,2,FALSE)</f>
        <v>تلتين</v>
      </c>
      <c r="D40" s="34">
        <f>VLOOKUP(B40,داتا!$B$3:$D$107,3,FALSE)</f>
        <v>3.125E-2</v>
      </c>
      <c r="E40" s="15" t="s">
        <v>51</v>
      </c>
      <c r="F40" s="15" t="s">
        <v>150</v>
      </c>
      <c r="G40" s="16">
        <v>0.25</v>
      </c>
      <c r="H40" s="16">
        <f t="shared" si="7"/>
        <v>0.25</v>
      </c>
      <c r="I40" s="16">
        <f t="shared" si="0"/>
        <v>0</v>
      </c>
      <c r="J40" s="16">
        <v>0.39583333333333331</v>
      </c>
      <c r="K40" s="16">
        <v>0.43055555555555558</v>
      </c>
      <c r="L40" s="16" t="s">
        <v>110</v>
      </c>
      <c r="M40" s="16" t="s">
        <v>110</v>
      </c>
      <c r="N40" s="16">
        <f t="shared" si="1"/>
        <v>3.4722222222222265E-2</v>
      </c>
      <c r="O40" s="16">
        <f t="shared" si="6"/>
        <v>3.4722222222222654E-3</v>
      </c>
      <c r="P40" s="16">
        <v>6.9444444444444397E-3</v>
      </c>
      <c r="Q40" s="16">
        <v>0.43402777777777779</v>
      </c>
      <c r="R40" s="16">
        <v>0</v>
      </c>
      <c r="S40" s="16">
        <v>0.43402777777777779</v>
      </c>
      <c r="T40" s="16">
        <f>VLOOKUP(E40,'[2]21-3-2026'!E$3:T$35,16,FALSE)</f>
        <v>2.4305555555555601E-2</v>
      </c>
      <c r="U40" s="16">
        <v>0.45833333333333331</v>
      </c>
      <c r="V40" s="16">
        <f t="shared" si="3"/>
        <v>0</v>
      </c>
      <c r="W40" s="16">
        <v>3.125E-2</v>
      </c>
      <c r="X40" s="16">
        <v>0.46180555555555558</v>
      </c>
      <c r="Y40" s="16">
        <v>0.49652777777777779</v>
      </c>
      <c r="Z40" s="16">
        <f t="shared" si="4"/>
        <v>3.472222222222221E-2</v>
      </c>
      <c r="AA40" s="16">
        <f t="shared" si="5"/>
        <v>3.4722222222222099E-3</v>
      </c>
      <c r="AB40" s="16">
        <v>0.5</v>
      </c>
      <c r="AC40" s="39"/>
      <c r="AD40" s="56"/>
    </row>
    <row r="41" spans="1:30" ht="19.5" thickBot="1" x14ac:dyDescent="0.3">
      <c r="A41" s="14">
        <v>6</v>
      </c>
      <c r="B41" s="15">
        <v>3492</v>
      </c>
      <c r="C41" s="15" t="str">
        <f>VLOOKUP(B41,داتا!$B$3:$D$107,2,FALSE)</f>
        <v>تلتين</v>
      </c>
      <c r="D41" s="34">
        <f>VLOOKUP(B41,داتا!$B$3:$D$107,3,FALSE)</f>
        <v>3.125E-2</v>
      </c>
      <c r="E41" s="15" t="s">
        <v>54</v>
      </c>
      <c r="F41" s="15" t="s">
        <v>150</v>
      </c>
      <c r="G41" s="16">
        <v>0.25</v>
      </c>
      <c r="H41" s="16">
        <f t="shared" si="7"/>
        <v>0.25</v>
      </c>
      <c r="I41" s="16">
        <f t="shared" si="0"/>
        <v>0</v>
      </c>
      <c r="J41" s="16">
        <v>0.39583333333333331</v>
      </c>
      <c r="K41" s="16">
        <v>0.43055555555555558</v>
      </c>
      <c r="L41" s="16" t="s">
        <v>110</v>
      </c>
      <c r="M41" s="16" t="s">
        <v>110</v>
      </c>
      <c r="N41" s="16">
        <f t="shared" si="1"/>
        <v>3.4722222222222265E-2</v>
      </c>
      <c r="O41" s="16">
        <f t="shared" si="6"/>
        <v>3.4722222222222654E-3</v>
      </c>
      <c r="P41" s="16">
        <v>6.9444444444444397E-3</v>
      </c>
      <c r="Q41" s="16">
        <v>0.43402777777777779</v>
      </c>
      <c r="R41" s="16">
        <v>0</v>
      </c>
      <c r="S41" s="16">
        <v>0.43402777777777779</v>
      </c>
      <c r="T41" s="16">
        <f>VLOOKUP(E41,'[2]21-3-2026'!E$3:T$35,16,FALSE)</f>
        <v>1.0416666666666701E-2</v>
      </c>
      <c r="U41" s="16">
        <v>0.51388888888888884</v>
      </c>
      <c r="V41" s="16">
        <v>3.472222222222222E-3</v>
      </c>
      <c r="W41" s="16">
        <v>4.1666666666666664E-2</v>
      </c>
      <c r="X41" s="16">
        <v>0.51736111111111116</v>
      </c>
      <c r="Y41" s="16">
        <v>0.53472222222222221</v>
      </c>
      <c r="Z41" s="16">
        <f t="shared" si="4"/>
        <v>1.7361111111111049E-2</v>
      </c>
      <c r="AA41" s="16">
        <v>0</v>
      </c>
      <c r="AB41" s="16">
        <v>0.53819444444444442</v>
      </c>
      <c r="AC41" s="39"/>
      <c r="AD41" s="56"/>
    </row>
    <row r="42" spans="1:30" ht="19.5" thickBot="1" x14ac:dyDescent="0.3">
      <c r="A42" s="14">
        <v>7</v>
      </c>
      <c r="B42" s="15">
        <v>6142</v>
      </c>
      <c r="C42" s="15" t="str">
        <f>VLOOKUP(B42,داتا!$B$3:$D$107,2,FALSE)</f>
        <v>تلتين</v>
      </c>
      <c r="D42" s="34">
        <f>VLOOKUP(B42,داتا!$B$3:$D$107,3,FALSE)</f>
        <v>3.125E-2</v>
      </c>
      <c r="E42" s="15" t="s">
        <v>83</v>
      </c>
      <c r="F42" s="15" t="s">
        <v>167</v>
      </c>
      <c r="G42" s="16">
        <v>0.25</v>
      </c>
      <c r="H42" s="16">
        <f t="shared" si="7"/>
        <v>0.24652777777777779</v>
      </c>
      <c r="I42" s="16">
        <v>0</v>
      </c>
      <c r="J42" s="16">
        <v>0.44097222222222221</v>
      </c>
      <c r="K42" s="16">
        <v>0.47569444444444442</v>
      </c>
      <c r="L42" s="16" t="s">
        <v>108</v>
      </c>
      <c r="M42" s="16" t="s">
        <v>108</v>
      </c>
      <c r="N42" s="16">
        <f t="shared" si="1"/>
        <v>3.472222222222221E-2</v>
      </c>
      <c r="O42" s="16">
        <f t="shared" si="6"/>
        <v>3.4722222222222099E-3</v>
      </c>
      <c r="P42" s="16">
        <v>6.9444444444444397E-3</v>
      </c>
      <c r="Q42" s="16">
        <v>0.4861111111111111</v>
      </c>
      <c r="R42" s="16">
        <f t="shared" si="2"/>
        <v>3.4722222222222654E-3</v>
      </c>
      <c r="S42" s="16">
        <v>0.4861111111111111</v>
      </c>
      <c r="T42" s="16">
        <f>VLOOKUP(E42,'[2]21-3-2026'!E$3:T$35,16,FALSE)</f>
        <v>1.38888888888889E-2</v>
      </c>
      <c r="U42" s="16">
        <v>0.49305555555555558</v>
      </c>
      <c r="V42" s="16">
        <v>0</v>
      </c>
      <c r="W42" s="16">
        <v>3.125E-2</v>
      </c>
      <c r="X42" s="16">
        <v>0.49652777777777779</v>
      </c>
      <c r="Y42" s="16">
        <v>0.52638888888888891</v>
      </c>
      <c r="Z42" s="16">
        <f t="shared" si="4"/>
        <v>2.9861111111111116E-2</v>
      </c>
      <c r="AA42" s="16">
        <v>0</v>
      </c>
      <c r="AB42" s="16">
        <v>0.52777777777777779</v>
      </c>
      <c r="AC42" s="39"/>
      <c r="AD42" s="56"/>
    </row>
    <row r="43" spans="1:30" ht="19.5" thickBot="1" x14ac:dyDescent="0.3">
      <c r="A43" s="14">
        <v>8</v>
      </c>
      <c r="B43" s="15">
        <v>6142</v>
      </c>
      <c r="C43" s="15" t="str">
        <f>VLOOKUP(B43,داتا!$B$3:$D$107,2,FALSE)</f>
        <v>تلتين</v>
      </c>
      <c r="D43" s="34">
        <f>VLOOKUP(B43,داتا!$B$3:$D$107,3,FALSE)</f>
        <v>3.125E-2</v>
      </c>
      <c r="E43" s="15" t="s">
        <v>77</v>
      </c>
      <c r="F43" s="15" t="s">
        <v>167</v>
      </c>
      <c r="G43" s="16">
        <v>0.25</v>
      </c>
      <c r="H43" s="16">
        <f t="shared" si="7"/>
        <v>0.24652777777777779</v>
      </c>
      <c r="I43" s="16">
        <v>0</v>
      </c>
      <c r="J43" s="16">
        <v>0.44097222222222221</v>
      </c>
      <c r="K43" s="16">
        <v>0.47569444444444442</v>
      </c>
      <c r="L43" s="16" t="s">
        <v>108</v>
      </c>
      <c r="M43" s="16" t="s">
        <v>108</v>
      </c>
      <c r="N43" s="16">
        <f t="shared" si="1"/>
        <v>3.472222222222221E-2</v>
      </c>
      <c r="O43" s="16">
        <f t="shared" si="6"/>
        <v>3.4722222222222099E-3</v>
      </c>
      <c r="P43" s="16">
        <v>6.9444444444444397E-3</v>
      </c>
      <c r="Q43" s="16">
        <v>0.4861111111111111</v>
      </c>
      <c r="R43" s="16">
        <f t="shared" si="2"/>
        <v>3.4722222222222654E-3</v>
      </c>
      <c r="S43" s="16">
        <v>0.4861111111111111</v>
      </c>
      <c r="T43" s="16">
        <f>VLOOKUP(E43,'[2]21-3-2026'!E$3:T$35,16,FALSE)</f>
        <v>1.38888888888889E-2</v>
      </c>
      <c r="U43" s="16">
        <v>0.53472222222222221</v>
      </c>
      <c r="V43" s="16">
        <v>0</v>
      </c>
      <c r="W43" s="16">
        <v>4.1666666666666664E-2</v>
      </c>
      <c r="X43" s="16">
        <v>0.53819444444444442</v>
      </c>
      <c r="Y43" s="16">
        <v>0.60277777777777775</v>
      </c>
      <c r="Z43" s="16">
        <f t="shared" si="4"/>
        <v>6.4583333333333326E-2</v>
      </c>
      <c r="AA43" s="16">
        <f t="shared" si="5"/>
        <v>2.2916666666666662E-2</v>
      </c>
      <c r="AB43" s="16">
        <v>0.60763888888888884</v>
      </c>
      <c r="AC43" s="39"/>
      <c r="AD43" s="56"/>
    </row>
    <row r="44" spans="1:30" ht="19.5" thickBot="1" x14ac:dyDescent="0.3">
      <c r="A44" s="14">
        <v>9</v>
      </c>
      <c r="B44" s="15">
        <v>5898</v>
      </c>
      <c r="C44" s="15" t="str">
        <f>VLOOKUP(B44,داتا!$B$3:$D$107,2,FALSE)</f>
        <v>تلتين</v>
      </c>
      <c r="D44" s="34">
        <f>VLOOKUP(B44,داتا!$B$3:$D$107,3,FALSE)</f>
        <v>3.125E-2</v>
      </c>
      <c r="E44" s="15" t="s">
        <v>86</v>
      </c>
      <c r="F44" s="15" t="s">
        <v>66</v>
      </c>
      <c r="G44" s="16">
        <v>0.25</v>
      </c>
      <c r="H44" s="16">
        <f t="shared" si="7"/>
        <v>0.25</v>
      </c>
      <c r="I44" s="16">
        <f t="shared" si="0"/>
        <v>0</v>
      </c>
      <c r="J44" s="16">
        <v>0.49305555555555558</v>
      </c>
      <c r="K44" s="16">
        <v>0.52777777777777779</v>
      </c>
      <c r="L44" s="16" t="s">
        <v>110</v>
      </c>
      <c r="M44" s="16" t="s">
        <v>110</v>
      </c>
      <c r="N44" s="16">
        <f t="shared" si="1"/>
        <v>3.472222222222221E-2</v>
      </c>
      <c r="O44" s="16">
        <f t="shared" si="6"/>
        <v>3.4722222222222099E-3</v>
      </c>
      <c r="P44" s="16">
        <v>6.9444444444444397E-3</v>
      </c>
      <c r="Q44" s="16">
        <v>0.53125</v>
      </c>
      <c r="R44" s="16">
        <v>0</v>
      </c>
      <c r="S44" s="16">
        <v>0.53125</v>
      </c>
      <c r="T44" s="16">
        <f>VLOOKUP(E44,'[2]21-3-2026'!E$3:T$35,16,FALSE)</f>
        <v>3.4722222222222199E-3</v>
      </c>
      <c r="U44" s="16">
        <v>0.4861111111111111</v>
      </c>
      <c r="V44" s="16">
        <v>0</v>
      </c>
      <c r="W44" s="16">
        <v>4.1666666666666664E-2</v>
      </c>
      <c r="X44" s="16">
        <v>0.53472222222222221</v>
      </c>
      <c r="Y44" s="16">
        <v>0.60763888888888884</v>
      </c>
      <c r="Z44" s="16">
        <f t="shared" si="4"/>
        <v>7.291666666666663E-2</v>
      </c>
      <c r="AA44" s="16">
        <f t="shared" si="5"/>
        <v>3.1249999999999965E-2</v>
      </c>
      <c r="AB44" s="16">
        <v>0.61111111111111116</v>
      </c>
      <c r="AC44" s="39"/>
      <c r="AD44" s="56"/>
    </row>
    <row r="45" spans="1:30" ht="19.5" thickBot="1" x14ac:dyDescent="0.3">
      <c r="A45" s="14">
        <v>10</v>
      </c>
      <c r="B45" s="15">
        <v>7464</v>
      </c>
      <c r="C45" s="15" t="str">
        <f>VLOOKUP(B45,داتا!$B$3:$D$107,2,FALSE)</f>
        <v>تلتين</v>
      </c>
      <c r="D45" s="34">
        <f>VLOOKUP(B45,داتا!$B$3:$D$107,3,FALSE)</f>
        <v>3.125E-2</v>
      </c>
      <c r="E45" s="15" t="s">
        <v>42</v>
      </c>
      <c r="F45" s="15" t="s">
        <v>47</v>
      </c>
      <c r="G45" s="16">
        <v>0.25</v>
      </c>
      <c r="H45" s="16">
        <v>0.25</v>
      </c>
      <c r="I45" s="16">
        <f t="shared" si="0"/>
        <v>0</v>
      </c>
      <c r="J45" s="16">
        <v>0.40277777777777779</v>
      </c>
      <c r="K45" s="16">
        <v>0.43055555555555558</v>
      </c>
      <c r="L45" s="16" t="s">
        <v>158</v>
      </c>
      <c r="M45" s="16" t="s">
        <v>158</v>
      </c>
      <c r="N45" s="16">
        <f t="shared" si="1"/>
        <v>2.777777777777779E-2</v>
      </c>
      <c r="O45" s="16">
        <v>0</v>
      </c>
      <c r="P45" s="16">
        <v>6.9444444444444397E-3</v>
      </c>
      <c r="Q45" s="16">
        <v>0.4375</v>
      </c>
      <c r="R45" s="16">
        <v>0</v>
      </c>
      <c r="S45" s="16">
        <v>0.4375</v>
      </c>
      <c r="T45" s="16">
        <f>VLOOKUP(E45,'[2]21-3-2026'!E$3:T$35,16,FALSE)</f>
        <v>1.7361111111111101E-2</v>
      </c>
      <c r="U45" s="16">
        <v>0.46180555555555558</v>
      </c>
      <c r="V45" s="16">
        <f t="shared" si="3"/>
        <v>6.9444444444444753E-3</v>
      </c>
      <c r="W45" s="16">
        <v>3.125E-2</v>
      </c>
      <c r="X45" s="16">
        <v>0.47361111111111109</v>
      </c>
      <c r="Y45" s="16">
        <v>0.50138888888888888</v>
      </c>
      <c r="Z45" s="16">
        <f t="shared" si="4"/>
        <v>2.777777777777779E-2</v>
      </c>
      <c r="AA45" s="16">
        <v>0</v>
      </c>
      <c r="AB45" s="16">
        <v>0.50486111111111109</v>
      </c>
      <c r="AC45" s="39"/>
      <c r="AD45" s="56"/>
    </row>
    <row r="46" spans="1:30" ht="19.5" thickBot="1" x14ac:dyDescent="0.3">
      <c r="A46" s="14">
        <v>11</v>
      </c>
      <c r="B46" s="15">
        <v>7464</v>
      </c>
      <c r="C46" s="15" t="str">
        <f>VLOOKUP(B46,داتا!$B$3:$D$107,2,FALSE)</f>
        <v>تلتين</v>
      </c>
      <c r="D46" s="34">
        <f>VLOOKUP(B46,داتا!$B$3:$D$107,3,FALSE)</f>
        <v>3.125E-2</v>
      </c>
      <c r="E46" s="15" t="s">
        <v>45</v>
      </c>
      <c r="F46" s="15" t="s">
        <v>47</v>
      </c>
      <c r="G46" s="16">
        <v>0.25</v>
      </c>
      <c r="H46" s="16">
        <v>0.25</v>
      </c>
      <c r="I46" s="16">
        <f t="shared" si="0"/>
        <v>0</v>
      </c>
      <c r="J46" s="16">
        <v>0.40277777777777779</v>
      </c>
      <c r="K46" s="16">
        <v>0.43055555555555558</v>
      </c>
      <c r="L46" s="16" t="s">
        <v>158</v>
      </c>
      <c r="M46" s="16" t="s">
        <v>158</v>
      </c>
      <c r="N46" s="16">
        <f t="shared" si="1"/>
        <v>2.777777777777779E-2</v>
      </c>
      <c r="O46" s="16">
        <v>0</v>
      </c>
      <c r="P46" s="16">
        <v>6.9444444444444397E-3</v>
      </c>
      <c r="Q46" s="16">
        <v>0.4375</v>
      </c>
      <c r="R46" s="16">
        <f t="shared" si="2"/>
        <v>0</v>
      </c>
      <c r="S46" s="16">
        <v>0.4375</v>
      </c>
      <c r="T46" s="16">
        <f>VLOOKUP(E46,'[2]21-3-2026'!E$3:T$35,16,FALSE)</f>
        <v>1.38888888888889E-2</v>
      </c>
      <c r="U46" s="16">
        <v>0.51041666666666663</v>
      </c>
      <c r="V46" s="16">
        <v>0</v>
      </c>
      <c r="W46" s="16">
        <v>4.1666666666666664E-2</v>
      </c>
      <c r="X46" s="16">
        <v>0.51388888888888884</v>
      </c>
      <c r="Y46" s="16">
        <v>0.54374999999999996</v>
      </c>
      <c r="Z46" s="16">
        <f t="shared" si="4"/>
        <v>2.9861111111111116E-2</v>
      </c>
      <c r="AA46" s="16">
        <v>0</v>
      </c>
      <c r="AB46" s="16">
        <v>0.54513888888888884</v>
      </c>
      <c r="AC46" s="39"/>
      <c r="AD46" s="56"/>
    </row>
    <row r="47" spans="1:30" ht="19.5" thickBot="1" x14ac:dyDescent="0.3">
      <c r="A47" s="14">
        <v>12</v>
      </c>
      <c r="B47" s="15">
        <v>2714</v>
      </c>
      <c r="C47" s="15" t="str">
        <f>VLOOKUP(B47,داتا!$B$3:$D$107,2,FALSE)</f>
        <v>تلتين</v>
      </c>
      <c r="D47" s="34">
        <f>VLOOKUP(B47,داتا!$B$3:$D$107,3,FALSE)</f>
        <v>3.125E-2</v>
      </c>
      <c r="E47" s="15" t="s">
        <v>81</v>
      </c>
      <c r="F47" s="15" t="s">
        <v>169</v>
      </c>
      <c r="G47" s="16">
        <v>0.25</v>
      </c>
      <c r="H47" s="16">
        <f t="shared" si="7"/>
        <v>0.25</v>
      </c>
      <c r="I47" s="16">
        <f t="shared" si="0"/>
        <v>0</v>
      </c>
      <c r="J47" s="16">
        <v>0.44444444444444442</v>
      </c>
      <c r="K47" s="16">
        <v>0.47222222222222221</v>
      </c>
      <c r="L47" s="16" t="s">
        <v>158</v>
      </c>
      <c r="M47" s="16" t="s">
        <v>158</v>
      </c>
      <c r="N47" s="16">
        <f t="shared" si="1"/>
        <v>2.777777777777779E-2</v>
      </c>
      <c r="O47" s="16">
        <v>0</v>
      </c>
      <c r="P47" s="16">
        <v>6.9444444444444397E-3</v>
      </c>
      <c r="Q47" s="16">
        <v>0.4826388888888889</v>
      </c>
      <c r="R47" s="16">
        <f t="shared" si="2"/>
        <v>3.4722222222222654E-3</v>
      </c>
      <c r="S47" s="16">
        <v>0.4826388888888889</v>
      </c>
      <c r="T47" s="16">
        <f>VLOOKUP(E47,'[2]21-3-2026'!E$3:T$35,16,FALSE)</f>
        <v>2.7777777777777801E-2</v>
      </c>
      <c r="U47" s="16">
        <v>0.51041666666666663</v>
      </c>
      <c r="V47" s="16">
        <f t="shared" si="3"/>
        <v>0</v>
      </c>
      <c r="W47" s="16">
        <v>4.1666666666666664E-2</v>
      </c>
      <c r="X47" s="16">
        <v>0.51180555555555551</v>
      </c>
      <c r="Y47" s="16">
        <v>0.54374999999999996</v>
      </c>
      <c r="Z47" s="16">
        <f t="shared" si="4"/>
        <v>3.1944444444444442E-2</v>
      </c>
      <c r="AA47" s="16">
        <v>0</v>
      </c>
      <c r="AB47" s="16">
        <v>0.54513888888888884</v>
      </c>
      <c r="AC47" s="39"/>
      <c r="AD47" s="56"/>
    </row>
    <row r="48" spans="1:30" ht="19.5" thickBot="1" x14ac:dyDescent="0.3">
      <c r="A48" s="14">
        <v>13</v>
      </c>
      <c r="B48" s="15">
        <v>675</v>
      </c>
      <c r="C48" s="15" t="str">
        <f>VLOOKUP(B48,داتا!$B$3:$D$107,2,FALSE)</f>
        <v>جامبو</v>
      </c>
      <c r="D48" s="34">
        <f>VLOOKUP(B48,داتا!$B$3:$D$107,3,FALSE)</f>
        <v>4.1666666666666699E-2</v>
      </c>
      <c r="E48" s="15" t="s">
        <v>95</v>
      </c>
      <c r="F48" s="15" t="s">
        <v>149</v>
      </c>
      <c r="G48" s="16">
        <v>0.25</v>
      </c>
      <c r="H48" s="16">
        <f t="shared" si="7"/>
        <v>0.25</v>
      </c>
      <c r="I48" s="16">
        <f t="shared" si="0"/>
        <v>0</v>
      </c>
      <c r="J48" s="16">
        <v>0.5</v>
      </c>
      <c r="K48" s="16">
        <v>0.52430555555555558</v>
      </c>
      <c r="L48" s="16" t="s">
        <v>158</v>
      </c>
      <c r="M48" s="16" t="s">
        <v>158</v>
      </c>
      <c r="N48" s="16">
        <f t="shared" si="1"/>
        <v>2.430555555555558E-2</v>
      </c>
      <c r="O48" s="16">
        <v>0</v>
      </c>
      <c r="P48" s="16">
        <v>6.9444444444444397E-3</v>
      </c>
      <c r="Q48" s="16">
        <v>0.53125</v>
      </c>
      <c r="R48" s="16">
        <f t="shared" si="2"/>
        <v>0</v>
      </c>
      <c r="S48" s="16">
        <v>0.53125</v>
      </c>
      <c r="T48" s="16">
        <f>VLOOKUP(E48,'[2]21-3-2026'!E$3:T$35,16,FALSE)</f>
        <v>1.0416666666666701E-2</v>
      </c>
      <c r="U48" s="16">
        <v>0.53888888888888886</v>
      </c>
      <c r="V48" s="16">
        <v>0</v>
      </c>
      <c r="W48" s="16">
        <v>6.25E-2</v>
      </c>
      <c r="X48" s="16">
        <v>0.56597222222222221</v>
      </c>
      <c r="Y48" s="16">
        <v>0.62013888888888891</v>
      </c>
      <c r="Z48" s="16">
        <f t="shared" si="4"/>
        <v>5.4166666666666696E-2</v>
      </c>
      <c r="AA48" s="16">
        <v>0</v>
      </c>
      <c r="AB48" s="16">
        <v>0.62152777777777779</v>
      </c>
      <c r="AC48" s="39"/>
      <c r="AD48" s="56"/>
    </row>
    <row r="49" spans="1:30" ht="19.5" thickBot="1" x14ac:dyDescent="0.3">
      <c r="A49" s="14">
        <v>14</v>
      </c>
      <c r="B49" s="15">
        <v>2694</v>
      </c>
      <c r="C49" s="15" t="str">
        <f>VLOOKUP(B49,داتا!$B$3:$D$107,2,FALSE)</f>
        <v>تلتين</v>
      </c>
      <c r="D49" s="34">
        <f>VLOOKUP(B49,داتا!$B$3:$D$107,3,FALSE)</f>
        <v>3.125E-2</v>
      </c>
      <c r="E49" s="15" t="s">
        <v>73</v>
      </c>
      <c r="F49" s="15" t="s">
        <v>151</v>
      </c>
      <c r="G49" s="16">
        <v>0.25</v>
      </c>
      <c r="H49" s="16">
        <f t="shared" si="7"/>
        <v>0.25</v>
      </c>
      <c r="I49" s="16">
        <f t="shared" si="0"/>
        <v>0</v>
      </c>
      <c r="J49" s="16">
        <v>0.39583333333333331</v>
      </c>
      <c r="K49" s="16">
        <v>0.4375</v>
      </c>
      <c r="L49" s="16" t="s">
        <v>97</v>
      </c>
      <c r="M49" s="16" t="s">
        <v>97</v>
      </c>
      <c r="N49" s="16">
        <f t="shared" si="1"/>
        <v>4.1666666666666685E-2</v>
      </c>
      <c r="O49" s="16">
        <f t="shared" si="6"/>
        <v>1.0416666666666685E-2</v>
      </c>
      <c r="P49" s="16">
        <v>6.9444444444444397E-3</v>
      </c>
      <c r="Q49" s="16">
        <v>0.44791666666666669</v>
      </c>
      <c r="R49" s="16">
        <f t="shared" si="2"/>
        <v>3.4722222222222654E-3</v>
      </c>
      <c r="S49" s="16">
        <v>0.44791666666666669</v>
      </c>
      <c r="T49" s="16">
        <f>VLOOKUP(E49,'[2]21-3-2026'!E$3:T$35,16,FALSE)</f>
        <v>3.4722222222222203E-2</v>
      </c>
      <c r="U49" s="16">
        <v>0.47916666666666669</v>
      </c>
      <c r="V49" s="16">
        <v>0</v>
      </c>
      <c r="W49" s="16">
        <v>3.125E-2</v>
      </c>
      <c r="X49" s="16">
        <v>0.4861111111111111</v>
      </c>
      <c r="Y49" s="16">
        <v>0.53472222222222221</v>
      </c>
      <c r="Z49" s="16">
        <f t="shared" si="4"/>
        <v>4.8611111111111105E-2</v>
      </c>
      <c r="AA49" s="16">
        <f t="shared" si="5"/>
        <v>1.7361111111111105E-2</v>
      </c>
      <c r="AB49" s="16">
        <v>0.53819444444444442</v>
      </c>
      <c r="AC49" s="39"/>
      <c r="AD49" s="56"/>
    </row>
    <row r="50" spans="1:30" ht="19.5" thickBot="1" x14ac:dyDescent="0.3">
      <c r="A50" s="14">
        <v>15</v>
      </c>
      <c r="B50" s="15">
        <v>2694</v>
      </c>
      <c r="C50" s="15" t="str">
        <f>VLOOKUP(B50,داتا!$B$3:$D$107,2,FALSE)</f>
        <v>تلتين</v>
      </c>
      <c r="D50" s="34">
        <f>VLOOKUP(B50,داتا!$B$3:$D$107,3,FALSE)</f>
        <v>3.125E-2</v>
      </c>
      <c r="E50" s="15" t="s">
        <v>35</v>
      </c>
      <c r="F50" s="15" t="s">
        <v>151</v>
      </c>
      <c r="G50" s="16">
        <v>0.25</v>
      </c>
      <c r="H50" s="16">
        <f t="shared" si="7"/>
        <v>0.25</v>
      </c>
      <c r="I50" s="16">
        <f t="shared" si="0"/>
        <v>0</v>
      </c>
      <c r="J50" s="16">
        <v>0.39583333333333331</v>
      </c>
      <c r="K50" s="16">
        <v>0.4375</v>
      </c>
      <c r="L50" s="16" t="s">
        <v>97</v>
      </c>
      <c r="M50" s="16" t="s">
        <v>97</v>
      </c>
      <c r="N50" s="16">
        <f t="shared" si="1"/>
        <v>4.1666666666666685E-2</v>
      </c>
      <c r="O50" s="16">
        <f t="shared" si="6"/>
        <v>1.0416666666666685E-2</v>
      </c>
      <c r="P50" s="16">
        <v>6.9444444444444397E-3</v>
      </c>
      <c r="Q50" s="16">
        <v>0.44791666666666669</v>
      </c>
      <c r="R50" s="16">
        <f t="shared" si="2"/>
        <v>3.4722222222222654E-3</v>
      </c>
      <c r="S50" s="16">
        <v>0.44791666666666669</v>
      </c>
      <c r="T50" s="16">
        <f>VLOOKUP(E50,'[2]21-3-2026'!E$3:T$35,16,FALSE)</f>
        <v>3.4722222222222203E-2</v>
      </c>
      <c r="U50" s="16">
        <v>0.54166666666666663</v>
      </c>
      <c r="V50" s="16">
        <v>0</v>
      </c>
      <c r="W50" s="16">
        <v>4.1666666666666664E-2</v>
      </c>
      <c r="X50" s="16">
        <v>0.57986111111111116</v>
      </c>
      <c r="Y50" s="16">
        <v>0.60763888888888884</v>
      </c>
      <c r="Z50" s="16">
        <f t="shared" si="4"/>
        <v>2.7777777777777679E-2</v>
      </c>
      <c r="AA50" s="16">
        <v>0</v>
      </c>
      <c r="AB50" s="16">
        <v>0.61111111111111116</v>
      </c>
      <c r="AC50" s="39"/>
      <c r="AD50" s="56"/>
    </row>
    <row r="51" spans="1:30" ht="19.5" thickBot="1" x14ac:dyDescent="0.3">
      <c r="A51" s="14">
        <v>16</v>
      </c>
      <c r="B51" s="15">
        <v>3891</v>
      </c>
      <c r="C51" s="15" t="str">
        <f>VLOOKUP(B51,داتا!$B$3:$D$107,2,FALSE)</f>
        <v>تلتين</v>
      </c>
      <c r="D51" s="34">
        <f>VLOOKUP(B51,داتا!$B$3:$D$107,3,FALSE)</f>
        <v>3.125E-2</v>
      </c>
      <c r="E51" s="15" t="s">
        <v>38</v>
      </c>
      <c r="F51" s="15" t="s">
        <v>48</v>
      </c>
      <c r="G51" s="16">
        <v>0.25</v>
      </c>
      <c r="H51" s="16">
        <f t="shared" si="7"/>
        <v>0.25</v>
      </c>
      <c r="I51" s="16">
        <f t="shared" si="0"/>
        <v>0</v>
      </c>
      <c r="J51" s="16">
        <v>0.44791666666666669</v>
      </c>
      <c r="K51" s="16">
        <v>0.47222222222222221</v>
      </c>
      <c r="L51" s="16" t="s">
        <v>97</v>
      </c>
      <c r="M51" s="16" t="s">
        <v>97</v>
      </c>
      <c r="N51" s="16">
        <f t="shared" si="1"/>
        <v>2.4305555555555525E-2</v>
      </c>
      <c r="O51" s="16">
        <v>0</v>
      </c>
      <c r="P51" s="16">
        <v>6.9444444444444397E-3</v>
      </c>
      <c r="Q51" s="16">
        <v>0.47569444444444442</v>
      </c>
      <c r="R51" s="16">
        <v>0</v>
      </c>
      <c r="S51" s="16">
        <v>0.47569444444444442</v>
      </c>
      <c r="T51" s="16">
        <f>VLOOKUP(E51,'[2]21-3-2026'!E$3:T$35,16,FALSE)</f>
        <v>1.0416666666666666E-2</v>
      </c>
      <c r="U51" s="16">
        <v>0.5</v>
      </c>
      <c r="V51" s="16">
        <f t="shared" si="3"/>
        <v>1.3888888888888895E-2</v>
      </c>
      <c r="W51" s="16">
        <v>4.1666666666666664E-2</v>
      </c>
      <c r="X51" s="16">
        <v>0.50347222222222221</v>
      </c>
      <c r="Y51" s="16">
        <v>0.54861111111111116</v>
      </c>
      <c r="Z51" s="16">
        <f t="shared" si="4"/>
        <v>4.5138888888888951E-2</v>
      </c>
      <c r="AA51" s="16">
        <f t="shared" si="5"/>
        <v>3.4722222222222862E-3</v>
      </c>
      <c r="AB51" s="16">
        <v>0.55208333333333337</v>
      </c>
      <c r="AC51" s="39"/>
      <c r="AD51" s="56"/>
    </row>
    <row r="52" spans="1:30" ht="19.5" thickBot="1" x14ac:dyDescent="0.3">
      <c r="A52" s="14">
        <v>17</v>
      </c>
      <c r="B52" s="15">
        <v>3793</v>
      </c>
      <c r="C52" s="15" t="str">
        <f>VLOOKUP(B52,داتا!$B$3:$D$107,2,FALSE)</f>
        <v>دبابة</v>
      </c>
      <c r="D52" s="34">
        <f>VLOOKUP(B52,داتا!$B$3:$D$107,3,FALSE)</f>
        <v>2.0833333333333301E-2</v>
      </c>
      <c r="E52" s="15" t="s">
        <v>72</v>
      </c>
      <c r="F52" s="15" t="s">
        <v>93</v>
      </c>
      <c r="G52" s="16">
        <v>0.25</v>
      </c>
      <c r="H52" s="16">
        <f t="shared" si="7"/>
        <v>0.25</v>
      </c>
      <c r="I52" s="16">
        <f t="shared" si="0"/>
        <v>0</v>
      </c>
      <c r="J52" s="16">
        <v>0.47569444444444442</v>
      </c>
      <c r="K52" s="16">
        <v>0.51041666666666663</v>
      </c>
      <c r="L52" s="16" t="s">
        <v>97</v>
      </c>
      <c r="M52" s="16" t="s">
        <v>97</v>
      </c>
      <c r="N52" s="16">
        <f t="shared" si="1"/>
        <v>3.472222222222221E-2</v>
      </c>
      <c r="O52" s="16">
        <f t="shared" si="6"/>
        <v>1.3888888888888909E-2</v>
      </c>
      <c r="P52" s="16">
        <v>6.9444444444444397E-3</v>
      </c>
      <c r="Q52" s="16">
        <v>0.51736111111111116</v>
      </c>
      <c r="R52" s="16">
        <f t="shared" si="2"/>
        <v>0</v>
      </c>
      <c r="S52" s="16">
        <v>0.51736111111111116</v>
      </c>
      <c r="T52" s="16">
        <f>VLOOKUP(E52,'[2]21-3-2026'!E$3:T$35,16,FALSE)</f>
        <v>1.0416666666666701E-2</v>
      </c>
      <c r="U52" s="16">
        <v>0.52430555555555558</v>
      </c>
      <c r="V52" s="16">
        <v>0</v>
      </c>
      <c r="W52" s="16">
        <v>2.0833333333333332E-2</v>
      </c>
      <c r="X52" s="16">
        <v>0.52777777777777779</v>
      </c>
      <c r="Y52" s="16">
        <v>0.54513888888888884</v>
      </c>
      <c r="Z52" s="16">
        <f t="shared" si="4"/>
        <v>1.7361111111111049E-2</v>
      </c>
      <c r="AA52" s="16">
        <v>0</v>
      </c>
      <c r="AB52" s="16">
        <v>0.54861111111111116</v>
      </c>
      <c r="AC52" s="39"/>
      <c r="AD52" s="56"/>
    </row>
    <row r="53" spans="1:30" ht="19.5" thickBot="1" x14ac:dyDescent="0.3">
      <c r="A53" s="14">
        <v>18</v>
      </c>
      <c r="B53" s="15">
        <v>3793</v>
      </c>
      <c r="C53" s="15" t="str">
        <f>VLOOKUP(B53,داتا!$B$3:$D$107,2,FALSE)</f>
        <v>دبابة</v>
      </c>
      <c r="D53" s="34">
        <f>VLOOKUP(B53,داتا!$B$3:$D$107,3,FALSE)</f>
        <v>2.0833333333333301E-2</v>
      </c>
      <c r="E53" s="15" t="s">
        <v>92</v>
      </c>
      <c r="F53" s="15" t="s">
        <v>93</v>
      </c>
      <c r="G53" s="16">
        <v>0.25</v>
      </c>
      <c r="H53" s="16">
        <f t="shared" si="7"/>
        <v>0.25</v>
      </c>
      <c r="I53" s="16">
        <f t="shared" si="0"/>
        <v>0</v>
      </c>
      <c r="J53" s="16">
        <v>0.47569444444444442</v>
      </c>
      <c r="K53" s="16">
        <v>0.51041666666666663</v>
      </c>
      <c r="L53" s="16" t="s">
        <v>97</v>
      </c>
      <c r="M53" s="16" t="s">
        <v>97</v>
      </c>
      <c r="N53" s="16">
        <f t="shared" si="1"/>
        <v>3.472222222222221E-2</v>
      </c>
      <c r="O53" s="16">
        <f t="shared" si="6"/>
        <v>1.3888888888888909E-2</v>
      </c>
      <c r="P53" s="16">
        <v>6.9444444444444397E-3</v>
      </c>
      <c r="Q53" s="16">
        <v>0.51736111111111116</v>
      </c>
      <c r="R53" s="16">
        <f t="shared" si="2"/>
        <v>0</v>
      </c>
      <c r="S53" s="16">
        <v>0.51736111111111116</v>
      </c>
      <c r="T53" s="16">
        <f>VLOOKUP(E53,'[2]21-3-2026'!E$3:T$35,16,FALSE)</f>
        <v>1.38888888888889E-2</v>
      </c>
      <c r="U53" s="16">
        <v>0.55555555555555558</v>
      </c>
      <c r="V53" s="16">
        <f t="shared" si="3"/>
        <v>2.4305555555555469E-2</v>
      </c>
      <c r="W53" s="16">
        <v>3.125E-2</v>
      </c>
      <c r="X53" s="16">
        <v>0.56805555555555554</v>
      </c>
      <c r="Y53" s="16">
        <v>0.58680555555555558</v>
      </c>
      <c r="Z53" s="16">
        <f t="shared" si="4"/>
        <v>1.8750000000000044E-2</v>
      </c>
      <c r="AA53" s="16">
        <v>0</v>
      </c>
      <c r="AB53" s="16">
        <v>0.59375</v>
      </c>
      <c r="AC53" s="39"/>
      <c r="AD53" s="56"/>
    </row>
    <row r="54" spans="1:30" ht="19.5" thickBot="1" x14ac:dyDescent="0.3">
      <c r="A54" s="14">
        <v>19</v>
      </c>
      <c r="B54" s="15">
        <v>4879</v>
      </c>
      <c r="C54" s="15" t="str">
        <f>VLOOKUP(B54,داتا!$B$3:$D$107,2,FALSE)</f>
        <v>دبابة</v>
      </c>
      <c r="D54" s="34">
        <f>VLOOKUP(B54,داتا!$B$3:$D$107,3,FALSE)</f>
        <v>2.0833333333333301E-2</v>
      </c>
      <c r="E54" s="15" t="s">
        <v>39</v>
      </c>
      <c r="F54" s="15" t="s">
        <v>200</v>
      </c>
      <c r="G54" s="16">
        <v>0.25</v>
      </c>
      <c r="H54" s="16">
        <f t="shared" si="7"/>
        <v>0.25</v>
      </c>
      <c r="I54" s="16">
        <f t="shared" si="0"/>
        <v>0</v>
      </c>
      <c r="J54" s="16">
        <v>0.3888888888888889</v>
      </c>
      <c r="K54" s="16">
        <v>0.39930555555555558</v>
      </c>
      <c r="L54" s="16" t="s">
        <v>94</v>
      </c>
      <c r="M54" s="16" t="s">
        <v>94</v>
      </c>
      <c r="N54" s="16">
        <f t="shared" si="1"/>
        <v>1.0416666666666685E-2</v>
      </c>
      <c r="O54" s="16">
        <v>0</v>
      </c>
      <c r="P54" s="16">
        <v>6.9444444444444397E-3</v>
      </c>
      <c r="Q54" s="16">
        <v>0.40972222222222221</v>
      </c>
      <c r="R54" s="16">
        <f t="shared" si="2"/>
        <v>3.4722222222222099E-3</v>
      </c>
      <c r="S54" s="16">
        <v>0.40972222222222221</v>
      </c>
      <c r="T54" s="16">
        <f>VLOOKUP(E54,'[2]21-3-2026'!E$3:T$35,16,FALSE)</f>
        <v>1.7361111111111101E-2</v>
      </c>
      <c r="U54" s="16">
        <v>0.4201388888888889</v>
      </c>
      <c r="V54" s="16">
        <v>0</v>
      </c>
      <c r="W54" s="16">
        <v>3.125E-2</v>
      </c>
      <c r="X54" s="16">
        <v>0.4236111111111111</v>
      </c>
      <c r="Y54" s="16">
        <v>0.4465277777777778</v>
      </c>
      <c r="Z54" s="16">
        <f t="shared" si="4"/>
        <v>2.2916666666666696E-2</v>
      </c>
      <c r="AA54" s="16">
        <v>0</v>
      </c>
      <c r="AB54" s="16">
        <v>0.44791666666666669</v>
      </c>
      <c r="AC54" s="39"/>
      <c r="AD54" s="56"/>
    </row>
    <row r="55" spans="1:30" ht="19.5" thickBot="1" x14ac:dyDescent="0.3">
      <c r="A55" s="14">
        <v>20</v>
      </c>
      <c r="B55" s="15">
        <v>796</v>
      </c>
      <c r="C55" s="15" t="str">
        <f>VLOOKUP(B55,داتا!$B$3:$D$107,2,FALSE)</f>
        <v>دبابة</v>
      </c>
      <c r="D55" s="34">
        <f>VLOOKUP(B55,داتا!$B$3:$D$107,3,FALSE)</f>
        <v>2.0833333333333301E-2</v>
      </c>
      <c r="E55" s="15" t="s">
        <v>89</v>
      </c>
      <c r="F55" s="15" t="s">
        <v>198</v>
      </c>
      <c r="G55" s="16">
        <v>0.25</v>
      </c>
      <c r="H55" s="16">
        <f t="shared" si="7"/>
        <v>0.25694444444444442</v>
      </c>
      <c r="I55" s="16">
        <f t="shared" si="0"/>
        <v>6.9444444444444198E-3</v>
      </c>
      <c r="J55" s="16">
        <v>0.40625</v>
      </c>
      <c r="K55" s="16">
        <v>0.41319444444444442</v>
      </c>
      <c r="L55" s="16" t="s">
        <v>94</v>
      </c>
      <c r="M55" s="16" t="s">
        <v>94</v>
      </c>
      <c r="N55" s="16">
        <f t="shared" si="1"/>
        <v>6.9444444444444198E-3</v>
      </c>
      <c r="O55" s="16">
        <v>0</v>
      </c>
      <c r="P55" s="16">
        <v>6.9444444444444397E-3</v>
      </c>
      <c r="Q55" s="16">
        <v>0.4201388888888889</v>
      </c>
      <c r="R55" s="16">
        <f t="shared" si="2"/>
        <v>0</v>
      </c>
      <c r="S55" s="16">
        <v>0.4201388888888889</v>
      </c>
      <c r="T55" s="16">
        <f>VLOOKUP(E55,'[2]21-3-2026'!E$3:T$35,16,FALSE)</f>
        <v>1.7361111111111101E-2</v>
      </c>
      <c r="U55" s="16">
        <v>0.44791666666666669</v>
      </c>
      <c r="V55" s="16">
        <f t="shared" si="3"/>
        <v>1.0416666666666685E-2</v>
      </c>
      <c r="W55" s="16">
        <v>3.125E-2</v>
      </c>
      <c r="X55" s="16">
        <v>0.44930555555555557</v>
      </c>
      <c r="Y55" s="16">
        <v>0.47013888888888888</v>
      </c>
      <c r="Z55" s="16">
        <f t="shared" si="4"/>
        <v>2.0833333333333315E-2</v>
      </c>
      <c r="AA55" s="16">
        <v>0</v>
      </c>
      <c r="AB55" s="16">
        <v>0.47222222222222221</v>
      </c>
      <c r="AC55" s="39"/>
      <c r="AD55" s="56"/>
    </row>
    <row r="56" spans="1:30" ht="19.5" thickBot="1" x14ac:dyDescent="0.3">
      <c r="A56" s="14">
        <v>21</v>
      </c>
      <c r="B56" s="15">
        <v>1451</v>
      </c>
      <c r="C56" s="15" t="str">
        <f>VLOOKUP(B56,داتا!$B$3:$D$107,2,FALSE)</f>
        <v>تلتين</v>
      </c>
      <c r="D56" s="34">
        <f>VLOOKUP(B56,داتا!$B$3:$D$107,3,FALSE)</f>
        <v>3.125E-2</v>
      </c>
      <c r="E56" s="15" t="s">
        <v>34</v>
      </c>
      <c r="F56" s="15" t="s">
        <v>196</v>
      </c>
      <c r="G56" s="16">
        <v>0.25</v>
      </c>
      <c r="H56" s="16">
        <f t="shared" si="7"/>
        <v>0.25</v>
      </c>
      <c r="I56" s="16">
        <f t="shared" si="0"/>
        <v>0</v>
      </c>
      <c r="J56" s="16">
        <v>0.4201388888888889</v>
      </c>
      <c r="K56" s="16">
        <v>0.45833333333333331</v>
      </c>
      <c r="L56" s="16" t="s">
        <v>94</v>
      </c>
      <c r="M56" s="16" t="s">
        <v>94</v>
      </c>
      <c r="N56" s="16">
        <f t="shared" si="1"/>
        <v>3.819444444444442E-2</v>
      </c>
      <c r="O56" s="16">
        <f t="shared" si="6"/>
        <v>6.9444444444444198E-3</v>
      </c>
      <c r="P56" s="16">
        <v>6.9444444444444397E-3</v>
      </c>
      <c r="Q56" s="16">
        <v>0.46527777777777779</v>
      </c>
      <c r="R56" s="16">
        <f t="shared" si="2"/>
        <v>0</v>
      </c>
      <c r="S56" s="16">
        <v>0.46527777777777779</v>
      </c>
      <c r="T56" s="16">
        <f>VLOOKUP(E56,'[2]21-3-2026'!E$3:T$35,16,FALSE)</f>
        <v>1.0416666666666701E-2</v>
      </c>
      <c r="U56" s="16">
        <v>0.47916666666666669</v>
      </c>
      <c r="V56" s="16">
        <f t="shared" si="3"/>
        <v>3.4722222222222099E-3</v>
      </c>
      <c r="W56" s="16">
        <v>4.1666666666666664E-2</v>
      </c>
      <c r="X56" s="16">
        <v>0.4826388888888889</v>
      </c>
      <c r="Y56" s="16">
        <v>0.51736111111111116</v>
      </c>
      <c r="Z56" s="16">
        <f t="shared" si="4"/>
        <v>3.4722222222222265E-2</v>
      </c>
      <c r="AA56" s="16">
        <v>0</v>
      </c>
      <c r="AB56" s="16">
        <v>0.52222222222222225</v>
      </c>
      <c r="AC56" s="39"/>
      <c r="AD56" s="56"/>
    </row>
    <row r="57" spans="1:30" ht="19.5" thickBot="1" x14ac:dyDescent="0.3">
      <c r="A57" s="14">
        <v>22</v>
      </c>
      <c r="B57" s="15">
        <v>1454</v>
      </c>
      <c r="C57" s="15" t="str">
        <f>VLOOKUP(B57,داتا!$B$3:$D$107,2,FALSE)</f>
        <v>تلتين</v>
      </c>
      <c r="D57" s="34">
        <f>VLOOKUP(B57,داتا!$B$3:$D$107,3,FALSE)</f>
        <v>3.125E-2</v>
      </c>
      <c r="E57" s="15" t="s">
        <v>30</v>
      </c>
      <c r="F57" s="15" t="s">
        <v>40</v>
      </c>
      <c r="G57" s="16">
        <v>0.25</v>
      </c>
      <c r="H57" s="16">
        <f t="shared" si="7"/>
        <v>0.25</v>
      </c>
      <c r="I57" s="16">
        <f t="shared" si="0"/>
        <v>0</v>
      </c>
      <c r="J57" s="16">
        <v>0.46527777777777779</v>
      </c>
      <c r="K57" s="16">
        <v>0.49305555555555558</v>
      </c>
      <c r="L57" s="16" t="s">
        <v>94</v>
      </c>
      <c r="M57" s="16" t="s">
        <v>94</v>
      </c>
      <c r="N57" s="16">
        <f t="shared" si="1"/>
        <v>2.777777777777779E-2</v>
      </c>
      <c r="O57" s="16">
        <v>0</v>
      </c>
      <c r="P57" s="16">
        <v>6.9444444444444397E-3</v>
      </c>
      <c r="Q57" s="16">
        <v>0.49652777777777779</v>
      </c>
      <c r="R57" s="16">
        <v>0</v>
      </c>
      <c r="S57" s="16">
        <v>0.49652777777777779</v>
      </c>
      <c r="T57" s="16">
        <f>VLOOKUP(E57,'[2]21-3-2026'!E$3:T$35,16,FALSE)</f>
        <v>1.38888888888889E-2</v>
      </c>
      <c r="U57" s="16">
        <v>0.51041666666666663</v>
      </c>
      <c r="V57" s="16">
        <f t="shared" si="3"/>
        <v>0</v>
      </c>
      <c r="W57" s="16">
        <v>4.1666666666666664E-2</v>
      </c>
      <c r="X57" s="16">
        <v>0.51388888888888884</v>
      </c>
      <c r="Y57" s="16">
        <v>0.54166666666666663</v>
      </c>
      <c r="Z57" s="16">
        <f t="shared" si="4"/>
        <v>2.777777777777779E-2</v>
      </c>
      <c r="AA57" s="16">
        <v>0</v>
      </c>
      <c r="AB57" s="16">
        <v>0.54513888888888884</v>
      </c>
      <c r="AC57" s="39"/>
      <c r="AD57" s="56"/>
    </row>
    <row r="58" spans="1:30" ht="19.5" thickBot="1" x14ac:dyDescent="0.3">
      <c r="A58" s="14">
        <v>23</v>
      </c>
      <c r="B58" s="15">
        <v>634</v>
      </c>
      <c r="C58" s="15" t="str">
        <f>VLOOKUP(B58,داتا!$B$3:$D$107,2,FALSE)</f>
        <v>دبابة</v>
      </c>
      <c r="D58" s="34">
        <f>VLOOKUP(B58,داتا!$B$3:$D$107,3,FALSE)</f>
        <v>2.0833333333333301E-2</v>
      </c>
      <c r="E58" s="15" t="s">
        <v>63</v>
      </c>
      <c r="F58" s="15" t="s">
        <v>90</v>
      </c>
      <c r="G58" s="16">
        <v>0.25</v>
      </c>
      <c r="H58" s="16">
        <f t="shared" si="7"/>
        <v>0.25</v>
      </c>
      <c r="I58" s="16">
        <f t="shared" si="0"/>
        <v>0</v>
      </c>
      <c r="J58" s="16">
        <v>0.38541666666666669</v>
      </c>
      <c r="K58" s="16">
        <v>0.39930555555555558</v>
      </c>
      <c r="L58" s="16" t="s">
        <v>107</v>
      </c>
      <c r="M58" s="16" t="s">
        <v>107</v>
      </c>
      <c r="N58" s="16">
        <f t="shared" si="1"/>
        <v>1.3888888888888895E-2</v>
      </c>
      <c r="O58" s="16">
        <v>0</v>
      </c>
      <c r="P58" s="16">
        <v>6.9444444444444397E-3</v>
      </c>
      <c r="Q58" s="16">
        <v>0.40625</v>
      </c>
      <c r="R58" s="16">
        <v>0</v>
      </c>
      <c r="S58" s="16">
        <v>0.40625</v>
      </c>
      <c r="T58" s="16">
        <f>VLOOKUP(E58,'[2]21-3-2026'!E$3:T$35,16,FALSE)</f>
        <v>6.25E-2</v>
      </c>
      <c r="U58" s="16">
        <v>0.46527777777777779</v>
      </c>
      <c r="V58" s="16">
        <v>0</v>
      </c>
      <c r="W58" s="16">
        <v>3.125E-2</v>
      </c>
      <c r="X58" s="16">
        <v>0.46736111111111112</v>
      </c>
      <c r="Y58" s="16">
        <v>0.49444444444444446</v>
      </c>
      <c r="Z58" s="16">
        <f t="shared" si="4"/>
        <v>2.7083333333333348E-2</v>
      </c>
      <c r="AA58" s="16">
        <v>0</v>
      </c>
      <c r="AB58" s="16">
        <v>0.5</v>
      </c>
      <c r="AC58" s="39"/>
      <c r="AD58" s="56"/>
    </row>
    <row r="59" spans="1:30" ht="19.5" thickBot="1" x14ac:dyDescent="0.3">
      <c r="A59" s="14">
        <v>24</v>
      </c>
      <c r="B59" s="15">
        <v>3495</v>
      </c>
      <c r="C59" s="15" t="str">
        <f>VLOOKUP(B59,داتا!$B$3:$D$107,2,FALSE)</f>
        <v>تلتين</v>
      </c>
      <c r="D59" s="34">
        <f>VLOOKUP(B59,داتا!$B$3:$D$107,3,FALSE)</f>
        <v>3.125E-2</v>
      </c>
      <c r="E59" s="16" t="s">
        <v>61</v>
      </c>
      <c r="F59" s="15" t="s">
        <v>148</v>
      </c>
      <c r="G59" s="16">
        <v>0.25</v>
      </c>
      <c r="H59" s="16">
        <f t="shared" si="7"/>
        <v>0.25</v>
      </c>
      <c r="I59" s="16">
        <f t="shared" si="0"/>
        <v>0</v>
      </c>
      <c r="J59" s="16">
        <v>0.4236111111111111</v>
      </c>
      <c r="K59" s="16">
        <v>0.4375</v>
      </c>
      <c r="L59" s="16" t="s">
        <v>107</v>
      </c>
      <c r="M59" s="16" t="s">
        <v>107</v>
      </c>
      <c r="N59" s="16">
        <f t="shared" si="1"/>
        <v>1.3888888888888895E-2</v>
      </c>
      <c r="O59" s="16">
        <v>0</v>
      </c>
      <c r="P59" s="16">
        <v>6.9444444444444397E-3</v>
      </c>
      <c r="Q59" s="16">
        <v>0.44097222222222221</v>
      </c>
      <c r="R59" s="16">
        <v>0</v>
      </c>
      <c r="S59" s="16">
        <v>0.44097222222222221</v>
      </c>
      <c r="T59" s="16">
        <f>VLOOKUP(E59,'[2]21-3-2026'!E$3:T$35,16,FALSE)</f>
        <v>3.4722222222222203E-2</v>
      </c>
      <c r="U59" s="16">
        <v>0.47916666666666669</v>
      </c>
      <c r="V59" s="16">
        <f t="shared" si="3"/>
        <v>3.4722222222222654E-3</v>
      </c>
      <c r="W59" s="16">
        <v>3.125E-2</v>
      </c>
      <c r="X59" s="16">
        <v>0.48125000000000001</v>
      </c>
      <c r="Y59" s="16">
        <v>0.49861111111111112</v>
      </c>
      <c r="Z59" s="16">
        <f t="shared" si="4"/>
        <v>1.7361111111111105E-2</v>
      </c>
      <c r="AA59" s="16">
        <v>0</v>
      </c>
      <c r="AB59" s="16">
        <v>0.5</v>
      </c>
      <c r="AC59" s="39"/>
      <c r="AD59" s="56"/>
    </row>
    <row r="60" spans="1:30" ht="19.5" thickBot="1" x14ac:dyDescent="0.3">
      <c r="A60" s="14">
        <v>25</v>
      </c>
      <c r="B60" s="15">
        <v>3495</v>
      </c>
      <c r="C60" s="15" t="str">
        <f>VLOOKUP(B60,داتا!$B$3:$D$107,2,FALSE)</f>
        <v>تلتين</v>
      </c>
      <c r="D60" s="34">
        <f>VLOOKUP(B60,داتا!$B$3:$D$107,3,FALSE)</f>
        <v>3.125E-2</v>
      </c>
      <c r="E60" s="15" t="s">
        <v>55</v>
      </c>
      <c r="F60" s="15" t="s">
        <v>148</v>
      </c>
      <c r="G60" s="16">
        <v>0.25</v>
      </c>
      <c r="H60" s="16">
        <f t="shared" si="7"/>
        <v>0.25</v>
      </c>
      <c r="I60" s="16">
        <f t="shared" si="0"/>
        <v>0</v>
      </c>
      <c r="J60" s="16">
        <v>0.4236111111111111</v>
      </c>
      <c r="K60" s="16">
        <v>0.4375</v>
      </c>
      <c r="L60" s="16" t="s">
        <v>107</v>
      </c>
      <c r="M60" s="16" t="s">
        <v>107</v>
      </c>
      <c r="N60" s="16">
        <f t="shared" si="1"/>
        <v>1.3888888888888895E-2</v>
      </c>
      <c r="O60" s="16">
        <v>0</v>
      </c>
      <c r="P60" s="16">
        <v>6.9444444444444397E-3</v>
      </c>
      <c r="Q60" s="16">
        <v>0.44097222222222221</v>
      </c>
      <c r="R60" s="16">
        <v>0</v>
      </c>
      <c r="S60" s="16">
        <v>0.44097222222222221</v>
      </c>
      <c r="T60" s="16">
        <v>1.0416666666666666E-2</v>
      </c>
      <c r="U60" s="16">
        <v>0.51041666666666663</v>
      </c>
      <c r="V60" s="16">
        <v>0</v>
      </c>
      <c r="W60" s="16">
        <v>4.1666666666666664E-2</v>
      </c>
      <c r="X60" s="16">
        <v>0.51388888888888884</v>
      </c>
      <c r="Y60" s="16">
        <v>0.53125</v>
      </c>
      <c r="Z60" s="16">
        <f t="shared" si="4"/>
        <v>1.736111111111116E-2</v>
      </c>
      <c r="AA60" s="16">
        <v>0</v>
      </c>
      <c r="AB60" s="16">
        <v>0.53472222222222221</v>
      </c>
      <c r="AC60" s="39"/>
      <c r="AD60" s="56"/>
    </row>
    <row r="61" spans="1:30" ht="19.5" thickBot="1" x14ac:dyDescent="0.3">
      <c r="A61" s="14">
        <v>26</v>
      </c>
      <c r="B61" s="15">
        <v>1537</v>
      </c>
      <c r="C61" s="15" t="str">
        <f>VLOOKUP(B61,داتا!$B$3:$D$107,2,FALSE)</f>
        <v>تلتين</v>
      </c>
      <c r="D61" s="34">
        <f>VLOOKUP(B61,داتا!$B$3:$D$107,3,FALSE)</f>
        <v>3.125E-2</v>
      </c>
      <c r="E61" s="15" t="s">
        <v>70</v>
      </c>
      <c r="F61" s="15" t="s">
        <v>146</v>
      </c>
      <c r="G61" s="16">
        <v>0.25</v>
      </c>
      <c r="H61" s="16">
        <f t="shared" si="7"/>
        <v>0.25</v>
      </c>
      <c r="I61" s="16">
        <f t="shared" si="0"/>
        <v>0</v>
      </c>
      <c r="J61" s="16">
        <v>0.44791666666666669</v>
      </c>
      <c r="K61" s="16">
        <v>0.47916666666666669</v>
      </c>
      <c r="L61" s="16" t="s">
        <v>107</v>
      </c>
      <c r="M61" s="16" t="s">
        <v>107</v>
      </c>
      <c r="N61" s="16">
        <f t="shared" si="1"/>
        <v>3.125E-2</v>
      </c>
      <c r="O61" s="16">
        <f t="shared" si="6"/>
        <v>0</v>
      </c>
      <c r="P61" s="16">
        <v>6.9444444444444397E-3</v>
      </c>
      <c r="Q61" s="16">
        <v>0.49305555555555558</v>
      </c>
      <c r="R61" s="16">
        <f t="shared" si="2"/>
        <v>6.9444444444444753E-3</v>
      </c>
      <c r="S61" s="16">
        <v>0.49305555555555558</v>
      </c>
      <c r="T61" s="16">
        <f>VLOOKUP(E61,'[2]21-3-2026'!E$3:T$35,16,FALSE)</f>
        <v>1.0416666666666701E-2</v>
      </c>
      <c r="U61" s="16">
        <v>0.50347222222222221</v>
      </c>
      <c r="V61" s="16">
        <f t="shared" si="3"/>
        <v>0</v>
      </c>
      <c r="W61" s="16">
        <v>3.125E-2</v>
      </c>
      <c r="X61" s="16">
        <v>0.51041666666666663</v>
      </c>
      <c r="Y61" s="16">
        <v>0.53125</v>
      </c>
      <c r="Z61" s="16">
        <f t="shared" si="4"/>
        <v>2.083333333333337E-2</v>
      </c>
      <c r="AA61" s="16">
        <v>0</v>
      </c>
      <c r="AB61" s="16">
        <v>0.53472222222222221</v>
      </c>
      <c r="AC61" s="39"/>
      <c r="AD61" s="56"/>
    </row>
    <row r="62" spans="1:30" ht="19.5" thickBot="1" x14ac:dyDescent="0.3">
      <c r="A62" s="14">
        <v>27</v>
      </c>
      <c r="B62" s="15">
        <v>1537</v>
      </c>
      <c r="C62" s="15" t="str">
        <f>VLOOKUP(B62,داتا!$B$3:$D$107,2,FALSE)</f>
        <v>تلتين</v>
      </c>
      <c r="D62" s="34">
        <f>VLOOKUP(B62,داتا!$B$3:$D$107,3,FALSE)</f>
        <v>3.125E-2</v>
      </c>
      <c r="E62" s="15" t="s">
        <v>79</v>
      </c>
      <c r="F62" s="15" t="s">
        <v>146</v>
      </c>
      <c r="G62" s="16">
        <v>0.25</v>
      </c>
      <c r="H62" s="16">
        <f t="shared" si="7"/>
        <v>0.25</v>
      </c>
      <c r="I62" s="16">
        <f t="shared" si="0"/>
        <v>0</v>
      </c>
      <c r="J62" s="16">
        <v>0.44791666666666669</v>
      </c>
      <c r="K62" s="16">
        <v>0.47916666666666669</v>
      </c>
      <c r="L62" s="16" t="s">
        <v>107</v>
      </c>
      <c r="M62" s="16" t="s">
        <v>107</v>
      </c>
      <c r="N62" s="16">
        <f t="shared" si="1"/>
        <v>3.125E-2</v>
      </c>
      <c r="O62" s="16">
        <f t="shared" si="6"/>
        <v>0</v>
      </c>
      <c r="P62" s="16">
        <v>6.9444444444444397E-3</v>
      </c>
      <c r="Q62" s="16">
        <v>0.49305555555555558</v>
      </c>
      <c r="R62" s="16">
        <f t="shared" si="2"/>
        <v>6.9444444444444753E-3</v>
      </c>
      <c r="S62" s="16">
        <v>0.49305555555555558</v>
      </c>
      <c r="T62" s="16">
        <f>VLOOKUP(E62,'[2]21-3-2026'!E$3:T$35,16,FALSE)</f>
        <v>2.0833333333333301E-2</v>
      </c>
      <c r="U62" s="16">
        <v>0.53819444444444442</v>
      </c>
      <c r="V62" s="16">
        <f t="shared" si="3"/>
        <v>2.430555555555558E-2</v>
      </c>
      <c r="W62" s="16">
        <v>4.1666666666666664E-2</v>
      </c>
      <c r="X62" s="16">
        <v>0.56597222222222221</v>
      </c>
      <c r="Y62" s="16">
        <v>0.60763888888888884</v>
      </c>
      <c r="Z62" s="16">
        <f t="shared" si="4"/>
        <v>4.166666666666663E-2</v>
      </c>
      <c r="AA62" s="16">
        <f t="shared" si="5"/>
        <v>0</v>
      </c>
      <c r="AB62" s="16">
        <v>0.61111111111111116</v>
      </c>
      <c r="AC62" s="39"/>
      <c r="AD62" s="56"/>
    </row>
    <row r="63" spans="1:30" ht="19.5" thickBot="1" x14ac:dyDescent="0.3">
      <c r="A63" s="14">
        <v>28</v>
      </c>
      <c r="B63" s="15">
        <v>2917</v>
      </c>
      <c r="C63" s="15" t="str">
        <f>VLOOKUP(B63,داتا!$B$3:$D$107,2,FALSE)</f>
        <v>تلتين</v>
      </c>
      <c r="D63" s="34">
        <f>VLOOKUP(B63,داتا!$B$3:$D$107,3,FALSE)</f>
        <v>3.125E-2</v>
      </c>
      <c r="E63" s="15" t="s">
        <v>98</v>
      </c>
      <c r="F63" s="15" t="s">
        <v>36</v>
      </c>
      <c r="G63" s="16">
        <v>0.25</v>
      </c>
      <c r="H63" s="16">
        <f t="shared" si="7"/>
        <v>0.25</v>
      </c>
      <c r="I63" s="16">
        <f t="shared" si="0"/>
        <v>0</v>
      </c>
      <c r="J63" s="16">
        <v>0.50694444444444442</v>
      </c>
      <c r="K63" s="16">
        <v>0.52430555555555558</v>
      </c>
      <c r="L63" s="16" t="s">
        <v>107</v>
      </c>
      <c r="M63" s="16" t="s">
        <v>107</v>
      </c>
      <c r="N63" s="16">
        <f t="shared" si="1"/>
        <v>1.736111111111116E-2</v>
      </c>
      <c r="O63" s="16">
        <v>0</v>
      </c>
      <c r="P63" s="16">
        <v>6.9444444444444397E-3</v>
      </c>
      <c r="Q63" s="16">
        <v>0.53125</v>
      </c>
      <c r="R63" s="16">
        <f t="shared" si="2"/>
        <v>0</v>
      </c>
      <c r="S63" s="16">
        <v>0.53125</v>
      </c>
      <c r="T63" s="16">
        <f>VLOOKUP(E63,'[2]21-3-2026'!E$3:T$35,16,FALSE)</f>
        <v>4.8611111111111103E-3</v>
      </c>
      <c r="U63" s="16">
        <v>0.53611111111111109</v>
      </c>
      <c r="V63" s="16">
        <f t="shared" si="3"/>
        <v>0</v>
      </c>
      <c r="W63" s="16">
        <v>4.1666666666666664E-2</v>
      </c>
      <c r="X63" s="16">
        <v>0.53819444444444442</v>
      </c>
      <c r="Y63" s="16">
        <v>0.56111111111111112</v>
      </c>
      <c r="Z63" s="16">
        <f t="shared" si="4"/>
        <v>2.2916666666666696E-2</v>
      </c>
      <c r="AA63" s="16">
        <v>0</v>
      </c>
      <c r="AB63" s="16">
        <v>0.57291666666666663</v>
      </c>
      <c r="AC63" s="39"/>
      <c r="AD63" s="56"/>
    </row>
    <row r="64" spans="1:30" ht="19.5" thickBot="1" x14ac:dyDescent="0.3">
      <c r="A64" s="14">
        <v>29</v>
      </c>
      <c r="B64" s="15">
        <v>459</v>
      </c>
      <c r="C64" s="15" t="str">
        <f>VLOOKUP(B64,داتا!$B$3:$D$107,2,FALSE)</f>
        <v>دبابة</v>
      </c>
      <c r="D64" s="34">
        <f>VLOOKUP(B64,داتا!$B$3:$D$107,3,FALSE)</f>
        <v>2.0833333333333301E-2</v>
      </c>
      <c r="E64" s="15" t="s">
        <v>65</v>
      </c>
      <c r="F64" s="15" t="s">
        <v>99</v>
      </c>
      <c r="G64" s="16">
        <v>0.25</v>
      </c>
      <c r="H64" s="16">
        <f t="shared" si="7"/>
        <v>0.25</v>
      </c>
      <c r="I64" s="16">
        <f t="shared" si="0"/>
        <v>0</v>
      </c>
      <c r="J64" s="16">
        <v>0.38194444444444442</v>
      </c>
      <c r="K64" s="16">
        <v>0.41319444444444442</v>
      </c>
      <c r="L64" s="16" t="s">
        <v>206</v>
      </c>
      <c r="M64" s="16" t="s">
        <v>190</v>
      </c>
      <c r="N64" s="16">
        <f t="shared" si="1"/>
        <v>3.125E-2</v>
      </c>
      <c r="O64" s="16">
        <f t="shared" si="6"/>
        <v>1.0416666666666699E-2</v>
      </c>
      <c r="P64" s="16">
        <v>6.9444444444444397E-3</v>
      </c>
      <c r="Q64" s="16">
        <v>0.41666666666666669</v>
      </c>
      <c r="R64" s="16">
        <v>0</v>
      </c>
      <c r="S64" s="16">
        <v>0.41666666666666669</v>
      </c>
      <c r="T64" s="16">
        <f>VLOOKUP(E64,'[2]21-3-2026'!E$3:T$35,16,FALSE)</f>
        <v>4.1666666666666699E-2</v>
      </c>
      <c r="U64" s="16">
        <v>0.46875</v>
      </c>
      <c r="V64" s="16">
        <f t="shared" si="3"/>
        <v>1.041666666666663E-2</v>
      </c>
      <c r="W64" s="16">
        <v>3.125E-2</v>
      </c>
      <c r="X64" s="16">
        <v>0.47013888888888888</v>
      </c>
      <c r="Y64" s="16">
        <v>0.49166666666666664</v>
      </c>
      <c r="Z64" s="16">
        <f t="shared" si="4"/>
        <v>2.1527777777777757E-2</v>
      </c>
      <c r="AA64" s="16">
        <v>0</v>
      </c>
      <c r="AB64" s="16">
        <v>0.49305555555555558</v>
      </c>
      <c r="AC64" s="39"/>
      <c r="AD64" s="56"/>
    </row>
    <row r="65" spans="1:30" ht="19.5" thickBot="1" x14ac:dyDescent="0.3">
      <c r="A65" s="14">
        <v>30</v>
      </c>
      <c r="B65" s="15">
        <v>9198</v>
      </c>
      <c r="C65" s="15" t="str">
        <f>VLOOKUP(B65,داتا!$B$3:$D$107,2,FALSE)</f>
        <v>دبابة</v>
      </c>
      <c r="D65" s="34">
        <f>VLOOKUP(B65,داتا!$B$3:$D$107,3,FALSE)</f>
        <v>2.0833333333333301E-2</v>
      </c>
      <c r="E65" s="15" t="s">
        <v>75</v>
      </c>
      <c r="F65" s="15" t="s">
        <v>106</v>
      </c>
      <c r="G65" s="16">
        <v>0.25</v>
      </c>
      <c r="H65" s="16">
        <f t="shared" si="7"/>
        <v>0.25</v>
      </c>
      <c r="I65" s="16">
        <f t="shared" si="0"/>
        <v>0</v>
      </c>
      <c r="J65" s="16">
        <v>0.42708333333333331</v>
      </c>
      <c r="K65" s="16">
        <v>0.45833333333333331</v>
      </c>
      <c r="L65" s="16" t="s">
        <v>206</v>
      </c>
      <c r="M65" s="16" t="s">
        <v>190</v>
      </c>
      <c r="N65" s="16">
        <f t="shared" si="1"/>
        <v>3.125E-2</v>
      </c>
      <c r="O65" s="16">
        <f t="shared" si="6"/>
        <v>1.0416666666666699E-2</v>
      </c>
      <c r="P65" s="16">
        <v>6.9444444444444397E-3</v>
      </c>
      <c r="Q65" s="16">
        <v>0.46875</v>
      </c>
      <c r="R65" s="16">
        <f t="shared" si="2"/>
        <v>3.4722222222222654E-3</v>
      </c>
      <c r="S65" s="16">
        <v>0.46875</v>
      </c>
      <c r="T65" s="16">
        <f>VLOOKUP(E65,'[2]21-3-2026'!E$3:T$35,16,FALSE)</f>
        <v>2.0833333333333301E-2</v>
      </c>
      <c r="U65" s="16">
        <v>0.4861111111111111</v>
      </c>
      <c r="V65" s="16">
        <v>0</v>
      </c>
      <c r="W65" s="16">
        <v>2.0833333333333332E-2</v>
      </c>
      <c r="X65" s="16">
        <v>0.49305555555555558</v>
      </c>
      <c r="Y65" s="16">
        <v>0.50694444444444442</v>
      </c>
      <c r="Z65" s="16">
        <f t="shared" si="4"/>
        <v>1.388888888888884E-2</v>
      </c>
      <c r="AA65" s="16">
        <v>0</v>
      </c>
      <c r="AB65" s="16">
        <v>0.51041666666666663</v>
      </c>
      <c r="AC65" s="39"/>
      <c r="AD65" s="56"/>
    </row>
    <row r="66" spans="1:30" ht="20.25" customHeight="1" thickBot="1" x14ac:dyDescent="0.3">
      <c r="A66" s="14">
        <v>31</v>
      </c>
      <c r="B66" s="15">
        <v>9198</v>
      </c>
      <c r="C66" s="15" t="str">
        <f>VLOOKUP(B66,داتا!$B$3:$D$107,2,FALSE)</f>
        <v>دبابة</v>
      </c>
      <c r="D66" s="34">
        <f>VLOOKUP(B66,داتا!$B$3:$D$107,3,FALSE)</f>
        <v>2.0833333333333301E-2</v>
      </c>
      <c r="E66" s="15" t="s">
        <v>60</v>
      </c>
      <c r="F66" s="15" t="s">
        <v>106</v>
      </c>
      <c r="G66" s="16">
        <v>0.25</v>
      </c>
      <c r="H66" s="16">
        <f t="shared" si="7"/>
        <v>0.25</v>
      </c>
      <c r="I66" s="16">
        <f t="shared" si="0"/>
        <v>0</v>
      </c>
      <c r="J66" s="16">
        <v>0.42708333333333331</v>
      </c>
      <c r="K66" s="16">
        <v>0.45833333333333331</v>
      </c>
      <c r="L66" s="16" t="s">
        <v>206</v>
      </c>
      <c r="M66" s="16" t="s">
        <v>190</v>
      </c>
      <c r="N66" s="16">
        <f t="shared" si="1"/>
        <v>3.125E-2</v>
      </c>
      <c r="O66" s="16">
        <f t="shared" si="6"/>
        <v>1.0416666666666699E-2</v>
      </c>
      <c r="P66" s="16">
        <v>6.9444444444444397E-3</v>
      </c>
      <c r="Q66" s="16">
        <v>0.46875</v>
      </c>
      <c r="R66" s="16">
        <f t="shared" si="2"/>
        <v>3.4722222222222654E-3</v>
      </c>
      <c r="S66" s="16">
        <v>0.46875</v>
      </c>
      <c r="T66" s="16">
        <f>VLOOKUP(E66,'[2]21-3-2026'!E$3:T$35,16,FALSE)</f>
        <v>1.0416666666666701E-2</v>
      </c>
      <c r="U66" s="16">
        <v>0.52430555555555558</v>
      </c>
      <c r="V66" s="16">
        <v>3.472222222222222E-3</v>
      </c>
      <c r="W66" s="16">
        <v>3.125E-2</v>
      </c>
      <c r="X66" s="16">
        <v>0.53125</v>
      </c>
      <c r="Y66" s="16">
        <v>0.54861111111111116</v>
      </c>
      <c r="Z66" s="16">
        <f t="shared" si="4"/>
        <v>1.736111111111116E-2</v>
      </c>
      <c r="AA66" s="16">
        <v>0</v>
      </c>
      <c r="AB66" s="16">
        <v>0.55555555555555558</v>
      </c>
      <c r="AC66" s="41"/>
      <c r="AD66" s="56"/>
    </row>
    <row r="67" spans="1:30" ht="19.5" customHeight="1" thickBot="1" x14ac:dyDescent="0.3">
      <c r="A67" s="14">
        <v>32</v>
      </c>
      <c r="B67" s="15">
        <v>2695</v>
      </c>
      <c r="C67" s="15" t="str">
        <f>VLOOKUP(B67,داتا!$B$3:$D$107,2,FALSE)</f>
        <v>تلتين</v>
      </c>
      <c r="D67" s="34">
        <f>VLOOKUP(B67,داتا!$B$3:$D$107,3,FALSE)</f>
        <v>3.125E-2</v>
      </c>
      <c r="E67" s="15" t="s">
        <v>67</v>
      </c>
      <c r="F67" s="15" t="s">
        <v>199</v>
      </c>
      <c r="G67" s="16">
        <v>0.25</v>
      </c>
      <c r="H67" s="16">
        <f t="shared" si="7"/>
        <v>0.25</v>
      </c>
      <c r="I67" s="16">
        <f t="shared" si="0"/>
        <v>0</v>
      </c>
      <c r="J67" s="16">
        <v>0.47222222222222221</v>
      </c>
      <c r="K67" s="16">
        <v>0.50347222222222221</v>
      </c>
      <c r="L67" s="16" t="s">
        <v>206</v>
      </c>
      <c r="M67" s="16" t="s">
        <v>190</v>
      </c>
      <c r="N67" s="16">
        <f t="shared" si="1"/>
        <v>3.125E-2</v>
      </c>
      <c r="O67" s="16">
        <f t="shared" si="6"/>
        <v>0</v>
      </c>
      <c r="P67" s="16">
        <v>6.9444444444444397E-3</v>
      </c>
      <c r="Q67" s="16">
        <v>0.51041666666666663</v>
      </c>
      <c r="R67" s="16">
        <f t="shared" si="2"/>
        <v>0</v>
      </c>
      <c r="S67" s="16">
        <v>0.51041666666666663</v>
      </c>
      <c r="T67" s="16">
        <f>VLOOKUP(E67,'[2]21-3-2026'!E$3:T$35,16,FALSE)</f>
        <v>1.7361111111111101E-2</v>
      </c>
      <c r="U67" s="16">
        <v>0.51736111111111116</v>
      </c>
      <c r="V67" s="16">
        <v>0</v>
      </c>
      <c r="W67" s="16">
        <v>3.125E-2</v>
      </c>
      <c r="X67" s="16">
        <v>0.51736111111111116</v>
      </c>
      <c r="Y67" s="16">
        <v>0.52777777777777779</v>
      </c>
      <c r="Z67" s="16">
        <f t="shared" si="4"/>
        <v>1.041666666666663E-2</v>
      </c>
      <c r="AA67" s="16">
        <v>0</v>
      </c>
      <c r="AB67" s="16">
        <v>0.52777777777777779</v>
      </c>
      <c r="AC67" s="39"/>
      <c r="AD67" s="56"/>
    </row>
    <row r="68" spans="1:30" ht="19.5" customHeight="1" thickBot="1" x14ac:dyDescent="0.3">
      <c r="A68" s="20">
        <v>33</v>
      </c>
      <c r="B68" s="21">
        <v>2695</v>
      </c>
      <c r="C68" s="21" t="str">
        <f>VLOOKUP(B68,داتا!$B$3:$D$107,2,FALSE)</f>
        <v>تلتين</v>
      </c>
      <c r="D68" s="35">
        <f>VLOOKUP(B68,داتا!$B$3:$D$107,3,FALSE)</f>
        <v>3.125E-2</v>
      </c>
      <c r="E68" s="21" t="s">
        <v>57</v>
      </c>
      <c r="F68" s="21" t="s">
        <v>199</v>
      </c>
      <c r="G68" s="22">
        <v>8.3333333333333329E-2</v>
      </c>
      <c r="H68" s="22">
        <f t="shared" si="7"/>
        <v>0.25</v>
      </c>
      <c r="I68" s="22">
        <f t="shared" ref="I68:I100" si="8">H68-G68</f>
        <v>0.16666666666666669</v>
      </c>
      <c r="J68" s="22">
        <v>0.47222222222222221</v>
      </c>
      <c r="K68" s="22">
        <v>0.50347222222222221</v>
      </c>
      <c r="L68" s="22" t="s">
        <v>206</v>
      </c>
      <c r="M68" s="22" t="s">
        <v>190</v>
      </c>
      <c r="N68" s="22">
        <f t="shared" ref="N68:N100" si="9">K68-J68</f>
        <v>3.125E-2</v>
      </c>
      <c r="O68" s="22">
        <f t="shared" ref="O68:O100" si="10">N68-D68</f>
        <v>0</v>
      </c>
      <c r="P68" s="22">
        <v>6.9444444444444397E-3</v>
      </c>
      <c r="Q68" s="22">
        <v>0.51041666666666663</v>
      </c>
      <c r="R68" s="22">
        <f t="shared" ref="R68:R100" si="11">Q68-P68-K68</f>
        <v>0</v>
      </c>
      <c r="S68" s="22">
        <v>0.51041666666666663</v>
      </c>
      <c r="T68" s="22">
        <f>VLOOKUP(E68,'[2]21-3-2026'!E$3:T$35,16,FALSE)</f>
        <v>1.7361111111111101E-2</v>
      </c>
      <c r="U68" s="22">
        <v>0.53125</v>
      </c>
      <c r="V68" s="22">
        <f t="shared" ref="V68:V99" si="12">U68-T68-S68</f>
        <v>3.4722222222223209E-3</v>
      </c>
      <c r="W68" s="22">
        <v>4.1666666666666664E-2</v>
      </c>
      <c r="X68" s="22">
        <v>0.53472222222222221</v>
      </c>
      <c r="Y68" s="22">
        <v>0.56944444444444442</v>
      </c>
      <c r="Z68" s="22">
        <f t="shared" ref="Z68:Z100" si="13">Y68-X68</f>
        <v>3.472222222222221E-2</v>
      </c>
      <c r="AA68" s="22">
        <v>0</v>
      </c>
      <c r="AB68" s="22">
        <v>0.57291666666666663</v>
      </c>
      <c r="AC68" s="42"/>
      <c r="AD68" s="57"/>
    </row>
    <row r="69" spans="1:30" ht="20.25" thickTop="1" thickBot="1" x14ac:dyDescent="0.3">
      <c r="A69" s="10">
        <v>1</v>
      </c>
      <c r="B69" s="11">
        <v>796</v>
      </c>
      <c r="C69" s="11" t="str">
        <f>VLOOKUP(B69,داتا!$B$3:$D$107,2,FALSE)</f>
        <v>دبابة</v>
      </c>
      <c r="D69" s="33">
        <f>VLOOKUP(B69,داتا!$B$3:$D$107,3,FALSE)</f>
        <v>2.0833333333333301E-2</v>
      </c>
      <c r="E69" s="11" t="s">
        <v>72</v>
      </c>
      <c r="F69" s="11" t="s">
        <v>208</v>
      </c>
      <c r="G69" s="12">
        <v>8.3333333333333329E-2</v>
      </c>
      <c r="H69" s="12">
        <v>7.6388888888888895E-2</v>
      </c>
      <c r="I69" s="12">
        <v>0</v>
      </c>
      <c r="J69" s="12">
        <v>0.59027777777777779</v>
      </c>
      <c r="K69" s="12">
        <v>0.61111111111111116</v>
      </c>
      <c r="L69" s="12" t="s">
        <v>112</v>
      </c>
      <c r="M69" s="12" t="s">
        <v>112</v>
      </c>
      <c r="N69" s="12">
        <f t="shared" si="9"/>
        <v>2.083333333333337E-2</v>
      </c>
      <c r="O69" s="12">
        <f t="shared" si="10"/>
        <v>6.9388939039072284E-17</v>
      </c>
      <c r="P69" s="12">
        <v>0.92361111111111105</v>
      </c>
      <c r="Q69" s="12">
        <v>0.61805555555555558</v>
      </c>
      <c r="R69" s="12">
        <v>0</v>
      </c>
      <c r="S69" s="12">
        <v>0.61805555555555558</v>
      </c>
      <c r="T69" s="12">
        <f>VLOOKUP(E69,'[2]21-3-2026'!E$3:T$35,16,FALSE)</f>
        <v>1.0416666666666701E-2</v>
      </c>
      <c r="U69" s="12">
        <v>0.6333333333333333</v>
      </c>
      <c r="V69" s="12">
        <v>0</v>
      </c>
      <c r="W69" s="12">
        <v>2.0833333333333332E-2</v>
      </c>
      <c r="X69" s="12">
        <v>0.63541666666666663</v>
      </c>
      <c r="Y69" s="12">
        <v>0.64097222222222217</v>
      </c>
      <c r="Z69" s="12">
        <f t="shared" si="13"/>
        <v>5.5555555555555358E-3</v>
      </c>
      <c r="AA69" s="12">
        <v>0</v>
      </c>
      <c r="AB69" s="12">
        <v>0.64236111111111105</v>
      </c>
      <c r="AC69" s="38"/>
      <c r="AD69" s="55" t="s">
        <v>116</v>
      </c>
    </row>
    <row r="70" spans="1:30" ht="19.5" thickBot="1" x14ac:dyDescent="0.3">
      <c r="A70" s="14">
        <v>2</v>
      </c>
      <c r="B70" s="15">
        <v>796</v>
      </c>
      <c r="C70" s="15" t="str">
        <f>VLOOKUP(B70,داتا!$B$3:$D$107,2,FALSE)</f>
        <v>دبابة</v>
      </c>
      <c r="D70" s="34">
        <f>VLOOKUP(B70,داتا!$B$3:$D$107,3,FALSE)</f>
        <v>2.0833333333333301E-2</v>
      </c>
      <c r="E70" s="15" t="s">
        <v>92</v>
      </c>
      <c r="F70" s="15" t="s">
        <v>208</v>
      </c>
      <c r="G70" s="16">
        <v>8.3333333333333329E-2</v>
      </c>
      <c r="H70" s="16">
        <v>4.5138888888888888E-2</v>
      </c>
      <c r="I70" s="16">
        <v>0</v>
      </c>
      <c r="J70" s="16">
        <v>0.59027777777777779</v>
      </c>
      <c r="K70" s="16">
        <v>0.61111111111111116</v>
      </c>
      <c r="L70" s="16" t="s">
        <v>112</v>
      </c>
      <c r="M70" s="16" t="s">
        <v>112</v>
      </c>
      <c r="N70" s="16">
        <f t="shared" ref="N70" si="14">K70-J70</f>
        <v>2.083333333333337E-2</v>
      </c>
      <c r="O70" s="16">
        <f t="shared" ref="O70" si="15">N70-D70</f>
        <v>6.9388939039072284E-17</v>
      </c>
      <c r="P70" s="16">
        <v>0.96527777777777801</v>
      </c>
      <c r="Q70" s="16">
        <v>0.61805555555555558</v>
      </c>
      <c r="R70" s="16">
        <v>0</v>
      </c>
      <c r="S70" s="16">
        <v>0.61805555555555558</v>
      </c>
      <c r="T70" s="16">
        <f>VLOOKUP(E70,'[2]21-3-2026'!E$3:T$35,16,FALSE)</f>
        <v>1.38888888888889E-2</v>
      </c>
      <c r="U70" s="16">
        <v>0.64930555555555558</v>
      </c>
      <c r="V70" s="16">
        <v>0</v>
      </c>
      <c r="W70" s="16">
        <v>2.0833333333333332E-2</v>
      </c>
      <c r="X70" s="16">
        <v>0.65138888888888891</v>
      </c>
      <c r="Y70" s="16">
        <v>0.65972222222222221</v>
      </c>
      <c r="Z70" s="16">
        <f t="shared" ref="Z70" si="16">Y70-X70</f>
        <v>8.3333333333333037E-3</v>
      </c>
      <c r="AA70" s="16">
        <v>0</v>
      </c>
      <c r="AB70" s="16">
        <v>0.66249999999999998</v>
      </c>
      <c r="AC70" s="39"/>
      <c r="AD70" s="56"/>
    </row>
    <row r="71" spans="1:30" ht="19.5" thickBot="1" x14ac:dyDescent="0.3">
      <c r="A71" s="14">
        <v>3</v>
      </c>
      <c r="B71" s="15">
        <v>796</v>
      </c>
      <c r="C71" s="15" t="str">
        <f>VLOOKUP(B71,داتا!$B$3:$D$107,2,FALSE)</f>
        <v>دبابة</v>
      </c>
      <c r="D71" s="34">
        <f>VLOOKUP(B71,داتا!$B$3:$D$107,3,FALSE)</f>
        <v>2.0833333333333301E-2</v>
      </c>
      <c r="E71" s="15" t="s">
        <v>75</v>
      </c>
      <c r="F71" s="15" t="s">
        <v>208</v>
      </c>
      <c r="G71" s="16">
        <v>8.3333333333333329E-2</v>
      </c>
      <c r="H71" s="16">
        <v>7.6388888888888895E-2</v>
      </c>
      <c r="I71" s="16">
        <v>0</v>
      </c>
      <c r="J71" s="16">
        <v>0.59027777777777779</v>
      </c>
      <c r="K71" s="16">
        <v>0.61111111111111116</v>
      </c>
      <c r="L71" s="16" t="s">
        <v>112</v>
      </c>
      <c r="M71" s="16" t="s">
        <v>112</v>
      </c>
      <c r="N71" s="16">
        <f t="shared" si="9"/>
        <v>2.083333333333337E-2</v>
      </c>
      <c r="O71" s="16">
        <f t="shared" si="10"/>
        <v>6.9388939039072284E-17</v>
      </c>
      <c r="P71" s="16">
        <v>6.9444444444444397E-3</v>
      </c>
      <c r="Q71" s="16">
        <v>0.61805555555555558</v>
      </c>
      <c r="R71" s="16">
        <f t="shared" si="11"/>
        <v>0</v>
      </c>
      <c r="S71" s="16">
        <v>0.61805555555555558</v>
      </c>
      <c r="T71" s="16">
        <f>VLOOKUP(E71,'[2]21-3-2026'!E$3:T$35,16,FALSE)</f>
        <v>2.0833333333333301E-2</v>
      </c>
      <c r="U71" s="16">
        <v>0.67708333333333337</v>
      </c>
      <c r="V71" s="16">
        <v>0</v>
      </c>
      <c r="W71" s="16">
        <v>2.0833333333333332E-2</v>
      </c>
      <c r="X71" s="16">
        <v>0.68055555555555547</v>
      </c>
      <c r="Y71" s="16">
        <v>0.6875</v>
      </c>
      <c r="Z71" s="16">
        <f t="shared" si="13"/>
        <v>6.9444444444445308E-3</v>
      </c>
      <c r="AA71" s="16">
        <v>0</v>
      </c>
      <c r="AB71" s="16">
        <v>0.69097222222222221</v>
      </c>
      <c r="AC71" s="39"/>
      <c r="AD71" s="56"/>
    </row>
    <row r="72" spans="1:30" ht="19.5" thickBot="1" x14ac:dyDescent="0.3">
      <c r="A72" s="14">
        <v>4</v>
      </c>
      <c r="B72" s="15">
        <v>796</v>
      </c>
      <c r="C72" s="15" t="str">
        <f>VLOOKUP(B72,داتا!$B$3:$D$107,2,FALSE)</f>
        <v>دبابة</v>
      </c>
      <c r="D72" s="34">
        <f>VLOOKUP(B72,داتا!$B$3:$D$107,3,FALSE)</f>
        <v>2.0833333333333301E-2</v>
      </c>
      <c r="E72" s="15" t="s">
        <v>60</v>
      </c>
      <c r="F72" s="15" t="s">
        <v>208</v>
      </c>
      <c r="G72" s="16">
        <v>8.3333333333333329E-2</v>
      </c>
      <c r="H72" s="16">
        <v>7.6388888888888895E-2</v>
      </c>
      <c r="I72" s="16">
        <v>0</v>
      </c>
      <c r="J72" s="16">
        <v>0.59027777777777779</v>
      </c>
      <c r="K72" s="16">
        <v>0.61111111111111116</v>
      </c>
      <c r="L72" s="16" t="s">
        <v>112</v>
      </c>
      <c r="M72" s="16" t="s">
        <v>112</v>
      </c>
      <c r="N72" s="16">
        <f t="shared" si="9"/>
        <v>2.083333333333337E-2</v>
      </c>
      <c r="O72" s="16">
        <f t="shared" si="10"/>
        <v>6.9388939039072284E-17</v>
      </c>
      <c r="P72" s="16">
        <v>6.9444444444444397E-3</v>
      </c>
      <c r="Q72" s="16">
        <v>0.61805555555555558</v>
      </c>
      <c r="R72" s="16">
        <f t="shared" si="11"/>
        <v>0</v>
      </c>
      <c r="S72" s="16">
        <v>0.61805555555555558</v>
      </c>
      <c r="T72" s="16">
        <v>1.0416666666666666E-2</v>
      </c>
      <c r="U72" s="16">
        <v>0.70833333333333337</v>
      </c>
      <c r="V72" s="16">
        <v>1.7361111111111112E-2</v>
      </c>
      <c r="W72" s="16">
        <v>3.125E-2</v>
      </c>
      <c r="X72" s="16">
        <v>0.71180555555555547</v>
      </c>
      <c r="Y72" s="16">
        <v>0.71875</v>
      </c>
      <c r="Z72" s="16">
        <f t="shared" si="13"/>
        <v>6.9444444444445308E-3</v>
      </c>
      <c r="AA72" s="16">
        <v>0</v>
      </c>
      <c r="AB72" s="16">
        <v>0.72222222222222221</v>
      </c>
      <c r="AC72" s="39"/>
      <c r="AD72" s="56"/>
    </row>
    <row r="73" spans="1:30" ht="19.5" thickBot="1" x14ac:dyDescent="0.3">
      <c r="A73" s="14">
        <v>5</v>
      </c>
      <c r="B73" s="15">
        <v>3495</v>
      </c>
      <c r="C73" s="15" t="str">
        <f>VLOOKUP(B73,داتا!$B$3:$D$107,2,FALSE)</f>
        <v>تلتين</v>
      </c>
      <c r="D73" s="34">
        <f>VLOOKUP(B73,داتا!$B$3:$D$107,3,FALSE)</f>
        <v>3.125E-2</v>
      </c>
      <c r="E73" s="15" t="s">
        <v>42</v>
      </c>
      <c r="F73" s="15" t="s">
        <v>173</v>
      </c>
      <c r="G73" s="16">
        <v>8.3333333333333329E-2</v>
      </c>
      <c r="H73" s="16">
        <v>8.3333333333333329E-2</v>
      </c>
      <c r="I73" s="16">
        <f t="shared" si="8"/>
        <v>0</v>
      </c>
      <c r="J73" s="16">
        <v>0.62152777777777779</v>
      </c>
      <c r="K73" s="16">
        <v>0.63888888888888884</v>
      </c>
      <c r="L73" s="16" t="s">
        <v>112</v>
      </c>
      <c r="M73" s="16" t="s">
        <v>112</v>
      </c>
      <c r="N73" s="16">
        <f t="shared" si="9"/>
        <v>1.7361111111111049E-2</v>
      </c>
      <c r="O73" s="16">
        <v>0</v>
      </c>
      <c r="P73" s="16">
        <v>6.9444444444444397E-3</v>
      </c>
      <c r="Q73" s="16">
        <v>0.64583333333333337</v>
      </c>
      <c r="R73" s="16">
        <f t="shared" si="11"/>
        <v>0</v>
      </c>
      <c r="S73" s="16">
        <v>0.64583333333333337</v>
      </c>
      <c r="T73" s="16">
        <f>VLOOKUP(E73,'[2]21-3-2026'!E$3:T$35,16,FALSE)</f>
        <v>1.7361111111111101E-2</v>
      </c>
      <c r="U73" s="16">
        <v>0.66874999999999996</v>
      </c>
      <c r="V73" s="16">
        <f t="shared" si="12"/>
        <v>5.5555555555555358E-3</v>
      </c>
      <c r="W73" s="16">
        <v>3.125E-2</v>
      </c>
      <c r="X73" s="16">
        <v>0.6743055555555556</v>
      </c>
      <c r="Y73" s="16">
        <v>0.69236111111111109</v>
      </c>
      <c r="Z73" s="16">
        <f t="shared" si="13"/>
        <v>1.8055555555555491E-2</v>
      </c>
      <c r="AA73" s="16">
        <v>0</v>
      </c>
      <c r="AB73" s="16">
        <v>0.69513888888888886</v>
      </c>
      <c r="AC73" s="39"/>
      <c r="AD73" s="56"/>
    </row>
    <row r="74" spans="1:30" ht="19.5" thickBot="1" x14ac:dyDescent="0.3">
      <c r="A74" s="14">
        <v>6</v>
      </c>
      <c r="B74" s="15">
        <v>3495</v>
      </c>
      <c r="C74" s="15" t="str">
        <f>VLOOKUP(B74,داتا!$B$3:$D$107,2,FALSE)</f>
        <v>تلتين</v>
      </c>
      <c r="D74" s="34">
        <f>VLOOKUP(B74,داتا!$B$3:$D$107,3,FALSE)</f>
        <v>3.125E-2</v>
      </c>
      <c r="E74" s="15" t="s">
        <v>45</v>
      </c>
      <c r="F74" s="15" t="s">
        <v>173</v>
      </c>
      <c r="G74" s="16">
        <v>8.3333333333333329E-2</v>
      </c>
      <c r="H74" s="16">
        <v>8.3333333333333329E-2</v>
      </c>
      <c r="I74" s="16">
        <f t="shared" si="8"/>
        <v>0</v>
      </c>
      <c r="J74" s="16">
        <v>0.62152777777777779</v>
      </c>
      <c r="K74" s="16">
        <v>0.63888888888888884</v>
      </c>
      <c r="L74" s="16" t="s">
        <v>112</v>
      </c>
      <c r="M74" s="16" t="s">
        <v>112</v>
      </c>
      <c r="N74" s="16">
        <f t="shared" si="9"/>
        <v>1.7361111111111049E-2</v>
      </c>
      <c r="O74" s="16">
        <v>0</v>
      </c>
      <c r="P74" s="16">
        <v>6.9444444444444397E-3</v>
      </c>
      <c r="Q74" s="16">
        <v>0.64583333333333337</v>
      </c>
      <c r="R74" s="16">
        <f t="shared" si="11"/>
        <v>0</v>
      </c>
      <c r="S74" s="16">
        <v>0.64583333333333337</v>
      </c>
      <c r="T74" s="16">
        <v>1.0416666666666666E-2</v>
      </c>
      <c r="U74" s="16">
        <v>0.70486111111111116</v>
      </c>
      <c r="V74" s="16">
        <v>0</v>
      </c>
      <c r="W74" s="16">
        <v>4.1666666666666664E-2</v>
      </c>
      <c r="X74" s="16">
        <v>0.70833333333333337</v>
      </c>
      <c r="Y74" s="16">
        <v>0.7270833333333333</v>
      </c>
      <c r="Z74" s="16">
        <f t="shared" si="13"/>
        <v>1.8749999999999933E-2</v>
      </c>
      <c r="AA74" s="16">
        <v>0</v>
      </c>
      <c r="AB74" s="16">
        <v>0.72916666666666663</v>
      </c>
      <c r="AC74" s="39"/>
      <c r="AD74" s="56"/>
    </row>
    <row r="75" spans="1:30" ht="19.5" thickBot="1" x14ac:dyDescent="0.3">
      <c r="A75" s="14">
        <v>7</v>
      </c>
      <c r="B75" s="15">
        <v>4879</v>
      </c>
      <c r="C75" s="15" t="str">
        <f>VLOOKUP(B75,داتا!$B$3:$D$107,2,FALSE)</f>
        <v>دبابة</v>
      </c>
      <c r="D75" s="34">
        <f>VLOOKUP(B75,داتا!$B$3:$D$107,3,FALSE)</f>
        <v>2.0833333333333301E-2</v>
      </c>
      <c r="E75" s="15" t="s">
        <v>81</v>
      </c>
      <c r="F75" s="15" t="s">
        <v>207</v>
      </c>
      <c r="G75" s="16">
        <v>8.3333333333333329E-2</v>
      </c>
      <c r="H75" s="16">
        <v>8.3333333333333329E-2</v>
      </c>
      <c r="I75" s="16">
        <f t="shared" si="8"/>
        <v>0</v>
      </c>
      <c r="J75" s="16">
        <v>0.59375</v>
      </c>
      <c r="K75" s="16">
        <v>0.61458333333333337</v>
      </c>
      <c r="L75" s="16" t="s">
        <v>97</v>
      </c>
      <c r="M75" s="16" t="s">
        <v>97</v>
      </c>
      <c r="N75" s="16">
        <f t="shared" si="9"/>
        <v>2.083333333333337E-2</v>
      </c>
      <c r="O75" s="16">
        <v>0</v>
      </c>
      <c r="P75" s="16">
        <v>6.9444444444444397E-3</v>
      </c>
      <c r="Q75" s="16">
        <v>0.625</v>
      </c>
      <c r="R75" s="16">
        <f t="shared" si="11"/>
        <v>3.4722222222222099E-3</v>
      </c>
      <c r="S75" s="16">
        <v>0.625</v>
      </c>
      <c r="T75" s="16">
        <f>VLOOKUP(E75,'[2]21-3-2026'!E$3:T$35,16,FALSE)</f>
        <v>2.7777777777777801E-2</v>
      </c>
      <c r="U75" s="16">
        <v>0.65277777777777779</v>
      </c>
      <c r="V75" s="16">
        <f t="shared" si="12"/>
        <v>0</v>
      </c>
      <c r="W75" s="16">
        <v>3.125E-2</v>
      </c>
      <c r="X75" s="16">
        <v>0.65486111111111112</v>
      </c>
      <c r="Y75" s="16">
        <v>0.67569444444444449</v>
      </c>
      <c r="Z75" s="16">
        <f t="shared" si="13"/>
        <v>2.083333333333337E-2</v>
      </c>
      <c r="AA75" s="16">
        <v>0</v>
      </c>
      <c r="AB75" s="16">
        <v>0.67708333333333337</v>
      </c>
      <c r="AC75" s="39"/>
      <c r="AD75" s="56"/>
    </row>
    <row r="76" spans="1:30" ht="19.5" thickBot="1" x14ac:dyDescent="0.3">
      <c r="A76" s="14">
        <v>8</v>
      </c>
      <c r="B76" s="15">
        <v>2714</v>
      </c>
      <c r="C76" s="15" t="str">
        <f>VLOOKUP(B76,داتا!$B$3:$D$107,2,FALSE)</f>
        <v>تلتين</v>
      </c>
      <c r="D76" s="34">
        <f>VLOOKUP(B76,داتا!$B$3:$D$107,3,FALSE)</f>
        <v>3.125E-2</v>
      </c>
      <c r="E76" s="15" t="s">
        <v>69</v>
      </c>
      <c r="F76" s="15" t="s">
        <v>163</v>
      </c>
      <c r="G76" s="16">
        <v>8.3333333333333329E-2</v>
      </c>
      <c r="H76" s="16">
        <v>8.3333333333333329E-2</v>
      </c>
      <c r="I76" s="16">
        <f t="shared" si="8"/>
        <v>0</v>
      </c>
      <c r="J76" s="16">
        <v>0.63194444444444442</v>
      </c>
      <c r="K76" s="16">
        <v>0.64236111111111116</v>
      </c>
      <c r="L76" s="16" t="s">
        <v>97</v>
      </c>
      <c r="M76" s="16" t="s">
        <v>97</v>
      </c>
      <c r="N76" s="16">
        <f t="shared" si="9"/>
        <v>1.0416666666666741E-2</v>
      </c>
      <c r="O76" s="16">
        <v>0</v>
      </c>
      <c r="P76" s="16">
        <v>6.9444444444444397E-3</v>
      </c>
      <c r="Q76" s="16">
        <v>0.64583333333333337</v>
      </c>
      <c r="R76" s="16">
        <v>0</v>
      </c>
      <c r="S76" s="16">
        <v>0.64583333333333337</v>
      </c>
      <c r="T76" s="16">
        <f>VLOOKUP(E76,'[2]21-3-2026'!E$3:T$35,16,FALSE)</f>
        <v>1.38888888888889E-2</v>
      </c>
      <c r="U76" s="16">
        <v>0.68055555555555558</v>
      </c>
      <c r="V76" s="16">
        <f t="shared" si="12"/>
        <v>2.0833333333333259E-2</v>
      </c>
      <c r="W76" s="16">
        <v>3.125E-2</v>
      </c>
      <c r="X76" s="16">
        <v>0.68402777777777779</v>
      </c>
      <c r="Y76" s="16">
        <v>0.69097222222222221</v>
      </c>
      <c r="Z76" s="16">
        <f t="shared" si="13"/>
        <v>6.9444444444444198E-3</v>
      </c>
      <c r="AA76" s="16">
        <v>0</v>
      </c>
      <c r="AB76" s="16">
        <v>0.69444444444444442</v>
      </c>
      <c r="AC76" s="39"/>
      <c r="AD76" s="56"/>
    </row>
    <row r="77" spans="1:30" ht="19.5" thickBot="1" x14ac:dyDescent="0.3">
      <c r="A77" s="14">
        <v>9</v>
      </c>
      <c r="B77" s="15">
        <v>2714</v>
      </c>
      <c r="C77" s="15" t="str">
        <f>VLOOKUP(B77,داتا!$B$3:$D$107,2,FALSE)</f>
        <v>تلتين</v>
      </c>
      <c r="D77" s="34">
        <f>VLOOKUP(B77,داتا!$B$3:$D$107,3,FALSE)</f>
        <v>3.125E-2</v>
      </c>
      <c r="E77" s="15" t="s">
        <v>67</v>
      </c>
      <c r="F77" s="15" t="s">
        <v>163</v>
      </c>
      <c r="G77" s="16">
        <v>8.3333333333333329E-2</v>
      </c>
      <c r="H77" s="16">
        <v>8.3333333333333329E-2</v>
      </c>
      <c r="I77" s="16">
        <f t="shared" si="8"/>
        <v>0</v>
      </c>
      <c r="J77" s="16">
        <v>0.63194444444444442</v>
      </c>
      <c r="K77" s="16">
        <v>0.64236111111111116</v>
      </c>
      <c r="L77" s="16" t="s">
        <v>97</v>
      </c>
      <c r="M77" s="16" t="s">
        <v>97</v>
      </c>
      <c r="N77" s="16">
        <f t="shared" si="9"/>
        <v>1.0416666666666741E-2</v>
      </c>
      <c r="O77" s="16">
        <v>0</v>
      </c>
      <c r="P77" s="16">
        <v>6.9444444444444397E-3</v>
      </c>
      <c r="Q77" s="16">
        <v>0.64583333333333337</v>
      </c>
      <c r="R77" s="16">
        <v>0</v>
      </c>
      <c r="S77" s="16">
        <v>0.64583333333333337</v>
      </c>
      <c r="T77" s="16">
        <v>1.0416666666666666E-2</v>
      </c>
      <c r="U77" s="16">
        <v>0.70486111111111116</v>
      </c>
      <c r="V77" s="16">
        <v>0</v>
      </c>
      <c r="W77" s="16">
        <v>3.125E-2</v>
      </c>
      <c r="X77" s="16">
        <v>0.70625000000000004</v>
      </c>
      <c r="Y77" s="16">
        <v>0.71319444444444446</v>
      </c>
      <c r="Z77" s="16">
        <f t="shared" si="13"/>
        <v>6.9444444444444198E-3</v>
      </c>
      <c r="AA77" s="16">
        <v>0</v>
      </c>
      <c r="AB77" s="16">
        <v>0.71527777777777779</v>
      </c>
      <c r="AC77" s="39"/>
      <c r="AD77" s="56"/>
    </row>
    <row r="78" spans="1:30" ht="19.5" thickBot="1" x14ac:dyDescent="0.3">
      <c r="A78" s="14">
        <v>10</v>
      </c>
      <c r="B78" s="15">
        <v>2714</v>
      </c>
      <c r="C78" s="15" t="str">
        <f>VLOOKUP(B78,داتا!$B$3:$D$107,2,FALSE)</f>
        <v>تلتين</v>
      </c>
      <c r="D78" s="34">
        <f>VLOOKUP(B78,داتا!$B$3:$D$107,3,FALSE)</f>
        <v>3.125E-2</v>
      </c>
      <c r="E78" s="16" t="s">
        <v>57</v>
      </c>
      <c r="F78" s="15" t="s">
        <v>163</v>
      </c>
      <c r="G78" s="16">
        <v>8.3333333333333329E-2</v>
      </c>
      <c r="H78" s="16">
        <v>8.3333333333333329E-2</v>
      </c>
      <c r="I78" s="16">
        <f t="shared" si="8"/>
        <v>0</v>
      </c>
      <c r="J78" s="16">
        <v>0.63194444444444442</v>
      </c>
      <c r="K78" s="16">
        <v>0.64236111111111116</v>
      </c>
      <c r="L78" s="16" t="s">
        <v>97</v>
      </c>
      <c r="M78" s="16" t="s">
        <v>97</v>
      </c>
      <c r="N78" s="16">
        <f t="shared" si="9"/>
        <v>1.0416666666666741E-2</v>
      </c>
      <c r="O78" s="16">
        <v>0</v>
      </c>
      <c r="P78" s="16">
        <v>6.9444444444444397E-3</v>
      </c>
      <c r="Q78" s="16">
        <v>0.64583333333333337</v>
      </c>
      <c r="R78" s="16">
        <v>0</v>
      </c>
      <c r="S78" s="16">
        <v>0.64583333333333337</v>
      </c>
      <c r="T78" s="16">
        <f>VLOOKUP(E78,'[2]21-3-2026'!E$3:T$35,16,FALSE)</f>
        <v>1.7361111111111101E-2</v>
      </c>
      <c r="U78" s="16">
        <v>0.72569444444444442</v>
      </c>
      <c r="V78" s="16">
        <v>0</v>
      </c>
      <c r="W78" s="16">
        <v>4.1666666666666664E-2</v>
      </c>
      <c r="X78" s="16">
        <v>0.72916666666666663</v>
      </c>
      <c r="Y78" s="16">
        <v>0.74305555555555558</v>
      </c>
      <c r="Z78" s="16">
        <f t="shared" si="13"/>
        <v>1.3888888888888951E-2</v>
      </c>
      <c r="AA78" s="16">
        <v>0</v>
      </c>
      <c r="AB78" s="16">
        <v>0.74652777777777779</v>
      </c>
      <c r="AC78" s="39"/>
      <c r="AD78" s="56"/>
    </row>
    <row r="79" spans="1:30" ht="19.5" thickBot="1" x14ac:dyDescent="0.3">
      <c r="A79" s="14">
        <v>11</v>
      </c>
      <c r="B79" s="15">
        <v>6143</v>
      </c>
      <c r="C79" s="15" t="str">
        <f>VLOOKUP(B79,داتا!$B$3:$D$107,2,FALSE)</f>
        <v>تلتين</v>
      </c>
      <c r="D79" s="34">
        <f>VLOOKUP(B79,داتا!$B$3:$D$107,3,FALSE)</f>
        <v>3.125E-2</v>
      </c>
      <c r="E79" s="15" t="s">
        <v>38</v>
      </c>
      <c r="F79" s="15" t="s">
        <v>160</v>
      </c>
      <c r="G79" s="16">
        <v>8.3333333333333329E-2</v>
      </c>
      <c r="H79" s="16">
        <v>8.3333333333333329E-2</v>
      </c>
      <c r="I79" s="16">
        <f t="shared" si="8"/>
        <v>0</v>
      </c>
      <c r="J79" s="16">
        <v>0.59027777777777779</v>
      </c>
      <c r="K79" s="16">
        <v>0.625</v>
      </c>
      <c r="L79" s="16" t="s">
        <v>111</v>
      </c>
      <c r="M79" s="16" t="s">
        <v>190</v>
      </c>
      <c r="N79" s="16">
        <f t="shared" si="9"/>
        <v>3.472222222222221E-2</v>
      </c>
      <c r="O79" s="16">
        <f t="shared" si="10"/>
        <v>3.4722222222222099E-3</v>
      </c>
      <c r="P79" s="16">
        <v>6.9444444444444397E-3</v>
      </c>
      <c r="Q79" s="16">
        <v>0.63194444444444442</v>
      </c>
      <c r="R79" s="16">
        <f t="shared" si="11"/>
        <v>0</v>
      </c>
      <c r="S79" s="16">
        <v>0.63194444444444442</v>
      </c>
      <c r="T79" s="16">
        <f>VLOOKUP(E79,'[2]21-3-2026'!E$3:T$35,16,FALSE)</f>
        <v>1.0416666666666666E-2</v>
      </c>
      <c r="U79" s="16">
        <v>0.66319444444444442</v>
      </c>
      <c r="V79" s="16">
        <f t="shared" si="12"/>
        <v>2.083333333333337E-2</v>
      </c>
      <c r="W79" s="16">
        <v>3.125E-2</v>
      </c>
      <c r="X79" s="16">
        <v>0.66666666666666663</v>
      </c>
      <c r="Y79" s="16">
        <v>0.67708333333333337</v>
      </c>
      <c r="Z79" s="16">
        <f t="shared" si="13"/>
        <v>1.0416666666666741E-2</v>
      </c>
      <c r="AA79" s="16">
        <v>0</v>
      </c>
      <c r="AB79" s="16">
        <v>0.67708333333333337</v>
      </c>
      <c r="AC79" s="39"/>
      <c r="AD79" s="56"/>
    </row>
    <row r="80" spans="1:30" ht="19.5" thickBot="1" x14ac:dyDescent="0.3">
      <c r="A80" s="14">
        <v>12</v>
      </c>
      <c r="B80" s="15">
        <v>6143</v>
      </c>
      <c r="C80" s="15" t="str">
        <f>VLOOKUP(B80,داتا!$B$3:$D$107,2,FALSE)</f>
        <v>تلتين</v>
      </c>
      <c r="D80" s="34">
        <f>VLOOKUP(B80,داتا!$B$3:$D$107,3,FALSE)</f>
        <v>3.125E-2</v>
      </c>
      <c r="E80" s="15" t="s">
        <v>73</v>
      </c>
      <c r="F80" s="15" t="s">
        <v>160</v>
      </c>
      <c r="G80" s="16">
        <v>8.3333333333333329E-2</v>
      </c>
      <c r="H80" s="16">
        <v>8.3333333333333329E-2</v>
      </c>
      <c r="I80" s="16">
        <f t="shared" si="8"/>
        <v>0</v>
      </c>
      <c r="J80" s="16">
        <v>0.59027777777777779</v>
      </c>
      <c r="K80" s="16">
        <v>0.625</v>
      </c>
      <c r="L80" s="16" t="s">
        <v>111</v>
      </c>
      <c r="M80" s="16" t="s">
        <v>190</v>
      </c>
      <c r="N80" s="16">
        <f t="shared" si="9"/>
        <v>3.472222222222221E-2</v>
      </c>
      <c r="O80" s="16">
        <f t="shared" si="10"/>
        <v>3.4722222222222099E-3</v>
      </c>
      <c r="P80" s="16">
        <v>6.9444444444444397E-3</v>
      </c>
      <c r="Q80" s="16">
        <v>0.63194444444444442</v>
      </c>
      <c r="R80" s="16">
        <f t="shared" si="11"/>
        <v>0</v>
      </c>
      <c r="S80" s="16">
        <v>0.63194444444444442</v>
      </c>
      <c r="T80" s="16">
        <f>VLOOKUP(E80,'[2]21-3-2026'!E$3:T$35,16,FALSE)</f>
        <v>3.4722222222222203E-2</v>
      </c>
      <c r="U80" s="16">
        <v>0.69444444444444442</v>
      </c>
      <c r="V80" s="16">
        <f t="shared" si="12"/>
        <v>2.777777777777779E-2</v>
      </c>
      <c r="W80" s="16">
        <v>3.125E-2</v>
      </c>
      <c r="X80" s="16">
        <v>0.69791666666666663</v>
      </c>
      <c r="Y80" s="16">
        <v>0.73958333333333337</v>
      </c>
      <c r="Z80" s="16">
        <f t="shared" si="13"/>
        <v>4.1666666666666741E-2</v>
      </c>
      <c r="AA80" s="16">
        <f t="shared" ref="AA80:AA97" si="17">Z80-W80</f>
        <v>1.0416666666666741E-2</v>
      </c>
      <c r="AB80" s="16">
        <v>0.74305555555555558</v>
      </c>
      <c r="AC80" s="39"/>
      <c r="AD80" s="56"/>
    </row>
    <row r="81" spans="1:30" ht="19.5" thickBot="1" x14ac:dyDescent="0.3">
      <c r="A81" s="14">
        <v>13</v>
      </c>
      <c r="B81" s="15">
        <v>6143</v>
      </c>
      <c r="C81" s="15" t="str">
        <f>VLOOKUP(B81,داتا!$B$3:$D$107,2,FALSE)</f>
        <v>تلتين</v>
      </c>
      <c r="D81" s="34">
        <f>VLOOKUP(B81,داتا!$B$3:$D$107,3,FALSE)</f>
        <v>3.125E-2</v>
      </c>
      <c r="E81" s="15" t="s">
        <v>35</v>
      </c>
      <c r="F81" s="15" t="s">
        <v>160</v>
      </c>
      <c r="G81" s="16">
        <v>8.3333333333333329E-2</v>
      </c>
      <c r="H81" s="16">
        <v>8.3333333333333329E-2</v>
      </c>
      <c r="I81" s="16">
        <f t="shared" si="8"/>
        <v>0</v>
      </c>
      <c r="J81" s="16">
        <v>0.59027777777777779</v>
      </c>
      <c r="K81" s="16">
        <v>0.625</v>
      </c>
      <c r="L81" s="16" t="s">
        <v>111</v>
      </c>
      <c r="M81" s="16" t="s">
        <v>190</v>
      </c>
      <c r="N81" s="16">
        <f t="shared" si="9"/>
        <v>3.472222222222221E-2</v>
      </c>
      <c r="O81" s="16">
        <f t="shared" si="10"/>
        <v>3.4722222222222099E-3</v>
      </c>
      <c r="P81" s="16">
        <v>6.9444444444444397E-3</v>
      </c>
      <c r="Q81" s="16">
        <v>0.63194444444444442</v>
      </c>
      <c r="R81" s="16">
        <f t="shared" si="11"/>
        <v>0</v>
      </c>
      <c r="S81" s="16">
        <v>0.63194444444444442</v>
      </c>
      <c r="T81" s="16">
        <f>VLOOKUP(E81,'[2]21-3-2026'!E$3:T$35,16,FALSE)</f>
        <v>3.4722222222222203E-2</v>
      </c>
      <c r="U81" s="16">
        <v>0.74652777777777779</v>
      </c>
      <c r="V81" s="16">
        <v>0</v>
      </c>
      <c r="W81" s="16">
        <v>4.1666666666666664E-2</v>
      </c>
      <c r="X81" s="16">
        <v>0.75</v>
      </c>
      <c r="Y81" s="16">
        <v>0.77083333333333337</v>
      </c>
      <c r="Z81" s="16">
        <f t="shared" si="13"/>
        <v>2.083333333333337E-2</v>
      </c>
      <c r="AA81" s="16">
        <v>0</v>
      </c>
      <c r="AB81" s="16">
        <v>0.77430555555555558</v>
      </c>
      <c r="AC81" s="39"/>
      <c r="AD81" s="56"/>
    </row>
    <row r="82" spans="1:30" ht="19.5" thickBot="1" x14ac:dyDescent="0.3">
      <c r="A82" s="14">
        <v>14</v>
      </c>
      <c r="B82" s="15">
        <v>1454</v>
      </c>
      <c r="C82" s="15" t="str">
        <f>VLOOKUP(B82,داتا!$B$3:$D$107,2,FALSE)</f>
        <v>تلتين</v>
      </c>
      <c r="D82" s="34">
        <f>VLOOKUP(B82,داتا!$B$3:$D$107,3,FALSE)</f>
        <v>3.125E-2</v>
      </c>
      <c r="E82" s="15" t="s">
        <v>46</v>
      </c>
      <c r="F82" s="15" t="s">
        <v>192</v>
      </c>
      <c r="G82" s="16">
        <v>8.3333333333333329E-2</v>
      </c>
      <c r="H82" s="16">
        <v>8.3333333333333329E-2</v>
      </c>
      <c r="I82" s="16">
        <f t="shared" si="8"/>
        <v>0</v>
      </c>
      <c r="J82" s="16">
        <v>0.59027777777777779</v>
      </c>
      <c r="K82" s="16">
        <v>0.62152777777777779</v>
      </c>
      <c r="L82" s="16" t="s">
        <v>85</v>
      </c>
      <c r="M82" s="16" t="s">
        <v>85</v>
      </c>
      <c r="N82" s="16">
        <f t="shared" si="9"/>
        <v>3.125E-2</v>
      </c>
      <c r="O82" s="16">
        <f t="shared" si="10"/>
        <v>0</v>
      </c>
      <c r="P82" s="16">
        <v>6.9444444444444397E-3</v>
      </c>
      <c r="Q82" s="16">
        <v>0.625</v>
      </c>
      <c r="R82" s="16">
        <v>0</v>
      </c>
      <c r="S82" s="16">
        <v>0.625</v>
      </c>
      <c r="T82" s="16">
        <f>VLOOKUP(E82,'[2]21-3-2026'!E$3:T$35,16,FALSE)</f>
        <v>3.4722222222222203E-2</v>
      </c>
      <c r="U82" s="16">
        <v>0.66666666666666663</v>
      </c>
      <c r="V82" s="16">
        <f t="shared" si="12"/>
        <v>6.9444444444444198E-3</v>
      </c>
      <c r="W82" s="16">
        <v>3.125E-2</v>
      </c>
      <c r="X82" s="16">
        <v>0.6694444444444444</v>
      </c>
      <c r="Y82" s="16">
        <v>0.69444444444444442</v>
      </c>
      <c r="Z82" s="16">
        <f t="shared" si="13"/>
        <v>2.5000000000000022E-2</v>
      </c>
      <c r="AA82" s="16">
        <v>0</v>
      </c>
      <c r="AB82" s="16">
        <v>0.69791666666666663</v>
      </c>
      <c r="AC82" s="39"/>
      <c r="AD82" s="56"/>
    </row>
    <row r="83" spans="1:30" ht="19.5" thickBot="1" x14ac:dyDescent="0.3">
      <c r="A83" s="14">
        <v>15</v>
      </c>
      <c r="B83" s="15">
        <v>1454</v>
      </c>
      <c r="C83" s="15" t="str">
        <f>VLOOKUP(B83,داتا!$B$3:$D$107,2,FALSE)</f>
        <v>تلتين</v>
      </c>
      <c r="D83" s="34">
        <f>VLOOKUP(B83,داتا!$B$3:$D$107,3,FALSE)</f>
        <v>3.125E-2</v>
      </c>
      <c r="E83" s="15" t="s">
        <v>49</v>
      </c>
      <c r="F83" s="15" t="s">
        <v>192</v>
      </c>
      <c r="G83" s="16">
        <v>8.3333333333333329E-2</v>
      </c>
      <c r="H83" s="16">
        <v>8.3333333333333329E-2</v>
      </c>
      <c r="I83" s="16">
        <f t="shared" si="8"/>
        <v>0</v>
      </c>
      <c r="J83" s="16">
        <v>0.59027777777777779</v>
      </c>
      <c r="K83" s="16">
        <v>0.62152777777777779</v>
      </c>
      <c r="L83" s="16" t="s">
        <v>85</v>
      </c>
      <c r="M83" s="16" t="s">
        <v>85</v>
      </c>
      <c r="N83" s="16">
        <f t="shared" si="9"/>
        <v>3.125E-2</v>
      </c>
      <c r="O83" s="16">
        <f t="shared" si="10"/>
        <v>0</v>
      </c>
      <c r="P83" s="16">
        <v>6.9444444444444397E-3</v>
      </c>
      <c r="Q83" s="16">
        <v>0.625</v>
      </c>
      <c r="R83" s="16">
        <v>0</v>
      </c>
      <c r="S83" s="16">
        <v>0.625</v>
      </c>
      <c r="T83" s="16">
        <v>1.0416666666666666E-2</v>
      </c>
      <c r="U83" s="16">
        <v>0.71180555555555558</v>
      </c>
      <c r="V83" s="16">
        <v>3.472222222222222E-3</v>
      </c>
      <c r="W83" s="16">
        <v>4.1666666666666664E-2</v>
      </c>
      <c r="X83" s="16">
        <v>0.71180555555555558</v>
      </c>
      <c r="Y83" s="16">
        <v>0.73958333333333337</v>
      </c>
      <c r="Z83" s="16">
        <f t="shared" si="13"/>
        <v>2.777777777777779E-2</v>
      </c>
      <c r="AA83" s="16">
        <v>0</v>
      </c>
      <c r="AB83" s="16">
        <v>0.74305555555555558</v>
      </c>
      <c r="AC83" s="39"/>
      <c r="AD83" s="56"/>
    </row>
    <row r="84" spans="1:30" ht="19.5" thickBot="1" x14ac:dyDescent="0.3">
      <c r="A84" s="14">
        <v>16</v>
      </c>
      <c r="B84" s="15">
        <v>5898</v>
      </c>
      <c r="C84" s="15" t="str">
        <f>VLOOKUP(B84,داتا!$B$3:$D$107,2,FALSE)</f>
        <v>تلتين</v>
      </c>
      <c r="D84" s="34">
        <f>VLOOKUP(B84,داتا!$B$3:$D$107,3,FALSE)</f>
        <v>3.125E-2</v>
      </c>
      <c r="E84" s="15" t="s">
        <v>98</v>
      </c>
      <c r="F84" s="15" t="s">
        <v>143</v>
      </c>
      <c r="G84" s="16">
        <v>8.3333333333333329E-2</v>
      </c>
      <c r="H84" s="16">
        <v>8.3333333333333329E-2</v>
      </c>
      <c r="I84" s="16">
        <f t="shared" si="8"/>
        <v>0</v>
      </c>
      <c r="J84" s="16">
        <v>0.63888888888888884</v>
      </c>
      <c r="K84" s="16">
        <v>0.64583333333333337</v>
      </c>
      <c r="L84" s="16" t="s">
        <v>85</v>
      </c>
      <c r="M84" s="16" t="s">
        <v>85</v>
      </c>
      <c r="N84" s="16">
        <f t="shared" si="9"/>
        <v>6.9444444444445308E-3</v>
      </c>
      <c r="O84" s="16">
        <v>0</v>
      </c>
      <c r="P84" s="16">
        <v>6.9444444444444397E-3</v>
      </c>
      <c r="Q84" s="16">
        <v>0.65277777777777779</v>
      </c>
      <c r="R84" s="16">
        <f t="shared" si="11"/>
        <v>0</v>
      </c>
      <c r="S84" s="16">
        <v>0.65277777777777779</v>
      </c>
      <c r="T84" s="16">
        <f>VLOOKUP(E84,'[2]21-3-2026'!E$3:T$35,16,FALSE)</f>
        <v>4.8611111111111103E-3</v>
      </c>
      <c r="U84" s="16">
        <v>0.66319444444444442</v>
      </c>
      <c r="V84" s="16">
        <f t="shared" si="12"/>
        <v>5.5555555555555358E-3</v>
      </c>
      <c r="W84" s="16">
        <v>3.125E-2</v>
      </c>
      <c r="X84" s="16">
        <v>0.66527777777777775</v>
      </c>
      <c r="Y84" s="16">
        <v>0.67708333333333337</v>
      </c>
      <c r="Z84" s="16">
        <f t="shared" si="13"/>
        <v>1.1805555555555625E-2</v>
      </c>
      <c r="AA84" s="16">
        <v>0</v>
      </c>
      <c r="AB84" s="16">
        <v>0.68055555555555558</v>
      </c>
      <c r="AC84" s="39"/>
      <c r="AD84" s="56"/>
    </row>
    <row r="85" spans="1:30" ht="19.5" thickBot="1" x14ac:dyDescent="0.3">
      <c r="A85" s="14">
        <v>17</v>
      </c>
      <c r="B85" s="15">
        <v>5898</v>
      </c>
      <c r="C85" s="15" t="str">
        <f>VLOOKUP(B85,داتا!$B$3:$D$107,2,FALSE)</f>
        <v>تلتين</v>
      </c>
      <c r="D85" s="34">
        <f>VLOOKUP(B85,داتا!$B$3:$D$107,3,FALSE)</f>
        <v>3.125E-2</v>
      </c>
      <c r="E85" s="15" t="s">
        <v>95</v>
      </c>
      <c r="F85" s="15" t="s">
        <v>143</v>
      </c>
      <c r="G85" s="16">
        <v>8.3333333333333329E-2</v>
      </c>
      <c r="H85" s="16">
        <v>8.3333333333333329E-2</v>
      </c>
      <c r="I85" s="16">
        <f t="shared" si="8"/>
        <v>0</v>
      </c>
      <c r="J85" s="16">
        <v>0.63888888888888884</v>
      </c>
      <c r="K85" s="16">
        <v>0.64583333333333337</v>
      </c>
      <c r="L85" s="16" t="s">
        <v>85</v>
      </c>
      <c r="M85" s="16" t="s">
        <v>85</v>
      </c>
      <c r="N85" s="16">
        <f t="shared" si="9"/>
        <v>6.9444444444445308E-3</v>
      </c>
      <c r="O85" s="16">
        <v>0</v>
      </c>
      <c r="P85" s="16">
        <v>6.9444444444444397E-3</v>
      </c>
      <c r="Q85" s="16">
        <v>0.65277777777777779</v>
      </c>
      <c r="R85" s="16">
        <f t="shared" si="11"/>
        <v>0</v>
      </c>
      <c r="S85" s="16">
        <v>0.65277777777777779</v>
      </c>
      <c r="T85" s="16">
        <f>VLOOKUP(E85,'[2]21-3-2026'!E$3:T$35,16,FALSE)</f>
        <v>1.0416666666666701E-2</v>
      </c>
      <c r="U85" s="16">
        <v>0.6875</v>
      </c>
      <c r="V85" s="16">
        <v>0</v>
      </c>
      <c r="W85" s="16">
        <v>3.125E-2</v>
      </c>
      <c r="X85" s="16">
        <v>0.68819444444444444</v>
      </c>
      <c r="Y85" s="16">
        <v>0.71736111111111112</v>
      </c>
      <c r="Z85" s="16">
        <f t="shared" si="13"/>
        <v>2.9166666666666674E-2</v>
      </c>
      <c r="AA85" s="16">
        <v>0</v>
      </c>
      <c r="AB85" s="16">
        <v>0.71805555555555556</v>
      </c>
      <c r="AC85" s="39"/>
      <c r="AD85" s="56"/>
    </row>
    <row r="86" spans="1:30" ht="19.5" thickBot="1" x14ac:dyDescent="0.3">
      <c r="A86" s="14">
        <v>18</v>
      </c>
      <c r="B86" s="15">
        <v>3492</v>
      </c>
      <c r="C86" s="15" t="str">
        <f>VLOOKUP(B86,داتا!$B$3:$D$107,2,FALSE)</f>
        <v>تلتين</v>
      </c>
      <c r="D86" s="34">
        <f>VLOOKUP(B86,داتا!$B$3:$D$107,3,FALSE)</f>
        <v>3.125E-2</v>
      </c>
      <c r="E86" s="16" t="s">
        <v>86</v>
      </c>
      <c r="F86" s="15" t="s">
        <v>165</v>
      </c>
      <c r="G86" s="16">
        <v>8.3333333333333329E-2</v>
      </c>
      <c r="H86" s="16">
        <v>8.3333333333333329E-2</v>
      </c>
      <c r="I86" s="16">
        <f t="shared" si="8"/>
        <v>0</v>
      </c>
      <c r="J86" s="16">
        <v>0.59375</v>
      </c>
      <c r="K86" s="16">
        <v>0.61111111111111116</v>
      </c>
      <c r="L86" s="16" t="s">
        <v>108</v>
      </c>
      <c r="M86" s="16" t="s">
        <v>108</v>
      </c>
      <c r="N86" s="16">
        <f t="shared" si="9"/>
        <v>1.736111111111116E-2</v>
      </c>
      <c r="O86" s="16">
        <v>0</v>
      </c>
      <c r="P86" s="16">
        <v>6.9444444444444397E-3</v>
      </c>
      <c r="Q86" s="16">
        <v>0.62152777777777779</v>
      </c>
      <c r="R86" s="16">
        <f t="shared" si="11"/>
        <v>3.4722222222222099E-3</v>
      </c>
      <c r="S86" s="16">
        <v>0.62152777777777779</v>
      </c>
      <c r="T86" s="16">
        <f>VLOOKUP(E86,'[2]21-3-2026'!E$3:T$35,16,FALSE)</f>
        <v>3.4722222222222199E-3</v>
      </c>
      <c r="U86" s="16">
        <v>0.62847222222222221</v>
      </c>
      <c r="V86" s="16">
        <f t="shared" si="12"/>
        <v>3.4722222222222099E-3</v>
      </c>
      <c r="W86" s="16">
        <v>4.1666666666666664E-2</v>
      </c>
      <c r="X86" s="16">
        <v>0.63194444444444442</v>
      </c>
      <c r="Y86" s="16">
        <v>0.63541666666666663</v>
      </c>
      <c r="Z86" s="16">
        <f t="shared" si="13"/>
        <v>3.4722222222222099E-3</v>
      </c>
      <c r="AA86" s="16">
        <v>0</v>
      </c>
      <c r="AB86" s="16">
        <v>0.63888888888888884</v>
      </c>
      <c r="AC86" s="39"/>
      <c r="AD86" s="56"/>
    </row>
    <row r="87" spans="1:30" ht="19.5" thickBot="1" x14ac:dyDescent="0.3">
      <c r="A87" s="14">
        <v>19</v>
      </c>
      <c r="B87" s="15">
        <v>3492</v>
      </c>
      <c r="C87" s="15" t="str">
        <f>VLOOKUP(B87,داتا!$B$3:$D$107,2,FALSE)</f>
        <v>تلتين</v>
      </c>
      <c r="D87" s="34">
        <f>VLOOKUP(B87,داتا!$B$3:$D$107,3,FALSE)</f>
        <v>3.125E-2</v>
      </c>
      <c r="E87" s="15" t="s">
        <v>83</v>
      </c>
      <c r="F87" s="15" t="s">
        <v>165</v>
      </c>
      <c r="G87" s="16">
        <v>8.3333333333333329E-2</v>
      </c>
      <c r="H87" s="16">
        <v>8.6805555555555552E-2</v>
      </c>
      <c r="I87" s="16">
        <f t="shared" si="8"/>
        <v>3.4722222222222238E-3</v>
      </c>
      <c r="J87" s="16">
        <v>0.59375</v>
      </c>
      <c r="K87" s="16">
        <v>0.61111111111111116</v>
      </c>
      <c r="L87" s="16" t="s">
        <v>108</v>
      </c>
      <c r="M87" s="16" t="s">
        <v>108</v>
      </c>
      <c r="N87" s="16">
        <f t="shared" si="9"/>
        <v>1.736111111111116E-2</v>
      </c>
      <c r="O87" s="16">
        <v>0</v>
      </c>
      <c r="P87" s="16">
        <v>6.9444444444444397E-3</v>
      </c>
      <c r="Q87" s="16">
        <v>0.62152777777777779</v>
      </c>
      <c r="R87" s="16">
        <f t="shared" si="11"/>
        <v>3.4722222222222099E-3</v>
      </c>
      <c r="S87" s="16">
        <v>0.62152777777777779</v>
      </c>
      <c r="T87" s="16">
        <v>1.0416666666666666E-2</v>
      </c>
      <c r="U87" s="16">
        <v>0.64930555555555558</v>
      </c>
      <c r="V87" s="16">
        <v>0</v>
      </c>
      <c r="W87" s="16">
        <v>3.125E-2</v>
      </c>
      <c r="X87" s="16">
        <v>0.65138888888888891</v>
      </c>
      <c r="Y87" s="16">
        <v>0.66319444444444442</v>
      </c>
      <c r="Z87" s="16">
        <f t="shared" si="13"/>
        <v>1.1805555555555514E-2</v>
      </c>
      <c r="AA87" s="16">
        <v>0</v>
      </c>
      <c r="AB87" s="16">
        <v>0.66666666666666663</v>
      </c>
      <c r="AC87" s="39"/>
      <c r="AD87" s="56"/>
    </row>
    <row r="88" spans="1:30" ht="19.5" thickBot="1" x14ac:dyDescent="0.3">
      <c r="A88" s="14">
        <v>20</v>
      </c>
      <c r="B88" s="15">
        <v>3492</v>
      </c>
      <c r="C88" s="15" t="str">
        <f>VLOOKUP(B88,داتا!$B$3:$D$107,2,FALSE)</f>
        <v>تلتين</v>
      </c>
      <c r="D88" s="34">
        <f>VLOOKUP(B88,داتا!$B$3:$D$107,3,FALSE)</f>
        <v>3.125E-2</v>
      </c>
      <c r="E88" s="15" t="s">
        <v>77</v>
      </c>
      <c r="F88" s="15" t="s">
        <v>165</v>
      </c>
      <c r="G88" s="16">
        <v>8.3333333333333329E-2</v>
      </c>
      <c r="H88" s="16">
        <v>8.6805555555555552E-2</v>
      </c>
      <c r="I88" s="16">
        <f t="shared" si="8"/>
        <v>3.4722222222222238E-3</v>
      </c>
      <c r="J88" s="16">
        <v>0.59375</v>
      </c>
      <c r="K88" s="16">
        <v>0.61111111111111116</v>
      </c>
      <c r="L88" s="16" t="s">
        <v>108</v>
      </c>
      <c r="M88" s="16" t="s">
        <v>108</v>
      </c>
      <c r="N88" s="16">
        <f t="shared" si="9"/>
        <v>1.736111111111116E-2</v>
      </c>
      <c r="O88" s="16">
        <v>0</v>
      </c>
      <c r="P88" s="16">
        <v>6.9444444444444397E-3</v>
      </c>
      <c r="Q88" s="16">
        <v>0.62152777777777779</v>
      </c>
      <c r="R88" s="16">
        <f t="shared" si="11"/>
        <v>3.4722222222222099E-3</v>
      </c>
      <c r="S88" s="16">
        <v>0.62152777777777779</v>
      </c>
      <c r="T88" s="16">
        <f>VLOOKUP(E88,'[2]21-3-2026'!E$3:T$35,16,FALSE)</f>
        <v>1.38888888888889E-2</v>
      </c>
      <c r="U88" s="16">
        <v>0.67708333333333337</v>
      </c>
      <c r="V88" s="16">
        <v>0</v>
      </c>
      <c r="W88" s="16">
        <v>4.1666666666666664E-2</v>
      </c>
      <c r="X88" s="16">
        <v>0.67847222222222225</v>
      </c>
      <c r="Y88" s="16">
        <v>0.69097222222222221</v>
      </c>
      <c r="Z88" s="16">
        <f t="shared" si="13"/>
        <v>1.2499999999999956E-2</v>
      </c>
      <c r="AA88" s="16">
        <v>0</v>
      </c>
      <c r="AB88" s="16">
        <v>0.69444444444444442</v>
      </c>
      <c r="AC88" s="39"/>
      <c r="AD88" s="56"/>
    </row>
    <row r="89" spans="1:30" ht="19.5" thickBot="1" x14ac:dyDescent="0.3">
      <c r="A89" s="14">
        <v>21</v>
      </c>
      <c r="B89" s="15">
        <v>3783</v>
      </c>
      <c r="C89" s="15" t="str">
        <f>VLOOKUP(B89,داتا!$B$3:$D$107,2,FALSE)</f>
        <v>دبابة</v>
      </c>
      <c r="D89" s="34">
        <f>VLOOKUP(B89,داتا!$B$3:$D$107,3,FALSE)</f>
        <v>2.0833333333333301E-2</v>
      </c>
      <c r="E89" s="15" t="s">
        <v>54</v>
      </c>
      <c r="F89" s="15" t="s">
        <v>186</v>
      </c>
      <c r="G89" s="16">
        <v>8.3333333333333329E-2</v>
      </c>
      <c r="H89" s="16">
        <v>8.3333333333333329E-2</v>
      </c>
      <c r="I89" s="16">
        <f t="shared" si="8"/>
        <v>0</v>
      </c>
      <c r="J89" s="16">
        <v>0.63194444444444442</v>
      </c>
      <c r="K89" s="16">
        <v>0.63888888888888884</v>
      </c>
      <c r="L89" s="16" t="s">
        <v>110</v>
      </c>
      <c r="M89" s="16" t="s">
        <v>110</v>
      </c>
      <c r="N89" s="16">
        <f t="shared" si="9"/>
        <v>6.9444444444444198E-3</v>
      </c>
      <c r="O89" s="16">
        <v>0</v>
      </c>
      <c r="P89" s="16">
        <v>6.9444444444444397E-3</v>
      </c>
      <c r="Q89" s="16">
        <v>0.64930555555555558</v>
      </c>
      <c r="R89" s="16">
        <f t="shared" si="11"/>
        <v>3.4722222222223209E-3</v>
      </c>
      <c r="S89" s="16">
        <v>0.64930555555555558</v>
      </c>
      <c r="T89" s="16">
        <f>VLOOKUP(E89,'[2]21-3-2026'!E$3:T$35,16,FALSE)</f>
        <v>1.0416666666666701E-2</v>
      </c>
      <c r="U89" s="16">
        <v>0.69652777777777775</v>
      </c>
      <c r="V89" s="16">
        <f t="shared" si="12"/>
        <v>3.6805555555555425E-2</v>
      </c>
      <c r="W89" s="16">
        <v>2.0833333333333332E-2</v>
      </c>
      <c r="X89" s="16">
        <v>0.70138888888888884</v>
      </c>
      <c r="Y89" s="16">
        <v>0.71180555555555558</v>
      </c>
      <c r="Z89" s="16">
        <f t="shared" si="13"/>
        <v>1.0416666666666741E-2</v>
      </c>
      <c r="AA89" s="16">
        <v>0</v>
      </c>
      <c r="AB89" s="16">
        <v>0.71527777777777779</v>
      </c>
      <c r="AC89" s="39"/>
      <c r="AD89" s="56"/>
    </row>
    <row r="90" spans="1:30" ht="19.5" thickBot="1" x14ac:dyDescent="0.3">
      <c r="A90" s="14">
        <v>22</v>
      </c>
      <c r="B90" s="15">
        <v>3783</v>
      </c>
      <c r="C90" s="15" t="str">
        <f>VLOOKUP(B90,داتا!$B$3:$D$107,2,FALSE)</f>
        <v>دبابة</v>
      </c>
      <c r="D90" s="34">
        <f>VLOOKUP(B90,داتا!$B$3:$D$107,3,FALSE)</f>
        <v>2.0833333333333301E-2</v>
      </c>
      <c r="E90" s="15" t="s">
        <v>51</v>
      </c>
      <c r="F90" s="15" t="s">
        <v>186</v>
      </c>
      <c r="G90" s="16">
        <v>8.3333333333333329E-2</v>
      </c>
      <c r="H90" s="16">
        <v>8.3333333333333329E-2</v>
      </c>
      <c r="I90" s="16">
        <f t="shared" si="8"/>
        <v>0</v>
      </c>
      <c r="J90" s="16">
        <v>0.63194444444444442</v>
      </c>
      <c r="K90" s="16">
        <v>0.63888888888888884</v>
      </c>
      <c r="L90" s="16" t="s">
        <v>110</v>
      </c>
      <c r="M90" s="16" t="s">
        <v>110</v>
      </c>
      <c r="N90" s="16">
        <f t="shared" si="9"/>
        <v>6.9444444444444198E-3</v>
      </c>
      <c r="O90" s="16">
        <v>0</v>
      </c>
      <c r="P90" s="16">
        <v>6.9444444444444397E-3</v>
      </c>
      <c r="Q90" s="16">
        <v>0.64930555555555558</v>
      </c>
      <c r="R90" s="16">
        <f t="shared" si="11"/>
        <v>3.4722222222223209E-3</v>
      </c>
      <c r="S90" s="16">
        <v>0.64930555555555558</v>
      </c>
      <c r="T90" s="16">
        <v>1.0416666666666666E-2</v>
      </c>
      <c r="U90" s="16">
        <v>0.73611111111111116</v>
      </c>
      <c r="V90" s="16">
        <v>1.0416666666666666E-2</v>
      </c>
      <c r="W90" s="16">
        <v>3.125E-2</v>
      </c>
      <c r="X90" s="16">
        <v>0.74652777777777779</v>
      </c>
      <c r="Y90" s="16">
        <v>0.76041666666666663</v>
      </c>
      <c r="Z90" s="16">
        <f t="shared" si="13"/>
        <v>1.388888888888884E-2</v>
      </c>
      <c r="AA90" s="16">
        <v>0</v>
      </c>
      <c r="AB90" s="16">
        <v>0.83680555555555558</v>
      </c>
      <c r="AC90" s="41"/>
      <c r="AD90" s="56"/>
    </row>
    <row r="91" spans="1:30" ht="19.5" thickBot="1" x14ac:dyDescent="0.3">
      <c r="A91" s="14">
        <v>23</v>
      </c>
      <c r="B91" s="15">
        <v>2474</v>
      </c>
      <c r="C91" s="15" t="str">
        <f>VLOOKUP(B91,داتا!$B$3:$D$107,2,FALSE)</f>
        <v>دبابة</v>
      </c>
      <c r="D91" s="34">
        <f>VLOOKUP(B91,داتا!$B$3:$D$107,3,FALSE)</f>
        <v>2.0833333333333332E-2</v>
      </c>
      <c r="E91" s="15" t="s">
        <v>89</v>
      </c>
      <c r="F91" s="15" t="s">
        <v>187</v>
      </c>
      <c r="G91" s="16">
        <v>8.3333333333333329E-2</v>
      </c>
      <c r="H91" s="16">
        <v>9.0277777777777776E-2</v>
      </c>
      <c r="I91" s="16">
        <f t="shared" si="8"/>
        <v>6.9444444444444475E-3</v>
      </c>
      <c r="J91" s="16">
        <v>0.58333333333333337</v>
      </c>
      <c r="K91" s="16">
        <v>0.59722222222222221</v>
      </c>
      <c r="L91" s="16" t="s">
        <v>94</v>
      </c>
      <c r="M91" s="16" t="s">
        <v>94</v>
      </c>
      <c r="N91" s="16">
        <f t="shared" si="9"/>
        <v>1.388888888888884E-2</v>
      </c>
      <c r="O91" s="16">
        <v>0</v>
      </c>
      <c r="P91" s="16">
        <v>6.9444444444444397E-3</v>
      </c>
      <c r="Q91" s="16">
        <v>0.60416666666666663</v>
      </c>
      <c r="R91" s="16">
        <f t="shared" si="11"/>
        <v>0</v>
      </c>
      <c r="S91" s="16">
        <v>0.60416666666666663</v>
      </c>
      <c r="T91" s="16">
        <f>VLOOKUP(E91,'[2]21-3-2026'!E$3:T$35,16,FALSE)</f>
        <v>1.7361111111111101E-2</v>
      </c>
      <c r="U91" s="16">
        <v>0.63888888888888884</v>
      </c>
      <c r="V91" s="16">
        <f t="shared" si="12"/>
        <v>1.736111111111116E-2</v>
      </c>
      <c r="W91" s="16">
        <v>2.0833333333333332E-2</v>
      </c>
      <c r="X91" s="16">
        <v>0.64097222222222228</v>
      </c>
      <c r="Y91" s="16">
        <v>0.65069444444444446</v>
      </c>
      <c r="Z91" s="16">
        <f t="shared" si="13"/>
        <v>9.7222222222221877E-3</v>
      </c>
      <c r="AA91" s="16">
        <v>0</v>
      </c>
      <c r="AB91" s="16">
        <v>0.65277777777777779</v>
      </c>
      <c r="AC91" s="41"/>
      <c r="AD91" s="56"/>
    </row>
    <row r="92" spans="1:30" ht="19.5" thickBot="1" x14ac:dyDescent="0.3">
      <c r="A92" s="14">
        <v>24</v>
      </c>
      <c r="B92" s="15">
        <v>2474</v>
      </c>
      <c r="C92" s="15" t="str">
        <f>VLOOKUP(B92,داتا!$B$3:$D$107,2,FALSE)</f>
        <v>دبابة</v>
      </c>
      <c r="D92" s="34">
        <f>VLOOKUP(B92,داتا!$B$3:$D$107,3,FALSE)</f>
        <v>2.0833333333333332E-2</v>
      </c>
      <c r="E92" s="15" t="s">
        <v>39</v>
      </c>
      <c r="F92" s="15" t="s">
        <v>187</v>
      </c>
      <c r="G92" s="16">
        <v>8.3333333333333329E-2</v>
      </c>
      <c r="H92" s="16">
        <v>9.0277777777777776E-2</v>
      </c>
      <c r="I92" s="16">
        <f t="shared" si="8"/>
        <v>6.9444444444444475E-3</v>
      </c>
      <c r="J92" s="16">
        <v>0.58333333333333337</v>
      </c>
      <c r="K92" s="16">
        <v>0.59722222222222221</v>
      </c>
      <c r="L92" s="16" t="s">
        <v>94</v>
      </c>
      <c r="M92" s="16" t="s">
        <v>94</v>
      </c>
      <c r="N92" s="16">
        <f t="shared" si="9"/>
        <v>1.388888888888884E-2</v>
      </c>
      <c r="O92" s="16">
        <v>0</v>
      </c>
      <c r="P92" s="16">
        <v>6.9444444444444397E-3</v>
      </c>
      <c r="Q92" s="16">
        <v>0.60416666666666663</v>
      </c>
      <c r="R92" s="16">
        <f t="shared" si="11"/>
        <v>0</v>
      </c>
      <c r="S92" s="16">
        <v>0.60416666666666663</v>
      </c>
      <c r="T92" s="16">
        <f>VLOOKUP(E92,'[2]21-3-2026'!E$3:T$35,16,FALSE)</f>
        <v>1.7361111111111101E-2</v>
      </c>
      <c r="U92" s="16">
        <v>0.65625</v>
      </c>
      <c r="V92" s="16">
        <v>0</v>
      </c>
      <c r="W92" s="16">
        <v>3.125E-2</v>
      </c>
      <c r="X92" s="16">
        <v>0.65763888888888888</v>
      </c>
      <c r="Y92" s="16">
        <v>0.75138888888888888</v>
      </c>
      <c r="Z92" s="16">
        <f t="shared" si="13"/>
        <v>9.375E-2</v>
      </c>
      <c r="AA92" s="16">
        <f t="shared" si="17"/>
        <v>6.25E-2</v>
      </c>
      <c r="AB92" s="16">
        <v>0.75347222222222221</v>
      </c>
      <c r="AC92" s="41"/>
      <c r="AD92" s="56"/>
    </row>
    <row r="93" spans="1:30" ht="19.5" thickBot="1" x14ac:dyDescent="0.3">
      <c r="A93" s="14">
        <v>25</v>
      </c>
      <c r="B93" s="15">
        <v>634</v>
      </c>
      <c r="C93" s="15" t="str">
        <f>VLOOKUP(B93,داتا!$B$3:$D$107,2,FALSE)</f>
        <v>دبابة</v>
      </c>
      <c r="D93" s="34">
        <f>VLOOKUP(B93,داتا!$B$3:$D$107,3,FALSE)</f>
        <v>2.0833333333333301E-2</v>
      </c>
      <c r="E93" s="15" t="s">
        <v>65</v>
      </c>
      <c r="F93" s="15" t="s">
        <v>209</v>
      </c>
      <c r="G93" s="16">
        <v>8.3333333333333329E-2</v>
      </c>
      <c r="H93" s="16">
        <v>8.3333333333333329E-2</v>
      </c>
      <c r="I93" s="16">
        <f t="shared" si="8"/>
        <v>0</v>
      </c>
      <c r="J93" s="16">
        <v>0.60416666666666663</v>
      </c>
      <c r="K93" s="16">
        <v>0.61458333333333337</v>
      </c>
      <c r="L93" s="16" t="s">
        <v>94</v>
      </c>
      <c r="M93" s="16" t="s">
        <v>94</v>
      </c>
      <c r="N93" s="16">
        <f t="shared" si="9"/>
        <v>1.0416666666666741E-2</v>
      </c>
      <c r="O93" s="16">
        <v>0</v>
      </c>
      <c r="P93" s="16">
        <v>6.9444444444444397E-3</v>
      </c>
      <c r="Q93" s="16">
        <v>0.62152777777777779</v>
      </c>
      <c r="R93" s="16">
        <f t="shared" si="11"/>
        <v>0</v>
      </c>
      <c r="S93" s="16">
        <v>0.62152777777777779</v>
      </c>
      <c r="T93" s="16">
        <f>VLOOKUP(E93,'[2]21-3-2026'!E$3:T$35,16,FALSE)</f>
        <v>4.1666666666666699E-2</v>
      </c>
      <c r="U93" s="16">
        <v>0.66319444444444442</v>
      </c>
      <c r="V93" s="16">
        <f t="shared" si="12"/>
        <v>0</v>
      </c>
      <c r="W93" s="16">
        <v>3.125E-2</v>
      </c>
      <c r="X93" s="16">
        <v>0.66666666666666663</v>
      </c>
      <c r="Y93" s="16">
        <v>0.69305555555555554</v>
      </c>
      <c r="Z93" s="16">
        <f t="shared" si="13"/>
        <v>2.6388888888888906E-2</v>
      </c>
      <c r="AA93" s="16">
        <v>0</v>
      </c>
      <c r="AB93" s="16">
        <v>0.69791666666666663</v>
      </c>
      <c r="AC93" s="41"/>
      <c r="AD93" s="56"/>
    </row>
    <row r="94" spans="1:30" ht="19.5" thickBot="1" x14ac:dyDescent="0.3">
      <c r="A94" s="14">
        <v>26</v>
      </c>
      <c r="B94" s="15">
        <v>4987</v>
      </c>
      <c r="C94" s="15" t="str">
        <f>VLOOKUP(B94,داتا!$B$3:$D$107,2,FALSE)</f>
        <v>تلتين</v>
      </c>
      <c r="D94" s="34">
        <f>VLOOKUP(B94,داتا!$B$3:$D$107,3,FALSE)</f>
        <v>3.125E-2</v>
      </c>
      <c r="E94" s="15" t="s">
        <v>30</v>
      </c>
      <c r="F94" s="15" t="s">
        <v>183</v>
      </c>
      <c r="G94" s="16">
        <v>8.3333333333333329E-2</v>
      </c>
      <c r="H94" s="16">
        <v>8.3333333333333329E-2</v>
      </c>
      <c r="I94" s="16">
        <f t="shared" si="8"/>
        <v>0</v>
      </c>
      <c r="J94" s="16">
        <v>0.62847222222222221</v>
      </c>
      <c r="K94" s="16">
        <v>0.64583333333333337</v>
      </c>
      <c r="L94" s="16" t="s">
        <v>94</v>
      </c>
      <c r="M94" s="16" t="s">
        <v>94</v>
      </c>
      <c r="N94" s="16">
        <f t="shared" si="9"/>
        <v>1.736111111111116E-2</v>
      </c>
      <c r="O94" s="16">
        <v>0</v>
      </c>
      <c r="P94" s="16">
        <v>6.9444444444444397E-3</v>
      </c>
      <c r="Q94" s="16">
        <v>0.65625</v>
      </c>
      <c r="R94" s="16">
        <f t="shared" si="11"/>
        <v>3.4722222222222099E-3</v>
      </c>
      <c r="S94" s="16">
        <v>0.65625</v>
      </c>
      <c r="T94" s="16">
        <f>VLOOKUP(E94,'[2]21-3-2026'!E$3:T$35,16,FALSE)</f>
        <v>1.38888888888889E-2</v>
      </c>
      <c r="U94" s="16">
        <v>0.67708333333333337</v>
      </c>
      <c r="V94" s="16">
        <f t="shared" si="12"/>
        <v>6.9444444444444198E-3</v>
      </c>
      <c r="W94" s="16">
        <v>3.125E-2</v>
      </c>
      <c r="X94" s="16">
        <v>0.68055555555555558</v>
      </c>
      <c r="Y94" s="16">
        <v>0.69444444444444442</v>
      </c>
      <c r="Z94" s="16">
        <f t="shared" si="13"/>
        <v>1.388888888888884E-2</v>
      </c>
      <c r="AA94" s="16">
        <v>0</v>
      </c>
      <c r="AB94" s="16">
        <v>0.69791666666666663</v>
      </c>
      <c r="AC94" s="41"/>
      <c r="AD94" s="56"/>
    </row>
    <row r="95" spans="1:30" ht="19.5" thickBot="1" x14ac:dyDescent="0.3">
      <c r="A95" s="14">
        <v>27</v>
      </c>
      <c r="B95" s="15">
        <v>4987</v>
      </c>
      <c r="C95" s="15" t="str">
        <f>VLOOKUP(B95,داتا!$B$3:$D$107,2,FALSE)</f>
        <v>تلتين</v>
      </c>
      <c r="D95" s="34">
        <f>VLOOKUP(B95,داتا!$B$3:$D$107,3,FALSE)</f>
        <v>3.125E-2</v>
      </c>
      <c r="E95" s="15" t="s">
        <v>34</v>
      </c>
      <c r="F95" s="15" t="s">
        <v>183</v>
      </c>
      <c r="G95" s="16">
        <v>8.3333333333333329E-2</v>
      </c>
      <c r="H95" s="16">
        <v>8.3333333333333329E-2</v>
      </c>
      <c r="I95" s="16">
        <f t="shared" si="8"/>
        <v>0</v>
      </c>
      <c r="J95" s="16">
        <v>0.62847222222222221</v>
      </c>
      <c r="K95" s="16">
        <v>0.64583333333333337</v>
      </c>
      <c r="L95" s="16" t="s">
        <v>94</v>
      </c>
      <c r="M95" s="16" t="s">
        <v>94</v>
      </c>
      <c r="N95" s="16">
        <f t="shared" si="9"/>
        <v>1.736111111111116E-2</v>
      </c>
      <c r="O95" s="16">
        <v>0</v>
      </c>
      <c r="P95" s="16">
        <v>6.9444444444444397E-3</v>
      </c>
      <c r="Q95" s="16">
        <v>0.65625</v>
      </c>
      <c r="R95" s="16">
        <f t="shared" si="11"/>
        <v>3.4722222222222099E-3</v>
      </c>
      <c r="S95" s="16">
        <v>0.65625</v>
      </c>
      <c r="T95" s="16">
        <f>VLOOKUP(E95,'[2]21-3-2026'!E$3:T$35,16,FALSE)</f>
        <v>1.0416666666666701E-2</v>
      </c>
      <c r="U95" s="16">
        <v>0.70833333333333337</v>
      </c>
      <c r="V95" s="16">
        <v>0</v>
      </c>
      <c r="W95" s="16">
        <v>4.1666666666666664E-2</v>
      </c>
      <c r="X95" s="16">
        <v>0.71527777777777779</v>
      </c>
      <c r="Y95" s="16">
        <v>0.73611111111111116</v>
      </c>
      <c r="Z95" s="16">
        <f t="shared" si="13"/>
        <v>2.083333333333337E-2</v>
      </c>
      <c r="AA95" s="16">
        <v>0</v>
      </c>
      <c r="AB95" s="16">
        <v>0.73958333333333337</v>
      </c>
      <c r="AC95" s="41"/>
      <c r="AD95" s="56"/>
    </row>
    <row r="96" spans="1:30" ht="19.5" thickBot="1" x14ac:dyDescent="0.3">
      <c r="A96" s="14">
        <v>28</v>
      </c>
      <c r="B96" s="15">
        <v>3787</v>
      </c>
      <c r="C96" s="15" t="str">
        <f>VLOOKUP(B96,داتا!$B$3:$D$107,2,FALSE)</f>
        <v>دبابة</v>
      </c>
      <c r="D96" s="34">
        <f>VLOOKUP(B96,داتا!$B$3:$D$107,3,FALSE)</f>
        <v>2.0833333333333301E-2</v>
      </c>
      <c r="E96" s="15" t="s">
        <v>63</v>
      </c>
      <c r="F96" s="15" t="s">
        <v>162</v>
      </c>
      <c r="G96" s="16">
        <v>8.3333333333333329E-2</v>
      </c>
      <c r="H96" s="16">
        <v>8.3333333333333329E-2</v>
      </c>
      <c r="I96" s="16">
        <f t="shared" si="8"/>
        <v>0</v>
      </c>
      <c r="J96" s="16">
        <v>0.59722222222222221</v>
      </c>
      <c r="K96" s="16">
        <v>0.625</v>
      </c>
      <c r="L96" s="16" t="s">
        <v>107</v>
      </c>
      <c r="M96" s="16" t="s">
        <v>107</v>
      </c>
      <c r="N96" s="16">
        <f t="shared" si="9"/>
        <v>2.777777777777779E-2</v>
      </c>
      <c r="O96" s="16">
        <f t="shared" si="10"/>
        <v>6.9444444444444892E-3</v>
      </c>
      <c r="P96" s="16">
        <v>6.9444444444444397E-3</v>
      </c>
      <c r="Q96" s="16">
        <v>0.63194444444444442</v>
      </c>
      <c r="R96" s="16">
        <f t="shared" si="11"/>
        <v>0</v>
      </c>
      <c r="S96" s="16">
        <v>0.63194444444444442</v>
      </c>
      <c r="T96" s="16">
        <f>VLOOKUP(E96,'[2]21-3-2026'!E$3:T$35,16,FALSE)</f>
        <v>6.25E-2</v>
      </c>
      <c r="U96" s="16">
        <v>0.64583333333333337</v>
      </c>
      <c r="V96" s="16">
        <v>0</v>
      </c>
      <c r="W96" s="16">
        <v>2.0833333333333332E-2</v>
      </c>
      <c r="X96" s="16">
        <v>0.64583333333333337</v>
      </c>
      <c r="Y96" s="16">
        <v>0.65972222222222221</v>
      </c>
      <c r="Z96" s="16">
        <f t="shared" si="13"/>
        <v>1.388888888888884E-2</v>
      </c>
      <c r="AA96" s="16">
        <v>0</v>
      </c>
      <c r="AB96" s="16">
        <v>0.65972222222222221</v>
      </c>
      <c r="AC96" s="41"/>
      <c r="AD96" s="56"/>
    </row>
    <row r="97" spans="1:30" ht="19.5" thickBot="1" x14ac:dyDescent="0.3">
      <c r="A97" s="14">
        <v>29</v>
      </c>
      <c r="B97" s="15">
        <v>3787</v>
      </c>
      <c r="C97" s="15" t="str">
        <f>VLOOKUP(B97,داتا!$B$3:$D$107,2,FALSE)</f>
        <v>دبابة</v>
      </c>
      <c r="D97" s="34">
        <f>VLOOKUP(B97,داتا!$B$3:$D$107,3,FALSE)</f>
        <v>2.0833333333333301E-2</v>
      </c>
      <c r="E97" s="15" t="s">
        <v>61</v>
      </c>
      <c r="F97" s="16" t="s">
        <v>162</v>
      </c>
      <c r="G97" s="16">
        <v>8.3333333333333329E-2</v>
      </c>
      <c r="H97" s="16">
        <v>8.3333333333333329E-2</v>
      </c>
      <c r="I97" s="16">
        <f t="shared" si="8"/>
        <v>0</v>
      </c>
      <c r="J97" s="16">
        <v>0.59722222222222221</v>
      </c>
      <c r="K97" s="16">
        <v>0.625</v>
      </c>
      <c r="L97" s="16" t="s">
        <v>107</v>
      </c>
      <c r="M97" s="16" t="s">
        <v>107</v>
      </c>
      <c r="N97" s="16">
        <f t="shared" si="9"/>
        <v>2.777777777777779E-2</v>
      </c>
      <c r="O97" s="16">
        <f t="shared" si="10"/>
        <v>6.9444444444444892E-3</v>
      </c>
      <c r="P97" s="16">
        <v>6.9444444444444397E-3</v>
      </c>
      <c r="Q97" s="16">
        <v>0.63194444444444442</v>
      </c>
      <c r="R97" s="16">
        <f t="shared" si="11"/>
        <v>0</v>
      </c>
      <c r="S97" s="16">
        <v>0.63194444444444442</v>
      </c>
      <c r="T97" s="16">
        <f>VLOOKUP(E97,'[2]21-3-2026'!E$3:T$35,16,FALSE)</f>
        <v>3.4722222222222203E-2</v>
      </c>
      <c r="U97" s="16">
        <v>0.67013888888888884</v>
      </c>
      <c r="V97" s="16">
        <f t="shared" si="12"/>
        <v>3.4722222222222099E-3</v>
      </c>
      <c r="W97" s="16">
        <v>2.0833333333333332E-2</v>
      </c>
      <c r="X97" s="16">
        <v>0.67361111111111116</v>
      </c>
      <c r="Y97" s="16">
        <v>0.69791666666666663</v>
      </c>
      <c r="Z97" s="16">
        <f t="shared" si="13"/>
        <v>2.4305555555555469E-2</v>
      </c>
      <c r="AA97" s="16">
        <f t="shared" si="17"/>
        <v>3.472222222222137E-3</v>
      </c>
      <c r="AB97" s="16">
        <v>0.69791666666666663</v>
      </c>
      <c r="AC97" s="41"/>
      <c r="AD97" s="56"/>
    </row>
    <row r="98" spans="1:30" ht="19.5" thickBot="1" x14ac:dyDescent="0.3">
      <c r="A98" s="14">
        <v>30</v>
      </c>
      <c r="B98" s="15">
        <v>3787</v>
      </c>
      <c r="C98" s="15" t="str">
        <f>VLOOKUP(B98,داتا!$B$3:$D$107,2,FALSE)</f>
        <v>دبابة</v>
      </c>
      <c r="D98" s="34">
        <f>VLOOKUP(B98,داتا!$B$3:$D$107,3,FALSE)</f>
        <v>2.0833333333333301E-2</v>
      </c>
      <c r="E98" s="15" t="s">
        <v>55</v>
      </c>
      <c r="F98" s="16" t="s">
        <v>162</v>
      </c>
      <c r="G98" s="16">
        <v>8.3333333333333329E-2</v>
      </c>
      <c r="H98" s="16">
        <v>8.3333333333333329E-2</v>
      </c>
      <c r="I98" s="16">
        <f t="shared" si="8"/>
        <v>0</v>
      </c>
      <c r="J98" s="16">
        <v>0.59722222222222221</v>
      </c>
      <c r="K98" s="16">
        <v>0.625</v>
      </c>
      <c r="L98" s="16" t="s">
        <v>107</v>
      </c>
      <c r="M98" s="16" t="s">
        <v>107</v>
      </c>
      <c r="N98" s="16">
        <f t="shared" si="9"/>
        <v>2.777777777777779E-2</v>
      </c>
      <c r="O98" s="16">
        <f t="shared" si="10"/>
        <v>6.9444444444444892E-3</v>
      </c>
      <c r="P98" s="16">
        <v>6.9444444444444397E-3</v>
      </c>
      <c r="Q98" s="16">
        <v>0.63194444444444442</v>
      </c>
      <c r="R98" s="16">
        <f t="shared" si="11"/>
        <v>0</v>
      </c>
      <c r="S98" s="16">
        <v>0.63194444444444442</v>
      </c>
      <c r="T98" s="16">
        <f>VLOOKUP(E98,'[2]21-3-2026'!E$3:T$35,16,FALSE)</f>
        <v>3.8194444444444399E-2</v>
      </c>
      <c r="U98" s="16">
        <v>0.70833333333333337</v>
      </c>
      <c r="V98" s="16">
        <v>0</v>
      </c>
      <c r="W98" s="16">
        <v>3.125E-2</v>
      </c>
      <c r="X98" s="16">
        <v>0.7104166666666667</v>
      </c>
      <c r="Y98" s="16">
        <v>0.72222222222222221</v>
      </c>
      <c r="Z98" s="16">
        <f t="shared" si="13"/>
        <v>1.1805555555555514E-2</v>
      </c>
      <c r="AA98" s="16">
        <v>0</v>
      </c>
      <c r="AB98" s="16">
        <v>0.72430555555555554</v>
      </c>
      <c r="AC98" s="41"/>
      <c r="AD98" s="56"/>
    </row>
    <row r="99" spans="1:30" ht="19.5" thickBot="1" x14ac:dyDescent="0.3">
      <c r="A99" s="14">
        <v>31</v>
      </c>
      <c r="B99" s="15">
        <v>459</v>
      </c>
      <c r="C99" s="15" t="str">
        <f>VLOOKUP(B99,داتا!$B$3:$D$107,2,FALSE)</f>
        <v>دبابة</v>
      </c>
      <c r="D99" s="34">
        <f>VLOOKUP(B99,داتا!$B$3:$D$107,3,FALSE)</f>
        <v>2.0833333333333301E-2</v>
      </c>
      <c r="E99" s="15" t="s">
        <v>70</v>
      </c>
      <c r="F99" s="16" t="s">
        <v>210</v>
      </c>
      <c r="G99" s="16">
        <v>8.3333333333333329E-2</v>
      </c>
      <c r="H99" s="16">
        <v>8.6805555555555552E-2</v>
      </c>
      <c r="I99" s="16">
        <f t="shared" si="8"/>
        <v>3.4722222222222238E-3</v>
      </c>
      <c r="J99" s="16">
        <v>0.63194444444444442</v>
      </c>
      <c r="K99" s="16">
        <v>0.65277777777777779</v>
      </c>
      <c r="L99" s="16" t="s">
        <v>107</v>
      </c>
      <c r="M99" s="16" t="s">
        <v>107</v>
      </c>
      <c r="N99" s="16">
        <f t="shared" si="9"/>
        <v>2.083333333333337E-2</v>
      </c>
      <c r="O99" s="16">
        <f t="shared" si="10"/>
        <v>6.9388939039072284E-17</v>
      </c>
      <c r="P99" s="16">
        <v>6.9444444444444397E-3</v>
      </c>
      <c r="Q99" s="16">
        <v>0.65972222222222221</v>
      </c>
      <c r="R99" s="16">
        <f t="shared" si="11"/>
        <v>0</v>
      </c>
      <c r="S99" s="16">
        <v>0.65972222222222221</v>
      </c>
      <c r="T99" s="16">
        <f>VLOOKUP(E99,'[2]21-3-2026'!E$3:T$35,16,FALSE)</f>
        <v>1.0416666666666701E-2</v>
      </c>
      <c r="U99" s="16">
        <v>0.67708333333333337</v>
      </c>
      <c r="V99" s="16">
        <f t="shared" si="12"/>
        <v>6.9444444444444198E-3</v>
      </c>
      <c r="W99" s="16">
        <v>2.0833333333333332E-2</v>
      </c>
      <c r="X99" s="16">
        <v>0.6791666666666667</v>
      </c>
      <c r="Y99" s="16">
        <v>0.68888888888888888</v>
      </c>
      <c r="Z99" s="16">
        <f t="shared" si="13"/>
        <v>9.7222222222221877E-3</v>
      </c>
      <c r="AA99" s="16">
        <v>0</v>
      </c>
      <c r="AB99" s="16">
        <v>0.64930555555555558</v>
      </c>
      <c r="AC99" s="41"/>
      <c r="AD99" s="56"/>
    </row>
    <row r="100" spans="1:30" ht="19.5" thickBot="1" x14ac:dyDescent="0.3">
      <c r="A100" s="20">
        <v>32</v>
      </c>
      <c r="B100" s="21">
        <v>459</v>
      </c>
      <c r="C100" s="21" t="str">
        <f>VLOOKUP(B100,داتا!$B$3:$D$107,2,FALSE)</f>
        <v>دبابة</v>
      </c>
      <c r="D100" s="35">
        <f>VLOOKUP(B100,داتا!$B$3:$D$107,3,FALSE)</f>
        <v>2.0833333333333301E-2</v>
      </c>
      <c r="E100" s="21" t="s">
        <v>79</v>
      </c>
      <c r="F100" s="22" t="s">
        <v>210</v>
      </c>
      <c r="G100" s="22">
        <v>8.3333333333333329E-2</v>
      </c>
      <c r="H100" s="22">
        <v>8.6805555555555552E-2</v>
      </c>
      <c r="I100" s="22">
        <f t="shared" si="8"/>
        <v>3.4722222222222238E-3</v>
      </c>
      <c r="J100" s="22">
        <v>0.63194444444444442</v>
      </c>
      <c r="K100" s="22">
        <v>0.65277777777777779</v>
      </c>
      <c r="L100" s="22" t="s">
        <v>107</v>
      </c>
      <c r="M100" s="22" t="s">
        <v>107</v>
      </c>
      <c r="N100" s="22">
        <f t="shared" si="9"/>
        <v>2.083333333333337E-2</v>
      </c>
      <c r="O100" s="22">
        <f t="shared" si="10"/>
        <v>6.9388939039072284E-17</v>
      </c>
      <c r="P100" s="22">
        <v>6.9444444444444397E-3</v>
      </c>
      <c r="Q100" s="22">
        <v>0.65972222222222221</v>
      </c>
      <c r="R100" s="22">
        <f t="shared" si="11"/>
        <v>0</v>
      </c>
      <c r="S100" s="22">
        <v>0.65972222222222221</v>
      </c>
      <c r="T100" s="22">
        <v>1.0416666666666666E-2</v>
      </c>
      <c r="U100" s="22">
        <v>0.70486111111111116</v>
      </c>
      <c r="V100" s="22">
        <v>3.472222222222222E-3</v>
      </c>
      <c r="W100" s="22">
        <v>3.125E-2</v>
      </c>
      <c r="X100" s="22">
        <v>0.70833333333333337</v>
      </c>
      <c r="Y100" s="22">
        <v>0.72222222222222221</v>
      </c>
      <c r="Z100" s="22">
        <f t="shared" si="13"/>
        <v>1.388888888888884E-2</v>
      </c>
      <c r="AA100" s="22">
        <v>0</v>
      </c>
      <c r="AB100" s="22">
        <v>0.72569444444444442</v>
      </c>
      <c r="AC100" s="44"/>
      <c r="AD100" s="57"/>
    </row>
    <row r="101" spans="1:30" ht="16.5" thickTop="1" x14ac:dyDescent="0.25"/>
  </sheetData>
  <autoFilter ref="E1:E101"/>
  <mergeCells count="4">
    <mergeCell ref="A1:AC1"/>
    <mergeCell ref="AD3:AD35"/>
    <mergeCell ref="AD36:AD68"/>
    <mergeCell ref="AD69:AD100"/>
  </mergeCells>
  <conditionalFormatting sqref="AC101:AC1048576 AC1:AC98">
    <cfRule type="containsText" dxfId="566" priority="22" operator="containsText" text="ت">
      <formula>NOT(ISERROR(SEARCH("ت",AC1)))</formula>
    </cfRule>
  </conditionalFormatting>
  <conditionalFormatting sqref="AC4:AC98">
    <cfRule type="containsText" dxfId="565" priority="21" operator="containsText" text="ت">
      <formula>NOT(ISERROR(SEARCH("ت",AC4)))</formula>
    </cfRule>
  </conditionalFormatting>
  <conditionalFormatting sqref="O1:O2 I1:I2 R1:R2 V1:V2 AA101:AA1048576 V101:V1048576 R101:R1048576 O101:O1048576 I101:I1048576 AA1:AA2">
    <cfRule type="cellIs" dxfId="564" priority="23" operator="between">
      <formula>0.00277777777777778</formula>
      <formula>1</formula>
    </cfRule>
  </conditionalFormatting>
  <conditionalFormatting sqref="AC99:AC100">
    <cfRule type="containsText" dxfId="563" priority="20" operator="containsText" text="ت">
      <formula>NOT(ISERROR(SEARCH("ت",AC99)))</formula>
    </cfRule>
  </conditionalFormatting>
  <conditionalFormatting sqref="AC99:AC100">
    <cfRule type="containsText" dxfId="562" priority="19" operator="containsText" text="ت">
      <formula>NOT(ISERROR(SEARCH("ت",AC99)))</formula>
    </cfRule>
  </conditionalFormatting>
  <conditionalFormatting sqref="I3:I68 I72:I100">
    <cfRule type="cellIs" dxfId="561" priority="17" operator="between">
      <formula>0.00277777777777778</formula>
      <formula>1</formula>
    </cfRule>
  </conditionalFormatting>
  <conditionalFormatting sqref="I3:I68 I72:I100">
    <cfRule type="cellIs" dxfId="560" priority="18" operator="between">
      <formula>0.00277777777777778</formula>
      <formula>1</formula>
    </cfRule>
  </conditionalFormatting>
  <conditionalFormatting sqref="O3:O100">
    <cfRule type="cellIs" dxfId="559" priority="15" operator="between">
      <formula>0.00277777777777778</formula>
      <formula>1</formula>
    </cfRule>
  </conditionalFormatting>
  <conditionalFormatting sqref="O3:O100">
    <cfRule type="cellIs" dxfId="558" priority="16" operator="between">
      <formula>0.00277777777777778</formula>
      <formula>1</formula>
    </cfRule>
  </conditionalFormatting>
  <conditionalFormatting sqref="R3:R4 R32:R33 R28:R30 R19:R23 R11 R13:R17 R7:R9 R35:R37 R61:R63 R52:R56 R46:R50 R42:R43 R65:R100">
    <cfRule type="cellIs" dxfId="557" priority="13" operator="between">
      <formula>0.00277777777777778</formula>
      <formula>1</formula>
    </cfRule>
  </conditionalFormatting>
  <conditionalFormatting sqref="R3:R4 R32:R33 R28:R30 R19:R23 R11 R13:R17 R7:R9 R35:R37 R61:R63 R52:R56 R46:R50 R42:R43 R65:R100">
    <cfRule type="cellIs" dxfId="556" priority="14" operator="between">
      <formula>0.00277777777777778</formula>
      <formula>1</formula>
    </cfRule>
  </conditionalFormatting>
  <conditionalFormatting sqref="V3:V100">
    <cfRule type="cellIs" dxfId="555" priority="11" operator="between">
      <formula>0.00277777777777778</formula>
      <formula>1</formula>
    </cfRule>
  </conditionalFormatting>
  <conditionalFormatting sqref="V3:V100">
    <cfRule type="cellIs" dxfId="554" priority="12" operator="between">
      <formula>0.00277777777777778</formula>
      <formula>1</formula>
    </cfRule>
  </conditionalFormatting>
  <conditionalFormatting sqref="AA5 AA29 AA25 AA21:AA23 AA19 AA16:AA17 AA11 AA35:AA100">
    <cfRule type="cellIs" dxfId="553" priority="9" operator="between">
      <formula>0.00277777777777778</formula>
      <formula>1</formula>
    </cfRule>
  </conditionalFormatting>
  <conditionalFormatting sqref="AA5 AA29 AA25 AA21:AA23 AA19 AA16:AA17 AA11 AA35:AA100">
    <cfRule type="cellIs" dxfId="552" priority="10" operator="between">
      <formula>0.00277777777777778</formula>
      <formula>1</formula>
    </cfRule>
  </conditionalFormatting>
  <conditionalFormatting sqref="R5:R6 R12 R10 R18 R24:R27 R31">
    <cfRule type="cellIs" dxfId="551" priority="7" operator="between">
      <formula>0.00277777777777778</formula>
      <formula>1</formula>
    </cfRule>
  </conditionalFormatting>
  <conditionalFormatting sqref="R5:R6 R12 R10 R18 R24:R27 R31">
    <cfRule type="cellIs" dxfId="550" priority="8" operator="between">
      <formula>0.00277777777777778</formula>
      <formula>1</formula>
    </cfRule>
  </conditionalFormatting>
  <conditionalFormatting sqref="R34">
    <cfRule type="cellIs" dxfId="549" priority="5" operator="between">
      <formula>0.00277777777777778</formula>
      <formula>1</formula>
    </cfRule>
  </conditionalFormatting>
  <conditionalFormatting sqref="R34">
    <cfRule type="cellIs" dxfId="548" priority="6" operator="between">
      <formula>0.00277777777777778</formula>
      <formula>1</formula>
    </cfRule>
  </conditionalFormatting>
  <conditionalFormatting sqref="AA3:AA4 AA6:AA10 AA12:AA15 AA18 AA20 AA24 AA26:AA28 AA30:AA34">
    <cfRule type="cellIs" dxfId="547" priority="3" operator="between">
      <formula>0.00277777777777778</formula>
      <formula>1</formula>
    </cfRule>
  </conditionalFormatting>
  <conditionalFormatting sqref="AA3:AA4 AA6:AA10 AA12:AA15 AA18 AA20 AA24 AA26:AA28 AA30:AA34">
    <cfRule type="cellIs" dxfId="546" priority="4" operator="between">
      <formula>0.00277777777777778</formula>
      <formula>1</formula>
    </cfRule>
  </conditionalFormatting>
  <conditionalFormatting sqref="R38:R41 R44:R45 R51 R57:R60 R64">
    <cfRule type="cellIs" dxfId="545" priority="1" operator="between">
      <formula>0.00277777777777778</formula>
      <formula>1</formula>
    </cfRule>
  </conditionalFormatting>
  <conditionalFormatting sqref="R38:R41 R44:R45 R51 R57:R60 R64">
    <cfRule type="cellIs" dxfId="544" priority="2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1"/>
  <sheetViews>
    <sheetView rightToLeft="1" zoomScaleNormal="100" workbookViewId="0">
      <pane xSplit="6" ySplit="2" topLeftCell="G63" activePane="bottomRight" state="frozen"/>
      <selection activeCell="A92" sqref="A92"/>
      <selection pane="topRight" activeCell="A92" sqref="A92"/>
      <selection pane="bottomLeft" activeCell="A92" sqref="A92"/>
      <selection pane="bottomRight" activeCell="I9" sqref="I9"/>
    </sheetView>
  </sheetViews>
  <sheetFormatPr defaultColWidth="9" defaultRowHeight="15.75" x14ac:dyDescent="0.25"/>
  <cols>
    <col min="1" max="1" width="5.42578125" customWidth="1"/>
    <col min="2" max="2" width="12.28515625" customWidth="1"/>
    <col min="3" max="3" width="12.5703125" customWidth="1"/>
    <col min="4" max="4" width="16.140625" style="36" customWidth="1"/>
    <col min="5" max="5" width="17.140625" customWidth="1"/>
    <col min="6" max="6" width="20.85546875" customWidth="1"/>
    <col min="7" max="7" width="12.7109375" customWidth="1"/>
    <col min="8" max="9" width="12.85546875" customWidth="1"/>
    <col min="10" max="10" width="12.5703125" customWidth="1"/>
    <col min="11" max="11" width="14.28515625" customWidth="1"/>
    <col min="12" max="12" width="22.7109375" customWidth="1"/>
    <col min="13" max="13" width="18.85546875" customWidth="1"/>
    <col min="14" max="14" width="10" customWidth="1"/>
    <col min="15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3.85546875" style="31" customWidth="1"/>
    <col min="30" max="30" width="11.140625" customWidth="1"/>
  </cols>
  <sheetData>
    <row r="1" spans="1:30" ht="33.75" customHeight="1" thickBot="1" x14ac:dyDescent="0.3">
      <c r="A1" s="46" t="s">
        <v>124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0" ht="49.5" customHeight="1" thickTop="1" thickBot="1" x14ac:dyDescent="0.3">
      <c r="A2" s="1" t="s">
        <v>1</v>
      </c>
      <c r="B2" s="2" t="s">
        <v>2</v>
      </c>
      <c r="C2" s="2" t="s">
        <v>3</v>
      </c>
      <c r="D2" s="3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8" t="s">
        <v>18</v>
      </c>
      <c r="S2" s="2" t="s">
        <v>19</v>
      </c>
      <c r="T2" s="8" t="s">
        <v>20</v>
      </c>
      <c r="U2" s="2" t="s">
        <v>21</v>
      </c>
      <c r="V2" s="8" t="s">
        <v>22</v>
      </c>
      <c r="W2" s="8" t="s">
        <v>23</v>
      </c>
      <c r="X2" s="2" t="s">
        <v>24</v>
      </c>
      <c r="Y2" s="2" t="s">
        <v>25</v>
      </c>
      <c r="Z2" s="2" t="s">
        <v>26</v>
      </c>
      <c r="AA2" s="8" t="s">
        <v>27</v>
      </c>
      <c r="AB2" s="2" t="s">
        <v>28</v>
      </c>
      <c r="AC2" s="9" t="s">
        <v>29</v>
      </c>
    </row>
    <row r="3" spans="1:30" ht="20.25" customHeight="1" thickTop="1" thickBot="1" x14ac:dyDescent="0.3">
      <c r="A3" s="10">
        <v>1</v>
      </c>
      <c r="B3" s="11">
        <v>2714</v>
      </c>
      <c r="C3" s="11" t="str">
        <f>VLOOKUP(B3,[3]داتا!$B$3:$D$107,2,FALSE)</f>
        <v>تلتين</v>
      </c>
      <c r="D3" s="33">
        <f>VLOOKUP(B3,[3]داتا!$B$3:$D$107,3,FALSE)</f>
        <v>3.125E-2</v>
      </c>
      <c r="E3" s="11" t="s">
        <v>30</v>
      </c>
      <c r="F3" s="11" t="s">
        <v>211</v>
      </c>
      <c r="G3" s="12">
        <v>0.25</v>
      </c>
      <c r="H3" s="12">
        <v>0.25347222222222221</v>
      </c>
      <c r="I3" s="12">
        <f>H3-G3</f>
        <v>3.4722222222222099E-3</v>
      </c>
      <c r="J3" s="12">
        <v>0.1875</v>
      </c>
      <c r="K3" s="12">
        <v>0.20138888888888887</v>
      </c>
      <c r="L3" s="12" t="s">
        <v>178</v>
      </c>
      <c r="M3" s="12" t="s">
        <v>178</v>
      </c>
      <c r="N3" s="12">
        <f>K3-J3</f>
        <v>1.3888888888888867E-2</v>
      </c>
      <c r="O3" s="12">
        <v>0</v>
      </c>
      <c r="P3" s="12">
        <v>6.9444444444444397E-3</v>
      </c>
      <c r="Q3" s="12">
        <v>0.20138888888888887</v>
      </c>
      <c r="R3" s="12">
        <v>0</v>
      </c>
      <c r="S3" s="12">
        <v>0.26041666666666669</v>
      </c>
      <c r="T3" s="12">
        <f>VLOOKUP(E3,'[2]21-3-2026'!E$3:T$35,16,FALSE)</f>
        <v>1.38888888888889E-2</v>
      </c>
      <c r="U3" s="12">
        <v>0.27777777777777779</v>
      </c>
      <c r="V3" s="12">
        <f>U3-T3-S3</f>
        <v>3.4722222222222099E-3</v>
      </c>
      <c r="W3" s="12">
        <v>4.1666666666666664E-2</v>
      </c>
      <c r="X3" s="12">
        <v>0.29166666666666669</v>
      </c>
      <c r="Y3" s="12">
        <v>0.32777777777777778</v>
      </c>
      <c r="Z3" s="12">
        <f>Y3-X3</f>
        <v>3.6111111111111094E-2</v>
      </c>
      <c r="AA3" s="12">
        <v>0</v>
      </c>
      <c r="AB3" s="12">
        <v>0.3298611111111111</v>
      </c>
      <c r="AC3" s="13"/>
      <c r="AD3" s="47" t="s">
        <v>33</v>
      </c>
    </row>
    <row r="4" spans="1:30" ht="19.5" thickBot="1" x14ac:dyDescent="0.3">
      <c r="A4" s="14">
        <v>2</v>
      </c>
      <c r="B4" s="15">
        <v>2694</v>
      </c>
      <c r="C4" s="15" t="str">
        <f>VLOOKUP(B4,[3]داتا!$B$3:$D$107,2,FALSE)</f>
        <v>تلتين</v>
      </c>
      <c r="D4" s="34">
        <f>VLOOKUP(B4,[3]داتا!$B$3:$D$107,3,FALSE)</f>
        <v>3.125E-2</v>
      </c>
      <c r="E4" s="15" t="s">
        <v>65</v>
      </c>
      <c r="F4" s="15" t="s">
        <v>212</v>
      </c>
      <c r="G4" s="16">
        <v>0.25</v>
      </c>
      <c r="H4" s="16">
        <v>0.2638888888888889</v>
      </c>
      <c r="I4" s="16">
        <f t="shared" ref="I4:I67" si="0">H4-G4</f>
        <v>1.3888888888888895E-2</v>
      </c>
      <c r="J4" s="16">
        <v>0.20486111111111113</v>
      </c>
      <c r="K4" s="16">
        <v>0.22222222222222221</v>
      </c>
      <c r="L4" s="16" t="s">
        <v>178</v>
      </c>
      <c r="M4" s="16" t="s">
        <v>178</v>
      </c>
      <c r="N4" s="16">
        <f t="shared" ref="N4:N67" si="1">K4-J4</f>
        <v>1.7361111111111077E-2</v>
      </c>
      <c r="O4" s="16">
        <v>0</v>
      </c>
      <c r="P4" s="16">
        <v>6.9444444444444397E-3</v>
      </c>
      <c r="Q4" s="16">
        <v>0.22222222222222221</v>
      </c>
      <c r="R4" s="16">
        <v>0</v>
      </c>
      <c r="S4" s="16">
        <v>0.2673611111111111</v>
      </c>
      <c r="T4" s="16">
        <f>VLOOKUP(E4,'[2]21-3-2026'!E$3:T$35,16,FALSE)</f>
        <v>4.1666666666666699E-2</v>
      </c>
      <c r="U4" s="16">
        <v>0.31944444444444448</v>
      </c>
      <c r="V4" s="16">
        <f t="shared" ref="V4:V65" si="2">U4-T4-S4</f>
        <v>1.0416666666666685E-2</v>
      </c>
      <c r="W4" s="16">
        <v>4.1666666666666664E-2</v>
      </c>
      <c r="X4" s="16">
        <v>0.33680555555555558</v>
      </c>
      <c r="Y4" s="16">
        <v>0.37847222222222227</v>
      </c>
      <c r="Z4" s="16">
        <f t="shared" ref="Z4:Z67" si="3">Y4-X4</f>
        <v>4.1666666666666685E-2</v>
      </c>
      <c r="AA4" s="16">
        <f t="shared" ref="AA4:AA65" si="4">Z4-W4</f>
        <v>0</v>
      </c>
      <c r="AB4" s="16">
        <v>0.38194444444444442</v>
      </c>
      <c r="AC4" s="17"/>
      <c r="AD4" s="48"/>
    </row>
    <row r="5" spans="1:30" ht="19.5" thickBot="1" x14ac:dyDescent="0.3">
      <c r="A5" s="14">
        <v>3</v>
      </c>
      <c r="B5" s="15">
        <v>5898</v>
      </c>
      <c r="C5" s="15" t="str">
        <f>VLOOKUP(B5,[3]داتا!$B$3:$D$107,2,FALSE)</f>
        <v>تلتين</v>
      </c>
      <c r="D5" s="34">
        <f>VLOOKUP(B5,[3]داتا!$B$3:$D$107,3,FALSE)</f>
        <v>3.125E-2</v>
      </c>
      <c r="E5" s="15" t="s">
        <v>34</v>
      </c>
      <c r="F5" s="15" t="s">
        <v>213</v>
      </c>
      <c r="G5" s="16">
        <v>0.25</v>
      </c>
      <c r="H5" s="16">
        <v>0.25</v>
      </c>
      <c r="I5" s="16">
        <f t="shared" si="0"/>
        <v>0</v>
      </c>
      <c r="J5" s="16">
        <v>0.22569444444444445</v>
      </c>
      <c r="K5" s="16">
        <v>0.24652777777777779</v>
      </c>
      <c r="L5" s="16" t="s">
        <v>178</v>
      </c>
      <c r="M5" s="16" t="s">
        <v>178</v>
      </c>
      <c r="N5" s="16">
        <f t="shared" si="1"/>
        <v>2.0833333333333343E-2</v>
      </c>
      <c r="O5" s="16">
        <v>0</v>
      </c>
      <c r="P5" s="16">
        <v>6.9444444444444397E-3</v>
      </c>
      <c r="Q5" s="16">
        <v>0.24652777777777779</v>
      </c>
      <c r="R5" s="16">
        <v>0</v>
      </c>
      <c r="S5" s="16">
        <v>0.29166666666666669</v>
      </c>
      <c r="T5" s="16">
        <f>VLOOKUP(E5,'[2]21-3-2026'!E$3:T$35,16,FALSE)</f>
        <v>1.0416666666666701E-2</v>
      </c>
      <c r="U5" s="16">
        <v>0.30902777777777779</v>
      </c>
      <c r="V5" s="16">
        <f t="shared" si="2"/>
        <v>6.9444444444444198E-3</v>
      </c>
      <c r="W5" s="16">
        <v>4.1666666666666664E-2</v>
      </c>
      <c r="X5" s="16">
        <v>0.34027777777777773</v>
      </c>
      <c r="Y5" s="16">
        <v>0.37152777777777773</v>
      </c>
      <c r="Z5" s="16">
        <f t="shared" si="3"/>
        <v>3.125E-2</v>
      </c>
      <c r="AA5" s="16">
        <v>0</v>
      </c>
      <c r="AB5" s="16">
        <v>0.375</v>
      </c>
      <c r="AC5" s="17"/>
      <c r="AD5" s="48"/>
    </row>
    <row r="6" spans="1:30" ht="19.5" thickBot="1" x14ac:dyDescent="0.3">
      <c r="A6" s="14">
        <v>4</v>
      </c>
      <c r="B6" s="15">
        <v>796</v>
      </c>
      <c r="C6" s="15" t="str">
        <f>VLOOKUP(B6,[3]داتا!$B$3:$D$107,2,FALSE)</f>
        <v>دبابة</v>
      </c>
      <c r="D6" s="34">
        <f>VLOOKUP(B6,[3]داتا!$B$3:$D$107,3,FALSE)</f>
        <v>2.0833333333333301E-2</v>
      </c>
      <c r="E6" s="15" t="s">
        <v>79</v>
      </c>
      <c r="F6" s="15" t="s">
        <v>214</v>
      </c>
      <c r="G6" s="16">
        <v>0.25</v>
      </c>
      <c r="H6" s="16">
        <v>0.25</v>
      </c>
      <c r="I6" s="16">
        <f t="shared" si="0"/>
        <v>0</v>
      </c>
      <c r="J6" s="16">
        <v>0.24652777777777779</v>
      </c>
      <c r="K6" s="16">
        <v>0.25694444444444448</v>
      </c>
      <c r="L6" s="16" t="s">
        <v>178</v>
      </c>
      <c r="M6" s="16" t="s">
        <v>178</v>
      </c>
      <c r="N6" s="16">
        <f t="shared" si="1"/>
        <v>1.0416666666666685E-2</v>
      </c>
      <c r="O6" s="16">
        <v>0</v>
      </c>
      <c r="P6" s="16">
        <v>6.9444444444444397E-3</v>
      </c>
      <c r="Q6" s="16">
        <v>0.25694444444444448</v>
      </c>
      <c r="R6" s="16">
        <v>0</v>
      </c>
      <c r="S6" s="16">
        <v>0.31597222222222221</v>
      </c>
      <c r="T6" s="16">
        <f>VLOOKUP(E6,'[2]21-3-2026'!E$3:T$35,16,FALSE)</f>
        <v>2.0833333333333301E-2</v>
      </c>
      <c r="U6" s="16">
        <v>0.33680555555555558</v>
      </c>
      <c r="V6" s="16">
        <f t="shared" si="2"/>
        <v>0</v>
      </c>
      <c r="W6" s="16">
        <v>3.125E-2</v>
      </c>
      <c r="X6" s="16">
        <v>0.33819444444444446</v>
      </c>
      <c r="Y6" s="16">
        <v>0.36458333333333331</v>
      </c>
      <c r="Z6" s="16">
        <f t="shared" si="3"/>
        <v>2.6388888888888851E-2</v>
      </c>
      <c r="AA6" s="16">
        <v>0</v>
      </c>
      <c r="AB6" s="16">
        <v>0.36805555555555558</v>
      </c>
      <c r="AC6" s="17"/>
      <c r="AD6" s="48"/>
    </row>
    <row r="7" spans="1:30" ht="19.5" thickBot="1" x14ac:dyDescent="0.3">
      <c r="A7" s="14">
        <v>5</v>
      </c>
      <c r="B7" s="15">
        <v>1454</v>
      </c>
      <c r="C7" s="15" t="str">
        <f>VLOOKUP(B7,[3]داتا!$B$3:$D$107,2,FALSE)</f>
        <v>تلتين</v>
      </c>
      <c r="D7" s="34">
        <f>VLOOKUP(B7,[3]داتا!$B$3:$D$107,3,FALSE)</f>
        <v>3.125E-2</v>
      </c>
      <c r="E7" s="15" t="s">
        <v>38</v>
      </c>
      <c r="F7" s="15" t="s">
        <v>215</v>
      </c>
      <c r="G7" s="16">
        <v>0.25</v>
      </c>
      <c r="H7" s="16">
        <v>0.25694444444444448</v>
      </c>
      <c r="I7" s="16">
        <f t="shared" si="0"/>
        <v>6.9444444444444753E-3</v>
      </c>
      <c r="J7" s="16">
        <v>0.1875</v>
      </c>
      <c r="K7" s="16">
        <v>0.20833333333333334</v>
      </c>
      <c r="L7" s="16" t="s">
        <v>216</v>
      </c>
      <c r="M7" s="16" t="s">
        <v>139</v>
      </c>
      <c r="N7" s="16">
        <f t="shared" si="1"/>
        <v>2.0833333333333343E-2</v>
      </c>
      <c r="O7" s="16">
        <v>0</v>
      </c>
      <c r="P7" s="16">
        <v>6.9444444444444397E-3</v>
      </c>
      <c r="Q7" s="16">
        <v>0.20833333333333334</v>
      </c>
      <c r="R7" s="16">
        <v>0</v>
      </c>
      <c r="S7" s="16">
        <v>0.2638888888888889</v>
      </c>
      <c r="T7" s="16">
        <f>VLOOKUP(E7,'[2]21-3-2026'!E$3:T$35,16,FALSE)</f>
        <v>1.0416666666666666E-2</v>
      </c>
      <c r="U7" s="16">
        <v>0.28125</v>
      </c>
      <c r="V7" s="16">
        <f t="shared" si="2"/>
        <v>6.9444444444444198E-3</v>
      </c>
      <c r="W7" s="16">
        <v>4.1666666666666664E-2</v>
      </c>
      <c r="X7" s="16">
        <v>0.29722222222222222</v>
      </c>
      <c r="Y7" s="16">
        <v>0.3263888888888889</v>
      </c>
      <c r="Z7" s="16">
        <f t="shared" si="3"/>
        <v>2.9166666666666674E-2</v>
      </c>
      <c r="AA7" s="16">
        <v>0</v>
      </c>
      <c r="AB7" s="16">
        <v>0.3298611111111111</v>
      </c>
      <c r="AC7" s="17"/>
      <c r="AD7" s="48"/>
    </row>
    <row r="8" spans="1:30" ht="19.5" thickBot="1" x14ac:dyDescent="0.3">
      <c r="A8" s="14">
        <v>6</v>
      </c>
      <c r="B8" s="15">
        <v>4879</v>
      </c>
      <c r="C8" s="15" t="str">
        <f>VLOOKUP(B8,[3]داتا!$B$3:$D$107,2,FALSE)</f>
        <v>دبابة</v>
      </c>
      <c r="D8" s="34">
        <f>VLOOKUP(B8,[3]داتا!$B$3:$D$107,3,FALSE)</f>
        <v>2.0833333333333301E-2</v>
      </c>
      <c r="E8" s="15" t="s">
        <v>39</v>
      </c>
      <c r="F8" s="15" t="s">
        <v>80</v>
      </c>
      <c r="G8" s="16">
        <v>0.25</v>
      </c>
      <c r="H8" s="16">
        <v>0.25</v>
      </c>
      <c r="I8" s="16">
        <f t="shared" si="0"/>
        <v>0</v>
      </c>
      <c r="J8" s="16">
        <v>0.21527777777777779</v>
      </c>
      <c r="K8" s="16">
        <v>0.22569444444444445</v>
      </c>
      <c r="L8" s="16" t="s">
        <v>216</v>
      </c>
      <c r="M8" s="16" t="s">
        <v>139</v>
      </c>
      <c r="N8" s="16">
        <f t="shared" si="1"/>
        <v>1.0416666666666657E-2</v>
      </c>
      <c r="O8" s="16">
        <v>0</v>
      </c>
      <c r="P8" s="16">
        <v>6.9444444444444397E-3</v>
      </c>
      <c r="Q8" s="16">
        <v>0.22569444444444445</v>
      </c>
      <c r="R8" s="16">
        <v>0</v>
      </c>
      <c r="S8" s="16">
        <v>0.26041666666666669</v>
      </c>
      <c r="T8" s="16">
        <f>VLOOKUP(E8,'[2]21-3-2026'!E$3:T$35,16,FALSE)</f>
        <v>1.7361111111111101E-2</v>
      </c>
      <c r="U8" s="16">
        <v>0.28125</v>
      </c>
      <c r="V8" s="16">
        <f t="shared" si="2"/>
        <v>3.4722222222222099E-3</v>
      </c>
      <c r="W8" s="16">
        <v>3.125E-2</v>
      </c>
      <c r="X8" s="16">
        <v>0.2951388888888889</v>
      </c>
      <c r="Y8" s="16">
        <v>0.32291666666666669</v>
      </c>
      <c r="Z8" s="16">
        <f t="shared" si="3"/>
        <v>2.777777777777779E-2</v>
      </c>
      <c r="AA8" s="16">
        <v>0</v>
      </c>
      <c r="AB8" s="16">
        <v>0.32500000000000001</v>
      </c>
      <c r="AC8" s="18"/>
      <c r="AD8" s="48"/>
    </row>
    <row r="9" spans="1:30" ht="19.5" thickBot="1" x14ac:dyDescent="0.3">
      <c r="A9" s="14">
        <v>7</v>
      </c>
      <c r="B9" s="15">
        <v>3891</v>
      </c>
      <c r="C9" s="15" t="str">
        <f>VLOOKUP(B9,[3]داتا!$B$3:$D$107,2,FALSE)</f>
        <v>تلتين</v>
      </c>
      <c r="D9" s="34">
        <f>VLOOKUP(B9,[3]داتا!$B$3:$D$107,3,FALSE)</f>
        <v>3.125E-2</v>
      </c>
      <c r="E9" s="15" t="s">
        <v>73</v>
      </c>
      <c r="F9" s="15" t="s">
        <v>48</v>
      </c>
      <c r="G9" s="16">
        <v>0.25</v>
      </c>
      <c r="H9" s="16">
        <v>0.25</v>
      </c>
      <c r="I9" s="16">
        <f t="shared" si="0"/>
        <v>0</v>
      </c>
      <c r="J9" s="16">
        <v>0.23750000000000002</v>
      </c>
      <c r="K9" s="16">
        <v>0.26041666666666669</v>
      </c>
      <c r="L9" s="16" t="s">
        <v>216</v>
      </c>
      <c r="M9" s="16" t="s">
        <v>139</v>
      </c>
      <c r="N9" s="16">
        <f t="shared" si="1"/>
        <v>2.2916666666666669E-2</v>
      </c>
      <c r="O9" s="16">
        <v>0</v>
      </c>
      <c r="P9" s="16">
        <v>6.9444444444444397E-3</v>
      </c>
      <c r="Q9" s="16">
        <v>0.26041666666666669</v>
      </c>
      <c r="R9" s="16">
        <v>0</v>
      </c>
      <c r="S9" s="16">
        <v>0.2638888888888889</v>
      </c>
      <c r="T9" s="16">
        <f>VLOOKUP(E9,'[2]21-3-2026'!E$3:T$35,16,FALSE)</f>
        <v>3.4722222222222203E-2</v>
      </c>
      <c r="U9" s="16">
        <v>0.31597222222222221</v>
      </c>
      <c r="V9" s="16">
        <f t="shared" si="2"/>
        <v>1.7361111111111105E-2</v>
      </c>
      <c r="W9" s="16">
        <v>4.1666666666666664E-2</v>
      </c>
      <c r="X9" s="16">
        <v>0.33680555555555558</v>
      </c>
      <c r="Y9" s="16">
        <v>0.37152777777777773</v>
      </c>
      <c r="Z9" s="16">
        <f t="shared" si="3"/>
        <v>3.4722222222222154E-2</v>
      </c>
      <c r="AA9" s="16">
        <v>0</v>
      </c>
      <c r="AB9" s="16">
        <v>0.37847222222222227</v>
      </c>
      <c r="AC9" s="17"/>
      <c r="AD9" s="48"/>
    </row>
    <row r="10" spans="1:30" ht="19.5" thickBot="1" x14ac:dyDescent="0.3">
      <c r="A10" s="14">
        <v>8</v>
      </c>
      <c r="B10" s="15">
        <v>3787</v>
      </c>
      <c r="C10" s="15" t="str">
        <f>VLOOKUP(B10,[3]داتا!$B$3:$D$107,2,FALSE)</f>
        <v>دبابة</v>
      </c>
      <c r="D10" s="34">
        <f>VLOOKUP(B10,[3]داتا!$B$3:$D$107,3,FALSE)</f>
        <v>2.0833333333333301E-2</v>
      </c>
      <c r="E10" s="15" t="s">
        <v>35</v>
      </c>
      <c r="F10" s="15" t="s">
        <v>217</v>
      </c>
      <c r="G10" s="16">
        <v>0.25</v>
      </c>
      <c r="H10" s="16">
        <v>0.26041666666666669</v>
      </c>
      <c r="I10" s="16">
        <f t="shared" si="0"/>
        <v>1.0416666666666685E-2</v>
      </c>
      <c r="J10" s="16">
        <v>0.2638888888888889</v>
      </c>
      <c r="K10" s="16">
        <v>0.28125</v>
      </c>
      <c r="L10" s="16" t="s">
        <v>216</v>
      </c>
      <c r="M10" s="16" t="s">
        <v>139</v>
      </c>
      <c r="N10" s="16">
        <f t="shared" si="1"/>
        <v>1.7361111111111105E-2</v>
      </c>
      <c r="O10" s="16">
        <v>0</v>
      </c>
      <c r="P10" s="16">
        <v>6.9444444444444397E-3</v>
      </c>
      <c r="Q10" s="16">
        <v>0.28125</v>
      </c>
      <c r="R10" s="16">
        <v>0</v>
      </c>
      <c r="S10" s="16">
        <v>0.28472222222222221</v>
      </c>
      <c r="T10" s="16">
        <f>VLOOKUP(E10,'[2]21-3-2026'!E$3:T$35,16,FALSE)</f>
        <v>3.4722222222222203E-2</v>
      </c>
      <c r="U10" s="16">
        <v>0.3125</v>
      </c>
      <c r="V10" s="16">
        <v>0</v>
      </c>
      <c r="W10" s="16">
        <v>2.0833333333333332E-2</v>
      </c>
      <c r="X10" s="16">
        <v>0.33680555555555558</v>
      </c>
      <c r="Y10" s="16">
        <v>0.36805555555555558</v>
      </c>
      <c r="Z10" s="16">
        <f t="shared" si="3"/>
        <v>3.125E-2</v>
      </c>
      <c r="AA10" s="16">
        <f t="shared" si="4"/>
        <v>1.0416666666666668E-2</v>
      </c>
      <c r="AB10" s="16">
        <v>0.37152777777777773</v>
      </c>
      <c r="AC10" s="17"/>
      <c r="AD10" s="48"/>
    </row>
    <row r="11" spans="1:30" ht="19.5" thickBot="1" x14ac:dyDescent="0.3">
      <c r="A11" s="14">
        <v>9</v>
      </c>
      <c r="B11" s="15">
        <v>9198</v>
      </c>
      <c r="C11" s="15" t="str">
        <f>VLOOKUP(B11,[3]داتا!$B$3:$D$107,2,FALSE)</f>
        <v>دبابة</v>
      </c>
      <c r="D11" s="34">
        <f>VLOOKUP(B11,[3]داتا!$B$3:$D$107,3,FALSE)</f>
        <v>2.0833333333333301E-2</v>
      </c>
      <c r="E11" s="15" t="s">
        <v>92</v>
      </c>
      <c r="F11" s="15" t="s">
        <v>197</v>
      </c>
      <c r="G11" s="16">
        <v>0.25</v>
      </c>
      <c r="H11" s="16">
        <v>0.25</v>
      </c>
      <c r="I11" s="16">
        <v>0</v>
      </c>
      <c r="J11" s="16">
        <v>0.28125</v>
      </c>
      <c r="K11" s="16">
        <v>0.30208333333333331</v>
      </c>
      <c r="L11" s="16" t="s">
        <v>216</v>
      </c>
      <c r="M11" s="16" t="s">
        <v>139</v>
      </c>
      <c r="N11" s="16">
        <f t="shared" si="1"/>
        <v>2.0833333333333315E-2</v>
      </c>
      <c r="O11" s="16">
        <v>0</v>
      </c>
      <c r="P11" s="16">
        <v>6.9444444444444397E-3</v>
      </c>
      <c r="Q11" s="16">
        <v>0.30208333333333331</v>
      </c>
      <c r="R11" s="16">
        <v>0</v>
      </c>
      <c r="S11" s="16">
        <v>0.30902777777777779</v>
      </c>
      <c r="T11" s="16">
        <f>VLOOKUP(E11,'[2]21-3-2026'!E$3:T$35,16,FALSE)</f>
        <v>1.38888888888889E-2</v>
      </c>
      <c r="U11" s="16">
        <v>0.32291666666666669</v>
      </c>
      <c r="V11" s="16">
        <f t="shared" si="2"/>
        <v>0</v>
      </c>
      <c r="W11" s="16">
        <v>3.125E-2</v>
      </c>
      <c r="X11" s="16">
        <v>0.33333333333333331</v>
      </c>
      <c r="Y11" s="16">
        <v>0.3611111111111111</v>
      </c>
      <c r="Z11" s="16">
        <f t="shared" si="3"/>
        <v>2.777777777777779E-2</v>
      </c>
      <c r="AA11" s="16">
        <v>0</v>
      </c>
      <c r="AB11" s="16">
        <v>0.36458333333333331</v>
      </c>
      <c r="AC11" s="17"/>
      <c r="AD11" s="48"/>
    </row>
    <row r="12" spans="1:30" ht="19.5" thickBot="1" x14ac:dyDescent="0.3">
      <c r="A12" s="14">
        <v>10</v>
      </c>
      <c r="B12" s="15">
        <v>6143</v>
      </c>
      <c r="C12" s="15" t="str">
        <f>VLOOKUP(B12,[3]داتا!$B$3:$D$107,2,FALSE)</f>
        <v>تلتين</v>
      </c>
      <c r="D12" s="34">
        <f>VLOOKUP(B12,[3]داتا!$B$3:$D$107,3,FALSE)</f>
        <v>3.125E-2</v>
      </c>
      <c r="E12" s="15" t="s">
        <v>57</v>
      </c>
      <c r="F12" s="15" t="s">
        <v>218</v>
      </c>
      <c r="G12" s="16">
        <v>0.25</v>
      </c>
      <c r="H12" s="16">
        <v>0.24374999999999999</v>
      </c>
      <c r="I12" s="16">
        <v>0</v>
      </c>
      <c r="J12" s="16">
        <v>0.18402777777777779</v>
      </c>
      <c r="K12" s="16">
        <v>0.21180555555555555</v>
      </c>
      <c r="L12" s="16" t="s">
        <v>166</v>
      </c>
      <c r="M12" s="16" t="s">
        <v>166</v>
      </c>
      <c r="N12" s="16">
        <f t="shared" si="1"/>
        <v>2.7777777777777762E-2</v>
      </c>
      <c r="O12" s="16">
        <v>0</v>
      </c>
      <c r="P12" s="16">
        <v>6.9444444444444397E-3</v>
      </c>
      <c r="Q12" s="16">
        <v>0.21180555555555555</v>
      </c>
      <c r="R12" s="16">
        <v>0</v>
      </c>
      <c r="S12" s="16">
        <v>0.2638888888888889</v>
      </c>
      <c r="T12" s="16">
        <f>VLOOKUP(E12,'[2]21-3-2026'!E$3:T$35,16,FALSE)</f>
        <v>1.7361111111111101E-2</v>
      </c>
      <c r="U12" s="16">
        <v>0.27777777777777779</v>
      </c>
      <c r="V12" s="16">
        <v>0</v>
      </c>
      <c r="W12" s="16">
        <v>3.125E-2</v>
      </c>
      <c r="X12" s="16">
        <v>0.29166666666666669</v>
      </c>
      <c r="Y12" s="16">
        <v>0.32291666666666669</v>
      </c>
      <c r="Z12" s="16">
        <f t="shared" si="3"/>
        <v>3.125E-2</v>
      </c>
      <c r="AA12" s="16">
        <f t="shared" si="4"/>
        <v>0</v>
      </c>
      <c r="AB12" s="16">
        <v>0.3263888888888889</v>
      </c>
      <c r="AC12" s="17"/>
      <c r="AD12" s="48"/>
    </row>
    <row r="13" spans="1:30" ht="19.5" thickBot="1" x14ac:dyDescent="0.3">
      <c r="A13" s="14">
        <v>11</v>
      </c>
      <c r="B13" s="15">
        <v>6143</v>
      </c>
      <c r="C13" s="15" t="str">
        <f>VLOOKUP(B13,[3]داتا!$B$3:$D$107,2,FALSE)</f>
        <v>تلتين</v>
      </c>
      <c r="D13" s="34">
        <f>VLOOKUP(B13,[3]داتا!$B$3:$D$107,3,FALSE)</f>
        <v>3.125E-2</v>
      </c>
      <c r="E13" s="15" t="s">
        <v>60</v>
      </c>
      <c r="F13" s="15" t="s">
        <v>218</v>
      </c>
      <c r="G13" s="16">
        <v>0.25</v>
      </c>
      <c r="H13" s="16">
        <v>0.24374999999999999</v>
      </c>
      <c r="I13" s="16">
        <v>0</v>
      </c>
      <c r="J13" s="16">
        <v>0.18402777777777779</v>
      </c>
      <c r="K13" s="16">
        <v>0.21180555555555555</v>
      </c>
      <c r="L13" s="16" t="s">
        <v>166</v>
      </c>
      <c r="M13" s="16" t="s">
        <v>166</v>
      </c>
      <c r="N13" s="16">
        <f t="shared" si="1"/>
        <v>2.7777777777777762E-2</v>
      </c>
      <c r="O13" s="16">
        <v>0</v>
      </c>
      <c r="P13" s="16">
        <v>6.9444444444444397E-3</v>
      </c>
      <c r="Q13" s="16">
        <v>0.21180555555555555</v>
      </c>
      <c r="R13" s="16">
        <v>0</v>
      </c>
      <c r="S13" s="16">
        <v>0.2638888888888889</v>
      </c>
      <c r="T13" s="16">
        <f>VLOOKUP(E13,'[2]21-3-2026'!E$3:T$35,16,FALSE)</f>
        <v>1.0416666666666701E-2</v>
      </c>
      <c r="U13" s="16">
        <v>0.33680555555555558</v>
      </c>
      <c r="V13" s="16">
        <v>0</v>
      </c>
      <c r="W13" s="16">
        <v>4.1666666666666664E-2</v>
      </c>
      <c r="X13" s="16">
        <v>0.34375</v>
      </c>
      <c r="Y13" s="16">
        <v>0.3611111111111111</v>
      </c>
      <c r="Z13" s="16">
        <f t="shared" si="3"/>
        <v>1.7361111111111105E-2</v>
      </c>
      <c r="AA13" s="16">
        <v>0</v>
      </c>
      <c r="AB13" s="16">
        <v>0.36458333333333331</v>
      </c>
      <c r="AC13" s="18"/>
      <c r="AD13" s="48"/>
    </row>
    <row r="14" spans="1:30" ht="19.5" thickBot="1" x14ac:dyDescent="0.3">
      <c r="A14" s="14">
        <v>12</v>
      </c>
      <c r="B14" s="15">
        <v>6142</v>
      </c>
      <c r="C14" s="15" t="str">
        <f>VLOOKUP(B14,[3]داتا!$B$3:$D$107,2,FALSE)</f>
        <v>تلتين</v>
      </c>
      <c r="D14" s="34">
        <f>VLOOKUP(B14,[3]داتا!$B$3:$D$107,3,FALSE)</f>
        <v>3.125E-2</v>
      </c>
      <c r="E14" s="16" t="s">
        <v>61</v>
      </c>
      <c r="F14" s="15" t="s">
        <v>167</v>
      </c>
      <c r="G14" s="16">
        <v>0.25</v>
      </c>
      <c r="H14" s="16">
        <v>0.25</v>
      </c>
      <c r="I14" s="16">
        <f t="shared" si="0"/>
        <v>0</v>
      </c>
      <c r="J14" s="16">
        <v>0.22291666666666665</v>
      </c>
      <c r="K14" s="16">
        <v>0.25347222222222221</v>
      </c>
      <c r="L14" s="16" t="s">
        <v>166</v>
      </c>
      <c r="M14" s="16" t="s">
        <v>166</v>
      </c>
      <c r="N14" s="16">
        <f t="shared" si="1"/>
        <v>3.0555555555555558E-2</v>
      </c>
      <c r="O14" s="16">
        <v>0</v>
      </c>
      <c r="P14" s="16">
        <v>6.9444444444444397E-3</v>
      </c>
      <c r="Q14" s="16">
        <v>0.25347222222222221</v>
      </c>
      <c r="R14" s="16">
        <v>0</v>
      </c>
      <c r="S14" s="16">
        <v>0.27083333333333331</v>
      </c>
      <c r="T14" s="16">
        <f>VLOOKUP(E14,'[2]21-3-2026'!E$3:T$35,16,FALSE)</f>
        <v>3.4722222222222203E-2</v>
      </c>
      <c r="U14" s="16">
        <v>0.3125</v>
      </c>
      <c r="V14" s="16">
        <f t="shared" si="2"/>
        <v>6.9444444444444753E-3</v>
      </c>
      <c r="W14" s="16">
        <v>3.125E-2</v>
      </c>
      <c r="X14" s="16">
        <v>0.33333333333333331</v>
      </c>
      <c r="Y14" s="16">
        <v>0.3659722222222222</v>
      </c>
      <c r="Z14" s="16">
        <f t="shared" si="3"/>
        <v>3.2638888888888884E-2</v>
      </c>
      <c r="AA14" s="16">
        <f t="shared" si="4"/>
        <v>1.388888888888884E-3</v>
      </c>
      <c r="AB14" s="16">
        <v>0.36458333333333331</v>
      </c>
      <c r="AC14" s="17"/>
      <c r="AD14" s="48"/>
    </row>
    <row r="15" spans="1:30" ht="19.5" thickBot="1" x14ac:dyDescent="0.3">
      <c r="A15" s="14">
        <v>13</v>
      </c>
      <c r="B15" s="15">
        <v>6142</v>
      </c>
      <c r="C15" s="15" t="str">
        <f>VLOOKUP(B15,[3]داتا!$B$3:$D$107,2,FALSE)</f>
        <v>تلتين</v>
      </c>
      <c r="D15" s="34">
        <f>VLOOKUP(B15,[3]داتا!$B$3:$D$107,3,FALSE)</f>
        <v>3.125E-2</v>
      </c>
      <c r="E15" s="15" t="s">
        <v>55</v>
      </c>
      <c r="F15" s="15" t="s">
        <v>167</v>
      </c>
      <c r="G15" s="16">
        <v>0.25</v>
      </c>
      <c r="H15" s="16">
        <v>0.25</v>
      </c>
      <c r="I15" s="16">
        <f t="shared" si="0"/>
        <v>0</v>
      </c>
      <c r="J15" s="16">
        <v>0.22291666666666665</v>
      </c>
      <c r="K15" s="16">
        <v>0.25347222222222221</v>
      </c>
      <c r="L15" s="16" t="s">
        <v>166</v>
      </c>
      <c r="M15" s="16" t="s">
        <v>166</v>
      </c>
      <c r="N15" s="16">
        <f t="shared" si="1"/>
        <v>3.0555555555555558E-2</v>
      </c>
      <c r="O15" s="16">
        <v>0</v>
      </c>
      <c r="P15" s="16">
        <v>6.9444444444444397E-3</v>
      </c>
      <c r="Q15" s="16">
        <v>0.25347222222222221</v>
      </c>
      <c r="R15" s="16">
        <v>0</v>
      </c>
      <c r="S15" s="16">
        <v>0.27083333333333331</v>
      </c>
      <c r="T15" s="16">
        <v>1.0416666666666666E-2</v>
      </c>
      <c r="U15" s="16">
        <v>0.38194444444444442</v>
      </c>
      <c r="V15" s="16">
        <v>6.9444444444444441E-3</v>
      </c>
      <c r="W15" s="16">
        <v>4.1666666666666664E-2</v>
      </c>
      <c r="X15" s="16">
        <v>0.38541666666666669</v>
      </c>
      <c r="Y15" s="16">
        <v>0.42708333333333331</v>
      </c>
      <c r="Z15" s="16">
        <f t="shared" si="3"/>
        <v>4.166666666666663E-2</v>
      </c>
      <c r="AA15" s="16">
        <f t="shared" si="4"/>
        <v>0</v>
      </c>
      <c r="AB15" s="16">
        <v>0.43055555555555558</v>
      </c>
      <c r="AC15" s="17"/>
      <c r="AD15" s="48"/>
    </row>
    <row r="16" spans="1:30" ht="19.5" thickBot="1" x14ac:dyDescent="0.3">
      <c r="A16" s="14">
        <v>14</v>
      </c>
      <c r="B16" s="15">
        <v>634</v>
      </c>
      <c r="C16" s="15" t="str">
        <f>VLOOKUP(B16,[3]داتا!$B$3:$D$107,2,FALSE)</f>
        <v>دبابة</v>
      </c>
      <c r="D16" s="34">
        <f>VLOOKUP(B16,[3]داتا!$B$3:$D$107,3,FALSE)</f>
        <v>2.0833333333333301E-2</v>
      </c>
      <c r="E16" s="15" t="s">
        <v>98</v>
      </c>
      <c r="F16" s="15" t="s">
        <v>90</v>
      </c>
      <c r="G16" s="16">
        <v>0.25</v>
      </c>
      <c r="H16" s="16">
        <v>0.25</v>
      </c>
      <c r="I16" s="16">
        <f t="shared" si="0"/>
        <v>0</v>
      </c>
      <c r="J16" s="16">
        <v>0.27083333333333331</v>
      </c>
      <c r="K16" s="16">
        <v>0.27916666666666667</v>
      </c>
      <c r="L16" s="16" t="s">
        <v>166</v>
      </c>
      <c r="M16" s="16" t="s">
        <v>166</v>
      </c>
      <c r="N16" s="16">
        <f t="shared" si="1"/>
        <v>8.3333333333333592E-3</v>
      </c>
      <c r="O16" s="16">
        <v>0</v>
      </c>
      <c r="P16" s="16">
        <v>6.9444444444444397E-3</v>
      </c>
      <c r="Q16" s="16">
        <v>0.27916666666666667</v>
      </c>
      <c r="R16" s="16">
        <v>0</v>
      </c>
      <c r="S16" s="16">
        <v>0.28472222222222221</v>
      </c>
      <c r="T16" s="16">
        <f>VLOOKUP(E16,'[2]21-3-2026'!E$3:T$35,16,FALSE)</f>
        <v>4.8611111111111103E-3</v>
      </c>
      <c r="U16" s="16">
        <v>0.2986111111111111</v>
      </c>
      <c r="V16" s="16">
        <f t="shared" si="2"/>
        <v>9.0277777777778012E-3</v>
      </c>
      <c r="W16" s="16">
        <v>3.125E-2</v>
      </c>
      <c r="X16" s="16">
        <v>0.34027777777777773</v>
      </c>
      <c r="Y16" s="16">
        <v>0.37152777777777773</v>
      </c>
      <c r="Z16" s="16">
        <f t="shared" si="3"/>
        <v>3.125E-2</v>
      </c>
      <c r="AA16" s="16">
        <f t="shared" si="4"/>
        <v>0</v>
      </c>
      <c r="AB16" s="16">
        <v>0.37361111111111112</v>
      </c>
      <c r="AC16" s="17"/>
      <c r="AD16" s="48"/>
    </row>
    <row r="17" spans="1:30" ht="19.5" thickBot="1" x14ac:dyDescent="0.3">
      <c r="A17" s="14">
        <v>15</v>
      </c>
      <c r="B17" s="15">
        <v>1537</v>
      </c>
      <c r="C17" s="15" t="str">
        <f>VLOOKUP(B17,[3]داتا!$B$3:$D$107,2,FALSE)</f>
        <v>تلتين</v>
      </c>
      <c r="D17" s="34">
        <f>VLOOKUP(B17,[3]داتا!$B$3:$D$107,3,FALSE)</f>
        <v>3.125E-2</v>
      </c>
      <c r="E17" s="15" t="s">
        <v>45</v>
      </c>
      <c r="F17" s="15" t="s">
        <v>219</v>
      </c>
      <c r="G17" s="16">
        <v>0.25</v>
      </c>
      <c r="H17" s="16">
        <v>0.24305555555555555</v>
      </c>
      <c r="I17" s="16">
        <v>0</v>
      </c>
      <c r="J17" s="16">
        <v>0.19444444444444445</v>
      </c>
      <c r="K17" s="16">
        <v>0.20833333333333334</v>
      </c>
      <c r="L17" s="16" t="s">
        <v>32</v>
      </c>
      <c r="M17" s="16" t="s">
        <v>32</v>
      </c>
      <c r="N17" s="16">
        <f t="shared" si="1"/>
        <v>1.3888888888888895E-2</v>
      </c>
      <c r="O17" s="16">
        <v>0</v>
      </c>
      <c r="P17" s="16">
        <v>6.9444444444444397E-3</v>
      </c>
      <c r="Q17" s="16">
        <v>0.20833333333333334</v>
      </c>
      <c r="R17" s="16">
        <v>0</v>
      </c>
      <c r="S17" s="16">
        <v>0.2638888888888889</v>
      </c>
      <c r="T17" s="16">
        <f>VLOOKUP(E17,'[2]21-3-2026'!E$3:T$35,16,FALSE)</f>
        <v>1.38888888888889E-2</v>
      </c>
      <c r="U17" s="16">
        <v>0.29166666666666669</v>
      </c>
      <c r="V17" s="16">
        <f t="shared" si="2"/>
        <v>1.3888888888888895E-2</v>
      </c>
      <c r="W17" s="16">
        <v>4.1666666666666664E-2</v>
      </c>
      <c r="X17" s="16">
        <v>0.2986111111111111</v>
      </c>
      <c r="Y17" s="16">
        <v>0.33263888888888887</v>
      </c>
      <c r="Z17" s="16">
        <f t="shared" si="3"/>
        <v>3.4027777777777768E-2</v>
      </c>
      <c r="AA17" s="16">
        <v>0</v>
      </c>
      <c r="AB17" s="16">
        <v>0.33333333333333331</v>
      </c>
      <c r="AC17" s="17"/>
      <c r="AD17" s="48"/>
    </row>
    <row r="18" spans="1:30" ht="19.5" thickBot="1" x14ac:dyDescent="0.3">
      <c r="A18" s="14">
        <v>16</v>
      </c>
      <c r="B18" s="15">
        <v>2695</v>
      </c>
      <c r="C18" s="15" t="str">
        <f>VLOOKUP(B18,[3]داتا!$B$3:$D$107,2,FALSE)</f>
        <v>تلتين</v>
      </c>
      <c r="D18" s="34">
        <f>VLOOKUP(B18,[3]داتا!$B$3:$D$107,3,FALSE)</f>
        <v>3.125E-2</v>
      </c>
      <c r="E18" s="15" t="s">
        <v>70</v>
      </c>
      <c r="F18" s="15" t="s">
        <v>220</v>
      </c>
      <c r="G18" s="16">
        <v>0.25</v>
      </c>
      <c r="H18" s="16">
        <v>0.25</v>
      </c>
      <c r="I18" s="16">
        <f t="shared" si="0"/>
        <v>0</v>
      </c>
      <c r="J18" s="16">
        <v>0.21736111111111112</v>
      </c>
      <c r="K18" s="16">
        <v>0.23611111111111113</v>
      </c>
      <c r="L18" s="16" t="s">
        <v>221</v>
      </c>
      <c r="M18" s="16" t="s">
        <v>221</v>
      </c>
      <c r="N18" s="16">
        <f t="shared" si="1"/>
        <v>1.8750000000000017E-2</v>
      </c>
      <c r="O18" s="16">
        <v>0</v>
      </c>
      <c r="P18" s="16">
        <v>6.9444444444444397E-3</v>
      </c>
      <c r="Q18" s="16">
        <v>0.23611111111111113</v>
      </c>
      <c r="R18" s="16">
        <v>0</v>
      </c>
      <c r="S18" s="16">
        <v>0.25694444444444448</v>
      </c>
      <c r="T18" s="16">
        <f>VLOOKUP(E18,'[2]21-3-2026'!E$3:T$35,16,FALSE)</f>
        <v>1.0416666666666701E-2</v>
      </c>
      <c r="U18" s="16">
        <v>0.27083333333333331</v>
      </c>
      <c r="V18" s="16">
        <f t="shared" si="2"/>
        <v>3.4722222222221544E-3</v>
      </c>
      <c r="W18" s="16">
        <v>3.125E-2</v>
      </c>
      <c r="X18" s="16">
        <v>0.3</v>
      </c>
      <c r="Y18" s="16">
        <v>0.31944444444444448</v>
      </c>
      <c r="Z18" s="16">
        <f t="shared" si="3"/>
        <v>1.9444444444444486E-2</v>
      </c>
      <c r="AA18" s="16">
        <v>0</v>
      </c>
      <c r="AB18" s="16">
        <v>0.32291666666666669</v>
      </c>
      <c r="AC18" s="17"/>
      <c r="AD18" s="48"/>
    </row>
    <row r="19" spans="1:30" ht="19.5" thickBot="1" x14ac:dyDescent="0.3">
      <c r="A19" s="14">
        <v>17</v>
      </c>
      <c r="B19" s="15">
        <v>2695</v>
      </c>
      <c r="C19" s="15" t="str">
        <f>VLOOKUP(B19,[3]داتا!$B$3:$D$107,2,FALSE)</f>
        <v>تلتين</v>
      </c>
      <c r="D19" s="34">
        <f>VLOOKUP(B19,[3]داتا!$B$3:$D$107,3,FALSE)</f>
        <v>3.125E-2</v>
      </c>
      <c r="E19" s="15" t="s">
        <v>72</v>
      </c>
      <c r="F19" s="15" t="s">
        <v>220</v>
      </c>
      <c r="G19" s="16">
        <v>0.25</v>
      </c>
      <c r="H19" s="16">
        <v>0.25</v>
      </c>
      <c r="I19" s="16">
        <f t="shared" si="0"/>
        <v>0</v>
      </c>
      <c r="J19" s="16">
        <v>0.24513888888888888</v>
      </c>
      <c r="K19" s="16">
        <v>0.26250000000000001</v>
      </c>
      <c r="L19" s="16" t="s">
        <v>32</v>
      </c>
      <c r="M19" s="16" t="s">
        <v>32</v>
      </c>
      <c r="N19" s="16">
        <f t="shared" si="1"/>
        <v>1.7361111111111133E-2</v>
      </c>
      <c r="O19" s="16">
        <v>0</v>
      </c>
      <c r="P19" s="16">
        <v>6.9444444444444397E-3</v>
      </c>
      <c r="Q19" s="16">
        <v>0.26250000000000001</v>
      </c>
      <c r="R19" s="16">
        <v>0</v>
      </c>
      <c r="S19" s="16">
        <v>0.25694444444444448</v>
      </c>
      <c r="T19" s="16">
        <f>VLOOKUP(E19,'[2]21-3-2026'!E$3:T$35,16,FALSE)</f>
        <v>1.0416666666666701E-2</v>
      </c>
      <c r="U19" s="16">
        <v>0.33680555555555558</v>
      </c>
      <c r="V19" s="16">
        <v>3.472222222222222E-3</v>
      </c>
      <c r="W19" s="16">
        <v>4.1666666666666664E-2</v>
      </c>
      <c r="X19" s="16">
        <v>0.34375</v>
      </c>
      <c r="Y19" s="16">
        <v>0.36458333333333331</v>
      </c>
      <c r="Z19" s="16">
        <f t="shared" si="3"/>
        <v>2.0833333333333315E-2</v>
      </c>
      <c r="AA19" s="16">
        <v>0</v>
      </c>
      <c r="AB19" s="16">
        <v>0.36527777777777781</v>
      </c>
      <c r="AC19" s="17"/>
      <c r="AD19" s="48"/>
    </row>
    <row r="20" spans="1:30" ht="19.5" thickBot="1" x14ac:dyDescent="0.3">
      <c r="A20" s="14">
        <v>18</v>
      </c>
      <c r="B20" s="15">
        <v>4987</v>
      </c>
      <c r="C20" s="15" t="str">
        <f>VLOOKUP(B20,[3]داتا!$B$3:$D$107,2,FALSE)</f>
        <v>تلتين</v>
      </c>
      <c r="D20" s="34">
        <f>VLOOKUP(B20,[3]داتا!$B$3:$D$107,3,FALSE)</f>
        <v>3.125E-2</v>
      </c>
      <c r="E20" s="15" t="s">
        <v>42</v>
      </c>
      <c r="F20" s="15" t="s">
        <v>222</v>
      </c>
      <c r="G20" s="16">
        <v>0.25</v>
      </c>
      <c r="H20" s="16">
        <v>0.25</v>
      </c>
      <c r="I20" s="16">
        <f t="shared" si="0"/>
        <v>0</v>
      </c>
      <c r="J20" s="16">
        <v>0.24513888888888888</v>
      </c>
      <c r="K20" s="16">
        <v>0.26250000000000001</v>
      </c>
      <c r="L20" s="16" t="s">
        <v>32</v>
      </c>
      <c r="M20" s="16" t="s">
        <v>32</v>
      </c>
      <c r="N20" s="16">
        <f t="shared" si="1"/>
        <v>1.7361111111111133E-2</v>
      </c>
      <c r="O20" s="16">
        <v>0</v>
      </c>
      <c r="P20" s="16">
        <v>6.9444444444444397E-3</v>
      </c>
      <c r="Q20" s="16">
        <v>0.26250000000000001</v>
      </c>
      <c r="R20" s="16">
        <v>0</v>
      </c>
      <c r="S20" s="16">
        <v>0.27430555555555552</v>
      </c>
      <c r="T20" s="16">
        <f>VLOOKUP(E20,'[2]21-3-2026'!E$3:T$35,16,FALSE)</f>
        <v>1.7361111111111101E-2</v>
      </c>
      <c r="U20" s="16">
        <v>0.29166666666666669</v>
      </c>
      <c r="V20" s="16">
        <f t="shared" si="2"/>
        <v>0</v>
      </c>
      <c r="W20" s="16">
        <v>4.1666666666666664E-2</v>
      </c>
      <c r="X20" s="16">
        <v>0.34027777777777773</v>
      </c>
      <c r="Y20" s="16">
        <v>0.37152777777777773</v>
      </c>
      <c r="Z20" s="16">
        <f t="shared" si="3"/>
        <v>3.125E-2</v>
      </c>
      <c r="AA20" s="16">
        <v>0</v>
      </c>
      <c r="AB20" s="16">
        <v>0.375</v>
      </c>
      <c r="AC20" s="17"/>
      <c r="AD20" s="48"/>
    </row>
    <row r="21" spans="1:30" ht="19.5" thickBot="1" x14ac:dyDescent="0.3">
      <c r="A21" s="14">
        <v>19</v>
      </c>
      <c r="B21" s="15">
        <v>3783</v>
      </c>
      <c r="C21" s="15" t="str">
        <f>VLOOKUP(B21,[3]داتا!$B$3:$D$107,2,FALSE)</f>
        <v>دبابة</v>
      </c>
      <c r="D21" s="34">
        <f>VLOOKUP(B21,[3]داتا!$B$3:$D$107,3,FALSE)</f>
        <v>2.0833333333333301E-2</v>
      </c>
      <c r="E21" s="15" t="s">
        <v>89</v>
      </c>
      <c r="F21" s="15" t="s">
        <v>223</v>
      </c>
      <c r="G21" s="16">
        <v>0.25</v>
      </c>
      <c r="H21" s="16">
        <v>0.25</v>
      </c>
      <c r="I21" s="16">
        <f t="shared" si="0"/>
        <v>0</v>
      </c>
      <c r="J21" s="16">
        <v>0.2902777777777778</v>
      </c>
      <c r="K21" s="16">
        <v>0.29166666666666669</v>
      </c>
      <c r="L21" s="16" t="s">
        <v>32</v>
      </c>
      <c r="M21" s="16" t="s">
        <v>32</v>
      </c>
      <c r="N21" s="16">
        <f t="shared" si="1"/>
        <v>1.388888888888884E-3</v>
      </c>
      <c r="O21" s="16">
        <v>0</v>
      </c>
      <c r="P21" s="16">
        <v>6.9444444444444397E-3</v>
      </c>
      <c r="Q21" s="16">
        <v>0.29166666666666669</v>
      </c>
      <c r="R21" s="16">
        <v>0</v>
      </c>
      <c r="S21" s="16">
        <v>0.2986111111111111</v>
      </c>
      <c r="T21" s="16">
        <f>VLOOKUP(E21,'[2]21-3-2026'!E$3:T$35,16,FALSE)</f>
        <v>1.7361111111111101E-2</v>
      </c>
      <c r="U21" s="16">
        <v>0.31597222222222221</v>
      </c>
      <c r="V21" s="16">
        <f t="shared" si="2"/>
        <v>0</v>
      </c>
      <c r="W21" s="16">
        <v>3.125E-2</v>
      </c>
      <c r="X21" s="16">
        <v>0.33680555555555558</v>
      </c>
      <c r="Y21" s="16">
        <v>0.36458333333333331</v>
      </c>
      <c r="Z21" s="16">
        <f t="shared" si="3"/>
        <v>2.7777777777777735E-2</v>
      </c>
      <c r="AA21" s="16">
        <v>0</v>
      </c>
      <c r="AB21" s="16">
        <v>0.3666666666666667</v>
      </c>
      <c r="AC21" s="17"/>
      <c r="AD21" s="48"/>
    </row>
    <row r="22" spans="1:30" ht="19.5" thickBot="1" x14ac:dyDescent="0.3">
      <c r="A22" s="14">
        <v>20</v>
      </c>
      <c r="B22" s="15">
        <v>2917</v>
      </c>
      <c r="C22" s="15" t="str">
        <f>VLOOKUP(B22,[3]داتا!$B$3:$D$107,2,FALSE)</f>
        <v>تلتين</v>
      </c>
      <c r="D22" s="34">
        <f>VLOOKUP(B22,[3]داتا!$B$3:$D$107,3,FALSE)</f>
        <v>3.125E-2</v>
      </c>
      <c r="E22" s="15" t="s">
        <v>46</v>
      </c>
      <c r="F22" s="15" t="s">
        <v>224</v>
      </c>
      <c r="G22" s="16">
        <v>0.25</v>
      </c>
      <c r="H22" s="16">
        <v>0.25</v>
      </c>
      <c r="I22" s="16">
        <f t="shared" si="0"/>
        <v>0</v>
      </c>
      <c r="J22" s="16">
        <v>0.2902777777777778</v>
      </c>
      <c r="K22" s="16">
        <v>0.29166666666666669</v>
      </c>
      <c r="L22" s="16" t="s">
        <v>32</v>
      </c>
      <c r="M22" s="16" t="s">
        <v>32</v>
      </c>
      <c r="N22" s="16">
        <f t="shared" si="1"/>
        <v>1.388888888888884E-3</v>
      </c>
      <c r="O22" s="16">
        <v>0</v>
      </c>
      <c r="P22" s="16">
        <v>6.9444444444444397E-3</v>
      </c>
      <c r="Q22" s="16">
        <v>0.29166666666666669</v>
      </c>
      <c r="R22" s="16">
        <v>0</v>
      </c>
      <c r="S22" s="16">
        <v>0.25347222222222221</v>
      </c>
      <c r="T22" s="16">
        <f>VLOOKUP(E22,'[2]21-3-2026'!E$3:T$35,16,FALSE)</f>
        <v>3.4722222222222203E-2</v>
      </c>
      <c r="U22" s="16">
        <v>0.28819444444444448</v>
      </c>
      <c r="V22" s="16">
        <f t="shared" si="2"/>
        <v>0</v>
      </c>
      <c r="W22" s="16">
        <v>4.1666666666666664E-2</v>
      </c>
      <c r="X22" s="16">
        <v>0.2951388888888889</v>
      </c>
      <c r="Y22" s="16">
        <v>0.33680555555555558</v>
      </c>
      <c r="Z22" s="16">
        <f t="shared" si="3"/>
        <v>4.1666666666666685E-2</v>
      </c>
      <c r="AA22" s="16">
        <f t="shared" si="4"/>
        <v>0</v>
      </c>
      <c r="AB22" s="16">
        <v>0.34375</v>
      </c>
      <c r="AC22" s="17"/>
      <c r="AD22" s="48"/>
    </row>
    <row r="23" spans="1:30" ht="19.5" thickBot="1" x14ac:dyDescent="0.3">
      <c r="A23" s="14">
        <v>21</v>
      </c>
      <c r="B23" s="15">
        <v>1538</v>
      </c>
      <c r="C23" s="15" t="str">
        <f>VLOOKUP(B23,[3]داتا!$B$3:$D$107,2,FALSE)</f>
        <v>تلتين</v>
      </c>
      <c r="D23" s="34">
        <f>VLOOKUP(B23,[3]داتا!$B$3:$D$107,3,FALSE)</f>
        <v>3.125E-2</v>
      </c>
      <c r="E23" s="15" t="s">
        <v>49</v>
      </c>
      <c r="F23" s="16" t="s">
        <v>225</v>
      </c>
      <c r="G23" s="16">
        <v>0.25</v>
      </c>
      <c r="H23" s="16">
        <v>0.25</v>
      </c>
      <c r="I23" s="16">
        <f t="shared" si="0"/>
        <v>0</v>
      </c>
      <c r="J23" s="16">
        <v>0.21180555555555555</v>
      </c>
      <c r="K23" s="16">
        <v>0.22916666666666666</v>
      </c>
      <c r="L23" s="16" t="s">
        <v>48</v>
      </c>
      <c r="M23" s="16" t="s">
        <v>48</v>
      </c>
      <c r="N23" s="16">
        <f t="shared" si="1"/>
        <v>1.7361111111111105E-2</v>
      </c>
      <c r="O23" s="16">
        <v>0</v>
      </c>
      <c r="P23" s="16">
        <v>6.9444444444444397E-3</v>
      </c>
      <c r="Q23" s="16">
        <v>0.22916666666666666</v>
      </c>
      <c r="R23" s="16">
        <v>0</v>
      </c>
      <c r="S23" s="16">
        <v>0.27083333333333331</v>
      </c>
      <c r="T23" s="16">
        <f>VLOOKUP(E23,'[2]21-3-2026'!E$3:T$35,16,FALSE)</f>
        <v>3.4722222222222203E-2</v>
      </c>
      <c r="U23" s="16">
        <v>0.3125</v>
      </c>
      <c r="V23" s="16">
        <f t="shared" si="2"/>
        <v>6.9444444444444753E-3</v>
      </c>
      <c r="W23" s="16">
        <v>4.1666666666666664E-2</v>
      </c>
      <c r="X23" s="16">
        <v>0.34097222222222223</v>
      </c>
      <c r="Y23" s="16">
        <v>0.38194444444444442</v>
      </c>
      <c r="Z23" s="16">
        <f t="shared" si="3"/>
        <v>4.0972222222222188E-2</v>
      </c>
      <c r="AA23" s="16">
        <v>0</v>
      </c>
      <c r="AB23" s="16">
        <v>0.38541666666666669</v>
      </c>
      <c r="AC23" s="17"/>
      <c r="AD23" s="48"/>
    </row>
    <row r="24" spans="1:30" ht="19.5" thickBot="1" x14ac:dyDescent="0.3">
      <c r="A24" s="14">
        <v>22</v>
      </c>
      <c r="B24" s="15">
        <v>459</v>
      </c>
      <c r="C24" s="15" t="str">
        <f>VLOOKUP(B24,[3]داتا!$B$3:$D$107,2,FALSE)</f>
        <v>دبابة</v>
      </c>
      <c r="D24" s="34">
        <f>VLOOKUP(B24,[3]داتا!$B$3:$D$107,3,FALSE)</f>
        <v>2.0833333333333301E-2</v>
      </c>
      <c r="E24" s="15" t="s">
        <v>75</v>
      </c>
      <c r="F24" s="16" t="s">
        <v>200</v>
      </c>
      <c r="G24" s="16">
        <v>0.25</v>
      </c>
      <c r="H24" s="16">
        <v>0.2673611111111111</v>
      </c>
      <c r="I24" s="16">
        <f t="shared" si="0"/>
        <v>1.7361111111111105E-2</v>
      </c>
      <c r="J24" s="16">
        <v>0.23263888888888887</v>
      </c>
      <c r="K24" s="16">
        <v>0.25</v>
      </c>
      <c r="L24" s="16" t="s">
        <v>48</v>
      </c>
      <c r="M24" s="16" t="s">
        <v>48</v>
      </c>
      <c r="N24" s="16">
        <f t="shared" si="1"/>
        <v>1.7361111111111133E-2</v>
      </c>
      <c r="O24" s="16">
        <v>0</v>
      </c>
      <c r="P24" s="16">
        <v>6.9444444444444397E-3</v>
      </c>
      <c r="Q24" s="16">
        <v>0.25</v>
      </c>
      <c r="R24" s="16">
        <v>0</v>
      </c>
      <c r="S24" s="16">
        <v>0.27430555555555552</v>
      </c>
      <c r="T24" s="16">
        <f>VLOOKUP(E24,'[2]21-3-2026'!E$3:T$35,16,FALSE)</f>
        <v>2.0833333333333301E-2</v>
      </c>
      <c r="U24" s="16">
        <v>0.2986111111111111</v>
      </c>
      <c r="V24" s="16">
        <f t="shared" si="2"/>
        <v>3.4722222222222654E-3</v>
      </c>
      <c r="W24" s="16">
        <v>3.125E-2</v>
      </c>
      <c r="X24" s="16">
        <v>0.33333333333333331</v>
      </c>
      <c r="Y24" s="16">
        <v>0.3611111111111111</v>
      </c>
      <c r="Z24" s="16">
        <f t="shared" si="3"/>
        <v>2.777777777777779E-2</v>
      </c>
      <c r="AA24" s="16">
        <v>0</v>
      </c>
      <c r="AB24" s="16">
        <v>0.36805555555555558</v>
      </c>
      <c r="AC24" s="17"/>
      <c r="AD24" s="48"/>
    </row>
    <row r="25" spans="1:30" ht="19.5" thickBot="1" x14ac:dyDescent="0.3">
      <c r="A25" s="14">
        <v>23</v>
      </c>
      <c r="B25" s="15">
        <v>675</v>
      </c>
      <c r="C25" s="15" t="str">
        <f>VLOOKUP(B25,[3]داتا!$B$3:$D$107,2,FALSE)</f>
        <v>جامبو</v>
      </c>
      <c r="D25" s="34">
        <f>VLOOKUP(B25,[3]داتا!$B$3:$D$107,3,FALSE)</f>
        <v>4.1666666666666699E-2</v>
      </c>
      <c r="E25" s="15" t="s">
        <v>95</v>
      </c>
      <c r="F25" s="15" t="s">
        <v>226</v>
      </c>
      <c r="G25" s="16">
        <v>0.25</v>
      </c>
      <c r="H25" s="16">
        <v>0.25</v>
      </c>
      <c r="I25" s="16">
        <f t="shared" si="0"/>
        <v>0</v>
      </c>
      <c r="J25" s="16">
        <v>0.25347222222222221</v>
      </c>
      <c r="K25" s="16">
        <v>0.28125</v>
      </c>
      <c r="L25" s="16" t="s">
        <v>48</v>
      </c>
      <c r="M25" s="16" t="s">
        <v>48</v>
      </c>
      <c r="N25" s="16">
        <f t="shared" si="1"/>
        <v>2.777777777777779E-2</v>
      </c>
      <c r="O25" s="16">
        <v>0</v>
      </c>
      <c r="P25" s="16">
        <v>6.9444444444444397E-3</v>
      </c>
      <c r="Q25" s="16">
        <v>0.28125</v>
      </c>
      <c r="R25" s="16">
        <v>0</v>
      </c>
      <c r="S25" s="16">
        <v>0.2951388888888889</v>
      </c>
      <c r="T25" s="16">
        <f>VLOOKUP(E25,'[2]21-3-2026'!E$3:T$35,16,FALSE)</f>
        <v>1.0416666666666701E-2</v>
      </c>
      <c r="U25" s="16">
        <v>0.29305555555555557</v>
      </c>
      <c r="V25" s="16">
        <v>0</v>
      </c>
      <c r="W25" s="16">
        <v>4.1666666666666664E-2</v>
      </c>
      <c r="X25" s="16">
        <v>0.33333333333333331</v>
      </c>
      <c r="Y25" s="16">
        <v>0.38194444444444442</v>
      </c>
      <c r="Z25" s="16">
        <f t="shared" si="3"/>
        <v>4.8611111111111105E-2</v>
      </c>
      <c r="AA25" s="16">
        <f t="shared" si="4"/>
        <v>6.9444444444444406E-3</v>
      </c>
      <c r="AB25" s="16">
        <v>0.38541666666666669</v>
      </c>
      <c r="AC25" s="19"/>
      <c r="AD25" s="48"/>
    </row>
    <row r="26" spans="1:30" ht="19.5" thickBot="1" x14ac:dyDescent="0.3">
      <c r="A26" s="14">
        <v>24</v>
      </c>
      <c r="B26" s="15">
        <v>7464</v>
      </c>
      <c r="C26" s="15" t="str">
        <f>VLOOKUP(B26,[3]داتا!$B$3:$D$107,2,FALSE)</f>
        <v>تلتين</v>
      </c>
      <c r="D26" s="34">
        <f>VLOOKUP(B26,[3]داتا!$B$3:$D$107,3,FALSE)</f>
        <v>3.125E-2</v>
      </c>
      <c r="E26" s="15" t="s">
        <v>51</v>
      </c>
      <c r="F26" s="15" t="s">
        <v>227</v>
      </c>
      <c r="G26" s="16">
        <v>0.25</v>
      </c>
      <c r="H26" s="16">
        <v>0.25</v>
      </c>
      <c r="I26" s="16">
        <f t="shared" si="0"/>
        <v>0</v>
      </c>
      <c r="J26" s="16">
        <v>0.19097222222222221</v>
      </c>
      <c r="K26" s="16">
        <v>0.23263888888888887</v>
      </c>
      <c r="L26" s="16" t="s">
        <v>228</v>
      </c>
      <c r="M26" s="16" t="s">
        <v>228</v>
      </c>
      <c r="N26" s="16">
        <f t="shared" si="1"/>
        <v>4.1666666666666657E-2</v>
      </c>
      <c r="O26" s="16">
        <f t="shared" ref="O26:O67" si="5">N26-D26</f>
        <v>1.0416666666666657E-2</v>
      </c>
      <c r="P26" s="16">
        <v>6.9444444444444397E-3</v>
      </c>
      <c r="Q26" s="16">
        <v>0.23263888888888887</v>
      </c>
      <c r="R26" s="16">
        <v>0</v>
      </c>
      <c r="S26" s="16">
        <v>0.26041666666666669</v>
      </c>
      <c r="T26" s="16">
        <f>VLOOKUP(E26,'[2]21-3-2026'!E$3:T$35,16,FALSE)</f>
        <v>2.4305555555555601E-2</v>
      </c>
      <c r="U26" s="16">
        <v>0.28125</v>
      </c>
      <c r="V26" s="16">
        <v>0</v>
      </c>
      <c r="W26" s="16">
        <v>3.125E-2</v>
      </c>
      <c r="X26" s="16">
        <v>0.2951388888888889</v>
      </c>
      <c r="Y26" s="16">
        <v>0.3263888888888889</v>
      </c>
      <c r="Z26" s="16">
        <f t="shared" si="3"/>
        <v>3.125E-2</v>
      </c>
      <c r="AA26" s="16">
        <f t="shared" si="4"/>
        <v>0</v>
      </c>
      <c r="AB26" s="16">
        <v>0.33333333333333331</v>
      </c>
      <c r="AC26" s="19"/>
      <c r="AD26" s="48"/>
    </row>
    <row r="27" spans="1:30" ht="19.5" thickBot="1" x14ac:dyDescent="0.3">
      <c r="A27" s="14">
        <v>25</v>
      </c>
      <c r="B27" s="15">
        <v>7464</v>
      </c>
      <c r="C27" s="15" t="str">
        <f>VLOOKUP(B27,[3]داتا!$B$3:$D$107,2,FALSE)</f>
        <v>تلتين</v>
      </c>
      <c r="D27" s="34">
        <f>VLOOKUP(B27,[3]داتا!$B$3:$D$107,3,FALSE)</f>
        <v>3.125E-2</v>
      </c>
      <c r="E27" s="15" t="s">
        <v>54</v>
      </c>
      <c r="F27" s="15" t="s">
        <v>227</v>
      </c>
      <c r="G27" s="16">
        <v>0.25</v>
      </c>
      <c r="H27" s="16">
        <v>0.25</v>
      </c>
      <c r="I27" s="16">
        <f t="shared" si="0"/>
        <v>0</v>
      </c>
      <c r="J27" s="16">
        <v>0.19097222222222221</v>
      </c>
      <c r="K27" s="16">
        <v>0.23263888888888887</v>
      </c>
      <c r="L27" s="16" t="s">
        <v>228</v>
      </c>
      <c r="M27" s="16" t="s">
        <v>228</v>
      </c>
      <c r="N27" s="16">
        <f t="shared" si="1"/>
        <v>4.1666666666666657E-2</v>
      </c>
      <c r="O27" s="16">
        <f t="shared" si="5"/>
        <v>1.0416666666666657E-2</v>
      </c>
      <c r="P27" s="16">
        <v>6.9444444444444397E-3</v>
      </c>
      <c r="Q27" s="16">
        <v>0.23263888888888887</v>
      </c>
      <c r="R27" s="16">
        <v>0</v>
      </c>
      <c r="S27" s="16">
        <v>0.26041666666666669</v>
      </c>
      <c r="T27" s="16">
        <f>VLOOKUP(E27,'[2]21-3-2026'!E$3:T$35,16,FALSE)</f>
        <v>1.0416666666666701E-2</v>
      </c>
      <c r="U27" s="16">
        <v>0.35416666666666669</v>
      </c>
      <c r="V27" s="16">
        <v>1.0416666666666666E-2</v>
      </c>
      <c r="W27" s="16">
        <v>4.1666666666666664E-2</v>
      </c>
      <c r="X27" s="16">
        <v>0.3611111111111111</v>
      </c>
      <c r="Y27" s="16">
        <v>0.39166666666666666</v>
      </c>
      <c r="Z27" s="16">
        <f t="shared" si="3"/>
        <v>3.0555555555555558E-2</v>
      </c>
      <c r="AA27" s="16">
        <v>0</v>
      </c>
      <c r="AB27" s="16">
        <v>0.39374999999999999</v>
      </c>
      <c r="AC27" s="19"/>
      <c r="AD27" s="48"/>
    </row>
    <row r="28" spans="1:30" ht="19.5" thickBot="1" x14ac:dyDescent="0.3">
      <c r="A28" s="14">
        <v>26</v>
      </c>
      <c r="B28" s="15">
        <v>586</v>
      </c>
      <c r="C28" s="15" t="str">
        <f>VLOOKUP(B28,[3]داتا!$B$3:$D$107,2,FALSE)</f>
        <v>سوزوكي</v>
      </c>
      <c r="D28" s="34">
        <f>VLOOKUP(B28,[3]داتا!$B$3:$D$107,3,FALSE)</f>
        <v>2.0833333333333301E-2</v>
      </c>
      <c r="E28" s="15" t="s">
        <v>77</v>
      </c>
      <c r="F28" s="15" t="s">
        <v>56</v>
      </c>
      <c r="G28" s="16">
        <v>0.25</v>
      </c>
      <c r="H28" s="16">
        <v>0.25</v>
      </c>
      <c r="I28" s="16">
        <f t="shared" si="0"/>
        <v>0</v>
      </c>
      <c r="J28" s="16">
        <v>0.23611111111111113</v>
      </c>
      <c r="K28" s="16">
        <v>0.25694444444444448</v>
      </c>
      <c r="L28" s="16" t="s">
        <v>228</v>
      </c>
      <c r="M28" s="16" t="s">
        <v>228</v>
      </c>
      <c r="N28" s="16">
        <f t="shared" si="1"/>
        <v>2.0833333333333343E-2</v>
      </c>
      <c r="O28" s="16">
        <f t="shared" si="5"/>
        <v>4.163336342344337E-17</v>
      </c>
      <c r="P28" s="16">
        <v>6.9444444444444397E-3</v>
      </c>
      <c r="Q28" s="16">
        <v>0.25694444444444448</v>
      </c>
      <c r="R28" s="16">
        <v>0</v>
      </c>
      <c r="S28" s="16">
        <v>0.29166666666666669</v>
      </c>
      <c r="T28" s="16">
        <f>VLOOKUP(E28,'[2]21-3-2026'!E$3:T$35,16,FALSE)</f>
        <v>1.38888888888889E-2</v>
      </c>
      <c r="U28" s="16">
        <v>0.3125</v>
      </c>
      <c r="V28" s="16">
        <f t="shared" si="2"/>
        <v>6.9444444444444198E-3</v>
      </c>
      <c r="W28" s="16">
        <v>3.125E-2</v>
      </c>
      <c r="X28" s="16">
        <v>0.34027777777777773</v>
      </c>
      <c r="Y28" s="16">
        <v>0.35416666666666669</v>
      </c>
      <c r="Z28" s="16">
        <f t="shared" si="3"/>
        <v>1.3888888888888951E-2</v>
      </c>
      <c r="AA28" s="16">
        <v>0</v>
      </c>
      <c r="AB28" s="16">
        <v>0.35555555555555557</v>
      </c>
      <c r="AC28" s="17"/>
      <c r="AD28" s="48"/>
    </row>
    <row r="29" spans="1:30" ht="19.5" thickBot="1" x14ac:dyDescent="0.3">
      <c r="A29" s="14">
        <v>27</v>
      </c>
      <c r="B29" s="15">
        <v>1451</v>
      </c>
      <c r="C29" s="15" t="s">
        <v>102</v>
      </c>
      <c r="D29" s="34">
        <v>3.125E-2</v>
      </c>
      <c r="E29" s="15" t="s">
        <v>83</v>
      </c>
      <c r="F29" s="15" t="s">
        <v>229</v>
      </c>
      <c r="G29" s="16">
        <v>0.25</v>
      </c>
      <c r="H29" s="16">
        <v>0.25</v>
      </c>
      <c r="I29" s="16">
        <f t="shared" si="0"/>
        <v>0</v>
      </c>
      <c r="J29" s="16">
        <v>0.26041666666666669</v>
      </c>
      <c r="K29" s="16">
        <v>0.28472222222222221</v>
      </c>
      <c r="L29" s="16" t="s">
        <v>228</v>
      </c>
      <c r="M29" s="16" t="s">
        <v>228</v>
      </c>
      <c r="N29" s="16">
        <f t="shared" si="1"/>
        <v>2.4305555555555525E-2</v>
      </c>
      <c r="O29" s="16">
        <v>0</v>
      </c>
      <c r="P29" s="16">
        <v>6.9444444444444397E-3</v>
      </c>
      <c r="Q29" s="16">
        <v>0.28472222222222221</v>
      </c>
      <c r="R29" s="16">
        <v>0</v>
      </c>
      <c r="S29" s="16">
        <v>0.28472222222222221</v>
      </c>
      <c r="T29" s="16">
        <f>VLOOKUP(E29,'[2]21-3-2026'!E$3:T$35,16,FALSE)</f>
        <v>1.38888888888889E-2</v>
      </c>
      <c r="U29" s="16">
        <v>0.2986111111111111</v>
      </c>
      <c r="V29" s="16">
        <f t="shared" si="2"/>
        <v>0</v>
      </c>
      <c r="W29" s="16">
        <v>3.125E-2</v>
      </c>
      <c r="X29" s="16">
        <v>0.34027777777777773</v>
      </c>
      <c r="Y29" s="16">
        <v>0.37152777777777773</v>
      </c>
      <c r="Z29" s="16">
        <f t="shared" si="3"/>
        <v>3.125E-2</v>
      </c>
      <c r="AA29" s="16">
        <f t="shared" si="4"/>
        <v>0</v>
      </c>
      <c r="AB29" s="16">
        <v>0.38194444444444442</v>
      </c>
      <c r="AC29" s="18"/>
      <c r="AD29" s="48"/>
    </row>
    <row r="30" spans="1:30" ht="19.5" thickBot="1" x14ac:dyDescent="0.3">
      <c r="A30" s="14">
        <v>28</v>
      </c>
      <c r="B30" s="15">
        <v>1451</v>
      </c>
      <c r="C30" s="15" t="s">
        <v>102</v>
      </c>
      <c r="D30" s="34">
        <v>3.125E-2</v>
      </c>
      <c r="E30" s="15" t="s">
        <v>77</v>
      </c>
      <c r="F30" s="15" t="s">
        <v>229</v>
      </c>
      <c r="G30" s="16">
        <v>0.25</v>
      </c>
      <c r="H30" s="16">
        <v>0.25</v>
      </c>
      <c r="I30" s="16">
        <f t="shared" si="0"/>
        <v>0</v>
      </c>
      <c r="J30" s="16">
        <v>0.26041666666666669</v>
      </c>
      <c r="K30" s="16">
        <v>0.28472222222222221</v>
      </c>
      <c r="L30" s="16" t="s">
        <v>228</v>
      </c>
      <c r="M30" s="16" t="s">
        <v>228</v>
      </c>
      <c r="N30" s="16">
        <f t="shared" si="1"/>
        <v>2.4305555555555525E-2</v>
      </c>
      <c r="O30" s="16">
        <v>0</v>
      </c>
      <c r="P30" s="16">
        <v>6.9444444444444397E-3</v>
      </c>
      <c r="Q30" s="16">
        <v>0.28472222222222221</v>
      </c>
      <c r="R30" s="16">
        <v>0</v>
      </c>
      <c r="S30" s="16">
        <v>0.28472222222222221</v>
      </c>
      <c r="T30" s="16">
        <f>VLOOKUP(E30,'[2]21-3-2026'!E$3:T$35,16,FALSE)</f>
        <v>1.38888888888889E-2</v>
      </c>
      <c r="U30" s="16">
        <v>0.3888888888888889</v>
      </c>
      <c r="V30" s="16">
        <v>0</v>
      </c>
      <c r="W30" s="16">
        <v>4.1666666666666664E-2</v>
      </c>
      <c r="X30" s="16">
        <v>0.3923611111111111</v>
      </c>
      <c r="Y30" s="16">
        <v>0.4236111111111111</v>
      </c>
      <c r="Z30" s="16">
        <f t="shared" si="3"/>
        <v>3.125E-2</v>
      </c>
      <c r="AA30" s="16">
        <v>0</v>
      </c>
      <c r="AB30" s="16">
        <v>0.42708333333333331</v>
      </c>
      <c r="AC30" s="17"/>
      <c r="AD30" s="48"/>
    </row>
    <row r="31" spans="1:30" ht="19.5" thickBot="1" x14ac:dyDescent="0.3">
      <c r="A31" s="14">
        <v>29</v>
      </c>
      <c r="B31" s="15">
        <v>3492</v>
      </c>
      <c r="C31" s="15" t="str">
        <f>VLOOKUP(B31,[3]داتا!$B$3:$D$107,2,FALSE)</f>
        <v>تلتين</v>
      </c>
      <c r="D31" s="34">
        <f>VLOOKUP(B31,[3]داتا!$B$3:$D$107,3,FALSE)</f>
        <v>3.125E-2</v>
      </c>
      <c r="E31" s="15" t="s">
        <v>67</v>
      </c>
      <c r="F31" s="15" t="s">
        <v>230</v>
      </c>
      <c r="G31" s="16">
        <v>0.25</v>
      </c>
      <c r="H31" s="16">
        <v>0.25</v>
      </c>
      <c r="I31" s="16">
        <f t="shared" si="0"/>
        <v>0</v>
      </c>
      <c r="J31" s="16">
        <v>0.1875</v>
      </c>
      <c r="K31" s="16">
        <v>0.20833333333333334</v>
      </c>
      <c r="L31" s="16" t="s">
        <v>142</v>
      </c>
      <c r="M31" s="16" t="s">
        <v>231</v>
      </c>
      <c r="N31" s="16">
        <f t="shared" si="1"/>
        <v>2.0833333333333343E-2</v>
      </c>
      <c r="O31" s="16">
        <v>0</v>
      </c>
      <c r="P31" s="16">
        <v>6.9444444444444397E-3</v>
      </c>
      <c r="Q31" s="16">
        <v>0.20833333333333334</v>
      </c>
      <c r="R31" s="16">
        <v>0</v>
      </c>
      <c r="S31" s="16">
        <v>0.26041666666666669</v>
      </c>
      <c r="T31" s="16">
        <f>VLOOKUP(E31,'[2]21-3-2026'!E$3:T$35,16,FALSE)</f>
        <v>1.7361111111111101E-2</v>
      </c>
      <c r="U31" s="16">
        <v>0.27777777777777779</v>
      </c>
      <c r="V31" s="16">
        <f t="shared" si="2"/>
        <v>0</v>
      </c>
      <c r="W31" s="16">
        <v>4.1666666666666664E-2</v>
      </c>
      <c r="X31" s="16">
        <v>0.2986111111111111</v>
      </c>
      <c r="Y31" s="16">
        <v>0.3263888888888889</v>
      </c>
      <c r="Z31" s="16">
        <f t="shared" si="3"/>
        <v>2.777777777777779E-2</v>
      </c>
      <c r="AA31" s="16">
        <v>0</v>
      </c>
      <c r="AB31" s="16">
        <v>0.3298611111111111</v>
      </c>
      <c r="AC31" s="17"/>
      <c r="AD31" s="48"/>
    </row>
    <row r="32" spans="1:30" ht="19.5" thickBot="1" x14ac:dyDescent="0.3">
      <c r="A32" s="14">
        <v>30</v>
      </c>
      <c r="B32" s="15">
        <v>2474</v>
      </c>
      <c r="C32" s="15" t="str">
        <f>VLOOKUP(B32,[3]داتا!$B$3:$D$107,2,FALSE)</f>
        <v>دبابة</v>
      </c>
      <c r="D32" s="34">
        <f>VLOOKUP(B32,[3]داتا!$B$3:$D$107,3,FALSE)</f>
        <v>2.0833333333333332E-2</v>
      </c>
      <c r="E32" s="15" t="s">
        <v>63</v>
      </c>
      <c r="F32" s="15" t="s">
        <v>232</v>
      </c>
      <c r="G32" s="16">
        <v>0.25</v>
      </c>
      <c r="H32" s="16">
        <v>0.25</v>
      </c>
      <c r="I32" s="16">
        <f t="shared" si="0"/>
        <v>0</v>
      </c>
      <c r="J32" s="16">
        <v>0.21527777777777779</v>
      </c>
      <c r="K32" s="16">
        <v>0.22569444444444445</v>
      </c>
      <c r="L32" s="16" t="s">
        <v>142</v>
      </c>
      <c r="M32" s="16" t="s">
        <v>231</v>
      </c>
      <c r="N32" s="16">
        <f t="shared" si="1"/>
        <v>1.0416666666666657E-2</v>
      </c>
      <c r="O32" s="16">
        <v>0</v>
      </c>
      <c r="P32" s="16">
        <v>6.9444444444444397E-3</v>
      </c>
      <c r="Q32" s="16">
        <v>0.22569444444444445</v>
      </c>
      <c r="R32" s="16">
        <v>0</v>
      </c>
      <c r="S32" s="16">
        <v>0.25694444444444448</v>
      </c>
      <c r="T32" s="16">
        <f>VLOOKUP(E32,'[2]21-3-2026'!E$3:T$35,16,FALSE)</f>
        <v>6.25E-2</v>
      </c>
      <c r="U32" s="16">
        <v>0.31944444444444448</v>
      </c>
      <c r="V32" s="16">
        <f t="shared" si="2"/>
        <v>0</v>
      </c>
      <c r="W32" s="16">
        <v>3.125E-2</v>
      </c>
      <c r="X32" s="16">
        <v>0.33333333333333331</v>
      </c>
      <c r="Y32" s="16">
        <v>0.3611111111111111</v>
      </c>
      <c r="Z32" s="16">
        <f t="shared" si="3"/>
        <v>2.777777777777779E-2</v>
      </c>
      <c r="AA32" s="16">
        <v>0</v>
      </c>
      <c r="AB32" s="16">
        <v>0.36458333333333331</v>
      </c>
      <c r="AC32" s="17"/>
      <c r="AD32" s="48"/>
    </row>
    <row r="33" spans="1:30" ht="19.5" thickBot="1" x14ac:dyDescent="0.3">
      <c r="A33" s="14">
        <v>31</v>
      </c>
      <c r="B33" s="15">
        <v>3495</v>
      </c>
      <c r="C33" s="15" t="str">
        <f>VLOOKUP(B33,[3]داتا!$B$3:$D$107,2,FALSE)</f>
        <v>تلتين</v>
      </c>
      <c r="D33" s="34">
        <f>VLOOKUP(B33,[3]داتا!$B$3:$D$107,3,FALSE)</f>
        <v>3.125E-2</v>
      </c>
      <c r="E33" s="15" t="s">
        <v>81</v>
      </c>
      <c r="F33" s="15" t="s">
        <v>233</v>
      </c>
      <c r="G33" s="16">
        <v>0.25</v>
      </c>
      <c r="H33" s="16">
        <v>0.25</v>
      </c>
      <c r="I33" s="16">
        <f t="shared" si="0"/>
        <v>0</v>
      </c>
      <c r="J33" s="16">
        <v>0.23611111111111113</v>
      </c>
      <c r="K33" s="16">
        <v>0.25347222222222221</v>
      </c>
      <c r="L33" s="16" t="s">
        <v>142</v>
      </c>
      <c r="M33" s="16" t="s">
        <v>231</v>
      </c>
      <c r="N33" s="16">
        <f t="shared" si="1"/>
        <v>1.7361111111111077E-2</v>
      </c>
      <c r="O33" s="16">
        <v>0</v>
      </c>
      <c r="P33" s="16">
        <v>6.9444444444444397E-3</v>
      </c>
      <c r="Q33" s="16">
        <v>0.25347222222222221</v>
      </c>
      <c r="R33" s="16">
        <v>0</v>
      </c>
      <c r="S33" s="16">
        <v>0.26041666666666669</v>
      </c>
      <c r="T33" s="16">
        <f>VLOOKUP(E33,'[2]21-3-2026'!E$3:T$35,16,FALSE)</f>
        <v>2.7777777777777801E-2</v>
      </c>
      <c r="U33" s="16">
        <v>0.28125</v>
      </c>
      <c r="V33" s="16">
        <v>0</v>
      </c>
      <c r="W33" s="16">
        <v>4.1666666666666664E-2</v>
      </c>
      <c r="X33" s="16">
        <v>0.33333333333333331</v>
      </c>
      <c r="Y33" s="16">
        <v>0.375</v>
      </c>
      <c r="Z33" s="16">
        <f t="shared" si="3"/>
        <v>4.1666666666666685E-2</v>
      </c>
      <c r="AA33" s="16">
        <v>0</v>
      </c>
      <c r="AB33" s="16">
        <v>0.38194444444444442</v>
      </c>
      <c r="AC33" s="17"/>
      <c r="AD33" s="48"/>
    </row>
    <row r="34" spans="1:30" ht="19.5" thickBot="1" x14ac:dyDescent="0.3">
      <c r="A34" s="14">
        <v>32</v>
      </c>
      <c r="B34" s="15">
        <v>3793</v>
      </c>
      <c r="C34" s="15" t="str">
        <f>VLOOKUP(B34,[3]داتا!$B$3:$D$107,2,FALSE)</f>
        <v>دبابة</v>
      </c>
      <c r="D34" s="34">
        <f>VLOOKUP(B34,[3]داتا!$B$3:$D$107,3,FALSE)</f>
        <v>2.0833333333333301E-2</v>
      </c>
      <c r="E34" s="15" t="s">
        <v>69</v>
      </c>
      <c r="F34" s="15" t="s">
        <v>93</v>
      </c>
      <c r="G34" s="16">
        <v>0.25</v>
      </c>
      <c r="H34" s="16">
        <v>0.26041666666666669</v>
      </c>
      <c r="I34" s="16">
        <f t="shared" si="0"/>
        <v>1.0416666666666685E-2</v>
      </c>
      <c r="J34" s="16">
        <v>0.25694444444444448</v>
      </c>
      <c r="K34" s="16">
        <v>0.2673611111111111</v>
      </c>
      <c r="L34" s="16" t="s">
        <v>142</v>
      </c>
      <c r="M34" s="16" t="s">
        <v>231</v>
      </c>
      <c r="N34" s="16">
        <f t="shared" si="1"/>
        <v>1.041666666666663E-2</v>
      </c>
      <c r="O34" s="16">
        <v>0</v>
      </c>
      <c r="P34" s="16">
        <v>6.9444444444444397E-3</v>
      </c>
      <c r="Q34" s="16">
        <v>0.2673611111111111</v>
      </c>
      <c r="R34" s="16">
        <v>0</v>
      </c>
      <c r="S34" s="16">
        <v>0.27777777777777779</v>
      </c>
      <c r="T34" s="16">
        <f>VLOOKUP(E34,'[2]21-3-2026'!E$3:T$35,16,FALSE)</f>
        <v>1.38888888888889E-2</v>
      </c>
      <c r="U34" s="16">
        <v>0.29166666666666669</v>
      </c>
      <c r="V34" s="16">
        <f t="shared" si="2"/>
        <v>0</v>
      </c>
      <c r="W34" s="16">
        <v>3.125E-2</v>
      </c>
      <c r="X34" s="16">
        <v>0.33680555555555558</v>
      </c>
      <c r="Y34" s="16">
        <v>0.36805555555555558</v>
      </c>
      <c r="Z34" s="16">
        <f t="shared" si="3"/>
        <v>3.125E-2</v>
      </c>
      <c r="AA34" s="16">
        <f t="shared" si="4"/>
        <v>0</v>
      </c>
      <c r="AB34" s="16">
        <v>0.37152777777777773</v>
      </c>
      <c r="AC34" s="17"/>
      <c r="AD34" s="48"/>
    </row>
    <row r="35" spans="1:30" ht="19.5" thickBot="1" x14ac:dyDescent="0.3">
      <c r="A35" s="20">
        <v>33</v>
      </c>
      <c r="B35" s="21">
        <v>745</v>
      </c>
      <c r="C35" s="21" t="str">
        <f>VLOOKUP(B35,[3]داتا!$B$3:$D$107,2,FALSE)</f>
        <v>دبابة</v>
      </c>
      <c r="D35" s="35">
        <f>VLOOKUP(B35,[3]داتا!$B$3:$D$107,3,FALSE)</f>
        <v>2.0833333333333301E-2</v>
      </c>
      <c r="E35" s="21" t="s">
        <v>86</v>
      </c>
      <c r="F35" s="21" t="s">
        <v>234</v>
      </c>
      <c r="G35" s="22">
        <v>0.25</v>
      </c>
      <c r="H35" s="22">
        <v>0.25</v>
      </c>
      <c r="I35" s="22">
        <f t="shared" si="0"/>
        <v>0</v>
      </c>
      <c r="J35" s="22">
        <v>0.27777777777777779</v>
      </c>
      <c r="K35" s="22">
        <v>0.29166666666666669</v>
      </c>
      <c r="L35" s="22" t="s">
        <v>142</v>
      </c>
      <c r="M35" s="22" t="s">
        <v>231</v>
      </c>
      <c r="N35" s="22">
        <f t="shared" si="1"/>
        <v>1.3888888888888895E-2</v>
      </c>
      <c r="O35" s="22">
        <v>0</v>
      </c>
      <c r="P35" s="22">
        <v>6.9444444444444397E-3</v>
      </c>
      <c r="Q35" s="22">
        <v>0.29166666666666669</v>
      </c>
      <c r="R35" s="22">
        <v>0</v>
      </c>
      <c r="S35" s="22">
        <v>0.3298611111111111</v>
      </c>
      <c r="T35" s="22">
        <f>VLOOKUP(E35,'[2]21-3-2026'!E$3:T$35,16,FALSE)</f>
        <v>3.4722222222222199E-3</v>
      </c>
      <c r="U35" s="22">
        <v>0.33680555555555558</v>
      </c>
      <c r="V35" s="22">
        <f t="shared" si="2"/>
        <v>3.4722222222222654E-3</v>
      </c>
      <c r="W35" s="22">
        <v>3.125E-2</v>
      </c>
      <c r="X35" s="22">
        <v>0.34027777777777773</v>
      </c>
      <c r="Y35" s="22">
        <v>0.375</v>
      </c>
      <c r="Z35" s="22">
        <f t="shared" si="3"/>
        <v>3.4722222222222265E-2</v>
      </c>
      <c r="AA35" s="22">
        <f t="shared" si="4"/>
        <v>3.4722222222222654E-3</v>
      </c>
      <c r="AB35" s="22">
        <v>0.37847222222222227</v>
      </c>
      <c r="AC35" s="23"/>
      <c r="AD35" s="49"/>
    </row>
    <row r="36" spans="1:30" ht="20.25" customHeight="1" thickTop="1" thickBot="1" x14ac:dyDescent="0.3">
      <c r="A36" s="10">
        <v>1</v>
      </c>
      <c r="B36" s="11">
        <v>9198</v>
      </c>
      <c r="C36" s="11" t="str">
        <f>VLOOKUP(B36,[3]داتا!$B$3:$D$107,2,FALSE)</f>
        <v>دبابة</v>
      </c>
      <c r="D36" s="33">
        <f>VLOOKUP(B36,[3]داتا!$B$3:$D$107,3,FALSE)</f>
        <v>2.0833333333333301E-2</v>
      </c>
      <c r="E36" s="11" t="s">
        <v>75</v>
      </c>
      <c r="F36" s="11" t="s">
        <v>56</v>
      </c>
      <c r="G36" s="12">
        <v>0.25</v>
      </c>
      <c r="H36" s="12">
        <f>VLOOKUP(F36,$F$3:$I$35,2,FALSE)</f>
        <v>0.25</v>
      </c>
      <c r="I36" s="12">
        <f t="shared" si="0"/>
        <v>0</v>
      </c>
      <c r="J36" s="12">
        <v>0.39583333333333331</v>
      </c>
      <c r="K36" s="12">
        <v>0.4236111111111111</v>
      </c>
      <c r="L36" s="12" t="s">
        <v>105</v>
      </c>
      <c r="M36" s="12" t="s">
        <v>105</v>
      </c>
      <c r="N36" s="12">
        <f t="shared" si="1"/>
        <v>2.777777777777779E-2</v>
      </c>
      <c r="O36" s="12">
        <f t="shared" si="5"/>
        <v>6.9444444444444892E-3</v>
      </c>
      <c r="P36" s="12">
        <v>6.9444444444444397E-3</v>
      </c>
      <c r="Q36" s="12">
        <v>0.4236111111111111</v>
      </c>
      <c r="R36" s="12">
        <v>0</v>
      </c>
      <c r="S36" s="12">
        <v>0.42708333333333331</v>
      </c>
      <c r="T36" s="12">
        <f>VLOOKUP(E36,'[2]21-3-2026'!E$3:T$35,16,FALSE)</f>
        <v>2.0833333333333301E-2</v>
      </c>
      <c r="U36" s="12">
        <v>0.46527777777777773</v>
      </c>
      <c r="V36" s="12">
        <f t="shared" si="2"/>
        <v>1.7361111111111105E-2</v>
      </c>
      <c r="W36" s="12">
        <v>1.25</v>
      </c>
      <c r="X36" s="12">
        <v>0.46875</v>
      </c>
      <c r="Y36" s="12">
        <v>0.47916666666666669</v>
      </c>
      <c r="Z36" s="12">
        <f t="shared" si="3"/>
        <v>1.0416666666666685E-2</v>
      </c>
      <c r="AA36" s="12">
        <v>0</v>
      </c>
      <c r="AB36" s="12">
        <v>0.4826388888888889</v>
      </c>
      <c r="AC36" s="29"/>
      <c r="AD36" s="50" t="s">
        <v>104</v>
      </c>
    </row>
    <row r="37" spans="1:30" ht="19.5" thickBot="1" x14ac:dyDescent="0.3">
      <c r="A37" s="14">
        <v>2</v>
      </c>
      <c r="B37" s="15">
        <v>9198</v>
      </c>
      <c r="C37" s="15" t="str">
        <f>VLOOKUP(B37,[3]داتا!$B$3:$D$107,2,FALSE)</f>
        <v>دبابة</v>
      </c>
      <c r="D37" s="34">
        <f>VLOOKUP(B37,[3]داتا!$B$3:$D$107,3,FALSE)</f>
        <v>2.0833333333333301E-2</v>
      </c>
      <c r="E37" s="15" t="s">
        <v>60</v>
      </c>
      <c r="F37" s="15" t="s">
        <v>56</v>
      </c>
      <c r="G37" s="16">
        <v>0.25</v>
      </c>
      <c r="H37" s="16">
        <f t="shared" ref="H37:H67" si="6">VLOOKUP(F37,$F$3:$I$35,2,FALSE)</f>
        <v>0.25</v>
      </c>
      <c r="I37" s="16">
        <f t="shared" si="0"/>
        <v>0</v>
      </c>
      <c r="J37" s="16">
        <v>0.39583333333333331</v>
      </c>
      <c r="K37" s="16">
        <v>0.4236111111111111</v>
      </c>
      <c r="L37" s="16" t="s">
        <v>105</v>
      </c>
      <c r="M37" s="16" t="s">
        <v>105</v>
      </c>
      <c r="N37" s="16">
        <f t="shared" si="1"/>
        <v>2.777777777777779E-2</v>
      </c>
      <c r="O37" s="16">
        <f t="shared" si="5"/>
        <v>6.9444444444444892E-3</v>
      </c>
      <c r="P37" s="16">
        <v>6.9444444444444397E-3</v>
      </c>
      <c r="Q37" s="16">
        <v>0.4236111111111111</v>
      </c>
      <c r="R37" s="16">
        <v>0</v>
      </c>
      <c r="S37" s="16">
        <v>0.42708333333333331</v>
      </c>
      <c r="T37" s="16">
        <f>VLOOKUP(E37,'[2]21-3-2026'!E$3:T$35,16,FALSE)</f>
        <v>1.0416666666666701E-2</v>
      </c>
      <c r="U37" s="16">
        <v>0.5</v>
      </c>
      <c r="V37" s="16">
        <v>6.9444444444444441E-3</v>
      </c>
      <c r="W37" s="16">
        <v>3.125E-2</v>
      </c>
      <c r="X37" s="16">
        <v>0.50347222222222221</v>
      </c>
      <c r="Y37" s="16">
        <v>0.52430555555555558</v>
      </c>
      <c r="Z37" s="16">
        <f t="shared" si="3"/>
        <v>2.083333333333337E-2</v>
      </c>
      <c r="AA37" s="16">
        <v>0</v>
      </c>
      <c r="AB37" s="16">
        <v>0.52777777777777779</v>
      </c>
      <c r="AC37" s="19"/>
      <c r="AD37" s="51"/>
    </row>
    <row r="38" spans="1:30" ht="19.5" thickBot="1" x14ac:dyDescent="0.3">
      <c r="A38" s="14">
        <v>3</v>
      </c>
      <c r="B38" s="15">
        <v>4987</v>
      </c>
      <c r="C38" s="15" t="str">
        <f>VLOOKUP(B38,[3]داتا!$B$3:$D$107,2,FALSE)</f>
        <v>تلتين</v>
      </c>
      <c r="D38" s="34">
        <f>VLOOKUP(B38,[3]داتا!$B$3:$D$107,3,FALSE)</f>
        <v>3.125E-2</v>
      </c>
      <c r="E38" s="15" t="s">
        <v>70</v>
      </c>
      <c r="F38" s="15" t="s">
        <v>198</v>
      </c>
      <c r="G38" s="16">
        <v>0.25</v>
      </c>
      <c r="H38" s="16">
        <v>0.2673611111111111</v>
      </c>
      <c r="I38" s="16">
        <f t="shared" si="0"/>
        <v>1.7361111111111105E-2</v>
      </c>
      <c r="J38" s="16">
        <v>0.42708333333333331</v>
      </c>
      <c r="K38" s="16">
        <v>0.46527777777777773</v>
      </c>
      <c r="L38" s="16" t="s">
        <v>105</v>
      </c>
      <c r="M38" s="16" t="s">
        <v>105</v>
      </c>
      <c r="N38" s="16">
        <f t="shared" si="1"/>
        <v>3.819444444444442E-2</v>
      </c>
      <c r="O38" s="16">
        <f t="shared" si="5"/>
        <v>6.9444444444444198E-3</v>
      </c>
      <c r="P38" s="16">
        <v>6.9444444444444397E-3</v>
      </c>
      <c r="Q38" s="16">
        <v>0.46527777777777773</v>
      </c>
      <c r="R38" s="16">
        <v>0</v>
      </c>
      <c r="S38" s="16">
        <v>0.46875</v>
      </c>
      <c r="T38" s="16">
        <f>VLOOKUP(E38,'[2]21-3-2026'!E$3:T$35,16,FALSE)</f>
        <v>1.0416666666666701E-2</v>
      </c>
      <c r="U38" s="16">
        <v>0.48888888888888887</v>
      </c>
      <c r="V38" s="16">
        <f t="shared" si="2"/>
        <v>9.7222222222221877E-3</v>
      </c>
      <c r="W38" s="16">
        <v>3.125E-2</v>
      </c>
      <c r="X38" s="16">
        <v>0.49236111111111108</v>
      </c>
      <c r="Y38" s="16">
        <v>0.50624999999999998</v>
      </c>
      <c r="Z38" s="16">
        <f t="shared" si="3"/>
        <v>1.3888888888888895E-2</v>
      </c>
      <c r="AA38" s="16">
        <v>0</v>
      </c>
      <c r="AB38" s="16">
        <v>0.51041666666666663</v>
      </c>
      <c r="AC38" s="19"/>
      <c r="AD38" s="51"/>
    </row>
    <row r="39" spans="1:30" ht="19.5" thickBot="1" x14ac:dyDescent="0.3">
      <c r="A39" s="14">
        <v>4</v>
      </c>
      <c r="B39" s="15">
        <v>4987</v>
      </c>
      <c r="C39" s="15" t="str">
        <f>VLOOKUP(B39,[3]داتا!$B$3:$D$107,2,FALSE)</f>
        <v>تلتين</v>
      </c>
      <c r="D39" s="34">
        <f>VLOOKUP(B39,[3]داتا!$B$3:$D$107,3,FALSE)</f>
        <v>3.125E-2</v>
      </c>
      <c r="E39" s="15" t="s">
        <v>79</v>
      </c>
      <c r="F39" s="15" t="s">
        <v>198</v>
      </c>
      <c r="G39" s="16">
        <v>0.25</v>
      </c>
      <c r="H39" s="16">
        <v>0.2673611111111111</v>
      </c>
      <c r="I39" s="16">
        <f t="shared" si="0"/>
        <v>1.7361111111111105E-2</v>
      </c>
      <c r="J39" s="16">
        <v>0.42708333333333331</v>
      </c>
      <c r="K39" s="16">
        <v>0.46527777777777773</v>
      </c>
      <c r="L39" s="16" t="s">
        <v>105</v>
      </c>
      <c r="M39" s="16" t="s">
        <v>105</v>
      </c>
      <c r="N39" s="16">
        <f t="shared" si="1"/>
        <v>3.819444444444442E-2</v>
      </c>
      <c r="O39" s="16">
        <f t="shared" si="5"/>
        <v>6.9444444444444198E-3</v>
      </c>
      <c r="P39" s="16">
        <v>6.9444444444444397E-3</v>
      </c>
      <c r="Q39" s="16">
        <v>0.46527777777777773</v>
      </c>
      <c r="R39" s="16">
        <v>0</v>
      </c>
      <c r="S39" s="16">
        <v>0.46875</v>
      </c>
      <c r="T39" s="16">
        <f>VLOOKUP(E39,'[2]21-3-2026'!E$3:T$35,16,FALSE)</f>
        <v>2.0833333333333301E-2</v>
      </c>
      <c r="U39" s="16">
        <v>0.51666666666666672</v>
      </c>
      <c r="V39" s="16">
        <v>0</v>
      </c>
      <c r="W39" s="16">
        <v>4.1666666666666664E-2</v>
      </c>
      <c r="X39" s="16">
        <v>0.5180555555555556</v>
      </c>
      <c r="Y39" s="16">
        <v>0.5395833333333333</v>
      </c>
      <c r="Z39" s="16">
        <f t="shared" si="3"/>
        <v>2.1527777777777701E-2</v>
      </c>
      <c r="AA39" s="16">
        <v>0</v>
      </c>
      <c r="AB39" s="16">
        <v>0.54166666666666663</v>
      </c>
      <c r="AC39" s="17"/>
      <c r="AD39" s="51"/>
    </row>
    <row r="40" spans="1:30" ht="19.5" thickBot="1" x14ac:dyDescent="0.3">
      <c r="A40" s="14">
        <v>5</v>
      </c>
      <c r="B40" s="15">
        <v>2694</v>
      </c>
      <c r="C40" s="15" t="str">
        <f>VLOOKUP(B40,[3]داتا!$B$3:$D$107,2,FALSE)</f>
        <v>تلتين</v>
      </c>
      <c r="D40" s="34">
        <f>VLOOKUP(B40,[3]داتا!$B$3:$D$107,3,FALSE)</f>
        <v>3.125E-2</v>
      </c>
      <c r="E40" s="15" t="s">
        <v>61</v>
      </c>
      <c r="F40" s="15" t="s">
        <v>212</v>
      </c>
      <c r="G40" s="16">
        <v>0.25</v>
      </c>
      <c r="H40" s="16">
        <f t="shared" si="6"/>
        <v>0.25</v>
      </c>
      <c r="I40" s="16">
        <f t="shared" si="0"/>
        <v>0</v>
      </c>
      <c r="J40" s="16">
        <v>0.47222222222222227</v>
      </c>
      <c r="K40" s="16">
        <v>0.51041666666666663</v>
      </c>
      <c r="L40" s="16" t="s">
        <v>105</v>
      </c>
      <c r="M40" s="16" t="s">
        <v>105</v>
      </c>
      <c r="N40" s="16">
        <f t="shared" si="1"/>
        <v>3.8194444444444364E-2</v>
      </c>
      <c r="O40" s="16">
        <f t="shared" si="5"/>
        <v>6.9444444444443643E-3</v>
      </c>
      <c r="P40" s="16">
        <v>6.9444444444444397E-3</v>
      </c>
      <c r="Q40" s="16">
        <v>0.51041666666666663</v>
      </c>
      <c r="R40" s="16">
        <v>0</v>
      </c>
      <c r="S40" s="16">
        <v>0.51388888888888895</v>
      </c>
      <c r="T40" s="16">
        <f>VLOOKUP(E40,'[2]21-3-2026'!E$3:T$35,16,FALSE)</f>
        <v>3.4722222222222203E-2</v>
      </c>
      <c r="U40" s="16">
        <v>0.5541666666666667</v>
      </c>
      <c r="V40" s="16">
        <v>0</v>
      </c>
      <c r="W40" s="16">
        <v>3.125E-2</v>
      </c>
      <c r="X40" s="16">
        <v>0.55555555555555558</v>
      </c>
      <c r="Y40" s="16">
        <v>0.58124999999999993</v>
      </c>
      <c r="Z40" s="16">
        <f t="shared" si="3"/>
        <v>2.5694444444444353E-2</v>
      </c>
      <c r="AA40" s="16">
        <v>0</v>
      </c>
      <c r="AB40" s="16">
        <v>0.58333333333333337</v>
      </c>
      <c r="AC40" s="17"/>
      <c r="AD40" s="51"/>
    </row>
    <row r="41" spans="1:30" ht="19.5" thickBot="1" x14ac:dyDescent="0.3">
      <c r="A41" s="14">
        <v>6</v>
      </c>
      <c r="B41" s="15">
        <v>2694</v>
      </c>
      <c r="C41" s="15" t="str">
        <f>VLOOKUP(B41,[3]داتا!$B$3:$D$107,2,FALSE)</f>
        <v>تلتين</v>
      </c>
      <c r="D41" s="34">
        <f>VLOOKUP(B41,[3]داتا!$B$3:$D$107,3,FALSE)</f>
        <v>3.125E-2</v>
      </c>
      <c r="E41" s="15" t="s">
        <v>55</v>
      </c>
      <c r="F41" s="15" t="s">
        <v>212</v>
      </c>
      <c r="G41" s="16">
        <v>0.25</v>
      </c>
      <c r="H41" s="16">
        <f t="shared" si="6"/>
        <v>0.25</v>
      </c>
      <c r="I41" s="16">
        <f t="shared" si="0"/>
        <v>0</v>
      </c>
      <c r="J41" s="16">
        <v>0.47222222222222227</v>
      </c>
      <c r="K41" s="16">
        <v>0.51041666666666663</v>
      </c>
      <c r="L41" s="16" t="s">
        <v>105</v>
      </c>
      <c r="M41" s="16" t="s">
        <v>105</v>
      </c>
      <c r="N41" s="16">
        <f t="shared" si="1"/>
        <v>3.8194444444444364E-2</v>
      </c>
      <c r="O41" s="16">
        <f t="shared" si="5"/>
        <v>6.9444444444443643E-3</v>
      </c>
      <c r="P41" s="16">
        <v>6.9444444444444397E-3</v>
      </c>
      <c r="Q41" s="16">
        <v>0.51041666666666663</v>
      </c>
      <c r="R41" s="16">
        <v>0</v>
      </c>
      <c r="S41" s="16">
        <v>0.51388888888888895</v>
      </c>
      <c r="T41" s="16">
        <f>VLOOKUP(E41,'[2]21-3-2026'!E$3:T$35,16,FALSE)</f>
        <v>3.8194444444444399E-2</v>
      </c>
      <c r="U41" s="16">
        <v>0.59375</v>
      </c>
      <c r="V41" s="16">
        <v>0</v>
      </c>
      <c r="W41" s="16">
        <v>4.1666666666666664E-2</v>
      </c>
      <c r="X41" s="16">
        <v>0.59722222222222221</v>
      </c>
      <c r="Y41" s="16">
        <v>0.625</v>
      </c>
      <c r="Z41" s="16">
        <f t="shared" si="3"/>
        <v>2.777777777777779E-2</v>
      </c>
      <c r="AA41" s="16">
        <v>0</v>
      </c>
      <c r="AB41" s="16">
        <v>0.62847222222222221</v>
      </c>
      <c r="AC41" s="17"/>
      <c r="AD41" s="51"/>
    </row>
    <row r="42" spans="1:30" ht="19.5" thickBot="1" x14ac:dyDescent="0.3">
      <c r="A42" s="14">
        <v>7</v>
      </c>
      <c r="B42" s="15">
        <v>4879</v>
      </c>
      <c r="C42" s="15" t="str">
        <f>VLOOKUP(B42,[3]داتا!$B$3:$D$107,2,FALSE)</f>
        <v>دبابة</v>
      </c>
      <c r="D42" s="34">
        <f>VLOOKUP(B42,[3]داتا!$B$3:$D$107,3,FALSE)</f>
        <v>2.0833333333333301E-2</v>
      </c>
      <c r="E42" s="15" t="s">
        <v>89</v>
      </c>
      <c r="F42" s="15" t="s">
        <v>80</v>
      </c>
      <c r="G42" s="16">
        <v>0.25</v>
      </c>
      <c r="H42" s="16">
        <f t="shared" si="6"/>
        <v>0.25</v>
      </c>
      <c r="I42" s="16">
        <f t="shared" si="0"/>
        <v>0</v>
      </c>
      <c r="J42" s="16">
        <v>0.39583333333333331</v>
      </c>
      <c r="K42" s="16">
        <v>0.41666666666666669</v>
      </c>
      <c r="L42" s="16" t="s">
        <v>94</v>
      </c>
      <c r="M42" s="16" t="s">
        <v>94</v>
      </c>
      <c r="N42" s="16">
        <f t="shared" si="1"/>
        <v>2.083333333333337E-2</v>
      </c>
      <c r="O42" s="16">
        <f t="shared" si="5"/>
        <v>6.9388939039072284E-17</v>
      </c>
      <c r="P42" s="16">
        <v>6.9444444444444397E-3</v>
      </c>
      <c r="Q42" s="16">
        <v>0.41666666666666669</v>
      </c>
      <c r="R42" s="16">
        <v>0</v>
      </c>
      <c r="S42" s="16">
        <v>0.42708333333333331</v>
      </c>
      <c r="T42" s="16">
        <f>VLOOKUP(E42,'[2]21-3-2026'!E$3:T$35,16,FALSE)</f>
        <v>1.7361111111111101E-2</v>
      </c>
      <c r="U42" s="16">
        <v>0.4548611111111111</v>
      </c>
      <c r="V42" s="16">
        <f t="shared" si="2"/>
        <v>1.0416666666666685E-2</v>
      </c>
      <c r="W42" s="16">
        <v>2.0833333333333332E-2</v>
      </c>
      <c r="X42" s="16">
        <v>0.45624999999999999</v>
      </c>
      <c r="Y42" s="16">
        <v>0.47083333333333338</v>
      </c>
      <c r="Z42" s="16">
        <f t="shared" si="3"/>
        <v>1.4583333333333393E-2</v>
      </c>
      <c r="AA42" s="16">
        <v>0</v>
      </c>
      <c r="AB42" s="16">
        <v>0.47222222222222227</v>
      </c>
      <c r="AC42" s="17"/>
      <c r="AD42" s="51"/>
    </row>
    <row r="43" spans="1:30" ht="19.5" thickBot="1" x14ac:dyDescent="0.3">
      <c r="A43" s="14">
        <v>8</v>
      </c>
      <c r="B43" s="15">
        <v>4879</v>
      </c>
      <c r="C43" s="15" t="str">
        <f>VLOOKUP(B43,[3]داتا!$B$3:$D$107,2,FALSE)</f>
        <v>دبابة</v>
      </c>
      <c r="D43" s="34">
        <f>VLOOKUP(B43,[3]داتا!$B$3:$D$107,3,FALSE)</f>
        <v>2.0833333333333301E-2</v>
      </c>
      <c r="E43" s="15" t="s">
        <v>39</v>
      </c>
      <c r="F43" s="15" t="s">
        <v>80</v>
      </c>
      <c r="G43" s="16">
        <v>0.25</v>
      </c>
      <c r="H43" s="16">
        <f t="shared" si="6"/>
        <v>0.25</v>
      </c>
      <c r="I43" s="16">
        <f t="shared" si="0"/>
        <v>0</v>
      </c>
      <c r="J43" s="16">
        <v>0.39583333333333331</v>
      </c>
      <c r="K43" s="16">
        <v>0.41666666666666669</v>
      </c>
      <c r="L43" s="16" t="s">
        <v>94</v>
      </c>
      <c r="M43" s="16" t="s">
        <v>94</v>
      </c>
      <c r="N43" s="16">
        <f t="shared" si="1"/>
        <v>2.083333333333337E-2</v>
      </c>
      <c r="O43" s="16">
        <f t="shared" si="5"/>
        <v>6.9388939039072284E-17</v>
      </c>
      <c r="P43" s="16">
        <v>6.9444444444444397E-3</v>
      </c>
      <c r="Q43" s="16">
        <v>0.41666666666666669</v>
      </c>
      <c r="R43" s="16">
        <v>0</v>
      </c>
      <c r="S43" s="16">
        <v>0.42708333333333331</v>
      </c>
      <c r="T43" s="16">
        <f>VLOOKUP(E43,'[2]21-3-2026'!E$3:T$35,16,FALSE)</f>
        <v>1.7361111111111101E-2</v>
      </c>
      <c r="U43" s="16">
        <v>0.47916666666666669</v>
      </c>
      <c r="V43" s="16">
        <v>0</v>
      </c>
      <c r="W43" s="16">
        <v>3.125E-2</v>
      </c>
      <c r="X43" s="16">
        <v>0.48055555555555557</v>
      </c>
      <c r="Y43" s="16">
        <v>0.49722222222222223</v>
      </c>
      <c r="Z43" s="16">
        <f t="shared" si="3"/>
        <v>1.6666666666666663E-2</v>
      </c>
      <c r="AA43" s="16">
        <v>0</v>
      </c>
      <c r="AB43" s="16">
        <v>0.5</v>
      </c>
      <c r="AC43" s="17"/>
      <c r="AD43" s="51"/>
    </row>
    <row r="44" spans="1:30" ht="19.5" thickBot="1" x14ac:dyDescent="0.3">
      <c r="A44" s="14">
        <v>9</v>
      </c>
      <c r="B44" s="15">
        <v>2695</v>
      </c>
      <c r="C44" s="15" t="str">
        <f>VLOOKUP(B44,[3]داتا!$B$3:$D$107,2,FALSE)</f>
        <v>تلتين</v>
      </c>
      <c r="D44" s="34">
        <f>VLOOKUP(B44,[3]داتا!$B$3:$D$107,3,FALSE)</f>
        <v>3.125E-2</v>
      </c>
      <c r="E44" s="15" t="s">
        <v>30</v>
      </c>
      <c r="F44" s="15" t="s">
        <v>220</v>
      </c>
      <c r="G44" s="16">
        <v>0.25</v>
      </c>
      <c r="H44" s="16">
        <f t="shared" si="6"/>
        <v>0.25</v>
      </c>
      <c r="I44" s="16">
        <f t="shared" si="0"/>
        <v>0</v>
      </c>
      <c r="J44" s="16">
        <v>0.43402777777777773</v>
      </c>
      <c r="K44" s="16">
        <v>0.47569444444444442</v>
      </c>
      <c r="L44" s="16" t="s">
        <v>94</v>
      </c>
      <c r="M44" s="16" t="s">
        <v>94</v>
      </c>
      <c r="N44" s="16">
        <f t="shared" si="1"/>
        <v>4.1666666666666685E-2</v>
      </c>
      <c r="O44" s="16">
        <f t="shared" si="5"/>
        <v>1.0416666666666685E-2</v>
      </c>
      <c r="P44" s="16">
        <v>6.9444444444444397E-3</v>
      </c>
      <c r="Q44" s="16">
        <v>0.47569444444444442</v>
      </c>
      <c r="R44" s="16">
        <v>0</v>
      </c>
      <c r="S44" s="16">
        <v>0.4826388888888889</v>
      </c>
      <c r="T44" s="16">
        <f>VLOOKUP(E44,'[2]21-3-2026'!E$3:T$35,16,FALSE)</f>
        <v>1.38888888888889E-2</v>
      </c>
      <c r="U44" s="16">
        <v>0.49652777777777773</v>
      </c>
      <c r="V44" s="16">
        <f t="shared" si="2"/>
        <v>0</v>
      </c>
      <c r="W44" s="16">
        <v>3.125E-2</v>
      </c>
      <c r="X44" s="16">
        <v>0.5</v>
      </c>
      <c r="Y44" s="16">
        <v>0.52777777777777779</v>
      </c>
      <c r="Z44" s="16">
        <f t="shared" si="3"/>
        <v>2.777777777777779E-2</v>
      </c>
      <c r="AA44" s="16">
        <v>0</v>
      </c>
      <c r="AB44" s="16">
        <v>0.53125</v>
      </c>
      <c r="AC44" s="17"/>
      <c r="AD44" s="51"/>
    </row>
    <row r="45" spans="1:30" ht="19.5" thickBot="1" x14ac:dyDescent="0.3">
      <c r="A45" s="14">
        <v>10</v>
      </c>
      <c r="B45" s="15">
        <v>2695</v>
      </c>
      <c r="C45" s="15" t="str">
        <f>VLOOKUP(B45,[3]داتا!$B$3:$D$107,2,FALSE)</f>
        <v>تلتين</v>
      </c>
      <c r="D45" s="34">
        <f>VLOOKUP(B45,[3]داتا!$B$3:$D$107,3,FALSE)</f>
        <v>3.125E-2</v>
      </c>
      <c r="E45" s="15" t="s">
        <v>34</v>
      </c>
      <c r="F45" s="15" t="s">
        <v>220</v>
      </c>
      <c r="G45" s="16">
        <v>0.25</v>
      </c>
      <c r="H45" s="16">
        <f t="shared" si="6"/>
        <v>0.25</v>
      </c>
      <c r="I45" s="16">
        <f t="shared" si="0"/>
        <v>0</v>
      </c>
      <c r="J45" s="16">
        <v>0.43402777777777773</v>
      </c>
      <c r="K45" s="16">
        <v>0.47569444444444442</v>
      </c>
      <c r="L45" s="16" t="s">
        <v>94</v>
      </c>
      <c r="M45" s="16" t="s">
        <v>94</v>
      </c>
      <c r="N45" s="16">
        <f t="shared" si="1"/>
        <v>4.1666666666666685E-2</v>
      </c>
      <c r="O45" s="16">
        <f t="shared" si="5"/>
        <v>1.0416666666666685E-2</v>
      </c>
      <c r="P45" s="16">
        <v>6.9444444444444397E-3</v>
      </c>
      <c r="Q45" s="16">
        <v>0.47569444444444442</v>
      </c>
      <c r="R45" s="16">
        <v>0</v>
      </c>
      <c r="S45" s="16">
        <v>0.4826388888888889</v>
      </c>
      <c r="T45" s="16">
        <f>VLOOKUP(E45,'[2]21-3-2026'!E$3:T$35,16,FALSE)</f>
        <v>1.0416666666666701E-2</v>
      </c>
      <c r="U45" s="16">
        <v>0.53819444444444442</v>
      </c>
      <c r="V45" s="16">
        <v>0</v>
      </c>
      <c r="W45" s="16">
        <v>4.1666666666666664E-2</v>
      </c>
      <c r="X45" s="16">
        <v>0.54027777777777775</v>
      </c>
      <c r="Y45" s="16">
        <v>0.56111111111111112</v>
      </c>
      <c r="Z45" s="16">
        <f t="shared" si="3"/>
        <v>2.083333333333337E-2</v>
      </c>
      <c r="AA45" s="16">
        <v>0</v>
      </c>
      <c r="AB45" s="16">
        <v>0.56388888888888888</v>
      </c>
      <c r="AC45" s="17"/>
      <c r="AD45" s="51"/>
    </row>
    <row r="46" spans="1:30" ht="19.5" thickBot="1" x14ac:dyDescent="0.3">
      <c r="A46" s="14">
        <v>11</v>
      </c>
      <c r="B46" s="15">
        <v>2917</v>
      </c>
      <c r="C46" s="15" t="str">
        <f>VLOOKUP(B46,[3]داتا!$B$3:$D$107,2,FALSE)</f>
        <v>تلتين</v>
      </c>
      <c r="D46" s="34">
        <f>VLOOKUP(B46,[3]داتا!$B$3:$D$107,3,FALSE)</f>
        <v>3.125E-2</v>
      </c>
      <c r="E46" s="15" t="s">
        <v>86</v>
      </c>
      <c r="F46" s="15" t="s">
        <v>224</v>
      </c>
      <c r="G46" s="16">
        <v>0.25</v>
      </c>
      <c r="H46" s="16">
        <f t="shared" si="6"/>
        <v>0.25</v>
      </c>
      <c r="I46" s="16">
        <f t="shared" si="0"/>
        <v>0</v>
      </c>
      <c r="J46" s="16">
        <v>0.50347222222222221</v>
      </c>
      <c r="K46" s="16">
        <v>0.52083333333333337</v>
      </c>
      <c r="L46" s="16" t="s">
        <v>94</v>
      </c>
      <c r="M46" s="16" t="s">
        <v>94</v>
      </c>
      <c r="N46" s="16">
        <f t="shared" si="1"/>
        <v>1.736111111111116E-2</v>
      </c>
      <c r="O46" s="16">
        <v>0</v>
      </c>
      <c r="P46" s="16">
        <v>6.9444444444444397E-3</v>
      </c>
      <c r="Q46" s="16">
        <v>0.52083333333333337</v>
      </c>
      <c r="R46" s="16">
        <v>0</v>
      </c>
      <c r="S46" s="16">
        <v>0.52083333333333337</v>
      </c>
      <c r="T46" s="16">
        <f>VLOOKUP(E46,'[2]21-3-2026'!E$3:T$35,16,FALSE)</f>
        <v>3.4722222222222199E-3</v>
      </c>
      <c r="U46" s="16">
        <v>0.53125</v>
      </c>
      <c r="V46" s="16">
        <f t="shared" si="2"/>
        <v>6.9444444444444198E-3</v>
      </c>
      <c r="W46" s="16">
        <v>4.1666666666666664E-2</v>
      </c>
      <c r="X46" s="16">
        <v>0.53472222222222221</v>
      </c>
      <c r="Y46" s="16">
        <v>0.57638888888888895</v>
      </c>
      <c r="Z46" s="16">
        <f t="shared" si="3"/>
        <v>4.1666666666666741E-2</v>
      </c>
      <c r="AA46" s="16">
        <f t="shared" si="4"/>
        <v>7.6327832942979512E-17</v>
      </c>
      <c r="AB46" s="16">
        <v>0.57986111111111105</v>
      </c>
      <c r="AC46" s="17"/>
      <c r="AD46" s="51"/>
    </row>
    <row r="47" spans="1:30" ht="19.5" thickBot="1" x14ac:dyDescent="0.3">
      <c r="A47" s="14">
        <v>12</v>
      </c>
      <c r="B47" s="15">
        <v>2714</v>
      </c>
      <c r="C47" s="15" t="str">
        <f>VLOOKUP(B47,[3]داتا!$B$3:$D$107,2,FALSE)</f>
        <v>تلتين</v>
      </c>
      <c r="D47" s="34">
        <f>VLOOKUP(B47,[3]داتا!$B$3:$D$107,3,FALSE)</f>
        <v>3.125E-2</v>
      </c>
      <c r="E47" s="15" t="s">
        <v>73</v>
      </c>
      <c r="F47" s="15" t="s">
        <v>211</v>
      </c>
      <c r="G47" s="16">
        <v>0.25</v>
      </c>
      <c r="H47" s="16">
        <f t="shared" si="6"/>
        <v>0.25</v>
      </c>
      <c r="I47" s="16">
        <f t="shared" si="0"/>
        <v>0</v>
      </c>
      <c r="J47" s="16">
        <v>0.39583333333333331</v>
      </c>
      <c r="K47" s="16">
        <v>0.42708333333333331</v>
      </c>
      <c r="L47" s="16" t="s">
        <v>97</v>
      </c>
      <c r="M47" s="16" t="s">
        <v>97</v>
      </c>
      <c r="N47" s="16">
        <f t="shared" si="1"/>
        <v>3.125E-2</v>
      </c>
      <c r="O47" s="16">
        <f t="shared" si="5"/>
        <v>0</v>
      </c>
      <c r="P47" s="16">
        <v>6.9444444444444397E-3</v>
      </c>
      <c r="Q47" s="16">
        <v>0.42708333333333331</v>
      </c>
      <c r="R47" s="16">
        <v>0</v>
      </c>
      <c r="S47" s="16">
        <v>0.43402777777777773</v>
      </c>
      <c r="T47" s="16">
        <f>VLOOKUP(E47,'[2]21-3-2026'!E$3:T$35,16,FALSE)</f>
        <v>3.4722222222222203E-2</v>
      </c>
      <c r="U47" s="16">
        <v>0.47222222222222227</v>
      </c>
      <c r="V47" s="16">
        <f t="shared" si="2"/>
        <v>3.4722222222223209E-3</v>
      </c>
      <c r="W47" s="16">
        <v>3.125E-2</v>
      </c>
      <c r="X47" s="16">
        <v>0.47569444444444442</v>
      </c>
      <c r="Y47" s="16">
        <v>0.5</v>
      </c>
      <c r="Z47" s="16">
        <f t="shared" si="3"/>
        <v>2.430555555555558E-2</v>
      </c>
      <c r="AA47" s="16">
        <v>0</v>
      </c>
      <c r="AB47" s="16">
        <v>0.50347222222222221</v>
      </c>
      <c r="AC47" s="17"/>
      <c r="AD47" s="51"/>
    </row>
    <row r="48" spans="1:30" ht="19.5" thickBot="1" x14ac:dyDescent="0.3">
      <c r="A48" s="14">
        <v>13</v>
      </c>
      <c r="B48" s="15">
        <v>2714</v>
      </c>
      <c r="C48" s="15" t="str">
        <f>VLOOKUP(B48,[3]داتا!$B$3:$D$107,2,FALSE)</f>
        <v>تلتين</v>
      </c>
      <c r="D48" s="34">
        <f>VLOOKUP(B48,[3]داتا!$B$3:$D$107,3,FALSE)</f>
        <v>3.125E-2</v>
      </c>
      <c r="E48" s="15" t="s">
        <v>35</v>
      </c>
      <c r="F48" s="15" t="s">
        <v>211</v>
      </c>
      <c r="G48" s="16">
        <v>0.25</v>
      </c>
      <c r="H48" s="16">
        <f t="shared" si="6"/>
        <v>0.25</v>
      </c>
      <c r="I48" s="16">
        <f t="shared" si="0"/>
        <v>0</v>
      </c>
      <c r="J48" s="16">
        <v>0.39583333333333331</v>
      </c>
      <c r="K48" s="16">
        <v>0.42708333333333331</v>
      </c>
      <c r="L48" s="16" t="s">
        <v>97</v>
      </c>
      <c r="M48" s="16" t="s">
        <v>97</v>
      </c>
      <c r="N48" s="16">
        <f t="shared" si="1"/>
        <v>3.125E-2</v>
      </c>
      <c r="O48" s="16">
        <f t="shared" si="5"/>
        <v>0</v>
      </c>
      <c r="P48" s="16">
        <v>6.9444444444444397E-3</v>
      </c>
      <c r="Q48" s="16">
        <v>0.42708333333333331</v>
      </c>
      <c r="R48" s="16">
        <v>0</v>
      </c>
      <c r="S48" s="16">
        <v>0.43402777777777773</v>
      </c>
      <c r="T48" s="16">
        <f>VLOOKUP(E48,'[2]21-3-2026'!E$3:T$35,16,FALSE)</f>
        <v>3.4722222222222203E-2</v>
      </c>
      <c r="U48" s="16">
        <v>0.50694444444444442</v>
      </c>
      <c r="V48" s="16">
        <v>0</v>
      </c>
      <c r="W48" s="16">
        <v>4.1666666666666664E-2</v>
      </c>
      <c r="X48" s="16">
        <v>0.51041666666666663</v>
      </c>
      <c r="Y48" s="16">
        <v>0.52777777777777779</v>
      </c>
      <c r="Z48" s="16">
        <f t="shared" si="3"/>
        <v>1.736111111111116E-2</v>
      </c>
      <c r="AA48" s="16">
        <v>0</v>
      </c>
      <c r="AB48" s="16">
        <v>0.53125</v>
      </c>
      <c r="AC48" s="17"/>
      <c r="AD48" s="51"/>
    </row>
    <row r="49" spans="1:30" ht="19.5" thickBot="1" x14ac:dyDescent="0.3">
      <c r="A49" s="14">
        <v>14</v>
      </c>
      <c r="B49" s="15">
        <v>6143</v>
      </c>
      <c r="C49" s="15" t="str">
        <f>VLOOKUP(B49,[3]داتا!$B$3:$D$107,2,FALSE)</f>
        <v>تلتين</v>
      </c>
      <c r="D49" s="34">
        <f>VLOOKUP(B49,[3]داتا!$B$3:$D$107,3,FALSE)</f>
        <v>3.125E-2</v>
      </c>
      <c r="E49" s="15" t="s">
        <v>57</v>
      </c>
      <c r="F49" s="15" t="s">
        <v>218</v>
      </c>
      <c r="G49" s="16">
        <v>0.25</v>
      </c>
      <c r="H49" s="16">
        <f t="shared" si="6"/>
        <v>0.25</v>
      </c>
      <c r="I49" s="16">
        <f t="shared" si="0"/>
        <v>0</v>
      </c>
      <c r="J49" s="16">
        <v>0.44097222222222227</v>
      </c>
      <c r="K49" s="16">
        <v>0.47222222222222227</v>
      </c>
      <c r="L49" s="16" t="s">
        <v>97</v>
      </c>
      <c r="M49" s="16" t="s">
        <v>97</v>
      </c>
      <c r="N49" s="16">
        <f t="shared" si="1"/>
        <v>3.125E-2</v>
      </c>
      <c r="O49" s="16">
        <f t="shared" si="5"/>
        <v>0</v>
      </c>
      <c r="P49" s="16">
        <v>6.9444444444444397E-3</v>
      </c>
      <c r="Q49" s="16">
        <v>0.47222222222222227</v>
      </c>
      <c r="R49" s="16">
        <v>0</v>
      </c>
      <c r="S49" s="16">
        <v>0.44097222222222227</v>
      </c>
      <c r="T49" s="16">
        <f>VLOOKUP(E49,'[2]21-3-2026'!E$3:T$35,16,FALSE)</f>
        <v>1.7361111111111101E-2</v>
      </c>
      <c r="U49" s="16">
        <v>0.5</v>
      </c>
      <c r="V49" s="16">
        <f t="shared" si="2"/>
        <v>4.166666666666663E-2</v>
      </c>
      <c r="W49" s="16">
        <v>3.125E-2</v>
      </c>
      <c r="X49" s="16">
        <v>0.50347222222222221</v>
      </c>
      <c r="Y49" s="16">
        <v>0.53125</v>
      </c>
      <c r="Z49" s="16">
        <f t="shared" si="3"/>
        <v>2.777777777777779E-2</v>
      </c>
      <c r="AA49" s="16">
        <v>0</v>
      </c>
      <c r="AB49" s="16">
        <v>0.53472222222222221</v>
      </c>
      <c r="AC49" s="17"/>
      <c r="AD49" s="51"/>
    </row>
    <row r="50" spans="1:30" ht="19.5" thickBot="1" x14ac:dyDescent="0.3">
      <c r="A50" s="14">
        <v>15</v>
      </c>
      <c r="B50" s="15">
        <v>6143</v>
      </c>
      <c r="C50" s="15" t="str">
        <f>VLOOKUP(B50,[3]داتا!$B$3:$D$107,2,FALSE)</f>
        <v>تلتين</v>
      </c>
      <c r="D50" s="34">
        <f>VLOOKUP(B50,[3]داتا!$B$3:$D$107,3,FALSE)</f>
        <v>3.125E-2</v>
      </c>
      <c r="E50" s="15" t="s">
        <v>38</v>
      </c>
      <c r="F50" s="15" t="s">
        <v>218</v>
      </c>
      <c r="G50" s="16">
        <v>0.25</v>
      </c>
      <c r="H50" s="16">
        <f t="shared" si="6"/>
        <v>0.25</v>
      </c>
      <c r="I50" s="16">
        <f t="shared" si="0"/>
        <v>0</v>
      </c>
      <c r="J50" s="16">
        <v>0.44097222222222227</v>
      </c>
      <c r="K50" s="16">
        <v>0.47222222222222227</v>
      </c>
      <c r="L50" s="16" t="s">
        <v>97</v>
      </c>
      <c r="M50" s="16" t="s">
        <v>97</v>
      </c>
      <c r="N50" s="16">
        <f t="shared" si="1"/>
        <v>3.125E-2</v>
      </c>
      <c r="O50" s="16">
        <f t="shared" si="5"/>
        <v>0</v>
      </c>
      <c r="P50" s="16">
        <v>6.9444444444444397E-3</v>
      </c>
      <c r="Q50" s="16">
        <v>0.47222222222222227</v>
      </c>
      <c r="R50" s="16">
        <v>0</v>
      </c>
      <c r="S50" s="16">
        <v>0.44097222222222227</v>
      </c>
      <c r="T50" s="16">
        <f>VLOOKUP(E50,'[2]21-3-2026'!E$3:T$35,16,FALSE)</f>
        <v>1.0416666666666666E-2</v>
      </c>
      <c r="U50" s="16">
        <v>0.54861111111111105</v>
      </c>
      <c r="V50" s="16">
        <v>3.472222222222222E-3</v>
      </c>
      <c r="W50" s="16">
        <v>4.1666666666666664E-2</v>
      </c>
      <c r="X50" s="16">
        <v>0.55208333333333337</v>
      </c>
      <c r="Y50" s="16">
        <v>0.58333333333333337</v>
      </c>
      <c r="Z50" s="16">
        <f t="shared" si="3"/>
        <v>3.125E-2</v>
      </c>
      <c r="AA50" s="16">
        <v>0</v>
      </c>
      <c r="AB50" s="16">
        <v>0.58680555555555558</v>
      </c>
      <c r="AC50" s="17"/>
      <c r="AD50" s="51"/>
    </row>
    <row r="51" spans="1:30" ht="19.5" thickBot="1" x14ac:dyDescent="0.3">
      <c r="A51" s="14">
        <v>16</v>
      </c>
      <c r="B51" s="15">
        <v>3783</v>
      </c>
      <c r="C51" s="15" t="str">
        <f>VLOOKUP(B51,[3]داتا!$B$3:$D$107,2,FALSE)</f>
        <v>دبابة</v>
      </c>
      <c r="D51" s="34">
        <f>VLOOKUP(B51,[3]داتا!$B$3:$D$107,3,FALSE)</f>
        <v>2.0833333333333301E-2</v>
      </c>
      <c r="E51" s="15" t="s">
        <v>63</v>
      </c>
      <c r="F51" s="15" t="s">
        <v>223</v>
      </c>
      <c r="G51" s="16">
        <v>0.25</v>
      </c>
      <c r="H51" s="16">
        <f t="shared" si="6"/>
        <v>0.25</v>
      </c>
      <c r="I51" s="16">
        <f t="shared" si="0"/>
        <v>0</v>
      </c>
      <c r="J51" s="16">
        <v>0.4826388888888889</v>
      </c>
      <c r="K51" s="16">
        <v>0.51041666666666663</v>
      </c>
      <c r="L51" s="16" t="s">
        <v>97</v>
      </c>
      <c r="M51" s="16" t="s">
        <v>97</v>
      </c>
      <c r="N51" s="16">
        <f t="shared" si="1"/>
        <v>2.7777777777777735E-2</v>
      </c>
      <c r="O51" s="16">
        <f t="shared" si="5"/>
        <v>6.9444444444444337E-3</v>
      </c>
      <c r="P51" s="16">
        <v>6.9444444444444397E-3</v>
      </c>
      <c r="Q51" s="16">
        <v>0.51041666666666663</v>
      </c>
      <c r="R51" s="16">
        <v>0</v>
      </c>
      <c r="S51" s="16">
        <v>0.51388888888888895</v>
      </c>
      <c r="T51" s="16">
        <f>VLOOKUP(E51,'[2]21-3-2026'!E$3:T$35,16,FALSE)</f>
        <v>6.25E-2</v>
      </c>
      <c r="U51" s="16">
        <v>0.5625</v>
      </c>
      <c r="V51" s="16">
        <v>0</v>
      </c>
      <c r="W51" s="16">
        <v>3.125E-2</v>
      </c>
      <c r="X51" s="16">
        <v>0.56597222222222221</v>
      </c>
      <c r="Y51" s="16">
        <v>0.60069444444444442</v>
      </c>
      <c r="Z51" s="16">
        <f t="shared" si="3"/>
        <v>3.472222222222221E-2</v>
      </c>
      <c r="AA51" s="16">
        <f t="shared" si="4"/>
        <v>3.4722222222222099E-3</v>
      </c>
      <c r="AB51" s="16">
        <v>0.60763888888888895</v>
      </c>
      <c r="AC51" s="17"/>
      <c r="AD51" s="51"/>
    </row>
    <row r="52" spans="1:30" ht="19.5" thickBot="1" x14ac:dyDescent="0.3">
      <c r="A52" s="14">
        <v>17</v>
      </c>
      <c r="B52" s="15">
        <v>1454</v>
      </c>
      <c r="C52" s="15" t="str">
        <f>VLOOKUP(B52,[3]داتا!$B$3:$D$107,2,FALSE)</f>
        <v>تلتين</v>
      </c>
      <c r="D52" s="34">
        <f>VLOOKUP(B52,[3]داتا!$B$3:$D$107,3,FALSE)</f>
        <v>3.125E-2</v>
      </c>
      <c r="E52" s="15" t="s">
        <v>42</v>
      </c>
      <c r="F52" s="16" t="s">
        <v>215</v>
      </c>
      <c r="G52" s="16">
        <v>0.25</v>
      </c>
      <c r="H52" s="16">
        <f t="shared" si="6"/>
        <v>0.25</v>
      </c>
      <c r="I52" s="16">
        <f t="shared" si="0"/>
        <v>0</v>
      </c>
      <c r="J52" s="16">
        <v>0.39930555555555558</v>
      </c>
      <c r="K52" s="16">
        <v>0.4375</v>
      </c>
      <c r="L52" s="16" t="s">
        <v>88</v>
      </c>
      <c r="M52" s="16" t="s">
        <v>88</v>
      </c>
      <c r="N52" s="16">
        <f t="shared" si="1"/>
        <v>3.819444444444442E-2</v>
      </c>
      <c r="O52" s="16">
        <f t="shared" si="5"/>
        <v>6.9444444444444198E-3</v>
      </c>
      <c r="P52" s="16">
        <v>6.9444444444444397E-3</v>
      </c>
      <c r="Q52" s="16">
        <v>0.4375</v>
      </c>
      <c r="R52" s="16">
        <v>0</v>
      </c>
      <c r="S52" s="16">
        <v>0.44444444444444442</v>
      </c>
      <c r="T52" s="16">
        <f>VLOOKUP(E52,'[2]21-3-2026'!E$3:T$35,16,FALSE)</f>
        <v>1.7361111111111101E-2</v>
      </c>
      <c r="U52" s="16">
        <v>0.46527777777777773</v>
      </c>
      <c r="V52" s="16">
        <f t="shared" si="2"/>
        <v>3.4722222222222099E-3</v>
      </c>
      <c r="W52" s="16">
        <v>3.125E-2</v>
      </c>
      <c r="X52" s="16">
        <v>0.46875</v>
      </c>
      <c r="Y52" s="16">
        <v>0.5</v>
      </c>
      <c r="Z52" s="16">
        <f t="shared" si="3"/>
        <v>3.125E-2</v>
      </c>
      <c r="AA52" s="16">
        <f t="shared" si="4"/>
        <v>0</v>
      </c>
      <c r="AB52" s="16">
        <v>0.50347222222222221</v>
      </c>
      <c r="AC52" s="17"/>
      <c r="AD52" s="51"/>
    </row>
    <row r="53" spans="1:30" ht="19.5" thickBot="1" x14ac:dyDescent="0.3">
      <c r="A53" s="14">
        <v>18</v>
      </c>
      <c r="B53" s="15">
        <v>1454</v>
      </c>
      <c r="C53" s="15" t="str">
        <f>VLOOKUP(B53,[3]داتا!$B$3:$D$107,2,FALSE)</f>
        <v>تلتين</v>
      </c>
      <c r="D53" s="34">
        <f>VLOOKUP(B53,[3]داتا!$B$3:$D$107,3,FALSE)</f>
        <v>3.125E-2</v>
      </c>
      <c r="E53" s="15" t="s">
        <v>45</v>
      </c>
      <c r="F53" s="15" t="s">
        <v>215</v>
      </c>
      <c r="G53" s="16">
        <v>0.25</v>
      </c>
      <c r="H53" s="16">
        <f t="shared" si="6"/>
        <v>0.25</v>
      </c>
      <c r="I53" s="16">
        <f t="shared" si="0"/>
        <v>0</v>
      </c>
      <c r="J53" s="16">
        <v>0.39930555555555558</v>
      </c>
      <c r="K53" s="16">
        <v>0.4375</v>
      </c>
      <c r="L53" s="16" t="s">
        <v>88</v>
      </c>
      <c r="M53" s="16" t="s">
        <v>88</v>
      </c>
      <c r="N53" s="16">
        <f t="shared" si="1"/>
        <v>3.819444444444442E-2</v>
      </c>
      <c r="O53" s="16">
        <f t="shared" si="5"/>
        <v>6.9444444444444198E-3</v>
      </c>
      <c r="P53" s="16">
        <v>6.9444444444444397E-3</v>
      </c>
      <c r="Q53" s="16">
        <v>0.4375</v>
      </c>
      <c r="R53" s="16">
        <v>0</v>
      </c>
      <c r="S53" s="16">
        <v>0.44444444444444442</v>
      </c>
      <c r="T53" s="16">
        <f>VLOOKUP(E53,'[2]21-3-2026'!E$3:T$35,16,FALSE)</f>
        <v>1.38888888888889E-2</v>
      </c>
      <c r="U53" s="16">
        <v>0.52777777777777779</v>
      </c>
      <c r="V53" s="16">
        <v>1.0416666666666666E-2</v>
      </c>
      <c r="W53" s="16">
        <v>4.1666666666666664E-2</v>
      </c>
      <c r="X53" s="16">
        <v>0.53125</v>
      </c>
      <c r="Y53" s="16">
        <v>0.5625</v>
      </c>
      <c r="Z53" s="16">
        <f t="shared" si="3"/>
        <v>3.125E-2</v>
      </c>
      <c r="AA53" s="16">
        <v>0</v>
      </c>
      <c r="AB53" s="16">
        <v>0.56597222222222221</v>
      </c>
      <c r="AC53" s="17"/>
      <c r="AD53" s="51"/>
    </row>
    <row r="54" spans="1:30" ht="19.5" thickBot="1" x14ac:dyDescent="0.3">
      <c r="A54" s="14">
        <v>19</v>
      </c>
      <c r="B54" s="15">
        <v>5898</v>
      </c>
      <c r="C54" s="15" t="str">
        <f>VLOOKUP(B54,[3]داتا!$B$3:$D$107,2,FALSE)</f>
        <v>تلتين</v>
      </c>
      <c r="D54" s="34">
        <f>VLOOKUP(B54,[3]داتا!$B$3:$D$107,3,FALSE)</f>
        <v>3.125E-2</v>
      </c>
      <c r="E54" s="15" t="s">
        <v>98</v>
      </c>
      <c r="F54" s="15" t="s">
        <v>213</v>
      </c>
      <c r="G54" s="16">
        <v>0.25</v>
      </c>
      <c r="H54" s="16">
        <f t="shared" si="6"/>
        <v>0.25</v>
      </c>
      <c r="I54" s="16">
        <f t="shared" si="0"/>
        <v>0</v>
      </c>
      <c r="J54" s="16">
        <v>0.46875</v>
      </c>
      <c r="K54" s="16">
        <v>0.49305555555555558</v>
      </c>
      <c r="L54" s="16" t="s">
        <v>88</v>
      </c>
      <c r="M54" s="16" t="s">
        <v>88</v>
      </c>
      <c r="N54" s="16">
        <f t="shared" si="1"/>
        <v>2.430555555555558E-2</v>
      </c>
      <c r="O54" s="16">
        <v>0</v>
      </c>
      <c r="P54" s="16">
        <v>6.9444444444444397E-3</v>
      </c>
      <c r="Q54" s="16">
        <v>0.49305555555555558</v>
      </c>
      <c r="R54" s="16">
        <v>0</v>
      </c>
      <c r="S54" s="16">
        <v>0.49305555555555558</v>
      </c>
      <c r="T54" s="16">
        <f>VLOOKUP(E54,'[2]21-3-2026'!E$3:T$35,16,FALSE)</f>
        <v>4.8611111111111103E-3</v>
      </c>
      <c r="U54" s="16">
        <v>0.51597222222222217</v>
      </c>
      <c r="V54" s="16">
        <f t="shared" si="2"/>
        <v>1.8055555555555491E-2</v>
      </c>
      <c r="W54" s="16">
        <v>3.125E-2</v>
      </c>
      <c r="X54" s="16">
        <v>0.51666666666666672</v>
      </c>
      <c r="Y54" s="16">
        <v>0.53402777777777777</v>
      </c>
      <c r="Z54" s="16">
        <f t="shared" si="3"/>
        <v>1.7361111111111049E-2</v>
      </c>
      <c r="AA54" s="16">
        <v>0</v>
      </c>
      <c r="AB54" s="16">
        <v>0.53472222222222221</v>
      </c>
      <c r="AC54" s="17"/>
      <c r="AD54" s="51"/>
    </row>
    <row r="55" spans="1:30" ht="19.5" thickBot="1" x14ac:dyDescent="0.3">
      <c r="A55" s="14">
        <v>20</v>
      </c>
      <c r="B55" s="15">
        <v>5898</v>
      </c>
      <c r="C55" s="15" t="str">
        <f>VLOOKUP(B55,[3]داتا!$B$3:$D$107,2,FALSE)</f>
        <v>تلتين</v>
      </c>
      <c r="D55" s="34">
        <f>VLOOKUP(B55,[3]داتا!$B$3:$D$107,3,FALSE)</f>
        <v>3.125E-2</v>
      </c>
      <c r="E55" s="15" t="s">
        <v>95</v>
      </c>
      <c r="F55" s="15" t="s">
        <v>213</v>
      </c>
      <c r="G55" s="16">
        <v>0.25</v>
      </c>
      <c r="H55" s="16">
        <f t="shared" si="6"/>
        <v>0.25</v>
      </c>
      <c r="I55" s="16">
        <f t="shared" si="0"/>
        <v>0</v>
      </c>
      <c r="J55" s="16">
        <v>0.46875</v>
      </c>
      <c r="K55" s="16">
        <v>0.49305555555555558</v>
      </c>
      <c r="L55" s="16" t="s">
        <v>88</v>
      </c>
      <c r="M55" s="16" t="s">
        <v>88</v>
      </c>
      <c r="N55" s="16">
        <f t="shared" si="1"/>
        <v>2.430555555555558E-2</v>
      </c>
      <c r="O55" s="16">
        <v>0</v>
      </c>
      <c r="P55" s="16">
        <v>6.9444444444444397E-3</v>
      </c>
      <c r="Q55" s="16">
        <v>0.49305555555555558</v>
      </c>
      <c r="R55" s="16">
        <v>0</v>
      </c>
      <c r="S55" s="16">
        <v>0.49305555555555558</v>
      </c>
      <c r="T55" s="16">
        <f>VLOOKUP(E55,'[2]21-3-2026'!E$3:T$35,16,FALSE)</f>
        <v>1.0416666666666701E-2</v>
      </c>
      <c r="U55" s="16">
        <v>0.54166666666666663</v>
      </c>
      <c r="V55" s="16">
        <v>0</v>
      </c>
      <c r="W55" s="16">
        <v>4.1666666666666664E-2</v>
      </c>
      <c r="X55" s="16">
        <v>0.54513888888888895</v>
      </c>
      <c r="Y55" s="16">
        <v>0.57291666666666663</v>
      </c>
      <c r="Z55" s="16">
        <f t="shared" si="3"/>
        <v>2.7777777777777679E-2</v>
      </c>
      <c r="AA55" s="16">
        <v>0</v>
      </c>
      <c r="AB55" s="16">
        <v>0.57986111111111105</v>
      </c>
      <c r="AC55" s="17"/>
      <c r="AD55" s="51"/>
    </row>
    <row r="56" spans="1:30" ht="19.5" thickBot="1" x14ac:dyDescent="0.3">
      <c r="A56" s="14">
        <v>21</v>
      </c>
      <c r="B56" s="15">
        <v>3492</v>
      </c>
      <c r="C56" s="15" t="str">
        <f>VLOOKUP(B56,[3]داتا!$B$3:$D$107,2,FALSE)</f>
        <v>تلتين</v>
      </c>
      <c r="D56" s="34">
        <f>VLOOKUP(B56,[3]داتا!$B$3:$D$107,3,FALSE)</f>
        <v>3.125E-2</v>
      </c>
      <c r="E56" s="15" t="s">
        <v>69</v>
      </c>
      <c r="F56" s="16" t="s">
        <v>230</v>
      </c>
      <c r="G56" s="16">
        <v>0.25</v>
      </c>
      <c r="H56" s="16">
        <f t="shared" si="6"/>
        <v>0.25</v>
      </c>
      <c r="I56" s="16">
        <f t="shared" si="0"/>
        <v>0</v>
      </c>
      <c r="J56" s="16">
        <v>0.40625</v>
      </c>
      <c r="K56" s="16">
        <v>0.42708333333333331</v>
      </c>
      <c r="L56" s="15" t="s">
        <v>110</v>
      </c>
      <c r="M56" s="15" t="s">
        <v>110</v>
      </c>
      <c r="N56" s="16">
        <f t="shared" si="1"/>
        <v>2.0833333333333315E-2</v>
      </c>
      <c r="O56" s="16">
        <v>0</v>
      </c>
      <c r="P56" s="16">
        <v>6.9444444444444397E-3</v>
      </c>
      <c r="Q56" s="16">
        <v>0.42708333333333331</v>
      </c>
      <c r="R56" s="16">
        <v>0</v>
      </c>
      <c r="S56" s="16">
        <v>0.43055555555555558</v>
      </c>
      <c r="T56" s="16">
        <f>VLOOKUP(E56,'[2]21-3-2026'!E$3:T$35,16,FALSE)</f>
        <v>1.38888888888889E-2</v>
      </c>
      <c r="U56" s="16">
        <v>0.44791666666666669</v>
      </c>
      <c r="V56" s="16">
        <f t="shared" si="2"/>
        <v>3.4722222222222099E-3</v>
      </c>
      <c r="W56" s="16">
        <v>3.125E-2</v>
      </c>
      <c r="X56" s="16">
        <v>0.4513888888888889</v>
      </c>
      <c r="Y56" s="16">
        <v>0.45833333333333331</v>
      </c>
      <c r="Z56" s="16">
        <f t="shared" si="3"/>
        <v>6.9444444444444198E-3</v>
      </c>
      <c r="AA56" s="16">
        <v>0</v>
      </c>
      <c r="AB56" s="16">
        <v>0.46527777777777773</v>
      </c>
      <c r="AC56" s="17"/>
      <c r="AD56" s="51"/>
    </row>
    <row r="57" spans="1:30" ht="19.5" thickBot="1" x14ac:dyDescent="0.3">
      <c r="A57" s="14">
        <v>22</v>
      </c>
      <c r="B57" s="15">
        <v>3492</v>
      </c>
      <c r="C57" s="15" t="str">
        <f>VLOOKUP(B57,[3]داتا!$B$3:$D$107,2,FALSE)</f>
        <v>تلتين</v>
      </c>
      <c r="D57" s="34">
        <f>VLOOKUP(B57,[3]داتا!$B$3:$D$107,3,FALSE)</f>
        <v>3.125E-2</v>
      </c>
      <c r="E57" s="15" t="s">
        <v>67</v>
      </c>
      <c r="F57" s="16" t="s">
        <v>230</v>
      </c>
      <c r="G57" s="16">
        <v>0.25</v>
      </c>
      <c r="H57" s="16">
        <f t="shared" si="6"/>
        <v>0.25</v>
      </c>
      <c r="I57" s="16">
        <f t="shared" si="0"/>
        <v>0</v>
      </c>
      <c r="J57" s="16">
        <v>0.40625</v>
      </c>
      <c r="K57" s="16">
        <v>0.42708333333333331</v>
      </c>
      <c r="L57" s="15" t="s">
        <v>110</v>
      </c>
      <c r="M57" s="15" t="s">
        <v>110</v>
      </c>
      <c r="N57" s="16">
        <f t="shared" si="1"/>
        <v>2.0833333333333315E-2</v>
      </c>
      <c r="O57" s="16">
        <v>0</v>
      </c>
      <c r="P57" s="16">
        <v>6.9444444444444397E-3</v>
      </c>
      <c r="Q57" s="16">
        <v>0.42708333333333331</v>
      </c>
      <c r="R57" s="16">
        <v>0</v>
      </c>
      <c r="S57" s="16">
        <v>0.43055555555555558</v>
      </c>
      <c r="T57" s="16">
        <f>VLOOKUP(E57,'[2]21-3-2026'!E$3:T$35,16,FALSE)</f>
        <v>1.7361111111111101E-2</v>
      </c>
      <c r="U57" s="16">
        <v>0.47222222222222227</v>
      </c>
      <c r="V57" s="16">
        <v>0</v>
      </c>
      <c r="W57" s="16">
        <v>4.1666666666666664E-2</v>
      </c>
      <c r="X57" s="16">
        <v>0.47569444444444442</v>
      </c>
      <c r="Y57" s="16">
        <v>0.49305555555555558</v>
      </c>
      <c r="Z57" s="16">
        <f t="shared" si="3"/>
        <v>1.736111111111116E-2</v>
      </c>
      <c r="AA57" s="16">
        <v>0</v>
      </c>
      <c r="AB57" s="16">
        <v>0.49652777777777773</v>
      </c>
      <c r="AC57" s="17"/>
      <c r="AD57" s="51"/>
    </row>
    <row r="58" spans="1:30" ht="19.5" thickBot="1" x14ac:dyDescent="0.3">
      <c r="A58" s="14">
        <v>23</v>
      </c>
      <c r="B58" s="15">
        <v>3891</v>
      </c>
      <c r="C58" s="15" t="str">
        <f>VLOOKUP(B58,[3]داتا!$B$3:$D$107,2,FALSE)</f>
        <v>تلتين</v>
      </c>
      <c r="D58" s="34">
        <f>VLOOKUP(B58,[3]داتا!$B$3:$D$107,3,FALSE)</f>
        <v>3.125E-2</v>
      </c>
      <c r="E58" s="15" t="s">
        <v>49</v>
      </c>
      <c r="F58" s="15" t="s">
        <v>48</v>
      </c>
      <c r="G58" s="16">
        <v>0.25</v>
      </c>
      <c r="H58" s="16">
        <f t="shared" si="6"/>
        <v>0.25</v>
      </c>
      <c r="I58" s="16">
        <f t="shared" si="0"/>
        <v>0</v>
      </c>
      <c r="J58" s="16">
        <v>0.44097222222222227</v>
      </c>
      <c r="K58" s="16">
        <v>0.4826388888888889</v>
      </c>
      <c r="L58" s="15" t="s">
        <v>110</v>
      </c>
      <c r="M58" s="15" t="s">
        <v>110</v>
      </c>
      <c r="N58" s="16">
        <f t="shared" si="1"/>
        <v>4.166666666666663E-2</v>
      </c>
      <c r="O58" s="16">
        <f t="shared" si="5"/>
        <v>1.041666666666663E-2</v>
      </c>
      <c r="P58" s="16">
        <v>6.9444444444444397E-3</v>
      </c>
      <c r="Q58" s="16">
        <v>0.4826388888888889</v>
      </c>
      <c r="R58" s="16">
        <v>0</v>
      </c>
      <c r="S58" s="16">
        <v>0.48958333333333331</v>
      </c>
      <c r="T58" s="16">
        <f>VLOOKUP(E58,'[2]21-3-2026'!E$3:T$35,16,FALSE)</f>
        <v>3.4722222222222203E-2</v>
      </c>
      <c r="U58" s="16">
        <v>0.52430555555555558</v>
      </c>
      <c r="V58" s="16">
        <f t="shared" si="2"/>
        <v>0</v>
      </c>
      <c r="W58" s="16">
        <v>4.1666666666666664E-2</v>
      </c>
      <c r="X58" s="16">
        <v>0.52916666666666667</v>
      </c>
      <c r="Y58" s="16">
        <v>0.56458333333333333</v>
      </c>
      <c r="Z58" s="16">
        <f t="shared" si="3"/>
        <v>3.5416666666666652E-2</v>
      </c>
      <c r="AA58" s="16">
        <v>0</v>
      </c>
      <c r="AB58" s="16">
        <v>0.56597222222222221</v>
      </c>
      <c r="AC58" s="17"/>
      <c r="AD58" s="51"/>
    </row>
    <row r="59" spans="1:30" ht="19.5" thickBot="1" x14ac:dyDescent="0.3">
      <c r="A59" s="14">
        <v>24</v>
      </c>
      <c r="B59" s="15">
        <v>7464</v>
      </c>
      <c r="C59" s="15" t="str">
        <f>VLOOKUP(B59,[3]داتا!$B$3:$D$107,2,FALSE)</f>
        <v>تلتين</v>
      </c>
      <c r="D59" s="34">
        <f>VLOOKUP(B59,[3]داتا!$B$3:$D$107,3,FALSE)</f>
        <v>3.125E-2</v>
      </c>
      <c r="E59" s="16" t="s">
        <v>46</v>
      </c>
      <c r="F59" s="15" t="s">
        <v>227</v>
      </c>
      <c r="G59" s="16">
        <v>0.25</v>
      </c>
      <c r="H59" s="16">
        <f t="shared" si="6"/>
        <v>0.25</v>
      </c>
      <c r="I59" s="16">
        <f t="shared" si="0"/>
        <v>0</v>
      </c>
      <c r="J59" s="16">
        <v>0.48958333333333331</v>
      </c>
      <c r="K59" s="16">
        <v>0.52083333333333337</v>
      </c>
      <c r="L59" s="15" t="s">
        <v>110</v>
      </c>
      <c r="M59" s="15" t="s">
        <v>110</v>
      </c>
      <c r="N59" s="16">
        <f>K59-J59</f>
        <v>3.1250000000000056E-2</v>
      </c>
      <c r="O59" s="16">
        <f t="shared" si="5"/>
        <v>5.5511151231257827E-17</v>
      </c>
      <c r="P59" s="16">
        <v>6.9444444444444397E-3</v>
      </c>
      <c r="Q59" s="16">
        <v>0.52083333333333337</v>
      </c>
      <c r="R59" s="16">
        <v>0</v>
      </c>
      <c r="S59" s="16">
        <v>0.52430555555555558</v>
      </c>
      <c r="T59" s="16">
        <f>VLOOKUP(E59,'[2]21-3-2026'!E$3:T$35,16,FALSE)</f>
        <v>3.4722222222222203E-2</v>
      </c>
      <c r="U59" s="16">
        <v>0.55555555555555558</v>
      </c>
      <c r="V59" s="16">
        <v>0</v>
      </c>
      <c r="W59" s="16">
        <v>4.1666666666666664E-2</v>
      </c>
      <c r="X59" s="16">
        <v>0.55763888888888891</v>
      </c>
      <c r="Y59" s="16">
        <v>0.61111111111111105</v>
      </c>
      <c r="Z59" s="16">
        <f t="shared" si="3"/>
        <v>5.3472222222222143E-2</v>
      </c>
      <c r="AA59" s="16">
        <f t="shared" si="4"/>
        <v>1.1805555555555479E-2</v>
      </c>
      <c r="AB59" s="16">
        <v>0.61527777777777781</v>
      </c>
      <c r="AC59" s="17"/>
      <c r="AD59" s="51"/>
    </row>
    <row r="60" spans="1:30" ht="19.5" thickBot="1" x14ac:dyDescent="0.3">
      <c r="A60" s="14">
        <v>25</v>
      </c>
      <c r="B60" s="15">
        <v>1537</v>
      </c>
      <c r="C60" s="15" t="str">
        <f>VLOOKUP(B60,[3]داتا!$B$3:$D$107,2,FALSE)</f>
        <v>تلتين</v>
      </c>
      <c r="D60" s="34">
        <f>VLOOKUP(B60,[3]داتا!$B$3:$D$107,3,FALSE)</f>
        <v>3.125E-2</v>
      </c>
      <c r="E60" s="15" t="s">
        <v>83</v>
      </c>
      <c r="F60" s="15" t="s">
        <v>219</v>
      </c>
      <c r="G60" s="16">
        <v>0.25</v>
      </c>
      <c r="H60" s="16">
        <f t="shared" si="6"/>
        <v>0.25</v>
      </c>
      <c r="I60" s="16">
        <f t="shared" si="0"/>
        <v>0</v>
      </c>
      <c r="J60" s="16">
        <v>0.3923611111111111</v>
      </c>
      <c r="K60" s="16">
        <v>0.42499999999999999</v>
      </c>
      <c r="L60" s="16" t="s">
        <v>85</v>
      </c>
      <c r="M60" s="16" t="s">
        <v>85</v>
      </c>
      <c r="N60" s="16">
        <f>K60-J60</f>
        <v>3.2638888888888884E-2</v>
      </c>
      <c r="O60" s="16">
        <v>0</v>
      </c>
      <c r="P60" s="16">
        <v>6.9444444444444397E-3</v>
      </c>
      <c r="Q60" s="16">
        <v>4.9999999999999996E-2</v>
      </c>
      <c r="R60" s="16">
        <v>0</v>
      </c>
      <c r="S60" s="16">
        <v>0.42708333333333331</v>
      </c>
      <c r="T60" s="16">
        <f>VLOOKUP(E60,'[2]21-3-2026'!E$3:T$35,16,FALSE)</f>
        <v>1.38888888888889E-2</v>
      </c>
      <c r="U60" s="16">
        <v>0.44791666666666669</v>
      </c>
      <c r="V60" s="16">
        <f t="shared" si="2"/>
        <v>6.9444444444444753E-3</v>
      </c>
      <c r="W60" s="16">
        <v>3.125E-2</v>
      </c>
      <c r="X60" s="16">
        <v>0.4513888888888889</v>
      </c>
      <c r="Y60" s="16">
        <v>0.46875</v>
      </c>
      <c r="Z60" s="16">
        <f t="shared" si="3"/>
        <v>1.7361111111111105E-2</v>
      </c>
      <c r="AA60" s="16">
        <v>0</v>
      </c>
      <c r="AB60" s="16">
        <v>0.47083333333333338</v>
      </c>
      <c r="AC60" s="17"/>
      <c r="AD60" s="51"/>
    </row>
    <row r="61" spans="1:30" ht="19.5" thickBot="1" x14ac:dyDescent="0.3">
      <c r="A61" s="14">
        <v>26</v>
      </c>
      <c r="B61" s="15">
        <v>1537</v>
      </c>
      <c r="C61" s="15" t="str">
        <f>VLOOKUP(B61,[3]داتا!$B$3:$D$107,2,FALSE)</f>
        <v>تلتين</v>
      </c>
      <c r="D61" s="34">
        <f>VLOOKUP(B61,[3]داتا!$B$3:$D$107,3,FALSE)</f>
        <v>3.125E-2</v>
      </c>
      <c r="E61" s="15" t="s">
        <v>77</v>
      </c>
      <c r="F61" s="15" t="s">
        <v>219</v>
      </c>
      <c r="G61" s="16">
        <v>0.25</v>
      </c>
      <c r="H61" s="16">
        <f t="shared" si="6"/>
        <v>0.25</v>
      </c>
      <c r="I61" s="16">
        <f t="shared" si="0"/>
        <v>0</v>
      </c>
      <c r="J61" s="16">
        <v>0.3923611111111111</v>
      </c>
      <c r="K61" s="16">
        <v>0.42499999999999999</v>
      </c>
      <c r="L61" s="16" t="s">
        <v>85</v>
      </c>
      <c r="M61" s="16" t="s">
        <v>85</v>
      </c>
      <c r="N61" s="16">
        <f t="shared" si="1"/>
        <v>3.2638888888888884E-2</v>
      </c>
      <c r="O61" s="45">
        <f t="shared" si="5"/>
        <v>1.388888888888884E-3</v>
      </c>
      <c r="P61" s="16">
        <v>6.9444444444444397E-3</v>
      </c>
      <c r="Q61" s="16">
        <v>0.42499999999999999</v>
      </c>
      <c r="R61" s="16">
        <v>0</v>
      </c>
      <c r="S61" s="16">
        <v>0.42708333333333331</v>
      </c>
      <c r="T61" s="16">
        <f>VLOOKUP(E61,'[2]21-3-2026'!E$3:T$35,16,FALSE)</f>
        <v>1.38888888888889E-2</v>
      </c>
      <c r="U61" s="16">
        <v>0.47916666666666669</v>
      </c>
      <c r="V61" s="16">
        <v>0</v>
      </c>
      <c r="W61" s="16">
        <v>4.1666666666666664E-2</v>
      </c>
      <c r="X61" s="16">
        <v>0.4861111111111111</v>
      </c>
      <c r="Y61" s="16">
        <v>0.51736111111111105</v>
      </c>
      <c r="Z61" s="16">
        <f t="shared" si="3"/>
        <v>3.1249999999999944E-2</v>
      </c>
      <c r="AA61" s="16">
        <v>0</v>
      </c>
      <c r="AB61" s="16">
        <v>0.52083333333333337</v>
      </c>
      <c r="AC61" s="17"/>
      <c r="AD61" s="51"/>
    </row>
    <row r="62" spans="1:30" ht="19.5" thickBot="1" x14ac:dyDescent="0.3">
      <c r="A62" s="14">
        <v>27</v>
      </c>
      <c r="B62" s="15">
        <v>3495</v>
      </c>
      <c r="C62" s="15" t="str">
        <f>VLOOKUP(B62,[3]داتا!$B$3:$D$107,2,FALSE)</f>
        <v>تلتين</v>
      </c>
      <c r="D62" s="34">
        <f>VLOOKUP(B62,[3]داتا!$B$3:$D$107,3,FALSE)</f>
        <v>3.125E-2</v>
      </c>
      <c r="E62" s="15" t="s">
        <v>81</v>
      </c>
      <c r="F62" s="15" t="s">
        <v>222</v>
      </c>
      <c r="G62" s="16">
        <v>0.25</v>
      </c>
      <c r="H62" s="16">
        <f t="shared" si="6"/>
        <v>0.25</v>
      </c>
      <c r="I62" s="16">
        <f t="shared" si="0"/>
        <v>0</v>
      </c>
      <c r="J62" s="16">
        <v>0.43055555555555558</v>
      </c>
      <c r="K62" s="16">
        <v>0.44791666666666669</v>
      </c>
      <c r="L62" s="16" t="s">
        <v>85</v>
      </c>
      <c r="M62" s="16" t="s">
        <v>85</v>
      </c>
      <c r="N62" s="16">
        <f t="shared" si="1"/>
        <v>1.7361111111111105E-2</v>
      </c>
      <c r="O62" s="16">
        <v>0</v>
      </c>
      <c r="P62" s="16">
        <v>6.9444444444444397E-3</v>
      </c>
      <c r="Q62" s="16">
        <v>0.44791666666666669</v>
      </c>
      <c r="R62" s="16">
        <v>0</v>
      </c>
      <c r="S62" s="16">
        <v>0.4548611111111111</v>
      </c>
      <c r="T62" s="16">
        <f>VLOOKUP(E62,'[2]21-3-2026'!E$3:T$35,16,FALSE)</f>
        <v>2.7777777777777801E-2</v>
      </c>
      <c r="U62" s="16">
        <v>0.4861111111111111</v>
      </c>
      <c r="V62" s="16">
        <f t="shared" si="2"/>
        <v>3.4722222222222099E-3</v>
      </c>
      <c r="W62" s="16">
        <v>4.1666666666666664E-2</v>
      </c>
      <c r="X62" s="16">
        <v>0.48958333333333331</v>
      </c>
      <c r="Y62" s="16">
        <v>0.52083333333333337</v>
      </c>
      <c r="Z62" s="16">
        <f t="shared" si="3"/>
        <v>3.1250000000000056E-2</v>
      </c>
      <c r="AA62" s="16">
        <v>0</v>
      </c>
      <c r="AB62" s="16">
        <v>0.52430555555555558</v>
      </c>
      <c r="AC62" s="17"/>
      <c r="AD62" s="51"/>
    </row>
    <row r="63" spans="1:30" ht="19.5" thickBot="1" x14ac:dyDescent="0.3">
      <c r="A63" s="14">
        <v>28</v>
      </c>
      <c r="B63" s="15">
        <v>1538</v>
      </c>
      <c r="C63" s="15" t="str">
        <f>VLOOKUP(B63,[3]داتا!$B$3:$D$107,2,FALSE)</f>
        <v>تلتين</v>
      </c>
      <c r="D63" s="34">
        <f>VLOOKUP(B63,[3]داتا!$B$3:$D$107,3,FALSE)</f>
        <v>3.125E-2</v>
      </c>
      <c r="E63" s="15" t="s">
        <v>51</v>
      </c>
      <c r="F63" s="15" t="s">
        <v>225</v>
      </c>
      <c r="G63" s="16">
        <v>0.25</v>
      </c>
      <c r="H63" s="16">
        <f t="shared" si="6"/>
        <v>0.25</v>
      </c>
      <c r="I63" s="16">
        <f t="shared" si="0"/>
        <v>0</v>
      </c>
      <c r="J63" s="16">
        <v>0.45833333333333331</v>
      </c>
      <c r="K63" s="16">
        <v>0.51736111111111105</v>
      </c>
      <c r="L63" s="16" t="s">
        <v>85</v>
      </c>
      <c r="M63" s="16" t="s">
        <v>85</v>
      </c>
      <c r="N63" s="16">
        <f t="shared" si="1"/>
        <v>5.9027777777777735E-2</v>
      </c>
      <c r="O63" s="16">
        <f t="shared" si="5"/>
        <v>2.7777777777777735E-2</v>
      </c>
      <c r="P63" s="16">
        <v>6.9444444444444397E-3</v>
      </c>
      <c r="Q63" s="16">
        <v>0.51736111111111105</v>
      </c>
      <c r="R63" s="16">
        <v>0</v>
      </c>
      <c r="S63" s="16">
        <v>0.52083333333333337</v>
      </c>
      <c r="T63" s="16">
        <f>VLOOKUP(E63,'[2]21-3-2026'!E$3:T$35,16,FALSE)</f>
        <v>2.4305555555555601E-2</v>
      </c>
      <c r="U63" s="16">
        <v>0.55208333333333337</v>
      </c>
      <c r="V63" s="16">
        <f t="shared" si="2"/>
        <v>6.9444444444444198E-3</v>
      </c>
      <c r="W63" s="16">
        <v>3.125E-2</v>
      </c>
      <c r="X63" s="16">
        <v>0.55555555555555558</v>
      </c>
      <c r="Y63" s="16">
        <v>0.58680555555555558</v>
      </c>
      <c r="Z63" s="16">
        <f t="shared" si="3"/>
        <v>3.125E-2</v>
      </c>
      <c r="AA63" s="16">
        <v>0</v>
      </c>
      <c r="AB63" s="16">
        <v>0.59027777777777779</v>
      </c>
      <c r="AC63" s="17"/>
      <c r="AD63" s="51"/>
    </row>
    <row r="64" spans="1:30" ht="19.5" thickBot="1" x14ac:dyDescent="0.3">
      <c r="A64" s="14">
        <v>29</v>
      </c>
      <c r="B64" s="15">
        <v>1538</v>
      </c>
      <c r="C64" s="15" t="str">
        <f>VLOOKUP(B64,[3]داتا!$B$3:$D$107,2,FALSE)</f>
        <v>تلتين</v>
      </c>
      <c r="D64" s="34">
        <f>VLOOKUP(B64,[3]داتا!$B$3:$D$107,3,FALSE)</f>
        <v>3.125E-2</v>
      </c>
      <c r="E64" s="15" t="s">
        <v>54</v>
      </c>
      <c r="F64" s="15" t="s">
        <v>225</v>
      </c>
      <c r="G64" s="16">
        <v>0.25</v>
      </c>
      <c r="H64" s="16">
        <f t="shared" si="6"/>
        <v>0.25</v>
      </c>
      <c r="I64" s="16">
        <f t="shared" si="0"/>
        <v>0</v>
      </c>
      <c r="J64" s="16">
        <v>0.45833333333333331</v>
      </c>
      <c r="K64" s="16">
        <v>0.51736111111111105</v>
      </c>
      <c r="L64" s="16" t="s">
        <v>85</v>
      </c>
      <c r="M64" s="16" t="s">
        <v>85</v>
      </c>
      <c r="N64" s="16">
        <f t="shared" si="1"/>
        <v>5.9027777777777735E-2</v>
      </c>
      <c r="O64" s="16">
        <f t="shared" si="5"/>
        <v>2.7777777777777735E-2</v>
      </c>
      <c r="P64" s="16">
        <v>6.9444444444444397E-3</v>
      </c>
      <c r="Q64" s="16">
        <v>0.51736111111111105</v>
      </c>
      <c r="R64" s="16">
        <v>0</v>
      </c>
      <c r="S64" s="16">
        <v>0.52083333333333337</v>
      </c>
      <c r="T64" s="16">
        <f>VLOOKUP(E64,'[2]21-3-2026'!E$3:T$35,16,FALSE)</f>
        <v>1.0416666666666701E-2</v>
      </c>
      <c r="U64" s="16">
        <v>0.60416666666666663</v>
      </c>
      <c r="V64" s="16">
        <v>3.472222222222222E-3</v>
      </c>
      <c r="W64" s="16">
        <v>4.1666666666666664E-2</v>
      </c>
      <c r="X64" s="16">
        <v>0.60763888888888895</v>
      </c>
      <c r="Y64" s="16">
        <v>0.62638888888888888</v>
      </c>
      <c r="Z64" s="16">
        <f t="shared" si="3"/>
        <v>1.8749999999999933E-2</v>
      </c>
      <c r="AA64" s="16">
        <v>0</v>
      </c>
      <c r="AB64" s="16">
        <v>0.62847222222222221</v>
      </c>
      <c r="AC64" s="17"/>
      <c r="AD64" s="51"/>
    </row>
    <row r="65" spans="1:30" ht="19.5" thickBot="1" x14ac:dyDescent="0.3">
      <c r="A65" s="14">
        <v>30</v>
      </c>
      <c r="B65" s="15">
        <v>3793</v>
      </c>
      <c r="C65" s="15" t="str">
        <f>VLOOKUP(B65,[3]داتا!$B$3:$D$107,2,FALSE)</f>
        <v>دبابة</v>
      </c>
      <c r="D65" s="34">
        <f>VLOOKUP(B65,[3]داتا!$B$3:$D$107,3,FALSE)</f>
        <v>2.0833333333333301E-2</v>
      </c>
      <c r="E65" s="15" t="s">
        <v>72</v>
      </c>
      <c r="F65" s="15" t="s">
        <v>93</v>
      </c>
      <c r="G65" s="16">
        <v>0.25</v>
      </c>
      <c r="H65" s="16">
        <f t="shared" si="6"/>
        <v>0.25</v>
      </c>
      <c r="I65" s="16">
        <f t="shared" si="0"/>
        <v>0</v>
      </c>
      <c r="J65" s="16">
        <v>0.40277777777777773</v>
      </c>
      <c r="K65" s="16">
        <v>0.4236111111111111</v>
      </c>
      <c r="L65" s="16" t="s">
        <v>190</v>
      </c>
      <c r="M65" s="16" t="s">
        <v>235</v>
      </c>
      <c r="N65" s="16">
        <f t="shared" si="1"/>
        <v>2.083333333333337E-2</v>
      </c>
      <c r="O65" s="16">
        <f t="shared" si="5"/>
        <v>6.9388939039072284E-17</v>
      </c>
      <c r="P65" s="16">
        <v>6.9444444444444397E-3</v>
      </c>
      <c r="Q65" s="16">
        <v>0.4236111111111111</v>
      </c>
      <c r="R65" s="16">
        <v>0</v>
      </c>
      <c r="S65" s="16">
        <v>0.43402777777777773</v>
      </c>
      <c r="T65" s="16">
        <f>VLOOKUP(E65,'[2]21-3-2026'!E$3:T$35,16,FALSE)</f>
        <v>1.0416666666666701E-2</v>
      </c>
      <c r="U65" s="16">
        <v>0.44791666666666669</v>
      </c>
      <c r="V65" s="16">
        <f t="shared" si="2"/>
        <v>3.4722222222222654E-3</v>
      </c>
      <c r="W65" s="16">
        <v>2.0833333333333332E-2</v>
      </c>
      <c r="X65" s="16">
        <v>0.4513888888888889</v>
      </c>
      <c r="Y65" s="16">
        <v>0.47430555555555554</v>
      </c>
      <c r="Z65" s="16">
        <f t="shared" si="3"/>
        <v>2.2916666666666641E-2</v>
      </c>
      <c r="AA65" s="16">
        <f t="shared" si="4"/>
        <v>2.0833333333333086E-3</v>
      </c>
      <c r="AB65" s="16">
        <v>0.47569444444444442</v>
      </c>
      <c r="AC65" s="17"/>
      <c r="AD65" s="51"/>
    </row>
    <row r="66" spans="1:30" ht="20.25" customHeight="1" thickBot="1" x14ac:dyDescent="0.3">
      <c r="A66" s="14">
        <v>31</v>
      </c>
      <c r="B66" s="15">
        <v>3793</v>
      </c>
      <c r="C66" s="15" t="str">
        <f>VLOOKUP(B66,[3]داتا!$B$3:$D$107,2,FALSE)</f>
        <v>دبابة</v>
      </c>
      <c r="D66" s="34">
        <f>VLOOKUP(B66,[3]داتا!$B$3:$D$107,3,FALSE)</f>
        <v>2.0833333333333301E-2</v>
      </c>
      <c r="E66" s="15" t="s">
        <v>92</v>
      </c>
      <c r="F66" s="15" t="s">
        <v>93</v>
      </c>
      <c r="G66" s="16">
        <v>0.25</v>
      </c>
      <c r="H66" s="16">
        <f t="shared" si="6"/>
        <v>0.25</v>
      </c>
      <c r="I66" s="16">
        <f t="shared" si="0"/>
        <v>0</v>
      </c>
      <c r="J66" s="16">
        <v>0.40277777777777773</v>
      </c>
      <c r="K66" s="16">
        <v>0.4236111111111111</v>
      </c>
      <c r="L66" s="16" t="s">
        <v>190</v>
      </c>
      <c r="M66" s="16" t="s">
        <v>235</v>
      </c>
      <c r="N66" s="16">
        <f t="shared" si="1"/>
        <v>2.083333333333337E-2</v>
      </c>
      <c r="O66" s="16">
        <f t="shared" si="5"/>
        <v>6.9388939039072284E-17</v>
      </c>
      <c r="P66" s="16">
        <v>6.9444444444444397E-3</v>
      </c>
      <c r="Q66" s="16">
        <v>0.4236111111111111</v>
      </c>
      <c r="R66" s="16">
        <v>0</v>
      </c>
      <c r="S66" s="16">
        <v>0.43402777777777773</v>
      </c>
      <c r="T66" s="16">
        <f>VLOOKUP(E66,'[2]21-3-2026'!E$3:T$35,16,FALSE)</f>
        <v>1.38888888888889E-2</v>
      </c>
      <c r="U66" s="16">
        <v>0.4826388888888889</v>
      </c>
      <c r="V66" s="16">
        <v>0</v>
      </c>
      <c r="W66" s="16">
        <v>3.125E-2</v>
      </c>
      <c r="X66" s="16">
        <v>0.4861111111111111</v>
      </c>
      <c r="Y66" s="16">
        <v>0.50138888888888888</v>
      </c>
      <c r="Z66" s="16">
        <f t="shared" si="3"/>
        <v>1.5277777777777779E-2</v>
      </c>
      <c r="AA66" s="16">
        <v>0</v>
      </c>
      <c r="AB66" s="16">
        <v>0.50347222222222221</v>
      </c>
      <c r="AC66" s="19"/>
      <c r="AD66" s="51"/>
    </row>
    <row r="67" spans="1:30" ht="19.5" customHeight="1" thickBot="1" x14ac:dyDescent="0.3">
      <c r="A67" s="20">
        <v>32</v>
      </c>
      <c r="B67" s="21">
        <v>634</v>
      </c>
      <c r="C67" s="21" t="str">
        <f>VLOOKUP(B67,[3]داتا!$B$3:$D$107,2,FALSE)</f>
        <v>دبابة</v>
      </c>
      <c r="D67" s="35">
        <f>VLOOKUP(B67,[3]داتا!$B$3:$D$107,3,FALSE)</f>
        <v>2.0833333333333301E-2</v>
      </c>
      <c r="E67" s="21" t="s">
        <v>65</v>
      </c>
      <c r="F67" s="21" t="s">
        <v>90</v>
      </c>
      <c r="G67" s="22">
        <v>0.25</v>
      </c>
      <c r="H67" s="22">
        <f t="shared" si="6"/>
        <v>0.25</v>
      </c>
      <c r="I67" s="22">
        <f t="shared" si="0"/>
        <v>0</v>
      </c>
      <c r="J67" s="22">
        <v>0.44097222222222227</v>
      </c>
      <c r="K67" s="22">
        <v>0.49652777777777773</v>
      </c>
      <c r="L67" s="22" t="s">
        <v>190</v>
      </c>
      <c r="M67" s="22" t="s">
        <v>235</v>
      </c>
      <c r="N67" s="22">
        <f t="shared" si="1"/>
        <v>5.5555555555555469E-2</v>
      </c>
      <c r="O67" s="22">
        <f t="shared" si="5"/>
        <v>3.4722222222222168E-2</v>
      </c>
      <c r="P67" s="22">
        <v>6.9444444444444397E-3</v>
      </c>
      <c r="Q67" s="22">
        <v>0.49652777777777773</v>
      </c>
      <c r="R67" s="22">
        <v>0</v>
      </c>
      <c r="S67" s="22">
        <v>0.5</v>
      </c>
      <c r="T67" s="22">
        <f>VLOOKUP(E67,'[2]21-3-2026'!E$3:T$35,16,FALSE)</f>
        <v>4.1666666666666699E-2</v>
      </c>
      <c r="U67" s="22">
        <v>0.55208333333333337</v>
      </c>
      <c r="V67" s="22">
        <v>0</v>
      </c>
      <c r="W67" s="22">
        <v>3.125E-2</v>
      </c>
      <c r="X67" s="22">
        <v>0.55555555555555558</v>
      </c>
      <c r="Y67" s="22">
        <v>0.59375</v>
      </c>
      <c r="Z67" s="22">
        <f t="shared" si="3"/>
        <v>3.819444444444442E-2</v>
      </c>
      <c r="AA67" s="22">
        <f t="shared" ref="AA67" si="7">Z67-W67</f>
        <v>6.9444444444444198E-3</v>
      </c>
      <c r="AB67" s="22">
        <v>0.59722222222222221</v>
      </c>
      <c r="AC67" s="23"/>
      <c r="AD67" s="52"/>
    </row>
    <row r="68" spans="1:30" ht="20.25" thickTop="1" thickBot="1" x14ac:dyDescent="0.3">
      <c r="A68" s="10">
        <v>1</v>
      </c>
      <c r="B68" s="11">
        <v>3492</v>
      </c>
      <c r="C68" s="11" t="str">
        <f>VLOOKUP(B68,[3]داتا!$B$3:$D$107,2,FALSE)</f>
        <v>تلتين</v>
      </c>
      <c r="D68" s="33">
        <f>VLOOKUP(B68,[3]داتا!$B$3:$D$107,3,FALSE)</f>
        <v>3.125E-2</v>
      </c>
      <c r="E68" s="11" t="s">
        <v>73</v>
      </c>
      <c r="F68" s="11" t="s">
        <v>173</v>
      </c>
      <c r="G68" s="12">
        <v>8.3333333333333329E-2</v>
      </c>
      <c r="H68" s="12">
        <v>7.2916666666666671E-2</v>
      </c>
      <c r="I68" s="12">
        <v>0</v>
      </c>
      <c r="J68" s="12">
        <v>0.5625</v>
      </c>
      <c r="K68" s="12">
        <v>0.59027777777777779</v>
      </c>
      <c r="L68" s="12" t="s">
        <v>105</v>
      </c>
      <c r="M68" s="12" t="s">
        <v>105</v>
      </c>
      <c r="N68" s="12">
        <f t="shared" ref="N68:N90" si="8">K68-J68</f>
        <v>2.777777777777779E-2</v>
      </c>
      <c r="O68" s="12">
        <v>0</v>
      </c>
      <c r="P68" s="12">
        <v>6.9444444444444397E-3</v>
      </c>
      <c r="Q68" s="12">
        <v>0.60069444444444442</v>
      </c>
      <c r="R68" s="12">
        <v>0</v>
      </c>
      <c r="S68" s="12">
        <v>0.60069444444444442</v>
      </c>
      <c r="T68" s="12">
        <f>VLOOKUP(E68,'[2]21-3-2026'!E$3:T$35,16,FALSE)</f>
        <v>3.4722222222222203E-2</v>
      </c>
      <c r="U68" s="12">
        <v>0.6479166666666667</v>
      </c>
      <c r="V68" s="12">
        <f t="shared" ref="V68:V91" si="9">U68-T68-S68</f>
        <v>1.2500000000000067E-2</v>
      </c>
      <c r="W68" s="12">
        <v>3.125E-2</v>
      </c>
      <c r="X68" s="12">
        <v>0.64930555555555558</v>
      </c>
      <c r="Y68" s="12">
        <v>0.65972222222222221</v>
      </c>
      <c r="Z68" s="12">
        <f t="shared" ref="Z68:Z91" si="10">Y68-X68</f>
        <v>1.041666666666663E-2</v>
      </c>
      <c r="AA68" s="12">
        <v>0</v>
      </c>
      <c r="AB68" s="12">
        <v>0.66319444444444442</v>
      </c>
      <c r="AC68" s="13"/>
      <c r="AD68" s="53" t="s">
        <v>116</v>
      </c>
    </row>
    <row r="69" spans="1:30" ht="19.5" thickBot="1" x14ac:dyDescent="0.3">
      <c r="A69" s="14">
        <v>2</v>
      </c>
      <c r="B69" s="15">
        <v>3492</v>
      </c>
      <c r="C69" s="15" t="str">
        <f>VLOOKUP(B69,[3]داتا!$B$3:$D$107,2,FALSE)</f>
        <v>تلتين</v>
      </c>
      <c r="D69" s="34">
        <f>VLOOKUP(B69,[3]داتا!$B$3:$D$107,3,FALSE)</f>
        <v>3.125E-2</v>
      </c>
      <c r="E69" s="15" t="s">
        <v>35</v>
      </c>
      <c r="F69" s="15" t="s">
        <v>173</v>
      </c>
      <c r="G69" s="16">
        <v>8.3333333333333329E-2</v>
      </c>
      <c r="H69" s="16">
        <v>7.2916666666666671E-2</v>
      </c>
      <c r="I69" s="16">
        <v>0</v>
      </c>
      <c r="J69" s="16">
        <v>0.5625</v>
      </c>
      <c r="K69" s="16">
        <v>0.59027777777777779</v>
      </c>
      <c r="L69" s="16" t="s">
        <v>105</v>
      </c>
      <c r="M69" s="16" t="s">
        <v>105</v>
      </c>
      <c r="N69" s="16">
        <f t="shared" si="8"/>
        <v>2.777777777777779E-2</v>
      </c>
      <c r="O69" s="16">
        <v>0</v>
      </c>
      <c r="P69" s="16">
        <v>6.9444444444444397E-3</v>
      </c>
      <c r="Q69" s="16">
        <v>0.60069444444444442</v>
      </c>
      <c r="R69" s="16">
        <v>0</v>
      </c>
      <c r="S69" s="16">
        <v>0.60069444444444442</v>
      </c>
      <c r="T69" s="16">
        <v>1.0416666666666666E-2</v>
      </c>
      <c r="U69" s="16">
        <v>0.67361111111111116</v>
      </c>
      <c r="V69" s="16">
        <v>0</v>
      </c>
      <c r="W69" s="16">
        <v>4.1666666666666664E-2</v>
      </c>
      <c r="X69" s="16">
        <v>0.67708333333333337</v>
      </c>
      <c r="Y69" s="16">
        <v>0.70347222222222217</v>
      </c>
      <c r="Z69" s="16">
        <f t="shared" si="10"/>
        <v>2.6388888888888795E-2</v>
      </c>
      <c r="AA69" s="16">
        <v>0</v>
      </c>
      <c r="AB69" s="16">
        <v>0.70694444444444438</v>
      </c>
      <c r="AC69" s="17"/>
      <c r="AD69" s="51"/>
    </row>
    <row r="70" spans="1:30" ht="19.5" thickBot="1" x14ac:dyDescent="0.3">
      <c r="A70" s="14">
        <v>3</v>
      </c>
      <c r="B70" s="15">
        <v>4987</v>
      </c>
      <c r="C70" s="15" t="str">
        <f>VLOOKUP(B70,[3]داتا!$B$3:$D$107,2,FALSE)</f>
        <v>تلتين</v>
      </c>
      <c r="D70" s="34">
        <f>VLOOKUP(B70,[3]داتا!$B$3:$D$107,3,FALSE)</f>
        <v>3.125E-2</v>
      </c>
      <c r="E70" s="15" t="s">
        <v>86</v>
      </c>
      <c r="F70" s="15" t="s">
        <v>165</v>
      </c>
      <c r="G70" s="16">
        <v>8.3333333333333329E-2</v>
      </c>
      <c r="H70" s="16">
        <v>8.3333333333333329E-2</v>
      </c>
      <c r="I70" s="16">
        <f t="shared" ref="I70:I90" si="11">H70-G70</f>
        <v>0</v>
      </c>
      <c r="J70" s="16">
        <v>0.60069444444444442</v>
      </c>
      <c r="K70" s="16">
        <v>0.61805555555555558</v>
      </c>
      <c r="L70" s="16" t="s">
        <v>105</v>
      </c>
      <c r="M70" s="16" t="s">
        <v>105</v>
      </c>
      <c r="N70" s="16">
        <f t="shared" si="8"/>
        <v>1.736111111111116E-2</v>
      </c>
      <c r="O70" s="16">
        <v>0</v>
      </c>
      <c r="P70" s="16">
        <v>6.9444444444444397E-3</v>
      </c>
      <c r="Q70" s="16">
        <v>0.62152777777777779</v>
      </c>
      <c r="R70" s="16">
        <v>0</v>
      </c>
      <c r="S70" s="16">
        <v>0.62152777777777779</v>
      </c>
      <c r="T70" s="16">
        <f>VLOOKUP(E70,'[2]21-3-2026'!E$3:T$35,16,FALSE)</f>
        <v>3.4722222222222199E-3</v>
      </c>
      <c r="U70" s="16">
        <v>0.63194444444444442</v>
      </c>
      <c r="V70" s="16">
        <f t="shared" si="9"/>
        <v>6.9444444444444198E-3</v>
      </c>
      <c r="W70" s="16">
        <v>3.125E-2</v>
      </c>
      <c r="X70" s="16">
        <v>0.63541666666666663</v>
      </c>
      <c r="Y70" s="16">
        <v>0.64236111111111105</v>
      </c>
      <c r="Z70" s="16">
        <f t="shared" si="10"/>
        <v>6.9444444444444198E-3</v>
      </c>
      <c r="AA70" s="16">
        <v>0</v>
      </c>
      <c r="AB70" s="16">
        <v>0.64583333333333337</v>
      </c>
      <c r="AC70" s="17"/>
      <c r="AD70" s="51"/>
    </row>
    <row r="71" spans="1:30" ht="19.5" thickBot="1" x14ac:dyDescent="0.3">
      <c r="A71" s="14">
        <v>4</v>
      </c>
      <c r="B71" s="15">
        <v>4987</v>
      </c>
      <c r="C71" s="15" t="str">
        <f>VLOOKUP(B71,[3]داتا!$B$3:$D$107,2,FALSE)</f>
        <v>تلتين</v>
      </c>
      <c r="D71" s="34">
        <f>VLOOKUP(B71,[3]داتا!$B$3:$D$107,3,FALSE)</f>
        <v>3.125E-2</v>
      </c>
      <c r="E71" s="15" t="s">
        <v>38</v>
      </c>
      <c r="F71" s="15" t="s">
        <v>165</v>
      </c>
      <c r="G71" s="16">
        <v>8.3333333333333329E-2</v>
      </c>
      <c r="H71" s="16">
        <v>8.3333333333333329E-2</v>
      </c>
      <c r="I71" s="16">
        <f t="shared" ref="I71" si="12">H71-G71</f>
        <v>0</v>
      </c>
      <c r="J71" s="16">
        <v>0.60069444444444442</v>
      </c>
      <c r="K71" s="16">
        <v>0.61805555555555558</v>
      </c>
      <c r="L71" s="16" t="s">
        <v>105</v>
      </c>
      <c r="M71" s="16" t="s">
        <v>105</v>
      </c>
      <c r="N71" s="16">
        <f t="shared" ref="N71" si="13">K71-J71</f>
        <v>1.736111111111116E-2</v>
      </c>
      <c r="O71" s="16">
        <v>0</v>
      </c>
      <c r="P71" s="16">
        <v>6.9444444444444397E-3</v>
      </c>
      <c r="Q71" s="16">
        <v>0.62152777777777779</v>
      </c>
      <c r="R71" s="16">
        <v>0</v>
      </c>
      <c r="S71" s="16">
        <v>0.62152777777777779</v>
      </c>
      <c r="T71" s="16">
        <f>VLOOKUP(E71,'[2]21-3-2026'!E$3:T$35,16,FALSE)</f>
        <v>1.0416666666666666E-2</v>
      </c>
      <c r="U71" s="16">
        <v>0.67708333333333337</v>
      </c>
      <c r="V71" s="16">
        <v>2.0833333333333332E-2</v>
      </c>
      <c r="W71" s="16">
        <v>4.1666666666666664E-2</v>
      </c>
      <c r="X71" s="16">
        <v>0.68055555555555547</v>
      </c>
      <c r="Y71" s="16">
        <v>0.69791666666666663</v>
      </c>
      <c r="Z71" s="16">
        <f t="shared" si="10"/>
        <v>1.736111111111116E-2</v>
      </c>
      <c r="AA71" s="16">
        <v>0</v>
      </c>
      <c r="AB71" s="16">
        <v>0.70138888888888884</v>
      </c>
      <c r="AC71" s="17"/>
      <c r="AD71" s="51"/>
    </row>
    <row r="72" spans="1:30" ht="19.5" thickBot="1" x14ac:dyDescent="0.3">
      <c r="A72" s="14">
        <v>5</v>
      </c>
      <c r="B72" s="15">
        <v>9198</v>
      </c>
      <c r="C72" s="15" t="str">
        <f>VLOOKUP(B72,[3]داتا!$B$3:$D$107,2,FALSE)</f>
        <v>دبابة</v>
      </c>
      <c r="D72" s="34">
        <f>VLOOKUP(B72,[3]داتا!$B$3:$D$107,3,FALSE)</f>
        <v>2.0833333333333301E-2</v>
      </c>
      <c r="E72" s="15" t="s">
        <v>72</v>
      </c>
      <c r="F72" s="15" t="s">
        <v>176</v>
      </c>
      <c r="G72" s="16">
        <v>8.3333333333333329E-2</v>
      </c>
      <c r="H72" s="16">
        <v>8.3333333333333329E-2</v>
      </c>
      <c r="I72" s="16">
        <f t="shared" si="11"/>
        <v>0</v>
      </c>
      <c r="J72" s="16">
        <v>0.56944444444444442</v>
      </c>
      <c r="K72" s="16">
        <v>0.59027777777777779</v>
      </c>
      <c r="L72" s="16" t="s">
        <v>94</v>
      </c>
      <c r="M72" s="16" t="s">
        <v>94</v>
      </c>
      <c r="N72" s="16">
        <f t="shared" si="8"/>
        <v>2.083333333333337E-2</v>
      </c>
      <c r="O72" s="16">
        <v>0</v>
      </c>
      <c r="P72" s="16">
        <v>6.9444444444444397E-3</v>
      </c>
      <c r="Q72" s="16">
        <v>0.60416666666666663</v>
      </c>
      <c r="R72" s="16">
        <v>0</v>
      </c>
      <c r="S72" s="16">
        <v>0.60416666666666663</v>
      </c>
      <c r="T72" s="16">
        <f>VLOOKUP(E72,'[2]21-3-2026'!E$3:T$35,16,FALSE)</f>
        <v>1.0416666666666701E-2</v>
      </c>
      <c r="U72" s="16">
        <v>0.62152777777777779</v>
      </c>
      <c r="V72" s="16">
        <f t="shared" si="9"/>
        <v>6.9444444444444198E-3</v>
      </c>
      <c r="W72" s="16">
        <v>2.0833333333333332E-2</v>
      </c>
      <c r="X72" s="16">
        <v>0.625</v>
      </c>
      <c r="Y72" s="16">
        <v>0.63194444444444442</v>
      </c>
      <c r="Z72" s="16">
        <f t="shared" si="10"/>
        <v>6.9444444444444198E-3</v>
      </c>
      <c r="AA72" s="16">
        <v>0</v>
      </c>
      <c r="AB72" s="16">
        <v>0.63541666666666663</v>
      </c>
      <c r="AC72" s="17"/>
      <c r="AD72" s="51"/>
    </row>
    <row r="73" spans="1:30" ht="19.5" thickBot="1" x14ac:dyDescent="0.3">
      <c r="A73" s="14">
        <v>6</v>
      </c>
      <c r="B73" s="15">
        <v>9198</v>
      </c>
      <c r="C73" s="15" t="str">
        <f>VLOOKUP(B73,[3]داتا!$B$3:$D$107,2,FALSE)</f>
        <v>دبابة</v>
      </c>
      <c r="D73" s="34">
        <f>VLOOKUP(B73,[3]داتا!$B$3:$D$107,3,FALSE)</f>
        <v>2.0833333333333301E-2</v>
      </c>
      <c r="E73" s="15" t="s">
        <v>92</v>
      </c>
      <c r="F73" s="15" t="s">
        <v>176</v>
      </c>
      <c r="G73" s="16">
        <v>8.3333333333333329E-2</v>
      </c>
      <c r="H73" s="16">
        <v>8.3333333333333329E-2</v>
      </c>
      <c r="I73" s="16">
        <f t="shared" ref="I73:I75" si="14">H73-G73</f>
        <v>0</v>
      </c>
      <c r="J73" s="16">
        <v>0.56944444444444442</v>
      </c>
      <c r="K73" s="16">
        <v>0.59027777777777779</v>
      </c>
      <c r="L73" s="16" t="s">
        <v>94</v>
      </c>
      <c r="M73" s="16" t="s">
        <v>94</v>
      </c>
      <c r="N73" s="16">
        <f t="shared" ref="N73:N75" si="15">K73-J73</f>
        <v>2.083333333333337E-2</v>
      </c>
      <c r="O73" s="16">
        <v>0</v>
      </c>
      <c r="P73" s="16">
        <v>6.9444444444444397E-3</v>
      </c>
      <c r="Q73" s="16">
        <v>0.60416666666666663</v>
      </c>
      <c r="R73" s="16">
        <v>0</v>
      </c>
      <c r="S73" s="16">
        <v>0.60416666666666663</v>
      </c>
      <c r="T73" s="16">
        <f>VLOOKUP(E73,'[2]21-3-2026'!E$3:T$35,16,FALSE)</f>
        <v>1.38888888888889E-2</v>
      </c>
      <c r="U73" s="16">
        <v>0.64236111111111105</v>
      </c>
      <c r="V73" s="16">
        <v>0</v>
      </c>
      <c r="W73" s="16">
        <v>2.0833333333333332E-2</v>
      </c>
      <c r="X73" s="16">
        <v>0.64583333333333337</v>
      </c>
      <c r="Y73" s="16">
        <v>0.64930555555555558</v>
      </c>
      <c r="Z73" s="16">
        <f t="shared" si="10"/>
        <v>3.4722222222222099E-3</v>
      </c>
      <c r="AA73" s="16">
        <v>0</v>
      </c>
      <c r="AB73" s="16">
        <v>0.65277777777777779</v>
      </c>
      <c r="AC73" s="17"/>
      <c r="AD73" s="51"/>
    </row>
    <row r="74" spans="1:30" ht="19.5" thickBot="1" x14ac:dyDescent="0.3">
      <c r="A74" s="14">
        <v>7</v>
      </c>
      <c r="B74" s="15">
        <v>9198</v>
      </c>
      <c r="C74" s="15" t="str">
        <f>VLOOKUP(B74,[3]داتا!$B$3:$D$107,2,FALSE)</f>
        <v>دبابة</v>
      </c>
      <c r="D74" s="34">
        <f>VLOOKUP(B74,[3]داتا!$B$3:$D$107,3,FALSE)</f>
        <v>2.0833333333333301E-2</v>
      </c>
      <c r="E74" s="15" t="s">
        <v>75</v>
      </c>
      <c r="F74" s="15" t="s">
        <v>176</v>
      </c>
      <c r="G74" s="16">
        <v>8.3333333333333329E-2</v>
      </c>
      <c r="H74" s="16">
        <v>8.3333333333333329E-2</v>
      </c>
      <c r="I74" s="16">
        <f t="shared" si="14"/>
        <v>0</v>
      </c>
      <c r="J74" s="16">
        <v>0.56944444444444442</v>
      </c>
      <c r="K74" s="16">
        <v>0.59027777777777779</v>
      </c>
      <c r="L74" s="16" t="s">
        <v>94</v>
      </c>
      <c r="M74" s="16" t="s">
        <v>94</v>
      </c>
      <c r="N74" s="16">
        <f t="shared" si="15"/>
        <v>2.083333333333337E-2</v>
      </c>
      <c r="O74" s="16">
        <v>0</v>
      </c>
      <c r="P74" s="16">
        <v>6.9444444444444397E-3</v>
      </c>
      <c r="Q74" s="16">
        <v>0.60416666666666663</v>
      </c>
      <c r="R74" s="16">
        <v>0</v>
      </c>
      <c r="S74" s="16">
        <v>0.60416666666666663</v>
      </c>
      <c r="T74" s="16">
        <f>VLOOKUP(E74,'[2]21-3-2026'!E$3:T$35,16,FALSE)</f>
        <v>2.0833333333333301E-2</v>
      </c>
      <c r="U74" s="16">
        <v>0.66319444444444442</v>
      </c>
      <c r="V74" s="16">
        <v>0</v>
      </c>
      <c r="W74" s="16">
        <v>2.0833333333333332E-2</v>
      </c>
      <c r="X74" s="16">
        <v>0.66666666666666663</v>
      </c>
      <c r="Y74" s="16">
        <v>0.67361111111111116</v>
      </c>
      <c r="Z74" s="16">
        <f t="shared" si="10"/>
        <v>6.9444444444445308E-3</v>
      </c>
      <c r="AA74" s="16">
        <v>0</v>
      </c>
      <c r="AB74" s="16">
        <v>0.67708333333333337</v>
      </c>
      <c r="AC74" s="17"/>
      <c r="AD74" s="51"/>
    </row>
    <row r="75" spans="1:30" ht="19.5" thickBot="1" x14ac:dyDescent="0.3">
      <c r="A75" s="14">
        <v>8</v>
      </c>
      <c r="B75" s="15">
        <v>9198</v>
      </c>
      <c r="C75" s="15" t="str">
        <f>VLOOKUP(B75,[3]داتا!$B$3:$D$107,2,FALSE)</f>
        <v>دبابة</v>
      </c>
      <c r="D75" s="34">
        <f>VLOOKUP(B75,[3]داتا!$B$3:$D$107,3,FALSE)</f>
        <v>2.0833333333333301E-2</v>
      </c>
      <c r="E75" s="15" t="s">
        <v>60</v>
      </c>
      <c r="F75" s="15" t="s">
        <v>176</v>
      </c>
      <c r="G75" s="16">
        <v>8.3333333333333329E-2</v>
      </c>
      <c r="H75" s="16">
        <v>8.3333333333333329E-2</v>
      </c>
      <c r="I75" s="16">
        <f t="shared" si="14"/>
        <v>0</v>
      </c>
      <c r="J75" s="16">
        <v>0.56944444444444442</v>
      </c>
      <c r="K75" s="16">
        <v>0.59027777777777779</v>
      </c>
      <c r="L75" s="16" t="s">
        <v>94</v>
      </c>
      <c r="M75" s="16" t="s">
        <v>94</v>
      </c>
      <c r="N75" s="16">
        <f t="shared" si="15"/>
        <v>2.083333333333337E-2</v>
      </c>
      <c r="O75" s="16">
        <v>0</v>
      </c>
      <c r="P75" s="16">
        <v>6.9444444444444397E-3</v>
      </c>
      <c r="Q75" s="16">
        <v>0.60416666666666663</v>
      </c>
      <c r="R75" s="16">
        <v>0</v>
      </c>
      <c r="S75" s="16">
        <v>0.60416666666666663</v>
      </c>
      <c r="T75" s="16">
        <f>VLOOKUP(E75,'[2]21-3-2026'!E$3:T$35,16,FALSE)</f>
        <v>1.0416666666666701E-2</v>
      </c>
      <c r="U75" s="16">
        <v>0.68402777777777779</v>
      </c>
      <c r="V75" s="16">
        <v>0</v>
      </c>
      <c r="W75" s="16">
        <v>3.125E-2</v>
      </c>
      <c r="X75" s="16">
        <v>0.6875</v>
      </c>
      <c r="Y75" s="16">
        <v>0.69444444444444453</v>
      </c>
      <c r="Z75" s="16">
        <f t="shared" si="10"/>
        <v>6.9444444444445308E-3</v>
      </c>
      <c r="AA75" s="16">
        <v>0</v>
      </c>
      <c r="AB75" s="16">
        <v>0.70833333333333337</v>
      </c>
      <c r="AC75" s="17"/>
      <c r="AD75" s="51"/>
    </row>
    <row r="76" spans="1:30" ht="19.5" thickBot="1" x14ac:dyDescent="0.3">
      <c r="A76" s="14">
        <v>9</v>
      </c>
      <c r="B76" s="15">
        <v>3495</v>
      </c>
      <c r="C76" s="15" t="str">
        <f>VLOOKUP(B76,[3]داتا!$B$3:$D$107,2,FALSE)</f>
        <v>تلتين</v>
      </c>
      <c r="D76" s="34">
        <f>VLOOKUP(B76,[3]داتا!$B$3:$D$107,3,FALSE)</f>
        <v>3.125E-2</v>
      </c>
      <c r="E76" s="16" t="s">
        <v>30</v>
      </c>
      <c r="F76" s="15" t="s">
        <v>177</v>
      </c>
      <c r="G76" s="16">
        <v>8.3333333333333329E-2</v>
      </c>
      <c r="H76" s="16">
        <v>7.2916666666666671E-2</v>
      </c>
      <c r="I76" s="16">
        <v>0</v>
      </c>
      <c r="J76" s="16">
        <v>0.60416666666666663</v>
      </c>
      <c r="K76" s="16">
        <v>0.63194444444444442</v>
      </c>
      <c r="L76" s="16" t="s">
        <v>94</v>
      </c>
      <c r="M76" s="16" t="s">
        <v>94</v>
      </c>
      <c r="N76" s="16">
        <f t="shared" si="8"/>
        <v>2.777777777777779E-2</v>
      </c>
      <c r="O76" s="16">
        <v>0</v>
      </c>
      <c r="P76" s="16">
        <v>6.9444444444444397E-3</v>
      </c>
      <c r="Q76" s="16">
        <v>0.63888888888888895</v>
      </c>
      <c r="R76" s="16">
        <v>0</v>
      </c>
      <c r="S76" s="16">
        <v>0.63888888888888895</v>
      </c>
      <c r="T76" s="16">
        <f>VLOOKUP(E76,'[2]21-3-2026'!E$3:T$35,16,FALSE)</f>
        <v>1.38888888888889E-2</v>
      </c>
      <c r="U76" s="16">
        <v>0.65625</v>
      </c>
      <c r="V76" s="16">
        <f t="shared" si="9"/>
        <v>3.4722222222220989E-3</v>
      </c>
      <c r="W76" s="16">
        <v>3.125E-2</v>
      </c>
      <c r="X76" s="16">
        <v>0.65972222222222221</v>
      </c>
      <c r="Y76" s="16">
        <v>0.68402777777777779</v>
      </c>
      <c r="Z76" s="16">
        <f t="shared" si="10"/>
        <v>2.430555555555558E-2</v>
      </c>
      <c r="AA76" s="16">
        <v>0</v>
      </c>
      <c r="AB76" s="16">
        <v>0.68541666666666667</v>
      </c>
      <c r="AC76" s="17"/>
      <c r="AD76" s="51"/>
    </row>
    <row r="77" spans="1:30" ht="19.5" thickBot="1" x14ac:dyDescent="0.3">
      <c r="A77" s="14">
        <v>10</v>
      </c>
      <c r="B77" s="15">
        <v>3495</v>
      </c>
      <c r="C77" s="15" t="str">
        <f>VLOOKUP(B77,[3]داتا!$B$3:$D$107,2,FALSE)</f>
        <v>تلتين</v>
      </c>
      <c r="D77" s="34">
        <f>VLOOKUP(B77,[3]داتا!$B$3:$D$107,3,FALSE)</f>
        <v>3.125E-2</v>
      </c>
      <c r="E77" s="15" t="s">
        <v>34</v>
      </c>
      <c r="F77" s="15" t="s">
        <v>177</v>
      </c>
      <c r="G77" s="16">
        <v>8.3333333333333329E-2</v>
      </c>
      <c r="H77" s="16">
        <v>7.2916666666666671E-2</v>
      </c>
      <c r="I77" s="16">
        <v>0</v>
      </c>
      <c r="J77" s="16">
        <v>0.60416666666666663</v>
      </c>
      <c r="K77" s="16">
        <v>0.63194444444444442</v>
      </c>
      <c r="L77" s="16" t="s">
        <v>94</v>
      </c>
      <c r="M77" s="16" t="s">
        <v>94</v>
      </c>
      <c r="N77" s="16">
        <f t="shared" ref="N77" si="16">K77-J77</f>
        <v>2.777777777777779E-2</v>
      </c>
      <c r="O77" s="16">
        <v>0</v>
      </c>
      <c r="P77" s="16">
        <v>6.9444444444444397E-3</v>
      </c>
      <c r="Q77" s="16">
        <v>0.63888888888888895</v>
      </c>
      <c r="R77" s="16">
        <v>0</v>
      </c>
      <c r="S77" s="16">
        <v>0.63888888888888895</v>
      </c>
      <c r="T77" s="16">
        <f>VLOOKUP(E77,'[2]21-3-2026'!E$3:T$35,16,FALSE)</f>
        <v>1.0416666666666701E-2</v>
      </c>
      <c r="U77" s="16">
        <v>0.69097222222222221</v>
      </c>
      <c r="V77" s="16">
        <v>0</v>
      </c>
      <c r="W77" s="16">
        <v>4.1666666666666664E-2</v>
      </c>
      <c r="X77" s="16">
        <v>0.69305555555555554</v>
      </c>
      <c r="Y77" s="16">
        <v>0.71180555555555547</v>
      </c>
      <c r="Z77" s="16">
        <f t="shared" si="10"/>
        <v>1.8749999999999933E-2</v>
      </c>
      <c r="AA77" s="16">
        <v>0</v>
      </c>
      <c r="AB77" s="16">
        <v>0.71527777777777779</v>
      </c>
      <c r="AC77" s="17"/>
      <c r="AD77" s="51"/>
    </row>
    <row r="78" spans="1:30" ht="19.5" thickBot="1" x14ac:dyDescent="0.3">
      <c r="A78" s="14">
        <v>11</v>
      </c>
      <c r="B78" s="15">
        <v>3787</v>
      </c>
      <c r="C78" s="15" t="str">
        <f>VLOOKUP(B78,[3]داتا!$B$3:$D$107,2,FALSE)</f>
        <v>دبابة</v>
      </c>
      <c r="D78" s="34">
        <f>VLOOKUP(B78,[3]داتا!$B$3:$D$107,3,FALSE)</f>
        <v>2.0833333333333301E-2</v>
      </c>
      <c r="E78" s="15" t="s">
        <v>70</v>
      </c>
      <c r="F78" s="15" t="s">
        <v>174</v>
      </c>
      <c r="G78" s="16">
        <v>8.3333333333333329E-2</v>
      </c>
      <c r="H78" s="16">
        <v>8.3333333333333329E-2</v>
      </c>
      <c r="I78" s="16">
        <f t="shared" si="11"/>
        <v>0</v>
      </c>
      <c r="J78" s="16">
        <v>0.57638888888888895</v>
      </c>
      <c r="K78" s="16">
        <v>0.59375</v>
      </c>
      <c r="L78" s="16" t="s">
        <v>97</v>
      </c>
      <c r="M78" s="16" t="s">
        <v>97</v>
      </c>
      <c r="N78" s="16">
        <f t="shared" si="8"/>
        <v>1.7361111111111049E-2</v>
      </c>
      <c r="O78" s="16">
        <v>0</v>
      </c>
      <c r="P78" s="16">
        <v>6.9444444444444397E-3</v>
      </c>
      <c r="Q78" s="16">
        <v>0.60416666666666663</v>
      </c>
      <c r="R78" s="16">
        <v>0</v>
      </c>
      <c r="S78" s="16">
        <v>0.60416666666666663</v>
      </c>
      <c r="T78" s="16">
        <f>VLOOKUP(E78,'[2]21-3-2026'!E$3:T$35,16,FALSE)</f>
        <v>1.0416666666666701E-2</v>
      </c>
      <c r="U78" s="16">
        <v>0.61944444444444446</v>
      </c>
      <c r="V78" s="16">
        <f t="shared" si="9"/>
        <v>4.8611111111110938E-3</v>
      </c>
      <c r="W78" s="16">
        <v>2.0833333333333332E-2</v>
      </c>
      <c r="X78" s="16">
        <v>0.62083333333333335</v>
      </c>
      <c r="Y78" s="16">
        <v>0.62430555555555556</v>
      </c>
      <c r="Z78" s="16">
        <f t="shared" si="10"/>
        <v>3.4722222222222099E-3</v>
      </c>
      <c r="AA78" s="16">
        <v>0</v>
      </c>
      <c r="AB78" s="16">
        <v>0.625</v>
      </c>
      <c r="AC78" s="17"/>
      <c r="AD78" s="51"/>
    </row>
    <row r="79" spans="1:30" ht="19.5" thickBot="1" x14ac:dyDescent="0.3">
      <c r="A79" s="14">
        <v>12</v>
      </c>
      <c r="B79" s="15">
        <v>3787</v>
      </c>
      <c r="C79" s="15" t="str">
        <f>VLOOKUP(B79,[3]داتا!$B$3:$D$107,2,FALSE)</f>
        <v>دبابة</v>
      </c>
      <c r="D79" s="34">
        <f>VLOOKUP(B79,[3]داتا!$B$3:$D$107,3,FALSE)</f>
        <v>2.0833333333333301E-2</v>
      </c>
      <c r="E79" s="15" t="s">
        <v>79</v>
      </c>
      <c r="F79" s="15" t="s">
        <v>174</v>
      </c>
      <c r="G79" s="16">
        <v>8.3333333333333329E-2</v>
      </c>
      <c r="H79" s="16">
        <v>8.3333333333333329E-2</v>
      </c>
      <c r="I79" s="16">
        <f t="shared" ref="I79" si="17">H79-G79</f>
        <v>0</v>
      </c>
      <c r="J79" s="16">
        <v>0.57638888888888895</v>
      </c>
      <c r="K79" s="16">
        <v>0.59375</v>
      </c>
      <c r="L79" s="16" t="s">
        <v>97</v>
      </c>
      <c r="M79" s="16" t="s">
        <v>97</v>
      </c>
      <c r="N79" s="16">
        <f t="shared" ref="N79" si="18">K79-J79</f>
        <v>1.7361111111111049E-2</v>
      </c>
      <c r="O79" s="16">
        <v>0</v>
      </c>
      <c r="P79" s="16">
        <v>6.9444444444444397E-3</v>
      </c>
      <c r="Q79" s="16">
        <v>0.60416666666666663</v>
      </c>
      <c r="R79" s="16">
        <v>0</v>
      </c>
      <c r="S79" s="16">
        <v>0.60416666666666663</v>
      </c>
      <c r="T79" s="16">
        <f>VLOOKUP(E79,'[2]21-3-2026'!E$3:T$35,16,FALSE)</f>
        <v>2.0833333333333301E-2</v>
      </c>
      <c r="U79" s="16">
        <v>0.63888888888888895</v>
      </c>
      <c r="V79" s="16">
        <v>0</v>
      </c>
      <c r="W79" s="16">
        <v>3.125E-2</v>
      </c>
      <c r="X79" s="16">
        <v>0.64236111111111105</v>
      </c>
      <c r="Y79" s="16">
        <v>0.65625</v>
      </c>
      <c r="Z79" s="16">
        <f t="shared" si="10"/>
        <v>1.3888888888888951E-2</v>
      </c>
      <c r="AA79" s="16">
        <v>0</v>
      </c>
      <c r="AB79" s="16">
        <v>0.65972222222222221</v>
      </c>
      <c r="AC79" s="17"/>
      <c r="AD79" s="51"/>
    </row>
    <row r="80" spans="1:30" ht="19.5" thickBot="1" x14ac:dyDescent="0.3">
      <c r="A80" s="14">
        <v>13</v>
      </c>
      <c r="B80" s="15">
        <v>3793</v>
      </c>
      <c r="C80" s="15" t="str">
        <f>VLOOKUP(B80,[3]داتا!$B$3:$D$107,2,FALSE)</f>
        <v>دبابة</v>
      </c>
      <c r="D80" s="34">
        <f>VLOOKUP(B80,[3]داتا!$B$3:$D$107,3,FALSE)</f>
        <v>2.0833333333333301E-2</v>
      </c>
      <c r="E80" s="15" t="s">
        <v>81</v>
      </c>
      <c r="F80" s="15" t="s">
        <v>162</v>
      </c>
      <c r="G80" s="16">
        <v>8.3333333333333329E-2</v>
      </c>
      <c r="H80" s="16">
        <v>7.6388888888888895E-2</v>
      </c>
      <c r="I80" s="16">
        <v>0</v>
      </c>
      <c r="J80" s="16">
        <v>0.58333333333333337</v>
      </c>
      <c r="K80" s="16">
        <v>0.59375</v>
      </c>
      <c r="L80" s="16" t="s">
        <v>88</v>
      </c>
      <c r="M80" s="16" t="s">
        <v>88</v>
      </c>
      <c r="N80" s="16">
        <f t="shared" si="8"/>
        <v>1.041666666666663E-2</v>
      </c>
      <c r="O80" s="16">
        <v>0</v>
      </c>
      <c r="P80" s="16">
        <v>6.9444444444444397E-3</v>
      </c>
      <c r="Q80" s="16">
        <v>0.60069444444444442</v>
      </c>
      <c r="R80" s="16">
        <v>0</v>
      </c>
      <c r="S80" s="16">
        <v>0.60069444444444442</v>
      </c>
      <c r="T80" s="16">
        <f>VLOOKUP(E80,'[2]21-3-2026'!E$3:T$35,16,FALSE)</f>
        <v>2.7777777777777801E-2</v>
      </c>
      <c r="U80" s="16">
        <v>0.6381944444444444</v>
      </c>
      <c r="V80" s="16">
        <f t="shared" si="9"/>
        <v>9.7222222222221877E-3</v>
      </c>
      <c r="W80" s="16">
        <v>3.125E-2</v>
      </c>
      <c r="X80" s="16">
        <v>0.64027777777777783</v>
      </c>
      <c r="Y80" s="16">
        <v>0.65486111111111112</v>
      </c>
      <c r="Z80" s="16">
        <f t="shared" si="10"/>
        <v>1.4583333333333282E-2</v>
      </c>
      <c r="AA80" s="16">
        <v>0</v>
      </c>
      <c r="AB80" s="16">
        <v>0.65625</v>
      </c>
      <c r="AC80" s="17"/>
      <c r="AD80" s="51"/>
    </row>
    <row r="81" spans="1:30" ht="19.5" thickBot="1" x14ac:dyDescent="0.3">
      <c r="A81" s="14">
        <v>14</v>
      </c>
      <c r="B81" s="15">
        <v>2917</v>
      </c>
      <c r="C81" s="15" t="str">
        <f>VLOOKUP(B81,[3]داتا!$B$3:$D$107,2,FALSE)</f>
        <v>تلتين</v>
      </c>
      <c r="D81" s="34">
        <f>VLOOKUP(B81,[3]داتا!$B$3:$D$107,3,FALSE)</f>
        <v>3.125E-2</v>
      </c>
      <c r="E81" s="15" t="s">
        <v>42</v>
      </c>
      <c r="F81" s="15" t="s">
        <v>175</v>
      </c>
      <c r="G81" s="16">
        <v>8.3333333333333329E-2</v>
      </c>
      <c r="H81" s="16">
        <v>8.3333333333333329E-2</v>
      </c>
      <c r="I81" s="16">
        <f t="shared" si="11"/>
        <v>0</v>
      </c>
      <c r="J81" s="16">
        <v>0.60416666666666663</v>
      </c>
      <c r="K81" s="16">
        <v>0.60763888888888895</v>
      </c>
      <c r="L81" s="16" t="s">
        <v>88</v>
      </c>
      <c r="M81" s="16" t="s">
        <v>88</v>
      </c>
      <c r="N81" s="16">
        <f t="shared" si="8"/>
        <v>3.4722222222223209E-3</v>
      </c>
      <c r="O81" s="16">
        <v>0</v>
      </c>
      <c r="P81" s="16">
        <v>6.9444444444444397E-3</v>
      </c>
      <c r="Q81" s="16">
        <v>0.63194444444444442</v>
      </c>
      <c r="R81" s="16">
        <v>0</v>
      </c>
      <c r="S81" s="16">
        <v>0.63194444444444442</v>
      </c>
      <c r="T81" s="16">
        <f>VLOOKUP(E81,'[2]21-3-2026'!E$3:T$35,16,FALSE)</f>
        <v>1.7361111111111101E-2</v>
      </c>
      <c r="U81" s="16">
        <v>0.65277777777777779</v>
      </c>
      <c r="V81" s="16">
        <f t="shared" si="9"/>
        <v>3.4722222222223209E-3</v>
      </c>
      <c r="W81" s="16">
        <v>3.125E-2</v>
      </c>
      <c r="X81" s="16">
        <v>0.65625</v>
      </c>
      <c r="Y81" s="16">
        <v>0.67361111111111116</v>
      </c>
      <c r="Z81" s="16">
        <f t="shared" si="10"/>
        <v>1.736111111111116E-2</v>
      </c>
      <c r="AA81" s="16">
        <v>0</v>
      </c>
      <c r="AB81" s="16">
        <v>0.67708333333333337</v>
      </c>
      <c r="AC81" s="17"/>
      <c r="AD81" s="51"/>
    </row>
    <row r="82" spans="1:30" ht="19.5" thickBot="1" x14ac:dyDescent="0.3">
      <c r="A82" s="14">
        <v>15</v>
      </c>
      <c r="B82" s="15">
        <v>2917</v>
      </c>
      <c r="C82" s="15" t="str">
        <f>VLOOKUP(B82,[3]داتا!$B$3:$D$107,2,FALSE)</f>
        <v>تلتين</v>
      </c>
      <c r="D82" s="34">
        <f>VLOOKUP(B82,[3]داتا!$B$3:$D$107,3,FALSE)</f>
        <v>3.125E-2</v>
      </c>
      <c r="E82" s="15" t="s">
        <v>45</v>
      </c>
      <c r="F82" s="15" t="s">
        <v>175</v>
      </c>
      <c r="G82" s="16">
        <v>8.3333333333333329E-2</v>
      </c>
      <c r="H82" s="16">
        <v>8.3333333333333329E-2</v>
      </c>
      <c r="I82" s="16">
        <f t="shared" ref="I82" si="19">H82-G82</f>
        <v>0</v>
      </c>
      <c r="J82" s="16">
        <v>0.60416666666666663</v>
      </c>
      <c r="K82" s="16">
        <v>0.60763888888888895</v>
      </c>
      <c r="L82" s="16" t="s">
        <v>88</v>
      </c>
      <c r="M82" s="16" t="s">
        <v>88</v>
      </c>
      <c r="N82" s="16">
        <f t="shared" ref="N82" si="20">K82-J82</f>
        <v>3.4722222222223209E-3</v>
      </c>
      <c r="O82" s="16">
        <v>0</v>
      </c>
      <c r="P82" s="16">
        <v>6.9444444444444397E-3</v>
      </c>
      <c r="Q82" s="16">
        <v>0.63194444444444442</v>
      </c>
      <c r="R82" s="16">
        <v>0</v>
      </c>
      <c r="S82" s="16">
        <v>0.63194444444444442</v>
      </c>
      <c r="T82" s="16">
        <f>VLOOKUP(E82,'[2]21-3-2026'!E$3:T$35,16,FALSE)</f>
        <v>1.38888888888889E-2</v>
      </c>
      <c r="U82" s="16">
        <v>0.69305555555555554</v>
      </c>
      <c r="V82" s="16">
        <v>5.5555555555555558E-3</v>
      </c>
      <c r="W82" s="16">
        <v>4.1666666666666664E-2</v>
      </c>
      <c r="X82" s="16">
        <v>0.69791666666666663</v>
      </c>
      <c r="Y82" s="16">
        <v>0.72222222222222221</v>
      </c>
      <c r="Z82" s="16">
        <f t="shared" si="10"/>
        <v>2.430555555555558E-2</v>
      </c>
      <c r="AA82" s="16">
        <v>0</v>
      </c>
      <c r="AB82" s="16">
        <v>0.72361111111111109</v>
      </c>
      <c r="AC82" s="17"/>
      <c r="AD82" s="51"/>
    </row>
    <row r="83" spans="1:30" ht="19.5" thickBot="1" x14ac:dyDescent="0.3">
      <c r="A83" s="14">
        <v>16</v>
      </c>
      <c r="B83" s="15">
        <v>2714</v>
      </c>
      <c r="C83" s="15" t="str">
        <f>VLOOKUP(B83,[3]داتا!$B$3:$D$107,2,FALSE)</f>
        <v>تلتين</v>
      </c>
      <c r="D83" s="34">
        <f>VLOOKUP(B83,[3]داتا!$B$3:$D$107,3,FALSE)</f>
        <v>3.125E-2</v>
      </c>
      <c r="E83" s="15" t="s">
        <v>69</v>
      </c>
      <c r="F83" s="15" t="s">
        <v>161</v>
      </c>
      <c r="G83" s="16">
        <v>8.3333333333333329E-2</v>
      </c>
      <c r="H83" s="16">
        <v>8.3333333333333329E-2</v>
      </c>
      <c r="I83" s="16">
        <f t="shared" si="11"/>
        <v>0</v>
      </c>
      <c r="J83" s="16">
        <v>0.57638888888888895</v>
      </c>
      <c r="K83" s="16">
        <v>0.59722222222222221</v>
      </c>
      <c r="L83" s="16" t="s">
        <v>110</v>
      </c>
      <c r="M83" s="16" t="s">
        <v>110</v>
      </c>
      <c r="N83" s="16">
        <f t="shared" si="8"/>
        <v>2.0833333333333259E-2</v>
      </c>
      <c r="O83" s="16">
        <v>0</v>
      </c>
      <c r="P83" s="16">
        <v>6.9444444444444397E-3</v>
      </c>
      <c r="Q83" s="16">
        <v>0.60416666666666663</v>
      </c>
      <c r="R83" s="16">
        <v>0</v>
      </c>
      <c r="S83" s="16">
        <v>0.60416666666666663</v>
      </c>
      <c r="T83" s="16">
        <f>VLOOKUP(E83,'[2]21-3-2026'!E$3:T$35,16,FALSE)</f>
        <v>1.38888888888889E-2</v>
      </c>
      <c r="U83" s="16">
        <v>0.62152777777777779</v>
      </c>
      <c r="V83" s="16">
        <f t="shared" si="9"/>
        <v>3.4722222222222099E-3</v>
      </c>
      <c r="W83" s="16">
        <v>3.125E-2</v>
      </c>
      <c r="X83" s="16">
        <v>0.625</v>
      </c>
      <c r="Y83" s="16">
        <v>0.62986111111111109</v>
      </c>
      <c r="Z83" s="16">
        <f t="shared" si="10"/>
        <v>4.8611111111110938E-3</v>
      </c>
      <c r="AA83" s="16">
        <v>0</v>
      </c>
      <c r="AB83" s="16">
        <v>0.63194444444444442</v>
      </c>
      <c r="AC83" s="17"/>
      <c r="AD83" s="51"/>
    </row>
    <row r="84" spans="1:30" ht="19.5" thickBot="1" x14ac:dyDescent="0.3">
      <c r="A84" s="14">
        <v>17</v>
      </c>
      <c r="B84" s="15">
        <v>2714</v>
      </c>
      <c r="C84" s="15" t="str">
        <f>VLOOKUP(B84,[3]داتا!$B$3:$D$107,2,FALSE)</f>
        <v>تلتين</v>
      </c>
      <c r="D84" s="34">
        <f>VLOOKUP(B84,[3]داتا!$B$3:$D$107,3,FALSE)</f>
        <v>3.125E-2</v>
      </c>
      <c r="E84" s="15" t="s">
        <v>67</v>
      </c>
      <c r="F84" s="15" t="s">
        <v>161</v>
      </c>
      <c r="G84" s="16">
        <v>8.3333333333333329E-2</v>
      </c>
      <c r="H84" s="16">
        <v>8.3333333333333329E-2</v>
      </c>
      <c r="I84" s="16">
        <f t="shared" ref="I84:I85" si="21">H84-G84</f>
        <v>0</v>
      </c>
      <c r="J84" s="16">
        <v>0.57638888888888895</v>
      </c>
      <c r="K84" s="16">
        <v>0.59722222222222221</v>
      </c>
      <c r="L84" s="16" t="s">
        <v>110</v>
      </c>
      <c r="M84" s="16" t="s">
        <v>110</v>
      </c>
      <c r="N84" s="16">
        <f t="shared" ref="N84:N85" si="22">K84-J84</f>
        <v>2.0833333333333259E-2</v>
      </c>
      <c r="O84" s="16">
        <v>0</v>
      </c>
      <c r="P84" s="16">
        <v>6.9444444444444397E-3</v>
      </c>
      <c r="Q84" s="16">
        <v>0.60416666666666663</v>
      </c>
      <c r="R84" s="16">
        <v>0</v>
      </c>
      <c r="S84" s="16">
        <v>0.60416666666666663</v>
      </c>
      <c r="T84" s="16">
        <f>VLOOKUP(E84,'[2]21-3-2026'!E$3:T$35,16,FALSE)</f>
        <v>1.7361111111111101E-2</v>
      </c>
      <c r="U84" s="16">
        <v>0.63541666666666663</v>
      </c>
      <c r="V84" s="16">
        <v>0</v>
      </c>
      <c r="W84" s="16">
        <v>3.125E-2</v>
      </c>
      <c r="X84" s="16">
        <v>0.63888888888888895</v>
      </c>
      <c r="Y84" s="16">
        <v>0.65138888888888891</v>
      </c>
      <c r="Z84" s="16">
        <f t="shared" si="10"/>
        <v>1.2499999999999956E-2</v>
      </c>
      <c r="AA84" s="16">
        <v>0</v>
      </c>
      <c r="AB84" s="16">
        <v>0.65277777777777779</v>
      </c>
      <c r="AC84" s="17"/>
      <c r="AD84" s="51"/>
    </row>
    <row r="85" spans="1:30" ht="19.5" thickBot="1" x14ac:dyDescent="0.3">
      <c r="A85" s="14">
        <v>18</v>
      </c>
      <c r="B85" s="15">
        <v>2714</v>
      </c>
      <c r="C85" s="15" t="str">
        <f>VLOOKUP(B85,[3]داتا!$B$3:$D$107,2,FALSE)</f>
        <v>تلتين</v>
      </c>
      <c r="D85" s="34">
        <f>VLOOKUP(B85,[3]داتا!$B$3:$D$107,3,FALSE)</f>
        <v>3.125E-2</v>
      </c>
      <c r="E85" s="15" t="s">
        <v>57</v>
      </c>
      <c r="F85" s="15" t="s">
        <v>161</v>
      </c>
      <c r="G85" s="16">
        <v>8.3333333333333329E-2</v>
      </c>
      <c r="H85" s="16">
        <v>8.3333333333333329E-2</v>
      </c>
      <c r="I85" s="16">
        <f t="shared" si="21"/>
        <v>0</v>
      </c>
      <c r="J85" s="16">
        <v>0.57638888888888895</v>
      </c>
      <c r="K85" s="16">
        <v>0.59722222222222221</v>
      </c>
      <c r="L85" s="16" t="s">
        <v>110</v>
      </c>
      <c r="M85" s="16" t="s">
        <v>110</v>
      </c>
      <c r="N85" s="16">
        <f t="shared" si="22"/>
        <v>2.0833333333333259E-2</v>
      </c>
      <c r="O85" s="16">
        <v>0</v>
      </c>
      <c r="P85" s="16">
        <v>6.9444444444444397E-3</v>
      </c>
      <c r="Q85" s="16">
        <v>0.60416666666666663</v>
      </c>
      <c r="R85" s="16">
        <v>0</v>
      </c>
      <c r="S85" s="16">
        <v>0.60416666666666663</v>
      </c>
      <c r="T85" s="16">
        <f>VLOOKUP(E85,'[2]21-3-2026'!E$3:T$35,16,FALSE)</f>
        <v>1.7361111111111101E-2</v>
      </c>
      <c r="U85" s="16">
        <v>0.65972222222222221</v>
      </c>
      <c r="V85" s="16">
        <v>0</v>
      </c>
      <c r="W85" s="16">
        <v>4.1666666666666664E-2</v>
      </c>
      <c r="X85" s="16">
        <v>0.66319444444444442</v>
      </c>
      <c r="Y85" s="16">
        <v>0.67361111111111116</v>
      </c>
      <c r="Z85" s="16">
        <f t="shared" si="10"/>
        <v>1.0416666666666741E-2</v>
      </c>
      <c r="AA85" s="16">
        <v>0</v>
      </c>
      <c r="AB85" s="16">
        <v>0.67708333333333337</v>
      </c>
      <c r="AC85" s="17"/>
      <c r="AD85" s="51"/>
    </row>
    <row r="86" spans="1:30" ht="19.5" thickBot="1" x14ac:dyDescent="0.3">
      <c r="A86" s="14">
        <v>19</v>
      </c>
      <c r="B86" s="15">
        <v>1537</v>
      </c>
      <c r="C86" s="15" t="str">
        <f>VLOOKUP(B86,[3]داتا!$B$3:$D$107,2,FALSE)</f>
        <v>تلتين</v>
      </c>
      <c r="D86" s="34">
        <f>VLOOKUP(B86,[3]داتا!$B$3:$D$107,3,FALSE)</f>
        <v>3.125E-2</v>
      </c>
      <c r="E86" s="15" t="s">
        <v>83</v>
      </c>
      <c r="F86" s="15" t="s">
        <v>163</v>
      </c>
      <c r="G86" s="16">
        <v>8.3333333333333329E-2</v>
      </c>
      <c r="H86" s="16">
        <v>8.3333333333333329E-2</v>
      </c>
      <c r="I86" s="16">
        <f t="shared" si="11"/>
        <v>0</v>
      </c>
      <c r="J86" s="16">
        <v>0.58333333333333337</v>
      </c>
      <c r="K86" s="16">
        <v>0.59375</v>
      </c>
      <c r="L86" s="16" t="s">
        <v>85</v>
      </c>
      <c r="M86" s="16" t="s">
        <v>85</v>
      </c>
      <c r="N86" s="16">
        <f t="shared" si="8"/>
        <v>1.041666666666663E-2</v>
      </c>
      <c r="O86" s="16">
        <v>0</v>
      </c>
      <c r="P86" s="16">
        <v>6.9444444444444397E-3</v>
      </c>
      <c r="Q86" s="16">
        <v>0.61458333333333337</v>
      </c>
      <c r="R86" s="16">
        <v>0</v>
      </c>
      <c r="S86" s="16">
        <v>0.61458333333333337</v>
      </c>
      <c r="T86" s="16">
        <f>VLOOKUP(E86,'[2]21-3-2026'!E$3:T$35,16,FALSE)</f>
        <v>1.38888888888889E-2</v>
      </c>
      <c r="U86" s="16">
        <v>0.63888888888888895</v>
      </c>
      <c r="V86" s="16">
        <f t="shared" si="9"/>
        <v>1.041666666666663E-2</v>
      </c>
      <c r="W86" s="16">
        <v>3.125E-2</v>
      </c>
      <c r="X86" s="16">
        <v>0.64236111111111105</v>
      </c>
      <c r="Y86" s="16">
        <v>0.65277777777777779</v>
      </c>
      <c r="Z86" s="16">
        <f t="shared" si="10"/>
        <v>1.0416666666666741E-2</v>
      </c>
      <c r="AA86" s="16">
        <v>0</v>
      </c>
      <c r="AB86" s="16">
        <v>0.65416666666666667</v>
      </c>
      <c r="AC86" s="17"/>
      <c r="AD86" s="51"/>
    </row>
    <row r="87" spans="1:30" ht="19.5" thickBot="1" x14ac:dyDescent="0.3">
      <c r="A87" s="14">
        <v>20</v>
      </c>
      <c r="B87" s="15">
        <v>1537</v>
      </c>
      <c r="C87" s="15" t="str">
        <f>VLOOKUP(B87,[3]داتا!$B$3:$D$107,2,FALSE)</f>
        <v>تلتين</v>
      </c>
      <c r="D87" s="34">
        <f>VLOOKUP(B87,[3]داتا!$B$3:$D$107,3,FALSE)</f>
        <v>3.125E-2</v>
      </c>
      <c r="E87" s="15" t="s">
        <v>77</v>
      </c>
      <c r="F87" s="15" t="s">
        <v>163</v>
      </c>
      <c r="G87" s="16">
        <v>8.3333333333333329E-2</v>
      </c>
      <c r="H87" s="16">
        <v>8.3333333333333329E-2</v>
      </c>
      <c r="I87" s="16">
        <f t="shared" ref="I87" si="23">H87-G87</f>
        <v>0</v>
      </c>
      <c r="J87" s="16">
        <v>0.58333333333333337</v>
      </c>
      <c r="K87" s="16">
        <v>0.59375</v>
      </c>
      <c r="L87" s="16" t="s">
        <v>85</v>
      </c>
      <c r="M87" s="16" t="s">
        <v>85</v>
      </c>
      <c r="N87" s="16">
        <f t="shared" ref="N87" si="24">K87-J87</f>
        <v>1.041666666666663E-2</v>
      </c>
      <c r="O87" s="16">
        <v>0</v>
      </c>
      <c r="P87" s="16">
        <v>6.9444444444444397E-3</v>
      </c>
      <c r="Q87" s="16">
        <v>0.61458333333333337</v>
      </c>
      <c r="R87" s="16">
        <v>0</v>
      </c>
      <c r="S87" s="16">
        <v>0.61458333333333337</v>
      </c>
      <c r="T87" s="16">
        <f>VLOOKUP(E87,'[2]21-3-2026'!E$3:T$35,16,FALSE)</f>
        <v>1.38888888888889E-2</v>
      </c>
      <c r="U87" s="16">
        <v>0.66319444444444442</v>
      </c>
      <c r="V87" s="16">
        <v>0</v>
      </c>
      <c r="W87" s="16">
        <v>4.1666666666666664E-2</v>
      </c>
      <c r="X87" s="16">
        <v>0.66666666666666663</v>
      </c>
      <c r="Y87" s="16">
        <v>0.68402777777777779</v>
      </c>
      <c r="Z87" s="16">
        <f t="shared" si="10"/>
        <v>1.736111111111116E-2</v>
      </c>
      <c r="AA87" s="16">
        <v>0</v>
      </c>
      <c r="AB87" s="16">
        <v>0.6875</v>
      </c>
      <c r="AC87" s="17"/>
      <c r="AD87" s="51"/>
    </row>
    <row r="88" spans="1:30" ht="19.5" thickBot="1" x14ac:dyDescent="0.3">
      <c r="A88" s="14">
        <v>21</v>
      </c>
      <c r="B88" s="15">
        <v>5898</v>
      </c>
      <c r="C88" s="15" t="str">
        <f>VLOOKUP(B88,[3]داتا!$B$3:$D$107,2,FALSE)</f>
        <v>تلتين</v>
      </c>
      <c r="D88" s="34">
        <f>VLOOKUP(B88,[3]داتا!$B$3:$D$107,3,FALSE)</f>
        <v>3.125E-2</v>
      </c>
      <c r="E88" s="15" t="s">
        <v>98</v>
      </c>
      <c r="F88" s="15" t="s">
        <v>236</v>
      </c>
      <c r="G88" s="16">
        <v>8.3333333333333329E-2</v>
      </c>
      <c r="H88" s="16">
        <v>0.10416666666666667</v>
      </c>
      <c r="I88" s="16">
        <f t="shared" si="11"/>
        <v>2.0833333333333343E-2</v>
      </c>
      <c r="J88" s="16">
        <v>0.60416666666666663</v>
      </c>
      <c r="K88" s="16">
        <v>0.625</v>
      </c>
      <c r="L88" s="16" t="s">
        <v>85</v>
      </c>
      <c r="M88" s="16" t="s">
        <v>85</v>
      </c>
      <c r="N88" s="16">
        <f t="shared" si="8"/>
        <v>2.083333333333337E-2</v>
      </c>
      <c r="O88" s="16">
        <v>0</v>
      </c>
      <c r="P88" s="16">
        <v>6.9444444444444397E-3</v>
      </c>
      <c r="Q88" s="16">
        <v>0.63194444444444442</v>
      </c>
      <c r="R88" s="16">
        <v>0</v>
      </c>
      <c r="S88" s="16">
        <v>0.63194444444444442</v>
      </c>
      <c r="T88" s="16">
        <f>VLOOKUP(E88,'[2]21-3-2026'!E$3:T$35,16,FALSE)</f>
        <v>4.8611111111111103E-3</v>
      </c>
      <c r="U88" s="16">
        <v>0.64027777777777783</v>
      </c>
      <c r="V88" s="16">
        <f t="shared" si="9"/>
        <v>3.4722222222223209E-3</v>
      </c>
      <c r="W88" s="16">
        <v>3.125E-2</v>
      </c>
      <c r="X88" s="16">
        <v>0.6430555555555556</v>
      </c>
      <c r="Y88" s="16">
        <v>0.64861111111111114</v>
      </c>
      <c r="Z88" s="16">
        <f t="shared" si="10"/>
        <v>5.5555555555555358E-3</v>
      </c>
      <c r="AA88" s="16">
        <v>0</v>
      </c>
      <c r="AB88" s="16">
        <v>0.64930555555555558</v>
      </c>
      <c r="AC88" s="19"/>
      <c r="AD88" s="51"/>
    </row>
    <row r="89" spans="1:30" ht="19.5" thickBot="1" x14ac:dyDescent="0.3">
      <c r="A89" s="14">
        <v>22</v>
      </c>
      <c r="B89" s="15">
        <v>5898</v>
      </c>
      <c r="C89" s="15" t="str">
        <f>VLOOKUP(B89,[3]داتا!$B$3:$D$107,2,FALSE)</f>
        <v>تلتين</v>
      </c>
      <c r="D89" s="34">
        <f>VLOOKUP(B89,[3]داتا!$B$3:$D$107,3,FALSE)</f>
        <v>3.125E-2</v>
      </c>
      <c r="E89" s="15" t="s">
        <v>95</v>
      </c>
      <c r="F89" s="15" t="s">
        <v>236</v>
      </c>
      <c r="G89" s="16">
        <v>8.3333333333333329E-2</v>
      </c>
      <c r="H89" s="16">
        <v>0.10416666666666667</v>
      </c>
      <c r="I89" s="16">
        <f t="shared" ref="I89" si="25">H89-G89</f>
        <v>2.0833333333333343E-2</v>
      </c>
      <c r="J89" s="16">
        <v>0.60416666666666663</v>
      </c>
      <c r="K89" s="16">
        <v>0.625</v>
      </c>
      <c r="L89" s="16" t="s">
        <v>85</v>
      </c>
      <c r="M89" s="16" t="s">
        <v>85</v>
      </c>
      <c r="N89" s="16">
        <f t="shared" ref="N89" si="26">K89-J89</f>
        <v>2.083333333333337E-2</v>
      </c>
      <c r="O89" s="16">
        <v>0</v>
      </c>
      <c r="P89" s="16">
        <v>6.9444444444444397E-3</v>
      </c>
      <c r="Q89" s="16">
        <v>0.63194444444444442</v>
      </c>
      <c r="R89" s="16">
        <v>0</v>
      </c>
      <c r="S89" s="16">
        <v>0.63194444444444442</v>
      </c>
      <c r="T89" s="16">
        <f>VLOOKUP(E89,'[2]21-3-2026'!E$3:T$35,16,FALSE)</f>
        <v>1.0416666666666701E-2</v>
      </c>
      <c r="U89" s="16">
        <v>0.65625</v>
      </c>
      <c r="V89" s="16">
        <v>0</v>
      </c>
      <c r="W89" s="16">
        <v>4.1666666666666664E-2</v>
      </c>
      <c r="X89" s="16">
        <v>0.65972222222222221</v>
      </c>
      <c r="Y89" s="16">
        <v>0.67013888888888884</v>
      </c>
      <c r="Z89" s="16">
        <f t="shared" si="10"/>
        <v>1.041666666666663E-2</v>
      </c>
      <c r="AA89" s="16">
        <v>0</v>
      </c>
      <c r="AB89" s="16">
        <v>0.67361111111111116</v>
      </c>
      <c r="AC89" s="19"/>
      <c r="AD89" s="51"/>
    </row>
    <row r="90" spans="1:30" ht="19.5" thickBot="1" x14ac:dyDescent="0.3">
      <c r="A90" s="14">
        <v>23</v>
      </c>
      <c r="B90" s="15">
        <v>459</v>
      </c>
      <c r="C90" s="15" t="str">
        <f>VLOOKUP(B90,[3]داتا!$B$3:$D$107,2,FALSE)</f>
        <v>دبابة</v>
      </c>
      <c r="D90" s="34">
        <f>VLOOKUP(B90,[3]داتا!$B$3:$D$107,3,FALSE)</f>
        <v>2.0833333333333301E-2</v>
      </c>
      <c r="E90" s="15" t="s">
        <v>89</v>
      </c>
      <c r="F90" s="15" t="s">
        <v>118</v>
      </c>
      <c r="G90" s="16">
        <v>8.3333333333333329E-2</v>
      </c>
      <c r="H90" s="16">
        <v>0.10416666666666667</v>
      </c>
      <c r="I90" s="16">
        <f t="shared" si="11"/>
        <v>2.0833333333333343E-2</v>
      </c>
      <c r="J90" s="16">
        <v>0.56319444444444444</v>
      </c>
      <c r="K90" s="16">
        <v>0.58333333333333337</v>
      </c>
      <c r="L90" s="16" t="s">
        <v>190</v>
      </c>
      <c r="M90" s="16" t="s">
        <v>190</v>
      </c>
      <c r="N90" s="16">
        <f t="shared" si="8"/>
        <v>2.0138888888888928E-2</v>
      </c>
      <c r="O90" s="16">
        <v>0</v>
      </c>
      <c r="P90" s="16">
        <v>6.9444444444444397E-3</v>
      </c>
      <c r="Q90" s="16">
        <v>0.60763888888888895</v>
      </c>
      <c r="R90" s="16">
        <v>0</v>
      </c>
      <c r="S90" s="16">
        <v>0.60763888888888895</v>
      </c>
      <c r="T90" s="16">
        <f>VLOOKUP(E90,'[2]21-3-2026'!E$3:T$35,16,FALSE)</f>
        <v>1.7361111111111101E-2</v>
      </c>
      <c r="U90" s="16">
        <v>0.59791666666666665</v>
      </c>
      <c r="V90" s="16">
        <v>0</v>
      </c>
      <c r="W90" s="16">
        <v>2.0833333333333332E-2</v>
      </c>
      <c r="X90" s="16">
        <v>0.59930555555555554</v>
      </c>
      <c r="Y90" s="16">
        <v>0.60486111111111118</v>
      </c>
      <c r="Z90" s="16">
        <f t="shared" si="10"/>
        <v>5.5555555555556468E-3</v>
      </c>
      <c r="AA90" s="16">
        <v>0</v>
      </c>
      <c r="AB90" s="16">
        <v>0.60625000000000007</v>
      </c>
      <c r="AC90" s="19"/>
      <c r="AD90" s="51"/>
    </row>
    <row r="91" spans="1:30" ht="19.5" thickBot="1" x14ac:dyDescent="0.3">
      <c r="A91" s="14">
        <v>24</v>
      </c>
      <c r="B91" s="15">
        <v>459</v>
      </c>
      <c r="C91" s="15" t="str">
        <f>VLOOKUP(B91,[3]داتا!$B$3:$D$107,2,FALSE)</f>
        <v>دبابة</v>
      </c>
      <c r="D91" s="34">
        <f>VLOOKUP(B91,[3]داتا!$B$3:$D$107,3,FALSE)</f>
        <v>2.0833333333333301E-2</v>
      </c>
      <c r="E91" s="15" t="s">
        <v>39</v>
      </c>
      <c r="F91" s="15" t="s">
        <v>118</v>
      </c>
      <c r="G91" s="16">
        <v>8.3333333333333329E-2</v>
      </c>
      <c r="H91" s="16">
        <v>0.10416666666666667</v>
      </c>
      <c r="I91" s="16">
        <f t="shared" ref="I91" si="27">H91-G91</f>
        <v>2.0833333333333343E-2</v>
      </c>
      <c r="J91" s="16">
        <v>0.56319444444444444</v>
      </c>
      <c r="K91" s="16">
        <v>0.58333333333333337</v>
      </c>
      <c r="L91" s="16" t="s">
        <v>190</v>
      </c>
      <c r="M91" s="16" t="s">
        <v>190</v>
      </c>
      <c r="N91" s="16">
        <f t="shared" ref="N91" si="28">K91-J91</f>
        <v>2.0138888888888928E-2</v>
      </c>
      <c r="O91" s="16">
        <v>0</v>
      </c>
      <c r="P91" s="16">
        <v>6.9444444444444397E-3</v>
      </c>
      <c r="Q91" s="16">
        <v>0.60763888888888895</v>
      </c>
      <c r="R91" s="16">
        <v>0</v>
      </c>
      <c r="S91" s="16">
        <v>0.60763888888888895</v>
      </c>
      <c r="T91" s="16">
        <f>VLOOKUP(E91,'[2]21-3-2026'!E$3:T$35,16,FALSE)</f>
        <v>1.7361111111111101E-2</v>
      </c>
      <c r="U91" s="16">
        <v>0.65486111111111112</v>
      </c>
      <c r="V91" s="16">
        <f t="shared" si="9"/>
        <v>2.9861111111111116E-2</v>
      </c>
      <c r="W91" s="16">
        <v>3.125E-2</v>
      </c>
      <c r="X91" s="16">
        <v>0.65625</v>
      </c>
      <c r="Y91" s="16">
        <v>0.66249999999999998</v>
      </c>
      <c r="Z91" s="16">
        <f t="shared" si="10"/>
        <v>6.2499999999999778E-3</v>
      </c>
      <c r="AA91" s="16">
        <v>0</v>
      </c>
      <c r="AB91" s="16">
        <v>0.66666666666666663</v>
      </c>
      <c r="AC91" s="19"/>
      <c r="AD91" s="51"/>
    </row>
  </sheetData>
  <autoFilter ref="E1:E91"/>
  <mergeCells count="4">
    <mergeCell ref="A1:AC1"/>
    <mergeCell ref="AD3:AD35"/>
    <mergeCell ref="AD36:AD67"/>
    <mergeCell ref="AD68:AD91"/>
  </mergeCells>
  <conditionalFormatting sqref="AC1:AC1048576">
    <cfRule type="containsText" dxfId="543" priority="56" operator="containsText" text="ت">
      <formula>NOT(ISERROR(SEARCH("ت",AC1)))</formula>
    </cfRule>
  </conditionalFormatting>
  <conditionalFormatting sqref="AC4:AC91">
    <cfRule type="containsText" dxfId="542" priority="55" operator="containsText" text="ت">
      <formula>NOT(ISERROR(SEARCH("ت",AC4)))</formula>
    </cfRule>
  </conditionalFormatting>
  <conditionalFormatting sqref="O1:O2 I1:I2 R1:R2 V1:V2 AA92:AA1048576 V92:V1048576 R92:R1048576 O92:O1048576 I92:I1048576 AA1:AA2">
    <cfRule type="cellIs" dxfId="541" priority="57" operator="between">
      <formula>0.00277777777777778</formula>
      <formula>1</formula>
    </cfRule>
  </conditionalFormatting>
  <conditionalFormatting sqref="I3:I21 I23:I70 I76 I72 I78 I80:I81 I83 I86 I88 I90">
    <cfRule type="cellIs" dxfId="540" priority="51" operator="between">
      <formula>0.00277777777777778</formula>
      <formula>1</formula>
    </cfRule>
  </conditionalFormatting>
  <conditionalFormatting sqref="I3:I21 I23:I70 I76 I72 I78 I80:I81 I83 I86 I88 I90">
    <cfRule type="cellIs" dxfId="539" priority="52" operator="between">
      <formula>0.00277777777777778</formula>
      <formula>1</formula>
    </cfRule>
  </conditionalFormatting>
  <conditionalFormatting sqref="O3:O21 O23:O70 O76 O72 O78 O80:O81 O83 O86 O88 O90">
    <cfRule type="cellIs" dxfId="538" priority="49" operator="between">
      <formula>0.00277777777777778</formula>
      <formula>1</formula>
    </cfRule>
  </conditionalFormatting>
  <conditionalFormatting sqref="O3:O21 O23:O70 O76 O72 O78 O80:O81 O83 O86 O88 O90">
    <cfRule type="cellIs" dxfId="537" priority="50" operator="between">
      <formula>0.00277777777777778</formula>
      <formula>1</formula>
    </cfRule>
  </conditionalFormatting>
  <conditionalFormatting sqref="R3:R91">
    <cfRule type="cellIs" dxfId="536" priority="47" operator="between">
      <formula>0.00277777777777778</formula>
      <formula>1</formula>
    </cfRule>
  </conditionalFormatting>
  <conditionalFormatting sqref="R3:R91">
    <cfRule type="cellIs" dxfId="535" priority="48" operator="between">
      <formula>0.00277777777777778</formula>
      <formula>1</formula>
    </cfRule>
  </conditionalFormatting>
  <conditionalFormatting sqref="V3:V91">
    <cfRule type="cellIs" dxfId="534" priority="45" operator="between">
      <formula>0.00277777777777778</formula>
      <formula>1</formula>
    </cfRule>
  </conditionalFormatting>
  <conditionalFormatting sqref="V3:V91">
    <cfRule type="cellIs" dxfId="533" priority="46" operator="between">
      <formula>0.00277777777777778</formula>
      <formula>1</formula>
    </cfRule>
  </conditionalFormatting>
  <conditionalFormatting sqref="AA3:AA91">
    <cfRule type="cellIs" dxfId="532" priority="43" operator="between">
      <formula>0.00277777777777778</formula>
      <formula>1</formula>
    </cfRule>
  </conditionalFormatting>
  <conditionalFormatting sqref="AA3:AA91">
    <cfRule type="cellIs" dxfId="531" priority="44" operator="between">
      <formula>0.00277777777777778</formula>
      <formula>1</formula>
    </cfRule>
  </conditionalFormatting>
  <conditionalFormatting sqref="I22">
    <cfRule type="cellIs" dxfId="530" priority="41" operator="between">
      <formula>0.00277777777777778</formula>
      <formula>1</formula>
    </cfRule>
  </conditionalFormatting>
  <conditionalFormatting sqref="I22">
    <cfRule type="cellIs" dxfId="529" priority="42" operator="between">
      <formula>0.00277777777777778</formula>
      <formula>1</formula>
    </cfRule>
  </conditionalFormatting>
  <conditionalFormatting sqref="O22">
    <cfRule type="cellIs" dxfId="528" priority="39" operator="between">
      <formula>0.00277777777777778</formula>
      <formula>1</formula>
    </cfRule>
  </conditionalFormatting>
  <conditionalFormatting sqref="O22">
    <cfRule type="cellIs" dxfId="527" priority="40" operator="between">
      <formula>0.00277777777777778</formula>
      <formula>1</formula>
    </cfRule>
  </conditionalFormatting>
  <conditionalFormatting sqref="I73:I75">
    <cfRule type="cellIs" dxfId="526" priority="35" operator="between">
      <formula>0.00277777777777778</formula>
      <formula>1</formula>
    </cfRule>
  </conditionalFormatting>
  <conditionalFormatting sqref="I73:I75">
    <cfRule type="cellIs" dxfId="525" priority="36" operator="between">
      <formula>0.00277777777777778</formula>
      <formula>1</formula>
    </cfRule>
  </conditionalFormatting>
  <conditionalFormatting sqref="O73:O75">
    <cfRule type="cellIs" dxfId="524" priority="33" operator="between">
      <formula>0.00277777777777778</formula>
      <formula>1</formula>
    </cfRule>
  </conditionalFormatting>
  <conditionalFormatting sqref="O73:O75">
    <cfRule type="cellIs" dxfId="523" priority="34" operator="between">
      <formula>0.00277777777777778</formula>
      <formula>1</formula>
    </cfRule>
  </conditionalFormatting>
  <conditionalFormatting sqref="I71">
    <cfRule type="cellIs" dxfId="522" priority="31" operator="between">
      <formula>0.00277777777777778</formula>
      <formula>1</formula>
    </cfRule>
  </conditionalFormatting>
  <conditionalFormatting sqref="I71">
    <cfRule type="cellIs" dxfId="521" priority="32" operator="between">
      <formula>0.00277777777777778</formula>
      <formula>1</formula>
    </cfRule>
  </conditionalFormatting>
  <conditionalFormatting sqref="O71">
    <cfRule type="cellIs" dxfId="520" priority="29" operator="between">
      <formula>0.00277777777777778</formula>
      <formula>1</formula>
    </cfRule>
  </conditionalFormatting>
  <conditionalFormatting sqref="O71">
    <cfRule type="cellIs" dxfId="519" priority="30" operator="between">
      <formula>0.00277777777777778</formula>
      <formula>1</formula>
    </cfRule>
  </conditionalFormatting>
  <conditionalFormatting sqref="I77">
    <cfRule type="cellIs" dxfId="518" priority="27" operator="between">
      <formula>0.00277777777777778</formula>
      <formula>1</formula>
    </cfRule>
  </conditionalFormatting>
  <conditionalFormatting sqref="I77">
    <cfRule type="cellIs" dxfId="517" priority="28" operator="between">
      <formula>0.00277777777777778</formula>
      <formula>1</formula>
    </cfRule>
  </conditionalFormatting>
  <conditionalFormatting sqref="O77">
    <cfRule type="cellIs" dxfId="516" priority="25" operator="between">
      <formula>0.00277777777777778</formula>
      <formula>1</formula>
    </cfRule>
  </conditionalFormatting>
  <conditionalFormatting sqref="O77">
    <cfRule type="cellIs" dxfId="515" priority="26" operator="between">
      <formula>0.00277777777777778</formula>
      <formula>1</formula>
    </cfRule>
  </conditionalFormatting>
  <conditionalFormatting sqref="I79">
    <cfRule type="cellIs" dxfId="514" priority="23" operator="between">
      <formula>0.00277777777777778</formula>
      <formula>1</formula>
    </cfRule>
  </conditionalFormatting>
  <conditionalFormatting sqref="I79">
    <cfRule type="cellIs" dxfId="513" priority="24" operator="between">
      <formula>0.00277777777777778</formula>
      <formula>1</formula>
    </cfRule>
  </conditionalFormatting>
  <conditionalFormatting sqref="O79">
    <cfRule type="cellIs" dxfId="512" priority="21" operator="between">
      <formula>0.00277777777777778</formula>
      <formula>1</formula>
    </cfRule>
  </conditionalFormatting>
  <conditionalFormatting sqref="O79">
    <cfRule type="cellIs" dxfId="511" priority="22" operator="between">
      <formula>0.00277777777777778</formula>
      <formula>1</formula>
    </cfRule>
  </conditionalFormatting>
  <conditionalFormatting sqref="I82">
    <cfRule type="cellIs" dxfId="510" priority="19" operator="between">
      <formula>0.00277777777777778</formula>
      <formula>1</formula>
    </cfRule>
  </conditionalFormatting>
  <conditionalFormatting sqref="I82">
    <cfRule type="cellIs" dxfId="509" priority="20" operator="between">
      <formula>0.00277777777777778</formula>
      <formula>1</formula>
    </cfRule>
  </conditionalFormatting>
  <conditionalFormatting sqref="O82">
    <cfRule type="cellIs" dxfId="508" priority="17" operator="between">
      <formula>0.00277777777777778</formula>
      <formula>1</formula>
    </cfRule>
  </conditionalFormatting>
  <conditionalFormatting sqref="O82">
    <cfRule type="cellIs" dxfId="507" priority="18" operator="between">
      <formula>0.00277777777777778</formula>
      <formula>1</formula>
    </cfRule>
  </conditionalFormatting>
  <conditionalFormatting sqref="I84:I85">
    <cfRule type="cellIs" dxfId="506" priority="15" operator="between">
      <formula>0.00277777777777778</formula>
      <formula>1</formula>
    </cfRule>
  </conditionalFormatting>
  <conditionalFormatting sqref="I84:I85">
    <cfRule type="cellIs" dxfId="505" priority="16" operator="between">
      <formula>0.00277777777777778</formula>
      <formula>1</formula>
    </cfRule>
  </conditionalFormatting>
  <conditionalFormatting sqref="O84:O85">
    <cfRule type="cellIs" dxfId="504" priority="13" operator="between">
      <formula>0.00277777777777778</formula>
      <formula>1</formula>
    </cfRule>
  </conditionalFormatting>
  <conditionalFormatting sqref="O84:O85">
    <cfRule type="cellIs" dxfId="503" priority="14" operator="between">
      <formula>0.00277777777777778</formula>
      <formula>1</formula>
    </cfRule>
  </conditionalFormatting>
  <conditionalFormatting sqref="I87">
    <cfRule type="cellIs" dxfId="502" priority="11" operator="between">
      <formula>0.00277777777777778</formula>
      <formula>1</formula>
    </cfRule>
  </conditionalFormatting>
  <conditionalFormatting sqref="I87">
    <cfRule type="cellIs" dxfId="501" priority="12" operator="between">
      <formula>0.00277777777777778</formula>
      <formula>1</formula>
    </cfRule>
  </conditionalFormatting>
  <conditionalFormatting sqref="O87">
    <cfRule type="cellIs" dxfId="500" priority="9" operator="between">
      <formula>0.00277777777777778</formula>
      <formula>1</formula>
    </cfRule>
  </conditionalFormatting>
  <conditionalFormatting sqref="O87">
    <cfRule type="cellIs" dxfId="499" priority="10" operator="between">
      <formula>0.00277777777777778</formula>
      <formula>1</formula>
    </cfRule>
  </conditionalFormatting>
  <conditionalFormatting sqref="I89">
    <cfRule type="cellIs" dxfId="498" priority="7" operator="between">
      <formula>0.00277777777777778</formula>
      <formula>1</formula>
    </cfRule>
  </conditionalFormatting>
  <conditionalFormatting sqref="I89">
    <cfRule type="cellIs" dxfId="497" priority="8" operator="between">
      <formula>0.00277777777777778</formula>
      <formula>1</formula>
    </cfRule>
  </conditionalFormatting>
  <conditionalFormatting sqref="O89">
    <cfRule type="cellIs" dxfId="496" priority="5" operator="between">
      <formula>0.00277777777777778</formula>
      <formula>1</formula>
    </cfRule>
  </conditionalFormatting>
  <conditionalFormatting sqref="O89">
    <cfRule type="cellIs" dxfId="495" priority="6" operator="between">
      <formula>0.00277777777777778</formula>
      <formula>1</formula>
    </cfRule>
  </conditionalFormatting>
  <conditionalFormatting sqref="I91">
    <cfRule type="cellIs" dxfId="494" priority="3" operator="between">
      <formula>0.00277777777777778</formula>
      <formula>1</formula>
    </cfRule>
  </conditionalFormatting>
  <conditionalFormatting sqref="I91">
    <cfRule type="cellIs" dxfId="493" priority="4" operator="between">
      <formula>0.00277777777777778</formula>
      <formula>1</formula>
    </cfRule>
  </conditionalFormatting>
  <conditionalFormatting sqref="O91">
    <cfRule type="cellIs" dxfId="492" priority="1" operator="between">
      <formula>0.00277777777777778</formula>
      <formula>1</formula>
    </cfRule>
  </conditionalFormatting>
  <conditionalFormatting sqref="O91">
    <cfRule type="cellIs" dxfId="491" priority="2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2"/>
  <sheetViews>
    <sheetView rightToLeft="1" workbookViewId="0">
      <pane xSplit="6" ySplit="2" topLeftCell="U68" activePane="bottomRight" state="frozen"/>
      <selection activeCell="A92" sqref="A92"/>
      <selection pane="topRight" activeCell="A92" sqref="A92"/>
      <selection pane="bottomLeft" activeCell="A92" sqref="A92"/>
      <selection pane="bottomRight" activeCell="A68" sqref="A68:AC91"/>
    </sheetView>
  </sheetViews>
  <sheetFormatPr defaultColWidth="9" defaultRowHeight="15.75" x14ac:dyDescent="0.25"/>
  <cols>
    <col min="1" max="1" width="5.42578125" customWidth="1"/>
    <col min="2" max="2" width="12.28515625" customWidth="1"/>
    <col min="3" max="3" width="12.5703125" customWidth="1"/>
    <col min="4" max="4" width="16.140625" style="36" customWidth="1"/>
    <col min="5" max="5" width="17.140625" customWidth="1"/>
    <col min="6" max="6" width="20.85546875" customWidth="1"/>
    <col min="7" max="7" width="12.7109375" customWidth="1"/>
    <col min="8" max="9" width="12.85546875" customWidth="1"/>
    <col min="10" max="10" width="12.5703125" customWidth="1"/>
    <col min="11" max="11" width="14.28515625" customWidth="1"/>
    <col min="12" max="12" width="22.7109375" customWidth="1"/>
    <col min="13" max="13" width="18.8554687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3.85546875" style="31" customWidth="1"/>
    <col min="30" max="30" width="11.140625" customWidth="1"/>
  </cols>
  <sheetData>
    <row r="1" spans="1:30" ht="33.75" customHeight="1" thickBot="1" x14ac:dyDescent="0.3">
      <c r="A1" s="46" t="s">
        <v>125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0" ht="49.5" customHeight="1" thickTop="1" thickBot="1" x14ac:dyDescent="0.3">
      <c r="A2" s="1" t="s">
        <v>1</v>
      </c>
      <c r="B2" s="2" t="s">
        <v>2</v>
      </c>
      <c r="C2" s="2" t="s">
        <v>3</v>
      </c>
      <c r="D2" s="3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8" t="s">
        <v>18</v>
      </c>
      <c r="S2" s="2" t="s">
        <v>19</v>
      </c>
      <c r="T2" s="8" t="s">
        <v>20</v>
      </c>
      <c r="U2" s="2" t="s">
        <v>21</v>
      </c>
      <c r="V2" s="8" t="s">
        <v>22</v>
      </c>
      <c r="W2" s="8" t="s">
        <v>23</v>
      </c>
      <c r="X2" s="2" t="s">
        <v>24</v>
      </c>
      <c r="Y2" s="2" t="s">
        <v>25</v>
      </c>
      <c r="Z2" s="2" t="s">
        <v>26</v>
      </c>
      <c r="AA2" s="8" t="s">
        <v>27</v>
      </c>
      <c r="AB2" s="2" t="s">
        <v>28</v>
      </c>
      <c r="AC2" s="9" t="s">
        <v>29</v>
      </c>
    </row>
    <row r="3" spans="1:30" ht="20.25" customHeight="1" thickTop="1" thickBot="1" x14ac:dyDescent="0.3">
      <c r="A3" s="10">
        <v>1</v>
      </c>
      <c r="B3" s="15">
        <v>4987</v>
      </c>
      <c r="C3" s="11" t="str">
        <f>VLOOKUP(B3,داتا!$B$3:$D$107,2,FALSE)</f>
        <v>تلتين</v>
      </c>
      <c r="D3" s="33">
        <f>VLOOKUP(B3,داتا!$B$3:$D$107,3,FALSE)</f>
        <v>3.125E-2</v>
      </c>
      <c r="E3" s="15" t="s">
        <v>30</v>
      </c>
      <c r="F3" s="15" t="s">
        <v>169</v>
      </c>
      <c r="G3" s="16">
        <v>0.25</v>
      </c>
      <c r="H3" s="16">
        <v>0.24652777777777779</v>
      </c>
      <c r="I3" s="16">
        <v>0</v>
      </c>
      <c r="J3" s="16">
        <v>0.19444444444444445</v>
      </c>
      <c r="K3" s="16">
        <v>0.21875</v>
      </c>
      <c r="L3" s="16" t="s">
        <v>178</v>
      </c>
      <c r="M3" s="16" t="s">
        <v>178</v>
      </c>
      <c r="N3" s="12">
        <f>K3-J3</f>
        <v>2.4305555555555552E-2</v>
      </c>
      <c r="O3" s="12">
        <v>0</v>
      </c>
      <c r="P3" s="12">
        <v>6.9444444444444397E-3</v>
      </c>
      <c r="Q3" s="16">
        <v>0.22222222222222221</v>
      </c>
      <c r="R3" s="12">
        <v>0</v>
      </c>
      <c r="S3" s="12">
        <v>0.25694444444444448</v>
      </c>
      <c r="T3" s="12">
        <f>VLOOKUP(E3,'[2]21-3-2026'!E$3:T$35,16,FALSE)</f>
        <v>1.38888888888889E-2</v>
      </c>
      <c r="U3" s="12">
        <v>0.27777777777777779</v>
      </c>
      <c r="V3" s="12">
        <f>U3-T3-S3</f>
        <v>6.9444444444444198E-3</v>
      </c>
      <c r="W3" s="12">
        <v>4.1666666666666664E-2</v>
      </c>
      <c r="X3" s="12">
        <v>0.30208333333333331</v>
      </c>
      <c r="Y3" s="12">
        <v>0.3298611111111111</v>
      </c>
      <c r="Z3" s="12">
        <f>Y3-X3</f>
        <v>2.777777777777779E-2</v>
      </c>
      <c r="AA3" s="12">
        <v>0</v>
      </c>
      <c r="AB3" s="12">
        <v>0.33333333333333331</v>
      </c>
      <c r="AC3" s="13"/>
      <c r="AD3" s="47" t="s">
        <v>33</v>
      </c>
    </row>
    <row r="4" spans="1:30" ht="19.5" thickBot="1" x14ac:dyDescent="0.3">
      <c r="A4" s="14">
        <v>2</v>
      </c>
      <c r="B4" s="15">
        <v>1538</v>
      </c>
      <c r="C4" s="15" t="str">
        <f>VLOOKUP(B4,داتا!$B$3:$D$107,2,FALSE)</f>
        <v>تلتين</v>
      </c>
      <c r="D4" s="34">
        <f>VLOOKUP(B4,داتا!$B$3:$D$107,3,FALSE)</f>
        <v>3.125E-2</v>
      </c>
      <c r="E4" s="15" t="s">
        <v>65</v>
      </c>
      <c r="F4" s="15" t="s">
        <v>146</v>
      </c>
      <c r="G4" s="16">
        <v>0.25</v>
      </c>
      <c r="H4" s="16">
        <v>0.25</v>
      </c>
      <c r="I4" s="16">
        <f t="shared" ref="I4:I21" si="0">H4-G4</f>
        <v>0</v>
      </c>
      <c r="J4" s="16">
        <v>0.22222222222222221</v>
      </c>
      <c r="K4" s="16">
        <v>0.24652777777777779</v>
      </c>
      <c r="L4" s="16" t="s">
        <v>178</v>
      </c>
      <c r="M4" s="16" t="s">
        <v>178</v>
      </c>
      <c r="N4" s="16">
        <f t="shared" ref="N4:N67" si="1">K4-J4</f>
        <v>2.430555555555558E-2</v>
      </c>
      <c r="O4" s="16">
        <v>0</v>
      </c>
      <c r="P4" s="16">
        <v>6.9444444444444397E-3</v>
      </c>
      <c r="Q4" s="16">
        <v>0.25347222222222221</v>
      </c>
      <c r="R4" s="16">
        <f t="shared" ref="R4:R15" si="2">Q4-P4-K4</f>
        <v>0</v>
      </c>
      <c r="S4" s="16">
        <v>0.25347222222222221</v>
      </c>
      <c r="T4" s="16">
        <f>VLOOKUP(E4,'[2]21-3-2026'!E$3:T$35,16,FALSE)</f>
        <v>4.1666666666666699E-2</v>
      </c>
      <c r="U4" s="16">
        <v>0.3125</v>
      </c>
      <c r="V4" s="16">
        <f t="shared" ref="V4:V64" si="3">U4-T4-S4</f>
        <v>1.7361111111111105E-2</v>
      </c>
      <c r="W4" s="16">
        <v>4.1666666666666664E-2</v>
      </c>
      <c r="X4" s="16">
        <v>0.33333333333333331</v>
      </c>
      <c r="Y4" s="16">
        <v>0.36805555555555558</v>
      </c>
      <c r="Z4" s="16">
        <f t="shared" ref="Z4:Z67" si="4">Y4-X4</f>
        <v>3.4722222222222265E-2</v>
      </c>
      <c r="AA4" s="16">
        <v>0</v>
      </c>
      <c r="AB4" s="16">
        <v>0.37152777777777773</v>
      </c>
      <c r="AC4" s="17"/>
      <c r="AD4" s="48"/>
    </row>
    <row r="5" spans="1:30" ht="19.5" thickBot="1" x14ac:dyDescent="0.3">
      <c r="A5" s="14">
        <v>3</v>
      </c>
      <c r="B5" s="15">
        <v>7464</v>
      </c>
      <c r="C5" s="15" t="str">
        <f>VLOOKUP(B5,داتا!$B$3:$D$107,2,FALSE)</f>
        <v>تلتين</v>
      </c>
      <c r="D5" s="34">
        <f>VLOOKUP(B5,داتا!$B$3:$D$107,3,FALSE)</f>
        <v>3.125E-2</v>
      </c>
      <c r="E5" s="15" t="s">
        <v>34</v>
      </c>
      <c r="F5" s="15" t="s">
        <v>47</v>
      </c>
      <c r="G5" s="16">
        <v>0.25</v>
      </c>
      <c r="H5" s="16">
        <v>0.25</v>
      </c>
      <c r="I5" s="16">
        <f t="shared" si="0"/>
        <v>0</v>
      </c>
      <c r="J5" s="16">
        <v>0.25</v>
      </c>
      <c r="K5" s="16">
        <v>0.27777777777777779</v>
      </c>
      <c r="L5" s="16" t="s">
        <v>178</v>
      </c>
      <c r="M5" s="16" t="s">
        <v>178</v>
      </c>
      <c r="N5" s="16">
        <f t="shared" si="1"/>
        <v>2.777777777777779E-2</v>
      </c>
      <c r="O5" s="16">
        <v>0</v>
      </c>
      <c r="P5" s="16">
        <v>6.9444444444444397E-3</v>
      </c>
      <c r="Q5" s="16">
        <v>0.28819444444444448</v>
      </c>
      <c r="R5" s="16">
        <f t="shared" si="2"/>
        <v>3.4722222222222654E-3</v>
      </c>
      <c r="S5" s="16">
        <v>0.28472222222222221</v>
      </c>
      <c r="T5" s="16">
        <f>VLOOKUP(E5,'[2]21-3-2026'!E$3:T$35,16,FALSE)</f>
        <v>1.0416666666666701E-2</v>
      </c>
      <c r="U5" s="16">
        <v>0.30208333333333331</v>
      </c>
      <c r="V5" s="16">
        <f t="shared" si="3"/>
        <v>6.9444444444444198E-3</v>
      </c>
      <c r="W5" s="16">
        <v>4.1666666666666664E-2</v>
      </c>
      <c r="X5" s="16">
        <v>0.34027777777777773</v>
      </c>
      <c r="Y5" s="16">
        <v>0.38541666666666669</v>
      </c>
      <c r="Z5" s="16">
        <f t="shared" si="4"/>
        <v>4.5138888888888951E-2</v>
      </c>
      <c r="AA5" s="16">
        <f t="shared" ref="AA5:AA64" si="5">Z5-W5</f>
        <v>3.4722222222222862E-3</v>
      </c>
      <c r="AB5" s="16">
        <v>0.3888888888888889</v>
      </c>
      <c r="AC5" s="17"/>
      <c r="AD5" s="48"/>
    </row>
    <row r="6" spans="1:30" ht="19.5" thickBot="1" x14ac:dyDescent="0.3">
      <c r="A6" s="14">
        <v>4</v>
      </c>
      <c r="B6" s="15">
        <v>634</v>
      </c>
      <c r="C6" s="15" t="str">
        <f>VLOOKUP(B6,داتا!$B$3:$D$107,2,FALSE)</f>
        <v>دبابة</v>
      </c>
      <c r="D6" s="34">
        <f>VLOOKUP(B6,داتا!$B$3:$D$107,3,FALSE)</f>
        <v>2.0833333333333301E-2</v>
      </c>
      <c r="E6" s="15" t="s">
        <v>79</v>
      </c>
      <c r="F6" s="15" t="s">
        <v>90</v>
      </c>
      <c r="G6" s="16">
        <v>0.25</v>
      </c>
      <c r="H6" s="16">
        <v>0.25</v>
      </c>
      <c r="I6" s="16">
        <f t="shared" si="0"/>
        <v>0</v>
      </c>
      <c r="J6" s="16">
        <v>0.28125</v>
      </c>
      <c r="K6" s="16">
        <v>0.2986111111111111</v>
      </c>
      <c r="L6" s="16" t="s">
        <v>178</v>
      </c>
      <c r="M6" s="16" t="s">
        <v>178</v>
      </c>
      <c r="N6" s="16">
        <f t="shared" si="1"/>
        <v>1.7361111111111105E-2</v>
      </c>
      <c r="O6" s="16">
        <v>0</v>
      </c>
      <c r="P6" s="16">
        <v>6.9444444444444397E-3</v>
      </c>
      <c r="Q6" s="16">
        <v>0.30555555555555552</v>
      </c>
      <c r="R6" s="16">
        <f t="shared" si="2"/>
        <v>0</v>
      </c>
      <c r="S6" s="16">
        <v>0.30902777777777779</v>
      </c>
      <c r="T6" s="16">
        <f>VLOOKUP(E6,'[2]21-3-2026'!E$3:T$35,16,FALSE)</f>
        <v>2.0833333333333301E-2</v>
      </c>
      <c r="U6" s="16">
        <v>0.33124999999999999</v>
      </c>
      <c r="V6" s="16">
        <f t="shared" si="3"/>
        <v>1.388888888888884E-3</v>
      </c>
      <c r="W6" s="16">
        <v>3.125E-2</v>
      </c>
      <c r="X6" s="16">
        <v>0.33333333333333331</v>
      </c>
      <c r="Y6" s="16">
        <v>0.36805555555555558</v>
      </c>
      <c r="Z6" s="16">
        <f t="shared" si="4"/>
        <v>3.4722222222222265E-2</v>
      </c>
      <c r="AA6" s="16">
        <f t="shared" si="5"/>
        <v>3.4722222222222654E-3</v>
      </c>
      <c r="AB6" s="16">
        <v>0.36944444444444446</v>
      </c>
      <c r="AC6" s="17"/>
      <c r="AD6" s="48"/>
    </row>
    <row r="7" spans="1:30" ht="19.5" thickBot="1" x14ac:dyDescent="0.3">
      <c r="A7" s="14">
        <v>5</v>
      </c>
      <c r="B7" s="15">
        <v>6143</v>
      </c>
      <c r="C7" s="15" t="str">
        <f>VLOOKUP(B7,داتا!$B$3:$D$107,2,FALSE)</f>
        <v>تلتين</v>
      </c>
      <c r="D7" s="34">
        <f>VLOOKUP(B7,داتا!$B$3:$D$107,3,FALSE)</f>
        <v>3.125E-2</v>
      </c>
      <c r="E7" s="15" t="s">
        <v>38</v>
      </c>
      <c r="F7" s="15" t="s">
        <v>117</v>
      </c>
      <c r="G7" s="16">
        <v>0.25</v>
      </c>
      <c r="H7" s="16">
        <v>0.25</v>
      </c>
      <c r="I7" s="16">
        <f t="shared" si="0"/>
        <v>0</v>
      </c>
      <c r="J7" s="16">
        <v>0.1875</v>
      </c>
      <c r="K7" s="16">
        <v>0.23263888888888887</v>
      </c>
      <c r="L7" s="16" t="s">
        <v>237</v>
      </c>
      <c r="M7" s="16" t="s">
        <v>237</v>
      </c>
      <c r="N7" s="16">
        <f t="shared" si="1"/>
        <v>4.5138888888888867E-2</v>
      </c>
      <c r="O7" s="16">
        <f t="shared" ref="O7:O67" si="6">N7-D7</f>
        <v>1.3888888888888867E-2</v>
      </c>
      <c r="P7" s="16">
        <v>6.9444444444444397E-3</v>
      </c>
      <c r="Q7" s="16">
        <v>0.25347222222222221</v>
      </c>
      <c r="R7" s="16">
        <f t="shared" si="2"/>
        <v>1.3888888888888895E-2</v>
      </c>
      <c r="S7" s="16">
        <v>0.2638888888888889</v>
      </c>
      <c r="T7" s="16">
        <f>VLOOKUP(E7,'[2]21-3-2026'!E$3:T$35,16,FALSE)</f>
        <v>1.0416666666666666E-2</v>
      </c>
      <c r="U7" s="16">
        <v>0.28819444444444448</v>
      </c>
      <c r="V7" s="16">
        <f t="shared" si="3"/>
        <v>1.3888888888888895E-2</v>
      </c>
      <c r="W7" s="16">
        <v>3.125E-2</v>
      </c>
      <c r="X7" s="16">
        <v>0.29652777777777778</v>
      </c>
      <c r="Y7" s="16">
        <v>0.3263888888888889</v>
      </c>
      <c r="Z7" s="16">
        <f t="shared" si="4"/>
        <v>2.9861111111111116E-2</v>
      </c>
      <c r="AA7" s="16">
        <v>0</v>
      </c>
      <c r="AB7" s="16">
        <v>0.3298611111111111</v>
      </c>
      <c r="AC7" s="17"/>
      <c r="AD7" s="48"/>
    </row>
    <row r="8" spans="1:30" ht="19.5" thickBot="1" x14ac:dyDescent="0.3">
      <c r="A8" s="14">
        <v>6</v>
      </c>
      <c r="B8" s="15">
        <v>6143</v>
      </c>
      <c r="C8" s="15" t="str">
        <f>VLOOKUP(B8,داتا!$B$3:$D$107,2,FALSE)</f>
        <v>تلتين</v>
      </c>
      <c r="D8" s="34">
        <f>VLOOKUP(B8,داتا!$B$3:$D$107,3,FALSE)</f>
        <v>3.125E-2</v>
      </c>
      <c r="E8" s="16" t="s">
        <v>73</v>
      </c>
      <c r="F8" s="15" t="s">
        <v>117</v>
      </c>
      <c r="G8" s="16">
        <v>0.25</v>
      </c>
      <c r="H8" s="16">
        <v>0.25</v>
      </c>
      <c r="I8" s="16">
        <f t="shared" ref="I8" si="7">H8-G8</f>
        <v>0</v>
      </c>
      <c r="J8" s="16">
        <v>0.1875</v>
      </c>
      <c r="K8" s="16">
        <v>0.23263888888888887</v>
      </c>
      <c r="L8" s="16" t="s">
        <v>237</v>
      </c>
      <c r="M8" s="16" t="s">
        <v>237</v>
      </c>
      <c r="N8" s="16">
        <f t="shared" ref="N8" si="8">K8-J8</f>
        <v>4.5138888888888867E-2</v>
      </c>
      <c r="O8" s="16">
        <f t="shared" ref="O8" si="9">N8-D8</f>
        <v>1.3888888888888867E-2</v>
      </c>
      <c r="P8" s="16">
        <v>6.9444444444444397E-3</v>
      </c>
      <c r="Q8" s="16">
        <v>0.25347222222222221</v>
      </c>
      <c r="R8" s="16">
        <f t="shared" si="2"/>
        <v>1.3888888888888895E-2</v>
      </c>
      <c r="S8" s="16">
        <v>0.2638888888888889</v>
      </c>
      <c r="T8" s="16">
        <f>VLOOKUP(E8,'[2]21-3-2026'!E$3:T$35,16,FALSE)</f>
        <v>3.4722222222222203E-2</v>
      </c>
      <c r="U8" s="16">
        <v>0.34375</v>
      </c>
      <c r="V8" s="16">
        <v>3.472222222222222E-3</v>
      </c>
      <c r="W8" s="16">
        <v>4.1666666666666664E-2</v>
      </c>
      <c r="X8" s="16">
        <v>0.34722222222222227</v>
      </c>
      <c r="Y8" s="16">
        <v>0.38194444444444442</v>
      </c>
      <c r="Z8" s="16">
        <f t="shared" si="4"/>
        <v>3.4722222222222154E-2</v>
      </c>
      <c r="AA8" s="16">
        <v>0</v>
      </c>
      <c r="AB8" s="16">
        <v>0.38541666666666669</v>
      </c>
      <c r="AC8" s="18"/>
      <c r="AD8" s="48"/>
    </row>
    <row r="9" spans="1:30" ht="19.5" thickBot="1" x14ac:dyDescent="0.3">
      <c r="A9" s="14">
        <v>7</v>
      </c>
      <c r="B9" s="15">
        <v>2474</v>
      </c>
      <c r="C9" s="15" t="str">
        <f>VLOOKUP(B9,داتا!$B$3:$D$107,2,FALSE)</f>
        <v>دبابة</v>
      </c>
      <c r="D9" s="34">
        <f>VLOOKUP(B9,داتا!$B$3:$D$107,3,FALSE)</f>
        <v>2.0833333333333332E-2</v>
      </c>
      <c r="E9" s="15" t="s">
        <v>39</v>
      </c>
      <c r="F9" s="15" t="s">
        <v>99</v>
      </c>
      <c r="G9" s="16">
        <v>0.25</v>
      </c>
      <c r="H9" s="16">
        <v>0.25</v>
      </c>
      <c r="I9" s="16">
        <f t="shared" si="0"/>
        <v>0</v>
      </c>
      <c r="J9" s="16">
        <v>0.23611111111111113</v>
      </c>
      <c r="K9" s="16">
        <v>0.26041666666666669</v>
      </c>
      <c r="L9" s="16" t="s">
        <v>237</v>
      </c>
      <c r="M9" s="16" t="s">
        <v>237</v>
      </c>
      <c r="N9" s="16">
        <f t="shared" si="1"/>
        <v>2.4305555555555552E-2</v>
      </c>
      <c r="O9" s="16">
        <f t="shared" si="6"/>
        <v>3.4722222222222203E-3</v>
      </c>
      <c r="P9" s="16">
        <v>6.9444444444444397E-3</v>
      </c>
      <c r="Q9" s="16">
        <v>0.27430555555555552</v>
      </c>
      <c r="R9" s="16">
        <f t="shared" si="2"/>
        <v>6.9444444444444198E-3</v>
      </c>
      <c r="S9" s="16">
        <v>0.27430555555555552</v>
      </c>
      <c r="T9" s="16">
        <f>VLOOKUP(E9,'[2]21-3-2026'!E$3:T$35,16,FALSE)</f>
        <v>1.7361111111111101E-2</v>
      </c>
      <c r="U9" s="16">
        <v>0.26041666666666669</v>
      </c>
      <c r="V9" s="16">
        <v>0</v>
      </c>
      <c r="W9" s="16">
        <v>3.125E-2</v>
      </c>
      <c r="X9" s="16">
        <v>0.30416666666666664</v>
      </c>
      <c r="Y9" s="16">
        <v>0.32291666666666669</v>
      </c>
      <c r="Z9" s="16">
        <f t="shared" si="4"/>
        <v>1.8750000000000044E-2</v>
      </c>
      <c r="AA9" s="16">
        <v>0</v>
      </c>
      <c r="AB9" s="16">
        <v>0.32500000000000001</v>
      </c>
      <c r="AC9" s="17"/>
      <c r="AD9" s="48"/>
    </row>
    <row r="10" spans="1:30" ht="19.5" thickBot="1" x14ac:dyDescent="0.3">
      <c r="A10" s="14">
        <v>8</v>
      </c>
      <c r="B10" s="15">
        <v>3793</v>
      </c>
      <c r="C10" s="15" t="str">
        <f>VLOOKUP(B10,داتا!$B$3:$D$107,2,FALSE)</f>
        <v>دبابة</v>
      </c>
      <c r="D10" s="34">
        <f>VLOOKUP(B10,داتا!$B$3:$D$107,3,FALSE)</f>
        <v>2.0833333333333301E-2</v>
      </c>
      <c r="E10" s="15" t="s">
        <v>35</v>
      </c>
      <c r="F10" s="15" t="s">
        <v>93</v>
      </c>
      <c r="G10" s="16">
        <v>0.25</v>
      </c>
      <c r="H10" s="16">
        <v>0.28472222222222221</v>
      </c>
      <c r="I10" s="16">
        <f t="shared" si="0"/>
        <v>3.472222222222221E-2</v>
      </c>
      <c r="J10" s="16">
        <v>0.2638888888888889</v>
      </c>
      <c r="K10" s="16">
        <v>0.28472222222222221</v>
      </c>
      <c r="L10" s="16" t="s">
        <v>237</v>
      </c>
      <c r="M10" s="16" t="s">
        <v>237</v>
      </c>
      <c r="N10" s="16">
        <f t="shared" si="1"/>
        <v>2.0833333333333315E-2</v>
      </c>
      <c r="O10" s="16">
        <f t="shared" si="6"/>
        <v>0</v>
      </c>
      <c r="P10" s="16">
        <v>6.9444444444444397E-3</v>
      </c>
      <c r="Q10" s="16">
        <v>0.29166666666666669</v>
      </c>
      <c r="R10" s="16">
        <f t="shared" si="2"/>
        <v>0</v>
      </c>
      <c r="S10" s="16">
        <v>0.29166666666666669</v>
      </c>
      <c r="T10" s="16">
        <f>VLOOKUP(E10,'[2]21-3-2026'!E$3:T$35,16,FALSE)</f>
        <v>3.4722222222222203E-2</v>
      </c>
      <c r="U10" s="16">
        <v>0.3215277777777778</v>
      </c>
      <c r="V10" s="16">
        <v>0</v>
      </c>
      <c r="W10" s="16">
        <v>3.125E-2</v>
      </c>
      <c r="X10" s="16">
        <v>0.33819444444444446</v>
      </c>
      <c r="Y10" s="16">
        <v>0.37152777777777773</v>
      </c>
      <c r="Z10" s="16">
        <f t="shared" si="4"/>
        <v>3.333333333333327E-2</v>
      </c>
      <c r="AA10" s="16">
        <f t="shared" si="5"/>
        <v>2.0833333333332704E-3</v>
      </c>
      <c r="AB10" s="16">
        <v>0.37847222222222227</v>
      </c>
      <c r="AC10" s="17"/>
      <c r="AD10" s="48"/>
    </row>
    <row r="11" spans="1:30" ht="19.5" thickBot="1" x14ac:dyDescent="0.3">
      <c r="A11" s="14">
        <v>9</v>
      </c>
      <c r="B11" s="15">
        <v>4879</v>
      </c>
      <c r="C11" s="15" t="str">
        <f>VLOOKUP(B11,داتا!$B$3:$D$107,2,FALSE)</f>
        <v>دبابة</v>
      </c>
      <c r="D11" s="34">
        <f>VLOOKUP(B11,داتا!$B$3:$D$107,3,FALSE)</f>
        <v>2.0833333333333301E-2</v>
      </c>
      <c r="E11" s="15" t="s">
        <v>92</v>
      </c>
      <c r="F11" s="15" t="s">
        <v>80</v>
      </c>
      <c r="G11" s="16">
        <v>0.25</v>
      </c>
      <c r="H11" s="16">
        <v>0.25</v>
      </c>
      <c r="I11" s="16">
        <f t="shared" si="0"/>
        <v>0</v>
      </c>
      <c r="J11" s="16">
        <v>0.28819444444444448</v>
      </c>
      <c r="K11" s="16">
        <v>0.30555555555555552</v>
      </c>
      <c r="L11" s="16" t="s">
        <v>237</v>
      </c>
      <c r="M11" s="16" t="s">
        <v>237</v>
      </c>
      <c r="N11" s="16">
        <f t="shared" si="1"/>
        <v>1.7361111111111049E-2</v>
      </c>
      <c r="O11" s="16">
        <v>0</v>
      </c>
      <c r="P11" s="16">
        <v>6.9444444444444397E-3</v>
      </c>
      <c r="Q11" s="16">
        <v>0.31944444444444448</v>
      </c>
      <c r="R11" s="16">
        <f t="shared" si="2"/>
        <v>6.9444444444445308E-3</v>
      </c>
      <c r="S11" s="16">
        <v>0.31597222222222221</v>
      </c>
      <c r="T11" s="16">
        <f>VLOOKUP(E11,'[2]21-3-2026'!E$3:T$35,16,FALSE)</f>
        <v>1.38888888888889E-2</v>
      </c>
      <c r="U11" s="16">
        <v>0.33333333333333331</v>
      </c>
      <c r="V11" s="16">
        <f t="shared" si="3"/>
        <v>3.4722222222222099E-3</v>
      </c>
      <c r="W11" s="16">
        <v>3.125E-2</v>
      </c>
      <c r="X11" s="16">
        <v>0.34027777777777773</v>
      </c>
      <c r="Y11" s="16">
        <v>0.36458333333333331</v>
      </c>
      <c r="Z11" s="16">
        <f t="shared" si="4"/>
        <v>2.430555555555558E-2</v>
      </c>
      <c r="AA11" s="16">
        <v>0</v>
      </c>
      <c r="AB11" s="16">
        <v>0.36805555555555558</v>
      </c>
      <c r="AC11" s="17"/>
      <c r="AD11" s="48"/>
    </row>
    <row r="12" spans="1:30" ht="19.5" thickBot="1" x14ac:dyDescent="0.3">
      <c r="A12" s="14">
        <v>10</v>
      </c>
      <c r="B12" s="15">
        <v>2695</v>
      </c>
      <c r="C12" s="15" t="str">
        <f>VLOOKUP(B12,داتا!$B$3:$D$107,2,FALSE)</f>
        <v>تلتين</v>
      </c>
      <c r="D12" s="34">
        <f>VLOOKUP(B12,داتا!$B$3:$D$107,3,FALSE)</f>
        <v>3.125E-2</v>
      </c>
      <c r="E12" s="15" t="s">
        <v>57</v>
      </c>
      <c r="F12" s="15" t="s">
        <v>181</v>
      </c>
      <c r="G12" s="16">
        <v>0.25</v>
      </c>
      <c r="H12" s="16">
        <v>0.25</v>
      </c>
      <c r="I12" s="16">
        <f t="shared" si="0"/>
        <v>0</v>
      </c>
      <c r="J12" s="16">
        <v>0.20486111111111113</v>
      </c>
      <c r="K12" s="16">
        <v>0.22916666666666666</v>
      </c>
      <c r="L12" s="16" t="s">
        <v>166</v>
      </c>
      <c r="M12" s="16" t="s">
        <v>166</v>
      </c>
      <c r="N12" s="16">
        <f t="shared" si="1"/>
        <v>2.4305555555555525E-2</v>
      </c>
      <c r="O12" s="16">
        <v>0</v>
      </c>
      <c r="P12" s="16">
        <v>6.9444444444444397E-3</v>
      </c>
      <c r="Q12" s="16">
        <v>0.24305555555555555</v>
      </c>
      <c r="R12" s="16">
        <f t="shared" si="2"/>
        <v>6.9444444444444475E-3</v>
      </c>
      <c r="S12" s="16">
        <v>0.2673611111111111</v>
      </c>
      <c r="T12" s="16">
        <f>VLOOKUP(E12,'[2]21-3-2026'!E$3:T$35,16,FALSE)</f>
        <v>1.7361111111111101E-2</v>
      </c>
      <c r="U12" s="16">
        <v>0.29097222222222224</v>
      </c>
      <c r="V12" s="16">
        <f t="shared" si="3"/>
        <v>6.2500000000000333E-3</v>
      </c>
      <c r="W12" s="16">
        <v>3.125E-2</v>
      </c>
      <c r="X12" s="16">
        <v>0.2951388888888889</v>
      </c>
      <c r="Y12" s="16">
        <v>0.31944444444444448</v>
      </c>
      <c r="Z12" s="16">
        <f t="shared" si="4"/>
        <v>2.430555555555558E-2</v>
      </c>
      <c r="AA12" s="16">
        <v>0</v>
      </c>
      <c r="AB12" s="16">
        <v>0.32291666666666669</v>
      </c>
      <c r="AC12" s="17"/>
      <c r="AD12" s="48"/>
    </row>
    <row r="13" spans="1:30" ht="19.5" thickBot="1" x14ac:dyDescent="0.3">
      <c r="A13" s="14">
        <v>11</v>
      </c>
      <c r="B13" s="15">
        <v>2695</v>
      </c>
      <c r="C13" s="15" t="str">
        <f>VLOOKUP(B13,داتا!$B$3:$D$107,2,FALSE)</f>
        <v>تلتين</v>
      </c>
      <c r="D13" s="34">
        <f>VLOOKUP(B13,داتا!$B$3:$D$107,3,FALSE)</f>
        <v>3.125E-2</v>
      </c>
      <c r="E13" s="15" t="s">
        <v>60</v>
      </c>
      <c r="F13" s="15" t="s">
        <v>181</v>
      </c>
      <c r="G13" s="16">
        <v>0.25</v>
      </c>
      <c r="H13" s="16">
        <v>0.25</v>
      </c>
      <c r="I13" s="16">
        <f t="shared" si="0"/>
        <v>0</v>
      </c>
      <c r="J13" s="16">
        <v>0.20486111111111113</v>
      </c>
      <c r="K13" s="16">
        <v>0.22916666666666666</v>
      </c>
      <c r="L13" s="16" t="s">
        <v>166</v>
      </c>
      <c r="M13" s="16" t="s">
        <v>166</v>
      </c>
      <c r="N13" s="16">
        <f t="shared" si="1"/>
        <v>2.4305555555555525E-2</v>
      </c>
      <c r="O13" s="16">
        <v>0</v>
      </c>
      <c r="P13" s="16">
        <v>6.9444444444444397E-3</v>
      </c>
      <c r="Q13" s="16">
        <v>0.24305555555555555</v>
      </c>
      <c r="R13" s="16">
        <f t="shared" si="2"/>
        <v>6.9444444444444475E-3</v>
      </c>
      <c r="S13" s="16">
        <v>0.2673611111111111</v>
      </c>
      <c r="T13" s="16">
        <f>VLOOKUP(E13,'[2]21-3-2026'!E$3:T$35,16,FALSE)</f>
        <v>1.0416666666666701E-2</v>
      </c>
      <c r="U13" s="16">
        <v>0.33680555555555558</v>
      </c>
      <c r="V13" s="16">
        <v>3.472222222222222E-3</v>
      </c>
      <c r="W13" s="16">
        <v>4.1666666666666664E-2</v>
      </c>
      <c r="X13" s="16">
        <v>0.34722222222222227</v>
      </c>
      <c r="Y13" s="16">
        <v>0.36805555555555558</v>
      </c>
      <c r="Z13" s="16">
        <f t="shared" si="4"/>
        <v>2.0833333333333315E-2</v>
      </c>
      <c r="AA13" s="16">
        <v>0</v>
      </c>
      <c r="AB13" s="16">
        <v>0.37152777777777773</v>
      </c>
      <c r="AC13" s="18"/>
      <c r="AD13" s="48"/>
    </row>
    <row r="14" spans="1:30" ht="19.5" thickBot="1" x14ac:dyDescent="0.3">
      <c r="A14" s="14">
        <v>12</v>
      </c>
      <c r="B14" s="15">
        <v>5898</v>
      </c>
      <c r="C14" s="15" t="str">
        <f>VLOOKUP(B14,داتا!$B$3:$D$107,2,FALSE)</f>
        <v>تلتين</v>
      </c>
      <c r="D14" s="34">
        <f>VLOOKUP(B14,داتا!$B$3:$D$107,3,FALSE)</f>
        <v>3.125E-2</v>
      </c>
      <c r="E14" s="15" t="s">
        <v>61</v>
      </c>
      <c r="F14" s="15" t="s">
        <v>66</v>
      </c>
      <c r="G14" s="16">
        <v>0.25</v>
      </c>
      <c r="H14" s="16">
        <v>0.25</v>
      </c>
      <c r="I14" s="16">
        <f t="shared" si="0"/>
        <v>0</v>
      </c>
      <c r="J14" s="16">
        <v>0.25694444444444448</v>
      </c>
      <c r="K14" s="16">
        <v>0.27083333333333331</v>
      </c>
      <c r="L14" s="16" t="s">
        <v>166</v>
      </c>
      <c r="M14" s="16" t="s">
        <v>166</v>
      </c>
      <c r="N14" s="16">
        <f t="shared" si="1"/>
        <v>1.388888888888884E-2</v>
      </c>
      <c r="O14" s="16">
        <v>0</v>
      </c>
      <c r="P14" s="16">
        <v>6.9444444444444397E-3</v>
      </c>
      <c r="Q14" s="16">
        <v>0.28125</v>
      </c>
      <c r="R14" s="16">
        <f t="shared" si="2"/>
        <v>3.4722222222222654E-3</v>
      </c>
      <c r="S14" s="16">
        <v>0.28472222222222221</v>
      </c>
      <c r="T14" s="16">
        <f>VLOOKUP(E14,'[2]21-3-2026'!E$3:T$35,16,FALSE)</f>
        <v>3.4722222222222203E-2</v>
      </c>
      <c r="U14" s="16">
        <v>0.33333333333333331</v>
      </c>
      <c r="V14" s="16">
        <f t="shared" si="3"/>
        <v>1.3888888888888895E-2</v>
      </c>
      <c r="W14" s="16">
        <v>3.125E-2</v>
      </c>
      <c r="X14" s="16">
        <v>0.33680555555555558</v>
      </c>
      <c r="Y14" s="16">
        <v>0.3659722222222222</v>
      </c>
      <c r="Z14" s="16">
        <f t="shared" si="4"/>
        <v>2.9166666666666619E-2</v>
      </c>
      <c r="AA14" s="16">
        <v>0</v>
      </c>
      <c r="AB14" s="16">
        <v>0.36805555555555558</v>
      </c>
      <c r="AC14" s="17"/>
      <c r="AD14" s="48"/>
    </row>
    <row r="15" spans="1:30" ht="19.5" thickBot="1" x14ac:dyDescent="0.3">
      <c r="A15" s="14">
        <v>13</v>
      </c>
      <c r="B15" s="15">
        <v>5898</v>
      </c>
      <c r="C15" s="15" t="str">
        <f>VLOOKUP(B15,داتا!$B$3:$D$107,2,FALSE)</f>
        <v>تلتين</v>
      </c>
      <c r="D15" s="34">
        <f>VLOOKUP(B15,داتا!$B$3:$D$107,3,FALSE)</f>
        <v>3.125E-2</v>
      </c>
      <c r="E15" s="15" t="s">
        <v>55</v>
      </c>
      <c r="F15" s="15" t="s">
        <v>66</v>
      </c>
      <c r="G15" s="16">
        <v>0.25</v>
      </c>
      <c r="H15" s="16">
        <v>0.25</v>
      </c>
      <c r="I15" s="16">
        <f t="shared" si="0"/>
        <v>0</v>
      </c>
      <c r="J15" s="16">
        <v>0.25694444444444448</v>
      </c>
      <c r="K15" s="16">
        <v>0.27083333333333331</v>
      </c>
      <c r="L15" s="16" t="s">
        <v>166</v>
      </c>
      <c r="M15" s="16" t="s">
        <v>166</v>
      </c>
      <c r="N15" s="16">
        <f t="shared" si="1"/>
        <v>1.388888888888884E-2</v>
      </c>
      <c r="O15" s="16">
        <v>0</v>
      </c>
      <c r="P15" s="16">
        <v>6.9444444444444397E-3</v>
      </c>
      <c r="Q15" s="16">
        <v>0.28125</v>
      </c>
      <c r="R15" s="16">
        <f t="shared" si="2"/>
        <v>3.4722222222222654E-3</v>
      </c>
      <c r="S15" s="16">
        <v>0.28472222222222221</v>
      </c>
      <c r="T15" s="16">
        <f>VLOOKUP(E15,'[2]21-3-2026'!E$3:T$35,16,FALSE)</f>
        <v>3.8194444444444399E-2</v>
      </c>
      <c r="U15" s="16">
        <v>0.3888888888888889</v>
      </c>
      <c r="V15" s="16">
        <v>1.0416666666666666E-2</v>
      </c>
      <c r="W15" s="16">
        <v>4.1666666666666664E-2</v>
      </c>
      <c r="X15" s="16">
        <v>0.3923611111111111</v>
      </c>
      <c r="Y15" s="16">
        <v>0.42708333333333331</v>
      </c>
      <c r="Z15" s="16">
        <f t="shared" si="4"/>
        <v>3.472222222222221E-2</v>
      </c>
      <c r="AA15" s="16">
        <v>0</v>
      </c>
      <c r="AB15" s="16">
        <v>0.43402777777777773</v>
      </c>
      <c r="AC15" s="17"/>
      <c r="AD15" s="48"/>
    </row>
    <row r="16" spans="1:30" ht="19.5" thickBot="1" x14ac:dyDescent="0.3">
      <c r="A16" s="14">
        <v>14</v>
      </c>
      <c r="B16" s="15">
        <v>9198</v>
      </c>
      <c r="C16" s="15" t="str">
        <f>VLOOKUP(B16,داتا!$B$3:$D$107,2,FALSE)</f>
        <v>دبابة</v>
      </c>
      <c r="D16" s="34">
        <f>VLOOKUP(B16,داتا!$B$3:$D$107,3,FALSE)</f>
        <v>2.0833333333333301E-2</v>
      </c>
      <c r="E16" s="15" t="s">
        <v>98</v>
      </c>
      <c r="F16" s="15" t="s">
        <v>171</v>
      </c>
      <c r="G16" s="16">
        <v>0.25</v>
      </c>
      <c r="H16" s="16">
        <v>0.27430555555555552</v>
      </c>
      <c r="I16" s="16">
        <f t="shared" si="0"/>
        <v>2.4305555555555525E-2</v>
      </c>
      <c r="J16" s="16">
        <v>0.28472222222222221</v>
      </c>
      <c r="K16" s="16">
        <v>0.2986111111111111</v>
      </c>
      <c r="L16" s="16" t="s">
        <v>166</v>
      </c>
      <c r="M16" s="16" t="s">
        <v>166</v>
      </c>
      <c r="N16" s="16">
        <f t="shared" si="1"/>
        <v>1.3888888888888895E-2</v>
      </c>
      <c r="O16" s="16">
        <v>0</v>
      </c>
      <c r="P16" s="16">
        <v>6.9444444444444397E-3</v>
      </c>
      <c r="Q16" s="16">
        <v>0.30208333333333331</v>
      </c>
      <c r="R16" s="16">
        <v>0</v>
      </c>
      <c r="S16" s="16">
        <v>0.30208333333333331</v>
      </c>
      <c r="T16" s="16">
        <f>VLOOKUP(E16,'[2]21-3-2026'!E$3:T$35,16,FALSE)</f>
        <v>4.8611111111111103E-3</v>
      </c>
      <c r="U16" s="16">
        <v>0.30902777777777779</v>
      </c>
      <c r="V16" s="16">
        <f t="shared" si="3"/>
        <v>2.0833333333333814E-3</v>
      </c>
      <c r="W16" s="16">
        <v>3.125E-2</v>
      </c>
      <c r="X16" s="16">
        <v>0.33333333333333331</v>
      </c>
      <c r="Y16" s="16">
        <v>0.36249999999999999</v>
      </c>
      <c r="Z16" s="16">
        <f t="shared" si="4"/>
        <v>2.9166666666666674E-2</v>
      </c>
      <c r="AA16" s="16">
        <v>0</v>
      </c>
      <c r="AB16" s="16">
        <v>0.36527777777777781</v>
      </c>
      <c r="AC16" s="17"/>
      <c r="AD16" s="48"/>
    </row>
    <row r="17" spans="1:30" ht="19.5" thickBot="1" x14ac:dyDescent="0.3">
      <c r="A17" s="14">
        <v>15</v>
      </c>
      <c r="B17" s="15">
        <v>3492</v>
      </c>
      <c r="C17" s="15" t="str">
        <f>VLOOKUP(B17,داتا!$B$3:$D$107,2,FALSE)</f>
        <v>تلتين</v>
      </c>
      <c r="D17" s="34">
        <f>VLOOKUP(B17,داتا!$B$3:$D$107,3,FALSE)</f>
        <v>3.125E-2</v>
      </c>
      <c r="E17" s="15" t="s">
        <v>45</v>
      </c>
      <c r="F17" s="15" t="s">
        <v>150</v>
      </c>
      <c r="G17" s="16">
        <v>0.25</v>
      </c>
      <c r="H17" s="16">
        <v>0.26041666666666669</v>
      </c>
      <c r="I17" s="16">
        <f t="shared" si="0"/>
        <v>1.0416666666666685E-2</v>
      </c>
      <c r="J17" s="16">
        <v>0.19444444444444445</v>
      </c>
      <c r="K17" s="16">
        <v>0.21527777777777779</v>
      </c>
      <c r="L17" s="16" t="s">
        <v>180</v>
      </c>
      <c r="M17" s="16" t="s">
        <v>180</v>
      </c>
      <c r="N17" s="16">
        <f t="shared" si="1"/>
        <v>2.0833333333333343E-2</v>
      </c>
      <c r="O17" s="16">
        <v>0</v>
      </c>
      <c r="P17" s="16">
        <v>6.9444444444444397E-3</v>
      </c>
      <c r="Q17" s="16">
        <v>0.22569444444444445</v>
      </c>
      <c r="R17" s="16">
        <f>Q17-P17-K17</f>
        <v>3.4722222222222099E-3</v>
      </c>
      <c r="S17" s="16">
        <v>0.2638888888888889</v>
      </c>
      <c r="T17" s="16">
        <f>VLOOKUP(E17,'[2]21-3-2026'!E$3:T$35,16,FALSE)</f>
        <v>1.38888888888889E-2</v>
      </c>
      <c r="U17" s="16">
        <v>0.28819444444444448</v>
      </c>
      <c r="V17" s="16">
        <f t="shared" si="3"/>
        <v>1.0416666666666685E-2</v>
      </c>
      <c r="W17" s="16">
        <v>4.1666666666666664E-2</v>
      </c>
      <c r="X17" s="16">
        <v>0.2986111111111111</v>
      </c>
      <c r="Y17" s="16">
        <v>0.33888888888888885</v>
      </c>
      <c r="Z17" s="16">
        <f t="shared" si="4"/>
        <v>4.0277777777777746E-2</v>
      </c>
      <c r="AA17" s="16">
        <v>0</v>
      </c>
      <c r="AB17" s="16">
        <v>0.34027777777777773</v>
      </c>
      <c r="AC17" s="17"/>
      <c r="AD17" s="48"/>
    </row>
    <row r="18" spans="1:30" ht="19.5" thickBot="1" x14ac:dyDescent="0.3">
      <c r="A18" s="14">
        <v>16</v>
      </c>
      <c r="B18" s="15">
        <v>1451</v>
      </c>
      <c r="C18" s="15" t="str">
        <f>VLOOKUP(B18,داتا!$B$3:$D$107,2,FALSE)</f>
        <v>تلتين</v>
      </c>
      <c r="D18" s="34">
        <f>VLOOKUP(B18,داتا!$B$3:$D$107,3,FALSE)</f>
        <v>3.125E-2</v>
      </c>
      <c r="E18" s="15" t="s">
        <v>70</v>
      </c>
      <c r="F18" s="15" t="s">
        <v>153</v>
      </c>
      <c r="G18" s="16">
        <v>0.25</v>
      </c>
      <c r="H18" s="16">
        <v>0.25</v>
      </c>
      <c r="I18" s="16">
        <f t="shared" si="0"/>
        <v>0</v>
      </c>
      <c r="J18" s="16">
        <v>0.22222222222222221</v>
      </c>
      <c r="K18" s="16">
        <v>0.24305555555555555</v>
      </c>
      <c r="L18" s="16" t="s">
        <v>180</v>
      </c>
      <c r="M18" s="16" t="s">
        <v>180</v>
      </c>
      <c r="N18" s="16">
        <f t="shared" si="1"/>
        <v>2.0833333333333343E-2</v>
      </c>
      <c r="O18" s="16">
        <v>0</v>
      </c>
      <c r="P18" s="16">
        <v>6.9444444444444397E-3</v>
      </c>
      <c r="Q18" s="16">
        <v>0.24652777777777779</v>
      </c>
      <c r="R18" s="16">
        <v>0</v>
      </c>
      <c r="S18" s="16">
        <v>0.26041666666666669</v>
      </c>
      <c r="T18" s="16">
        <f>VLOOKUP(E18,'[2]21-3-2026'!E$3:T$35,16,FALSE)</f>
        <v>1.0416666666666701E-2</v>
      </c>
      <c r="U18" s="16">
        <v>0.27430555555555552</v>
      </c>
      <c r="V18" s="16">
        <f t="shared" si="3"/>
        <v>3.4722222222221544E-3</v>
      </c>
      <c r="W18" s="16">
        <v>3.125E-2</v>
      </c>
      <c r="X18" s="16">
        <v>0.30763888888888891</v>
      </c>
      <c r="Y18" s="16">
        <v>0.3298611111111111</v>
      </c>
      <c r="Z18" s="16">
        <f t="shared" si="4"/>
        <v>2.2222222222222199E-2</v>
      </c>
      <c r="AA18" s="16">
        <v>0</v>
      </c>
      <c r="AB18" s="16">
        <v>0.33333333333333331</v>
      </c>
      <c r="AC18" s="17"/>
      <c r="AD18" s="48"/>
    </row>
    <row r="19" spans="1:30" ht="19.5" thickBot="1" x14ac:dyDescent="0.3">
      <c r="A19" s="14">
        <v>17</v>
      </c>
      <c r="B19" s="15">
        <v>1451</v>
      </c>
      <c r="C19" s="15" t="str">
        <f>VLOOKUP(B19,داتا!$B$3:$D$107,2,FALSE)</f>
        <v>تلتين</v>
      </c>
      <c r="D19" s="34">
        <f>VLOOKUP(B19,داتا!$B$3:$D$107,3,FALSE)</f>
        <v>3.125E-2</v>
      </c>
      <c r="E19" s="15" t="s">
        <v>72</v>
      </c>
      <c r="F19" s="15" t="s">
        <v>153</v>
      </c>
      <c r="G19" s="16">
        <v>0.25</v>
      </c>
      <c r="H19" s="16">
        <v>0.25</v>
      </c>
      <c r="I19" s="16">
        <f t="shared" si="0"/>
        <v>0</v>
      </c>
      <c r="J19" s="16">
        <v>0.22222222222222221</v>
      </c>
      <c r="K19" s="16">
        <v>0.24305555555555555</v>
      </c>
      <c r="L19" s="16" t="s">
        <v>180</v>
      </c>
      <c r="M19" s="16" t="s">
        <v>180</v>
      </c>
      <c r="N19" s="16">
        <f t="shared" si="1"/>
        <v>2.0833333333333343E-2</v>
      </c>
      <c r="O19" s="16">
        <v>0</v>
      </c>
      <c r="P19" s="16">
        <v>6.9444444444444397E-3</v>
      </c>
      <c r="Q19" s="16">
        <v>0.24652777777777779</v>
      </c>
      <c r="R19" s="16">
        <v>0</v>
      </c>
      <c r="S19" s="16">
        <v>0.26041666666666669</v>
      </c>
      <c r="T19" s="16">
        <f>VLOOKUP(E19,'[2]21-3-2026'!E$3:T$35,16,FALSE)</f>
        <v>1.0416666666666701E-2</v>
      </c>
      <c r="U19" s="16">
        <v>0.34722222222222227</v>
      </c>
      <c r="V19" s="16">
        <v>3.472222222222222E-3</v>
      </c>
      <c r="W19" s="16">
        <v>4.1666666666666664E-2</v>
      </c>
      <c r="X19" s="16">
        <v>0.35069444444444442</v>
      </c>
      <c r="Y19" s="16">
        <v>0.37152777777777773</v>
      </c>
      <c r="Z19" s="16">
        <f t="shared" si="4"/>
        <v>2.0833333333333315E-2</v>
      </c>
      <c r="AA19" s="16">
        <v>0</v>
      </c>
      <c r="AB19" s="16">
        <v>0.37847222222222227</v>
      </c>
      <c r="AC19" s="17"/>
      <c r="AD19" s="48"/>
    </row>
    <row r="20" spans="1:30" ht="19.5" thickBot="1" x14ac:dyDescent="0.3">
      <c r="A20" s="14">
        <v>18</v>
      </c>
      <c r="B20" s="15">
        <v>3891</v>
      </c>
      <c r="C20" s="15" t="str">
        <f>VLOOKUP(B20,داتا!$B$3:$D$107,2,FALSE)</f>
        <v>تلتين</v>
      </c>
      <c r="D20" s="34">
        <f>VLOOKUP(B20,داتا!$B$3:$D$107,3,FALSE)</f>
        <v>3.125E-2</v>
      </c>
      <c r="E20" s="15" t="s">
        <v>42</v>
      </c>
      <c r="F20" s="15" t="s">
        <v>155</v>
      </c>
      <c r="G20" s="16">
        <v>0.25</v>
      </c>
      <c r="H20" s="16">
        <v>0.25</v>
      </c>
      <c r="I20" s="16">
        <f t="shared" si="0"/>
        <v>0</v>
      </c>
      <c r="J20" s="16">
        <v>0.25347222222222221</v>
      </c>
      <c r="K20" s="16">
        <v>0.2638888888888889</v>
      </c>
      <c r="L20" s="16" t="s">
        <v>180</v>
      </c>
      <c r="M20" s="16" t="s">
        <v>180</v>
      </c>
      <c r="N20" s="16">
        <f t="shared" si="1"/>
        <v>1.0416666666666685E-2</v>
      </c>
      <c r="O20" s="16">
        <v>0</v>
      </c>
      <c r="P20" s="16">
        <v>6.9444444444444397E-3</v>
      </c>
      <c r="Q20" s="16">
        <v>0.27083333333333331</v>
      </c>
      <c r="R20" s="16">
        <f>Q20-P20-K20</f>
        <v>0</v>
      </c>
      <c r="S20" s="16">
        <v>0.27083333333333331</v>
      </c>
      <c r="T20" s="16">
        <f>VLOOKUP(E20,'[2]21-3-2026'!E$3:T$35,16,FALSE)</f>
        <v>1.7361111111111101E-2</v>
      </c>
      <c r="U20" s="16">
        <v>0.28819444444444448</v>
      </c>
      <c r="V20" s="16">
        <f t="shared" si="3"/>
        <v>0</v>
      </c>
      <c r="W20" s="16">
        <v>4.1666666666666664E-2</v>
      </c>
      <c r="X20" s="16">
        <v>0.34375</v>
      </c>
      <c r="Y20" s="16">
        <v>0.375</v>
      </c>
      <c r="Z20" s="16">
        <f t="shared" si="4"/>
        <v>3.125E-2</v>
      </c>
      <c r="AA20" s="16">
        <v>0</v>
      </c>
      <c r="AB20" s="16">
        <v>0.38194444444444442</v>
      </c>
      <c r="AC20" s="17"/>
      <c r="AD20" s="48"/>
    </row>
    <row r="21" spans="1:30" ht="19.5" thickBot="1" x14ac:dyDescent="0.3">
      <c r="A21" s="14">
        <v>19</v>
      </c>
      <c r="B21" s="15">
        <v>3787</v>
      </c>
      <c r="C21" s="15" t="str">
        <f>VLOOKUP(B21,داتا!$B$3:$D$107,2,FALSE)</f>
        <v>دبابة</v>
      </c>
      <c r="D21" s="34">
        <f>VLOOKUP(B21,داتا!$B$3:$D$107,3,FALSE)</f>
        <v>2.0833333333333301E-2</v>
      </c>
      <c r="E21" s="15" t="s">
        <v>89</v>
      </c>
      <c r="F21" s="15" t="s">
        <v>168</v>
      </c>
      <c r="G21" s="16">
        <v>0.25</v>
      </c>
      <c r="H21" s="16">
        <v>0.25</v>
      </c>
      <c r="I21" s="16">
        <f t="shared" si="0"/>
        <v>0</v>
      </c>
      <c r="J21" s="16">
        <v>0.27083333333333331</v>
      </c>
      <c r="K21" s="16">
        <v>0.29166666666666669</v>
      </c>
      <c r="L21" s="16" t="s">
        <v>180</v>
      </c>
      <c r="M21" s="16" t="s">
        <v>180</v>
      </c>
      <c r="N21" s="16">
        <f t="shared" si="1"/>
        <v>2.083333333333337E-2</v>
      </c>
      <c r="O21" s="16">
        <v>0</v>
      </c>
      <c r="P21" s="16">
        <v>6.9444444444444397E-3</v>
      </c>
      <c r="Q21" s="16">
        <v>0.2951388888888889</v>
      </c>
      <c r="R21" s="16">
        <v>0</v>
      </c>
      <c r="S21" s="16">
        <v>0.2951388888888889</v>
      </c>
      <c r="T21" s="16">
        <f>VLOOKUP(E21,'[2]21-3-2026'!E$3:T$35,16,FALSE)</f>
        <v>1.7361111111111101E-2</v>
      </c>
      <c r="U21" s="16">
        <v>0.3125</v>
      </c>
      <c r="V21" s="16">
        <f t="shared" si="3"/>
        <v>0</v>
      </c>
      <c r="W21" s="16">
        <v>3.125E-2</v>
      </c>
      <c r="X21" s="16">
        <v>0.33680555555555558</v>
      </c>
      <c r="Y21" s="16">
        <v>0.36458333333333331</v>
      </c>
      <c r="Z21" s="16">
        <f t="shared" si="4"/>
        <v>2.7777777777777735E-2</v>
      </c>
      <c r="AA21" s="16">
        <v>0</v>
      </c>
      <c r="AB21" s="16">
        <v>0.3659722222222222</v>
      </c>
      <c r="AC21" s="17"/>
      <c r="AD21" s="48"/>
    </row>
    <row r="22" spans="1:30" ht="19.5" thickBot="1" x14ac:dyDescent="0.3">
      <c r="A22" s="14">
        <v>20</v>
      </c>
      <c r="B22" s="15">
        <v>2714</v>
      </c>
      <c r="C22" s="15" t="str">
        <f>VLOOKUP(B22,داتا!$B$3:$D$107,2,FALSE)</f>
        <v>تلتين</v>
      </c>
      <c r="D22" s="34">
        <f>VLOOKUP(B22,داتا!$B$3:$D$107,3,FALSE)</f>
        <v>3.125E-2</v>
      </c>
      <c r="E22" s="15" t="s">
        <v>46</v>
      </c>
      <c r="F22" s="15" t="s">
        <v>114</v>
      </c>
      <c r="G22" s="16">
        <v>0.25</v>
      </c>
      <c r="H22" s="16">
        <v>0.25</v>
      </c>
      <c r="I22" s="16">
        <f t="shared" ref="I22:I67" si="10">H22-G22</f>
        <v>0</v>
      </c>
      <c r="J22" s="16">
        <v>0.19444444444444445</v>
      </c>
      <c r="K22" s="16">
        <v>0.21527777777777779</v>
      </c>
      <c r="L22" s="16" t="s">
        <v>48</v>
      </c>
      <c r="M22" s="16" t="s">
        <v>48</v>
      </c>
      <c r="N22" s="16">
        <f t="shared" si="1"/>
        <v>2.0833333333333343E-2</v>
      </c>
      <c r="O22" s="16">
        <v>0</v>
      </c>
      <c r="P22" s="16">
        <v>6.9444444444444397E-3</v>
      </c>
      <c r="Q22" s="16">
        <v>0.22569444444444445</v>
      </c>
      <c r="R22" s="16">
        <f t="shared" ref="R22:R67" si="11">Q22-P22-K22</f>
        <v>3.4722222222222099E-3</v>
      </c>
      <c r="S22" s="16">
        <v>0.26041666666666669</v>
      </c>
      <c r="T22" s="16">
        <f>VLOOKUP(E22,'[2]21-3-2026'!E$3:T$35,16,FALSE)</f>
        <v>3.4722222222222203E-2</v>
      </c>
      <c r="U22" s="16">
        <v>0.2951388888888889</v>
      </c>
      <c r="V22" s="16">
        <f t="shared" si="3"/>
        <v>0</v>
      </c>
      <c r="W22" s="16">
        <v>4.1666666666666664E-2</v>
      </c>
      <c r="X22" s="16">
        <v>0.31736111111111115</v>
      </c>
      <c r="Y22" s="16">
        <v>0.33680555555555558</v>
      </c>
      <c r="Z22" s="16">
        <f t="shared" si="4"/>
        <v>1.9444444444444431E-2</v>
      </c>
      <c r="AA22" s="16">
        <v>0</v>
      </c>
      <c r="AB22" s="16">
        <v>0.34375</v>
      </c>
      <c r="AC22" s="17"/>
      <c r="AD22" s="48"/>
    </row>
    <row r="23" spans="1:30" ht="19.5" thickBot="1" x14ac:dyDescent="0.3">
      <c r="A23" s="14">
        <v>21</v>
      </c>
      <c r="B23" s="15">
        <v>2694</v>
      </c>
      <c r="C23" s="15" t="str">
        <f>VLOOKUP(B23,داتا!$B$3:$D$107,2,FALSE)</f>
        <v>تلتين</v>
      </c>
      <c r="D23" s="34">
        <f>VLOOKUP(B23,داتا!$B$3:$D$107,3,FALSE)</f>
        <v>3.125E-2</v>
      </c>
      <c r="E23" s="15" t="s">
        <v>49</v>
      </c>
      <c r="F23" s="15" t="s">
        <v>62</v>
      </c>
      <c r="G23" s="16">
        <v>0.25</v>
      </c>
      <c r="H23" s="16">
        <v>0.25</v>
      </c>
      <c r="I23" s="16">
        <f t="shared" si="10"/>
        <v>0</v>
      </c>
      <c r="J23" s="16">
        <v>0.21875</v>
      </c>
      <c r="K23" s="16">
        <v>0.24305555555555555</v>
      </c>
      <c r="L23" s="16" t="s">
        <v>48</v>
      </c>
      <c r="M23" s="16" t="s">
        <v>48</v>
      </c>
      <c r="N23" s="16">
        <f t="shared" si="1"/>
        <v>2.4305555555555552E-2</v>
      </c>
      <c r="O23" s="16">
        <v>0</v>
      </c>
      <c r="P23" s="16">
        <v>6.9444444444444397E-3</v>
      </c>
      <c r="Q23" s="16">
        <v>0.25</v>
      </c>
      <c r="R23" s="16">
        <f t="shared" si="11"/>
        <v>0</v>
      </c>
      <c r="S23" s="16">
        <v>0.26041666666666669</v>
      </c>
      <c r="T23" s="16">
        <f>VLOOKUP(E23,'[2]21-3-2026'!E$3:T$35,16,FALSE)</f>
        <v>3.4722222222222203E-2</v>
      </c>
      <c r="U23" s="16">
        <v>0.36805555555555558</v>
      </c>
      <c r="V23" s="16">
        <f t="shared" si="3"/>
        <v>7.2916666666666685E-2</v>
      </c>
      <c r="W23" s="16">
        <v>4.1666666666666664E-2</v>
      </c>
      <c r="X23" s="16">
        <v>0.38541666666666669</v>
      </c>
      <c r="Y23" s="16">
        <v>0.42708333333333331</v>
      </c>
      <c r="Z23" s="16">
        <f t="shared" si="4"/>
        <v>4.166666666666663E-2</v>
      </c>
      <c r="AA23" s="16">
        <f t="shared" si="5"/>
        <v>0</v>
      </c>
      <c r="AB23" s="16">
        <v>0.43055555555555558</v>
      </c>
      <c r="AC23" s="17"/>
      <c r="AD23" s="48"/>
    </row>
    <row r="24" spans="1:30" ht="19.5" thickBot="1" x14ac:dyDescent="0.3">
      <c r="A24" s="14">
        <v>22</v>
      </c>
      <c r="B24" s="15">
        <v>459</v>
      </c>
      <c r="C24" s="15" t="str">
        <f>VLOOKUP(B24,داتا!$B$3:$D$107,2,FALSE)</f>
        <v>دبابة</v>
      </c>
      <c r="D24" s="34">
        <f>VLOOKUP(B24,داتا!$B$3:$D$107,3,FALSE)</f>
        <v>2.0833333333333301E-2</v>
      </c>
      <c r="E24" s="15" t="s">
        <v>75</v>
      </c>
      <c r="F24" s="16" t="s">
        <v>170</v>
      </c>
      <c r="G24" s="16">
        <v>0.25</v>
      </c>
      <c r="H24" s="16">
        <v>0.25</v>
      </c>
      <c r="I24" s="16">
        <f t="shared" si="10"/>
        <v>0</v>
      </c>
      <c r="J24" s="16">
        <v>0.24652777777777779</v>
      </c>
      <c r="K24" s="16">
        <v>0.26041666666666669</v>
      </c>
      <c r="L24" s="16" t="s">
        <v>48</v>
      </c>
      <c r="M24" s="16" t="s">
        <v>48</v>
      </c>
      <c r="N24" s="16">
        <f t="shared" si="1"/>
        <v>1.3888888888888895E-2</v>
      </c>
      <c r="O24" s="16">
        <v>0</v>
      </c>
      <c r="P24" s="16">
        <v>6.9444444444444397E-3</v>
      </c>
      <c r="Q24" s="16">
        <v>0.2673611111111111</v>
      </c>
      <c r="R24" s="16">
        <f t="shared" si="11"/>
        <v>0</v>
      </c>
      <c r="S24" s="16">
        <v>0.27430555555555552</v>
      </c>
      <c r="T24" s="16">
        <f>VLOOKUP(E24,'[2]21-3-2026'!E$3:T$35,16,FALSE)</f>
        <v>2.0833333333333301E-2</v>
      </c>
      <c r="U24" s="16">
        <v>0.29166666666666669</v>
      </c>
      <c r="V24" s="16">
        <v>0</v>
      </c>
      <c r="W24" s="16">
        <v>3.125E-2</v>
      </c>
      <c r="X24" s="16">
        <v>0.34027777777777773</v>
      </c>
      <c r="Y24" s="16">
        <v>0.36458333333333331</v>
      </c>
      <c r="Z24" s="16">
        <f t="shared" si="4"/>
        <v>2.430555555555558E-2</v>
      </c>
      <c r="AA24" s="16">
        <v>0</v>
      </c>
      <c r="AB24" s="16">
        <v>0.36805555555555558</v>
      </c>
      <c r="AC24" s="17"/>
      <c r="AD24" s="48"/>
    </row>
    <row r="25" spans="1:30" ht="19.5" thickBot="1" x14ac:dyDescent="0.3">
      <c r="A25" s="14">
        <v>23</v>
      </c>
      <c r="B25" s="15">
        <v>675</v>
      </c>
      <c r="C25" s="15" t="str">
        <f>VLOOKUP(B25,داتا!$B$3:$D$107,2,FALSE)</f>
        <v>جامبو</v>
      </c>
      <c r="D25" s="34">
        <f>VLOOKUP(B25,داتا!$B$3:$D$107,3,FALSE)</f>
        <v>4.1666666666666699E-2</v>
      </c>
      <c r="E25" s="15" t="s">
        <v>95</v>
      </c>
      <c r="F25" s="15" t="s">
        <v>144</v>
      </c>
      <c r="G25" s="16">
        <v>0.25</v>
      </c>
      <c r="H25" s="16">
        <v>0.26041666666666669</v>
      </c>
      <c r="I25" s="16">
        <f t="shared" si="10"/>
        <v>1.0416666666666685E-2</v>
      </c>
      <c r="J25" s="16">
        <v>0.2638888888888889</v>
      </c>
      <c r="K25" s="16">
        <v>0.29166666666666669</v>
      </c>
      <c r="L25" s="16" t="s">
        <v>48</v>
      </c>
      <c r="M25" s="16" t="s">
        <v>48</v>
      </c>
      <c r="N25" s="16">
        <f t="shared" si="1"/>
        <v>2.777777777777779E-2</v>
      </c>
      <c r="O25" s="16">
        <v>0</v>
      </c>
      <c r="P25" s="16">
        <v>6.9444444444444397E-3</v>
      </c>
      <c r="Q25" s="16">
        <v>0.2951388888888889</v>
      </c>
      <c r="R25" s="16">
        <v>0</v>
      </c>
      <c r="S25" s="16">
        <v>0.2986111111111111</v>
      </c>
      <c r="T25" s="16">
        <f>VLOOKUP(E25,'[2]21-3-2026'!E$3:T$35,16,FALSE)</f>
        <v>1.0416666666666701E-2</v>
      </c>
      <c r="U25" s="16">
        <v>0.30902777777777779</v>
      </c>
      <c r="V25" s="16">
        <f t="shared" si="3"/>
        <v>0</v>
      </c>
      <c r="W25" s="16">
        <v>6.25E-2</v>
      </c>
      <c r="X25" s="16">
        <v>0.33333333333333331</v>
      </c>
      <c r="Y25" s="16">
        <v>0.38194444444444442</v>
      </c>
      <c r="Z25" s="16">
        <f t="shared" si="4"/>
        <v>4.8611111111111105E-2</v>
      </c>
      <c r="AA25" s="16">
        <v>0</v>
      </c>
      <c r="AB25" s="16">
        <v>0.38541666666666669</v>
      </c>
      <c r="AC25" s="19"/>
      <c r="AD25" s="48"/>
    </row>
    <row r="26" spans="1:30" ht="19.5" thickBot="1" x14ac:dyDescent="0.3">
      <c r="A26" s="14">
        <v>24</v>
      </c>
      <c r="B26" s="15">
        <v>2917</v>
      </c>
      <c r="C26" s="15" t="str">
        <f>VLOOKUP(B26,داتا!$B$3:$D$107,2,FALSE)</f>
        <v>تلتين</v>
      </c>
      <c r="D26" s="34">
        <f>VLOOKUP(B26,داتا!$B$3:$D$107,3,FALSE)</f>
        <v>3.125E-2</v>
      </c>
      <c r="E26" s="15" t="s">
        <v>51</v>
      </c>
      <c r="F26" s="15" t="s">
        <v>36</v>
      </c>
      <c r="G26" s="16">
        <v>0.25</v>
      </c>
      <c r="H26" s="16">
        <v>0.25</v>
      </c>
      <c r="I26" s="16">
        <f t="shared" si="10"/>
        <v>0</v>
      </c>
      <c r="J26" s="16">
        <v>0.20138888888888887</v>
      </c>
      <c r="K26" s="16">
        <v>0.23611111111111113</v>
      </c>
      <c r="L26" s="16" t="s">
        <v>53</v>
      </c>
      <c r="M26" s="16" t="s">
        <v>53</v>
      </c>
      <c r="N26" s="16">
        <f t="shared" si="1"/>
        <v>3.4722222222222265E-2</v>
      </c>
      <c r="O26" s="16">
        <f t="shared" si="6"/>
        <v>3.4722222222222654E-3</v>
      </c>
      <c r="P26" s="16">
        <v>6.9444444444444397E-3</v>
      </c>
      <c r="Q26" s="16">
        <v>0.24305555555555555</v>
      </c>
      <c r="R26" s="16">
        <f t="shared" si="11"/>
        <v>0</v>
      </c>
      <c r="S26" s="16">
        <v>0.25694444444444448</v>
      </c>
      <c r="T26" s="16">
        <f>VLOOKUP(E26,'[2]21-3-2026'!E$3:T$35,16,FALSE)</f>
        <v>2.4305555555555601E-2</v>
      </c>
      <c r="U26" s="16">
        <v>0.28333333333333333</v>
      </c>
      <c r="V26" s="16">
        <f t="shared" si="3"/>
        <v>2.0833333333332704E-3</v>
      </c>
      <c r="W26" s="16">
        <v>3.125E-2</v>
      </c>
      <c r="X26" s="16">
        <v>0.3125</v>
      </c>
      <c r="Y26" s="16">
        <v>0.34027777777777773</v>
      </c>
      <c r="Z26" s="16">
        <f t="shared" si="4"/>
        <v>2.7777777777777735E-2</v>
      </c>
      <c r="AA26" s="16">
        <v>0</v>
      </c>
      <c r="AB26" s="16">
        <v>0.34513888888888888</v>
      </c>
      <c r="AC26" s="19"/>
      <c r="AD26" s="48"/>
    </row>
    <row r="27" spans="1:30" ht="19.5" thickBot="1" x14ac:dyDescent="0.3">
      <c r="A27" s="14">
        <v>25</v>
      </c>
      <c r="B27" s="15">
        <v>2917</v>
      </c>
      <c r="C27" s="15" t="str">
        <f>VLOOKUP(B27,داتا!$B$3:$D$107,2,FALSE)</f>
        <v>تلتين</v>
      </c>
      <c r="D27" s="34">
        <f>VLOOKUP(B27,داتا!$B$3:$D$107,3,FALSE)</f>
        <v>3.125E-2</v>
      </c>
      <c r="E27" s="15" t="s">
        <v>54</v>
      </c>
      <c r="F27" s="15" t="s">
        <v>36</v>
      </c>
      <c r="G27" s="16">
        <v>0.25</v>
      </c>
      <c r="H27" s="16">
        <v>0.25</v>
      </c>
      <c r="I27" s="16">
        <f t="shared" si="10"/>
        <v>0</v>
      </c>
      <c r="J27" s="16">
        <v>0.20138888888888887</v>
      </c>
      <c r="K27" s="16">
        <v>0.23611111111111113</v>
      </c>
      <c r="L27" s="16" t="s">
        <v>53</v>
      </c>
      <c r="M27" s="16" t="s">
        <v>53</v>
      </c>
      <c r="N27" s="16">
        <f t="shared" si="1"/>
        <v>3.4722222222222265E-2</v>
      </c>
      <c r="O27" s="16">
        <f t="shared" si="6"/>
        <v>3.4722222222222654E-3</v>
      </c>
      <c r="P27" s="16">
        <v>6.9444444444444397E-3</v>
      </c>
      <c r="Q27" s="16">
        <v>0.24305555555555555</v>
      </c>
      <c r="R27" s="16">
        <f t="shared" si="11"/>
        <v>0</v>
      </c>
      <c r="S27" s="16">
        <v>0.25694444444444448</v>
      </c>
      <c r="T27" s="16">
        <f>VLOOKUP(E27,'[2]21-3-2026'!E$3:T$35,16,FALSE)</f>
        <v>1.0416666666666701E-2</v>
      </c>
      <c r="U27" s="16">
        <v>0.3576388888888889</v>
      </c>
      <c r="V27" s="16">
        <v>4.8611111111111112E-3</v>
      </c>
      <c r="W27" s="16">
        <v>4.1666666666666664E-2</v>
      </c>
      <c r="X27" s="16">
        <v>0.3611111111111111</v>
      </c>
      <c r="Y27" s="16">
        <v>0.39027777777777778</v>
      </c>
      <c r="Z27" s="16">
        <f t="shared" si="4"/>
        <v>2.9166666666666674E-2</v>
      </c>
      <c r="AA27" s="16">
        <v>0</v>
      </c>
      <c r="AB27" s="16">
        <v>0.39930555555555558</v>
      </c>
      <c r="AC27" s="19"/>
      <c r="AD27" s="48"/>
    </row>
    <row r="28" spans="1:30" ht="19.5" thickBot="1" x14ac:dyDescent="0.3">
      <c r="A28" s="14">
        <v>26</v>
      </c>
      <c r="B28" s="15">
        <v>586</v>
      </c>
      <c r="C28" s="15" t="str">
        <f>VLOOKUP(B28,داتا!$B$3:$D$107,2,FALSE)</f>
        <v>سوزوكي</v>
      </c>
      <c r="D28" s="34">
        <f>VLOOKUP(B28,داتا!$B$3:$D$107,3,FALSE)</f>
        <v>2.0833333333333301E-2</v>
      </c>
      <c r="E28" s="15" t="s">
        <v>77</v>
      </c>
      <c r="F28" s="15" t="s">
        <v>167</v>
      </c>
      <c r="G28" s="16">
        <v>0.25</v>
      </c>
      <c r="H28" s="16">
        <v>0.26041666666666669</v>
      </c>
      <c r="I28" s="16">
        <f t="shared" si="10"/>
        <v>1.0416666666666685E-2</v>
      </c>
      <c r="J28" s="16">
        <v>0.24305555555555555</v>
      </c>
      <c r="K28" s="16">
        <v>0.24652777777777779</v>
      </c>
      <c r="L28" s="16" t="s">
        <v>53</v>
      </c>
      <c r="M28" s="16" t="s">
        <v>53</v>
      </c>
      <c r="N28" s="16">
        <f t="shared" si="1"/>
        <v>3.4722222222222376E-3</v>
      </c>
      <c r="O28" s="16">
        <v>0</v>
      </c>
      <c r="P28" s="16">
        <v>6.9444444444444397E-3</v>
      </c>
      <c r="Q28" s="16">
        <v>0.25</v>
      </c>
      <c r="R28" s="16">
        <v>0</v>
      </c>
      <c r="S28" s="16">
        <v>0.27430555555555552</v>
      </c>
      <c r="T28" s="16">
        <f>VLOOKUP(E28,'[2]21-3-2026'!E$3:T$35,16,FALSE)</f>
        <v>1.38888888888889E-2</v>
      </c>
      <c r="U28" s="16">
        <v>0.29166666666666669</v>
      </c>
      <c r="V28" s="16">
        <f t="shared" si="3"/>
        <v>3.4722222222222654E-3</v>
      </c>
      <c r="W28" s="16">
        <v>3.125E-2</v>
      </c>
      <c r="X28" s="16">
        <v>0.34027777777777773</v>
      </c>
      <c r="Y28" s="16">
        <v>0.35069444444444442</v>
      </c>
      <c r="Z28" s="16">
        <f t="shared" si="4"/>
        <v>1.0416666666666685E-2</v>
      </c>
      <c r="AA28" s="16">
        <v>0</v>
      </c>
      <c r="AB28" s="16">
        <v>0.35416666666666669</v>
      </c>
      <c r="AC28" s="17"/>
      <c r="AD28" s="48"/>
    </row>
    <row r="29" spans="1:30" ht="19.5" thickBot="1" x14ac:dyDescent="0.3">
      <c r="A29" s="14">
        <v>27</v>
      </c>
      <c r="B29" s="15">
        <v>1454</v>
      </c>
      <c r="C29" s="15" t="str">
        <f>VLOOKUP(B29,داتا!$B$3:$D$107,2,FALSE)</f>
        <v>تلتين</v>
      </c>
      <c r="D29" s="34">
        <f>VLOOKUP(B29,داتا!$B$3:$D$107,3,FALSE)</f>
        <v>3.125E-2</v>
      </c>
      <c r="E29" s="15" t="s">
        <v>83</v>
      </c>
      <c r="F29" s="15" t="s">
        <v>43</v>
      </c>
      <c r="G29" s="16">
        <v>0.25</v>
      </c>
      <c r="H29" s="16">
        <v>0.25</v>
      </c>
      <c r="I29" s="16">
        <f t="shared" si="10"/>
        <v>0</v>
      </c>
      <c r="J29" s="16">
        <v>0.25347222222222221</v>
      </c>
      <c r="K29" s="16">
        <v>0.28125</v>
      </c>
      <c r="L29" s="16" t="s">
        <v>53</v>
      </c>
      <c r="M29" s="16" t="s">
        <v>53</v>
      </c>
      <c r="N29" s="16">
        <f t="shared" si="1"/>
        <v>2.777777777777779E-2</v>
      </c>
      <c r="O29" s="16">
        <v>0</v>
      </c>
      <c r="P29" s="16">
        <v>6.9444444444444397E-3</v>
      </c>
      <c r="Q29" s="16">
        <v>0.29166666666666669</v>
      </c>
      <c r="R29" s="16">
        <f t="shared" si="11"/>
        <v>3.4722222222222654E-3</v>
      </c>
      <c r="S29" s="16">
        <v>0.2951388888888889</v>
      </c>
      <c r="T29" s="16">
        <f>VLOOKUP(E29,'[2]21-3-2026'!E$3:T$35,16,FALSE)</f>
        <v>1.38888888888889E-2</v>
      </c>
      <c r="U29" s="16">
        <v>0</v>
      </c>
      <c r="V29" s="16">
        <v>0</v>
      </c>
      <c r="W29" s="16">
        <v>3.125E-2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8"/>
      <c r="AD29" s="48"/>
    </row>
    <row r="30" spans="1:30" ht="19.5" thickBot="1" x14ac:dyDescent="0.3">
      <c r="A30" s="14">
        <v>28</v>
      </c>
      <c r="B30" s="15">
        <v>1454</v>
      </c>
      <c r="C30" s="15" t="str">
        <f>VLOOKUP(B30,داتا!$B$3:$D$107,2,FALSE)</f>
        <v>تلتين</v>
      </c>
      <c r="D30" s="34">
        <f>VLOOKUP(B30,داتا!$B$3:$D$107,3,FALSE)</f>
        <v>3.125E-2</v>
      </c>
      <c r="E30" s="15" t="s">
        <v>77</v>
      </c>
      <c r="F30" s="15" t="s">
        <v>43</v>
      </c>
      <c r="G30" s="16">
        <v>0.25</v>
      </c>
      <c r="H30" s="16">
        <v>0.25</v>
      </c>
      <c r="I30" s="16">
        <f t="shared" si="10"/>
        <v>0</v>
      </c>
      <c r="J30" s="16">
        <v>0.25347222222222221</v>
      </c>
      <c r="K30" s="16">
        <v>0.28125</v>
      </c>
      <c r="L30" s="16" t="s">
        <v>53</v>
      </c>
      <c r="M30" s="16" t="s">
        <v>53</v>
      </c>
      <c r="N30" s="16">
        <f t="shared" si="1"/>
        <v>2.777777777777779E-2</v>
      </c>
      <c r="O30" s="16">
        <v>0</v>
      </c>
      <c r="P30" s="16">
        <v>6.9444444444444397E-3</v>
      </c>
      <c r="Q30" s="16">
        <v>0.29166666666666669</v>
      </c>
      <c r="R30" s="16">
        <f t="shared" si="11"/>
        <v>3.4722222222222654E-3</v>
      </c>
      <c r="S30" s="16">
        <v>0.2951388888888889</v>
      </c>
      <c r="T30" s="16">
        <f>VLOOKUP(E30,'[2]21-3-2026'!E$3:T$35,16,FALSE)</f>
        <v>1.38888888888889E-2</v>
      </c>
      <c r="U30" s="16">
        <v>0</v>
      </c>
      <c r="V30" s="16">
        <v>0</v>
      </c>
      <c r="W30" s="16">
        <v>4.1666666666666664E-2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7"/>
      <c r="AD30" s="48"/>
    </row>
    <row r="31" spans="1:30" ht="19.5" thickBot="1" x14ac:dyDescent="0.3">
      <c r="A31" s="14">
        <v>29</v>
      </c>
      <c r="B31" s="15">
        <v>745</v>
      </c>
      <c r="C31" s="15" t="str">
        <f>VLOOKUP(B31,داتا!$B$3:$D$107,2,FALSE)</f>
        <v>دبابة</v>
      </c>
      <c r="D31" s="34">
        <f>VLOOKUP(B31,داتا!$B$3:$D$107,3,FALSE)</f>
        <v>2.0833333333333301E-2</v>
      </c>
      <c r="E31" s="15" t="s">
        <v>86</v>
      </c>
      <c r="F31" s="15" t="s">
        <v>145</v>
      </c>
      <c r="G31" s="16">
        <v>0.25</v>
      </c>
      <c r="H31" s="16">
        <v>0.25</v>
      </c>
      <c r="I31" s="16">
        <f t="shared" si="10"/>
        <v>0</v>
      </c>
      <c r="J31" s="16">
        <v>0.2951388888888889</v>
      </c>
      <c r="K31" s="16">
        <v>0.3125</v>
      </c>
      <c r="L31" s="16" t="s">
        <v>53</v>
      </c>
      <c r="M31" s="16" t="s">
        <v>53</v>
      </c>
      <c r="N31" s="16">
        <f t="shared" si="1"/>
        <v>1.7361111111111105E-2</v>
      </c>
      <c r="O31" s="16">
        <v>0</v>
      </c>
      <c r="P31" s="16">
        <v>6.9444444444444397E-3</v>
      </c>
      <c r="Q31" s="16">
        <v>0.31597222222222221</v>
      </c>
      <c r="R31" s="16">
        <v>0</v>
      </c>
      <c r="S31" s="16">
        <v>0.3263888888888889</v>
      </c>
      <c r="T31" s="16">
        <f>VLOOKUP(E31,'[2]21-3-2026'!E$3:T$35,16,FALSE)</f>
        <v>3.4722222222222199E-3</v>
      </c>
      <c r="U31" s="16">
        <v>0.33680555555555558</v>
      </c>
      <c r="V31" s="16">
        <f t="shared" si="3"/>
        <v>6.9444444444444753E-3</v>
      </c>
      <c r="W31" s="16">
        <v>3.125E-2</v>
      </c>
      <c r="X31" s="16">
        <v>0.34027777777777773</v>
      </c>
      <c r="Y31" s="16">
        <v>0.375</v>
      </c>
      <c r="Z31" s="16">
        <f t="shared" si="4"/>
        <v>3.4722222222222265E-2</v>
      </c>
      <c r="AA31" s="16">
        <f t="shared" si="5"/>
        <v>3.4722222222222654E-3</v>
      </c>
      <c r="AB31" s="16">
        <v>0.37847222222222227</v>
      </c>
      <c r="AC31" s="17"/>
      <c r="AD31" s="48"/>
    </row>
    <row r="32" spans="1:30" ht="19.5" thickBot="1" x14ac:dyDescent="0.3">
      <c r="A32" s="14">
        <v>30</v>
      </c>
      <c r="B32" s="15">
        <v>3495</v>
      </c>
      <c r="C32" s="15" t="str">
        <f>VLOOKUP(B32,داتا!$B$3:$D$107,2,FALSE)</f>
        <v>تلتين</v>
      </c>
      <c r="D32" s="34">
        <f>VLOOKUP(B32,داتا!$B$3:$D$107,3,FALSE)</f>
        <v>3.125E-2</v>
      </c>
      <c r="E32" s="15" t="s">
        <v>67</v>
      </c>
      <c r="F32" s="15" t="s">
        <v>148</v>
      </c>
      <c r="G32" s="16">
        <v>0.25</v>
      </c>
      <c r="H32" s="16">
        <v>0.25</v>
      </c>
      <c r="I32" s="16">
        <f t="shared" si="10"/>
        <v>0</v>
      </c>
      <c r="J32" s="16">
        <v>0.19444444444444445</v>
      </c>
      <c r="K32" s="16">
        <v>0.21527777777777779</v>
      </c>
      <c r="L32" s="16" t="s">
        <v>142</v>
      </c>
      <c r="M32" s="16" t="s">
        <v>139</v>
      </c>
      <c r="N32" s="16">
        <f t="shared" si="1"/>
        <v>2.0833333333333343E-2</v>
      </c>
      <c r="O32" s="16">
        <v>0</v>
      </c>
      <c r="P32" s="16">
        <v>6.9444444444444397E-3</v>
      </c>
      <c r="Q32" s="16">
        <v>0.22222222222222221</v>
      </c>
      <c r="R32" s="16">
        <f t="shared" si="11"/>
        <v>0</v>
      </c>
      <c r="S32" s="16">
        <v>0.26041666666666669</v>
      </c>
      <c r="T32" s="16">
        <f>VLOOKUP(E32,'[2]21-3-2026'!E$3:T$35,16,FALSE)</f>
        <v>1.7361111111111101E-2</v>
      </c>
      <c r="U32" s="16">
        <v>0.27083333333333331</v>
      </c>
      <c r="V32" s="16">
        <v>0</v>
      </c>
      <c r="W32" s="16">
        <v>4.1666666666666664E-2</v>
      </c>
      <c r="X32" s="16">
        <v>0.2951388888888889</v>
      </c>
      <c r="Y32" s="16">
        <v>0.3263888888888889</v>
      </c>
      <c r="Z32" s="16">
        <f t="shared" si="4"/>
        <v>3.125E-2</v>
      </c>
      <c r="AA32" s="16">
        <v>0</v>
      </c>
      <c r="AB32" s="16">
        <v>0.3298611111111111</v>
      </c>
      <c r="AC32" s="17"/>
      <c r="AD32" s="48"/>
    </row>
    <row r="33" spans="1:30" ht="19.5" thickBot="1" x14ac:dyDescent="0.3">
      <c r="A33" s="14">
        <v>31</v>
      </c>
      <c r="B33" s="15">
        <v>3783</v>
      </c>
      <c r="C33" s="15" t="str">
        <f>VLOOKUP(B33,داتا!$B$3:$D$107,2,FALSE)</f>
        <v>دبابة</v>
      </c>
      <c r="D33" s="34">
        <f>VLOOKUP(B33,داتا!$B$3:$D$107,3,FALSE)</f>
        <v>2.0833333333333301E-2</v>
      </c>
      <c r="E33" s="15" t="s">
        <v>63</v>
      </c>
      <c r="F33" s="15" t="s">
        <v>76</v>
      </c>
      <c r="G33" s="16">
        <v>0.25</v>
      </c>
      <c r="H33" s="16">
        <v>0.25</v>
      </c>
      <c r="I33" s="16">
        <f t="shared" si="10"/>
        <v>0</v>
      </c>
      <c r="J33" s="16">
        <v>0.21875</v>
      </c>
      <c r="K33" s="16">
        <v>0.23958333333333334</v>
      </c>
      <c r="L33" s="16" t="s">
        <v>142</v>
      </c>
      <c r="M33" s="16" t="s">
        <v>139</v>
      </c>
      <c r="N33" s="16">
        <f t="shared" si="1"/>
        <v>2.0833333333333343E-2</v>
      </c>
      <c r="O33" s="16">
        <v>0</v>
      </c>
      <c r="P33" s="16">
        <v>6.9444444444444397E-3</v>
      </c>
      <c r="Q33" s="16">
        <v>0.24652777777777779</v>
      </c>
      <c r="R33" s="16">
        <f t="shared" si="11"/>
        <v>0</v>
      </c>
      <c r="S33" s="16">
        <v>0.25694444444444448</v>
      </c>
      <c r="T33" s="16">
        <f>VLOOKUP(E33,'[2]21-3-2026'!E$3:T$35,16,FALSE)</f>
        <v>6.25E-2</v>
      </c>
      <c r="U33" s="16">
        <v>0.31597222222222221</v>
      </c>
      <c r="V33" s="16">
        <v>0</v>
      </c>
      <c r="W33" s="16">
        <v>3.125E-2</v>
      </c>
      <c r="X33" s="16">
        <v>0.33333333333333331</v>
      </c>
      <c r="Y33" s="16">
        <v>0.3611111111111111</v>
      </c>
      <c r="Z33" s="16">
        <f t="shared" si="4"/>
        <v>2.777777777777779E-2</v>
      </c>
      <c r="AA33" s="16">
        <v>0</v>
      </c>
      <c r="AB33" s="16">
        <v>0.36805555555555558</v>
      </c>
      <c r="AC33" s="17"/>
      <c r="AD33" s="48"/>
    </row>
    <row r="34" spans="1:30" ht="19.5" thickBot="1" x14ac:dyDescent="0.3">
      <c r="A34" s="14">
        <v>32</v>
      </c>
      <c r="B34" s="15">
        <v>1537</v>
      </c>
      <c r="C34" s="15" t="str">
        <f>VLOOKUP(B34,داتا!$B$3:$D$107,2,FALSE)</f>
        <v>تلتين</v>
      </c>
      <c r="D34" s="34">
        <f>VLOOKUP(B34,داتا!$B$3:$D$107,3,FALSE)</f>
        <v>3.125E-2</v>
      </c>
      <c r="E34" s="15" t="s">
        <v>81</v>
      </c>
      <c r="F34" s="15" t="s">
        <v>154</v>
      </c>
      <c r="G34" s="16">
        <v>0.25</v>
      </c>
      <c r="H34" s="16">
        <v>0.26041666666666669</v>
      </c>
      <c r="I34" s="16">
        <f t="shared" si="10"/>
        <v>1.0416666666666685E-2</v>
      </c>
      <c r="J34" s="16">
        <v>0.24305555555555555</v>
      </c>
      <c r="K34" s="16">
        <v>0.2673611111111111</v>
      </c>
      <c r="L34" s="16" t="s">
        <v>142</v>
      </c>
      <c r="M34" s="16" t="s">
        <v>139</v>
      </c>
      <c r="N34" s="16">
        <f t="shared" si="1"/>
        <v>2.4305555555555552E-2</v>
      </c>
      <c r="O34" s="16">
        <v>0</v>
      </c>
      <c r="P34" s="16">
        <v>6.9444444444444397E-3</v>
      </c>
      <c r="Q34" s="16">
        <v>0.27083333333333331</v>
      </c>
      <c r="R34" s="16">
        <v>0</v>
      </c>
      <c r="S34" s="16">
        <v>0.27083333333333331</v>
      </c>
      <c r="T34" s="16">
        <f>VLOOKUP(E34,'[2]21-3-2026'!E$3:T$35,16,FALSE)</f>
        <v>2.7777777777777801E-2</v>
      </c>
      <c r="U34" s="16">
        <v>0.30902777777777779</v>
      </c>
      <c r="V34" s="16">
        <f t="shared" si="3"/>
        <v>1.0416666666666685E-2</v>
      </c>
      <c r="W34" s="16">
        <v>4.1666666666666664E-2</v>
      </c>
      <c r="X34" s="16">
        <v>0.33680555555555558</v>
      </c>
      <c r="Y34" s="16">
        <v>0.375</v>
      </c>
      <c r="Z34" s="16">
        <f t="shared" si="4"/>
        <v>3.819444444444442E-2</v>
      </c>
      <c r="AA34" s="16">
        <v>0</v>
      </c>
      <c r="AB34" s="16">
        <v>0.37847222222222227</v>
      </c>
      <c r="AC34" s="17"/>
      <c r="AD34" s="48"/>
    </row>
    <row r="35" spans="1:30" ht="19.5" thickBot="1" x14ac:dyDescent="0.3">
      <c r="A35" s="20">
        <v>33</v>
      </c>
      <c r="B35" s="21">
        <v>796</v>
      </c>
      <c r="C35" s="21" t="str">
        <f>VLOOKUP(B35,داتا!$B$3:$D$107,2,FALSE)</f>
        <v>دبابة</v>
      </c>
      <c r="D35" s="35">
        <f>VLOOKUP(B35,داتا!$B$3:$D$107,3,FALSE)</f>
        <v>2.0833333333333301E-2</v>
      </c>
      <c r="E35" s="21" t="s">
        <v>69</v>
      </c>
      <c r="F35" s="21" t="s">
        <v>106</v>
      </c>
      <c r="G35" s="22">
        <v>0.25</v>
      </c>
      <c r="H35" s="22">
        <v>0.27083333333333331</v>
      </c>
      <c r="I35" s="22">
        <f t="shared" si="10"/>
        <v>2.0833333333333315E-2</v>
      </c>
      <c r="J35" s="22">
        <v>0.27083333333333331</v>
      </c>
      <c r="K35" s="22">
        <v>0.28819444444444448</v>
      </c>
      <c r="L35" s="16" t="s">
        <v>142</v>
      </c>
      <c r="M35" s="16" t="s">
        <v>139</v>
      </c>
      <c r="N35" s="22">
        <f t="shared" si="1"/>
        <v>1.736111111111116E-2</v>
      </c>
      <c r="O35" s="22">
        <v>0</v>
      </c>
      <c r="P35" s="22">
        <v>6.9444444444444397E-3</v>
      </c>
      <c r="Q35" s="22">
        <v>0.29166666666666669</v>
      </c>
      <c r="R35" s="22">
        <v>0</v>
      </c>
      <c r="S35" s="22">
        <v>0.2951388888888889</v>
      </c>
      <c r="T35" s="22">
        <f>VLOOKUP(E35,'[2]21-3-2026'!E$3:T$35,16,FALSE)</f>
        <v>1.38888888888889E-2</v>
      </c>
      <c r="U35" s="22">
        <v>0.3125</v>
      </c>
      <c r="V35" s="22">
        <f t="shared" si="3"/>
        <v>3.4722222222222099E-3</v>
      </c>
      <c r="W35" s="22">
        <v>3.125E-2</v>
      </c>
      <c r="X35" s="22">
        <v>0.33333333333333331</v>
      </c>
      <c r="Y35" s="22">
        <v>0.375</v>
      </c>
      <c r="Z35" s="22">
        <f t="shared" si="4"/>
        <v>4.1666666666666685E-2</v>
      </c>
      <c r="AA35" s="22">
        <f t="shared" si="5"/>
        <v>1.0416666666666685E-2</v>
      </c>
      <c r="AB35" s="22">
        <v>0.37847222222222227</v>
      </c>
      <c r="AC35" s="23"/>
      <c r="AD35" s="49"/>
    </row>
    <row r="36" spans="1:30" ht="20.25" customHeight="1" thickTop="1" thickBot="1" x14ac:dyDescent="0.3">
      <c r="A36" s="10">
        <v>1</v>
      </c>
      <c r="B36" s="11">
        <v>2714</v>
      </c>
      <c r="C36" s="11" t="str">
        <f>VLOOKUP(B36,داتا!$B$3:$D$107,2,FALSE)</f>
        <v>تلتين</v>
      </c>
      <c r="D36" s="33">
        <f>VLOOKUP(B36,داتا!$B$3:$D$107,3,FALSE)</f>
        <v>3.125E-2</v>
      </c>
      <c r="E36" s="11" t="s">
        <v>69</v>
      </c>
      <c r="F36" s="11" t="s">
        <v>114</v>
      </c>
      <c r="G36" s="12">
        <v>0.25</v>
      </c>
      <c r="H36" s="12">
        <f>VLOOKUP(F36,$F$3:$H$35,3,FALSE)</f>
        <v>0.25</v>
      </c>
      <c r="I36" s="12">
        <f t="shared" si="10"/>
        <v>0</v>
      </c>
      <c r="J36" s="12">
        <v>0.40625</v>
      </c>
      <c r="K36" s="12">
        <v>0.4236111111111111</v>
      </c>
      <c r="L36" s="12" t="s">
        <v>110</v>
      </c>
      <c r="M36" s="12" t="s">
        <v>110</v>
      </c>
      <c r="N36" s="12">
        <f t="shared" si="1"/>
        <v>1.7361111111111105E-2</v>
      </c>
      <c r="O36" s="12">
        <v>0</v>
      </c>
      <c r="P36" s="12">
        <v>6.9444444444444397E-3</v>
      </c>
      <c r="Q36" s="12">
        <v>0.42708333333333331</v>
      </c>
      <c r="R36" s="12">
        <v>0</v>
      </c>
      <c r="S36" s="12">
        <v>0.42708333333333331</v>
      </c>
      <c r="T36" s="12">
        <f>VLOOKUP(E36,'[2]21-3-2026'!E$3:T$35,16,FALSE)</f>
        <v>1.38888888888889E-2</v>
      </c>
      <c r="U36" s="12">
        <v>0.44444444444444442</v>
      </c>
      <c r="V36" s="12">
        <f t="shared" si="3"/>
        <v>3.4722222222222099E-3</v>
      </c>
      <c r="W36" s="12">
        <v>3.125E-2</v>
      </c>
      <c r="X36" s="12">
        <v>0.44791666666666669</v>
      </c>
      <c r="Y36" s="12">
        <v>0.46180555555555558</v>
      </c>
      <c r="Z36" s="12">
        <f t="shared" si="4"/>
        <v>1.3888888888888895E-2</v>
      </c>
      <c r="AA36" s="12">
        <v>0</v>
      </c>
      <c r="AB36" s="12">
        <v>0.46527777777777773</v>
      </c>
      <c r="AC36" s="29"/>
      <c r="AD36" s="50" t="s">
        <v>104</v>
      </c>
    </row>
    <row r="37" spans="1:30" ht="19.5" thickBot="1" x14ac:dyDescent="0.3">
      <c r="A37" s="14">
        <v>2</v>
      </c>
      <c r="B37" s="15">
        <v>2714</v>
      </c>
      <c r="C37" s="15" t="str">
        <f>VLOOKUP(B37,داتا!$B$3:$D$107,2,FALSE)</f>
        <v>تلتين</v>
      </c>
      <c r="D37" s="34">
        <f>VLOOKUP(B37,داتا!$B$3:$D$107,3,FALSE)</f>
        <v>3.125E-2</v>
      </c>
      <c r="E37" s="15" t="s">
        <v>67</v>
      </c>
      <c r="F37" s="15" t="s">
        <v>114</v>
      </c>
      <c r="G37" s="16">
        <v>0.25</v>
      </c>
      <c r="H37" s="16">
        <f t="shared" ref="H37:H84" si="12">VLOOKUP(F37,$F$3:$H$35,3,FALSE)</f>
        <v>0.25</v>
      </c>
      <c r="I37" s="16">
        <f t="shared" si="10"/>
        <v>0</v>
      </c>
      <c r="J37" s="16">
        <v>0.40625</v>
      </c>
      <c r="K37" s="16">
        <v>0.4236111111111111</v>
      </c>
      <c r="L37" s="16" t="s">
        <v>110</v>
      </c>
      <c r="M37" s="16" t="s">
        <v>110</v>
      </c>
      <c r="N37" s="16">
        <f t="shared" si="1"/>
        <v>1.7361111111111105E-2</v>
      </c>
      <c r="O37" s="16">
        <v>0</v>
      </c>
      <c r="P37" s="16">
        <v>6.9444444444444397E-3</v>
      </c>
      <c r="Q37" s="16">
        <v>0.42708333333333331</v>
      </c>
      <c r="R37" s="16">
        <v>0</v>
      </c>
      <c r="S37" s="16">
        <v>0.42708333333333331</v>
      </c>
      <c r="T37" s="16">
        <f>VLOOKUP(E37,'[2]21-3-2026'!E$3:T$35,16,FALSE)</f>
        <v>1.7361111111111101E-2</v>
      </c>
      <c r="U37" s="16">
        <v>0.46875</v>
      </c>
      <c r="V37" s="16">
        <v>0</v>
      </c>
      <c r="W37" s="16">
        <v>4.1666666666666664E-2</v>
      </c>
      <c r="X37" s="16">
        <v>0.47222222222222227</v>
      </c>
      <c r="Y37" s="16">
        <v>0.49652777777777773</v>
      </c>
      <c r="Z37" s="16">
        <f t="shared" si="4"/>
        <v>2.4305555555555469E-2</v>
      </c>
      <c r="AA37" s="16">
        <v>0</v>
      </c>
      <c r="AB37" s="16">
        <v>0.5</v>
      </c>
      <c r="AC37" s="19"/>
      <c r="AD37" s="51"/>
    </row>
    <row r="38" spans="1:30" ht="19.5" thickBot="1" x14ac:dyDescent="0.3">
      <c r="A38" s="14">
        <v>3</v>
      </c>
      <c r="B38" s="15">
        <v>675</v>
      </c>
      <c r="C38" s="15" t="str">
        <f>VLOOKUP(B38,داتا!$B$3:$D$107,2,FALSE)</f>
        <v>جامبو</v>
      </c>
      <c r="D38" s="34">
        <f>VLOOKUP(B38,داتا!$B$3:$D$107,3,FALSE)</f>
        <v>4.1666666666666699E-2</v>
      </c>
      <c r="E38" s="15" t="s">
        <v>46</v>
      </c>
      <c r="F38" s="15" t="s">
        <v>144</v>
      </c>
      <c r="G38" s="16">
        <v>0.25</v>
      </c>
      <c r="H38" s="16">
        <f t="shared" si="12"/>
        <v>0.26041666666666669</v>
      </c>
      <c r="I38" s="16">
        <f t="shared" si="10"/>
        <v>1.0416666666666685E-2</v>
      </c>
      <c r="J38" s="16">
        <v>0.44444444444444442</v>
      </c>
      <c r="K38" s="16">
        <v>0.50694444444444442</v>
      </c>
      <c r="L38" s="16" t="s">
        <v>110</v>
      </c>
      <c r="M38" s="16" t="s">
        <v>110</v>
      </c>
      <c r="N38" s="16">
        <f t="shared" si="1"/>
        <v>6.25E-2</v>
      </c>
      <c r="O38" s="16">
        <f t="shared" si="6"/>
        <v>2.0833333333333301E-2</v>
      </c>
      <c r="P38" s="16">
        <v>6.9444444444444397E-3</v>
      </c>
      <c r="Q38" s="16">
        <v>0.51041666666666663</v>
      </c>
      <c r="R38" s="16">
        <v>0</v>
      </c>
      <c r="S38" s="16">
        <v>0.51041666666666663</v>
      </c>
      <c r="T38" s="16">
        <f>VLOOKUP(E38,'[2]21-3-2026'!E$3:T$35,16,FALSE)</f>
        <v>3.4722222222222203E-2</v>
      </c>
      <c r="U38" s="16">
        <v>0.53819444444444442</v>
      </c>
      <c r="V38" s="16">
        <v>0</v>
      </c>
      <c r="W38" s="16">
        <v>4.1666666666666664E-2</v>
      </c>
      <c r="X38" s="16">
        <v>0.55902777777777779</v>
      </c>
      <c r="Y38" s="16">
        <v>0.57638888888888895</v>
      </c>
      <c r="Z38" s="16">
        <f t="shared" si="4"/>
        <v>1.736111111111116E-2</v>
      </c>
      <c r="AA38" s="16">
        <v>0</v>
      </c>
      <c r="AB38" s="16">
        <v>0.57986111111111105</v>
      </c>
      <c r="AC38" s="19"/>
      <c r="AD38" s="51"/>
    </row>
    <row r="39" spans="1:30" ht="19.5" thickBot="1" x14ac:dyDescent="0.3">
      <c r="A39" s="14">
        <v>4</v>
      </c>
      <c r="B39" s="15">
        <v>675</v>
      </c>
      <c r="C39" s="15" t="str">
        <f>VLOOKUP(B39,داتا!$B$3:$D$107,2,FALSE)</f>
        <v>جامبو</v>
      </c>
      <c r="D39" s="34">
        <f>VLOOKUP(B39,داتا!$B$3:$D$107,3,FALSE)</f>
        <v>4.1666666666666699E-2</v>
      </c>
      <c r="E39" s="15" t="s">
        <v>49</v>
      </c>
      <c r="F39" s="15" t="s">
        <v>144</v>
      </c>
      <c r="G39" s="16">
        <v>0.25</v>
      </c>
      <c r="H39" s="16">
        <f t="shared" si="12"/>
        <v>0.26041666666666669</v>
      </c>
      <c r="I39" s="16">
        <f t="shared" si="10"/>
        <v>1.0416666666666685E-2</v>
      </c>
      <c r="J39" s="16">
        <v>0.44444444444444442</v>
      </c>
      <c r="K39" s="16">
        <v>0.50694444444444442</v>
      </c>
      <c r="L39" s="16" t="s">
        <v>110</v>
      </c>
      <c r="M39" s="16" t="s">
        <v>110</v>
      </c>
      <c r="N39" s="16">
        <f t="shared" si="1"/>
        <v>6.25E-2</v>
      </c>
      <c r="O39" s="16">
        <f t="shared" si="6"/>
        <v>2.0833333333333301E-2</v>
      </c>
      <c r="P39" s="16">
        <v>6.9444444444444397E-3</v>
      </c>
      <c r="Q39" s="16">
        <v>0.51041666666666663</v>
      </c>
      <c r="R39" s="16">
        <v>0</v>
      </c>
      <c r="S39" s="16">
        <v>0.51041666666666663</v>
      </c>
      <c r="T39" s="16">
        <f>VLOOKUP(E39,'[2]21-3-2026'!E$3:T$35,16,FALSE)</f>
        <v>3.4722222222222203E-2</v>
      </c>
      <c r="U39" s="16">
        <v>0.60069444444444442</v>
      </c>
      <c r="V39" s="16">
        <v>1.0416666666666666E-2</v>
      </c>
      <c r="W39" s="16">
        <v>6.25E-2</v>
      </c>
      <c r="X39" s="16">
        <v>0.60416666666666663</v>
      </c>
      <c r="Y39" s="16">
        <v>0.63888888888888895</v>
      </c>
      <c r="Z39" s="16">
        <f t="shared" si="4"/>
        <v>3.4722222222222321E-2</v>
      </c>
      <c r="AA39" s="16">
        <v>0</v>
      </c>
      <c r="AB39" s="16">
        <v>0.64236111111111105</v>
      </c>
      <c r="AC39" s="17"/>
      <c r="AD39" s="51"/>
    </row>
    <row r="40" spans="1:30" ht="19.5" thickBot="1" x14ac:dyDescent="0.3">
      <c r="A40" s="14">
        <v>5</v>
      </c>
      <c r="B40" s="15">
        <v>3492</v>
      </c>
      <c r="C40" s="15" t="str">
        <f>VLOOKUP(B40,داتا!$B$3:$D$107,2,FALSE)</f>
        <v>تلتين</v>
      </c>
      <c r="D40" s="34">
        <f>VLOOKUP(B40,داتا!$B$3:$D$107,3,FALSE)</f>
        <v>3.125E-2</v>
      </c>
      <c r="E40" s="15" t="s">
        <v>83</v>
      </c>
      <c r="F40" s="15" t="s">
        <v>150</v>
      </c>
      <c r="G40" s="16">
        <v>0.25</v>
      </c>
      <c r="H40" s="16">
        <f t="shared" si="12"/>
        <v>0.26041666666666669</v>
      </c>
      <c r="I40" s="16">
        <f t="shared" si="10"/>
        <v>1.0416666666666685E-2</v>
      </c>
      <c r="J40" s="16">
        <v>0.375</v>
      </c>
      <c r="K40" s="16">
        <v>0.4201388888888889</v>
      </c>
      <c r="L40" s="16" t="s">
        <v>85</v>
      </c>
      <c r="M40" s="16" t="s">
        <v>85</v>
      </c>
      <c r="N40" s="16">
        <f t="shared" si="1"/>
        <v>4.5138888888888895E-2</v>
      </c>
      <c r="O40" s="16">
        <f t="shared" si="6"/>
        <v>1.3888888888888895E-2</v>
      </c>
      <c r="P40" s="16">
        <v>6.9444444444444397E-3</v>
      </c>
      <c r="Q40" s="16">
        <v>0.42708333333333331</v>
      </c>
      <c r="R40" s="16">
        <f t="shared" si="11"/>
        <v>0</v>
      </c>
      <c r="S40" s="16">
        <v>0.42708333333333331</v>
      </c>
      <c r="T40" s="16">
        <f>VLOOKUP(E40,'[2]21-3-2026'!E$3:T$35,16,FALSE)</f>
        <v>1.38888888888889E-2</v>
      </c>
      <c r="U40" s="16">
        <v>0.44097222222222227</v>
      </c>
      <c r="V40" s="16">
        <f t="shared" si="3"/>
        <v>0</v>
      </c>
      <c r="W40" s="16">
        <v>3.125E-2</v>
      </c>
      <c r="X40" s="16">
        <v>0.44236111111111115</v>
      </c>
      <c r="Y40" s="16">
        <v>0.4604166666666667</v>
      </c>
      <c r="Z40" s="16">
        <f t="shared" si="4"/>
        <v>1.8055555555555547E-2</v>
      </c>
      <c r="AA40" s="16">
        <v>0</v>
      </c>
      <c r="AB40" s="16">
        <v>0.46180555555555558</v>
      </c>
      <c r="AC40" s="17"/>
      <c r="AD40" s="51"/>
    </row>
    <row r="41" spans="1:30" ht="19.5" thickBot="1" x14ac:dyDescent="0.3">
      <c r="A41" s="14">
        <v>6</v>
      </c>
      <c r="B41" s="15">
        <v>3492</v>
      </c>
      <c r="C41" s="15" t="str">
        <f>VLOOKUP(B41,داتا!$B$3:$D$107,2,FALSE)</f>
        <v>تلتين</v>
      </c>
      <c r="D41" s="34">
        <f>VLOOKUP(B41,داتا!$B$3:$D$107,3,FALSE)</f>
        <v>3.125E-2</v>
      </c>
      <c r="E41" s="15" t="s">
        <v>77</v>
      </c>
      <c r="F41" s="15" t="s">
        <v>150</v>
      </c>
      <c r="G41" s="16">
        <v>0.25</v>
      </c>
      <c r="H41" s="16">
        <f t="shared" si="12"/>
        <v>0.26041666666666669</v>
      </c>
      <c r="I41" s="16">
        <f t="shared" si="10"/>
        <v>1.0416666666666685E-2</v>
      </c>
      <c r="J41" s="16">
        <v>0.375</v>
      </c>
      <c r="K41" s="16">
        <v>0.4201388888888889</v>
      </c>
      <c r="L41" s="16" t="s">
        <v>85</v>
      </c>
      <c r="M41" s="16" t="s">
        <v>85</v>
      </c>
      <c r="N41" s="16">
        <f t="shared" si="1"/>
        <v>4.5138888888888895E-2</v>
      </c>
      <c r="O41" s="16">
        <f t="shared" si="6"/>
        <v>1.3888888888888895E-2</v>
      </c>
      <c r="P41" s="16">
        <v>6.9444444444444397E-3</v>
      </c>
      <c r="Q41" s="16">
        <v>0.42708333333333331</v>
      </c>
      <c r="R41" s="16">
        <f t="shared" si="11"/>
        <v>0</v>
      </c>
      <c r="S41" s="16">
        <v>0.42708333333333331</v>
      </c>
      <c r="T41" s="16">
        <f>VLOOKUP(E41,'[2]21-3-2026'!E$3:T$35,16,FALSE)</f>
        <v>1.38888888888889E-2</v>
      </c>
      <c r="U41" s="16">
        <v>0.46875</v>
      </c>
      <c r="V41" s="16">
        <v>0</v>
      </c>
      <c r="W41" s="16">
        <v>4.1666666666666664E-2</v>
      </c>
      <c r="X41" s="16">
        <v>0.47222222222222227</v>
      </c>
      <c r="Y41" s="16">
        <v>0.4826388888888889</v>
      </c>
      <c r="Z41" s="16">
        <f t="shared" si="4"/>
        <v>1.041666666666663E-2</v>
      </c>
      <c r="AA41" s="16">
        <v>0</v>
      </c>
      <c r="AB41" s="16">
        <v>0.49305555555555558</v>
      </c>
      <c r="AC41" s="17"/>
      <c r="AD41" s="51"/>
    </row>
    <row r="42" spans="1:30" ht="19.5" thickBot="1" x14ac:dyDescent="0.3">
      <c r="A42" s="14">
        <v>7</v>
      </c>
      <c r="B42" s="15">
        <v>1537</v>
      </c>
      <c r="C42" s="15" t="str">
        <f>VLOOKUP(B42,داتا!$B$3:$D$107,2,FALSE)</f>
        <v>تلتين</v>
      </c>
      <c r="D42" s="34">
        <f>VLOOKUP(B42,داتا!$B$3:$D$107,3,FALSE)</f>
        <v>3.125E-2</v>
      </c>
      <c r="E42" s="15" t="s">
        <v>51</v>
      </c>
      <c r="F42" s="15" t="s">
        <v>154</v>
      </c>
      <c r="G42" s="16">
        <v>0.25</v>
      </c>
      <c r="H42" s="16">
        <f t="shared" si="12"/>
        <v>0.26041666666666669</v>
      </c>
      <c r="I42" s="16">
        <f t="shared" si="10"/>
        <v>1.0416666666666685E-2</v>
      </c>
      <c r="J42" s="16">
        <v>0.4375</v>
      </c>
      <c r="K42" s="16">
        <v>0.47222222222222227</v>
      </c>
      <c r="L42" s="16" t="s">
        <v>85</v>
      </c>
      <c r="M42" s="16" t="s">
        <v>85</v>
      </c>
      <c r="N42" s="16">
        <f t="shared" si="1"/>
        <v>3.4722222222222265E-2</v>
      </c>
      <c r="O42" s="16">
        <f t="shared" si="6"/>
        <v>3.4722222222222654E-3</v>
      </c>
      <c r="P42" s="16">
        <v>6.9444444444444397E-3</v>
      </c>
      <c r="Q42" s="16">
        <v>0.47916666666666669</v>
      </c>
      <c r="R42" s="16">
        <f t="shared" si="11"/>
        <v>0</v>
      </c>
      <c r="S42" s="16">
        <v>0.47916666666666669</v>
      </c>
      <c r="T42" s="16">
        <f>VLOOKUP(E42,'[2]21-3-2026'!E$3:T$35,16,FALSE)</f>
        <v>2.4305555555555601E-2</v>
      </c>
      <c r="U42" s="16">
        <v>0.51041666666666663</v>
      </c>
      <c r="V42" s="16">
        <f t="shared" si="3"/>
        <v>6.9444444444443643E-3</v>
      </c>
      <c r="W42" s="16">
        <v>3.125E-2</v>
      </c>
      <c r="X42" s="16">
        <v>0.51388888888888895</v>
      </c>
      <c r="Y42" s="16">
        <v>0.53125</v>
      </c>
      <c r="Z42" s="16">
        <f t="shared" si="4"/>
        <v>1.7361111111111049E-2</v>
      </c>
      <c r="AA42" s="16">
        <v>0</v>
      </c>
      <c r="AB42" s="16">
        <v>0.53472222222222221</v>
      </c>
      <c r="AC42" s="17"/>
      <c r="AD42" s="51"/>
    </row>
    <row r="43" spans="1:30" ht="19.5" thickBot="1" x14ac:dyDescent="0.3">
      <c r="A43" s="14">
        <v>8</v>
      </c>
      <c r="B43" s="15">
        <v>1537</v>
      </c>
      <c r="C43" s="15" t="str">
        <f>VLOOKUP(B43,داتا!$B$3:$D$107,2,FALSE)</f>
        <v>تلتين</v>
      </c>
      <c r="D43" s="34">
        <f>VLOOKUP(B43,داتا!$B$3:$D$107,3,FALSE)</f>
        <v>3.125E-2</v>
      </c>
      <c r="E43" s="15" t="s">
        <v>54</v>
      </c>
      <c r="F43" s="15" t="s">
        <v>154</v>
      </c>
      <c r="G43" s="16">
        <v>0.25</v>
      </c>
      <c r="H43" s="16">
        <f t="shared" si="12"/>
        <v>0.26041666666666669</v>
      </c>
      <c r="I43" s="16">
        <f t="shared" si="10"/>
        <v>1.0416666666666685E-2</v>
      </c>
      <c r="J43" s="16">
        <v>0.4375</v>
      </c>
      <c r="K43" s="16">
        <v>0.47222222222222227</v>
      </c>
      <c r="L43" s="16" t="s">
        <v>85</v>
      </c>
      <c r="M43" s="16" t="s">
        <v>85</v>
      </c>
      <c r="N43" s="16">
        <f t="shared" si="1"/>
        <v>3.4722222222222265E-2</v>
      </c>
      <c r="O43" s="16">
        <f t="shared" si="6"/>
        <v>3.4722222222222654E-3</v>
      </c>
      <c r="P43" s="16">
        <v>6.9444444444444397E-3</v>
      </c>
      <c r="Q43" s="16">
        <v>0.47916666666666669</v>
      </c>
      <c r="R43" s="16">
        <f t="shared" si="11"/>
        <v>0</v>
      </c>
      <c r="S43" s="16">
        <v>0.47916666666666669</v>
      </c>
      <c r="T43" s="16">
        <f>VLOOKUP(E43,'[2]21-3-2026'!E$3:T$35,16,FALSE)</f>
        <v>1.0416666666666701E-2</v>
      </c>
      <c r="U43" s="16">
        <v>0.54861111111111105</v>
      </c>
      <c r="V43" s="16">
        <v>3.472222222222222E-3</v>
      </c>
      <c r="W43" s="16">
        <v>4.1666666666666664E-2</v>
      </c>
      <c r="X43" s="16">
        <v>0.55208333333333337</v>
      </c>
      <c r="Y43" s="16">
        <v>0.56944444444444442</v>
      </c>
      <c r="Z43" s="16">
        <f t="shared" si="4"/>
        <v>1.7361111111111049E-2</v>
      </c>
      <c r="AA43" s="16">
        <v>0</v>
      </c>
      <c r="AB43" s="16">
        <v>0.58680555555555558</v>
      </c>
      <c r="AC43" s="17"/>
      <c r="AD43" s="51"/>
    </row>
    <row r="44" spans="1:30" ht="19.5" thickBot="1" x14ac:dyDescent="0.3">
      <c r="A44" s="14">
        <v>9</v>
      </c>
      <c r="B44" s="15">
        <v>634</v>
      </c>
      <c r="C44" s="15" t="str">
        <f>VLOOKUP(B44,داتا!$B$3:$D$107,2,FALSE)</f>
        <v>دبابة</v>
      </c>
      <c r="D44" s="34">
        <f>VLOOKUP(B44,داتا!$B$3:$D$107,3,FALSE)</f>
        <v>2.0833333333333301E-2</v>
      </c>
      <c r="E44" s="15" t="s">
        <v>63</v>
      </c>
      <c r="F44" s="15" t="s">
        <v>90</v>
      </c>
      <c r="G44" s="16">
        <v>0.25</v>
      </c>
      <c r="H44" s="16">
        <f t="shared" si="12"/>
        <v>0.25</v>
      </c>
      <c r="I44" s="16">
        <f t="shared" si="10"/>
        <v>0</v>
      </c>
      <c r="J44" s="16">
        <v>0.48958333333333331</v>
      </c>
      <c r="K44" s="16">
        <v>0.5</v>
      </c>
      <c r="L44" s="16" t="s">
        <v>85</v>
      </c>
      <c r="M44" s="16" t="s">
        <v>85</v>
      </c>
      <c r="N44" s="16">
        <f t="shared" si="1"/>
        <v>1.0416666666666685E-2</v>
      </c>
      <c r="O44" s="16">
        <v>0</v>
      </c>
      <c r="P44" s="16">
        <v>6.9444444444444397E-3</v>
      </c>
      <c r="Q44" s="16">
        <v>0.50347222222222221</v>
      </c>
      <c r="R44" s="16">
        <v>0</v>
      </c>
      <c r="S44" s="16">
        <v>0.50347222222222221</v>
      </c>
      <c r="T44" s="16">
        <f>VLOOKUP(E44,'[2]21-3-2026'!E$3:T$35,16,FALSE)</f>
        <v>6.25E-2</v>
      </c>
      <c r="U44" s="16">
        <v>0.5625</v>
      </c>
      <c r="V44" s="16">
        <v>0</v>
      </c>
      <c r="W44" s="16">
        <v>3.125E-2</v>
      </c>
      <c r="X44" s="16">
        <v>0.56597222222222221</v>
      </c>
      <c r="Y44" s="16">
        <v>0.59027777777777779</v>
      </c>
      <c r="Z44" s="16">
        <f t="shared" si="4"/>
        <v>2.430555555555558E-2</v>
      </c>
      <c r="AA44" s="16">
        <v>0</v>
      </c>
      <c r="AB44" s="16">
        <v>0.59375</v>
      </c>
      <c r="AC44" s="17"/>
      <c r="AD44" s="51"/>
    </row>
    <row r="45" spans="1:30" ht="19.5" thickBot="1" x14ac:dyDescent="0.3">
      <c r="A45" s="14">
        <v>10</v>
      </c>
      <c r="B45" s="15">
        <v>3787</v>
      </c>
      <c r="C45" s="15" t="str">
        <f>VLOOKUP(B45,داتا!$B$3:$D$107,2,FALSE)</f>
        <v>دبابة</v>
      </c>
      <c r="D45" s="34">
        <f>VLOOKUP(B45,داتا!$B$3:$D$107,3,FALSE)</f>
        <v>2.0833333333333301E-2</v>
      </c>
      <c r="E45" s="15" t="s">
        <v>75</v>
      </c>
      <c r="F45" s="15" t="s">
        <v>168</v>
      </c>
      <c r="G45" s="16">
        <v>0.25</v>
      </c>
      <c r="H45" s="16">
        <f t="shared" si="12"/>
        <v>0.25</v>
      </c>
      <c r="I45" s="16">
        <f t="shared" si="10"/>
        <v>0</v>
      </c>
      <c r="J45" s="16">
        <v>0.40277777777777773</v>
      </c>
      <c r="K45" s="16">
        <v>0.41666666666666669</v>
      </c>
      <c r="L45" s="16" t="s">
        <v>182</v>
      </c>
      <c r="M45" s="16" t="s">
        <v>172</v>
      </c>
      <c r="N45" s="16">
        <f t="shared" si="1"/>
        <v>1.3888888888888951E-2</v>
      </c>
      <c r="O45" s="16">
        <v>0</v>
      </c>
      <c r="P45" s="16">
        <v>6.9444444444444397E-3</v>
      </c>
      <c r="Q45" s="16">
        <v>0.43402777777777773</v>
      </c>
      <c r="R45" s="16">
        <f t="shared" si="11"/>
        <v>1.041666666666663E-2</v>
      </c>
      <c r="S45" s="16">
        <v>0.43402777777777773</v>
      </c>
      <c r="T45" s="16">
        <f>VLOOKUP(E45,'[2]21-3-2026'!E$3:T$35,16,FALSE)</f>
        <v>2.0833333333333301E-2</v>
      </c>
      <c r="U45" s="16">
        <v>0.45833333333333331</v>
      </c>
      <c r="V45" s="16">
        <f t="shared" si="3"/>
        <v>3.4722222222222654E-3</v>
      </c>
      <c r="W45" s="16">
        <v>2.0833333333333332E-2</v>
      </c>
      <c r="X45" s="16">
        <v>0.46180555555555558</v>
      </c>
      <c r="Y45" s="16">
        <v>0.46875</v>
      </c>
      <c r="Z45" s="16">
        <f t="shared" si="4"/>
        <v>6.9444444444444198E-3</v>
      </c>
      <c r="AA45" s="16">
        <v>0</v>
      </c>
      <c r="AB45" s="16">
        <v>0.47222222222222227</v>
      </c>
      <c r="AC45" s="17"/>
      <c r="AD45" s="51"/>
    </row>
    <row r="46" spans="1:30" ht="19.5" thickBot="1" x14ac:dyDescent="0.3">
      <c r="A46" s="14">
        <v>11</v>
      </c>
      <c r="B46" s="15">
        <v>3787</v>
      </c>
      <c r="C46" s="15" t="str">
        <f>VLOOKUP(B46,داتا!$B$3:$D$107,2,FALSE)</f>
        <v>دبابة</v>
      </c>
      <c r="D46" s="34">
        <f>VLOOKUP(B46,داتا!$B$3:$D$107,3,FALSE)</f>
        <v>2.0833333333333301E-2</v>
      </c>
      <c r="E46" s="15" t="s">
        <v>60</v>
      </c>
      <c r="F46" s="15" t="s">
        <v>168</v>
      </c>
      <c r="G46" s="16">
        <v>0.25</v>
      </c>
      <c r="H46" s="16">
        <f t="shared" si="12"/>
        <v>0.25</v>
      </c>
      <c r="I46" s="16">
        <f t="shared" si="10"/>
        <v>0</v>
      </c>
      <c r="J46" s="16">
        <v>0.40277777777777773</v>
      </c>
      <c r="K46" s="16">
        <v>0.41666666666666669</v>
      </c>
      <c r="L46" s="16" t="s">
        <v>182</v>
      </c>
      <c r="M46" s="16" t="s">
        <v>172</v>
      </c>
      <c r="N46" s="16">
        <f t="shared" si="1"/>
        <v>1.3888888888888951E-2</v>
      </c>
      <c r="O46" s="16">
        <v>0</v>
      </c>
      <c r="P46" s="16">
        <v>6.9444444444444397E-3</v>
      </c>
      <c r="Q46" s="16">
        <v>0.43402777777777773</v>
      </c>
      <c r="R46" s="16">
        <f t="shared" si="11"/>
        <v>1.041666666666663E-2</v>
      </c>
      <c r="S46" s="16">
        <v>0.43402777777777773</v>
      </c>
      <c r="T46" s="16">
        <f>VLOOKUP(E46,'[2]21-3-2026'!E$3:T$35,16,FALSE)</f>
        <v>1.0416666666666701E-2</v>
      </c>
      <c r="U46" s="16">
        <v>0.47916666666666669</v>
      </c>
      <c r="V46" s="16">
        <v>0</v>
      </c>
      <c r="W46" s="16">
        <v>3.125E-2</v>
      </c>
      <c r="X46" s="16">
        <v>0.4826388888888889</v>
      </c>
      <c r="Y46" s="16">
        <v>0.49305555555555558</v>
      </c>
      <c r="Z46" s="16">
        <f t="shared" si="4"/>
        <v>1.0416666666666685E-2</v>
      </c>
      <c r="AA46" s="16">
        <v>0</v>
      </c>
      <c r="AB46" s="16">
        <v>0.49652777777777773</v>
      </c>
      <c r="AC46" s="17"/>
      <c r="AD46" s="51"/>
    </row>
    <row r="47" spans="1:30" ht="19.5" thickBot="1" x14ac:dyDescent="0.3">
      <c r="A47" s="14">
        <v>12</v>
      </c>
      <c r="B47" s="15">
        <v>4879</v>
      </c>
      <c r="C47" s="15" t="str">
        <f>VLOOKUP(B47,داتا!$B$3:$D$107,2,FALSE)</f>
        <v>دبابة</v>
      </c>
      <c r="D47" s="34">
        <f>VLOOKUP(B47,داتا!$B$3:$D$107,3,FALSE)</f>
        <v>2.0833333333333301E-2</v>
      </c>
      <c r="E47" s="15" t="s">
        <v>81</v>
      </c>
      <c r="F47" s="15" t="s">
        <v>80</v>
      </c>
      <c r="G47" s="16">
        <v>0.25</v>
      </c>
      <c r="H47" s="16">
        <f t="shared" si="12"/>
        <v>0.25</v>
      </c>
      <c r="I47" s="16">
        <f t="shared" si="10"/>
        <v>0</v>
      </c>
      <c r="J47" s="16">
        <v>0.43402777777777773</v>
      </c>
      <c r="K47" s="16">
        <v>0.46180555555555558</v>
      </c>
      <c r="L47" s="16" t="s">
        <v>182</v>
      </c>
      <c r="M47" s="16" t="s">
        <v>172</v>
      </c>
      <c r="N47" s="16">
        <f t="shared" si="1"/>
        <v>2.7777777777777846E-2</v>
      </c>
      <c r="O47" s="16">
        <f t="shared" si="6"/>
        <v>6.9444444444445447E-3</v>
      </c>
      <c r="P47" s="16">
        <v>6.9444444444444397E-3</v>
      </c>
      <c r="Q47" s="16">
        <v>0.46875</v>
      </c>
      <c r="R47" s="16">
        <f t="shared" si="11"/>
        <v>0</v>
      </c>
      <c r="S47" s="16">
        <v>0.46875</v>
      </c>
      <c r="T47" s="16">
        <f>VLOOKUP(E47,'[2]21-3-2026'!E$3:T$35,16,FALSE)</f>
        <v>2.7777777777777801E-2</v>
      </c>
      <c r="U47" s="16">
        <v>0.5</v>
      </c>
      <c r="V47" s="16">
        <f t="shared" si="3"/>
        <v>3.4722222222222099E-3</v>
      </c>
      <c r="W47" s="16">
        <v>3.125E-2</v>
      </c>
      <c r="X47" s="16">
        <v>0.50347222222222221</v>
      </c>
      <c r="Y47" s="16">
        <v>0.52777777777777779</v>
      </c>
      <c r="Z47" s="16">
        <f t="shared" si="4"/>
        <v>2.430555555555558E-2</v>
      </c>
      <c r="AA47" s="16">
        <v>0</v>
      </c>
      <c r="AB47" s="16">
        <v>0.52916666666666667</v>
      </c>
      <c r="AC47" s="17"/>
      <c r="AD47" s="51"/>
    </row>
    <row r="48" spans="1:30" ht="19.5" thickBot="1" x14ac:dyDescent="0.3">
      <c r="A48" s="14">
        <v>13</v>
      </c>
      <c r="B48" s="15">
        <v>2695</v>
      </c>
      <c r="C48" s="15" t="str">
        <f>VLOOKUP(B48,داتا!$B$3:$D$107,2,FALSE)</f>
        <v>تلتين</v>
      </c>
      <c r="D48" s="34">
        <f>VLOOKUP(B48,داتا!$B$3:$D$107,3,FALSE)</f>
        <v>3.125E-2</v>
      </c>
      <c r="E48" s="15" t="s">
        <v>86</v>
      </c>
      <c r="F48" s="15" t="s">
        <v>181</v>
      </c>
      <c r="G48" s="16">
        <v>0.25</v>
      </c>
      <c r="H48" s="16">
        <f t="shared" si="12"/>
        <v>0.25</v>
      </c>
      <c r="I48" s="16">
        <f t="shared" si="10"/>
        <v>0</v>
      </c>
      <c r="J48" s="16">
        <v>0.47569444444444442</v>
      </c>
      <c r="K48" s="16">
        <v>0.49305555555555558</v>
      </c>
      <c r="L48" s="16" t="s">
        <v>182</v>
      </c>
      <c r="M48" s="16" t="s">
        <v>172</v>
      </c>
      <c r="N48" s="16">
        <f t="shared" si="1"/>
        <v>1.736111111111116E-2</v>
      </c>
      <c r="O48" s="16">
        <v>0</v>
      </c>
      <c r="P48" s="16">
        <v>6.9444444444444397E-3</v>
      </c>
      <c r="Q48" s="16">
        <v>0.49652777777777773</v>
      </c>
      <c r="R48" s="16">
        <v>0</v>
      </c>
      <c r="S48" s="16">
        <v>0.49652777777777773</v>
      </c>
      <c r="T48" s="16">
        <f>VLOOKUP(E48,'[2]21-3-2026'!E$3:T$35,16,FALSE)</f>
        <v>3.4722222222222199E-3</v>
      </c>
      <c r="U48" s="16">
        <v>0.50347222222222221</v>
      </c>
      <c r="V48" s="16">
        <f t="shared" si="3"/>
        <v>3.4722222222222654E-3</v>
      </c>
      <c r="W48" s="16">
        <v>4.1666666666666664E-2</v>
      </c>
      <c r="X48" s="16">
        <v>0.50694444444444442</v>
      </c>
      <c r="Y48" s="16">
        <v>0.52777777777777779</v>
      </c>
      <c r="Z48" s="16">
        <f t="shared" si="4"/>
        <v>2.083333333333337E-2</v>
      </c>
      <c r="AA48" s="16">
        <v>0</v>
      </c>
      <c r="AB48" s="16">
        <v>0.53125</v>
      </c>
      <c r="AC48" s="17"/>
      <c r="AD48" s="51"/>
    </row>
    <row r="49" spans="1:30" ht="19.5" thickBot="1" x14ac:dyDescent="0.3">
      <c r="A49" s="14">
        <v>14</v>
      </c>
      <c r="B49" s="15">
        <v>3495</v>
      </c>
      <c r="C49" s="15" t="str">
        <f>VLOOKUP(B49,داتا!$B$3:$D$107,2,FALSE)</f>
        <v>تلتين</v>
      </c>
      <c r="D49" s="34">
        <f>VLOOKUP(B49,داتا!$B$3:$D$107,3,FALSE)</f>
        <v>3.125E-2</v>
      </c>
      <c r="E49" s="15" t="s">
        <v>42</v>
      </c>
      <c r="F49" s="15" t="s">
        <v>148</v>
      </c>
      <c r="G49" s="16">
        <v>0.25</v>
      </c>
      <c r="H49" s="16">
        <f t="shared" si="12"/>
        <v>0.25</v>
      </c>
      <c r="I49" s="16">
        <f t="shared" si="10"/>
        <v>0</v>
      </c>
      <c r="J49" s="16">
        <v>0.3923611111111111</v>
      </c>
      <c r="K49" s="16">
        <v>0.42708333333333331</v>
      </c>
      <c r="L49" s="16" t="s">
        <v>88</v>
      </c>
      <c r="M49" s="16" t="s">
        <v>88</v>
      </c>
      <c r="N49" s="16">
        <f t="shared" si="1"/>
        <v>3.472222222222221E-2</v>
      </c>
      <c r="O49" s="16">
        <f t="shared" si="6"/>
        <v>3.4722222222222099E-3</v>
      </c>
      <c r="P49" s="16">
        <v>6.9444444444444397E-3</v>
      </c>
      <c r="Q49" s="16">
        <v>0.43055555555555558</v>
      </c>
      <c r="R49" s="16">
        <v>0</v>
      </c>
      <c r="S49" s="16">
        <v>0.43055555555555558</v>
      </c>
      <c r="T49" s="16">
        <f>VLOOKUP(E49,'[2]21-3-2026'!E$3:T$35,16,FALSE)</f>
        <v>1.7361111111111101E-2</v>
      </c>
      <c r="U49" s="16">
        <v>0.4513888888888889</v>
      </c>
      <c r="V49" s="16">
        <f t="shared" si="3"/>
        <v>3.4722222222222099E-3</v>
      </c>
      <c r="W49" s="16">
        <v>3.125E-2</v>
      </c>
      <c r="X49" s="16">
        <v>0.4548611111111111</v>
      </c>
      <c r="Y49" s="16">
        <v>0.47569444444444442</v>
      </c>
      <c r="Z49" s="16">
        <f t="shared" si="4"/>
        <v>2.0833333333333315E-2</v>
      </c>
      <c r="AA49" s="16">
        <v>0</v>
      </c>
      <c r="AB49" s="16">
        <v>0.47916666666666669</v>
      </c>
      <c r="AC49" s="17"/>
      <c r="AD49" s="51"/>
    </row>
    <row r="50" spans="1:30" ht="19.5" thickBot="1" x14ac:dyDescent="0.3">
      <c r="A50" s="14">
        <v>15</v>
      </c>
      <c r="B50" s="15">
        <v>3495</v>
      </c>
      <c r="C50" s="15" t="str">
        <f>VLOOKUP(B50,داتا!$B$3:$D$107,2,FALSE)</f>
        <v>تلتين</v>
      </c>
      <c r="D50" s="34">
        <f>VLOOKUP(B50,داتا!$B$3:$D$107,3,FALSE)</f>
        <v>3.125E-2</v>
      </c>
      <c r="E50" s="15" t="s">
        <v>45</v>
      </c>
      <c r="F50" s="15" t="s">
        <v>148</v>
      </c>
      <c r="G50" s="16">
        <v>0.25</v>
      </c>
      <c r="H50" s="16">
        <f t="shared" si="12"/>
        <v>0.25</v>
      </c>
      <c r="I50" s="16">
        <f t="shared" si="10"/>
        <v>0</v>
      </c>
      <c r="J50" s="16">
        <v>0.3923611111111111</v>
      </c>
      <c r="K50" s="16">
        <v>0.42708333333333331</v>
      </c>
      <c r="L50" s="16" t="s">
        <v>88</v>
      </c>
      <c r="M50" s="16" t="s">
        <v>88</v>
      </c>
      <c r="N50" s="16">
        <f t="shared" si="1"/>
        <v>3.472222222222221E-2</v>
      </c>
      <c r="O50" s="16">
        <f t="shared" si="6"/>
        <v>3.4722222222222099E-3</v>
      </c>
      <c r="P50" s="16">
        <v>6.9444444444444397E-3</v>
      </c>
      <c r="Q50" s="16">
        <v>0.43055555555555558</v>
      </c>
      <c r="R50" s="16">
        <v>0</v>
      </c>
      <c r="S50" s="16">
        <v>0.43055555555555558</v>
      </c>
      <c r="T50" s="16">
        <f>VLOOKUP(E50,'[2]21-3-2026'!E$3:T$35,16,FALSE)</f>
        <v>1.38888888888889E-2</v>
      </c>
      <c r="U50" s="16">
        <v>0.4861111111111111</v>
      </c>
      <c r="V50" s="16">
        <v>0</v>
      </c>
      <c r="W50" s="16">
        <v>4.1666666666666664E-2</v>
      </c>
      <c r="X50" s="16">
        <v>0.48958333333333331</v>
      </c>
      <c r="Y50" s="16">
        <v>0.51041666666666663</v>
      </c>
      <c r="Z50" s="16">
        <f t="shared" si="4"/>
        <v>2.0833333333333315E-2</v>
      </c>
      <c r="AA50" s="16">
        <v>0</v>
      </c>
      <c r="AB50" s="16">
        <v>0.51388888888888895</v>
      </c>
      <c r="AC50" s="17"/>
      <c r="AD50" s="51"/>
    </row>
    <row r="51" spans="1:30" ht="19.5" thickBot="1" x14ac:dyDescent="0.3">
      <c r="A51" s="14">
        <v>16</v>
      </c>
      <c r="B51" s="15">
        <v>2917</v>
      </c>
      <c r="C51" s="15" t="str">
        <f>VLOOKUP(B51,داتا!$B$3:$D$107,2,FALSE)</f>
        <v>تلتين</v>
      </c>
      <c r="D51" s="34">
        <f>VLOOKUP(B51,داتا!$B$3:$D$107,3,FALSE)</f>
        <v>3.125E-2</v>
      </c>
      <c r="E51" s="15" t="s">
        <v>98</v>
      </c>
      <c r="F51" s="15" t="s">
        <v>36</v>
      </c>
      <c r="G51" s="16">
        <v>0.25</v>
      </c>
      <c r="H51" s="16">
        <f t="shared" si="12"/>
        <v>0.25</v>
      </c>
      <c r="I51" s="16">
        <f t="shared" si="10"/>
        <v>0</v>
      </c>
      <c r="J51" s="16">
        <v>0.44444444444444442</v>
      </c>
      <c r="K51" s="16">
        <v>0.47222222222222227</v>
      </c>
      <c r="L51" s="16" t="s">
        <v>238</v>
      </c>
      <c r="M51" s="16" t="s">
        <v>238</v>
      </c>
      <c r="N51" s="16">
        <f t="shared" si="1"/>
        <v>2.7777777777777846E-2</v>
      </c>
      <c r="O51" s="16">
        <v>0</v>
      </c>
      <c r="P51" s="16">
        <v>6.9444444444444397E-3</v>
      </c>
      <c r="Q51" s="16">
        <v>0.51041666666666663</v>
      </c>
      <c r="R51" s="16">
        <f t="shared" si="11"/>
        <v>3.1249999999999944E-2</v>
      </c>
      <c r="S51" s="16">
        <v>0.51041666666666663</v>
      </c>
      <c r="T51" s="16">
        <f>VLOOKUP(E51,'[2]21-3-2026'!E$3:T$35,16,FALSE)</f>
        <v>4.8611111111111103E-3</v>
      </c>
      <c r="U51" s="16">
        <v>0.49652777777777773</v>
      </c>
      <c r="V51" s="16">
        <v>0</v>
      </c>
      <c r="W51" s="16">
        <v>3.125E-2</v>
      </c>
      <c r="X51" s="16">
        <v>0.5</v>
      </c>
      <c r="Y51" s="16">
        <v>0.51527777777777783</v>
      </c>
      <c r="Z51" s="16">
        <f t="shared" si="4"/>
        <v>1.5277777777777835E-2</v>
      </c>
      <c r="AA51" s="16">
        <v>0</v>
      </c>
      <c r="AB51" s="16">
        <v>0.51597222222222217</v>
      </c>
      <c r="AC51" s="17"/>
      <c r="AD51" s="51"/>
    </row>
    <row r="52" spans="1:30" ht="19.5" thickBot="1" x14ac:dyDescent="0.3">
      <c r="A52" s="14">
        <v>17</v>
      </c>
      <c r="B52" s="15">
        <v>2917</v>
      </c>
      <c r="C52" s="15" t="str">
        <f>VLOOKUP(B52,داتا!$B$3:$D$107,2,FALSE)</f>
        <v>تلتين</v>
      </c>
      <c r="D52" s="34">
        <f>VLOOKUP(B52,داتا!$B$3:$D$107,3,FALSE)</f>
        <v>3.125E-2</v>
      </c>
      <c r="E52" s="15" t="s">
        <v>95</v>
      </c>
      <c r="F52" s="15" t="s">
        <v>36</v>
      </c>
      <c r="G52" s="16">
        <v>0.25</v>
      </c>
      <c r="H52" s="16">
        <f t="shared" si="12"/>
        <v>0.25</v>
      </c>
      <c r="I52" s="16">
        <f t="shared" si="10"/>
        <v>0</v>
      </c>
      <c r="J52" s="16">
        <v>0.44444444444444442</v>
      </c>
      <c r="K52" s="16">
        <v>0.47222222222222227</v>
      </c>
      <c r="L52" s="16" t="s">
        <v>238</v>
      </c>
      <c r="M52" s="16" t="s">
        <v>238</v>
      </c>
      <c r="N52" s="16">
        <f t="shared" si="1"/>
        <v>2.7777777777777846E-2</v>
      </c>
      <c r="O52" s="16">
        <v>0</v>
      </c>
      <c r="P52" s="16">
        <v>6.9444444444444397E-3</v>
      </c>
      <c r="Q52" s="16">
        <v>0.51041666666666663</v>
      </c>
      <c r="R52" s="16">
        <f t="shared" si="11"/>
        <v>3.1249999999999944E-2</v>
      </c>
      <c r="S52" s="16">
        <v>0.51041666666666663</v>
      </c>
      <c r="T52" s="16">
        <f>VLOOKUP(E52,'[2]21-3-2026'!E$3:T$35,16,FALSE)</f>
        <v>1.0416666666666701E-2</v>
      </c>
      <c r="U52" s="16">
        <v>0.52430555555555558</v>
      </c>
      <c r="V52" s="16">
        <f t="shared" si="3"/>
        <v>3.4722222222222099E-3</v>
      </c>
      <c r="W52" s="16">
        <v>4.1666666666666664E-2</v>
      </c>
      <c r="X52" s="16">
        <v>0.52777777777777779</v>
      </c>
      <c r="Y52" s="16">
        <v>0.55902777777777779</v>
      </c>
      <c r="Z52" s="16">
        <f t="shared" si="4"/>
        <v>3.125E-2</v>
      </c>
      <c r="AA52" s="16">
        <v>0</v>
      </c>
      <c r="AB52" s="16">
        <v>0.5625</v>
      </c>
      <c r="AC52" s="17"/>
      <c r="AD52" s="51"/>
    </row>
    <row r="53" spans="1:30" ht="19.5" thickBot="1" x14ac:dyDescent="0.3">
      <c r="A53" s="14">
        <v>18</v>
      </c>
      <c r="B53" s="15">
        <v>4987</v>
      </c>
      <c r="C53" s="15" t="str">
        <f>VLOOKUP(B53,داتا!$B$3:$D$107,2,FALSE)</f>
        <v>تلتين</v>
      </c>
      <c r="D53" s="34">
        <f>VLOOKUP(B53,داتا!$B$3:$D$107,3,FALSE)</f>
        <v>3.125E-2</v>
      </c>
      <c r="E53" s="15" t="s">
        <v>73</v>
      </c>
      <c r="F53" s="15" t="s">
        <v>169</v>
      </c>
      <c r="G53" s="16">
        <v>0.25</v>
      </c>
      <c r="H53" s="16">
        <f t="shared" si="12"/>
        <v>0.24652777777777779</v>
      </c>
      <c r="I53" s="16">
        <v>0</v>
      </c>
      <c r="J53" s="16">
        <v>0.38541666666666669</v>
      </c>
      <c r="K53" s="16">
        <v>0.43402777777777773</v>
      </c>
      <c r="L53" s="16" t="s">
        <v>112</v>
      </c>
      <c r="M53" s="16" t="s">
        <v>112</v>
      </c>
      <c r="N53" s="16">
        <f t="shared" si="1"/>
        <v>4.8611111111111049E-2</v>
      </c>
      <c r="O53" s="16">
        <f t="shared" si="6"/>
        <v>1.7361111111111049E-2</v>
      </c>
      <c r="P53" s="16">
        <v>6.9444444444444397E-3</v>
      </c>
      <c r="Q53" s="16">
        <v>0.4375</v>
      </c>
      <c r="R53" s="16">
        <v>0</v>
      </c>
      <c r="S53" s="16">
        <v>0.4375</v>
      </c>
      <c r="T53" s="16">
        <f>VLOOKUP(E53,'[2]21-3-2026'!E$3:T$35,16,FALSE)</f>
        <v>3.4722222222222203E-2</v>
      </c>
      <c r="U53" s="16">
        <v>0.47222222222222227</v>
      </c>
      <c r="V53" s="16">
        <f t="shared" si="3"/>
        <v>0</v>
      </c>
      <c r="W53" s="16">
        <v>3.125E-2</v>
      </c>
      <c r="X53" s="16">
        <v>0.47569444444444442</v>
      </c>
      <c r="Y53" s="16">
        <v>0.48958333333333331</v>
      </c>
      <c r="Z53" s="16">
        <f t="shared" si="4"/>
        <v>1.3888888888888895E-2</v>
      </c>
      <c r="AA53" s="16">
        <v>0</v>
      </c>
      <c r="AB53" s="16">
        <v>0.49652777777777773</v>
      </c>
      <c r="AC53" s="17"/>
      <c r="AD53" s="51"/>
    </row>
    <row r="54" spans="1:30" ht="19.5" thickBot="1" x14ac:dyDescent="0.3">
      <c r="A54" s="14">
        <v>19</v>
      </c>
      <c r="B54" s="15">
        <v>4987</v>
      </c>
      <c r="C54" s="15" t="str">
        <f>VLOOKUP(B54,داتا!$B$3:$D$107,2,FALSE)</f>
        <v>تلتين</v>
      </c>
      <c r="D54" s="34">
        <f>VLOOKUP(B54,داتا!$B$3:$D$107,3,FALSE)</f>
        <v>3.125E-2</v>
      </c>
      <c r="E54" s="15" t="s">
        <v>35</v>
      </c>
      <c r="F54" s="15" t="s">
        <v>169</v>
      </c>
      <c r="G54" s="16">
        <v>0.25</v>
      </c>
      <c r="H54" s="16">
        <f t="shared" si="12"/>
        <v>0.24652777777777779</v>
      </c>
      <c r="I54" s="16">
        <v>0</v>
      </c>
      <c r="J54" s="16">
        <v>0.38541666666666669</v>
      </c>
      <c r="K54" s="16">
        <v>0.43402777777777773</v>
      </c>
      <c r="L54" s="16" t="s">
        <v>112</v>
      </c>
      <c r="M54" s="16" t="s">
        <v>112</v>
      </c>
      <c r="N54" s="16">
        <f t="shared" si="1"/>
        <v>4.8611111111111049E-2</v>
      </c>
      <c r="O54" s="16">
        <f t="shared" si="6"/>
        <v>1.7361111111111049E-2</v>
      </c>
      <c r="P54" s="16">
        <v>6.9444444444444397E-3</v>
      </c>
      <c r="Q54" s="16">
        <v>0.4375</v>
      </c>
      <c r="R54" s="16">
        <v>0</v>
      </c>
      <c r="S54" s="16">
        <v>0.4375</v>
      </c>
      <c r="T54" s="16">
        <f>VLOOKUP(E54,'[2]21-3-2026'!E$3:T$35,16,FALSE)</f>
        <v>3.4722222222222203E-2</v>
      </c>
      <c r="U54" s="16">
        <v>0.51041666666666663</v>
      </c>
      <c r="V54" s="16">
        <v>3.472222222222222E-3</v>
      </c>
      <c r="W54" s="16">
        <v>4.1666666666666664E-2</v>
      </c>
      <c r="X54" s="16">
        <v>0.51388888888888895</v>
      </c>
      <c r="Y54" s="16">
        <v>0.52430555555555558</v>
      </c>
      <c r="Z54" s="16">
        <f t="shared" si="4"/>
        <v>1.041666666666663E-2</v>
      </c>
      <c r="AA54" s="16">
        <v>0</v>
      </c>
      <c r="AB54" s="16">
        <v>0.52777777777777779</v>
      </c>
      <c r="AC54" s="17"/>
      <c r="AD54" s="51"/>
    </row>
    <row r="55" spans="1:30" ht="19.5" thickBot="1" x14ac:dyDescent="0.3">
      <c r="A55" s="14">
        <v>20</v>
      </c>
      <c r="B55" s="15">
        <v>1454</v>
      </c>
      <c r="C55" s="15" t="str">
        <f>VLOOKUP(B55,داتا!$B$3:$D$107,2,FALSE)</f>
        <v>تلتين</v>
      </c>
      <c r="D55" s="34">
        <f>VLOOKUP(B55,داتا!$B$3:$D$107,3,FALSE)</f>
        <v>3.125E-2</v>
      </c>
      <c r="E55" s="15" t="s">
        <v>57</v>
      </c>
      <c r="F55" s="15" t="s">
        <v>43</v>
      </c>
      <c r="G55" s="16">
        <v>0.25</v>
      </c>
      <c r="H55" s="16">
        <f t="shared" si="12"/>
        <v>0.25</v>
      </c>
      <c r="I55" s="16">
        <f t="shared" si="10"/>
        <v>0</v>
      </c>
      <c r="J55" s="16">
        <v>0.4548611111111111</v>
      </c>
      <c r="K55" s="16">
        <v>0.46875</v>
      </c>
      <c r="L55" s="16" t="s">
        <v>112</v>
      </c>
      <c r="M55" s="16" t="s">
        <v>112</v>
      </c>
      <c r="N55" s="16">
        <f t="shared" si="1"/>
        <v>1.3888888888888895E-2</v>
      </c>
      <c r="O55" s="16">
        <v>0</v>
      </c>
      <c r="P55" s="16">
        <v>6.9444444444444397E-3</v>
      </c>
      <c r="Q55" s="16">
        <v>0.47569444444444442</v>
      </c>
      <c r="R55" s="16">
        <f t="shared" si="11"/>
        <v>0</v>
      </c>
      <c r="S55" s="16">
        <v>0.47569444444444442</v>
      </c>
      <c r="T55" s="16">
        <f>VLOOKUP(E55,'[2]21-3-2026'!E$3:T$35,16,FALSE)</f>
        <v>1.7361111111111101E-2</v>
      </c>
      <c r="U55" s="16">
        <v>0.49305555555555558</v>
      </c>
      <c r="V55" s="16">
        <f t="shared" si="3"/>
        <v>0</v>
      </c>
      <c r="W55" s="16">
        <v>3.125E-2</v>
      </c>
      <c r="X55" s="16">
        <v>0.49652777777777773</v>
      </c>
      <c r="Y55" s="16">
        <v>0.52083333333333337</v>
      </c>
      <c r="Z55" s="16">
        <f t="shared" si="4"/>
        <v>2.4305555555555636E-2</v>
      </c>
      <c r="AA55" s="16">
        <v>0</v>
      </c>
      <c r="AB55" s="16">
        <v>0.52430555555555558</v>
      </c>
      <c r="AC55" s="17"/>
      <c r="AD55" s="51"/>
    </row>
    <row r="56" spans="1:30" ht="19.5" thickBot="1" x14ac:dyDescent="0.3">
      <c r="A56" s="14">
        <v>21</v>
      </c>
      <c r="B56" s="15">
        <v>1454</v>
      </c>
      <c r="C56" s="15" t="str">
        <f>VLOOKUP(B56,داتا!$B$3:$D$107,2,FALSE)</f>
        <v>تلتين</v>
      </c>
      <c r="D56" s="34">
        <f>VLOOKUP(B56,داتا!$B$3:$D$107,3,FALSE)</f>
        <v>3.125E-2</v>
      </c>
      <c r="E56" s="15" t="s">
        <v>38</v>
      </c>
      <c r="F56" s="15" t="s">
        <v>43</v>
      </c>
      <c r="G56" s="16">
        <v>0.25</v>
      </c>
      <c r="H56" s="16">
        <f t="shared" si="12"/>
        <v>0.25</v>
      </c>
      <c r="I56" s="16">
        <f t="shared" si="10"/>
        <v>0</v>
      </c>
      <c r="J56" s="16">
        <v>0.4548611111111111</v>
      </c>
      <c r="K56" s="16">
        <v>0.46875</v>
      </c>
      <c r="L56" s="16" t="s">
        <v>112</v>
      </c>
      <c r="M56" s="16" t="s">
        <v>112</v>
      </c>
      <c r="N56" s="16">
        <f t="shared" si="1"/>
        <v>1.3888888888888895E-2</v>
      </c>
      <c r="O56" s="16">
        <v>0</v>
      </c>
      <c r="P56" s="16">
        <v>6.9444444444444397E-3</v>
      </c>
      <c r="Q56" s="16">
        <v>0.47569444444444442</v>
      </c>
      <c r="R56" s="16">
        <f t="shared" si="11"/>
        <v>0</v>
      </c>
      <c r="S56" s="16">
        <v>0.47569444444444442</v>
      </c>
      <c r="T56" s="16">
        <f>VLOOKUP(E56,'[2]21-3-2026'!E$3:T$35,16,FALSE)</f>
        <v>1.0416666666666666E-2</v>
      </c>
      <c r="U56" s="16">
        <v>0.54513888888888895</v>
      </c>
      <c r="V56" s="16">
        <v>0</v>
      </c>
      <c r="W56" s="16">
        <v>4.1666666666666664E-2</v>
      </c>
      <c r="X56" s="16">
        <v>0.54861111111111105</v>
      </c>
      <c r="Y56" s="16">
        <v>0.56597222222222221</v>
      </c>
      <c r="Z56" s="16">
        <f t="shared" si="4"/>
        <v>1.736111111111116E-2</v>
      </c>
      <c r="AA56" s="16">
        <v>0</v>
      </c>
      <c r="AB56" s="16">
        <v>0.57291666666666663</v>
      </c>
      <c r="AC56" s="17"/>
      <c r="AD56" s="51"/>
    </row>
    <row r="57" spans="1:30" ht="19.5" thickBot="1" x14ac:dyDescent="0.3">
      <c r="A57" s="14">
        <v>22</v>
      </c>
      <c r="B57" s="15">
        <v>6143</v>
      </c>
      <c r="C57" s="15" t="str">
        <f>VLOOKUP(B57,داتا!$B$3:$D$107,2,FALSE)</f>
        <v>تلتين</v>
      </c>
      <c r="D57" s="34">
        <f>VLOOKUP(B57,داتا!$B$3:$D$107,3,FALSE)</f>
        <v>3.125E-2</v>
      </c>
      <c r="E57" s="15" t="s">
        <v>65</v>
      </c>
      <c r="F57" s="15" t="s">
        <v>117</v>
      </c>
      <c r="G57" s="16">
        <v>0.25</v>
      </c>
      <c r="H57" s="16">
        <f t="shared" si="12"/>
        <v>0.25</v>
      </c>
      <c r="I57" s="16">
        <f t="shared" si="10"/>
        <v>0</v>
      </c>
      <c r="J57" s="16">
        <v>0.48958333333333331</v>
      </c>
      <c r="K57" s="16">
        <v>0.50347222222222221</v>
      </c>
      <c r="L57" s="16" t="s">
        <v>112</v>
      </c>
      <c r="M57" s="16" t="s">
        <v>112</v>
      </c>
      <c r="N57" s="16">
        <f t="shared" si="1"/>
        <v>1.3888888888888895E-2</v>
      </c>
      <c r="O57" s="16">
        <v>0</v>
      </c>
      <c r="P57" s="16">
        <v>6.9444444444444397E-3</v>
      </c>
      <c r="Q57" s="16">
        <v>0.51041666666666663</v>
      </c>
      <c r="R57" s="16">
        <f t="shared" si="11"/>
        <v>0</v>
      </c>
      <c r="S57" s="16">
        <v>0.51041666666666663</v>
      </c>
      <c r="T57" s="16">
        <f>VLOOKUP(E57,'[2]21-3-2026'!E$3:T$35,16,FALSE)</f>
        <v>4.1666666666666699E-2</v>
      </c>
      <c r="U57" s="16">
        <v>0.55208333333333337</v>
      </c>
      <c r="V57" s="16">
        <f t="shared" si="3"/>
        <v>0</v>
      </c>
      <c r="W57" s="16">
        <v>4.1666666666666664E-2</v>
      </c>
      <c r="X57" s="16">
        <v>0.55555555555555558</v>
      </c>
      <c r="Y57" s="16">
        <v>0.59375</v>
      </c>
      <c r="Z57" s="16">
        <f t="shared" si="4"/>
        <v>3.819444444444442E-2</v>
      </c>
      <c r="AA57" s="16">
        <v>0</v>
      </c>
      <c r="AB57" s="16">
        <v>0.59722222222222221</v>
      </c>
      <c r="AC57" s="17"/>
      <c r="AD57" s="51"/>
    </row>
    <row r="58" spans="1:30" ht="19.5" thickBot="1" x14ac:dyDescent="0.3">
      <c r="A58" s="14">
        <v>23</v>
      </c>
      <c r="B58" s="15">
        <v>9198</v>
      </c>
      <c r="C58" s="15" t="str">
        <f>VLOOKUP(B58,داتا!$B$3:$D$107,2,FALSE)</f>
        <v>دبابة</v>
      </c>
      <c r="D58" s="34">
        <f>VLOOKUP(B58,داتا!$B$3:$D$107,3,FALSE)</f>
        <v>2.0833333333333301E-2</v>
      </c>
      <c r="E58" s="15" t="s">
        <v>89</v>
      </c>
      <c r="F58" s="15" t="s">
        <v>171</v>
      </c>
      <c r="G58" s="16">
        <v>0.25</v>
      </c>
      <c r="H58" s="16">
        <f t="shared" si="12"/>
        <v>0.27430555555555552</v>
      </c>
      <c r="I58" s="16">
        <f t="shared" si="10"/>
        <v>2.4305555555555525E-2</v>
      </c>
      <c r="J58" s="16">
        <v>0.38194444444444442</v>
      </c>
      <c r="K58" s="16">
        <v>0.41666666666666669</v>
      </c>
      <c r="L58" s="16" t="s">
        <v>94</v>
      </c>
      <c r="M58" s="16" t="s">
        <v>94</v>
      </c>
      <c r="N58" s="16">
        <f t="shared" si="1"/>
        <v>3.4722222222222265E-2</v>
      </c>
      <c r="O58" s="16">
        <f t="shared" si="6"/>
        <v>1.3888888888888964E-2</v>
      </c>
      <c r="P58" s="16">
        <v>6.9444444444444397E-3</v>
      </c>
      <c r="Q58" s="16">
        <v>0.4236111111111111</v>
      </c>
      <c r="R58" s="16">
        <f t="shared" si="11"/>
        <v>0</v>
      </c>
      <c r="S58" s="16">
        <v>0.4236111111111111</v>
      </c>
      <c r="T58" s="16">
        <f>VLOOKUP(E58,'[2]21-3-2026'!E$3:T$35,16,FALSE)</f>
        <v>1.7361111111111101E-2</v>
      </c>
      <c r="U58" s="16">
        <v>0.4513888888888889</v>
      </c>
      <c r="V58" s="16">
        <f t="shared" si="3"/>
        <v>1.0416666666666685E-2</v>
      </c>
      <c r="W58" s="16">
        <v>2.0833333333333332E-2</v>
      </c>
      <c r="X58" s="16">
        <v>0.45277777777777778</v>
      </c>
      <c r="Y58" s="16">
        <v>0.46597222222222223</v>
      </c>
      <c r="Z58" s="16">
        <f t="shared" si="4"/>
        <v>1.3194444444444453E-2</v>
      </c>
      <c r="AA58" s="16">
        <v>0</v>
      </c>
      <c r="AB58" s="16">
        <v>0.46736111111111112</v>
      </c>
      <c r="AC58" s="17"/>
      <c r="AD58" s="51"/>
    </row>
    <row r="59" spans="1:30" ht="19.5" thickBot="1" x14ac:dyDescent="0.3">
      <c r="A59" s="14">
        <v>24</v>
      </c>
      <c r="B59" s="15">
        <v>9198</v>
      </c>
      <c r="C59" s="15" t="str">
        <f>VLOOKUP(B59,داتا!$B$3:$D$107,2,FALSE)</f>
        <v>دبابة</v>
      </c>
      <c r="D59" s="34">
        <f>VLOOKUP(B59,داتا!$B$3:$D$107,3,FALSE)</f>
        <v>2.0833333333333301E-2</v>
      </c>
      <c r="E59" s="16" t="s">
        <v>39</v>
      </c>
      <c r="F59" s="15" t="s">
        <v>171</v>
      </c>
      <c r="G59" s="16">
        <v>0.25</v>
      </c>
      <c r="H59" s="16">
        <f t="shared" si="12"/>
        <v>0.27430555555555552</v>
      </c>
      <c r="I59" s="16">
        <f t="shared" si="10"/>
        <v>2.4305555555555525E-2</v>
      </c>
      <c r="J59" s="16">
        <v>0.38194444444444442</v>
      </c>
      <c r="K59" s="16">
        <v>0.41666666666666669</v>
      </c>
      <c r="L59" s="16" t="s">
        <v>94</v>
      </c>
      <c r="M59" s="16" t="s">
        <v>94</v>
      </c>
      <c r="N59" s="16">
        <f t="shared" si="1"/>
        <v>3.4722222222222265E-2</v>
      </c>
      <c r="O59" s="16">
        <f t="shared" si="6"/>
        <v>1.3888888888888964E-2</v>
      </c>
      <c r="P59" s="16">
        <v>6.9444444444444397E-3</v>
      </c>
      <c r="Q59" s="16">
        <v>0.4236111111111111</v>
      </c>
      <c r="R59" s="16">
        <f t="shared" si="11"/>
        <v>0</v>
      </c>
      <c r="S59" s="16">
        <v>0.4236111111111111</v>
      </c>
      <c r="T59" s="16">
        <f>VLOOKUP(E59,'[2]21-3-2026'!E$3:T$35,16,FALSE)</f>
        <v>1.7361111111111101E-2</v>
      </c>
      <c r="U59" s="16">
        <v>0.47222222222222227</v>
      </c>
      <c r="V59" s="16">
        <v>0</v>
      </c>
      <c r="W59" s="16">
        <v>3.125E-2</v>
      </c>
      <c r="X59" s="16">
        <v>0.47569444444444442</v>
      </c>
      <c r="Y59" s="16">
        <v>0.49374999999999997</v>
      </c>
      <c r="Z59" s="16">
        <f t="shared" si="4"/>
        <v>1.8055555555555547E-2</v>
      </c>
      <c r="AA59" s="16">
        <v>0</v>
      </c>
      <c r="AB59" s="16">
        <v>0.5</v>
      </c>
      <c r="AC59" s="17"/>
      <c r="AD59" s="51"/>
    </row>
    <row r="60" spans="1:30" ht="19.5" thickBot="1" x14ac:dyDescent="0.3">
      <c r="A60" s="14">
        <v>25</v>
      </c>
      <c r="B60" s="15">
        <v>7464</v>
      </c>
      <c r="C60" s="15" t="str">
        <f>VLOOKUP(B60,داتا!$B$3:$D$107,2,FALSE)</f>
        <v>تلتين</v>
      </c>
      <c r="D60" s="34">
        <f>VLOOKUP(B60,داتا!$B$3:$D$107,3,FALSE)</f>
        <v>3.125E-2</v>
      </c>
      <c r="E60" s="15" t="s">
        <v>30</v>
      </c>
      <c r="F60" s="15" t="s">
        <v>47</v>
      </c>
      <c r="G60" s="16">
        <v>0.25</v>
      </c>
      <c r="H60" s="16">
        <f t="shared" si="12"/>
        <v>0.25</v>
      </c>
      <c r="I60" s="16">
        <f t="shared" si="10"/>
        <v>0</v>
      </c>
      <c r="J60" s="16">
        <v>0.44097222222222227</v>
      </c>
      <c r="K60" s="16">
        <v>0.47569444444444442</v>
      </c>
      <c r="L60" s="16" t="s">
        <v>94</v>
      </c>
      <c r="M60" s="16" t="s">
        <v>94</v>
      </c>
      <c r="N60" s="16">
        <f t="shared" si="1"/>
        <v>3.4722222222222154E-2</v>
      </c>
      <c r="O60" s="16">
        <f t="shared" si="6"/>
        <v>3.4722222222221544E-3</v>
      </c>
      <c r="P60" s="16">
        <v>6.9444444444444397E-3</v>
      </c>
      <c r="Q60" s="16">
        <v>0.47916666666666669</v>
      </c>
      <c r="R60" s="16">
        <v>0</v>
      </c>
      <c r="S60" s="16">
        <v>0.47916666666666669</v>
      </c>
      <c r="T60" s="16">
        <f>VLOOKUP(E60,'[2]21-3-2026'!E$3:T$35,16,FALSE)</f>
        <v>1.38888888888889E-2</v>
      </c>
      <c r="U60" s="16">
        <v>0.49652777777777773</v>
      </c>
      <c r="V60" s="16">
        <f t="shared" si="3"/>
        <v>3.4722222222221544E-3</v>
      </c>
      <c r="W60" s="16">
        <v>3.125E-2</v>
      </c>
      <c r="X60" s="16">
        <v>0.5</v>
      </c>
      <c r="Y60" s="16">
        <v>0.52083333333333337</v>
      </c>
      <c r="Z60" s="16">
        <f t="shared" si="4"/>
        <v>2.083333333333337E-2</v>
      </c>
      <c r="AA60" s="16">
        <v>0</v>
      </c>
      <c r="AB60" s="16">
        <v>0.52430555555555558</v>
      </c>
      <c r="AC60" s="17"/>
      <c r="AD60" s="51"/>
    </row>
    <row r="61" spans="1:30" ht="19.5" thickBot="1" x14ac:dyDescent="0.3">
      <c r="A61" s="14">
        <v>26</v>
      </c>
      <c r="B61" s="15">
        <v>7464</v>
      </c>
      <c r="C61" s="15" t="str">
        <f>VLOOKUP(B61,داتا!$B$3:$D$107,2,FALSE)</f>
        <v>تلتين</v>
      </c>
      <c r="D61" s="34">
        <f>VLOOKUP(B61,داتا!$B$3:$D$107,3,FALSE)</f>
        <v>3.125E-2</v>
      </c>
      <c r="E61" s="15" t="s">
        <v>34</v>
      </c>
      <c r="F61" s="15" t="s">
        <v>47</v>
      </c>
      <c r="G61" s="16">
        <v>0.25</v>
      </c>
      <c r="H61" s="16">
        <f t="shared" si="12"/>
        <v>0.25</v>
      </c>
      <c r="I61" s="16">
        <f t="shared" si="10"/>
        <v>0</v>
      </c>
      <c r="J61" s="16">
        <v>0.44097222222222227</v>
      </c>
      <c r="K61" s="16">
        <v>0.47569444444444442</v>
      </c>
      <c r="L61" s="16" t="s">
        <v>94</v>
      </c>
      <c r="M61" s="16" t="s">
        <v>94</v>
      </c>
      <c r="N61" s="16">
        <f t="shared" si="1"/>
        <v>3.4722222222222154E-2</v>
      </c>
      <c r="O61" s="16">
        <f t="shared" si="6"/>
        <v>3.4722222222221544E-3</v>
      </c>
      <c r="P61" s="16">
        <v>6.9444444444444397E-3</v>
      </c>
      <c r="Q61" s="16">
        <v>0.47916666666666669</v>
      </c>
      <c r="R61" s="16">
        <v>0</v>
      </c>
      <c r="S61" s="16">
        <v>0.47916666666666669</v>
      </c>
      <c r="T61" s="16">
        <f>VLOOKUP(E61,'[2]21-3-2026'!E$3:T$35,16,FALSE)</f>
        <v>1.0416666666666701E-2</v>
      </c>
      <c r="U61" s="16">
        <v>0.53194444444444444</v>
      </c>
      <c r="V61" s="16">
        <v>0</v>
      </c>
      <c r="W61" s="16">
        <v>4.1666666666666664E-2</v>
      </c>
      <c r="X61" s="16">
        <v>0.53333333333333333</v>
      </c>
      <c r="Y61" s="16">
        <v>0.56666666666666665</v>
      </c>
      <c r="Z61" s="16">
        <f t="shared" si="4"/>
        <v>3.3333333333333326E-2</v>
      </c>
      <c r="AA61" s="16">
        <v>0</v>
      </c>
      <c r="AB61" s="16">
        <v>0.56944444444444442</v>
      </c>
      <c r="AC61" s="17"/>
      <c r="AD61" s="51"/>
    </row>
    <row r="62" spans="1:30" ht="19.5" thickBot="1" x14ac:dyDescent="0.3">
      <c r="A62" s="14">
        <v>27</v>
      </c>
      <c r="B62" s="15">
        <v>745</v>
      </c>
      <c r="C62" s="15" t="str">
        <f>VLOOKUP(B62,داتا!$B$3:$D$107,2,FALSE)</f>
        <v>دبابة</v>
      </c>
      <c r="D62" s="34">
        <f>VLOOKUP(B62,داتا!$B$3:$D$107,3,FALSE)</f>
        <v>2.0833333333333301E-2</v>
      </c>
      <c r="E62" s="15" t="s">
        <v>72</v>
      </c>
      <c r="F62" s="15" t="s">
        <v>145</v>
      </c>
      <c r="G62" s="16">
        <v>0.25</v>
      </c>
      <c r="H62" s="16">
        <f t="shared" si="12"/>
        <v>0.25</v>
      </c>
      <c r="I62" s="16">
        <f t="shared" si="10"/>
        <v>0</v>
      </c>
      <c r="J62" s="16">
        <v>0.39930555555555558</v>
      </c>
      <c r="K62" s="16">
        <v>0.41666666666666669</v>
      </c>
      <c r="L62" s="16" t="s">
        <v>107</v>
      </c>
      <c r="M62" s="16" t="s">
        <v>107</v>
      </c>
      <c r="N62" s="16">
        <f t="shared" si="1"/>
        <v>1.7361111111111105E-2</v>
      </c>
      <c r="O62" s="16">
        <v>0</v>
      </c>
      <c r="P62" s="16">
        <v>6.9444444444444397E-3</v>
      </c>
      <c r="Q62" s="16">
        <v>0.4236111111111111</v>
      </c>
      <c r="R62" s="16">
        <f t="shared" si="11"/>
        <v>0</v>
      </c>
      <c r="S62" s="16">
        <v>0.4236111111111111</v>
      </c>
      <c r="T62" s="16">
        <f>VLOOKUP(E62,'[2]21-3-2026'!E$3:T$35,16,FALSE)</f>
        <v>1.0416666666666701E-2</v>
      </c>
      <c r="U62" s="16">
        <v>0.4513888888888889</v>
      </c>
      <c r="V62" s="16">
        <f t="shared" si="3"/>
        <v>1.7361111111111105E-2</v>
      </c>
      <c r="W62" s="16">
        <v>2.0833333333333332E-2</v>
      </c>
      <c r="X62" s="16">
        <v>0.4548611111111111</v>
      </c>
      <c r="Y62" s="16">
        <v>0.46875</v>
      </c>
      <c r="Z62" s="16">
        <f t="shared" si="4"/>
        <v>1.3888888888888895E-2</v>
      </c>
      <c r="AA62" s="16">
        <v>0</v>
      </c>
      <c r="AB62" s="16">
        <v>0.47222222222222227</v>
      </c>
      <c r="AC62" s="17"/>
      <c r="AD62" s="51"/>
    </row>
    <row r="63" spans="1:30" ht="19.5" thickBot="1" x14ac:dyDescent="0.3">
      <c r="A63" s="14">
        <v>28</v>
      </c>
      <c r="B63" s="15">
        <v>745</v>
      </c>
      <c r="C63" s="15" t="str">
        <f>VLOOKUP(B63,داتا!$B$3:$D$107,2,FALSE)</f>
        <v>دبابة</v>
      </c>
      <c r="D63" s="34">
        <f>VLOOKUP(B63,داتا!$B$3:$D$107,3,FALSE)</f>
        <v>2.0833333333333301E-2</v>
      </c>
      <c r="E63" s="15" t="s">
        <v>92</v>
      </c>
      <c r="F63" s="15" t="s">
        <v>145</v>
      </c>
      <c r="G63" s="16">
        <v>0.25</v>
      </c>
      <c r="H63" s="16">
        <f t="shared" si="12"/>
        <v>0.25</v>
      </c>
      <c r="I63" s="16">
        <f t="shared" si="10"/>
        <v>0</v>
      </c>
      <c r="J63" s="16">
        <v>0.39930555555555558</v>
      </c>
      <c r="K63" s="16">
        <v>0.41666666666666669</v>
      </c>
      <c r="L63" s="16" t="s">
        <v>107</v>
      </c>
      <c r="M63" s="16" t="s">
        <v>107</v>
      </c>
      <c r="N63" s="16">
        <f t="shared" si="1"/>
        <v>1.7361111111111105E-2</v>
      </c>
      <c r="O63" s="16">
        <v>0</v>
      </c>
      <c r="P63" s="16">
        <v>6.9444444444444397E-3</v>
      </c>
      <c r="Q63" s="16">
        <v>0.4236111111111111</v>
      </c>
      <c r="R63" s="16">
        <f t="shared" si="11"/>
        <v>0</v>
      </c>
      <c r="S63" s="16">
        <v>0.4236111111111111</v>
      </c>
      <c r="T63" s="16">
        <f>VLOOKUP(E63,'[2]21-3-2026'!E$3:T$35,16,FALSE)</f>
        <v>1.38888888888889E-2</v>
      </c>
      <c r="U63" s="16">
        <v>0.4861111111111111</v>
      </c>
      <c r="V63" s="16">
        <v>3.472222222222222E-3</v>
      </c>
      <c r="W63" s="16">
        <v>3.125E-2</v>
      </c>
      <c r="X63" s="16">
        <v>0.49305555555555558</v>
      </c>
      <c r="Y63" s="16">
        <v>0.51736111111111105</v>
      </c>
      <c r="Z63" s="16">
        <f t="shared" si="4"/>
        <v>2.4305555555555469E-2</v>
      </c>
      <c r="AA63" s="16">
        <v>0</v>
      </c>
      <c r="AB63" s="16">
        <v>0.52083333333333337</v>
      </c>
      <c r="AC63" s="17"/>
      <c r="AD63" s="51"/>
    </row>
    <row r="64" spans="1:30" ht="19.5" thickBot="1" x14ac:dyDescent="0.3">
      <c r="A64" s="14">
        <v>29</v>
      </c>
      <c r="B64" s="15">
        <v>1538</v>
      </c>
      <c r="C64" s="15" t="str">
        <f>VLOOKUP(B64,داتا!$B$3:$D$107,2,FALSE)</f>
        <v>تلتين</v>
      </c>
      <c r="D64" s="34">
        <f>VLOOKUP(B64,داتا!$B$3:$D$107,3,FALSE)</f>
        <v>3.125E-2</v>
      </c>
      <c r="E64" s="15" t="s">
        <v>70</v>
      </c>
      <c r="F64" s="15" t="s">
        <v>146</v>
      </c>
      <c r="G64" s="16">
        <v>0.25</v>
      </c>
      <c r="H64" s="16">
        <f t="shared" si="12"/>
        <v>0.25</v>
      </c>
      <c r="I64" s="16">
        <f t="shared" si="10"/>
        <v>0</v>
      </c>
      <c r="J64" s="16">
        <v>0.43402777777777773</v>
      </c>
      <c r="K64" s="16">
        <v>0.44444444444444442</v>
      </c>
      <c r="L64" s="16" t="s">
        <v>107</v>
      </c>
      <c r="M64" s="16" t="s">
        <v>107</v>
      </c>
      <c r="N64" s="16">
        <f t="shared" si="1"/>
        <v>1.0416666666666685E-2</v>
      </c>
      <c r="O64" s="16">
        <v>0</v>
      </c>
      <c r="P64" s="16">
        <v>6.9444444444444397E-3</v>
      </c>
      <c r="Q64" s="16">
        <v>0.4548611111111111</v>
      </c>
      <c r="R64" s="16">
        <f t="shared" si="11"/>
        <v>3.4722222222222654E-3</v>
      </c>
      <c r="S64" s="16">
        <v>0.4548611111111111</v>
      </c>
      <c r="T64" s="16">
        <f>VLOOKUP(E64,'[2]21-3-2026'!E$3:T$35,16,FALSE)</f>
        <v>1.0416666666666701E-2</v>
      </c>
      <c r="U64" s="16">
        <v>0.47222222222222227</v>
      </c>
      <c r="V64" s="16">
        <f t="shared" si="3"/>
        <v>6.9444444444444753E-3</v>
      </c>
      <c r="W64" s="16">
        <v>3.125E-2</v>
      </c>
      <c r="X64" s="16">
        <v>0.47569444444444442</v>
      </c>
      <c r="Y64" s="16">
        <v>0.50694444444444442</v>
      </c>
      <c r="Z64" s="16">
        <f t="shared" si="4"/>
        <v>3.125E-2</v>
      </c>
      <c r="AA64" s="16">
        <f t="shared" si="5"/>
        <v>0</v>
      </c>
      <c r="AB64" s="16">
        <v>0.51041666666666663</v>
      </c>
      <c r="AC64" s="17"/>
      <c r="AD64" s="51"/>
    </row>
    <row r="65" spans="1:30" ht="19.5" thickBot="1" x14ac:dyDescent="0.3">
      <c r="A65" s="14">
        <v>30</v>
      </c>
      <c r="B65" s="15">
        <v>1538</v>
      </c>
      <c r="C65" s="15" t="str">
        <f>VLOOKUP(B65,داتا!$B$3:$D$107,2,FALSE)</f>
        <v>تلتين</v>
      </c>
      <c r="D65" s="34">
        <f>VLOOKUP(B65,داتا!$B$3:$D$107,3,FALSE)</f>
        <v>3.125E-2</v>
      </c>
      <c r="E65" s="15" t="s">
        <v>79</v>
      </c>
      <c r="F65" s="15" t="s">
        <v>146</v>
      </c>
      <c r="G65" s="16">
        <v>0.25</v>
      </c>
      <c r="H65" s="16">
        <f t="shared" si="12"/>
        <v>0.25</v>
      </c>
      <c r="I65" s="16">
        <f t="shared" ref="I65" si="13">H65-G65</f>
        <v>0</v>
      </c>
      <c r="J65" s="16">
        <v>0.43402777777777773</v>
      </c>
      <c r="K65" s="16">
        <v>0.44444444444444442</v>
      </c>
      <c r="L65" s="16" t="s">
        <v>107</v>
      </c>
      <c r="M65" s="16" t="s">
        <v>107</v>
      </c>
      <c r="N65" s="16">
        <f t="shared" ref="N65" si="14">K65-J65</f>
        <v>1.0416666666666685E-2</v>
      </c>
      <c r="O65" s="16">
        <v>0</v>
      </c>
      <c r="P65" s="16">
        <v>6.9444444444444397E-3</v>
      </c>
      <c r="Q65" s="16">
        <v>0.4548611111111111</v>
      </c>
      <c r="R65" s="16">
        <f t="shared" si="11"/>
        <v>3.4722222222222654E-3</v>
      </c>
      <c r="S65" s="16">
        <v>0.4548611111111111</v>
      </c>
      <c r="T65" s="16">
        <f>VLOOKUP(E65,'[2]21-3-2026'!E$3:T$35,16,FALSE)</f>
        <v>2.0833333333333301E-2</v>
      </c>
      <c r="U65" s="16">
        <v>0.52430555555555558</v>
      </c>
      <c r="V65" s="16">
        <v>0</v>
      </c>
      <c r="W65" s="16">
        <v>4.1666666666666664E-2</v>
      </c>
      <c r="X65" s="16">
        <v>0.52569444444444446</v>
      </c>
      <c r="Y65" s="16">
        <v>0.55555555555555558</v>
      </c>
      <c r="Z65" s="16">
        <f t="shared" si="4"/>
        <v>2.9861111111111116E-2</v>
      </c>
      <c r="AA65" s="16">
        <v>0</v>
      </c>
      <c r="AB65" s="16">
        <v>0.55902777777777779</v>
      </c>
      <c r="AC65" s="17"/>
      <c r="AD65" s="51"/>
    </row>
    <row r="66" spans="1:30" ht="20.25" customHeight="1" thickBot="1" x14ac:dyDescent="0.3">
      <c r="A66" s="14">
        <v>31</v>
      </c>
      <c r="B66" s="15">
        <v>3793</v>
      </c>
      <c r="C66" s="15" t="str">
        <f>VLOOKUP(B66,داتا!$B$3:$D$107,2,FALSE)</f>
        <v>دبابة</v>
      </c>
      <c r="D66" s="34">
        <f>VLOOKUP(B66,داتا!$B$3:$D$107,3,FALSE)</f>
        <v>2.0833333333333301E-2</v>
      </c>
      <c r="E66" s="15" t="s">
        <v>61</v>
      </c>
      <c r="F66" s="15" t="s">
        <v>93</v>
      </c>
      <c r="G66" s="16">
        <v>0.25</v>
      </c>
      <c r="H66" s="16">
        <f t="shared" si="12"/>
        <v>0.28472222222222221</v>
      </c>
      <c r="I66" s="16">
        <f t="shared" si="10"/>
        <v>3.472222222222221E-2</v>
      </c>
      <c r="J66" s="16">
        <v>0.46180555555555558</v>
      </c>
      <c r="K66" s="16">
        <v>0.49652777777777773</v>
      </c>
      <c r="L66" s="16" t="s">
        <v>107</v>
      </c>
      <c r="M66" s="16" t="s">
        <v>107</v>
      </c>
      <c r="N66" s="16">
        <f t="shared" si="1"/>
        <v>3.4722222222222154E-2</v>
      </c>
      <c r="O66" s="16">
        <f t="shared" si="6"/>
        <v>1.3888888888888853E-2</v>
      </c>
      <c r="P66" s="16">
        <v>6.9444444444444397E-3</v>
      </c>
      <c r="Q66" s="16">
        <v>0.50347222222222221</v>
      </c>
      <c r="R66" s="16">
        <f t="shared" si="11"/>
        <v>0</v>
      </c>
      <c r="S66" s="16">
        <v>0.50347222222222221</v>
      </c>
      <c r="T66" s="16">
        <f>VLOOKUP(E66,'[2]21-3-2026'!E$3:T$35,16,FALSE)</f>
        <v>3.4722222222222203E-2</v>
      </c>
      <c r="U66" s="16">
        <v>0.53472222222222221</v>
      </c>
      <c r="V66" s="16">
        <v>0</v>
      </c>
      <c r="W66" s="16">
        <v>2.0833333333333332E-2</v>
      </c>
      <c r="X66" s="16">
        <v>0.53680555555555554</v>
      </c>
      <c r="Y66" s="16">
        <v>0.55208333333333337</v>
      </c>
      <c r="Z66" s="16">
        <f t="shared" si="4"/>
        <v>1.5277777777777835E-2</v>
      </c>
      <c r="AA66" s="16">
        <v>0</v>
      </c>
      <c r="AB66" s="16">
        <v>0.55347222222222225</v>
      </c>
      <c r="AC66" s="19"/>
      <c r="AD66" s="51"/>
    </row>
    <row r="67" spans="1:30" ht="19.5" customHeight="1" thickBot="1" x14ac:dyDescent="0.3">
      <c r="A67" s="20">
        <v>32</v>
      </c>
      <c r="B67" s="21">
        <v>3793</v>
      </c>
      <c r="C67" s="21" t="str">
        <f>VLOOKUP(B67,داتا!$B$3:$D$107,2,FALSE)</f>
        <v>دبابة</v>
      </c>
      <c r="D67" s="35">
        <f>VLOOKUP(B67,داتا!$B$3:$D$107,3,FALSE)</f>
        <v>2.0833333333333301E-2</v>
      </c>
      <c r="E67" s="21" t="s">
        <v>55</v>
      </c>
      <c r="F67" s="21" t="s">
        <v>93</v>
      </c>
      <c r="G67" s="22">
        <v>0.25</v>
      </c>
      <c r="H67" s="22">
        <f t="shared" si="12"/>
        <v>0.28472222222222221</v>
      </c>
      <c r="I67" s="22">
        <f t="shared" si="10"/>
        <v>3.472222222222221E-2</v>
      </c>
      <c r="J67" s="22">
        <v>0.46180555555555558</v>
      </c>
      <c r="K67" s="22">
        <v>0.49652777777777773</v>
      </c>
      <c r="L67" s="22" t="s">
        <v>107</v>
      </c>
      <c r="M67" s="22" t="s">
        <v>107</v>
      </c>
      <c r="N67" s="22">
        <f t="shared" si="1"/>
        <v>3.4722222222222154E-2</v>
      </c>
      <c r="O67" s="22">
        <f t="shared" si="6"/>
        <v>1.3888888888888853E-2</v>
      </c>
      <c r="P67" s="22">
        <v>6.9444444444444397E-3</v>
      </c>
      <c r="Q67" s="22">
        <v>0.50347222222222221</v>
      </c>
      <c r="R67" s="22">
        <f t="shared" si="11"/>
        <v>0</v>
      </c>
      <c r="S67" s="22">
        <v>0.50347222222222221</v>
      </c>
      <c r="T67" s="22">
        <f>VLOOKUP(E67,'[2]21-3-2026'!E$3:T$35,16,FALSE)</f>
        <v>3.8194444444444399E-2</v>
      </c>
      <c r="U67" s="22">
        <v>0.5625</v>
      </c>
      <c r="V67" s="22">
        <v>0</v>
      </c>
      <c r="W67" s="22">
        <v>3.125E-2</v>
      </c>
      <c r="X67" s="22">
        <v>0.56597222222222221</v>
      </c>
      <c r="Y67" s="22">
        <v>0.57638888888888895</v>
      </c>
      <c r="Z67" s="22">
        <f t="shared" si="4"/>
        <v>1.0416666666666741E-2</v>
      </c>
      <c r="AA67" s="22">
        <v>0</v>
      </c>
      <c r="AB67" s="22">
        <v>0.58333333333333337</v>
      </c>
      <c r="AC67" s="23"/>
      <c r="AD67" s="52"/>
    </row>
    <row r="68" spans="1:30" ht="20.25" thickTop="1" thickBot="1" x14ac:dyDescent="0.3">
      <c r="A68" s="10">
        <v>1</v>
      </c>
      <c r="B68" s="11">
        <v>2714</v>
      </c>
      <c r="C68" s="11" t="str">
        <f>VLOOKUP(B68,داتا!$B$3:$D$107,2,FALSE)</f>
        <v>تلتين</v>
      </c>
      <c r="D68" s="33">
        <f>VLOOKUP(B68,داتا!$B$3:$D$107,3,FALSE)</f>
        <v>3.125E-2</v>
      </c>
      <c r="E68" s="11" t="s">
        <v>69</v>
      </c>
      <c r="F68" s="11" t="s">
        <v>173</v>
      </c>
      <c r="G68" s="12">
        <v>8.3333333333333329E-2</v>
      </c>
      <c r="H68" s="12">
        <v>8.3333333333333329E-2</v>
      </c>
      <c r="I68" s="12">
        <f t="shared" ref="I68:I90" si="15">H68-G68</f>
        <v>0</v>
      </c>
      <c r="J68" s="12">
        <v>0.57291666666666663</v>
      </c>
      <c r="K68" s="12">
        <v>0.59722222222222221</v>
      </c>
      <c r="L68" s="12" t="s">
        <v>110</v>
      </c>
      <c r="M68" s="12" t="s">
        <v>110</v>
      </c>
      <c r="N68" s="12">
        <f t="shared" ref="N68:N90" si="16">K68-J68</f>
        <v>2.430555555555558E-2</v>
      </c>
      <c r="O68" s="12">
        <v>0</v>
      </c>
      <c r="P68" s="12">
        <v>6.9444444444444397E-3</v>
      </c>
      <c r="Q68" s="12">
        <v>0.60069444444444442</v>
      </c>
      <c r="R68" s="12">
        <v>0</v>
      </c>
      <c r="S68" s="12">
        <v>0.60069444444444442</v>
      </c>
      <c r="T68" s="12">
        <f>VLOOKUP(E68,'[2]21-3-2026'!E$3:T$35,16,FALSE)</f>
        <v>1.38888888888889E-2</v>
      </c>
      <c r="U68" s="12">
        <v>0.61458333333333337</v>
      </c>
      <c r="V68" s="12">
        <f t="shared" ref="V68:V90" si="17">U68-T68-S68</f>
        <v>0</v>
      </c>
      <c r="W68" s="12">
        <v>3.125E-2</v>
      </c>
      <c r="X68" s="12">
        <v>0.61805555555555558</v>
      </c>
      <c r="Y68" s="12">
        <v>0.63194444444444442</v>
      </c>
      <c r="Z68" s="12">
        <f t="shared" ref="Z68:Z91" si="18">Y68-X68</f>
        <v>1.388888888888884E-2</v>
      </c>
      <c r="AA68" s="12">
        <v>0</v>
      </c>
      <c r="AB68" s="12">
        <v>0.63541666666666663</v>
      </c>
      <c r="AC68" s="13"/>
      <c r="AD68" s="53" t="s">
        <v>116</v>
      </c>
    </row>
    <row r="69" spans="1:30" ht="19.5" thickBot="1" x14ac:dyDescent="0.3">
      <c r="A69" s="14">
        <v>2</v>
      </c>
      <c r="B69" s="15">
        <v>2714</v>
      </c>
      <c r="C69" s="15" t="str">
        <f>VLOOKUP(B69,داتا!$B$3:$D$107,2,FALSE)</f>
        <v>تلتين</v>
      </c>
      <c r="D69" s="34">
        <f>VLOOKUP(B69,داتا!$B$3:$D$107,3,FALSE)</f>
        <v>3.125E-2</v>
      </c>
      <c r="E69" s="15" t="s">
        <v>67</v>
      </c>
      <c r="F69" s="15" t="s">
        <v>173</v>
      </c>
      <c r="G69" s="16">
        <v>8.3333333333333329E-2</v>
      </c>
      <c r="H69" s="16">
        <v>8.3333333333333329E-2</v>
      </c>
      <c r="I69" s="16">
        <f t="shared" ref="I69:I70" si="19">H69-G69</f>
        <v>0</v>
      </c>
      <c r="J69" s="16">
        <v>0.57291666666666663</v>
      </c>
      <c r="K69" s="16">
        <v>0.59722222222222221</v>
      </c>
      <c r="L69" s="16" t="s">
        <v>110</v>
      </c>
      <c r="M69" s="16" t="s">
        <v>110</v>
      </c>
      <c r="N69" s="16">
        <f t="shared" ref="N69:N70" si="20">K69-J69</f>
        <v>2.430555555555558E-2</v>
      </c>
      <c r="O69" s="16">
        <v>0</v>
      </c>
      <c r="P69" s="16">
        <v>6.9444444444444397E-3</v>
      </c>
      <c r="Q69" s="16">
        <v>0.60069444444444442</v>
      </c>
      <c r="R69" s="16">
        <v>0</v>
      </c>
      <c r="S69" s="16">
        <v>0.60069444444444442</v>
      </c>
      <c r="T69" s="16">
        <f>VLOOKUP(E69,'[2]21-3-2026'!E$3:T$35,16,FALSE)</f>
        <v>1.7361111111111101E-2</v>
      </c>
      <c r="U69" s="16">
        <v>0.64166666666666672</v>
      </c>
      <c r="V69" s="16">
        <v>0</v>
      </c>
      <c r="W69" s="16">
        <v>3.125E-2</v>
      </c>
      <c r="X69" s="16">
        <v>0.64374999999999993</v>
      </c>
      <c r="Y69" s="16">
        <v>0.66319444444444442</v>
      </c>
      <c r="Z69" s="16">
        <f t="shared" si="18"/>
        <v>1.9444444444444486E-2</v>
      </c>
      <c r="AA69" s="16">
        <v>0</v>
      </c>
      <c r="AB69" s="16">
        <v>0.66666666666666663</v>
      </c>
      <c r="AC69" s="17"/>
      <c r="AD69" s="51"/>
    </row>
    <row r="70" spans="1:30" ht="19.5" thickBot="1" x14ac:dyDescent="0.3">
      <c r="A70" s="14">
        <v>3</v>
      </c>
      <c r="B70" s="15">
        <v>2714</v>
      </c>
      <c r="C70" s="15" t="str">
        <f>VLOOKUP(B70,داتا!$B$3:$D$107,2,FALSE)</f>
        <v>تلتين</v>
      </c>
      <c r="D70" s="34">
        <f>VLOOKUP(B70,داتا!$B$3:$D$107,3,FALSE)</f>
        <v>3.125E-2</v>
      </c>
      <c r="E70" s="15" t="s">
        <v>57</v>
      </c>
      <c r="F70" s="15" t="s">
        <v>173</v>
      </c>
      <c r="G70" s="16">
        <v>8.3333333333333329E-2</v>
      </c>
      <c r="H70" s="16">
        <v>8.3333333333333329E-2</v>
      </c>
      <c r="I70" s="16">
        <f t="shared" si="19"/>
        <v>0</v>
      </c>
      <c r="J70" s="16">
        <v>0.57291666666666663</v>
      </c>
      <c r="K70" s="16">
        <v>0.59722222222222221</v>
      </c>
      <c r="L70" s="16" t="s">
        <v>110</v>
      </c>
      <c r="M70" s="16" t="s">
        <v>110</v>
      </c>
      <c r="N70" s="16">
        <f t="shared" si="20"/>
        <v>2.430555555555558E-2</v>
      </c>
      <c r="O70" s="16">
        <v>0</v>
      </c>
      <c r="P70" s="16">
        <v>6.9444444444444397E-3</v>
      </c>
      <c r="Q70" s="16">
        <v>0.60069444444444442</v>
      </c>
      <c r="R70" s="16">
        <v>0</v>
      </c>
      <c r="S70" s="16">
        <v>0.60069444444444442</v>
      </c>
      <c r="T70" s="16">
        <f>VLOOKUP(E70,'[2]21-3-2026'!E$3:T$35,16,FALSE)</f>
        <v>1.7361111111111101E-2</v>
      </c>
      <c r="U70" s="16">
        <v>0.67708333333333337</v>
      </c>
      <c r="V70" s="16">
        <v>0</v>
      </c>
      <c r="W70" s="16">
        <v>4.1666666666666664E-2</v>
      </c>
      <c r="X70" s="16">
        <v>0.68055555555555547</v>
      </c>
      <c r="Y70" s="16">
        <v>0.69097222222222221</v>
      </c>
      <c r="Z70" s="16">
        <f t="shared" si="18"/>
        <v>1.0416666666666741E-2</v>
      </c>
      <c r="AA70" s="16">
        <v>0</v>
      </c>
      <c r="AB70" s="16">
        <v>0.69444444444444453</v>
      </c>
      <c r="AC70" s="17"/>
      <c r="AD70" s="51"/>
    </row>
    <row r="71" spans="1:30" ht="19.5" thickBot="1" x14ac:dyDescent="0.3">
      <c r="A71" s="14">
        <v>4</v>
      </c>
      <c r="B71" s="15">
        <v>2695</v>
      </c>
      <c r="C71" s="15" t="str">
        <f>VLOOKUP(B71,داتا!$B$3:$D$107,2,FALSE)</f>
        <v>تلتين</v>
      </c>
      <c r="D71" s="34">
        <f>VLOOKUP(B71,داتا!$B$3:$D$107,3,FALSE)</f>
        <v>3.125E-2</v>
      </c>
      <c r="E71" s="15" t="s">
        <v>86</v>
      </c>
      <c r="F71" s="15" t="s">
        <v>177</v>
      </c>
      <c r="G71" s="16">
        <v>8.3333333333333329E-2</v>
      </c>
      <c r="H71" s="16">
        <v>8.3333333333333329E-2</v>
      </c>
      <c r="I71" s="16">
        <f t="shared" si="15"/>
        <v>0</v>
      </c>
      <c r="J71" s="16">
        <v>0.56944444444444442</v>
      </c>
      <c r="K71" s="16">
        <v>0.60416666666666663</v>
      </c>
      <c r="L71" s="16" t="s">
        <v>85</v>
      </c>
      <c r="M71" s="16" t="s">
        <v>85</v>
      </c>
      <c r="N71" s="16">
        <f t="shared" si="16"/>
        <v>3.472222222222221E-2</v>
      </c>
      <c r="O71" s="16">
        <f t="shared" ref="O71:O78" si="21">N71-D71</f>
        <v>3.4722222222222099E-3</v>
      </c>
      <c r="P71" s="16">
        <v>6.9444444444444397E-3</v>
      </c>
      <c r="Q71" s="16">
        <v>0.60416666666666663</v>
      </c>
      <c r="R71" s="16">
        <v>0</v>
      </c>
      <c r="S71" s="16">
        <v>0.60416666666666663</v>
      </c>
      <c r="T71" s="16">
        <f>VLOOKUP(E71,'[2]21-3-2026'!E$3:T$35,16,FALSE)</f>
        <v>3.4722222222222199E-3</v>
      </c>
      <c r="U71" s="16">
        <v>0.61111111111111105</v>
      </c>
      <c r="V71" s="16">
        <f t="shared" si="17"/>
        <v>3.4722222222222099E-3</v>
      </c>
      <c r="W71" s="16">
        <v>3.125E-2</v>
      </c>
      <c r="X71" s="16">
        <v>0.61458333333333337</v>
      </c>
      <c r="Y71" s="16">
        <v>0.61805555555555558</v>
      </c>
      <c r="Z71" s="16">
        <f t="shared" si="18"/>
        <v>3.4722222222222099E-3</v>
      </c>
      <c r="AA71" s="16">
        <v>0</v>
      </c>
      <c r="AB71" s="16">
        <v>0.62152777777777779</v>
      </c>
      <c r="AC71" s="17"/>
      <c r="AD71" s="51"/>
    </row>
    <row r="72" spans="1:30" ht="19.5" thickBot="1" x14ac:dyDescent="0.3">
      <c r="A72" s="14">
        <v>5</v>
      </c>
      <c r="B72" s="15">
        <v>2695</v>
      </c>
      <c r="C72" s="15" t="str">
        <f>VLOOKUP(B72,داتا!$B$3:$D$107,2,FALSE)</f>
        <v>تلتين</v>
      </c>
      <c r="D72" s="34">
        <f>VLOOKUP(B72,داتا!$B$3:$D$107,3,FALSE)</f>
        <v>3.125E-2</v>
      </c>
      <c r="E72" s="15" t="s">
        <v>83</v>
      </c>
      <c r="F72" s="15" t="s">
        <v>177</v>
      </c>
      <c r="G72" s="16">
        <v>8.3333333333333329E-2</v>
      </c>
      <c r="H72" s="16">
        <v>8.3333333333333329E-2</v>
      </c>
      <c r="I72" s="16">
        <f t="shared" si="15"/>
        <v>0</v>
      </c>
      <c r="J72" s="16">
        <v>0.56944444444444442</v>
      </c>
      <c r="K72" s="16">
        <v>0.60416666666666663</v>
      </c>
      <c r="L72" s="16" t="s">
        <v>85</v>
      </c>
      <c r="M72" s="16" t="s">
        <v>85</v>
      </c>
      <c r="N72" s="16">
        <f t="shared" si="16"/>
        <v>3.472222222222221E-2</v>
      </c>
      <c r="O72" s="16">
        <f t="shared" si="21"/>
        <v>3.4722222222222099E-3</v>
      </c>
      <c r="P72" s="16">
        <v>6.9444444444444397E-3</v>
      </c>
      <c r="Q72" s="16">
        <v>0.60416666666666663</v>
      </c>
      <c r="R72" s="16">
        <v>0</v>
      </c>
      <c r="S72" s="16">
        <v>0.60416666666666663</v>
      </c>
      <c r="T72" s="16">
        <f>VLOOKUP(E72,'[2]21-3-2026'!E$3:T$35,16,FALSE)</f>
        <v>1.38888888888889E-2</v>
      </c>
      <c r="U72" s="16">
        <v>0.63402777777777775</v>
      </c>
      <c r="V72" s="16">
        <v>2.0833333333333333E-3</v>
      </c>
      <c r="W72" s="16">
        <v>3.125E-2</v>
      </c>
      <c r="X72" s="16">
        <v>0.63750000000000007</v>
      </c>
      <c r="Y72" s="16">
        <v>0.66180555555555554</v>
      </c>
      <c r="Z72" s="16">
        <f t="shared" si="18"/>
        <v>2.4305555555555469E-2</v>
      </c>
      <c r="AA72" s="16">
        <v>0</v>
      </c>
      <c r="AB72" s="16">
        <v>0.66319444444444442</v>
      </c>
      <c r="AC72" s="17"/>
      <c r="AD72" s="51"/>
    </row>
    <row r="73" spans="1:30" ht="19.5" thickBot="1" x14ac:dyDescent="0.3">
      <c r="A73" s="14">
        <v>6</v>
      </c>
      <c r="B73" s="15">
        <v>2695</v>
      </c>
      <c r="C73" s="15" t="str">
        <f>VLOOKUP(B73,داتا!$B$3:$D$107,2,FALSE)</f>
        <v>تلتين</v>
      </c>
      <c r="D73" s="34">
        <f>VLOOKUP(B73,داتا!$B$3:$D$107,3,FALSE)</f>
        <v>3.125E-2</v>
      </c>
      <c r="E73" s="15" t="s">
        <v>77</v>
      </c>
      <c r="F73" s="15" t="s">
        <v>177</v>
      </c>
      <c r="G73" s="16">
        <v>8.3333333333333329E-2</v>
      </c>
      <c r="H73" s="16">
        <v>8.3333333333333329E-2</v>
      </c>
      <c r="I73" s="16">
        <f t="shared" si="15"/>
        <v>0</v>
      </c>
      <c r="J73" s="16">
        <v>0.56944444444444442</v>
      </c>
      <c r="K73" s="16">
        <v>0.60416666666666663</v>
      </c>
      <c r="L73" s="16" t="s">
        <v>85</v>
      </c>
      <c r="M73" s="16" t="s">
        <v>85</v>
      </c>
      <c r="N73" s="16">
        <f t="shared" si="16"/>
        <v>3.472222222222221E-2</v>
      </c>
      <c r="O73" s="16">
        <f t="shared" si="21"/>
        <v>3.4722222222222099E-3</v>
      </c>
      <c r="P73" s="16">
        <v>6.9444444444444397E-3</v>
      </c>
      <c r="Q73" s="16">
        <v>0.60416666666666663</v>
      </c>
      <c r="R73" s="16">
        <v>0</v>
      </c>
      <c r="S73" s="16">
        <v>0.60416666666666663</v>
      </c>
      <c r="T73" s="16">
        <f>VLOOKUP(E73,'[2]21-3-2026'!E$3:T$35,16,FALSE)</f>
        <v>1.38888888888889E-2</v>
      </c>
      <c r="U73" s="16">
        <v>0.66666666666666663</v>
      </c>
      <c r="V73" s="16">
        <v>0</v>
      </c>
      <c r="W73" s="16">
        <v>4.1666666666666664E-2</v>
      </c>
      <c r="X73" s="16">
        <v>0.67013888888888884</v>
      </c>
      <c r="Y73" s="16">
        <v>0.6875</v>
      </c>
      <c r="Z73" s="16">
        <f t="shared" si="18"/>
        <v>1.736111111111116E-2</v>
      </c>
      <c r="AA73" s="16">
        <v>0</v>
      </c>
      <c r="AB73" s="16">
        <v>0.69097222222222221</v>
      </c>
      <c r="AC73" s="17"/>
      <c r="AD73" s="51"/>
    </row>
    <row r="74" spans="1:30" ht="19.5" thickBot="1" x14ac:dyDescent="0.3">
      <c r="A74" s="14">
        <v>7</v>
      </c>
      <c r="B74" s="15">
        <v>745</v>
      </c>
      <c r="C74" s="15" t="str">
        <f>VLOOKUP(B74,داتا!$B$3:$D$107,2,FALSE)</f>
        <v>دبابة</v>
      </c>
      <c r="D74" s="34">
        <f>VLOOKUP(B74,داتا!$B$3:$D$107,3,FALSE)</f>
        <v>2.0833333333333301E-2</v>
      </c>
      <c r="E74" s="15" t="s">
        <v>89</v>
      </c>
      <c r="F74" s="15" t="s">
        <v>118</v>
      </c>
      <c r="G74" s="16">
        <v>8.3333333333333329E-2</v>
      </c>
      <c r="H74" s="16">
        <v>8.3333333333333329E-2</v>
      </c>
      <c r="I74" s="16">
        <f t="shared" si="15"/>
        <v>0</v>
      </c>
      <c r="J74" s="16">
        <v>0.56597222222222221</v>
      </c>
      <c r="K74" s="16">
        <v>0.58333333333333337</v>
      </c>
      <c r="L74" s="16" t="s">
        <v>238</v>
      </c>
      <c r="M74" s="16" t="s">
        <v>238</v>
      </c>
      <c r="N74" s="16">
        <f t="shared" si="16"/>
        <v>1.736111111111116E-2</v>
      </c>
      <c r="O74" s="16">
        <v>0</v>
      </c>
      <c r="P74" s="16">
        <v>6.9444444444444397E-3</v>
      </c>
      <c r="Q74" s="16">
        <v>0.58680555555555558</v>
      </c>
      <c r="R74" s="16">
        <v>0</v>
      </c>
      <c r="S74" s="16">
        <v>0.58680555555555558</v>
      </c>
      <c r="T74" s="16">
        <f>VLOOKUP(E74,'[2]21-3-2026'!E$3:T$35,16,FALSE)</f>
        <v>1.7361111111111101E-2</v>
      </c>
      <c r="U74" s="16">
        <v>0</v>
      </c>
      <c r="V74" s="16">
        <v>0</v>
      </c>
      <c r="W74" s="16">
        <v>2.0833333333333332E-2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7"/>
      <c r="AD74" s="51"/>
    </row>
    <row r="75" spans="1:30" ht="19.5" thickBot="1" x14ac:dyDescent="0.3">
      <c r="A75" s="14">
        <v>8</v>
      </c>
      <c r="B75" s="15">
        <v>745</v>
      </c>
      <c r="C75" s="15" t="str">
        <f>VLOOKUP(B75,داتا!$B$3:$D$107,2,FALSE)</f>
        <v>دبابة</v>
      </c>
      <c r="D75" s="34">
        <f>VLOOKUP(B75,داتا!$B$3:$D$107,3,FALSE)</f>
        <v>2.0833333333333301E-2</v>
      </c>
      <c r="E75" s="15" t="s">
        <v>39</v>
      </c>
      <c r="F75" s="15" t="s">
        <v>118</v>
      </c>
      <c r="G75" s="16">
        <v>8.3333333333333329E-2</v>
      </c>
      <c r="H75" s="16">
        <v>8.3333333333333329E-2</v>
      </c>
      <c r="I75" s="16">
        <f t="shared" ref="I75" si="22">H75-G75</f>
        <v>0</v>
      </c>
      <c r="J75" s="16">
        <v>0.56597222222222221</v>
      </c>
      <c r="K75" s="16">
        <v>0.58333333333333337</v>
      </c>
      <c r="L75" s="16" t="s">
        <v>238</v>
      </c>
      <c r="M75" s="16" t="s">
        <v>238</v>
      </c>
      <c r="N75" s="16">
        <f t="shared" ref="N75" si="23">K75-J75</f>
        <v>1.736111111111116E-2</v>
      </c>
      <c r="O75" s="16">
        <v>0</v>
      </c>
      <c r="P75" s="16">
        <v>6.9444444444444397E-3</v>
      </c>
      <c r="Q75" s="16">
        <v>0.58680555555555558</v>
      </c>
      <c r="R75" s="16">
        <v>0</v>
      </c>
      <c r="S75" s="16">
        <v>0.58680555555555558</v>
      </c>
      <c r="T75" s="16">
        <f>VLOOKUP(E75,'[2]21-3-2026'!E$3:T$35,16,FALSE)</f>
        <v>1.7361111111111101E-2</v>
      </c>
      <c r="U75" s="16">
        <v>0</v>
      </c>
      <c r="V75" s="16">
        <v>0</v>
      </c>
      <c r="W75" s="16">
        <v>3.125E-2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7"/>
      <c r="AD75" s="51"/>
    </row>
    <row r="76" spans="1:30" ht="19.5" thickBot="1" x14ac:dyDescent="0.3">
      <c r="A76" s="14">
        <v>9</v>
      </c>
      <c r="B76" s="15">
        <v>1538</v>
      </c>
      <c r="C76" s="15" t="str">
        <f>VLOOKUP(B76,داتا!$B$3:$D$107,2,FALSE)</f>
        <v>تلتين</v>
      </c>
      <c r="D76" s="34">
        <f>VLOOKUP(B76,داتا!$B$3:$D$107,3,FALSE)</f>
        <v>3.125E-2</v>
      </c>
      <c r="E76" s="16" t="s">
        <v>42</v>
      </c>
      <c r="F76" s="15" t="s">
        <v>163</v>
      </c>
      <c r="G76" s="16">
        <v>8.3333333333333329E-2</v>
      </c>
      <c r="H76" s="16">
        <v>9.375E-2</v>
      </c>
      <c r="I76" s="16">
        <f t="shared" si="15"/>
        <v>1.0416666666666671E-2</v>
      </c>
      <c r="J76" s="16">
        <v>0.59027777777777779</v>
      </c>
      <c r="K76" s="16">
        <v>0.60763888888888895</v>
      </c>
      <c r="L76" s="16" t="s">
        <v>88</v>
      </c>
      <c r="M76" s="16" t="s">
        <v>88</v>
      </c>
      <c r="N76" s="16">
        <f t="shared" si="16"/>
        <v>1.736111111111116E-2</v>
      </c>
      <c r="O76" s="16">
        <v>0</v>
      </c>
      <c r="P76" s="16">
        <v>6.9444444444444397E-3</v>
      </c>
      <c r="Q76" s="16">
        <v>0.60763888888888895</v>
      </c>
      <c r="R76" s="16">
        <v>0</v>
      </c>
      <c r="S76" s="16">
        <v>0.60763888888888895</v>
      </c>
      <c r="T76" s="16">
        <f>VLOOKUP(E76,'[2]21-3-2026'!E$3:T$35,16,FALSE)</f>
        <v>1.7361111111111101E-2</v>
      </c>
      <c r="U76" s="16">
        <v>0.64236111111111105</v>
      </c>
      <c r="V76" s="16">
        <f t="shared" si="17"/>
        <v>1.7361111111111049E-2</v>
      </c>
      <c r="W76" s="16">
        <v>3.125E-2</v>
      </c>
      <c r="X76" s="16">
        <v>0.64583333333333337</v>
      </c>
      <c r="Y76" s="16">
        <v>0.66180555555555554</v>
      </c>
      <c r="Z76" s="16">
        <f t="shared" si="18"/>
        <v>1.5972222222222165E-2</v>
      </c>
      <c r="AA76" s="16">
        <v>0</v>
      </c>
      <c r="AB76" s="16">
        <v>0.66319444444444442</v>
      </c>
      <c r="AC76" s="17"/>
      <c r="AD76" s="51"/>
    </row>
    <row r="77" spans="1:30" ht="19.5" thickBot="1" x14ac:dyDescent="0.3">
      <c r="A77" s="14">
        <v>10</v>
      </c>
      <c r="B77" s="15">
        <v>1538</v>
      </c>
      <c r="C77" s="15" t="str">
        <f>VLOOKUP(B77,داتا!$B$3:$D$107,2,FALSE)</f>
        <v>تلتين</v>
      </c>
      <c r="D77" s="34">
        <f>VLOOKUP(B77,داتا!$B$3:$D$107,3,FALSE)</f>
        <v>3.125E-2</v>
      </c>
      <c r="E77" s="15" t="s">
        <v>45</v>
      </c>
      <c r="F77" s="15" t="s">
        <v>163</v>
      </c>
      <c r="G77" s="16">
        <v>8.3333333333333329E-2</v>
      </c>
      <c r="H77" s="16">
        <v>9.375E-2</v>
      </c>
      <c r="I77" s="16">
        <f t="shared" ref="I77" si="24">H77-G77</f>
        <v>1.0416666666666671E-2</v>
      </c>
      <c r="J77" s="16">
        <v>0.59027777777777779</v>
      </c>
      <c r="K77" s="16">
        <v>0.60763888888888895</v>
      </c>
      <c r="L77" s="16" t="s">
        <v>88</v>
      </c>
      <c r="M77" s="16" t="s">
        <v>88</v>
      </c>
      <c r="N77" s="16">
        <f t="shared" ref="N77" si="25">K77-J77</f>
        <v>1.736111111111116E-2</v>
      </c>
      <c r="O77" s="16">
        <v>0</v>
      </c>
      <c r="P77" s="16">
        <v>6.9444444444444397E-3</v>
      </c>
      <c r="Q77" s="16">
        <v>0.60763888888888895</v>
      </c>
      <c r="R77" s="16">
        <v>0</v>
      </c>
      <c r="S77" s="16">
        <v>0.60763888888888895</v>
      </c>
      <c r="T77" s="16">
        <f>VLOOKUP(E77,'[2]21-3-2026'!E$3:T$35,16,FALSE)</f>
        <v>1.38888888888889E-2</v>
      </c>
      <c r="U77" s="16">
        <v>0.68055555555555547</v>
      </c>
      <c r="V77" s="16">
        <v>3.472222222222222E-3</v>
      </c>
      <c r="W77" s="16">
        <v>4.1666666666666664E-2</v>
      </c>
      <c r="X77" s="16">
        <v>0.68402777777777779</v>
      </c>
      <c r="Y77" s="16">
        <v>0.70347222222222217</v>
      </c>
      <c r="Z77" s="16">
        <f t="shared" si="18"/>
        <v>1.9444444444444375E-2</v>
      </c>
      <c r="AA77" s="16">
        <v>0</v>
      </c>
      <c r="AB77" s="16">
        <v>0.70486111111111116</v>
      </c>
      <c r="AC77" s="17"/>
      <c r="AD77" s="51"/>
    </row>
    <row r="78" spans="1:30" ht="19.5" thickBot="1" x14ac:dyDescent="0.3">
      <c r="A78" s="14">
        <v>11</v>
      </c>
      <c r="B78" s="15">
        <v>3787</v>
      </c>
      <c r="C78" s="15" t="str">
        <f>VLOOKUP(B78,داتا!$B$3:$D$107,2,FALSE)</f>
        <v>دبابة</v>
      </c>
      <c r="D78" s="34">
        <f>VLOOKUP(B78,داتا!$B$3:$D$107,3,FALSE)</f>
        <v>2.0833333333333301E-2</v>
      </c>
      <c r="E78" s="15" t="s">
        <v>72</v>
      </c>
      <c r="F78" s="15" t="s">
        <v>176</v>
      </c>
      <c r="G78" s="16">
        <v>8.3333333333333329E-2</v>
      </c>
      <c r="H78" s="16">
        <v>9.375E-2</v>
      </c>
      <c r="I78" s="16">
        <f t="shared" si="15"/>
        <v>1.0416666666666671E-2</v>
      </c>
      <c r="J78" s="16">
        <v>0.56597222222222221</v>
      </c>
      <c r="K78" s="16">
        <v>0.58680555555555558</v>
      </c>
      <c r="L78" s="16" t="s">
        <v>112</v>
      </c>
      <c r="M78" s="16" t="s">
        <v>112</v>
      </c>
      <c r="N78" s="16">
        <f t="shared" si="16"/>
        <v>2.083333333333337E-2</v>
      </c>
      <c r="O78" s="16">
        <f t="shared" si="21"/>
        <v>6.9388939039072284E-17</v>
      </c>
      <c r="P78" s="16">
        <v>6.9444444444444397E-3</v>
      </c>
      <c r="Q78" s="16">
        <v>0.59375</v>
      </c>
      <c r="R78" s="16">
        <f t="shared" ref="R78:R91" si="26">Q78-P78-K78</f>
        <v>0</v>
      </c>
      <c r="S78" s="16">
        <v>0.59375</v>
      </c>
      <c r="T78" s="16">
        <f>VLOOKUP(E78,'[2]21-3-2026'!E$3:T$35,16,FALSE)</f>
        <v>1.0416666666666701E-2</v>
      </c>
      <c r="U78" s="16">
        <v>0.62152777777777779</v>
      </c>
      <c r="V78" s="16">
        <f t="shared" si="17"/>
        <v>1.7361111111111049E-2</v>
      </c>
      <c r="W78" s="16">
        <v>2.0833333333333332E-2</v>
      </c>
      <c r="X78" s="16">
        <v>0.62708333333333333</v>
      </c>
      <c r="Y78" s="16">
        <v>0.64236111111111105</v>
      </c>
      <c r="Z78" s="16">
        <f t="shared" si="18"/>
        <v>1.5277777777777724E-2</v>
      </c>
      <c r="AA78" s="16">
        <v>0</v>
      </c>
      <c r="AB78" s="16">
        <v>0.64583333333333337</v>
      </c>
      <c r="AC78" s="17"/>
      <c r="AD78" s="51"/>
    </row>
    <row r="79" spans="1:30" ht="19.5" thickBot="1" x14ac:dyDescent="0.3">
      <c r="A79" s="14">
        <v>12</v>
      </c>
      <c r="B79" s="15">
        <v>3787</v>
      </c>
      <c r="C79" s="15" t="str">
        <f>VLOOKUP(B79,داتا!$B$3:$D$107,2,FALSE)</f>
        <v>دبابة</v>
      </c>
      <c r="D79" s="34">
        <f>VLOOKUP(B79,داتا!$B$3:$D$107,3,FALSE)</f>
        <v>2.0833333333333301E-2</v>
      </c>
      <c r="E79" s="15" t="s">
        <v>92</v>
      </c>
      <c r="F79" s="15" t="s">
        <v>176</v>
      </c>
      <c r="G79" s="16">
        <v>8.3333333333333329E-2</v>
      </c>
      <c r="H79" s="16">
        <v>9.375E-2</v>
      </c>
      <c r="I79" s="16">
        <f t="shared" ref="I79:I81" si="27">H79-G79</f>
        <v>1.0416666666666671E-2</v>
      </c>
      <c r="J79" s="16">
        <v>0.56597222222222221</v>
      </c>
      <c r="K79" s="16">
        <v>0.58680555555555558</v>
      </c>
      <c r="L79" s="16" t="s">
        <v>112</v>
      </c>
      <c r="M79" s="16" t="s">
        <v>112</v>
      </c>
      <c r="N79" s="16">
        <f t="shared" ref="N79:N81" si="28">K79-J79</f>
        <v>2.083333333333337E-2</v>
      </c>
      <c r="O79" s="16">
        <f t="shared" ref="O79:O81" si="29">N79-D79</f>
        <v>6.9388939039072284E-17</v>
      </c>
      <c r="P79" s="16">
        <v>6.9444444444444397E-3</v>
      </c>
      <c r="Q79" s="16">
        <v>0.59375</v>
      </c>
      <c r="R79" s="16">
        <f t="shared" si="26"/>
        <v>0</v>
      </c>
      <c r="S79" s="16">
        <v>0.59375</v>
      </c>
      <c r="T79" s="16">
        <f>VLOOKUP(E79,'[2]21-3-2026'!E$3:T$35,16,FALSE)</f>
        <v>1.38888888888889E-2</v>
      </c>
      <c r="U79" s="16">
        <v>0.64930555555555558</v>
      </c>
      <c r="V79" s="16">
        <v>0</v>
      </c>
      <c r="W79" s="16">
        <v>2.0833333333333332E-2</v>
      </c>
      <c r="X79" s="16">
        <v>0.65277777777777779</v>
      </c>
      <c r="Y79" s="16">
        <v>0.66319444444444442</v>
      </c>
      <c r="Z79" s="16">
        <f t="shared" si="18"/>
        <v>1.041666666666663E-2</v>
      </c>
      <c r="AA79" s="16">
        <v>0</v>
      </c>
      <c r="AB79" s="16">
        <v>0.66319444444444442</v>
      </c>
      <c r="AC79" s="17"/>
      <c r="AD79" s="51"/>
    </row>
    <row r="80" spans="1:30" ht="19.5" thickBot="1" x14ac:dyDescent="0.3">
      <c r="A80" s="14">
        <v>13</v>
      </c>
      <c r="B80" s="15">
        <v>3787</v>
      </c>
      <c r="C80" s="15" t="str">
        <f>VLOOKUP(B80,داتا!$B$3:$D$107,2,FALSE)</f>
        <v>دبابة</v>
      </c>
      <c r="D80" s="34">
        <f>VLOOKUP(B80,داتا!$B$3:$D$107,3,FALSE)</f>
        <v>2.0833333333333301E-2</v>
      </c>
      <c r="E80" s="15" t="s">
        <v>75</v>
      </c>
      <c r="F80" s="15" t="s">
        <v>176</v>
      </c>
      <c r="G80" s="16">
        <v>8.3333333333333329E-2</v>
      </c>
      <c r="H80" s="16">
        <v>9.375E-2</v>
      </c>
      <c r="I80" s="16">
        <f t="shared" si="27"/>
        <v>1.0416666666666671E-2</v>
      </c>
      <c r="J80" s="16">
        <v>0.56597222222222221</v>
      </c>
      <c r="K80" s="16">
        <v>0.58680555555555558</v>
      </c>
      <c r="L80" s="16" t="s">
        <v>112</v>
      </c>
      <c r="M80" s="16" t="s">
        <v>112</v>
      </c>
      <c r="N80" s="16">
        <f t="shared" si="28"/>
        <v>2.083333333333337E-2</v>
      </c>
      <c r="O80" s="16">
        <f t="shared" si="29"/>
        <v>6.9388939039072284E-17</v>
      </c>
      <c r="P80" s="16">
        <v>6.9444444444444397E-3</v>
      </c>
      <c r="Q80" s="16">
        <v>0.59375</v>
      </c>
      <c r="R80" s="16">
        <f t="shared" si="26"/>
        <v>0</v>
      </c>
      <c r="S80" s="16">
        <v>0.59375</v>
      </c>
      <c r="T80" s="16">
        <f>VLOOKUP(E80,'[2]21-3-2026'!E$3:T$35,16,FALSE)</f>
        <v>2.0833333333333301E-2</v>
      </c>
      <c r="U80" s="16">
        <v>0.67361111111111116</v>
      </c>
      <c r="V80" s="16">
        <v>0</v>
      </c>
      <c r="W80" s="16">
        <v>2.0833333333333332E-2</v>
      </c>
      <c r="X80" s="16">
        <v>0.67708333333333337</v>
      </c>
      <c r="Y80" s="16">
        <v>0.6875</v>
      </c>
      <c r="Z80" s="16">
        <f t="shared" si="18"/>
        <v>1.041666666666663E-2</v>
      </c>
      <c r="AA80" s="16">
        <v>0</v>
      </c>
      <c r="AB80" s="16">
        <v>0.69097222222222221</v>
      </c>
      <c r="AC80" s="17"/>
      <c r="AD80" s="51"/>
    </row>
    <row r="81" spans="1:30" ht="19.5" thickBot="1" x14ac:dyDescent="0.3">
      <c r="A81" s="14">
        <v>14</v>
      </c>
      <c r="B81" s="15">
        <v>3787</v>
      </c>
      <c r="C81" s="15" t="str">
        <f>VLOOKUP(B81,داتا!$B$3:$D$107,2,FALSE)</f>
        <v>دبابة</v>
      </c>
      <c r="D81" s="34">
        <f>VLOOKUP(B81,داتا!$B$3:$D$107,3,FALSE)</f>
        <v>2.0833333333333301E-2</v>
      </c>
      <c r="E81" s="15" t="s">
        <v>60</v>
      </c>
      <c r="F81" s="15" t="s">
        <v>176</v>
      </c>
      <c r="G81" s="16">
        <v>8.3333333333333329E-2</v>
      </c>
      <c r="H81" s="16">
        <v>9.375E-2</v>
      </c>
      <c r="I81" s="16">
        <f t="shared" si="27"/>
        <v>1.0416666666666671E-2</v>
      </c>
      <c r="J81" s="16">
        <v>0.56597222222222221</v>
      </c>
      <c r="K81" s="16">
        <v>0.58680555555555558</v>
      </c>
      <c r="L81" s="16" t="s">
        <v>112</v>
      </c>
      <c r="M81" s="16" t="s">
        <v>112</v>
      </c>
      <c r="N81" s="16">
        <f t="shared" si="28"/>
        <v>2.083333333333337E-2</v>
      </c>
      <c r="O81" s="16">
        <f t="shared" si="29"/>
        <v>6.9388939039072284E-17</v>
      </c>
      <c r="P81" s="16">
        <v>6.9444444444444397E-3</v>
      </c>
      <c r="Q81" s="16">
        <v>0.59375</v>
      </c>
      <c r="R81" s="16">
        <f t="shared" si="26"/>
        <v>0</v>
      </c>
      <c r="S81" s="16">
        <v>0.59375</v>
      </c>
      <c r="T81" s="16">
        <f>VLOOKUP(E81,'[2]21-3-2026'!E$3:T$35,16,FALSE)</f>
        <v>1.0416666666666701E-2</v>
      </c>
      <c r="U81" s="16">
        <v>0.70138888888888884</v>
      </c>
      <c r="V81" s="16">
        <v>0</v>
      </c>
      <c r="W81" s="16">
        <v>3.125E-2</v>
      </c>
      <c r="X81" s="16">
        <v>0.70486111111111116</v>
      </c>
      <c r="Y81" s="16">
        <v>0.70833333333333337</v>
      </c>
      <c r="Z81" s="16">
        <f t="shared" si="18"/>
        <v>3.4722222222222099E-3</v>
      </c>
      <c r="AA81" s="16">
        <v>0</v>
      </c>
      <c r="AB81" s="16">
        <v>0.76041666666666663</v>
      </c>
      <c r="AC81" s="17"/>
      <c r="AD81" s="51"/>
    </row>
    <row r="82" spans="1:30" ht="19.5" thickBot="1" x14ac:dyDescent="0.3">
      <c r="A82" s="14">
        <v>15</v>
      </c>
      <c r="B82" s="15">
        <v>2917</v>
      </c>
      <c r="C82" s="15" t="str">
        <f>VLOOKUP(B82,داتا!$B$3:$D$107,2,FALSE)</f>
        <v>تلتين</v>
      </c>
      <c r="D82" s="34">
        <f>VLOOKUP(B82,داتا!$B$3:$D$107,3,FALSE)</f>
        <v>3.125E-2</v>
      </c>
      <c r="E82" s="15" t="s">
        <v>30</v>
      </c>
      <c r="F82" s="15" t="s">
        <v>161</v>
      </c>
      <c r="G82" s="16">
        <v>8.3333333333333329E-2</v>
      </c>
      <c r="H82" s="16">
        <v>8.3333333333333329E-2</v>
      </c>
      <c r="I82" s="16">
        <f t="shared" si="15"/>
        <v>0</v>
      </c>
      <c r="J82" s="16">
        <v>0.60069444444444442</v>
      </c>
      <c r="K82" s="16">
        <v>0.61458333333333337</v>
      </c>
      <c r="L82" s="16" t="s">
        <v>112</v>
      </c>
      <c r="M82" s="16" t="s">
        <v>112</v>
      </c>
      <c r="N82" s="16">
        <f t="shared" si="16"/>
        <v>1.3888888888888951E-2</v>
      </c>
      <c r="O82" s="16">
        <v>0</v>
      </c>
      <c r="P82" s="16">
        <v>6.9444444444444397E-3</v>
      </c>
      <c r="Q82" s="16">
        <v>0.61805555555555558</v>
      </c>
      <c r="R82" s="16">
        <v>0</v>
      </c>
      <c r="S82" s="16">
        <v>0.61805555555555558</v>
      </c>
      <c r="T82" s="16">
        <f>VLOOKUP(E82,'[2]21-3-2026'!E$3:T$35,16,FALSE)</f>
        <v>1.38888888888889E-2</v>
      </c>
      <c r="U82" s="16">
        <v>0.63472222222222219</v>
      </c>
      <c r="V82" s="16">
        <f t="shared" si="17"/>
        <v>2.7777777777776569E-3</v>
      </c>
      <c r="W82" s="16">
        <v>3.125E-2</v>
      </c>
      <c r="X82" s="16">
        <v>0.63611111111111118</v>
      </c>
      <c r="Y82" s="16">
        <v>0.65833333333333333</v>
      </c>
      <c r="Z82" s="16">
        <f t="shared" si="18"/>
        <v>2.2222222222222143E-2</v>
      </c>
      <c r="AA82" s="16">
        <v>0</v>
      </c>
      <c r="AB82" s="16">
        <v>0.65972222222222221</v>
      </c>
      <c r="AC82" s="17"/>
      <c r="AD82" s="51"/>
    </row>
    <row r="83" spans="1:30" ht="19.5" thickBot="1" x14ac:dyDescent="0.3">
      <c r="A83" s="14">
        <v>16</v>
      </c>
      <c r="B83" s="15">
        <v>2917</v>
      </c>
      <c r="C83" s="15" t="str">
        <f>VLOOKUP(B83,داتا!$B$3:$D$107,2,FALSE)</f>
        <v>تلتين</v>
      </c>
      <c r="D83" s="34">
        <f>VLOOKUP(B83,داتا!$B$3:$D$107,3,FALSE)</f>
        <v>3.125E-2</v>
      </c>
      <c r="E83" s="15" t="s">
        <v>34</v>
      </c>
      <c r="F83" s="15" t="s">
        <v>161</v>
      </c>
      <c r="G83" s="16">
        <v>8.3333333333333329E-2</v>
      </c>
      <c r="H83" s="16">
        <v>8.3333333333333329E-2</v>
      </c>
      <c r="I83" s="16">
        <f t="shared" ref="I83" si="30">H83-G83</f>
        <v>0</v>
      </c>
      <c r="J83" s="16">
        <v>0.60069444444444442</v>
      </c>
      <c r="K83" s="16">
        <v>0.61458333333333337</v>
      </c>
      <c r="L83" s="16" t="s">
        <v>112</v>
      </c>
      <c r="M83" s="16" t="s">
        <v>112</v>
      </c>
      <c r="N83" s="16">
        <f t="shared" ref="N83" si="31">K83-J83</f>
        <v>1.3888888888888951E-2</v>
      </c>
      <c r="O83" s="16">
        <v>0</v>
      </c>
      <c r="P83" s="16">
        <v>6.9444444444444397E-3</v>
      </c>
      <c r="Q83" s="16">
        <v>0.61805555555555558</v>
      </c>
      <c r="R83" s="16">
        <v>0</v>
      </c>
      <c r="S83" s="16">
        <v>0.61805555555555558</v>
      </c>
      <c r="T83" s="16">
        <f>VLOOKUP(E83,'[2]21-3-2026'!E$3:T$35,16,FALSE)</f>
        <v>1.0416666666666701E-2</v>
      </c>
      <c r="U83" s="16">
        <v>0.66319444444444442</v>
      </c>
      <c r="V83" s="16">
        <v>0</v>
      </c>
      <c r="W83" s="16">
        <v>4.1666666666666664E-2</v>
      </c>
      <c r="X83" s="16">
        <v>0.66666666666666663</v>
      </c>
      <c r="Y83" s="16">
        <v>0.68611111111111101</v>
      </c>
      <c r="Z83" s="16">
        <f t="shared" si="18"/>
        <v>1.9444444444444375E-2</v>
      </c>
      <c r="AA83" s="16">
        <v>0</v>
      </c>
      <c r="AB83" s="16">
        <v>0.6875</v>
      </c>
      <c r="AC83" s="17"/>
      <c r="AD83" s="51"/>
    </row>
    <row r="84" spans="1:30" ht="19.5" thickBot="1" x14ac:dyDescent="0.3">
      <c r="A84" s="14">
        <v>17</v>
      </c>
      <c r="B84" s="15">
        <v>3495</v>
      </c>
      <c r="C84" s="15" t="str">
        <f>VLOOKUP(B84,داتا!$B$3:$D$107,2,FALSE)</f>
        <v>تلتين</v>
      </c>
      <c r="D84" s="34">
        <f>VLOOKUP(B84,داتا!$B$3:$D$107,3,FALSE)</f>
        <v>3.125E-2</v>
      </c>
      <c r="E84" s="15" t="s">
        <v>38</v>
      </c>
      <c r="F84" s="15" t="s">
        <v>80</v>
      </c>
      <c r="G84" s="16">
        <v>0.25</v>
      </c>
      <c r="H84" s="16">
        <f t="shared" si="12"/>
        <v>0.25</v>
      </c>
      <c r="I84" s="16">
        <f t="shared" si="15"/>
        <v>0</v>
      </c>
      <c r="J84" s="16">
        <v>0.57986111111111105</v>
      </c>
      <c r="K84" s="16">
        <v>0.59722222222222221</v>
      </c>
      <c r="L84" s="16" t="s">
        <v>94</v>
      </c>
      <c r="M84" s="16" t="s">
        <v>94</v>
      </c>
      <c r="N84" s="16">
        <f t="shared" si="16"/>
        <v>1.736111111111116E-2</v>
      </c>
      <c r="O84" s="16">
        <v>0</v>
      </c>
      <c r="P84" s="16">
        <v>6.9444444444444397E-3</v>
      </c>
      <c r="Q84" s="16">
        <v>0.60416666666666663</v>
      </c>
      <c r="R84" s="16">
        <f t="shared" si="26"/>
        <v>0</v>
      </c>
      <c r="S84" s="16">
        <v>0.60416666666666663</v>
      </c>
      <c r="T84" s="16">
        <f>VLOOKUP(E84,'[2]21-3-2026'!E$3:T$35,16,FALSE)</f>
        <v>1.0416666666666666E-2</v>
      </c>
      <c r="U84" s="16">
        <v>0.63888888888888895</v>
      </c>
      <c r="V84" s="16">
        <f t="shared" si="17"/>
        <v>2.4305555555555691E-2</v>
      </c>
      <c r="W84" s="16">
        <v>3.125E-2</v>
      </c>
      <c r="X84" s="16">
        <v>0.64236111111111105</v>
      </c>
      <c r="Y84" s="16">
        <v>0.65972222222222221</v>
      </c>
      <c r="Z84" s="16">
        <f t="shared" si="18"/>
        <v>1.736111111111116E-2</v>
      </c>
      <c r="AA84" s="16">
        <v>0</v>
      </c>
      <c r="AB84" s="16">
        <v>0.66319444444444442</v>
      </c>
      <c r="AC84" s="17"/>
      <c r="AD84" s="51"/>
    </row>
    <row r="85" spans="1:30" ht="19.5" thickBot="1" x14ac:dyDescent="0.3">
      <c r="A85" s="14">
        <v>18</v>
      </c>
      <c r="B85" s="15">
        <v>3495</v>
      </c>
      <c r="C85" s="15" t="str">
        <f>VLOOKUP(B85,داتا!$B$3:$D$107,2,FALSE)</f>
        <v>تلتين</v>
      </c>
      <c r="D85" s="34">
        <f>VLOOKUP(B85,داتا!$B$3:$D$107,3,FALSE)</f>
        <v>3.125E-2</v>
      </c>
      <c r="E85" s="15" t="s">
        <v>73</v>
      </c>
      <c r="F85" s="15" t="s">
        <v>80</v>
      </c>
      <c r="G85" s="16">
        <v>0.25</v>
      </c>
      <c r="H85" s="16">
        <f t="shared" ref="H85:H86" si="32">VLOOKUP(F85,$F$3:$H$35,3,FALSE)</f>
        <v>0.25</v>
      </c>
      <c r="I85" s="16">
        <f t="shared" ref="I85:I86" si="33">H85-G85</f>
        <v>0</v>
      </c>
      <c r="J85" s="16">
        <v>0.57986111111111105</v>
      </c>
      <c r="K85" s="16">
        <v>0.59722222222222221</v>
      </c>
      <c r="L85" s="16" t="s">
        <v>94</v>
      </c>
      <c r="M85" s="16" t="s">
        <v>94</v>
      </c>
      <c r="N85" s="16">
        <f t="shared" ref="N85:N86" si="34">K85-J85</f>
        <v>1.736111111111116E-2</v>
      </c>
      <c r="O85" s="16">
        <v>0</v>
      </c>
      <c r="P85" s="16">
        <v>6.9444444444444397E-3</v>
      </c>
      <c r="Q85" s="16">
        <v>0.60416666666666663</v>
      </c>
      <c r="R85" s="16">
        <f t="shared" si="26"/>
        <v>0</v>
      </c>
      <c r="S85" s="16">
        <v>0.60416666666666663</v>
      </c>
      <c r="T85" s="16">
        <v>2.0833333333333332E-2</v>
      </c>
      <c r="U85" s="16">
        <v>0.67708333333333337</v>
      </c>
      <c r="V85" s="16">
        <v>0</v>
      </c>
      <c r="W85" s="16">
        <v>3.125E-2</v>
      </c>
      <c r="X85" s="16">
        <v>0.68055555555555547</v>
      </c>
      <c r="Y85" s="16">
        <v>0.70138888888888884</v>
      </c>
      <c r="Z85" s="16">
        <f t="shared" si="18"/>
        <v>2.083333333333337E-2</v>
      </c>
      <c r="AA85" s="16">
        <v>0</v>
      </c>
      <c r="AB85" s="16">
        <v>0.70833333333333337</v>
      </c>
      <c r="AC85" s="17"/>
      <c r="AD85" s="51"/>
    </row>
    <row r="86" spans="1:30" ht="19.5" thickBot="1" x14ac:dyDescent="0.3">
      <c r="A86" s="14">
        <v>19</v>
      </c>
      <c r="B86" s="15">
        <v>3495</v>
      </c>
      <c r="C86" s="15" t="str">
        <f>VLOOKUP(B86,داتا!$B$3:$D$107,2,FALSE)</f>
        <v>تلتين</v>
      </c>
      <c r="D86" s="34">
        <f>VLOOKUP(B86,داتا!$B$3:$D$107,3,FALSE)</f>
        <v>3.125E-2</v>
      </c>
      <c r="E86" s="15" t="s">
        <v>35</v>
      </c>
      <c r="F86" s="15" t="s">
        <v>80</v>
      </c>
      <c r="G86" s="16">
        <v>0.25</v>
      </c>
      <c r="H86" s="16">
        <f t="shared" si="32"/>
        <v>0.25</v>
      </c>
      <c r="I86" s="16">
        <f t="shared" si="33"/>
        <v>0</v>
      </c>
      <c r="J86" s="16">
        <v>0.57986111111111105</v>
      </c>
      <c r="K86" s="16">
        <v>0.59722222222222221</v>
      </c>
      <c r="L86" s="16" t="s">
        <v>94</v>
      </c>
      <c r="M86" s="16" t="s">
        <v>94</v>
      </c>
      <c r="N86" s="16">
        <f t="shared" si="34"/>
        <v>1.736111111111116E-2</v>
      </c>
      <c r="O86" s="16">
        <v>0</v>
      </c>
      <c r="P86" s="16">
        <v>6.9444444444444397E-3</v>
      </c>
      <c r="Q86" s="16">
        <v>0.60416666666666663</v>
      </c>
      <c r="R86" s="16">
        <f t="shared" si="26"/>
        <v>0</v>
      </c>
      <c r="S86" s="16">
        <v>0.60416666666666663</v>
      </c>
      <c r="T86" s="16">
        <v>1.0416666666666666E-2</v>
      </c>
      <c r="U86" s="16">
        <v>0.71527777777777779</v>
      </c>
      <c r="V86" s="16">
        <v>0</v>
      </c>
      <c r="W86" s="16">
        <v>4.1666666666666664E-2</v>
      </c>
      <c r="X86" s="16">
        <v>0.71875</v>
      </c>
      <c r="Y86" s="16">
        <v>0.73263888888888884</v>
      </c>
      <c r="Z86" s="16">
        <f t="shared" si="18"/>
        <v>1.388888888888884E-2</v>
      </c>
      <c r="AA86" s="16">
        <v>0</v>
      </c>
      <c r="AB86" s="16">
        <v>0.74305555555555547</v>
      </c>
      <c r="AC86" s="17"/>
      <c r="AD86" s="51"/>
    </row>
    <row r="87" spans="1:30" ht="19.5" thickBot="1" x14ac:dyDescent="0.3">
      <c r="A87" s="14">
        <v>20</v>
      </c>
      <c r="B87" s="15">
        <v>4987</v>
      </c>
      <c r="C87" s="15" t="str">
        <f>VLOOKUP(B87,داتا!$B$3:$D$107,2,FALSE)</f>
        <v>تلتين</v>
      </c>
      <c r="D87" s="34">
        <f>VLOOKUP(B87,داتا!$B$3:$D$107,3,FALSE)</f>
        <v>3.125E-2</v>
      </c>
      <c r="E87" s="15" t="s">
        <v>70</v>
      </c>
      <c r="F87" s="15" t="s">
        <v>165</v>
      </c>
      <c r="G87" s="16">
        <v>8.3333333333333329E-2</v>
      </c>
      <c r="H87" s="16">
        <v>8.3333333333333329E-2</v>
      </c>
      <c r="I87" s="16">
        <f t="shared" si="15"/>
        <v>0</v>
      </c>
      <c r="J87" s="16">
        <v>0.59027777777777779</v>
      </c>
      <c r="K87" s="16">
        <v>0.61458333333333337</v>
      </c>
      <c r="L87" s="16" t="s">
        <v>107</v>
      </c>
      <c r="M87" s="16" t="s">
        <v>107</v>
      </c>
      <c r="N87" s="16">
        <f t="shared" si="16"/>
        <v>2.430555555555558E-2</v>
      </c>
      <c r="O87" s="16">
        <v>0</v>
      </c>
      <c r="P87" s="16">
        <v>6.9444444444444397E-3</v>
      </c>
      <c r="Q87" s="16">
        <v>0.62152777777777779</v>
      </c>
      <c r="R87" s="16">
        <f t="shared" si="26"/>
        <v>0</v>
      </c>
      <c r="S87" s="16">
        <v>0.62152777777777779</v>
      </c>
      <c r="T87" s="16">
        <f>VLOOKUP(E87,'[2]21-3-2026'!E$3:T$35,16,FALSE)</f>
        <v>1.0416666666666701E-2</v>
      </c>
      <c r="U87" s="16">
        <v>0.64583333333333337</v>
      </c>
      <c r="V87" s="16">
        <f t="shared" si="17"/>
        <v>1.388888888888884E-2</v>
      </c>
      <c r="W87" s="16">
        <v>3.125E-2</v>
      </c>
      <c r="X87" s="16">
        <v>0.64930555555555558</v>
      </c>
      <c r="Y87" s="16">
        <v>0.65625</v>
      </c>
      <c r="Z87" s="16">
        <f t="shared" si="18"/>
        <v>6.9444444444444198E-3</v>
      </c>
      <c r="AA87" s="16">
        <v>0</v>
      </c>
      <c r="AB87" s="16">
        <v>0.65972222222222221</v>
      </c>
      <c r="AC87" s="17"/>
      <c r="AD87" s="51"/>
    </row>
    <row r="88" spans="1:30" ht="19.5" thickBot="1" x14ac:dyDescent="0.3">
      <c r="A88" s="14">
        <v>21</v>
      </c>
      <c r="B88" s="15">
        <v>4987</v>
      </c>
      <c r="C88" s="15" t="str">
        <f>VLOOKUP(B88,داتا!$B$3:$D$107,2,FALSE)</f>
        <v>تلتين</v>
      </c>
      <c r="D88" s="34">
        <f>VLOOKUP(B88,داتا!$B$3:$D$107,3,FALSE)</f>
        <v>3.125E-2</v>
      </c>
      <c r="E88" s="15" t="s">
        <v>79</v>
      </c>
      <c r="F88" s="15" t="s">
        <v>165</v>
      </c>
      <c r="G88" s="16">
        <v>8.3333333333333329E-2</v>
      </c>
      <c r="H88" s="16">
        <v>8.3333333333333329E-2</v>
      </c>
      <c r="I88" s="16">
        <f t="shared" si="15"/>
        <v>0</v>
      </c>
      <c r="J88" s="16">
        <v>0.59027777777777779</v>
      </c>
      <c r="K88" s="16">
        <v>0.61458333333333337</v>
      </c>
      <c r="L88" s="16" t="s">
        <v>107</v>
      </c>
      <c r="M88" s="16" t="s">
        <v>107</v>
      </c>
      <c r="N88" s="16">
        <f t="shared" si="16"/>
        <v>2.430555555555558E-2</v>
      </c>
      <c r="O88" s="16">
        <v>0</v>
      </c>
      <c r="P88" s="16">
        <v>6.9444444444444397E-3</v>
      </c>
      <c r="Q88" s="16">
        <v>0.62152777777777779</v>
      </c>
      <c r="R88" s="16">
        <f t="shared" si="26"/>
        <v>0</v>
      </c>
      <c r="S88" s="16">
        <v>0.62152777777777779</v>
      </c>
      <c r="T88" s="16">
        <f>VLOOKUP(E88,'[2]21-3-2026'!E$3:T$35,16,FALSE)</f>
        <v>2.0833333333333301E-2</v>
      </c>
      <c r="U88" s="16">
        <v>0.68402777777777779</v>
      </c>
      <c r="V88" s="16">
        <v>1.3888888888888888E-2</v>
      </c>
      <c r="W88" s="16">
        <v>4.1666666666666664E-2</v>
      </c>
      <c r="X88" s="16">
        <v>0.6875</v>
      </c>
      <c r="Y88" s="16">
        <v>0.71527777777777779</v>
      </c>
      <c r="Z88" s="16">
        <f t="shared" si="18"/>
        <v>2.777777777777779E-2</v>
      </c>
      <c r="AA88" s="16">
        <v>0</v>
      </c>
      <c r="AB88" s="16">
        <v>0.71875</v>
      </c>
      <c r="AC88" s="19"/>
      <c r="AD88" s="51"/>
    </row>
    <row r="89" spans="1:30" ht="19.5" thickBot="1" x14ac:dyDescent="0.3">
      <c r="A89" s="14">
        <v>22</v>
      </c>
      <c r="B89" s="15">
        <v>9198</v>
      </c>
      <c r="C89" s="15" t="str">
        <f>VLOOKUP(B89,داتا!$B$3:$D$107,2,FALSE)</f>
        <v>دبابة</v>
      </c>
      <c r="D89" s="34">
        <f>VLOOKUP(B89,داتا!$B$3:$D$107,3,FALSE)</f>
        <v>2.0833333333333301E-2</v>
      </c>
      <c r="E89" s="15" t="s">
        <v>81</v>
      </c>
      <c r="F89" s="15" t="s">
        <v>208</v>
      </c>
      <c r="G89" s="16">
        <v>8.3333333333333329E-2</v>
      </c>
      <c r="H89" s="16">
        <v>8.3333333333333329E-2</v>
      </c>
      <c r="I89" s="16">
        <f t="shared" si="15"/>
        <v>0</v>
      </c>
      <c r="J89" s="16">
        <v>0.56944444444444442</v>
      </c>
      <c r="K89" s="16">
        <v>0.58333333333333337</v>
      </c>
      <c r="L89" s="16" t="s">
        <v>172</v>
      </c>
      <c r="M89" s="16" t="s">
        <v>182</v>
      </c>
      <c r="N89" s="16">
        <f t="shared" si="16"/>
        <v>1.3888888888888951E-2</v>
      </c>
      <c r="O89" s="16">
        <v>0</v>
      </c>
      <c r="P89" s="16">
        <v>6.9444444444444397E-3</v>
      </c>
      <c r="Q89" s="16">
        <v>0.59027777777777779</v>
      </c>
      <c r="R89" s="16">
        <f t="shared" si="26"/>
        <v>0</v>
      </c>
      <c r="S89" s="16">
        <v>0.59027777777777779</v>
      </c>
      <c r="T89" s="16">
        <f>VLOOKUP(E89,'[2]21-3-2026'!E$3:T$35,16,FALSE)</f>
        <v>2.7777777777777801E-2</v>
      </c>
      <c r="U89" s="16">
        <v>0.62708333333333333</v>
      </c>
      <c r="V89" s="16">
        <f t="shared" si="17"/>
        <v>9.0277777777777457E-3</v>
      </c>
      <c r="W89" s="16">
        <v>3.125E-2</v>
      </c>
      <c r="X89" s="16">
        <v>0.62986111111111109</v>
      </c>
      <c r="Y89" s="16">
        <v>0.63958333333333328</v>
      </c>
      <c r="Z89" s="16">
        <f t="shared" si="18"/>
        <v>9.7222222222221877E-3</v>
      </c>
      <c r="AA89" s="16">
        <v>0</v>
      </c>
      <c r="AB89" s="16">
        <v>0.64097222222222217</v>
      </c>
      <c r="AC89" s="19"/>
      <c r="AD89" s="51"/>
    </row>
    <row r="90" spans="1:30" ht="19.5" thickBot="1" x14ac:dyDescent="0.3">
      <c r="A90" s="14">
        <v>23</v>
      </c>
      <c r="B90" s="15">
        <v>7464</v>
      </c>
      <c r="C90" s="15" t="str">
        <f>VLOOKUP(B90,داتا!$B$3:$D$107,2,FALSE)</f>
        <v>تلتين</v>
      </c>
      <c r="D90" s="34">
        <f>VLOOKUP(B90,داتا!$B$3:$D$107,3,FALSE)</f>
        <v>3.125E-2</v>
      </c>
      <c r="E90" s="15" t="s">
        <v>98</v>
      </c>
      <c r="F90" s="15" t="s">
        <v>236</v>
      </c>
      <c r="G90" s="16">
        <v>8.3333333333333329E-2</v>
      </c>
      <c r="H90" s="16">
        <v>0.10069444444444443</v>
      </c>
      <c r="I90" s="16">
        <f t="shared" si="15"/>
        <v>1.7361111111111105E-2</v>
      </c>
      <c r="J90" s="16">
        <v>0.59722222222222221</v>
      </c>
      <c r="K90" s="16">
        <v>0.61458333333333337</v>
      </c>
      <c r="L90" s="16" t="s">
        <v>172</v>
      </c>
      <c r="M90" s="16" t="s">
        <v>182</v>
      </c>
      <c r="N90" s="16">
        <f t="shared" si="16"/>
        <v>1.736111111111116E-2</v>
      </c>
      <c r="O90" s="16">
        <v>0</v>
      </c>
      <c r="P90" s="16">
        <v>6.9444444444444397E-3</v>
      </c>
      <c r="Q90" s="16">
        <v>0.62152777777777779</v>
      </c>
      <c r="R90" s="16">
        <f t="shared" si="26"/>
        <v>0</v>
      </c>
      <c r="S90" s="16">
        <v>0.62152777777777779</v>
      </c>
      <c r="T90" s="16">
        <f>VLOOKUP(E90,'[2]21-3-2026'!E$3:T$35,16,FALSE)</f>
        <v>4.8611111111111103E-3</v>
      </c>
      <c r="U90" s="16">
        <v>0.63750000000000007</v>
      </c>
      <c r="V90" s="16">
        <f t="shared" si="17"/>
        <v>1.1111111111111183E-2</v>
      </c>
      <c r="W90" s="16">
        <v>3.125E-2</v>
      </c>
      <c r="X90" s="16">
        <v>0.6381944444444444</v>
      </c>
      <c r="Y90" s="16">
        <v>0.64444444444444449</v>
      </c>
      <c r="Z90" s="16">
        <f t="shared" si="18"/>
        <v>6.2500000000000888E-3</v>
      </c>
      <c r="AA90" s="16">
        <v>0</v>
      </c>
      <c r="AB90" s="16">
        <v>0.64513888888888882</v>
      </c>
      <c r="AC90" s="19"/>
      <c r="AD90" s="51"/>
    </row>
    <row r="91" spans="1:30" ht="19.5" thickBot="1" x14ac:dyDescent="0.3">
      <c r="A91" s="20">
        <v>24</v>
      </c>
      <c r="B91" s="21">
        <v>7464</v>
      </c>
      <c r="C91" s="21" t="str">
        <f>VLOOKUP(B91,داتا!$B$3:$D$107,2,FALSE)</f>
        <v>تلتين</v>
      </c>
      <c r="D91" s="35">
        <f>VLOOKUP(B91,داتا!$B$3:$D$107,3,FALSE)</f>
        <v>3.125E-2</v>
      </c>
      <c r="E91" s="21" t="s">
        <v>95</v>
      </c>
      <c r="F91" s="21" t="s">
        <v>236</v>
      </c>
      <c r="G91" s="22">
        <v>8.3333333333333329E-2</v>
      </c>
      <c r="H91" s="22">
        <v>0.10069444444444443</v>
      </c>
      <c r="I91" s="22">
        <f t="shared" ref="I91" si="35">H91-G91</f>
        <v>1.7361111111111105E-2</v>
      </c>
      <c r="J91" s="22">
        <v>0.59722222222222221</v>
      </c>
      <c r="K91" s="22">
        <v>0.61458333333333337</v>
      </c>
      <c r="L91" s="22" t="s">
        <v>172</v>
      </c>
      <c r="M91" s="22" t="s">
        <v>182</v>
      </c>
      <c r="N91" s="22">
        <f t="shared" ref="N91" si="36">K91-J91</f>
        <v>1.736111111111116E-2</v>
      </c>
      <c r="O91" s="22">
        <v>0</v>
      </c>
      <c r="P91" s="22">
        <v>6.9444444444444397E-3</v>
      </c>
      <c r="Q91" s="22">
        <v>0.62152777777777779</v>
      </c>
      <c r="R91" s="22">
        <f t="shared" si="26"/>
        <v>0</v>
      </c>
      <c r="S91" s="22">
        <v>0.62152777777777779</v>
      </c>
      <c r="T91" s="22">
        <f>VLOOKUP(E91,'[2]21-3-2026'!E$3:T$35,16,FALSE)</f>
        <v>1.0416666666666701E-2</v>
      </c>
      <c r="U91" s="22">
        <v>0.65277777777777779</v>
      </c>
      <c r="V91" s="22">
        <v>0</v>
      </c>
      <c r="W91" s="22">
        <v>4.1666666666666664E-2</v>
      </c>
      <c r="X91" s="22">
        <v>0.65625</v>
      </c>
      <c r="Y91" s="22">
        <v>0.68402777777777779</v>
      </c>
      <c r="Z91" s="22">
        <f t="shared" si="18"/>
        <v>2.777777777777779E-2</v>
      </c>
      <c r="AA91" s="22">
        <v>0</v>
      </c>
      <c r="AB91" s="22">
        <v>0.6875</v>
      </c>
      <c r="AC91" s="30"/>
      <c r="AD91" s="51"/>
    </row>
    <row r="92" spans="1:30" ht="16.5" thickTop="1" x14ac:dyDescent="0.25"/>
  </sheetData>
  <autoFilter ref="F1:F92"/>
  <mergeCells count="4">
    <mergeCell ref="A1:AC1"/>
    <mergeCell ref="AD3:AD35"/>
    <mergeCell ref="AD36:AD67"/>
    <mergeCell ref="AD68:AD91"/>
  </mergeCells>
  <conditionalFormatting sqref="AC1:AC1048576">
    <cfRule type="containsText" dxfId="490" priority="54" operator="containsText" text="ت">
      <formula>NOT(ISERROR(SEARCH("ت",AC1)))</formula>
    </cfRule>
  </conditionalFormatting>
  <conditionalFormatting sqref="AC4:AC91">
    <cfRule type="containsText" dxfId="489" priority="53" operator="containsText" text="ت">
      <formula>NOT(ISERROR(SEARCH("ت",AC4)))</formula>
    </cfRule>
  </conditionalFormatting>
  <conditionalFormatting sqref="O1:O2 I1:I2 R1:R2 V1:V2 AA92:AA1048576 V92:V1048576 R92:R1048576 O92:O1048576 I92:I1048576 AA1:AA2">
    <cfRule type="cellIs" dxfId="488" priority="55" operator="between">
      <formula>0.00277777777777778</formula>
      <formula>1</formula>
    </cfRule>
  </conditionalFormatting>
  <conditionalFormatting sqref="I22:I64 I66:I68 I71:I74 I76 I82 I87:I90 I78 I84">
    <cfRule type="cellIs" dxfId="487" priority="49" operator="between">
      <formula>0.00277777777777778</formula>
      <formula>1</formula>
    </cfRule>
  </conditionalFormatting>
  <conditionalFormatting sqref="I22:I64 I66:I68 I71:I74 I76 I82 I87:I90 I78 I84">
    <cfRule type="cellIs" dxfId="486" priority="50" operator="between">
      <formula>0.00277777777777778</formula>
      <formula>1</formula>
    </cfRule>
  </conditionalFormatting>
  <conditionalFormatting sqref="O3:O7 O9:O64 O66:O68 O71:O74 O76 O82 O87:O90 O78 O84">
    <cfRule type="cellIs" dxfId="485" priority="47" operator="between">
      <formula>0.00277777777777778</formula>
      <formula>1</formula>
    </cfRule>
  </conditionalFormatting>
  <conditionalFormatting sqref="O3:O7 O9:O64 O66:O68 O71:O74 O76 O82 O87:O90 O78 O84">
    <cfRule type="cellIs" dxfId="484" priority="48" operator="between">
      <formula>0.00277777777777778</formula>
      <formula>1</formula>
    </cfRule>
  </conditionalFormatting>
  <conditionalFormatting sqref="R3:R7 R9:R91">
    <cfRule type="cellIs" dxfId="483" priority="45" operator="between">
      <formula>0.00277777777777778</formula>
      <formula>1</formula>
    </cfRule>
  </conditionalFormatting>
  <conditionalFormatting sqref="R3:R7 R9:R91">
    <cfRule type="cellIs" dxfId="482" priority="46" operator="between">
      <formula>0.00277777777777778</formula>
      <formula>1</formula>
    </cfRule>
  </conditionalFormatting>
  <conditionalFormatting sqref="V3:V29 V31:V91">
    <cfRule type="cellIs" dxfId="481" priority="43" operator="between">
      <formula>0.00277777777777778</formula>
      <formula>1</formula>
    </cfRule>
  </conditionalFormatting>
  <conditionalFormatting sqref="V3:V29 V31:V91">
    <cfRule type="cellIs" dxfId="480" priority="44" operator="between">
      <formula>0.00277777777777778</formula>
      <formula>1</formula>
    </cfRule>
  </conditionalFormatting>
  <conditionalFormatting sqref="AA3:AA28 AA76:AA91 AA31:AA73">
    <cfRule type="cellIs" dxfId="479" priority="41" operator="between">
      <formula>0.00277777777777778</formula>
      <formula>1</formula>
    </cfRule>
  </conditionalFormatting>
  <conditionalFormatting sqref="AA3:AA28 AA76:AA91 AA31:AA73">
    <cfRule type="cellIs" dxfId="478" priority="42" operator="between">
      <formula>0.00277777777777778</formula>
      <formula>1</formula>
    </cfRule>
  </conditionalFormatting>
  <conditionalFormatting sqref="I3:I7 I9:I21">
    <cfRule type="cellIs" dxfId="477" priority="39" operator="between">
      <formula>0.00277777777777778</formula>
      <formula>1</formula>
    </cfRule>
  </conditionalFormatting>
  <conditionalFormatting sqref="I3:I7 I9:I21">
    <cfRule type="cellIs" dxfId="476" priority="40" operator="between">
      <formula>0.00277777777777778</formula>
      <formula>1</formula>
    </cfRule>
  </conditionalFormatting>
  <conditionalFormatting sqref="O8">
    <cfRule type="cellIs" dxfId="475" priority="37" operator="between">
      <formula>0.00277777777777778</formula>
      <formula>1</formula>
    </cfRule>
  </conditionalFormatting>
  <conditionalFormatting sqref="O8">
    <cfRule type="cellIs" dxfId="474" priority="38" operator="between">
      <formula>0.00277777777777778</formula>
      <formula>1</formula>
    </cfRule>
  </conditionalFormatting>
  <conditionalFormatting sqref="R8">
    <cfRule type="cellIs" dxfId="473" priority="35" operator="between">
      <formula>0.00277777777777778</formula>
      <formula>1</formula>
    </cfRule>
  </conditionalFormatting>
  <conditionalFormatting sqref="R8">
    <cfRule type="cellIs" dxfId="472" priority="36" operator="between">
      <formula>0.00277777777777778</formula>
      <formula>1</formula>
    </cfRule>
  </conditionalFormatting>
  <conditionalFormatting sqref="I8">
    <cfRule type="cellIs" dxfId="471" priority="33" operator="between">
      <formula>0.00277777777777778</formula>
      <formula>1</formula>
    </cfRule>
  </conditionalFormatting>
  <conditionalFormatting sqref="I8">
    <cfRule type="cellIs" dxfId="470" priority="34" operator="between">
      <formula>0.00277777777777778</formula>
      <formula>1</formula>
    </cfRule>
  </conditionalFormatting>
  <conditionalFormatting sqref="I65">
    <cfRule type="cellIs" dxfId="469" priority="31" operator="between">
      <formula>0.00277777777777778</formula>
      <formula>1</formula>
    </cfRule>
  </conditionalFormatting>
  <conditionalFormatting sqref="I65">
    <cfRule type="cellIs" dxfId="468" priority="32" operator="between">
      <formula>0.00277777777777778</formula>
      <formula>1</formula>
    </cfRule>
  </conditionalFormatting>
  <conditionalFormatting sqref="O65">
    <cfRule type="cellIs" dxfId="467" priority="29" operator="between">
      <formula>0.00277777777777778</formula>
      <formula>1</formula>
    </cfRule>
  </conditionalFormatting>
  <conditionalFormatting sqref="O65">
    <cfRule type="cellIs" dxfId="466" priority="30" operator="between">
      <formula>0.00277777777777778</formula>
      <formula>1</formula>
    </cfRule>
  </conditionalFormatting>
  <conditionalFormatting sqref="I69:I70">
    <cfRule type="cellIs" dxfId="465" priority="27" operator="between">
      <formula>0.00277777777777778</formula>
      <formula>1</formula>
    </cfRule>
  </conditionalFormatting>
  <conditionalFormatting sqref="I69:I70">
    <cfRule type="cellIs" dxfId="464" priority="28" operator="between">
      <formula>0.00277777777777778</formula>
      <formula>1</formula>
    </cfRule>
  </conditionalFormatting>
  <conditionalFormatting sqref="O69:O70">
    <cfRule type="cellIs" dxfId="463" priority="25" operator="between">
      <formula>0.00277777777777778</formula>
      <formula>1</formula>
    </cfRule>
  </conditionalFormatting>
  <conditionalFormatting sqref="O69:O70">
    <cfRule type="cellIs" dxfId="462" priority="26" operator="between">
      <formula>0.00277777777777778</formula>
      <formula>1</formula>
    </cfRule>
  </conditionalFormatting>
  <conditionalFormatting sqref="I75">
    <cfRule type="cellIs" dxfId="461" priority="23" operator="between">
      <formula>0.00277777777777778</formula>
      <formula>1</formula>
    </cfRule>
  </conditionalFormatting>
  <conditionalFormatting sqref="I75">
    <cfRule type="cellIs" dxfId="460" priority="24" operator="between">
      <formula>0.00277777777777778</formula>
      <formula>1</formula>
    </cfRule>
  </conditionalFormatting>
  <conditionalFormatting sqref="O75">
    <cfRule type="cellIs" dxfId="459" priority="21" operator="between">
      <formula>0.00277777777777778</formula>
      <formula>1</formula>
    </cfRule>
  </conditionalFormatting>
  <conditionalFormatting sqref="O75">
    <cfRule type="cellIs" dxfId="458" priority="22" operator="between">
      <formula>0.00277777777777778</formula>
      <formula>1</formula>
    </cfRule>
  </conditionalFormatting>
  <conditionalFormatting sqref="I79:I81">
    <cfRule type="cellIs" dxfId="457" priority="19" operator="between">
      <formula>0.00277777777777778</formula>
      <formula>1</formula>
    </cfRule>
  </conditionalFormatting>
  <conditionalFormatting sqref="I79:I81">
    <cfRule type="cellIs" dxfId="456" priority="20" operator="between">
      <formula>0.00277777777777778</formula>
      <formula>1</formula>
    </cfRule>
  </conditionalFormatting>
  <conditionalFormatting sqref="O79:O81">
    <cfRule type="cellIs" dxfId="455" priority="17" operator="between">
      <formula>0.00277777777777778</formula>
      <formula>1</formula>
    </cfRule>
  </conditionalFormatting>
  <conditionalFormatting sqref="O79:O81">
    <cfRule type="cellIs" dxfId="454" priority="18" operator="between">
      <formula>0.00277777777777778</formula>
      <formula>1</formula>
    </cfRule>
  </conditionalFormatting>
  <conditionalFormatting sqref="I85:I86">
    <cfRule type="cellIs" dxfId="453" priority="15" operator="between">
      <formula>0.00277777777777778</formula>
      <formula>1</formula>
    </cfRule>
  </conditionalFormatting>
  <conditionalFormatting sqref="I85:I86">
    <cfRule type="cellIs" dxfId="452" priority="16" operator="between">
      <formula>0.00277777777777778</formula>
      <formula>1</formula>
    </cfRule>
  </conditionalFormatting>
  <conditionalFormatting sqref="O85:O86">
    <cfRule type="cellIs" dxfId="451" priority="13" operator="between">
      <formula>0.00277777777777778</formula>
      <formula>1</formula>
    </cfRule>
  </conditionalFormatting>
  <conditionalFormatting sqref="O85:O86">
    <cfRule type="cellIs" dxfId="450" priority="14" operator="between">
      <formula>0.00277777777777778</formula>
      <formula>1</formula>
    </cfRule>
  </conditionalFormatting>
  <conditionalFormatting sqref="I77">
    <cfRule type="cellIs" dxfId="449" priority="11" operator="between">
      <formula>0.00277777777777778</formula>
      <formula>1</formula>
    </cfRule>
  </conditionalFormatting>
  <conditionalFormatting sqref="I77">
    <cfRule type="cellIs" dxfId="448" priority="12" operator="between">
      <formula>0.00277777777777778</formula>
      <formula>1</formula>
    </cfRule>
  </conditionalFormatting>
  <conditionalFormatting sqref="O77">
    <cfRule type="cellIs" dxfId="447" priority="9" operator="between">
      <formula>0.00277777777777778</formula>
      <formula>1</formula>
    </cfRule>
  </conditionalFormatting>
  <conditionalFormatting sqref="O77">
    <cfRule type="cellIs" dxfId="446" priority="10" operator="between">
      <formula>0.00277777777777778</formula>
      <formula>1</formula>
    </cfRule>
  </conditionalFormatting>
  <conditionalFormatting sqref="I91">
    <cfRule type="cellIs" dxfId="445" priority="7" operator="between">
      <formula>0.00277777777777778</formula>
      <formula>1</formula>
    </cfRule>
  </conditionalFormatting>
  <conditionalFormatting sqref="I91">
    <cfRule type="cellIs" dxfId="444" priority="8" operator="between">
      <formula>0.00277777777777778</formula>
      <formula>1</formula>
    </cfRule>
  </conditionalFormatting>
  <conditionalFormatting sqref="O91">
    <cfRule type="cellIs" dxfId="443" priority="5" operator="between">
      <formula>0.00277777777777778</formula>
      <formula>1</formula>
    </cfRule>
  </conditionalFormatting>
  <conditionalFormatting sqref="O91">
    <cfRule type="cellIs" dxfId="442" priority="6" operator="between">
      <formula>0.00277777777777778</formula>
      <formula>1</formula>
    </cfRule>
  </conditionalFormatting>
  <conditionalFormatting sqref="I83">
    <cfRule type="cellIs" dxfId="441" priority="3" operator="between">
      <formula>0.00277777777777778</formula>
      <formula>1</formula>
    </cfRule>
  </conditionalFormatting>
  <conditionalFormatting sqref="I83">
    <cfRule type="cellIs" dxfId="440" priority="4" operator="between">
      <formula>0.00277777777777778</formula>
      <formula>1</formula>
    </cfRule>
  </conditionalFormatting>
  <conditionalFormatting sqref="O83">
    <cfRule type="cellIs" dxfId="439" priority="1" operator="between">
      <formula>0.00277777777777778</formula>
      <formula>1</formula>
    </cfRule>
  </conditionalFormatting>
  <conditionalFormatting sqref="O83">
    <cfRule type="cellIs" dxfId="438" priority="2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1"/>
  <sheetViews>
    <sheetView rightToLeft="1" workbookViewId="0">
      <pane xSplit="6" ySplit="2" topLeftCell="L72" activePane="bottomRight" state="frozen"/>
      <selection activeCell="A92" sqref="A92"/>
      <selection pane="topRight" activeCell="A92" sqref="A92"/>
      <selection pane="bottomLeft" activeCell="A92" sqref="A92"/>
      <selection pane="bottomRight" activeCell="L18" sqref="L18"/>
    </sheetView>
  </sheetViews>
  <sheetFormatPr defaultColWidth="9" defaultRowHeight="15.75" x14ac:dyDescent="0.25"/>
  <cols>
    <col min="1" max="1" width="5.42578125" customWidth="1"/>
    <col min="2" max="2" width="12.28515625" customWidth="1"/>
    <col min="3" max="3" width="12.5703125" customWidth="1"/>
    <col min="4" max="4" width="16.140625" style="36" customWidth="1"/>
    <col min="5" max="5" width="17.140625" customWidth="1"/>
    <col min="6" max="6" width="20.85546875" customWidth="1"/>
    <col min="7" max="7" width="12.7109375" customWidth="1"/>
    <col min="8" max="9" width="12.85546875" customWidth="1"/>
    <col min="10" max="10" width="12.5703125" customWidth="1"/>
    <col min="11" max="11" width="14.28515625" customWidth="1"/>
    <col min="12" max="12" width="22.7109375" customWidth="1"/>
    <col min="13" max="13" width="18.8554687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3.85546875" style="31" customWidth="1"/>
    <col min="30" max="30" width="11.140625" customWidth="1"/>
  </cols>
  <sheetData>
    <row r="1" spans="1:30" ht="33.75" customHeight="1" thickBot="1" x14ac:dyDescent="0.3">
      <c r="A1" s="46" t="s">
        <v>126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0" ht="49.5" customHeight="1" thickTop="1" thickBot="1" x14ac:dyDescent="0.3">
      <c r="A2" s="1" t="s">
        <v>1</v>
      </c>
      <c r="B2" s="2" t="s">
        <v>2</v>
      </c>
      <c r="C2" s="2" t="s">
        <v>3</v>
      </c>
      <c r="D2" s="3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8" t="s">
        <v>18</v>
      </c>
      <c r="S2" s="2" t="s">
        <v>19</v>
      </c>
      <c r="T2" s="8" t="s">
        <v>20</v>
      </c>
      <c r="U2" s="2" t="s">
        <v>21</v>
      </c>
      <c r="V2" s="8" t="s">
        <v>22</v>
      </c>
      <c r="W2" s="8" t="s">
        <v>23</v>
      </c>
      <c r="X2" s="2" t="s">
        <v>24</v>
      </c>
      <c r="Y2" s="2" t="s">
        <v>25</v>
      </c>
      <c r="Z2" s="2" t="s">
        <v>26</v>
      </c>
      <c r="AA2" s="8" t="s">
        <v>27</v>
      </c>
      <c r="AB2" s="2" t="s">
        <v>28</v>
      </c>
      <c r="AC2" s="9" t="s">
        <v>29</v>
      </c>
    </row>
    <row r="3" spans="1:30" ht="20.25" customHeight="1" thickTop="1" thickBot="1" x14ac:dyDescent="0.3">
      <c r="A3" s="10">
        <v>1</v>
      </c>
      <c r="B3" s="11">
        <v>2694</v>
      </c>
      <c r="C3" s="11" t="str">
        <f>VLOOKUP(B3,داتا!$B$3:$D$107,2,FALSE)</f>
        <v>تلتين</v>
      </c>
      <c r="D3" s="33">
        <f>VLOOKUP(B3,داتا!$B$3:$D$107,3,FALSE)</f>
        <v>3.125E-2</v>
      </c>
      <c r="E3" s="11" t="s">
        <v>30</v>
      </c>
      <c r="F3" s="12" t="s">
        <v>147</v>
      </c>
      <c r="G3" s="12">
        <v>0.25</v>
      </c>
      <c r="H3" s="12">
        <v>0.24305555555555555</v>
      </c>
      <c r="I3" s="12">
        <v>0</v>
      </c>
      <c r="J3" s="12">
        <v>0.1875</v>
      </c>
      <c r="K3" s="12">
        <v>0.20486111111111113</v>
      </c>
      <c r="L3" s="12" t="s">
        <v>216</v>
      </c>
      <c r="M3" s="12" t="s">
        <v>216</v>
      </c>
      <c r="N3" s="12">
        <f>K3-J3</f>
        <v>1.7361111111111133E-2</v>
      </c>
      <c r="O3" s="12">
        <v>0</v>
      </c>
      <c r="P3" s="12">
        <v>6.9444444444444397E-3</v>
      </c>
      <c r="Q3" s="12">
        <v>0.20486111111111113</v>
      </c>
      <c r="R3" s="12">
        <v>0</v>
      </c>
      <c r="S3" s="12">
        <v>0.25694444444444448</v>
      </c>
      <c r="T3" s="12">
        <f>VLOOKUP(E3,'[2]21-3-2026'!E$3:T$35,16,FALSE)</f>
        <v>1.38888888888889E-2</v>
      </c>
      <c r="U3" s="12">
        <v>0.27430555555555552</v>
      </c>
      <c r="V3" s="12">
        <f>U3-T3-S3</f>
        <v>3.4722222222221544E-3</v>
      </c>
      <c r="W3" s="12">
        <v>4.1666666666666664E-2</v>
      </c>
      <c r="X3" s="12">
        <v>0.33333333333333331</v>
      </c>
      <c r="Y3" s="12">
        <v>0.36458333333333331</v>
      </c>
      <c r="Z3" s="12">
        <f>Y3-X3</f>
        <v>3.125E-2</v>
      </c>
      <c r="AA3" s="12">
        <v>0</v>
      </c>
      <c r="AB3" s="12">
        <v>0.37152777777777773</v>
      </c>
      <c r="AC3" s="13"/>
      <c r="AD3" s="47" t="s">
        <v>33</v>
      </c>
    </row>
    <row r="4" spans="1:30" ht="19.5" thickBot="1" x14ac:dyDescent="0.3">
      <c r="A4" s="14">
        <v>2</v>
      </c>
      <c r="B4" s="15">
        <v>3492</v>
      </c>
      <c r="C4" s="15" t="str">
        <f>VLOOKUP(B4,داتا!$B$3:$D$107,2,FALSE)</f>
        <v>تلتين</v>
      </c>
      <c r="D4" s="34">
        <f>VLOOKUP(B4,داتا!$B$3:$D$107,3,FALSE)</f>
        <v>3.125E-2</v>
      </c>
      <c r="E4" s="15" t="s">
        <v>65</v>
      </c>
      <c r="F4" s="15" t="s">
        <v>146</v>
      </c>
      <c r="G4" s="16">
        <v>0.25</v>
      </c>
      <c r="H4" s="16">
        <v>0.23958333333333334</v>
      </c>
      <c r="I4" s="16">
        <v>0</v>
      </c>
      <c r="J4" s="16">
        <v>0.20486111111111113</v>
      </c>
      <c r="K4" s="16">
        <v>0.22222222222222221</v>
      </c>
      <c r="L4" s="16" t="s">
        <v>216</v>
      </c>
      <c r="M4" s="16" t="s">
        <v>216</v>
      </c>
      <c r="N4" s="16">
        <f t="shared" ref="N4:N67" si="0">K4-J4</f>
        <v>1.7361111111111077E-2</v>
      </c>
      <c r="O4" s="16">
        <v>0</v>
      </c>
      <c r="P4" s="16">
        <v>6.9444444444444397E-3</v>
      </c>
      <c r="Q4" s="16">
        <v>0.22569444444444445</v>
      </c>
      <c r="R4" s="16">
        <v>0</v>
      </c>
      <c r="S4" s="16">
        <v>0.25347222222222221</v>
      </c>
      <c r="T4" s="16">
        <f>VLOOKUP(E4,'[2]21-3-2026'!E$3:T$35,16,FALSE)</f>
        <v>4.1666666666666699E-2</v>
      </c>
      <c r="U4" s="16">
        <v>0.31597222222222221</v>
      </c>
      <c r="V4" s="16">
        <f t="shared" ref="V4:V65" si="1">U4-T4-S4</f>
        <v>2.0833333333333315E-2</v>
      </c>
      <c r="W4" s="16">
        <v>4.1666666666666664E-2</v>
      </c>
      <c r="X4" s="16">
        <v>0.33680555555555558</v>
      </c>
      <c r="Y4" s="16">
        <v>0.375</v>
      </c>
      <c r="Z4" s="16">
        <f t="shared" ref="Z4:Z67" si="2">Y4-X4</f>
        <v>3.819444444444442E-2</v>
      </c>
      <c r="AA4" s="16">
        <v>0</v>
      </c>
      <c r="AB4" s="16">
        <v>0.37847222222222227</v>
      </c>
      <c r="AC4" s="17"/>
      <c r="AD4" s="48"/>
    </row>
    <row r="5" spans="1:30" ht="19.5" thickBot="1" x14ac:dyDescent="0.3">
      <c r="A5" s="14">
        <v>3</v>
      </c>
      <c r="B5" s="15">
        <v>1454</v>
      </c>
      <c r="C5" s="15" t="str">
        <f>VLOOKUP(B5,داتا!$B$3:$D$107,2,FALSE)</f>
        <v>تلتين</v>
      </c>
      <c r="D5" s="34">
        <f>VLOOKUP(B5,داتا!$B$3:$D$107,3,FALSE)</f>
        <v>3.125E-2</v>
      </c>
      <c r="E5" s="15" t="s">
        <v>34</v>
      </c>
      <c r="F5" s="15" t="s">
        <v>43</v>
      </c>
      <c r="G5" s="16">
        <v>0.25</v>
      </c>
      <c r="H5" s="16">
        <v>0.2638888888888889</v>
      </c>
      <c r="I5" s="16">
        <f t="shared" ref="I5:I67" si="3">H5-G5</f>
        <v>1.3888888888888895E-2</v>
      </c>
      <c r="J5" s="16">
        <v>0.22222222222222221</v>
      </c>
      <c r="K5" s="16">
        <v>0.24652777777777779</v>
      </c>
      <c r="L5" s="16" t="s">
        <v>216</v>
      </c>
      <c r="M5" s="16" t="s">
        <v>216</v>
      </c>
      <c r="N5" s="16">
        <f t="shared" si="0"/>
        <v>2.430555555555558E-2</v>
      </c>
      <c r="O5" s="16">
        <v>0</v>
      </c>
      <c r="P5" s="16">
        <v>6.9444444444444397E-3</v>
      </c>
      <c r="Q5" s="16">
        <v>0.24652777777777779</v>
      </c>
      <c r="R5" s="16">
        <v>0</v>
      </c>
      <c r="S5" s="16">
        <v>0.27083333333333331</v>
      </c>
      <c r="T5" s="16">
        <f>VLOOKUP(E5,'[2]21-3-2026'!E$3:T$35,16,FALSE)</f>
        <v>1.0416666666666701E-2</v>
      </c>
      <c r="U5" s="16">
        <v>0.28819444444444448</v>
      </c>
      <c r="V5" s="16">
        <f t="shared" si="1"/>
        <v>6.9444444444444753E-3</v>
      </c>
      <c r="W5" s="16">
        <v>4.1666666666666664E-2</v>
      </c>
      <c r="X5" s="16">
        <v>0.34027777777777773</v>
      </c>
      <c r="Y5" s="16">
        <v>0.38194444444444442</v>
      </c>
      <c r="Z5" s="16">
        <f t="shared" si="2"/>
        <v>4.1666666666666685E-2</v>
      </c>
      <c r="AA5" s="16">
        <f t="shared" ref="AA5:AA33" si="4">Z5-W5</f>
        <v>0</v>
      </c>
      <c r="AB5" s="16">
        <v>0.3888888888888889</v>
      </c>
      <c r="AC5" s="17"/>
      <c r="AD5" s="48"/>
    </row>
    <row r="6" spans="1:30" ht="19.5" thickBot="1" x14ac:dyDescent="0.3">
      <c r="A6" s="14">
        <v>4</v>
      </c>
      <c r="B6" s="15">
        <v>796</v>
      </c>
      <c r="C6" s="15" t="str">
        <f>VLOOKUP(B6,داتا!$B$3:$D$107,2,FALSE)</f>
        <v>دبابة</v>
      </c>
      <c r="D6" s="34">
        <f>VLOOKUP(B6,داتا!$B$3:$D$107,3,FALSE)</f>
        <v>2.0833333333333301E-2</v>
      </c>
      <c r="E6" s="15" t="s">
        <v>79</v>
      </c>
      <c r="F6" s="15" t="s">
        <v>145</v>
      </c>
      <c r="G6" s="16">
        <v>0.25</v>
      </c>
      <c r="H6" s="16">
        <v>0.27083333333333331</v>
      </c>
      <c r="I6" s="16">
        <f t="shared" si="3"/>
        <v>2.0833333333333315E-2</v>
      </c>
      <c r="J6" s="16">
        <v>0.25694444444444448</v>
      </c>
      <c r="K6" s="16">
        <v>0.28472222222222221</v>
      </c>
      <c r="L6" s="16" t="s">
        <v>216</v>
      </c>
      <c r="M6" s="16" t="s">
        <v>216</v>
      </c>
      <c r="N6" s="16">
        <f t="shared" si="0"/>
        <v>2.7777777777777735E-2</v>
      </c>
      <c r="O6" s="16">
        <f t="shared" ref="O6:O66" si="5">N6-D6</f>
        <v>6.9444444444444337E-3</v>
      </c>
      <c r="P6" s="16">
        <v>6.9444444444444397E-3</v>
      </c>
      <c r="Q6" s="16">
        <v>0.28472222222222221</v>
      </c>
      <c r="R6" s="16">
        <v>0</v>
      </c>
      <c r="S6" s="16">
        <v>0.2986111111111111</v>
      </c>
      <c r="T6" s="16">
        <f>VLOOKUP(E6,'[2]21-3-2026'!E$3:T$35,16,FALSE)</f>
        <v>2.0833333333333301E-2</v>
      </c>
      <c r="U6" s="16">
        <v>0.33680555555555558</v>
      </c>
      <c r="V6" s="16">
        <f t="shared" si="1"/>
        <v>1.736111111111116E-2</v>
      </c>
      <c r="W6" s="16">
        <v>3.125E-2</v>
      </c>
      <c r="X6" s="16">
        <v>0.34027777777777773</v>
      </c>
      <c r="Y6" s="16">
        <v>0.37152777777777773</v>
      </c>
      <c r="Z6" s="16">
        <f t="shared" si="2"/>
        <v>3.125E-2</v>
      </c>
      <c r="AA6" s="16">
        <f t="shared" si="4"/>
        <v>0</v>
      </c>
      <c r="AB6" s="16">
        <v>0.375</v>
      </c>
      <c r="AC6" s="17"/>
      <c r="AD6" s="48"/>
    </row>
    <row r="7" spans="1:30" ht="19.5" thickBot="1" x14ac:dyDescent="0.3">
      <c r="A7" s="14">
        <v>5</v>
      </c>
      <c r="B7" s="15">
        <v>5898</v>
      </c>
      <c r="C7" s="15" t="str">
        <f>VLOOKUP(B7,داتا!$B$3:$D$107,2,FALSE)</f>
        <v>تلتين</v>
      </c>
      <c r="D7" s="34">
        <f>VLOOKUP(B7,داتا!$B$3:$D$107,3,FALSE)</f>
        <v>3.125E-2</v>
      </c>
      <c r="E7" s="15" t="s">
        <v>38</v>
      </c>
      <c r="F7" s="15" t="s">
        <v>149</v>
      </c>
      <c r="G7" s="16">
        <v>0.25</v>
      </c>
      <c r="H7" s="16">
        <v>0.25</v>
      </c>
      <c r="I7" s="16">
        <f t="shared" si="3"/>
        <v>0</v>
      </c>
      <c r="J7" s="16">
        <v>0.1875</v>
      </c>
      <c r="K7" s="16">
        <v>0.20833333333333334</v>
      </c>
      <c r="L7" s="16" t="s">
        <v>139</v>
      </c>
      <c r="M7" s="16" t="s">
        <v>139</v>
      </c>
      <c r="N7" s="16">
        <f t="shared" si="0"/>
        <v>2.0833333333333343E-2</v>
      </c>
      <c r="O7" s="16">
        <v>0</v>
      </c>
      <c r="P7" s="16">
        <v>6.9444444444444397E-3</v>
      </c>
      <c r="Q7" s="16">
        <v>0.20486111111111113</v>
      </c>
      <c r="R7" s="16">
        <v>0</v>
      </c>
      <c r="S7" s="16">
        <v>0.26041666666666669</v>
      </c>
      <c r="T7" s="16">
        <f>VLOOKUP(E7,'[2]21-3-2026'!E$3:T$35,16,FALSE)</f>
        <v>1.0416666666666666E-2</v>
      </c>
      <c r="U7" s="16">
        <v>0.28819444444444448</v>
      </c>
      <c r="V7" s="16">
        <f t="shared" si="1"/>
        <v>1.7361111111111105E-2</v>
      </c>
      <c r="W7" s="16">
        <v>4.1666666666666664E-2</v>
      </c>
      <c r="X7" s="16">
        <v>0.29166666666666669</v>
      </c>
      <c r="Y7" s="16">
        <v>0.31875000000000003</v>
      </c>
      <c r="Z7" s="16">
        <f t="shared" si="2"/>
        <v>2.7083333333333348E-2</v>
      </c>
      <c r="AA7" s="16">
        <v>0</v>
      </c>
      <c r="AB7" s="16">
        <v>0.32291666666666669</v>
      </c>
      <c r="AC7" s="17"/>
      <c r="AD7" s="48"/>
    </row>
    <row r="8" spans="1:30" ht="19.5" thickBot="1" x14ac:dyDescent="0.3">
      <c r="A8" s="14">
        <v>6</v>
      </c>
      <c r="B8" s="15">
        <v>4879</v>
      </c>
      <c r="C8" s="15" t="str">
        <f>VLOOKUP(B8,داتا!$B$3:$D$107,2,FALSE)</f>
        <v>دبابة</v>
      </c>
      <c r="D8" s="34">
        <f>VLOOKUP(B8,داتا!$B$3:$D$107,3,FALSE)</f>
        <v>2.0833333333333301E-2</v>
      </c>
      <c r="E8" s="15" t="s">
        <v>39</v>
      </c>
      <c r="F8" s="15" t="s">
        <v>80</v>
      </c>
      <c r="G8" s="16">
        <v>0.25</v>
      </c>
      <c r="H8" s="16">
        <v>0.25</v>
      </c>
      <c r="I8" s="16">
        <f t="shared" si="3"/>
        <v>0</v>
      </c>
      <c r="J8" s="16">
        <v>0.21180555555555555</v>
      </c>
      <c r="K8" s="16">
        <v>0.22569444444444445</v>
      </c>
      <c r="L8" s="16" t="s">
        <v>139</v>
      </c>
      <c r="M8" s="16" t="s">
        <v>139</v>
      </c>
      <c r="N8" s="16">
        <f t="shared" si="0"/>
        <v>1.3888888888888895E-2</v>
      </c>
      <c r="O8" s="16">
        <v>0</v>
      </c>
      <c r="P8" s="16">
        <v>6.9444444444444397E-3</v>
      </c>
      <c r="Q8" s="16">
        <v>0.22222222222222221</v>
      </c>
      <c r="R8" s="16">
        <v>0</v>
      </c>
      <c r="S8" s="16">
        <v>0.25694444444444448</v>
      </c>
      <c r="T8" s="16">
        <f>VLOOKUP(E8,'[2]21-3-2026'!E$3:T$35,16,FALSE)</f>
        <v>1.7361111111111101E-2</v>
      </c>
      <c r="U8" s="16">
        <v>0.28125</v>
      </c>
      <c r="V8" s="16">
        <f t="shared" si="1"/>
        <v>6.9444444444444198E-3</v>
      </c>
      <c r="W8" s="16">
        <v>3.125E-2</v>
      </c>
      <c r="X8" s="16">
        <v>0.2951388888888889</v>
      </c>
      <c r="Y8" s="16">
        <v>0.3125</v>
      </c>
      <c r="Z8" s="16">
        <f t="shared" si="2"/>
        <v>1.7361111111111105E-2</v>
      </c>
      <c r="AA8" s="16">
        <v>0</v>
      </c>
      <c r="AB8" s="16">
        <v>0.31597222222222221</v>
      </c>
      <c r="AC8" s="18"/>
      <c r="AD8" s="48"/>
    </row>
    <row r="9" spans="1:30" ht="19.5" thickBot="1" x14ac:dyDescent="0.3">
      <c r="A9" s="14">
        <v>7</v>
      </c>
      <c r="B9" s="15">
        <v>3891</v>
      </c>
      <c r="C9" s="15" t="str">
        <f>VLOOKUP(B9,داتا!$B$3:$D$107,2,FALSE)</f>
        <v>تلتين</v>
      </c>
      <c r="D9" s="34">
        <f>VLOOKUP(B9,داتا!$B$3:$D$107,3,FALSE)</f>
        <v>3.125E-2</v>
      </c>
      <c r="E9" s="15" t="s">
        <v>73</v>
      </c>
      <c r="F9" s="15" t="s">
        <v>155</v>
      </c>
      <c r="G9" s="16">
        <v>0.25</v>
      </c>
      <c r="H9" s="16">
        <v>0.2638888888888889</v>
      </c>
      <c r="I9" s="16">
        <f t="shared" si="3"/>
        <v>1.3888888888888895E-2</v>
      </c>
      <c r="J9" s="16">
        <v>0.22569444444444445</v>
      </c>
      <c r="K9" s="16">
        <v>0.25347222222222221</v>
      </c>
      <c r="L9" s="16" t="s">
        <v>139</v>
      </c>
      <c r="M9" s="16" t="s">
        <v>139</v>
      </c>
      <c r="N9" s="16">
        <f t="shared" si="0"/>
        <v>2.7777777777777762E-2</v>
      </c>
      <c r="O9" s="16">
        <v>0</v>
      </c>
      <c r="P9" s="16">
        <v>6.9444444444444397E-3</v>
      </c>
      <c r="Q9" s="16">
        <v>0.26041666666666669</v>
      </c>
      <c r="R9" s="16">
        <f t="shared" ref="R9:R67" si="6">Q9-P9-K9</f>
        <v>0</v>
      </c>
      <c r="S9" s="16">
        <v>0.2673611111111111</v>
      </c>
      <c r="T9" s="16">
        <f>VLOOKUP(E9,'[2]21-3-2026'!E$3:T$35,16,FALSE)</f>
        <v>3.4722222222222203E-2</v>
      </c>
      <c r="U9" s="16">
        <v>0.30555555555555552</v>
      </c>
      <c r="V9" s="16">
        <f t="shared" si="1"/>
        <v>3.4722222222222099E-3</v>
      </c>
      <c r="W9" s="16">
        <v>4.1666666666666664E-2</v>
      </c>
      <c r="X9" s="16">
        <v>0.33680555555555558</v>
      </c>
      <c r="Y9" s="16">
        <v>0.37152777777777773</v>
      </c>
      <c r="Z9" s="16">
        <f t="shared" si="2"/>
        <v>3.4722222222222154E-2</v>
      </c>
      <c r="AA9" s="16">
        <v>0</v>
      </c>
      <c r="AB9" s="16">
        <v>0.37152777777777773</v>
      </c>
      <c r="AC9" s="17"/>
      <c r="AD9" s="48"/>
    </row>
    <row r="10" spans="1:30" ht="19.5" thickBot="1" x14ac:dyDescent="0.3">
      <c r="A10" s="14">
        <v>8</v>
      </c>
      <c r="B10" s="15">
        <v>3783</v>
      </c>
      <c r="C10" s="15" t="str">
        <f>VLOOKUP(B10,داتا!$B$3:$D$107,2,FALSE)</f>
        <v>دبابة</v>
      </c>
      <c r="D10" s="34">
        <f>VLOOKUP(B10,داتا!$B$3:$D$107,3,FALSE)</f>
        <v>2.0833333333333301E-2</v>
      </c>
      <c r="E10" s="15" t="s">
        <v>35</v>
      </c>
      <c r="F10" s="15" t="s">
        <v>71</v>
      </c>
      <c r="G10" s="16">
        <v>0.25</v>
      </c>
      <c r="H10" s="16">
        <v>0.27083333333333331</v>
      </c>
      <c r="I10" s="16">
        <f t="shared" si="3"/>
        <v>2.0833333333333315E-2</v>
      </c>
      <c r="J10" s="16">
        <v>0.25347222222222221</v>
      </c>
      <c r="K10" s="16">
        <v>0.27083333333333331</v>
      </c>
      <c r="L10" s="16" t="s">
        <v>139</v>
      </c>
      <c r="M10" s="16" t="s">
        <v>139</v>
      </c>
      <c r="N10" s="16">
        <f t="shared" si="0"/>
        <v>1.7361111111111105E-2</v>
      </c>
      <c r="O10" s="16">
        <v>0</v>
      </c>
      <c r="P10" s="16">
        <v>6.9444444444444397E-3</v>
      </c>
      <c r="Q10" s="16">
        <v>0.27777777777777779</v>
      </c>
      <c r="R10" s="16">
        <f t="shared" si="6"/>
        <v>0</v>
      </c>
      <c r="S10" s="16">
        <v>0.2986111111111111</v>
      </c>
      <c r="T10" s="16">
        <f>VLOOKUP(E10,'[2]21-3-2026'!E$3:T$35,16,FALSE)</f>
        <v>3.4722222222222203E-2</v>
      </c>
      <c r="U10" s="16">
        <v>0.3354166666666667</v>
      </c>
      <c r="V10" s="16">
        <f t="shared" si="1"/>
        <v>2.0833333333333814E-3</v>
      </c>
      <c r="W10" s="16">
        <v>3.125E-2</v>
      </c>
      <c r="X10" s="16">
        <v>0.33888888888888885</v>
      </c>
      <c r="Y10" s="16">
        <v>0.36458333333333331</v>
      </c>
      <c r="Z10" s="16">
        <f t="shared" si="2"/>
        <v>2.5694444444444464E-2</v>
      </c>
      <c r="AA10" s="16">
        <v>0</v>
      </c>
      <c r="AB10" s="16">
        <v>0.36805555555555558</v>
      </c>
      <c r="AC10" s="17"/>
      <c r="AD10" s="48"/>
    </row>
    <row r="11" spans="1:30" ht="19.5" thickBot="1" x14ac:dyDescent="0.3">
      <c r="A11" s="14">
        <v>9</v>
      </c>
      <c r="B11" s="15">
        <v>9198</v>
      </c>
      <c r="C11" s="15" t="str">
        <f>VLOOKUP(B11,داتا!$B$3:$D$107,2,FALSE)</f>
        <v>دبابة</v>
      </c>
      <c r="D11" s="34">
        <f>VLOOKUP(B11,داتا!$B$3:$D$107,3,FALSE)</f>
        <v>2.0833333333333301E-2</v>
      </c>
      <c r="E11" s="15" t="s">
        <v>92</v>
      </c>
      <c r="F11" s="15" t="s">
        <v>106</v>
      </c>
      <c r="G11" s="16">
        <v>0.25</v>
      </c>
      <c r="H11" s="16">
        <v>0.27430555555555552</v>
      </c>
      <c r="I11" s="16">
        <f t="shared" si="3"/>
        <v>2.4305555555555525E-2</v>
      </c>
      <c r="J11" s="16">
        <v>0.27430555555555552</v>
      </c>
      <c r="K11" s="16">
        <v>0.28819444444444448</v>
      </c>
      <c r="L11" s="16" t="s">
        <v>139</v>
      </c>
      <c r="M11" s="16" t="s">
        <v>139</v>
      </c>
      <c r="N11" s="16">
        <f t="shared" si="0"/>
        <v>1.3888888888888951E-2</v>
      </c>
      <c r="O11" s="16">
        <v>0</v>
      </c>
      <c r="P11" s="16">
        <v>6.9444444444444397E-3</v>
      </c>
      <c r="Q11" s="16">
        <v>0.2986111111111111</v>
      </c>
      <c r="R11" s="16">
        <f t="shared" si="6"/>
        <v>3.4722222222222099E-3</v>
      </c>
      <c r="S11" s="16">
        <v>0.2986111111111111</v>
      </c>
      <c r="T11" s="16">
        <f>VLOOKUP(E11,'[2]21-3-2026'!E$3:T$35,16,FALSE)</f>
        <v>1.38888888888889E-2</v>
      </c>
      <c r="U11" s="16">
        <v>0.31944444444444448</v>
      </c>
      <c r="V11" s="16">
        <f t="shared" si="1"/>
        <v>6.9444444444444753E-3</v>
      </c>
      <c r="W11" s="16">
        <v>3.125E-2</v>
      </c>
      <c r="X11" s="16">
        <v>0.3298611111111111</v>
      </c>
      <c r="Y11" s="16">
        <v>0.3576388888888889</v>
      </c>
      <c r="Z11" s="16">
        <f t="shared" si="2"/>
        <v>2.777777777777779E-2</v>
      </c>
      <c r="AA11" s="16">
        <v>0</v>
      </c>
      <c r="AB11" s="16">
        <v>0.3611111111111111</v>
      </c>
      <c r="AC11" s="17"/>
      <c r="AD11" s="48"/>
    </row>
    <row r="12" spans="1:30" ht="19.5" thickBot="1" x14ac:dyDescent="0.3">
      <c r="A12" s="14">
        <v>10</v>
      </c>
      <c r="B12" s="15">
        <v>7464</v>
      </c>
      <c r="C12" s="15" t="str">
        <f>VLOOKUP(B12,داتا!$B$3:$D$107,2,FALSE)</f>
        <v>تلتين</v>
      </c>
      <c r="D12" s="34">
        <f>VLOOKUP(B12,داتا!$B$3:$D$107,3,FALSE)</f>
        <v>3.125E-2</v>
      </c>
      <c r="E12" s="15" t="s">
        <v>57</v>
      </c>
      <c r="F12" s="15" t="s">
        <v>47</v>
      </c>
      <c r="G12" s="16">
        <v>0.25</v>
      </c>
      <c r="H12" s="16">
        <v>0.25</v>
      </c>
      <c r="I12" s="16">
        <f t="shared" si="3"/>
        <v>0</v>
      </c>
      <c r="J12" s="16">
        <v>0.1875</v>
      </c>
      <c r="K12" s="16">
        <v>0.21180555555555555</v>
      </c>
      <c r="L12" s="16" t="s">
        <v>205</v>
      </c>
      <c r="M12" s="16" t="s">
        <v>205</v>
      </c>
      <c r="N12" s="16">
        <f t="shared" si="0"/>
        <v>2.4305555555555552E-2</v>
      </c>
      <c r="O12" s="16">
        <v>0</v>
      </c>
      <c r="P12" s="16">
        <v>6.9444444444444397E-3</v>
      </c>
      <c r="Q12" s="16">
        <v>0.22569444444444445</v>
      </c>
      <c r="R12" s="16">
        <f t="shared" si="6"/>
        <v>6.9444444444444475E-3</v>
      </c>
      <c r="S12" s="16">
        <v>0.26041666666666669</v>
      </c>
      <c r="T12" s="16">
        <f>VLOOKUP(E12,'[2]21-3-2026'!E$3:T$35,16,FALSE)</f>
        <v>1.7361111111111101E-2</v>
      </c>
      <c r="U12" s="16">
        <v>0.27777777777777779</v>
      </c>
      <c r="V12" s="16">
        <f t="shared" si="1"/>
        <v>0</v>
      </c>
      <c r="W12" s="16">
        <v>3.125E-2</v>
      </c>
      <c r="X12" s="16">
        <v>0.2902777777777778</v>
      </c>
      <c r="Y12" s="16">
        <v>0.31944444444444448</v>
      </c>
      <c r="Z12" s="16">
        <f t="shared" si="2"/>
        <v>2.9166666666666674E-2</v>
      </c>
      <c r="AA12" s="16">
        <v>0</v>
      </c>
      <c r="AB12" s="16">
        <v>0.3215277777777778</v>
      </c>
      <c r="AC12" s="17"/>
      <c r="AD12" s="48"/>
    </row>
    <row r="13" spans="1:30" ht="19.5" thickBot="1" x14ac:dyDescent="0.3">
      <c r="A13" s="14">
        <v>11</v>
      </c>
      <c r="B13" s="15">
        <v>7464</v>
      </c>
      <c r="C13" s="15" t="str">
        <f>VLOOKUP(B13,داتا!$B$3:$D$107,2,FALSE)</f>
        <v>تلتين</v>
      </c>
      <c r="D13" s="34">
        <f>VLOOKUP(B13,داتا!$B$3:$D$107,3,FALSE)</f>
        <v>3.125E-2</v>
      </c>
      <c r="E13" s="15" t="s">
        <v>60</v>
      </c>
      <c r="F13" s="15" t="s">
        <v>47</v>
      </c>
      <c r="G13" s="16">
        <v>0.25</v>
      </c>
      <c r="H13" s="16">
        <v>0.25</v>
      </c>
      <c r="I13" s="16">
        <f t="shared" si="3"/>
        <v>0</v>
      </c>
      <c r="J13" s="16">
        <v>0.1875</v>
      </c>
      <c r="K13" s="16">
        <v>0.21180555555555555</v>
      </c>
      <c r="L13" s="16" t="s">
        <v>205</v>
      </c>
      <c r="M13" s="16" t="s">
        <v>205</v>
      </c>
      <c r="N13" s="16">
        <f t="shared" si="0"/>
        <v>2.4305555555555552E-2</v>
      </c>
      <c r="O13" s="16">
        <v>0</v>
      </c>
      <c r="P13" s="16">
        <v>6.9444444444444397E-3</v>
      </c>
      <c r="Q13" s="16">
        <v>0.22569444444444445</v>
      </c>
      <c r="R13" s="16">
        <f t="shared" si="6"/>
        <v>6.9444444444444475E-3</v>
      </c>
      <c r="S13" s="16">
        <v>0.26041666666666669</v>
      </c>
      <c r="T13" s="16">
        <f>VLOOKUP(E13,'[2]21-3-2026'!E$3:T$35,16,FALSE)</f>
        <v>1.0416666666666701E-2</v>
      </c>
      <c r="U13" s="16">
        <v>0.3298611111111111</v>
      </c>
      <c r="V13" s="16">
        <v>0</v>
      </c>
      <c r="W13" s="16">
        <v>4.1666666666666664E-2</v>
      </c>
      <c r="X13" s="16">
        <v>0.33680555555555558</v>
      </c>
      <c r="Y13" s="16">
        <v>0.3611111111111111</v>
      </c>
      <c r="Z13" s="16">
        <f t="shared" si="2"/>
        <v>2.4305555555555525E-2</v>
      </c>
      <c r="AA13" s="16">
        <v>0</v>
      </c>
      <c r="AB13" s="16">
        <v>0.36458333333333331</v>
      </c>
      <c r="AC13" s="18"/>
      <c r="AD13" s="48"/>
    </row>
    <row r="14" spans="1:30" ht="19.5" thickBot="1" x14ac:dyDescent="0.3">
      <c r="A14" s="14">
        <v>12</v>
      </c>
      <c r="B14" s="15">
        <v>2917</v>
      </c>
      <c r="C14" s="15" t="str">
        <f>VLOOKUP(B14,داتا!$B$3:$D$107,2,FALSE)</f>
        <v>تلتين</v>
      </c>
      <c r="D14" s="34">
        <f>VLOOKUP(B14,داتا!$B$3:$D$107,3,FALSE)</f>
        <v>3.125E-2</v>
      </c>
      <c r="E14" s="15" t="s">
        <v>61</v>
      </c>
      <c r="F14" s="15" t="s">
        <v>150</v>
      </c>
      <c r="G14" s="16">
        <v>0.25</v>
      </c>
      <c r="H14" s="16">
        <v>0.25</v>
      </c>
      <c r="I14" s="16">
        <f t="shared" si="3"/>
        <v>0</v>
      </c>
      <c r="J14" s="16">
        <v>0.21875</v>
      </c>
      <c r="K14" s="16">
        <v>0.25</v>
      </c>
      <c r="L14" s="16" t="s">
        <v>205</v>
      </c>
      <c r="M14" s="16" t="s">
        <v>205</v>
      </c>
      <c r="N14" s="16">
        <f t="shared" si="0"/>
        <v>3.125E-2</v>
      </c>
      <c r="O14" s="16">
        <f t="shared" si="5"/>
        <v>0</v>
      </c>
      <c r="P14" s="16">
        <v>6.9444444444444397E-3</v>
      </c>
      <c r="Q14" s="16">
        <v>0.26041666666666669</v>
      </c>
      <c r="R14" s="16">
        <f t="shared" si="6"/>
        <v>3.4722222222222654E-3</v>
      </c>
      <c r="S14" s="16">
        <v>0.26041666666666669</v>
      </c>
      <c r="T14" s="16">
        <f>VLOOKUP(E14,'[2]21-3-2026'!E$3:T$35,16,FALSE)</f>
        <v>3.4722222222222203E-2</v>
      </c>
      <c r="U14" s="16">
        <v>0.30555555555555552</v>
      </c>
      <c r="V14" s="16">
        <f t="shared" si="1"/>
        <v>1.041666666666663E-2</v>
      </c>
      <c r="W14" s="16">
        <v>3.125E-2</v>
      </c>
      <c r="X14" s="16">
        <v>0.33333333333333331</v>
      </c>
      <c r="Y14" s="16">
        <v>0.35972222222222222</v>
      </c>
      <c r="Z14" s="16">
        <f t="shared" si="2"/>
        <v>2.6388888888888906E-2</v>
      </c>
      <c r="AA14" s="16">
        <v>0</v>
      </c>
      <c r="AB14" s="16">
        <v>0.36458333333333331</v>
      </c>
      <c r="AC14" s="17"/>
      <c r="AD14" s="48"/>
    </row>
    <row r="15" spans="1:30" ht="19.5" thickBot="1" x14ac:dyDescent="0.3">
      <c r="A15" s="14">
        <v>13</v>
      </c>
      <c r="B15" s="15">
        <v>2917</v>
      </c>
      <c r="C15" s="15" t="str">
        <f>VLOOKUP(B15,داتا!$B$3:$D$107,2,FALSE)</f>
        <v>تلتين</v>
      </c>
      <c r="D15" s="34">
        <f>VLOOKUP(B15,داتا!$B$3:$D$107,3,FALSE)</f>
        <v>3.125E-2</v>
      </c>
      <c r="E15" s="15" t="s">
        <v>55</v>
      </c>
      <c r="F15" s="15" t="s">
        <v>150</v>
      </c>
      <c r="G15" s="16">
        <v>0.25</v>
      </c>
      <c r="H15" s="16">
        <v>0.25</v>
      </c>
      <c r="I15" s="16">
        <f t="shared" si="3"/>
        <v>0</v>
      </c>
      <c r="J15" s="16">
        <v>0.21875</v>
      </c>
      <c r="K15" s="16">
        <v>0.25</v>
      </c>
      <c r="L15" s="16" t="s">
        <v>205</v>
      </c>
      <c r="M15" s="16" t="s">
        <v>205</v>
      </c>
      <c r="N15" s="16">
        <f t="shared" si="0"/>
        <v>3.125E-2</v>
      </c>
      <c r="O15" s="16">
        <f t="shared" si="5"/>
        <v>0</v>
      </c>
      <c r="P15" s="16">
        <v>6.9444444444444397E-3</v>
      </c>
      <c r="Q15" s="16">
        <v>0.26041666666666669</v>
      </c>
      <c r="R15" s="16">
        <f t="shared" si="6"/>
        <v>3.4722222222222654E-3</v>
      </c>
      <c r="S15" s="16">
        <v>0.26041666666666669</v>
      </c>
      <c r="T15" s="16">
        <f>VLOOKUP(E15,'[2]21-3-2026'!E$3:T$35,16,FALSE)</f>
        <v>3.8194444444444399E-2</v>
      </c>
      <c r="U15" s="16">
        <v>0.375</v>
      </c>
      <c r="V15" s="16">
        <v>0</v>
      </c>
      <c r="W15" s="16">
        <v>4.1666666666666664E-2</v>
      </c>
      <c r="X15" s="16">
        <v>0.37847222222222227</v>
      </c>
      <c r="Y15" s="16">
        <v>0.40625</v>
      </c>
      <c r="Z15" s="16">
        <f t="shared" si="2"/>
        <v>2.7777777777777735E-2</v>
      </c>
      <c r="AA15" s="16">
        <v>0</v>
      </c>
      <c r="AB15" s="16">
        <v>0.40972222222222227</v>
      </c>
      <c r="AC15" s="17"/>
      <c r="AD15" s="48"/>
    </row>
    <row r="16" spans="1:30" ht="19.5" thickBot="1" x14ac:dyDescent="0.3">
      <c r="A16" s="14">
        <v>14</v>
      </c>
      <c r="B16" s="15">
        <v>459</v>
      </c>
      <c r="C16" s="15" t="str">
        <f>VLOOKUP(B16,داتا!$B$3:$D$107,2,FALSE)</f>
        <v>دبابة</v>
      </c>
      <c r="D16" s="34">
        <f>VLOOKUP(B16,داتا!$B$3:$D$107,3,FALSE)</f>
        <v>2.0833333333333301E-2</v>
      </c>
      <c r="E16" s="15" t="s">
        <v>98</v>
      </c>
      <c r="F16" s="15" t="s">
        <v>156</v>
      </c>
      <c r="G16" s="16">
        <v>0.29166666666666669</v>
      </c>
      <c r="H16" s="16">
        <v>0.28472222222222221</v>
      </c>
      <c r="I16" s="16">
        <v>0</v>
      </c>
      <c r="J16" s="16">
        <v>0.26041666666666669</v>
      </c>
      <c r="K16" s="16">
        <v>0.27777777777777779</v>
      </c>
      <c r="L16" s="16" t="s">
        <v>205</v>
      </c>
      <c r="M16" s="16" t="s">
        <v>205</v>
      </c>
      <c r="N16" s="16">
        <f t="shared" si="0"/>
        <v>1.7361111111111105E-2</v>
      </c>
      <c r="O16" s="16">
        <v>0</v>
      </c>
      <c r="P16" s="16">
        <v>6.9444444444444397E-3</v>
      </c>
      <c r="Q16" s="16">
        <v>0.28819444444444448</v>
      </c>
      <c r="R16" s="16">
        <f t="shared" si="6"/>
        <v>3.4722222222222654E-3</v>
      </c>
      <c r="S16" s="16">
        <v>0.30555555555555552</v>
      </c>
      <c r="T16" s="16">
        <f>VLOOKUP(E16,'[2]21-3-2026'!E$3:T$35,16,FALSE)</f>
        <v>4.8611111111111103E-3</v>
      </c>
      <c r="U16" s="16">
        <v>0.31944444444444448</v>
      </c>
      <c r="V16" s="16">
        <f t="shared" si="1"/>
        <v>9.0277777777778567E-3</v>
      </c>
      <c r="W16" s="16">
        <v>3.125E-2</v>
      </c>
      <c r="X16" s="16">
        <v>0.33333333333333331</v>
      </c>
      <c r="Y16" s="16">
        <v>0.3659722222222222</v>
      </c>
      <c r="Z16" s="16">
        <f t="shared" si="2"/>
        <v>3.2638888888888884E-2</v>
      </c>
      <c r="AA16" s="16">
        <f t="shared" si="4"/>
        <v>1.388888888888884E-3</v>
      </c>
      <c r="AB16" s="16">
        <v>0.36805555555555558</v>
      </c>
      <c r="AC16" s="17"/>
      <c r="AD16" s="48"/>
    </row>
    <row r="17" spans="1:30" ht="19.5" thickBot="1" x14ac:dyDescent="0.3">
      <c r="A17" s="14">
        <v>15</v>
      </c>
      <c r="B17" s="15">
        <v>1537</v>
      </c>
      <c r="C17" s="15" t="str">
        <f>VLOOKUP(B17,داتا!$B$3:$D$107,2,FALSE)</f>
        <v>تلتين</v>
      </c>
      <c r="D17" s="34">
        <f>VLOOKUP(B17,داتا!$B$3:$D$107,3,FALSE)</f>
        <v>3.125E-2</v>
      </c>
      <c r="E17" s="15" t="s">
        <v>45</v>
      </c>
      <c r="F17" s="15" t="s">
        <v>154</v>
      </c>
      <c r="G17" s="16">
        <v>0.25</v>
      </c>
      <c r="H17" s="16">
        <v>0.25</v>
      </c>
      <c r="I17" s="16">
        <f t="shared" si="3"/>
        <v>0</v>
      </c>
      <c r="J17" s="16">
        <v>0.1875</v>
      </c>
      <c r="K17" s="16">
        <v>0.20833333333333334</v>
      </c>
      <c r="L17" s="16" t="s">
        <v>239</v>
      </c>
      <c r="M17" s="16" t="s">
        <v>239</v>
      </c>
      <c r="N17" s="16">
        <f t="shared" si="0"/>
        <v>2.0833333333333343E-2</v>
      </c>
      <c r="O17" s="16">
        <v>0</v>
      </c>
      <c r="P17" s="16">
        <v>6.9444444444444397E-3</v>
      </c>
      <c r="Q17" s="16">
        <v>0.21875</v>
      </c>
      <c r="R17" s="16">
        <f t="shared" si="6"/>
        <v>3.4722222222222099E-3</v>
      </c>
      <c r="S17" s="16">
        <v>0.26041666666666669</v>
      </c>
      <c r="T17" s="16">
        <f>VLOOKUP(E17,'[2]21-3-2026'!E$3:T$35,16,FALSE)</f>
        <v>1.38888888888889E-2</v>
      </c>
      <c r="U17" s="16">
        <v>0.2951388888888889</v>
      </c>
      <c r="V17" s="16">
        <f t="shared" si="1"/>
        <v>2.0833333333333315E-2</v>
      </c>
      <c r="W17" s="16">
        <v>4.1666666666666664E-2</v>
      </c>
      <c r="X17" s="16">
        <v>0.2986111111111111</v>
      </c>
      <c r="Y17" s="16">
        <v>0.33194444444444443</v>
      </c>
      <c r="Z17" s="16">
        <f t="shared" si="2"/>
        <v>3.3333333333333326E-2</v>
      </c>
      <c r="AA17" s="16">
        <v>0</v>
      </c>
      <c r="AB17" s="16">
        <v>0.33333333333333331</v>
      </c>
      <c r="AC17" s="17"/>
      <c r="AD17" s="48"/>
    </row>
    <row r="18" spans="1:30" ht="19.5" thickBot="1" x14ac:dyDescent="0.3">
      <c r="A18" s="14">
        <v>16</v>
      </c>
      <c r="B18" s="15">
        <v>1451</v>
      </c>
      <c r="C18" s="15" t="str">
        <f>VLOOKUP(B18,داتا!$B$3:$D$107,2,FALSE)</f>
        <v>تلتين</v>
      </c>
      <c r="D18" s="34">
        <f>VLOOKUP(B18,داتا!$B$3:$D$107,3,FALSE)</f>
        <v>3.125E-2</v>
      </c>
      <c r="E18" s="16" t="s">
        <v>70</v>
      </c>
      <c r="F18" s="15" t="s">
        <v>169</v>
      </c>
      <c r="G18" s="16">
        <v>0.25</v>
      </c>
      <c r="H18" s="16">
        <v>0.25</v>
      </c>
      <c r="I18" s="16">
        <f t="shared" si="3"/>
        <v>0</v>
      </c>
      <c r="J18" s="16">
        <v>0.21527777777777779</v>
      </c>
      <c r="K18" s="16">
        <v>0.24652777777777779</v>
      </c>
      <c r="L18" s="16" t="s">
        <v>239</v>
      </c>
      <c r="M18" s="16" t="s">
        <v>239</v>
      </c>
      <c r="N18" s="16">
        <f t="shared" si="0"/>
        <v>3.125E-2</v>
      </c>
      <c r="O18" s="16">
        <f t="shared" si="5"/>
        <v>0</v>
      </c>
      <c r="P18" s="16">
        <v>6.9444444444444397E-3</v>
      </c>
      <c r="Q18" s="16">
        <v>0.25694444444444448</v>
      </c>
      <c r="R18" s="16">
        <f t="shared" si="6"/>
        <v>3.4722222222222654E-3</v>
      </c>
      <c r="S18" s="16">
        <v>0.2673611111111111</v>
      </c>
      <c r="T18" s="16">
        <f>VLOOKUP(E18,'[2]21-3-2026'!E$3:T$35,16,FALSE)</f>
        <v>1.0416666666666701E-2</v>
      </c>
      <c r="U18" s="16">
        <v>0.27777777777777779</v>
      </c>
      <c r="V18" s="16">
        <f t="shared" si="1"/>
        <v>0</v>
      </c>
      <c r="W18" s="16">
        <v>3.125E-2</v>
      </c>
      <c r="X18" s="16">
        <v>0.2986111111111111</v>
      </c>
      <c r="Y18" s="16">
        <v>0.3263888888888889</v>
      </c>
      <c r="Z18" s="16">
        <f t="shared" si="2"/>
        <v>2.777777777777779E-2</v>
      </c>
      <c r="AA18" s="16">
        <v>0</v>
      </c>
      <c r="AB18" s="16">
        <v>0.3298611111111111</v>
      </c>
      <c r="AC18" s="17"/>
      <c r="AD18" s="48"/>
    </row>
    <row r="19" spans="1:30" ht="19.5" thickBot="1" x14ac:dyDescent="0.3">
      <c r="A19" s="14">
        <v>17</v>
      </c>
      <c r="B19" s="15">
        <v>1451</v>
      </c>
      <c r="C19" s="15" t="str">
        <f>VLOOKUP(B19,داتا!$B$3:$D$107,2,FALSE)</f>
        <v>تلتين</v>
      </c>
      <c r="D19" s="34">
        <f>VLOOKUP(B19,داتا!$B$3:$D$107,3,FALSE)</f>
        <v>3.125E-2</v>
      </c>
      <c r="E19" s="15" t="s">
        <v>72</v>
      </c>
      <c r="F19" s="15" t="s">
        <v>169</v>
      </c>
      <c r="G19" s="16">
        <v>0.25</v>
      </c>
      <c r="H19" s="16">
        <v>0.25</v>
      </c>
      <c r="I19" s="16">
        <f t="shared" si="3"/>
        <v>0</v>
      </c>
      <c r="J19" s="16">
        <v>0.21527777777777779</v>
      </c>
      <c r="K19" s="16">
        <v>0.24652777777777779</v>
      </c>
      <c r="L19" s="16" t="s">
        <v>239</v>
      </c>
      <c r="M19" s="16" t="s">
        <v>239</v>
      </c>
      <c r="N19" s="16">
        <f t="shared" si="0"/>
        <v>3.125E-2</v>
      </c>
      <c r="O19" s="16">
        <f t="shared" si="5"/>
        <v>0</v>
      </c>
      <c r="P19" s="16">
        <v>6.9444444444444397E-3</v>
      </c>
      <c r="Q19" s="16">
        <v>0.25694444444444448</v>
      </c>
      <c r="R19" s="16">
        <f t="shared" si="6"/>
        <v>3.4722222222222654E-3</v>
      </c>
      <c r="S19" s="16">
        <v>0.2673611111111111</v>
      </c>
      <c r="T19" s="16">
        <f>VLOOKUP(E19,'[2]21-3-2026'!E$3:T$35,16,FALSE)</f>
        <v>1.0416666666666701E-2</v>
      </c>
      <c r="U19" s="16">
        <v>0.35416666666666669</v>
      </c>
      <c r="V19" s="16">
        <v>1.3888888888888888E-2</v>
      </c>
      <c r="W19" s="16">
        <v>4.1666666666666664E-2</v>
      </c>
      <c r="X19" s="16">
        <v>0.3576388888888889</v>
      </c>
      <c r="Y19" s="16">
        <v>0.375</v>
      </c>
      <c r="Z19" s="16">
        <f t="shared" si="2"/>
        <v>1.7361111111111105E-2</v>
      </c>
      <c r="AA19" s="16">
        <v>0</v>
      </c>
      <c r="AB19" s="16">
        <v>0.37847222222222227</v>
      </c>
      <c r="AC19" s="17"/>
      <c r="AD19" s="48"/>
    </row>
    <row r="20" spans="1:30" ht="19.5" thickBot="1" x14ac:dyDescent="0.3">
      <c r="A20" s="14">
        <v>18</v>
      </c>
      <c r="B20" s="15">
        <v>3495</v>
      </c>
      <c r="C20" s="15" t="str">
        <f>VLOOKUP(B20,داتا!$B$3:$D$107,2,FALSE)</f>
        <v>تلتين</v>
      </c>
      <c r="D20" s="34">
        <f>VLOOKUP(B20,داتا!$B$3:$D$107,3,FALSE)</f>
        <v>3.125E-2</v>
      </c>
      <c r="E20" s="15" t="s">
        <v>42</v>
      </c>
      <c r="F20" s="15" t="s">
        <v>148</v>
      </c>
      <c r="G20" s="16">
        <v>0.25</v>
      </c>
      <c r="H20" s="16">
        <v>0.25</v>
      </c>
      <c r="I20" s="16">
        <f t="shared" si="3"/>
        <v>0</v>
      </c>
      <c r="J20" s="16">
        <v>0.25694444444444448</v>
      </c>
      <c r="K20" s="16">
        <v>0.27083333333333331</v>
      </c>
      <c r="L20" s="16" t="s">
        <v>239</v>
      </c>
      <c r="M20" s="16" t="s">
        <v>239</v>
      </c>
      <c r="N20" s="16">
        <f t="shared" si="0"/>
        <v>1.388888888888884E-2</v>
      </c>
      <c r="O20" s="16">
        <v>0</v>
      </c>
      <c r="P20" s="16">
        <v>6.9444444444444397E-3</v>
      </c>
      <c r="Q20" s="16">
        <v>0.27777777777777779</v>
      </c>
      <c r="R20" s="16">
        <f t="shared" si="6"/>
        <v>0</v>
      </c>
      <c r="S20" s="16">
        <v>0.28125</v>
      </c>
      <c r="T20" s="16">
        <f>VLOOKUP(E20,'[2]21-3-2026'!E$3:T$35,16,FALSE)</f>
        <v>1.7361111111111101E-2</v>
      </c>
      <c r="U20" s="16">
        <v>0.30555555555555552</v>
      </c>
      <c r="V20" s="16">
        <f t="shared" si="1"/>
        <v>6.9444444444444198E-3</v>
      </c>
      <c r="W20" s="16">
        <v>4.1666666666666664E-2</v>
      </c>
      <c r="X20" s="16">
        <v>0.34375</v>
      </c>
      <c r="Y20" s="16">
        <v>0.36458333333333331</v>
      </c>
      <c r="Z20" s="16">
        <f t="shared" si="2"/>
        <v>2.0833333333333315E-2</v>
      </c>
      <c r="AA20" s="16">
        <v>0</v>
      </c>
      <c r="AB20" s="16">
        <v>0.36805555555555558</v>
      </c>
      <c r="AC20" s="17"/>
      <c r="AD20" s="48"/>
    </row>
    <row r="21" spans="1:30" ht="19.5" thickBot="1" x14ac:dyDescent="0.3">
      <c r="A21" s="14">
        <v>19</v>
      </c>
      <c r="B21" s="15">
        <v>634</v>
      </c>
      <c r="C21" s="15" t="str">
        <f>VLOOKUP(B21,داتا!$B$3:$D$107,2,FALSE)</f>
        <v>دبابة</v>
      </c>
      <c r="D21" s="34">
        <f>VLOOKUP(B21,داتا!$B$3:$D$107,3,FALSE)</f>
        <v>2.0833333333333301E-2</v>
      </c>
      <c r="E21" s="15" t="s">
        <v>89</v>
      </c>
      <c r="F21" s="15" t="s">
        <v>90</v>
      </c>
      <c r="G21" s="16">
        <v>0.25</v>
      </c>
      <c r="H21" s="16">
        <v>0.25</v>
      </c>
      <c r="I21" s="16">
        <f t="shared" si="3"/>
        <v>0</v>
      </c>
      <c r="J21" s="16">
        <v>0.27777777777777779</v>
      </c>
      <c r="K21" s="16">
        <v>0.29166666666666669</v>
      </c>
      <c r="L21" s="16" t="s">
        <v>239</v>
      </c>
      <c r="M21" s="16" t="s">
        <v>239</v>
      </c>
      <c r="N21" s="16">
        <f t="shared" si="0"/>
        <v>1.3888888888888895E-2</v>
      </c>
      <c r="O21" s="16">
        <v>0</v>
      </c>
      <c r="P21" s="16">
        <v>6.9444444444444397E-3</v>
      </c>
      <c r="Q21" s="16">
        <v>0.2986111111111111</v>
      </c>
      <c r="R21" s="16">
        <f t="shared" si="6"/>
        <v>0</v>
      </c>
      <c r="S21" s="16">
        <v>0.2986111111111111</v>
      </c>
      <c r="T21" s="16">
        <f>VLOOKUP(E21,'[2]21-3-2026'!E$3:T$35,16,FALSE)</f>
        <v>1.7361111111111101E-2</v>
      </c>
      <c r="U21" s="16">
        <v>0.32291666666666669</v>
      </c>
      <c r="V21" s="16">
        <f t="shared" si="1"/>
        <v>6.9444444444444753E-3</v>
      </c>
      <c r="W21" s="16">
        <v>3.125E-2</v>
      </c>
      <c r="X21" s="16">
        <v>0.33749999999999997</v>
      </c>
      <c r="Y21" s="16">
        <v>0.36458333333333331</v>
      </c>
      <c r="Z21" s="16">
        <f t="shared" si="2"/>
        <v>2.7083333333333348E-2</v>
      </c>
      <c r="AA21" s="16">
        <v>0</v>
      </c>
      <c r="AB21" s="16">
        <v>0.3659722222222222</v>
      </c>
      <c r="AC21" s="17"/>
      <c r="AD21" s="48"/>
    </row>
    <row r="22" spans="1:30" ht="19.5" thickBot="1" x14ac:dyDescent="0.3">
      <c r="A22" s="14">
        <v>20</v>
      </c>
      <c r="B22" s="15">
        <v>6143</v>
      </c>
      <c r="C22" s="15" t="str">
        <f>VLOOKUP(B22,داتا!$B$3:$D$107,2,FALSE)</f>
        <v>تلتين</v>
      </c>
      <c r="D22" s="34">
        <f>VLOOKUP(B22,داتا!$B$3:$D$107,3,FALSE)</f>
        <v>3.125E-2</v>
      </c>
      <c r="E22" s="15" t="s">
        <v>46</v>
      </c>
      <c r="F22" s="15" t="s">
        <v>117</v>
      </c>
      <c r="G22" s="16">
        <v>0.25</v>
      </c>
      <c r="H22" s="16">
        <v>0.25</v>
      </c>
      <c r="I22" s="16">
        <f t="shared" si="3"/>
        <v>0</v>
      </c>
      <c r="J22" s="16">
        <v>0.1875</v>
      </c>
      <c r="K22" s="16">
        <v>0.20833333333333334</v>
      </c>
      <c r="L22" s="16" t="s">
        <v>48</v>
      </c>
      <c r="M22" s="16" t="s">
        <v>48</v>
      </c>
      <c r="N22" s="16">
        <f t="shared" si="0"/>
        <v>2.0833333333333343E-2</v>
      </c>
      <c r="O22" s="16">
        <v>0</v>
      </c>
      <c r="P22" s="16">
        <v>6.9444444444444397E-3</v>
      </c>
      <c r="Q22" s="16">
        <v>0.22569444444444445</v>
      </c>
      <c r="R22" s="16">
        <f t="shared" si="6"/>
        <v>1.0416666666666657E-2</v>
      </c>
      <c r="S22" s="16">
        <v>0.25347222222222221</v>
      </c>
      <c r="T22" s="16">
        <f>VLOOKUP(E22,'[2]21-3-2026'!E$3:T$35,16,FALSE)</f>
        <v>3.4722222222222203E-2</v>
      </c>
      <c r="U22" s="16">
        <v>0.27777777777777779</v>
      </c>
      <c r="V22" s="16">
        <v>0</v>
      </c>
      <c r="W22" s="16">
        <v>4.1666666666666664E-2</v>
      </c>
      <c r="X22" s="16">
        <v>0.29722222222222222</v>
      </c>
      <c r="Y22" s="16">
        <v>0.34722222222222227</v>
      </c>
      <c r="Z22" s="16">
        <f t="shared" si="2"/>
        <v>5.0000000000000044E-2</v>
      </c>
      <c r="AA22" s="16">
        <f t="shared" si="4"/>
        <v>8.3333333333333801E-3</v>
      </c>
      <c r="AB22" s="16">
        <v>0.3527777777777778</v>
      </c>
      <c r="AC22" s="17"/>
      <c r="AD22" s="48"/>
    </row>
    <row r="23" spans="1:30" ht="19.5" thickBot="1" x14ac:dyDescent="0.3">
      <c r="A23" s="14">
        <v>21</v>
      </c>
      <c r="B23" s="15">
        <v>2714</v>
      </c>
      <c r="C23" s="15" t="str">
        <f>VLOOKUP(B23,داتا!$B$3:$D$107,2,FALSE)</f>
        <v>تلتين</v>
      </c>
      <c r="D23" s="34">
        <f>VLOOKUP(B23,داتا!$B$3:$D$107,3,FALSE)</f>
        <v>3.125E-2</v>
      </c>
      <c r="E23" s="15" t="s">
        <v>49</v>
      </c>
      <c r="F23" s="15" t="s">
        <v>114</v>
      </c>
      <c r="G23" s="16">
        <v>0.25</v>
      </c>
      <c r="H23" s="16">
        <v>0.2673611111111111</v>
      </c>
      <c r="I23" s="16">
        <f t="shared" si="3"/>
        <v>1.7361111111111105E-2</v>
      </c>
      <c r="J23" s="16">
        <v>0.21875</v>
      </c>
      <c r="K23" s="16">
        <v>0.23958333333333334</v>
      </c>
      <c r="L23" s="16" t="s">
        <v>48</v>
      </c>
      <c r="M23" s="16" t="s">
        <v>48</v>
      </c>
      <c r="N23" s="16">
        <f t="shared" si="0"/>
        <v>2.0833333333333343E-2</v>
      </c>
      <c r="O23" s="16">
        <v>0</v>
      </c>
      <c r="P23" s="16">
        <v>6.9444444444444397E-3</v>
      </c>
      <c r="Q23" s="16">
        <v>0.24305555555555555</v>
      </c>
      <c r="R23" s="16">
        <v>0</v>
      </c>
      <c r="S23" s="16">
        <v>0.2673611111111111</v>
      </c>
      <c r="T23" s="16">
        <f>VLOOKUP(E23,'[2]21-3-2026'!E$3:T$35,16,FALSE)</f>
        <v>3.4722222222222203E-2</v>
      </c>
      <c r="U23" s="16">
        <v>0.30555555555555552</v>
      </c>
      <c r="V23" s="16">
        <f t="shared" si="1"/>
        <v>3.4722222222222099E-3</v>
      </c>
      <c r="W23" s="16">
        <v>4.1666666666666664E-2</v>
      </c>
      <c r="X23" s="16">
        <v>0.34166666666666662</v>
      </c>
      <c r="Y23" s="16">
        <v>0.38194444444444442</v>
      </c>
      <c r="Z23" s="16">
        <f t="shared" si="2"/>
        <v>4.0277777777777801E-2</v>
      </c>
      <c r="AA23" s="16">
        <v>0</v>
      </c>
      <c r="AB23" s="16">
        <v>0.38541666666666669</v>
      </c>
      <c r="AC23" s="17"/>
      <c r="AD23" s="48"/>
    </row>
    <row r="24" spans="1:30" ht="19.5" thickBot="1" x14ac:dyDescent="0.3">
      <c r="A24" s="14">
        <v>22</v>
      </c>
      <c r="B24" s="15">
        <v>2474</v>
      </c>
      <c r="C24" s="15" t="str">
        <f>VLOOKUP(B24,داتا!$B$3:$D$107,2,FALSE)</f>
        <v>دبابة</v>
      </c>
      <c r="D24" s="34">
        <f>VLOOKUP(B24,داتا!$B$3:$D$107,3,FALSE)</f>
        <v>2.0833333333333332E-2</v>
      </c>
      <c r="E24" s="15" t="s">
        <v>75</v>
      </c>
      <c r="F24" s="16" t="s">
        <v>99</v>
      </c>
      <c r="G24" s="16">
        <v>0.25</v>
      </c>
      <c r="H24" s="16">
        <v>0.25</v>
      </c>
      <c r="I24" s="16">
        <f t="shared" si="3"/>
        <v>0</v>
      </c>
      <c r="J24" s="16">
        <v>0.24305555555555555</v>
      </c>
      <c r="K24" s="16">
        <v>0.25694444444444448</v>
      </c>
      <c r="L24" s="16" t="s">
        <v>48</v>
      </c>
      <c r="M24" s="16" t="s">
        <v>48</v>
      </c>
      <c r="N24" s="16">
        <f t="shared" si="0"/>
        <v>1.3888888888888923E-2</v>
      </c>
      <c r="O24" s="16">
        <v>0</v>
      </c>
      <c r="P24" s="16">
        <v>6.9444444444444397E-3</v>
      </c>
      <c r="Q24" s="16">
        <v>0.25694444444444448</v>
      </c>
      <c r="R24" s="16">
        <v>0</v>
      </c>
      <c r="S24" s="16">
        <v>0.2673611111111111</v>
      </c>
      <c r="T24" s="16">
        <f>VLOOKUP(E24,'[2]21-3-2026'!E$3:T$35,16,FALSE)</f>
        <v>2.0833333333333301E-2</v>
      </c>
      <c r="U24" s="16">
        <v>0.29166666666666669</v>
      </c>
      <c r="V24" s="16">
        <v>0</v>
      </c>
      <c r="W24" s="16">
        <v>3.125E-2</v>
      </c>
      <c r="X24" s="16">
        <v>0.33333333333333331</v>
      </c>
      <c r="Y24" s="16">
        <v>0.36458333333333331</v>
      </c>
      <c r="Z24" s="16">
        <f t="shared" si="2"/>
        <v>3.125E-2</v>
      </c>
      <c r="AA24" s="16">
        <f t="shared" si="4"/>
        <v>0</v>
      </c>
      <c r="AB24" s="16">
        <v>0.36805555555555558</v>
      </c>
      <c r="AC24" s="17"/>
      <c r="AD24" s="48"/>
    </row>
    <row r="25" spans="1:30" ht="19.5" thickBot="1" x14ac:dyDescent="0.3">
      <c r="A25" s="14">
        <v>23</v>
      </c>
      <c r="B25" s="15">
        <v>675</v>
      </c>
      <c r="C25" s="15" t="str">
        <f>VLOOKUP(B25,داتا!$B$3:$D$107,2,FALSE)</f>
        <v>جامبو</v>
      </c>
      <c r="D25" s="34">
        <f>VLOOKUP(B25,داتا!$B$3:$D$107,3,FALSE)</f>
        <v>4.1666666666666699E-2</v>
      </c>
      <c r="E25" s="15" t="s">
        <v>95</v>
      </c>
      <c r="F25" s="15" t="s">
        <v>144</v>
      </c>
      <c r="G25" s="16">
        <v>0.25</v>
      </c>
      <c r="H25" s="16">
        <v>0.26041666666666669</v>
      </c>
      <c r="I25" s="16">
        <f t="shared" si="3"/>
        <v>1.0416666666666685E-2</v>
      </c>
      <c r="J25" s="16">
        <v>0.26041666666666669</v>
      </c>
      <c r="K25" s="16">
        <v>0.28125</v>
      </c>
      <c r="L25" s="16" t="s">
        <v>48</v>
      </c>
      <c r="M25" s="16" t="s">
        <v>48</v>
      </c>
      <c r="N25" s="16">
        <f t="shared" si="0"/>
        <v>2.0833333333333315E-2</v>
      </c>
      <c r="O25" s="16">
        <v>0</v>
      </c>
      <c r="P25" s="16">
        <v>6.9444444444444397E-3</v>
      </c>
      <c r="Q25" s="16">
        <v>0.28819444444444448</v>
      </c>
      <c r="R25" s="16">
        <f t="shared" si="6"/>
        <v>0</v>
      </c>
      <c r="S25" s="16">
        <v>0.28472222222222221</v>
      </c>
      <c r="T25" s="16">
        <f>VLOOKUP(E25,'[2]21-3-2026'!E$3:T$35,16,FALSE)</f>
        <v>1.0416666666666701E-2</v>
      </c>
      <c r="U25" s="16">
        <v>0.2986111111111111</v>
      </c>
      <c r="V25" s="16">
        <f t="shared" si="1"/>
        <v>3.4722222222222099E-3</v>
      </c>
      <c r="W25" s="16">
        <v>6.25E-2</v>
      </c>
      <c r="X25" s="16">
        <v>0.33333333333333331</v>
      </c>
      <c r="Y25" s="16">
        <v>0.375</v>
      </c>
      <c r="Z25" s="16">
        <f t="shared" si="2"/>
        <v>4.1666666666666685E-2</v>
      </c>
      <c r="AA25" s="16">
        <v>0</v>
      </c>
      <c r="AB25" s="16">
        <v>0.37847222222222227</v>
      </c>
      <c r="AC25" s="19"/>
      <c r="AD25" s="48"/>
    </row>
    <row r="26" spans="1:30" ht="19.5" thickBot="1" x14ac:dyDescent="0.3">
      <c r="A26" s="14">
        <v>24</v>
      </c>
      <c r="B26" s="15">
        <v>2695</v>
      </c>
      <c r="C26" s="15" t="str">
        <f>VLOOKUP(B26,داتا!$B$3:$D$107,2,FALSE)</f>
        <v>تلتين</v>
      </c>
      <c r="D26" s="34">
        <f>VLOOKUP(B26,داتا!$B$3:$D$107,3,FALSE)</f>
        <v>3.125E-2</v>
      </c>
      <c r="E26" s="15" t="s">
        <v>51</v>
      </c>
      <c r="F26" s="15" t="s">
        <v>31</v>
      </c>
      <c r="G26" s="16">
        <v>0.25</v>
      </c>
      <c r="H26" s="16">
        <v>0.25</v>
      </c>
      <c r="I26" s="16">
        <f t="shared" si="3"/>
        <v>0</v>
      </c>
      <c r="J26" s="16">
        <v>0.19444444444444445</v>
      </c>
      <c r="K26" s="16">
        <v>0.21527777777777779</v>
      </c>
      <c r="L26" s="16" t="s">
        <v>53</v>
      </c>
      <c r="M26" s="16" t="s">
        <v>53</v>
      </c>
      <c r="N26" s="16">
        <f t="shared" si="0"/>
        <v>2.0833333333333343E-2</v>
      </c>
      <c r="O26" s="16">
        <v>0</v>
      </c>
      <c r="P26" s="16">
        <v>6.9444444444444397E-3</v>
      </c>
      <c r="Q26" s="16">
        <v>0.22222222222222221</v>
      </c>
      <c r="R26" s="16">
        <f t="shared" si="6"/>
        <v>0</v>
      </c>
      <c r="S26" s="16">
        <v>0.26041666666666669</v>
      </c>
      <c r="T26" s="16">
        <f>VLOOKUP(E26,'[2]21-3-2026'!E$3:T$35,16,FALSE)</f>
        <v>2.4305555555555601E-2</v>
      </c>
      <c r="U26" s="16">
        <v>0.27777777777777779</v>
      </c>
      <c r="V26" s="16">
        <v>0</v>
      </c>
      <c r="W26" s="16">
        <v>3.125E-2</v>
      </c>
      <c r="X26" s="16">
        <v>0.29166666666666669</v>
      </c>
      <c r="Y26" s="16">
        <v>0.3263888888888889</v>
      </c>
      <c r="Z26" s="16">
        <f t="shared" si="2"/>
        <v>3.472222222222221E-2</v>
      </c>
      <c r="AA26" s="16">
        <f t="shared" si="4"/>
        <v>3.4722222222222099E-3</v>
      </c>
      <c r="AB26" s="16">
        <v>0.3298611111111111</v>
      </c>
      <c r="AC26" s="19"/>
      <c r="AD26" s="48"/>
    </row>
    <row r="27" spans="1:30" ht="19.5" thickBot="1" x14ac:dyDescent="0.3">
      <c r="A27" s="14">
        <v>25</v>
      </c>
      <c r="B27" s="15">
        <v>2695</v>
      </c>
      <c r="C27" s="15" t="str">
        <f>VLOOKUP(B27,داتا!$B$3:$D$107,2,FALSE)</f>
        <v>تلتين</v>
      </c>
      <c r="D27" s="34">
        <f>VLOOKUP(B27,داتا!$B$3:$D$107,3,FALSE)</f>
        <v>3.125E-2</v>
      </c>
      <c r="E27" s="15" t="s">
        <v>54</v>
      </c>
      <c r="F27" s="15" t="s">
        <v>31</v>
      </c>
      <c r="G27" s="16">
        <v>0.25</v>
      </c>
      <c r="H27" s="16">
        <v>0.25</v>
      </c>
      <c r="I27" s="16">
        <f t="shared" si="3"/>
        <v>0</v>
      </c>
      <c r="J27" s="16">
        <v>0.19444444444444445</v>
      </c>
      <c r="K27" s="16">
        <v>0.21527777777777779</v>
      </c>
      <c r="L27" s="16" t="s">
        <v>53</v>
      </c>
      <c r="M27" s="16" t="s">
        <v>53</v>
      </c>
      <c r="N27" s="16">
        <f t="shared" si="0"/>
        <v>2.0833333333333343E-2</v>
      </c>
      <c r="O27" s="16">
        <v>0</v>
      </c>
      <c r="P27" s="16">
        <v>6.9444444444444397E-3</v>
      </c>
      <c r="Q27" s="16">
        <v>0.22222222222222221</v>
      </c>
      <c r="R27" s="16">
        <f t="shared" si="6"/>
        <v>0</v>
      </c>
      <c r="S27" s="16">
        <v>0.26041666666666669</v>
      </c>
      <c r="T27" s="16">
        <f>VLOOKUP(E27,'[2]21-3-2026'!E$3:T$35,16,FALSE)</f>
        <v>1.0416666666666701E-2</v>
      </c>
      <c r="U27" s="16">
        <v>0.3576388888888889</v>
      </c>
      <c r="V27" s="16">
        <v>1.7361111111111112E-2</v>
      </c>
      <c r="W27" s="16">
        <v>4.1666666666666664E-2</v>
      </c>
      <c r="X27" s="16">
        <v>0.3611111111111111</v>
      </c>
      <c r="Y27" s="16">
        <v>0.38680555555555557</v>
      </c>
      <c r="Z27" s="16">
        <f t="shared" si="2"/>
        <v>2.5694444444444464E-2</v>
      </c>
      <c r="AA27" s="16">
        <v>0</v>
      </c>
      <c r="AB27" s="16">
        <v>0.3923611111111111</v>
      </c>
      <c r="AC27" s="19"/>
      <c r="AD27" s="48"/>
    </row>
    <row r="28" spans="1:30" ht="19.5" thickBot="1" x14ac:dyDescent="0.3">
      <c r="A28" s="14">
        <v>26</v>
      </c>
      <c r="B28" s="15">
        <v>586</v>
      </c>
      <c r="C28" s="15" t="str">
        <f>VLOOKUP(B28,داتا!$B$3:$D$107,2,FALSE)</f>
        <v>سوزوكي</v>
      </c>
      <c r="D28" s="34">
        <f>VLOOKUP(B28,داتا!$B$3:$D$107,3,FALSE)</f>
        <v>2.0833333333333301E-2</v>
      </c>
      <c r="E28" s="15" t="s">
        <v>77</v>
      </c>
      <c r="F28" s="15" t="s">
        <v>240</v>
      </c>
      <c r="G28" s="16">
        <v>0.25</v>
      </c>
      <c r="H28" s="16">
        <v>0.25</v>
      </c>
      <c r="I28" s="16">
        <f t="shared" si="3"/>
        <v>0</v>
      </c>
      <c r="J28" s="16">
        <v>0.22569444444444445</v>
      </c>
      <c r="K28" s="16">
        <v>0.22916666666666666</v>
      </c>
      <c r="L28" s="16" t="s">
        <v>53</v>
      </c>
      <c r="M28" s="16" t="s">
        <v>53</v>
      </c>
      <c r="N28" s="16">
        <f t="shared" si="0"/>
        <v>3.4722222222222099E-3</v>
      </c>
      <c r="O28" s="16">
        <v>0</v>
      </c>
      <c r="P28" s="16">
        <v>6.9444444444444397E-3</v>
      </c>
      <c r="Q28" s="16">
        <v>0.23611111111111113</v>
      </c>
      <c r="R28" s="16">
        <f t="shared" si="6"/>
        <v>0</v>
      </c>
      <c r="S28" s="16">
        <v>0.3125</v>
      </c>
      <c r="T28" s="16">
        <f>VLOOKUP(E28,'[2]21-3-2026'!E$3:T$35,16,FALSE)</f>
        <v>1.38888888888889E-2</v>
      </c>
      <c r="U28" s="16">
        <v>0.3298611111111111</v>
      </c>
      <c r="V28" s="16">
        <f t="shared" si="1"/>
        <v>3.4722222222222099E-3</v>
      </c>
      <c r="W28" s="16">
        <v>3.125E-2</v>
      </c>
      <c r="X28" s="16">
        <v>0.33611111111111108</v>
      </c>
      <c r="Y28" s="16">
        <v>0.3430555555555555</v>
      </c>
      <c r="Z28" s="16">
        <f t="shared" si="2"/>
        <v>6.9444444444444198E-3</v>
      </c>
      <c r="AA28" s="16">
        <v>0</v>
      </c>
      <c r="AB28" s="16">
        <v>0.34722222222222227</v>
      </c>
      <c r="AC28" s="17"/>
      <c r="AD28" s="48"/>
    </row>
    <row r="29" spans="1:30" ht="19.5" thickBot="1" x14ac:dyDescent="0.3">
      <c r="A29" s="14">
        <v>27</v>
      </c>
      <c r="B29" s="15">
        <v>6142</v>
      </c>
      <c r="C29" s="15" t="str">
        <f>VLOOKUP(B29,داتا!$B$3:$D$107,2,FALSE)</f>
        <v>تلتين</v>
      </c>
      <c r="D29" s="34">
        <f>VLOOKUP(B29,داتا!$B$3:$D$107,3,FALSE)</f>
        <v>3.125E-2</v>
      </c>
      <c r="E29" s="15" t="s">
        <v>83</v>
      </c>
      <c r="F29" s="15" t="s">
        <v>167</v>
      </c>
      <c r="G29" s="16">
        <v>0.25</v>
      </c>
      <c r="H29" s="16">
        <v>0.2673611111111111</v>
      </c>
      <c r="I29" s="16">
        <f t="shared" si="3"/>
        <v>1.7361111111111105E-2</v>
      </c>
      <c r="J29" s="16">
        <v>0.23263888888888887</v>
      </c>
      <c r="K29" s="16">
        <v>0.25</v>
      </c>
      <c r="L29" s="16" t="s">
        <v>53</v>
      </c>
      <c r="M29" s="16" t="s">
        <v>53</v>
      </c>
      <c r="N29" s="16">
        <f t="shared" si="0"/>
        <v>1.7361111111111133E-2</v>
      </c>
      <c r="O29" s="16">
        <v>0</v>
      </c>
      <c r="P29" s="16">
        <v>6.9444444444444397E-3</v>
      </c>
      <c r="Q29" s="16">
        <v>0.26041666666666669</v>
      </c>
      <c r="R29" s="16">
        <f t="shared" si="6"/>
        <v>3.4722222222222654E-3</v>
      </c>
      <c r="S29" s="16">
        <v>0.2673611111111111</v>
      </c>
      <c r="T29" s="16">
        <f>VLOOKUP(E29,'[2]21-3-2026'!E$3:T$35,16,FALSE)</f>
        <v>1.38888888888889E-2</v>
      </c>
      <c r="U29" s="16">
        <v>0.28472222222222221</v>
      </c>
      <c r="V29" s="16">
        <f t="shared" si="1"/>
        <v>3.4722222222222099E-3</v>
      </c>
      <c r="W29" s="16">
        <v>3.125E-2</v>
      </c>
      <c r="X29" s="16">
        <v>0.33680555555555558</v>
      </c>
      <c r="Y29" s="16">
        <v>0.36805555555555558</v>
      </c>
      <c r="Z29" s="16">
        <f t="shared" si="2"/>
        <v>3.125E-2</v>
      </c>
      <c r="AA29" s="16">
        <f t="shared" si="4"/>
        <v>0</v>
      </c>
      <c r="AB29" s="16">
        <v>0.36944444444444446</v>
      </c>
      <c r="AC29" s="18"/>
      <c r="AD29" s="48"/>
    </row>
    <row r="30" spans="1:30" ht="19.5" thickBot="1" x14ac:dyDescent="0.3">
      <c r="A30" s="14">
        <v>28</v>
      </c>
      <c r="B30" s="15">
        <v>6142</v>
      </c>
      <c r="C30" s="15" t="str">
        <f>VLOOKUP(B30,داتا!$B$3:$D$107,2,FALSE)</f>
        <v>تلتين</v>
      </c>
      <c r="D30" s="34">
        <f>VLOOKUP(B30,داتا!$B$3:$D$107,3,FALSE)</f>
        <v>3.125E-2</v>
      </c>
      <c r="E30" s="15" t="s">
        <v>77</v>
      </c>
      <c r="F30" s="15" t="s">
        <v>167</v>
      </c>
      <c r="G30" s="16">
        <v>0.25</v>
      </c>
      <c r="H30" s="16">
        <v>0.2673611111111111</v>
      </c>
      <c r="I30" s="16">
        <f t="shared" si="3"/>
        <v>1.7361111111111105E-2</v>
      </c>
      <c r="J30" s="16">
        <v>0.23263888888888887</v>
      </c>
      <c r="K30" s="16">
        <v>0.25</v>
      </c>
      <c r="L30" s="16" t="s">
        <v>53</v>
      </c>
      <c r="M30" s="16" t="s">
        <v>53</v>
      </c>
      <c r="N30" s="16">
        <f t="shared" si="0"/>
        <v>1.7361111111111133E-2</v>
      </c>
      <c r="O30" s="16">
        <v>0</v>
      </c>
      <c r="P30" s="16">
        <v>6.9444444444444397E-3</v>
      </c>
      <c r="Q30" s="16">
        <v>0.26041666666666669</v>
      </c>
      <c r="R30" s="16">
        <f t="shared" si="6"/>
        <v>3.4722222222222654E-3</v>
      </c>
      <c r="S30" s="16">
        <v>0.2673611111111111</v>
      </c>
      <c r="T30" s="16">
        <f>VLOOKUP(E30,'[2]21-3-2026'!E$3:T$35,16,FALSE)</f>
        <v>1.38888888888889E-2</v>
      </c>
      <c r="U30" s="16">
        <v>0.375</v>
      </c>
      <c r="V30" s="16">
        <v>0</v>
      </c>
      <c r="W30" s="16">
        <v>4.1666666666666664E-2</v>
      </c>
      <c r="X30" s="16">
        <v>0.37847222222222227</v>
      </c>
      <c r="Y30" s="16">
        <v>0.40833333333333338</v>
      </c>
      <c r="Z30" s="16">
        <f t="shared" si="2"/>
        <v>2.9861111111111116E-2</v>
      </c>
      <c r="AA30" s="16">
        <v>0</v>
      </c>
      <c r="AB30" s="16">
        <v>0.40972222222222227</v>
      </c>
      <c r="AC30" s="17"/>
      <c r="AD30" s="48"/>
    </row>
    <row r="31" spans="1:30" ht="19.5" thickBot="1" x14ac:dyDescent="0.3">
      <c r="A31" s="14">
        <v>29</v>
      </c>
      <c r="B31" s="15">
        <v>745</v>
      </c>
      <c r="C31" s="15" t="str">
        <f>VLOOKUP(B31,داتا!$B$3:$D$107,2,FALSE)</f>
        <v>دبابة</v>
      </c>
      <c r="D31" s="34">
        <f>VLOOKUP(B31,داتا!$B$3:$D$107,3,FALSE)</f>
        <v>2.0833333333333301E-2</v>
      </c>
      <c r="E31" s="15" t="s">
        <v>86</v>
      </c>
      <c r="F31" s="15" t="s">
        <v>234</v>
      </c>
      <c r="G31" s="16">
        <v>0.25</v>
      </c>
      <c r="H31" s="16">
        <v>0.25</v>
      </c>
      <c r="I31" s="16">
        <f t="shared" si="3"/>
        <v>0</v>
      </c>
      <c r="J31" s="16">
        <v>0.2673611111111111</v>
      </c>
      <c r="K31" s="16">
        <v>0.27777777777777779</v>
      </c>
      <c r="L31" s="16" t="s">
        <v>53</v>
      </c>
      <c r="M31" s="16" t="s">
        <v>53</v>
      </c>
      <c r="N31" s="16">
        <f t="shared" si="0"/>
        <v>1.0416666666666685E-2</v>
      </c>
      <c r="O31" s="16">
        <v>0</v>
      </c>
      <c r="P31" s="16">
        <v>6.9444444444444397E-3</v>
      </c>
      <c r="Q31" s="16">
        <v>0.28472222222222221</v>
      </c>
      <c r="R31" s="16">
        <f t="shared" si="6"/>
        <v>0</v>
      </c>
      <c r="S31" s="16">
        <v>0.3263888888888889</v>
      </c>
      <c r="T31" s="16">
        <f>VLOOKUP(E31,'[2]21-3-2026'!E$3:T$35,16,FALSE)</f>
        <v>3.4722222222222199E-3</v>
      </c>
      <c r="U31" s="16">
        <v>0</v>
      </c>
      <c r="V31" s="16">
        <v>0</v>
      </c>
      <c r="W31" s="16">
        <v>3.125E-2</v>
      </c>
      <c r="X31" s="16">
        <v>0</v>
      </c>
      <c r="Y31" s="16">
        <v>0</v>
      </c>
      <c r="Z31" s="16">
        <f t="shared" si="2"/>
        <v>0</v>
      </c>
      <c r="AA31" s="16">
        <v>0</v>
      </c>
      <c r="AB31" s="16">
        <v>0</v>
      </c>
      <c r="AC31" s="17"/>
      <c r="AD31" s="48"/>
    </row>
    <row r="32" spans="1:30" ht="19.5" thickBot="1" x14ac:dyDescent="0.3">
      <c r="A32" s="14">
        <v>30</v>
      </c>
      <c r="B32" s="15">
        <v>4987</v>
      </c>
      <c r="C32" s="15" t="str">
        <f>VLOOKUP(B32,داتا!$B$3:$D$107,2,FALSE)</f>
        <v>تلتين</v>
      </c>
      <c r="D32" s="34">
        <f>VLOOKUP(B32,داتا!$B$3:$D$107,3,FALSE)</f>
        <v>3.125E-2</v>
      </c>
      <c r="E32" s="15" t="s">
        <v>67</v>
      </c>
      <c r="F32" s="15" t="s">
        <v>181</v>
      </c>
      <c r="G32" s="16">
        <v>0.25</v>
      </c>
      <c r="H32" s="16">
        <v>0.25</v>
      </c>
      <c r="I32" s="16">
        <f t="shared" si="3"/>
        <v>0</v>
      </c>
      <c r="J32" s="16">
        <v>0.19444444444444445</v>
      </c>
      <c r="K32" s="16">
        <v>0.21527777777777779</v>
      </c>
      <c r="L32" s="16" t="s">
        <v>204</v>
      </c>
      <c r="M32" s="16" t="s">
        <v>137</v>
      </c>
      <c r="N32" s="16">
        <f t="shared" si="0"/>
        <v>2.0833333333333343E-2</v>
      </c>
      <c r="O32" s="16">
        <v>0</v>
      </c>
      <c r="P32" s="16">
        <v>6.9444444444444397E-3</v>
      </c>
      <c r="Q32" s="16">
        <v>0.21875</v>
      </c>
      <c r="R32" s="16">
        <v>0</v>
      </c>
      <c r="S32" s="16">
        <v>0.28472222222222221</v>
      </c>
      <c r="T32" s="16">
        <f>VLOOKUP(E32,'[2]21-3-2026'!E$3:T$35,16,FALSE)</f>
        <v>1.7361111111111101E-2</v>
      </c>
      <c r="U32" s="16">
        <v>0.30138888888888887</v>
      </c>
      <c r="V32" s="16">
        <v>0</v>
      </c>
      <c r="W32" s="16">
        <v>4.1666666666666664E-2</v>
      </c>
      <c r="X32" s="16">
        <v>0.31041666666666667</v>
      </c>
      <c r="Y32" s="16">
        <v>0.34722222222222227</v>
      </c>
      <c r="Z32" s="16">
        <f t="shared" si="2"/>
        <v>3.6805555555555591E-2</v>
      </c>
      <c r="AA32" s="16">
        <v>0</v>
      </c>
      <c r="AB32" s="16">
        <v>0.35069444444444442</v>
      </c>
      <c r="AC32" s="17"/>
      <c r="AD32" s="48"/>
    </row>
    <row r="33" spans="1:30" ht="19.5" thickBot="1" x14ac:dyDescent="0.3">
      <c r="A33" s="14">
        <v>31</v>
      </c>
      <c r="B33" s="15">
        <v>3793</v>
      </c>
      <c r="C33" s="15" t="str">
        <f>VLOOKUP(B33,داتا!$B$3:$D$107,2,FALSE)</f>
        <v>دبابة</v>
      </c>
      <c r="D33" s="34">
        <f>VLOOKUP(B33,داتا!$B$3:$D$107,3,FALSE)</f>
        <v>2.0833333333333301E-2</v>
      </c>
      <c r="E33" s="15" t="s">
        <v>63</v>
      </c>
      <c r="F33" s="15" t="s">
        <v>93</v>
      </c>
      <c r="G33" s="16">
        <v>0.25</v>
      </c>
      <c r="H33" s="16">
        <v>0.25</v>
      </c>
      <c r="I33" s="16">
        <f t="shared" si="3"/>
        <v>0</v>
      </c>
      <c r="J33" s="16">
        <v>0.21875</v>
      </c>
      <c r="K33" s="16">
        <v>0.23611111111111113</v>
      </c>
      <c r="L33" s="16" t="s">
        <v>204</v>
      </c>
      <c r="M33" s="16" t="s">
        <v>137</v>
      </c>
      <c r="N33" s="16">
        <f t="shared" si="0"/>
        <v>1.7361111111111133E-2</v>
      </c>
      <c r="O33" s="16">
        <v>0</v>
      </c>
      <c r="P33" s="16">
        <v>6.9444444444444397E-3</v>
      </c>
      <c r="Q33" s="16">
        <v>0.23958333333333334</v>
      </c>
      <c r="R33" s="16">
        <v>0</v>
      </c>
      <c r="S33" s="16">
        <v>0.25</v>
      </c>
      <c r="T33" s="16">
        <f>VLOOKUP(E33,'[2]21-3-2026'!E$3:T$35,16,FALSE)</f>
        <v>6.25E-2</v>
      </c>
      <c r="U33" s="16">
        <v>0.29166666666666669</v>
      </c>
      <c r="V33" s="16">
        <v>0</v>
      </c>
      <c r="W33" s="16">
        <v>3.125E-2</v>
      </c>
      <c r="X33" s="16">
        <v>0.33333333333333331</v>
      </c>
      <c r="Y33" s="16">
        <v>0.36805555555555558</v>
      </c>
      <c r="Z33" s="16">
        <f t="shared" si="2"/>
        <v>3.4722222222222265E-2</v>
      </c>
      <c r="AA33" s="16">
        <f t="shared" si="4"/>
        <v>3.4722222222222654E-3</v>
      </c>
      <c r="AB33" s="16">
        <v>0.375</v>
      </c>
      <c r="AC33" s="17"/>
      <c r="AD33" s="48"/>
    </row>
    <row r="34" spans="1:30" ht="19.5" thickBot="1" x14ac:dyDescent="0.3">
      <c r="A34" s="14">
        <v>32</v>
      </c>
      <c r="B34" s="15">
        <v>1538</v>
      </c>
      <c r="C34" s="15" t="str">
        <f>VLOOKUP(B34,داتا!$B$3:$D$107,2,FALSE)</f>
        <v>تلتين</v>
      </c>
      <c r="D34" s="34">
        <f>VLOOKUP(B34,داتا!$B$3:$D$107,3,FALSE)</f>
        <v>3.125E-2</v>
      </c>
      <c r="E34" s="15" t="s">
        <v>81</v>
      </c>
      <c r="F34" s="15" t="s">
        <v>62</v>
      </c>
      <c r="G34" s="16">
        <v>0.25</v>
      </c>
      <c r="H34" s="16">
        <v>0.25</v>
      </c>
      <c r="I34" s="16">
        <f t="shared" si="3"/>
        <v>0</v>
      </c>
      <c r="J34" s="16">
        <v>0.23958333333333334</v>
      </c>
      <c r="K34" s="16">
        <v>0.2673611111111111</v>
      </c>
      <c r="L34" s="16" t="s">
        <v>204</v>
      </c>
      <c r="M34" s="16" t="s">
        <v>137</v>
      </c>
      <c r="N34" s="16">
        <f t="shared" si="0"/>
        <v>2.7777777777777762E-2</v>
      </c>
      <c r="O34" s="16">
        <v>0</v>
      </c>
      <c r="P34" s="16">
        <v>6.9444444444444397E-3</v>
      </c>
      <c r="Q34" s="16">
        <v>0.27083333333333331</v>
      </c>
      <c r="R34" s="16">
        <v>0</v>
      </c>
      <c r="S34" s="16">
        <v>0.27430555555555552</v>
      </c>
      <c r="T34" s="16">
        <f>VLOOKUP(E34,'[2]21-3-2026'!E$3:T$35,16,FALSE)</f>
        <v>2.7777777777777801E-2</v>
      </c>
      <c r="U34" s="16">
        <v>0.30902777777777779</v>
      </c>
      <c r="V34" s="16">
        <f t="shared" si="1"/>
        <v>6.9444444444444753E-3</v>
      </c>
      <c r="W34" s="16">
        <v>4.1666666666666664E-2</v>
      </c>
      <c r="X34" s="16">
        <v>0.34027777777777773</v>
      </c>
      <c r="Y34" s="16">
        <v>0.37152777777777773</v>
      </c>
      <c r="Z34" s="16">
        <f t="shared" si="2"/>
        <v>3.125E-2</v>
      </c>
      <c r="AA34" s="16">
        <v>0</v>
      </c>
      <c r="AB34" s="16">
        <v>0.37847222222222227</v>
      </c>
      <c r="AC34" s="17"/>
      <c r="AD34" s="48"/>
    </row>
    <row r="35" spans="1:30" ht="19.5" thickBot="1" x14ac:dyDescent="0.3">
      <c r="A35" s="20">
        <v>33</v>
      </c>
      <c r="B35" s="21">
        <v>3787</v>
      </c>
      <c r="C35" s="21" t="str">
        <f>VLOOKUP(B35,داتا!$B$3:$D$107,2,FALSE)</f>
        <v>دبابة</v>
      </c>
      <c r="D35" s="35">
        <f>VLOOKUP(B35,داتا!$B$3:$D$107,3,FALSE)</f>
        <v>2.0833333333333301E-2</v>
      </c>
      <c r="E35" s="21" t="s">
        <v>69</v>
      </c>
      <c r="F35" s="21" t="s">
        <v>168</v>
      </c>
      <c r="G35" s="22">
        <v>0.25</v>
      </c>
      <c r="H35" s="22">
        <v>0.27083333333333331</v>
      </c>
      <c r="I35" s="22">
        <f t="shared" si="3"/>
        <v>2.0833333333333315E-2</v>
      </c>
      <c r="J35" s="22">
        <v>0.27083333333333331</v>
      </c>
      <c r="K35" s="22">
        <v>0.28819444444444448</v>
      </c>
      <c r="L35" s="22" t="s">
        <v>204</v>
      </c>
      <c r="M35" s="22" t="s">
        <v>137</v>
      </c>
      <c r="N35" s="22">
        <f t="shared" si="0"/>
        <v>1.736111111111116E-2</v>
      </c>
      <c r="O35" s="22">
        <v>0</v>
      </c>
      <c r="P35" s="22">
        <v>6.9444444444444397E-3</v>
      </c>
      <c r="Q35" s="22">
        <v>0.2951388888888889</v>
      </c>
      <c r="R35" s="22">
        <f t="shared" si="6"/>
        <v>0</v>
      </c>
      <c r="S35" s="22">
        <v>0.2986111111111111</v>
      </c>
      <c r="T35" s="22">
        <f>VLOOKUP(E35,'[2]21-3-2026'!E$3:T$35,16,FALSE)</f>
        <v>1.38888888888889E-2</v>
      </c>
      <c r="U35" s="22">
        <v>0.31875000000000003</v>
      </c>
      <c r="V35" s="22">
        <f t="shared" si="1"/>
        <v>6.2500000000000333E-3</v>
      </c>
      <c r="W35" s="22">
        <v>3.125E-2</v>
      </c>
      <c r="X35" s="22">
        <v>0.33333333333333331</v>
      </c>
      <c r="Y35" s="22">
        <v>0.36041666666666666</v>
      </c>
      <c r="Z35" s="22">
        <f t="shared" si="2"/>
        <v>2.7083333333333348E-2</v>
      </c>
      <c r="AA35" s="22">
        <v>0</v>
      </c>
      <c r="AB35" s="22">
        <v>0.3611111111111111</v>
      </c>
      <c r="AC35" s="23"/>
      <c r="AD35" s="49"/>
    </row>
    <row r="36" spans="1:30" ht="20.25" customHeight="1" thickTop="1" thickBot="1" x14ac:dyDescent="0.3">
      <c r="A36" s="10">
        <v>1</v>
      </c>
      <c r="B36" s="11">
        <v>459</v>
      </c>
      <c r="C36" s="11" t="str">
        <f>VLOOKUP(B36,داتا!$B$3:$D$107,2,FALSE)</f>
        <v>دبابة</v>
      </c>
      <c r="D36" s="33">
        <f>VLOOKUP(B36,داتا!$B$3:$D$107,3,FALSE)</f>
        <v>2.0833333333333301E-2</v>
      </c>
      <c r="E36" s="11" t="s">
        <v>75</v>
      </c>
      <c r="F36" s="11" t="s">
        <v>156</v>
      </c>
      <c r="G36" s="12">
        <v>0.25</v>
      </c>
      <c r="H36" s="12">
        <f>VLOOKUP(F36,$F$3:$H$35,3,FALSE)</f>
        <v>0.28472222222222221</v>
      </c>
      <c r="I36" s="12">
        <f t="shared" si="3"/>
        <v>3.472222222222221E-2</v>
      </c>
      <c r="J36" s="12">
        <v>0.39930555555555558</v>
      </c>
      <c r="K36" s="12">
        <v>0.40972222222222227</v>
      </c>
      <c r="L36" s="12" t="s">
        <v>157</v>
      </c>
      <c r="M36" s="12" t="s">
        <v>157</v>
      </c>
      <c r="N36" s="12">
        <f t="shared" si="0"/>
        <v>1.0416666666666685E-2</v>
      </c>
      <c r="O36" s="12">
        <v>0</v>
      </c>
      <c r="P36" s="12">
        <v>6.9444444444444397E-3</v>
      </c>
      <c r="Q36" s="12">
        <v>0.41666666666666669</v>
      </c>
      <c r="R36" s="12">
        <f t="shared" si="6"/>
        <v>0</v>
      </c>
      <c r="S36" s="12">
        <v>0.41666666666666669</v>
      </c>
      <c r="T36" s="12">
        <f>VLOOKUP(E36,'[2]21-3-2026'!E$3:T$35,16,FALSE)</f>
        <v>2.0833333333333301E-2</v>
      </c>
      <c r="U36" s="12">
        <v>0.45833333333333331</v>
      </c>
      <c r="V36" s="12">
        <f t="shared" si="1"/>
        <v>2.0833333333333315E-2</v>
      </c>
      <c r="W36" s="12">
        <v>2.0833333333333332E-2</v>
      </c>
      <c r="X36" s="12">
        <v>0.46180555555555558</v>
      </c>
      <c r="Y36" s="12">
        <v>0.47222222222222227</v>
      </c>
      <c r="Z36" s="12">
        <f t="shared" si="2"/>
        <v>1.0416666666666685E-2</v>
      </c>
      <c r="AA36" s="12">
        <v>0</v>
      </c>
      <c r="AB36" s="12">
        <v>0.47569444444444442</v>
      </c>
      <c r="AC36" s="29"/>
      <c r="AD36" s="50" t="s">
        <v>104</v>
      </c>
    </row>
    <row r="37" spans="1:30" ht="19.5" thickBot="1" x14ac:dyDescent="0.3">
      <c r="A37" s="14">
        <v>2</v>
      </c>
      <c r="B37" s="15">
        <v>459</v>
      </c>
      <c r="C37" s="15" t="str">
        <f>VLOOKUP(B37,داتا!$B$3:$D$107,2,FALSE)</f>
        <v>دبابة</v>
      </c>
      <c r="D37" s="34">
        <f>VLOOKUP(B37,داتا!$B$3:$D$107,3,FALSE)</f>
        <v>2.0833333333333301E-2</v>
      </c>
      <c r="E37" s="15" t="s">
        <v>60</v>
      </c>
      <c r="F37" s="15" t="s">
        <v>156</v>
      </c>
      <c r="G37" s="16">
        <v>0.25</v>
      </c>
      <c r="H37" s="16">
        <f t="shared" ref="H37:H67" si="7">VLOOKUP(F37,$F$3:$H$35,3,FALSE)</f>
        <v>0.28472222222222221</v>
      </c>
      <c r="I37" s="16">
        <f t="shared" si="3"/>
        <v>3.472222222222221E-2</v>
      </c>
      <c r="J37" s="16">
        <v>0.39930555555555558</v>
      </c>
      <c r="K37" s="16">
        <v>0.40972222222222227</v>
      </c>
      <c r="L37" s="16" t="s">
        <v>157</v>
      </c>
      <c r="M37" s="16" t="s">
        <v>157</v>
      </c>
      <c r="N37" s="16">
        <f t="shared" si="0"/>
        <v>1.0416666666666685E-2</v>
      </c>
      <c r="O37" s="16">
        <v>0</v>
      </c>
      <c r="P37" s="16">
        <v>6.9444444444444397E-3</v>
      </c>
      <c r="Q37" s="16">
        <v>0.41666666666666669</v>
      </c>
      <c r="R37" s="16">
        <f t="shared" si="6"/>
        <v>0</v>
      </c>
      <c r="S37" s="16">
        <v>0.41666666666666669</v>
      </c>
      <c r="T37" s="16">
        <f>VLOOKUP(E37,'[2]21-3-2026'!E$3:T$35,16,FALSE)</f>
        <v>1.0416666666666701E-2</v>
      </c>
      <c r="U37" s="16">
        <v>0.48958333333333331</v>
      </c>
      <c r="V37" s="16">
        <v>3.472222222222222E-3</v>
      </c>
      <c r="W37" s="16">
        <v>3.125E-2</v>
      </c>
      <c r="X37" s="16">
        <v>0.49374999999999997</v>
      </c>
      <c r="Y37" s="16">
        <v>0.50694444444444442</v>
      </c>
      <c r="Z37" s="16">
        <f t="shared" si="2"/>
        <v>1.3194444444444453E-2</v>
      </c>
      <c r="AA37" s="16">
        <v>0</v>
      </c>
      <c r="AB37" s="16">
        <v>0.51388888888888895</v>
      </c>
      <c r="AC37" s="19"/>
      <c r="AD37" s="51"/>
    </row>
    <row r="38" spans="1:30" ht="19.5" thickBot="1" x14ac:dyDescent="0.3">
      <c r="A38" s="14">
        <v>3</v>
      </c>
      <c r="B38" s="15">
        <v>634</v>
      </c>
      <c r="C38" s="15" t="str">
        <f>VLOOKUP(B38,داتا!$B$3:$D$107,2,FALSE)</f>
        <v>دبابة</v>
      </c>
      <c r="D38" s="34">
        <f>VLOOKUP(B38,داتا!$B$3:$D$107,3,FALSE)</f>
        <v>2.0833333333333301E-2</v>
      </c>
      <c r="E38" s="15" t="s">
        <v>72</v>
      </c>
      <c r="F38" s="15" t="s">
        <v>90</v>
      </c>
      <c r="G38" s="16">
        <v>0.25</v>
      </c>
      <c r="H38" s="16">
        <f t="shared" si="7"/>
        <v>0.25</v>
      </c>
      <c r="I38" s="16">
        <f t="shared" si="3"/>
        <v>0</v>
      </c>
      <c r="J38" s="16">
        <v>0.4236111111111111</v>
      </c>
      <c r="K38" s="16">
        <v>0.4375</v>
      </c>
      <c r="L38" s="16" t="s">
        <v>157</v>
      </c>
      <c r="M38" s="16" t="s">
        <v>157</v>
      </c>
      <c r="N38" s="16">
        <f t="shared" si="0"/>
        <v>1.3888888888888895E-2</v>
      </c>
      <c r="O38" s="16">
        <v>0</v>
      </c>
      <c r="P38" s="16">
        <v>6.9444444444444397E-3</v>
      </c>
      <c r="Q38" s="16">
        <v>0.44097222222222227</v>
      </c>
      <c r="R38" s="16">
        <v>0</v>
      </c>
      <c r="S38" s="16">
        <v>0.44097222222222227</v>
      </c>
      <c r="T38" s="16">
        <f>VLOOKUP(E38,'[2]21-3-2026'!E$3:T$35,16,FALSE)</f>
        <v>1.0416666666666701E-2</v>
      </c>
      <c r="U38" s="16">
        <v>0.46666666666666662</v>
      </c>
      <c r="V38" s="16">
        <f t="shared" si="1"/>
        <v>1.5277777777777668E-2</v>
      </c>
      <c r="W38" s="16">
        <v>2.0833333333333332E-2</v>
      </c>
      <c r="X38" s="16">
        <v>0.47013888888888888</v>
      </c>
      <c r="Y38" s="16">
        <v>0.4777777777777778</v>
      </c>
      <c r="Z38" s="16">
        <f t="shared" si="2"/>
        <v>7.6388888888889173E-3</v>
      </c>
      <c r="AA38" s="16">
        <v>0</v>
      </c>
      <c r="AB38" s="16">
        <v>0.47916666666666669</v>
      </c>
      <c r="AC38" s="19"/>
      <c r="AD38" s="51"/>
    </row>
    <row r="39" spans="1:30" ht="19.5" thickBot="1" x14ac:dyDescent="0.3">
      <c r="A39" s="14">
        <v>4</v>
      </c>
      <c r="B39" s="15">
        <v>634</v>
      </c>
      <c r="C39" s="15" t="str">
        <f>VLOOKUP(B39,داتا!$B$3:$D$107,2,FALSE)</f>
        <v>دبابة</v>
      </c>
      <c r="D39" s="34">
        <f>VLOOKUP(B39,داتا!$B$3:$D$107,3,FALSE)</f>
        <v>2.0833333333333301E-2</v>
      </c>
      <c r="E39" s="15" t="s">
        <v>92</v>
      </c>
      <c r="F39" s="15" t="s">
        <v>90</v>
      </c>
      <c r="G39" s="16">
        <v>0.25</v>
      </c>
      <c r="H39" s="16">
        <f t="shared" si="7"/>
        <v>0.25</v>
      </c>
      <c r="I39" s="16">
        <f t="shared" si="3"/>
        <v>0</v>
      </c>
      <c r="J39" s="16">
        <v>0.4236111111111111</v>
      </c>
      <c r="K39" s="16">
        <v>0.4375</v>
      </c>
      <c r="L39" s="16" t="s">
        <v>157</v>
      </c>
      <c r="M39" s="16" t="s">
        <v>157</v>
      </c>
      <c r="N39" s="16">
        <f t="shared" si="0"/>
        <v>1.3888888888888895E-2</v>
      </c>
      <c r="O39" s="16">
        <v>0</v>
      </c>
      <c r="P39" s="16">
        <v>6.9444444444444397E-3</v>
      </c>
      <c r="Q39" s="16">
        <v>0.44097222222222227</v>
      </c>
      <c r="R39" s="16">
        <v>0</v>
      </c>
      <c r="S39" s="16">
        <v>0.44097222222222227</v>
      </c>
      <c r="T39" s="16">
        <f>VLOOKUP(E39,'[2]21-3-2026'!E$3:T$35,16,FALSE)</f>
        <v>1.38888888888889E-2</v>
      </c>
      <c r="U39" s="16">
        <v>0.4916666666666667</v>
      </c>
      <c r="V39" s="16">
        <v>0</v>
      </c>
      <c r="W39" s="16">
        <v>3.125E-2</v>
      </c>
      <c r="X39" s="16">
        <v>0.49305555555555558</v>
      </c>
      <c r="Y39" s="16">
        <v>0.50694444444444442</v>
      </c>
      <c r="Z39" s="16">
        <f t="shared" si="2"/>
        <v>1.388888888888884E-2</v>
      </c>
      <c r="AA39" s="16">
        <v>0</v>
      </c>
      <c r="AB39" s="16">
        <v>0.51041666666666663</v>
      </c>
      <c r="AC39" s="17"/>
      <c r="AD39" s="51"/>
    </row>
    <row r="40" spans="1:30" ht="19.5" thickBot="1" x14ac:dyDescent="0.3">
      <c r="A40" s="14">
        <v>5</v>
      </c>
      <c r="B40" s="15">
        <v>3891</v>
      </c>
      <c r="C40" s="15" t="str">
        <f>VLOOKUP(B40,داتا!$B$3:$D$107,2,FALSE)</f>
        <v>تلتين</v>
      </c>
      <c r="D40" s="34">
        <f>VLOOKUP(B40,داتا!$B$3:$D$107,3,FALSE)</f>
        <v>3.125E-2</v>
      </c>
      <c r="E40" s="15" t="s">
        <v>61</v>
      </c>
      <c r="F40" s="15" t="s">
        <v>155</v>
      </c>
      <c r="G40" s="16">
        <v>0.25</v>
      </c>
      <c r="H40" s="16">
        <f t="shared" si="7"/>
        <v>0.2638888888888889</v>
      </c>
      <c r="I40" s="16">
        <f t="shared" si="3"/>
        <v>1.3888888888888895E-2</v>
      </c>
      <c r="J40" s="16">
        <v>0.4513888888888889</v>
      </c>
      <c r="K40" s="16">
        <v>0.47222222222222227</v>
      </c>
      <c r="L40" s="16" t="s">
        <v>157</v>
      </c>
      <c r="M40" s="16" t="s">
        <v>157</v>
      </c>
      <c r="N40" s="16">
        <f t="shared" si="0"/>
        <v>2.083333333333337E-2</v>
      </c>
      <c r="O40" s="16">
        <v>0</v>
      </c>
      <c r="P40" s="16">
        <v>6.9444444444444397E-3</v>
      </c>
      <c r="Q40" s="16">
        <v>0.47916666666666669</v>
      </c>
      <c r="R40" s="16">
        <f t="shared" si="6"/>
        <v>0</v>
      </c>
      <c r="S40" s="16">
        <v>0.47916666666666669</v>
      </c>
      <c r="T40" s="16">
        <f>VLOOKUP(E40,'[2]21-3-2026'!E$3:T$35,16,FALSE)</f>
        <v>3.4722222222222203E-2</v>
      </c>
      <c r="U40" s="16">
        <v>0.52430555555555558</v>
      </c>
      <c r="V40" s="16">
        <f t="shared" si="1"/>
        <v>1.0416666666666685E-2</v>
      </c>
      <c r="W40" s="16">
        <v>3.125E-2</v>
      </c>
      <c r="X40" s="16">
        <v>0.52708333333333335</v>
      </c>
      <c r="Y40" s="16">
        <v>0.54375000000000007</v>
      </c>
      <c r="Z40" s="16">
        <f t="shared" si="2"/>
        <v>1.6666666666666718E-2</v>
      </c>
      <c r="AA40" s="16">
        <v>0</v>
      </c>
      <c r="AB40" s="16">
        <v>0.54513888888888895</v>
      </c>
      <c r="AC40" s="17"/>
      <c r="AD40" s="51"/>
    </row>
    <row r="41" spans="1:30" ht="19.5" thickBot="1" x14ac:dyDescent="0.3">
      <c r="A41" s="14">
        <v>6</v>
      </c>
      <c r="B41" s="15">
        <v>3891</v>
      </c>
      <c r="C41" s="15" t="str">
        <f>VLOOKUP(B41,داتا!$B$3:$D$107,2,FALSE)</f>
        <v>تلتين</v>
      </c>
      <c r="D41" s="34">
        <f>VLOOKUP(B41,داتا!$B$3:$D$107,3,FALSE)</f>
        <v>3.125E-2</v>
      </c>
      <c r="E41" s="15" t="s">
        <v>55</v>
      </c>
      <c r="F41" s="15" t="s">
        <v>155</v>
      </c>
      <c r="G41" s="16">
        <v>0.25</v>
      </c>
      <c r="H41" s="16">
        <f t="shared" si="7"/>
        <v>0.2638888888888889</v>
      </c>
      <c r="I41" s="16">
        <f t="shared" si="3"/>
        <v>1.3888888888888895E-2</v>
      </c>
      <c r="J41" s="16">
        <v>0.4513888888888889</v>
      </c>
      <c r="K41" s="16">
        <v>0.47222222222222227</v>
      </c>
      <c r="L41" s="16" t="s">
        <v>157</v>
      </c>
      <c r="M41" s="16" t="s">
        <v>157</v>
      </c>
      <c r="N41" s="16">
        <f t="shared" si="0"/>
        <v>2.083333333333337E-2</v>
      </c>
      <c r="O41" s="16">
        <v>0</v>
      </c>
      <c r="P41" s="16">
        <v>6.9444444444444397E-3</v>
      </c>
      <c r="Q41" s="16">
        <v>0.47916666666666669</v>
      </c>
      <c r="R41" s="16">
        <f t="shared" si="6"/>
        <v>0</v>
      </c>
      <c r="S41" s="16">
        <v>0.47916666666666669</v>
      </c>
      <c r="T41" s="16">
        <f>VLOOKUP(E41,'[2]21-3-2026'!E$3:T$35,16,FALSE)</f>
        <v>3.8194444444444399E-2</v>
      </c>
      <c r="U41" s="16">
        <v>0.55555555555555558</v>
      </c>
      <c r="V41" s="16">
        <v>0</v>
      </c>
      <c r="W41" s="16">
        <v>4.1666666666666664E-2</v>
      </c>
      <c r="X41" s="16">
        <v>0.55902777777777779</v>
      </c>
      <c r="Y41" s="16">
        <v>0.56944444444444442</v>
      </c>
      <c r="Z41" s="16">
        <f t="shared" si="2"/>
        <v>1.041666666666663E-2</v>
      </c>
      <c r="AA41" s="16">
        <v>0</v>
      </c>
      <c r="AB41" s="16">
        <v>0.57638888888888895</v>
      </c>
      <c r="AC41" s="17"/>
      <c r="AD41" s="51"/>
    </row>
    <row r="42" spans="1:30" ht="19.5" thickBot="1" x14ac:dyDescent="0.3">
      <c r="A42" s="14">
        <v>7</v>
      </c>
      <c r="B42" s="15">
        <v>4879</v>
      </c>
      <c r="C42" s="15" t="str">
        <f>VLOOKUP(B42,داتا!$B$3:$D$107,2,FALSE)</f>
        <v>دبابة</v>
      </c>
      <c r="D42" s="34">
        <f>VLOOKUP(B42,داتا!$B$3:$D$107,3,FALSE)</f>
        <v>2.0833333333333301E-2</v>
      </c>
      <c r="E42" s="15" t="s">
        <v>89</v>
      </c>
      <c r="F42" s="15" t="s">
        <v>80</v>
      </c>
      <c r="G42" s="16">
        <v>0.25</v>
      </c>
      <c r="H42" s="16">
        <f t="shared" si="7"/>
        <v>0.25</v>
      </c>
      <c r="I42" s="16">
        <f t="shared" si="3"/>
        <v>0</v>
      </c>
      <c r="J42" s="16">
        <v>0.3888888888888889</v>
      </c>
      <c r="K42" s="16">
        <v>0.40972222222222227</v>
      </c>
      <c r="L42" s="16" t="s">
        <v>94</v>
      </c>
      <c r="M42" s="16" t="s">
        <v>94</v>
      </c>
      <c r="N42" s="16">
        <f t="shared" si="0"/>
        <v>2.083333333333337E-2</v>
      </c>
      <c r="O42" s="16">
        <f t="shared" si="5"/>
        <v>6.9388939039072284E-17</v>
      </c>
      <c r="P42" s="16">
        <v>6.9444444444444397E-3</v>
      </c>
      <c r="Q42" s="16">
        <v>0.4375</v>
      </c>
      <c r="R42" s="16">
        <f t="shared" si="6"/>
        <v>2.0833333333333315E-2</v>
      </c>
      <c r="S42" s="16">
        <v>0.4375</v>
      </c>
      <c r="T42" s="16">
        <f>VLOOKUP(E42,'[2]21-3-2026'!E$3:T$35,16,FALSE)</f>
        <v>1.7361111111111101E-2</v>
      </c>
      <c r="U42" s="16">
        <v>0.46180555555555558</v>
      </c>
      <c r="V42" s="16">
        <f t="shared" si="1"/>
        <v>6.9444444444444753E-3</v>
      </c>
      <c r="W42" s="16">
        <v>2.0833333333333332E-2</v>
      </c>
      <c r="X42" s="16">
        <v>0.46388888888888885</v>
      </c>
      <c r="Y42" s="16">
        <v>0.48125000000000001</v>
      </c>
      <c r="Z42" s="16">
        <f t="shared" si="2"/>
        <v>1.736111111111116E-2</v>
      </c>
      <c r="AA42" s="16">
        <v>0</v>
      </c>
      <c r="AB42" s="16">
        <v>0.4826388888888889</v>
      </c>
      <c r="AC42" s="17"/>
      <c r="AD42" s="51"/>
    </row>
    <row r="43" spans="1:30" ht="19.5" thickBot="1" x14ac:dyDescent="0.3">
      <c r="A43" s="14">
        <v>8</v>
      </c>
      <c r="B43" s="15">
        <v>4879</v>
      </c>
      <c r="C43" s="15" t="str">
        <f>VLOOKUP(B43,داتا!$B$3:$D$107,2,FALSE)</f>
        <v>دبابة</v>
      </c>
      <c r="D43" s="34">
        <f>VLOOKUP(B43,داتا!$B$3:$D$107,3,FALSE)</f>
        <v>2.0833333333333301E-2</v>
      </c>
      <c r="E43" s="15" t="s">
        <v>39</v>
      </c>
      <c r="F43" s="15" t="s">
        <v>80</v>
      </c>
      <c r="G43" s="16">
        <v>0.25</v>
      </c>
      <c r="H43" s="16">
        <f t="shared" si="7"/>
        <v>0.25</v>
      </c>
      <c r="I43" s="16">
        <f t="shared" si="3"/>
        <v>0</v>
      </c>
      <c r="J43" s="16">
        <v>0.3888888888888889</v>
      </c>
      <c r="K43" s="16">
        <v>0.40972222222222227</v>
      </c>
      <c r="L43" s="16" t="s">
        <v>94</v>
      </c>
      <c r="M43" s="16" t="s">
        <v>94</v>
      </c>
      <c r="N43" s="16">
        <f t="shared" si="0"/>
        <v>2.083333333333337E-2</v>
      </c>
      <c r="O43" s="16">
        <f t="shared" si="5"/>
        <v>6.9388939039072284E-17</v>
      </c>
      <c r="P43" s="16">
        <v>6.9444444444444397E-3</v>
      </c>
      <c r="Q43" s="16">
        <v>0.4375</v>
      </c>
      <c r="R43" s="16">
        <f t="shared" si="6"/>
        <v>2.0833333333333315E-2</v>
      </c>
      <c r="S43" s="16">
        <v>0.4375</v>
      </c>
      <c r="T43" s="16">
        <f>VLOOKUP(E43,'[2]21-3-2026'!E$3:T$35,16,FALSE)</f>
        <v>1.7361111111111101E-2</v>
      </c>
      <c r="U43" s="16">
        <v>0.48888888888888887</v>
      </c>
      <c r="V43" s="16">
        <v>0</v>
      </c>
      <c r="W43" s="16">
        <v>3.125E-2</v>
      </c>
      <c r="X43" s="16">
        <v>0.4993055555555555</v>
      </c>
      <c r="Y43" s="16">
        <v>0.51250000000000007</v>
      </c>
      <c r="Z43" s="16">
        <f t="shared" si="2"/>
        <v>1.3194444444444564E-2</v>
      </c>
      <c r="AA43" s="16">
        <v>0</v>
      </c>
      <c r="AB43" s="16">
        <v>0.51458333333333328</v>
      </c>
      <c r="AC43" s="17"/>
      <c r="AD43" s="51"/>
    </row>
    <row r="44" spans="1:30" ht="19.5" thickBot="1" x14ac:dyDescent="0.3">
      <c r="A44" s="14">
        <v>9</v>
      </c>
      <c r="B44" s="15">
        <v>2694</v>
      </c>
      <c r="C44" s="15" t="str">
        <f>VLOOKUP(B44,داتا!$B$3:$D$107,2,FALSE)</f>
        <v>تلتين</v>
      </c>
      <c r="D44" s="34">
        <f>VLOOKUP(B44,داتا!$B$3:$D$107,3,FALSE)</f>
        <v>3.125E-2</v>
      </c>
      <c r="E44" s="15" t="s">
        <v>70</v>
      </c>
      <c r="F44" s="15" t="s">
        <v>147</v>
      </c>
      <c r="G44" s="16">
        <v>0.25</v>
      </c>
      <c r="H44" s="16">
        <f t="shared" si="7"/>
        <v>0.24305555555555555</v>
      </c>
      <c r="I44" s="16">
        <v>0</v>
      </c>
      <c r="J44" s="16">
        <v>0.41666666666666669</v>
      </c>
      <c r="K44" s="16">
        <v>0.44097222222222227</v>
      </c>
      <c r="L44" s="16" t="s">
        <v>94</v>
      </c>
      <c r="M44" s="16" t="s">
        <v>94</v>
      </c>
      <c r="N44" s="16">
        <f t="shared" si="0"/>
        <v>2.430555555555558E-2</v>
      </c>
      <c r="O44" s="16">
        <v>0</v>
      </c>
      <c r="P44" s="16">
        <v>6.9444444444444397E-3</v>
      </c>
      <c r="Q44" s="16">
        <v>0.44791666666666669</v>
      </c>
      <c r="R44" s="16">
        <f t="shared" si="6"/>
        <v>0</v>
      </c>
      <c r="S44" s="16">
        <v>0.44791666666666669</v>
      </c>
      <c r="T44" s="16">
        <f>VLOOKUP(E44,'[2]21-3-2026'!E$3:T$35,16,FALSE)</f>
        <v>1.0416666666666701E-2</v>
      </c>
      <c r="U44" s="16">
        <v>0.46180555555555558</v>
      </c>
      <c r="V44" s="16">
        <f t="shared" si="1"/>
        <v>3.4722222222222099E-3</v>
      </c>
      <c r="W44" s="16">
        <v>3.125E-2</v>
      </c>
      <c r="X44" s="16">
        <v>0.46319444444444446</v>
      </c>
      <c r="Y44" s="16">
        <v>0.47916666666666669</v>
      </c>
      <c r="Z44" s="16">
        <f t="shared" si="2"/>
        <v>1.5972222222222221E-2</v>
      </c>
      <c r="AA44" s="16">
        <v>0</v>
      </c>
      <c r="AB44" s="16">
        <v>0.4826388888888889</v>
      </c>
      <c r="AC44" s="17"/>
      <c r="AD44" s="51"/>
    </row>
    <row r="45" spans="1:30" ht="19.5" thickBot="1" x14ac:dyDescent="0.3">
      <c r="A45" s="14">
        <v>10</v>
      </c>
      <c r="B45" s="15">
        <v>2694</v>
      </c>
      <c r="C45" s="15" t="str">
        <f>VLOOKUP(B45,داتا!$B$3:$D$107,2,FALSE)</f>
        <v>تلتين</v>
      </c>
      <c r="D45" s="34">
        <f>VLOOKUP(B45,داتا!$B$3:$D$107,3,FALSE)</f>
        <v>3.125E-2</v>
      </c>
      <c r="E45" s="15" t="s">
        <v>79</v>
      </c>
      <c r="F45" s="15" t="s">
        <v>147</v>
      </c>
      <c r="G45" s="16">
        <v>0.25</v>
      </c>
      <c r="H45" s="16">
        <f t="shared" si="7"/>
        <v>0.24305555555555555</v>
      </c>
      <c r="I45" s="16">
        <v>0</v>
      </c>
      <c r="J45" s="16">
        <v>0.41666666666666669</v>
      </c>
      <c r="K45" s="16">
        <v>0.44097222222222227</v>
      </c>
      <c r="L45" s="16" t="s">
        <v>94</v>
      </c>
      <c r="M45" s="16" t="s">
        <v>94</v>
      </c>
      <c r="N45" s="16">
        <f t="shared" si="0"/>
        <v>2.430555555555558E-2</v>
      </c>
      <c r="O45" s="16">
        <v>0</v>
      </c>
      <c r="P45" s="16">
        <v>6.9444444444444397E-3</v>
      </c>
      <c r="Q45" s="16">
        <v>0.44791666666666669</v>
      </c>
      <c r="R45" s="16">
        <f t="shared" si="6"/>
        <v>0</v>
      </c>
      <c r="S45" s="16">
        <v>0.44791666666666669</v>
      </c>
      <c r="T45" s="16">
        <f>VLOOKUP(E45,'[2]21-3-2026'!E$3:T$35,16,FALSE)</f>
        <v>2.0833333333333301E-2</v>
      </c>
      <c r="U45" s="16">
        <v>0.50694444444444442</v>
      </c>
      <c r="V45" s="16">
        <v>0</v>
      </c>
      <c r="W45" s="16">
        <v>4.1666666666666664E-2</v>
      </c>
      <c r="X45" s="16">
        <v>0.51041666666666663</v>
      </c>
      <c r="Y45" s="16">
        <v>0.52430555555555558</v>
      </c>
      <c r="Z45" s="16">
        <f t="shared" si="2"/>
        <v>1.3888888888888951E-2</v>
      </c>
      <c r="AA45" s="16">
        <v>0</v>
      </c>
      <c r="AB45" s="16">
        <v>0.52777777777777779</v>
      </c>
      <c r="AC45" s="17"/>
      <c r="AD45" s="51"/>
    </row>
    <row r="46" spans="1:30" ht="19.5" thickBot="1" x14ac:dyDescent="0.3">
      <c r="A46" s="14">
        <v>11</v>
      </c>
      <c r="B46" s="15">
        <v>6142</v>
      </c>
      <c r="C46" s="15" t="str">
        <f>VLOOKUP(B46,داتا!$B$3:$D$107,2,FALSE)</f>
        <v>تلتين</v>
      </c>
      <c r="D46" s="34">
        <f>VLOOKUP(B46,داتا!$B$3:$D$107,3,FALSE)</f>
        <v>3.125E-2</v>
      </c>
      <c r="E46" s="15" t="s">
        <v>30</v>
      </c>
      <c r="F46" s="15" t="s">
        <v>167</v>
      </c>
      <c r="G46" s="16">
        <v>0.25</v>
      </c>
      <c r="H46" s="16">
        <f t="shared" si="7"/>
        <v>0.2673611111111111</v>
      </c>
      <c r="I46" s="16">
        <f t="shared" si="3"/>
        <v>1.7361111111111105E-2</v>
      </c>
      <c r="J46" s="16">
        <v>0.46527777777777773</v>
      </c>
      <c r="K46" s="16">
        <v>0.49305555555555558</v>
      </c>
      <c r="L46" s="16" t="s">
        <v>94</v>
      </c>
      <c r="M46" s="16" t="s">
        <v>94</v>
      </c>
      <c r="N46" s="16">
        <f t="shared" si="0"/>
        <v>2.7777777777777846E-2</v>
      </c>
      <c r="O46" s="16">
        <v>0</v>
      </c>
      <c r="P46" s="16">
        <v>6.9444444444444397E-3</v>
      </c>
      <c r="Q46" s="16">
        <v>0.51041666666666663</v>
      </c>
      <c r="R46" s="16">
        <f t="shared" si="6"/>
        <v>1.041666666666663E-2</v>
      </c>
      <c r="S46" s="16">
        <v>0.51041666666666663</v>
      </c>
      <c r="T46" s="16">
        <f>VLOOKUP(E46,'[2]21-3-2026'!E$3:T$35,16,FALSE)</f>
        <v>1.38888888888889E-2</v>
      </c>
      <c r="U46" s="16">
        <v>0.52083333333333337</v>
      </c>
      <c r="V46" s="16">
        <v>0</v>
      </c>
      <c r="W46" s="16">
        <v>3.125E-2</v>
      </c>
      <c r="X46" s="16">
        <v>0.52916666666666667</v>
      </c>
      <c r="Y46" s="16">
        <v>0.54861111111111105</v>
      </c>
      <c r="Z46" s="16">
        <f t="shared" si="2"/>
        <v>1.9444444444444375E-2</v>
      </c>
      <c r="AA46" s="16">
        <v>0</v>
      </c>
      <c r="AB46" s="16">
        <v>0.55208333333333337</v>
      </c>
      <c r="AC46" s="17"/>
      <c r="AD46" s="51"/>
    </row>
    <row r="47" spans="1:30" ht="19.5" thickBot="1" x14ac:dyDescent="0.3">
      <c r="A47" s="14">
        <v>12</v>
      </c>
      <c r="B47" s="15">
        <v>6142</v>
      </c>
      <c r="C47" s="15" t="str">
        <f>VLOOKUP(B47,داتا!$B$3:$D$107,2,FALSE)</f>
        <v>تلتين</v>
      </c>
      <c r="D47" s="34">
        <f>VLOOKUP(B47,داتا!$B$3:$D$107,3,FALSE)</f>
        <v>3.125E-2</v>
      </c>
      <c r="E47" s="15" t="s">
        <v>34</v>
      </c>
      <c r="F47" s="15" t="s">
        <v>167</v>
      </c>
      <c r="G47" s="16">
        <v>0.25</v>
      </c>
      <c r="H47" s="16">
        <f t="shared" si="7"/>
        <v>0.2673611111111111</v>
      </c>
      <c r="I47" s="16">
        <f t="shared" si="3"/>
        <v>1.7361111111111105E-2</v>
      </c>
      <c r="J47" s="16">
        <v>0.46527777777777773</v>
      </c>
      <c r="K47" s="16">
        <v>0.49305555555555558</v>
      </c>
      <c r="L47" s="16" t="s">
        <v>94</v>
      </c>
      <c r="M47" s="16" t="s">
        <v>94</v>
      </c>
      <c r="N47" s="16">
        <f t="shared" si="0"/>
        <v>2.7777777777777846E-2</v>
      </c>
      <c r="O47" s="16">
        <v>0</v>
      </c>
      <c r="P47" s="16">
        <v>6.9444444444444397E-3</v>
      </c>
      <c r="Q47" s="16">
        <v>0.51041666666666663</v>
      </c>
      <c r="R47" s="16">
        <f t="shared" si="6"/>
        <v>1.041666666666663E-2</v>
      </c>
      <c r="S47" s="16">
        <v>0.51041666666666663</v>
      </c>
      <c r="T47" s="16">
        <f>VLOOKUP(E47,'[2]21-3-2026'!E$3:T$35,16,FALSE)</f>
        <v>1.0416666666666701E-2</v>
      </c>
      <c r="U47" s="16">
        <v>0.55555555555555558</v>
      </c>
      <c r="V47" s="16">
        <v>0</v>
      </c>
      <c r="W47" s="16">
        <v>4.1666666666666664E-2</v>
      </c>
      <c r="X47" s="16">
        <v>0.55763888888888891</v>
      </c>
      <c r="Y47" s="16">
        <v>0.57986111111111105</v>
      </c>
      <c r="Z47" s="16">
        <f t="shared" si="2"/>
        <v>2.2222222222222143E-2</v>
      </c>
      <c r="AA47" s="16">
        <v>0</v>
      </c>
      <c r="AB47" s="16">
        <v>0.58680555555555558</v>
      </c>
      <c r="AC47" s="17"/>
      <c r="AD47" s="51"/>
    </row>
    <row r="48" spans="1:30" ht="19.5" thickBot="1" x14ac:dyDescent="0.3">
      <c r="A48" s="14">
        <v>13</v>
      </c>
      <c r="B48" s="15">
        <v>5898</v>
      </c>
      <c r="C48" s="15" t="str">
        <f>VLOOKUP(B48,داتا!$B$3:$D$107,2,FALSE)</f>
        <v>تلتين</v>
      </c>
      <c r="D48" s="34">
        <f>VLOOKUP(B48,داتا!$B$3:$D$107,3,FALSE)</f>
        <v>3.125E-2</v>
      </c>
      <c r="E48" s="15" t="s">
        <v>42</v>
      </c>
      <c r="F48" s="15" t="s">
        <v>149</v>
      </c>
      <c r="G48" s="16">
        <v>0.25</v>
      </c>
      <c r="H48" s="16">
        <f t="shared" si="7"/>
        <v>0.25</v>
      </c>
      <c r="I48" s="16">
        <f t="shared" si="3"/>
        <v>0</v>
      </c>
      <c r="J48" s="16">
        <v>0.39583333333333331</v>
      </c>
      <c r="K48" s="16">
        <v>0.41319444444444442</v>
      </c>
      <c r="L48" s="16" t="s">
        <v>88</v>
      </c>
      <c r="M48" s="16" t="s">
        <v>88</v>
      </c>
      <c r="N48" s="16">
        <f t="shared" si="0"/>
        <v>1.7361111111111105E-2</v>
      </c>
      <c r="O48" s="16">
        <v>0</v>
      </c>
      <c r="P48" s="16">
        <v>6.9444444444444397E-3</v>
      </c>
      <c r="Q48" s="16">
        <v>0.43402777777777773</v>
      </c>
      <c r="R48" s="16">
        <f t="shared" si="6"/>
        <v>1.3888888888888895E-2</v>
      </c>
      <c r="S48" s="16">
        <v>0.43402777777777773</v>
      </c>
      <c r="T48" s="16">
        <f>VLOOKUP(E48,'[2]21-3-2026'!E$3:T$35,16,FALSE)</f>
        <v>1.7361111111111101E-2</v>
      </c>
      <c r="U48" s="16">
        <v>0.46875</v>
      </c>
      <c r="V48" s="16">
        <f t="shared" si="1"/>
        <v>1.736111111111116E-2</v>
      </c>
      <c r="W48" s="16">
        <v>3.125E-2</v>
      </c>
      <c r="X48" s="16">
        <v>0.47569444444444442</v>
      </c>
      <c r="Y48" s="16">
        <v>0.4861111111111111</v>
      </c>
      <c r="Z48" s="16">
        <f t="shared" si="2"/>
        <v>1.0416666666666685E-2</v>
      </c>
      <c r="AA48" s="16">
        <v>0</v>
      </c>
      <c r="AB48" s="16">
        <v>0.48958333333333331</v>
      </c>
      <c r="AC48" s="17"/>
      <c r="AD48" s="51"/>
    </row>
    <row r="49" spans="1:30" ht="19.5" thickBot="1" x14ac:dyDescent="0.3">
      <c r="A49" s="14">
        <v>14</v>
      </c>
      <c r="B49" s="15">
        <v>5898</v>
      </c>
      <c r="C49" s="15" t="str">
        <f>VLOOKUP(B49,داتا!$B$3:$D$107,2,FALSE)</f>
        <v>تلتين</v>
      </c>
      <c r="D49" s="34">
        <f>VLOOKUP(B49,داتا!$B$3:$D$107,3,FALSE)</f>
        <v>3.125E-2</v>
      </c>
      <c r="E49" s="15" t="s">
        <v>45</v>
      </c>
      <c r="F49" s="15" t="s">
        <v>149</v>
      </c>
      <c r="G49" s="16">
        <v>0.25</v>
      </c>
      <c r="H49" s="16">
        <f t="shared" si="7"/>
        <v>0.25</v>
      </c>
      <c r="I49" s="16">
        <f t="shared" si="3"/>
        <v>0</v>
      </c>
      <c r="J49" s="16">
        <v>0.39583333333333331</v>
      </c>
      <c r="K49" s="16">
        <v>0.41319444444444442</v>
      </c>
      <c r="L49" s="16" t="s">
        <v>88</v>
      </c>
      <c r="M49" s="16" t="s">
        <v>88</v>
      </c>
      <c r="N49" s="16">
        <f t="shared" si="0"/>
        <v>1.7361111111111105E-2</v>
      </c>
      <c r="O49" s="16">
        <v>0</v>
      </c>
      <c r="P49" s="16">
        <v>6.9444444444444397E-3</v>
      </c>
      <c r="Q49" s="16">
        <v>0.43402777777777773</v>
      </c>
      <c r="R49" s="16">
        <f t="shared" si="6"/>
        <v>1.3888888888888895E-2</v>
      </c>
      <c r="S49" s="16">
        <v>0.43402777777777773</v>
      </c>
      <c r="T49" s="16">
        <f>VLOOKUP(E49,'[2]21-3-2026'!E$3:T$35,16,FALSE)</f>
        <v>1.38888888888889E-2</v>
      </c>
      <c r="U49" s="16">
        <v>0.5</v>
      </c>
      <c r="V49" s="16">
        <v>0</v>
      </c>
      <c r="W49" s="16">
        <v>4.1666666666666664E-2</v>
      </c>
      <c r="X49" s="16">
        <v>0.50555555555555554</v>
      </c>
      <c r="Y49" s="16">
        <v>0.52638888888888891</v>
      </c>
      <c r="Z49" s="16">
        <f t="shared" si="2"/>
        <v>2.083333333333337E-2</v>
      </c>
      <c r="AA49" s="16">
        <v>0</v>
      </c>
      <c r="AB49" s="16">
        <v>0.52777777777777779</v>
      </c>
      <c r="AC49" s="17"/>
      <c r="AD49" s="51"/>
    </row>
    <row r="50" spans="1:30" ht="19.5" thickBot="1" x14ac:dyDescent="0.3">
      <c r="A50" s="14">
        <v>15</v>
      </c>
      <c r="B50" s="15">
        <v>2474</v>
      </c>
      <c r="C50" s="15" t="str">
        <f>VLOOKUP(B50,داتا!$B$3:$D$107,2,FALSE)</f>
        <v>دبابة</v>
      </c>
      <c r="D50" s="34">
        <f>VLOOKUP(B50,داتا!$B$3:$D$107,3,FALSE)</f>
        <v>2.0833333333333332E-2</v>
      </c>
      <c r="E50" s="15" t="s">
        <v>81</v>
      </c>
      <c r="F50" s="15" t="s">
        <v>99</v>
      </c>
      <c r="G50" s="16">
        <v>0.25</v>
      </c>
      <c r="H50" s="16">
        <f t="shared" si="7"/>
        <v>0.25</v>
      </c>
      <c r="I50" s="16">
        <f t="shared" si="3"/>
        <v>0</v>
      </c>
      <c r="J50" s="16">
        <v>0.4375</v>
      </c>
      <c r="K50" s="16">
        <v>0.44791666666666669</v>
      </c>
      <c r="L50" s="16" t="s">
        <v>88</v>
      </c>
      <c r="M50" s="16" t="s">
        <v>88</v>
      </c>
      <c r="N50" s="16">
        <f t="shared" si="0"/>
        <v>1.0416666666666685E-2</v>
      </c>
      <c r="O50" s="16">
        <v>0</v>
      </c>
      <c r="P50" s="16">
        <v>6.9444444444444397E-3</v>
      </c>
      <c r="Q50" s="16">
        <v>0.4513888888888889</v>
      </c>
      <c r="R50" s="16">
        <v>0</v>
      </c>
      <c r="S50" s="16">
        <v>0.4513888888888889</v>
      </c>
      <c r="T50" s="16">
        <f>VLOOKUP(E50,'[2]21-3-2026'!E$3:T$35,16,FALSE)</f>
        <v>2.7777777777777801E-2</v>
      </c>
      <c r="U50" s="16">
        <v>0.49305555555555558</v>
      </c>
      <c r="V50" s="16">
        <f t="shared" si="1"/>
        <v>1.3888888888888895E-2</v>
      </c>
      <c r="W50" s="16">
        <v>3.125E-2</v>
      </c>
      <c r="X50" s="16">
        <v>0.49652777777777773</v>
      </c>
      <c r="Y50" s="16">
        <v>0.52430555555555558</v>
      </c>
      <c r="Z50" s="16">
        <f t="shared" si="2"/>
        <v>2.7777777777777846E-2</v>
      </c>
      <c r="AA50" s="16">
        <v>0</v>
      </c>
      <c r="AB50" s="16">
        <v>0.52777777777777779</v>
      </c>
      <c r="AC50" s="17"/>
      <c r="AD50" s="51"/>
    </row>
    <row r="51" spans="1:30" ht="19.5" thickBot="1" x14ac:dyDescent="0.3">
      <c r="A51" s="14">
        <v>16</v>
      </c>
      <c r="B51" s="15">
        <v>2695</v>
      </c>
      <c r="C51" s="15" t="str">
        <f>VLOOKUP(B51,داتا!$B$3:$D$107,2,FALSE)</f>
        <v>تلتين</v>
      </c>
      <c r="D51" s="34">
        <f>VLOOKUP(B51,داتا!$B$3:$D$107,3,FALSE)</f>
        <v>3.125E-2</v>
      </c>
      <c r="E51" s="15" t="s">
        <v>98</v>
      </c>
      <c r="F51" s="15" t="s">
        <v>31</v>
      </c>
      <c r="G51" s="16">
        <v>0.25</v>
      </c>
      <c r="H51" s="16">
        <f t="shared" si="7"/>
        <v>0.25</v>
      </c>
      <c r="I51" s="16">
        <f t="shared" si="3"/>
        <v>0</v>
      </c>
      <c r="J51" s="16">
        <v>0.47569444444444442</v>
      </c>
      <c r="K51" s="16">
        <v>0.48958333333333331</v>
      </c>
      <c r="L51" s="16" t="s">
        <v>88</v>
      </c>
      <c r="M51" s="16" t="s">
        <v>88</v>
      </c>
      <c r="N51" s="16">
        <f t="shared" si="0"/>
        <v>1.3888888888888895E-2</v>
      </c>
      <c r="O51" s="16">
        <v>0</v>
      </c>
      <c r="P51" s="16">
        <v>6.9444444444444397E-3</v>
      </c>
      <c r="Q51" s="16">
        <v>0.50347222222222221</v>
      </c>
      <c r="R51" s="16">
        <f t="shared" si="6"/>
        <v>6.9444444444444753E-3</v>
      </c>
      <c r="S51" s="16">
        <v>0.50347222222222221</v>
      </c>
      <c r="T51" s="16">
        <f>VLOOKUP(E51,'[2]21-3-2026'!E$3:T$35,16,FALSE)</f>
        <v>4.8611111111111103E-3</v>
      </c>
      <c r="U51" s="16">
        <v>0.51041666666666663</v>
      </c>
      <c r="V51" s="16">
        <f t="shared" si="1"/>
        <v>2.0833333333333259E-3</v>
      </c>
      <c r="W51" s="16">
        <v>3.125E-2</v>
      </c>
      <c r="X51" s="16">
        <v>0.51388888888888895</v>
      </c>
      <c r="Y51" s="16">
        <v>0.53472222222222221</v>
      </c>
      <c r="Z51" s="16">
        <f t="shared" si="2"/>
        <v>2.0833333333333259E-2</v>
      </c>
      <c r="AA51" s="16">
        <v>0</v>
      </c>
      <c r="AB51" s="16">
        <v>0.53611111111111109</v>
      </c>
      <c r="AC51" s="17"/>
      <c r="AD51" s="51"/>
    </row>
    <row r="52" spans="1:30" ht="19.5" thickBot="1" x14ac:dyDescent="0.3">
      <c r="A52" s="14">
        <v>17</v>
      </c>
      <c r="B52" s="15">
        <v>2695</v>
      </c>
      <c r="C52" s="15" t="str">
        <f>VLOOKUP(B52,داتا!$B$3:$D$107,2,FALSE)</f>
        <v>تلتين</v>
      </c>
      <c r="D52" s="34">
        <f>VLOOKUP(B52,داتا!$B$3:$D$107,3,FALSE)</f>
        <v>3.125E-2</v>
      </c>
      <c r="E52" s="15" t="s">
        <v>95</v>
      </c>
      <c r="F52" s="15" t="s">
        <v>31</v>
      </c>
      <c r="G52" s="16">
        <v>0.25</v>
      </c>
      <c r="H52" s="16">
        <f t="shared" si="7"/>
        <v>0.25</v>
      </c>
      <c r="I52" s="16">
        <f t="shared" si="3"/>
        <v>0</v>
      </c>
      <c r="J52" s="16">
        <v>0.47569444444444442</v>
      </c>
      <c r="K52" s="16">
        <v>0.48958333333333331</v>
      </c>
      <c r="L52" s="16" t="s">
        <v>88</v>
      </c>
      <c r="M52" s="16" t="s">
        <v>88</v>
      </c>
      <c r="N52" s="16">
        <f t="shared" si="0"/>
        <v>1.3888888888888895E-2</v>
      </c>
      <c r="O52" s="16">
        <v>0</v>
      </c>
      <c r="P52" s="16">
        <v>6.9444444444444397E-3</v>
      </c>
      <c r="Q52" s="16">
        <v>0.50347222222222221</v>
      </c>
      <c r="R52" s="16">
        <f t="shared" si="6"/>
        <v>6.9444444444444753E-3</v>
      </c>
      <c r="S52" s="16">
        <v>0.50347222222222221</v>
      </c>
      <c r="T52" s="16">
        <f>VLOOKUP(E52,'[2]21-3-2026'!E$3:T$35,16,FALSE)</f>
        <v>1.0416666666666701E-2</v>
      </c>
      <c r="U52" s="16">
        <v>0.54166666666666663</v>
      </c>
      <c r="V52" s="16">
        <v>0</v>
      </c>
      <c r="W52" s="16">
        <v>4.1666666666666664E-2</v>
      </c>
      <c r="X52" s="16">
        <v>0.54513888888888895</v>
      </c>
      <c r="Y52" s="16">
        <v>0.57291666666666663</v>
      </c>
      <c r="Z52" s="16">
        <f t="shared" si="2"/>
        <v>2.7777777777777679E-2</v>
      </c>
      <c r="AA52" s="16">
        <v>0</v>
      </c>
      <c r="AB52" s="16">
        <v>0.57986111111111105</v>
      </c>
      <c r="AC52" s="17"/>
      <c r="AD52" s="51"/>
    </row>
    <row r="53" spans="1:30" ht="19.5" thickBot="1" x14ac:dyDescent="0.3">
      <c r="A53" s="14">
        <v>18</v>
      </c>
      <c r="B53" s="15">
        <v>6143</v>
      </c>
      <c r="C53" s="15" t="str">
        <f>VLOOKUP(B53,داتا!$B$3:$D$107,2,FALSE)</f>
        <v>تلتين</v>
      </c>
      <c r="D53" s="34">
        <f>VLOOKUP(B53,داتا!$B$3:$D$107,3,FALSE)</f>
        <v>3.125E-2</v>
      </c>
      <c r="E53" s="15" t="s">
        <v>83</v>
      </c>
      <c r="F53" s="15" t="s">
        <v>117</v>
      </c>
      <c r="G53" s="16">
        <v>0.25</v>
      </c>
      <c r="H53" s="16">
        <f t="shared" si="7"/>
        <v>0.25</v>
      </c>
      <c r="I53" s="16">
        <f t="shared" si="3"/>
        <v>0</v>
      </c>
      <c r="J53" s="16">
        <v>0.39930555555555558</v>
      </c>
      <c r="K53" s="16">
        <v>0.40972222222222227</v>
      </c>
      <c r="L53" s="16" t="s">
        <v>238</v>
      </c>
      <c r="M53" s="16" t="s">
        <v>238</v>
      </c>
      <c r="N53" s="16">
        <f t="shared" si="0"/>
        <v>1.0416666666666685E-2</v>
      </c>
      <c r="O53" s="16">
        <v>0</v>
      </c>
      <c r="P53" s="16">
        <v>6.9444444444444397E-3</v>
      </c>
      <c r="Q53" s="16">
        <v>0.4201388888888889</v>
      </c>
      <c r="R53" s="16">
        <f t="shared" si="6"/>
        <v>3.4722222222222099E-3</v>
      </c>
      <c r="S53" s="16">
        <v>0.4201388888888889</v>
      </c>
      <c r="T53" s="16">
        <f>VLOOKUP(E53,'[2]21-3-2026'!E$3:T$35,16,FALSE)</f>
        <v>1.38888888888889E-2</v>
      </c>
      <c r="U53" s="16">
        <v>0.43055555555555558</v>
      </c>
      <c r="V53" s="16">
        <v>0</v>
      </c>
      <c r="W53" s="16">
        <v>3.125E-2</v>
      </c>
      <c r="X53" s="16">
        <v>0.43402777777777773</v>
      </c>
      <c r="Y53" s="16">
        <v>0.4513888888888889</v>
      </c>
      <c r="Z53" s="16">
        <f t="shared" si="2"/>
        <v>1.736111111111116E-2</v>
      </c>
      <c r="AA53" s="16">
        <v>0</v>
      </c>
      <c r="AB53" s="16">
        <v>0.4548611111111111</v>
      </c>
      <c r="AC53" s="17"/>
      <c r="AD53" s="51"/>
    </row>
    <row r="54" spans="1:30" ht="19.5" thickBot="1" x14ac:dyDescent="0.3">
      <c r="A54" s="14">
        <v>19</v>
      </c>
      <c r="B54" s="15">
        <v>6143</v>
      </c>
      <c r="C54" s="15" t="str">
        <f>VLOOKUP(B54,داتا!$B$3:$D$107,2,FALSE)</f>
        <v>تلتين</v>
      </c>
      <c r="D54" s="34">
        <f>VLOOKUP(B54,داتا!$B$3:$D$107,3,FALSE)</f>
        <v>3.125E-2</v>
      </c>
      <c r="E54" s="15" t="s">
        <v>77</v>
      </c>
      <c r="F54" s="15" t="s">
        <v>117</v>
      </c>
      <c r="G54" s="16">
        <v>0.25</v>
      </c>
      <c r="H54" s="16">
        <f t="shared" si="7"/>
        <v>0.25</v>
      </c>
      <c r="I54" s="16">
        <f t="shared" si="3"/>
        <v>0</v>
      </c>
      <c r="J54" s="16">
        <v>0.39930555555555558</v>
      </c>
      <c r="K54" s="16">
        <v>0.40972222222222227</v>
      </c>
      <c r="L54" s="16" t="s">
        <v>238</v>
      </c>
      <c r="M54" s="16" t="s">
        <v>238</v>
      </c>
      <c r="N54" s="16">
        <f t="shared" si="0"/>
        <v>1.0416666666666685E-2</v>
      </c>
      <c r="O54" s="16">
        <v>0</v>
      </c>
      <c r="P54" s="16">
        <v>6.9444444444444397E-3</v>
      </c>
      <c r="Q54" s="16">
        <v>0.4201388888888889</v>
      </c>
      <c r="R54" s="16">
        <f t="shared" si="6"/>
        <v>3.4722222222222099E-3</v>
      </c>
      <c r="S54" s="16">
        <v>0.4201388888888889</v>
      </c>
      <c r="T54" s="16">
        <f>VLOOKUP(E54,'[2]21-3-2026'!E$3:T$35,16,FALSE)</f>
        <v>1.38888888888889E-2</v>
      </c>
      <c r="U54" s="16">
        <v>0.46180555555555558</v>
      </c>
      <c r="V54" s="16">
        <v>0</v>
      </c>
      <c r="W54" s="16">
        <v>4.1666666666666664E-2</v>
      </c>
      <c r="X54" s="16">
        <v>0.46527777777777773</v>
      </c>
      <c r="Y54" s="16">
        <v>0.4826388888888889</v>
      </c>
      <c r="Z54" s="16">
        <f t="shared" si="2"/>
        <v>1.736111111111116E-2</v>
      </c>
      <c r="AA54" s="16">
        <v>0</v>
      </c>
      <c r="AB54" s="16">
        <v>0.4861111111111111</v>
      </c>
      <c r="AC54" s="17"/>
      <c r="AD54" s="51"/>
    </row>
    <row r="55" spans="1:30" ht="19.5" thickBot="1" x14ac:dyDescent="0.3">
      <c r="A55" s="14">
        <v>20</v>
      </c>
      <c r="B55" s="15">
        <v>3495</v>
      </c>
      <c r="C55" s="15" t="str">
        <f>VLOOKUP(B55,داتا!$B$3:$D$107,2,FALSE)</f>
        <v>تلتين</v>
      </c>
      <c r="D55" s="34">
        <f>VLOOKUP(B55,داتا!$B$3:$D$107,3,FALSE)</f>
        <v>3.125E-2</v>
      </c>
      <c r="E55" s="15" t="s">
        <v>51</v>
      </c>
      <c r="F55" s="15" t="s">
        <v>148</v>
      </c>
      <c r="G55" s="16">
        <v>0.25</v>
      </c>
      <c r="H55" s="16">
        <f t="shared" si="7"/>
        <v>0.25</v>
      </c>
      <c r="I55" s="16">
        <f t="shared" si="3"/>
        <v>0</v>
      </c>
      <c r="J55" s="16">
        <v>0.4236111111111111</v>
      </c>
      <c r="K55" s="16">
        <v>0.4375</v>
      </c>
      <c r="L55" s="16" t="s">
        <v>238</v>
      </c>
      <c r="M55" s="16" t="s">
        <v>238</v>
      </c>
      <c r="N55" s="16">
        <f t="shared" si="0"/>
        <v>1.3888888888888895E-2</v>
      </c>
      <c r="O55" s="16">
        <v>0</v>
      </c>
      <c r="P55" s="16">
        <v>6.9444444444444397E-3</v>
      </c>
      <c r="Q55" s="16">
        <v>0.46875</v>
      </c>
      <c r="R55" s="16">
        <f t="shared" si="6"/>
        <v>2.430555555555558E-2</v>
      </c>
      <c r="S55" s="16">
        <v>0.46875</v>
      </c>
      <c r="T55" s="16">
        <f>VLOOKUP(E55,'[2]21-3-2026'!E$3:T$35,16,FALSE)</f>
        <v>2.4305555555555601E-2</v>
      </c>
      <c r="U55" s="16">
        <v>0.49305555555555558</v>
      </c>
      <c r="V55" s="16">
        <f t="shared" si="1"/>
        <v>0</v>
      </c>
      <c r="W55" s="16">
        <v>3.125E-2</v>
      </c>
      <c r="X55" s="16">
        <v>0.49652777777777773</v>
      </c>
      <c r="Y55" s="16">
        <v>0.52430555555555558</v>
      </c>
      <c r="Z55" s="16">
        <f t="shared" si="2"/>
        <v>2.7777777777777846E-2</v>
      </c>
      <c r="AA55" s="16">
        <v>0</v>
      </c>
      <c r="AB55" s="16">
        <v>0.52777777777777779</v>
      </c>
      <c r="AC55" s="17"/>
      <c r="AD55" s="51"/>
    </row>
    <row r="56" spans="1:30" ht="19.5" thickBot="1" x14ac:dyDescent="0.3">
      <c r="A56" s="14">
        <v>21</v>
      </c>
      <c r="B56" s="15">
        <v>3495</v>
      </c>
      <c r="C56" s="15" t="str">
        <f>VLOOKUP(B56,داتا!$B$3:$D$107,2,FALSE)</f>
        <v>تلتين</v>
      </c>
      <c r="D56" s="34">
        <f>VLOOKUP(B56,داتا!$B$3:$D$107,3,FALSE)</f>
        <v>3.125E-2</v>
      </c>
      <c r="E56" s="15" t="s">
        <v>54</v>
      </c>
      <c r="F56" s="15" t="s">
        <v>148</v>
      </c>
      <c r="G56" s="16">
        <v>0.25</v>
      </c>
      <c r="H56" s="16">
        <f t="shared" si="7"/>
        <v>0.25</v>
      </c>
      <c r="I56" s="16">
        <f t="shared" si="3"/>
        <v>0</v>
      </c>
      <c r="J56" s="16">
        <v>0.4236111111111111</v>
      </c>
      <c r="K56" s="16">
        <v>0.4375</v>
      </c>
      <c r="L56" s="16" t="s">
        <v>238</v>
      </c>
      <c r="M56" s="16" t="s">
        <v>238</v>
      </c>
      <c r="N56" s="16">
        <f t="shared" si="0"/>
        <v>1.3888888888888895E-2</v>
      </c>
      <c r="O56" s="16">
        <v>0</v>
      </c>
      <c r="P56" s="16">
        <v>6.9444444444444397E-3</v>
      </c>
      <c r="Q56" s="16">
        <v>0.46875</v>
      </c>
      <c r="R56" s="16">
        <f t="shared" si="6"/>
        <v>2.430555555555558E-2</v>
      </c>
      <c r="S56" s="16">
        <v>0.46875</v>
      </c>
      <c r="T56" s="16">
        <f>VLOOKUP(E56,'[2]21-3-2026'!E$3:T$35,16,FALSE)</f>
        <v>1.0416666666666701E-2</v>
      </c>
      <c r="U56" s="16">
        <v>0.54513888888888895</v>
      </c>
      <c r="V56" s="16">
        <v>6.9444444444444441E-3</v>
      </c>
      <c r="W56" s="16">
        <v>4.1666666666666664E-2</v>
      </c>
      <c r="X56" s="16">
        <v>0.54861111111111105</v>
      </c>
      <c r="Y56" s="16">
        <v>0.56597222222222221</v>
      </c>
      <c r="Z56" s="16">
        <f t="shared" si="2"/>
        <v>1.736111111111116E-2</v>
      </c>
      <c r="AA56" s="16">
        <v>0</v>
      </c>
      <c r="AB56" s="16">
        <v>0.56736111111111109</v>
      </c>
      <c r="AC56" s="17"/>
      <c r="AD56" s="51"/>
    </row>
    <row r="57" spans="1:30" ht="19.5" thickBot="1" x14ac:dyDescent="0.3">
      <c r="A57" s="14">
        <v>22</v>
      </c>
      <c r="B57" s="15">
        <v>3787</v>
      </c>
      <c r="C57" s="15" t="str">
        <f>VLOOKUP(B57,داتا!$B$3:$D$107,2,FALSE)</f>
        <v>دبابة</v>
      </c>
      <c r="D57" s="34">
        <f>VLOOKUP(B57,داتا!$B$3:$D$107,3,FALSE)</f>
        <v>2.0833333333333301E-2</v>
      </c>
      <c r="E57" s="15" t="s">
        <v>65</v>
      </c>
      <c r="F57" s="15" t="s">
        <v>168</v>
      </c>
      <c r="G57" s="16">
        <v>0.25</v>
      </c>
      <c r="H57" s="16">
        <f t="shared" si="7"/>
        <v>0.27083333333333331</v>
      </c>
      <c r="I57" s="16">
        <f t="shared" si="3"/>
        <v>2.0833333333333315E-2</v>
      </c>
      <c r="J57" s="16">
        <v>0.47569444444444442</v>
      </c>
      <c r="K57" s="16">
        <v>0.4826388888888889</v>
      </c>
      <c r="L57" s="16" t="s">
        <v>238</v>
      </c>
      <c r="M57" s="16" t="s">
        <v>238</v>
      </c>
      <c r="N57" s="16">
        <f t="shared" si="0"/>
        <v>6.9444444444444753E-3</v>
      </c>
      <c r="O57" s="16">
        <v>0</v>
      </c>
      <c r="P57" s="16">
        <v>6.9444444444444397E-3</v>
      </c>
      <c r="Q57" s="16">
        <v>0.48958333333333331</v>
      </c>
      <c r="R57" s="16">
        <f t="shared" si="6"/>
        <v>0</v>
      </c>
      <c r="S57" s="16">
        <v>0.48958333333333331</v>
      </c>
      <c r="T57" s="16">
        <f>VLOOKUP(E57,'[2]21-3-2026'!E$3:T$35,16,FALSE)</f>
        <v>4.1666666666666699E-2</v>
      </c>
      <c r="U57" s="16">
        <v>0.52777777777777779</v>
      </c>
      <c r="V57" s="16">
        <v>0</v>
      </c>
      <c r="W57" s="16">
        <v>3.125E-2</v>
      </c>
      <c r="X57" s="16">
        <v>0.53125</v>
      </c>
      <c r="Y57" s="16">
        <v>0.55902777777777779</v>
      </c>
      <c r="Z57" s="16">
        <f t="shared" si="2"/>
        <v>2.777777777777779E-2</v>
      </c>
      <c r="AA57" s="16">
        <v>0</v>
      </c>
      <c r="AB57" s="16">
        <v>0.5625</v>
      </c>
      <c r="AC57" s="17"/>
      <c r="AD57" s="51"/>
    </row>
    <row r="58" spans="1:30" ht="19.5" thickBot="1" x14ac:dyDescent="0.3">
      <c r="A58" s="14">
        <v>23</v>
      </c>
      <c r="B58" s="15">
        <v>4987</v>
      </c>
      <c r="C58" s="15" t="str">
        <f>VLOOKUP(B58,داتا!$B$3:$D$107,2,FALSE)</f>
        <v>تلتين</v>
      </c>
      <c r="D58" s="34">
        <f>VLOOKUP(B58,داتا!$B$3:$D$107,3,FALSE)</f>
        <v>3.125E-2</v>
      </c>
      <c r="E58" s="16" t="s">
        <v>69</v>
      </c>
      <c r="F58" s="15" t="s">
        <v>181</v>
      </c>
      <c r="G58" s="16">
        <v>0.25</v>
      </c>
      <c r="H58" s="16">
        <f t="shared" si="7"/>
        <v>0.25</v>
      </c>
      <c r="I58" s="16">
        <f t="shared" si="3"/>
        <v>0</v>
      </c>
      <c r="J58" s="16">
        <v>0.3923611111111111</v>
      </c>
      <c r="K58" s="16">
        <v>0.41666666666666669</v>
      </c>
      <c r="L58" s="16" t="s">
        <v>105</v>
      </c>
      <c r="M58" s="16" t="s">
        <v>105</v>
      </c>
      <c r="N58" s="16">
        <f t="shared" si="0"/>
        <v>2.430555555555558E-2</v>
      </c>
      <c r="O58" s="16">
        <v>0</v>
      </c>
      <c r="P58" s="16">
        <v>6.9444444444444397E-3</v>
      </c>
      <c r="Q58" s="16">
        <v>0.43055555555555558</v>
      </c>
      <c r="R58" s="16">
        <f t="shared" si="6"/>
        <v>6.9444444444444753E-3</v>
      </c>
      <c r="S58" s="16">
        <v>0.43055555555555558</v>
      </c>
      <c r="T58" s="16">
        <f>VLOOKUP(E58,'[2]21-3-2026'!E$3:T$35,16,FALSE)</f>
        <v>1.38888888888889E-2</v>
      </c>
      <c r="U58" s="16">
        <v>0.4513888888888889</v>
      </c>
      <c r="V58" s="16">
        <f t="shared" si="1"/>
        <v>6.9444444444444198E-3</v>
      </c>
      <c r="W58" s="16">
        <v>3.125E-2</v>
      </c>
      <c r="X58" s="16">
        <v>0.4548611111111111</v>
      </c>
      <c r="Y58" s="16">
        <v>0.47222222222222227</v>
      </c>
      <c r="Z58" s="16">
        <f t="shared" si="2"/>
        <v>1.736111111111116E-2</v>
      </c>
      <c r="AA58" s="16">
        <v>0</v>
      </c>
      <c r="AB58" s="16">
        <v>0.47222222222222227</v>
      </c>
      <c r="AC58" s="17"/>
      <c r="AD58" s="51"/>
    </row>
    <row r="59" spans="1:30" ht="19.5" thickBot="1" x14ac:dyDescent="0.3">
      <c r="A59" s="14">
        <v>24</v>
      </c>
      <c r="B59" s="15">
        <v>4987</v>
      </c>
      <c r="C59" s="15" t="str">
        <f>VLOOKUP(B59,داتا!$B$3:$D$107,2,FALSE)</f>
        <v>تلتين</v>
      </c>
      <c r="D59" s="34">
        <f>VLOOKUP(B59,داتا!$B$3:$D$107,3,FALSE)</f>
        <v>3.125E-2</v>
      </c>
      <c r="E59" s="16" t="s">
        <v>67</v>
      </c>
      <c r="F59" s="15" t="s">
        <v>181</v>
      </c>
      <c r="G59" s="16">
        <v>0.25</v>
      </c>
      <c r="H59" s="16">
        <f t="shared" si="7"/>
        <v>0.25</v>
      </c>
      <c r="I59" s="16">
        <f t="shared" si="3"/>
        <v>0</v>
      </c>
      <c r="J59" s="16">
        <v>0.3923611111111111</v>
      </c>
      <c r="K59" s="16">
        <v>0.41666666666666669</v>
      </c>
      <c r="L59" s="16" t="s">
        <v>105</v>
      </c>
      <c r="M59" s="16" t="s">
        <v>105</v>
      </c>
      <c r="N59" s="16">
        <f t="shared" si="0"/>
        <v>2.430555555555558E-2</v>
      </c>
      <c r="O59" s="16">
        <v>0</v>
      </c>
      <c r="P59" s="16">
        <v>6.9444444444444397E-3</v>
      </c>
      <c r="Q59" s="16">
        <v>0.43055555555555558</v>
      </c>
      <c r="R59" s="16">
        <f t="shared" si="6"/>
        <v>6.9444444444444753E-3</v>
      </c>
      <c r="S59" s="16">
        <v>0.43055555555555558</v>
      </c>
      <c r="T59" s="16">
        <v>1.0416666666666666E-2</v>
      </c>
      <c r="U59" s="16">
        <v>0.47638888888888892</v>
      </c>
      <c r="V59" s="16">
        <v>0</v>
      </c>
      <c r="W59" s="16">
        <v>4.1666666666666664E-2</v>
      </c>
      <c r="X59" s="16">
        <v>0.47916666666666669</v>
      </c>
      <c r="Y59" s="16">
        <v>0.49652777777777773</v>
      </c>
      <c r="Z59" s="16">
        <f t="shared" si="2"/>
        <v>1.7361111111111049E-2</v>
      </c>
      <c r="AA59" s="16">
        <v>0</v>
      </c>
      <c r="AB59" s="16">
        <v>0.5</v>
      </c>
      <c r="AC59" s="17"/>
      <c r="AD59" s="51"/>
    </row>
    <row r="60" spans="1:30" ht="19.5" thickBot="1" x14ac:dyDescent="0.3">
      <c r="A60" s="14">
        <v>25</v>
      </c>
      <c r="B60" s="15">
        <v>7464</v>
      </c>
      <c r="C60" s="15" t="str">
        <f>VLOOKUP(B60,داتا!$B$3:$D$107,2,FALSE)</f>
        <v>تلتين</v>
      </c>
      <c r="D60" s="34">
        <f>VLOOKUP(B60,داتا!$B$3:$D$107,3,FALSE)</f>
        <v>3.125E-2</v>
      </c>
      <c r="E60" s="15" t="s">
        <v>46</v>
      </c>
      <c r="F60" s="15" t="s">
        <v>47</v>
      </c>
      <c r="G60" s="16">
        <v>0.25</v>
      </c>
      <c r="H60" s="16">
        <f t="shared" si="7"/>
        <v>0.25</v>
      </c>
      <c r="I60" s="16">
        <f t="shared" si="3"/>
        <v>0</v>
      </c>
      <c r="J60" s="16">
        <v>0.42708333333333331</v>
      </c>
      <c r="K60" s="16">
        <v>0.45833333333333331</v>
      </c>
      <c r="L60" s="16" t="s">
        <v>105</v>
      </c>
      <c r="M60" s="16" t="s">
        <v>105</v>
      </c>
      <c r="N60" s="16">
        <f t="shared" si="0"/>
        <v>3.125E-2</v>
      </c>
      <c r="O60" s="16">
        <f t="shared" si="5"/>
        <v>0</v>
      </c>
      <c r="P60" s="16">
        <v>6.9444444444444397E-3</v>
      </c>
      <c r="Q60" s="16">
        <v>0.46875</v>
      </c>
      <c r="R60" s="16">
        <f t="shared" si="6"/>
        <v>3.4722222222222654E-3</v>
      </c>
      <c r="S60" s="16">
        <v>0.46875</v>
      </c>
      <c r="T60" s="16">
        <f>VLOOKUP(E60,'[2]21-3-2026'!E$3:T$35,16,FALSE)</f>
        <v>3.4722222222222203E-2</v>
      </c>
      <c r="U60" s="16">
        <v>0.49652777777777773</v>
      </c>
      <c r="V60" s="16">
        <v>0</v>
      </c>
      <c r="W60" s="16">
        <v>3.125E-2</v>
      </c>
      <c r="X60" s="16">
        <v>0.5</v>
      </c>
      <c r="Y60" s="16">
        <v>0.52708333333333335</v>
      </c>
      <c r="Z60" s="16">
        <f t="shared" si="2"/>
        <v>2.7083333333333348E-2</v>
      </c>
      <c r="AA60" s="16">
        <v>0</v>
      </c>
      <c r="AB60" s="16">
        <v>0.53125</v>
      </c>
      <c r="AC60" s="17"/>
      <c r="AD60" s="51"/>
    </row>
    <row r="61" spans="1:30" ht="19.5" thickBot="1" x14ac:dyDescent="0.3">
      <c r="A61" s="14">
        <v>26</v>
      </c>
      <c r="B61" s="15">
        <v>7464</v>
      </c>
      <c r="C61" s="15" t="str">
        <f>VLOOKUP(B61,داتا!$B$3:$D$107,2,FALSE)</f>
        <v>تلتين</v>
      </c>
      <c r="D61" s="34">
        <f>VLOOKUP(B61,داتا!$B$3:$D$107,3,FALSE)</f>
        <v>3.125E-2</v>
      </c>
      <c r="E61" s="15" t="s">
        <v>49</v>
      </c>
      <c r="F61" s="15" t="s">
        <v>47</v>
      </c>
      <c r="G61" s="16">
        <v>0.25</v>
      </c>
      <c r="H61" s="16">
        <f t="shared" si="7"/>
        <v>0.25</v>
      </c>
      <c r="I61" s="16">
        <f t="shared" si="3"/>
        <v>0</v>
      </c>
      <c r="J61" s="16">
        <v>0.42708333333333331</v>
      </c>
      <c r="K61" s="16">
        <v>0.45833333333333331</v>
      </c>
      <c r="L61" s="16" t="s">
        <v>105</v>
      </c>
      <c r="M61" s="16" t="s">
        <v>105</v>
      </c>
      <c r="N61" s="16">
        <f t="shared" si="0"/>
        <v>3.125E-2</v>
      </c>
      <c r="O61" s="16">
        <f t="shared" si="5"/>
        <v>0</v>
      </c>
      <c r="P61" s="16">
        <v>6.9444444444444397E-3</v>
      </c>
      <c r="Q61" s="16">
        <v>0.46875</v>
      </c>
      <c r="R61" s="16">
        <f t="shared" si="6"/>
        <v>3.4722222222222654E-3</v>
      </c>
      <c r="S61" s="16">
        <v>0.46875</v>
      </c>
      <c r="T61" s="16">
        <f>VLOOKUP(E61,'[2]21-3-2026'!E$3:T$35,16,FALSE)</f>
        <v>3.4722222222222203E-2</v>
      </c>
      <c r="U61" s="16">
        <v>0.54166666666666663</v>
      </c>
      <c r="V61" s="16">
        <v>0</v>
      </c>
      <c r="W61" s="16">
        <v>4.1666666666666664E-2</v>
      </c>
      <c r="X61" s="16">
        <v>0.54722222222222217</v>
      </c>
      <c r="Y61" s="16">
        <v>0.58680555555555558</v>
      </c>
      <c r="Z61" s="16">
        <f t="shared" si="2"/>
        <v>3.9583333333333415E-2</v>
      </c>
      <c r="AA61" s="16">
        <v>0</v>
      </c>
      <c r="AB61" s="16">
        <v>0.59027777777777779</v>
      </c>
      <c r="AC61" s="17"/>
      <c r="AD61" s="51"/>
    </row>
    <row r="62" spans="1:30" ht="19.5" thickBot="1" x14ac:dyDescent="0.3">
      <c r="A62" s="14">
        <v>27</v>
      </c>
      <c r="B62" s="15">
        <v>2714</v>
      </c>
      <c r="C62" s="15" t="str">
        <f>VLOOKUP(B62,داتا!$B$3:$D$107,2,FALSE)</f>
        <v>تلتين</v>
      </c>
      <c r="D62" s="34">
        <f>VLOOKUP(B62,داتا!$B$3:$D$107,3,FALSE)</f>
        <v>3.125E-2</v>
      </c>
      <c r="E62" s="15" t="s">
        <v>86</v>
      </c>
      <c r="F62" s="15" t="s">
        <v>114</v>
      </c>
      <c r="G62" s="16">
        <v>0.25</v>
      </c>
      <c r="H62" s="16">
        <f t="shared" si="7"/>
        <v>0.2673611111111111</v>
      </c>
      <c r="I62" s="16">
        <f t="shared" si="3"/>
        <v>1.7361111111111105E-2</v>
      </c>
      <c r="J62" s="16">
        <v>0.4861111111111111</v>
      </c>
      <c r="K62" s="16">
        <v>0.49652777777777773</v>
      </c>
      <c r="L62" s="16" t="s">
        <v>105</v>
      </c>
      <c r="M62" s="16" t="s">
        <v>105</v>
      </c>
      <c r="N62" s="16">
        <f t="shared" si="0"/>
        <v>1.041666666666663E-2</v>
      </c>
      <c r="O62" s="16">
        <v>0</v>
      </c>
      <c r="P62" s="16">
        <v>6.9444444444444397E-3</v>
      </c>
      <c r="Q62" s="16">
        <v>0.5</v>
      </c>
      <c r="R62" s="16">
        <v>0</v>
      </c>
      <c r="S62" s="16">
        <v>0.5</v>
      </c>
      <c r="T62" s="16">
        <f>VLOOKUP(E62,'[2]21-3-2026'!E$3:T$35,16,FALSE)</f>
        <v>3.4722222222222199E-3</v>
      </c>
      <c r="U62" s="16">
        <v>0.50347222222222221</v>
      </c>
      <c r="V62" s="16">
        <f t="shared" si="1"/>
        <v>0</v>
      </c>
      <c r="W62" s="16">
        <v>4.1666666666666664E-2</v>
      </c>
      <c r="X62" s="16">
        <v>0.51388888888888895</v>
      </c>
      <c r="Y62" s="16">
        <v>0.54513888888888895</v>
      </c>
      <c r="Z62" s="16">
        <f t="shared" si="2"/>
        <v>3.125E-2</v>
      </c>
      <c r="AA62" s="16">
        <v>0</v>
      </c>
      <c r="AB62" s="16">
        <v>0.54861111111111105</v>
      </c>
      <c r="AC62" s="17"/>
      <c r="AD62" s="51"/>
    </row>
    <row r="63" spans="1:30" ht="19.5" thickBot="1" x14ac:dyDescent="0.3">
      <c r="A63" s="14">
        <v>28</v>
      </c>
      <c r="B63" s="15">
        <v>1537</v>
      </c>
      <c r="C63" s="15" t="str">
        <f>VLOOKUP(B63,داتا!$B$3:$D$107,2,FALSE)</f>
        <v>تلتين</v>
      </c>
      <c r="D63" s="34">
        <f>VLOOKUP(B63,داتا!$B$3:$D$107,3,FALSE)</f>
        <v>3.125E-2</v>
      </c>
      <c r="E63" s="15" t="s">
        <v>73</v>
      </c>
      <c r="F63" s="15" t="s">
        <v>154</v>
      </c>
      <c r="G63" s="16">
        <v>0.25</v>
      </c>
      <c r="H63" s="16">
        <f t="shared" si="7"/>
        <v>0.25</v>
      </c>
      <c r="I63" s="16">
        <f t="shared" si="3"/>
        <v>0</v>
      </c>
      <c r="J63" s="16">
        <v>0.39930555555555558</v>
      </c>
      <c r="K63" s="16">
        <v>0.41319444444444442</v>
      </c>
      <c r="L63" s="16" t="s">
        <v>107</v>
      </c>
      <c r="M63" s="16" t="s">
        <v>107</v>
      </c>
      <c r="N63" s="16">
        <f t="shared" si="0"/>
        <v>1.388888888888884E-2</v>
      </c>
      <c r="O63" s="16">
        <v>0</v>
      </c>
      <c r="P63" s="16">
        <v>6.9444444444444397E-3</v>
      </c>
      <c r="Q63" s="16">
        <v>0.43055555555555558</v>
      </c>
      <c r="R63" s="16">
        <f t="shared" si="6"/>
        <v>1.0416666666666741E-2</v>
      </c>
      <c r="S63" s="16">
        <v>0.43055555555555558</v>
      </c>
      <c r="T63" s="16">
        <f>VLOOKUP(E63,'[2]21-3-2026'!E$3:T$35,16,FALSE)</f>
        <v>3.4722222222222203E-2</v>
      </c>
      <c r="U63" s="16">
        <v>0.47569444444444442</v>
      </c>
      <c r="V63" s="16">
        <f t="shared" si="1"/>
        <v>1.041666666666663E-2</v>
      </c>
      <c r="W63" s="16">
        <v>3.125E-2</v>
      </c>
      <c r="X63" s="16">
        <v>0.47916666666666669</v>
      </c>
      <c r="Y63" s="16">
        <v>0.49305555555555558</v>
      </c>
      <c r="Z63" s="16">
        <f t="shared" si="2"/>
        <v>1.3888888888888895E-2</v>
      </c>
      <c r="AA63" s="16">
        <v>0</v>
      </c>
      <c r="AB63" s="16">
        <v>0.50694444444444442</v>
      </c>
      <c r="AC63" s="17"/>
      <c r="AD63" s="51"/>
    </row>
    <row r="64" spans="1:30" ht="19.5" thickBot="1" x14ac:dyDescent="0.3">
      <c r="A64" s="14">
        <v>29</v>
      </c>
      <c r="B64" s="15">
        <v>1537</v>
      </c>
      <c r="C64" s="15" t="str">
        <f>VLOOKUP(B64,داتا!$B$3:$D$107,2,FALSE)</f>
        <v>تلتين</v>
      </c>
      <c r="D64" s="34">
        <f>VLOOKUP(B64,داتا!$B$3:$D$107,3,FALSE)</f>
        <v>3.125E-2</v>
      </c>
      <c r="E64" s="15" t="s">
        <v>35</v>
      </c>
      <c r="F64" s="15" t="s">
        <v>154</v>
      </c>
      <c r="G64" s="16">
        <v>0.25</v>
      </c>
      <c r="H64" s="16">
        <f t="shared" si="7"/>
        <v>0.25</v>
      </c>
      <c r="I64" s="16">
        <f t="shared" si="3"/>
        <v>0</v>
      </c>
      <c r="J64" s="16">
        <v>0.39930555555555558</v>
      </c>
      <c r="K64" s="16">
        <v>0.41319444444444442</v>
      </c>
      <c r="L64" s="16" t="s">
        <v>107</v>
      </c>
      <c r="M64" s="16" t="s">
        <v>107</v>
      </c>
      <c r="N64" s="16">
        <f t="shared" si="0"/>
        <v>1.388888888888884E-2</v>
      </c>
      <c r="O64" s="16">
        <v>0</v>
      </c>
      <c r="P64" s="16">
        <v>6.9444444444444397E-3</v>
      </c>
      <c r="Q64" s="16">
        <v>0.43055555555555558</v>
      </c>
      <c r="R64" s="16">
        <f t="shared" si="6"/>
        <v>1.0416666666666741E-2</v>
      </c>
      <c r="S64" s="16">
        <v>0.43055555555555558</v>
      </c>
      <c r="T64" s="16">
        <f>VLOOKUP(E64,'[2]21-3-2026'!E$3:T$35,16,FALSE)</f>
        <v>3.4722222222222203E-2</v>
      </c>
      <c r="U64" s="16">
        <v>0.51388888888888895</v>
      </c>
      <c r="V64" s="16">
        <v>0</v>
      </c>
      <c r="W64" s="16">
        <v>4.1666666666666664E-2</v>
      </c>
      <c r="X64" s="16">
        <v>0.51597222222222217</v>
      </c>
      <c r="Y64" s="16">
        <v>0.52916666666666667</v>
      </c>
      <c r="Z64" s="16">
        <f t="shared" si="2"/>
        <v>1.3194444444444509E-2</v>
      </c>
      <c r="AA64" s="16">
        <v>0</v>
      </c>
      <c r="AB64" s="16">
        <v>0.53125</v>
      </c>
      <c r="AC64" s="17"/>
      <c r="AD64" s="51"/>
    </row>
    <row r="65" spans="1:30" ht="19.5" thickBot="1" x14ac:dyDescent="0.3">
      <c r="A65" s="14">
        <v>30</v>
      </c>
      <c r="B65" s="15">
        <v>1454</v>
      </c>
      <c r="C65" s="15" t="str">
        <f>VLOOKUP(B65,داتا!$B$3:$D$107,2,FALSE)</f>
        <v>تلتين</v>
      </c>
      <c r="D65" s="34">
        <f>VLOOKUP(B65,داتا!$B$3:$D$107,3,FALSE)</f>
        <v>3.125E-2</v>
      </c>
      <c r="E65" s="15" t="s">
        <v>57</v>
      </c>
      <c r="F65" s="15" t="s">
        <v>43</v>
      </c>
      <c r="G65" s="16">
        <v>0.25</v>
      </c>
      <c r="H65" s="16">
        <f t="shared" si="7"/>
        <v>0.2638888888888889</v>
      </c>
      <c r="I65" s="16">
        <f t="shared" si="3"/>
        <v>1.3888888888888895E-2</v>
      </c>
      <c r="J65" s="16">
        <v>0.42708333333333331</v>
      </c>
      <c r="K65" s="16">
        <v>0.47222222222222227</v>
      </c>
      <c r="L65" s="16" t="s">
        <v>107</v>
      </c>
      <c r="M65" s="16" t="s">
        <v>107</v>
      </c>
      <c r="N65" s="16">
        <f t="shared" si="0"/>
        <v>4.5138888888888951E-2</v>
      </c>
      <c r="O65" s="16">
        <f t="shared" si="5"/>
        <v>1.3888888888888951E-2</v>
      </c>
      <c r="P65" s="16">
        <v>6.9444444444444397E-3</v>
      </c>
      <c r="Q65" s="16">
        <v>0.4826388888888889</v>
      </c>
      <c r="R65" s="16">
        <f t="shared" si="6"/>
        <v>3.4722222222222099E-3</v>
      </c>
      <c r="S65" s="16">
        <v>0.4826388888888889</v>
      </c>
      <c r="T65" s="16">
        <f>VLOOKUP(E65,'[2]21-3-2026'!E$3:T$35,16,FALSE)</f>
        <v>1.7361111111111101E-2</v>
      </c>
      <c r="U65" s="16">
        <v>0.5</v>
      </c>
      <c r="V65" s="16">
        <f t="shared" si="1"/>
        <v>0</v>
      </c>
      <c r="W65" s="16">
        <v>3.125E-2</v>
      </c>
      <c r="X65" s="16">
        <v>0.50347222222222221</v>
      </c>
      <c r="Y65" s="16">
        <v>0.52430555555555558</v>
      </c>
      <c r="Z65" s="16">
        <f t="shared" si="2"/>
        <v>2.083333333333337E-2</v>
      </c>
      <c r="AA65" s="16">
        <v>0</v>
      </c>
      <c r="AB65" s="16">
        <v>0.52777777777777779</v>
      </c>
      <c r="AC65" s="17"/>
      <c r="AD65" s="51"/>
    </row>
    <row r="66" spans="1:30" ht="20.25" customHeight="1" thickBot="1" x14ac:dyDescent="0.3">
      <c r="A66" s="14">
        <v>31</v>
      </c>
      <c r="B66" s="15">
        <v>1454</v>
      </c>
      <c r="C66" s="15" t="str">
        <f>VLOOKUP(B66,داتا!$B$3:$D$107,2,FALSE)</f>
        <v>تلتين</v>
      </c>
      <c r="D66" s="34">
        <f>VLOOKUP(B66,داتا!$B$3:$D$107,3,FALSE)</f>
        <v>3.125E-2</v>
      </c>
      <c r="E66" s="15" t="s">
        <v>38</v>
      </c>
      <c r="F66" s="15" t="s">
        <v>43</v>
      </c>
      <c r="G66" s="16">
        <v>0.25</v>
      </c>
      <c r="H66" s="16">
        <f t="shared" si="7"/>
        <v>0.2638888888888889</v>
      </c>
      <c r="I66" s="16">
        <f t="shared" si="3"/>
        <v>1.3888888888888895E-2</v>
      </c>
      <c r="J66" s="16">
        <v>0.42708333333333331</v>
      </c>
      <c r="K66" s="16">
        <v>0.47222222222222227</v>
      </c>
      <c r="L66" s="16" t="s">
        <v>107</v>
      </c>
      <c r="M66" s="16" t="s">
        <v>107</v>
      </c>
      <c r="N66" s="16">
        <f t="shared" si="0"/>
        <v>4.5138888888888951E-2</v>
      </c>
      <c r="O66" s="16">
        <f t="shared" si="5"/>
        <v>1.3888888888888951E-2</v>
      </c>
      <c r="P66" s="16">
        <v>6.9444444444444397E-3</v>
      </c>
      <c r="Q66" s="16">
        <v>0.4826388888888889</v>
      </c>
      <c r="R66" s="16">
        <f t="shared" si="6"/>
        <v>3.4722222222222099E-3</v>
      </c>
      <c r="S66" s="16">
        <v>0.4826388888888889</v>
      </c>
      <c r="T66" s="16">
        <f>VLOOKUP(E66,'[2]21-3-2026'!E$3:T$35,16,FALSE)</f>
        <v>1.0416666666666666E-2</v>
      </c>
      <c r="U66" s="16">
        <v>0.53819444444444442</v>
      </c>
      <c r="V66" s="16">
        <v>0</v>
      </c>
      <c r="W66" s="16">
        <v>4.1666666666666664E-2</v>
      </c>
      <c r="X66" s="16">
        <v>0.54166666666666663</v>
      </c>
      <c r="Y66" s="16">
        <v>0.5625</v>
      </c>
      <c r="Z66" s="16">
        <f t="shared" si="2"/>
        <v>2.083333333333337E-2</v>
      </c>
      <c r="AA66" s="16">
        <v>0</v>
      </c>
      <c r="AB66" s="16">
        <v>0.56597222222222221</v>
      </c>
      <c r="AC66" s="19"/>
      <c r="AD66" s="51"/>
    </row>
    <row r="67" spans="1:30" ht="19.5" customHeight="1" thickBot="1" x14ac:dyDescent="0.3">
      <c r="A67" s="20">
        <v>32</v>
      </c>
      <c r="B67" s="21">
        <v>3783</v>
      </c>
      <c r="C67" s="21" t="str">
        <f>VLOOKUP(B67,داتا!$B$3:$D$107,2,FALSE)</f>
        <v>دبابة</v>
      </c>
      <c r="D67" s="35">
        <f>VLOOKUP(B67,داتا!$B$3:$D$107,3,FALSE)</f>
        <v>2.0833333333333301E-2</v>
      </c>
      <c r="E67" s="21" t="s">
        <v>63</v>
      </c>
      <c r="F67" s="21" t="s">
        <v>71</v>
      </c>
      <c r="G67" s="22">
        <v>0.25</v>
      </c>
      <c r="H67" s="22">
        <f t="shared" si="7"/>
        <v>0.27083333333333331</v>
      </c>
      <c r="I67" s="22">
        <f t="shared" si="3"/>
        <v>2.0833333333333315E-2</v>
      </c>
      <c r="J67" s="22">
        <v>0.47916666666666669</v>
      </c>
      <c r="K67" s="22">
        <v>0.4861111111111111</v>
      </c>
      <c r="L67" s="22" t="s">
        <v>107</v>
      </c>
      <c r="M67" s="22" t="s">
        <v>107</v>
      </c>
      <c r="N67" s="22">
        <f t="shared" si="0"/>
        <v>6.9444444444444198E-3</v>
      </c>
      <c r="O67" s="22">
        <v>0</v>
      </c>
      <c r="P67" s="22">
        <v>6.9444444444444397E-3</v>
      </c>
      <c r="Q67" s="22">
        <v>0.49305555555555558</v>
      </c>
      <c r="R67" s="22">
        <f t="shared" si="6"/>
        <v>0</v>
      </c>
      <c r="S67" s="22">
        <v>0.49305555555555558</v>
      </c>
      <c r="T67" s="22">
        <f>VLOOKUP(E67,'[2]21-3-2026'!E$3:T$35,16,FALSE)</f>
        <v>6.25E-2</v>
      </c>
      <c r="U67" s="22">
        <v>0.53472222222222221</v>
      </c>
      <c r="V67" s="22">
        <v>0</v>
      </c>
      <c r="W67" s="22">
        <v>3.125E-2</v>
      </c>
      <c r="X67" s="22">
        <v>0.53819444444444442</v>
      </c>
      <c r="Y67" s="22">
        <v>0.5625</v>
      </c>
      <c r="Z67" s="22">
        <f t="shared" si="2"/>
        <v>2.430555555555558E-2</v>
      </c>
      <c r="AA67" s="22">
        <v>0</v>
      </c>
      <c r="AB67" s="22">
        <v>0.56597222222222221</v>
      </c>
      <c r="AC67" s="23"/>
      <c r="AD67" s="54"/>
    </row>
    <row r="68" spans="1:30" ht="20.25" thickTop="1" thickBot="1" x14ac:dyDescent="0.3">
      <c r="A68" s="10">
        <v>1</v>
      </c>
      <c r="B68" s="11">
        <v>5898</v>
      </c>
      <c r="C68" s="11" t="str">
        <f>VLOOKUP(B68,داتا!$B$3:$D$107,2,FALSE)</f>
        <v>تلتين</v>
      </c>
      <c r="D68" s="33">
        <f>VLOOKUP(B68,داتا!$B$3:$D$107,3,FALSE)</f>
        <v>3.125E-2</v>
      </c>
      <c r="E68" s="11" t="s">
        <v>69</v>
      </c>
      <c r="F68" s="11" t="s">
        <v>161</v>
      </c>
      <c r="G68" s="12">
        <v>8.3333333333333329E-2</v>
      </c>
      <c r="H68" s="12">
        <v>8.3333333333333329E-2</v>
      </c>
      <c r="I68" s="12">
        <f t="shared" ref="I68:I71" si="8">H68-G68</f>
        <v>0</v>
      </c>
      <c r="J68" s="12">
        <v>0.59027777777777779</v>
      </c>
      <c r="K68" s="12">
        <v>0.60416666666666663</v>
      </c>
      <c r="L68" s="12" t="s">
        <v>105</v>
      </c>
      <c r="M68" s="12" t="s">
        <v>105</v>
      </c>
      <c r="N68" s="12">
        <f t="shared" ref="N68:N90" si="9">K68-J68</f>
        <v>1.388888888888884E-2</v>
      </c>
      <c r="O68" s="12">
        <v>0</v>
      </c>
      <c r="P68" s="12">
        <v>6.9444444444444397E-3</v>
      </c>
      <c r="Q68" s="12">
        <v>0.63888888888888895</v>
      </c>
      <c r="R68" s="12">
        <f t="shared" ref="R68:R86" si="10">Q68-P68-K68</f>
        <v>2.7777777777777901E-2</v>
      </c>
      <c r="S68" s="12">
        <v>0.63888888888888895</v>
      </c>
      <c r="T68" s="12">
        <f>VLOOKUP(E68,'[2]21-3-2026'!E$3:T$35,16,FALSE)</f>
        <v>1.38888888888889E-2</v>
      </c>
      <c r="U68" s="12">
        <v>0.65972222222222221</v>
      </c>
      <c r="V68" s="12">
        <f t="shared" ref="V68:V90" si="11">U68-T68-S68</f>
        <v>6.9444444444443088E-3</v>
      </c>
      <c r="W68" s="12">
        <v>3.125E-2</v>
      </c>
      <c r="X68" s="12">
        <v>0.66111111111111109</v>
      </c>
      <c r="Y68" s="12">
        <v>0.67361111111111116</v>
      </c>
      <c r="Z68" s="12">
        <f t="shared" ref="Z68:Z90" si="12">Y68-X68</f>
        <v>1.2500000000000067E-2</v>
      </c>
      <c r="AA68" s="12">
        <v>0</v>
      </c>
      <c r="AB68" s="12">
        <v>0.67499999999999993</v>
      </c>
      <c r="AC68" s="13"/>
      <c r="AD68" s="51" t="s">
        <v>116</v>
      </c>
    </row>
    <row r="69" spans="1:30" ht="19.5" thickBot="1" x14ac:dyDescent="0.3">
      <c r="A69" s="14">
        <v>2</v>
      </c>
      <c r="B69" s="15">
        <v>5898</v>
      </c>
      <c r="C69" s="15" t="str">
        <f>VLOOKUP(B69,داتا!$B$3:$D$107,2,FALSE)</f>
        <v>تلتين</v>
      </c>
      <c r="D69" s="34">
        <f>VLOOKUP(B69,داتا!$B$3:$D$107,3,FALSE)</f>
        <v>3.125E-2</v>
      </c>
      <c r="E69" s="15" t="s">
        <v>67</v>
      </c>
      <c r="F69" s="15" t="s">
        <v>161</v>
      </c>
      <c r="G69" s="16">
        <v>8.3333333333333329E-2</v>
      </c>
      <c r="H69" s="16">
        <v>8.3333333333333329E-2</v>
      </c>
      <c r="I69" s="16">
        <f t="shared" si="8"/>
        <v>0</v>
      </c>
      <c r="J69" s="16">
        <v>0.59027777777777779</v>
      </c>
      <c r="K69" s="16">
        <v>0.60416666666666663</v>
      </c>
      <c r="L69" s="16" t="s">
        <v>105</v>
      </c>
      <c r="M69" s="16" t="s">
        <v>105</v>
      </c>
      <c r="N69" s="16">
        <f t="shared" si="9"/>
        <v>1.388888888888884E-2</v>
      </c>
      <c r="O69" s="16">
        <v>0</v>
      </c>
      <c r="P69" s="16">
        <v>6.9444444444444397E-3</v>
      </c>
      <c r="Q69" s="16">
        <v>0.63888888888888895</v>
      </c>
      <c r="R69" s="16">
        <f t="shared" si="10"/>
        <v>2.7777777777777901E-2</v>
      </c>
      <c r="S69" s="16">
        <v>0.63888888888888895</v>
      </c>
      <c r="T69" s="16">
        <f>VLOOKUP(E69,'[2]21-3-2026'!E$3:T$35,16,FALSE)</f>
        <v>1.7361111111111101E-2</v>
      </c>
      <c r="U69" s="16">
        <v>0.68055555555555547</v>
      </c>
      <c r="V69" s="16">
        <v>0</v>
      </c>
      <c r="W69" s="16">
        <v>3.125E-2</v>
      </c>
      <c r="X69" s="16">
        <v>0.68402777777777779</v>
      </c>
      <c r="Y69" s="16">
        <v>0.70138888888888884</v>
      </c>
      <c r="Z69" s="16">
        <f t="shared" si="12"/>
        <v>1.7361111111111049E-2</v>
      </c>
      <c r="AA69" s="16">
        <v>0</v>
      </c>
      <c r="AB69" s="16">
        <v>0.70486111111111116</v>
      </c>
      <c r="AC69" s="17"/>
      <c r="AD69" s="51"/>
    </row>
    <row r="70" spans="1:30" ht="19.5" thickBot="1" x14ac:dyDescent="0.3">
      <c r="A70" s="14">
        <v>3</v>
      </c>
      <c r="B70" s="15">
        <v>5898</v>
      </c>
      <c r="C70" s="15" t="str">
        <f>VLOOKUP(B70,داتا!$B$3:$D$107,2,FALSE)</f>
        <v>تلتين</v>
      </c>
      <c r="D70" s="34">
        <f>VLOOKUP(B70,داتا!$B$3:$D$107,3,FALSE)</f>
        <v>3.125E-2</v>
      </c>
      <c r="E70" s="15" t="s">
        <v>57</v>
      </c>
      <c r="F70" s="15" t="s">
        <v>161</v>
      </c>
      <c r="G70" s="16">
        <v>8.3333333333333329E-2</v>
      </c>
      <c r="H70" s="16">
        <v>8.3333333333333329E-2</v>
      </c>
      <c r="I70" s="16">
        <f t="shared" si="8"/>
        <v>0</v>
      </c>
      <c r="J70" s="16">
        <v>0.59027777777777779</v>
      </c>
      <c r="K70" s="16">
        <v>0.60416666666666663</v>
      </c>
      <c r="L70" s="16" t="s">
        <v>105</v>
      </c>
      <c r="M70" s="16" t="s">
        <v>105</v>
      </c>
      <c r="N70" s="16">
        <f t="shared" si="9"/>
        <v>1.388888888888884E-2</v>
      </c>
      <c r="O70" s="16">
        <v>0</v>
      </c>
      <c r="P70" s="16">
        <v>6.9444444444444397E-3</v>
      </c>
      <c r="Q70" s="16">
        <v>0.63888888888888895</v>
      </c>
      <c r="R70" s="16">
        <f t="shared" si="10"/>
        <v>2.7777777777777901E-2</v>
      </c>
      <c r="S70" s="16">
        <v>0.63888888888888895</v>
      </c>
      <c r="T70" s="16">
        <f>VLOOKUP(E70,'[2]21-3-2026'!E$3:T$35,16,FALSE)</f>
        <v>1.7361111111111101E-2</v>
      </c>
      <c r="U70" s="16">
        <v>0.70833333333333337</v>
      </c>
      <c r="V70" s="16">
        <v>0</v>
      </c>
      <c r="W70" s="16">
        <v>4.1666666666666664E-2</v>
      </c>
      <c r="X70" s="16">
        <v>0.71180555555555547</v>
      </c>
      <c r="Y70" s="16">
        <v>0.71875</v>
      </c>
      <c r="Z70" s="16">
        <f t="shared" si="12"/>
        <v>6.9444444444445308E-3</v>
      </c>
      <c r="AA70" s="16">
        <v>0</v>
      </c>
      <c r="AB70" s="16">
        <v>0.73263888888888884</v>
      </c>
      <c r="AC70" s="17"/>
      <c r="AD70" s="51"/>
    </row>
    <row r="71" spans="1:30" ht="19.5" thickBot="1" x14ac:dyDescent="0.3">
      <c r="A71" s="14">
        <v>4</v>
      </c>
      <c r="B71" s="15">
        <v>459</v>
      </c>
      <c r="C71" s="15" t="str">
        <f>VLOOKUP(B71,داتا!$B$3:$D$107,2,FALSE)</f>
        <v>دبابة</v>
      </c>
      <c r="D71" s="34">
        <f>VLOOKUP(B71,داتا!$B$3:$D$107,3,FALSE)</f>
        <v>2.0833333333333301E-2</v>
      </c>
      <c r="E71" s="15" t="s">
        <v>89</v>
      </c>
      <c r="F71" s="15" t="s">
        <v>118</v>
      </c>
      <c r="G71" s="16">
        <v>8.3333333333333329E-2</v>
      </c>
      <c r="H71" s="16">
        <v>8.3333333333333329E-2</v>
      </c>
      <c r="I71" s="16">
        <f t="shared" si="8"/>
        <v>0</v>
      </c>
      <c r="J71" s="16">
        <v>0.57291666666666663</v>
      </c>
      <c r="K71" s="16">
        <v>0.58333333333333337</v>
      </c>
      <c r="L71" s="16" t="s">
        <v>94</v>
      </c>
      <c r="M71" s="16" t="s">
        <v>94</v>
      </c>
      <c r="N71" s="16">
        <f t="shared" si="9"/>
        <v>1.0416666666666741E-2</v>
      </c>
      <c r="O71" s="16">
        <v>0</v>
      </c>
      <c r="P71" s="16">
        <v>6.9444444444444397E-3</v>
      </c>
      <c r="Q71" s="16">
        <v>0.60069444444444442</v>
      </c>
      <c r="R71" s="16">
        <f t="shared" si="10"/>
        <v>1.041666666666663E-2</v>
      </c>
      <c r="S71" s="16">
        <v>0.60069444444444442</v>
      </c>
      <c r="T71" s="16">
        <f>VLOOKUP(E71,'[2]21-3-2026'!E$3:T$35,16,FALSE)</f>
        <v>1.7361111111111101E-2</v>
      </c>
      <c r="U71" s="16">
        <v>0.63958333333333328</v>
      </c>
      <c r="V71" s="16">
        <f t="shared" si="11"/>
        <v>2.1527777777777812E-2</v>
      </c>
      <c r="W71" s="16">
        <v>2.0833333333333332E-2</v>
      </c>
      <c r="X71" s="16">
        <v>0.64583333333333337</v>
      </c>
      <c r="Y71" s="16">
        <v>0.65138888888888891</v>
      </c>
      <c r="Z71" s="16">
        <f t="shared" si="12"/>
        <v>5.5555555555555358E-3</v>
      </c>
      <c r="AA71" s="16">
        <v>0</v>
      </c>
      <c r="AB71" s="16">
        <v>0.65277777777777779</v>
      </c>
      <c r="AC71" s="17"/>
      <c r="AD71" s="51"/>
    </row>
    <row r="72" spans="1:30" ht="19.5" thickBot="1" x14ac:dyDescent="0.3">
      <c r="A72" s="14">
        <v>5</v>
      </c>
      <c r="B72" s="15">
        <v>459</v>
      </c>
      <c r="C72" s="15" t="str">
        <f>VLOOKUP(B72,داتا!$B$3:$D$107,2,FALSE)</f>
        <v>دبابة</v>
      </c>
      <c r="D72" s="34">
        <f>VLOOKUP(B72,داتا!$B$3:$D$107,3,FALSE)</f>
        <v>2.0833333333333301E-2</v>
      </c>
      <c r="E72" s="15" t="s">
        <v>39</v>
      </c>
      <c r="F72" s="15" t="s">
        <v>118</v>
      </c>
      <c r="G72" s="16">
        <v>8.3333333333333329E-2</v>
      </c>
      <c r="H72" s="16">
        <v>8.3333333333333329E-2</v>
      </c>
      <c r="I72" s="16">
        <f t="shared" ref="I72" si="13">H72-G72</f>
        <v>0</v>
      </c>
      <c r="J72" s="16">
        <v>0.57291666666666663</v>
      </c>
      <c r="K72" s="16">
        <v>0.58333333333333337</v>
      </c>
      <c r="L72" s="16" t="s">
        <v>94</v>
      </c>
      <c r="M72" s="16" t="s">
        <v>94</v>
      </c>
      <c r="N72" s="16">
        <f t="shared" ref="N72" si="14">K72-J72</f>
        <v>1.0416666666666741E-2</v>
      </c>
      <c r="O72" s="16">
        <v>0</v>
      </c>
      <c r="P72" s="16">
        <v>6.9444444444444397E-3</v>
      </c>
      <c r="Q72" s="16">
        <v>0.60069444444444442</v>
      </c>
      <c r="R72" s="16">
        <f t="shared" si="10"/>
        <v>1.041666666666663E-2</v>
      </c>
      <c r="S72" s="16">
        <v>0.60069444444444442</v>
      </c>
      <c r="T72" s="16">
        <f>VLOOKUP(E72,'[2]21-3-2026'!E$3:T$35,16,FALSE)</f>
        <v>1.7361111111111101E-2</v>
      </c>
      <c r="U72" s="16">
        <v>0.65972222222222221</v>
      </c>
      <c r="V72" s="16">
        <v>0</v>
      </c>
      <c r="W72" s="16">
        <v>3.125E-2</v>
      </c>
      <c r="X72" s="16">
        <v>0.6645833333333333</v>
      </c>
      <c r="Y72" s="16">
        <v>0.67847222222222225</v>
      </c>
      <c r="Z72" s="16">
        <f t="shared" si="12"/>
        <v>1.3888888888888951E-2</v>
      </c>
      <c r="AA72" s="16">
        <v>0</v>
      </c>
      <c r="AB72" s="16">
        <v>0.4236111111111111</v>
      </c>
      <c r="AC72" s="17"/>
      <c r="AD72" s="51"/>
    </row>
    <row r="73" spans="1:30" ht="19.5" thickBot="1" x14ac:dyDescent="0.3">
      <c r="A73" s="14">
        <v>6</v>
      </c>
      <c r="B73" s="15">
        <v>3495</v>
      </c>
      <c r="C73" s="15" t="str">
        <f>VLOOKUP(B73,داتا!$B$3:$D$107,2,FALSE)</f>
        <v>تلتين</v>
      </c>
      <c r="D73" s="34">
        <f>VLOOKUP(B73,داتا!$B$3:$D$107,3,FALSE)</f>
        <v>3.125E-2</v>
      </c>
      <c r="E73" s="15" t="s">
        <v>30</v>
      </c>
      <c r="F73" s="15" t="s">
        <v>165</v>
      </c>
      <c r="G73" s="16">
        <v>8.3333333333333329E-2</v>
      </c>
      <c r="H73" s="16">
        <v>8.3333333333333329E-2</v>
      </c>
      <c r="I73" s="16">
        <f t="shared" ref="I73:I90" si="15">H73-G73</f>
        <v>0</v>
      </c>
      <c r="J73" s="16">
        <v>0.61111111111111105</v>
      </c>
      <c r="K73" s="16">
        <v>0.625</v>
      </c>
      <c r="L73" s="16" t="s">
        <v>94</v>
      </c>
      <c r="M73" s="16" t="s">
        <v>94</v>
      </c>
      <c r="N73" s="16">
        <f t="shared" si="9"/>
        <v>1.3888888888888951E-2</v>
      </c>
      <c r="O73" s="16">
        <v>0</v>
      </c>
      <c r="P73" s="16">
        <v>6.9444444444444397E-3</v>
      </c>
      <c r="Q73" s="16">
        <v>0.62847222222222221</v>
      </c>
      <c r="R73" s="16">
        <v>0</v>
      </c>
      <c r="S73" s="16">
        <v>0.62847222222222221</v>
      </c>
      <c r="T73" s="16">
        <f>VLOOKUP(E73,'[2]21-3-2026'!E$3:T$35,16,FALSE)</f>
        <v>1.38888888888889E-2</v>
      </c>
      <c r="U73" s="16">
        <v>0.65555555555555556</v>
      </c>
      <c r="V73" s="16">
        <f t="shared" si="11"/>
        <v>1.3194444444444398E-2</v>
      </c>
      <c r="W73" s="16">
        <v>3.125E-2</v>
      </c>
      <c r="X73" s="16">
        <v>0.65625</v>
      </c>
      <c r="Y73" s="16">
        <v>0.66319444444444442</v>
      </c>
      <c r="Z73" s="16">
        <f t="shared" si="12"/>
        <v>6.9444444444444198E-3</v>
      </c>
      <c r="AA73" s="16">
        <v>0</v>
      </c>
      <c r="AB73" s="16">
        <v>0.66666666666666663</v>
      </c>
      <c r="AC73" s="17"/>
      <c r="AD73" s="51"/>
    </row>
    <row r="74" spans="1:30" ht="19.5" thickBot="1" x14ac:dyDescent="0.3">
      <c r="A74" s="14">
        <v>7</v>
      </c>
      <c r="B74" s="15">
        <v>3495</v>
      </c>
      <c r="C74" s="15" t="str">
        <f>VLOOKUP(B74,داتا!$B$3:$D$107,2,FALSE)</f>
        <v>تلتين</v>
      </c>
      <c r="D74" s="34">
        <f>VLOOKUP(B74,داتا!$B$3:$D$107,3,FALSE)</f>
        <v>3.125E-2</v>
      </c>
      <c r="E74" s="15" t="s">
        <v>34</v>
      </c>
      <c r="F74" s="15" t="s">
        <v>165</v>
      </c>
      <c r="G74" s="16">
        <v>8.3333333333333329E-2</v>
      </c>
      <c r="H74" s="16">
        <v>8.3333333333333329E-2</v>
      </c>
      <c r="I74" s="16">
        <f t="shared" si="15"/>
        <v>0</v>
      </c>
      <c r="J74" s="16">
        <v>0.61111111111111105</v>
      </c>
      <c r="K74" s="16">
        <v>0.625</v>
      </c>
      <c r="L74" s="16" t="s">
        <v>94</v>
      </c>
      <c r="M74" s="16" t="s">
        <v>94</v>
      </c>
      <c r="N74" s="16">
        <f t="shared" si="9"/>
        <v>1.3888888888888951E-2</v>
      </c>
      <c r="O74" s="16">
        <v>0</v>
      </c>
      <c r="P74" s="16">
        <v>6.9444444444444397E-3</v>
      </c>
      <c r="Q74" s="16">
        <v>0.62847222222222221</v>
      </c>
      <c r="R74" s="16">
        <v>0</v>
      </c>
      <c r="S74" s="16">
        <v>0.62847222222222221</v>
      </c>
      <c r="T74" s="16">
        <f>VLOOKUP(E74,'[2]21-3-2026'!E$3:T$35,16,FALSE)</f>
        <v>1.0416666666666701E-2</v>
      </c>
      <c r="U74" s="16">
        <v>0.67361111111111116</v>
      </c>
      <c r="V74" s="16">
        <v>0</v>
      </c>
      <c r="W74" s="16">
        <v>4.1666666666666664E-2</v>
      </c>
      <c r="X74" s="16">
        <v>0.67569444444444438</v>
      </c>
      <c r="Y74" s="16">
        <v>0.68472222222222223</v>
      </c>
      <c r="Z74" s="16">
        <f t="shared" si="12"/>
        <v>9.0277777777778567E-3</v>
      </c>
      <c r="AA74" s="16">
        <v>0</v>
      </c>
      <c r="AB74" s="16">
        <v>0.6875</v>
      </c>
      <c r="AC74" s="17"/>
      <c r="AD74" s="51"/>
    </row>
    <row r="75" spans="1:30" ht="19.5" thickBot="1" x14ac:dyDescent="0.3">
      <c r="A75" s="14">
        <v>8</v>
      </c>
      <c r="B75" s="15">
        <v>2694</v>
      </c>
      <c r="C75" s="15" t="str">
        <f>VLOOKUP(B75,داتا!$B$3:$D$107,2,FALSE)</f>
        <v>تلتين</v>
      </c>
      <c r="D75" s="34">
        <f>VLOOKUP(B75,داتا!$B$3:$D$107,3,FALSE)</f>
        <v>3.125E-2</v>
      </c>
      <c r="E75" s="15" t="s">
        <v>38</v>
      </c>
      <c r="F75" s="15" t="s">
        <v>160</v>
      </c>
      <c r="G75" s="16">
        <v>8.3333333333333329E-2</v>
      </c>
      <c r="H75" s="16">
        <v>8.3333333333333329E-2</v>
      </c>
      <c r="I75" s="16">
        <f t="shared" si="15"/>
        <v>0</v>
      </c>
      <c r="J75" s="16">
        <v>0.56944444444444442</v>
      </c>
      <c r="K75" s="16">
        <v>0.59027777777777779</v>
      </c>
      <c r="L75" s="16" t="s">
        <v>107</v>
      </c>
      <c r="M75" s="16" t="s">
        <v>107</v>
      </c>
      <c r="N75" s="16">
        <f t="shared" si="9"/>
        <v>2.083333333333337E-2</v>
      </c>
      <c r="O75" s="16">
        <v>0</v>
      </c>
      <c r="P75" s="16">
        <v>6.9444444444444397E-3</v>
      </c>
      <c r="Q75" s="16">
        <v>0.61111111111111105</v>
      </c>
      <c r="R75" s="16">
        <f t="shared" si="10"/>
        <v>1.388888888888884E-2</v>
      </c>
      <c r="S75" s="16">
        <v>0.61111111111111105</v>
      </c>
      <c r="T75" s="16">
        <f>VLOOKUP(E75,'[2]21-3-2026'!E$3:T$35,16,FALSE)</f>
        <v>1.0416666666666666E-2</v>
      </c>
      <c r="U75" s="16">
        <v>0.63888888888888895</v>
      </c>
      <c r="V75" s="16">
        <f t="shared" si="11"/>
        <v>1.7361111111111271E-2</v>
      </c>
      <c r="W75" s="16">
        <v>3.125E-2</v>
      </c>
      <c r="X75" s="16">
        <v>0.64236111111111105</v>
      </c>
      <c r="Y75" s="16">
        <v>0.64583333333333337</v>
      </c>
      <c r="Z75" s="16">
        <f t="shared" si="12"/>
        <v>3.4722222222223209E-3</v>
      </c>
      <c r="AA75" s="16">
        <v>0</v>
      </c>
      <c r="AB75" s="16">
        <v>0.64930555555555558</v>
      </c>
      <c r="AC75" s="17"/>
      <c r="AD75" s="51"/>
    </row>
    <row r="76" spans="1:30" ht="19.5" thickBot="1" x14ac:dyDescent="0.3">
      <c r="A76" s="14">
        <v>9</v>
      </c>
      <c r="B76" s="15">
        <v>2694</v>
      </c>
      <c r="C76" s="15" t="str">
        <f>VLOOKUP(B76,داتا!$B$3:$D$107,2,FALSE)</f>
        <v>تلتين</v>
      </c>
      <c r="D76" s="34">
        <f>VLOOKUP(B76,داتا!$B$3:$D$107,3,FALSE)</f>
        <v>3.125E-2</v>
      </c>
      <c r="E76" s="16" t="s">
        <v>73</v>
      </c>
      <c r="F76" s="15" t="s">
        <v>160</v>
      </c>
      <c r="G76" s="16">
        <v>8.3333333333333329E-2</v>
      </c>
      <c r="H76" s="16">
        <v>8.3333333333333329E-2</v>
      </c>
      <c r="I76" s="16">
        <f t="shared" ref="I76:I77" si="16">H76-G76</f>
        <v>0</v>
      </c>
      <c r="J76" s="16">
        <v>0.56944444444444442</v>
      </c>
      <c r="K76" s="16">
        <v>0.59027777777777779</v>
      </c>
      <c r="L76" s="16" t="s">
        <v>107</v>
      </c>
      <c r="M76" s="16" t="s">
        <v>107</v>
      </c>
      <c r="N76" s="16">
        <f t="shared" ref="N76:N77" si="17">K76-J76</f>
        <v>2.083333333333337E-2</v>
      </c>
      <c r="O76" s="16">
        <v>0</v>
      </c>
      <c r="P76" s="16">
        <v>6.9444444444444397E-3</v>
      </c>
      <c r="Q76" s="16">
        <v>0.61111111111111105</v>
      </c>
      <c r="R76" s="16">
        <f t="shared" si="10"/>
        <v>1.388888888888884E-2</v>
      </c>
      <c r="S76" s="16">
        <v>0.61111111111111105</v>
      </c>
      <c r="T76" s="16">
        <v>2.0833333333333332E-2</v>
      </c>
      <c r="U76" s="16">
        <v>0.66666666666666663</v>
      </c>
      <c r="V76" s="16">
        <v>0</v>
      </c>
      <c r="W76" s="16">
        <v>3.125E-2</v>
      </c>
      <c r="X76" s="16">
        <v>0.67361111111111116</v>
      </c>
      <c r="Y76" s="16">
        <v>0.6875</v>
      </c>
      <c r="Z76" s="16">
        <f t="shared" si="12"/>
        <v>1.388888888888884E-2</v>
      </c>
      <c r="AA76" s="16">
        <v>0</v>
      </c>
      <c r="AB76" s="16">
        <v>0.69097222222222221</v>
      </c>
      <c r="AC76" s="17"/>
      <c r="AD76" s="51"/>
    </row>
    <row r="77" spans="1:30" ht="19.5" thickBot="1" x14ac:dyDescent="0.3">
      <c r="A77" s="14">
        <v>10</v>
      </c>
      <c r="B77" s="15">
        <v>2694</v>
      </c>
      <c r="C77" s="15" t="str">
        <f>VLOOKUP(B77,داتا!$B$3:$D$107,2,FALSE)</f>
        <v>تلتين</v>
      </c>
      <c r="D77" s="34">
        <f>VLOOKUP(B77,داتا!$B$3:$D$107,3,FALSE)</f>
        <v>3.125E-2</v>
      </c>
      <c r="E77" s="15" t="s">
        <v>35</v>
      </c>
      <c r="F77" s="15" t="s">
        <v>160</v>
      </c>
      <c r="G77" s="16">
        <v>8.3333333333333329E-2</v>
      </c>
      <c r="H77" s="16">
        <v>8.3333333333333329E-2</v>
      </c>
      <c r="I77" s="16">
        <f t="shared" si="16"/>
        <v>0</v>
      </c>
      <c r="J77" s="16">
        <v>0.56944444444444442</v>
      </c>
      <c r="K77" s="16">
        <v>0.59027777777777779</v>
      </c>
      <c r="L77" s="16" t="s">
        <v>107</v>
      </c>
      <c r="M77" s="16" t="s">
        <v>107</v>
      </c>
      <c r="N77" s="16">
        <f t="shared" si="17"/>
        <v>2.083333333333337E-2</v>
      </c>
      <c r="O77" s="16">
        <v>0</v>
      </c>
      <c r="P77" s="16">
        <v>6.9444444444444397E-3</v>
      </c>
      <c r="Q77" s="16">
        <v>0.61111111111111105</v>
      </c>
      <c r="R77" s="16">
        <f t="shared" si="10"/>
        <v>1.388888888888884E-2</v>
      </c>
      <c r="S77" s="16">
        <v>0.61111111111111105</v>
      </c>
      <c r="T77" s="16">
        <v>1.0416666666666666E-2</v>
      </c>
      <c r="U77" s="16">
        <v>0.69791666666666663</v>
      </c>
      <c r="V77" s="16">
        <v>0</v>
      </c>
      <c r="W77" s="16">
        <v>4.1666666666666664E-2</v>
      </c>
      <c r="X77" s="16">
        <v>0.69930555555555562</v>
      </c>
      <c r="Y77" s="16">
        <v>0.71180555555555547</v>
      </c>
      <c r="Z77" s="16">
        <f t="shared" si="12"/>
        <v>1.2499999999999845E-2</v>
      </c>
      <c r="AA77" s="16">
        <v>0</v>
      </c>
      <c r="AB77" s="16">
        <v>0.71527777777777779</v>
      </c>
      <c r="AC77" s="17"/>
      <c r="AD77" s="51"/>
    </row>
    <row r="78" spans="1:30" ht="19.5" thickBot="1" x14ac:dyDescent="0.3">
      <c r="A78" s="14">
        <v>11</v>
      </c>
      <c r="B78" s="15">
        <v>634</v>
      </c>
      <c r="C78" s="15" t="str">
        <f>VLOOKUP(B78,داتا!$B$3:$D$107,2,FALSE)</f>
        <v>دبابة</v>
      </c>
      <c r="D78" s="34">
        <f>VLOOKUP(B78,داتا!$B$3:$D$107,3,FALSE)</f>
        <v>2.0833333333333301E-2</v>
      </c>
      <c r="E78" s="15" t="s">
        <v>70</v>
      </c>
      <c r="F78" s="15" t="s">
        <v>208</v>
      </c>
      <c r="G78" s="16">
        <v>8.3333333333333329E-2</v>
      </c>
      <c r="H78" s="16">
        <v>8.3333333333333329E-2</v>
      </c>
      <c r="I78" s="16">
        <f t="shared" si="15"/>
        <v>0</v>
      </c>
      <c r="J78" s="16">
        <v>0.60763888888888895</v>
      </c>
      <c r="K78" s="16">
        <v>0.61805555555555558</v>
      </c>
      <c r="L78" s="16" t="s">
        <v>107</v>
      </c>
      <c r="M78" s="16" t="s">
        <v>107</v>
      </c>
      <c r="N78" s="16">
        <f t="shared" si="9"/>
        <v>1.041666666666663E-2</v>
      </c>
      <c r="O78" s="16">
        <v>0</v>
      </c>
      <c r="P78" s="16">
        <v>6.9444444444444397E-3</v>
      </c>
      <c r="Q78" s="16">
        <v>0.61805555555555558</v>
      </c>
      <c r="R78" s="16">
        <v>0</v>
      </c>
      <c r="S78" s="16">
        <v>0.61805555555555558</v>
      </c>
      <c r="T78" s="16">
        <f>VLOOKUP(E78,'[2]21-3-2026'!E$3:T$35,16,FALSE)</f>
        <v>1.0416666666666701E-2</v>
      </c>
      <c r="U78" s="16">
        <v>0.62986111111111109</v>
      </c>
      <c r="V78" s="16">
        <f t="shared" si="11"/>
        <v>1.3888888888887729E-3</v>
      </c>
      <c r="W78" s="16">
        <v>2.0833333333333332E-2</v>
      </c>
      <c r="X78" s="16">
        <v>0.63194444444444442</v>
      </c>
      <c r="Y78" s="16">
        <v>0.63541666666666663</v>
      </c>
      <c r="Z78" s="16">
        <f t="shared" si="12"/>
        <v>3.4722222222222099E-3</v>
      </c>
      <c r="AA78" s="16">
        <v>0</v>
      </c>
      <c r="AB78" s="16">
        <v>0.63680555555555551</v>
      </c>
      <c r="AC78" s="17"/>
      <c r="AD78" s="51"/>
    </row>
    <row r="79" spans="1:30" ht="19.5" thickBot="1" x14ac:dyDescent="0.3">
      <c r="A79" s="14">
        <v>12</v>
      </c>
      <c r="B79" s="15">
        <v>634</v>
      </c>
      <c r="C79" s="15" t="str">
        <f>VLOOKUP(B79,داتا!$B$3:$D$107,2,FALSE)</f>
        <v>دبابة</v>
      </c>
      <c r="D79" s="34">
        <f>VLOOKUP(B79,داتا!$B$3:$D$107,3,FALSE)</f>
        <v>2.0833333333333301E-2</v>
      </c>
      <c r="E79" s="15" t="s">
        <v>79</v>
      </c>
      <c r="F79" s="15" t="s">
        <v>208</v>
      </c>
      <c r="G79" s="16">
        <v>8.3333333333333329E-2</v>
      </c>
      <c r="H79" s="16">
        <v>8.3333333333333329E-2</v>
      </c>
      <c r="I79" s="16">
        <f t="shared" ref="I79" si="18">H79-G79</f>
        <v>0</v>
      </c>
      <c r="J79" s="16">
        <v>0.60763888888888895</v>
      </c>
      <c r="K79" s="16">
        <v>0.61805555555555558</v>
      </c>
      <c r="L79" s="16" t="s">
        <v>107</v>
      </c>
      <c r="M79" s="16" t="s">
        <v>107</v>
      </c>
      <c r="N79" s="16">
        <f t="shared" ref="N79" si="19">K79-J79</f>
        <v>1.041666666666663E-2</v>
      </c>
      <c r="O79" s="16">
        <v>0</v>
      </c>
      <c r="P79" s="16">
        <v>6.9444444444444397E-3</v>
      </c>
      <c r="Q79" s="16">
        <v>0.61805555555555558</v>
      </c>
      <c r="R79" s="16">
        <v>0</v>
      </c>
      <c r="S79" s="16">
        <v>0.61805555555555558</v>
      </c>
      <c r="T79" s="16">
        <f>VLOOKUP(E79,'[2]21-3-2026'!E$3:T$35,16,FALSE)</f>
        <v>2.0833333333333301E-2</v>
      </c>
      <c r="U79" s="16">
        <v>0.65972222222222221</v>
      </c>
      <c r="V79" s="16">
        <v>2.0833333333333333E-3</v>
      </c>
      <c r="W79" s="16">
        <v>3.125E-2</v>
      </c>
      <c r="X79" s="16">
        <v>0.66319444444444442</v>
      </c>
      <c r="Y79" s="16">
        <v>0.68055555555555547</v>
      </c>
      <c r="Z79" s="16">
        <f t="shared" si="12"/>
        <v>1.7361111111111049E-2</v>
      </c>
      <c r="AA79" s="16">
        <v>0</v>
      </c>
      <c r="AB79" s="16">
        <v>0.6875</v>
      </c>
      <c r="AC79" s="17"/>
      <c r="AD79" s="51"/>
    </row>
    <row r="80" spans="1:30" ht="19.5" thickBot="1" x14ac:dyDescent="0.3">
      <c r="A80" s="14">
        <v>13</v>
      </c>
      <c r="B80" s="15">
        <v>2714</v>
      </c>
      <c r="C80" s="15" t="str">
        <f>VLOOKUP(B80,داتا!$B$3:$D$107,2,FALSE)</f>
        <v>تلتين</v>
      </c>
      <c r="D80" s="34">
        <f>VLOOKUP(B80,داتا!$B$3:$D$107,3,FALSE)</f>
        <v>3.125E-2</v>
      </c>
      <c r="E80" s="15" t="s">
        <v>42</v>
      </c>
      <c r="F80" s="15" t="s">
        <v>143</v>
      </c>
      <c r="G80" s="16">
        <v>8.3333333333333329E-2</v>
      </c>
      <c r="H80" s="16">
        <v>8.3333333333333329E-2</v>
      </c>
      <c r="I80" s="16">
        <f t="shared" si="15"/>
        <v>0</v>
      </c>
      <c r="J80" s="16">
        <v>0.58680555555555558</v>
      </c>
      <c r="K80" s="16">
        <v>0.60763888888888895</v>
      </c>
      <c r="L80" s="16" t="s">
        <v>88</v>
      </c>
      <c r="M80" s="16" t="s">
        <v>88</v>
      </c>
      <c r="N80" s="16">
        <f t="shared" si="9"/>
        <v>2.083333333333337E-2</v>
      </c>
      <c r="O80" s="16">
        <v>0</v>
      </c>
      <c r="P80" s="16">
        <v>6.9444444444444397E-3</v>
      </c>
      <c r="Q80" s="16">
        <v>0.60763888888888895</v>
      </c>
      <c r="R80" s="16">
        <v>0</v>
      </c>
      <c r="S80" s="16">
        <v>0.60763888888888895</v>
      </c>
      <c r="T80" s="16">
        <f>VLOOKUP(E80,'[2]21-3-2026'!E$3:T$35,16,FALSE)</f>
        <v>1.7361111111111101E-2</v>
      </c>
      <c r="U80" s="16">
        <v>0.62847222222222221</v>
      </c>
      <c r="V80" s="16">
        <f t="shared" si="11"/>
        <v>3.4722222222222099E-3</v>
      </c>
      <c r="W80" s="16">
        <v>3.125E-2</v>
      </c>
      <c r="X80" s="16">
        <v>0.63194444444444442</v>
      </c>
      <c r="Y80" s="16">
        <v>0.64236111111111105</v>
      </c>
      <c r="Z80" s="16">
        <f t="shared" si="12"/>
        <v>1.041666666666663E-2</v>
      </c>
      <c r="AA80" s="16">
        <v>0</v>
      </c>
      <c r="AB80" s="16">
        <v>0.64583333333333337</v>
      </c>
      <c r="AC80" s="17"/>
      <c r="AD80" s="51"/>
    </row>
    <row r="81" spans="1:30" ht="19.5" thickBot="1" x14ac:dyDescent="0.3">
      <c r="A81" s="14">
        <v>14</v>
      </c>
      <c r="B81" s="15">
        <v>2714</v>
      </c>
      <c r="C81" s="15" t="str">
        <f>VLOOKUP(B81,داتا!$B$3:$D$107,2,FALSE)</f>
        <v>تلتين</v>
      </c>
      <c r="D81" s="34">
        <f>VLOOKUP(B81,داتا!$B$3:$D$107,3,FALSE)</f>
        <v>3.125E-2</v>
      </c>
      <c r="E81" s="15" t="s">
        <v>45</v>
      </c>
      <c r="F81" s="15" t="s">
        <v>143</v>
      </c>
      <c r="G81" s="16">
        <v>8.3333333333333329E-2</v>
      </c>
      <c r="H81" s="16">
        <v>8.3333333333333329E-2</v>
      </c>
      <c r="I81" s="16">
        <f t="shared" ref="I81" si="20">H81-G81</f>
        <v>0</v>
      </c>
      <c r="J81" s="16">
        <v>0.58680555555555558</v>
      </c>
      <c r="K81" s="16">
        <v>0.60763888888888895</v>
      </c>
      <c r="L81" s="16" t="s">
        <v>88</v>
      </c>
      <c r="M81" s="16" t="s">
        <v>88</v>
      </c>
      <c r="N81" s="16">
        <f t="shared" ref="N81" si="21">K81-J81</f>
        <v>2.083333333333337E-2</v>
      </c>
      <c r="O81" s="16">
        <v>0</v>
      </c>
      <c r="P81" s="16">
        <v>6.9444444444444397E-3</v>
      </c>
      <c r="Q81" s="16">
        <v>0.60763888888888895</v>
      </c>
      <c r="R81" s="16">
        <v>0</v>
      </c>
      <c r="S81" s="16">
        <v>0.60763888888888895</v>
      </c>
      <c r="T81" s="16">
        <v>1.0416666666666666E-2</v>
      </c>
      <c r="U81" s="16">
        <v>0.65833333333333333</v>
      </c>
      <c r="V81" s="16">
        <v>0</v>
      </c>
      <c r="W81" s="16">
        <v>4.1666666666666664E-2</v>
      </c>
      <c r="X81" s="16">
        <v>0.66666666666666663</v>
      </c>
      <c r="Y81" s="16">
        <v>0.68333333333333324</v>
      </c>
      <c r="Z81" s="16">
        <f t="shared" si="12"/>
        <v>1.6666666666666607E-2</v>
      </c>
      <c r="AA81" s="16">
        <v>0</v>
      </c>
      <c r="AB81" s="16">
        <v>0.68402777777777779</v>
      </c>
      <c r="AC81" s="17"/>
      <c r="AD81" s="51"/>
    </row>
    <row r="82" spans="1:30" ht="19.5" thickBot="1" x14ac:dyDescent="0.3">
      <c r="A82" s="14">
        <v>15</v>
      </c>
      <c r="B82" s="15">
        <v>586</v>
      </c>
      <c r="C82" s="15" t="str">
        <f>VLOOKUP(B82,داتا!$B$3:$D$107,2,FALSE)</f>
        <v>سوزوكي</v>
      </c>
      <c r="D82" s="34">
        <f>VLOOKUP(B82,داتا!$B$3:$D$107,3,FALSE)</f>
        <v>2.0833333333333301E-2</v>
      </c>
      <c r="E82" s="15" t="s">
        <v>98</v>
      </c>
      <c r="F82" s="15" t="s">
        <v>207</v>
      </c>
      <c r="G82" s="16">
        <v>8.3333333333333329E-2</v>
      </c>
      <c r="H82" s="16">
        <v>8.3333333333333329E-2</v>
      </c>
      <c r="I82" s="16">
        <f t="shared" si="15"/>
        <v>0</v>
      </c>
      <c r="J82" s="16">
        <v>0.61111111111111105</v>
      </c>
      <c r="K82" s="16">
        <v>0.61458333333333337</v>
      </c>
      <c r="L82" s="16" t="s">
        <v>88</v>
      </c>
      <c r="M82" s="16" t="s">
        <v>88</v>
      </c>
      <c r="N82" s="16">
        <f t="shared" si="9"/>
        <v>3.4722222222223209E-3</v>
      </c>
      <c r="O82" s="16">
        <v>0</v>
      </c>
      <c r="P82" s="16">
        <v>6.9444444444444397E-3</v>
      </c>
      <c r="Q82" s="16">
        <v>0.61805555555555558</v>
      </c>
      <c r="R82" s="16">
        <v>0</v>
      </c>
      <c r="S82" s="16">
        <v>0.61805555555555558</v>
      </c>
      <c r="T82" s="16">
        <f>VLOOKUP(E82,'[2]21-3-2026'!E$3:T$35,16,FALSE)</f>
        <v>4.8611111111111103E-3</v>
      </c>
      <c r="U82" s="16">
        <v>0.625</v>
      </c>
      <c r="V82" s="16">
        <f t="shared" si="11"/>
        <v>2.0833333333333259E-3</v>
      </c>
      <c r="W82" s="16">
        <v>2.0833333333333332E-2</v>
      </c>
      <c r="X82" s="16">
        <v>0.62916666666666665</v>
      </c>
      <c r="Y82" s="16">
        <v>0.6333333333333333</v>
      </c>
      <c r="Z82" s="16">
        <f t="shared" si="12"/>
        <v>4.1666666666666519E-3</v>
      </c>
      <c r="AA82" s="16">
        <v>0</v>
      </c>
      <c r="AB82" s="16">
        <v>0.63402777777777775</v>
      </c>
      <c r="AC82" s="17"/>
      <c r="AD82" s="51"/>
    </row>
    <row r="83" spans="1:30" ht="19.5" thickBot="1" x14ac:dyDescent="0.3">
      <c r="A83" s="14">
        <v>16</v>
      </c>
      <c r="B83" s="15">
        <v>586</v>
      </c>
      <c r="C83" s="15" t="str">
        <f>VLOOKUP(B83,داتا!$B$3:$D$107,2,FALSE)</f>
        <v>سوزوكي</v>
      </c>
      <c r="D83" s="34">
        <f>VLOOKUP(B83,داتا!$B$3:$D$107,3,FALSE)</f>
        <v>2.0833333333333301E-2</v>
      </c>
      <c r="E83" s="15" t="s">
        <v>95</v>
      </c>
      <c r="F83" s="15" t="s">
        <v>207</v>
      </c>
      <c r="G83" s="16">
        <v>8.3333333333333329E-2</v>
      </c>
      <c r="H83" s="16">
        <v>8.3333333333333329E-2</v>
      </c>
      <c r="I83" s="16">
        <f t="shared" ref="I83" si="22">H83-G83</f>
        <v>0</v>
      </c>
      <c r="J83" s="16">
        <v>0.61111111111111105</v>
      </c>
      <c r="K83" s="16">
        <v>0.61458333333333337</v>
      </c>
      <c r="L83" s="16" t="s">
        <v>88</v>
      </c>
      <c r="M83" s="16" t="s">
        <v>88</v>
      </c>
      <c r="N83" s="16">
        <f t="shared" ref="N83" si="23">K83-J83</f>
        <v>3.4722222222223209E-3</v>
      </c>
      <c r="O83" s="16">
        <v>0</v>
      </c>
      <c r="P83" s="16">
        <v>6.9444444444444397E-3</v>
      </c>
      <c r="Q83" s="16">
        <v>0.61805555555555558</v>
      </c>
      <c r="R83" s="16">
        <v>0</v>
      </c>
      <c r="S83" s="16">
        <v>0.61805555555555558</v>
      </c>
      <c r="T83" s="16">
        <f>VLOOKUP(E83,'[2]21-3-2026'!E$3:T$35,16,FALSE)</f>
        <v>1.0416666666666701E-2</v>
      </c>
      <c r="U83" s="16">
        <v>0.64513888888888882</v>
      </c>
      <c r="V83" s="16">
        <v>0</v>
      </c>
      <c r="W83" s="16">
        <v>3.125E-2</v>
      </c>
      <c r="X83" s="16">
        <v>0.64930555555555558</v>
      </c>
      <c r="Y83" s="16">
        <v>0.65277777777777779</v>
      </c>
      <c r="Z83" s="16">
        <f t="shared" si="12"/>
        <v>3.4722222222222099E-3</v>
      </c>
      <c r="AA83" s="16">
        <v>0</v>
      </c>
      <c r="AB83" s="16">
        <v>0.65416666666666667</v>
      </c>
      <c r="AC83" s="17"/>
      <c r="AD83" s="51"/>
    </row>
    <row r="84" spans="1:30" ht="19.5" thickBot="1" x14ac:dyDescent="0.3">
      <c r="A84" s="14">
        <v>17</v>
      </c>
      <c r="B84" s="15">
        <v>1537</v>
      </c>
      <c r="C84" s="15" t="str">
        <f>VLOOKUP(B84,داتا!$B$3:$D$107,2,FALSE)</f>
        <v>تلتين</v>
      </c>
      <c r="D84" s="34">
        <f>VLOOKUP(B84,داتا!$B$3:$D$107,3,FALSE)</f>
        <v>3.125E-2</v>
      </c>
      <c r="E84" s="15" t="s">
        <v>86</v>
      </c>
      <c r="F84" s="15" t="s">
        <v>241</v>
      </c>
      <c r="G84" s="16">
        <v>8.3333333333333329E-2</v>
      </c>
      <c r="H84" s="16">
        <v>8.3333333333333329E-2</v>
      </c>
      <c r="I84" s="16">
        <f t="shared" si="15"/>
        <v>0</v>
      </c>
      <c r="J84" s="16">
        <v>0.59027777777777779</v>
      </c>
      <c r="K84" s="16">
        <v>0.61111111111111105</v>
      </c>
      <c r="L84" s="16" t="s">
        <v>238</v>
      </c>
      <c r="M84" s="16" t="s">
        <v>238</v>
      </c>
      <c r="N84" s="16">
        <f t="shared" si="9"/>
        <v>2.0833333333333259E-2</v>
      </c>
      <c r="O84" s="16">
        <v>0</v>
      </c>
      <c r="P84" s="16">
        <v>6.9444444444444397E-3</v>
      </c>
      <c r="Q84" s="16">
        <v>0.625</v>
      </c>
      <c r="R84" s="16">
        <f t="shared" si="10"/>
        <v>6.9444444444445308E-3</v>
      </c>
      <c r="S84" s="16">
        <v>0.625</v>
      </c>
      <c r="T84" s="16">
        <f>VLOOKUP(E84,'[2]21-3-2026'!E$3:T$35,16,FALSE)</f>
        <v>3.4722222222222199E-3</v>
      </c>
      <c r="U84" s="16">
        <v>0.62847222222222221</v>
      </c>
      <c r="V84" s="16">
        <f t="shared" si="11"/>
        <v>0</v>
      </c>
      <c r="W84" s="16">
        <v>3.125E-2</v>
      </c>
      <c r="X84" s="16">
        <v>0.63194444444444442</v>
      </c>
      <c r="Y84" s="16">
        <v>0.63541666666666663</v>
      </c>
      <c r="Z84" s="16">
        <f t="shared" si="12"/>
        <v>3.4722222222222099E-3</v>
      </c>
      <c r="AA84" s="16">
        <v>0</v>
      </c>
      <c r="AB84" s="16">
        <v>0.63888888888888895</v>
      </c>
      <c r="AC84" s="17"/>
      <c r="AD84" s="51"/>
    </row>
    <row r="85" spans="1:30" ht="19.5" thickBot="1" x14ac:dyDescent="0.3">
      <c r="A85" s="14">
        <v>18</v>
      </c>
      <c r="B85" s="15">
        <v>1537</v>
      </c>
      <c r="C85" s="15" t="str">
        <f>VLOOKUP(B85,داتا!$B$3:$D$107,2,FALSE)</f>
        <v>تلتين</v>
      </c>
      <c r="D85" s="34">
        <f>VLOOKUP(B85,داتا!$B$3:$D$107,3,FALSE)</f>
        <v>3.125E-2</v>
      </c>
      <c r="E85" s="15" t="s">
        <v>83</v>
      </c>
      <c r="F85" s="15" t="s">
        <v>241</v>
      </c>
      <c r="G85" s="16">
        <v>8.3333333333333329E-2</v>
      </c>
      <c r="H85" s="16">
        <v>8.3333333333333329E-2</v>
      </c>
      <c r="I85" s="16">
        <f t="shared" si="15"/>
        <v>0</v>
      </c>
      <c r="J85" s="16">
        <v>0.59027777777777779</v>
      </c>
      <c r="K85" s="16">
        <v>0.61111111111111105</v>
      </c>
      <c r="L85" s="16" t="s">
        <v>238</v>
      </c>
      <c r="M85" s="16" t="s">
        <v>238</v>
      </c>
      <c r="N85" s="16">
        <f t="shared" si="9"/>
        <v>2.0833333333333259E-2</v>
      </c>
      <c r="O85" s="16">
        <v>0</v>
      </c>
      <c r="P85" s="16">
        <v>6.9444444444444397E-3</v>
      </c>
      <c r="Q85" s="16">
        <v>0.625</v>
      </c>
      <c r="R85" s="16">
        <f t="shared" si="10"/>
        <v>6.9444444444445308E-3</v>
      </c>
      <c r="S85" s="16">
        <v>0.625</v>
      </c>
      <c r="T85" s="16">
        <f>VLOOKUP(E85,'[2]21-3-2026'!E$3:T$35,16,FALSE)</f>
        <v>1.38888888888889E-2</v>
      </c>
      <c r="U85" s="16">
        <v>0.65277777777777779</v>
      </c>
      <c r="V85" s="16">
        <v>0</v>
      </c>
      <c r="W85" s="16">
        <v>3.125E-2</v>
      </c>
      <c r="X85" s="16">
        <v>0.65625</v>
      </c>
      <c r="Y85" s="16">
        <v>0.66666666666666663</v>
      </c>
      <c r="Z85" s="16">
        <f t="shared" si="12"/>
        <v>1.041666666666663E-2</v>
      </c>
      <c r="AA85" s="16">
        <v>0</v>
      </c>
      <c r="AB85" s="16">
        <v>0.66805555555555562</v>
      </c>
      <c r="AC85" s="17"/>
      <c r="AD85" s="51"/>
    </row>
    <row r="86" spans="1:30" ht="19.5" thickBot="1" x14ac:dyDescent="0.3">
      <c r="A86" s="14">
        <v>19</v>
      </c>
      <c r="B86" s="15">
        <v>1537</v>
      </c>
      <c r="C86" s="15" t="str">
        <f>VLOOKUP(B86,داتا!$B$3:$D$107,2,FALSE)</f>
        <v>تلتين</v>
      </c>
      <c r="D86" s="34">
        <f>VLOOKUP(B86,داتا!$B$3:$D$107,3,FALSE)</f>
        <v>3.125E-2</v>
      </c>
      <c r="E86" s="15" t="s">
        <v>77</v>
      </c>
      <c r="F86" s="15" t="s">
        <v>241</v>
      </c>
      <c r="G86" s="16">
        <v>8.3333333333333329E-2</v>
      </c>
      <c r="H86" s="16">
        <v>8.3333333333333329E-2</v>
      </c>
      <c r="I86" s="16">
        <f t="shared" si="15"/>
        <v>0</v>
      </c>
      <c r="J86" s="16">
        <v>0.59027777777777779</v>
      </c>
      <c r="K86" s="16">
        <v>0.61111111111111105</v>
      </c>
      <c r="L86" s="16" t="s">
        <v>238</v>
      </c>
      <c r="M86" s="16" t="s">
        <v>238</v>
      </c>
      <c r="N86" s="16">
        <f t="shared" si="9"/>
        <v>2.0833333333333259E-2</v>
      </c>
      <c r="O86" s="16">
        <v>0</v>
      </c>
      <c r="P86" s="16">
        <v>6.9444444444444397E-3</v>
      </c>
      <c r="Q86" s="16">
        <v>0.625</v>
      </c>
      <c r="R86" s="16">
        <f t="shared" si="10"/>
        <v>6.9444444444445308E-3</v>
      </c>
      <c r="S86" s="16">
        <v>0.625</v>
      </c>
      <c r="T86" s="16">
        <f>VLOOKUP(E86,'[2]21-3-2026'!E$3:T$35,16,FALSE)</f>
        <v>1.38888888888889E-2</v>
      </c>
      <c r="U86" s="16">
        <v>0.67708333333333337</v>
      </c>
      <c r="V86" s="16">
        <v>0</v>
      </c>
      <c r="W86" s="16">
        <v>4.1666666666666664E-2</v>
      </c>
      <c r="X86" s="16">
        <v>0.68055555555555547</v>
      </c>
      <c r="Y86" s="16">
        <v>0.6875</v>
      </c>
      <c r="Z86" s="16">
        <f t="shared" si="12"/>
        <v>6.9444444444445308E-3</v>
      </c>
      <c r="AA86" s="16">
        <v>0</v>
      </c>
      <c r="AB86" s="16">
        <v>0.69097222222222221</v>
      </c>
      <c r="AC86" s="17"/>
      <c r="AD86" s="51"/>
    </row>
    <row r="87" spans="1:30" ht="19.5" thickBot="1" x14ac:dyDescent="0.3">
      <c r="A87" s="14">
        <v>20</v>
      </c>
      <c r="B87" s="15">
        <v>4879</v>
      </c>
      <c r="C87" s="15" t="str">
        <f>VLOOKUP(B87,داتا!$B$3:$D$107,2,FALSE)</f>
        <v>دبابة</v>
      </c>
      <c r="D87" s="34">
        <f>VLOOKUP(B87,داتا!$B$3:$D$107,3,FALSE)</f>
        <v>2.0833333333333301E-2</v>
      </c>
      <c r="E87" s="15" t="s">
        <v>92</v>
      </c>
      <c r="F87" s="15" t="s">
        <v>186</v>
      </c>
      <c r="G87" s="16">
        <v>8.3333333333333329E-2</v>
      </c>
      <c r="H87" s="16">
        <v>8.3333333333333329E-2</v>
      </c>
      <c r="I87" s="16">
        <f t="shared" si="15"/>
        <v>0</v>
      </c>
      <c r="J87" s="16">
        <v>0.58333333333333337</v>
      </c>
      <c r="K87" s="16">
        <v>0.59375</v>
      </c>
      <c r="L87" s="16" t="s">
        <v>157</v>
      </c>
      <c r="M87" s="16" t="s">
        <v>157</v>
      </c>
      <c r="N87" s="16">
        <f t="shared" si="9"/>
        <v>1.041666666666663E-2</v>
      </c>
      <c r="O87" s="16">
        <v>0</v>
      </c>
      <c r="P87" s="16">
        <v>6.9444444444444397E-3</v>
      </c>
      <c r="Q87" s="16">
        <v>0.59722222222222221</v>
      </c>
      <c r="R87" s="16">
        <v>0</v>
      </c>
      <c r="S87" s="16">
        <v>0.59722222222222221</v>
      </c>
      <c r="T87" s="16">
        <f>VLOOKUP(E87,'[2]21-3-2026'!E$3:T$35,16,FALSE)</f>
        <v>1.38888888888889E-2</v>
      </c>
      <c r="U87" s="16">
        <v>0.62152777777777779</v>
      </c>
      <c r="V87" s="16">
        <f t="shared" si="11"/>
        <v>1.041666666666663E-2</v>
      </c>
      <c r="W87" s="16">
        <v>2.0833333333333332E-2</v>
      </c>
      <c r="X87" s="16">
        <v>0.62361111111111112</v>
      </c>
      <c r="Y87" s="16">
        <v>0.62986111111111109</v>
      </c>
      <c r="Z87" s="16">
        <f t="shared" si="12"/>
        <v>6.2499999999999778E-3</v>
      </c>
      <c r="AA87" s="16">
        <v>0</v>
      </c>
      <c r="AB87" s="16">
        <v>0.63194444444444442</v>
      </c>
      <c r="AC87" s="17"/>
      <c r="AD87" s="51"/>
    </row>
    <row r="88" spans="1:30" ht="19.5" thickBot="1" x14ac:dyDescent="0.3">
      <c r="A88" s="14">
        <v>21</v>
      </c>
      <c r="B88" s="15">
        <v>4879</v>
      </c>
      <c r="C88" s="15" t="str">
        <f>VLOOKUP(B88,داتا!$B$3:$D$107,2,FALSE)</f>
        <v>دبابة</v>
      </c>
      <c r="D88" s="34">
        <f>VLOOKUP(B88,داتا!$B$3:$D$107,3,FALSE)</f>
        <v>2.0833333333333301E-2</v>
      </c>
      <c r="E88" s="15" t="s">
        <v>75</v>
      </c>
      <c r="F88" s="15" t="s">
        <v>186</v>
      </c>
      <c r="G88" s="16">
        <v>8.3333333333333329E-2</v>
      </c>
      <c r="H88" s="16">
        <v>8.3333333333333329E-2</v>
      </c>
      <c r="I88" s="16">
        <f t="shared" ref="I88:I89" si="24">H88-G88</f>
        <v>0</v>
      </c>
      <c r="J88" s="16">
        <v>0.58333333333333337</v>
      </c>
      <c r="K88" s="16">
        <v>0.59375</v>
      </c>
      <c r="L88" s="16" t="s">
        <v>157</v>
      </c>
      <c r="M88" s="16" t="s">
        <v>157</v>
      </c>
      <c r="N88" s="16">
        <f t="shared" ref="N88:N89" si="25">K88-J88</f>
        <v>1.041666666666663E-2</v>
      </c>
      <c r="O88" s="16">
        <v>0</v>
      </c>
      <c r="P88" s="16">
        <v>6.9444444444444397E-3</v>
      </c>
      <c r="Q88" s="16">
        <v>0.59722222222222221</v>
      </c>
      <c r="R88" s="16">
        <v>0</v>
      </c>
      <c r="S88" s="16">
        <v>0.59722222222222221</v>
      </c>
      <c r="T88" s="16">
        <f>VLOOKUP(E88,'[2]21-3-2026'!E$3:T$35,16,FALSE)</f>
        <v>2.0833333333333301E-2</v>
      </c>
      <c r="U88" s="16">
        <v>0.64930555555555558</v>
      </c>
      <c r="V88" s="16">
        <v>0</v>
      </c>
      <c r="W88" s="16">
        <v>2.0833333333333332E-2</v>
      </c>
      <c r="X88" s="16">
        <v>0.65277777777777779</v>
      </c>
      <c r="Y88" s="16">
        <v>0.66666666666666663</v>
      </c>
      <c r="Z88" s="16">
        <f t="shared" si="12"/>
        <v>1.388888888888884E-2</v>
      </c>
      <c r="AA88" s="16">
        <v>0</v>
      </c>
      <c r="AB88" s="16">
        <v>0.67013888888888884</v>
      </c>
      <c r="AC88" s="19"/>
      <c r="AD88" s="51"/>
    </row>
    <row r="89" spans="1:30" ht="19.5" thickBot="1" x14ac:dyDescent="0.3">
      <c r="A89" s="14">
        <v>22</v>
      </c>
      <c r="B89" s="15">
        <v>4879</v>
      </c>
      <c r="C89" s="15" t="str">
        <f>VLOOKUP(B89,داتا!$B$3:$D$107,2,FALSE)</f>
        <v>دبابة</v>
      </c>
      <c r="D89" s="34">
        <f>VLOOKUP(B89,داتا!$B$3:$D$107,3,FALSE)</f>
        <v>2.0833333333333301E-2</v>
      </c>
      <c r="E89" s="15" t="s">
        <v>60</v>
      </c>
      <c r="F89" s="15" t="s">
        <v>186</v>
      </c>
      <c r="G89" s="16">
        <v>8.3333333333333329E-2</v>
      </c>
      <c r="H89" s="16">
        <v>8.3333333333333329E-2</v>
      </c>
      <c r="I89" s="16">
        <f t="shared" si="24"/>
        <v>0</v>
      </c>
      <c r="J89" s="16">
        <v>0.58333333333333337</v>
      </c>
      <c r="K89" s="16">
        <v>0.59375</v>
      </c>
      <c r="L89" s="16" t="s">
        <v>157</v>
      </c>
      <c r="M89" s="16" t="s">
        <v>157</v>
      </c>
      <c r="N89" s="16">
        <f t="shared" si="25"/>
        <v>1.041666666666663E-2</v>
      </c>
      <c r="O89" s="16">
        <v>0</v>
      </c>
      <c r="P89" s="16">
        <v>6.9444444444444397E-3</v>
      </c>
      <c r="Q89" s="16">
        <v>0.59722222222222221</v>
      </c>
      <c r="R89" s="16">
        <v>0</v>
      </c>
      <c r="S89" s="16">
        <v>0.59722222222222221</v>
      </c>
      <c r="T89" s="16">
        <f>VLOOKUP(E89,'[2]21-3-2026'!E$3:T$35,16,FALSE)</f>
        <v>1.0416666666666701E-2</v>
      </c>
      <c r="U89" s="16">
        <v>0.68055555555555547</v>
      </c>
      <c r="V89" s="16">
        <v>0</v>
      </c>
      <c r="W89" s="16">
        <v>3.125E-2</v>
      </c>
      <c r="X89" s="16">
        <v>0.68402777777777779</v>
      </c>
      <c r="Y89" s="16">
        <v>0.69791666666666663</v>
      </c>
      <c r="Z89" s="16">
        <f t="shared" si="12"/>
        <v>1.388888888888884E-2</v>
      </c>
      <c r="AA89" s="16">
        <v>0</v>
      </c>
      <c r="AB89" s="16">
        <v>0.70138888888888884</v>
      </c>
      <c r="AC89" s="19"/>
      <c r="AD89" s="51"/>
    </row>
    <row r="90" spans="1:30" ht="19.5" thickBot="1" x14ac:dyDescent="0.3">
      <c r="A90" s="20">
        <v>23</v>
      </c>
      <c r="B90" s="21">
        <v>2474</v>
      </c>
      <c r="C90" s="21" t="str">
        <f>VLOOKUP(B90,داتا!$B$3:$D$107,2,FALSE)</f>
        <v>دبابة</v>
      </c>
      <c r="D90" s="35">
        <f>VLOOKUP(B90,داتا!$B$3:$D$107,3,FALSE)</f>
        <v>2.0833333333333332E-2</v>
      </c>
      <c r="E90" s="21" t="s">
        <v>81</v>
      </c>
      <c r="F90" s="21" t="s">
        <v>162</v>
      </c>
      <c r="G90" s="22">
        <v>8.3333333333333329E-2</v>
      </c>
      <c r="H90" s="22">
        <v>8.3333333333333329E-2</v>
      </c>
      <c r="I90" s="22">
        <f t="shared" si="15"/>
        <v>0</v>
      </c>
      <c r="J90" s="22">
        <v>0.59375</v>
      </c>
      <c r="K90" s="22">
        <v>0.60416666666666663</v>
      </c>
      <c r="L90" s="22" t="s">
        <v>157</v>
      </c>
      <c r="M90" s="22" t="s">
        <v>157</v>
      </c>
      <c r="N90" s="22">
        <f t="shared" si="9"/>
        <v>1.041666666666663E-2</v>
      </c>
      <c r="O90" s="22">
        <v>0</v>
      </c>
      <c r="P90" s="22">
        <v>6.9444444444444397E-3</v>
      </c>
      <c r="Q90" s="22">
        <v>0.60763888888888895</v>
      </c>
      <c r="R90" s="22">
        <v>0</v>
      </c>
      <c r="S90" s="22">
        <v>0.60763888888888895</v>
      </c>
      <c r="T90" s="22">
        <f>VLOOKUP(E90,'[2]21-3-2026'!E$3:T$35,16,FALSE)</f>
        <v>2.7777777777777801E-2</v>
      </c>
      <c r="U90" s="22">
        <v>0.64236111111111105</v>
      </c>
      <c r="V90" s="22">
        <f t="shared" si="11"/>
        <v>6.9444444444443088E-3</v>
      </c>
      <c r="W90" s="22">
        <v>3.125E-2</v>
      </c>
      <c r="X90" s="22">
        <v>0.64583333333333337</v>
      </c>
      <c r="Y90" s="22">
        <v>0.65277777777777779</v>
      </c>
      <c r="Z90" s="22">
        <f t="shared" si="12"/>
        <v>6.9444444444444198E-3</v>
      </c>
      <c r="AA90" s="22">
        <v>0</v>
      </c>
      <c r="AB90" s="22">
        <v>0.8125</v>
      </c>
      <c r="AC90" s="30"/>
      <c r="AD90" s="54"/>
    </row>
    <row r="91" spans="1:30" ht="16.5" thickTop="1" x14ac:dyDescent="0.25"/>
  </sheetData>
  <mergeCells count="4">
    <mergeCell ref="A1:AC1"/>
    <mergeCell ref="AD3:AD35"/>
    <mergeCell ref="AD36:AD67"/>
    <mergeCell ref="AD68:AD90"/>
  </mergeCells>
  <conditionalFormatting sqref="AC1:AC1048576">
    <cfRule type="containsText" dxfId="437" priority="40" operator="containsText" text="ت">
      <formula>NOT(ISERROR(SEARCH("ت",AC1)))</formula>
    </cfRule>
  </conditionalFormatting>
  <conditionalFormatting sqref="AC4:AC90">
    <cfRule type="containsText" dxfId="436" priority="39" operator="containsText" text="ت">
      <formula>NOT(ISERROR(SEARCH("ت",AC4)))</formula>
    </cfRule>
  </conditionalFormatting>
  <conditionalFormatting sqref="O1:O2 I1:I2 R1:R2 V1:V2 AA91:AA1048576 V91:V1048576 R91:R1048576 O91:O1048576 I91:I1048576 AA1:AA2">
    <cfRule type="cellIs" dxfId="435" priority="41" operator="between">
      <formula>0.00277777777777778</formula>
      <formula>1</formula>
    </cfRule>
  </conditionalFormatting>
  <conditionalFormatting sqref="I3:I71 I90 I82 I73:I75 I78 I80 I84:I87">
    <cfRule type="cellIs" dxfId="434" priority="35" operator="between">
      <formula>0.00277777777777778</formula>
      <formula>1</formula>
    </cfRule>
  </conditionalFormatting>
  <conditionalFormatting sqref="I3:I71 I90 I82 I73:I75 I78 I80 I84:I87">
    <cfRule type="cellIs" dxfId="433" priority="36" operator="between">
      <formula>0.00277777777777778</formula>
      <formula>1</formula>
    </cfRule>
  </conditionalFormatting>
  <conditionalFormatting sqref="O3:O71 O90 O82 O73:O75 O78 O80 O84:O87">
    <cfRule type="cellIs" dxfId="432" priority="33" operator="between">
      <formula>0.00277777777777778</formula>
      <formula>1</formula>
    </cfRule>
  </conditionalFormatting>
  <conditionalFormatting sqref="O3:O71 O90 O82 O73:O75 O78 O80 O84:O87">
    <cfRule type="cellIs" dxfId="431" priority="34" operator="between">
      <formula>0.00277777777777778</formula>
      <formula>1</formula>
    </cfRule>
  </conditionalFormatting>
  <conditionalFormatting sqref="R3:R90">
    <cfRule type="cellIs" dxfId="430" priority="31" operator="between">
      <formula>0.00277777777777778</formula>
      <formula>1</formula>
    </cfRule>
  </conditionalFormatting>
  <conditionalFormatting sqref="R3:R90">
    <cfRule type="cellIs" dxfId="429" priority="32" operator="between">
      <formula>0.00277777777777778</formula>
      <formula>1</formula>
    </cfRule>
  </conditionalFormatting>
  <conditionalFormatting sqref="V3:V90">
    <cfRule type="cellIs" dxfId="428" priority="29" operator="between">
      <formula>0.00277777777777778</formula>
      <formula>1</formula>
    </cfRule>
  </conditionalFormatting>
  <conditionalFormatting sqref="V3:V90">
    <cfRule type="cellIs" dxfId="427" priority="30" operator="between">
      <formula>0.00277777777777778</formula>
      <formula>1</formula>
    </cfRule>
  </conditionalFormatting>
  <conditionalFormatting sqref="AA3:AA90">
    <cfRule type="cellIs" dxfId="426" priority="27" operator="between">
      <formula>0.00277777777777778</formula>
      <formula>1</formula>
    </cfRule>
  </conditionalFormatting>
  <conditionalFormatting sqref="AA3:AA90">
    <cfRule type="cellIs" dxfId="425" priority="28" operator="between">
      <formula>0.00277777777777778</formula>
      <formula>1</formula>
    </cfRule>
  </conditionalFormatting>
  <conditionalFormatting sqref="I88:I89">
    <cfRule type="cellIs" dxfId="424" priority="23" operator="between">
      <formula>0.00277777777777778</formula>
      <formula>1</formula>
    </cfRule>
  </conditionalFormatting>
  <conditionalFormatting sqref="I88:I89">
    <cfRule type="cellIs" dxfId="423" priority="24" operator="between">
      <formula>0.00277777777777778</formula>
      <formula>1</formula>
    </cfRule>
  </conditionalFormatting>
  <conditionalFormatting sqref="O88:O89">
    <cfRule type="cellIs" dxfId="422" priority="21" operator="between">
      <formula>0.00277777777777778</formula>
      <formula>1</formula>
    </cfRule>
  </conditionalFormatting>
  <conditionalFormatting sqref="O88:O89">
    <cfRule type="cellIs" dxfId="421" priority="22" operator="between">
      <formula>0.00277777777777778</formula>
      <formula>1</formula>
    </cfRule>
  </conditionalFormatting>
  <conditionalFormatting sqref="I81">
    <cfRule type="cellIs" dxfId="420" priority="19" operator="between">
      <formula>0.00277777777777778</formula>
      <formula>1</formula>
    </cfRule>
  </conditionalFormatting>
  <conditionalFormatting sqref="I81">
    <cfRule type="cellIs" dxfId="419" priority="20" operator="between">
      <formula>0.00277777777777778</formula>
      <formula>1</formula>
    </cfRule>
  </conditionalFormatting>
  <conditionalFormatting sqref="O81">
    <cfRule type="cellIs" dxfId="418" priority="17" operator="between">
      <formula>0.00277777777777778</formula>
      <formula>1</formula>
    </cfRule>
  </conditionalFormatting>
  <conditionalFormatting sqref="O81">
    <cfRule type="cellIs" dxfId="417" priority="18" operator="between">
      <formula>0.00277777777777778</formula>
      <formula>1</formula>
    </cfRule>
  </conditionalFormatting>
  <conditionalFormatting sqref="I72">
    <cfRule type="cellIs" dxfId="416" priority="15" operator="between">
      <formula>0.00277777777777778</formula>
      <formula>1</formula>
    </cfRule>
  </conditionalFormatting>
  <conditionalFormatting sqref="I72">
    <cfRule type="cellIs" dxfId="415" priority="16" operator="between">
      <formula>0.00277777777777778</formula>
      <formula>1</formula>
    </cfRule>
  </conditionalFormatting>
  <conditionalFormatting sqref="O72">
    <cfRule type="cellIs" dxfId="414" priority="13" operator="between">
      <formula>0.00277777777777778</formula>
      <formula>1</formula>
    </cfRule>
  </conditionalFormatting>
  <conditionalFormatting sqref="O72">
    <cfRule type="cellIs" dxfId="413" priority="14" operator="between">
      <formula>0.00277777777777778</formula>
      <formula>1</formula>
    </cfRule>
  </conditionalFormatting>
  <conditionalFormatting sqref="I76:I77">
    <cfRule type="cellIs" dxfId="412" priority="11" operator="between">
      <formula>0.00277777777777778</formula>
      <formula>1</formula>
    </cfRule>
  </conditionalFormatting>
  <conditionalFormatting sqref="I76:I77">
    <cfRule type="cellIs" dxfId="411" priority="12" operator="between">
      <formula>0.00277777777777778</formula>
      <formula>1</formula>
    </cfRule>
  </conditionalFormatting>
  <conditionalFormatting sqref="O76:O77">
    <cfRule type="cellIs" dxfId="410" priority="9" operator="between">
      <formula>0.00277777777777778</formula>
      <formula>1</formula>
    </cfRule>
  </conditionalFormatting>
  <conditionalFormatting sqref="O76:O77">
    <cfRule type="cellIs" dxfId="409" priority="10" operator="between">
      <formula>0.00277777777777778</formula>
      <formula>1</formula>
    </cfRule>
  </conditionalFormatting>
  <conditionalFormatting sqref="I79">
    <cfRule type="cellIs" dxfId="408" priority="7" operator="between">
      <formula>0.00277777777777778</formula>
      <formula>1</formula>
    </cfRule>
  </conditionalFormatting>
  <conditionalFormatting sqref="I79">
    <cfRule type="cellIs" dxfId="407" priority="8" operator="between">
      <formula>0.00277777777777778</formula>
      <formula>1</formula>
    </cfRule>
  </conditionalFormatting>
  <conditionalFormatting sqref="O79">
    <cfRule type="cellIs" dxfId="406" priority="5" operator="between">
      <formula>0.00277777777777778</formula>
      <formula>1</formula>
    </cfRule>
  </conditionalFormatting>
  <conditionalFormatting sqref="O79">
    <cfRule type="cellIs" dxfId="405" priority="6" operator="between">
      <formula>0.00277777777777778</formula>
      <formula>1</formula>
    </cfRule>
  </conditionalFormatting>
  <conditionalFormatting sqref="I83">
    <cfRule type="cellIs" dxfId="404" priority="3" operator="between">
      <formula>0.00277777777777778</formula>
      <formula>1</formula>
    </cfRule>
  </conditionalFormatting>
  <conditionalFormatting sqref="I83">
    <cfRule type="cellIs" dxfId="403" priority="4" operator="between">
      <formula>0.00277777777777778</formula>
      <formula>1</formula>
    </cfRule>
  </conditionalFormatting>
  <conditionalFormatting sqref="O83">
    <cfRule type="cellIs" dxfId="402" priority="1" operator="between">
      <formula>0.00277777777777778</formula>
      <formula>1</formula>
    </cfRule>
  </conditionalFormatting>
  <conditionalFormatting sqref="O83">
    <cfRule type="cellIs" dxfId="401" priority="2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4"/>
  <sheetViews>
    <sheetView rightToLeft="1" tabSelected="1" workbookViewId="0">
      <pane xSplit="6" ySplit="2" topLeftCell="G3" activePane="bottomRight" state="frozen"/>
      <selection activeCell="A92" sqref="A92"/>
      <selection pane="topRight" activeCell="A92" sqref="A92"/>
      <selection pane="bottomLeft" activeCell="A92" sqref="A92"/>
      <selection pane="bottomRight" activeCell="L8" sqref="L8"/>
    </sheetView>
  </sheetViews>
  <sheetFormatPr defaultColWidth="9" defaultRowHeight="15.75" x14ac:dyDescent="0.25"/>
  <cols>
    <col min="1" max="1" width="5.42578125" customWidth="1"/>
    <col min="2" max="2" width="12.28515625" customWidth="1"/>
    <col min="3" max="3" width="12.5703125" customWidth="1"/>
    <col min="4" max="4" width="16.140625" style="36" customWidth="1"/>
    <col min="5" max="5" width="17.140625" customWidth="1"/>
    <col min="6" max="6" width="21.7109375" customWidth="1"/>
    <col min="7" max="7" width="12.7109375" customWidth="1"/>
    <col min="8" max="9" width="12.85546875" customWidth="1"/>
    <col min="10" max="10" width="12.5703125" customWidth="1"/>
    <col min="11" max="11" width="14.28515625" customWidth="1"/>
    <col min="12" max="12" width="22.7109375" customWidth="1"/>
    <col min="13" max="13" width="18.8554687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3.85546875" style="31" customWidth="1"/>
    <col min="30" max="30" width="11.140625" customWidth="1"/>
  </cols>
  <sheetData>
    <row r="1" spans="1:30" ht="33.75" customHeight="1" thickBot="1" x14ac:dyDescent="0.3">
      <c r="A1" s="46" t="s">
        <v>128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0" ht="49.5" customHeight="1" thickTop="1" thickBot="1" x14ac:dyDescent="0.3">
      <c r="A2" s="1" t="s">
        <v>1</v>
      </c>
      <c r="B2" s="2" t="s">
        <v>2</v>
      </c>
      <c r="C2" s="2" t="s">
        <v>3</v>
      </c>
      <c r="D2" s="3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8" t="s">
        <v>18</v>
      </c>
      <c r="S2" s="2" t="s">
        <v>19</v>
      </c>
      <c r="T2" s="8" t="s">
        <v>20</v>
      </c>
      <c r="U2" s="2" t="s">
        <v>21</v>
      </c>
      <c r="V2" s="8" t="s">
        <v>22</v>
      </c>
      <c r="W2" s="8" t="s">
        <v>23</v>
      </c>
      <c r="X2" s="2" t="s">
        <v>24</v>
      </c>
      <c r="Y2" s="2" t="s">
        <v>25</v>
      </c>
      <c r="Z2" s="2" t="s">
        <v>26</v>
      </c>
      <c r="AA2" s="8" t="s">
        <v>27</v>
      </c>
      <c r="AB2" s="2" t="s">
        <v>28</v>
      </c>
      <c r="AC2" s="9" t="s">
        <v>29</v>
      </c>
    </row>
    <row r="3" spans="1:30" ht="20.25" customHeight="1" thickTop="1" thickBot="1" x14ac:dyDescent="0.3">
      <c r="A3" s="10">
        <v>1</v>
      </c>
      <c r="B3" s="11">
        <v>2714</v>
      </c>
      <c r="C3" s="11" t="str">
        <f>VLOOKUP(B3,داتا!$B$3:$D$107,2,FALSE)</f>
        <v>تلتين</v>
      </c>
      <c r="D3" s="33">
        <f>VLOOKUP(B3,داتا!$B$3:$D$107,3,FALSE)</f>
        <v>3.125E-2</v>
      </c>
      <c r="E3" s="11" t="s">
        <v>30</v>
      </c>
      <c r="F3" s="11" t="s">
        <v>114</v>
      </c>
      <c r="G3" s="12">
        <v>0.25</v>
      </c>
      <c r="H3" s="12">
        <v>0.26041666666666669</v>
      </c>
      <c r="I3" s="12">
        <f t="shared" ref="I3:I33" si="0">H3-G3</f>
        <v>1.0416666666666685E-2</v>
      </c>
      <c r="J3" s="12">
        <v>0.1875</v>
      </c>
      <c r="K3" s="12">
        <v>0.20486111111111113</v>
      </c>
      <c r="L3" s="12" t="s">
        <v>216</v>
      </c>
      <c r="M3" s="12" t="s">
        <v>216</v>
      </c>
      <c r="N3" s="12">
        <f>K3-J3</f>
        <v>1.7361111111111133E-2</v>
      </c>
      <c r="O3" s="12">
        <v>0</v>
      </c>
      <c r="P3" s="12">
        <v>6.9444444444444397E-3</v>
      </c>
      <c r="Q3" s="12">
        <v>0.20833333333333334</v>
      </c>
      <c r="R3" s="12">
        <v>0</v>
      </c>
      <c r="S3" s="12">
        <v>0.26527777777777778</v>
      </c>
      <c r="T3" s="12">
        <f>VLOOKUP(E3,'[2]21-3-2026'!E$3:T$35,16,FALSE)</f>
        <v>1.38888888888889E-2</v>
      </c>
      <c r="U3" s="12">
        <v>0.28611111111111115</v>
      </c>
      <c r="V3" s="12">
        <f>U3-T3-S3</f>
        <v>6.9444444444444753E-3</v>
      </c>
      <c r="W3" s="12">
        <v>4.1666666666666664E-2</v>
      </c>
      <c r="X3" s="12">
        <v>0.29583333333333334</v>
      </c>
      <c r="Y3" s="12">
        <v>0.34027777777777773</v>
      </c>
      <c r="Z3" s="12">
        <f>Y3-X3</f>
        <v>4.4444444444444398E-2</v>
      </c>
      <c r="AA3" s="12">
        <f t="shared" ref="AA3:AA46" si="1">Z3-W3</f>
        <v>2.7777777777777332E-3</v>
      </c>
      <c r="AB3" s="12">
        <v>0.34375</v>
      </c>
      <c r="AC3" s="38"/>
      <c r="AD3" s="55" t="s">
        <v>33</v>
      </c>
    </row>
    <row r="4" spans="1:30" ht="19.5" thickBot="1" x14ac:dyDescent="0.3">
      <c r="A4" s="14">
        <v>2</v>
      </c>
      <c r="B4" s="15">
        <v>3891</v>
      </c>
      <c r="C4" s="15" t="str">
        <f>VLOOKUP(B4,داتا!$B$3:$D$107,2,FALSE)</f>
        <v>تلتين</v>
      </c>
      <c r="D4" s="34">
        <f>VLOOKUP(B4,داتا!$B$3:$D$107,3,FALSE)</f>
        <v>3.125E-2</v>
      </c>
      <c r="E4" s="15" t="s">
        <v>65</v>
      </c>
      <c r="F4" s="15" t="s">
        <v>48</v>
      </c>
      <c r="G4" s="16">
        <v>0.25</v>
      </c>
      <c r="H4" s="16">
        <v>0.25</v>
      </c>
      <c r="I4" s="16">
        <f t="shared" si="0"/>
        <v>0</v>
      </c>
      <c r="J4" s="16">
        <v>0.21180555555555555</v>
      </c>
      <c r="K4" s="16">
        <v>0.22916666666666666</v>
      </c>
      <c r="L4" s="16" t="s">
        <v>216</v>
      </c>
      <c r="M4" s="16" t="s">
        <v>216</v>
      </c>
      <c r="N4" s="16">
        <f t="shared" ref="N4:N67" si="2">K4-J4</f>
        <v>1.7361111111111105E-2</v>
      </c>
      <c r="O4" s="16">
        <v>0</v>
      </c>
      <c r="P4" s="16">
        <v>6.9444444444444397E-3</v>
      </c>
      <c r="Q4" s="16">
        <v>0.23263888888888887</v>
      </c>
      <c r="R4" s="16">
        <v>0</v>
      </c>
      <c r="S4" s="16">
        <v>0.25347222222222221</v>
      </c>
      <c r="T4" s="16">
        <f>VLOOKUP(E4,'[2]21-3-2026'!E$3:T$35,16,FALSE)</f>
        <v>4.1666666666666699E-2</v>
      </c>
      <c r="U4" s="16">
        <v>0.30208333333333331</v>
      </c>
      <c r="V4" s="16">
        <f t="shared" ref="V4:V65" si="3">U4-T4-S4</f>
        <v>6.9444444444444198E-3</v>
      </c>
      <c r="W4" s="16">
        <v>4.1666666666666664E-2</v>
      </c>
      <c r="X4" s="16">
        <v>0.33680555555555558</v>
      </c>
      <c r="Y4" s="16">
        <v>0.37152777777777773</v>
      </c>
      <c r="Z4" s="16">
        <f t="shared" ref="Z4:Z67" si="4">Y4-X4</f>
        <v>3.4722222222222154E-2</v>
      </c>
      <c r="AA4" s="16">
        <v>0</v>
      </c>
      <c r="AB4" s="16">
        <v>0.375</v>
      </c>
      <c r="AC4" s="39"/>
      <c r="AD4" s="56"/>
    </row>
    <row r="5" spans="1:30" ht="19.5" thickBot="1" x14ac:dyDescent="0.3">
      <c r="A5" s="14">
        <v>3</v>
      </c>
      <c r="B5" s="15">
        <v>6143</v>
      </c>
      <c r="C5" s="15" t="str">
        <f>VLOOKUP(B5,داتا!$B$3:$D$107,2,FALSE)</f>
        <v>تلتين</v>
      </c>
      <c r="D5" s="34">
        <f>VLOOKUP(B5,داتا!$B$3:$D$107,3,FALSE)</f>
        <v>3.125E-2</v>
      </c>
      <c r="E5" s="15" t="s">
        <v>34</v>
      </c>
      <c r="F5" s="15" t="s">
        <v>117</v>
      </c>
      <c r="G5" s="16">
        <v>0.25</v>
      </c>
      <c r="H5" s="16">
        <v>0.25</v>
      </c>
      <c r="I5" s="16">
        <f t="shared" si="0"/>
        <v>0</v>
      </c>
      <c r="J5" s="16">
        <v>0.22916666666666666</v>
      </c>
      <c r="K5" s="16">
        <v>0.25347222222222221</v>
      </c>
      <c r="L5" s="16" t="s">
        <v>216</v>
      </c>
      <c r="M5" s="16" t="s">
        <v>216</v>
      </c>
      <c r="N5" s="16">
        <f t="shared" si="2"/>
        <v>2.4305555555555552E-2</v>
      </c>
      <c r="O5" s="16">
        <v>0</v>
      </c>
      <c r="P5" s="16">
        <v>6.9444444444444397E-3</v>
      </c>
      <c r="Q5" s="16">
        <v>0.25694444444444448</v>
      </c>
      <c r="R5" s="16">
        <v>0</v>
      </c>
      <c r="S5" s="16">
        <v>0.2590277777777778</v>
      </c>
      <c r="T5" s="16">
        <f>VLOOKUP(E5,'[2]21-3-2026'!E$3:T$35,16,FALSE)</f>
        <v>1.0416666666666701E-2</v>
      </c>
      <c r="U5" s="16">
        <v>0.27083333333333331</v>
      </c>
      <c r="V5" s="16">
        <f t="shared" si="3"/>
        <v>1.3888888888888284E-3</v>
      </c>
      <c r="W5" s="16">
        <v>4.1666666666666664E-2</v>
      </c>
      <c r="X5" s="16">
        <v>0.34375</v>
      </c>
      <c r="Y5" s="16">
        <v>0.3840277777777778</v>
      </c>
      <c r="Z5" s="16">
        <f t="shared" si="4"/>
        <v>4.0277777777777801E-2</v>
      </c>
      <c r="AA5" s="16">
        <v>0</v>
      </c>
      <c r="AB5" s="16">
        <v>0.38541666666666669</v>
      </c>
      <c r="AC5" s="39"/>
      <c r="AD5" s="56"/>
    </row>
    <row r="6" spans="1:30" ht="19.5" thickBot="1" x14ac:dyDescent="0.3">
      <c r="A6" s="14">
        <v>4</v>
      </c>
      <c r="B6" s="15">
        <v>745</v>
      </c>
      <c r="C6" s="15" t="str">
        <f>VLOOKUP(B6,داتا!$B$3:$D$107,2,FALSE)</f>
        <v>دبابة</v>
      </c>
      <c r="D6" s="34">
        <f>VLOOKUP(B6,داتا!$B$3:$D$107,3,FALSE)</f>
        <v>2.0833333333333301E-2</v>
      </c>
      <c r="E6" s="15" t="s">
        <v>98</v>
      </c>
      <c r="F6" s="15" t="s">
        <v>99</v>
      </c>
      <c r="G6" s="16">
        <v>0.25</v>
      </c>
      <c r="H6" s="16">
        <v>0.25</v>
      </c>
      <c r="I6" s="16">
        <f t="shared" si="0"/>
        <v>0</v>
      </c>
      <c r="J6" s="16">
        <v>0.25694444444444448</v>
      </c>
      <c r="K6" s="16">
        <v>0.28472222222222221</v>
      </c>
      <c r="L6" s="16" t="s">
        <v>216</v>
      </c>
      <c r="M6" s="16" t="s">
        <v>216</v>
      </c>
      <c r="N6" s="16">
        <f t="shared" si="2"/>
        <v>2.7777777777777735E-2</v>
      </c>
      <c r="O6" s="16">
        <f t="shared" ref="O6:O68" si="5">N6-D6</f>
        <v>6.9444444444444337E-3</v>
      </c>
      <c r="P6" s="16">
        <v>6.9444444444444397E-3</v>
      </c>
      <c r="Q6" s="16">
        <v>0.28819444444444448</v>
      </c>
      <c r="R6" s="16">
        <v>0</v>
      </c>
      <c r="S6" s="16">
        <v>0.28472222222222221</v>
      </c>
      <c r="T6" s="16">
        <f>VLOOKUP(E6,'[2]21-3-2026'!E$3:T$35,16,FALSE)</f>
        <v>4.8611111111111103E-3</v>
      </c>
      <c r="U6" s="16">
        <v>0.2986111111111111</v>
      </c>
      <c r="V6" s="16">
        <f t="shared" si="3"/>
        <v>9.0277777777778012E-3</v>
      </c>
      <c r="W6" s="16">
        <v>2.0833333333333332E-2</v>
      </c>
      <c r="X6" s="16">
        <v>0.33333333333333331</v>
      </c>
      <c r="Y6" s="16">
        <v>0.35694444444444445</v>
      </c>
      <c r="Z6" s="16">
        <f t="shared" si="4"/>
        <v>2.3611111111111138E-2</v>
      </c>
      <c r="AA6" s="16">
        <f t="shared" si="1"/>
        <v>2.7777777777778061E-3</v>
      </c>
      <c r="AB6" s="16">
        <v>0.3576388888888889</v>
      </c>
      <c r="AC6" s="39"/>
      <c r="AD6" s="56"/>
    </row>
    <row r="7" spans="1:30" ht="19.5" thickBot="1" x14ac:dyDescent="0.3">
      <c r="A7" s="14">
        <v>5</v>
      </c>
      <c r="B7" s="15">
        <v>745</v>
      </c>
      <c r="C7" s="15" t="str">
        <f>VLOOKUP(B7,داتا!$B$3:$D$107,2,FALSE)</f>
        <v>دبابة</v>
      </c>
      <c r="D7" s="34">
        <f>VLOOKUP(B7,داتا!$B$3:$D$107,3,FALSE)</f>
        <v>2.0833333333333301E-2</v>
      </c>
      <c r="E7" s="15" t="s">
        <v>86</v>
      </c>
      <c r="F7" s="15" t="s">
        <v>99</v>
      </c>
      <c r="G7" s="16">
        <v>0.25</v>
      </c>
      <c r="H7" s="16">
        <v>0.25</v>
      </c>
      <c r="I7" s="16">
        <f t="shared" si="0"/>
        <v>0</v>
      </c>
      <c r="J7" s="16">
        <v>0.25694444444444448</v>
      </c>
      <c r="K7" s="16">
        <v>0.28472222222222221</v>
      </c>
      <c r="L7" s="16" t="s">
        <v>216</v>
      </c>
      <c r="M7" s="16" t="s">
        <v>216</v>
      </c>
      <c r="N7" s="16">
        <f t="shared" si="2"/>
        <v>2.7777777777777735E-2</v>
      </c>
      <c r="O7" s="16">
        <f t="shared" si="5"/>
        <v>6.9444444444444337E-3</v>
      </c>
      <c r="P7" s="16">
        <v>6.9444444444444397E-3</v>
      </c>
      <c r="Q7" s="16">
        <v>0.28819444444444448</v>
      </c>
      <c r="R7" s="16">
        <v>0</v>
      </c>
      <c r="S7" s="16">
        <v>0.28472222222222221</v>
      </c>
      <c r="T7" s="16">
        <f>VLOOKUP(E7,'[2]21-3-2026'!E$3:T$35,16,FALSE)</f>
        <v>3.4722222222222199E-3</v>
      </c>
      <c r="U7" s="16">
        <v>0.37847222222222227</v>
      </c>
      <c r="V7" s="16">
        <v>1.7361111111111112E-2</v>
      </c>
      <c r="W7" s="16">
        <v>3.125E-2</v>
      </c>
      <c r="X7" s="16">
        <v>0.38194444444444442</v>
      </c>
      <c r="Y7" s="16">
        <v>0.40277777777777773</v>
      </c>
      <c r="Z7" s="16">
        <f t="shared" si="4"/>
        <v>2.0833333333333315E-2</v>
      </c>
      <c r="AA7" s="16">
        <v>0</v>
      </c>
      <c r="AB7" s="16">
        <v>0.40625</v>
      </c>
      <c r="AC7" s="39"/>
      <c r="AD7" s="56"/>
    </row>
    <row r="8" spans="1:30" ht="19.5" thickBot="1" x14ac:dyDescent="0.3">
      <c r="A8" s="14">
        <v>6</v>
      </c>
      <c r="B8" s="15">
        <v>796</v>
      </c>
      <c r="C8" s="15" t="str">
        <f>VLOOKUP(B8,داتا!$B$3:$D$107,2,FALSE)</f>
        <v>دبابة</v>
      </c>
      <c r="D8" s="34">
        <f>VLOOKUP(B8,داتا!$B$3:$D$107,3,FALSE)</f>
        <v>2.0833333333333301E-2</v>
      </c>
      <c r="E8" s="15" t="s">
        <v>86</v>
      </c>
      <c r="F8" s="15" t="s">
        <v>147</v>
      </c>
      <c r="G8" s="16">
        <v>0.25</v>
      </c>
      <c r="H8" s="16">
        <v>0.25</v>
      </c>
      <c r="I8" s="16">
        <f t="shared" si="0"/>
        <v>0</v>
      </c>
      <c r="J8" s="16">
        <v>0.28472222222222221</v>
      </c>
      <c r="K8" s="16">
        <v>0.2986111111111111</v>
      </c>
      <c r="L8" s="16" t="s">
        <v>216</v>
      </c>
      <c r="M8" s="16" t="s">
        <v>216</v>
      </c>
      <c r="N8" s="16">
        <f t="shared" si="2"/>
        <v>1.3888888888888895E-2</v>
      </c>
      <c r="O8" s="16">
        <v>0</v>
      </c>
      <c r="P8" s="16">
        <v>6.9444444444444397E-3</v>
      </c>
      <c r="Q8" s="16">
        <v>0.30208333333333331</v>
      </c>
      <c r="R8" s="16">
        <v>0</v>
      </c>
      <c r="S8" s="16">
        <v>0.30208333333333331</v>
      </c>
      <c r="T8" s="16">
        <f>VLOOKUP(E8,'[2]21-3-2026'!E$3:T$35,16,FALSE)</f>
        <v>3.4722222222222199E-3</v>
      </c>
      <c r="U8" s="16">
        <v>0.30902777777777779</v>
      </c>
      <c r="V8" s="16">
        <f t="shared" si="3"/>
        <v>3.4722222222222654E-3</v>
      </c>
      <c r="W8" s="16">
        <v>2.0833333333333332E-2</v>
      </c>
      <c r="X8" s="16">
        <v>0.3263888888888889</v>
      </c>
      <c r="Y8" s="16">
        <v>0.34375</v>
      </c>
      <c r="Z8" s="16">
        <f t="shared" si="4"/>
        <v>1.7361111111111105E-2</v>
      </c>
      <c r="AA8" s="16">
        <v>0</v>
      </c>
      <c r="AB8" s="16">
        <v>0.34722222222222227</v>
      </c>
      <c r="AC8" s="40"/>
      <c r="AD8" s="56"/>
    </row>
    <row r="9" spans="1:30" ht="19.5" thickBot="1" x14ac:dyDescent="0.3">
      <c r="A9" s="14">
        <v>7</v>
      </c>
      <c r="B9" s="15">
        <v>796</v>
      </c>
      <c r="C9" s="15" t="str">
        <f>VLOOKUP(B9,داتا!$B$3:$D$107,2,FALSE)</f>
        <v>دبابة</v>
      </c>
      <c r="D9" s="34">
        <f>VLOOKUP(B9,داتا!$B$3:$D$107,3,FALSE)</f>
        <v>2.0833333333333301E-2</v>
      </c>
      <c r="E9" s="15" t="s">
        <v>98</v>
      </c>
      <c r="F9" s="15" t="s">
        <v>147</v>
      </c>
      <c r="G9" s="16">
        <v>0.25</v>
      </c>
      <c r="H9" s="16">
        <v>0.25</v>
      </c>
      <c r="I9" s="16">
        <f t="shared" ref="I9" si="6">H9-G9</f>
        <v>0</v>
      </c>
      <c r="J9" s="16">
        <v>0.28472222222222221</v>
      </c>
      <c r="K9" s="16">
        <v>0.2986111111111111</v>
      </c>
      <c r="L9" s="16" t="s">
        <v>216</v>
      </c>
      <c r="M9" s="16" t="s">
        <v>216</v>
      </c>
      <c r="N9" s="16">
        <f t="shared" ref="N9" si="7">K9-J9</f>
        <v>1.3888888888888895E-2</v>
      </c>
      <c r="O9" s="16">
        <v>0</v>
      </c>
      <c r="P9" s="16">
        <v>6.9444444444444397E-3</v>
      </c>
      <c r="Q9" s="16">
        <v>0.30208333333333331</v>
      </c>
      <c r="R9" s="16">
        <v>0</v>
      </c>
      <c r="S9" s="16">
        <v>0.30208333333333331</v>
      </c>
      <c r="T9" s="16">
        <f>VLOOKUP(E9,'[2]21-3-2026'!E$3:T$35,16,FALSE)</f>
        <v>4.8611111111111103E-3</v>
      </c>
      <c r="U9" s="16">
        <v>0.35833333333333334</v>
      </c>
      <c r="V9" s="16">
        <v>6.9444444444444447E-4</v>
      </c>
      <c r="W9" s="16">
        <v>3.125E-2</v>
      </c>
      <c r="X9" s="16">
        <v>0.35902777777777778</v>
      </c>
      <c r="Y9" s="16">
        <v>0.37916666666666665</v>
      </c>
      <c r="Z9" s="16">
        <f t="shared" si="4"/>
        <v>2.0138888888888873E-2</v>
      </c>
      <c r="AA9" s="16">
        <v>0</v>
      </c>
      <c r="AB9" s="16">
        <v>0.38194444444444442</v>
      </c>
      <c r="AC9" s="39"/>
      <c r="AD9" s="56"/>
    </row>
    <row r="10" spans="1:30" ht="19.5" thickBot="1" x14ac:dyDescent="0.3">
      <c r="A10" s="14">
        <v>8</v>
      </c>
      <c r="B10" s="15">
        <v>3495</v>
      </c>
      <c r="C10" s="15" t="str">
        <f>VLOOKUP(B10,داتا!$B$3:$D$107,2,FALSE)</f>
        <v>تلتين</v>
      </c>
      <c r="D10" s="34">
        <f>VLOOKUP(B10,داتا!$B$3:$D$107,3,FALSE)</f>
        <v>3.125E-2</v>
      </c>
      <c r="E10" s="15" t="s">
        <v>38</v>
      </c>
      <c r="F10" s="15" t="s">
        <v>148</v>
      </c>
      <c r="G10" s="16">
        <v>0.25</v>
      </c>
      <c r="H10" s="16">
        <v>0.25</v>
      </c>
      <c r="I10" s="16">
        <f t="shared" si="0"/>
        <v>0</v>
      </c>
      <c r="J10" s="16">
        <v>0.19097222222222221</v>
      </c>
      <c r="K10" s="16">
        <v>0.20833333333333334</v>
      </c>
      <c r="L10" s="16" t="s">
        <v>166</v>
      </c>
      <c r="M10" s="16" t="s">
        <v>166</v>
      </c>
      <c r="N10" s="16">
        <f t="shared" si="2"/>
        <v>1.7361111111111133E-2</v>
      </c>
      <c r="O10" s="16">
        <v>0</v>
      </c>
      <c r="P10" s="16">
        <v>6.9444444444444397E-3</v>
      </c>
      <c r="Q10" s="16">
        <v>0.22569444444444445</v>
      </c>
      <c r="R10" s="16">
        <f t="shared" ref="R10:R68" si="8">Q10-P10-K10</f>
        <v>1.0416666666666657E-2</v>
      </c>
      <c r="S10" s="16">
        <v>0.25347222222222221</v>
      </c>
      <c r="T10" s="16">
        <f>VLOOKUP(E10,'[2]21-3-2026'!E$3:T$35,16,FALSE)</f>
        <v>1.0416666666666666E-2</v>
      </c>
      <c r="U10" s="16">
        <v>0.27777777777777779</v>
      </c>
      <c r="V10" s="16">
        <f t="shared" si="3"/>
        <v>1.3888888888888895E-2</v>
      </c>
      <c r="W10" s="16">
        <v>4.1666666666666664E-2</v>
      </c>
      <c r="X10" s="16">
        <v>0.28819444444444448</v>
      </c>
      <c r="Y10" s="16">
        <v>0.3298611111111111</v>
      </c>
      <c r="Z10" s="16">
        <f t="shared" si="4"/>
        <v>4.166666666666663E-2</v>
      </c>
      <c r="AA10" s="16">
        <v>0</v>
      </c>
      <c r="AB10" s="16">
        <v>0.33333333333333331</v>
      </c>
      <c r="AC10" s="39"/>
      <c r="AD10" s="56"/>
    </row>
    <row r="11" spans="1:30" ht="19.5" thickBot="1" x14ac:dyDescent="0.3">
      <c r="A11" s="14">
        <v>9</v>
      </c>
      <c r="B11" s="15">
        <v>4879</v>
      </c>
      <c r="C11" s="15" t="str">
        <f>VLOOKUP(B11,داتا!$B$3:$D$107,2,FALSE)</f>
        <v>دبابة</v>
      </c>
      <c r="D11" s="34">
        <f>VLOOKUP(B11,داتا!$B$3:$D$107,3,FALSE)</f>
        <v>2.0833333333333301E-2</v>
      </c>
      <c r="E11" s="16" t="s">
        <v>39</v>
      </c>
      <c r="F11" s="15" t="s">
        <v>80</v>
      </c>
      <c r="G11" s="16">
        <v>0.25</v>
      </c>
      <c r="H11" s="16">
        <v>0.25</v>
      </c>
      <c r="I11" s="16">
        <f t="shared" si="0"/>
        <v>0</v>
      </c>
      <c r="J11" s="16">
        <v>0.22222222222222221</v>
      </c>
      <c r="K11" s="16">
        <v>0.22916666666666666</v>
      </c>
      <c r="L11" s="16" t="s">
        <v>166</v>
      </c>
      <c r="M11" s="16" t="s">
        <v>166</v>
      </c>
      <c r="N11" s="16">
        <f t="shared" si="2"/>
        <v>6.9444444444444475E-3</v>
      </c>
      <c r="O11" s="16">
        <v>0</v>
      </c>
      <c r="P11" s="16">
        <v>6.9444444444444397E-3</v>
      </c>
      <c r="Q11" s="16">
        <v>0.23611111111111113</v>
      </c>
      <c r="R11" s="16">
        <f t="shared" si="8"/>
        <v>0</v>
      </c>
      <c r="S11" s="16">
        <v>0.25555555555555559</v>
      </c>
      <c r="T11" s="16">
        <f>VLOOKUP(E11,'[2]21-3-2026'!E$3:T$35,16,FALSE)</f>
        <v>1.7361111111111101E-2</v>
      </c>
      <c r="U11" s="16">
        <v>0.27430555555555552</v>
      </c>
      <c r="V11" s="16">
        <f t="shared" si="3"/>
        <v>1.3888888888888284E-3</v>
      </c>
      <c r="W11" s="16">
        <v>3.125E-2</v>
      </c>
      <c r="X11" s="16">
        <v>0.2951388888888889</v>
      </c>
      <c r="Y11" s="16">
        <v>0.3125</v>
      </c>
      <c r="Z11" s="16">
        <f t="shared" si="4"/>
        <v>1.7361111111111105E-2</v>
      </c>
      <c r="AA11" s="16">
        <v>0</v>
      </c>
      <c r="AB11" s="16">
        <v>0.31944444444444448</v>
      </c>
      <c r="AC11" s="39"/>
      <c r="AD11" s="56"/>
    </row>
    <row r="12" spans="1:30" ht="19.5" thickBot="1" x14ac:dyDescent="0.3">
      <c r="A12" s="14">
        <v>10</v>
      </c>
      <c r="B12" s="15">
        <v>1537</v>
      </c>
      <c r="C12" s="15" t="str">
        <f>VLOOKUP(B12,داتا!$B$3:$D$107,2,FALSE)</f>
        <v>تلتين</v>
      </c>
      <c r="D12" s="34">
        <f>VLOOKUP(B12,داتا!$B$3:$D$107,3,FALSE)</f>
        <v>3.125E-2</v>
      </c>
      <c r="E12" s="15" t="s">
        <v>73</v>
      </c>
      <c r="F12" s="15" t="s">
        <v>154</v>
      </c>
      <c r="G12" s="16">
        <v>0.25</v>
      </c>
      <c r="H12" s="16">
        <v>0.25</v>
      </c>
      <c r="I12" s="16">
        <f t="shared" si="0"/>
        <v>0</v>
      </c>
      <c r="J12" s="16">
        <v>0.23958333333333334</v>
      </c>
      <c r="K12" s="16">
        <v>0.27777777777777779</v>
      </c>
      <c r="L12" s="16" t="s">
        <v>166</v>
      </c>
      <c r="M12" s="16" t="s">
        <v>166</v>
      </c>
      <c r="N12" s="16">
        <f t="shared" si="2"/>
        <v>3.8194444444444448E-2</v>
      </c>
      <c r="O12" s="16">
        <f t="shared" si="5"/>
        <v>6.9444444444444475E-3</v>
      </c>
      <c r="P12" s="16">
        <v>6.9444444444444397E-3</v>
      </c>
      <c r="Q12" s="16">
        <v>0.29166666666666669</v>
      </c>
      <c r="R12" s="16">
        <f t="shared" si="8"/>
        <v>6.9444444444444753E-3</v>
      </c>
      <c r="S12" s="16">
        <v>0.28819444444444448</v>
      </c>
      <c r="T12" s="16">
        <f>VLOOKUP(E12,'[2]21-3-2026'!E$3:T$35,16,FALSE)</f>
        <v>3.4722222222222203E-2</v>
      </c>
      <c r="U12" s="16">
        <v>0.3263888888888889</v>
      </c>
      <c r="V12" s="16">
        <f t="shared" si="3"/>
        <v>3.4722222222222099E-3</v>
      </c>
      <c r="W12" s="16">
        <v>4.1666666666666664E-2</v>
      </c>
      <c r="X12" s="16">
        <v>0.33680555555555558</v>
      </c>
      <c r="Y12" s="16">
        <v>0.37152777777777773</v>
      </c>
      <c r="Z12" s="16">
        <f t="shared" si="4"/>
        <v>3.4722222222222154E-2</v>
      </c>
      <c r="AA12" s="16">
        <v>0</v>
      </c>
      <c r="AB12" s="16">
        <v>0.38541666666666669</v>
      </c>
      <c r="AC12" s="39"/>
      <c r="AD12" s="56"/>
    </row>
    <row r="13" spans="1:30" ht="19.5" thickBot="1" x14ac:dyDescent="0.3">
      <c r="A13" s="14">
        <v>11</v>
      </c>
      <c r="B13" s="15">
        <v>634</v>
      </c>
      <c r="C13" s="15" t="str">
        <f>VLOOKUP(B13,داتا!$B$3:$D$107,2,FALSE)</f>
        <v>دبابة</v>
      </c>
      <c r="D13" s="34">
        <f>VLOOKUP(B13,داتا!$B$3:$D$107,3,FALSE)</f>
        <v>2.0833333333333301E-2</v>
      </c>
      <c r="E13" s="15" t="s">
        <v>35</v>
      </c>
      <c r="F13" s="15" t="s">
        <v>169</v>
      </c>
      <c r="G13" s="16">
        <v>0.25</v>
      </c>
      <c r="H13" s="16">
        <v>0.25</v>
      </c>
      <c r="I13" s="16">
        <f t="shared" si="0"/>
        <v>0</v>
      </c>
      <c r="J13" s="16">
        <v>0.28819444444444448</v>
      </c>
      <c r="K13" s="16">
        <v>0.2986111111111111</v>
      </c>
      <c r="L13" s="16" t="s">
        <v>166</v>
      </c>
      <c r="M13" s="16" t="s">
        <v>166</v>
      </c>
      <c r="N13" s="16">
        <f t="shared" si="2"/>
        <v>1.041666666666663E-2</v>
      </c>
      <c r="O13" s="16">
        <v>0</v>
      </c>
      <c r="P13" s="16">
        <v>6.9444444444444397E-3</v>
      </c>
      <c r="Q13" s="16">
        <v>0.30555555555555552</v>
      </c>
      <c r="R13" s="16">
        <f t="shared" si="8"/>
        <v>0</v>
      </c>
      <c r="S13" s="16">
        <v>0.30208333333333331</v>
      </c>
      <c r="T13" s="16">
        <f>VLOOKUP(E13,'[2]21-3-2026'!E$3:T$35,16,FALSE)</f>
        <v>3.4722222222222203E-2</v>
      </c>
      <c r="U13" s="16">
        <v>0.37152777777777773</v>
      </c>
      <c r="V13" s="16">
        <f t="shared" si="3"/>
        <v>3.472222222222221E-2</v>
      </c>
      <c r="W13" s="16">
        <v>3.125E-2</v>
      </c>
      <c r="X13" s="16">
        <v>0.375</v>
      </c>
      <c r="Y13" s="16">
        <v>0.39930555555555558</v>
      </c>
      <c r="Z13" s="16">
        <f t="shared" si="4"/>
        <v>2.430555555555558E-2</v>
      </c>
      <c r="AA13" s="16">
        <v>0</v>
      </c>
      <c r="AB13" s="16">
        <v>0.40277777777777773</v>
      </c>
      <c r="AC13" s="40"/>
      <c r="AD13" s="56"/>
    </row>
    <row r="14" spans="1:30" ht="19.5" thickBot="1" x14ac:dyDescent="0.3">
      <c r="A14" s="14">
        <v>12</v>
      </c>
      <c r="B14" s="15">
        <v>2695</v>
      </c>
      <c r="C14" s="15" t="str">
        <f>VLOOKUP(B14,داتا!$B$3:$D$107,2,FALSE)</f>
        <v>تلتين</v>
      </c>
      <c r="D14" s="34">
        <f>VLOOKUP(B14,داتا!$B$3:$D$107,3,FALSE)</f>
        <v>3.125E-2</v>
      </c>
      <c r="E14" s="15" t="s">
        <v>57</v>
      </c>
      <c r="F14" s="15" t="s">
        <v>31</v>
      </c>
      <c r="G14" s="16">
        <v>0.25</v>
      </c>
      <c r="H14" s="16">
        <v>0.25</v>
      </c>
      <c r="I14" s="16">
        <f t="shared" si="0"/>
        <v>0</v>
      </c>
      <c r="J14" s="16">
        <v>0.19444444444444445</v>
      </c>
      <c r="K14" s="16">
        <v>0.23263888888888887</v>
      </c>
      <c r="L14" s="16" t="s">
        <v>237</v>
      </c>
      <c r="M14" s="16" t="s">
        <v>237</v>
      </c>
      <c r="N14" s="16">
        <f t="shared" si="2"/>
        <v>3.819444444444442E-2</v>
      </c>
      <c r="O14" s="16">
        <f t="shared" si="5"/>
        <v>6.9444444444444198E-3</v>
      </c>
      <c r="P14" s="16">
        <v>6.9444444444444397E-3</v>
      </c>
      <c r="Q14" s="16">
        <v>0.24305555555555555</v>
      </c>
      <c r="R14" s="16">
        <f t="shared" si="8"/>
        <v>3.4722222222222376E-3</v>
      </c>
      <c r="S14" s="16">
        <v>0.25347222222222221</v>
      </c>
      <c r="T14" s="16">
        <f>VLOOKUP(E14,'[2]21-3-2026'!E$3:T$35,16,FALSE)</f>
        <v>1.7361111111111101E-2</v>
      </c>
      <c r="U14" s="16">
        <v>0.2722222222222222</v>
      </c>
      <c r="V14" s="16">
        <f t="shared" si="3"/>
        <v>1.388888888888884E-3</v>
      </c>
      <c r="W14" s="16">
        <v>3.125E-2</v>
      </c>
      <c r="X14" s="16">
        <v>0.28680555555555554</v>
      </c>
      <c r="Y14" s="16">
        <v>0.31944444444444448</v>
      </c>
      <c r="Z14" s="16">
        <f t="shared" si="4"/>
        <v>3.2638888888888939E-2</v>
      </c>
      <c r="AA14" s="16">
        <f t="shared" si="1"/>
        <v>1.3888888888889395E-3</v>
      </c>
      <c r="AB14" s="16">
        <v>0.32291666666666669</v>
      </c>
      <c r="AC14" s="39"/>
      <c r="AD14" s="56"/>
    </row>
    <row r="15" spans="1:30" ht="19.5" thickBot="1" x14ac:dyDescent="0.3">
      <c r="A15" s="14">
        <v>13</v>
      </c>
      <c r="B15" s="15">
        <v>2695</v>
      </c>
      <c r="C15" s="15" t="str">
        <f>VLOOKUP(B15,داتا!$B$3:$D$107,2,FALSE)</f>
        <v>تلتين</v>
      </c>
      <c r="D15" s="34">
        <f>VLOOKUP(B15,داتا!$B$3:$D$107,3,FALSE)</f>
        <v>3.125E-2</v>
      </c>
      <c r="E15" s="15" t="s">
        <v>60</v>
      </c>
      <c r="F15" s="15" t="s">
        <v>31</v>
      </c>
      <c r="G15" s="16">
        <v>0.25</v>
      </c>
      <c r="H15" s="16">
        <v>0.25</v>
      </c>
      <c r="I15" s="16">
        <f t="shared" ref="I15" si="9">H15-G15</f>
        <v>0</v>
      </c>
      <c r="J15" s="16">
        <v>0.19444444444444445</v>
      </c>
      <c r="K15" s="16">
        <v>0.23263888888888887</v>
      </c>
      <c r="L15" s="16" t="s">
        <v>237</v>
      </c>
      <c r="M15" s="16" t="s">
        <v>237</v>
      </c>
      <c r="N15" s="16">
        <f t="shared" ref="N15" si="10">K15-J15</f>
        <v>3.819444444444442E-2</v>
      </c>
      <c r="O15" s="16">
        <f t="shared" ref="O15" si="11">N15-D15</f>
        <v>6.9444444444444198E-3</v>
      </c>
      <c r="P15" s="16">
        <v>6.9444444444444397E-3</v>
      </c>
      <c r="Q15" s="16">
        <v>0.24305555555555555</v>
      </c>
      <c r="R15" s="16">
        <f t="shared" ref="R15" si="12">Q15-P15-K15</f>
        <v>3.4722222222222376E-3</v>
      </c>
      <c r="S15" s="16">
        <v>0.25347222222222221</v>
      </c>
      <c r="T15" s="16">
        <f>VLOOKUP(E15,'[2]21-3-2026'!E$3:T$35,16,FALSE)</f>
        <v>1.0416666666666701E-2</v>
      </c>
      <c r="U15" s="16">
        <v>0.3347222222222222</v>
      </c>
      <c r="V15" s="16">
        <v>0</v>
      </c>
      <c r="W15" s="16">
        <v>4.1666666666666664E-2</v>
      </c>
      <c r="X15" s="16">
        <v>0.33680555555555558</v>
      </c>
      <c r="Y15" s="16">
        <v>0.3611111111111111</v>
      </c>
      <c r="Z15" s="16">
        <f t="shared" si="4"/>
        <v>2.4305555555555525E-2</v>
      </c>
      <c r="AA15" s="16">
        <v>0</v>
      </c>
      <c r="AB15" s="16">
        <v>0.36458333333333331</v>
      </c>
      <c r="AC15" s="39"/>
      <c r="AD15" s="56"/>
    </row>
    <row r="16" spans="1:30" ht="19.5" thickBot="1" x14ac:dyDescent="0.3">
      <c r="A16" s="14">
        <v>14</v>
      </c>
      <c r="B16" s="15">
        <v>7464</v>
      </c>
      <c r="C16" s="15" t="str">
        <f>VLOOKUP(B16,داتا!$B$3:$D$107,2,FALSE)</f>
        <v>تلتين</v>
      </c>
      <c r="D16" s="34">
        <f>VLOOKUP(B16,داتا!$B$3:$D$107,3,FALSE)</f>
        <v>3.125E-2</v>
      </c>
      <c r="E16" s="15" t="s">
        <v>61</v>
      </c>
      <c r="F16" s="15" t="s">
        <v>47</v>
      </c>
      <c r="G16" s="16">
        <v>0.25</v>
      </c>
      <c r="H16" s="16">
        <v>0.25</v>
      </c>
      <c r="I16" s="16">
        <f t="shared" si="0"/>
        <v>0</v>
      </c>
      <c r="J16" s="16">
        <v>0.23611111111111113</v>
      </c>
      <c r="K16" s="16">
        <v>0.27083333333333331</v>
      </c>
      <c r="L16" s="16" t="s">
        <v>237</v>
      </c>
      <c r="M16" s="16" t="s">
        <v>237</v>
      </c>
      <c r="N16" s="16">
        <f t="shared" si="2"/>
        <v>3.4722222222222182E-2</v>
      </c>
      <c r="O16" s="16">
        <f t="shared" si="5"/>
        <v>3.4722222222221821E-3</v>
      </c>
      <c r="P16" s="16">
        <v>6.9444444444444397E-3</v>
      </c>
      <c r="Q16" s="16">
        <v>0.28125</v>
      </c>
      <c r="R16" s="16">
        <f t="shared" si="8"/>
        <v>3.4722222222222654E-3</v>
      </c>
      <c r="S16" s="16">
        <v>0.27777777777777779</v>
      </c>
      <c r="T16" s="16">
        <f>VLOOKUP(E16,'[2]21-3-2026'!E$3:T$35,16,FALSE)</f>
        <v>3.4722222222222203E-2</v>
      </c>
      <c r="U16" s="16">
        <v>0.33124999999999999</v>
      </c>
      <c r="V16" s="16">
        <f t="shared" si="3"/>
        <v>1.8749999999999989E-2</v>
      </c>
      <c r="W16" s="16">
        <v>3.125E-2</v>
      </c>
      <c r="X16" s="16">
        <v>0.33333333333333331</v>
      </c>
      <c r="Y16" s="16">
        <v>0.36458333333333331</v>
      </c>
      <c r="Z16" s="16">
        <f t="shared" si="4"/>
        <v>3.125E-2</v>
      </c>
      <c r="AA16" s="16">
        <v>0</v>
      </c>
      <c r="AB16" s="16">
        <v>0.3659722222222222</v>
      </c>
      <c r="AC16" s="39"/>
      <c r="AD16" s="56"/>
    </row>
    <row r="17" spans="1:30" ht="19.5" thickBot="1" x14ac:dyDescent="0.3">
      <c r="A17" s="14">
        <v>15</v>
      </c>
      <c r="B17" s="15">
        <v>7464</v>
      </c>
      <c r="C17" s="15" t="str">
        <f>VLOOKUP(B17,داتا!$B$3:$D$107,2,FALSE)</f>
        <v>تلتين</v>
      </c>
      <c r="D17" s="34">
        <f>VLOOKUP(B17,داتا!$B$3:$D$107,3,FALSE)</f>
        <v>3.125E-2</v>
      </c>
      <c r="E17" s="15" t="s">
        <v>55</v>
      </c>
      <c r="F17" s="15" t="s">
        <v>47</v>
      </c>
      <c r="G17" s="16">
        <v>0.25</v>
      </c>
      <c r="H17" s="16">
        <v>0.25</v>
      </c>
      <c r="I17" s="16">
        <f t="shared" si="0"/>
        <v>0</v>
      </c>
      <c r="J17" s="16">
        <v>0.23611111111111113</v>
      </c>
      <c r="K17" s="16">
        <v>0.27083333333333331</v>
      </c>
      <c r="L17" s="16" t="s">
        <v>237</v>
      </c>
      <c r="M17" s="16" t="s">
        <v>237</v>
      </c>
      <c r="N17" s="16">
        <f t="shared" si="2"/>
        <v>3.4722222222222182E-2</v>
      </c>
      <c r="O17" s="16">
        <f t="shared" si="5"/>
        <v>3.4722222222221821E-3</v>
      </c>
      <c r="P17" s="16">
        <v>6.9444444444444397E-3</v>
      </c>
      <c r="Q17" s="16">
        <v>0.28125</v>
      </c>
      <c r="R17" s="16">
        <f t="shared" si="8"/>
        <v>3.4722222222222654E-3</v>
      </c>
      <c r="S17" s="16">
        <v>0.27777777777777779</v>
      </c>
      <c r="T17" s="16">
        <f>VLOOKUP(E17,'[2]21-3-2026'!E$3:T$35,16,FALSE)</f>
        <v>3.8194444444444399E-2</v>
      </c>
      <c r="U17" s="16">
        <v>0.37847222222222227</v>
      </c>
      <c r="V17" s="16">
        <v>4.8611111111111112E-3</v>
      </c>
      <c r="W17" s="16">
        <v>4.1666666666666664E-2</v>
      </c>
      <c r="X17" s="16">
        <v>0.38194444444444442</v>
      </c>
      <c r="Y17" s="16">
        <v>0.40972222222222227</v>
      </c>
      <c r="Z17" s="16">
        <f t="shared" si="4"/>
        <v>2.7777777777777846E-2</v>
      </c>
      <c r="AA17" s="16">
        <v>0</v>
      </c>
      <c r="AB17" s="16">
        <v>0.41319444444444442</v>
      </c>
      <c r="AC17" s="39"/>
      <c r="AD17" s="56"/>
    </row>
    <row r="18" spans="1:30" ht="19.5" thickBot="1" x14ac:dyDescent="0.3">
      <c r="A18" s="14">
        <v>16</v>
      </c>
      <c r="B18" s="15">
        <v>459</v>
      </c>
      <c r="C18" s="15" t="str">
        <f>VLOOKUP(B18,داتا!$B$3:$D$107,2,FALSE)</f>
        <v>دبابة</v>
      </c>
      <c r="D18" s="34">
        <f>VLOOKUP(B18,داتا!$B$3:$D$107,3,FALSE)</f>
        <v>2.0833333333333301E-2</v>
      </c>
      <c r="E18" s="15" t="s">
        <v>79</v>
      </c>
      <c r="F18" s="15" t="s">
        <v>156</v>
      </c>
      <c r="G18" s="16">
        <v>0.25</v>
      </c>
      <c r="H18" s="16">
        <v>0.25</v>
      </c>
      <c r="I18" s="16">
        <f t="shared" si="0"/>
        <v>0</v>
      </c>
      <c r="J18" s="16">
        <v>0.27430555555555552</v>
      </c>
      <c r="K18" s="16">
        <v>0.30208333333333331</v>
      </c>
      <c r="L18" s="16" t="s">
        <v>237</v>
      </c>
      <c r="M18" s="16" t="s">
        <v>237</v>
      </c>
      <c r="N18" s="16">
        <f t="shared" si="2"/>
        <v>2.777777777777779E-2</v>
      </c>
      <c r="O18" s="16">
        <f t="shared" si="5"/>
        <v>6.9444444444444892E-3</v>
      </c>
      <c r="P18" s="16">
        <v>6.9444444444444397E-3</v>
      </c>
      <c r="Q18" s="16">
        <v>0.2986111111111111</v>
      </c>
      <c r="R18" s="16">
        <v>0</v>
      </c>
      <c r="S18" s="16">
        <v>0.30902777777777779</v>
      </c>
      <c r="T18" s="16">
        <f>VLOOKUP(E18,'[2]21-3-2026'!E$3:T$35,16,FALSE)</f>
        <v>2.0833333333333301E-2</v>
      </c>
      <c r="U18" s="16">
        <v>0.33333333333333331</v>
      </c>
      <c r="V18" s="16">
        <f t="shared" si="3"/>
        <v>3.4722222222222099E-3</v>
      </c>
      <c r="W18" s="16">
        <v>3.125E-2</v>
      </c>
      <c r="X18" s="16">
        <v>0.33680555555555558</v>
      </c>
      <c r="Y18" s="16">
        <v>0.36458333333333331</v>
      </c>
      <c r="Z18" s="16">
        <f t="shared" si="4"/>
        <v>2.7777777777777735E-2</v>
      </c>
      <c r="AA18" s="16">
        <v>0</v>
      </c>
      <c r="AB18" s="16">
        <v>0.36805555555555558</v>
      </c>
      <c r="AC18" s="39"/>
      <c r="AD18" s="56"/>
    </row>
    <row r="19" spans="1:30" ht="19.5" thickBot="1" x14ac:dyDescent="0.3">
      <c r="A19" s="14">
        <v>17</v>
      </c>
      <c r="B19" s="15">
        <v>1538</v>
      </c>
      <c r="C19" s="15" t="str">
        <f>VLOOKUP(B19,داتا!$B$3:$D$107,2,FALSE)</f>
        <v>تلتين</v>
      </c>
      <c r="D19" s="34">
        <f>VLOOKUP(B19,داتا!$B$3:$D$107,3,FALSE)</f>
        <v>3.125E-2</v>
      </c>
      <c r="E19" s="15" t="s">
        <v>45</v>
      </c>
      <c r="F19" s="15" t="s">
        <v>62</v>
      </c>
      <c r="G19" s="16">
        <v>0.25</v>
      </c>
      <c r="H19" s="16">
        <v>0.25</v>
      </c>
      <c r="I19" s="16">
        <f t="shared" si="0"/>
        <v>0</v>
      </c>
      <c r="J19" s="16">
        <v>0.19791666666666666</v>
      </c>
      <c r="K19" s="16">
        <v>0.22916666666666666</v>
      </c>
      <c r="L19" s="16" t="s">
        <v>144</v>
      </c>
      <c r="M19" s="16" t="s">
        <v>144</v>
      </c>
      <c r="N19" s="16">
        <f t="shared" si="2"/>
        <v>3.125E-2</v>
      </c>
      <c r="O19" s="16">
        <f t="shared" si="5"/>
        <v>0</v>
      </c>
      <c r="P19" s="16">
        <v>6.9444444444444397E-3</v>
      </c>
      <c r="Q19" s="16">
        <v>0.24305555555555555</v>
      </c>
      <c r="R19" s="16">
        <f t="shared" si="8"/>
        <v>6.9444444444444475E-3</v>
      </c>
      <c r="S19" s="16">
        <v>0.25833333333333336</v>
      </c>
      <c r="T19" s="16">
        <f>VLOOKUP(E19,'[2]21-3-2026'!E$3:T$35,16,FALSE)</f>
        <v>1.38888888888889E-2</v>
      </c>
      <c r="U19" s="16">
        <v>0.28125</v>
      </c>
      <c r="V19" s="16">
        <f t="shared" si="3"/>
        <v>9.0277777777777457E-3</v>
      </c>
      <c r="W19" s="16">
        <v>4.1666666666666664E-2</v>
      </c>
      <c r="X19" s="16">
        <v>0.2951388888888889</v>
      </c>
      <c r="Y19" s="16">
        <v>0.3263888888888889</v>
      </c>
      <c r="Z19" s="16">
        <f t="shared" si="4"/>
        <v>3.125E-2</v>
      </c>
      <c r="AA19" s="16">
        <v>0</v>
      </c>
      <c r="AB19" s="16">
        <v>0.33333333333333331</v>
      </c>
      <c r="AC19" s="39"/>
      <c r="AD19" s="56"/>
    </row>
    <row r="20" spans="1:30" ht="19.5" thickBot="1" x14ac:dyDescent="0.3">
      <c r="A20" s="14">
        <v>18</v>
      </c>
      <c r="B20" s="15">
        <v>1451</v>
      </c>
      <c r="C20" s="15" t="str">
        <f>VLOOKUP(B20,داتا!$B$3:$D$107,2,FALSE)</f>
        <v>تلتين</v>
      </c>
      <c r="D20" s="34">
        <f>VLOOKUP(B20,داتا!$B$3:$D$107,3,FALSE)</f>
        <v>3.125E-2</v>
      </c>
      <c r="E20" s="15" t="s">
        <v>70</v>
      </c>
      <c r="F20" s="15" t="s">
        <v>153</v>
      </c>
      <c r="G20" s="16">
        <v>0.25</v>
      </c>
      <c r="H20" s="16">
        <v>0.25</v>
      </c>
      <c r="I20" s="16">
        <f t="shared" si="0"/>
        <v>0</v>
      </c>
      <c r="J20" s="16">
        <v>0.23263888888888887</v>
      </c>
      <c r="K20" s="16">
        <v>0.25694444444444448</v>
      </c>
      <c r="L20" s="16" t="s">
        <v>144</v>
      </c>
      <c r="M20" s="16" t="s">
        <v>144</v>
      </c>
      <c r="N20" s="16">
        <f t="shared" si="2"/>
        <v>2.4305555555555608E-2</v>
      </c>
      <c r="O20" s="16">
        <v>0</v>
      </c>
      <c r="P20" s="16">
        <v>6.9444444444444397E-3</v>
      </c>
      <c r="Q20" s="16">
        <v>0.27777777777777779</v>
      </c>
      <c r="R20" s="16">
        <f t="shared" si="8"/>
        <v>1.3888888888888895E-2</v>
      </c>
      <c r="S20" s="16">
        <v>0.27569444444444446</v>
      </c>
      <c r="T20" s="16">
        <f>VLOOKUP(E20,'[2]21-3-2026'!E$3:T$35,16,FALSE)</f>
        <v>1.0416666666666701E-2</v>
      </c>
      <c r="U20" s="16">
        <v>0.29166666666666669</v>
      </c>
      <c r="V20" s="16">
        <f t="shared" si="3"/>
        <v>5.5555555555555358E-3</v>
      </c>
      <c r="W20" s="16">
        <v>3.125E-2</v>
      </c>
      <c r="X20" s="16">
        <v>0.3</v>
      </c>
      <c r="Y20" s="16">
        <v>0.32222222222222224</v>
      </c>
      <c r="Z20" s="16">
        <f t="shared" si="4"/>
        <v>2.2222222222222254E-2</v>
      </c>
      <c r="AA20" s="16">
        <v>0</v>
      </c>
      <c r="AB20" s="16">
        <v>0.3263888888888889</v>
      </c>
      <c r="AC20" s="39"/>
      <c r="AD20" s="56"/>
    </row>
    <row r="21" spans="1:30" ht="19.5" thickBot="1" x14ac:dyDescent="0.3">
      <c r="A21" s="14">
        <v>19</v>
      </c>
      <c r="B21" s="15">
        <v>1451</v>
      </c>
      <c r="C21" s="15" t="str">
        <f>VLOOKUP(B21,داتا!$B$3:$D$107,2,FALSE)</f>
        <v>تلتين</v>
      </c>
      <c r="D21" s="34">
        <f>VLOOKUP(B21,داتا!$B$3:$D$107,3,FALSE)</f>
        <v>3.125E-2</v>
      </c>
      <c r="E21" s="15" t="s">
        <v>72</v>
      </c>
      <c r="F21" s="15" t="s">
        <v>153</v>
      </c>
      <c r="G21" s="16">
        <v>0.25</v>
      </c>
      <c r="H21" s="16">
        <v>0.25</v>
      </c>
      <c r="I21" s="16">
        <f t="shared" ref="I21" si="13">H21-G21</f>
        <v>0</v>
      </c>
      <c r="J21" s="16">
        <v>0.23263888888888887</v>
      </c>
      <c r="K21" s="16">
        <v>0.25694444444444448</v>
      </c>
      <c r="L21" s="16" t="s">
        <v>144</v>
      </c>
      <c r="M21" s="16" t="s">
        <v>144</v>
      </c>
      <c r="N21" s="16">
        <f t="shared" ref="N21" si="14">K21-J21</f>
        <v>2.4305555555555608E-2</v>
      </c>
      <c r="O21" s="16">
        <v>0</v>
      </c>
      <c r="P21" s="16">
        <v>6.9444444444444397E-3</v>
      </c>
      <c r="Q21" s="16">
        <v>0.27777777777777779</v>
      </c>
      <c r="R21" s="16">
        <f t="shared" ref="R21" si="15">Q21-P21-K21</f>
        <v>1.3888888888888895E-2</v>
      </c>
      <c r="S21" s="16">
        <v>0.27569444444444446</v>
      </c>
      <c r="T21" s="16">
        <f>VLOOKUP(E21,'[2]21-3-2026'!E$3:T$35,16,FALSE)</f>
        <v>1.0416666666666701E-2</v>
      </c>
      <c r="U21" s="16">
        <v>0.35069444444444442</v>
      </c>
      <c r="V21" s="16">
        <v>1.3888888888888888E-2</v>
      </c>
      <c r="W21" s="16">
        <v>4.1666666666666664E-2</v>
      </c>
      <c r="X21" s="16">
        <v>0.35416666666666669</v>
      </c>
      <c r="Y21" s="16">
        <v>0.37638888888888888</v>
      </c>
      <c r="Z21" s="16">
        <f t="shared" si="4"/>
        <v>2.2222222222222199E-2</v>
      </c>
      <c r="AA21" s="16">
        <v>0</v>
      </c>
      <c r="AB21" s="16">
        <v>0.37847222222222227</v>
      </c>
      <c r="AC21" s="39"/>
      <c r="AD21" s="56"/>
    </row>
    <row r="22" spans="1:30" ht="19.5" thickBot="1" x14ac:dyDescent="0.3">
      <c r="A22" s="14">
        <v>20</v>
      </c>
      <c r="B22" s="15">
        <v>4987</v>
      </c>
      <c r="C22" s="15" t="str">
        <f>VLOOKUP(B22,داتا!$B$3:$D$107,2,FALSE)</f>
        <v>تلتين</v>
      </c>
      <c r="D22" s="34">
        <f>VLOOKUP(B22,داتا!$B$3:$D$107,3,FALSE)</f>
        <v>3.125E-2</v>
      </c>
      <c r="E22" s="15" t="s">
        <v>42</v>
      </c>
      <c r="F22" s="15" t="s">
        <v>71</v>
      </c>
      <c r="G22" s="16">
        <v>0.25</v>
      </c>
      <c r="H22" s="16">
        <v>0.26041666666666669</v>
      </c>
      <c r="I22" s="16">
        <f t="shared" si="0"/>
        <v>1.0416666666666685E-2</v>
      </c>
      <c r="J22" s="16">
        <v>0.26041666666666669</v>
      </c>
      <c r="K22" s="16">
        <v>0.28125</v>
      </c>
      <c r="L22" s="16" t="s">
        <v>144</v>
      </c>
      <c r="M22" s="16" t="s">
        <v>144</v>
      </c>
      <c r="N22" s="16">
        <f t="shared" si="2"/>
        <v>2.0833333333333315E-2</v>
      </c>
      <c r="O22" s="16">
        <v>0</v>
      </c>
      <c r="P22" s="16">
        <v>6.9444444444444397E-3</v>
      </c>
      <c r="Q22" s="16">
        <v>0.30555555555555552</v>
      </c>
      <c r="R22" s="16">
        <f t="shared" si="8"/>
        <v>1.7361111111111105E-2</v>
      </c>
      <c r="S22" s="16">
        <v>0.2986111111111111</v>
      </c>
      <c r="T22" s="16">
        <f>VLOOKUP(E22,'[2]21-3-2026'!E$3:T$35,16,FALSE)</f>
        <v>1.7361111111111101E-2</v>
      </c>
      <c r="U22" s="16">
        <v>0.3125</v>
      </c>
      <c r="V22" s="16">
        <v>0</v>
      </c>
      <c r="W22" s="16">
        <v>4.1666666666666664E-2</v>
      </c>
      <c r="X22" s="16">
        <v>0.34375</v>
      </c>
      <c r="Y22" s="16">
        <v>0.37152777777777773</v>
      </c>
      <c r="Z22" s="16">
        <f t="shared" si="4"/>
        <v>2.7777777777777735E-2</v>
      </c>
      <c r="AA22" s="16">
        <v>0</v>
      </c>
      <c r="AB22" s="16">
        <v>0.375</v>
      </c>
      <c r="AC22" s="39"/>
      <c r="AD22" s="56"/>
    </row>
    <row r="23" spans="1:30" ht="19.5" thickBot="1" x14ac:dyDescent="0.3">
      <c r="A23" s="14">
        <v>21</v>
      </c>
      <c r="B23" s="15">
        <v>9198</v>
      </c>
      <c r="C23" s="15" t="str">
        <f>VLOOKUP(B23,داتا!$B$3:$D$107,2,FALSE)</f>
        <v>دبابة</v>
      </c>
      <c r="D23" s="34">
        <f>VLOOKUP(B23,داتا!$B$3:$D$107,3,FALSE)</f>
        <v>2.0833333333333301E-2</v>
      </c>
      <c r="E23" s="15" t="s">
        <v>89</v>
      </c>
      <c r="F23" s="15" t="s">
        <v>106</v>
      </c>
      <c r="G23" s="16">
        <v>0.25</v>
      </c>
      <c r="H23" s="16">
        <v>0.27777777777777779</v>
      </c>
      <c r="I23" s="16">
        <f t="shared" si="0"/>
        <v>2.777777777777779E-2</v>
      </c>
      <c r="J23" s="16">
        <v>0.29166666666666669</v>
      </c>
      <c r="K23" s="16">
        <v>0.30555555555555552</v>
      </c>
      <c r="L23" s="16" t="s">
        <v>144</v>
      </c>
      <c r="M23" s="16" t="s">
        <v>144</v>
      </c>
      <c r="N23" s="16">
        <f t="shared" si="2"/>
        <v>1.388888888888884E-2</v>
      </c>
      <c r="O23" s="16">
        <v>0</v>
      </c>
      <c r="P23" s="16">
        <v>6.9444444444444397E-3</v>
      </c>
      <c r="Q23" s="16">
        <v>0.3125</v>
      </c>
      <c r="R23" s="16">
        <f t="shared" si="8"/>
        <v>0</v>
      </c>
      <c r="S23" s="16">
        <v>0.3125</v>
      </c>
      <c r="T23" s="16">
        <f>VLOOKUP(E23,'[2]21-3-2026'!E$3:T$35,16,FALSE)</f>
        <v>1.7361111111111101E-2</v>
      </c>
      <c r="U23" s="16">
        <v>0.3430555555555555</v>
      </c>
      <c r="V23" s="16">
        <f t="shared" si="3"/>
        <v>1.3194444444444398E-2</v>
      </c>
      <c r="W23" s="16">
        <v>3.125E-2</v>
      </c>
      <c r="X23" s="16">
        <v>0.34722222222222227</v>
      </c>
      <c r="Y23" s="16">
        <v>0.375</v>
      </c>
      <c r="Z23" s="16">
        <f t="shared" si="4"/>
        <v>2.7777777777777735E-2</v>
      </c>
      <c r="AA23" s="16">
        <v>0</v>
      </c>
      <c r="AB23" s="16">
        <v>0.37847222222222227</v>
      </c>
      <c r="AC23" s="39"/>
      <c r="AD23" s="56"/>
    </row>
    <row r="24" spans="1:30" ht="19.5" thickBot="1" x14ac:dyDescent="0.3">
      <c r="A24" s="14">
        <v>22</v>
      </c>
      <c r="B24" s="15">
        <v>6142</v>
      </c>
      <c r="C24" s="15" t="str">
        <f>VLOOKUP(B24,داتا!$B$3:$D$107,2,FALSE)</f>
        <v>تلتين</v>
      </c>
      <c r="D24" s="34">
        <f>VLOOKUP(B24,داتا!$B$3:$D$107,3,FALSE)</f>
        <v>3.125E-2</v>
      </c>
      <c r="E24" s="15" t="s">
        <v>46</v>
      </c>
      <c r="F24" s="15" t="s">
        <v>40</v>
      </c>
      <c r="G24" s="16">
        <v>0.25</v>
      </c>
      <c r="H24" s="16">
        <v>0.25</v>
      </c>
      <c r="I24" s="16">
        <f t="shared" si="0"/>
        <v>0</v>
      </c>
      <c r="J24" s="16">
        <v>0.1875</v>
      </c>
      <c r="K24" s="16">
        <v>0.20833333333333334</v>
      </c>
      <c r="L24" s="16" t="s">
        <v>139</v>
      </c>
      <c r="M24" s="16" t="s">
        <v>139</v>
      </c>
      <c r="N24" s="16">
        <f t="shared" si="2"/>
        <v>2.0833333333333343E-2</v>
      </c>
      <c r="O24" s="16">
        <v>0</v>
      </c>
      <c r="P24" s="16">
        <v>6.9444444444444397E-3</v>
      </c>
      <c r="Q24" s="16">
        <v>0.21527777777777779</v>
      </c>
      <c r="R24" s="16">
        <f t="shared" si="8"/>
        <v>0</v>
      </c>
      <c r="S24" s="16">
        <v>0.25347222222222221</v>
      </c>
      <c r="T24" s="16">
        <f>VLOOKUP(E24,'[2]21-3-2026'!E$3:T$35,16,FALSE)</f>
        <v>3.4722222222222203E-2</v>
      </c>
      <c r="U24" s="16">
        <v>0.27916666666666667</v>
      </c>
      <c r="V24" s="16">
        <v>0</v>
      </c>
      <c r="W24" s="16">
        <v>4.1666666666666664E-2</v>
      </c>
      <c r="X24" s="16">
        <v>0.29722222222222222</v>
      </c>
      <c r="Y24" s="16">
        <v>0.33124999999999999</v>
      </c>
      <c r="Z24" s="16">
        <f t="shared" si="4"/>
        <v>3.4027777777777768E-2</v>
      </c>
      <c r="AA24" s="16">
        <v>0</v>
      </c>
      <c r="AB24" s="16">
        <v>0.33680555555555558</v>
      </c>
      <c r="AC24" s="39"/>
      <c r="AD24" s="56"/>
    </row>
    <row r="25" spans="1:30" ht="19.5" thickBot="1" x14ac:dyDescent="0.3">
      <c r="A25" s="14">
        <v>23</v>
      </c>
      <c r="B25" s="15">
        <v>2694</v>
      </c>
      <c r="C25" s="15" t="str">
        <f>VLOOKUP(B25,داتا!$B$3:$D$107,2,FALSE)</f>
        <v>تلتين</v>
      </c>
      <c r="D25" s="34">
        <f>VLOOKUP(B25,داتا!$B$3:$D$107,3,FALSE)</f>
        <v>3.125E-2</v>
      </c>
      <c r="E25" s="15" t="s">
        <v>49</v>
      </c>
      <c r="F25" s="15" t="s">
        <v>171</v>
      </c>
      <c r="G25" s="16">
        <v>0.25</v>
      </c>
      <c r="H25" s="16">
        <v>0.25</v>
      </c>
      <c r="I25" s="16">
        <f t="shared" si="0"/>
        <v>0</v>
      </c>
      <c r="J25" s="16">
        <v>0.21180555555555555</v>
      </c>
      <c r="K25" s="16">
        <v>0.23263888888888887</v>
      </c>
      <c r="L25" s="16" t="s">
        <v>139</v>
      </c>
      <c r="M25" s="16" t="s">
        <v>139</v>
      </c>
      <c r="N25" s="16">
        <f t="shared" si="2"/>
        <v>2.0833333333333315E-2</v>
      </c>
      <c r="O25" s="16">
        <v>0</v>
      </c>
      <c r="P25" s="16">
        <v>6.9444444444444397E-3</v>
      </c>
      <c r="Q25" s="16">
        <v>0.24305555555555555</v>
      </c>
      <c r="R25" s="16">
        <f t="shared" si="8"/>
        <v>3.4722222222222376E-3</v>
      </c>
      <c r="S25" s="16">
        <v>0.28125</v>
      </c>
      <c r="T25" s="16">
        <f>VLOOKUP(E25,'[2]21-3-2026'!E$3:T$35,16,FALSE)</f>
        <v>3.4722222222222203E-2</v>
      </c>
      <c r="U25" s="16">
        <v>0.27777777777777779</v>
      </c>
      <c r="V25" s="16">
        <v>0</v>
      </c>
      <c r="W25" s="16">
        <v>4.1666666666666664E-2</v>
      </c>
      <c r="X25" s="16">
        <v>0.3611111111111111</v>
      </c>
      <c r="Y25" s="16">
        <v>0.39930555555555558</v>
      </c>
      <c r="Z25" s="16">
        <f t="shared" si="4"/>
        <v>3.8194444444444475E-2</v>
      </c>
      <c r="AA25" s="16">
        <v>0</v>
      </c>
      <c r="AB25" s="16">
        <v>0.40277777777777773</v>
      </c>
      <c r="AC25" s="41"/>
      <c r="AD25" s="56"/>
    </row>
    <row r="26" spans="1:30" ht="19.5" thickBot="1" x14ac:dyDescent="0.3">
      <c r="A26" s="14">
        <v>24</v>
      </c>
      <c r="B26" s="15">
        <v>3793</v>
      </c>
      <c r="C26" s="15" t="str">
        <f>VLOOKUP(B26,داتا!$B$3:$D$107,2,FALSE)</f>
        <v>دبابة</v>
      </c>
      <c r="D26" s="34">
        <f>VLOOKUP(B26,داتا!$B$3:$D$107,3,FALSE)</f>
        <v>2.0833333333333301E-2</v>
      </c>
      <c r="E26" s="15" t="s">
        <v>75</v>
      </c>
      <c r="F26" s="15" t="s">
        <v>150</v>
      </c>
      <c r="G26" s="16">
        <v>0.25</v>
      </c>
      <c r="H26" s="16">
        <v>0.25</v>
      </c>
      <c r="I26" s="16">
        <f t="shared" si="0"/>
        <v>0</v>
      </c>
      <c r="J26" s="16">
        <v>0.23611111111111113</v>
      </c>
      <c r="K26" s="16">
        <v>0.25347222222222221</v>
      </c>
      <c r="L26" s="16" t="s">
        <v>139</v>
      </c>
      <c r="M26" s="16" t="s">
        <v>139</v>
      </c>
      <c r="N26" s="16">
        <f t="shared" si="2"/>
        <v>1.7361111111111077E-2</v>
      </c>
      <c r="O26" s="16">
        <v>0</v>
      </c>
      <c r="P26" s="16">
        <v>6.9444444444444397E-3</v>
      </c>
      <c r="Q26" s="16">
        <v>0.26041666666666669</v>
      </c>
      <c r="R26" s="16">
        <f t="shared" si="8"/>
        <v>0</v>
      </c>
      <c r="S26" s="16">
        <v>0.27083333333333331</v>
      </c>
      <c r="T26" s="16">
        <f>VLOOKUP(E26,'[2]21-3-2026'!E$3:T$35,16,FALSE)</f>
        <v>2.0833333333333301E-2</v>
      </c>
      <c r="U26" s="16">
        <v>0.28819444444444448</v>
      </c>
      <c r="V26" s="16">
        <v>0</v>
      </c>
      <c r="W26" s="16">
        <v>3.125E-2</v>
      </c>
      <c r="X26" s="16">
        <v>0.33819444444444446</v>
      </c>
      <c r="Y26" s="16">
        <v>0.3611111111111111</v>
      </c>
      <c r="Z26" s="16">
        <f t="shared" si="4"/>
        <v>2.2916666666666641E-2</v>
      </c>
      <c r="AA26" s="16">
        <v>0</v>
      </c>
      <c r="AB26" s="16">
        <v>0.36458333333333331</v>
      </c>
      <c r="AC26" s="41"/>
      <c r="AD26" s="56"/>
    </row>
    <row r="27" spans="1:30" ht="19.5" thickBot="1" x14ac:dyDescent="0.3">
      <c r="A27" s="14">
        <v>25</v>
      </c>
      <c r="B27" s="15">
        <v>675</v>
      </c>
      <c r="C27" s="15" t="str">
        <f>VLOOKUP(B27,داتا!$B$3:$D$107,2,FALSE)</f>
        <v>جامبو</v>
      </c>
      <c r="D27" s="34">
        <f>VLOOKUP(B27,داتا!$B$3:$D$107,3,FALSE)</f>
        <v>4.1666666666666699E-2</v>
      </c>
      <c r="E27" s="15" t="s">
        <v>95</v>
      </c>
      <c r="F27" s="15" t="s">
        <v>144</v>
      </c>
      <c r="G27" s="16">
        <v>0.25</v>
      </c>
      <c r="H27" s="16">
        <v>0.26041666666666669</v>
      </c>
      <c r="I27" s="16">
        <f t="shared" si="0"/>
        <v>1.0416666666666685E-2</v>
      </c>
      <c r="J27" s="16">
        <v>0.2638888888888889</v>
      </c>
      <c r="K27" s="16">
        <v>0.28819444444444448</v>
      </c>
      <c r="L27" s="16" t="s">
        <v>139</v>
      </c>
      <c r="M27" s="16" t="s">
        <v>139</v>
      </c>
      <c r="N27" s="16">
        <f t="shared" si="2"/>
        <v>2.430555555555558E-2</v>
      </c>
      <c r="O27" s="16">
        <v>0</v>
      </c>
      <c r="P27" s="16">
        <v>6.9444444444444397E-3</v>
      </c>
      <c r="Q27" s="16">
        <v>0.2986111111111111</v>
      </c>
      <c r="R27" s="16">
        <f t="shared" si="8"/>
        <v>3.4722222222222099E-3</v>
      </c>
      <c r="S27" s="16">
        <v>0.29166666666666669</v>
      </c>
      <c r="T27" s="16">
        <f>VLOOKUP(E27,'[2]21-3-2026'!E$3:T$35,16,FALSE)</f>
        <v>1.0416666666666701E-2</v>
      </c>
      <c r="U27" s="16">
        <v>0.30902777777777779</v>
      </c>
      <c r="V27" s="16">
        <f t="shared" si="3"/>
        <v>6.9444444444444198E-3</v>
      </c>
      <c r="W27" s="16">
        <v>6.25E-2</v>
      </c>
      <c r="X27" s="16">
        <v>0.33680555555555558</v>
      </c>
      <c r="Y27" s="16">
        <v>0.37708333333333338</v>
      </c>
      <c r="Z27" s="16">
        <f t="shared" si="4"/>
        <v>4.0277777777777801E-2</v>
      </c>
      <c r="AA27" s="16">
        <v>0</v>
      </c>
      <c r="AB27" s="16">
        <v>0.37847222222222227</v>
      </c>
      <c r="AC27" s="41"/>
      <c r="AD27" s="56"/>
    </row>
    <row r="28" spans="1:30" ht="19.5" thickBot="1" x14ac:dyDescent="0.3">
      <c r="A28" s="14">
        <v>26</v>
      </c>
      <c r="B28" s="15">
        <v>1454</v>
      </c>
      <c r="C28" s="15" t="str">
        <f>VLOOKUP(B28,داتا!$B$3:$D$107,2,FALSE)</f>
        <v>تلتين</v>
      </c>
      <c r="D28" s="34">
        <f>VLOOKUP(B28,داتا!$B$3:$D$107,3,FALSE)</f>
        <v>3.125E-2</v>
      </c>
      <c r="E28" s="15" t="s">
        <v>51</v>
      </c>
      <c r="F28" s="15" t="s">
        <v>43</v>
      </c>
      <c r="G28" s="16">
        <v>0.25</v>
      </c>
      <c r="H28" s="16">
        <v>0.2638888888888889</v>
      </c>
      <c r="I28" s="16">
        <f t="shared" si="0"/>
        <v>1.3888888888888895E-2</v>
      </c>
      <c r="J28" s="16">
        <v>0.19097222222222221</v>
      </c>
      <c r="K28" s="16">
        <v>0.21180555555555555</v>
      </c>
      <c r="L28" s="16" t="s">
        <v>53</v>
      </c>
      <c r="M28" s="16" t="s">
        <v>53</v>
      </c>
      <c r="N28" s="16">
        <f t="shared" si="2"/>
        <v>2.0833333333333343E-2</v>
      </c>
      <c r="O28" s="16">
        <v>0</v>
      </c>
      <c r="P28" s="16">
        <v>6.9444444444444397E-3</v>
      </c>
      <c r="Q28" s="16">
        <v>0.22222222222222221</v>
      </c>
      <c r="R28" s="16">
        <f t="shared" si="8"/>
        <v>3.4722222222222099E-3</v>
      </c>
      <c r="S28" s="16">
        <v>0.27083333333333331</v>
      </c>
      <c r="T28" s="16">
        <f>VLOOKUP(E28,'[2]21-3-2026'!E$3:T$35,16,FALSE)</f>
        <v>2.4305555555555601E-2</v>
      </c>
      <c r="U28" s="16">
        <v>0.29166666666666669</v>
      </c>
      <c r="V28" s="16">
        <v>0</v>
      </c>
      <c r="W28" s="16">
        <v>3.125E-2</v>
      </c>
      <c r="X28" s="16">
        <v>0.2951388888888889</v>
      </c>
      <c r="Y28" s="16">
        <v>0.31944444444444448</v>
      </c>
      <c r="Z28" s="16">
        <f t="shared" si="4"/>
        <v>2.430555555555558E-2</v>
      </c>
      <c r="AA28" s="16">
        <v>0</v>
      </c>
      <c r="AB28" s="16">
        <v>0.3263888888888889</v>
      </c>
      <c r="AC28" s="39"/>
      <c r="AD28" s="56"/>
    </row>
    <row r="29" spans="1:30" ht="19.5" thickBot="1" x14ac:dyDescent="0.3">
      <c r="A29" s="14">
        <v>27</v>
      </c>
      <c r="B29" s="15">
        <v>1454</v>
      </c>
      <c r="C29" s="15" t="str">
        <f>VLOOKUP(B29,داتا!$B$3:$D$107,2,FALSE)</f>
        <v>تلتين</v>
      </c>
      <c r="D29" s="34">
        <f>VLOOKUP(B29,داتا!$B$3:$D$107,3,FALSE)</f>
        <v>3.125E-2</v>
      </c>
      <c r="E29" s="15" t="s">
        <v>54</v>
      </c>
      <c r="F29" s="15" t="s">
        <v>43</v>
      </c>
      <c r="G29" s="16">
        <v>0.25</v>
      </c>
      <c r="H29" s="16">
        <v>0.2638888888888889</v>
      </c>
      <c r="I29" s="16">
        <f t="shared" ref="I29" si="16">H29-G29</f>
        <v>1.3888888888888895E-2</v>
      </c>
      <c r="J29" s="16">
        <v>0.19097222222222221</v>
      </c>
      <c r="K29" s="16">
        <v>0.21180555555555555</v>
      </c>
      <c r="L29" s="16" t="s">
        <v>53</v>
      </c>
      <c r="M29" s="16" t="s">
        <v>53</v>
      </c>
      <c r="N29" s="16">
        <f t="shared" ref="N29" si="17">K29-J29</f>
        <v>2.0833333333333343E-2</v>
      </c>
      <c r="O29" s="16">
        <v>0</v>
      </c>
      <c r="P29" s="16">
        <v>6.9444444444444397E-3</v>
      </c>
      <c r="Q29" s="16">
        <v>0.22222222222222221</v>
      </c>
      <c r="R29" s="16">
        <f t="shared" ref="R29" si="18">Q29-P29-K29</f>
        <v>3.4722222222222099E-3</v>
      </c>
      <c r="S29" s="16">
        <v>0.27083333333333331</v>
      </c>
      <c r="T29" s="16">
        <f>VLOOKUP(E29,'[2]21-3-2026'!E$3:T$35,16,FALSE)</f>
        <v>1.0416666666666701E-2</v>
      </c>
      <c r="U29" s="16">
        <v>0.34722222222222227</v>
      </c>
      <c r="V29" s="16">
        <v>1.0416666666666666E-2</v>
      </c>
      <c r="W29" s="16">
        <v>4.1666666666666664E-2</v>
      </c>
      <c r="X29" s="16">
        <v>0.35069444444444442</v>
      </c>
      <c r="Y29" s="16">
        <v>0.37847222222222227</v>
      </c>
      <c r="Z29" s="16">
        <f t="shared" si="4"/>
        <v>2.7777777777777846E-2</v>
      </c>
      <c r="AA29" s="16">
        <v>0</v>
      </c>
      <c r="AB29" s="16">
        <v>0.38194444444444442</v>
      </c>
      <c r="AC29" s="40"/>
      <c r="AD29" s="56"/>
    </row>
    <row r="30" spans="1:30" ht="19.5" thickBot="1" x14ac:dyDescent="0.3">
      <c r="A30" s="14">
        <v>28</v>
      </c>
      <c r="B30" s="15">
        <v>586</v>
      </c>
      <c r="C30" s="15" t="str">
        <f>VLOOKUP(B30,داتا!$B$3:$D$107,2,FALSE)</f>
        <v>سوزوكي</v>
      </c>
      <c r="D30" s="34">
        <f>VLOOKUP(B30,داتا!$B$3:$D$107,3,FALSE)</f>
        <v>2.0833333333333301E-2</v>
      </c>
      <c r="E30" s="15" t="s">
        <v>77</v>
      </c>
      <c r="F30" s="16" t="s">
        <v>145</v>
      </c>
      <c r="G30" s="16">
        <v>0.25</v>
      </c>
      <c r="H30" s="16">
        <v>0.25</v>
      </c>
      <c r="I30" s="16">
        <f t="shared" si="0"/>
        <v>0</v>
      </c>
      <c r="J30" s="16">
        <v>0.22222222222222221</v>
      </c>
      <c r="K30" s="16">
        <v>0.22569444444444445</v>
      </c>
      <c r="L30" s="16" t="s">
        <v>53</v>
      </c>
      <c r="M30" s="16" t="s">
        <v>53</v>
      </c>
      <c r="N30" s="16">
        <f t="shared" si="2"/>
        <v>3.4722222222222376E-3</v>
      </c>
      <c r="O30" s="16">
        <v>0</v>
      </c>
      <c r="P30" s="16">
        <v>6.9444444444444397E-3</v>
      </c>
      <c r="Q30" s="16">
        <v>0.23263888888888887</v>
      </c>
      <c r="R30" s="16">
        <f t="shared" si="8"/>
        <v>0</v>
      </c>
      <c r="S30" s="16">
        <v>0.27430555555555552</v>
      </c>
      <c r="T30" s="16">
        <f>VLOOKUP(E30,'[2]21-3-2026'!E$3:T$35,16,FALSE)</f>
        <v>1.38888888888889E-2</v>
      </c>
      <c r="U30" s="16">
        <v>0.2986111111111111</v>
      </c>
      <c r="V30" s="16">
        <f t="shared" si="3"/>
        <v>1.0416666666666685E-2</v>
      </c>
      <c r="W30" s="16">
        <v>3.125E-2</v>
      </c>
      <c r="X30" s="16">
        <v>0.34027777777777773</v>
      </c>
      <c r="Y30" s="16">
        <v>0.34722222222222227</v>
      </c>
      <c r="Z30" s="16">
        <f t="shared" si="4"/>
        <v>6.9444444444445308E-3</v>
      </c>
      <c r="AA30" s="16">
        <v>0</v>
      </c>
      <c r="AB30" s="16">
        <v>0.35138888888888892</v>
      </c>
      <c r="AC30" s="39"/>
      <c r="AD30" s="56"/>
    </row>
    <row r="31" spans="1:30" ht="19.5" thickBot="1" x14ac:dyDescent="0.3">
      <c r="A31" s="14">
        <v>29</v>
      </c>
      <c r="B31" s="15">
        <v>2917</v>
      </c>
      <c r="C31" s="15" t="str">
        <f>VLOOKUP(B31,داتا!$B$3:$D$107,2,FALSE)</f>
        <v>تلتين</v>
      </c>
      <c r="D31" s="34">
        <f>VLOOKUP(B31,داتا!$B$3:$D$107,3,FALSE)</f>
        <v>3.125E-2</v>
      </c>
      <c r="E31" s="15" t="s">
        <v>83</v>
      </c>
      <c r="F31" s="16" t="s">
        <v>36</v>
      </c>
      <c r="G31" s="16">
        <v>0.25</v>
      </c>
      <c r="H31" s="16">
        <v>0.25</v>
      </c>
      <c r="I31" s="16">
        <f t="shared" si="0"/>
        <v>0</v>
      </c>
      <c r="J31" s="16">
        <v>0.22916666666666666</v>
      </c>
      <c r="K31" s="16">
        <v>0.25347222222222221</v>
      </c>
      <c r="L31" s="16" t="s">
        <v>53</v>
      </c>
      <c r="M31" s="16" t="s">
        <v>53</v>
      </c>
      <c r="N31" s="16">
        <f t="shared" si="2"/>
        <v>2.4305555555555552E-2</v>
      </c>
      <c r="O31" s="16">
        <v>0</v>
      </c>
      <c r="P31" s="16">
        <v>6.9444444444444397E-3</v>
      </c>
      <c r="Q31" s="16">
        <v>0.26041666666666669</v>
      </c>
      <c r="R31" s="16">
        <f t="shared" si="8"/>
        <v>0</v>
      </c>
      <c r="S31" s="16">
        <v>0.26041666666666669</v>
      </c>
      <c r="T31" s="16">
        <f>VLOOKUP(E31,'[2]21-3-2026'!E$3:T$35,16,FALSE)</f>
        <v>1.38888888888889E-2</v>
      </c>
      <c r="U31" s="16">
        <v>0.28819444444444448</v>
      </c>
      <c r="V31" s="16">
        <f t="shared" si="3"/>
        <v>1.3888888888888895E-2</v>
      </c>
      <c r="W31" s="16">
        <v>3.125E-2</v>
      </c>
      <c r="X31" s="16">
        <v>0.33680555555555558</v>
      </c>
      <c r="Y31" s="16">
        <v>0.36805555555555558</v>
      </c>
      <c r="Z31" s="16">
        <f t="shared" si="4"/>
        <v>3.125E-2</v>
      </c>
      <c r="AA31" s="16">
        <f t="shared" si="1"/>
        <v>0</v>
      </c>
      <c r="AB31" s="16">
        <v>0.37152777777777773</v>
      </c>
      <c r="AC31" s="39"/>
      <c r="AD31" s="56"/>
    </row>
    <row r="32" spans="1:30" ht="19.5" thickBot="1" x14ac:dyDescent="0.3">
      <c r="A32" s="14">
        <v>30</v>
      </c>
      <c r="B32" s="15">
        <v>2917</v>
      </c>
      <c r="C32" s="15" t="str">
        <f>VLOOKUP(B32,داتا!$B$3:$D$107,2,FALSE)</f>
        <v>تلتين</v>
      </c>
      <c r="D32" s="34">
        <f>VLOOKUP(B32,داتا!$B$3:$D$107,3,FALSE)</f>
        <v>3.125E-2</v>
      </c>
      <c r="E32" s="15" t="s">
        <v>77</v>
      </c>
      <c r="F32" s="16" t="s">
        <v>36</v>
      </c>
      <c r="G32" s="16">
        <v>0.25</v>
      </c>
      <c r="H32" s="16">
        <v>0.25</v>
      </c>
      <c r="I32" s="16">
        <f t="shared" si="0"/>
        <v>0</v>
      </c>
      <c r="J32" s="16">
        <v>0.22916666666666666</v>
      </c>
      <c r="K32" s="16">
        <v>0.25347222222222221</v>
      </c>
      <c r="L32" s="16" t="s">
        <v>53</v>
      </c>
      <c r="M32" s="16" t="s">
        <v>53</v>
      </c>
      <c r="N32" s="16">
        <f t="shared" si="2"/>
        <v>2.4305555555555552E-2</v>
      </c>
      <c r="O32" s="16">
        <v>0</v>
      </c>
      <c r="P32" s="16">
        <v>6.9444444444444397E-3</v>
      </c>
      <c r="Q32" s="16">
        <v>0.26041666666666669</v>
      </c>
      <c r="R32" s="16">
        <f t="shared" si="8"/>
        <v>0</v>
      </c>
      <c r="S32" s="16">
        <v>0.26041666666666669</v>
      </c>
      <c r="T32" s="16">
        <f>VLOOKUP(E32,'[2]21-3-2026'!E$3:T$35,16,FALSE)</f>
        <v>1.38888888888889E-2</v>
      </c>
      <c r="U32" s="16">
        <v>0.37847222222222227</v>
      </c>
      <c r="V32" s="16">
        <v>0</v>
      </c>
      <c r="W32" s="16">
        <v>4.1666666666666664E-2</v>
      </c>
      <c r="X32" s="16">
        <v>0.3840277777777778</v>
      </c>
      <c r="Y32" s="16">
        <v>0.41319444444444442</v>
      </c>
      <c r="Z32" s="16">
        <f t="shared" si="4"/>
        <v>2.9166666666666619E-2</v>
      </c>
      <c r="AA32" s="16">
        <v>0</v>
      </c>
      <c r="AB32" s="16">
        <v>0.41666666666666669</v>
      </c>
      <c r="AC32" s="39"/>
      <c r="AD32" s="56"/>
    </row>
    <row r="33" spans="1:30" ht="19.5" thickBot="1" x14ac:dyDescent="0.3">
      <c r="A33" s="14">
        <v>31</v>
      </c>
      <c r="B33" s="15">
        <v>3783</v>
      </c>
      <c r="C33" s="15" t="str">
        <f>VLOOKUP(B33,داتا!$B$3:$D$107,2,FALSE)</f>
        <v>دبابة</v>
      </c>
      <c r="D33" s="34">
        <f>VLOOKUP(B33,داتا!$B$3:$D$107,3,FALSE)</f>
        <v>2.0833333333333301E-2</v>
      </c>
      <c r="E33" s="15" t="s">
        <v>92</v>
      </c>
      <c r="F33" s="16" t="s">
        <v>149</v>
      </c>
      <c r="G33" s="16">
        <v>0.25</v>
      </c>
      <c r="H33" s="16">
        <v>0.26041666666666669</v>
      </c>
      <c r="I33" s="16">
        <f t="shared" si="0"/>
        <v>1.0416666666666685E-2</v>
      </c>
      <c r="J33" s="16">
        <v>0.2673611111111111</v>
      </c>
      <c r="K33" s="16">
        <v>0.27777777777777779</v>
      </c>
      <c r="L33" s="16" t="s">
        <v>53</v>
      </c>
      <c r="M33" s="16" t="s">
        <v>53</v>
      </c>
      <c r="N33" s="16">
        <f t="shared" si="2"/>
        <v>1.0416666666666685E-2</v>
      </c>
      <c r="O33" s="16">
        <v>0</v>
      </c>
      <c r="P33" s="16">
        <v>6.9444444444444397E-3</v>
      </c>
      <c r="Q33" s="16">
        <v>0.28472222222222221</v>
      </c>
      <c r="R33" s="16">
        <f t="shared" si="8"/>
        <v>0</v>
      </c>
      <c r="S33" s="16">
        <v>0.28472222222222221</v>
      </c>
      <c r="T33" s="16">
        <f>VLOOKUP(E33,'[2]21-3-2026'!E$3:T$35,16,FALSE)</f>
        <v>1.38888888888889E-2</v>
      </c>
      <c r="U33" s="16">
        <v>0.31944444444444448</v>
      </c>
      <c r="V33" s="16">
        <f t="shared" si="3"/>
        <v>2.083333333333337E-2</v>
      </c>
      <c r="W33" s="16">
        <v>3.125E-2</v>
      </c>
      <c r="X33" s="16">
        <v>0.3354166666666667</v>
      </c>
      <c r="Y33" s="16">
        <v>0.36458333333333331</v>
      </c>
      <c r="Z33" s="16">
        <f t="shared" si="4"/>
        <v>2.9166666666666619E-2</v>
      </c>
      <c r="AA33" s="16">
        <v>0</v>
      </c>
      <c r="AB33" s="16">
        <v>0.36805555555555558</v>
      </c>
      <c r="AC33" s="39"/>
      <c r="AD33" s="56"/>
    </row>
    <row r="34" spans="1:30" ht="19.5" thickBot="1" x14ac:dyDescent="0.3">
      <c r="A34" s="14">
        <v>32</v>
      </c>
      <c r="B34" s="15">
        <v>5898</v>
      </c>
      <c r="C34" s="15" t="str">
        <f>VLOOKUP(B34,داتا!$B$3:$D$107,2,FALSE)</f>
        <v>تلتين</v>
      </c>
      <c r="D34" s="34">
        <f>VLOOKUP(B34,داتا!$B$3:$D$107,3,FALSE)</f>
        <v>3.125E-2</v>
      </c>
      <c r="E34" s="15" t="s">
        <v>67</v>
      </c>
      <c r="F34" s="15" t="s">
        <v>66</v>
      </c>
      <c r="G34" s="16">
        <v>0.25</v>
      </c>
      <c r="H34" s="16">
        <v>0.25</v>
      </c>
      <c r="I34" s="16">
        <f t="shared" ref="I34:I93" si="19">H34-G34</f>
        <v>0</v>
      </c>
      <c r="J34" s="16">
        <v>0.1875</v>
      </c>
      <c r="K34" s="16">
        <v>0.22916666666666666</v>
      </c>
      <c r="L34" s="16" t="s">
        <v>142</v>
      </c>
      <c r="M34" s="16" t="s">
        <v>138</v>
      </c>
      <c r="N34" s="16">
        <f t="shared" si="2"/>
        <v>4.1666666666666657E-2</v>
      </c>
      <c r="O34" s="16">
        <f t="shared" si="5"/>
        <v>1.0416666666666657E-2</v>
      </c>
      <c r="P34" s="16">
        <v>6.9444444444444397E-3</v>
      </c>
      <c r="Q34" s="16">
        <v>0.24652777777777779</v>
      </c>
      <c r="R34" s="16">
        <f t="shared" si="8"/>
        <v>1.0416666666666685E-2</v>
      </c>
      <c r="S34" s="16">
        <v>0.25</v>
      </c>
      <c r="T34" s="16">
        <f>VLOOKUP(E34,'[2]21-3-2026'!E$3:T$35,16,FALSE)</f>
        <v>1.7361111111111101E-2</v>
      </c>
      <c r="U34" s="16">
        <v>0.26041666666666669</v>
      </c>
      <c r="V34" s="16">
        <v>0</v>
      </c>
      <c r="W34" s="16">
        <v>3.125E-2</v>
      </c>
      <c r="X34" s="16">
        <v>0.30208333333333331</v>
      </c>
      <c r="Y34" s="16">
        <v>0.3263888888888889</v>
      </c>
      <c r="Z34" s="16">
        <f t="shared" si="4"/>
        <v>2.430555555555558E-2</v>
      </c>
      <c r="AA34" s="16">
        <v>0</v>
      </c>
      <c r="AB34" s="16">
        <v>0.3298611111111111</v>
      </c>
      <c r="AC34" s="39"/>
      <c r="AD34" s="56"/>
    </row>
    <row r="35" spans="1:30" ht="19.5" thickBot="1" x14ac:dyDescent="0.3">
      <c r="A35" s="14">
        <v>33</v>
      </c>
      <c r="B35" s="15">
        <v>5898</v>
      </c>
      <c r="C35" s="15" t="str">
        <f>VLOOKUP(B35,داتا!$B$3:$D$107,2,FALSE)</f>
        <v>تلتين</v>
      </c>
      <c r="D35" s="34">
        <f>VLOOKUP(B35,داتا!$B$3:$D$107,3,FALSE)</f>
        <v>3.125E-2</v>
      </c>
      <c r="E35" s="15" t="s">
        <v>69</v>
      </c>
      <c r="F35" s="15" t="s">
        <v>66</v>
      </c>
      <c r="G35" s="16">
        <v>0.25</v>
      </c>
      <c r="H35" s="16">
        <v>0.25</v>
      </c>
      <c r="I35" s="16">
        <f t="shared" ref="I35" si="20">H35-G35</f>
        <v>0</v>
      </c>
      <c r="J35" s="16">
        <v>0.1875</v>
      </c>
      <c r="K35" s="16">
        <v>0.22916666666666666</v>
      </c>
      <c r="L35" s="16" t="s">
        <v>142</v>
      </c>
      <c r="M35" s="16" t="s">
        <v>138</v>
      </c>
      <c r="N35" s="16">
        <f t="shared" ref="N35" si="21">K35-J35</f>
        <v>4.1666666666666657E-2</v>
      </c>
      <c r="O35" s="16">
        <f t="shared" ref="O35" si="22">N35-D35</f>
        <v>1.0416666666666657E-2</v>
      </c>
      <c r="P35" s="16">
        <v>6.9444444444444397E-3</v>
      </c>
      <c r="Q35" s="16">
        <v>0.24652777777777779</v>
      </c>
      <c r="R35" s="16">
        <f t="shared" ref="R35" si="23">Q35-P35-K35</f>
        <v>1.0416666666666685E-2</v>
      </c>
      <c r="S35" s="16">
        <v>0.25</v>
      </c>
      <c r="T35" s="16">
        <f>VLOOKUP(E35,'[2]21-3-2026'!E$3:T$35,16,FALSE)</f>
        <v>1.38888888888889E-2</v>
      </c>
      <c r="U35" s="16">
        <v>0.34375</v>
      </c>
      <c r="V35" s="16">
        <v>0</v>
      </c>
      <c r="W35" s="16">
        <v>4.1666666666666664E-2</v>
      </c>
      <c r="X35" s="16">
        <v>0.34722222222222227</v>
      </c>
      <c r="Y35" s="16">
        <v>0.375</v>
      </c>
      <c r="Z35" s="16">
        <f t="shared" si="4"/>
        <v>2.7777777777777735E-2</v>
      </c>
      <c r="AA35" s="16">
        <v>0</v>
      </c>
      <c r="AB35" s="16">
        <v>0.37847222222222227</v>
      </c>
      <c r="AC35" s="39"/>
      <c r="AD35" s="56"/>
    </row>
    <row r="36" spans="1:30" ht="20.25" customHeight="1" thickBot="1" x14ac:dyDescent="0.3">
      <c r="A36" s="14">
        <v>34</v>
      </c>
      <c r="B36" s="15">
        <v>2474</v>
      </c>
      <c r="C36" s="15" t="str">
        <f>VLOOKUP(B36,داتا!$B$3:$D$107,2,FALSE)</f>
        <v>دبابة</v>
      </c>
      <c r="D36" s="34">
        <f>VLOOKUP(B36,داتا!$B$3:$D$107,3,FALSE)</f>
        <v>2.0833333333333332E-2</v>
      </c>
      <c r="E36" s="15" t="s">
        <v>63</v>
      </c>
      <c r="F36" s="15" t="s">
        <v>155</v>
      </c>
      <c r="G36" s="16">
        <v>0.25</v>
      </c>
      <c r="H36" s="16">
        <v>0.25</v>
      </c>
      <c r="I36" s="16">
        <f t="shared" si="19"/>
        <v>0</v>
      </c>
      <c r="J36" s="16">
        <v>0.24305555555555555</v>
      </c>
      <c r="K36" s="16">
        <v>0.25347222222222221</v>
      </c>
      <c r="L36" s="16" t="s">
        <v>142</v>
      </c>
      <c r="M36" s="16" t="s">
        <v>138</v>
      </c>
      <c r="N36" s="16">
        <f t="shared" si="2"/>
        <v>1.0416666666666657E-2</v>
      </c>
      <c r="O36" s="16">
        <v>0</v>
      </c>
      <c r="P36" s="16">
        <v>6.9444444444444397E-3</v>
      </c>
      <c r="Q36" s="16">
        <v>0.2673611111111111</v>
      </c>
      <c r="R36" s="16">
        <f t="shared" si="8"/>
        <v>6.9444444444444753E-3</v>
      </c>
      <c r="S36" s="16">
        <v>0.27430555555555552</v>
      </c>
      <c r="T36" s="16">
        <f>VLOOKUP(E36,'[2]21-3-2026'!E$3:T$35,16,FALSE)</f>
        <v>6.25E-2</v>
      </c>
      <c r="U36" s="16">
        <v>0.31597222222222221</v>
      </c>
      <c r="V36" s="16">
        <v>0</v>
      </c>
      <c r="W36" s="16">
        <v>3.125E-2</v>
      </c>
      <c r="X36" s="16">
        <v>0.33333333333333331</v>
      </c>
      <c r="Y36" s="16">
        <v>0.36458333333333331</v>
      </c>
      <c r="Z36" s="16">
        <f t="shared" si="4"/>
        <v>3.125E-2</v>
      </c>
      <c r="AA36" s="16">
        <f t="shared" si="1"/>
        <v>0</v>
      </c>
      <c r="AB36" s="16">
        <v>0.36805555555555558</v>
      </c>
      <c r="AC36" s="41"/>
      <c r="AD36" s="56"/>
    </row>
    <row r="37" spans="1:30" ht="19.5" thickBot="1" x14ac:dyDescent="0.3">
      <c r="A37" s="20">
        <v>35</v>
      </c>
      <c r="B37" s="21">
        <v>3492</v>
      </c>
      <c r="C37" s="21" t="str">
        <f>VLOOKUP(B37,داتا!$B$3:$D$107,2,FALSE)</f>
        <v>تلتين</v>
      </c>
      <c r="D37" s="35">
        <f>VLOOKUP(B37,داتا!$B$3:$D$107,3,FALSE)</f>
        <v>3.125E-2</v>
      </c>
      <c r="E37" s="21" t="s">
        <v>81</v>
      </c>
      <c r="F37" s="21" t="s">
        <v>146</v>
      </c>
      <c r="G37" s="22">
        <v>0.25</v>
      </c>
      <c r="H37" s="22">
        <v>0.25</v>
      </c>
      <c r="I37" s="22">
        <f t="shared" si="19"/>
        <v>0</v>
      </c>
      <c r="J37" s="22">
        <v>0.26041666666666669</v>
      </c>
      <c r="K37" s="22">
        <v>0.28125</v>
      </c>
      <c r="L37" s="22" t="s">
        <v>142</v>
      </c>
      <c r="M37" s="22" t="s">
        <v>138</v>
      </c>
      <c r="N37" s="22">
        <f t="shared" si="2"/>
        <v>2.0833333333333315E-2</v>
      </c>
      <c r="O37" s="22">
        <v>0</v>
      </c>
      <c r="P37" s="22">
        <v>6.9444444444444397E-3</v>
      </c>
      <c r="Q37" s="22">
        <v>0.29166666666666669</v>
      </c>
      <c r="R37" s="22">
        <f t="shared" si="8"/>
        <v>3.4722222222222654E-3</v>
      </c>
      <c r="S37" s="22">
        <v>0.29166666666666669</v>
      </c>
      <c r="T37" s="22">
        <f>VLOOKUP(E37,'[2]21-3-2026'!E$3:T$35,16,FALSE)</f>
        <v>2.7777777777777801E-2</v>
      </c>
      <c r="U37" s="22">
        <v>0.3263888888888889</v>
      </c>
      <c r="V37" s="22">
        <f t="shared" si="3"/>
        <v>6.9444444444444198E-3</v>
      </c>
      <c r="W37" s="22">
        <v>4.1666666666666664E-2</v>
      </c>
      <c r="X37" s="22">
        <v>0.34027777777777773</v>
      </c>
      <c r="Y37" s="22">
        <v>0.375</v>
      </c>
      <c r="Z37" s="22">
        <f t="shared" si="4"/>
        <v>3.4722222222222265E-2</v>
      </c>
      <c r="AA37" s="22">
        <v>0</v>
      </c>
      <c r="AB37" s="22">
        <v>0.37847222222222227</v>
      </c>
      <c r="AC37" s="44"/>
      <c r="AD37" s="57"/>
    </row>
    <row r="38" spans="1:30" ht="20.25" thickTop="1" thickBot="1" x14ac:dyDescent="0.3">
      <c r="A38" s="10">
        <v>1</v>
      </c>
      <c r="B38" s="11">
        <v>4879</v>
      </c>
      <c r="C38" s="11" t="str">
        <f>VLOOKUP(B38,داتا!$B$3:$D$107,2,FALSE)</f>
        <v>دبابة</v>
      </c>
      <c r="D38" s="33">
        <f>VLOOKUP(B38,داتا!$B$3:$D$107,3,FALSE)</f>
        <v>2.0833333333333301E-2</v>
      </c>
      <c r="E38" s="11" t="s">
        <v>72</v>
      </c>
      <c r="F38" s="11" t="s">
        <v>80</v>
      </c>
      <c r="G38" s="12">
        <v>0.25</v>
      </c>
      <c r="H38" s="12">
        <f>VLOOKUP(F38,$F$3:$H$37,2,FALSE)</f>
        <v>0.25</v>
      </c>
      <c r="I38" s="12">
        <f t="shared" si="19"/>
        <v>0</v>
      </c>
      <c r="J38" s="12">
        <v>0.39930555555555558</v>
      </c>
      <c r="K38" s="12">
        <v>0.41666666666666669</v>
      </c>
      <c r="L38" s="12" t="s">
        <v>157</v>
      </c>
      <c r="M38" s="12" t="s">
        <v>157</v>
      </c>
      <c r="N38" s="12">
        <f t="shared" si="2"/>
        <v>1.7361111111111105E-2</v>
      </c>
      <c r="O38" s="12">
        <v>0</v>
      </c>
      <c r="P38" s="12">
        <v>6.9444444444444397E-3</v>
      </c>
      <c r="Q38" s="12">
        <v>0.4236111111111111</v>
      </c>
      <c r="R38" s="12">
        <f t="shared" si="8"/>
        <v>0</v>
      </c>
      <c r="S38" s="12">
        <v>0.4236111111111111</v>
      </c>
      <c r="T38" s="12">
        <f>VLOOKUP(E38,'[2]21-3-2026'!E$3:T$35,16,FALSE)</f>
        <v>1.0416666666666701E-2</v>
      </c>
      <c r="U38" s="12">
        <v>0.44444444444444442</v>
      </c>
      <c r="V38" s="12">
        <f t="shared" si="3"/>
        <v>1.041666666666663E-2</v>
      </c>
      <c r="W38" s="12">
        <v>2.0833333333333332E-2</v>
      </c>
      <c r="X38" s="12">
        <v>0.44722222222222219</v>
      </c>
      <c r="Y38" s="12">
        <v>0.47013888888888888</v>
      </c>
      <c r="Z38" s="12">
        <f t="shared" si="4"/>
        <v>2.2916666666666696E-2</v>
      </c>
      <c r="AA38" s="12">
        <f t="shared" si="1"/>
        <v>2.0833333333333641E-3</v>
      </c>
      <c r="AB38" s="12">
        <v>0.47222222222222227</v>
      </c>
      <c r="AC38" s="43"/>
      <c r="AD38" s="55" t="s">
        <v>116</v>
      </c>
    </row>
    <row r="39" spans="1:30" ht="19.5" thickBot="1" x14ac:dyDescent="0.3">
      <c r="A39" s="14">
        <v>2</v>
      </c>
      <c r="B39" s="15">
        <v>4879</v>
      </c>
      <c r="C39" s="15" t="str">
        <f>VLOOKUP(B39,داتا!$B$3:$D$107,2,FALSE)</f>
        <v>دبابة</v>
      </c>
      <c r="D39" s="34">
        <f>VLOOKUP(B39,داتا!$B$3:$D$107,3,FALSE)</f>
        <v>2.0833333333333301E-2</v>
      </c>
      <c r="E39" s="15" t="s">
        <v>92</v>
      </c>
      <c r="F39" s="15" t="s">
        <v>80</v>
      </c>
      <c r="G39" s="16">
        <v>0.25</v>
      </c>
      <c r="H39" s="16">
        <f t="shared" ref="H39:H69" si="24">VLOOKUP(F39,$F$3:$H$37,2,FALSE)</f>
        <v>0.25</v>
      </c>
      <c r="I39" s="16">
        <f t="shared" si="19"/>
        <v>0</v>
      </c>
      <c r="J39" s="16">
        <v>0.39930555555555558</v>
      </c>
      <c r="K39" s="16">
        <v>0.41666666666666669</v>
      </c>
      <c r="L39" s="16" t="s">
        <v>157</v>
      </c>
      <c r="M39" s="16" t="s">
        <v>157</v>
      </c>
      <c r="N39" s="16">
        <f t="shared" si="2"/>
        <v>1.7361111111111105E-2</v>
      </c>
      <c r="O39" s="16">
        <v>0</v>
      </c>
      <c r="P39" s="16">
        <v>6.9444444444444397E-3</v>
      </c>
      <c r="Q39" s="16">
        <v>0.4236111111111111</v>
      </c>
      <c r="R39" s="16">
        <f t="shared" si="8"/>
        <v>0</v>
      </c>
      <c r="S39" s="16">
        <v>0.4236111111111111</v>
      </c>
      <c r="T39" s="16">
        <f>VLOOKUP(E39,'[2]21-3-2026'!E$3:T$35,16,FALSE)</f>
        <v>1.38888888888889E-2</v>
      </c>
      <c r="U39" s="16">
        <v>0.47916666666666669</v>
      </c>
      <c r="V39" s="16">
        <v>0</v>
      </c>
      <c r="W39" s="16">
        <v>3.125E-2</v>
      </c>
      <c r="X39" s="16">
        <v>0.4826388888888889</v>
      </c>
      <c r="Y39" s="16">
        <v>0.50902777777777775</v>
      </c>
      <c r="Z39" s="16">
        <f t="shared" si="4"/>
        <v>2.6388888888888851E-2</v>
      </c>
      <c r="AA39" s="16">
        <v>0</v>
      </c>
      <c r="AB39" s="16">
        <v>0.51041666666666663</v>
      </c>
      <c r="AC39" s="39"/>
      <c r="AD39" s="56"/>
    </row>
    <row r="40" spans="1:30" ht="19.5" thickBot="1" x14ac:dyDescent="0.3">
      <c r="A40" s="14">
        <v>3</v>
      </c>
      <c r="B40" s="15">
        <v>4987</v>
      </c>
      <c r="C40" s="15" t="str">
        <f>VLOOKUP(B40,داتا!$B$3:$D$107,2,FALSE)</f>
        <v>تلتين</v>
      </c>
      <c r="D40" s="34">
        <f>VLOOKUP(B40,داتا!$B$3:$D$107,3,FALSE)</f>
        <v>3.125E-2</v>
      </c>
      <c r="E40" s="15" t="s">
        <v>70</v>
      </c>
      <c r="F40" s="15" t="s">
        <v>71</v>
      </c>
      <c r="G40" s="16">
        <v>0.25</v>
      </c>
      <c r="H40" s="16">
        <v>0.26041666666666669</v>
      </c>
      <c r="I40" s="16">
        <f t="shared" si="19"/>
        <v>1.0416666666666685E-2</v>
      </c>
      <c r="J40" s="16">
        <v>0.43055555555555558</v>
      </c>
      <c r="K40" s="16">
        <v>0.4513888888888889</v>
      </c>
      <c r="L40" s="16" t="s">
        <v>157</v>
      </c>
      <c r="M40" s="16" t="s">
        <v>157</v>
      </c>
      <c r="N40" s="16">
        <f t="shared" si="2"/>
        <v>2.0833333333333315E-2</v>
      </c>
      <c r="O40" s="16">
        <v>0</v>
      </c>
      <c r="P40" s="16">
        <v>6.9444444444444397E-3</v>
      </c>
      <c r="Q40" s="16">
        <v>0.46180555555555558</v>
      </c>
      <c r="R40" s="16">
        <f t="shared" si="8"/>
        <v>3.4722222222222654E-3</v>
      </c>
      <c r="S40" s="16">
        <v>0.46180555555555558</v>
      </c>
      <c r="T40" s="16">
        <f>VLOOKUP(E40,'[2]21-3-2026'!E$3:T$35,16,FALSE)</f>
        <v>1.0416666666666701E-2</v>
      </c>
      <c r="U40" s="16">
        <v>0.4777777777777778</v>
      </c>
      <c r="V40" s="16">
        <f t="shared" si="3"/>
        <v>5.5555555555555358E-3</v>
      </c>
      <c r="W40" s="16">
        <v>3.125E-2</v>
      </c>
      <c r="X40" s="16">
        <v>0.48055555555555557</v>
      </c>
      <c r="Y40" s="16">
        <v>0.50972222222222219</v>
      </c>
      <c r="Z40" s="16">
        <f t="shared" si="4"/>
        <v>2.9166666666666619E-2</v>
      </c>
      <c r="AA40" s="16">
        <v>0</v>
      </c>
      <c r="AB40" s="16">
        <v>0.52777777777777779</v>
      </c>
      <c r="AC40" s="39"/>
      <c r="AD40" s="56"/>
    </row>
    <row r="41" spans="1:30" ht="19.5" thickBot="1" x14ac:dyDescent="0.3">
      <c r="A41" s="14">
        <v>4</v>
      </c>
      <c r="B41" s="15">
        <v>4987</v>
      </c>
      <c r="C41" s="15" t="str">
        <f>VLOOKUP(B41,داتا!$B$3:$D$107,2,FALSE)</f>
        <v>تلتين</v>
      </c>
      <c r="D41" s="34">
        <f>VLOOKUP(B41,داتا!$B$3:$D$107,3,FALSE)</f>
        <v>3.125E-2</v>
      </c>
      <c r="E41" s="15" t="s">
        <v>79</v>
      </c>
      <c r="F41" s="15" t="s">
        <v>71</v>
      </c>
      <c r="G41" s="16">
        <v>0.25</v>
      </c>
      <c r="H41" s="16">
        <v>0.26041666666666669</v>
      </c>
      <c r="I41" s="16">
        <f t="shared" si="19"/>
        <v>1.0416666666666685E-2</v>
      </c>
      <c r="J41" s="16">
        <v>0.43055555555555558</v>
      </c>
      <c r="K41" s="16">
        <v>0.4513888888888889</v>
      </c>
      <c r="L41" s="16" t="s">
        <v>157</v>
      </c>
      <c r="M41" s="16" t="s">
        <v>157</v>
      </c>
      <c r="N41" s="16">
        <f t="shared" si="2"/>
        <v>2.0833333333333315E-2</v>
      </c>
      <c r="O41" s="16">
        <v>0</v>
      </c>
      <c r="P41" s="16">
        <v>6.9444444444444397E-3</v>
      </c>
      <c r="Q41" s="16">
        <v>0.46180555555555558</v>
      </c>
      <c r="R41" s="16">
        <f t="shared" si="8"/>
        <v>3.4722222222222654E-3</v>
      </c>
      <c r="S41" s="16">
        <v>0.46180555555555558</v>
      </c>
      <c r="T41" s="16">
        <f>VLOOKUP(E41,'[2]21-3-2026'!E$3:T$35,16,FALSE)</f>
        <v>2.0833333333333301E-2</v>
      </c>
      <c r="U41" s="16">
        <v>0.54861111111111105</v>
      </c>
      <c r="V41" s="16">
        <v>0</v>
      </c>
      <c r="W41" s="16">
        <v>4.1666666666666664E-2</v>
      </c>
      <c r="X41" s="16">
        <v>0.55208333333333337</v>
      </c>
      <c r="Y41" s="16">
        <v>0.56944444444444442</v>
      </c>
      <c r="Z41" s="16">
        <f t="shared" si="4"/>
        <v>1.7361111111111049E-2</v>
      </c>
      <c r="AA41" s="16">
        <v>0</v>
      </c>
      <c r="AB41" s="16">
        <v>0.57291666666666663</v>
      </c>
      <c r="AC41" s="39"/>
      <c r="AD41" s="56"/>
    </row>
    <row r="42" spans="1:30" ht="19.5" thickBot="1" x14ac:dyDescent="0.3">
      <c r="A42" s="14">
        <v>5</v>
      </c>
      <c r="B42" s="15">
        <v>9198</v>
      </c>
      <c r="C42" s="15" t="str">
        <f>VLOOKUP(B42,داتا!$B$3:$D$107,2,FALSE)</f>
        <v>دبابة</v>
      </c>
      <c r="D42" s="34">
        <f>VLOOKUP(B42,داتا!$B$3:$D$107,3,FALSE)</f>
        <v>2.0833333333333301E-2</v>
      </c>
      <c r="E42" s="15" t="s">
        <v>61</v>
      </c>
      <c r="F42" s="15" t="s">
        <v>106</v>
      </c>
      <c r="G42" s="16">
        <v>0.25</v>
      </c>
      <c r="H42" s="16">
        <v>0.27777777777777779</v>
      </c>
      <c r="I42" s="16">
        <f t="shared" si="19"/>
        <v>2.777777777777779E-2</v>
      </c>
      <c r="J42" s="16">
        <v>0.46875</v>
      </c>
      <c r="K42" s="16">
        <v>0.48958333333333331</v>
      </c>
      <c r="L42" s="16" t="s">
        <v>157</v>
      </c>
      <c r="M42" s="16" t="s">
        <v>157</v>
      </c>
      <c r="N42" s="16">
        <f t="shared" si="2"/>
        <v>2.0833333333333315E-2</v>
      </c>
      <c r="O42" s="16">
        <f t="shared" si="5"/>
        <v>0</v>
      </c>
      <c r="P42" s="16">
        <v>6.9444444444444397E-3</v>
      </c>
      <c r="Q42" s="16">
        <v>0.48958333333333331</v>
      </c>
      <c r="R42" s="16">
        <v>0</v>
      </c>
      <c r="S42" s="16">
        <v>0.48958333333333331</v>
      </c>
      <c r="T42" s="16">
        <f>VLOOKUP(E42,'[2]21-3-2026'!E$3:T$35,16,FALSE)</f>
        <v>3.4722222222222203E-2</v>
      </c>
      <c r="U42" s="16">
        <v>0.53472222222222221</v>
      </c>
      <c r="V42" s="16">
        <f t="shared" si="3"/>
        <v>1.0416666666666685E-2</v>
      </c>
      <c r="W42" s="16">
        <v>2.0833333333333332E-2</v>
      </c>
      <c r="X42" s="16">
        <v>0.53819444444444442</v>
      </c>
      <c r="Y42" s="16">
        <v>0.55763888888888891</v>
      </c>
      <c r="Z42" s="16">
        <f t="shared" si="4"/>
        <v>1.9444444444444486E-2</v>
      </c>
      <c r="AA42" s="16">
        <v>0</v>
      </c>
      <c r="AB42" s="16">
        <v>0.55902777777777779</v>
      </c>
      <c r="AC42" s="39"/>
      <c r="AD42" s="56"/>
    </row>
    <row r="43" spans="1:30" ht="19.5" thickBot="1" x14ac:dyDescent="0.3">
      <c r="A43" s="14">
        <v>6</v>
      </c>
      <c r="B43" s="15">
        <v>9198</v>
      </c>
      <c r="C43" s="15" t="str">
        <f>VLOOKUP(B43,داتا!$B$3:$D$107,2,FALSE)</f>
        <v>دبابة</v>
      </c>
      <c r="D43" s="34">
        <f>VLOOKUP(B43,داتا!$B$3:$D$107,3,FALSE)</f>
        <v>2.0833333333333301E-2</v>
      </c>
      <c r="E43" s="15" t="s">
        <v>55</v>
      </c>
      <c r="F43" s="15" t="s">
        <v>106</v>
      </c>
      <c r="G43" s="16">
        <v>0.25</v>
      </c>
      <c r="H43" s="16">
        <v>0.27777777777777779</v>
      </c>
      <c r="I43" s="16">
        <f t="shared" si="19"/>
        <v>2.777777777777779E-2</v>
      </c>
      <c r="J43" s="16">
        <v>0.46875</v>
      </c>
      <c r="K43" s="16">
        <v>0.48958333333333331</v>
      </c>
      <c r="L43" s="16" t="s">
        <v>157</v>
      </c>
      <c r="M43" s="16" t="s">
        <v>157</v>
      </c>
      <c r="N43" s="16">
        <f t="shared" si="2"/>
        <v>2.0833333333333315E-2</v>
      </c>
      <c r="O43" s="16">
        <f t="shared" si="5"/>
        <v>0</v>
      </c>
      <c r="P43" s="16">
        <v>6.9444444444444397E-3</v>
      </c>
      <c r="Q43" s="16">
        <v>0.48958333333333331</v>
      </c>
      <c r="R43" s="16">
        <v>0</v>
      </c>
      <c r="S43" s="16">
        <v>0.48958333333333331</v>
      </c>
      <c r="T43" s="16">
        <f>VLOOKUP(E43,'[2]21-3-2026'!E$3:T$35,16,FALSE)</f>
        <v>3.8194444444444399E-2</v>
      </c>
      <c r="U43" s="16">
        <v>0.56944444444444442</v>
      </c>
      <c r="V43" s="16">
        <v>0</v>
      </c>
      <c r="W43" s="16">
        <v>3.125E-2</v>
      </c>
      <c r="X43" s="16">
        <v>0.57291666666666663</v>
      </c>
      <c r="Y43" s="16">
        <v>0.58333333333333337</v>
      </c>
      <c r="Z43" s="16">
        <f t="shared" si="4"/>
        <v>1.0416666666666741E-2</v>
      </c>
      <c r="AA43" s="16">
        <v>0</v>
      </c>
      <c r="AB43" s="16">
        <v>0.58680555555555558</v>
      </c>
      <c r="AC43" s="39"/>
      <c r="AD43" s="56"/>
    </row>
    <row r="44" spans="1:30" ht="19.5" thickBot="1" x14ac:dyDescent="0.3">
      <c r="A44" s="14">
        <v>7</v>
      </c>
      <c r="B44" s="15">
        <v>459</v>
      </c>
      <c r="C44" s="15" t="str">
        <f>VLOOKUP(B44,داتا!$B$3:$D$107,2,FALSE)</f>
        <v>دبابة</v>
      </c>
      <c r="D44" s="34">
        <f>VLOOKUP(B44,داتا!$B$3:$D$107,3,FALSE)</f>
        <v>2.0833333333333301E-2</v>
      </c>
      <c r="E44" s="15" t="s">
        <v>89</v>
      </c>
      <c r="F44" s="15" t="s">
        <v>156</v>
      </c>
      <c r="G44" s="16">
        <v>0.25</v>
      </c>
      <c r="H44" s="16">
        <f t="shared" si="24"/>
        <v>0.25</v>
      </c>
      <c r="I44" s="16">
        <f t="shared" si="19"/>
        <v>0</v>
      </c>
      <c r="J44" s="16">
        <v>0.40625</v>
      </c>
      <c r="K44" s="16">
        <v>0.41666666666666669</v>
      </c>
      <c r="L44" s="16" t="s">
        <v>238</v>
      </c>
      <c r="M44" s="16" t="s">
        <v>238</v>
      </c>
      <c r="N44" s="16">
        <f t="shared" si="2"/>
        <v>1.0416666666666685E-2</v>
      </c>
      <c r="O44" s="16">
        <v>0</v>
      </c>
      <c r="P44" s="16">
        <v>6.9444444444444397E-3</v>
      </c>
      <c r="Q44" s="16">
        <v>0.4236111111111111</v>
      </c>
      <c r="R44" s="16">
        <f t="shared" si="8"/>
        <v>0</v>
      </c>
      <c r="S44" s="16">
        <v>0.4236111111111111</v>
      </c>
      <c r="T44" s="16">
        <f>VLOOKUP(E44,'[2]21-3-2026'!E$3:T$35,16,FALSE)</f>
        <v>1.7361111111111101E-2</v>
      </c>
      <c r="U44" s="16">
        <v>0.4597222222222222</v>
      </c>
      <c r="V44" s="16">
        <f t="shared" si="3"/>
        <v>1.8749999999999989E-2</v>
      </c>
      <c r="W44" s="16">
        <v>2.0833333333333332E-2</v>
      </c>
      <c r="X44" s="16">
        <v>0.46319444444444446</v>
      </c>
      <c r="Y44" s="16">
        <v>0.47916666666666669</v>
      </c>
      <c r="Z44" s="16">
        <f t="shared" si="4"/>
        <v>1.5972222222222221E-2</v>
      </c>
      <c r="AA44" s="16">
        <v>0</v>
      </c>
      <c r="AB44" s="16">
        <v>0.48125000000000001</v>
      </c>
      <c r="AC44" s="39"/>
      <c r="AD44" s="56"/>
    </row>
    <row r="45" spans="1:30" ht="19.5" thickBot="1" x14ac:dyDescent="0.3">
      <c r="A45" s="14">
        <v>8</v>
      </c>
      <c r="B45" s="15">
        <v>459</v>
      </c>
      <c r="C45" s="15" t="str">
        <f>VLOOKUP(B45,داتا!$B$3:$D$107,2,FALSE)</f>
        <v>دبابة</v>
      </c>
      <c r="D45" s="34">
        <f>VLOOKUP(B45,داتا!$B$3:$D$107,3,FALSE)</f>
        <v>2.0833333333333301E-2</v>
      </c>
      <c r="E45" s="15" t="s">
        <v>39</v>
      </c>
      <c r="F45" s="15" t="s">
        <v>156</v>
      </c>
      <c r="G45" s="16">
        <v>0.25</v>
      </c>
      <c r="H45" s="16">
        <f t="shared" ref="H45" si="25">VLOOKUP(F45,$F$3:$H$37,2,FALSE)</f>
        <v>0.25</v>
      </c>
      <c r="I45" s="16">
        <f t="shared" si="19"/>
        <v>0</v>
      </c>
      <c r="J45" s="16">
        <v>0.40625</v>
      </c>
      <c r="K45" s="16">
        <v>0.41666666666666669</v>
      </c>
      <c r="L45" s="16" t="s">
        <v>238</v>
      </c>
      <c r="M45" s="16" t="s">
        <v>238</v>
      </c>
      <c r="N45" s="16">
        <f t="shared" ref="N45" si="26">K45-J45</f>
        <v>1.0416666666666685E-2</v>
      </c>
      <c r="O45" s="16">
        <v>0</v>
      </c>
      <c r="P45" s="16">
        <v>6.9444444444444397E-3</v>
      </c>
      <c r="Q45" s="16">
        <v>0.4236111111111111</v>
      </c>
      <c r="R45" s="16">
        <f t="shared" si="8"/>
        <v>0</v>
      </c>
      <c r="S45" s="16">
        <v>0.4236111111111111</v>
      </c>
      <c r="T45" s="16">
        <v>1.0416666666666666E-2</v>
      </c>
      <c r="U45" s="16">
        <v>0.49652777777777773</v>
      </c>
      <c r="V45" s="16">
        <v>0</v>
      </c>
      <c r="W45" s="16">
        <v>3.125E-2</v>
      </c>
      <c r="X45" s="16">
        <v>0.49791666666666662</v>
      </c>
      <c r="Y45" s="16">
        <v>0.50763888888888886</v>
      </c>
      <c r="Z45" s="16">
        <f t="shared" si="4"/>
        <v>9.7222222222222432E-3</v>
      </c>
      <c r="AA45" s="16">
        <v>0</v>
      </c>
      <c r="AB45" s="16">
        <v>0.51041666666666663</v>
      </c>
      <c r="AC45" s="39"/>
      <c r="AD45" s="56"/>
    </row>
    <row r="46" spans="1:30" ht="19.5" thickBot="1" x14ac:dyDescent="0.3">
      <c r="A46" s="14">
        <v>9</v>
      </c>
      <c r="B46" s="15">
        <v>2474</v>
      </c>
      <c r="C46" s="15" t="str">
        <f>VLOOKUP(B46,داتا!$B$3:$D$107,2,FALSE)</f>
        <v>دبابة</v>
      </c>
      <c r="D46" s="34">
        <f>VLOOKUP(B46,داتا!$B$3:$D$107,3,FALSE)</f>
        <v>2.0833333333333332E-2</v>
      </c>
      <c r="E46" s="15" t="s">
        <v>75</v>
      </c>
      <c r="F46" s="15" t="s">
        <v>155</v>
      </c>
      <c r="G46" s="16">
        <v>0.25</v>
      </c>
      <c r="H46" s="16">
        <f t="shared" si="24"/>
        <v>0.25</v>
      </c>
      <c r="I46" s="16">
        <f t="shared" si="19"/>
        <v>0</v>
      </c>
      <c r="J46" s="16">
        <v>0.42499999999999999</v>
      </c>
      <c r="K46" s="16">
        <v>0.4375</v>
      </c>
      <c r="L46" s="16" t="s">
        <v>238</v>
      </c>
      <c r="M46" s="16" t="s">
        <v>238</v>
      </c>
      <c r="N46" s="16">
        <f t="shared" si="2"/>
        <v>1.2500000000000011E-2</v>
      </c>
      <c r="O46" s="16">
        <v>0</v>
      </c>
      <c r="P46" s="16">
        <v>6.9444444444444397E-3</v>
      </c>
      <c r="Q46" s="16">
        <v>0.44097222222222227</v>
      </c>
      <c r="R46" s="16">
        <v>0</v>
      </c>
      <c r="S46" s="16">
        <v>0.44097222222222227</v>
      </c>
      <c r="T46" s="16">
        <f>VLOOKUP(E46,'[2]21-3-2026'!E$3:T$35,16,FALSE)</f>
        <v>2.0833333333333301E-2</v>
      </c>
      <c r="U46" s="16">
        <v>0.46875</v>
      </c>
      <c r="V46" s="16">
        <f t="shared" si="3"/>
        <v>6.9444444444444198E-3</v>
      </c>
      <c r="W46" s="16">
        <v>2.0833333333333332E-2</v>
      </c>
      <c r="X46" s="16">
        <v>0.47222222222222227</v>
      </c>
      <c r="Y46" s="16">
        <v>0.49305555555555558</v>
      </c>
      <c r="Z46" s="16">
        <f t="shared" si="4"/>
        <v>2.0833333333333315E-2</v>
      </c>
      <c r="AA46" s="16">
        <f t="shared" si="1"/>
        <v>0</v>
      </c>
      <c r="AB46" s="16">
        <v>0.49652777777777773</v>
      </c>
      <c r="AC46" s="39"/>
      <c r="AD46" s="56"/>
    </row>
    <row r="47" spans="1:30" ht="19.5" thickBot="1" x14ac:dyDescent="0.3">
      <c r="A47" s="14">
        <v>10</v>
      </c>
      <c r="B47" s="15">
        <v>2474</v>
      </c>
      <c r="C47" s="15" t="str">
        <f>VLOOKUP(B47,داتا!$B$3:$D$107,2,FALSE)</f>
        <v>دبابة</v>
      </c>
      <c r="D47" s="34">
        <f>VLOOKUP(B47,داتا!$B$3:$D$107,3,FALSE)</f>
        <v>2.0833333333333332E-2</v>
      </c>
      <c r="E47" s="15" t="s">
        <v>60</v>
      </c>
      <c r="F47" s="15" t="s">
        <v>155</v>
      </c>
      <c r="G47" s="16">
        <v>0.25</v>
      </c>
      <c r="H47" s="16">
        <f t="shared" si="24"/>
        <v>0.25</v>
      </c>
      <c r="I47" s="16">
        <f t="shared" si="19"/>
        <v>0</v>
      </c>
      <c r="J47" s="16">
        <v>0.42499999999999999</v>
      </c>
      <c r="K47" s="16">
        <v>0.4375</v>
      </c>
      <c r="L47" s="16" t="s">
        <v>238</v>
      </c>
      <c r="M47" s="16" t="s">
        <v>238</v>
      </c>
      <c r="N47" s="16">
        <f t="shared" si="2"/>
        <v>1.2500000000000011E-2</v>
      </c>
      <c r="O47" s="16">
        <v>0</v>
      </c>
      <c r="P47" s="16">
        <v>6.9444444444444397E-3</v>
      </c>
      <c r="Q47" s="16">
        <v>0.44097222222222227</v>
      </c>
      <c r="R47" s="16">
        <v>0</v>
      </c>
      <c r="S47" s="16">
        <v>0.44097222222222227</v>
      </c>
      <c r="T47" s="16">
        <f>VLOOKUP(E47,'[2]21-3-2026'!E$3:T$35,16,FALSE)</f>
        <v>1.0416666666666701E-2</v>
      </c>
      <c r="U47" s="16">
        <v>0.51388888888888895</v>
      </c>
      <c r="V47" s="16">
        <v>6.9444444444444441E-3</v>
      </c>
      <c r="W47" s="16">
        <v>3.125E-2</v>
      </c>
      <c r="X47" s="16">
        <v>0.51736111111111105</v>
      </c>
      <c r="Y47" s="16">
        <v>0.53125</v>
      </c>
      <c r="Z47" s="16">
        <f t="shared" si="4"/>
        <v>1.3888888888888951E-2</v>
      </c>
      <c r="AA47" s="16">
        <v>0</v>
      </c>
      <c r="AB47" s="16">
        <v>0.53472222222222221</v>
      </c>
      <c r="AC47" s="39"/>
      <c r="AD47" s="56"/>
    </row>
    <row r="48" spans="1:30" ht="19.5" thickBot="1" x14ac:dyDescent="0.3">
      <c r="A48" s="14">
        <v>11</v>
      </c>
      <c r="B48" s="15">
        <v>6143</v>
      </c>
      <c r="C48" s="15" t="str">
        <f>VLOOKUP(B48,داتا!$B$3:$D$107,2,FALSE)</f>
        <v>تلتين</v>
      </c>
      <c r="D48" s="34">
        <f>VLOOKUP(B48,داتا!$B$3:$D$107,3,FALSE)</f>
        <v>3.125E-2</v>
      </c>
      <c r="E48" s="15" t="s">
        <v>30</v>
      </c>
      <c r="F48" s="15" t="s">
        <v>117</v>
      </c>
      <c r="G48" s="16">
        <v>0.25</v>
      </c>
      <c r="H48" s="16">
        <f t="shared" si="24"/>
        <v>0.25</v>
      </c>
      <c r="I48" s="16">
        <f t="shared" si="19"/>
        <v>0</v>
      </c>
      <c r="J48" s="16">
        <v>0.4513888888888889</v>
      </c>
      <c r="K48" s="16">
        <v>0.47916666666666669</v>
      </c>
      <c r="L48" s="16" t="s">
        <v>238</v>
      </c>
      <c r="M48" s="16" t="s">
        <v>238</v>
      </c>
      <c r="N48" s="16">
        <f t="shared" si="2"/>
        <v>2.777777777777779E-2</v>
      </c>
      <c r="O48" s="16">
        <v>0</v>
      </c>
      <c r="P48" s="16">
        <v>6.9444444444444397E-3</v>
      </c>
      <c r="Q48" s="16">
        <v>0.48958333333333331</v>
      </c>
      <c r="R48" s="16">
        <f t="shared" si="8"/>
        <v>3.4722222222222099E-3</v>
      </c>
      <c r="S48" s="16">
        <v>0.48958333333333331</v>
      </c>
      <c r="T48" s="16">
        <f>VLOOKUP(E48,'[2]21-3-2026'!E$3:T$35,16,FALSE)</f>
        <v>1.38888888888889E-2</v>
      </c>
      <c r="U48" s="16">
        <v>0.50347222222222221</v>
      </c>
      <c r="V48" s="16">
        <f t="shared" si="3"/>
        <v>0</v>
      </c>
      <c r="W48" s="16">
        <v>3.125E-2</v>
      </c>
      <c r="X48" s="16">
        <v>0.50694444444444442</v>
      </c>
      <c r="Y48" s="16">
        <v>0.52777777777777779</v>
      </c>
      <c r="Z48" s="16">
        <f t="shared" si="4"/>
        <v>2.083333333333337E-2</v>
      </c>
      <c r="AA48" s="16">
        <v>0</v>
      </c>
      <c r="AB48" s="16">
        <v>0.53125</v>
      </c>
      <c r="AC48" s="39"/>
      <c r="AD48" s="56"/>
    </row>
    <row r="49" spans="1:30" ht="19.5" thickBot="1" x14ac:dyDescent="0.3">
      <c r="A49" s="14">
        <v>12</v>
      </c>
      <c r="B49" s="15">
        <v>6143</v>
      </c>
      <c r="C49" s="15" t="str">
        <f>VLOOKUP(B49,داتا!$B$3:$D$107,2,FALSE)</f>
        <v>تلتين</v>
      </c>
      <c r="D49" s="34">
        <f>VLOOKUP(B49,داتا!$B$3:$D$107,3,FALSE)</f>
        <v>3.125E-2</v>
      </c>
      <c r="E49" s="15" t="s">
        <v>34</v>
      </c>
      <c r="F49" s="15" t="s">
        <v>117</v>
      </c>
      <c r="G49" s="16">
        <v>0.25</v>
      </c>
      <c r="H49" s="16">
        <f t="shared" si="24"/>
        <v>0.25</v>
      </c>
      <c r="I49" s="16">
        <f t="shared" si="19"/>
        <v>0</v>
      </c>
      <c r="J49" s="16">
        <v>0.4513888888888889</v>
      </c>
      <c r="K49" s="16">
        <v>0.47916666666666669</v>
      </c>
      <c r="L49" s="16" t="s">
        <v>238</v>
      </c>
      <c r="M49" s="16" t="s">
        <v>238</v>
      </c>
      <c r="N49" s="16">
        <f t="shared" si="2"/>
        <v>2.777777777777779E-2</v>
      </c>
      <c r="O49" s="16">
        <v>0</v>
      </c>
      <c r="P49" s="16">
        <v>6.9444444444444397E-3</v>
      </c>
      <c r="Q49" s="16">
        <v>0.48958333333333331</v>
      </c>
      <c r="R49" s="16">
        <f t="shared" si="8"/>
        <v>3.4722222222222099E-3</v>
      </c>
      <c r="S49" s="16">
        <v>0.48958333333333331</v>
      </c>
      <c r="T49" s="16">
        <f>VLOOKUP(E49,'[2]21-3-2026'!E$3:T$35,16,FALSE)</f>
        <v>1.0416666666666701E-2</v>
      </c>
      <c r="U49" s="16">
        <v>0.53819444444444442</v>
      </c>
      <c r="V49" s="16">
        <v>0</v>
      </c>
      <c r="W49" s="16">
        <v>4.1666666666666664E-2</v>
      </c>
      <c r="X49" s="16">
        <v>0.54166666666666663</v>
      </c>
      <c r="Y49" s="16">
        <v>0.5756944444444444</v>
      </c>
      <c r="Z49" s="16">
        <f t="shared" si="4"/>
        <v>3.4027777777777768E-2</v>
      </c>
      <c r="AA49" s="16">
        <v>0</v>
      </c>
      <c r="AB49" s="16">
        <v>0.57638888888888895</v>
      </c>
      <c r="AC49" s="39"/>
      <c r="AD49" s="56"/>
    </row>
    <row r="50" spans="1:30" ht="19.5" thickBot="1" x14ac:dyDescent="0.3">
      <c r="A50" s="14">
        <v>13</v>
      </c>
      <c r="B50" s="15">
        <v>3891</v>
      </c>
      <c r="C50" s="15" t="str">
        <f>VLOOKUP(B50,داتا!$B$3:$D$107,2,FALSE)</f>
        <v>تلتين</v>
      </c>
      <c r="D50" s="34">
        <f>VLOOKUP(B50,داتا!$B$3:$D$107,3,FALSE)</f>
        <v>3.125E-2</v>
      </c>
      <c r="E50" s="15" t="s">
        <v>63</v>
      </c>
      <c r="F50" s="15" t="s">
        <v>48</v>
      </c>
      <c r="G50" s="16">
        <v>0.25</v>
      </c>
      <c r="H50" s="16">
        <f t="shared" si="24"/>
        <v>0.25</v>
      </c>
      <c r="I50" s="16">
        <f t="shared" si="19"/>
        <v>0</v>
      </c>
      <c r="J50" s="16">
        <v>0.49305555555555558</v>
      </c>
      <c r="K50" s="16">
        <v>0.49652777777777773</v>
      </c>
      <c r="L50" s="16" t="s">
        <v>238</v>
      </c>
      <c r="M50" s="16" t="s">
        <v>238</v>
      </c>
      <c r="N50" s="16">
        <f t="shared" si="2"/>
        <v>3.4722222222221544E-3</v>
      </c>
      <c r="O50" s="16">
        <v>0</v>
      </c>
      <c r="P50" s="16">
        <v>6.9444444444444397E-3</v>
      </c>
      <c r="Q50" s="16">
        <v>0.5</v>
      </c>
      <c r="R50" s="16">
        <v>0</v>
      </c>
      <c r="S50" s="16">
        <v>0.5</v>
      </c>
      <c r="T50" s="16">
        <f>VLOOKUP(E50,'[2]21-3-2026'!E$3:T$35,16,FALSE)</f>
        <v>6.25E-2</v>
      </c>
      <c r="U50" s="16">
        <v>0.56944444444444442</v>
      </c>
      <c r="V50" s="16">
        <f t="shared" si="3"/>
        <v>6.9444444444444198E-3</v>
      </c>
      <c r="W50" s="16">
        <v>4.1666666666666664E-2</v>
      </c>
      <c r="X50" s="16">
        <v>0.57291666666666663</v>
      </c>
      <c r="Y50" s="16">
        <v>0.58333333333333337</v>
      </c>
      <c r="Z50" s="16">
        <f t="shared" si="4"/>
        <v>1.0416666666666741E-2</v>
      </c>
      <c r="AA50" s="16">
        <v>0</v>
      </c>
      <c r="AB50" s="16">
        <v>0.58680555555555558</v>
      </c>
      <c r="AC50" s="39"/>
      <c r="AD50" s="56"/>
    </row>
    <row r="51" spans="1:30" ht="19.5" thickBot="1" x14ac:dyDescent="0.3">
      <c r="A51" s="14">
        <v>14</v>
      </c>
      <c r="B51" s="15">
        <v>1538</v>
      </c>
      <c r="C51" s="15" t="str">
        <f>VLOOKUP(B51,داتا!$B$3:$D$107,2,FALSE)</f>
        <v>تلتين</v>
      </c>
      <c r="D51" s="34">
        <f>VLOOKUP(B51,داتا!$B$3:$D$107,3,FALSE)</f>
        <v>3.125E-2</v>
      </c>
      <c r="E51" s="15" t="s">
        <v>73</v>
      </c>
      <c r="F51" s="15" t="s">
        <v>62</v>
      </c>
      <c r="G51" s="16">
        <v>0.25</v>
      </c>
      <c r="H51" s="16">
        <f t="shared" si="24"/>
        <v>0.25</v>
      </c>
      <c r="I51" s="16">
        <f t="shared" si="19"/>
        <v>0</v>
      </c>
      <c r="J51" s="16">
        <v>0.39930555555555558</v>
      </c>
      <c r="K51" s="16">
        <v>0.42708333333333331</v>
      </c>
      <c r="L51" s="16" t="s">
        <v>88</v>
      </c>
      <c r="M51" s="16" t="s">
        <v>88</v>
      </c>
      <c r="N51" s="16">
        <f t="shared" si="2"/>
        <v>2.7777777777777735E-2</v>
      </c>
      <c r="O51" s="16">
        <v>0</v>
      </c>
      <c r="P51" s="16">
        <v>6.9444444444444397E-3</v>
      </c>
      <c r="Q51" s="16">
        <v>0.43402777777777773</v>
      </c>
      <c r="R51" s="16">
        <f t="shared" si="8"/>
        <v>0</v>
      </c>
      <c r="S51" s="16">
        <v>0.43402777777777773</v>
      </c>
      <c r="T51" s="16">
        <f>VLOOKUP(E51,'[2]21-3-2026'!E$3:T$35,16,FALSE)</f>
        <v>3.4722222222222203E-2</v>
      </c>
      <c r="U51" s="16">
        <v>0.47222222222222227</v>
      </c>
      <c r="V51" s="16">
        <f t="shared" si="3"/>
        <v>3.4722222222223209E-3</v>
      </c>
      <c r="W51" s="16">
        <v>3.125E-2</v>
      </c>
      <c r="X51" s="16">
        <v>0.47569444444444442</v>
      </c>
      <c r="Y51" s="16">
        <v>0.5</v>
      </c>
      <c r="Z51" s="16">
        <f t="shared" si="4"/>
        <v>2.430555555555558E-2</v>
      </c>
      <c r="AA51" s="16">
        <v>0</v>
      </c>
      <c r="AB51" s="16">
        <v>0.50347222222222221</v>
      </c>
      <c r="AC51" s="39"/>
      <c r="AD51" s="56"/>
    </row>
    <row r="52" spans="1:30" ht="19.5" thickBot="1" x14ac:dyDescent="0.3">
      <c r="A52" s="14">
        <v>15</v>
      </c>
      <c r="B52" s="15">
        <v>1538</v>
      </c>
      <c r="C52" s="15" t="str">
        <f>VLOOKUP(B52,داتا!$B$3:$D$107,2,FALSE)</f>
        <v>تلتين</v>
      </c>
      <c r="D52" s="34">
        <f>VLOOKUP(B52,داتا!$B$3:$D$107,3,FALSE)</f>
        <v>3.125E-2</v>
      </c>
      <c r="E52" s="15" t="s">
        <v>35</v>
      </c>
      <c r="F52" s="15" t="s">
        <v>62</v>
      </c>
      <c r="G52" s="16">
        <v>0.25</v>
      </c>
      <c r="H52" s="16">
        <f t="shared" si="24"/>
        <v>0.25</v>
      </c>
      <c r="I52" s="16">
        <f t="shared" si="19"/>
        <v>0</v>
      </c>
      <c r="J52" s="16">
        <v>0.39930555555555558</v>
      </c>
      <c r="K52" s="16">
        <v>0.42708333333333331</v>
      </c>
      <c r="L52" s="16" t="s">
        <v>88</v>
      </c>
      <c r="M52" s="16" t="s">
        <v>88</v>
      </c>
      <c r="N52" s="16">
        <f t="shared" si="2"/>
        <v>2.7777777777777735E-2</v>
      </c>
      <c r="O52" s="16">
        <v>0</v>
      </c>
      <c r="P52" s="16">
        <v>6.9444444444444397E-3</v>
      </c>
      <c r="Q52" s="16">
        <v>0.43402777777777773</v>
      </c>
      <c r="R52" s="16">
        <f t="shared" si="8"/>
        <v>0</v>
      </c>
      <c r="S52" s="16">
        <v>0.43402777777777773</v>
      </c>
      <c r="T52" s="16">
        <v>1.0416666666666666E-2</v>
      </c>
      <c r="U52" s="16">
        <v>0.51041666666666663</v>
      </c>
      <c r="V52" s="16">
        <v>0</v>
      </c>
      <c r="W52" s="16">
        <v>4.1666666666666664E-2</v>
      </c>
      <c r="X52" s="16">
        <v>0.51388888888888895</v>
      </c>
      <c r="Y52" s="16">
        <v>0.52777777777777779</v>
      </c>
      <c r="Z52" s="16">
        <f t="shared" si="4"/>
        <v>1.388888888888884E-2</v>
      </c>
      <c r="AA52" s="16">
        <v>0</v>
      </c>
      <c r="AB52" s="16">
        <v>0.53472222222222221</v>
      </c>
      <c r="AC52" s="39"/>
      <c r="AD52" s="56"/>
    </row>
    <row r="53" spans="1:30" ht="19.5" thickBot="1" x14ac:dyDescent="0.3">
      <c r="A53" s="14">
        <v>16</v>
      </c>
      <c r="B53" s="15">
        <v>1537</v>
      </c>
      <c r="C53" s="15" t="str">
        <f>VLOOKUP(B53,داتا!$B$3:$D$107,2,FALSE)</f>
        <v>تلتين</v>
      </c>
      <c r="D53" s="34">
        <f>VLOOKUP(B53,داتا!$B$3:$D$107,3,FALSE)</f>
        <v>3.125E-2</v>
      </c>
      <c r="E53" s="15" t="s">
        <v>57</v>
      </c>
      <c r="F53" s="15" t="s">
        <v>154</v>
      </c>
      <c r="G53" s="16">
        <v>0.25</v>
      </c>
      <c r="H53" s="16">
        <f t="shared" si="24"/>
        <v>0.25</v>
      </c>
      <c r="I53" s="16">
        <f t="shared" si="19"/>
        <v>0</v>
      </c>
      <c r="J53" s="16">
        <v>0.44444444444444442</v>
      </c>
      <c r="K53" s="16">
        <v>0.46875</v>
      </c>
      <c r="L53" s="16" t="s">
        <v>88</v>
      </c>
      <c r="M53" s="16" t="s">
        <v>88</v>
      </c>
      <c r="N53" s="16">
        <f t="shared" si="2"/>
        <v>2.430555555555558E-2</v>
      </c>
      <c r="O53" s="16">
        <v>0</v>
      </c>
      <c r="P53" s="16">
        <v>6.9444444444444397E-3</v>
      </c>
      <c r="Q53" s="16">
        <v>0.46875</v>
      </c>
      <c r="R53" s="16">
        <v>0</v>
      </c>
      <c r="S53" s="16">
        <v>0.46875</v>
      </c>
      <c r="T53" s="16">
        <f>VLOOKUP(E53,'[2]21-3-2026'!E$3:T$35,16,FALSE)</f>
        <v>1.7361111111111101E-2</v>
      </c>
      <c r="U53" s="16">
        <v>0.50694444444444442</v>
      </c>
      <c r="V53" s="16">
        <f t="shared" si="3"/>
        <v>2.0833333333333315E-2</v>
      </c>
      <c r="W53" s="16">
        <v>3.125E-2</v>
      </c>
      <c r="X53" s="16">
        <v>0.51041666666666663</v>
      </c>
      <c r="Y53" s="16">
        <v>0.52083333333333337</v>
      </c>
      <c r="Z53" s="16">
        <f t="shared" si="4"/>
        <v>1.0416666666666741E-2</v>
      </c>
      <c r="AA53" s="16">
        <v>0</v>
      </c>
      <c r="AB53" s="16">
        <v>0.52430555555555558</v>
      </c>
      <c r="AC53" s="39"/>
      <c r="AD53" s="56"/>
    </row>
    <row r="54" spans="1:30" ht="19.5" thickBot="1" x14ac:dyDescent="0.3">
      <c r="A54" s="14">
        <v>17</v>
      </c>
      <c r="B54" s="15">
        <v>1537</v>
      </c>
      <c r="C54" s="15" t="str">
        <f>VLOOKUP(B54,داتا!$B$3:$D$107,2,FALSE)</f>
        <v>تلتين</v>
      </c>
      <c r="D54" s="34">
        <f>VLOOKUP(B54,داتا!$B$3:$D$107,3,FALSE)</f>
        <v>3.125E-2</v>
      </c>
      <c r="E54" s="15" t="s">
        <v>38</v>
      </c>
      <c r="F54" s="15" t="s">
        <v>154</v>
      </c>
      <c r="G54" s="16">
        <v>0.25</v>
      </c>
      <c r="H54" s="16">
        <f t="shared" ref="H54" si="27">VLOOKUP(F54,$F$3:$H$37,2,FALSE)</f>
        <v>0.25</v>
      </c>
      <c r="I54" s="16">
        <f t="shared" si="19"/>
        <v>0</v>
      </c>
      <c r="J54" s="16">
        <v>0.44444444444444442</v>
      </c>
      <c r="K54" s="16">
        <v>0.46875</v>
      </c>
      <c r="L54" s="16" t="s">
        <v>88</v>
      </c>
      <c r="M54" s="16" t="s">
        <v>88</v>
      </c>
      <c r="N54" s="16">
        <f t="shared" ref="N54" si="28">K54-J54</f>
        <v>2.430555555555558E-2</v>
      </c>
      <c r="O54" s="16">
        <v>0</v>
      </c>
      <c r="P54" s="16">
        <v>6.9444444444444397E-3</v>
      </c>
      <c r="Q54" s="16">
        <v>0.46875</v>
      </c>
      <c r="R54" s="16">
        <v>0</v>
      </c>
      <c r="S54" s="16">
        <v>0.46875</v>
      </c>
      <c r="T54" s="16">
        <f>VLOOKUP(E54,'[2]21-3-2026'!E$3:T$35,16,FALSE)</f>
        <v>1.0416666666666666E-2</v>
      </c>
      <c r="U54" s="16">
        <v>0.53819444444444442</v>
      </c>
      <c r="V54" s="16">
        <v>3.472222222222222E-3</v>
      </c>
      <c r="W54" s="16">
        <v>4.1666666666666664E-2</v>
      </c>
      <c r="X54" s="16">
        <v>0.54513888888888895</v>
      </c>
      <c r="Y54" s="16">
        <v>0.56597222222222221</v>
      </c>
      <c r="Z54" s="16">
        <f t="shared" si="4"/>
        <v>2.0833333333333259E-2</v>
      </c>
      <c r="AA54" s="16">
        <v>0</v>
      </c>
      <c r="AB54" s="16">
        <v>0.56944444444444442</v>
      </c>
      <c r="AC54" s="39"/>
      <c r="AD54" s="56"/>
    </row>
    <row r="55" spans="1:30" ht="19.5" thickBot="1" x14ac:dyDescent="0.3">
      <c r="A55" s="14">
        <v>18</v>
      </c>
      <c r="B55" s="15">
        <v>634</v>
      </c>
      <c r="C55" s="15" t="str">
        <f>VLOOKUP(B55,داتا!$B$3:$D$107,2,FALSE)</f>
        <v>دبابة</v>
      </c>
      <c r="D55" s="34">
        <f>VLOOKUP(B55,داتا!$B$3:$D$107,3,FALSE)</f>
        <v>2.0833333333333301E-2</v>
      </c>
      <c r="E55" s="15" t="s">
        <v>65</v>
      </c>
      <c r="F55" s="15" t="s">
        <v>169</v>
      </c>
      <c r="G55" s="16">
        <v>0.25</v>
      </c>
      <c r="H55" s="16">
        <f t="shared" si="24"/>
        <v>0.25</v>
      </c>
      <c r="I55" s="16">
        <f t="shared" si="19"/>
        <v>0</v>
      </c>
      <c r="J55" s="16">
        <v>0.4861111111111111</v>
      </c>
      <c r="K55" s="16">
        <v>0.51041666666666663</v>
      </c>
      <c r="L55" s="16" t="s">
        <v>88</v>
      </c>
      <c r="M55" s="16" t="s">
        <v>88</v>
      </c>
      <c r="N55" s="16">
        <f t="shared" si="2"/>
        <v>2.4305555555555525E-2</v>
      </c>
      <c r="O55" s="16">
        <f t="shared" si="5"/>
        <v>3.4722222222222238E-3</v>
      </c>
      <c r="P55" s="16">
        <v>6.9444444444444397E-3</v>
      </c>
      <c r="Q55" s="16">
        <v>0.51041666666666663</v>
      </c>
      <c r="R55" s="16">
        <v>0</v>
      </c>
      <c r="S55" s="16">
        <v>0.51041666666666663</v>
      </c>
      <c r="T55" s="16">
        <f>VLOOKUP(E55,'[2]21-3-2026'!E$3:T$35,16,FALSE)</f>
        <v>4.1666666666666699E-2</v>
      </c>
      <c r="U55" s="16">
        <v>0.5625</v>
      </c>
      <c r="V55" s="16">
        <f t="shared" si="3"/>
        <v>1.041666666666663E-2</v>
      </c>
      <c r="W55" s="16">
        <v>3.125E-2</v>
      </c>
      <c r="X55" s="16">
        <v>0.56597222222222221</v>
      </c>
      <c r="Y55" s="16">
        <v>0.59027777777777779</v>
      </c>
      <c r="Z55" s="16">
        <f t="shared" si="4"/>
        <v>2.430555555555558E-2</v>
      </c>
      <c r="AA55" s="16">
        <v>0</v>
      </c>
      <c r="AB55" s="16">
        <v>0.59375</v>
      </c>
      <c r="AC55" s="39"/>
      <c r="AD55" s="56"/>
    </row>
    <row r="56" spans="1:30" ht="19.5" thickBot="1" x14ac:dyDescent="0.3">
      <c r="A56" s="14">
        <v>19</v>
      </c>
      <c r="B56" s="15">
        <v>2714</v>
      </c>
      <c r="C56" s="15" t="str">
        <f>VLOOKUP(B56,داتا!$B$3:$D$107,2,FALSE)</f>
        <v>تلتين</v>
      </c>
      <c r="D56" s="34">
        <f>VLOOKUP(B56,داتا!$B$3:$D$107,3,FALSE)</f>
        <v>3.125E-2</v>
      </c>
      <c r="E56" s="15" t="s">
        <v>83</v>
      </c>
      <c r="F56" s="15" t="s">
        <v>114</v>
      </c>
      <c r="G56" s="16">
        <v>0.25</v>
      </c>
      <c r="H56" s="16">
        <v>0.26041666666666669</v>
      </c>
      <c r="I56" s="16">
        <f t="shared" si="19"/>
        <v>1.0416666666666685E-2</v>
      </c>
      <c r="J56" s="16">
        <v>0.43402777777777773</v>
      </c>
      <c r="K56" s="16">
        <v>0.44444444444444442</v>
      </c>
      <c r="L56" s="15" t="s">
        <v>182</v>
      </c>
      <c r="M56" s="15" t="s">
        <v>182</v>
      </c>
      <c r="N56" s="16">
        <f t="shared" si="2"/>
        <v>1.0416666666666685E-2</v>
      </c>
      <c r="O56" s="16">
        <v>0</v>
      </c>
      <c r="P56" s="16">
        <v>6.9444444444444397E-3</v>
      </c>
      <c r="Q56" s="16">
        <v>0.4548611111111111</v>
      </c>
      <c r="R56" s="16">
        <f t="shared" si="8"/>
        <v>3.4722222222222654E-3</v>
      </c>
      <c r="S56" s="16">
        <v>0.4548611111111111</v>
      </c>
      <c r="T56" s="16">
        <f>VLOOKUP(E56,'[2]21-3-2026'!E$3:T$35,16,FALSE)</f>
        <v>1.38888888888889E-2</v>
      </c>
      <c r="U56" s="16">
        <v>0.47222222222222227</v>
      </c>
      <c r="V56" s="16">
        <f t="shared" si="3"/>
        <v>3.4722222222222654E-3</v>
      </c>
      <c r="W56" s="16">
        <v>3.125E-2</v>
      </c>
      <c r="X56" s="16">
        <v>0.47569444444444442</v>
      </c>
      <c r="Y56" s="16">
        <v>0.49305555555555558</v>
      </c>
      <c r="Z56" s="16">
        <f t="shared" si="4"/>
        <v>1.736111111111116E-2</v>
      </c>
      <c r="AA56" s="16">
        <v>0</v>
      </c>
      <c r="AB56" s="16">
        <v>0.49652777777777773</v>
      </c>
      <c r="AC56" s="39"/>
      <c r="AD56" s="56"/>
    </row>
    <row r="57" spans="1:30" ht="19.5" thickBot="1" x14ac:dyDescent="0.3">
      <c r="A57" s="14">
        <v>20</v>
      </c>
      <c r="B57" s="15">
        <v>2714</v>
      </c>
      <c r="C57" s="15" t="str">
        <f>VLOOKUP(B57,داتا!$B$3:$D$107,2,FALSE)</f>
        <v>تلتين</v>
      </c>
      <c r="D57" s="34">
        <f>VLOOKUP(B57,داتا!$B$3:$D$107,3,FALSE)</f>
        <v>3.125E-2</v>
      </c>
      <c r="E57" s="15" t="s">
        <v>77</v>
      </c>
      <c r="F57" s="15" t="s">
        <v>114</v>
      </c>
      <c r="G57" s="16">
        <v>0.25</v>
      </c>
      <c r="H57" s="16">
        <v>0.26041666666666669</v>
      </c>
      <c r="I57" s="16">
        <f t="shared" si="19"/>
        <v>1.0416666666666685E-2</v>
      </c>
      <c r="J57" s="16">
        <v>0.43402777777777773</v>
      </c>
      <c r="K57" s="16">
        <v>0.44444444444444442</v>
      </c>
      <c r="L57" s="15" t="s">
        <v>182</v>
      </c>
      <c r="M57" s="15" t="s">
        <v>182</v>
      </c>
      <c r="N57" s="16">
        <f t="shared" ref="N57" si="29">K57-J57</f>
        <v>1.0416666666666685E-2</v>
      </c>
      <c r="O57" s="16">
        <v>0</v>
      </c>
      <c r="P57" s="16">
        <v>6.9444444444444397E-3</v>
      </c>
      <c r="Q57" s="16">
        <v>0.4548611111111111</v>
      </c>
      <c r="R57" s="16">
        <f t="shared" si="8"/>
        <v>3.4722222222222654E-3</v>
      </c>
      <c r="S57" s="16">
        <v>0.4548611111111111</v>
      </c>
      <c r="T57" s="16">
        <f>VLOOKUP(E57,'[2]21-3-2026'!E$3:T$35,16,FALSE)</f>
        <v>1.38888888888889E-2</v>
      </c>
      <c r="U57" s="16">
        <v>0.50694444444444442</v>
      </c>
      <c r="V57" s="16">
        <v>0</v>
      </c>
      <c r="W57" s="16">
        <v>4.1666666666666664E-2</v>
      </c>
      <c r="X57" s="16">
        <v>0.51527777777777783</v>
      </c>
      <c r="Y57" s="16">
        <v>0.54166666666666663</v>
      </c>
      <c r="Z57" s="16">
        <f t="shared" si="4"/>
        <v>2.6388888888888795E-2</v>
      </c>
      <c r="AA57" s="16">
        <v>0</v>
      </c>
      <c r="AB57" s="16">
        <v>0.54513888888888895</v>
      </c>
      <c r="AC57" s="39"/>
      <c r="AD57" s="56"/>
    </row>
    <row r="58" spans="1:30" ht="19.5" thickBot="1" x14ac:dyDescent="0.3">
      <c r="A58" s="14">
        <v>21</v>
      </c>
      <c r="B58" s="15">
        <v>1454</v>
      </c>
      <c r="C58" s="15" t="str">
        <f>VLOOKUP(B58,داتا!$B$3:$D$107,2,FALSE)</f>
        <v>تلتين</v>
      </c>
      <c r="D58" s="34">
        <f>VLOOKUP(B58,داتا!$B$3:$D$107,3,FALSE)</f>
        <v>3.125E-2</v>
      </c>
      <c r="E58" s="15" t="s">
        <v>51</v>
      </c>
      <c r="F58" s="15" t="s">
        <v>43</v>
      </c>
      <c r="G58" s="16">
        <v>0.25</v>
      </c>
      <c r="H58" s="16">
        <v>0.2638888888888889</v>
      </c>
      <c r="I58" s="16">
        <f t="shared" si="19"/>
        <v>1.3888888888888895E-2</v>
      </c>
      <c r="J58" s="16">
        <v>0.4548611111111111</v>
      </c>
      <c r="K58" s="16">
        <v>0.5</v>
      </c>
      <c r="L58" s="15" t="s">
        <v>182</v>
      </c>
      <c r="M58" s="15" t="s">
        <v>182</v>
      </c>
      <c r="N58" s="16">
        <f t="shared" si="2"/>
        <v>4.5138888888888895E-2</v>
      </c>
      <c r="O58" s="16">
        <f t="shared" si="5"/>
        <v>1.3888888888888895E-2</v>
      </c>
      <c r="P58" s="16">
        <v>6.9444444444444397E-3</v>
      </c>
      <c r="Q58" s="16">
        <v>0.51041666666666663</v>
      </c>
      <c r="R58" s="16">
        <f t="shared" si="8"/>
        <v>3.4722222222222099E-3</v>
      </c>
      <c r="S58" s="16">
        <v>0.51041666666666663</v>
      </c>
      <c r="T58" s="16">
        <f>VLOOKUP(E58,'[2]21-3-2026'!E$3:T$35,16,FALSE)</f>
        <v>2.4305555555555601E-2</v>
      </c>
      <c r="U58" s="16">
        <v>0.53819444444444442</v>
      </c>
      <c r="V58" s="16">
        <f t="shared" si="3"/>
        <v>3.4722222222222099E-3</v>
      </c>
      <c r="W58" s="16">
        <v>3.125E-2</v>
      </c>
      <c r="X58" s="16">
        <v>0.54166666666666663</v>
      </c>
      <c r="Y58" s="16">
        <v>0.55833333333333335</v>
      </c>
      <c r="Z58" s="16">
        <f t="shared" si="4"/>
        <v>1.6666666666666718E-2</v>
      </c>
      <c r="AA58" s="16">
        <v>0</v>
      </c>
      <c r="AB58" s="16">
        <v>0.55902777777777779</v>
      </c>
      <c r="AC58" s="39"/>
      <c r="AD58" s="56"/>
    </row>
    <row r="59" spans="1:30" ht="19.5" thickBot="1" x14ac:dyDescent="0.3">
      <c r="A59" s="14">
        <v>22</v>
      </c>
      <c r="B59" s="15">
        <v>1454</v>
      </c>
      <c r="C59" s="15" t="str">
        <f>VLOOKUP(B59,داتا!$B$3:$D$107,2,FALSE)</f>
        <v>تلتين</v>
      </c>
      <c r="D59" s="34">
        <f>VLOOKUP(B59,داتا!$B$3:$D$107,3,FALSE)</f>
        <v>3.125E-2</v>
      </c>
      <c r="E59" s="16" t="s">
        <v>54</v>
      </c>
      <c r="F59" s="15" t="s">
        <v>43</v>
      </c>
      <c r="G59" s="16">
        <v>0.25</v>
      </c>
      <c r="H59" s="16">
        <v>0.2638888888888889</v>
      </c>
      <c r="I59" s="16">
        <f t="shared" si="19"/>
        <v>1.3888888888888895E-2</v>
      </c>
      <c r="J59" s="16">
        <v>0.4548611111111111</v>
      </c>
      <c r="K59" s="16">
        <v>0.5</v>
      </c>
      <c r="L59" s="15" t="s">
        <v>182</v>
      </c>
      <c r="M59" s="15" t="s">
        <v>182</v>
      </c>
      <c r="N59" s="16">
        <f t="shared" si="2"/>
        <v>4.5138888888888895E-2</v>
      </c>
      <c r="O59" s="16">
        <f t="shared" si="5"/>
        <v>1.3888888888888895E-2</v>
      </c>
      <c r="P59" s="16">
        <v>6.9444444444444397E-3</v>
      </c>
      <c r="Q59" s="16">
        <v>0.51041666666666663</v>
      </c>
      <c r="R59" s="16">
        <f t="shared" si="8"/>
        <v>3.4722222222222099E-3</v>
      </c>
      <c r="S59" s="16">
        <v>0.51041666666666663</v>
      </c>
      <c r="T59" s="16">
        <f>VLOOKUP(E59,'[2]21-3-2026'!E$3:T$35,16,FALSE)</f>
        <v>1.0416666666666701E-2</v>
      </c>
      <c r="U59" s="16">
        <v>0.56944444444444442</v>
      </c>
      <c r="V59" s="16">
        <v>0</v>
      </c>
      <c r="W59" s="16">
        <v>4.1666666666666664E-2</v>
      </c>
      <c r="X59" s="16">
        <v>0.57291666666666663</v>
      </c>
      <c r="Y59" s="16">
        <v>0.59027777777777779</v>
      </c>
      <c r="Z59" s="16">
        <f t="shared" si="4"/>
        <v>1.736111111111116E-2</v>
      </c>
      <c r="AA59" s="16">
        <v>0</v>
      </c>
      <c r="AB59" s="16">
        <v>0.59375</v>
      </c>
      <c r="AC59" s="39"/>
      <c r="AD59" s="56"/>
    </row>
    <row r="60" spans="1:30" ht="19.5" thickBot="1" x14ac:dyDescent="0.3">
      <c r="A60" s="14">
        <v>23</v>
      </c>
      <c r="B60" s="15">
        <v>6142</v>
      </c>
      <c r="C60" s="15" t="str">
        <f>VLOOKUP(B60,داتا!$B$3:$D$107,2,FALSE)</f>
        <v>تلتين</v>
      </c>
      <c r="D60" s="34">
        <f>VLOOKUP(B60,داتا!$B$3:$D$107,3,FALSE)</f>
        <v>3.125E-2</v>
      </c>
      <c r="E60" s="15" t="s">
        <v>42</v>
      </c>
      <c r="F60" s="15" t="s">
        <v>40</v>
      </c>
      <c r="G60" s="16">
        <v>0.25</v>
      </c>
      <c r="H60" s="16">
        <f t="shared" si="24"/>
        <v>0.25</v>
      </c>
      <c r="I60" s="16">
        <f t="shared" si="19"/>
        <v>0</v>
      </c>
      <c r="J60" s="16">
        <v>0.39930555555555558</v>
      </c>
      <c r="K60" s="16">
        <v>0.43055555555555558</v>
      </c>
      <c r="L60" s="16" t="s">
        <v>172</v>
      </c>
      <c r="M60" s="16" t="s">
        <v>172</v>
      </c>
      <c r="N60" s="16">
        <f t="shared" si="2"/>
        <v>3.125E-2</v>
      </c>
      <c r="O60" s="16">
        <f t="shared" si="5"/>
        <v>0</v>
      </c>
      <c r="P60" s="16">
        <v>6.9444444444444397E-3</v>
      </c>
      <c r="Q60" s="16">
        <v>0.44444444444444442</v>
      </c>
      <c r="R60" s="16">
        <f t="shared" si="8"/>
        <v>6.9444444444444198E-3</v>
      </c>
      <c r="S60" s="16">
        <v>0.44444444444444442</v>
      </c>
      <c r="T60" s="16">
        <f>VLOOKUP(E60,'[2]21-3-2026'!E$3:T$35,16,FALSE)</f>
        <v>1.7361111111111101E-2</v>
      </c>
      <c r="U60" s="16">
        <v>0.46527777777777773</v>
      </c>
      <c r="V60" s="16">
        <f t="shared" si="3"/>
        <v>3.4722222222222099E-3</v>
      </c>
      <c r="W60" s="16">
        <v>3.125E-2</v>
      </c>
      <c r="X60" s="16">
        <v>0.46875</v>
      </c>
      <c r="Y60" s="16">
        <v>0.48958333333333331</v>
      </c>
      <c r="Z60" s="16">
        <f t="shared" si="4"/>
        <v>2.0833333333333315E-2</v>
      </c>
      <c r="AA60" s="16">
        <v>0</v>
      </c>
      <c r="AB60" s="16">
        <v>0.49305555555555558</v>
      </c>
      <c r="AC60" s="39"/>
      <c r="AD60" s="56"/>
    </row>
    <row r="61" spans="1:30" ht="19.5" thickBot="1" x14ac:dyDescent="0.3">
      <c r="A61" s="14">
        <v>24</v>
      </c>
      <c r="B61" s="15">
        <v>6142</v>
      </c>
      <c r="C61" s="15" t="str">
        <f>VLOOKUP(B61,داتا!$B$3:$D$107,2,FALSE)</f>
        <v>تلتين</v>
      </c>
      <c r="D61" s="34">
        <f>VLOOKUP(B61,داتا!$B$3:$D$107,3,FALSE)</f>
        <v>3.125E-2</v>
      </c>
      <c r="E61" s="15" t="s">
        <v>45</v>
      </c>
      <c r="F61" s="15" t="s">
        <v>40</v>
      </c>
      <c r="G61" s="16">
        <v>0.25</v>
      </c>
      <c r="H61" s="16">
        <f t="shared" si="24"/>
        <v>0.25</v>
      </c>
      <c r="I61" s="16">
        <f t="shared" si="19"/>
        <v>0</v>
      </c>
      <c r="J61" s="16">
        <v>0.39930555555555558</v>
      </c>
      <c r="K61" s="16">
        <v>0.43055555555555558</v>
      </c>
      <c r="L61" s="16" t="s">
        <v>172</v>
      </c>
      <c r="M61" s="16" t="s">
        <v>172</v>
      </c>
      <c r="N61" s="16">
        <f t="shared" si="2"/>
        <v>3.125E-2</v>
      </c>
      <c r="O61" s="16">
        <f t="shared" si="5"/>
        <v>0</v>
      </c>
      <c r="P61" s="16">
        <v>6.9444444444444397E-3</v>
      </c>
      <c r="Q61" s="16">
        <v>0.44444444444444442</v>
      </c>
      <c r="R61" s="16">
        <f t="shared" si="8"/>
        <v>6.9444444444444198E-3</v>
      </c>
      <c r="S61" s="16">
        <v>0.44444444444444442</v>
      </c>
      <c r="T61" s="16">
        <f>VLOOKUP(E61,'[2]21-3-2026'!E$3:T$35,16,FALSE)</f>
        <v>1.38888888888889E-2</v>
      </c>
      <c r="U61" s="16">
        <v>0.50694444444444442</v>
      </c>
      <c r="V61" s="16">
        <v>3.472222222222222E-3</v>
      </c>
      <c r="W61" s="16">
        <v>4.1666666666666664E-2</v>
      </c>
      <c r="X61" s="16">
        <v>0.51736111111111105</v>
      </c>
      <c r="Y61" s="16">
        <v>0.54027777777777775</v>
      </c>
      <c r="Z61" s="16">
        <f t="shared" si="4"/>
        <v>2.2916666666666696E-2</v>
      </c>
      <c r="AA61" s="16">
        <v>0</v>
      </c>
      <c r="AB61" s="16">
        <v>0.54166666666666663</v>
      </c>
      <c r="AC61" s="39"/>
      <c r="AD61" s="56"/>
    </row>
    <row r="62" spans="1:30" ht="19.5" thickBot="1" x14ac:dyDescent="0.3">
      <c r="A62" s="14">
        <v>25</v>
      </c>
      <c r="B62" s="15">
        <v>796</v>
      </c>
      <c r="C62" s="15" t="str">
        <f>VLOOKUP(B62,داتا!$B$3:$D$107,2,FALSE)</f>
        <v>دبابة</v>
      </c>
      <c r="D62" s="34">
        <f>VLOOKUP(B62,داتا!$B$3:$D$107,3,FALSE)</f>
        <v>2.0833333333333301E-2</v>
      </c>
      <c r="E62" s="15" t="s">
        <v>81</v>
      </c>
      <c r="F62" s="15" t="s">
        <v>147</v>
      </c>
      <c r="G62" s="16">
        <v>0.25</v>
      </c>
      <c r="H62" s="16">
        <f t="shared" si="24"/>
        <v>0.25</v>
      </c>
      <c r="I62" s="16">
        <f t="shared" si="19"/>
        <v>0</v>
      </c>
      <c r="J62" s="16">
        <v>0.44097222222222227</v>
      </c>
      <c r="K62" s="16">
        <v>0.4826388888888889</v>
      </c>
      <c r="L62" s="16" t="s">
        <v>172</v>
      </c>
      <c r="M62" s="16" t="s">
        <v>172</v>
      </c>
      <c r="N62" s="16">
        <f t="shared" si="2"/>
        <v>4.166666666666663E-2</v>
      </c>
      <c r="O62" s="16">
        <f t="shared" si="5"/>
        <v>2.0833333333333329E-2</v>
      </c>
      <c r="P62" s="16">
        <v>6.9444444444444397E-3</v>
      </c>
      <c r="Q62" s="16">
        <v>0.4861111111111111</v>
      </c>
      <c r="R62" s="16">
        <v>0</v>
      </c>
      <c r="S62" s="16">
        <v>0.4861111111111111</v>
      </c>
      <c r="T62" s="16">
        <f>VLOOKUP(E62,'[2]21-3-2026'!E$3:T$35,16,FALSE)</f>
        <v>2.7777777777777801E-2</v>
      </c>
      <c r="U62" s="16">
        <v>0.52083333333333337</v>
      </c>
      <c r="V62" s="16">
        <f t="shared" si="3"/>
        <v>6.9444444444444753E-3</v>
      </c>
      <c r="W62" s="16">
        <v>3.125E-2</v>
      </c>
      <c r="X62" s="16">
        <v>0.52777777777777779</v>
      </c>
      <c r="Y62" s="16">
        <v>0.5541666666666667</v>
      </c>
      <c r="Z62" s="16">
        <f t="shared" si="4"/>
        <v>2.6388888888888906E-2</v>
      </c>
      <c r="AA62" s="16">
        <v>0</v>
      </c>
      <c r="AB62" s="16">
        <v>0.5625</v>
      </c>
      <c r="AC62" s="39"/>
      <c r="AD62" s="56"/>
    </row>
    <row r="63" spans="1:30" ht="19.5" thickBot="1" x14ac:dyDescent="0.3">
      <c r="A63" s="14">
        <v>26</v>
      </c>
      <c r="B63" s="15">
        <v>2917</v>
      </c>
      <c r="C63" s="15" t="str">
        <f>VLOOKUP(B63,داتا!$B$3:$D$107,2,FALSE)</f>
        <v>تلتين</v>
      </c>
      <c r="D63" s="34">
        <f>VLOOKUP(B63,داتا!$B$3:$D$107,3,FALSE)</f>
        <v>3.125E-2</v>
      </c>
      <c r="E63" s="15" t="s">
        <v>98</v>
      </c>
      <c r="F63" s="15" t="s">
        <v>36</v>
      </c>
      <c r="G63" s="16">
        <v>0.25</v>
      </c>
      <c r="H63" s="16">
        <f t="shared" si="24"/>
        <v>0.25</v>
      </c>
      <c r="I63" s="16">
        <f t="shared" si="19"/>
        <v>0</v>
      </c>
      <c r="J63" s="16">
        <v>0.4861111111111111</v>
      </c>
      <c r="K63" s="16">
        <v>0.51388888888888895</v>
      </c>
      <c r="L63" s="16" t="s">
        <v>172</v>
      </c>
      <c r="M63" s="16" t="s">
        <v>172</v>
      </c>
      <c r="N63" s="16">
        <f t="shared" si="2"/>
        <v>2.7777777777777846E-2</v>
      </c>
      <c r="O63" s="16">
        <v>0</v>
      </c>
      <c r="P63" s="16">
        <v>6.9444444444444397E-3</v>
      </c>
      <c r="Q63" s="16">
        <v>0.52430555555555558</v>
      </c>
      <c r="R63" s="16">
        <f t="shared" si="8"/>
        <v>3.4722222222222099E-3</v>
      </c>
      <c r="S63" s="16">
        <v>0.52430555555555558</v>
      </c>
      <c r="T63" s="16">
        <f>VLOOKUP(E63,'[2]21-3-2026'!E$3:T$35,16,FALSE)</f>
        <v>4.8611111111111103E-3</v>
      </c>
      <c r="U63" s="16">
        <v>0.53819444444444442</v>
      </c>
      <c r="V63" s="16">
        <f t="shared" si="3"/>
        <v>9.0277777777777457E-3</v>
      </c>
      <c r="W63" s="16">
        <v>3.125E-2</v>
      </c>
      <c r="X63" s="16">
        <v>0.53888888888888886</v>
      </c>
      <c r="Y63" s="16">
        <v>0.56111111111111112</v>
      </c>
      <c r="Z63" s="16">
        <f t="shared" si="4"/>
        <v>2.2222222222222254E-2</v>
      </c>
      <c r="AA63" s="16">
        <v>0</v>
      </c>
      <c r="AB63" s="16">
        <v>0.56180555555555556</v>
      </c>
      <c r="AC63" s="39"/>
      <c r="AD63" s="56"/>
    </row>
    <row r="64" spans="1:30" ht="19.5" thickBot="1" x14ac:dyDescent="0.3">
      <c r="A64" s="14">
        <v>27</v>
      </c>
      <c r="B64" s="15">
        <v>2917</v>
      </c>
      <c r="C64" s="15" t="str">
        <f>VLOOKUP(B64,داتا!$B$3:$D$107,2,FALSE)</f>
        <v>تلتين</v>
      </c>
      <c r="D64" s="34">
        <f>VLOOKUP(B64,داتا!$B$3:$D$107,3,FALSE)</f>
        <v>3.125E-2</v>
      </c>
      <c r="E64" s="15" t="s">
        <v>95</v>
      </c>
      <c r="F64" s="15" t="s">
        <v>36</v>
      </c>
      <c r="G64" s="16">
        <v>0.25</v>
      </c>
      <c r="H64" s="16">
        <f t="shared" si="24"/>
        <v>0.25</v>
      </c>
      <c r="I64" s="16">
        <f t="shared" si="19"/>
        <v>0</v>
      </c>
      <c r="J64" s="16">
        <v>0.4861111111111111</v>
      </c>
      <c r="K64" s="16">
        <v>0.51388888888888895</v>
      </c>
      <c r="L64" s="16" t="s">
        <v>172</v>
      </c>
      <c r="M64" s="16" t="s">
        <v>172</v>
      </c>
      <c r="N64" s="16">
        <f t="shared" si="2"/>
        <v>2.7777777777777846E-2</v>
      </c>
      <c r="O64" s="16">
        <v>0</v>
      </c>
      <c r="P64" s="16">
        <v>6.9444444444444397E-3</v>
      </c>
      <c r="Q64" s="16">
        <v>0.52430555555555558</v>
      </c>
      <c r="R64" s="16">
        <f t="shared" si="8"/>
        <v>3.4722222222222099E-3</v>
      </c>
      <c r="S64" s="16">
        <v>0.52430555555555558</v>
      </c>
      <c r="T64" s="16">
        <f>VLOOKUP(E64,'[2]21-3-2026'!E$3:T$35,16,FALSE)</f>
        <v>1.0416666666666701E-2</v>
      </c>
      <c r="U64" s="16">
        <v>0.57291666666666663</v>
      </c>
      <c r="V64" s="16">
        <v>0</v>
      </c>
      <c r="W64" s="16">
        <v>4.1666666666666664E-2</v>
      </c>
      <c r="X64" s="16">
        <v>0.57638888888888895</v>
      </c>
      <c r="Y64" s="16">
        <v>0.6</v>
      </c>
      <c r="Z64" s="16">
        <f t="shared" si="4"/>
        <v>2.3611111111111027E-2</v>
      </c>
      <c r="AA64" s="16">
        <v>0</v>
      </c>
      <c r="AB64" s="16">
        <v>0.60069444444444442</v>
      </c>
      <c r="AC64" s="39"/>
      <c r="AD64" s="56"/>
    </row>
    <row r="65" spans="1:30" ht="19.5" thickBot="1" x14ac:dyDescent="0.3">
      <c r="A65" s="14">
        <v>28</v>
      </c>
      <c r="B65" s="15">
        <v>3495</v>
      </c>
      <c r="C65" s="15" t="str">
        <f>VLOOKUP(B65,داتا!$B$3:$D$107,2,FALSE)</f>
        <v>تلتين</v>
      </c>
      <c r="D65" s="34">
        <f>VLOOKUP(B65,داتا!$B$3:$D$107,3,FALSE)</f>
        <v>3.125E-2</v>
      </c>
      <c r="E65" s="15" t="s">
        <v>69</v>
      </c>
      <c r="F65" s="15" t="s">
        <v>148</v>
      </c>
      <c r="G65" s="16">
        <v>0.25</v>
      </c>
      <c r="H65" s="16">
        <f t="shared" si="24"/>
        <v>0.25</v>
      </c>
      <c r="I65" s="16">
        <f t="shared" si="19"/>
        <v>0</v>
      </c>
      <c r="J65" s="16">
        <v>0.39583333333333331</v>
      </c>
      <c r="K65" s="16">
        <v>0.43402777777777773</v>
      </c>
      <c r="L65" s="16" t="s">
        <v>85</v>
      </c>
      <c r="M65" s="16" t="s">
        <v>85</v>
      </c>
      <c r="N65" s="16">
        <f t="shared" si="2"/>
        <v>3.819444444444442E-2</v>
      </c>
      <c r="O65" s="16">
        <f t="shared" si="5"/>
        <v>6.9444444444444198E-3</v>
      </c>
      <c r="P65" s="16">
        <v>6.9444444444444397E-3</v>
      </c>
      <c r="Q65" s="16">
        <v>0.43402777777777773</v>
      </c>
      <c r="R65" s="16">
        <v>0</v>
      </c>
      <c r="S65" s="16">
        <v>0.43402777777777773</v>
      </c>
      <c r="T65" s="16">
        <f>VLOOKUP(E65,'[2]21-3-2026'!E$3:T$35,16,FALSE)</f>
        <v>1.38888888888889E-2</v>
      </c>
      <c r="U65" s="16">
        <v>0.45833333333333331</v>
      </c>
      <c r="V65" s="16">
        <f t="shared" si="3"/>
        <v>1.0416666666666685E-2</v>
      </c>
      <c r="W65" s="16">
        <v>3.125E-2</v>
      </c>
      <c r="X65" s="16">
        <v>0.46180555555555558</v>
      </c>
      <c r="Y65" s="16">
        <v>0.47916666666666669</v>
      </c>
      <c r="Z65" s="16">
        <f t="shared" si="4"/>
        <v>1.7361111111111105E-2</v>
      </c>
      <c r="AA65" s="16">
        <v>0</v>
      </c>
      <c r="AB65" s="16">
        <v>0.4826388888888889</v>
      </c>
      <c r="AC65" s="39"/>
      <c r="AD65" s="56"/>
    </row>
    <row r="66" spans="1:30" ht="20.25" customHeight="1" thickBot="1" x14ac:dyDescent="0.3">
      <c r="A66" s="14">
        <v>29</v>
      </c>
      <c r="B66" s="15">
        <v>3495</v>
      </c>
      <c r="C66" s="15" t="str">
        <f>VLOOKUP(B66,داتا!$B$3:$D$107,2,FALSE)</f>
        <v>تلتين</v>
      </c>
      <c r="D66" s="34">
        <f>VLOOKUP(B66,داتا!$B$3:$D$107,3,FALSE)</f>
        <v>3.125E-2</v>
      </c>
      <c r="E66" s="15" t="s">
        <v>67</v>
      </c>
      <c r="F66" s="15" t="s">
        <v>148</v>
      </c>
      <c r="G66" s="16">
        <v>0.25</v>
      </c>
      <c r="H66" s="16">
        <f t="shared" si="24"/>
        <v>0.25</v>
      </c>
      <c r="I66" s="16">
        <f t="shared" si="19"/>
        <v>0</v>
      </c>
      <c r="J66" s="16">
        <v>0.39583333333333331</v>
      </c>
      <c r="K66" s="16">
        <v>0.43402777777777773</v>
      </c>
      <c r="L66" s="16" t="s">
        <v>85</v>
      </c>
      <c r="M66" s="16" t="s">
        <v>85</v>
      </c>
      <c r="N66" s="16">
        <f t="shared" si="2"/>
        <v>3.819444444444442E-2</v>
      </c>
      <c r="O66" s="16">
        <f t="shared" si="5"/>
        <v>6.9444444444444198E-3</v>
      </c>
      <c r="P66" s="16">
        <v>6.9444444444444397E-3</v>
      </c>
      <c r="Q66" s="16">
        <v>0.43402777777777773</v>
      </c>
      <c r="R66" s="16">
        <v>0</v>
      </c>
      <c r="S66" s="16">
        <v>0.43402777777777773</v>
      </c>
      <c r="T66" s="16">
        <v>1.0416666666666666E-2</v>
      </c>
      <c r="U66" s="16">
        <v>0.4861111111111111</v>
      </c>
      <c r="V66" s="16">
        <v>0</v>
      </c>
      <c r="W66" s="16">
        <v>4.1666666666666664E-2</v>
      </c>
      <c r="X66" s="16">
        <v>0.48958333333333331</v>
      </c>
      <c r="Y66" s="16">
        <v>0.5</v>
      </c>
      <c r="Z66" s="16">
        <f t="shared" si="4"/>
        <v>1.0416666666666685E-2</v>
      </c>
      <c r="AA66" s="16">
        <v>0</v>
      </c>
      <c r="AB66" s="16">
        <v>0.50347222222222221</v>
      </c>
      <c r="AC66" s="41"/>
      <c r="AD66" s="56"/>
    </row>
    <row r="67" spans="1:30" ht="19.5" customHeight="1" thickBot="1" x14ac:dyDescent="0.3">
      <c r="A67" s="14">
        <v>30</v>
      </c>
      <c r="B67" s="15">
        <v>2695</v>
      </c>
      <c r="C67" s="15" t="str">
        <f>VLOOKUP(B67,داتا!$B$3:$D$107,2,FALSE)</f>
        <v>تلتين</v>
      </c>
      <c r="D67" s="34">
        <f>VLOOKUP(B67,داتا!$B$3:$D$107,3,FALSE)</f>
        <v>3.125E-2</v>
      </c>
      <c r="E67" s="15" t="s">
        <v>46</v>
      </c>
      <c r="F67" s="15" t="s">
        <v>31</v>
      </c>
      <c r="G67" s="16">
        <v>0.25</v>
      </c>
      <c r="H67" s="16">
        <f t="shared" si="24"/>
        <v>0.25</v>
      </c>
      <c r="I67" s="16">
        <f t="shared" si="19"/>
        <v>0</v>
      </c>
      <c r="J67" s="16">
        <v>0.44097222222222227</v>
      </c>
      <c r="K67" s="16">
        <v>0.50347222222222221</v>
      </c>
      <c r="L67" s="16" t="s">
        <v>85</v>
      </c>
      <c r="M67" s="16" t="s">
        <v>85</v>
      </c>
      <c r="N67" s="16">
        <f t="shared" si="2"/>
        <v>6.2499999999999944E-2</v>
      </c>
      <c r="O67" s="16">
        <f t="shared" si="5"/>
        <v>3.1249999999999944E-2</v>
      </c>
      <c r="P67" s="16">
        <v>6.9444444444444397E-3</v>
      </c>
      <c r="Q67" s="16">
        <v>0.51041666666666663</v>
      </c>
      <c r="R67" s="16">
        <f t="shared" si="8"/>
        <v>0</v>
      </c>
      <c r="S67" s="16">
        <v>0.51041666666666663</v>
      </c>
      <c r="T67" s="16">
        <f>VLOOKUP(E67,'[2]21-3-2026'!E$3:T$35,16,FALSE)</f>
        <v>3.4722222222222203E-2</v>
      </c>
      <c r="U67" s="16">
        <v>0.53819444444444442</v>
      </c>
      <c r="V67" s="16">
        <v>0</v>
      </c>
      <c r="W67" s="16">
        <v>3.125E-2</v>
      </c>
      <c r="X67" s="16">
        <v>0.54166666666666663</v>
      </c>
      <c r="Y67" s="16">
        <v>0.57291666666666663</v>
      </c>
      <c r="Z67" s="16">
        <f t="shared" si="4"/>
        <v>3.125E-2</v>
      </c>
      <c r="AA67" s="16">
        <f t="shared" ref="AA67" si="30">Z67-W67</f>
        <v>0</v>
      </c>
      <c r="AB67" s="16">
        <v>0.57986111111111105</v>
      </c>
      <c r="AC67" s="39"/>
      <c r="AD67" s="56"/>
    </row>
    <row r="68" spans="1:30" ht="19.5" customHeight="1" thickBot="1" x14ac:dyDescent="0.3">
      <c r="A68" s="14">
        <v>31</v>
      </c>
      <c r="B68" s="15">
        <v>2695</v>
      </c>
      <c r="C68" s="15" t="str">
        <f>VLOOKUP(B68,داتا!$B$3:$D$107,2,FALSE)</f>
        <v>تلتين</v>
      </c>
      <c r="D68" s="34">
        <f>VLOOKUP(B68,داتا!$B$3:$D$107,3,FALSE)</f>
        <v>3.125E-2</v>
      </c>
      <c r="E68" s="15" t="s">
        <v>49</v>
      </c>
      <c r="F68" s="15" t="s">
        <v>31</v>
      </c>
      <c r="G68" s="16">
        <v>0.25</v>
      </c>
      <c r="H68" s="16">
        <f t="shared" si="24"/>
        <v>0.25</v>
      </c>
      <c r="I68" s="16">
        <f t="shared" si="19"/>
        <v>0</v>
      </c>
      <c r="J68" s="16">
        <v>0.44097222222222227</v>
      </c>
      <c r="K68" s="16">
        <v>0.50347222222222221</v>
      </c>
      <c r="L68" s="16" t="s">
        <v>85</v>
      </c>
      <c r="M68" s="16" t="s">
        <v>85</v>
      </c>
      <c r="N68" s="16">
        <f t="shared" ref="N68:N93" si="31">K68-J68</f>
        <v>6.2499999999999944E-2</v>
      </c>
      <c r="O68" s="16">
        <f t="shared" si="5"/>
        <v>3.1249999999999944E-2</v>
      </c>
      <c r="P68" s="16">
        <v>6.9444444444444397E-3</v>
      </c>
      <c r="Q68" s="16">
        <v>0.51041666666666663</v>
      </c>
      <c r="R68" s="16">
        <f t="shared" si="8"/>
        <v>0</v>
      </c>
      <c r="S68" s="16">
        <v>0.51041666666666663</v>
      </c>
      <c r="T68" s="16">
        <f>VLOOKUP(E68,'[2]21-3-2026'!E$3:T$35,16,FALSE)</f>
        <v>3.4722222222222203E-2</v>
      </c>
      <c r="U68" s="16">
        <v>0.59027777777777779</v>
      </c>
      <c r="V68" s="16">
        <v>0</v>
      </c>
      <c r="W68" s="16">
        <v>4.1666666666666664E-2</v>
      </c>
      <c r="X68" s="16">
        <v>0.59375</v>
      </c>
      <c r="Y68" s="16">
        <v>0.63055555555555554</v>
      </c>
      <c r="Z68" s="16">
        <f t="shared" ref="Z68:Z93" si="32">Y68-X68</f>
        <v>3.6805555555555536E-2</v>
      </c>
      <c r="AA68" s="16">
        <v>0</v>
      </c>
      <c r="AB68" s="16">
        <v>0.63194444444444442</v>
      </c>
      <c r="AC68" s="39"/>
      <c r="AD68" s="56"/>
    </row>
    <row r="69" spans="1:30" ht="19.5" thickBot="1" x14ac:dyDescent="0.3">
      <c r="A69" s="20">
        <v>32</v>
      </c>
      <c r="B69" s="21">
        <v>2694</v>
      </c>
      <c r="C69" s="21" t="str">
        <f>VLOOKUP(B69,داتا!$B$3:$D$107,2,FALSE)</f>
        <v>تلتين</v>
      </c>
      <c r="D69" s="35">
        <f>VLOOKUP(B69,داتا!$B$3:$D$107,3,FALSE)</f>
        <v>3.125E-2</v>
      </c>
      <c r="E69" s="21" t="s">
        <v>86</v>
      </c>
      <c r="F69" s="21" t="s">
        <v>171</v>
      </c>
      <c r="G69" s="22">
        <v>0.25</v>
      </c>
      <c r="H69" s="22">
        <f t="shared" si="24"/>
        <v>0.25</v>
      </c>
      <c r="I69" s="22">
        <f t="shared" si="19"/>
        <v>0</v>
      </c>
      <c r="J69" s="22">
        <v>0.51041666666666663</v>
      </c>
      <c r="K69" s="22">
        <v>0.52777777777777779</v>
      </c>
      <c r="L69" s="22" t="s">
        <v>85</v>
      </c>
      <c r="M69" s="22" t="s">
        <v>85</v>
      </c>
      <c r="N69" s="22">
        <f t="shared" si="31"/>
        <v>1.736111111111116E-2</v>
      </c>
      <c r="O69" s="22">
        <v>0</v>
      </c>
      <c r="P69" s="22">
        <v>6.9444444444444397E-3</v>
      </c>
      <c r="Q69" s="22">
        <v>0.53125</v>
      </c>
      <c r="R69" s="22">
        <v>0</v>
      </c>
      <c r="S69" s="22">
        <v>0.53125</v>
      </c>
      <c r="T69" s="22">
        <f>VLOOKUP(E69,'[2]21-3-2026'!E$3:T$35,16,FALSE)</f>
        <v>3.4722222222222199E-3</v>
      </c>
      <c r="U69" s="22">
        <v>0.53819444444444442</v>
      </c>
      <c r="V69" s="22">
        <f t="shared" ref="V69:V92" si="33">U69-T69-S69</f>
        <v>3.4722222222222099E-3</v>
      </c>
      <c r="W69" s="22">
        <v>4.1666666666666664E-2</v>
      </c>
      <c r="X69" s="22">
        <v>0.54166666666666663</v>
      </c>
      <c r="Y69" s="22">
        <v>0.56597222222222221</v>
      </c>
      <c r="Z69" s="22">
        <f t="shared" si="32"/>
        <v>2.430555555555558E-2</v>
      </c>
      <c r="AA69" s="22">
        <v>0</v>
      </c>
      <c r="AB69" s="22">
        <v>0.56944444444444442</v>
      </c>
      <c r="AC69" s="42"/>
      <c r="AD69" s="57"/>
    </row>
    <row r="70" spans="1:30" ht="20.25" thickTop="1" thickBot="1" x14ac:dyDescent="0.3">
      <c r="A70" s="10">
        <v>1</v>
      </c>
      <c r="B70" s="11">
        <v>3783</v>
      </c>
      <c r="C70" s="11" t="str">
        <f>VLOOKUP(B70,داتا!$B$3:$D$107,2,FALSE)</f>
        <v>دبابة</v>
      </c>
      <c r="D70" s="33">
        <f>VLOOKUP(B70,داتا!$B$3:$D$107,3,FALSE)</f>
        <v>2.0833333333333301E-2</v>
      </c>
      <c r="E70" s="11" t="s">
        <v>72</v>
      </c>
      <c r="F70" s="11" t="s">
        <v>176</v>
      </c>
      <c r="G70" s="12">
        <v>8.3333333333333329E-2</v>
      </c>
      <c r="H70" s="12">
        <v>9.0277777777777776E-2</v>
      </c>
      <c r="I70" s="12">
        <f t="shared" si="19"/>
        <v>6.9444444444444475E-3</v>
      </c>
      <c r="J70" s="12">
        <v>0.57986111111111105</v>
      </c>
      <c r="K70" s="12">
        <v>0.59375</v>
      </c>
      <c r="L70" s="12" t="s">
        <v>157</v>
      </c>
      <c r="M70" s="12" t="s">
        <v>157</v>
      </c>
      <c r="N70" s="12">
        <f t="shared" si="31"/>
        <v>1.3888888888888951E-2</v>
      </c>
      <c r="O70" s="12">
        <v>0</v>
      </c>
      <c r="P70" s="12">
        <v>6.9444444444444397E-3</v>
      </c>
      <c r="Q70" s="12">
        <v>0.59722222222222221</v>
      </c>
      <c r="R70" s="12">
        <v>0</v>
      </c>
      <c r="S70" s="12">
        <v>0.59722222222222221</v>
      </c>
      <c r="T70" s="12">
        <f>VLOOKUP(E70,'[2]21-3-2026'!E$3:T$35,16,FALSE)</f>
        <v>1.0416666666666701E-2</v>
      </c>
      <c r="U70" s="12">
        <v>0.62847222222222221</v>
      </c>
      <c r="V70" s="12">
        <f t="shared" si="33"/>
        <v>2.0833333333333259E-2</v>
      </c>
      <c r="W70" s="12">
        <v>2.0833333333333332E-2</v>
      </c>
      <c r="X70" s="12">
        <v>0.63194444444444442</v>
      </c>
      <c r="Y70" s="12">
        <v>0.64444444444444449</v>
      </c>
      <c r="Z70" s="12">
        <f t="shared" si="32"/>
        <v>1.2500000000000067E-2</v>
      </c>
      <c r="AA70" s="12">
        <v>0</v>
      </c>
      <c r="AB70" s="12">
        <v>0.64583333333333337</v>
      </c>
      <c r="AC70" s="38"/>
      <c r="AD70" s="55"/>
    </row>
    <row r="71" spans="1:30" ht="19.5" thickBot="1" x14ac:dyDescent="0.3">
      <c r="A71" s="14">
        <v>2</v>
      </c>
      <c r="B71" s="15">
        <v>3783</v>
      </c>
      <c r="C71" s="15" t="str">
        <f>VLOOKUP(B71,داتا!$B$3:$D$107,2,FALSE)</f>
        <v>دبابة</v>
      </c>
      <c r="D71" s="34">
        <f>VLOOKUP(B71,داتا!$B$3:$D$107,3,FALSE)</f>
        <v>2.0833333333333301E-2</v>
      </c>
      <c r="E71" s="15" t="s">
        <v>92</v>
      </c>
      <c r="F71" s="15" t="s">
        <v>176</v>
      </c>
      <c r="G71" s="16">
        <v>8.3333333333333329E-2</v>
      </c>
      <c r="H71" s="16">
        <v>9.0277777777777776E-2</v>
      </c>
      <c r="I71" s="16">
        <f t="shared" ref="I71:I73" si="34">H71-G71</f>
        <v>6.9444444444444475E-3</v>
      </c>
      <c r="J71" s="16">
        <v>0.57986111111111105</v>
      </c>
      <c r="K71" s="16">
        <v>0.59375</v>
      </c>
      <c r="L71" s="16" t="s">
        <v>157</v>
      </c>
      <c r="M71" s="16" t="s">
        <v>157</v>
      </c>
      <c r="N71" s="16">
        <f t="shared" ref="N71:N73" si="35">K71-J71</f>
        <v>1.3888888888888951E-2</v>
      </c>
      <c r="O71" s="16">
        <v>0</v>
      </c>
      <c r="P71" s="16">
        <v>6.9444444444444397E-3</v>
      </c>
      <c r="Q71" s="16">
        <v>0.59722222222222221</v>
      </c>
      <c r="R71" s="16">
        <v>0</v>
      </c>
      <c r="S71" s="16">
        <v>0.59722222222222221</v>
      </c>
      <c r="T71" s="16">
        <f>VLOOKUP(E71,'[2]21-3-2026'!E$3:T$35,16,FALSE)</f>
        <v>1.38888888888889E-2</v>
      </c>
      <c r="U71" s="16">
        <v>0.65277777777777779</v>
      </c>
      <c r="V71" s="16">
        <v>0</v>
      </c>
      <c r="W71" s="16">
        <v>2.0833333333333332E-2</v>
      </c>
      <c r="X71" s="16">
        <v>0.65486111111111112</v>
      </c>
      <c r="Y71" s="16">
        <v>0.66319444444444442</v>
      </c>
      <c r="Z71" s="16">
        <f t="shared" si="32"/>
        <v>8.3333333333333037E-3</v>
      </c>
      <c r="AA71" s="16">
        <v>0</v>
      </c>
      <c r="AB71" s="16">
        <v>0.66666666666666663</v>
      </c>
      <c r="AC71" s="39"/>
      <c r="AD71" s="56"/>
    </row>
    <row r="72" spans="1:30" ht="19.5" thickBot="1" x14ac:dyDescent="0.3">
      <c r="A72" s="14">
        <v>3</v>
      </c>
      <c r="B72" s="15">
        <v>3783</v>
      </c>
      <c r="C72" s="15" t="str">
        <f>VLOOKUP(B72,داتا!$B$3:$D$107,2,FALSE)</f>
        <v>دبابة</v>
      </c>
      <c r="D72" s="34">
        <f>VLOOKUP(B72,داتا!$B$3:$D$107,3,FALSE)</f>
        <v>2.0833333333333301E-2</v>
      </c>
      <c r="E72" s="15" t="s">
        <v>75</v>
      </c>
      <c r="F72" s="15" t="s">
        <v>176</v>
      </c>
      <c r="G72" s="16">
        <v>8.3333333333333329E-2</v>
      </c>
      <c r="H72" s="16">
        <v>9.0277777777777776E-2</v>
      </c>
      <c r="I72" s="16">
        <f t="shared" si="34"/>
        <v>6.9444444444444475E-3</v>
      </c>
      <c r="J72" s="16">
        <v>0.57986111111111105</v>
      </c>
      <c r="K72" s="16">
        <v>0.59375</v>
      </c>
      <c r="L72" s="16" t="s">
        <v>157</v>
      </c>
      <c r="M72" s="16" t="s">
        <v>157</v>
      </c>
      <c r="N72" s="16">
        <f t="shared" si="35"/>
        <v>1.3888888888888951E-2</v>
      </c>
      <c r="O72" s="16">
        <v>0</v>
      </c>
      <c r="P72" s="16">
        <v>6.9444444444444397E-3</v>
      </c>
      <c r="Q72" s="16">
        <v>0.59722222222222221</v>
      </c>
      <c r="R72" s="16">
        <v>0</v>
      </c>
      <c r="S72" s="16">
        <v>0.59722222222222221</v>
      </c>
      <c r="T72" s="16">
        <f>VLOOKUP(E72,'[2]21-3-2026'!E$3:T$35,16,FALSE)</f>
        <v>2.0833333333333301E-2</v>
      </c>
      <c r="U72" s="16">
        <v>0.67708333333333337</v>
      </c>
      <c r="V72" s="16">
        <v>0</v>
      </c>
      <c r="W72" s="16">
        <v>2.0833333333333332E-2</v>
      </c>
      <c r="X72" s="16">
        <v>0.68055555555555547</v>
      </c>
      <c r="Y72" s="16">
        <v>0.69097222222222221</v>
      </c>
      <c r="Z72" s="16">
        <f t="shared" si="32"/>
        <v>1.0416666666666741E-2</v>
      </c>
      <c r="AA72" s="16">
        <v>0</v>
      </c>
      <c r="AB72" s="16">
        <v>0.69444444444444453</v>
      </c>
      <c r="AC72" s="39"/>
      <c r="AD72" s="56"/>
    </row>
    <row r="73" spans="1:30" ht="19.5" thickBot="1" x14ac:dyDescent="0.3">
      <c r="A73" s="14">
        <v>4</v>
      </c>
      <c r="B73" s="15">
        <v>3783</v>
      </c>
      <c r="C73" s="15" t="str">
        <f>VLOOKUP(B73,داتا!$B$3:$D$107,2,FALSE)</f>
        <v>دبابة</v>
      </c>
      <c r="D73" s="34">
        <f>VLOOKUP(B73,داتا!$B$3:$D$107,3,FALSE)</f>
        <v>2.0833333333333301E-2</v>
      </c>
      <c r="E73" s="15" t="s">
        <v>60</v>
      </c>
      <c r="F73" s="15" t="s">
        <v>176</v>
      </c>
      <c r="G73" s="16">
        <v>8.3333333333333329E-2</v>
      </c>
      <c r="H73" s="16">
        <v>9.0277777777777776E-2</v>
      </c>
      <c r="I73" s="16">
        <f t="shared" si="34"/>
        <v>6.9444444444444475E-3</v>
      </c>
      <c r="J73" s="16">
        <v>0.57986111111111105</v>
      </c>
      <c r="K73" s="16">
        <v>0.59375</v>
      </c>
      <c r="L73" s="16" t="s">
        <v>157</v>
      </c>
      <c r="M73" s="16" t="s">
        <v>157</v>
      </c>
      <c r="N73" s="16">
        <f t="shared" si="35"/>
        <v>1.3888888888888951E-2</v>
      </c>
      <c r="O73" s="16">
        <v>0</v>
      </c>
      <c r="P73" s="16">
        <v>6.9444444444444397E-3</v>
      </c>
      <c r="Q73" s="16">
        <v>0.59722222222222221</v>
      </c>
      <c r="R73" s="16">
        <v>0</v>
      </c>
      <c r="S73" s="16">
        <v>0.59722222222222221</v>
      </c>
      <c r="T73" s="16">
        <f>VLOOKUP(E73,'[2]21-3-2026'!E$3:T$35,16,FALSE)</f>
        <v>1.0416666666666701E-2</v>
      </c>
      <c r="U73" s="16">
        <v>0.70486111111111116</v>
      </c>
      <c r="V73" s="16">
        <v>0</v>
      </c>
      <c r="W73" s="16">
        <v>3.125E-2</v>
      </c>
      <c r="X73" s="16">
        <v>0.70833333333333337</v>
      </c>
      <c r="Y73" s="16">
        <v>0.71527777777777779</v>
      </c>
      <c r="Z73" s="16">
        <f t="shared" si="32"/>
        <v>6.9444444444444198E-3</v>
      </c>
      <c r="AA73" s="16">
        <v>0</v>
      </c>
      <c r="AB73" s="16">
        <v>0.74652777777777779</v>
      </c>
      <c r="AC73" s="39"/>
      <c r="AD73" s="56"/>
    </row>
    <row r="74" spans="1:30" ht="19.5" thickBot="1" x14ac:dyDescent="0.3">
      <c r="A74" s="14">
        <v>5</v>
      </c>
      <c r="B74" s="15">
        <v>4987</v>
      </c>
      <c r="C74" s="15" t="str">
        <f>VLOOKUP(B74,داتا!$B$3:$D$107,2,FALSE)</f>
        <v>تلتين</v>
      </c>
      <c r="D74" s="34">
        <f>VLOOKUP(B74,داتا!$B$3:$D$107,3,FALSE)</f>
        <v>3.125E-2</v>
      </c>
      <c r="E74" s="15" t="s">
        <v>70</v>
      </c>
      <c r="F74" s="15" t="s">
        <v>118</v>
      </c>
      <c r="G74" s="16">
        <v>8.3333333333333329E-2</v>
      </c>
      <c r="H74" s="16">
        <v>7.6388888888888895E-2</v>
      </c>
      <c r="I74" s="16">
        <v>0</v>
      </c>
      <c r="J74" s="16">
        <v>0.60763888888888895</v>
      </c>
      <c r="K74" s="16">
        <v>0.625</v>
      </c>
      <c r="L74" s="16" t="s">
        <v>157</v>
      </c>
      <c r="M74" s="16" t="s">
        <v>157</v>
      </c>
      <c r="N74" s="16">
        <f t="shared" si="31"/>
        <v>1.7361111111111049E-2</v>
      </c>
      <c r="O74" s="16">
        <v>0</v>
      </c>
      <c r="P74" s="16">
        <v>6.9444444444444397E-3</v>
      </c>
      <c r="Q74" s="16">
        <v>0.62152777777777779</v>
      </c>
      <c r="R74" s="16">
        <v>0</v>
      </c>
      <c r="S74" s="16">
        <v>0.62152777777777779</v>
      </c>
      <c r="T74" s="16">
        <f>VLOOKUP(E74,'[2]21-3-2026'!E$3:T$35,16,FALSE)</f>
        <v>1.0416666666666701E-2</v>
      </c>
      <c r="U74" s="16">
        <v>0</v>
      </c>
      <c r="V74" s="16">
        <v>0</v>
      </c>
      <c r="W74" s="16">
        <v>3.125E-2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39"/>
      <c r="AD74" s="56"/>
    </row>
    <row r="75" spans="1:30" ht="19.5" thickBot="1" x14ac:dyDescent="0.3">
      <c r="A75" s="14">
        <v>6</v>
      </c>
      <c r="B75" s="15">
        <v>4987</v>
      </c>
      <c r="C75" s="15" t="str">
        <f>VLOOKUP(B75,داتا!$B$3:$D$107,2,FALSE)</f>
        <v>تلتين</v>
      </c>
      <c r="D75" s="34">
        <f>VLOOKUP(B75,داتا!$B$3:$D$107,3,FALSE)</f>
        <v>3.125E-2</v>
      </c>
      <c r="E75" s="15" t="s">
        <v>79</v>
      </c>
      <c r="F75" s="15" t="s">
        <v>118</v>
      </c>
      <c r="G75" s="16">
        <v>8.3333333333333329E-2</v>
      </c>
      <c r="H75" s="16">
        <v>7.6388888888888895E-2</v>
      </c>
      <c r="I75" s="16">
        <v>0</v>
      </c>
      <c r="J75" s="16">
        <v>0.60763888888888895</v>
      </c>
      <c r="K75" s="16">
        <v>0.625</v>
      </c>
      <c r="L75" s="16" t="s">
        <v>157</v>
      </c>
      <c r="M75" s="16" t="s">
        <v>157</v>
      </c>
      <c r="N75" s="16">
        <f t="shared" ref="N75" si="36">K75-J75</f>
        <v>1.7361111111111049E-2</v>
      </c>
      <c r="O75" s="16">
        <v>0</v>
      </c>
      <c r="P75" s="16">
        <v>6.9444444444444397E-3</v>
      </c>
      <c r="Q75" s="16">
        <v>0.62152777777777779</v>
      </c>
      <c r="R75" s="16">
        <v>0</v>
      </c>
      <c r="S75" s="16">
        <v>0.62152777777777779</v>
      </c>
      <c r="T75" s="16">
        <f>VLOOKUP(E75,'[2]21-3-2026'!E$3:T$35,16,FALSE)</f>
        <v>2.0833333333333301E-2</v>
      </c>
      <c r="U75" s="16">
        <v>0</v>
      </c>
      <c r="V75" s="16">
        <v>0</v>
      </c>
      <c r="W75" s="16">
        <v>4.1666666666666664E-2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39"/>
      <c r="AD75" s="56"/>
    </row>
    <row r="76" spans="1:30" ht="19.5" thickBot="1" x14ac:dyDescent="0.3">
      <c r="A76" s="14">
        <v>7</v>
      </c>
      <c r="B76" s="15">
        <v>6142</v>
      </c>
      <c r="C76" s="15" t="str">
        <f>VLOOKUP(B76,داتا!$B$3:$D$107,2,FALSE)</f>
        <v>تلتين</v>
      </c>
      <c r="D76" s="34">
        <f>VLOOKUP(B76,داتا!$B$3:$D$107,3,FALSE)</f>
        <v>3.125E-2</v>
      </c>
      <c r="E76" s="16" t="s">
        <v>30</v>
      </c>
      <c r="F76" s="15" t="s">
        <v>161</v>
      </c>
      <c r="G76" s="16">
        <v>8.3333333333333329E-2</v>
      </c>
      <c r="H76" s="16">
        <v>8.3333333333333329E-2</v>
      </c>
      <c r="I76" s="16">
        <f t="shared" si="19"/>
        <v>0</v>
      </c>
      <c r="J76" s="16">
        <v>0.57638888888888895</v>
      </c>
      <c r="K76" s="16">
        <v>0.59027777777777779</v>
      </c>
      <c r="L76" s="16" t="s">
        <v>238</v>
      </c>
      <c r="M76" s="16" t="s">
        <v>238</v>
      </c>
      <c r="N76" s="16">
        <f t="shared" si="31"/>
        <v>1.388888888888884E-2</v>
      </c>
      <c r="O76" s="16">
        <v>0</v>
      </c>
      <c r="P76" s="16">
        <v>6.9444444444444397E-3</v>
      </c>
      <c r="Q76" s="16">
        <v>0.59722222222222221</v>
      </c>
      <c r="R76" s="16">
        <f t="shared" ref="R76:R85" si="37">Q76-P76-K76</f>
        <v>0</v>
      </c>
      <c r="S76" s="16">
        <v>0.59722222222222221</v>
      </c>
      <c r="T76" s="16">
        <f>VLOOKUP(E76,'[2]21-3-2026'!E$3:T$35,16,FALSE)</f>
        <v>1.38888888888889E-2</v>
      </c>
      <c r="U76" s="16">
        <v>0.61805555555555558</v>
      </c>
      <c r="V76" s="16">
        <f t="shared" si="33"/>
        <v>6.9444444444444198E-3</v>
      </c>
      <c r="W76" s="16">
        <v>3.125E-2</v>
      </c>
      <c r="X76" s="16">
        <v>0.62152777777777779</v>
      </c>
      <c r="Y76" s="16">
        <v>0.63194444444444442</v>
      </c>
      <c r="Z76" s="16">
        <f t="shared" si="32"/>
        <v>1.041666666666663E-2</v>
      </c>
      <c r="AA76" s="16">
        <v>0</v>
      </c>
      <c r="AB76" s="16">
        <v>0.6333333333333333</v>
      </c>
      <c r="AC76" s="39"/>
      <c r="AD76" s="56"/>
    </row>
    <row r="77" spans="1:30" ht="19.5" thickBot="1" x14ac:dyDescent="0.3">
      <c r="A77" s="14">
        <v>8</v>
      </c>
      <c r="B77" s="15">
        <v>6142</v>
      </c>
      <c r="C77" s="15" t="str">
        <f>VLOOKUP(B77,داتا!$B$3:$D$107,2,FALSE)</f>
        <v>تلتين</v>
      </c>
      <c r="D77" s="34">
        <f>VLOOKUP(B77,داتا!$B$3:$D$107,3,FALSE)</f>
        <v>3.125E-2</v>
      </c>
      <c r="E77" s="15" t="s">
        <v>34</v>
      </c>
      <c r="F77" s="15" t="s">
        <v>161</v>
      </c>
      <c r="G77" s="16">
        <v>8.3333333333333329E-2</v>
      </c>
      <c r="H77" s="16">
        <v>8.3333333333333329E-2</v>
      </c>
      <c r="I77" s="16">
        <f t="shared" si="19"/>
        <v>0</v>
      </c>
      <c r="J77" s="16">
        <v>0.57638888888888895</v>
      </c>
      <c r="K77" s="16">
        <v>0.59027777777777779</v>
      </c>
      <c r="L77" s="16" t="s">
        <v>238</v>
      </c>
      <c r="M77" s="16" t="s">
        <v>238</v>
      </c>
      <c r="N77" s="16">
        <f t="shared" si="31"/>
        <v>1.388888888888884E-2</v>
      </c>
      <c r="O77" s="16">
        <v>0</v>
      </c>
      <c r="P77" s="16">
        <v>6.9444444444444397E-3</v>
      </c>
      <c r="Q77" s="16">
        <v>0.59722222222222221</v>
      </c>
      <c r="R77" s="16">
        <f t="shared" si="37"/>
        <v>0</v>
      </c>
      <c r="S77" s="16">
        <v>0.59722222222222221</v>
      </c>
      <c r="T77" s="16">
        <f>VLOOKUP(E77,'[2]21-3-2026'!E$3:T$35,16,FALSE)</f>
        <v>1.0416666666666701E-2</v>
      </c>
      <c r="U77" s="16">
        <v>0.63888888888888895</v>
      </c>
      <c r="V77" s="16">
        <v>0</v>
      </c>
      <c r="W77" s="16">
        <v>4.1666666666666664E-2</v>
      </c>
      <c r="X77" s="16">
        <v>0.64097222222222217</v>
      </c>
      <c r="Y77" s="16">
        <v>0.65972222222222221</v>
      </c>
      <c r="Z77" s="16">
        <f t="shared" si="32"/>
        <v>1.8750000000000044E-2</v>
      </c>
      <c r="AA77" s="16">
        <v>0</v>
      </c>
      <c r="AB77" s="16">
        <v>0.66319444444444442</v>
      </c>
      <c r="AC77" s="39"/>
      <c r="AD77" s="56"/>
    </row>
    <row r="78" spans="1:30" ht="19.5" thickBot="1" x14ac:dyDescent="0.3">
      <c r="A78" s="14">
        <v>9</v>
      </c>
      <c r="B78" s="15">
        <v>3793</v>
      </c>
      <c r="C78" s="15" t="str">
        <f>VLOOKUP(B78,داتا!$B$3:$D$107,2,FALSE)</f>
        <v>دبابة</v>
      </c>
      <c r="D78" s="34">
        <f>VLOOKUP(B78,داتا!$B$3:$D$107,3,FALSE)</f>
        <v>2.0833333333333301E-2</v>
      </c>
      <c r="E78" s="15" t="s">
        <v>98</v>
      </c>
      <c r="F78" s="15" t="s">
        <v>186</v>
      </c>
      <c r="G78" s="16">
        <v>8.3333333333333329E-2</v>
      </c>
      <c r="H78" s="16">
        <v>9.7222222222222224E-2</v>
      </c>
      <c r="I78" s="16">
        <f t="shared" si="19"/>
        <v>1.3888888888888895E-2</v>
      </c>
      <c r="J78" s="16">
        <v>0.60416666666666663</v>
      </c>
      <c r="K78" s="16">
        <v>0.61805555555555558</v>
      </c>
      <c r="L78" s="16" t="s">
        <v>238</v>
      </c>
      <c r="M78" s="16" t="s">
        <v>238</v>
      </c>
      <c r="N78" s="16">
        <f t="shared" si="31"/>
        <v>1.3888888888888951E-2</v>
      </c>
      <c r="O78" s="16">
        <v>0</v>
      </c>
      <c r="P78" s="16">
        <v>6.9444444444444397E-3</v>
      </c>
      <c r="Q78" s="16">
        <v>0.61805555555555558</v>
      </c>
      <c r="R78" s="16">
        <v>0</v>
      </c>
      <c r="S78" s="16">
        <v>0.61805555555555558</v>
      </c>
      <c r="T78" s="16">
        <f>VLOOKUP(E78,'[2]21-3-2026'!E$3:T$35,16,FALSE)</f>
        <v>4.8611111111111103E-3</v>
      </c>
      <c r="U78" s="16">
        <v>0.65972222222222221</v>
      </c>
      <c r="V78" s="16">
        <f t="shared" si="33"/>
        <v>3.6805555555555536E-2</v>
      </c>
      <c r="W78" s="16">
        <v>2.0833333333333332E-2</v>
      </c>
      <c r="X78" s="16">
        <v>0.66041666666666665</v>
      </c>
      <c r="Y78" s="16">
        <v>0.67499999999999993</v>
      </c>
      <c r="Z78" s="16">
        <f t="shared" si="32"/>
        <v>1.4583333333333282E-2</v>
      </c>
      <c r="AA78" s="16">
        <v>0</v>
      </c>
      <c r="AB78" s="16">
        <v>0.67708333333333337</v>
      </c>
      <c r="AC78" s="39"/>
      <c r="AD78" s="56"/>
    </row>
    <row r="79" spans="1:30" ht="19.5" thickBot="1" x14ac:dyDescent="0.3">
      <c r="A79" s="14">
        <v>10</v>
      </c>
      <c r="B79" s="15">
        <v>3793</v>
      </c>
      <c r="C79" s="15" t="str">
        <f>VLOOKUP(B79,داتا!$B$3:$D$107,2,FALSE)</f>
        <v>دبابة</v>
      </c>
      <c r="D79" s="34">
        <f>VLOOKUP(B79,داتا!$B$3:$D$107,3,FALSE)</f>
        <v>2.0833333333333301E-2</v>
      </c>
      <c r="E79" s="15" t="s">
        <v>95</v>
      </c>
      <c r="F79" s="15" t="s">
        <v>186</v>
      </c>
      <c r="G79" s="16">
        <v>8.3333333333333329E-2</v>
      </c>
      <c r="H79" s="16">
        <v>9.7222222222222224E-2</v>
      </c>
      <c r="I79" s="16">
        <f t="shared" ref="I79" si="38">H79-G79</f>
        <v>1.3888888888888895E-2</v>
      </c>
      <c r="J79" s="16">
        <v>0.60416666666666663</v>
      </c>
      <c r="K79" s="16">
        <v>0.61805555555555558</v>
      </c>
      <c r="L79" s="16" t="s">
        <v>238</v>
      </c>
      <c r="M79" s="16" t="s">
        <v>238</v>
      </c>
      <c r="N79" s="16">
        <f t="shared" ref="N79" si="39">K79-J79</f>
        <v>1.3888888888888951E-2</v>
      </c>
      <c r="O79" s="16">
        <v>0</v>
      </c>
      <c r="P79" s="16">
        <v>6.9444444444444397E-3</v>
      </c>
      <c r="Q79" s="16">
        <v>0.61805555555555558</v>
      </c>
      <c r="R79" s="16">
        <v>0</v>
      </c>
      <c r="S79" s="16">
        <v>0.61805555555555558</v>
      </c>
      <c r="T79" s="16">
        <f>VLOOKUP(E79,'[2]21-3-2026'!E$3:T$35,16,FALSE)</f>
        <v>1.0416666666666701E-2</v>
      </c>
      <c r="U79" s="16">
        <v>0.68958333333333333</v>
      </c>
      <c r="V79" s="16">
        <v>0</v>
      </c>
      <c r="W79" s="16">
        <v>3.125E-2</v>
      </c>
      <c r="X79" s="16">
        <v>0.69444444444444453</v>
      </c>
      <c r="Y79" s="16">
        <v>0.70486111111111116</v>
      </c>
      <c r="Z79" s="16">
        <f t="shared" si="32"/>
        <v>1.041666666666663E-2</v>
      </c>
      <c r="AA79" s="16">
        <v>0</v>
      </c>
      <c r="AB79" s="16">
        <v>0</v>
      </c>
      <c r="AC79" s="39"/>
      <c r="AD79" s="56"/>
    </row>
    <row r="80" spans="1:30" ht="19.5" thickBot="1" x14ac:dyDescent="0.3">
      <c r="A80" s="14">
        <v>11</v>
      </c>
      <c r="B80" s="15">
        <v>2694</v>
      </c>
      <c r="C80" s="15" t="str">
        <f>VLOOKUP(B80,داتا!$B$3:$D$107,2,FALSE)</f>
        <v>تلتين</v>
      </c>
      <c r="D80" s="34">
        <f>VLOOKUP(B80,داتا!$B$3:$D$107,3,FALSE)</f>
        <v>3.125E-2</v>
      </c>
      <c r="E80" s="15" t="s">
        <v>38</v>
      </c>
      <c r="F80" s="15" t="s">
        <v>192</v>
      </c>
      <c r="G80" s="16">
        <v>8.3333333333333329E-2</v>
      </c>
      <c r="H80" s="16">
        <v>9.375E-2</v>
      </c>
      <c r="I80" s="16">
        <f t="shared" si="19"/>
        <v>1.0416666666666671E-2</v>
      </c>
      <c r="J80" s="16">
        <v>0.59375</v>
      </c>
      <c r="K80" s="16">
        <v>0.61458333333333337</v>
      </c>
      <c r="L80" s="16" t="s">
        <v>88</v>
      </c>
      <c r="M80" s="16" t="s">
        <v>88</v>
      </c>
      <c r="N80" s="16">
        <f t="shared" si="31"/>
        <v>2.083333333333337E-2</v>
      </c>
      <c r="O80" s="16">
        <v>0</v>
      </c>
      <c r="P80" s="16">
        <v>6.9444444444444397E-3</v>
      </c>
      <c r="Q80" s="16">
        <v>0.62152777777777779</v>
      </c>
      <c r="R80" s="16">
        <f t="shared" si="37"/>
        <v>0</v>
      </c>
      <c r="S80" s="16">
        <v>0.62152777777777779</v>
      </c>
      <c r="T80" s="16">
        <f>VLOOKUP(E80,'[2]21-3-2026'!E$3:T$35,16,FALSE)</f>
        <v>1.0416666666666666E-2</v>
      </c>
      <c r="U80" s="16">
        <v>0.67361111111111116</v>
      </c>
      <c r="V80" s="16">
        <f t="shared" si="33"/>
        <v>4.1666666666666741E-2</v>
      </c>
      <c r="W80" s="16">
        <v>3.125E-2</v>
      </c>
      <c r="X80" s="16">
        <v>0.67708333333333337</v>
      </c>
      <c r="Y80" s="16">
        <v>0.6875</v>
      </c>
      <c r="Z80" s="16">
        <f t="shared" si="32"/>
        <v>1.041666666666663E-2</v>
      </c>
      <c r="AA80" s="16">
        <v>0</v>
      </c>
      <c r="AB80" s="16">
        <v>0.69444444444444453</v>
      </c>
      <c r="AC80" s="39"/>
      <c r="AD80" s="56"/>
    </row>
    <row r="81" spans="1:30" ht="19.5" thickBot="1" x14ac:dyDescent="0.3">
      <c r="A81" s="14">
        <v>12</v>
      </c>
      <c r="B81" s="15">
        <v>2694</v>
      </c>
      <c r="C81" s="15" t="str">
        <f>VLOOKUP(B81,داتا!$B$3:$D$107,2,FALSE)</f>
        <v>تلتين</v>
      </c>
      <c r="D81" s="34">
        <f>VLOOKUP(B81,داتا!$B$3:$D$107,3,FALSE)</f>
        <v>3.125E-2</v>
      </c>
      <c r="E81" s="15" t="s">
        <v>73</v>
      </c>
      <c r="F81" s="15" t="s">
        <v>192</v>
      </c>
      <c r="G81" s="16">
        <v>8.3333333333333329E-2</v>
      </c>
      <c r="H81" s="16">
        <v>9.375E-2</v>
      </c>
      <c r="I81" s="16">
        <f t="shared" ref="I81:I82" si="40">H81-G81</f>
        <v>1.0416666666666671E-2</v>
      </c>
      <c r="J81" s="16">
        <v>0.59375</v>
      </c>
      <c r="K81" s="16">
        <v>0.61458333333333337</v>
      </c>
      <c r="L81" s="16" t="s">
        <v>88</v>
      </c>
      <c r="M81" s="16" t="s">
        <v>88</v>
      </c>
      <c r="N81" s="16">
        <f t="shared" ref="N81:N82" si="41">K81-J81</f>
        <v>2.083333333333337E-2</v>
      </c>
      <c r="O81" s="16">
        <v>0</v>
      </c>
      <c r="P81" s="16">
        <v>6.9444444444444397E-3</v>
      </c>
      <c r="Q81" s="16">
        <v>0.62152777777777779</v>
      </c>
      <c r="R81" s="16">
        <f t="shared" si="37"/>
        <v>0</v>
      </c>
      <c r="S81" s="16">
        <v>0.62152777777777779</v>
      </c>
      <c r="T81" s="16">
        <v>2.0833333333333332E-2</v>
      </c>
      <c r="U81" s="16">
        <v>0.72222222222222221</v>
      </c>
      <c r="V81" s="16">
        <v>6.9444444444444441E-3</v>
      </c>
      <c r="W81" s="16">
        <v>3.125E-2</v>
      </c>
      <c r="X81" s="16">
        <v>0.72569444444444453</v>
      </c>
      <c r="Y81" s="16">
        <v>0.73611111111111116</v>
      </c>
      <c r="Z81" s="16">
        <f t="shared" si="32"/>
        <v>1.041666666666663E-2</v>
      </c>
      <c r="AA81" s="16">
        <v>0</v>
      </c>
      <c r="AB81" s="16">
        <v>0.73958333333333337</v>
      </c>
      <c r="AC81" s="39"/>
      <c r="AD81" s="56"/>
    </row>
    <row r="82" spans="1:30" ht="19.5" thickBot="1" x14ac:dyDescent="0.3">
      <c r="A82" s="14">
        <v>13</v>
      </c>
      <c r="B82" s="15">
        <v>2694</v>
      </c>
      <c r="C82" s="15" t="str">
        <f>VLOOKUP(B82,داتا!$B$3:$D$107,2,FALSE)</f>
        <v>تلتين</v>
      </c>
      <c r="D82" s="34">
        <f>VLOOKUP(B82,داتا!$B$3:$D$107,3,FALSE)</f>
        <v>3.125E-2</v>
      </c>
      <c r="E82" s="15" t="s">
        <v>35</v>
      </c>
      <c r="F82" s="15" t="s">
        <v>192</v>
      </c>
      <c r="G82" s="16">
        <v>8.3333333333333329E-2</v>
      </c>
      <c r="H82" s="16">
        <v>9.375E-2</v>
      </c>
      <c r="I82" s="16">
        <f t="shared" si="40"/>
        <v>1.0416666666666671E-2</v>
      </c>
      <c r="J82" s="16">
        <v>0.59375</v>
      </c>
      <c r="K82" s="16">
        <v>0.61458333333333337</v>
      </c>
      <c r="L82" s="16" t="s">
        <v>88</v>
      </c>
      <c r="M82" s="16" t="s">
        <v>88</v>
      </c>
      <c r="N82" s="16">
        <f t="shared" si="41"/>
        <v>2.083333333333337E-2</v>
      </c>
      <c r="O82" s="16">
        <v>0</v>
      </c>
      <c r="P82" s="16">
        <v>6.9444444444444397E-3</v>
      </c>
      <c r="Q82" s="16">
        <v>0.62152777777777779</v>
      </c>
      <c r="R82" s="16">
        <f t="shared" si="37"/>
        <v>0</v>
      </c>
      <c r="S82" s="16">
        <v>0.62152777777777779</v>
      </c>
      <c r="T82" s="16">
        <v>1.0416666666666666E-2</v>
      </c>
      <c r="U82" s="16">
        <v>0.75347222222222221</v>
      </c>
      <c r="V82" s="16">
        <v>3.472222222222222E-3</v>
      </c>
      <c r="W82" s="16">
        <v>4.1666666666666664E-2</v>
      </c>
      <c r="X82" s="16">
        <v>0.75694444444444453</v>
      </c>
      <c r="Y82" s="16">
        <v>0.77638888888888891</v>
      </c>
      <c r="Z82" s="16">
        <f t="shared" si="32"/>
        <v>1.9444444444444375E-2</v>
      </c>
      <c r="AA82" s="16">
        <v>0</v>
      </c>
      <c r="AB82" s="16">
        <v>0.78819444444444453</v>
      </c>
      <c r="AC82" s="39"/>
      <c r="AD82" s="56"/>
    </row>
    <row r="83" spans="1:30" ht="19.5" thickBot="1" x14ac:dyDescent="0.3">
      <c r="A83" s="14">
        <v>14</v>
      </c>
      <c r="B83" s="15">
        <v>5898</v>
      </c>
      <c r="C83" s="15" t="str">
        <f>VLOOKUP(B83,داتا!$B$3:$D$107,2,FALSE)</f>
        <v>تلتين</v>
      </c>
      <c r="D83" s="34">
        <f>VLOOKUP(B83,داتا!$B$3:$D$107,3,FALSE)</f>
        <v>3.125E-2</v>
      </c>
      <c r="E83" s="15" t="s">
        <v>69</v>
      </c>
      <c r="F83" s="15" t="s">
        <v>236</v>
      </c>
      <c r="G83" s="16">
        <v>8.3333333333333329E-2</v>
      </c>
      <c r="H83" s="16">
        <v>8.3333333333333329E-2</v>
      </c>
      <c r="I83" s="16">
        <f t="shared" si="19"/>
        <v>0</v>
      </c>
      <c r="J83" s="16">
        <v>0.57638888888888895</v>
      </c>
      <c r="K83" s="16">
        <v>0.61458333333333337</v>
      </c>
      <c r="L83" s="16" t="s">
        <v>85</v>
      </c>
      <c r="M83" s="16" t="s">
        <v>85</v>
      </c>
      <c r="N83" s="16">
        <f t="shared" si="31"/>
        <v>3.819444444444442E-2</v>
      </c>
      <c r="O83" s="16">
        <f t="shared" ref="O83:O91" si="42">N83-D83</f>
        <v>6.9444444444444198E-3</v>
      </c>
      <c r="P83" s="16">
        <v>6.9444444444444397E-3</v>
      </c>
      <c r="Q83" s="16">
        <v>0.62847222222222221</v>
      </c>
      <c r="R83" s="16">
        <f t="shared" si="37"/>
        <v>6.9444444444444198E-3</v>
      </c>
      <c r="S83" s="16">
        <v>0.62847222222222221</v>
      </c>
      <c r="T83" s="16">
        <f>VLOOKUP(E83,'[2]21-3-2026'!E$3:T$35,16,FALSE)</f>
        <v>1.38888888888889E-2</v>
      </c>
      <c r="U83" s="16">
        <v>0.65277777777777779</v>
      </c>
      <c r="V83" s="16">
        <f t="shared" si="33"/>
        <v>1.041666666666663E-2</v>
      </c>
      <c r="W83" s="16">
        <v>3.125E-2</v>
      </c>
      <c r="X83" s="16">
        <v>0.65625</v>
      </c>
      <c r="Y83" s="16">
        <v>0.66666666666666663</v>
      </c>
      <c r="Z83" s="16">
        <f t="shared" si="32"/>
        <v>1.041666666666663E-2</v>
      </c>
      <c r="AA83" s="16">
        <v>0</v>
      </c>
      <c r="AB83" s="16">
        <v>0.67013888888888884</v>
      </c>
      <c r="AC83" s="39"/>
      <c r="AD83" s="56"/>
    </row>
    <row r="84" spans="1:30" ht="19.5" thickBot="1" x14ac:dyDescent="0.3">
      <c r="A84" s="14">
        <v>15</v>
      </c>
      <c r="B84" s="15">
        <v>5898</v>
      </c>
      <c r="C84" s="15" t="str">
        <f>VLOOKUP(B84,داتا!$B$3:$D$107,2,FALSE)</f>
        <v>تلتين</v>
      </c>
      <c r="D84" s="34">
        <f>VLOOKUP(B84,داتا!$B$3:$D$107,3,FALSE)</f>
        <v>3.125E-2</v>
      </c>
      <c r="E84" s="15" t="s">
        <v>67</v>
      </c>
      <c r="F84" s="15" t="s">
        <v>236</v>
      </c>
      <c r="G84" s="16">
        <v>8.3333333333333329E-2</v>
      </c>
      <c r="H84" s="16">
        <v>8.3333333333333329E-2</v>
      </c>
      <c r="I84" s="16">
        <f t="shared" ref="I84:I85" si="43">H84-G84</f>
        <v>0</v>
      </c>
      <c r="J84" s="16">
        <v>0.57638888888888895</v>
      </c>
      <c r="K84" s="16">
        <v>0.61458333333333337</v>
      </c>
      <c r="L84" s="16" t="s">
        <v>85</v>
      </c>
      <c r="M84" s="16" t="s">
        <v>85</v>
      </c>
      <c r="N84" s="16">
        <f t="shared" ref="N84:N85" si="44">K84-J84</f>
        <v>3.819444444444442E-2</v>
      </c>
      <c r="O84" s="16">
        <f t="shared" ref="O84:O85" si="45">N84-D84</f>
        <v>6.9444444444444198E-3</v>
      </c>
      <c r="P84" s="16">
        <v>6.9444444444444397E-3</v>
      </c>
      <c r="Q84" s="16">
        <v>0.62847222222222221</v>
      </c>
      <c r="R84" s="16">
        <f t="shared" si="37"/>
        <v>6.9444444444444198E-3</v>
      </c>
      <c r="S84" s="16">
        <v>0.62847222222222221</v>
      </c>
      <c r="T84" s="16">
        <f>VLOOKUP(E84,'[2]21-3-2026'!E$3:T$35,16,FALSE)</f>
        <v>1.7361111111111101E-2</v>
      </c>
      <c r="U84" s="16">
        <v>0.68055555555555547</v>
      </c>
      <c r="V84" s="16">
        <v>0</v>
      </c>
      <c r="W84" s="16">
        <v>3.125E-2</v>
      </c>
      <c r="X84" s="16">
        <v>0.68402777777777779</v>
      </c>
      <c r="Y84" s="16">
        <v>0.69791666666666663</v>
      </c>
      <c r="Z84" s="16">
        <f t="shared" si="32"/>
        <v>1.388888888888884E-2</v>
      </c>
      <c r="AA84" s="16">
        <v>0</v>
      </c>
      <c r="AB84" s="16">
        <v>0.70000000000000007</v>
      </c>
      <c r="AC84" s="39"/>
      <c r="AD84" s="56"/>
    </row>
    <row r="85" spans="1:30" ht="19.5" thickBot="1" x14ac:dyDescent="0.3">
      <c r="A85" s="14">
        <v>16</v>
      </c>
      <c r="B85" s="15">
        <v>5898</v>
      </c>
      <c r="C85" s="15" t="str">
        <f>VLOOKUP(B85,داتا!$B$3:$D$107,2,FALSE)</f>
        <v>تلتين</v>
      </c>
      <c r="D85" s="34">
        <f>VLOOKUP(B85,داتا!$B$3:$D$107,3,FALSE)</f>
        <v>3.125E-2</v>
      </c>
      <c r="E85" s="15" t="s">
        <v>57</v>
      </c>
      <c r="F85" s="15" t="s">
        <v>236</v>
      </c>
      <c r="G85" s="16">
        <v>8.3333333333333329E-2</v>
      </c>
      <c r="H85" s="16">
        <v>8.3333333333333329E-2</v>
      </c>
      <c r="I85" s="16">
        <f t="shared" si="43"/>
        <v>0</v>
      </c>
      <c r="J85" s="16">
        <v>0.57638888888888895</v>
      </c>
      <c r="K85" s="16">
        <v>0.61458333333333337</v>
      </c>
      <c r="L85" s="16" t="s">
        <v>85</v>
      </c>
      <c r="M85" s="16" t="s">
        <v>85</v>
      </c>
      <c r="N85" s="16">
        <f t="shared" si="44"/>
        <v>3.819444444444442E-2</v>
      </c>
      <c r="O85" s="16">
        <f t="shared" si="45"/>
        <v>6.9444444444444198E-3</v>
      </c>
      <c r="P85" s="16">
        <v>6.9444444444444397E-3</v>
      </c>
      <c r="Q85" s="16">
        <v>0.62847222222222221</v>
      </c>
      <c r="R85" s="16">
        <f t="shared" si="37"/>
        <v>6.9444444444444198E-3</v>
      </c>
      <c r="S85" s="16">
        <v>0.62847222222222221</v>
      </c>
      <c r="T85" s="16">
        <f>VLOOKUP(E85,'[2]21-3-2026'!E$3:T$35,16,FALSE)</f>
        <v>1.7361111111111101E-2</v>
      </c>
      <c r="U85" s="16">
        <v>0.70486111111111116</v>
      </c>
      <c r="V85" s="16">
        <v>0</v>
      </c>
      <c r="W85" s="16">
        <v>4.1666666666666664E-2</v>
      </c>
      <c r="X85" s="16">
        <v>0.70833333333333337</v>
      </c>
      <c r="Y85" s="16">
        <v>0.71875</v>
      </c>
      <c r="Z85" s="16">
        <f t="shared" si="32"/>
        <v>1.041666666666663E-2</v>
      </c>
      <c r="AA85" s="16">
        <v>0</v>
      </c>
      <c r="AB85" s="16">
        <v>0.72222222222222221</v>
      </c>
      <c r="AC85" s="39"/>
      <c r="AD85" s="56"/>
    </row>
    <row r="86" spans="1:30" ht="19.5" thickBot="1" x14ac:dyDescent="0.3">
      <c r="A86" s="14">
        <v>17</v>
      </c>
      <c r="B86" s="15">
        <v>459</v>
      </c>
      <c r="C86" s="15" t="str">
        <f>VLOOKUP(B86,داتا!$B$3:$D$107,2,FALSE)</f>
        <v>دبابة</v>
      </c>
      <c r="D86" s="34">
        <f>VLOOKUP(B86,داتا!$B$3:$D$107,3,FALSE)</f>
        <v>2.0833333333333301E-2</v>
      </c>
      <c r="E86" s="15" t="s">
        <v>81</v>
      </c>
      <c r="F86" s="15" t="s">
        <v>162</v>
      </c>
      <c r="G86" s="16">
        <v>8.3333333333333329E-2</v>
      </c>
      <c r="H86" s="16">
        <v>8.3333333333333329E-2</v>
      </c>
      <c r="I86" s="16">
        <f t="shared" si="19"/>
        <v>0</v>
      </c>
      <c r="J86" s="16">
        <v>0.62152777777777779</v>
      </c>
      <c r="K86" s="16">
        <v>0.64583333333333337</v>
      </c>
      <c r="L86" s="16" t="s">
        <v>85</v>
      </c>
      <c r="M86" s="16" t="s">
        <v>85</v>
      </c>
      <c r="N86" s="16">
        <f t="shared" si="31"/>
        <v>2.430555555555558E-2</v>
      </c>
      <c r="O86" s="16">
        <f t="shared" si="42"/>
        <v>3.4722222222222793E-3</v>
      </c>
      <c r="P86" s="16">
        <v>6.9444444444444397E-3</v>
      </c>
      <c r="Q86" s="16">
        <v>0.64930555555555558</v>
      </c>
      <c r="R86" s="16">
        <v>0</v>
      </c>
      <c r="S86" s="16">
        <v>0.64930555555555558</v>
      </c>
      <c r="T86" s="16">
        <f>VLOOKUP(E86,'[2]21-3-2026'!E$3:T$35,16,FALSE)</f>
        <v>2.7777777777777801E-2</v>
      </c>
      <c r="U86" s="16">
        <v>0.69097222222222221</v>
      </c>
      <c r="V86" s="16">
        <f t="shared" si="33"/>
        <v>1.388888888888884E-2</v>
      </c>
      <c r="W86" s="16">
        <v>3.125E-2</v>
      </c>
      <c r="X86" s="16">
        <v>0.6958333333333333</v>
      </c>
      <c r="Y86" s="16">
        <v>0.71875</v>
      </c>
      <c r="Z86" s="16">
        <f t="shared" si="32"/>
        <v>2.2916666666666696E-2</v>
      </c>
      <c r="AA86" s="16">
        <v>0</v>
      </c>
      <c r="AB86" s="16">
        <v>0.77430555555555547</v>
      </c>
      <c r="AC86" s="39"/>
      <c r="AD86" s="56"/>
    </row>
    <row r="87" spans="1:30" ht="19.5" thickBot="1" x14ac:dyDescent="0.3">
      <c r="A87" s="14">
        <v>18</v>
      </c>
      <c r="B87" s="15">
        <v>2714</v>
      </c>
      <c r="C87" s="15" t="str">
        <f>VLOOKUP(B87,داتا!$B$3:$D$107,2,FALSE)</f>
        <v>تلتين</v>
      </c>
      <c r="D87" s="34">
        <f>VLOOKUP(B87,داتا!$B$3:$D$107,3,FALSE)</f>
        <v>3.125E-2</v>
      </c>
      <c r="E87" s="15" t="s">
        <v>86</v>
      </c>
      <c r="F87" s="15" t="s">
        <v>163</v>
      </c>
      <c r="G87" s="16">
        <v>8.3333333333333329E-2</v>
      </c>
      <c r="H87" s="16">
        <v>0.10069444444444443</v>
      </c>
      <c r="I87" s="16">
        <f t="shared" si="19"/>
        <v>1.7361111111111105E-2</v>
      </c>
      <c r="J87" s="16">
        <v>0.59722222222222221</v>
      </c>
      <c r="K87" s="16">
        <v>0.64236111111111105</v>
      </c>
      <c r="L87" s="16" t="s">
        <v>182</v>
      </c>
      <c r="M87" s="16" t="s">
        <v>182</v>
      </c>
      <c r="N87" s="16">
        <f t="shared" si="31"/>
        <v>4.513888888888884E-2</v>
      </c>
      <c r="O87" s="16">
        <f t="shared" si="42"/>
        <v>1.388888888888884E-2</v>
      </c>
      <c r="P87" s="16">
        <v>6.9444444444444397E-3</v>
      </c>
      <c r="Q87" s="16">
        <v>0.64583333333333337</v>
      </c>
      <c r="R87" s="16">
        <v>0</v>
      </c>
      <c r="S87" s="16">
        <v>0.64583333333333337</v>
      </c>
      <c r="T87" s="16">
        <f>VLOOKUP(E87,'[2]21-3-2026'!E$3:T$35,16,FALSE)</f>
        <v>3.4722222222222199E-3</v>
      </c>
      <c r="U87" s="16">
        <v>0.64930555555555558</v>
      </c>
      <c r="V87" s="16">
        <f t="shared" si="33"/>
        <v>0</v>
      </c>
      <c r="W87" s="16">
        <v>3.125E-2</v>
      </c>
      <c r="X87" s="16">
        <v>0.65277777777777779</v>
      </c>
      <c r="Y87" s="16">
        <v>0.66319444444444442</v>
      </c>
      <c r="Z87" s="16">
        <f t="shared" si="32"/>
        <v>1.041666666666663E-2</v>
      </c>
      <c r="AA87" s="16">
        <v>0</v>
      </c>
      <c r="AB87" s="16">
        <v>0.66666666666666663</v>
      </c>
      <c r="AC87" s="39"/>
      <c r="AD87" s="56"/>
    </row>
    <row r="88" spans="1:30" ht="19.5" thickBot="1" x14ac:dyDescent="0.3">
      <c r="A88" s="14">
        <v>19</v>
      </c>
      <c r="B88" s="15">
        <v>2714</v>
      </c>
      <c r="C88" s="15" t="str">
        <f>VLOOKUP(B88,داتا!$B$3:$D$107,2,FALSE)</f>
        <v>تلتين</v>
      </c>
      <c r="D88" s="34">
        <f>VLOOKUP(B88,داتا!$B$3:$D$107,3,FALSE)</f>
        <v>3.125E-2</v>
      </c>
      <c r="E88" s="15" t="s">
        <v>83</v>
      </c>
      <c r="F88" s="15" t="s">
        <v>163</v>
      </c>
      <c r="G88" s="16">
        <v>8.3333333333333329E-2</v>
      </c>
      <c r="H88" s="16">
        <v>0.10069444444444443</v>
      </c>
      <c r="I88" s="16">
        <f t="shared" ref="I88:I89" si="46">H88-G88</f>
        <v>1.7361111111111105E-2</v>
      </c>
      <c r="J88" s="16">
        <v>0.59722222222222221</v>
      </c>
      <c r="K88" s="16">
        <v>0.64236111111111105</v>
      </c>
      <c r="L88" s="16" t="s">
        <v>182</v>
      </c>
      <c r="M88" s="16" t="s">
        <v>182</v>
      </c>
      <c r="N88" s="16">
        <f t="shared" ref="N88:N89" si="47">K88-J88</f>
        <v>4.513888888888884E-2</v>
      </c>
      <c r="O88" s="16">
        <f t="shared" ref="O88:O89" si="48">N88-D88</f>
        <v>1.388888888888884E-2</v>
      </c>
      <c r="P88" s="16">
        <v>6.9444444444444397E-3</v>
      </c>
      <c r="Q88" s="16">
        <v>0.64583333333333337</v>
      </c>
      <c r="R88" s="16">
        <v>0</v>
      </c>
      <c r="S88" s="16">
        <v>0.64583333333333337</v>
      </c>
      <c r="T88" s="16">
        <f>VLOOKUP(E88,'[2]21-3-2026'!E$3:T$35,16,FALSE)</f>
        <v>1.38888888888889E-2</v>
      </c>
      <c r="U88" s="16">
        <v>0.68055555555555547</v>
      </c>
      <c r="V88" s="16">
        <v>0</v>
      </c>
      <c r="W88" s="16">
        <v>3.125E-2</v>
      </c>
      <c r="X88" s="16">
        <v>0.68402777777777779</v>
      </c>
      <c r="Y88" s="16">
        <v>0.70138888888888884</v>
      </c>
      <c r="Z88" s="16">
        <f t="shared" si="32"/>
        <v>1.7361111111111049E-2</v>
      </c>
      <c r="AA88" s="16">
        <v>0</v>
      </c>
      <c r="AB88" s="16">
        <v>0.70347222222222217</v>
      </c>
      <c r="AC88" s="41"/>
      <c r="AD88" s="56"/>
    </row>
    <row r="89" spans="1:30" ht="19.5" thickBot="1" x14ac:dyDescent="0.3">
      <c r="A89" s="14">
        <v>20</v>
      </c>
      <c r="B89" s="15">
        <v>2714</v>
      </c>
      <c r="C89" s="15" t="str">
        <f>VLOOKUP(B89,داتا!$B$3:$D$107,2,FALSE)</f>
        <v>تلتين</v>
      </c>
      <c r="D89" s="34">
        <f>VLOOKUP(B89,داتا!$B$3:$D$107,3,FALSE)</f>
        <v>3.125E-2</v>
      </c>
      <c r="E89" s="15" t="s">
        <v>77</v>
      </c>
      <c r="F89" s="15" t="s">
        <v>163</v>
      </c>
      <c r="G89" s="16">
        <v>8.3333333333333329E-2</v>
      </c>
      <c r="H89" s="16">
        <v>0.10069444444444443</v>
      </c>
      <c r="I89" s="16">
        <f t="shared" si="46"/>
        <v>1.7361111111111105E-2</v>
      </c>
      <c r="J89" s="16">
        <v>0.59722222222222221</v>
      </c>
      <c r="K89" s="16">
        <v>0.64236111111111105</v>
      </c>
      <c r="L89" s="16" t="s">
        <v>182</v>
      </c>
      <c r="M89" s="16" t="s">
        <v>182</v>
      </c>
      <c r="N89" s="16">
        <f t="shared" si="47"/>
        <v>4.513888888888884E-2</v>
      </c>
      <c r="O89" s="16">
        <f t="shared" si="48"/>
        <v>1.388888888888884E-2</v>
      </c>
      <c r="P89" s="16">
        <v>6.9444444444444397E-3</v>
      </c>
      <c r="Q89" s="16">
        <v>0.64583333333333337</v>
      </c>
      <c r="R89" s="16">
        <v>0</v>
      </c>
      <c r="S89" s="16">
        <v>0.64583333333333337</v>
      </c>
      <c r="T89" s="16">
        <f>VLOOKUP(E89,'[2]21-3-2026'!E$3:T$35,16,FALSE)</f>
        <v>1.38888888888889E-2</v>
      </c>
      <c r="U89" s="16">
        <v>0.71180555555555547</v>
      </c>
      <c r="V89" s="16">
        <v>0</v>
      </c>
      <c r="W89" s="16">
        <v>4.1666666666666664E-2</v>
      </c>
      <c r="X89" s="16">
        <v>0.71527777777777779</v>
      </c>
      <c r="Y89" s="16">
        <v>0.72916666666666663</v>
      </c>
      <c r="Z89" s="16">
        <f t="shared" si="32"/>
        <v>1.388888888888884E-2</v>
      </c>
      <c r="AA89" s="16">
        <v>0</v>
      </c>
      <c r="AB89" s="16">
        <v>0.73263888888888884</v>
      </c>
      <c r="AC89" s="41"/>
      <c r="AD89" s="56"/>
    </row>
    <row r="90" spans="1:30" ht="19.5" thickBot="1" x14ac:dyDescent="0.3">
      <c r="A90" s="14">
        <v>21</v>
      </c>
      <c r="B90" s="15">
        <v>2474</v>
      </c>
      <c r="C90" s="15" t="str">
        <f>VLOOKUP(B90,داتا!$B$3:$D$107,2,FALSE)</f>
        <v>دبابة</v>
      </c>
      <c r="D90" s="34">
        <f>VLOOKUP(B90,داتا!$B$3:$D$107,3,FALSE)</f>
        <v>2.0833333333333332E-2</v>
      </c>
      <c r="E90" s="15" t="s">
        <v>89</v>
      </c>
      <c r="F90" s="15" t="s">
        <v>191</v>
      </c>
      <c r="G90" s="16">
        <v>8.3333333333333329E-2</v>
      </c>
      <c r="H90" s="16">
        <v>8.3333333333333329E-2</v>
      </c>
      <c r="I90" s="16">
        <f t="shared" si="19"/>
        <v>0</v>
      </c>
      <c r="J90" s="16">
        <v>0.59027777777777779</v>
      </c>
      <c r="K90" s="16">
        <v>0.61805555555555558</v>
      </c>
      <c r="L90" s="16" t="s">
        <v>172</v>
      </c>
      <c r="M90" s="16" t="s">
        <v>172</v>
      </c>
      <c r="N90" s="16">
        <f t="shared" si="31"/>
        <v>2.777777777777779E-2</v>
      </c>
      <c r="O90" s="16">
        <f t="shared" si="42"/>
        <v>6.9444444444444579E-3</v>
      </c>
      <c r="P90" s="16">
        <v>6.9444444444444397E-3</v>
      </c>
      <c r="Q90" s="16">
        <v>0.62152777777777779</v>
      </c>
      <c r="R90" s="16">
        <v>0</v>
      </c>
      <c r="S90" s="16">
        <v>0.62152777777777779</v>
      </c>
      <c r="T90" s="16">
        <f>VLOOKUP(E90,'[2]21-3-2026'!E$3:T$35,16,FALSE)</f>
        <v>1.7361111111111101E-2</v>
      </c>
      <c r="U90" s="16">
        <v>0.65902777777777777</v>
      </c>
      <c r="V90" s="16">
        <f t="shared" si="33"/>
        <v>2.0138888888888928E-2</v>
      </c>
      <c r="W90" s="16">
        <v>2.0833333333333332E-2</v>
      </c>
      <c r="X90" s="16">
        <v>0.66041666666666665</v>
      </c>
      <c r="Y90" s="16">
        <v>0.66666666666666663</v>
      </c>
      <c r="Z90" s="16">
        <f t="shared" si="32"/>
        <v>6.2499999999999778E-3</v>
      </c>
      <c r="AA90" s="16">
        <v>0</v>
      </c>
      <c r="AB90" s="16">
        <v>0.67013888888888884</v>
      </c>
      <c r="AC90" s="41"/>
      <c r="AD90" s="56"/>
    </row>
    <row r="91" spans="1:30" ht="19.5" thickBot="1" x14ac:dyDescent="0.3">
      <c r="A91" s="14">
        <v>22</v>
      </c>
      <c r="B91" s="15">
        <v>2474</v>
      </c>
      <c r="C91" s="15" t="str">
        <f>VLOOKUP(B91,داتا!$B$3:$D$107,2,FALSE)</f>
        <v>دبابة</v>
      </c>
      <c r="D91" s="34">
        <f>VLOOKUP(B91,داتا!$B$3:$D$107,3,FALSE)</f>
        <v>2.0833333333333332E-2</v>
      </c>
      <c r="E91" s="15" t="s">
        <v>39</v>
      </c>
      <c r="F91" s="15" t="s">
        <v>191</v>
      </c>
      <c r="G91" s="16">
        <v>8.3333333333333329E-2</v>
      </c>
      <c r="H91" s="16">
        <v>8.3333333333333329E-2</v>
      </c>
      <c r="I91" s="16">
        <f t="shared" si="19"/>
        <v>0</v>
      </c>
      <c r="J91" s="16">
        <v>0.59027777777777779</v>
      </c>
      <c r="K91" s="16">
        <v>0.61805555555555558</v>
      </c>
      <c r="L91" s="16" t="s">
        <v>172</v>
      </c>
      <c r="M91" s="16" t="s">
        <v>172</v>
      </c>
      <c r="N91" s="16">
        <f t="shared" si="31"/>
        <v>2.777777777777779E-2</v>
      </c>
      <c r="O91" s="16">
        <f t="shared" si="42"/>
        <v>6.9444444444444579E-3</v>
      </c>
      <c r="P91" s="16">
        <v>6.9444444444444397E-3</v>
      </c>
      <c r="Q91" s="16">
        <v>0.62152777777777779</v>
      </c>
      <c r="R91" s="16">
        <v>0</v>
      </c>
      <c r="S91" s="16">
        <v>0.62152777777777779</v>
      </c>
      <c r="T91" s="16">
        <v>1.0416666666666666E-2</v>
      </c>
      <c r="U91" s="16">
        <v>0.6875</v>
      </c>
      <c r="V91" s="16">
        <v>6.9444444444444441E-3</v>
      </c>
      <c r="W91" s="16">
        <v>3.125E-2</v>
      </c>
      <c r="X91" s="16">
        <v>0.69097222222222221</v>
      </c>
      <c r="Y91" s="16">
        <v>0.70833333333333337</v>
      </c>
      <c r="Z91" s="16">
        <f t="shared" si="32"/>
        <v>1.736111111111116E-2</v>
      </c>
      <c r="AA91" s="16">
        <v>0</v>
      </c>
      <c r="AB91" s="16">
        <v>0.77430555555555547</v>
      </c>
      <c r="AC91" s="41"/>
      <c r="AD91" s="56"/>
    </row>
    <row r="92" spans="1:30" ht="19.5" thickBot="1" x14ac:dyDescent="0.3">
      <c r="A92" s="14">
        <v>23</v>
      </c>
      <c r="B92" s="15">
        <v>1537</v>
      </c>
      <c r="C92" s="15" t="str">
        <f>VLOOKUP(B92,داتا!$B$3:$D$107,2,FALSE)</f>
        <v>تلتين</v>
      </c>
      <c r="D92" s="34">
        <f>VLOOKUP(B92,داتا!$B$3:$D$107,3,FALSE)</f>
        <v>3.125E-2</v>
      </c>
      <c r="E92" s="15" t="s">
        <v>42</v>
      </c>
      <c r="F92" s="15" t="s">
        <v>143</v>
      </c>
      <c r="G92" s="16">
        <v>8.3333333333333329E-2</v>
      </c>
      <c r="H92" s="16">
        <v>8.3333333333333329E-2</v>
      </c>
      <c r="I92" s="16">
        <f t="shared" si="19"/>
        <v>0</v>
      </c>
      <c r="J92" s="16">
        <v>0.625</v>
      </c>
      <c r="K92" s="16">
        <v>0.65972222222222221</v>
      </c>
      <c r="L92" s="16" t="s">
        <v>242</v>
      </c>
      <c r="M92" s="16" t="s">
        <v>172</v>
      </c>
      <c r="N92" s="16">
        <f t="shared" si="31"/>
        <v>3.472222222222221E-2</v>
      </c>
      <c r="O92" s="16">
        <v>0</v>
      </c>
      <c r="P92" s="16">
        <v>6.9444444444444397E-3</v>
      </c>
      <c r="Q92" s="16">
        <v>0.65972222222222221</v>
      </c>
      <c r="R92" s="16">
        <v>0</v>
      </c>
      <c r="S92" s="16">
        <v>0.65972222222222221</v>
      </c>
      <c r="T92" s="16">
        <f>VLOOKUP(E92,'[2]21-3-2026'!E$3:T$35,16,FALSE)</f>
        <v>1.7361111111111101E-2</v>
      </c>
      <c r="U92" s="16">
        <v>0.6875</v>
      </c>
      <c r="V92" s="16">
        <f t="shared" si="33"/>
        <v>1.0416666666666741E-2</v>
      </c>
      <c r="W92" s="16">
        <v>3.125E-2</v>
      </c>
      <c r="X92" s="16">
        <v>0.69097222222222221</v>
      </c>
      <c r="Y92" s="16">
        <v>0.70486111111111116</v>
      </c>
      <c r="Z92" s="16">
        <f t="shared" si="32"/>
        <v>1.3888888888888951E-2</v>
      </c>
      <c r="AA92" s="16">
        <v>0</v>
      </c>
      <c r="AB92" s="16">
        <v>0.70833333333333337</v>
      </c>
      <c r="AC92" s="41"/>
      <c r="AD92" s="56"/>
    </row>
    <row r="93" spans="1:30" ht="19.5" thickBot="1" x14ac:dyDescent="0.3">
      <c r="A93" s="20">
        <v>24</v>
      </c>
      <c r="B93" s="21">
        <v>1537</v>
      </c>
      <c r="C93" s="21" t="str">
        <f>VLOOKUP(B93,داتا!$B$3:$D$107,2,FALSE)</f>
        <v>تلتين</v>
      </c>
      <c r="D93" s="35">
        <f>VLOOKUP(B93,داتا!$B$3:$D$107,3,FALSE)</f>
        <v>3.125E-2</v>
      </c>
      <c r="E93" s="21" t="s">
        <v>45</v>
      </c>
      <c r="F93" s="21" t="s">
        <v>143</v>
      </c>
      <c r="G93" s="22">
        <v>8.3333333333333329E-2</v>
      </c>
      <c r="H93" s="22">
        <v>8.3333333333333329E-2</v>
      </c>
      <c r="I93" s="22">
        <f t="shared" si="19"/>
        <v>0</v>
      </c>
      <c r="J93" s="22">
        <v>0.625</v>
      </c>
      <c r="K93" s="22">
        <v>0.65972222222222221</v>
      </c>
      <c r="L93" s="22" t="s">
        <v>242</v>
      </c>
      <c r="M93" s="22" t="s">
        <v>172</v>
      </c>
      <c r="N93" s="22">
        <f t="shared" si="31"/>
        <v>3.472222222222221E-2</v>
      </c>
      <c r="O93" s="22">
        <v>0</v>
      </c>
      <c r="P93" s="22">
        <v>6.9444444444444397E-3</v>
      </c>
      <c r="Q93" s="22">
        <v>0.65972222222222221</v>
      </c>
      <c r="R93" s="22">
        <v>0</v>
      </c>
      <c r="S93" s="22">
        <v>0.65972222222222221</v>
      </c>
      <c r="T93" s="22">
        <f>VLOOKUP(E93,'[2]21-3-2026'!E$3:T$35,16,FALSE)</f>
        <v>1.38888888888889E-2</v>
      </c>
      <c r="U93" s="22">
        <v>0.72222222222222221</v>
      </c>
      <c r="V93" s="22">
        <v>0</v>
      </c>
      <c r="W93" s="22">
        <v>4.1666666666666664E-2</v>
      </c>
      <c r="X93" s="22">
        <v>0.7416666666666667</v>
      </c>
      <c r="Y93" s="22">
        <v>0.77430555555555547</v>
      </c>
      <c r="Z93" s="22">
        <f t="shared" si="32"/>
        <v>3.2638888888888773E-2</v>
      </c>
      <c r="AA93" s="22">
        <v>0</v>
      </c>
      <c r="AB93" s="22">
        <v>0.78819444444444453</v>
      </c>
      <c r="AC93" s="44"/>
      <c r="AD93" s="57"/>
    </row>
    <row r="94" spans="1:30" ht="16.5" thickTop="1" x14ac:dyDescent="0.25"/>
  </sheetData>
  <autoFilter ref="E1:E93"/>
  <mergeCells count="4">
    <mergeCell ref="AD38:AD69"/>
    <mergeCell ref="AD70:AD93"/>
    <mergeCell ref="A1:AC1"/>
    <mergeCell ref="AD3:AD37"/>
  </mergeCells>
  <conditionalFormatting sqref="AC1:AC1048576">
    <cfRule type="containsText" dxfId="400" priority="78" operator="containsText" text="ت">
      <formula>NOT(ISERROR(SEARCH("ت",AC1)))</formula>
    </cfRule>
  </conditionalFormatting>
  <conditionalFormatting sqref="AC4:AC93">
    <cfRule type="containsText" dxfId="399" priority="77" operator="containsText" text="ت">
      <formula>NOT(ISERROR(SEARCH("ت",AC4)))</formula>
    </cfRule>
  </conditionalFormatting>
  <conditionalFormatting sqref="O1:O2 I1:I2 R1:R2 V1:V2 AA94:AA1048576 V94:V1048576 R94:R1048576 O94:O1048576 I94:I1048576 AA1:AA2">
    <cfRule type="cellIs" dxfId="398" priority="79" operator="between">
      <formula>0.00277777777777778</formula>
      <formula>1</formula>
    </cfRule>
  </conditionalFormatting>
  <conditionalFormatting sqref="I34 I36:I70 I86:I93 I74 I83 I80 I76:I78">
    <cfRule type="cellIs" dxfId="397" priority="73" operator="between">
      <formula>0.00277777777777778</formula>
      <formula>1</formula>
    </cfRule>
  </conditionalFormatting>
  <conditionalFormatting sqref="I34 I36:I70 I86:I93 I74 I83 I80 I76:I78">
    <cfRule type="cellIs" dxfId="396" priority="74" operator="between">
      <formula>0.00277777777777778</formula>
      <formula>1</formula>
    </cfRule>
  </conditionalFormatting>
  <conditionalFormatting sqref="O3:O8 O10:O14 O16:O20 O36:O44 O30:O34 O22:O28 O58:O70 O46:O53 O55:O56 O86:O93 O74 O83 O80 O76:O78">
    <cfRule type="cellIs" dxfId="395" priority="71" operator="between">
      <formula>0.00277777777777778</formula>
      <formula>1</formula>
    </cfRule>
  </conditionalFormatting>
  <conditionalFormatting sqref="O3:O8 O10:O14 O16:O20 O36:O44 O30:O34 O22:O28 O58:O70 O46:O53 O55:O56 O86:O93 O74 O83 O80 O76:O78">
    <cfRule type="cellIs" dxfId="394" priority="72" operator="between">
      <formula>0.00277777777777778</formula>
      <formula>1</formula>
    </cfRule>
  </conditionalFormatting>
  <conditionalFormatting sqref="R3:R8 R10:R14 R16:R20 R36:R93 R30:R34 R22:R28">
    <cfRule type="cellIs" dxfId="393" priority="69" operator="between">
      <formula>0.00277777777777778</formula>
      <formula>1</formula>
    </cfRule>
  </conditionalFormatting>
  <conditionalFormatting sqref="R3:R8 R10:R14 R16:R20 R36:R93 R30:R34 R22:R28">
    <cfRule type="cellIs" dxfId="392" priority="70" operator="between">
      <formula>0.00277777777777778</formula>
      <formula>1</formula>
    </cfRule>
  </conditionalFormatting>
  <conditionalFormatting sqref="V3:V93">
    <cfRule type="cellIs" dxfId="391" priority="67" operator="between">
      <formula>0.00277777777777778</formula>
      <formula>1</formula>
    </cfRule>
  </conditionalFormatting>
  <conditionalFormatting sqref="V3:V93">
    <cfRule type="cellIs" dxfId="390" priority="68" operator="between">
      <formula>0.00277777777777778</formula>
      <formula>1</formula>
    </cfRule>
  </conditionalFormatting>
  <conditionalFormatting sqref="AA3:AA73 AA76:AA93">
    <cfRule type="cellIs" dxfId="389" priority="65" operator="between">
      <formula>0.00277777777777778</formula>
      <formula>1</formula>
    </cfRule>
  </conditionalFormatting>
  <conditionalFormatting sqref="AA3:AA73 AA76:AA93">
    <cfRule type="cellIs" dxfId="388" priority="66" operator="between">
      <formula>0.00277777777777778</formula>
      <formula>1</formula>
    </cfRule>
  </conditionalFormatting>
  <conditionalFormatting sqref="I3:I8 I10:I14 I16:I20 I30:I33 I22:I28">
    <cfRule type="cellIs" dxfId="387" priority="63" operator="between">
      <formula>0.00277777777777778</formula>
      <formula>1</formula>
    </cfRule>
  </conditionalFormatting>
  <conditionalFormatting sqref="I3:I8 I10:I14 I16:I20 I30:I33 I22:I28">
    <cfRule type="cellIs" dxfId="386" priority="64" operator="between">
      <formula>0.00277777777777778</formula>
      <formula>1</formula>
    </cfRule>
  </conditionalFormatting>
  <conditionalFormatting sqref="O9">
    <cfRule type="cellIs" dxfId="385" priority="61" operator="between">
      <formula>0.00277777777777778</formula>
      <formula>1</formula>
    </cfRule>
  </conditionalFormatting>
  <conditionalFormatting sqref="O9">
    <cfRule type="cellIs" dxfId="384" priority="62" operator="between">
      <formula>0.00277777777777778</formula>
      <formula>1</formula>
    </cfRule>
  </conditionalFormatting>
  <conditionalFormatting sqref="R9">
    <cfRule type="cellIs" dxfId="383" priority="59" operator="between">
      <formula>0.00277777777777778</formula>
      <formula>1</formula>
    </cfRule>
  </conditionalFormatting>
  <conditionalFormatting sqref="R9">
    <cfRule type="cellIs" dxfId="382" priority="60" operator="between">
      <formula>0.00277777777777778</formula>
      <formula>1</formula>
    </cfRule>
  </conditionalFormatting>
  <conditionalFormatting sqref="I9">
    <cfRule type="cellIs" dxfId="381" priority="57" operator="between">
      <formula>0.00277777777777778</formula>
      <formula>1</formula>
    </cfRule>
  </conditionalFormatting>
  <conditionalFormatting sqref="I9">
    <cfRule type="cellIs" dxfId="380" priority="58" operator="between">
      <formula>0.00277777777777778</formula>
      <formula>1</formula>
    </cfRule>
  </conditionalFormatting>
  <conditionalFormatting sqref="O15">
    <cfRule type="cellIs" dxfId="379" priority="55" operator="between">
      <formula>0.00277777777777778</formula>
      <formula>1</formula>
    </cfRule>
  </conditionalFormatting>
  <conditionalFormatting sqref="O15">
    <cfRule type="cellIs" dxfId="378" priority="56" operator="between">
      <formula>0.00277777777777778</formula>
      <formula>1</formula>
    </cfRule>
  </conditionalFormatting>
  <conditionalFormatting sqref="R15">
    <cfRule type="cellIs" dxfId="377" priority="53" operator="between">
      <formula>0.00277777777777778</formula>
      <formula>1</formula>
    </cfRule>
  </conditionalFormatting>
  <conditionalFormatting sqref="R15">
    <cfRule type="cellIs" dxfId="376" priority="54" operator="between">
      <formula>0.00277777777777778</formula>
      <formula>1</formula>
    </cfRule>
  </conditionalFormatting>
  <conditionalFormatting sqref="I15">
    <cfRule type="cellIs" dxfId="375" priority="51" operator="between">
      <formula>0.00277777777777778</formula>
      <formula>1</formula>
    </cfRule>
  </conditionalFormatting>
  <conditionalFormatting sqref="I15">
    <cfRule type="cellIs" dxfId="374" priority="52" operator="between">
      <formula>0.00277777777777778</formula>
      <formula>1</formula>
    </cfRule>
  </conditionalFormatting>
  <conditionalFormatting sqref="I35">
    <cfRule type="cellIs" dxfId="373" priority="49" operator="between">
      <formula>0.00277777777777778</formula>
      <formula>1</formula>
    </cfRule>
  </conditionalFormatting>
  <conditionalFormatting sqref="I35">
    <cfRule type="cellIs" dxfId="372" priority="50" operator="between">
      <formula>0.00277777777777778</formula>
      <formula>1</formula>
    </cfRule>
  </conditionalFormatting>
  <conditionalFormatting sqref="O35">
    <cfRule type="cellIs" dxfId="371" priority="47" operator="between">
      <formula>0.00277777777777778</formula>
      <formula>1</formula>
    </cfRule>
  </conditionalFormatting>
  <conditionalFormatting sqref="O35">
    <cfRule type="cellIs" dxfId="370" priority="48" operator="between">
      <formula>0.00277777777777778</formula>
      <formula>1</formula>
    </cfRule>
  </conditionalFormatting>
  <conditionalFormatting sqref="R35">
    <cfRule type="cellIs" dxfId="369" priority="45" operator="between">
      <formula>0.00277777777777778</formula>
      <formula>1</formula>
    </cfRule>
  </conditionalFormatting>
  <conditionalFormatting sqref="R35">
    <cfRule type="cellIs" dxfId="368" priority="46" operator="between">
      <formula>0.00277777777777778</formula>
      <formula>1</formula>
    </cfRule>
  </conditionalFormatting>
  <conditionalFormatting sqref="O29">
    <cfRule type="cellIs" dxfId="367" priority="43" operator="between">
      <formula>0.00277777777777778</formula>
      <formula>1</formula>
    </cfRule>
  </conditionalFormatting>
  <conditionalFormatting sqref="O29">
    <cfRule type="cellIs" dxfId="366" priority="44" operator="between">
      <formula>0.00277777777777778</formula>
      <formula>1</formula>
    </cfRule>
  </conditionalFormatting>
  <conditionalFormatting sqref="R29">
    <cfRule type="cellIs" dxfId="365" priority="41" operator="between">
      <formula>0.00277777777777778</formula>
      <formula>1</formula>
    </cfRule>
  </conditionalFormatting>
  <conditionalFormatting sqref="R29">
    <cfRule type="cellIs" dxfId="364" priority="42" operator="between">
      <formula>0.00277777777777778</formula>
      <formula>1</formula>
    </cfRule>
  </conditionalFormatting>
  <conditionalFormatting sqref="I29">
    <cfRule type="cellIs" dxfId="363" priority="39" operator="between">
      <formula>0.00277777777777778</formula>
      <formula>1</formula>
    </cfRule>
  </conditionalFormatting>
  <conditionalFormatting sqref="I29">
    <cfRule type="cellIs" dxfId="362" priority="40" operator="between">
      <formula>0.00277777777777778</formula>
      <formula>1</formula>
    </cfRule>
  </conditionalFormatting>
  <conditionalFormatting sqref="O21">
    <cfRule type="cellIs" dxfId="361" priority="37" operator="between">
      <formula>0.00277777777777778</formula>
      <formula>1</formula>
    </cfRule>
  </conditionalFormatting>
  <conditionalFormatting sqref="O21">
    <cfRule type="cellIs" dxfId="360" priority="38" operator="between">
      <formula>0.00277777777777778</formula>
      <formula>1</formula>
    </cfRule>
  </conditionalFormatting>
  <conditionalFormatting sqref="R21">
    <cfRule type="cellIs" dxfId="359" priority="35" operator="between">
      <formula>0.00277777777777778</formula>
      <formula>1</formula>
    </cfRule>
  </conditionalFormatting>
  <conditionalFormatting sqref="R21">
    <cfRule type="cellIs" dxfId="358" priority="36" operator="between">
      <formula>0.00277777777777778</formula>
      <formula>1</formula>
    </cfRule>
  </conditionalFormatting>
  <conditionalFormatting sqref="I21">
    <cfRule type="cellIs" dxfId="357" priority="33" operator="between">
      <formula>0.00277777777777778</formula>
      <formula>1</formula>
    </cfRule>
  </conditionalFormatting>
  <conditionalFormatting sqref="I21">
    <cfRule type="cellIs" dxfId="356" priority="34" operator="between">
      <formula>0.00277777777777778</formula>
      <formula>1</formula>
    </cfRule>
  </conditionalFormatting>
  <conditionalFormatting sqref="O57">
    <cfRule type="cellIs" dxfId="355" priority="29" operator="between">
      <formula>0.00277777777777778</formula>
      <formula>1</formula>
    </cfRule>
  </conditionalFormatting>
  <conditionalFormatting sqref="O57">
    <cfRule type="cellIs" dxfId="354" priority="30" operator="between">
      <formula>0.00277777777777778</formula>
      <formula>1</formula>
    </cfRule>
  </conditionalFormatting>
  <conditionalFormatting sqref="O45">
    <cfRule type="cellIs" dxfId="353" priority="25" operator="between">
      <formula>0.00277777777777778</formula>
      <formula>1</formula>
    </cfRule>
  </conditionalFormatting>
  <conditionalFormatting sqref="O45">
    <cfRule type="cellIs" dxfId="352" priority="26" operator="between">
      <formula>0.00277777777777778</formula>
      <formula>1</formula>
    </cfRule>
  </conditionalFormatting>
  <conditionalFormatting sqref="O54">
    <cfRule type="cellIs" dxfId="351" priority="21" operator="between">
      <formula>0.00277777777777778</formula>
      <formula>1</formula>
    </cfRule>
  </conditionalFormatting>
  <conditionalFormatting sqref="O54">
    <cfRule type="cellIs" dxfId="350" priority="22" operator="between">
      <formula>0.00277777777777778</formula>
      <formula>1</formula>
    </cfRule>
  </conditionalFormatting>
  <conditionalFormatting sqref="I84:I85">
    <cfRule type="cellIs" dxfId="349" priority="19" operator="between">
      <formula>0.00277777777777778</formula>
      <formula>1</formula>
    </cfRule>
  </conditionalFormatting>
  <conditionalFormatting sqref="I84:I85">
    <cfRule type="cellIs" dxfId="348" priority="20" operator="between">
      <formula>0.00277777777777778</formula>
      <formula>1</formula>
    </cfRule>
  </conditionalFormatting>
  <conditionalFormatting sqref="O84:O85">
    <cfRule type="cellIs" dxfId="347" priority="17" operator="between">
      <formula>0.00277777777777778</formula>
      <formula>1</formula>
    </cfRule>
  </conditionalFormatting>
  <conditionalFormatting sqref="O84:O85">
    <cfRule type="cellIs" dxfId="346" priority="18" operator="between">
      <formula>0.00277777777777778</formula>
      <formula>1</formula>
    </cfRule>
  </conditionalFormatting>
  <conditionalFormatting sqref="I71:I73">
    <cfRule type="cellIs" dxfId="345" priority="15" operator="between">
      <formula>0.00277777777777778</formula>
      <formula>1</formula>
    </cfRule>
  </conditionalFormatting>
  <conditionalFormatting sqref="I71:I73">
    <cfRule type="cellIs" dxfId="344" priority="16" operator="between">
      <formula>0.00277777777777778</formula>
      <formula>1</formula>
    </cfRule>
  </conditionalFormatting>
  <conditionalFormatting sqref="O71:O73">
    <cfRule type="cellIs" dxfId="343" priority="13" operator="between">
      <formula>0.00277777777777778</formula>
      <formula>1</formula>
    </cfRule>
  </conditionalFormatting>
  <conditionalFormatting sqref="O71:O73">
    <cfRule type="cellIs" dxfId="342" priority="14" operator="between">
      <formula>0.00277777777777778</formula>
      <formula>1</formula>
    </cfRule>
  </conditionalFormatting>
  <conditionalFormatting sqref="I81:I82">
    <cfRule type="cellIs" dxfId="341" priority="11" operator="between">
      <formula>0.00277777777777778</formula>
      <formula>1</formula>
    </cfRule>
  </conditionalFormatting>
  <conditionalFormatting sqref="I81:I82">
    <cfRule type="cellIs" dxfId="340" priority="12" operator="between">
      <formula>0.00277777777777778</formula>
      <formula>1</formula>
    </cfRule>
  </conditionalFormatting>
  <conditionalFormatting sqref="O81:O82">
    <cfRule type="cellIs" dxfId="339" priority="9" operator="between">
      <formula>0.00277777777777778</formula>
      <formula>1</formula>
    </cfRule>
  </conditionalFormatting>
  <conditionalFormatting sqref="O81:O82">
    <cfRule type="cellIs" dxfId="338" priority="10" operator="between">
      <formula>0.00277777777777778</formula>
      <formula>1</formula>
    </cfRule>
  </conditionalFormatting>
  <conditionalFormatting sqref="I79">
    <cfRule type="cellIs" dxfId="337" priority="7" operator="between">
      <formula>0.00277777777777778</formula>
      <formula>1</formula>
    </cfRule>
  </conditionalFormatting>
  <conditionalFormatting sqref="I79">
    <cfRule type="cellIs" dxfId="336" priority="8" operator="between">
      <formula>0.00277777777777778</formula>
      <formula>1</formula>
    </cfRule>
  </conditionalFormatting>
  <conditionalFormatting sqref="O79">
    <cfRule type="cellIs" dxfId="335" priority="5" operator="between">
      <formula>0.00277777777777778</formula>
      <formula>1</formula>
    </cfRule>
  </conditionalFormatting>
  <conditionalFormatting sqref="O79">
    <cfRule type="cellIs" dxfId="334" priority="6" operator="between">
      <formula>0.00277777777777778</formula>
      <formula>1</formula>
    </cfRule>
  </conditionalFormatting>
  <conditionalFormatting sqref="I75">
    <cfRule type="cellIs" dxfId="333" priority="3" operator="between">
      <formula>0.00277777777777778</formula>
      <formula>1</formula>
    </cfRule>
  </conditionalFormatting>
  <conditionalFormatting sqref="I75">
    <cfRule type="cellIs" dxfId="332" priority="4" operator="between">
      <formula>0.00277777777777778</formula>
      <formula>1</formula>
    </cfRule>
  </conditionalFormatting>
  <conditionalFormatting sqref="O75">
    <cfRule type="cellIs" dxfId="331" priority="1" operator="between">
      <formula>0.00277777777777778</formula>
      <formula>1</formula>
    </cfRule>
  </conditionalFormatting>
  <conditionalFormatting sqref="O75">
    <cfRule type="cellIs" dxfId="330" priority="2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"/>
  <sheetViews>
    <sheetView rightToLeft="1" workbookViewId="0">
      <pane xSplit="6" ySplit="2" topLeftCell="G68" activePane="bottomRight" state="frozen"/>
      <selection pane="topRight" activeCell="G1" sqref="G1"/>
      <selection pane="bottomLeft" activeCell="A3" sqref="A3"/>
      <selection pane="bottomRight" sqref="A1:AC1"/>
    </sheetView>
  </sheetViews>
  <sheetFormatPr defaultColWidth="9" defaultRowHeight="15.75" x14ac:dyDescent="0.25"/>
  <cols>
    <col min="1" max="1" width="5.42578125" customWidth="1"/>
    <col min="2" max="2" width="12.28515625" customWidth="1"/>
    <col min="3" max="3" width="12.5703125" customWidth="1"/>
    <col min="4" max="4" width="16.140625" style="36" customWidth="1"/>
    <col min="5" max="5" width="17.140625" customWidth="1"/>
    <col min="6" max="6" width="20.85546875" customWidth="1"/>
    <col min="7" max="7" width="12.7109375" customWidth="1"/>
    <col min="8" max="9" width="12.85546875" customWidth="1"/>
    <col min="10" max="10" width="12.5703125" customWidth="1"/>
    <col min="11" max="11" width="14.28515625" customWidth="1"/>
    <col min="12" max="12" width="22.7109375" customWidth="1"/>
    <col min="13" max="13" width="18.8554687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3.85546875" style="31" customWidth="1"/>
    <col min="30" max="30" width="11.140625" customWidth="1"/>
  </cols>
  <sheetData>
    <row r="1" spans="1:30" ht="33.75" customHeight="1" thickBot="1" x14ac:dyDescent="0.3">
      <c r="A1" s="46" t="s">
        <v>127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0" ht="49.5" customHeight="1" thickTop="1" thickBot="1" x14ac:dyDescent="0.3">
      <c r="A2" s="1" t="s">
        <v>1</v>
      </c>
      <c r="B2" s="2" t="s">
        <v>2</v>
      </c>
      <c r="C2" s="2" t="s">
        <v>3</v>
      </c>
      <c r="D2" s="3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8" t="s">
        <v>18</v>
      </c>
      <c r="S2" s="2" t="s">
        <v>19</v>
      </c>
      <c r="T2" s="8" t="s">
        <v>20</v>
      </c>
      <c r="U2" s="2" t="s">
        <v>21</v>
      </c>
      <c r="V2" s="8" t="s">
        <v>22</v>
      </c>
      <c r="W2" s="8" t="s">
        <v>23</v>
      </c>
      <c r="X2" s="2" t="s">
        <v>24</v>
      </c>
      <c r="Y2" s="2" t="s">
        <v>25</v>
      </c>
      <c r="Z2" s="2" t="s">
        <v>26</v>
      </c>
      <c r="AA2" s="8" t="s">
        <v>27</v>
      </c>
      <c r="AB2" s="2" t="s">
        <v>28</v>
      </c>
      <c r="AC2" s="9" t="s">
        <v>29</v>
      </c>
    </row>
    <row r="3" spans="1:30" ht="20.25" customHeight="1" thickTop="1" thickBot="1" x14ac:dyDescent="0.3">
      <c r="A3" s="10">
        <v>1</v>
      </c>
      <c r="B3" s="11"/>
      <c r="C3" s="11" t="e">
        <f>VLOOKUP(B3,داتا!$B$3:$D$107,2,FALSE)</f>
        <v>#N/A</v>
      </c>
      <c r="D3" s="33" t="e">
        <f>VLOOKUP(B3,داتا!$B$3:$D$107,3,FALSE)</f>
        <v>#N/A</v>
      </c>
      <c r="E3" s="11"/>
      <c r="F3" s="11"/>
      <c r="G3" s="12">
        <v>0.25</v>
      </c>
      <c r="H3" s="12"/>
      <c r="I3" s="12">
        <f>H3-G3</f>
        <v>-0.25</v>
      </c>
      <c r="J3" s="12"/>
      <c r="K3" s="12"/>
      <c r="L3" s="12"/>
      <c r="M3" s="12"/>
      <c r="N3" s="12">
        <f>K3-J3</f>
        <v>0</v>
      </c>
      <c r="O3" s="12" t="e">
        <f>N3-D3</f>
        <v>#N/A</v>
      </c>
      <c r="P3" s="12">
        <v>6.9444444444444397E-3</v>
      </c>
      <c r="Q3" s="12"/>
      <c r="R3" s="12">
        <f>Q3-P3-K3</f>
        <v>-6.9444444444444397E-3</v>
      </c>
      <c r="S3" s="12"/>
      <c r="T3" s="12" t="e">
        <f>VLOOKUP(E3,'[2]21-3-2026'!E$3:T$35,16,FALSE)</f>
        <v>#N/A</v>
      </c>
      <c r="U3" s="12"/>
      <c r="V3" s="12" t="e">
        <f>U3-T3-S3</f>
        <v>#N/A</v>
      </c>
      <c r="W3" s="12"/>
      <c r="X3" s="12"/>
      <c r="Y3" s="12"/>
      <c r="Z3" s="12">
        <f>Y3-X3</f>
        <v>0</v>
      </c>
      <c r="AA3" s="12">
        <f t="shared" ref="AA3:AA66" si="0">Z3-W3</f>
        <v>0</v>
      </c>
      <c r="AB3" s="12"/>
      <c r="AC3" s="13"/>
      <c r="AD3" s="47" t="s">
        <v>33</v>
      </c>
    </row>
    <row r="4" spans="1:30" ht="19.5" thickBot="1" x14ac:dyDescent="0.3">
      <c r="A4" s="14">
        <v>2</v>
      </c>
      <c r="B4" s="15"/>
      <c r="C4" s="15" t="e">
        <f>VLOOKUP(B4,داتا!$B$3:$D$107,2,FALSE)</f>
        <v>#N/A</v>
      </c>
      <c r="D4" s="34" t="e">
        <f>VLOOKUP(B4,داتا!$B$3:$D$107,3,FALSE)</f>
        <v>#N/A</v>
      </c>
      <c r="E4" s="15"/>
      <c r="F4" s="15"/>
      <c r="G4" s="16">
        <v>0.25</v>
      </c>
      <c r="H4" s="16"/>
      <c r="I4" s="16">
        <f t="shared" ref="I4:I67" si="1">H4-G4</f>
        <v>-0.25</v>
      </c>
      <c r="J4" s="16"/>
      <c r="K4" s="16"/>
      <c r="L4" s="16"/>
      <c r="M4" s="16"/>
      <c r="N4" s="16">
        <f t="shared" ref="N4:N67" si="2">K4-J4</f>
        <v>0</v>
      </c>
      <c r="O4" s="16" t="e">
        <f t="shared" ref="O4:O67" si="3">N4-D4</f>
        <v>#N/A</v>
      </c>
      <c r="P4" s="16">
        <v>6.9444444444444397E-3</v>
      </c>
      <c r="Q4" s="16"/>
      <c r="R4" s="16">
        <f t="shared" ref="R4:R67" si="4">Q4-P4-K4</f>
        <v>-6.9444444444444397E-3</v>
      </c>
      <c r="S4" s="16"/>
      <c r="T4" s="16" t="e">
        <f>VLOOKUP(E4,'[2]21-3-2026'!E$3:T$35,16,FALSE)</f>
        <v>#N/A</v>
      </c>
      <c r="U4" s="16"/>
      <c r="V4" s="16" t="e">
        <f t="shared" ref="V4:V67" si="5">U4-T4-S4</f>
        <v>#N/A</v>
      </c>
      <c r="W4" s="16"/>
      <c r="X4" s="16"/>
      <c r="Y4" s="16"/>
      <c r="Z4" s="16">
        <f t="shared" ref="Z4:Z67" si="6">Y4-X4</f>
        <v>0</v>
      </c>
      <c r="AA4" s="16">
        <f t="shared" si="0"/>
        <v>0</v>
      </c>
      <c r="AB4" s="16"/>
      <c r="AC4" s="17"/>
      <c r="AD4" s="48"/>
    </row>
    <row r="5" spans="1:30" ht="19.5" thickBot="1" x14ac:dyDescent="0.3">
      <c r="A5" s="14">
        <v>3</v>
      </c>
      <c r="B5" s="15"/>
      <c r="C5" s="15" t="e">
        <f>VLOOKUP(B5,داتا!$B$3:$D$107,2,FALSE)</f>
        <v>#N/A</v>
      </c>
      <c r="D5" s="34" t="e">
        <f>VLOOKUP(B5,داتا!$B$3:$D$107,3,FALSE)</f>
        <v>#N/A</v>
      </c>
      <c r="E5" s="15"/>
      <c r="F5" s="15"/>
      <c r="G5" s="16">
        <v>0.25</v>
      </c>
      <c r="H5" s="16"/>
      <c r="I5" s="16">
        <f t="shared" si="1"/>
        <v>-0.25</v>
      </c>
      <c r="J5" s="16"/>
      <c r="K5" s="16"/>
      <c r="L5" s="16"/>
      <c r="M5" s="16"/>
      <c r="N5" s="16">
        <f t="shared" si="2"/>
        <v>0</v>
      </c>
      <c r="O5" s="16" t="e">
        <f t="shared" si="3"/>
        <v>#N/A</v>
      </c>
      <c r="P5" s="16">
        <v>6.9444444444444397E-3</v>
      </c>
      <c r="Q5" s="16"/>
      <c r="R5" s="16">
        <f t="shared" si="4"/>
        <v>-6.9444444444444397E-3</v>
      </c>
      <c r="S5" s="16"/>
      <c r="T5" s="16" t="e">
        <f>VLOOKUP(E5,'[2]21-3-2026'!E$3:T$35,16,FALSE)</f>
        <v>#N/A</v>
      </c>
      <c r="U5" s="16"/>
      <c r="V5" s="16" t="e">
        <f t="shared" si="5"/>
        <v>#N/A</v>
      </c>
      <c r="W5" s="16"/>
      <c r="X5" s="16"/>
      <c r="Y5" s="16"/>
      <c r="Z5" s="16">
        <f t="shared" si="6"/>
        <v>0</v>
      </c>
      <c r="AA5" s="16">
        <f t="shared" si="0"/>
        <v>0</v>
      </c>
      <c r="AB5" s="16"/>
      <c r="AC5" s="17"/>
      <c r="AD5" s="48"/>
    </row>
    <row r="6" spans="1:30" ht="19.5" thickBot="1" x14ac:dyDescent="0.3">
      <c r="A6" s="14">
        <v>4</v>
      </c>
      <c r="B6" s="15"/>
      <c r="C6" s="15" t="e">
        <f>VLOOKUP(B6,داتا!$B$3:$D$107,2,FALSE)</f>
        <v>#N/A</v>
      </c>
      <c r="D6" s="34" t="e">
        <f>VLOOKUP(B6,داتا!$B$3:$D$107,3,FALSE)</f>
        <v>#N/A</v>
      </c>
      <c r="E6" s="15"/>
      <c r="F6" s="15"/>
      <c r="G6" s="16">
        <v>0.25</v>
      </c>
      <c r="H6" s="16"/>
      <c r="I6" s="16">
        <f t="shared" si="1"/>
        <v>-0.25</v>
      </c>
      <c r="J6" s="16"/>
      <c r="K6" s="16"/>
      <c r="L6" s="16"/>
      <c r="M6" s="16"/>
      <c r="N6" s="16">
        <f t="shared" si="2"/>
        <v>0</v>
      </c>
      <c r="O6" s="16" t="e">
        <f t="shared" si="3"/>
        <v>#N/A</v>
      </c>
      <c r="P6" s="16">
        <v>6.9444444444444397E-3</v>
      </c>
      <c r="Q6" s="16"/>
      <c r="R6" s="16">
        <f t="shared" si="4"/>
        <v>-6.9444444444444397E-3</v>
      </c>
      <c r="S6" s="16"/>
      <c r="T6" s="16" t="e">
        <f>VLOOKUP(E6,'[2]21-3-2026'!E$3:T$35,16,FALSE)</f>
        <v>#N/A</v>
      </c>
      <c r="U6" s="16"/>
      <c r="V6" s="16" t="e">
        <f t="shared" si="5"/>
        <v>#N/A</v>
      </c>
      <c r="W6" s="16"/>
      <c r="X6" s="16"/>
      <c r="Y6" s="16"/>
      <c r="Z6" s="16">
        <f t="shared" si="6"/>
        <v>0</v>
      </c>
      <c r="AA6" s="16">
        <f t="shared" si="0"/>
        <v>0</v>
      </c>
      <c r="AB6" s="16"/>
      <c r="AC6" s="17"/>
      <c r="AD6" s="48"/>
    </row>
    <row r="7" spans="1:30" ht="19.5" thickBot="1" x14ac:dyDescent="0.3">
      <c r="A7" s="14">
        <v>5</v>
      </c>
      <c r="B7" s="15"/>
      <c r="C7" s="15" t="e">
        <f>VLOOKUP(B7,داتا!$B$3:$D$107,2,FALSE)</f>
        <v>#N/A</v>
      </c>
      <c r="D7" s="34" t="e">
        <f>VLOOKUP(B7,داتا!$B$3:$D$107,3,FALSE)</f>
        <v>#N/A</v>
      </c>
      <c r="E7" s="15"/>
      <c r="F7" s="15"/>
      <c r="G7" s="16">
        <v>0.25</v>
      </c>
      <c r="H7" s="16"/>
      <c r="I7" s="16">
        <f t="shared" si="1"/>
        <v>-0.25</v>
      </c>
      <c r="J7" s="16"/>
      <c r="K7" s="16"/>
      <c r="L7" s="16"/>
      <c r="M7" s="16"/>
      <c r="N7" s="16">
        <f t="shared" si="2"/>
        <v>0</v>
      </c>
      <c r="O7" s="16" t="e">
        <f t="shared" si="3"/>
        <v>#N/A</v>
      </c>
      <c r="P7" s="16">
        <v>6.9444444444444397E-3</v>
      </c>
      <c r="Q7" s="16"/>
      <c r="R7" s="16">
        <f t="shared" si="4"/>
        <v>-6.9444444444444397E-3</v>
      </c>
      <c r="S7" s="16"/>
      <c r="T7" s="16" t="e">
        <f>VLOOKUP(E7,'[2]21-3-2026'!E$3:T$35,16,FALSE)</f>
        <v>#N/A</v>
      </c>
      <c r="U7" s="16"/>
      <c r="V7" s="16" t="e">
        <f t="shared" si="5"/>
        <v>#N/A</v>
      </c>
      <c r="W7" s="16"/>
      <c r="X7" s="16"/>
      <c r="Y7" s="16"/>
      <c r="Z7" s="16">
        <f t="shared" si="6"/>
        <v>0</v>
      </c>
      <c r="AA7" s="16">
        <f t="shared" si="0"/>
        <v>0</v>
      </c>
      <c r="AB7" s="16"/>
      <c r="AC7" s="17"/>
      <c r="AD7" s="48"/>
    </row>
    <row r="8" spans="1:30" ht="19.5" thickBot="1" x14ac:dyDescent="0.3">
      <c r="A8" s="14">
        <v>6</v>
      </c>
      <c r="B8" s="15"/>
      <c r="C8" s="15" t="e">
        <f>VLOOKUP(B8,داتا!$B$3:$D$107,2,FALSE)</f>
        <v>#N/A</v>
      </c>
      <c r="D8" s="34" t="e">
        <f>VLOOKUP(B8,داتا!$B$3:$D$107,3,FALSE)</f>
        <v>#N/A</v>
      </c>
      <c r="E8" s="15"/>
      <c r="F8" s="15"/>
      <c r="G8" s="16">
        <v>0.25</v>
      </c>
      <c r="H8" s="16"/>
      <c r="I8" s="16">
        <f t="shared" si="1"/>
        <v>-0.25</v>
      </c>
      <c r="J8" s="16"/>
      <c r="K8" s="16"/>
      <c r="L8" s="16"/>
      <c r="M8" s="16"/>
      <c r="N8" s="16">
        <f t="shared" si="2"/>
        <v>0</v>
      </c>
      <c r="O8" s="16" t="e">
        <f t="shared" si="3"/>
        <v>#N/A</v>
      </c>
      <c r="P8" s="16">
        <v>6.9444444444444397E-3</v>
      </c>
      <c r="Q8" s="16"/>
      <c r="R8" s="16">
        <f t="shared" si="4"/>
        <v>-6.9444444444444397E-3</v>
      </c>
      <c r="S8" s="16"/>
      <c r="T8" s="16" t="e">
        <f>VLOOKUP(E8,'[2]21-3-2026'!E$3:T$35,16,FALSE)</f>
        <v>#N/A</v>
      </c>
      <c r="U8" s="16"/>
      <c r="V8" s="16" t="e">
        <f t="shared" si="5"/>
        <v>#N/A</v>
      </c>
      <c r="W8" s="16"/>
      <c r="X8" s="16"/>
      <c r="Y8" s="16"/>
      <c r="Z8" s="16">
        <f t="shared" si="6"/>
        <v>0</v>
      </c>
      <c r="AA8" s="16">
        <f t="shared" si="0"/>
        <v>0</v>
      </c>
      <c r="AB8" s="16"/>
      <c r="AC8" s="18"/>
      <c r="AD8" s="48"/>
    </row>
    <row r="9" spans="1:30" ht="19.5" thickBot="1" x14ac:dyDescent="0.3">
      <c r="A9" s="14">
        <v>7</v>
      </c>
      <c r="B9" s="15"/>
      <c r="C9" s="15" t="e">
        <f>VLOOKUP(B9,داتا!$B$3:$D$107,2,FALSE)</f>
        <v>#N/A</v>
      </c>
      <c r="D9" s="34" t="e">
        <f>VLOOKUP(B9,داتا!$B$3:$D$107,3,FALSE)</f>
        <v>#N/A</v>
      </c>
      <c r="E9" s="15"/>
      <c r="F9" s="15"/>
      <c r="G9" s="16">
        <v>0.25</v>
      </c>
      <c r="H9" s="16"/>
      <c r="I9" s="16">
        <f t="shared" si="1"/>
        <v>-0.25</v>
      </c>
      <c r="J9" s="16"/>
      <c r="K9" s="16"/>
      <c r="L9" s="16"/>
      <c r="M9" s="16"/>
      <c r="N9" s="16">
        <f t="shared" si="2"/>
        <v>0</v>
      </c>
      <c r="O9" s="16" t="e">
        <f t="shared" si="3"/>
        <v>#N/A</v>
      </c>
      <c r="P9" s="16">
        <v>6.9444444444444397E-3</v>
      </c>
      <c r="Q9" s="16"/>
      <c r="R9" s="16">
        <f t="shared" si="4"/>
        <v>-6.9444444444444397E-3</v>
      </c>
      <c r="S9" s="16"/>
      <c r="T9" s="16" t="e">
        <f>VLOOKUP(E9,'[2]21-3-2026'!E$3:T$35,16,FALSE)</f>
        <v>#N/A</v>
      </c>
      <c r="U9" s="16"/>
      <c r="V9" s="16" t="e">
        <f t="shared" si="5"/>
        <v>#N/A</v>
      </c>
      <c r="W9" s="16"/>
      <c r="X9" s="16"/>
      <c r="Y9" s="16"/>
      <c r="Z9" s="16">
        <f t="shared" si="6"/>
        <v>0</v>
      </c>
      <c r="AA9" s="16">
        <f t="shared" si="0"/>
        <v>0</v>
      </c>
      <c r="AB9" s="16"/>
      <c r="AC9" s="17"/>
      <c r="AD9" s="48"/>
    </row>
    <row r="10" spans="1:30" ht="19.5" thickBot="1" x14ac:dyDescent="0.3">
      <c r="A10" s="14">
        <v>8</v>
      </c>
      <c r="B10" s="15"/>
      <c r="C10" s="15" t="e">
        <f>VLOOKUP(B10,داتا!$B$3:$D$107,2,FALSE)</f>
        <v>#N/A</v>
      </c>
      <c r="D10" s="34" t="e">
        <f>VLOOKUP(B10,داتا!$B$3:$D$107,3,FALSE)</f>
        <v>#N/A</v>
      </c>
      <c r="E10" s="15"/>
      <c r="F10" s="15"/>
      <c r="G10" s="16">
        <v>0.25</v>
      </c>
      <c r="H10" s="16"/>
      <c r="I10" s="16">
        <f t="shared" si="1"/>
        <v>-0.25</v>
      </c>
      <c r="J10" s="16"/>
      <c r="K10" s="16"/>
      <c r="L10" s="16"/>
      <c r="M10" s="16"/>
      <c r="N10" s="16">
        <f t="shared" si="2"/>
        <v>0</v>
      </c>
      <c r="O10" s="16" t="e">
        <f t="shared" si="3"/>
        <v>#N/A</v>
      </c>
      <c r="P10" s="16">
        <v>6.9444444444444397E-3</v>
      </c>
      <c r="Q10" s="16"/>
      <c r="R10" s="16">
        <f t="shared" si="4"/>
        <v>-6.9444444444444397E-3</v>
      </c>
      <c r="S10" s="16"/>
      <c r="T10" s="16" t="e">
        <f>VLOOKUP(E10,'[2]21-3-2026'!E$3:T$35,16,FALSE)</f>
        <v>#N/A</v>
      </c>
      <c r="U10" s="16"/>
      <c r="V10" s="16" t="e">
        <f t="shared" si="5"/>
        <v>#N/A</v>
      </c>
      <c r="W10" s="16"/>
      <c r="X10" s="16"/>
      <c r="Y10" s="16"/>
      <c r="Z10" s="16">
        <f t="shared" si="6"/>
        <v>0</v>
      </c>
      <c r="AA10" s="16">
        <f t="shared" si="0"/>
        <v>0</v>
      </c>
      <c r="AB10" s="16"/>
      <c r="AC10" s="17"/>
      <c r="AD10" s="48"/>
    </row>
    <row r="11" spans="1:30" ht="19.5" thickBot="1" x14ac:dyDescent="0.3">
      <c r="A11" s="14">
        <v>9</v>
      </c>
      <c r="B11" s="15"/>
      <c r="C11" s="15" t="e">
        <f>VLOOKUP(B11,داتا!$B$3:$D$107,2,FALSE)</f>
        <v>#N/A</v>
      </c>
      <c r="D11" s="34" t="e">
        <f>VLOOKUP(B11,داتا!$B$3:$D$107,3,FALSE)</f>
        <v>#N/A</v>
      </c>
      <c r="E11" s="15"/>
      <c r="F11" s="15"/>
      <c r="G11" s="16">
        <v>0.25</v>
      </c>
      <c r="H11" s="16"/>
      <c r="I11" s="16">
        <f t="shared" si="1"/>
        <v>-0.25</v>
      </c>
      <c r="J11" s="16"/>
      <c r="K11" s="16"/>
      <c r="L11" s="16"/>
      <c r="M11" s="16"/>
      <c r="N11" s="16">
        <f t="shared" si="2"/>
        <v>0</v>
      </c>
      <c r="O11" s="16" t="e">
        <f t="shared" si="3"/>
        <v>#N/A</v>
      </c>
      <c r="P11" s="16">
        <v>6.9444444444444397E-3</v>
      </c>
      <c r="Q11" s="16"/>
      <c r="R11" s="16">
        <f t="shared" si="4"/>
        <v>-6.9444444444444397E-3</v>
      </c>
      <c r="S11" s="16"/>
      <c r="T11" s="16" t="e">
        <f>VLOOKUP(E11,'[2]21-3-2026'!E$3:T$35,16,FALSE)</f>
        <v>#N/A</v>
      </c>
      <c r="U11" s="16"/>
      <c r="V11" s="16" t="e">
        <f t="shared" si="5"/>
        <v>#N/A</v>
      </c>
      <c r="W11" s="16"/>
      <c r="X11" s="16"/>
      <c r="Y11" s="16"/>
      <c r="Z11" s="16">
        <f t="shared" si="6"/>
        <v>0</v>
      </c>
      <c r="AA11" s="16">
        <f t="shared" si="0"/>
        <v>0</v>
      </c>
      <c r="AB11" s="16"/>
      <c r="AC11" s="17"/>
      <c r="AD11" s="48"/>
    </row>
    <row r="12" spans="1:30" ht="19.5" thickBot="1" x14ac:dyDescent="0.3">
      <c r="A12" s="14">
        <v>10</v>
      </c>
      <c r="B12" s="15"/>
      <c r="C12" s="15" t="e">
        <f>VLOOKUP(B12,داتا!$B$3:$D$107,2,FALSE)</f>
        <v>#N/A</v>
      </c>
      <c r="D12" s="34" t="e">
        <f>VLOOKUP(B12,داتا!$B$3:$D$107,3,FALSE)</f>
        <v>#N/A</v>
      </c>
      <c r="E12" s="15"/>
      <c r="F12" s="15"/>
      <c r="G12" s="16">
        <v>0.25</v>
      </c>
      <c r="H12" s="16"/>
      <c r="I12" s="16">
        <f t="shared" si="1"/>
        <v>-0.25</v>
      </c>
      <c r="J12" s="16"/>
      <c r="K12" s="16"/>
      <c r="L12" s="16"/>
      <c r="M12" s="16"/>
      <c r="N12" s="16">
        <f t="shared" si="2"/>
        <v>0</v>
      </c>
      <c r="O12" s="16" t="e">
        <f t="shared" si="3"/>
        <v>#N/A</v>
      </c>
      <c r="P12" s="16">
        <v>6.9444444444444397E-3</v>
      </c>
      <c r="Q12" s="16"/>
      <c r="R12" s="16">
        <f t="shared" si="4"/>
        <v>-6.9444444444444397E-3</v>
      </c>
      <c r="S12" s="16"/>
      <c r="T12" s="16" t="e">
        <f>VLOOKUP(E12,'[2]21-3-2026'!E$3:T$35,16,FALSE)</f>
        <v>#N/A</v>
      </c>
      <c r="U12" s="16"/>
      <c r="V12" s="16" t="e">
        <f t="shared" si="5"/>
        <v>#N/A</v>
      </c>
      <c r="W12" s="16"/>
      <c r="X12" s="16"/>
      <c r="Y12" s="16"/>
      <c r="Z12" s="16">
        <f t="shared" si="6"/>
        <v>0</v>
      </c>
      <c r="AA12" s="16">
        <f t="shared" si="0"/>
        <v>0</v>
      </c>
      <c r="AB12" s="16"/>
      <c r="AC12" s="17"/>
      <c r="AD12" s="48"/>
    </row>
    <row r="13" spans="1:30" ht="19.5" thickBot="1" x14ac:dyDescent="0.3">
      <c r="A13" s="14">
        <v>11</v>
      </c>
      <c r="B13" s="15"/>
      <c r="C13" s="15" t="e">
        <f>VLOOKUP(B13,داتا!$B$3:$D$107,2,FALSE)</f>
        <v>#N/A</v>
      </c>
      <c r="D13" s="34" t="e">
        <f>VLOOKUP(B13,داتا!$B$3:$D$107,3,FALSE)</f>
        <v>#N/A</v>
      </c>
      <c r="E13" s="15"/>
      <c r="F13" s="15"/>
      <c r="G13" s="16">
        <v>0.25</v>
      </c>
      <c r="H13" s="16"/>
      <c r="I13" s="16">
        <f t="shared" si="1"/>
        <v>-0.25</v>
      </c>
      <c r="J13" s="16"/>
      <c r="K13" s="16"/>
      <c r="L13" s="16"/>
      <c r="M13" s="16"/>
      <c r="N13" s="16">
        <f t="shared" si="2"/>
        <v>0</v>
      </c>
      <c r="O13" s="16" t="e">
        <f t="shared" si="3"/>
        <v>#N/A</v>
      </c>
      <c r="P13" s="16">
        <v>6.9444444444444397E-3</v>
      </c>
      <c r="Q13" s="16"/>
      <c r="R13" s="16">
        <f t="shared" si="4"/>
        <v>-6.9444444444444397E-3</v>
      </c>
      <c r="S13" s="16"/>
      <c r="T13" s="16" t="e">
        <f>VLOOKUP(E13,'[2]21-3-2026'!E$3:T$35,16,FALSE)</f>
        <v>#N/A</v>
      </c>
      <c r="U13" s="16"/>
      <c r="V13" s="16" t="e">
        <f t="shared" si="5"/>
        <v>#N/A</v>
      </c>
      <c r="W13" s="16"/>
      <c r="X13" s="16"/>
      <c r="Y13" s="16"/>
      <c r="Z13" s="16">
        <f t="shared" si="6"/>
        <v>0</v>
      </c>
      <c r="AA13" s="16">
        <f t="shared" si="0"/>
        <v>0</v>
      </c>
      <c r="AB13" s="16"/>
      <c r="AC13" s="18"/>
      <c r="AD13" s="48"/>
    </row>
    <row r="14" spans="1:30" ht="19.5" thickBot="1" x14ac:dyDescent="0.3">
      <c r="A14" s="14">
        <v>12</v>
      </c>
      <c r="B14" s="15"/>
      <c r="C14" s="15" t="e">
        <f>VLOOKUP(B14,داتا!$B$3:$D$107,2,FALSE)</f>
        <v>#N/A</v>
      </c>
      <c r="D14" s="34" t="e">
        <f>VLOOKUP(B14,داتا!$B$3:$D$107,3,FALSE)</f>
        <v>#N/A</v>
      </c>
      <c r="E14" s="15"/>
      <c r="F14" s="15"/>
      <c r="G14" s="16">
        <v>0.25</v>
      </c>
      <c r="H14" s="16"/>
      <c r="I14" s="16">
        <f t="shared" si="1"/>
        <v>-0.25</v>
      </c>
      <c r="J14" s="16"/>
      <c r="K14" s="16"/>
      <c r="L14" s="16"/>
      <c r="M14" s="16"/>
      <c r="N14" s="16">
        <f t="shared" si="2"/>
        <v>0</v>
      </c>
      <c r="O14" s="16" t="e">
        <f t="shared" si="3"/>
        <v>#N/A</v>
      </c>
      <c r="P14" s="16">
        <v>6.9444444444444397E-3</v>
      </c>
      <c r="Q14" s="16"/>
      <c r="R14" s="16">
        <f t="shared" si="4"/>
        <v>-6.9444444444444397E-3</v>
      </c>
      <c r="S14" s="16"/>
      <c r="T14" s="16" t="e">
        <f>VLOOKUP(E14,'[2]21-3-2026'!E$3:T$35,16,FALSE)</f>
        <v>#N/A</v>
      </c>
      <c r="U14" s="16"/>
      <c r="V14" s="16" t="e">
        <f t="shared" si="5"/>
        <v>#N/A</v>
      </c>
      <c r="W14" s="16"/>
      <c r="X14" s="16"/>
      <c r="Y14" s="16"/>
      <c r="Z14" s="16">
        <f t="shared" si="6"/>
        <v>0</v>
      </c>
      <c r="AA14" s="16">
        <f t="shared" si="0"/>
        <v>0</v>
      </c>
      <c r="AB14" s="16"/>
      <c r="AC14" s="17"/>
      <c r="AD14" s="48"/>
    </row>
    <row r="15" spans="1:30" ht="19.5" thickBot="1" x14ac:dyDescent="0.3">
      <c r="A15" s="14">
        <v>13</v>
      </c>
      <c r="B15" s="15"/>
      <c r="C15" s="15" t="e">
        <f>VLOOKUP(B15,داتا!$B$3:$D$107,2,FALSE)</f>
        <v>#N/A</v>
      </c>
      <c r="D15" s="34" t="e">
        <f>VLOOKUP(B15,داتا!$B$3:$D$107,3,FALSE)</f>
        <v>#N/A</v>
      </c>
      <c r="E15" s="15"/>
      <c r="F15" s="15"/>
      <c r="G15" s="16">
        <v>0.25</v>
      </c>
      <c r="H15" s="16"/>
      <c r="I15" s="16">
        <f t="shared" si="1"/>
        <v>-0.25</v>
      </c>
      <c r="J15" s="16"/>
      <c r="K15" s="16"/>
      <c r="L15" s="16"/>
      <c r="M15" s="16"/>
      <c r="N15" s="16">
        <f t="shared" si="2"/>
        <v>0</v>
      </c>
      <c r="O15" s="16" t="e">
        <f t="shared" si="3"/>
        <v>#N/A</v>
      </c>
      <c r="P15" s="16">
        <v>6.9444444444444397E-3</v>
      </c>
      <c r="Q15" s="16"/>
      <c r="R15" s="16">
        <f t="shared" si="4"/>
        <v>-6.9444444444444397E-3</v>
      </c>
      <c r="S15" s="16"/>
      <c r="T15" s="16" t="e">
        <f>VLOOKUP(E15,'[2]21-3-2026'!E$3:T$35,16,FALSE)</f>
        <v>#N/A</v>
      </c>
      <c r="U15" s="16"/>
      <c r="V15" s="16" t="e">
        <f t="shared" si="5"/>
        <v>#N/A</v>
      </c>
      <c r="W15" s="16"/>
      <c r="X15" s="16"/>
      <c r="Y15" s="16"/>
      <c r="Z15" s="16">
        <f t="shared" si="6"/>
        <v>0</v>
      </c>
      <c r="AA15" s="16">
        <f t="shared" si="0"/>
        <v>0</v>
      </c>
      <c r="AB15" s="16"/>
      <c r="AC15" s="17"/>
      <c r="AD15" s="48"/>
    </row>
    <row r="16" spans="1:30" ht="19.5" thickBot="1" x14ac:dyDescent="0.3">
      <c r="A16" s="14">
        <v>14</v>
      </c>
      <c r="B16" s="15"/>
      <c r="C16" s="15" t="e">
        <f>VLOOKUP(B16,داتا!$B$3:$D$107,2,FALSE)</f>
        <v>#N/A</v>
      </c>
      <c r="D16" s="34" t="e">
        <f>VLOOKUP(B16,داتا!$B$3:$D$107,3,FALSE)</f>
        <v>#N/A</v>
      </c>
      <c r="E16" s="15"/>
      <c r="F16" s="15"/>
      <c r="G16" s="16">
        <v>0.25</v>
      </c>
      <c r="H16" s="16"/>
      <c r="I16" s="16">
        <f t="shared" si="1"/>
        <v>-0.25</v>
      </c>
      <c r="J16" s="16"/>
      <c r="K16" s="16"/>
      <c r="L16" s="16"/>
      <c r="M16" s="16"/>
      <c r="N16" s="16">
        <f t="shared" si="2"/>
        <v>0</v>
      </c>
      <c r="O16" s="16" t="e">
        <f t="shared" si="3"/>
        <v>#N/A</v>
      </c>
      <c r="P16" s="16">
        <v>6.9444444444444397E-3</v>
      </c>
      <c r="Q16" s="16"/>
      <c r="R16" s="16">
        <f t="shared" si="4"/>
        <v>-6.9444444444444397E-3</v>
      </c>
      <c r="S16" s="16"/>
      <c r="T16" s="16" t="e">
        <f>VLOOKUP(E16,'[2]21-3-2026'!E$3:T$35,16,FALSE)</f>
        <v>#N/A</v>
      </c>
      <c r="U16" s="16"/>
      <c r="V16" s="16" t="e">
        <f t="shared" si="5"/>
        <v>#N/A</v>
      </c>
      <c r="W16" s="16"/>
      <c r="X16" s="16"/>
      <c r="Y16" s="16"/>
      <c r="Z16" s="16">
        <f t="shared" si="6"/>
        <v>0</v>
      </c>
      <c r="AA16" s="16">
        <f t="shared" si="0"/>
        <v>0</v>
      </c>
      <c r="AB16" s="16"/>
      <c r="AC16" s="17"/>
      <c r="AD16" s="48"/>
    </row>
    <row r="17" spans="1:30" ht="19.5" thickBot="1" x14ac:dyDescent="0.3">
      <c r="A17" s="14">
        <v>15</v>
      </c>
      <c r="B17" s="15"/>
      <c r="C17" s="15" t="e">
        <f>VLOOKUP(B17,داتا!$B$3:$D$107,2,FALSE)</f>
        <v>#N/A</v>
      </c>
      <c r="D17" s="34" t="e">
        <f>VLOOKUP(B17,داتا!$B$3:$D$107,3,FALSE)</f>
        <v>#N/A</v>
      </c>
      <c r="E17" s="15"/>
      <c r="F17" s="15"/>
      <c r="G17" s="16">
        <v>0.25</v>
      </c>
      <c r="H17" s="16"/>
      <c r="I17" s="16">
        <f t="shared" si="1"/>
        <v>-0.25</v>
      </c>
      <c r="J17" s="16"/>
      <c r="K17" s="16"/>
      <c r="L17" s="16"/>
      <c r="M17" s="16"/>
      <c r="N17" s="16">
        <f t="shared" si="2"/>
        <v>0</v>
      </c>
      <c r="O17" s="16" t="e">
        <f t="shared" si="3"/>
        <v>#N/A</v>
      </c>
      <c r="P17" s="16">
        <v>6.9444444444444397E-3</v>
      </c>
      <c r="Q17" s="16"/>
      <c r="R17" s="16">
        <f t="shared" si="4"/>
        <v>-6.9444444444444397E-3</v>
      </c>
      <c r="S17" s="16"/>
      <c r="T17" s="16" t="e">
        <f>VLOOKUP(E17,'[2]21-3-2026'!E$3:T$35,16,FALSE)</f>
        <v>#N/A</v>
      </c>
      <c r="U17" s="16"/>
      <c r="V17" s="16" t="e">
        <f t="shared" si="5"/>
        <v>#N/A</v>
      </c>
      <c r="W17" s="16"/>
      <c r="X17" s="16"/>
      <c r="Y17" s="16"/>
      <c r="Z17" s="16">
        <f t="shared" si="6"/>
        <v>0</v>
      </c>
      <c r="AA17" s="16">
        <f t="shared" si="0"/>
        <v>0</v>
      </c>
      <c r="AB17" s="16"/>
      <c r="AC17" s="17"/>
      <c r="AD17" s="48"/>
    </row>
    <row r="18" spans="1:30" ht="19.5" thickBot="1" x14ac:dyDescent="0.3">
      <c r="A18" s="14">
        <v>16</v>
      </c>
      <c r="B18" s="15"/>
      <c r="C18" s="15" t="e">
        <f>VLOOKUP(B18,داتا!$B$3:$D$107,2,FALSE)</f>
        <v>#N/A</v>
      </c>
      <c r="D18" s="34" t="e">
        <f>VLOOKUP(B18,داتا!$B$3:$D$107,3,FALSE)</f>
        <v>#N/A</v>
      </c>
      <c r="E18" s="16"/>
      <c r="F18" s="15"/>
      <c r="G18" s="16">
        <v>0.25</v>
      </c>
      <c r="H18" s="16"/>
      <c r="I18" s="16">
        <f t="shared" si="1"/>
        <v>-0.25</v>
      </c>
      <c r="J18" s="16"/>
      <c r="K18" s="16"/>
      <c r="L18" s="16"/>
      <c r="M18" s="16"/>
      <c r="N18" s="16">
        <f t="shared" si="2"/>
        <v>0</v>
      </c>
      <c r="O18" s="16" t="e">
        <f t="shared" si="3"/>
        <v>#N/A</v>
      </c>
      <c r="P18" s="16">
        <v>6.9444444444444397E-3</v>
      </c>
      <c r="Q18" s="16"/>
      <c r="R18" s="16">
        <f t="shared" si="4"/>
        <v>-6.9444444444444397E-3</v>
      </c>
      <c r="S18" s="16"/>
      <c r="T18" s="16" t="e">
        <f>VLOOKUP(E18,'[2]21-3-2026'!E$3:T$35,16,FALSE)</f>
        <v>#N/A</v>
      </c>
      <c r="U18" s="16"/>
      <c r="V18" s="16" t="e">
        <f t="shared" si="5"/>
        <v>#N/A</v>
      </c>
      <c r="W18" s="16"/>
      <c r="X18" s="16"/>
      <c r="Y18" s="16"/>
      <c r="Z18" s="16">
        <f t="shared" si="6"/>
        <v>0</v>
      </c>
      <c r="AA18" s="16">
        <f t="shared" si="0"/>
        <v>0</v>
      </c>
      <c r="AB18" s="16"/>
      <c r="AC18" s="17"/>
      <c r="AD18" s="48"/>
    </row>
    <row r="19" spans="1:30" ht="19.5" thickBot="1" x14ac:dyDescent="0.3">
      <c r="A19" s="14">
        <v>17</v>
      </c>
      <c r="B19" s="15"/>
      <c r="C19" s="15" t="e">
        <f>VLOOKUP(B19,داتا!$B$3:$D$107,2,FALSE)</f>
        <v>#N/A</v>
      </c>
      <c r="D19" s="34" t="e">
        <f>VLOOKUP(B19,داتا!$B$3:$D$107,3,FALSE)</f>
        <v>#N/A</v>
      </c>
      <c r="E19" s="15"/>
      <c r="F19" s="15"/>
      <c r="G19" s="16">
        <v>0.25</v>
      </c>
      <c r="H19" s="16"/>
      <c r="I19" s="16">
        <f t="shared" si="1"/>
        <v>-0.25</v>
      </c>
      <c r="J19" s="16"/>
      <c r="K19" s="16"/>
      <c r="L19" s="16"/>
      <c r="M19" s="16"/>
      <c r="N19" s="16">
        <f t="shared" si="2"/>
        <v>0</v>
      </c>
      <c r="O19" s="16" t="e">
        <f t="shared" si="3"/>
        <v>#N/A</v>
      </c>
      <c r="P19" s="16">
        <v>6.9444444444444397E-3</v>
      </c>
      <c r="Q19" s="16"/>
      <c r="R19" s="16">
        <f t="shared" si="4"/>
        <v>-6.9444444444444397E-3</v>
      </c>
      <c r="S19" s="16"/>
      <c r="T19" s="16" t="e">
        <f>VLOOKUP(E19,'[2]21-3-2026'!E$3:T$35,16,FALSE)</f>
        <v>#N/A</v>
      </c>
      <c r="U19" s="16"/>
      <c r="V19" s="16" t="e">
        <f t="shared" si="5"/>
        <v>#N/A</v>
      </c>
      <c r="W19" s="16"/>
      <c r="X19" s="16"/>
      <c r="Y19" s="16"/>
      <c r="Z19" s="16">
        <f t="shared" si="6"/>
        <v>0</v>
      </c>
      <c r="AA19" s="16">
        <f t="shared" si="0"/>
        <v>0</v>
      </c>
      <c r="AB19" s="16"/>
      <c r="AC19" s="17"/>
      <c r="AD19" s="48"/>
    </row>
    <row r="20" spans="1:30" ht="19.5" thickBot="1" x14ac:dyDescent="0.3">
      <c r="A20" s="14">
        <v>18</v>
      </c>
      <c r="B20" s="15"/>
      <c r="C20" s="15" t="e">
        <f>VLOOKUP(B20,داتا!$B$3:$D$107,2,FALSE)</f>
        <v>#N/A</v>
      </c>
      <c r="D20" s="34" t="e">
        <f>VLOOKUP(B20,داتا!$B$3:$D$107,3,FALSE)</f>
        <v>#N/A</v>
      </c>
      <c r="E20" s="15"/>
      <c r="F20" s="15"/>
      <c r="G20" s="16">
        <v>0.25</v>
      </c>
      <c r="H20" s="16"/>
      <c r="I20" s="16">
        <f t="shared" si="1"/>
        <v>-0.25</v>
      </c>
      <c r="J20" s="16"/>
      <c r="K20" s="16"/>
      <c r="L20" s="16"/>
      <c r="M20" s="16"/>
      <c r="N20" s="16">
        <f t="shared" si="2"/>
        <v>0</v>
      </c>
      <c r="O20" s="16" t="e">
        <f t="shared" si="3"/>
        <v>#N/A</v>
      </c>
      <c r="P20" s="16">
        <v>6.9444444444444397E-3</v>
      </c>
      <c r="Q20" s="16"/>
      <c r="R20" s="16">
        <f t="shared" si="4"/>
        <v>-6.9444444444444397E-3</v>
      </c>
      <c r="S20" s="16"/>
      <c r="T20" s="16" t="e">
        <f>VLOOKUP(E20,'[2]21-3-2026'!E$3:T$35,16,FALSE)</f>
        <v>#N/A</v>
      </c>
      <c r="U20" s="16"/>
      <c r="V20" s="16" t="e">
        <f t="shared" si="5"/>
        <v>#N/A</v>
      </c>
      <c r="W20" s="16"/>
      <c r="X20" s="16"/>
      <c r="Y20" s="16"/>
      <c r="Z20" s="16">
        <f t="shared" si="6"/>
        <v>0</v>
      </c>
      <c r="AA20" s="16">
        <f t="shared" si="0"/>
        <v>0</v>
      </c>
      <c r="AB20" s="16"/>
      <c r="AC20" s="17"/>
      <c r="AD20" s="48"/>
    </row>
    <row r="21" spans="1:30" ht="19.5" thickBot="1" x14ac:dyDescent="0.3">
      <c r="A21" s="14">
        <v>19</v>
      </c>
      <c r="B21" s="15"/>
      <c r="C21" s="15" t="e">
        <f>VLOOKUP(B21,داتا!$B$3:$D$107,2,FALSE)</f>
        <v>#N/A</v>
      </c>
      <c r="D21" s="34" t="e">
        <f>VLOOKUP(B21,داتا!$B$3:$D$107,3,FALSE)</f>
        <v>#N/A</v>
      </c>
      <c r="E21" s="15"/>
      <c r="F21" s="15"/>
      <c r="G21" s="16">
        <v>0.25</v>
      </c>
      <c r="H21" s="16"/>
      <c r="I21" s="16">
        <f t="shared" si="1"/>
        <v>-0.25</v>
      </c>
      <c r="J21" s="16"/>
      <c r="K21" s="16"/>
      <c r="L21" s="16"/>
      <c r="M21" s="16"/>
      <c r="N21" s="16">
        <f t="shared" si="2"/>
        <v>0</v>
      </c>
      <c r="O21" s="16" t="e">
        <f t="shared" si="3"/>
        <v>#N/A</v>
      </c>
      <c r="P21" s="16">
        <v>6.9444444444444397E-3</v>
      </c>
      <c r="Q21" s="16"/>
      <c r="R21" s="16">
        <f t="shared" si="4"/>
        <v>-6.9444444444444397E-3</v>
      </c>
      <c r="S21" s="16"/>
      <c r="T21" s="16" t="e">
        <f>VLOOKUP(E21,'[2]21-3-2026'!E$3:T$35,16,FALSE)</f>
        <v>#N/A</v>
      </c>
      <c r="U21" s="16"/>
      <c r="V21" s="16" t="e">
        <f t="shared" si="5"/>
        <v>#N/A</v>
      </c>
      <c r="W21" s="16"/>
      <c r="X21" s="16"/>
      <c r="Y21" s="16"/>
      <c r="Z21" s="16">
        <f t="shared" si="6"/>
        <v>0</v>
      </c>
      <c r="AA21" s="16">
        <f t="shared" si="0"/>
        <v>0</v>
      </c>
      <c r="AB21" s="16"/>
      <c r="AC21" s="17"/>
      <c r="AD21" s="48"/>
    </row>
    <row r="22" spans="1:30" ht="19.5" thickBot="1" x14ac:dyDescent="0.3">
      <c r="A22" s="14">
        <v>20</v>
      </c>
      <c r="B22" s="15"/>
      <c r="C22" s="15" t="e">
        <f>VLOOKUP(B22,داتا!$B$3:$D$107,2,FALSE)</f>
        <v>#N/A</v>
      </c>
      <c r="D22" s="34" t="e">
        <f>VLOOKUP(B22,داتا!$B$3:$D$107,3,FALSE)</f>
        <v>#N/A</v>
      </c>
      <c r="E22" s="15"/>
      <c r="F22" s="15"/>
      <c r="G22" s="16">
        <v>0.25</v>
      </c>
      <c r="H22" s="16"/>
      <c r="I22" s="16">
        <f t="shared" si="1"/>
        <v>-0.25</v>
      </c>
      <c r="J22" s="16"/>
      <c r="K22" s="16"/>
      <c r="L22" s="16"/>
      <c r="M22" s="16"/>
      <c r="N22" s="16">
        <f t="shared" si="2"/>
        <v>0</v>
      </c>
      <c r="O22" s="16" t="e">
        <f t="shared" si="3"/>
        <v>#N/A</v>
      </c>
      <c r="P22" s="16">
        <v>6.9444444444444397E-3</v>
      </c>
      <c r="Q22" s="16"/>
      <c r="R22" s="16">
        <f t="shared" si="4"/>
        <v>-6.9444444444444397E-3</v>
      </c>
      <c r="S22" s="16"/>
      <c r="T22" s="16" t="e">
        <f>VLOOKUP(E22,'[2]21-3-2026'!E$3:T$35,16,FALSE)</f>
        <v>#N/A</v>
      </c>
      <c r="U22" s="16"/>
      <c r="V22" s="16" t="e">
        <f t="shared" si="5"/>
        <v>#N/A</v>
      </c>
      <c r="W22" s="16"/>
      <c r="X22" s="16"/>
      <c r="Y22" s="16"/>
      <c r="Z22" s="16">
        <f t="shared" si="6"/>
        <v>0</v>
      </c>
      <c r="AA22" s="16">
        <f t="shared" si="0"/>
        <v>0</v>
      </c>
      <c r="AB22" s="16"/>
      <c r="AC22" s="17"/>
      <c r="AD22" s="48"/>
    </row>
    <row r="23" spans="1:30" ht="19.5" thickBot="1" x14ac:dyDescent="0.3">
      <c r="A23" s="14">
        <v>21</v>
      </c>
      <c r="B23" s="15"/>
      <c r="C23" s="15" t="e">
        <f>VLOOKUP(B23,داتا!$B$3:$D$107,2,FALSE)</f>
        <v>#N/A</v>
      </c>
      <c r="D23" s="34" t="e">
        <f>VLOOKUP(B23,داتا!$B$3:$D$107,3,FALSE)</f>
        <v>#N/A</v>
      </c>
      <c r="E23" s="15"/>
      <c r="F23" s="15"/>
      <c r="G23" s="16">
        <v>0.25</v>
      </c>
      <c r="H23" s="16"/>
      <c r="I23" s="16">
        <f t="shared" si="1"/>
        <v>-0.25</v>
      </c>
      <c r="J23" s="16"/>
      <c r="K23" s="16"/>
      <c r="L23" s="16"/>
      <c r="M23" s="16"/>
      <c r="N23" s="16">
        <f t="shared" si="2"/>
        <v>0</v>
      </c>
      <c r="O23" s="16" t="e">
        <f t="shared" si="3"/>
        <v>#N/A</v>
      </c>
      <c r="P23" s="16">
        <v>6.9444444444444397E-3</v>
      </c>
      <c r="Q23" s="16"/>
      <c r="R23" s="16">
        <f t="shared" si="4"/>
        <v>-6.9444444444444397E-3</v>
      </c>
      <c r="S23" s="16"/>
      <c r="T23" s="16" t="e">
        <f>VLOOKUP(E23,'[2]21-3-2026'!E$3:T$35,16,FALSE)</f>
        <v>#N/A</v>
      </c>
      <c r="U23" s="16"/>
      <c r="V23" s="16" t="e">
        <f t="shared" si="5"/>
        <v>#N/A</v>
      </c>
      <c r="W23" s="16"/>
      <c r="X23" s="16"/>
      <c r="Y23" s="16"/>
      <c r="Z23" s="16">
        <f t="shared" si="6"/>
        <v>0</v>
      </c>
      <c r="AA23" s="16">
        <f t="shared" si="0"/>
        <v>0</v>
      </c>
      <c r="AB23" s="16"/>
      <c r="AC23" s="17"/>
      <c r="AD23" s="48"/>
    </row>
    <row r="24" spans="1:30" ht="19.5" thickBot="1" x14ac:dyDescent="0.3">
      <c r="A24" s="14">
        <v>22</v>
      </c>
      <c r="B24" s="15"/>
      <c r="C24" s="15" t="e">
        <f>VLOOKUP(B24,داتا!$B$3:$D$107,2,FALSE)</f>
        <v>#N/A</v>
      </c>
      <c r="D24" s="34" t="e">
        <f>VLOOKUP(B24,داتا!$B$3:$D$107,3,FALSE)</f>
        <v>#N/A</v>
      </c>
      <c r="E24" s="15"/>
      <c r="F24" s="16"/>
      <c r="G24" s="16">
        <v>0.25</v>
      </c>
      <c r="H24" s="16"/>
      <c r="I24" s="16">
        <f t="shared" si="1"/>
        <v>-0.25</v>
      </c>
      <c r="J24" s="16"/>
      <c r="K24" s="16"/>
      <c r="L24" s="16"/>
      <c r="M24" s="16"/>
      <c r="N24" s="16">
        <f t="shared" si="2"/>
        <v>0</v>
      </c>
      <c r="O24" s="16" t="e">
        <f t="shared" si="3"/>
        <v>#N/A</v>
      </c>
      <c r="P24" s="16">
        <v>6.9444444444444397E-3</v>
      </c>
      <c r="Q24" s="16"/>
      <c r="R24" s="16">
        <f t="shared" si="4"/>
        <v>-6.9444444444444397E-3</v>
      </c>
      <c r="S24" s="16"/>
      <c r="T24" s="16" t="e">
        <f>VLOOKUP(E24,'[2]21-3-2026'!E$3:T$35,16,FALSE)</f>
        <v>#N/A</v>
      </c>
      <c r="U24" s="16"/>
      <c r="V24" s="16" t="e">
        <f t="shared" si="5"/>
        <v>#N/A</v>
      </c>
      <c r="W24" s="16"/>
      <c r="X24" s="16"/>
      <c r="Y24" s="16"/>
      <c r="Z24" s="16">
        <f t="shared" si="6"/>
        <v>0</v>
      </c>
      <c r="AA24" s="16">
        <f t="shared" si="0"/>
        <v>0</v>
      </c>
      <c r="AB24" s="16"/>
      <c r="AC24" s="17"/>
      <c r="AD24" s="48"/>
    </row>
    <row r="25" spans="1:30" ht="19.5" thickBot="1" x14ac:dyDescent="0.3">
      <c r="A25" s="14">
        <v>23</v>
      </c>
      <c r="B25" s="15"/>
      <c r="C25" s="15" t="e">
        <f>VLOOKUP(B25,داتا!$B$3:$D$107,2,FALSE)</f>
        <v>#N/A</v>
      </c>
      <c r="D25" s="34" t="e">
        <f>VLOOKUP(B25,داتا!$B$3:$D$107,3,FALSE)</f>
        <v>#N/A</v>
      </c>
      <c r="E25" s="15"/>
      <c r="F25" s="15"/>
      <c r="G25" s="16">
        <v>0.25</v>
      </c>
      <c r="H25" s="16"/>
      <c r="I25" s="16">
        <f t="shared" si="1"/>
        <v>-0.25</v>
      </c>
      <c r="J25" s="16"/>
      <c r="K25" s="16"/>
      <c r="L25" s="16"/>
      <c r="M25" s="16"/>
      <c r="N25" s="16">
        <f t="shared" si="2"/>
        <v>0</v>
      </c>
      <c r="O25" s="16" t="e">
        <f t="shared" si="3"/>
        <v>#N/A</v>
      </c>
      <c r="P25" s="16">
        <v>6.9444444444444397E-3</v>
      </c>
      <c r="Q25" s="16"/>
      <c r="R25" s="16">
        <f t="shared" si="4"/>
        <v>-6.9444444444444397E-3</v>
      </c>
      <c r="S25" s="16"/>
      <c r="T25" s="16" t="e">
        <f>VLOOKUP(E25,'[2]21-3-2026'!E$3:T$35,16,FALSE)</f>
        <v>#N/A</v>
      </c>
      <c r="U25" s="16"/>
      <c r="V25" s="16" t="e">
        <f t="shared" si="5"/>
        <v>#N/A</v>
      </c>
      <c r="W25" s="16"/>
      <c r="X25" s="16"/>
      <c r="Y25" s="16"/>
      <c r="Z25" s="16">
        <f t="shared" si="6"/>
        <v>0</v>
      </c>
      <c r="AA25" s="16">
        <f t="shared" si="0"/>
        <v>0</v>
      </c>
      <c r="AB25" s="16"/>
      <c r="AC25" s="19"/>
      <c r="AD25" s="48"/>
    </row>
    <row r="26" spans="1:30" ht="19.5" thickBot="1" x14ac:dyDescent="0.3">
      <c r="A26" s="14">
        <v>24</v>
      </c>
      <c r="B26" s="15"/>
      <c r="C26" s="15" t="e">
        <f>VLOOKUP(B26,داتا!$B$3:$D$107,2,FALSE)</f>
        <v>#N/A</v>
      </c>
      <c r="D26" s="34" t="e">
        <f>VLOOKUP(B26,داتا!$B$3:$D$107,3,FALSE)</f>
        <v>#N/A</v>
      </c>
      <c r="E26" s="15"/>
      <c r="F26" s="15"/>
      <c r="G26" s="16">
        <v>0.25</v>
      </c>
      <c r="H26" s="16"/>
      <c r="I26" s="16">
        <f t="shared" si="1"/>
        <v>-0.25</v>
      </c>
      <c r="J26" s="16"/>
      <c r="K26" s="16"/>
      <c r="L26" s="16"/>
      <c r="M26" s="16"/>
      <c r="N26" s="16">
        <f t="shared" si="2"/>
        <v>0</v>
      </c>
      <c r="O26" s="16" t="e">
        <f t="shared" si="3"/>
        <v>#N/A</v>
      </c>
      <c r="P26" s="16">
        <v>6.9444444444444397E-3</v>
      </c>
      <c r="Q26" s="16"/>
      <c r="R26" s="16">
        <f t="shared" si="4"/>
        <v>-6.9444444444444397E-3</v>
      </c>
      <c r="S26" s="16"/>
      <c r="T26" s="16" t="e">
        <f>VLOOKUP(E26,'[2]21-3-2026'!E$3:T$35,16,FALSE)</f>
        <v>#N/A</v>
      </c>
      <c r="U26" s="16"/>
      <c r="V26" s="16" t="e">
        <f t="shared" si="5"/>
        <v>#N/A</v>
      </c>
      <c r="W26" s="16"/>
      <c r="X26" s="16"/>
      <c r="Y26" s="16"/>
      <c r="Z26" s="16">
        <f t="shared" si="6"/>
        <v>0</v>
      </c>
      <c r="AA26" s="16">
        <f t="shared" si="0"/>
        <v>0</v>
      </c>
      <c r="AB26" s="16"/>
      <c r="AC26" s="19"/>
      <c r="AD26" s="48"/>
    </row>
    <row r="27" spans="1:30" ht="19.5" thickBot="1" x14ac:dyDescent="0.3">
      <c r="A27" s="14">
        <v>25</v>
      </c>
      <c r="B27" s="15"/>
      <c r="C27" s="15" t="e">
        <f>VLOOKUP(B27,داتا!$B$3:$D$107,2,FALSE)</f>
        <v>#N/A</v>
      </c>
      <c r="D27" s="34" t="e">
        <f>VLOOKUP(B27,داتا!$B$3:$D$107,3,FALSE)</f>
        <v>#N/A</v>
      </c>
      <c r="E27" s="15"/>
      <c r="F27" s="15"/>
      <c r="G27" s="16">
        <v>0.25</v>
      </c>
      <c r="H27" s="16"/>
      <c r="I27" s="16">
        <f t="shared" si="1"/>
        <v>-0.25</v>
      </c>
      <c r="J27" s="16"/>
      <c r="K27" s="16"/>
      <c r="L27" s="16"/>
      <c r="M27" s="16"/>
      <c r="N27" s="16">
        <f t="shared" si="2"/>
        <v>0</v>
      </c>
      <c r="O27" s="16" t="e">
        <f t="shared" si="3"/>
        <v>#N/A</v>
      </c>
      <c r="P27" s="16">
        <v>6.9444444444444397E-3</v>
      </c>
      <c r="Q27" s="16"/>
      <c r="R27" s="16">
        <f t="shared" si="4"/>
        <v>-6.9444444444444397E-3</v>
      </c>
      <c r="S27" s="16"/>
      <c r="T27" s="16" t="e">
        <f>VLOOKUP(E27,'[2]21-3-2026'!E$3:T$35,16,FALSE)</f>
        <v>#N/A</v>
      </c>
      <c r="U27" s="16"/>
      <c r="V27" s="16" t="e">
        <f t="shared" si="5"/>
        <v>#N/A</v>
      </c>
      <c r="W27" s="16"/>
      <c r="X27" s="16"/>
      <c r="Y27" s="16"/>
      <c r="Z27" s="16">
        <f t="shared" si="6"/>
        <v>0</v>
      </c>
      <c r="AA27" s="16">
        <f t="shared" si="0"/>
        <v>0</v>
      </c>
      <c r="AB27" s="16"/>
      <c r="AC27" s="19"/>
      <c r="AD27" s="48"/>
    </row>
    <row r="28" spans="1:30" ht="19.5" thickBot="1" x14ac:dyDescent="0.3">
      <c r="A28" s="14">
        <v>26</v>
      </c>
      <c r="B28" s="15"/>
      <c r="C28" s="15" t="e">
        <f>VLOOKUP(B28,داتا!$B$3:$D$107,2,FALSE)</f>
        <v>#N/A</v>
      </c>
      <c r="D28" s="34" t="e">
        <f>VLOOKUP(B28,داتا!$B$3:$D$107,3,FALSE)</f>
        <v>#N/A</v>
      </c>
      <c r="E28" s="15"/>
      <c r="F28" s="15"/>
      <c r="G28" s="16">
        <v>0.25</v>
      </c>
      <c r="H28" s="16"/>
      <c r="I28" s="16">
        <f t="shared" si="1"/>
        <v>-0.25</v>
      </c>
      <c r="J28" s="16"/>
      <c r="K28" s="16"/>
      <c r="L28" s="16"/>
      <c r="M28" s="16"/>
      <c r="N28" s="16">
        <f t="shared" si="2"/>
        <v>0</v>
      </c>
      <c r="O28" s="16" t="e">
        <f t="shared" si="3"/>
        <v>#N/A</v>
      </c>
      <c r="P28" s="16">
        <v>6.9444444444444397E-3</v>
      </c>
      <c r="Q28" s="16"/>
      <c r="R28" s="16">
        <f t="shared" si="4"/>
        <v>-6.9444444444444397E-3</v>
      </c>
      <c r="S28" s="16"/>
      <c r="T28" s="16" t="e">
        <f>VLOOKUP(E28,'[2]21-3-2026'!E$3:T$35,16,FALSE)</f>
        <v>#N/A</v>
      </c>
      <c r="U28" s="16"/>
      <c r="V28" s="16" t="e">
        <f t="shared" si="5"/>
        <v>#N/A</v>
      </c>
      <c r="W28" s="16"/>
      <c r="X28" s="16"/>
      <c r="Y28" s="16"/>
      <c r="Z28" s="16">
        <f t="shared" si="6"/>
        <v>0</v>
      </c>
      <c r="AA28" s="16">
        <f t="shared" si="0"/>
        <v>0</v>
      </c>
      <c r="AB28" s="16"/>
      <c r="AC28" s="17"/>
      <c r="AD28" s="48"/>
    </row>
    <row r="29" spans="1:30" ht="19.5" thickBot="1" x14ac:dyDescent="0.3">
      <c r="A29" s="14">
        <v>27</v>
      </c>
      <c r="B29" s="15"/>
      <c r="C29" s="15" t="e">
        <f>VLOOKUP(B29,داتا!$B$3:$D$107,2,FALSE)</f>
        <v>#N/A</v>
      </c>
      <c r="D29" s="34" t="e">
        <f>VLOOKUP(B29,داتا!$B$3:$D$107,3,FALSE)</f>
        <v>#N/A</v>
      </c>
      <c r="E29" s="15"/>
      <c r="F29" s="15"/>
      <c r="G29" s="16">
        <v>0.25</v>
      </c>
      <c r="H29" s="16"/>
      <c r="I29" s="16">
        <f t="shared" si="1"/>
        <v>-0.25</v>
      </c>
      <c r="J29" s="16"/>
      <c r="K29" s="16"/>
      <c r="L29" s="16"/>
      <c r="M29" s="16"/>
      <c r="N29" s="16">
        <f t="shared" si="2"/>
        <v>0</v>
      </c>
      <c r="O29" s="16" t="e">
        <f t="shared" si="3"/>
        <v>#N/A</v>
      </c>
      <c r="P29" s="16">
        <v>6.9444444444444397E-3</v>
      </c>
      <c r="Q29" s="16"/>
      <c r="R29" s="16">
        <f t="shared" si="4"/>
        <v>-6.9444444444444397E-3</v>
      </c>
      <c r="S29" s="16"/>
      <c r="T29" s="16" t="e">
        <f>VLOOKUP(E29,'[2]21-3-2026'!E$3:T$35,16,FALSE)</f>
        <v>#N/A</v>
      </c>
      <c r="U29" s="16"/>
      <c r="V29" s="16" t="e">
        <f t="shared" si="5"/>
        <v>#N/A</v>
      </c>
      <c r="W29" s="16"/>
      <c r="X29" s="16"/>
      <c r="Y29" s="16"/>
      <c r="Z29" s="16">
        <f t="shared" si="6"/>
        <v>0</v>
      </c>
      <c r="AA29" s="16">
        <f t="shared" si="0"/>
        <v>0</v>
      </c>
      <c r="AB29" s="16"/>
      <c r="AC29" s="18"/>
      <c r="AD29" s="48"/>
    </row>
    <row r="30" spans="1:30" ht="19.5" thickBot="1" x14ac:dyDescent="0.3">
      <c r="A30" s="14">
        <v>28</v>
      </c>
      <c r="B30" s="15"/>
      <c r="C30" s="15" t="e">
        <f>VLOOKUP(B30,داتا!$B$3:$D$107,2,FALSE)</f>
        <v>#N/A</v>
      </c>
      <c r="D30" s="34" t="e">
        <f>VLOOKUP(B30,داتا!$B$3:$D$107,3,FALSE)</f>
        <v>#N/A</v>
      </c>
      <c r="E30" s="15"/>
      <c r="F30" s="15"/>
      <c r="G30" s="16">
        <v>0.25</v>
      </c>
      <c r="H30" s="16"/>
      <c r="I30" s="16">
        <f t="shared" si="1"/>
        <v>-0.25</v>
      </c>
      <c r="J30" s="16"/>
      <c r="K30" s="16"/>
      <c r="L30" s="16"/>
      <c r="M30" s="16"/>
      <c r="N30" s="16">
        <f t="shared" si="2"/>
        <v>0</v>
      </c>
      <c r="O30" s="16" t="e">
        <f t="shared" si="3"/>
        <v>#N/A</v>
      </c>
      <c r="P30" s="16">
        <v>6.9444444444444397E-3</v>
      </c>
      <c r="Q30" s="16"/>
      <c r="R30" s="16">
        <f t="shared" si="4"/>
        <v>-6.9444444444444397E-3</v>
      </c>
      <c r="S30" s="16"/>
      <c r="T30" s="16" t="e">
        <f>VLOOKUP(E30,'[2]21-3-2026'!E$3:T$35,16,FALSE)</f>
        <v>#N/A</v>
      </c>
      <c r="U30" s="16"/>
      <c r="V30" s="16" t="e">
        <f t="shared" si="5"/>
        <v>#N/A</v>
      </c>
      <c r="W30" s="16"/>
      <c r="X30" s="16"/>
      <c r="Y30" s="16"/>
      <c r="Z30" s="16">
        <f t="shared" si="6"/>
        <v>0</v>
      </c>
      <c r="AA30" s="16">
        <f t="shared" si="0"/>
        <v>0</v>
      </c>
      <c r="AB30" s="16"/>
      <c r="AC30" s="17"/>
      <c r="AD30" s="48"/>
    </row>
    <row r="31" spans="1:30" ht="19.5" thickBot="1" x14ac:dyDescent="0.3">
      <c r="A31" s="14">
        <v>29</v>
      </c>
      <c r="B31" s="15"/>
      <c r="C31" s="15" t="e">
        <f>VLOOKUP(B31,داتا!$B$3:$D$107,2,FALSE)</f>
        <v>#N/A</v>
      </c>
      <c r="D31" s="34" t="e">
        <f>VLOOKUP(B31,داتا!$B$3:$D$107,3,FALSE)</f>
        <v>#N/A</v>
      </c>
      <c r="E31" s="15"/>
      <c r="F31" s="15"/>
      <c r="G31" s="16">
        <v>0.25</v>
      </c>
      <c r="H31" s="16"/>
      <c r="I31" s="16">
        <f t="shared" si="1"/>
        <v>-0.25</v>
      </c>
      <c r="J31" s="16"/>
      <c r="K31" s="16"/>
      <c r="L31" s="16"/>
      <c r="M31" s="16"/>
      <c r="N31" s="16">
        <f t="shared" si="2"/>
        <v>0</v>
      </c>
      <c r="O31" s="16" t="e">
        <f t="shared" si="3"/>
        <v>#N/A</v>
      </c>
      <c r="P31" s="16">
        <v>6.9444444444444397E-3</v>
      </c>
      <c r="Q31" s="16"/>
      <c r="R31" s="16">
        <f t="shared" si="4"/>
        <v>-6.9444444444444397E-3</v>
      </c>
      <c r="S31" s="16"/>
      <c r="T31" s="16" t="e">
        <f>VLOOKUP(E31,'[2]21-3-2026'!E$3:T$35,16,FALSE)</f>
        <v>#N/A</v>
      </c>
      <c r="U31" s="16"/>
      <c r="V31" s="16" t="e">
        <f t="shared" si="5"/>
        <v>#N/A</v>
      </c>
      <c r="W31" s="16"/>
      <c r="X31" s="16"/>
      <c r="Y31" s="16"/>
      <c r="Z31" s="16">
        <f t="shared" si="6"/>
        <v>0</v>
      </c>
      <c r="AA31" s="16">
        <f t="shared" si="0"/>
        <v>0</v>
      </c>
      <c r="AB31" s="16"/>
      <c r="AC31" s="17"/>
      <c r="AD31" s="48"/>
    </row>
    <row r="32" spans="1:30" ht="19.5" thickBot="1" x14ac:dyDescent="0.3">
      <c r="A32" s="14">
        <v>30</v>
      </c>
      <c r="B32" s="15"/>
      <c r="C32" s="15" t="e">
        <f>VLOOKUP(B32,داتا!$B$3:$D$107,2,FALSE)</f>
        <v>#N/A</v>
      </c>
      <c r="D32" s="34" t="e">
        <f>VLOOKUP(B32,داتا!$B$3:$D$107,3,FALSE)</f>
        <v>#N/A</v>
      </c>
      <c r="E32" s="15"/>
      <c r="F32" s="15"/>
      <c r="G32" s="16">
        <v>0.25</v>
      </c>
      <c r="H32" s="16"/>
      <c r="I32" s="16">
        <f t="shared" si="1"/>
        <v>-0.25</v>
      </c>
      <c r="J32" s="16"/>
      <c r="K32" s="16"/>
      <c r="L32" s="16"/>
      <c r="M32" s="16"/>
      <c r="N32" s="16">
        <f t="shared" si="2"/>
        <v>0</v>
      </c>
      <c r="O32" s="16" t="e">
        <f t="shared" si="3"/>
        <v>#N/A</v>
      </c>
      <c r="P32" s="16">
        <v>6.9444444444444397E-3</v>
      </c>
      <c r="Q32" s="16"/>
      <c r="R32" s="16">
        <f t="shared" si="4"/>
        <v>-6.9444444444444397E-3</v>
      </c>
      <c r="S32" s="16"/>
      <c r="T32" s="16" t="e">
        <f>VLOOKUP(E32,'[2]21-3-2026'!E$3:T$35,16,FALSE)</f>
        <v>#N/A</v>
      </c>
      <c r="U32" s="16"/>
      <c r="V32" s="16" t="e">
        <f t="shared" si="5"/>
        <v>#N/A</v>
      </c>
      <c r="W32" s="16"/>
      <c r="X32" s="16"/>
      <c r="Y32" s="16"/>
      <c r="Z32" s="16">
        <f t="shared" si="6"/>
        <v>0</v>
      </c>
      <c r="AA32" s="16">
        <f t="shared" si="0"/>
        <v>0</v>
      </c>
      <c r="AB32" s="16"/>
      <c r="AC32" s="17"/>
      <c r="AD32" s="48"/>
    </row>
    <row r="33" spans="1:30" ht="19.5" thickBot="1" x14ac:dyDescent="0.3">
      <c r="A33" s="14">
        <v>31</v>
      </c>
      <c r="B33" s="15"/>
      <c r="C33" s="15" t="e">
        <f>VLOOKUP(B33,داتا!$B$3:$D$107,2,FALSE)</f>
        <v>#N/A</v>
      </c>
      <c r="D33" s="34" t="e">
        <f>VLOOKUP(B33,داتا!$B$3:$D$107,3,FALSE)</f>
        <v>#N/A</v>
      </c>
      <c r="E33" s="15"/>
      <c r="F33" s="15"/>
      <c r="G33" s="16">
        <v>0.25</v>
      </c>
      <c r="H33" s="16"/>
      <c r="I33" s="16">
        <f t="shared" si="1"/>
        <v>-0.25</v>
      </c>
      <c r="J33" s="16"/>
      <c r="K33" s="16"/>
      <c r="L33" s="16"/>
      <c r="M33" s="16"/>
      <c r="N33" s="16">
        <f t="shared" si="2"/>
        <v>0</v>
      </c>
      <c r="O33" s="16" t="e">
        <f t="shared" si="3"/>
        <v>#N/A</v>
      </c>
      <c r="P33" s="16">
        <v>6.9444444444444397E-3</v>
      </c>
      <c r="Q33" s="16"/>
      <c r="R33" s="16">
        <f t="shared" si="4"/>
        <v>-6.9444444444444397E-3</v>
      </c>
      <c r="S33" s="16"/>
      <c r="T33" s="16" t="e">
        <f>VLOOKUP(E33,'[2]21-3-2026'!E$3:T$35,16,FALSE)</f>
        <v>#N/A</v>
      </c>
      <c r="U33" s="16"/>
      <c r="V33" s="16" t="e">
        <f t="shared" si="5"/>
        <v>#N/A</v>
      </c>
      <c r="W33" s="16"/>
      <c r="X33" s="16"/>
      <c r="Y33" s="16"/>
      <c r="Z33" s="16">
        <f t="shared" si="6"/>
        <v>0</v>
      </c>
      <c r="AA33" s="16">
        <f t="shared" si="0"/>
        <v>0</v>
      </c>
      <c r="AB33" s="16"/>
      <c r="AC33" s="17"/>
      <c r="AD33" s="48"/>
    </row>
    <row r="34" spans="1:30" ht="19.5" thickBot="1" x14ac:dyDescent="0.3">
      <c r="A34" s="14">
        <v>32</v>
      </c>
      <c r="B34" s="15"/>
      <c r="C34" s="15" t="e">
        <f>VLOOKUP(B34,داتا!$B$3:$D$107,2,FALSE)</f>
        <v>#N/A</v>
      </c>
      <c r="D34" s="34" t="e">
        <f>VLOOKUP(B34,داتا!$B$3:$D$107,3,FALSE)</f>
        <v>#N/A</v>
      </c>
      <c r="E34" s="15"/>
      <c r="F34" s="15"/>
      <c r="G34" s="16">
        <v>0.25</v>
      </c>
      <c r="H34" s="16"/>
      <c r="I34" s="16">
        <f t="shared" si="1"/>
        <v>-0.25</v>
      </c>
      <c r="J34" s="16"/>
      <c r="K34" s="16"/>
      <c r="L34" s="16"/>
      <c r="M34" s="16"/>
      <c r="N34" s="16">
        <f t="shared" si="2"/>
        <v>0</v>
      </c>
      <c r="O34" s="16" t="e">
        <f t="shared" si="3"/>
        <v>#N/A</v>
      </c>
      <c r="P34" s="16">
        <v>6.9444444444444397E-3</v>
      </c>
      <c r="Q34" s="16"/>
      <c r="R34" s="16">
        <f t="shared" si="4"/>
        <v>-6.9444444444444397E-3</v>
      </c>
      <c r="S34" s="16"/>
      <c r="T34" s="16" t="e">
        <f>VLOOKUP(E34,'[2]21-3-2026'!E$3:T$35,16,FALSE)</f>
        <v>#N/A</v>
      </c>
      <c r="U34" s="16"/>
      <c r="V34" s="16" t="e">
        <f t="shared" si="5"/>
        <v>#N/A</v>
      </c>
      <c r="W34" s="16"/>
      <c r="X34" s="16"/>
      <c r="Y34" s="16"/>
      <c r="Z34" s="16">
        <f t="shared" si="6"/>
        <v>0</v>
      </c>
      <c r="AA34" s="16">
        <f t="shared" si="0"/>
        <v>0</v>
      </c>
      <c r="AB34" s="16"/>
      <c r="AC34" s="17"/>
      <c r="AD34" s="48"/>
    </row>
    <row r="35" spans="1:30" ht="19.5" thickBot="1" x14ac:dyDescent="0.3">
      <c r="A35" s="20">
        <v>33</v>
      </c>
      <c r="B35" s="21"/>
      <c r="C35" s="21" t="e">
        <f>VLOOKUP(B35,داتا!$B$3:$D$107,2,FALSE)</f>
        <v>#N/A</v>
      </c>
      <c r="D35" s="35" t="e">
        <f>VLOOKUP(B35,داتا!$B$3:$D$107,3,FALSE)</f>
        <v>#N/A</v>
      </c>
      <c r="E35" s="21"/>
      <c r="F35" s="21"/>
      <c r="G35" s="22">
        <v>0.25</v>
      </c>
      <c r="H35" s="22"/>
      <c r="I35" s="22">
        <f t="shared" si="1"/>
        <v>-0.25</v>
      </c>
      <c r="J35" s="22"/>
      <c r="K35" s="22"/>
      <c r="L35" s="22"/>
      <c r="M35" s="22"/>
      <c r="N35" s="22">
        <f t="shared" si="2"/>
        <v>0</v>
      </c>
      <c r="O35" s="22" t="e">
        <f t="shared" si="3"/>
        <v>#N/A</v>
      </c>
      <c r="P35" s="22">
        <v>6.9444444444444397E-3</v>
      </c>
      <c r="Q35" s="22"/>
      <c r="R35" s="22">
        <f t="shared" si="4"/>
        <v>-6.9444444444444397E-3</v>
      </c>
      <c r="S35" s="22"/>
      <c r="T35" s="22" t="e">
        <f>VLOOKUP(E35,'[2]21-3-2026'!E$3:T$35,16,FALSE)</f>
        <v>#N/A</v>
      </c>
      <c r="U35" s="22"/>
      <c r="V35" s="22" t="e">
        <f t="shared" si="5"/>
        <v>#N/A</v>
      </c>
      <c r="W35" s="22"/>
      <c r="X35" s="22"/>
      <c r="Y35" s="22"/>
      <c r="Z35" s="22">
        <f t="shared" si="6"/>
        <v>0</v>
      </c>
      <c r="AA35" s="22">
        <f t="shared" si="0"/>
        <v>0</v>
      </c>
      <c r="AB35" s="22"/>
      <c r="AC35" s="23"/>
      <c r="AD35" s="49"/>
    </row>
    <row r="36" spans="1:30" ht="20.25" customHeight="1" thickTop="1" thickBot="1" x14ac:dyDescent="0.3">
      <c r="A36" s="10">
        <v>1</v>
      </c>
      <c r="B36" s="11"/>
      <c r="C36" s="11" t="e">
        <f>VLOOKUP(B36,داتا!$B$3:$D$107,2,FALSE)</f>
        <v>#N/A</v>
      </c>
      <c r="D36" s="33" t="e">
        <f>VLOOKUP(B36,داتا!$B$3:$D$107,3,FALSE)</f>
        <v>#N/A</v>
      </c>
      <c r="E36" s="11"/>
      <c r="F36" s="11"/>
      <c r="G36" s="12">
        <v>0.25</v>
      </c>
      <c r="H36" s="12" t="e">
        <f>VLOOKUP(G36,$F$3:$I$35,2,FALSE)</f>
        <v>#N/A</v>
      </c>
      <c r="I36" s="12" t="e">
        <f t="shared" si="1"/>
        <v>#N/A</v>
      </c>
      <c r="J36" s="12"/>
      <c r="K36" s="12"/>
      <c r="L36" s="12"/>
      <c r="M36" s="12"/>
      <c r="N36" s="12">
        <f t="shared" si="2"/>
        <v>0</v>
      </c>
      <c r="O36" s="12" t="e">
        <f t="shared" si="3"/>
        <v>#N/A</v>
      </c>
      <c r="P36" s="12">
        <v>6.9444444444444397E-3</v>
      </c>
      <c r="Q36" s="12"/>
      <c r="R36" s="12">
        <f t="shared" si="4"/>
        <v>-6.9444444444444397E-3</v>
      </c>
      <c r="S36" s="12"/>
      <c r="T36" s="12" t="e">
        <f>VLOOKUP(E36,'[2]21-3-2026'!E$3:T$35,16,FALSE)</f>
        <v>#N/A</v>
      </c>
      <c r="U36" s="12"/>
      <c r="V36" s="12" t="e">
        <f t="shared" si="5"/>
        <v>#N/A</v>
      </c>
      <c r="W36" s="12"/>
      <c r="X36" s="12"/>
      <c r="Y36" s="12"/>
      <c r="Z36" s="12">
        <f t="shared" si="6"/>
        <v>0</v>
      </c>
      <c r="AA36" s="12">
        <f t="shared" si="0"/>
        <v>0</v>
      </c>
      <c r="AB36" s="12"/>
      <c r="AC36" s="29"/>
      <c r="AD36" s="50" t="s">
        <v>104</v>
      </c>
    </row>
    <row r="37" spans="1:30" ht="19.5" thickBot="1" x14ac:dyDescent="0.3">
      <c r="A37" s="14">
        <v>2</v>
      </c>
      <c r="B37" s="15"/>
      <c r="C37" s="15" t="e">
        <f>VLOOKUP(B37,داتا!$B$3:$D$107,2,FALSE)</f>
        <v>#N/A</v>
      </c>
      <c r="D37" s="34" t="e">
        <f>VLOOKUP(B37,داتا!$B$3:$D$107,3,FALSE)</f>
        <v>#N/A</v>
      </c>
      <c r="E37" s="15"/>
      <c r="F37" s="15"/>
      <c r="G37" s="16">
        <v>0.25</v>
      </c>
      <c r="H37" s="16" t="e">
        <f t="shared" ref="H37:H52" si="7">VLOOKUP(G37,$F$3:$I$35,2,FALSE)</f>
        <v>#N/A</v>
      </c>
      <c r="I37" s="16" t="e">
        <f t="shared" si="1"/>
        <v>#N/A</v>
      </c>
      <c r="J37" s="16"/>
      <c r="K37" s="16"/>
      <c r="L37" s="16"/>
      <c r="M37" s="16"/>
      <c r="N37" s="16">
        <f t="shared" si="2"/>
        <v>0</v>
      </c>
      <c r="O37" s="16" t="e">
        <f t="shared" si="3"/>
        <v>#N/A</v>
      </c>
      <c r="P37" s="16">
        <v>6.9444444444444397E-3</v>
      </c>
      <c r="Q37" s="16"/>
      <c r="R37" s="16">
        <f t="shared" si="4"/>
        <v>-6.9444444444444397E-3</v>
      </c>
      <c r="S37" s="16"/>
      <c r="T37" s="16" t="e">
        <f>VLOOKUP(E37,'[2]21-3-2026'!E$3:T$35,16,FALSE)</f>
        <v>#N/A</v>
      </c>
      <c r="U37" s="16"/>
      <c r="V37" s="16" t="e">
        <f t="shared" si="5"/>
        <v>#N/A</v>
      </c>
      <c r="W37" s="16"/>
      <c r="X37" s="16"/>
      <c r="Y37" s="16"/>
      <c r="Z37" s="16">
        <f t="shared" si="6"/>
        <v>0</v>
      </c>
      <c r="AA37" s="16">
        <f t="shared" si="0"/>
        <v>0</v>
      </c>
      <c r="AB37" s="16"/>
      <c r="AC37" s="19"/>
      <c r="AD37" s="51"/>
    </row>
    <row r="38" spans="1:30" ht="19.5" thickBot="1" x14ac:dyDescent="0.3">
      <c r="A38" s="14">
        <v>3</v>
      </c>
      <c r="B38" s="15"/>
      <c r="C38" s="15" t="e">
        <f>VLOOKUP(B38,داتا!$B$3:$D$107,2,FALSE)</f>
        <v>#N/A</v>
      </c>
      <c r="D38" s="34" t="e">
        <f>VLOOKUP(B38,داتا!$B$3:$D$107,3,FALSE)</f>
        <v>#N/A</v>
      </c>
      <c r="E38" s="15"/>
      <c r="F38" s="15"/>
      <c r="G38" s="16">
        <v>0.25</v>
      </c>
      <c r="H38" s="16" t="e">
        <f t="shared" si="7"/>
        <v>#N/A</v>
      </c>
      <c r="I38" s="16" t="e">
        <f t="shared" si="1"/>
        <v>#N/A</v>
      </c>
      <c r="J38" s="16"/>
      <c r="K38" s="16"/>
      <c r="L38" s="16"/>
      <c r="M38" s="16"/>
      <c r="N38" s="16">
        <f t="shared" si="2"/>
        <v>0</v>
      </c>
      <c r="O38" s="16" t="e">
        <f t="shared" si="3"/>
        <v>#N/A</v>
      </c>
      <c r="P38" s="16">
        <v>6.9444444444444397E-3</v>
      </c>
      <c r="Q38" s="16"/>
      <c r="R38" s="16">
        <f t="shared" si="4"/>
        <v>-6.9444444444444397E-3</v>
      </c>
      <c r="S38" s="16"/>
      <c r="T38" s="16" t="e">
        <f>VLOOKUP(E38,'[2]21-3-2026'!E$3:T$35,16,FALSE)</f>
        <v>#N/A</v>
      </c>
      <c r="U38" s="16"/>
      <c r="V38" s="16" t="e">
        <f t="shared" si="5"/>
        <v>#N/A</v>
      </c>
      <c r="W38" s="16"/>
      <c r="X38" s="16"/>
      <c r="Y38" s="16"/>
      <c r="Z38" s="16">
        <f t="shared" si="6"/>
        <v>0</v>
      </c>
      <c r="AA38" s="16">
        <f t="shared" si="0"/>
        <v>0</v>
      </c>
      <c r="AB38" s="16"/>
      <c r="AC38" s="19"/>
      <c r="AD38" s="51"/>
    </row>
    <row r="39" spans="1:30" ht="19.5" thickBot="1" x14ac:dyDescent="0.3">
      <c r="A39" s="14">
        <v>4</v>
      </c>
      <c r="B39" s="15"/>
      <c r="C39" s="15" t="e">
        <f>VLOOKUP(B39,داتا!$B$3:$D$107,2,FALSE)</f>
        <v>#N/A</v>
      </c>
      <c r="D39" s="34" t="e">
        <f>VLOOKUP(B39,داتا!$B$3:$D$107,3,FALSE)</f>
        <v>#N/A</v>
      </c>
      <c r="E39" s="15"/>
      <c r="F39" s="15"/>
      <c r="G39" s="16">
        <v>0.25</v>
      </c>
      <c r="H39" s="16" t="e">
        <f t="shared" si="7"/>
        <v>#N/A</v>
      </c>
      <c r="I39" s="16" t="e">
        <f t="shared" si="1"/>
        <v>#N/A</v>
      </c>
      <c r="J39" s="16"/>
      <c r="K39" s="16"/>
      <c r="L39" s="16"/>
      <c r="M39" s="16"/>
      <c r="N39" s="16">
        <f t="shared" si="2"/>
        <v>0</v>
      </c>
      <c r="O39" s="16" t="e">
        <f t="shared" si="3"/>
        <v>#N/A</v>
      </c>
      <c r="P39" s="16">
        <v>6.9444444444444397E-3</v>
      </c>
      <c r="Q39" s="16"/>
      <c r="R39" s="16">
        <f t="shared" si="4"/>
        <v>-6.9444444444444397E-3</v>
      </c>
      <c r="S39" s="16"/>
      <c r="T39" s="16" t="e">
        <f>VLOOKUP(E39,'[2]21-3-2026'!E$3:T$35,16,FALSE)</f>
        <v>#N/A</v>
      </c>
      <c r="U39" s="16"/>
      <c r="V39" s="16" t="e">
        <f t="shared" si="5"/>
        <v>#N/A</v>
      </c>
      <c r="W39" s="16"/>
      <c r="X39" s="16"/>
      <c r="Y39" s="16"/>
      <c r="Z39" s="16">
        <f t="shared" si="6"/>
        <v>0</v>
      </c>
      <c r="AA39" s="16">
        <f t="shared" si="0"/>
        <v>0</v>
      </c>
      <c r="AB39" s="16"/>
      <c r="AC39" s="17"/>
      <c r="AD39" s="51"/>
    </row>
    <row r="40" spans="1:30" ht="19.5" thickBot="1" x14ac:dyDescent="0.3">
      <c r="A40" s="14">
        <v>5</v>
      </c>
      <c r="B40" s="15"/>
      <c r="C40" s="15" t="e">
        <f>VLOOKUP(B40,داتا!$B$3:$D$107,2,FALSE)</f>
        <v>#N/A</v>
      </c>
      <c r="D40" s="34" t="e">
        <f>VLOOKUP(B40,داتا!$B$3:$D$107,3,FALSE)</f>
        <v>#N/A</v>
      </c>
      <c r="E40" s="15"/>
      <c r="F40" s="15"/>
      <c r="G40" s="16">
        <v>0.25</v>
      </c>
      <c r="H40" s="16" t="e">
        <f t="shared" si="7"/>
        <v>#N/A</v>
      </c>
      <c r="I40" s="16" t="e">
        <f t="shared" si="1"/>
        <v>#N/A</v>
      </c>
      <c r="J40" s="16"/>
      <c r="K40" s="16"/>
      <c r="L40" s="16"/>
      <c r="M40" s="16"/>
      <c r="N40" s="16">
        <f t="shared" si="2"/>
        <v>0</v>
      </c>
      <c r="O40" s="16" t="e">
        <f t="shared" si="3"/>
        <v>#N/A</v>
      </c>
      <c r="P40" s="16">
        <v>6.9444444444444397E-3</v>
      </c>
      <c r="Q40" s="16"/>
      <c r="R40" s="16">
        <f t="shared" si="4"/>
        <v>-6.9444444444444397E-3</v>
      </c>
      <c r="S40" s="16"/>
      <c r="T40" s="16" t="e">
        <f>VLOOKUP(E40,'[2]21-3-2026'!E$3:T$35,16,FALSE)</f>
        <v>#N/A</v>
      </c>
      <c r="U40" s="16"/>
      <c r="V40" s="16" t="e">
        <f t="shared" si="5"/>
        <v>#N/A</v>
      </c>
      <c r="W40" s="16"/>
      <c r="X40" s="16"/>
      <c r="Y40" s="16"/>
      <c r="Z40" s="16">
        <f t="shared" si="6"/>
        <v>0</v>
      </c>
      <c r="AA40" s="16">
        <f t="shared" si="0"/>
        <v>0</v>
      </c>
      <c r="AB40" s="16"/>
      <c r="AC40" s="17"/>
      <c r="AD40" s="51"/>
    </row>
    <row r="41" spans="1:30" ht="19.5" thickBot="1" x14ac:dyDescent="0.3">
      <c r="A41" s="14">
        <v>6</v>
      </c>
      <c r="B41" s="15"/>
      <c r="C41" s="15" t="e">
        <f>VLOOKUP(B41,داتا!$B$3:$D$107,2,FALSE)</f>
        <v>#N/A</v>
      </c>
      <c r="D41" s="34" t="e">
        <f>VLOOKUP(B41,داتا!$B$3:$D$107,3,FALSE)</f>
        <v>#N/A</v>
      </c>
      <c r="E41" s="15"/>
      <c r="F41" s="15"/>
      <c r="G41" s="16">
        <v>0.25</v>
      </c>
      <c r="H41" s="16" t="e">
        <f t="shared" si="7"/>
        <v>#N/A</v>
      </c>
      <c r="I41" s="16" t="e">
        <f t="shared" si="1"/>
        <v>#N/A</v>
      </c>
      <c r="J41" s="16"/>
      <c r="K41" s="16"/>
      <c r="L41" s="16"/>
      <c r="M41" s="16"/>
      <c r="N41" s="16">
        <f t="shared" si="2"/>
        <v>0</v>
      </c>
      <c r="O41" s="16" t="e">
        <f t="shared" si="3"/>
        <v>#N/A</v>
      </c>
      <c r="P41" s="16">
        <v>6.9444444444444397E-3</v>
      </c>
      <c r="Q41" s="16"/>
      <c r="R41" s="16">
        <f t="shared" si="4"/>
        <v>-6.9444444444444397E-3</v>
      </c>
      <c r="S41" s="16"/>
      <c r="T41" s="16" t="e">
        <f>VLOOKUP(E41,'[2]21-3-2026'!E$3:T$35,16,FALSE)</f>
        <v>#N/A</v>
      </c>
      <c r="U41" s="16"/>
      <c r="V41" s="16" t="e">
        <f t="shared" si="5"/>
        <v>#N/A</v>
      </c>
      <c r="W41" s="16"/>
      <c r="X41" s="16"/>
      <c r="Y41" s="16"/>
      <c r="Z41" s="16">
        <f t="shared" si="6"/>
        <v>0</v>
      </c>
      <c r="AA41" s="16">
        <f t="shared" si="0"/>
        <v>0</v>
      </c>
      <c r="AB41" s="16"/>
      <c r="AC41" s="17"/>
      <c r="AD41" s="51"/>
    </row>
    <row r="42" spans="1:30" ht="19.5" thickBot="1" x14ac:dyDescent="0.3">
      <c r="A42" s="14">
        <v>7</v>
      </c>
      <c r="B42" s="15"/>
      <c r="C42" s="15" t="e">
        <f>VLOOKUP(B42,داتا!$B$3:$D$107,2,FALSE)</f>
        <v>#N/A</v>
      </c>
      <c r="D42" s="34" t="e">
        <f>VLOOKUP(B42,داتا!$B$3:$D$107,3,FALSE)</f>
        <v>#N/A</v>
      </c>
      <c r="E42" s="15"/>
      <c r="F42" s="15"/>
      <c r="G42" s="16">
        <v>0.25</v>
      </c>
      <c r="H42" s="16" t="e">
        <f t="shared" si="7"/>
        <v>#N/A</v>
      </c>
      <c r="I42" s="16" t="e">
        <f t="shared" si="1"/>
        <v>#N/A</v>
      </c>
      <c r="J42" s="16"/>
      <c r="K42" s="16"/>
      <c r="L42" s="16"/>
      <c r="M42" s="16"/>
      <c r="N42" s="16">
        <f t="shared" si="2"/>
        <v>0</v>
      </c>
      <c r="O42" s="16" t="e">
        <f t="shared" si="3"/>
        <v>#N/A</v>
      </c>
      <c r="P42" s="16">
        <v>6.9444444444444397E-3</v>
      </c>
      <c r="Q42" s="16"/>
      <c r="R42" s="16">
        <f t="shared" si="4"/>
        <v>-6.9444444444444397E-3</v>
      </c>
      <c r="S42" s="16"/>
      <c r="T42" s="16" t="e">
        <f>VLOOKUP(E42,'[2]21-3-2026'!E$3:T$35,16,FALSE)</f>
        <v>#N/A</v>
      </c>
      <c r="U42" s="16"/>
      <c r="V42" s="16" t="e">
        <f t="shared" si="5"/>
        <v>#N/A</v>
      </c>
      <c r="W42" s="16"/>
      <c r="X42" s="16"/>
      <c r="Y42" s="16"/>
      <c r="Z42" s="16">
        <f t="shared" si="6"/>
        <v>0</v>
      </c>
      <c r="AA42" s="16">
        <f t="shared" si="0"/>
        <v>0</v>
      </c>
      <c r="AB42" s="16"/>
      <c r="AC42" s="17"/>
      <c r="AD42" s="51"/>
    </row>
    <row r="43" spans="1:30" ht="19.5" thickBot="1" x14ac:dyDescent="0.3">
      <c r="A43" s="14">
        <v>8</v>
      </c>
      <c r="B43" s="15"/>
      <c r="C43" s="15" t="e">
        <f>VLOOKUP(B43,داتا!$B$3:$D$107,2,FALSE)</f>
        <v>#N/A</v>
      </c>
      <c r="D43" s="34" t="e">
        <f>VLOOKUP(B43,داتا!$B$3:$D$107,3,FALSE)</f>
        <v>#N/A</v>
      </c>
      <c r="E43" s="15"/>
      <c r="F43" s="15"/>
      <c r="G43" s="16">
        <v>0.25</v>
      </c>
      <c r="H43" s="16" t="e">
        <f t="shared" si="7"/>
        <v>#N/A</v>
      </c>
      <c r="I43" s="16" t="e">
        <f t="shared" si="1"/>
        <v>#N/A</v>
      </c>
      <c r="J43" s="16"/>
      <c r="K43" s="16"/>
      <c r="L43" s="16"/>
      <c r="M43" s="16"/>
      <c r="N43" s="16">
        <f t="shared" si="2"/>
        <v>0</v>
      </c>
      <c r="O43" s="16" t="e">
        <f t="shared" si="3"/>
        <v>#N/A</v>
      </c>
      <c r="P43" s="16">
        <v>6.9444444444444397E-3</v>
      </c>
      <c r="Q43" s="16"/>
      <c r="R43" s="16">
        <f t="shared" si="4"/>
        <v>-6.9444444444444397E-3</v>
      </c>
      <c r="S43" s="16"/>
      <c r="T43" s="16" t="e">
        <f>VLOOKUP(E43,'[2]21-3-2026'!E$3:T$35,16,FALSE)</f>
        <v>#N/A</v>
      </c>
      <c r="U43" s="16"/>
      <c r="V43" s="16" t="e">
        <f t="shared" si="5"/>
        <v>#N/A</v>
      </c>
      <c r="W43" s="16"/>
      <c r="X43" s="16"/>
      <c r="Y43" s="16"/>
      <c r="Z43" s="16">
        <f t="shared" si="6"/>
        <v>0</v>
      </c>
      <c r="AA43" s="16">
        <f t="shared" si="0"/>
        <v>0</v>
      </c>
      <c r="AB43" s="16"/>
      <c r="AC43" s="17"/>
      <c r="AD43" s="51"/>
    </row>
    <row r="44" spans="1:30" ht="19.5" thickBot="1" x14ac:dyDescent="0.3">
      <c r="A44" s="14">
        <v>9</v>
      </c>
      <c r="B44" s="15"/>
      <c r="C44" s="15" t="e">
        <f>VLOOKUP(B44,داتا!$B$3:$D$107,2,FALSE)</f>
        <v>#N/A</v>
      </c>
      <c r="D44" s="34" t="e">
        <f>VLOOKUP(B44,داتا!$B$3:$D$107,3,FALSE)</f>
        <v>#N/A</v>
      </c>
      <c r="E44" s="15"/>
      <c r="F44" s="15"/>
      <c r="G44" s="16">
        <v>0.25</v>
      </c>
      <c r="H44" s="16" t="e">
        <f t="shared" si="7"/>
        <v>#N/A</v>
      </c>
      <c r="I44" s="16" t="e">
        <f t="shared" si="1"/>
        <v>#N/A</v>
      </c>
      <c r="J44" s="16"/>
      <c r="K44" s="16"/>
      <c r="L44" s="16"/>
      <c r="M44" s="16"/>
      <c r="N44" s="16">
        <f t="shared" si="2"/>
        <v>0</v>
      </c>
      <c r="O44" s="16" t="e">
        <f t="shared" si="3"/>
        <v>#N/A</v>
      </c>
      <c r="P44" s="16">
        <v>6.9444444444444397E-3</v>
      </c>
      <c r="Q44" s="16"/>
      <c r="R44" s="16">
        <f t="shared" si="4"/>
        <v>-6.9444444444444397E-3</v>
      </c>
      <c r="S44" s="16"/>
      <c r="T44" s="16" t="e">
        <f>VLOOKUP(E44,'[2]21-3-2026'!E$3:T$35,16,FALSE)</f>
        <v>#N/A</v>
      </c>
      <c r="U44" s="16"/>
      <c r="V44" s="16" t="e">
        <f t="shared" si="5"/>
        <v>#N/A</v>
      </c>
      <c r="W44" s="16"/>
      <c r="X44" s="16"/>
      <c r="Y44" s="16"/>
      <c r="Z44" s="16">
        <f t="shared" si="6"/>
        <v>0</v>
      </c>
      <c r="AA44" s="16">
        <f t="shared" si="0"/>
        <v>0</v>
      </c>
      <c r="AB44" s="16"/>
      <c r="AC44" s="17"/>
      <c r="AD44" s="51"/>
    </row>
    <row r="45" spans="1:30" ht="19.5" thickBot="1" x14ac:dyDescent="0.3">
      <c r="A45" s="14">
        <v>10</v>
      </c>
      <c r="B45" s="15"/>
      <c r="C45" s="15" t="e">
        <f>VLOOKUP(B45,داتا!$B$3:$D$107,2,FALSE)</f>
        <v>#N/A</v>
      </c>
      <c r="D45" s="34" t="e">
        <f>VLOOKUP(B45,داتا!$B$3:$D$107,3,FALSE)</f>
        <v>#N/A</v>
      </c>
      <c r="E45" s="15"/>
      <c r="F45" s="15"/>
      <c r="G45" s="16">
        <v>0.25</v>
      </c>
      <c r="H45" s="16" t="e">
        <f t="shared" si="7"/>
        <v>#N/A</v>
      </c>
      <c r="I45" s="16" t="e">
        <f t="shared" si="1"/>
        <v>#N/A</v>
      </c>
      <c r="J45" s="16"/>
      <c r="K45" s="16"/>
      <c r="L45" s="16"/>
      <c r="M45" s="16"/>
      <c r="N45" s="16">
        <f t="shared" si="2"/>
        <v>0</v>
      </c>
      <c r="O45" s="16" t="e">
        <f t="shared" si="3"/>
        <v>#N/A</v>
      </c>
      <c r="P45" s="16">
        <v>6.9444444444444397E-3</v>
      </c>
      <c r="Q45" s="16"/>
      <c r="R45" s="16">
        <f t="shared" si="4"/>
        <v>-6.9444444444444397E-3</v>
      </c>
      <c r="S45" s="16"/>
      <c r="T45" s="16" t="e">
        <f>VLOOKUP(E45,'[2]21-3-2026'!E$3:T$35,16,FALSE)</f>
        <v>#N/A</v>
      </c>
      <c r="U45" s="16"/>
      <c r="V45" s="16" t="e">
        <f t="shared" si="5"/>
        <v>#N/A</v>
      </c>
      <c r="W45" s="16"/>
      <c r="X45" s="16"/>
      <c r="Y45" s="16"/>
      <c r="Z45" s="16">
        <f t="shared" si="6"/>
        <v>0</v>
      </c>
      <c r="AA45" s="16">
        <f t="shared" si="0"/>
        <v>0</v>
      </c>
      <c r="AB45" s="16"/>
      <c r="AC45" s="17"/>
      <c r="AD45" s="51"/>
    </row>
    <row r="46" spans="1:30" ht="19.5" thickBot="1" x14ac:dyDescent="0.3">
      <c r="A46" s="14">
        <v>11</v>
      </c>
      <c r="B46" s="15"/>
      <c r="C46" s="15" t="e">
        <f>VLOOKUP(B46,داتا!$B$3:$D$107,2,FALSE)</f>
        <v>#N/A</v>
      </c>
      <c r="D46" s="34" t="e">
        <f>VLOOKUP(B46,داتا!$B$3:$D$107,3,FALSE)</f>
        <v>#N/A</v>
      </c>
      <c r="E46" s="15"/>
      <c r="F46" s="15"/>
      <c r="G46" s="16">
        <v>0.25</v>
      </c>
      <c r="H46" s="16" t="e">
        <f t="shared" si="7"/>
        <v>#N/A</v>
      </c>
      <c r="I46" s="16" t="e">
        <f t="shared" si="1"/>
        <v>#N/A</v>
      </c>
      <c r="J46" s="16"/>
      <c r="K46" s="16"/>
      <c r="L46" s="16"/>
      <c r="M46" s="16"/>
      <c r="N46" s="16">
        <f t="shared" si="2"/>
        <v>0</v>
      </c>
      <c r="O46" s="16" t="e">
        <f t="shared" si="3"/>
        <v>#N/A</v>
      </c>
      <c r="P46" s="16">
        <v>6.9444444444444397E-3</v>
      </c>
      <c r="Q46" s="16"/>
      <c r="R46" s="16">
        <f t="shared" si="4"/>
        <v>-6.9444444444444397E-3</v>
      </c>
      <c r="S46" s="16"/>
      <c r="T46" s="16" t="e">
        <f>VLOOKUP(E46,'[2]21-3-2026'!E$3:T$35,16,FALSE)</f>
        <v>#N/A</v>
      </c>
      <c r="U46" s="16"/>
      <c r="V46" s="16" t="e">
        <f t="shared" si="5"/>
        <v>#N/A</v>
      </c>
      <c r="W46" s="16"/>
      <c r="X46" s="16"/>
      <c r="Y46" s="16"/>
      <c r="Z46" s="16">
        <f t="shared" si="6"/>
        <v>0</v>
      </c>
      <c r="AA46" s="16">
        <f t="shared" si="0"/>
        <v>0</v>
      </c>
      <c r="AB46" s="16"/>
      <c r="AC46" s="17"/>
      <c r="AD46" s="51"/>
    </row>
    <row r="47" spans="1:30" ht="19.5" thickBot="1" x14ac:dyDescent="0.3">
      <c r="A47" s="14">
        <v>12</v>
      </c>
      <c r="B47" s="15"/>
      <c r="C47" s="15" t="e">
        <f>VLOOKUP(B47,داتا!$B$3:$D$107,2,FALSE)</f>
        <v>#N/A</v>
      </c>
      <c r="D47" s="34" t="e">
        <f>VLOOKUP(B47,داتا!$B$3:$D$107,3,FALSE)</f>
        <v>#N/A</v>
      </c>
      <c r="E47" s="15"/>
      <c r="F47" s="15"/>
      <c r="G47" s="16">
        <v>0.25</v>
      </c>
      <c r="H47" s="16" t="e">
        <f t="shared" si="7"/>
        <v>#N/A</v>
      </c>
      <c r="I47" s="16" t="e">
        <f t="shared" si="1"/>
        <v>#N/A</v>
      </c>
      <c r="J47" s="16"/>
      <c r="K47" s="16"/>
      <c r="L47" s="16"/>
      <c r="M47" s="16"/>
      <c r="N47" s="16">
        <f t="shared" si="2"/>
        <v>0</v>
      </c>
      <c r="O47" s="16" t="e">
        <f t="shared" si="3"/>
        <v>#N/A</v>
      </c>
      <c r="P47" s="16">
        <v>6.9444444444444397E-3</v>
      </c>
      <c r="Q47" s="16"/>
      <c r="R47" s="16">
        <f t="shared" si="4"/>
        <v>-6.9444444444444397E-3</v>
      </c>
      <c r="S47" s="16"/>
      <c r="T47" s="16" t="e">
        <f>VLOOKUP(E47,'[2]21-3-2026'!E$3:T$35,16,FALSE)</f>
        <v>#N/A</v>
      </c>
      <c r="U47" s="16"/>
      <c r="V47" s="16" t="e">
        <f t="shared" si="5"/>
        <v>#N/A</v>
      </c>
      <c r="W47" s="16"/>
      <c r="X47" s="16"/>
      <c r="Y47" s="16"/>
      <c r="Z47" s="16">
        <f t="shared" si="6"/>
        <v>0</v>
      </c>
      <c r="AA47" s="16">
        <f t="shared" si="0"/>
        <v>0</v>
      </c>
      <c r="AB47" s="16"/>
      <c r="AC47" s="17"/>
      <c r="AD47" s="51"/>
    </row>
    <row r="48" spans="1:30" ht="19.5" thickBot="1" x14ac:dyDescent="0.3">
      <c r="A48" s="14">
        <v>13</v>
      </c>
      <c r="B48" s="15"/>
      <c r="C48" s="15" t="e">
        <f>VLOOKUP(B48,داتا!$B$3:$D$107,2,FALSE)</f>
        <v>#N/A</v>
      </c>
      <c r="D48" s="34" t="e">
        <f>VLOOKUP(B48,داتا!$B$3:$D$107,3,FALSE)</f>
        <v>#N/A</v>
      </c>
      <c r="E48" s="15"/>
      <c r="F48" s="15"/>
      <c r="G48" s="16">
        <v>0.25</v>
      </c>
      <c r="H48" s="16" t="e">
        <f t="shared" si="7"/>
        <v>#N/A</v>
      </c>
      <c r="I48" s="16" t="e">
        <f t="shared" si="1"/>
        <v>#N/A</v>
      </c>
      <c r="J48" s="16"/>
      <c r="K48" s="16"/>
      <c r="L48" s="16"/>
      <c r="M48" s="16"/>
      <c r="N48" s="16">
        <f t="shared" si="2"/>
        <v>0</v>
      </c>
      <c r="O48" s="16" t="e">
        <f t="shared" si="3"/>
        <v>#N/A</v>
      </c>
      <c r="P48" s="16">
        <v>6.9444444444444397E-3</v>
      </c>
      <c r="Q48" s="16"/>
      <c r="R48" s="16">
        <f t="shared" si="4"/>
        <v>-6.9444444444444397E-3</v>
      </c>
      <c r="S48" s="16"/>
      <c r="T48" s="16" t="e">
        <f>VLOOKUP(E48,'[2]21-3-2026'!E$3:T$35,16,FALSE)</f>
        <v>#N/A</v>
      </c>
      <c r="U48" s="16"/>
      <c r="V48" s="16" t="e">
        <f t="shared" si="5"/>
        <v>#N/A</v>
      </c>
      <c r="W48" s="16"/>
      <c r="X48" s="16"/>
      <c r="Y48" s="16"/>
      <c r="Z48" s="16">
        <f t="shared" si="6"/>
        <v>0</v>
      </c>
      <c r="AA48" s="16">
        <f t="shared" si="0"/>
        <v>0</v>
      </c>
      <c r="AB48" s="16"/>
      <c r="AC48" s="17"/>
      <c r="AD48" s="51"/>
    </row>
    <row r="49" spans="1:30" ht="19.5" thickBot="1" x14ac:dyDescent="0.3">
      <c r="A49" s="14">
        <v>14</v>
      </c>
      <c r="B49" s="15"/>
      <c r="C49" s="15" t="e">
        <f>VLOOKUP(B49,داتا!$B$3:$D$107,2,FALSE)</f>
        <v>#N/A</v>
      </c>
      <c r="D49" s="34" t="e">
        <f>VLOOKUP(B49,داتا!$B$3:$D$107,3,FALSE)</f>
        <v>#N/A</v>
      </c>
      <c r="E49" s="15"/>
      <c r="F49" s="15"/>
      <c r="G49" s="16">
        <v>0.25</v>
      </c>
      <c r="H49" s="16" t="e">
        <f t="shared" si="7"/>
        <v>#N/A</v>
      </c>
      <c r="I49" s="16" t="e">
        <f t="shared" si="1"/>
        <v>#N/A</v>
      </c>
      <c r="J49" s="16"/>
      <c r="K49" s="16"/>
      <c r="L49" s="16"/>
      <c r="M49" s="16"/>
      <c r="N49" s="16">
        <f t="shared" si="2"/>
        <v>0</v>
      </c>
      <c r="O49" s="16" t="e">
        <f t="shared" si="3"/>
        <v>#N/A</v>
      </c>
      <c r="P49" s="16">
        <v>6.9444444444444397E-3</v>
      </c>
      <c r="Q49" s="16"/>
      <c r="R49" s="16">
        <f t="shared" si="4"/>
        <v>-6.9444444444444397E-3</v>
      </c>
      <c r="S49" s="16"/>
      <c r="T49" s="16" t="e">
        <f>VLOOKUP(E49,'[2]21-3-2026'!E$3:T$35,16,FALSE)</f>
        <v>#N/A</v>
      </c>
      <c r="U49" s="16"/>
      <c r="V49" s="16" t="e">
        <f t="shared" si="5"/>
        <v>#N/A</v>
      </c>
      <c r="W49" s="16"/>
      <c r="X49" s="16"/>
      <c r="Y49" s="16"/>
      <c r="Z49" s="16">
        <f t="shared" si="6"/>
        <v>0</v>
      </c>
      <c r="AA49" s="16">
        <f t="shared" si="0"/>
        <v>0</v>
      </c>
      <c r="AB49" s="16"/>
      <c r="AC49" s="17"/>
      <c r="AD49" s="51"/>
    </row>
    <row r="50" spans="1:30" ht="19.5" thickBot="1" x14ac:dyDescent="0.3">
      <c r="A50" s="14">
        <v>15</v>
      </c>
      <c r="B50" s="15"/>
      <c r="C50" s="15" t="e">
        <f>VLOOKUP(B50,داتا!$B$3:$D$107,2,FALSE)</f>
        <v>#N/A</v>
      </c>
      <c r="D50" s="34" t="e">
        <f>VLOOKUP(B50,داتا!$B$3:$D$107,3,FALSE)</f>
        <v>#N/A</v>
      </c>
      <c r="E50" s="15"/>
      <c r="F50" s="15"/>
      <c r="G50" s="16">
        <v>0.25</v>
      </c>
      <c r="H50" s="16" t="e">
        <f t="shared" si="7"/>
        <v>#N/A</v>
      </c>
      <c r="I50" s="16" t="e">
        <f t="shared" si="1"/>
        <v>#N/A</v>
      </c>
      <c r="J50" s="16"/>
      <c r="K50" s="16"/>
      <c r="L50" s="16"/>
      <c r="M50" s="16"/>
      <c r="N50" s="16">
        <f t="shared" si="2"/>
        <v>0</v>
      </c>
      <c r="O50" s="16" t="e">
        <f t="shared" si="3"/>
        <v>#N/A</v>
      </c>
      <c r="P50" s="16">
        <v>6.9444444444444397E-3</v>
      </c>
      <c r="Q50" s="16"/>
      <c r="R50" s="16">
        <f t="shared" si="4"/>
        <v>-6.9444444444444397E-3</v>
      </c>
      <c r="S50" s="16"/>
      <c r="T50" s="16" t="e">
        <f>VLOOKUP(E50,'[2]21-3-2026'!E$3:T$35,16,FALSE)</f>
        <v>#N/A</v>
      </c>
      <c r="U50" s="16"/>
      <c r="V50" s="16" t="e">
        <f t="shared" si="5"/>
        <v>#N/A</v>
      </c>
      <c r="W50" s="16"/>
      <c r="X50" s="16"/>
      <c r="Y50" s="16"/>
      <c r="Z50" s="16">
        <f t="shared" si="6"/>
        <v>0</v>
      </c>
      <c r="AA50" s="16">
        <f t="shared" si="0"/>
        <v>0</v>
      </c>
      <c r="AB50" s="16"/>
      <c r="AC50" s="17"/>
      <c r="AD50" s="51"/>
    </row>
    <row r="51" spans="1:30" ht="19.5" thickBot="1" x14ac:dyDescent="0.3">
      <c r="A51" s="14">
        <v>16</v>
      </c>
      <c r="B51" s="15"/>
      <c r="C51" s="15" t="e">
        <f>VLOOKUP(B51,داتا!$B$3:$D$107,2,FALSE)</f>
        <v>#N/A</v>
      </c>
      <c r="D51" s="34" t="e">
        <f>VLOOKUP(B51,داتا!$B$3:$D$107,3,FALSE)</f>
        <v>#N/A</v>
      </c>
      <c r="E51" s="15"/>
      <c r="F51" s="15"/>
      <c r="G51" s="16">
        <v>0.25</v>
      </c>
      <c r="H51" s="16" t="e">
        <f t="shared" si="7"/>
        <v>#N/A</v>
      </c>
      <c r="I51" s="16" t="e">
        <f t="shared" si="1"/>
        <v>#N/A</v>
      </c>
      <c r="J51" s="16"/>
      <c r="K51" s="16"/>
      <c r="L51" s="16"/>
      <c r="M51" s="16"/>
      <c r="N51" s="16">
        <f t="shared" si="2"/>
        <v>0</v>
      </c>
      <c r="O51" s="16" t="e">
        <f t="shared" si="3"/>
        <v>#N/A</v>
      </c>
      <c r="P51" s="16">
        <v>6.9444444444444397E-3</v>
      </c>
      <c r="Q51" s="16"/>
      <c r="R51" s="16">
        <f t="shared" si="4"/>
        <v>-6.9444444444444397E-3</v>
      </c>
      <c r="S51" s="16"/>
      <c r="T51" s="16" t="e">
        <f>VLOOKUP(E51,'[2]21-3-2026'!E$3:T$35,16,FALSE)</f>
        <v>#N/A</v>
      </c>
      <c r="U51" s="16"/>
      <c r="V51" s="16" t="e">
        <f t="shared" si="5"/>
        <v>#N/A</v>
      </c>
      <c r="W51" s="16"/>
      <c r="X51" s="16"/>
      <c r="Y51" s="16"/>
      <c r="Z51" s="16">
        <f t="shared" si="6"/>
        <v>0</v>
      </c>
      <c r="AA51" s="16">
        <f t="shared" si="0"/>
        <v>0</v>
      </c>
      <c r="AB51" s="16"/>
      <c r="AC51" s="17"/>
      <c r="AD51" s="51"/>
    </row>
    <row r="52" spans="1:30" ht="19.5" thickBot="1" x14ac:dyDescent="0.3">
      <c r="A52" s="14">
        <v>17</v>
      </c>
      <c r="B52" s="15"/>
      <c r="C52" s="15" t="e">
        <f>VLOOKUP(B52,داتا!$B$3:$D$107,2,FALSE)</f>
        <v>#N/A</v>
      </c>
      <c r="D52" s="34" t="e">
        <f>VLOOKUP(B52,داتا!$B$3:$D$107,3,FALSE)</f>
        <v>#N/A</v>
      </c>
      <c r="E52" s="15"/>
      <c r="F52" s="15"/>
      <c r="G52" s="16">
        <v>0.25</v>
      </c>
      <c r="H52" s="16" t="e">
        <f t="shared" si="7"/>
        <v>#N/A</v>
      </c>
      <c r="I52" s="16" t="e">
        <f t="shared" si="1"/>
        <v>#N/A</v>
      </c>
      <c r="J52" s="16"/>
      <c r="K52" s="16"/>
      <c r="L52" s="16"/>
      <c r="M52" s="16"/>
      <c r="N52" s="16">
        <f t="shared" si="2"/>
        <v>0</v>
      </c>
      <c r="O52" s="16" t="e">
        <f t="shared" si="3"/>
        <v>#N/A</v>
      </c>
      <c r="P52" s="16">
        <v>6.9444444444444397E-3</v>
      </c>
      <c r="Q52" s="16"/>
      <c r="R52" s="16">
        <f t="shared" si="4"/>
        <v>-6.9444444444444397E-3</v>
      </c>
      <c r="S52" s="16"/>
      <c r="T52" s="16" t="e">
        <f>VLOOKUP(E52,'[2]21-3-2026'!E$3:T$35,16,FALSE)</f>
        <v>#N/A</v>
      </c>
      <c r="U52" s="16"/>
      <c r="V52" s="16" t="e">
        <f t="shared" si="5"/>
        <v>#N/A</v>
      </c>
      <c r="W52" s="16"/>
      <c r="X52" s="16"/>
      <c r="Y52" s="16"/>
      <c r="Z52" s="16">
        <f t="shared" si="6"/>
        <v>0</v>
      </c>
      <c r="AA52" s="16">
        <f t="shared" si="0"/>
        <v>0</v>
      </c>
      <c r="AB52" s="16"/>
      <c r="AC52" s="17"/>
      <c r="AD52" s="51"/>
    </row>
    <row r="53" spans="1:30" ht="19.5" thickBot="1" x14ac:dyDescent="0.3">
      <c r="A53" s="14">
        <v>18</v>
      </c>
      <c r="B53" s="15"/>
      <c r="C53" s="15" t="e">
        <f>VLOOKUP(B53,داتا!$B$3:$D$107,2,FALSE)</f>
        <v>#N/A</v>
      </c>
      <c r="D53" s="34" t="e">
        <f>VLOOKUP(B53,داتا!$B$3:$D$107,3,FALSE)</f>
        <v>#N/A</v>
      </c>
      <c r="E53" s="15"/>
      <c r="F53" s="15"/>
      <c r="G53" s="16">
        <v>0.25</v>
      </c>
      <c r="H53" s="16" t="e">
        <f t="shared" ref="H53:H68" si="8">VLOOKUP(G53,$F$3:$I$35,2,FALSE)</f>
        <v>#N/A</v>
      </c>
      <c r="I53" s="16" t="e">
        <f t="shared" si="1"/>
        <v>#N/A</v>
      </c>
      <c r="J53" s="16"/>
      <c r="K53" s="16"/>
      <c r="L53" s="16"/>
      <c r="M53" s="16"/>
      <c r="N53" s="16">
        <f t="shared" si="2"/>
        <v>0</v>
      </c>
      <c r="O53" s="16" t="e">
        <f t="shared" si="3"/>
        <v>#N/A</v>
      </c>
      <c r="P53" s="16">
        <v>6.9444444444444397E-3</v>
      </c>
      <c r="Q53" s="16"/>
      <c r="R53" s="16">
        <f t="shared" si="4"/>
        <v>-6.9444444444444397E-3</v>
      </c>
      <c r="S53" s="16"/>
      <c r="T53" s="16" t="e">
        <f>VLOOKUP(E53,'[2]21-3-2026'!E$3:T$35,16,FALSE)</f>
        <v>#N/A</v>
      </c>
      <c r="U53" s="16"/>
      <c r="V53" s="16" t="e">
        <f t="shared" si="5"/>
        <v>#N/A</v>
      </c>
      <c r="W53" s="16"/>
      <c r="X53" s="16"/>
      <c r="Y53" s="16"/>
      <c r="Z53" s="16">
        <f t="shared" si="6"/>
        <v>0</v>
      </c>
      <c r="AA53" s="16">
        <f t="shared" si="0"/>
        <v>0</v>
      </c>
      <c r="AB53" s="16"/>
      <c r="AC53" s="17"/>
      <c r="AD53" s="51"/>
    </row>
    <row r="54" spans="1:30" ht="19.5" thickBot="1" x14ac:dyDescent="0.3">
      <c r="A54" s="14">
        <v>19</v>
      </c>
      <c r="B54" s="15"/>
      <c r="C54" s="15" t="e">
        <f>VLOOKUP(B54,داتا!$B$3:$D$107,2,FALSE)</f>
        <v>#N/A</v>
      </c>
      <c r="D54" s="34" t="e">
        <f>VLOOKUP(B54,داتا!$B$3:$D$107,3,FALSE)</f>
        <v>#N/A</v>
      </c>
      <c r="E54" s="15"/>
      <c r="F54" s="15"/>
      <c r="G54" s="16">
        <v>0.25</v>
      </c>
      <c r="H54" s="16" t="e">
        <f t="shared" si="8"/>
        <v>#N/A</v>
      </c>
      <c r="I54" s="16" t="e">
        <f t="shared" si="1"/>
        <v>#N/A</v>
      </c>
      <c r="J54" s="16"/>
      <c r="K54" s="16"/>
      <c r="L54" s="16"/>
      <c r="M54" s="16"/>
      <c r="N54" s="16">
        <f t="shared" si="2"/>
        <v>0</v>
      </c>
      <c r="O54" s="16" t="e">
        <f t="shared" si="3"/>
        <v>#N/A</v>
      </c>
      <c r="P54" s="16">
        <v>6.9444444444444397E-3</v>
      </c>
      <c r="Q54" s="16"/>
      <c r="R54" s="16">
        <f t="shared" si="4"/>
        <v>-6.9444444444444397E-3</v>
      </c>
      <c r="S54" s="16"/>
      <c r="T54" s="16" t="e">
        <f>VLOOKUP(E54,'[2]21-3-2026'!E$3:T$35,16,FALSE)</f>
        <v>#N/A</v>
      </c>
      <c r="U54" s="16"/>
      <c r="V54" s="16" t="e">
        <f t="shared" si="5"/>
        <v>#N/A</v>
      </c>
      <c r="W54" s="16"/>
      <c r="X54" s="16"/>
      <c r="Y54" s="16"/>
      <c r="Z54" s="16">
        <f t="shared" si="6"/>
        <v>0</v>
      </c>
      <c r="AA54" s="16">
        <f t="shared" si="0"/>
        <v>0</v>
      </c>
      <c r="AB54" s="16"/>
      <c r="AC54" s="17"/>
      <c r="AD54" s="51"/>
    </row>
    <row r="55" spans="1:30" ht="19.5" thickBot="1" x14ac:dyDescent="0.3">
      <c r="A55" s="14">
        <v>20</v>
      </c>
      <c r="B55" s="15"/>
      <c r="C55" s="15" t="e">
        <f>VLOOKUP(B55,داتا!$B$3:$D$107,2,FALSE)</f>
        <v>#N/A</v>
      </c>
      <c r="D55" s="34" t="e">
        <f>VLOOKUP(B55,داتا!$B$3:$D$107,3,FALSE)</f>
        <v>#N/A</v>
      </c>
      <c r="E55" s="15"/>
      <c r="F55" s="15"/>
      <c r="G55" s="16">
        <v>0.25</v>
      </c>
      <c r="H55" s="16" t="e">
        <f t="shared" si="8"/>
        <v>#N/A</v>
      </c>
      <c r="I55" s="16" t="e">
        <f t="shared" si="1"/>
        <v>#N/A</v>
      </c>
      <c r="J55" s="16"/>
      <c r="K55" s="16"/>
      <c r="L55" s="16"/>
      <c r="M55" s="16"/>
      <c r="N55" s="16">
        <f t="shared" si="2"/>
        <v>0</v>
      </c>
      <c r="O55" s="16" t="e">
        <f t="shared" si="3"/>
        <v>#N/A</v>
      </c>
      <c r="P55" s="16">
        <v>6.9444444444444397E-3</v>
      </c>
      <c r="Q55" s="16"/>
      <c r="R55" s="16">
        <f t="shared" si="4"/>
        <v>-6.9444444444444397E-3</v>
      </c>
      <c r="S55" s="16"/>
      <c r="T55" s="16" t="e">
        <f>VLOOKUP(E55,'[2]21-3-2026'!E$3:T$35,16,FALSE)</f>
        <v>#N/A</v>
      </c>
      <c r="U55" s="16"/>
      <c r="V55" s="16" t="e">
        <f t="shared" si="5"/>
        <v>#N/A</v>
      </c>
      <c r="W55" s="16"/>
      <c r="X55" s="16"/>
      <c r="Y55" s="16"/>
      <c r="Z55" s="16">
        <f t="shared" si="6"/>
        <v>0</v>
      </c>
      <c r="AA55" s="16">
        <f t="shared" si="0"/>
        <v>0</v>
      </c>
      <c r="AB55" s="16"/>
      <c r="AC55" s="17"/>
      <c r="AD55" s="51"/>
    </row>
    <row r="56" spans="1:30" ht="19.5" thickBot="1" x14ac:dyDescent="0.3">
      <c r="A56" s="14">
        <v>21</v>
      </c>
      <c r="B56" s="15"/>
      <c r="C56" s="15" t="e">
        <f>VLOOKUP(B56,داتا!$B$3:$D$107,2,FALSE)</f>
        <v>#N/A</v>
      </c>
      <c r="D56" s="34" t="e">
        <f>VLOOKUP(B56,داتا!$B$3:$D$107,3,FALSE)</f>
        <v>#N/A</v>
      </c>
      <c r="E56" s="15"/>
      <c r="F56" s="15"/>
      <c r="G56" s="16">
        <v>0.25</v>
      </c>
      <c r="H56" s="16" t="e">
        <f t="shared" si="8"/>
        <v>#N/A</v>
      </c>
      <c r="I56" s="16" t="e">
        <f t="shared" si="1"/>
        <v>#N/A</v>
      </c>
      <c r="J56" s="16"/>
      <c r="K56" s="16"/>
      <c r="L56" s="15"/>
      <c r="M56" s="15"/>
      <c r="N56" s="16">
        <f t="shared" si="2"/>
        <v>0</v>
      </c>
      <c r="O56" s="16" t="e">
        <f t="shared" si="3"/>
        <v>#N/A</v>
      </c>
      <c r="P56" s="16">
        <v>6.9444444444444397E-3</v>
      </c>
      <c r="Q56" s="16"/>
      <c r="R56" s="16">
        <f t="shared" si="4"/>
        <v>-6.9444444444444397E-3</v>
      </c>
      <c r="S56" s="16"/>
      <c r="T56" s="16" t="e">
        <f>VLOOKUP(E56,'[2]21-3-2026'!E$3:T$35,16,FALSE)</f>
        <v>#N/A</v>
      </c>
      <c r="U56" s="16"/>
      <c r="V56" s="16" t="e">
        <f t="shared" si="5"/>
        <v>#N/A</v>
      </c>
      <c r="W56" s="16"/>
      <c r="X56" s="16"/>
      <c r="Y56" s="16"/>
      <c r="Z56" s="16">
        <f t="shared" si="6"/>
        <v>0</v>
      </c>
      <c r="AA56" s="16">
        <f t="shared" si="0"/>
        <v>0</v>
      </c>
      <c r="AB56" s="16"/>
      <c r="AC56" s="17"/>
      <c r="AD56" s="51"/>
    </row>
    <row r="57" spans="1:30" ht="19.5" thickBot="1" x14ac:dyDescent="0.3">
      <c r="A57" s="14">
        <v>22</v>
      </c>
      <c r="B57" s="15"/>
      <c r="C57" s="15" t="e">
        <f>VLOOKUP(B57,داتا!$B$3:$D$107,2,FALSE)</f>
        <v>#N/A</v>
      </c>
      <c r="D57" s="34" t="e">
        <f>VLOOKUP(B57,داتا!$B$3:$D$107,3,FALSE)</f>
        <v>#N/A</v>
      </c>
      <c r="E57" s="15"/>
      <c r="F57" s="15"/>
      <c r="G57" s="16">
        <v>0.25</v>
      </c>
      <c r="H57" s="16" t="e">
        <f t="shared" si="8"/>
        <v>#N/A</v>
      </c>
      <c r="I57" s="16" t="e">
        <f t="shared" si="1"/>
        <v>#N/A</v>
      </c>
      <c r="J57" s="16"/>
      <c r="K57" s="16"/>
      <c r="L57" s="15"/>
      <c r="M57" s="15"/>
      <c r="N57" s="16">
        <f t="shared" si="2"/>
        <v>0</v>
      </c>
      <c r="O57" s="16" t="e">
        <f t="shared" si="3"/>
        <v>#N/A</v>
      </c>
      <c r="P57" s="16">
        <v>6.9444444444444397E-3</v>
      </c>
      <c r="Q57" s="16"/>
      <c r="R57" s="16">
        <f t="shared" si="4"/>
        <v>-6.9444444444444397E-3</v>
      </c>
      <c r="S57" s="16"/>
      <c r="T57" s="16" t="e">
        <f>VLOOKUP(E57,'[2]21-3-2026'!E$3:T$35,16,FALSE)</f>
        <v>#N/A</v>
      </c>
      <c r="U57" s="16"/>
      <c r="V57" s="16" t="e">
        <f t="shared" si="5"/>
        <v>#N/A</v>
      </c>
      <c r="W57" s="16"/>
      <c r="X57" s="16"/>
      <c r="Y57" s="16"/>
      <c r="Z57" s="16">
        <f t="shared" si="6"/>
        <v>0</v>
      </c>
      <c r="AA57" s="16">
        <f t="shared" si="0"/>
        <v>0</v>
      </c>
      <c r="AB57" s="16"/>
      <c r="AC57" s="17"/>
      <c r="AD57" s="51"/>
    </row>
    <row r="58" spans="1:30" ht="19.5" thickBot="1" x14ac:dyDescent="0.3">
      <c r="A58" s="14">
        <v>23</v>
      </c>
      <c r="B58" s="15"/>
      <c r="C58" s="15" t="e">
        <f>VLOOKUP(B58,داتا!$B$3:$D$107,2,FALSE)</f>
        <v>#N/A</v>
      </c>
      <c r="D58" s="34" t="e">
        <f>VLOOKUP(B58,داتا!$B$3:$D$107,3,FALSE)</f>
        <v>#N/A</v>
      </c>
      <c r="E58" s="15"/>
      <c r="F58" s="15"/>
      <c r="G58" s="16">
        <v>0.25</v>
      </c>
      <c r="H58" s="16" t="e">
        <f t="shared" si="8"/>
        <v>#N/A</v>
      </c>
      <c r="I58" s="16" t="e">
        <f t="shared" si="1"/>
        <v>#N/A</v>
      </c>
      <c r="J58" s="16"/>
      <c r="K58" s="16"/>
      <c r="L58" s="16"/>
      <c r="M58" s="16"/>
      <c r="N58" s="16">
        <f t="shared" si="2"/>
        <v>0</v>
      </c>
      <c r="O58" s="16" t="e">
        <f t="shared" si="3"/>
        <v>#N/A</v>
      </c>
      <c r="P58" s="16">
        <v>6.9444444444444397E-3</v>
      </c>
      <c r="Q58" s="16"/>
      <c r="R58" s="16">
        <f t="shared" si="4"/>
        <v>-6.9444444444444397E-3</v>
      </c>
      <c r="S58" s="16"/>
      <c r="T58" s="16" t="e">
        <f>VLOOKUP(E58,'[2]21-3-2026'!E$3:T$35,16,FALSE)</f>
        <v>#N/A</v>
      </c>
      <c r="U58" s="16"/>
      <c r="V58" s="16" t="e">
        <f t="shared" si="5"/>
        <v>#N/A</v>
      </c>
      <c r="W58" s="16"/>
      <c r="X58" s="16"/>
      <c r="Y58" s="16"/>
      <c r="Z58" s="16">
        <f t="shared" si="6"/>
        <v>0</v>
      </c>
      <c r="AA58" s="16">
        <f t="shared" si="0"/>
        <v>0</v>
      </c>
      <c r="AB58" s="16"/>
      <c r="AC58" s="17"/>
      <c r="AD58" s="51"/>
    </row>
    <row r="59" spans="1:30" ht="19.5" thickBot="1" x14ac:dyDescent="0.3">
      <c r="A59" s="14">
        <v>24</v>
      </c>
      <c r="B59" s="15"/>
      <c r="C59" s="15" t="e">
        <f>VLOOKUP(B59,داتا!$B$3:$D$107,2,FALSE)</f>
        <v>#N/A</v>
      </c>
      <c r="D59" s="34" t="e">
        <f>VLOOKUP(B59,داتا!$B$3:$D$107,3,FALSE)</f>
        <v>#N/A</v>
      </c>
      <c r="E59" s="16"/>
      <c r="F59" s="15"/>
      <c r="G59" s="16">
        <v>0.25</v>
      </c>
      <c r="H59" s="16" t="e">
        <f t="shared" si="8"/>
        <v>#N/A</v>
      </c>
      <c r="I59" s="16" t="e">
        <f t="shared" si="1"/>
        <v>#N/A</v>
      </c>
      <c r="J59" s="16"/>
      <c r="K59" s="16"/>
      <c r="L59" s="15"/>
      <c r="M59" s="15"/>
      <c r="N59" s="16">
        <f t="shared" si="2"/>
        <v>0</v>
      </c>
      <c r="O59" s="16" t="e">
        <f t="shared" si="3"/>
        <v>#N/A</v>
      </c>
      <c r="P59" s="16">
        <v>6.9444444444444397E-3</v>
      </c>
      <c r="Q59" s="16"/>
      <c r="R59" s="16">
        <f t="shared" si="4"/>
        <v>-6.9444444444444397E-3</v>
      </c>
      <c r="S59" s="16"/>
      <c r="T59" s="16" t="e">
        <f>VLOOKUP(E59,'[2]21-3-2026'!E$3:T$35,16,FALSE)</f>
        <v>#N/A</v>
      </c>
      <c r="U59" s="16"/>
      <c r="V59" s="16" t="e">
        <f t="shared" si="5"/>
        <v>#N/A</v>
      </c>
      <c r="W59" s="16"/>
      <c r="X59" s="16"/>
      <c r="Y59" s="16"/>
      <c r="Z59" s="16">
        <f t="shared" si="6"/>
        <v>0</v>
      </c>
      <c r="AA59" s="16">
        <f t="shared" si="0"/>
        <v>0</v>
      </c>
      <c r="AB59" s="16"/>
      <c r="AC59" s="17"/>
      <c r="AD59" s="51"/>
    </row>
    <row r="60" spans="1:30" ht="19.5" thickBot="1" x14ac:dyDescent="0.3">
      <c r="A60" s="14">
        <v>25</v>
      </c>
      <c r="B60" s="15"/>
      <c r="C60" s="15" t="e">
        <f>VLOOKUP(B60,داتا!$B$3:$D$107,2,FALSE)</f>
        <v>#N/A</v>
      </c>
      <c r="D60" s="34" t="e">
        <f>VLOOKUP(B60,داتا!$B$3:$D$107,3,FALSE)</f>
        <v>#N/A</v>
      </c>
      <c r="E60" s="15"/>
      <c r="F60" s="15"/>
      <c r="G60" s="16">
        <v>0.25</v>
      </c>
      <c r="H60" s="16" t="e">
        <f t="shared" si="8"/>
        <v>#N/A</v>
      </c>
      <c r="I60" s="16" t="e">
        <f t="shared" si="1"/>
        <v>#N/A</v>
      </c>
      <c r="J60" s="16"/>
      <c r="K60" s="16"/>
      <c r="L60" s="16"/>
      <c r="M60" s="16"/>
      <c r="N60" s="16">
        <f t="shared" si="2"/>
        <v>0</v>
      </c>
      <c r="O60" s="16" t="e">
        <f t="shared" si="3"/>
        <v>#N/A</v>
      </c>
      <c r="P60" s="16">
        <v>6.9444444444444397E-3</v>
      </c>
      <c r="Q60" s="16"/>
      <c r="R60" s="16">
        <f t="shared" si="4"/>
        <v>-6.9444444444444397E-3</v>
      </c>
      <c r="S60" s="16"/>
      <c r="T60" s="16" t="e">
        <f>VLOOKUP(E60,'[2]21-3-2026'!E$3:T$35,16,FALSE)</f>
        <v>#N/A</v>
      </c>
      <c r="U60" s="16"/>
      <c r="V60" s="16" t="e">
        <f t="shared" si="5"/>
        <v>#N/A</v>
      </c>
      <c r="W60" s="16"/>
      <c r="X60" s="16"/>
      <c r="Y60" s="16"/>
      <c r="Z60" s="16">
        <f t="shared" si="6"/>
        <v>0</v>
      </c>
      <c r="AA60" s="16">
        <f t="shared" si="0"/>
        <v>0</v>
      </c>
      <c r="AB60" s="16"/>
      <c r="AC60" s="17"/>
      <c r="AD60" s="51"/>
    </row>
    <row r="61" spans="1:30" ht="19.5" thickBot="1" x14ac:dyDescent="0.3">
      <c r="A61" s="14">
        <v>26</v>
      </c>
      <c r="B61" s="15"/>
      <c r="C61" s="15" t="e">
        <f>VLOOKUP(B61,داتا!$B$3:$D$107,2,FALSE)</f>
        <v>#N/A</v>
      </c>
      <c r="D61" s="34" t="e">
        <f>VLOOKUP(B61,داتا!$B$3:$D$107,3,FALSE)</f>
        <v>#N/A</v>
      </c>
      <c r="E61" s="15"/>
      <c r="F61" s="15"/>
      <c r="G61" s="16">
        <v>0.25</v>
      </c>
      <c r="H61" s="16" t="e">
        <f t="shared" si="8"/>
        <v>#N/A</v>
      </c>
      <c r="I61" s="16" t="e">
        <f t="shared" si="1"/>
        <v>#N/A</v>
      </c>
      <c r="J61" s="16"/>
      <c r="K61" s="16"/>
      <c r="L61" s="16"/>
      <c r="M61" s="16"/>
      <c r="N61" s="16">
        <f t="shared" si="2"/>
        <v>0</v>
      </c>
      <c r="O61" s="16" t="e">
        <f t="shared" si="3"/>
        <v>#N/A</v>
      </c>
      <c r="P61" s="16">
        <v>6.9444444444444397E-3</v>
      </c>
      <c r="Q61" s="16"/>
      <c r="R61" s="16">
        <f t="shared" si="4"/>
        <v>-6.9444444444444397E-3</v>
      </c>
      <c r="S61" s="16"/>
      <c r="T61" s="16" t="e">
        <f>VLOOKUP(E61,'[2]21-3-2026'!E$3:T$35,16,FALSE)</f>
        <v>#N/A</v>
      </c>
      <c r="U61" s="16"/>
      <c r="V61" s="16" t="e">
        <f t="shared" si="5"/>
        <v>#N/A</v>
      </c>
      <c r="W61" s="16"/>
      <c r="X61" s="16"/>
      <c r="Y61" s="16"/>
      <c r="Z61" s="16">
        <f t="shared" si="6"/>
        <v>0</v>
      </c>
      <c r="AA61" s="16">
        <f t="shared" si="0"/>
        <v>0</v>
      </c>
      <c r="AB61" s="16"/>
      <c r="AC61" s="17"/>
      <c r="AD61" s="51"/>
    </row>
    <row r="62" spans="1:30" ht="19.5" thickBot="1" x14ac:dyDescent="0.3">
      <c r="A62" s="14">
        <v>27</v>
      </c>
      <c r="B62" s="15"/>
      <c r="C62" s="15" t="e">
        <f>VLOOKUP(B62,داتا!$B$3:$D$107,2,FALSE)</f>
        <v>#N/A</v>
      </c>
      <c r="D62" s="34" t="e">
        <f>VLOOKUP(B62,داتا!$B$3:$D$107,3,FALSE)</f>
        <v>#N/A</v>
      </c>
      <c r="E62" s="15"/>
      <c r="F62" s="15"/>
      <c r="G62" s="16">
        <v>0.25</v>
      </c>
      <c r="H62" s="16" t="e">
        <f t="shared" si="8"/>
        <v>#N/A</v>
      </c>
      <c r="I62" s="16" t="e">
        <f t="shared" si="1"/>
        <v>#N/A</v>
      </c>
      <c r="J62" s="16"/>
      <c r="K62" s="16"/>
      <c r="L62" s="16"/>
      <c r="M62" s="16"/>
      <c r="N62" s="16">
        <f t="shared" si="2"/>
        <v>0</v>
      </c>
      <c r="O62" s="16" t="e">
        <f t="shared" si="3"/>
        <v>#N/A</v>
      </c>
      <c r="P62" s="16">
        <v>6.9444444444444397E-3</v>
      </c>
      <c r="Q62" s="16"/>
      <c r="R62" s="16">
        <f t="shared" si="4"/>
        <v>-6.9444444444444397E-3</v>
      </c>
      <c r="S62" s="16"/>
      <c r="T62" s="16" t="e">
        <f>VLOOKUP(E62,'[2]21-3-2026'!E$3:T$35,16,FALSE)</f>
        <v>#N/A</v>
      </c>
      <c r="U62" s="16"/>
      <c r="V62" s="16" t="e">
        <f t="shared" si="5"/>
        <v>#N/A</v>
      </c>
      <c r="W62" s="16"/>
      <c r="X62" s="16"/>
      <c r="Y62" s="16"/>
      <c r="Z62" s="16">
        <f t="shared" si="6"/>
        <v>0</v>
      </c>
      <c r="AA62" s="16">
        <f t="shared" si="0"/>
        <v>0</v>
      </c>
      <c r="AB62" s="16"/>
      <c r="AC62" s="17"/>
      <c r="AD62" s="51"/>
    </row>
    <row r="63" spans="1:30" ht="19.5" thickBot="1" x14ac:dyDescent="0.3">
      <c r="A63" s="14">
        <v>28</v>
      </c>
      <c r="B63" s="15"/>
      <c r="C63" s="15" t="e">
        <f>VLOOKUP(B63,داتا!$B$3:$D$107,2,FALSE)</f>
        <v>#N/A</v>
      </c>
      <c r="D63" s="34" t="e">
        <f>VLOOKUP(B63,داتا!$B$3:$D$107,3,FALSE)</f>
        <v>#N/A</v>
      </c>
      <c r="E63" s="15"/>
      <c r="F63" s="15"/>
      <c r="G63" s="16">
        <v>0.25</v>
      </c>
      <c r="H63" s="16" t="e">
        <f t="shared" si="8"/>
        <v>#N/A</v>
      </c>
      <c r="I63" s="16" t="e">
        <f t="shared" si="1"/>
        <v>#N/A</v>
      </c>
      <c r="J63" s="16"/>
      <c r="K63" s="16"/>
      <c r="L63" s="16"/>
      <c r="M63" s="16"/>
      <c r="N63" s="16">
        <f t="shared" si="2"/>
        <v>0</v>
      </c>
      <c r="O63" s="16" t="e">
        <f t="shared" si="3"/>
        <v>#N/A</v>
      </c>
      <c r="P63" s="16">
        <v>6.9444444444444397E-3</v>
      </c>
      <c r="Q63" s="16"/>
      <c r="R63" s="16">
        <f t="shared" si="4"/>
        <v>-6.9444444444444397E-3</v>
      </c>
      <c r="S63" s="16"/>
      <c r="T63" s="16" t="e">
        <f>VLOOKUP(E63,'[2]21-3-2026'!E$3:T$35,16,FALSE)</f>
        <v>#N/A</v>
      </c>
      <c r="U63" s="16"/>
      <c r="V63" s="16" t="e">
        <f t="shared" si="5"/>
        <v>#N/A</v>
      </c>
      <c r="W63" s="16"/>
      <c r="X63" s="16"/>
      <c r="Y63" s="16"/>
      <c r="Z63" s="16">
        <f t="shared" si="6"/>
        <v>0</v>
      </c>
      <c r="AA63" s="16">
        <f t="shared" si="0"/>
        <v>0</v>
      </c>
      <c r="AB63" s="16"/>
      <c r="AC63" s="17"/>
      <c r="AD63" s="51"/>
    </row>
    <row r="64" spans="1:30" ht="19.5" thickBot="1" x14ac:dyDescent="0.3">
      <c r="A64" s="14">
        <v>29</v>
      </c>
      <c r="B64" s="15"/>
      <c r="C64" s="15" t="e">
        <f>VLOOKUP(B64,داتا!$B$3:$D$107,2,FALSE)</f>
        <v>#N/A</v>
      </c>
      <c r="D64" s="34" t="e">
        <f>VLOOKUP(B64,داتا!$B$3:$D$107,3,FALSE)</f>
        <v>#N/A</v>
      </c>
      <c r="E64" s="15"/>
      <c r="F64" s="15"/>
      <c r="G64" s="16">
        <v>0.25</v>
      </c>
      <c r="H64" s="16" t="e">
        <f t="shared" si="8"/>
        <v>#N/A</v>
      </c>
      <c r="I64" s="16" t="e">
        <f t="shared" si="1"/>
        <v>#N/A</v>
      </c>
      <c r="J64" s="16"/>
      <c r="K64" s="16"/>
      <c r="L64" s="16"/>
      <c r="M64" s="16"/>
      <c r="N64" s="16">
        <f t="shared" si="2"/>
        <v>0</v>
      </c>
      <c r="O64" s="16" t="e">
        <f t="shared" si="3"/>
        <v>#N/A</v>
      </c>
      <c r="P64" s="16">
        <v>6.9444444444444397E-3</v>
      </c>
      <c r="Q64" s="16"/>
      <c r="R64" s="16">
        <f t="shared" si="4"/>
        <v>-6.9444444444444397E-3</v>
      </c>
      <c r="S64" s="16"/>
      <c r="T64" s="16" t="e">
        <f>VLOOKUP(E64,'[2]21-3-2026'!E$3:T$35,16,FALSE)</f>
        <v>#N/A</v>
      </c>
      <c r="U64" s="16"/>
      <c r="V64" s="16" t="e">
        <f t="shared" si="5"/>
        <v>#N/A</v>
      </c>
      <c r="W64" s="16"/>
      <c r="X64" s="16"/>
      <c r="Y64" s="16"/>
      <c r="Z64" s="16">
        <f t="shared" si="6"/>
        <v>0</v>
      </c>
      <c r="AA64" s="16">
        <f t="shared" si="0"/>
        <v>0</v>
      </c>
      <c r="AB64" s="16"/>
      <c r="AC64" s="17"/>
      <c r="AD64" s="51"/>
    </row>
    <row r="65" spans="1:30" ht="19.5" thickBot="1" x14ac:dyDescent="0.3">
      <c r="A65" s="14">
        <v>30</v>
      </c>
      <c r="B65" s="15"/>
      <c r="C65" s="15" t="e">
        <f>VLOOKUP(B65,داتا!$B$3:$D$107,2,FALSE)</f>
        <v>#N/A</v>
      </c>
      <c r="D65" s="34" t="e">
        <f>VLOOKUP(B65,داتا!$B$3:$D$107,3,FALSE)</f>
        <v>#N/A</v>
      </c>
      <c r="E65" s="15"/>
      <c r="F65" s="15"/>
      <c r="G65" s="16">
        <v>0.25</v>
      </c>
      <c r="H65" s="16" t="e">
        <f t="shared" si="8"/>
        <v>#N/A</v>
      </c>
      <c r="I65" s="16" t="e">
        <f t="shared" si="1"/>
        <v>#N/A</v>
      </c>
      <c r="J65" s="16"/>
      <c r="K65" s="16"/>
      <c r="L65" s="16"/>
      <c r="M65" s="16"/>
      <c r="N65" s="16">
        <f t="shared" si="2"/>
        <v>0</v>
      </c>
      <c r="O65" s="16" t="e">
        <f t="shared" si="3"/>
        <v>#N/A</v>
      </c>
      <c r="P65" s="16">
        <v>6.9444444444444397E-3</v>
      </c>
      <c r="Q65" s="16"/>
      <c r="R65" s="16">
        <f t="shared" si="4"/>
        <v>-6.9444444444444397E-3</v>
      </c>
      <c r="S65" s="16"/>
      <c r="T65" s="16" t="e">
        <f>VLOOKUP(E65,'[2]21-3-2026'!E$3:T$35,16,FALSE)</f>
        <v>#N/A</v>
      </c>
      <c r="U65" s="16"/>
      <c r="V65" s="16" t="e">
        <f t="shared" si="5"/>
        <v>#N/A</v>
      </c>
      <c r="W65" s="16"/>
      <c r="X65" s="16"/>
      <c r="Y65" s="16"/>
      <c r="Z65" s="16">
        <f t="shared" si="6"/>
        <v>0</v>
      </c>
      <c r="AA65" s="16">
        <f t="shared" si="0"/>
        <v>0</v>
      </c>
      <c r="AB65" s="16"/>
      <c r="AC65" s="17"/>
      <c r="AD65" s="51"/>
    </row>
    <row r="66" spans="1:30" ht="20.25" customHeight="1" thickBot="1" x14ac:dyDescent="0.3">
      <c r="A66" s="14">
        <v>31</v>
      </c>
      <c r="B66" s="15"/>
      <c r="C66" s="15" t="e">
        <f>VLOOKUP(B66,داتا!$B$3:$D$107,2,FALSE)</f>
        <v>#N/A</v>
      </c>
      <c r="D66" s="34" t="e">
        <f>VLOOKUP(B66,داتا!$B$3:$D$107,3,FALSE)</f>
        <v>#N/A</v>
      </c>
      <c r="E66" s="15"/>
      <c r="F66" s="15"/>
      <c r="G66" s="16">
        <v>0.25</v>
      </c>
      <c r="H66" s="16" t="e">
        <f t="shared" si="8"/>
        <v>#N/A</v>
      </c>
      <c r="I66" s="16" t="e">
        <f t="shared" si="1"/>
        <v>#N/A</v>
      </c>
      <c r="J66" s="16"/>
      <c r="K66" s="16"/>
      <c r="L66" s="16"/>
      <c r="M66" s="16"/>
      <c r="N66" s="16">
        <f t="shared" si="2"/>
        <v>0</v>
      </c>
      <c r="O66" s="16" t="e">
        <f t="shared" si="3"/>
        <v>#N/A</v>
      </c>
      <c r="P66" s="16">
        <v>6.9444444444444397E-3</v>
      </c>
      <c r="Q66" s="16"/>
      <c r="R66" s="16">
        <f t="shared" si="4"/>
        <v>-6.9444444444444397E-3</v>
      </c>
      <c r="S66" s="16"/>
      <c r="T66" s="16" t="e">
        <f>VLOOKUP(E66,'[2]21-3-2026'!E$3:T$35,16,FALSE)</f>
        <v>#N/A</v>
      </c>
      <c r="U66" s="16"/>
      <c r="V66" s="16" t="e">
        <f t="shared" si="5"/>
        <v>#N/A</v>
      </c>
      <c r="W66" s="16"/>
      <c r="X66" s="16"/>
      <c r="Y66" s="16"/>
      <c r="Z66" s="16">
        <f t="shared" si="6"/>
        <v>0</v>
      </c>
      <c r="AA66" s="16">
        <f t="shared" si="0"/>
        <v>0</v>
      </c>
      <c r="AB66" s="16"/>
      <c r="AC66" s="19"/>
      <c r="AD66" s="51"/>
    </row>
    <row r="67" spans="1:30" ht="19.5" customHeight="1" thickBot="1" x14ac:dyDescent="0.3">
      <c r="A67" s="20">
        <v>32</v>
      </c>
      <c r="B67" s="21"/>
      <c r="C67" s="21" t="e">
        <f>VLOOKUP(B67,داتا!$B$3:$D$107,2,FALSE)</f>
        <v>#N/A</v>
      </c>
      <c r="D67" s="35" t="e">
        <f>VLOOKUP(B67,داتا!$B$3:$D$107,3,FALSE)</f>
        <v>#N/A</v>
      </c>
      <c r="E67" s="21"/>
      <c r="F67" s="21"/>
      <c r="G67" s="22">
        <v>0.25</v>
      </c>
      <c r="H67" s="22" t="e">
        <f t="shared" si="8"/>
        <v>#N/A</v>
      </c>
      <c r="I67" s="22" t="e">
        <f t="shared" si="1"/>
        <v>#N/A</v>
      </c>
      <c r="J67" s="22"/>
      <c r="K67" s="22"/>
      <c r="L67" s="22"/>
      <c r="M67" s="22"/>
      <c r="N67" s="22">
        <f t="shared" si="2"/>
        <v>0</v>
      </c>
      <c r="O67" s="22" t="e">
        <f t="shared" si="3"/>
        <v>#N/A</v>
      </c>
      <c r="P67" s="22">
        <v>6.9444444444444397E-3</v>
      </c>
      <c r="Q67" s="22"/>
      <c r="R67" s="22">
        <f t="shared" si="4"/>
        <v>-6.9444444444444397E-3</v>
      </c>
      <c r="S67" s="22"/>
      <c r="T67" s="22" t="e">
        <f>VLOOKUP(E67,'[2]21-3-2026'!E$3:T$35,16,FALSE)</f>
        <v>#N/A</v>
      </c>
      <c r="U67" s="22"/>
      <c r="V67" s="22" t="e">
        <f t="shared" si="5"/>
        <v>#N/A</v>
      </c>
      <c r="W67" s="22"/>
      <c r="X67" s="22"/>
      <c r="Y67" s="22"/>
      <c r="Z67" s="22">
        <f t="shared" si="6"/>
        <v>0</v>
      </c>
      <c r="AA67" s="22">
        <f t="shared" ref="AA67:AA99" si="9">Z67-W67</f>
        <v>0</v>
      </c>
      <c r="AB67" s="22"/>
      <c r="AC67" s="23"/>
      <c r="AD67" s="52"/>
    </row>
    <row r="68" spans="1:30" ht="20.25" thickTop="1" thickBot="1" x14ac:dyDescent="0.3">
      <c r="A68" s="10">
        <v>1</v>
      </c>
      <c r="B68" s="11"/>
      <c r="C68" s="11" t="e">
        <f>VLOOKUP(B68,داتا!$B$3:$D$107,2,FALSE)</f>
        <v>#N/A</v>
      </c>
      <c r="D68" s="33" t="e">
        <f>VLOOKUP(B68,داتا!$B$3:$D$107,3,FALSE)</f>
        <v>#N/A</v>
      </c>
      <c r="E68" s="11"/>
      <c r="F68" s="11"/>
      <c r="G68" s="12">
        <v>8.3333333333333329E-2</v>
      </c>
      <c r="H68" s="12" t="e">
        <f t="shared" si="8"/>
        <v>#N/A</v>
      </c>
      <c r="I68" s="12" t="e">
        <f t="shared" ref="I68:I99" si="10">H68-G68</f>
        <v>#N/A</v>
      </c>
      <c r="J68" s="12"/>
      <c r="K68" s="12"/>
      <c r="L68" s="12"/>
      <c r="M68" s="12"/>
      <c r="N68" s="12">
        <f t="shared" ref="N68:N99" si="11">K68-J68</f>
        <v>0</v>
      </c>
      <c r="O68" s="12" t="e">
        <f t="shared" ref="O68:O99" si="12">N68-D68</f>
        <v>#N/A</v>
      </c>
      <c r="P68" s="12">
        <v>6.9444444444444397E-3</v>
      </c>
      <c r="Q68" s="12"/>
      <c r="R68" s="12">
        <f t="shared" ref="R68:R99" si="13">Q68-P68-K68</f>
        <v>-6.9444444444444397E-3</v>
      </c>
      <c r="S68" s="12"/>
      <c r="T68" s="12" t="e">
        <f>VLOOKUP(E68,'[2]21-3-2026'!E$3:T$35,16,FALSE)</f>
        <v>#N/A</v>
      </c>
      <c r="U68" s="12"/>
      <c r="V68" s="12" t="e">
        <f t="shared" ref="V68:V99" si="14">U68-T68-S68</f>
        <v>#N/A</v>
      </c>
      <c r="W68" s="12"/>
      <c r="X68" s="12"/>
      <c r="Y68" s="12"/>
      <c r="Z68" s="12">
        <f t="shared" ref="Z68:Z99" si="15">Y68-X68</f>
        <v>0</v>
      </c>
      <c r="AA68" s="12">
        <f t="shared" si="9"/>
        <v>0</v>
      </c>
      <c r="AB68" s="12"/>
      <c r="AC68" s="13"/>
      <c r="AD68" s="53" t="s">
        <v>116</v>
      </c>
    </row>
    <row r="69" spans="1:30" ht="19.5" thickBot="1" x14ac:dyDescent="0.3">
      <c r="A69" s="14">
        <v>2</v>
      </c>
      <c r="B69" s="15"/>
      <c r="C69" s="15" t="e">
        <f>VLOOKUP(B69,داتا!$B$3:$D$107,2,FALSE)</f>
        <v>#N/A</v>
      </c>
      <c r="D69" s="34" t="e">
        <f>VLOOKUP(B69,داتا!$B$3:$D$107,3,FALSE)</f>
        <v>#N/A</v>
      </c>
      <c r="E69" s="15"/>
      <c r="F69" s="15"/>
      <c r="G69" s="16">
        <v>8.3333333333333329E-2</v>
      </c>
      <c r="H69" s="16" t="e">
        <f t="shared" ref="H69:H84" si="16">VLOOKUP(G69,$F$3:$I$35,2,FALSE)</f>
        <v>#N/A</v>
      </c>
      <c r="I69" s="16" t="e">
        <f t="shared" si="10"/>
        <v>#N/A</v>
      </c>
      <c r="J69" s="16"/>
      <c r="K69" s="16"/>
      <c r="L69" s="16"/>
      <c r="M69" s="16"/>
      <c r="N69" s="16">
        <f t="shared" si="11"/>
        <v>0</v>
      </c>
      <c r="O69" s="16" t="e">
        <f t="shared" si="12"/>
        <v>#N/A</v>
      </c>
      <c r="P69" s="16">
        <v>6.9444444444444397E-3</v>
      </c>
      <c r="Q69" s="16"/>
      <c r="R69" s="16">
        <f t="shared" si="13"/>
        <v>-6.9444444444444397E-3</v>
      </c>
      <c r="S69" s="16"/>
      <c r="T69" s="16" t="e">
        <f>VLOOKUP(E69,'[2]21-3-2026'!E$3:T$35,16,FALSE)</f>
        <v>#N/A</v>
      </c>
      <c r="U69" s="16"/>
      <c r="V69" s="16" t="e">
        <f t="shared" si="14"/>
        <v>#N/A</v>
      </c>
      <c r="W69" s="16"/>
      <c r="X69" s="16"/>
      <c r="Y69" s="16"/>
      <c r="Z69" s="16">
        <f t="shared" si="15"/>
        <v>0</v>
      </c>
      <c r="AA69" s="16">
        <f t="shared" si="9"/>
        <v>0</v>
      </c>
      <c r="AB69" s="16"/>
      <c r="AC69" s="17"/>
      <c r="AD69" s="51"/>
    </row>
    <row r="70" spans="1:30" ht="19.5" thickBot="1" x14ac:dyDescent="0.3">
      <c r="A70" s="14">
        <v>3</v>
      </c>
      <c r="B70" s="15"/>
      <c r="C70" s="15" t="e">
        <f>VLOOKUP(B70,داتا!$B$3:$D$107,2,FALSE)</f>
        <v>#N/A</v>
      </c>
      <c r="D70" s="34" t="e">
        <f>VLOOKUP(B70,داتا!$B$3:$D$107,3,FALSE)</f>
        <v>#N/A</v>
      </c>
      <c r="E70" s="15"/>
      <c r="F70" s="15"/>
      <c r="G70" s="16">
        <v>8.3333333333333329E-2</v>
      </c>
      <c r="H70" s="16" t="e">
        <f t="shared" si="16"/>
        <v>#N/A</v>
      </c>
      <c r="I70" s="16" t="e">
        <f t="shared" si="10"/>
        <v>#N/A</v>
      </c>
      <c r="J70" s="16"/>
      <c r="K70" s="16"/>
      <c r="L70" s="16"/>
      <c r="M70" s="16"/>
      <c r="N70" s="16">
        <f t="shared" si="11"/>
        <v>0</v>
      </c>
      <c r="O70" s="16" t="e">
        <f t="shared" si="12"/>
        <v>#N/A</v>
      </c>
      <c r="P70" s="16">
        <v>6.9444444444444397E-3</v>
      </c>
      <c r="Q70" s="16"/>
      <c r="R70" s="16">
        <f t="shared" si="13"/>
        <v>-6.9444444444444397E-3</v>
      </c>
      <c r="S70" s="16"/>
      <c r="T70" s="16" t="e">
        <f>VLOOKUP(E70,'[2]21-3-2026'!E$3:T$35,16,FALSE)</f>
        <v>#N/A</v>
      </c>
      <c r="U70" s="16"/>
      <c r="V70" s="16" t="e">
        <f t="shared" si="14"/>
        <v>#N/A</v>
      </c>
      <c r="W70" s="16"/>
      <c r="X70" s="16"/>
      <c r="Y70" s="16"/>
      <c r="Z70" s="16">
        <f t="shared" si="15"/>
        <v>0</v>
      </c>
      <c r="AA70" s="16">
        <f t="shared" si="9"/>
        <v>0</v>
      </c>
      <c r="AB70" s="16"/>
      <c r="AC70" s="17"/>
      <c r="AD70" s="51"/>
    </row>
    <row r="71" spans="1:30" ht="19.5" thickBot="1" x14ac:dyDescent="0.3">
      <c r="A71" s="14">
        <v>4</v>
      </c>
      <c r="B71" s="15"/>
      <c r="C71" s="15" t="e">
        <f>VLOOKUP(B71,داتا!$B$3:$D$107,2,FALSE)</f>
        <v>#N/A</v>
      </c>
      <c r="D71" s="34" t="e">
        <f>VLOOKUP(B71,داتا!$B$3:$D$107,3,FALSE)</f>
        <v>#N/A</v>
      </c>
      <c r="E71" s="15"/>
      <c r="F71" s="15"/>
      <c r="G71" s="16">
        <v>8.3333333333333329E-2</v>
      </c>
      <c r="H71" s="16" t="e">
        <f t="shared" si="16"/>
        <v>#N/A</v>
      </c>
      <c r="I71" s="16" t="e">
        <f t="shared" si="10"/>
        <v>#N/A</v>
      </c>
      <c r="J71" s="16"/>
      <c r="K71" s="16"/>
      <c r="L71" s="16"/>
      <c r="M71" s="16"/>
      <c r="N71" s="16">
        <f t="shared" si="11"/>
        <v>0</v>
      </c>
      <c r="O71" s="16" t="e">
        <f t="shared" si="12"/>
        <v>#N/A</v>
      </c>
      <c r="P71" s="16">
        <v>6.9444444444444397E-3</v>
      </c>
      <c r="Q71" s="16"/>
      <c r="R71" s="16">
        <f t="shared" si="13"/>
        <v>-6.9444444444444397E-3</v>
      </c>
      <c r="S71" s="16"/>
      <c r="T71" s="16" t="e">
        <f>VLOOKUP(E71,'[2]21-3-2026'!E$3:T$35,16,FALSE)</f>
        <v>#N/A</v>
      </c>
      <c r="U71" s="16"/>
      <c r="V71" s="16" t="e">
        <f t="shared" si="14"/>
        <v>#N/A</v>
      </c>
      <c r="W71" s="16"/>
      <c r="X71" s="16"/>
      <c r="Y71" s="16"/>
      <c r="Z71" s="16">
        <f t="shared" si="15"/>
        <v>0</v>
      </c>
      <c r="AA71" s="16">
        <f t="shared" si="9"/>
        <v>0</v>
      </c>
      <c r="AB71" s="16"/>
      <c r="AC71" s="17"/>
      <c r="AD71" s="51"/>
    </row>
    <row r="72" spans="1:30" ht="19.5" thickBot="1" x14ac:dyDescent="0.3">
      <c r="A72" s="14">
        <v>5</v>
      </c>
      <c r="B72" s="15"/>
      <c r="C72" s="15" t="e">
        <f>VLOOKUP(B72,داتا!$B$3:$D$107,2,FALSE)</f>
        <v>#N/A</v>
      </c>
      <c r="D72" s="34" t="e">
        <f>VLOOKUP(B72,داتا!$B$3:$D$107,3,FALSE)</f>
        <v>#N/A</v>
      </c>
      <c r="E72" s="15"/>
      <c r="F72" s="15"/>
      <c r="G72" s="16">
        <v>8.3333333333333329E-2</v>
      </c>
      <c r="H72" s="16" t="e">
        <f t="shared" si="16"/>
        <v>#N/A</v>
      </c>
      <c r="I72" s="16" t="e">
        <f t="shared" si="10"/>
        <v>#N/A</v>
      </c>
      <c r="J72" s="16"/>
      <c r="K72" s="16"/>
      <c r="L72" s="16"/>
      <c r="M72" s="16"/>
      <c r="N72" s="16">
        <f t="shared" si="11"/>
        <v>0</v>
      </c>
      <c r="O72" s="16" t="e">
        <f t="shared" si="12"/>
        <v>#N/A</v>
      </c>
      <c r="P72" s="16">
        <v>6.9444444444444397E-3</v>
      </c>
      <c r="Q72" s="16"/>
      <c r="R72" s="16">
        <f t="shared" si="13"/>
        <v>-6.9444444444444397E-3</v>
      </c>
      <c r="S72" s="16"/>
      <c r="T72" s="16" t="e">
        <f>VLOOKUP(E72,'[2]21-3-2026'!E$3:T$35,16,FALSE)</f>
        <v>#N/A</v>
      </c>
      <c r="U72" s="16"/>
      <c r="V72" s="16" t="e">
        <f t="shared" si="14"/>
        <v>#N/A</v>
      </c>
      <c r="W72" s="16"/>
      <c r="X72" s="16"/>
      <c r="Y72" s="16"/>
      <c r="Z72" s="16">
        <f t="shared" si="15"/>
        <v>0</v>
      </c>
      <c r="AA72" s="16">
        <f t="shared" si="9"/>
        <v>0</v>
      </c>
      <c r="AB72" s="16"/>
      <c r="AC72" s="17"/>
      <c r="AD72" s="51"/>
    </row>
    <row r="73" spans="1:30" ht="19.5" thickBot="1" x14ac:dyDescent="0.3">
      <c r="A73" s="14">
        <v>6</v>
      </c>
      <c r="B73" s="15"/>
      <c r="C73" s="15" t="e">
        <f>VLOOKUP(B73,داتا!$B$3:$D$107,2,FALSE)</f>
        <v>#N/A</v>
      </c>
      <c r="D73" s="34" t="e">
        <f>VLOOKUP(B73,داتا!$B$3:$D$107,3,FALSE)</f>
        <v>#N/A</v>
      </c>
      <c r="E73" s="15"/>
      <c r="F73" s="15"/>
      <c r="G73" s="16">
        <v>8.3333333333333329E-2</v>
      </c>
      <c r="H73" s="16" t="e">
        <f t="shared" si="16"/>
        <v>#N/A</v>
      </c>
      <c r="I73" s="16" t="e">
        <f t="shared" si="10"/>
        <v>#N/A</v>
      </c>
      <c r="J73" s="16"/>
      <c r="K73" s="16"/>
      <c r="L73" s="16"/>
      <c r="M73" s="16"/>
      <c r="N73" s="16">
        <f t="shared" si="11"/>
        <v>0</v>
      </c>
      <c r="O73" s="16" t="e">
        <f t="shared" si="12"/>
        <v>#N/A</v>
      </c>
      <c r="P73" s="16">
        <v>6.9444444444444397E-3</v>
      </c>
      <c r="Q73" s="16"/>
      <c r="R73" s="16">
        <f t="shared" si="13"/>
        <v>-6.9444444444444397E-3</v>
      </c>
      <c r="S73" s="16"/>
      <c r="T73" s="16" t="e">
        <f>VLOOKUP(E73,'[2]21-3-2026'!E$3:T$35,16,FALSE)</f>
        <v>#N/A</v>
      </c>
      <c r="U73" s="16"/>
      <c r="V73" s="16" t="e">
        <f t="shared" si="14"/>
        <v>#N/A</v>
      </c>
      <c r="W73" s="16"/>
      <c r="X73" s="16"/>
      <c r="Y73" s="16"/>
      <c r="Z73" s="16">
        <f t="shared" si="15"/>
        <v>0</v>
      </c>
      <c r="AA73" s="16">
        <f t="shared" si="9"/>
        <v>0</v>
      </c>
      <c r="AB73" s="16"/>
      <c r="AC73" s="17"/>
      <c r="AD73" s="51"/>
    </row>
    <row r="74" spans="1:30" ht="19.5" thickBot="1" x14ac:dyDescent="0.3">
      <c r="A74" s="14">
        <v>7</v>
      </c>
      <c r="B74" s="15"/>
      <c r="C74" s="15" t="e">
        <f>VLOOKUP(B74,داتا!$B$3:$D$107,2,FALSE)</f>
        <v>#N/A</v>
      </c>
      <c r="D74" s="34" t="e">
        <f>VLOOKUP(B74,داتا!$B$3:$D$107,3,FALSE)</f>
        <v>#N/A</v>
      </c>
      <c r="E74" s="15"/>
      <c r="F74" s="15"/>
      <c r="G74" s="16">
        <v>8.3333333333333329E-2</v>
      </c>
      <c r="H74" s="16" t="e">
        <f t="shared" si="16"/>
        <v>#N/A</v>
      </c>
      <c r="I74" s="16" t="e">
        <f t="shared" si="10"/>
        <v>#N/A</v>
      </c>
      <c r="J74" s="16"/>
      <c r="K74" s="16"/>
      <c r="L74" s="16"/>
      <c r="M74" s="16"/>
      <c r="N74" s="16">
        <f t="shared" si="11"/>
        <v>0</v>
      </c>
      <c r="O74" s="16" t="e">
        <f t="shared" si="12"/>
        <v>#N/A</v>
      </c>
      <c r="P74" s="16">
        <v>6.9444444444444397E-3</v>
      </c>
      <c r="Q74" s="16"/>
      <c r="R74" s="16">
        <f t="shared" si="13"/>
        <v>-6.9444444444444397E-3</v>
      </c>
      <c r="S74" s="16"/>
      <c r="T74" s="16" t="e">
        <f>VLOOKUP(E74,'[2]21-3-2026'!E$3:T$35,16,FALSE)</f>
        <v>#N/A</v>
      </c>
      <c r="U74" s="16"/>
      <c r="V74" s="16" t="e">
        <f t="shared" si="14"/>
        <v>#N/A</v>
      </c>
      <c r="W74" s="16"/>
      <c r="X74" s="16"/>
      <c r="Y74" s="16"/>
      <c r="Z74" s="16">
        <f t="shared" si="15"/>
        <v>0</v>
      </c>
      <c r="AA74" s="16">
        <f t="shared" si="9"/>
        <v>0</v>
      </c>
      <c r="AB74" s="16"/>
      <c r="AC74" s="17"/>
      <c r="AD74" s="51"/>
    </row>
    <row r="75" spans="1:30" ht="19.5" thickBot="1" x14ac:dyDescent="0.3">
      <c r="A75" s="14">
        <v>8</v>
      </c>
      <c r="B75" s="15"/>
      <c r="C75" s="15" t="e">
        <f>VLOOKUP(B75,داتا!$B$3:$D$107,2,FALSE)</f>
        <v>#N/A</v>
      </c>
      <c r="D75" s="34" t="e">
        <f>VLOOKUP(B75,داتا!$B$3:$D$107,3,FALSE)</f>
        <v>#N/A</v>
      </c>
      <c r="E75" s="15"/>
      <c r="F75" s="15"/>
      <c r="G75" s="16">
        <v>8.3333333333333329E-2</v>
      </c>
      <c r="H75" s="16" t="e">
        <f t="shared" si="16"/>
        <v>#N/A</v>
      </c>
      <c r="I75" s="16" t="e">
        <f t="shared" si="10"/>
        <v>#N/A</v>
      </c>
      <c r="J75" s="16"/>
      <c r="K75" s="16"/>
      <c r="L75" s="16"/>
      <c r="M75" s="16"/>
      <c r="N75" s="16">
        <f t="shared" si="11"/>
        <v>0</v>
      </c>
      <c r="O75" s="16" t="e">
        <f t="shared" si="12"/>
        <v>#N/A</v>
      </c>
      <c r="P75" s="16">
        <v>6.9444444444444397E-3</v>
      </c>
      <c r="Q75" s="16"/>
      <c r="R75" s="16">
        <f t="shared" si="13"/>
        <v>-6.9444444444444397E-3</v>
      </c>
      <c r="S75" s="16"/>
      <c r="T75" s="16" t="e">
        <f>VLOOKUP(E75,'[2]21-3-2026'!E$3:T$35,16,FALSE)</f>
        <v>#N/A</v>
      </c>
      <c r="U75" s="16"/>
      <c r="V75" s="16" t="e">
        <f t="shared" si="14"/>
        <v>#N/A</v>
      </c>
      <c r="W75" s="16"/>
      <c r="X75" s="16"/>
      <c r="Y75" s="16"/>
      <c r="Z75" s="16">
        <f t="shared" si="15"/>
        <v>0</v>
      </c>
      <c r="AA75" s="16">
        <f t="shared" si="9"/>
        <v>0</v>
      </c>
      <c r="AB75" s="16"/>
      <c r="AC75" s="17"/>
      <c r="AD75" s="51"/>
    </row>
    <row r="76" spans="1:30" ht="19.5" thickBot="1" x14ac:dyDescent="0.3">
      <c r="A76" s="14">
        <v>9</v>
      </c>
      <c r="B76" s="15"/>
      <c r="C76" s="15" t="e">
        <f>VLOOKUP(B76,داتا!$B$3:$D$107,2,FALSE)</f>
        <v>#N/A</v>
      </c>
      <c r="D76" s="34" t="e">
        <f>VLOOKUP(B76,داتا!$B$3:$D$107,3,FALSE)</f>
        <v>#N/A</v>
      </c>
      <c r="E76" s="16"/>
      <c r="F76" s="15"/>
      <c r="G76" s="16">
        <v>8.3333333333333329E-2</v>
      </c>
      <c r="H76" s="16" t="e">
        <f t="shared" si="16"/>
        <v>#N/A</v>
      </c>
      <c r="I76" s="16" t="e">
        <f t="shared" si="10"/>
        <v>#N/A</v>
      </c>
      <c r="J76" s="16"/>
      <c r="K76" s="16"/>
      <c r="L76" s="16"/>
      <c r="M76" s="16"/>
      <c r="N76" s="16">
        <f t="shared" si="11"/>
        <v>0</v>
      </c>
      <c r="O76" s="16" t="e">
        <f t="shared" si="12"/>
        <v>#N/A</v>
      </c>
      <c r="P76" s="16">
        <v>6.9444444444444397E-3</v>
      </c>
      <c r="Q76" s="16"/>
      <c r="R76" s="16">
        <f t="shared" si="13"/>
        <v>-6.9444444444444397E-3</v>
      </c>
      <c r="S76" s="16"/>
      <c r="T76" s="16" t="e">
        <f>VLOOKUP(E76,'[2]21-3-2026'!E$3:T$35,16,FALSE)</f>
        <v>#N/A</v>
      </c>
      <c r="U76" s="16"/>
      <c r="V76" s="16" t="e">
        <f t="shared" si="14"/>
        <v>#N/A</v>
      </c>
      <c r="W76" s="16"/>
      <c r="X76" s="16"/>
      <c r="Y76" s="16"/>
      <c r="Z76" s="16">
        <f t="shared" si="15"/>
        <v>0</v>
      </c>
      <c r="AA76" s="16">
        <f t="shared" si="9"/>
        <v>0</v>
      </c>
      <c r="AB76" s="16"/>
      <c r="AC76" s="17"/>
      <c r="AD76" s="51"/>
    </row>
    <row r="77" spans="1:30" ht="19.5" thickBot="1" x14ac:dyDescent="0.3">
      <c r="A77" s="14">
        <v>10</v>
      </c>
      <c r="B77" s="15"/>
      <c r="C77" s="15" t="e">
        <f>VLOOKUP(B77,داتا!$B$3:$D$107,2,FALSE)</f>
        <v>#N/A</v>
      </c>
      <c r="D77" s="34" t="e">
        <f>VLOOKUP(B77,داتا!$B$3:$D$107,3,FALSE)</f>
        <v>#N/A</v>
      </c>
      <c r="E77" s="15"/>
      <c r="F77" s="15"/>
      <c r="G77" s="16">
        <v>8.3333333333333329E-2</v>
      </c>
      <c r="H77" s="16" t="e">
        <f t="shared" si="16"/>
        <v>#N/A</v>
      </c>
      <c r="I77" s="16" t="e">
        <f t="shared" si="10"/>
        <v>#N/A</v>
      </c>
      <c r="J77" s="16"/>
      <c r="K77" s="16"/>
      <c r="L77" s="16"/>
      <c r="M77" s="16"/>
      <c r="N77" s="16">
        <f t="shared" si="11"/>
        <v>0</v>
      </c>
      <c r="O77" s="16" t="e">
        <f t="shared" si="12"/>
        <v>#N/A</v>
      </c>
      <c r="P77" s="16">
        <v>6.9444444444444397E-3</v>
      </c>
      <c r="Q77" s="16"/>
      <c r="R77" s="16">
        <f t="shared" si="13"/>
        <v>-6.9444444444444397E-3</v>
      </c>
      <c r="S77" s="16"/>
      <c r="T77" s="16" t="e">
        <f>VLOOKUP(E77,'[2]21-3-2026'!E$3:T$35,16,FALSE)</f>
        <v>#N/A</v>
      </c>
      <c r="U77" s="16"/>
      <c r="V77" s="16" t="e">
        <f t="shared" si="14"/>
        <v>#N/A</v>
      </c>
      <c r="W77" s="16"/>
      <c r="X77" s="16"/>
      <c r="Y77" s="16"/>
      <c r="Z77" s="16">
        <f t="shared" si="15"/>
        <v>0</v>
      </c>
      <c r="AA77" s="16">
        <f t="shared" si="9"/>
        <v>0</v>
      </c>
      <c r="AB77" s="16"/>
      <c r="AC77" s="17"/>
      <c r="AD77" s="51"/>
    </row>
    <row r="78" spans="1:30" ht="19.5" thickBot="1" x14ac:dyDescent="0.3">
      <c r="A78" s="14">
        <v>11</v>
      </c>
      <c r="B78" s="15"/>
      <c r="C78" s="15" t="e">
        <f>VLOOKUP(B78,داتا!$B$3:$D$107,2,FALSE)</f>
        <v>#N/A</v>
      </c>
      <c r="D78" s="34" t="e">
        <f>VLOOKUP(B78,داتا!$B$3:$D$107,3,FALSE)</f>
        <v>#N/A</v>
      </c>
      <c r="E78" s="15"/>
      <c r="F78" s="15"/>
      <c r="G78" s="16">
        <v>8.3333333333333329E-2</v>
      </c>
      <c r="H78" s="16" t="e">
        <f t="shared" si="16"/>
        <v>#N/A</v>
      </c>
      <c r="I78" s="16" t="e">
        <f t="shared" si="10"/>
        <v>#N/A</v>
      </c>
      <c r="J78" s="16"/>
      <c r="K78" s="16"/>
      <c r="L78" s="16"/>
      <c r="M78" s="16"/>
      <c r="N78" s="16">
        <f t="shared" si="11"/>
        <v>0</v>
      </c>
      <c r="O78" s="16" t="e">
        <f t="shared" si="12"/>
        <v>#N/A</v>
      </c>
      <c r="P78" s="16">
        <v>6.9444444444444397E-3</v>
      </c>
      <c r="Q78" s="16"/>
      <c r="R78" s="16">
        <f t="shared" si="13"/>
        <v>-6.9444444444444397E-3</v>
      </c>
      <c r="S78" s="16"/>
      <c r="T78" s="16" t="e">
        <f>VLOOKUP(E78,'[2]21-3-2026'!E$3:T$35,16,FALSE)</f>
        <v>#N/A</v>
      </c>
      <c r="U78" s="16"/>
      <c r="V78" s="16" t="e">
        <f t="shared" si="14"/>
        <v>#N/A</v>
      </c>
      <c r="W78" s="16"/>
      <c r="X78" s="16"/>
      <c r="Y78" s="16"/>
      <c r="Z78" s="16">
        <f t="shared" si="15"/>
        <v>0</v>
      </c>
      <c r="AA78" s="16">
        <f t="shared" si="9"/>
        <v>0</v>
      </c>
      <c r="AB78" s="16"/>
      <c r="AC78" s="17"/>
      <c r="AD78" s="51"/>
    </row>
    <row r="79" spans="1:30" ht="19.5" thickBot="1" x14ac:dyDescent="0.3">
      <c r="A79" s="14">
        <v>12</v>
      </c>
      <c r="B79" s="15"/>
      <c r="C79" s="15" t="e">
        <f>VLOOKUP(B79,داتا!$B$3:$D$107,2,FALSE)</f>
        <v>#N/A</v>
      </c>
      <c r="D79" s="34" t="e">
        <f>VLOOKUP(B79,داتا!$B$3:$D$107,3,FALSE)</f>
        <v>#N/A</v>
      </c>
      <c r="E79" s="15"/>
      <c r="F79" s="15"/>
      <c r="G79" s="16">
        <v>8.3333333333333329E-2</v>
      </c>
      <c r="H79" s="16" t="e">
        <f t="shared" si="16"/>
        <v>#N/A</v>
      </c>
      <c r="I79" s="16" t="e">
        <f t="shared" si="10"/>
        <v>#N/A</v>
      </c>
      <c r="J79" s="16"/>
      <c r="K79" s="16"/>
      <c r="L79" s="16"/>
      <c r="M79" s="16"/>
      <c r="N79" s="16">
        <f t="shared" si="11"/>
        <v>0</v>
      </c>
      <c r="O79" s="16" t="e">
        <f t="shared" si="12"/>
        <v>#N/A</v>
      </c>
      <c r="P79" s="16">
        <v>6.9444444444444397E-3</v>
      </c>
      <c r="Q79" s="16"/>
      <c r="R79" s="16">
        <f t="shared" si="13"/>
        <v>-6.9444444444444397E-3</v>
      </c>
      <c r="S79" s="16"/>
      <c r="T79" s="16" t="e">
        <f>VLOOKUP(E79,'[2]21-3-2026'!E$3:T$35,16,FALSE)</f>
        <v>#N/A</v>
      </c>
      <c r="U79" s="16"/>
      <c r="V79" s="16" t="e">
        <f t="shared" si="14"/>
        <v>#N/A</v>
      </c>
      <c r="W79" s="16"/>
      <c r="X79" s="16"/>
      <c r="Y79" s="16"/>
      <c r="Z79" s="16">
        <f t="shared" si="15"/>
        <v>0</v>
      </c>
      <c r="AA79" s="16">
        <f t="shared" si="9"/>
        <v>0</v>
      </c>
      <c r="AB79" s="16"/>
      <c r="AC79" s="17"/>
      <c r="AD79" s="51"/>
    </row>
    <row r="80" spans="1:30" ht="19.5" thickBot="1" x14ac:dyDescent="0.3">
      <c r="A80" s="14">
        <v>13</v>
      </c>
      <c r="B80" s="15"/>
      <c r="C80" s="15" t="e">
        <f>VLOOKUP(B80,داتا!$B$3:$D$107,2,FALSE)</f>
        <v>#N/A</v>
      </c>
      <c r="D80" s="34" t="e">
        <f>VLOOKUP(B80,داتا!$B$3:$D$107,3,FALSE)</f>
        <v>#N/A</v>
      </c>
      <c r="E80" s="15"/>
      <c r="F80" s="15"/>
      <c r="G80" s="16">
        <v>8.3333333333333329E-2</v>
      </c>
      <c r="H80" s="16" t="e">
        <f t="shared" si="16"/>
        <v>#N/A</v>
      </c>
      <c r="I80" s="16" t="e">
        <f t="shared" si="10"/>
        <v>#N/A</v>
      </c>
      <c r="J80" s="16"/>
      <c r="K80" s="16"/>
      <c r="L80" s="16"/>
      <c r="M80" s="16"/>
      <c r="N80" s="16">
        <f t="shared" si="11"/>
        <v>0</v>
      </c>
      <c r="O80" s="16" t="e">
        <f t="shared" si="12"/>
        <v>#N/A</v>
      </c>
      <c r="P80" s="16">
        <v>6.9444444444444397E-3</v>
      </c>
      <c r="Q80" s="16"/>
      <c r="R80" s="16">
        <f t="shared" si="13"/>
        <v>-6.9444444444444397E-3</v>
      </c>
      <c r="S80" s="16"/>
      <c r="T80" s="16" t="e">
        <f>VLOOKUP(E80,'[2]21-3-2026'!E$3:T$35,16,FALSE)</f>
        <v>#N/A</v>
      </c>
      <c r="U80" s="16"/>
      <c r="V80" s="16" t="e">
        <f t="shared" si="14"/>
        <v>#N/A</v>
      </c>
      <c r="W80" s="16"/>
      <c r="X80" s="16"/>
      <c r="Y80" s="16"/>
      <c r="Z80" s="16">
        <f t="shared" si="15"/>
        <v>0</v>
      </c>
      <c r="AA80" s="16">
        <f t="shared" si="9"/>
        <v>0</v>
      </c>
      <c r="AB80" s="16"/>
      <c r="AC80" s="17"/>
      <c r="AD80" s="51"/>
    </row>
    <row r="81" spans="1:30" ht="19.5" thickBot="1" x14ac:dyDescent="0.3">
      <c r="A81" s="14">
        <v>14</v>
      </c>
      <c r="B81" s="15"/>
      <c r="C81" s="15" t="e">
        <f>VLOOKUP(B81,داتا!$B$3:$D$107,2,FALSE)</f>
        <v>#N/A</v>
      </c>
      <c r="D81" s="34" t="e">
        <f>VLOOKUP(B81,داتا!$B$3:$D$107,3,FALSE)</f>
        <v>#N/A</v>
      </c>
      <c r="E81" s="15"/>
      <c r="F81" s="15"/>
      <c r="G81" s="16">
        <v>8.3333333333333329E-2</v>
      </c>
      <c r="H81" s="16" t="e">
        <f t="shared" si="16"/>
        <v>#N/A</v>
      </c>
      <c r="I81" s="16" t="e">
        <f t="shared" si="10"/>
        <v>#N/A</v>
      </c>
      <c r="J81" s="16"/>
      <c r="K81" s="16"/>
      <c r="L81" s="16"/>
      <c r="M81" s="16"/>
      <c r="N81" s="16">
        <f t="shared" si="11"/>
        <v>0</v>
      </c>
      <c r="O81" s="16" t="e">
        <f t="shared" si="12"/>
        <v>#N/A</v>
      </c>
      <c r="P81" s="16">
        <v>6.9444444444444397E-3</v>
      </c>
      <c r="Q81" s="16"/>
      <c r="R81" s="16">
        <f t="shared" si="13"/>
        <v>-6.9444444444444397E-3</v>
      </c>
      <c r="S81" s="16"/>
      <c r="T81" s="16" t="e">
        <f>VLOOKUP(E81,'[2]21-3-2026'!E$3:T$35,16,FALSE)</f>
        <v>#N/A</v>
      </c>
      <c r="U81" s="16"/>
      <c r="V81" s="16" t="e">
        <f t="shared" si="14"/>
        <v>#N/A</v>
      </c>
      <c r="W81" s="16"/>
      <c r="X81" s="16"/>
      <c r="Y81" s="16"/>
      <c r="Z81" s="16">
        <f t="shared" si="15"/>
        <v>0</v>
      </c>
      <c r="AA81" s="16">
        <f t="shared" si="9"/>
        <v>0</v>
      </c>
      <c r="AB81" s="16"/>
      <c r="AC81" s="17"/>
      <c r="AD81" s="51"/>
    </row>
    <row r="82" spans="1:30" ht="19.5" thickBot="1" x14ac:dyDescent="0.3">
      <c r="A82" s="14">
        <v>15</v>
      </c>
      <c r="B82" s="15"/>
      <c r="C82" s="15" t="e">
        <f>VLOOKUP(B82,داتا!$B$3:$D$107,2,FALSE)</f>
        <v>#N/A</v>
      </c>
      <c r="D82" s="34" t="e">
        <f>VLOOKUP(B82,داتا!$B$3:$D$107,3,FALSE)</f>
        <v>#N/A</v>
      </c>
      <c r="E82" s="15"/>
      <c r="F82" s="15"/>
      <c r="G82" s="16">
        <v>8.3333333333333329E-2</v>
      </c>
      <c r="H82" s="16" t="e">
        <f t="shared" si="16"/>
        <v>#N/A</v>
      </c>
      <c r="I82" s="16" t="e">
        <f t="shared" si="10"/>
        <v>#N/A</v>
      </c>
      <c r="J82" s="16"/>
      <c r="K82" s="16"/>
      <c r="L82" s="16"/>
      <c r="M82" s="16"/>
      <c r="N82" s="16">
        <f t="shared" si="11"/>
        <v>0</v>
      </c>
      <c r="O82" s="16" t="e">
        <f t="shared" si="12"/>
        <v>#N/A</v>
      </c>
      <c r="P82" s="16">
        <v>6.9444444444444397E-3</v>
      </c>
      <c r="Q82" s="16"/>
      <c r="R82" s="16">
        <f t="shared" si="13"/>
        <v>-6.9444444444444397E-3</v>
      </c>
      <c r="S82" s="16"/>
      <c r="T82" s="16" t="e">
        <f>VLOOKUP(E82,'[2]21-3-2026'!E$3:T$35,16,FALSE)</f>
        <v>#N/A</v>
      </c>
      <c r="U82" s="16"/>
      <c r="V82" s="16" t="e">
        <f t="shared" si="14"/>
        <v>#N/A</v>
      </c>
      <c r="W82" s="16"/>
      <c r="X82" s="16"/>
      <c r="Y82" s="16"/>
      <c r="Z82" s="16">
        <f t="shared" si="15"/>
        <v>0</v>
      </c>
      <c r="AA82" s="16">
        <f t="shared" si="9"/>
        <v>0</v>
      </c>
      <c r="AB82" s="16"/>
      <c r="AC82" s="17"/>
      <c r="AD82" s="51"/>
    </row>
    <row r="83" spans="1:30" ht="19.5" thickBot="1" x14ac:dyDescent="0.3">
      <c r="A83" s="14">
        <v>16</v>
      </c>
      <c r="B83" s="15"/>
      <c r="C83" s="15" t="e">
        <f>VLOOKUP(B83,داتا!$B$3:$D$107,2,FALSE)</f>
        <v>#N/A</v>
      </c>
      <c r="D83" s="34" t="e">
        <f>VLOOKUP(B83,داتا!$B$3:$D$107,3,FALSE)</f>
        <v>#N/A</v>
      </c>
      <c r="E83" s="15"/>
      <c r="F83" s="15"/>
      <c r="G83" s="16">
        <v>8.3333333333333329E-2</v>
      </c>
      <c r="H83" s="16" t="e">
        <f t="shared" si="16"/>
        <v>#N/A</v>
      </c>
      <c r="I83" s="16" t="e">
        <f t="shared" si="10"/>
        <v>#N/A</v>
      </c>
      <c r="J83" s="16"/>
      <c r="K83" s="16"/>
      <c r="L83" s="16"/>
      <c r="M83" s="16"/>
      <c r="N83" s="16">
        <f t="shared" si="11"/>
        <v>0</v>
      </c>
      <c r="O83" s="16" t="e">
        <f t="shared" si="12"/>
        <v>#N/A</v>
      </c>
      <c r="P83" s="16">
        <v>6.9444444444444397E-3</v>
      </c>
      <c r="Q83" s="16"/>
      <c r="R83" s="16">
        <f t="shared" si="13"/>
        <v>-6.9444444444444397E-3</v>
      </c>
      <c r="S83" s="16"/>
      <c r="T83" s="16" t="e">
        <f>VLOOKUP(E83,'[2]21-3-2026'!E$3:T$35,16,FALSE)</f>
        <v>#N/A</v>
      </c>
      <c r="U83" s="16"/>
      <c r="V83" s="16" t="e">
        <f t="shared" si="14"/>
        <v>#N/A</v>
      </c>
      <c r="W83" s="16"/>
      <c r="X83" s="16"/>
      <c r="Y83" s="16"/>
      <c r="Z83" s="16">
        <f t="shared" si="15"/>
        <v>0</v>
      </c>
      <c r="AA83" s="16">
        <f t="shared" si="9"/>
        <v>0</v>
      </c>
      <c r="AB83" s="16"/>
      <c r="AC83" s="17"/>
      <c r="AD83" s="51"/>
    </row>
    <row r="84" spans="1:30" ht="19.5" thickBot="1" x14ac:dyDescent="0.3">
      <c r="A84" s="14">
        <v>17</v>
      </c>
      <c r="B84" s="15"/>
      <c r="C84" s="15" t="e">
        <f>VLOOKUP(B84,داتا!$B$3:$D$107,2,FALSE)</f>
        <v>#N/A</v>
      </c>
      <c r="D84" s="34" t="e">
        <f>VLOOKUP(B84,داتا!$B$3:$D$107,3,FALSE)</f>
        <v>#N/A</v>
      </c>
      <c r="E84" s="15"/>
      <c r="F84" s="15"/>
      <c r="G84" s="16">
        <v>8.3333333333333329E-2</v>
      </c>
      <c r="H84" s="16" t="e">
        <f t="shared" si="16"/>
        <v>#N/A</v>
      </c>
      <c r="I84" s="16" t="e">
        <f t="shared" si="10"/>
        <v>#N/A</v>
      </c>
      <c r="J84" s="16"/>
      <c r="K84" s="16"/>
      <c r="L84" s="16"/>
      <c r="M84" s="16"/>
      <c r="N84" s="16">
        <f t="shared" si="11"/>
        <v>0</v>
      </c>
      <c r="O84" s="16" t="e">
        <f t="shared" si="12"/>
        <v>#N/A</v>
      </c>
      <c r="P84" s="16">
        <v>6.9444444444444397E-3</v>
      </c>
      <c r="Q84" s="16"/>
      <c r="R84" s="16">
        <f t="shared" si="13"/>
        <v>-6.9444444444444397E-3</v>
      </c>
      <c r="S84" s="16"/>
      <c r="T84" s="16" t="e">
        <f>VLOOKUP(E84,'[2]21-3-2026'!E$3:T$35,16,FALSE)</f>
        <v>#N/A</v>
      </c>
      <c r="U84" s="16"/>
      <c r="V84" s="16" t="e">
        <f t="shared" si="14"/>
        <v>#N/A</v>
      </c>
      <c r="W84" s="16"/>
      <c r="X84" s="16"/>
      <c r="Y84" s="16"/>
      <c r="Z84" s="16">
        <f t="shared" si="15"/>
        <v>0</v>
      </c>
      <c r="AA84" s="16">
        <f t="shared" si="9"/>
        <v>0</v>
      </c>
      <c r="AB84" s="16"/>
      <c r="AC84" s="17"/>
      <c r="AD84" s="51"/>
    </row>
    <row r="85" spans="1:30" ht="19.5" thickBot="1" x14ac:dyDescent="0.3">
      <c r="A85" s="14">
        <v>18</v>
      </c>
      <c r="B85" s="15"/>
      <c r="C85" s="15" t="e">
        <f>VLOOKUP(B85,داتا!$B$3:$D$107,2,FALSE)</f>
        <v>#N/A</v>
      </c>
      <c r="D85" s="34" t="e">
        <f>VLOOKUP(B85,داتا!$B$3:$D$107,3,FALSE)</f>
        <v>#N/A</v>
      </c>
      <c r="E85" s="15"/>
      <c r="F85" s="15"/>
      <c r="G85" s="16">
        <v>8.3333333333333329E-2</v>
      </c>
      <c r="H85" s="16" t="e">
        <f t="shared" ref="H85:H99" si="17">VLOOKUP(G85,$F$3:$I$35,2,FALSE)</f>
        <v>#N/A</v>
      </c>
      <c r="I85" s="16" t="e">
        <f t="shared" si="10"/>
        <v>#N/A</v>
      </c>
      <c r="J85" s="16"/>
      <c r="K85" s="16"/>
      <c r="L85" s="16"/>
      <c r="M85" s="16"/>
      <c r="N85" s="16">
        <f t="shared" si="11"/>
        <v>0</v>
      </c>
      <c r="O85" s="16" t="e">
        <f t="shared" si="12"/>
        <v>#N/A</v>
      </c>
      <c r="P85" s="16">
        <v>6.9444444444444397E-3</v>
      </c>
      <c r="Q85" s="16"/>
      <c r="R85" s="16">
        <f t="shared" si="13"/>
        <v>-6.9444444444444397E-3</v>
      </c>
      <c r="S85" s="16"/>
      <c r="T85" s="16" t="e">
        <f>VLOOKUP(E85,'[2]21-3-2026'!E$3:T$35,16,FALSE)</f>
        <v>#N/A</v>
      </c>
      <c r="U85" s="16"/>
      <c r="V85" s="16" t="e">
        <f t="shared" si="14"/>
        <v>#N/A</v>
      </c>
      <c r="W85" s="16"/>
      <c r="X85" s="16"/>
      <c r="Y85" s="16"/>
      <c r="Z85" s="16">
        <f t="shared" si="15"/>
        <v>0</v>
      </c>
      <c r="AA85" s="16">
        <f t="shared" si="9"/>
        <v>0</v>
      </c>
      <c r="AB85" s="16"/>
      <c r="AC85" s="17"/>
      <c r="AD85" s="51"/>
    </row>
    <row r="86" spans="1:30" ht="19.5" thickBot="1" x14ac:dyDescent="0.3">
      <c r="A86" s="14">
        <v>19</v>
      </c>
      <c r="B86" s="15"/>
      <c r="C86" s="15" t="e">
        <f>VLOOKUP(B86,داتا!$B$3:$D$107,2,FALSE)</f>
        <v>#N/A</v>
      </c>
      <c r="D86" s="34" t="e">
        <f>VLOOKUP(B86,داتا!$B$3:$D$107,3,FALSE)</f>
        <v>#N/A</v>
      </c>
      <c r="E86" s="15"/>
      <c r="F86" s="15"/>
      <c r="G86" s="16">
        <v>8.3333333333333329E-2</v>
      </c>
      <c r="H86" s="16" t="e">
        <f t="shared" si="17"/>
        <v>#N/A</v>
      </c>
      <c r="I86" s="16" t="e">
        <f t="shared" si="10"/>
        <v>#N/A</v>
      </c>
      <c r="J86" s="16"/>
      <c r="K86" s="16"/>
      <c r="L86" s="16"/>
      <c r="M86" s="16"/>
      <c r="N86" s="16">
        <f t="shared" si="11"/>
        <v>0</v>
      </c>
      <c r="O86" s="16" t="e">
        <f t="shared" si="12"/>
        <v>#N/A</v>
      </c>
      <c r="P86" s="16">
        <v>6.9444444444444397E-3</v>
      </c>
      <c r="Q86" s="16"/>
      <c r="R86" s="16">
        <f t="shared" si="13"/>
        <v>-6.9444444444444397E-3</v>
      </c>
      <c r="S86" s="16"/>
      <c r="T86" s="16" t="e">
        <f>VLOOKUP(E86,'[2]21-3-2026'!E$3:T$35,16,FALSE)</f>
        <v>#N/A</v>
      </c>
      <c r="U86" s="16"/>
      <c r="V86" s="16" t="e">
        <f t="shared" si="14"/>
        <v>#N/A</v>
      </c>
      <c r="W86" s="16"/>
      <c r="X86" s="16"/>
      <c r="Y86" s="16"/>
      <c r="Z86" s="16">
        <f t="shared" si="15"/>
        <v>0</v>
      </c>
      <c r="AA86" s="16">
        <f t="shared" si="9"/>
        <v>0</v>
      </c>
      <c r="AB86" s="16"/>
      <c r="AC86" s="17"/>
      <c r="AD86" s="51"/>
    </row>
    <row r="87" spans="1:30" ht="19.5" thickBot="1" x14ac:dyDescent="0.3">
      <c r="A87" s="14">
        <v>20</v>
      </c>
      <c r="B87" s="15"/>
      <c r="C87" s="15" t="e">
        <f>VLOOKUP(B87,داتا!$B$3:$D$107,2,FALSE)</f>
        <v>#N/A</v>
      </c>
      <c r="D87" s="34" t="e">
        <f>VLOOKUP(B87,داتا!$B$3:$D$107,3,FALSE)</f>
        <v>#N/A</v>
      </c>
      <c r="E87" s="15"/>
      <c r="F87" s="15"/>
      <c r="G87" s="16">
        <v>8.3333333333333329E-2</v>
      </c>
      <c r="H87" s="16" t="e">
        <f t="shared" si="17"/>
        <v>#N/A</v>
      </c>
      <c r="I87" s="16" t="e">
        <f t="shared" si="10"/>
        <v>#N/A</v>
      </c>
      <c r="J87" s="16"/>
      <c r="K87" s="16"/>
      <c r="L87" s="16"/>
      <c r="M87" s="16"/>
      <c r="N87" s="16">
        <f t="shared" si="11"/>
        <v>0</v>
      </c>
      <c r="O87" s="16" t="e">
        <f t="shared" si="12"/>
        <v>#N/A</v>
      </c>
      <c r="P87" s="16">
        <v>6.9444444444444397E-3</v>
      </c>
      <c r="Q87" s="16"/>
      <c r="R87" s="16">
        <f t="shared" si="13"/>
        <v>-6.9444444444444397E-3</v>
      </c>
      <c r="S87" s="16"/>
      <c r="T87" s="16" t="e">
        <f>VLOOKUP(E87,'[2]21-3-2026'!E$3:T$35,16,FALSE)</f>
        <v>#N/A</v>
      </c>
      <c r="U87" s="16"/>
      <c r="V87" s="16" t="e">
        <f t="shared" si="14"/>
        <v>#N/A</v>
      </c>
      <c r="W87" s="16"/>
      <c r="X87" s="16"/>
      <c r="Y87" s="16"/>
      <c r="Z87" s="16">
        <f t="shared" si="15"/>
        <v>0</v>
      </c>
      <c r="AA87" s="16">
        <f t="shared" si="9"/>
        <v>0</v>
      </c>
      <c r="AB87" s="16"/>
      <c r="AC87" s="17"/>
      <c r="AD87" s="51"/>
    </row>
    <row r="88" spans="1:30" ht="19.5" thickBot="1" x14ac:dyDescent="0.3">
      <c r="A88" s="14">
        <v>21</v>
      </c>
      <c r="B88" s="15"/>
      <c r="C88" s="15" t="e">
        <f>VLOOKUP(B88,داتا!$B$3:$D$107,2,FALSE)</f>
        <v>#N/A</v>
      </c>
      <c r="D88" s="34" t="e">
        <f>VLOOKUP(B88,داتا!$B$3:$D$107,3,FALSE)</f>
        <v>#N/A</v>
      </c>
      <c r="E88" s="15"/>
      <c r="F88" s="15"/>
      <c r="G88" s="16">
        <v>8.3333333333333329E-2</v>
      </c>
      <c r="H88" s="16" t="e">
        <f t="shared" si="17"/>
        <v>#N/A</v>
      </c>
      <c r="I88" s="16" t="e">
        <f t="shared" si="10"/>
        <v>#N/A</v>
      </c>
      <c r="J88" s="16"/>
      <c r="K88" s="16"/>
      <c r="L88" s="16"/>
      <c r="M88" s="16"/>
      <c r="N88" s="16">
        <f t="shared" si="11"/>
        <v>0</v>
      </c>
      <c r="O88" s="16" t="e">
        <f t="shared" si="12"/>
        <v>#N/A</v>
      </c>
      <c r="P88" s="16">
        <v>6.9444444444444397E-3</v>
      </c>
      <c r="Q88" s="16"/>
      <c r="R88" s="16">
        <f t="shared" si="13"/>
        <v>-6.9444444444444397E-3</v>
      </c>
      <c r="S88" s="16"/>
      <c r="T88" s="16" t="e">
        <f>VLOOKUP(E88,'[2]21-3-2026'!E$3:T$35,16,FALSE)</f>
        <v>#N/A</v>
      </c>
      <c r="U88" s="16"/>
      <c r="V88" s="16" t="e">
        <f t="shared" si="14"/>
        <v>#N/A</v>
      </c>
      <c r="W88" s="16"/>
      <c r="X88" s="16"/>
      <c r="Y88" s="16"/>
      <c r="Z88" s="16">
        <f t="shared" si="15"/>
        <v>0</v>
      </c>
      <c r="AA88" s="16">
        <f t="shared" si="9"/>
        <v>0</v>
      </c>
      <c r="AB88" s="16"/>
      <c r="AC88" s="19"/>
      <c r="AD88" s="51"/>
    </row>
    <row r="89" spans="1:30" ht="19.5" thickBot="1" x14ac:dyDescent="0.3">
      <c r="A89" s="14">
        <v>22</v>
      </c>
      <c r="B89" s="15"/>
      <c r="C89" s="15" t="e">
        <f>VLOOKUP(B89,داتا!$B$3:$D$107,2,FALSE)</f>
        <v>#N/A</v>
      </c>
      <c r="D89" s="34" t="e">
        <f>VLOOKUP(B89,داتا!$B$3:$D$107,3,FALSE)</f>
        <v>#N/A</v>
      </c>
      <c r="E89" s="15"/>
      <c r="F89" s="15"/>
      <c r="G89" s="16">
        <v>8.3333333333333329E-2</v>
      </c>
      <c r="H89" s="16" t="e">
        <f t="shared" si="17"/>
        <v>#N/A</v>
      </c>
      <c r="I89" s="16" t="e">
        <f t="shared" si="10"/>
        <v>#N/A</v>
      </c>
      <c r="J89" s="16"/>
      <c r="K89" s="16"/>
      <c r="L89" s="16"/>
      <c r="M89" s="16"/>
      <c r="N89" s="16">
        <f t="shared" si="11"/>
        <v>0</v>
      </c>
      <c r="O89" s="16" t="e">
        <f t="shared" si="12"/>
        <v>#N/A</v>
      </c>
      <c r="P89" s="16">
        <v>6.9444444444444397E-3</v>
      </c>
      <c r="Q89" s="16"/>
      <c r="R89" s="16">
        <f t="shared" si="13"/>
        <v>-6.9444444444444397E-3</v>
      </c>
      <c r="S89" s="16"/>
      <c r="T89" s="16" t="e">
        <f>VLOOKUP(E89,'[2]21-3-2026'!E$3:T$35,16,FALSE)</f>
        <v>#N/A</v>
      </c>
      <c r="U89" s="16"/>
      <c r="V89" s="16" t="e">
        <f t="shared" si="14"/>
        <v>#N/A</v>
      </c>
      <c r="W89" s="16"/>
      <c r="X89" s="16"/>
      <c r="Y89" s="16"/>
      <c r="Z89" s="16">
        <f t="shared" si="15"/>
        <v>0</v>
      </c>
      <c r="AA89" s="16">
        <f t="shared" si="9"/>
        <v>0</v>
      </c>
      <c r="AB89" s="16"/>
      <c r="AC89" s="19"/>
      <c r="AD89" s="51"/>
    </row>
    <row r="90" spans="1:30" ht="19.5" thickBot="1" x14ac:dyDescent="0.3">
      <c r="A90" s="14">
        <v>23</v>
      </c>
      <c r="B90" s="15"/>
      <c r="C90" s="15" t="e">
        <f>VLOOKUP(B90,داتا!$B$3:$D$107,2,FALSE)</f>
        <v>#N/A</v>
      </c>
      <c r="D90" s="34" t="e">
        <f>VLOOKUP(B90,داتا!$B$3:$D$107,3,FALSE)</f>
        <v>#N/A</v>
      </c>
      <c r="E90" s="15"/>
      <c r="F90" s="15"/>
      <c r="G90" s="16">
        <v>8.3333333333333329E-2</v>
      </c>
      <c r="H90" s="16" t="e">
        <f t="shared" si="17"/>
        <v>#N/A</v>
      </c>
      <c r="I90" s="16" t="e">
        <f t="shared" si="10"/>
        <v>#N/A</v>
      </c>
      <c r="J90" s="16"/>
      <c r="K90" s="16"/>
      <c r="L90" s="16"/>
      <c r="M90" s="16"/>
      <c r="N90" s="16">
        <f t="shared" si="11"/>
        <v>0</v>
      </c>
      <c r="O90" s="16" t="e">
        <f t="shared" si="12"/>
        <v>#N/A</v>
      </c>
      <c r="P90" s="16">
        <v>6.9444444444444397E-3</v>
      </c>
      <c r="Q90" s="16"/>
      <c r="R90" s="16">
        <f t="shared" si="13"/>
        <v>-6.9444444444444397E-3</v>
      </c>
      <c r="S90" s="16"/>
      <c r="T90" s="16" t="e">
        <f>VLOOKUP(E90,'[2]21-3-2026'!E$3:T$35,16,FALSE)</f>
        <v>#N/A</v>
      </c>
      <c r="U90" s="16"/>
      <c r="V90" s="16" t="e">
        <f t="shared" si="14"/>
        <v>#N/A</v>
      </c>
      <c r="W90" s="16"/>
      <c r="X90" s="16"/>
      <c r="Y90" s="16"/>
      <c r="Z90" s="16">
        <f t="shared" si="15"/>
        <v>0</v>
      </c>
      <c r="AA90" s="16">
        <f t="shared" si="9"/>
        <v>0</v>
      </c>
      <c r="AB90" s="16"/>
      <c r="AC90" s="19"/>
      <c r="AD90" s="51"/>
    </row>
    <row r="91" spans="1:30" ht="19.5" thickBot="1" x14ac:dyDescent="0.3">
      <c r="A91" s="14">
        <v>24</v>
      </c>
      <c r="B91" s="15"/>
      <c r="C91" s="15" t="e">
        <f>VLOOKUP(B91,داتا!$B$3:$D$107,2,FALSE)</f>
        <v>#N/A</v>
      </c>
      <c r="D91" s="34" t="e">
        <f>VLOOKUP(B91,داتا!$B$3:$D$107,3,FALSE)</f>
        <v>#N/A</v>
      </c>
      <c r="E91" s="15"/>
      <c r="F91" s="15"/>
      <c r="G91" s="16">
        <v>8.3333333333333329E-2</v>
      </c>
      <c r="H91" s="16" t="e">
        <f t="shared" si="17"/>
        <v>#N/A</v>
      </c>
      <c r="I91" s="16" t="e">
        <f t="shared" si="10"/>
        <v>#N/A</v>
      </c>
      <c r="J91" s="16"/>
      <c r="K91" s="16"/>
      <c r="L91" s="16"/>
      <c r="M91" s="16"/>
      <c r="N91" s="16">
        <f t="shared" si="11"/>
        <v>0</v>
      </c>
      <c r="O91" s="16" t="e">
        <f t="shared" si="12"/>
        <v>#N/A</v>
      </c>
      <c r="P91" s="16">
        <v>6.9444444444444397E-3</v>
      </c>
      <c r="Q91" s="16"/>
      <c r="R91" s="16">
        <f t="shared" si="13"/>
        <v>-6.9444444444444397E-3</v>
      </c>
      <c r="S91" s="16"/>
      <c r="T91" s="16" t="e">
        <f>VLOOKUP(E91,'[2]21-3-2026'!E$3:T$35,16,FALSE)</f>
        <v>#N/A</v>
      </c>
      <c r="U91" s="16"/>
      <c r="V91" s="16" t="e">
        <f t="shared" si="14"/>
        <v>#N/A</v>
      </c>
      <c r="W91" s="16"/>
      <c r="X91" s="16"/>
      <c r="Y91" s="16"/>
      <c r="Z91" s="16">
        <f t="shared" si="15"/>
        <v>0</v>
      </c>
      <c r="AA91" s="16">
        <f t="shared" si="9"/>
        <v>0</v>
      </c>
      <c r="AB91" s="16"/>
      <c r="AC91" s="19"/>
      <c r="AD91" s="51"/>
    </row>
    <row r="92" spans="1:30" ht="19.5" thickBot="1" x14ac:dyDescent="0.3">
      <c r="A92" s="14">
        <v>25</v>
      </c>
      <c r="B92" s="15"/>
      <c r="C92" s="15" t="e">
        <f>VLOOKUP(B92,داتا!$B$3:$D$107,2,FALSE)</f>
        <v>#N/A</v>
      </c>
      <c r="D92" s="34" t="e">
        <f>VLOOKUP(B92,داتا!$B$3:$D$107,3,FALSE)</f>
        <v>#N/A</v>
      </c>
      <c r="E92" s="15"/>
      <c r="F92" s="15"/>
      <c r="G92" s="16">
        <v>8.3333333333333329E-2</v>
      </c>
      <c r="H92" s="16" t="e">
        <f t="shared" si="17"/>
        <v>#N/A</v>
      </c>
      <c r="I92" s="16" t="e">
        <f t="shared" si="10"/>
        <v>#N/A</v>
      </c>
      <c r="J92" s="16"/>
      <c r="K92" s="16"/>
      <c r="L92" s="16"/>
      <c r="M92" s="16"/>
      <c r="N92" s="16">
        <f t="shared" si="11"/>
        <v>0</v>
      </c>
      <c r="O92" s="16" t="e">
        <f t="shared" si="12"/>
        <v>#N/A</v>
      </c>
      <c r="P92" s="16">
        <v>6.9444444444444397E-3</v>
      </c>
      <c r="Q92" s="16"/>
      <c r="R92" s="16">
        <f t="shared" si="13"/>
        <v>-6.9444444444444397E-3</v>
      </c>
      <c r="S92" s="16"/>
      <c r="T92" s="16" t="e">
        <f>VLOOKUP(E92,'[2]21-3-2026'!E$3:T$35,16,FALSE)</f>
        <v>#N/A</v>
      </c>
      <c r="U92" s="16"/>
      <c r="V92" s="16" t="e">
        <f t="shared" si="14"/>
        <v>#N/A</v>
      </c>
      <c r="W92" s="16"/>
      <c r="X92" s="16"/>
      <c r="Y92" s="16"/>
      <c r="Z92" s="16">
        <f t="shared" si="15"/>
        <v>0</v>
      </c>
      <c r="AA92" s="16">
        <f t="shared" si="9"/>
        <v>0</v>
      </c>
      <c r="AB92" s="16"/>
      <c r="AC92" s="19"/>
      <c r="AD92" s="51"/>
    </row>
    <row r="93" spans="1:30" ht="19.5" thickBot="1" x14ac:dyDescent="0.3">
      <c r="A93" s="14">
        <v>26</v>
      </c>
      <c r="B93" s="15"/>
      <c r="C93" s="15" t="e">
        <f>VLOOKUP(B93,داتا!$B$3:$D$107,2,FALSE)</f>
        <v>#N/A</v>
      </c>
      <c r="D93" s="34" t="e">
        <f>VLOOKUP(B93,داتا!$B$3:$D$107,3,FALSE)</f>
        <v>#N/A</v>
      </c>
      <c r="E93" s="15"/>
      <c r="F93" s="15"/>
      <c r="G93" s="16">
        <v>8.3333333333333329E-2</v>
      </c>
      <c r="H93" s="16" t="e">
        <f t="shared" si="17"/>
        <v>#N/A</v>
      </c>
      <c r="I93" s="16" t="e">
        <f t="shared" si="10"/>
        <v>#N/A</v>
      </c>
      <c r="J93" s="16"/>
      <c r="K93" s="16"/>
      <c r="L93" s="16"/>
      <c r="M93" s="16"/>
      <c r="N93" s="16">
        <f t="shared" si="11"/>
        <v>0</v>
      </c>
      <c r="O93" s="16" t="e">
        <f t="shared" si="12"/>
        <v>#N/A</v>
      </c>
      <c r="P93" s="16">
        <v>6.9444444444444397E-3</v>
      </c>
      <c r="Q93" s="16"/>
      <c r="R93" s="16">
        <f t="shared" si="13"/>
        <v>-6.9444444444444397E-3</v>
      </c>
      <c r="S93" s="16"/>
      <c r="T93" s="16" t="e">
        <f>VLOOKUP(E93,'[2]21-3-2026'!E$3:T$35,16,FALSE)</f>
        <v>#N/A</v>
      </c>
      <c r="U93" s="16"/>
      <c r="V93" s="16" t="e">
        <f t="shared" si="14"/>
        <v>#N/A</v>
      </c>
      <c r="W93" s="16"/>
      <c r="X93" s="16"/>
      <c r="Y93" s="16"/>
      <c r="Z93" s="16">
        <f t="shared" si="15"/>
        <v>0</v>
      </c>
      <c r="AA93" s="16">
        <f t="shared" si="9"/>
        <v>0</v>
      </c>
      <c r="AB93" s="16"/>
      <c r="AC93" s="19"/>
      <c r="AD93" s="51"/>
    </row>
    <row r="94" spans="1:30" ht="19.5" thickBot="1" x14ac:dyDescent="0.3">
      <c r="A94" s="14">
        <v>27</v>
      </c>
      <c r="B94" s="15"/>
      <c r="C94" s="15" t="e">
        <f>VLOOKUP(B94,داتا!$B$3:$D$107,2,FALSE)</f>
        <v>#N/A</v>
      </c>
      <c r="D94" s="34" t="e">
        <f>VLOOKUP(B94,داتا!$B$3:$D$107,3,FALSE)</f>
        <v>#N/A</v>
      </c>
      <c r="E94" s="15"/>
      <c r="F94" s="15"/>
      <c r="G94" s="16">
        <v>8.3333333333333329E-2</v>
      </c>
      <c r="H94" s="16" t="e">
        <f t="shared" si="17"/>
        <v>#N/A</v>
      </c>
      <c r="I94" s="16" t="e">
        <f t="shared" si="10"/>
        <v>#N/A</v>
      </c>
      <c r="J94" s="16"/>
      <c r="K94" s="16"/>
      <c r="L94" s="16"/>
      <c r="M94" s="16"/>
      <c r="N94" s="16">
        <f t="shared" si="11"/>
        <v>0</v>
      </c>
      <c r="O94" s="16" t="e">
        <f t="shared" si="12"/>
        <v>#N/A</v>
      </c>
      <c r="P94" s="16">
        <v>6.9444444444444397E-3</v>
      </c>
      <c r="Q94" s="16"/>
      <c r="R94" s="16">
        <f t="shared" si="13"/>
        <v>-6.9444444444444397E-3</v>
      </c>
      <c r="S94" s="16"/>
      <c r="T94" s="16" t="e">
        <f>VLOOKUP(E94,'[2]21-3-2026'!E$3:T$35,16,FALSE)</f>
        <v>#N/A</v>
      </c>
      <c r="U94" s="16"/>
      <c r="V94" s="16" t="e">
        <f t="shared" si="14"/>
        <v>#N/A</v>
      </c>
      <c r="W94" s="16"/>
      <c r="X94" s="16"/>
      <c r="Y94" s="16"/>
      <c r="Z94" s="16">
        <f t="shared" si="15"/>
        <v>0</v>
      </c>
      <c r="AA94" s="16">
        <f t="shared" si="9"/>
        <v>0</v>
      </c>
      <c r="AB94" s="16"/>
      <c r="AC94" s="19"/>
      <c r="AD94" s="51"/>
    </row>
    <row r="95" spans="1:30" ht="19.5" thickBot="1" x14ac:dyDescent="0.3">
      <c r="A95" s="14">
        <v>28</v>
      </c>
      <c r="B95" s="15"/>
      <c r="C95" s="15" t="e">
        <f>VLOOKUP(B95,داتا!$B$3:$D$107,2,FALSE)</f>
        <v>#N/A</v>
      </c>
      <c r="D95" s="34" t="e">
        <f>VLOOKUP(B95,داتا!$B$3:$D$107,3,FALSE)</f>
        <v>#N/A</v>
      </c>
      <c r="E95" s="15"/>
      <c r="F95" s="16"/>
      <c r="G95" s="16">
        <v>8.3333333333333329E-2</v>
      </c>
      <c r="H95" s="16" t="e">
        <f t="shared" si="17"/>
        <v>#N/A</v>
      </c>
      <c r="I95" s="16" t="e">
        <f t="shared" si="10"/>
        <v>#N/A</v>
      </c>
      <c r="J95" s="16"/>
      <c r="K95" s="16"/>
      <c r="L95" s="16"/>
      <c r="M95" s="16"/>
      <c r="N95" s="16">
        <f t="shared" si="11"/>
        <v>0</v>
      </c>
      <c r="O95" s="16" t="e">
        <f t="shared" si="12"/>
        <v>#N/A</v>
      </c>
      <c r="P95" s="16">
        <v>6.9444444444444397E-3</v>
      </c>
      <c r="Q95" s="16"/>
      <c r="R95" s="16">
        <f t="shared" si="13"/>
        <v>-6.9444444444444397E-3</v>
      </c>
      <c r="S95" s="16"/>
      <c r="T95" s="16" t="e">
        <f>VLOOKUP(E95,'[2]21-3-2026'!E$3:T$35,16,FALSE)</f>
        <v>#N/A</v>
      </c>
      <c r="U95" s="16"/>
      <c r="V95" s="16" t="e">
        <f t="shared" si="14"/>
        <v>#N/A</v>
      </c>
      <c r="W95" s="16"/>
      <c r="X95" s="16"/>
      <c r="Y95" s="16"/>
      <c r="Z95" s="16">
        <f t="shared" si="15"/>
        <v>0</v>
      </c>
      <c r="AA95" s="16">
        <f t="shared" si="9"/>
        <v>0</v>
      </c>
      <c r="AB95" s="16"/>
      <c r="AC95" s="19"/>
      <c r="AD95" s="51"/>
    </row>
    <row r="96" spans="1:30" ht="19.5" thickBot="1" x14ac:dyDescent="0.3">
      <c r="A96" s="14">
        <v>29</v>
      </c>
      <c r="B96" s="15"/>
      <c r="C96" s="15" t="e">
        <f>VLOOKUP(B96,داتا!$B$3:$D$107,2,FALSE)</f>
        <v>#N/A</v>
      </c>
      <c r="D96" s="34" t="e">
        <f>VLOOKUP(B96,داتا!$B$3:$D$107,3,FALSE)</f>
        <v>#N/A</v>
      </c>
      <c r="E96" s="15"/>
      <c r="F96" s="16"/>
      <c r="G96" s="16">
        <v>8.3333333333333329E-2</v>
      </c>
      <c r="H96" s="16" t="e">
        <f t="shared" si="17"/>
        <v>#N/A</v>
      </c>
      <c r="I96" s="16" t="e">
        <f t="shared" si="10"/>
        <v>#N/A</v>
      </c>
      <c r="J96" s="16"/>
      <c r="K96" s="16"/>
      <c r="L96" s="16"/>
      <c r="M96" s="16"/>
      <c r="N96" s="16">
        <f t="shared" si="11"/>
        <v>0</v>
      </c>
      <c r="O96" s="16" t="e">
        <f t="shared" si="12"/>
        <v>#N/A</v>
      </c>
      <c r="P96" s="16">
        <v>6.9444444444444397E-3</v>
      </c>
      <c r="Q96" s="16"/>
      <c r="R96" s="16">
        <f t="shared" si="13"/>
        <v>-6.9444444444444397E-3</v>
      </c>
      <c r="S96" s="16"/>
      <c r="T96" s="16" t="e">
        <f>VLOOKUP(E96,'[2]21-3-2026'!E$3:T$35,16,FALSE)</f>
        <v>#N/A</v>
      </c>
      <c r="U96" s="16"/>
      <c r="V96" s="16" t="e">
        <f t="shared" si="14"/>
        <v>#N/A</v>
      </c>
      <c r="W96" s="16"/>
      <c r="X96" s="16"/>
      <c r="Y96" s="16"/>
      <c r="Z96" s="16">
        <f t="shared" si="15"/>
        <v>0</v>
      </c>
      <c r="AA96" s="16">
        <f t="shared" si="9"/>
        <v>0</v>
      </c>
      <c r="AB96" s="16"/>
      <c r="AC96" s="19"/>
      <c r="AD96" s="54"/>
    </row>
    <row r="97" spans="1:29" ht="19.5" thickBot="1" x14ac:dyDescent="0.3">
      <c r="A97" s="14">
        <v>30</v>
      </c>
      <c r="B97" s="15"/>
      <c r="C97" s="15" t="e">
        <f>VLOOKUP(B97,داتا!$B$3:$D$107,2,FALSE)</f>
        <v>#N/A</v>
      </c>
      <c r="D97" s="34" t="e">
        <f>VLOOKUP(B97,داتا!$B$3:$D$107,3,FALSE)</f>
        <v>#N/A</v>
      </c>
      <c r="E97" s="15"/>
      <c r="F97" s="16"/>
      <c r="G97" s="16">
        <v>8.3333333333333329E-2</v>
      </c>
      <c r="H97" s="16" t="e">
        <f t="shared" si="17"/>
        <v>#N/A</v>
      </c>
      <c r="I97" s="16" t="e">
        <f t="shared" si="10"/>
        <v>#N/A</v>
      </c>
      <c r="J97" s="16"/>
      <c r="K97" s="16"/>
      <c r="L97" s="16"/>
      <c r="M97" s="16"/>
      <c r="N97" s="16">
        <f t="shared" si="11"/>
        <v>0</v>
      </c>
      <c r="O97" s="16" t="e">
        <f t="shared" si="12"/>
        <v>#N/A</v>
      </c>
      <c r="P97" s="16">
        <v>6.9444444444444397E-3</v>
      </c>
      <c r="Q97" s="16"/>
      <c r="R97" s="16">
        <f t="shared" si="13"/>
        <v>-6.9444444444444397E-3</v>
      </c>
      <c r="S97" s="16"/>
      <c r="T97" s="16" t="e">
        <f>VLOOKUP(E97,'[2]21-3-2026'!E$3:T$35,16,FALSE)</f>
        <v>#N/A</v>
      </c>
      <c r="U97" s="16"/>
      <c r="V97" s="16" t="e">
        <f t="shared" si="14"/>
        <v>#N/A</v>
      </c>
      <c r="W97" s="16"/>
      <c r="X97" s="16"/>
      <c r="Y97" s="16"/>
      <c r="Z97" s="16">
        <f t="shared" si="15"/>
        <v>0</v>
      </c>
      <c r="AA97" s="16">
        <f t="shared" si="9"/>
        <v>0</v>
      </c>
      <c r="AB97" s="16"/>
      <c r="AC97" s="19"/>
    </row>
    <row r="98" spans="1:29" ht="19.5" thickBot="1" x14ac:dyDescent="0.3">
      <c r="A98" s="14">
        <v>31</v>
      </c>
      <c r="B98" s="15"/>
      <c r="C98" s="15" t="e">
        <f>VLOOKUP(B98,داتا!$B$3:$D$107,2,FALSE)</f>
        <v>#N/A</v>
      </c>
      <c r="D98" s="34" t="e">
        <f>VLOOKUP(B98,داتا!$B$3:$D$107,3,FALSE)</f>
        <v>#N/A</v>
      </c>
      <c r="E98" s="15"/>
      <c r="F98" s="16"/>
      <c r="G98" s="16">
        <v>8.3333333333333329E-2</v>
      </c>
      <c r="H98" s="16" t="e">
        <f t="shared" si="17"/>
        <v>#N/A</v>
      </c>
      <c r="I98" s="16" t="e">
        <f t="shared" si="10"/>
        <v>#N/A</v>
      </c>
      <c r="J98" s="16"/>
      <c r="K98" s="16"/>
      <c r="L98" s="16"/>
      <c r="M98" s="16"/>
      <c r="N98" s="16">
        <f t="shared" si="11"/>
        <v>0</v>
      </c>
      <c r="O98" s="16" t="e">
        <f t="shared" si="12"/>
        <v>#N/A</v>
      </c>
      <c r="P98" s="16">
        <v>6.9444444444444397E-3</v>
      </c>
      <c r="Q98" s="16"/>
      <c r="R98" s="16">
        <f t="shared" si="13"/>
        <v>-6.9444444444444397E-3</v>
      </c>
      <c r="S98" s="16"/>
      <c r="T98" s="16" t="e">
        <f>VLOOKUP(E98,'[2]21-3-2026'!E$3:T$35,16,FALSE)</f>
        <v>#N/A</v>
      </c>
      <c r="U98" s="16"/>
      <c r="V98" s="16" t="e">
        <f t="shared" si="14"/>
        <v>#N/A</v>
      </c>
      <c r="W98" s="16"/>
      <c r="X98" s="16"/>
      <c r="Y98" s="16"/>
      <c r="Z98" s="16">
        <f t="shared" si="15"/>
        <v>0</v>
      </c>
      <c r="AA98" s="16">
        <f t="shared" si="9"/>
        <v>0</v>
      </c>
      <c r="AB98" s="16"/>
      <c r="AC98" s="19"/>
    </row>
    <row r="99" spans="1:29" ht="19.5" thickBot="1" x14ac:dyDescent="0.3">
      <c r="A99" s="20">
        <v>32</v>
      </c>
      <c r="B99" s="21"/>
      <c r="C99" s="21" t="e">
        <f>VLOOKUP(B99,داتا!$B$3:$D$107,2,FALSE)</f>
        <v>#N/A</v>
      </c>
      <c r="D99" s="35" t="e">
        <f>VLOOKUP(B99,داتا!$B$3:$D$107,3,FALSE)</f>
        <v>#N/A</v>
      </c>
      <c r="E99" s="21"/>
      <c r="F99" s="22"/>
      <c r="G99" s="22">
        <v>8.3333333333333329E-2</v>
      </c>
      <c r="H99" s="22" t="e">
        <f t="shared" si="17"/>
        <v>#N/A</v>
      </c>
      <c r="I99" s="22" t="e">
        <f t="shared" si="10"/>
        <v>#N/A</v>
      </c>
      <c r="J99" s="22"/>
      <c r="K99" s="22"/>
      <c r="L99" s="22"/>
      <c r="M99" s="22"/>
      <c r="N99" s="22">
        <f t="shared" si="11"/>
        <v>0</v>
      </c>
      <c r="O99" s="22" t="e">
        <f t="shared" si="12"/>
        <v>#N/A</v>
      </c>
      <c r="P99" s="22">
        <v>6.9444444444444397E-3</v>
      </c>
      <c r="Q99" s="22"/>
      <c r="R99" s="22">
        <f t="shared" si="13"/>
        <v>-6.9444444444444397E-3</v>
      </c>
      <c r="S99" s="22"/>
      <c r="T99" s="22" t="e">
        <f>VLOOKUP(E99,'[2]21-3-2026'!E$3:T$35,16,FALSE)</f>
        <v>#N/A</v>
      </c>
      <c r="U99" s="22"/>
      <c r="V99" s="22" t="e">
        <f t="shared" si="14"/>
        <v>#N/A</v>
      </c>
      <c r="W99" s="22"/>
      <c r="X99" s="22"/>
      <c r="Y99" s="22"/>
      <c r="Z99" s="22">
        <f t="shared" si="15"/>
        <v>0</v>
      </c>
      <c r="AA99" s="22">
        <f t="shared" si="9"/>
        <v>0</v>
      </c>
      <c r="AB99" s="22"/>
      <c r="AC99" s="30"/>
    </row>
    <row r="100" spans="1:29" ht="16.5" thickTop="1" x14ac:dyDescent="0.25"/>
  </sheetData>
  <mergeCells count="4">
    <mergeCell ref="A1:AC1"/>
    <mergeCell ref="AD3:AD35"/>
    <mergeCell ref="AD36:AD67"/>
    <mergeCell ref="AD68:AD96"/>
  </mergeCells>
  <conditionalFormatting sqref="AC1:AC96 AC100:AC1048576">
    <cfRule type="containsText" dxfId="329" priority="14" operator="containsText" text="ت">
      <formula>NOT(ISERROR(SEARCH("ت",AC1)))</formula>
    </cfRule>
  </conditionalFormatting>
  <conditionalFormatting sqref="AC4:AC96">
    <cfRule type="containsText" dxfId="328" priority="13" operator="containsText" text="ت">
      <formula>NOT(ISERROR(SEARCH("ت",AC4)))</formula>
    </cfRule>
  </conditionalFormatting>
  <conditionalFormatting sqref="O1:O2 I1:I2 R1:R2 V1:V2 AA100:AA1048576 V100:V1048576 R100:R1048576 O100:O1048576 I100:I1048576 AA1:AA2">
    <cfRule type="cellIs" dxfId="327" priority="15" operator="between">
      <formula>0.00277777777777778</formula>
      <formula>1</formula>
    </cfRule>
  </conditionalFormatting>
  <conditionalFormatting sqref="AC97:AC99">
    <cfRule type="containsText" dxfId="326" priority="12" operator="containsText" text="ت">
      <formula>NOT(ISERROR(SEARCH("ت",AC97)))</formula>
    </cfRule>
  </conditionalFormatting>
  <conditionalFormatting sqref="AC97:AC99">
    <cfRule type="containsText" dxfId="325" priority="11" operator="containsText" text="ت">
      <formula>NOT(ISERROR(SEARCH("ت",AC97)))</formula>
    </cfRule>
  </conditionalFormatting>
  <conditionalFormatting sqref="I3:I99">
    <cfRule type="cellIs" dxfId="324" priority="9" operator="between">
      <formula>0.00277777777777778</formula>
      <formula>1</formula>
    </cfRule>
  </conditionalFormatting>
  <conditionalFormatting sqref="I3:I99">
    <cfRule type="cellIs" dxfId="323" priority="10" operator="between">
      <formula>0.00277777777777778</formula>
      <formula>1</formula>
    </cfRule>
  </conditionalFormatting>
  <conditionalFormatting sqref="O3:O99">
    <cfRule type="cellIs" dxfId="322" priority="7" operator="between">
      <formula>0.00277777777777778</formula>
      <formula>1</formula>
    </cfRule>
  </conditionalFormatting>
  <conditionalFormatting sqref="O3:O99">
    <cfRule type="cellIs" dxfId="321" priority="8" operator="between">
      <formula>0.00277777777777778</formula>
      <formula>1</formula>
    </cfRule>
  </conditionalFormatting>
  <conditionalFormatting sqref="R3:R99">
    <cfRule type="cellIs" dxfId="320" priority="5" operator="between">
      <formula>0.00277777777777778</formula>
      <formula>1</formula>
    </cfRule>
  </conditionalFormatting>
  <conditionalFormatting sqref="R3:R99">
    <cfRule type="cellIs" dxfId="319" priority="6" operator="between">
      <formula>0.00277777777777778</formula>
      <formula>1</formula>
    </cfRule>
  </conditionalFormatting>
  <conditionalFormatting sqref="V3:V99">
    <cfRule type="cellIs" dxfId="318" priority="3" operator="between">
      <formula>0.00277777777777778</formula>
      <formula>1</formula>
    </cfRule>
  </conditionalFormatting>
  <conditionalFormatting sqref="V3:V99">
    <cfRule type="cellIs" dxfId="317" priority="4" operator="between">
      <formula>0.00277777777777778</formula>
      <formula>1</formula>
    </cfRule>
  </conditionalFormatting>
  <conditionalFormatting sqref="AA3:AA99">
    <cfRule type="cellIs" dxfId="316" priority="1" operator="between">
      <formula>0.00277777777777778</formula>
      <formula>1</formula>
    </cfRule>
  </conditionalFormatting>
  <conditionalFormatting sqref="AA3:AA99">
    <cfRule type="cellIs" dxfId="315" priority="2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"/>
  <sheetViews>
    <sheetView rightToLeft="1" workbookViewId="0">
      <pane xSplit="6" ySplit="2" topLeftCell="G68" activePane="bottomRight" state="frozen"/>
      <selection activeCell="A92" sqref="A92"/>
      <selection pane="topRight" activeCell="A92" sqref="A92"/>
      <selection pane="bottomLeft" activeCell="A92" sqref="A92"/>
      <selection pane="bottomRight" sqref="A1:AC1"/>
    </sheetView>
  </sheetViews>
  <sheetFormatPr defaultColWidth="9" defaultRowHeight="15.75" x14ac:dyDescent="0.25"/>
  <cols>
    <col min="1" max="1" width="5.42578125" customWidth="1"/>
    <col min="2" max="2" width="12.28515625" customWidth="1"/>
    <col min="3" max="3" width="12.5703125" customWidth="1"/>
    <col min="4" max="4" width="16.140625" style="36" customWidth="1"/>
    <col min="5" max="5" width="17.140625" customWidth="1"/>
    <col min="6" max="6" width="20.85546875" customWidth="1"/>
    <col min="7" max="7" width="12.7109375" customWidth="1"/>
    <col min="8" max="9" width="12.85546875" customWidth="1"/>
    <col min="10" max="10" width="12.5703125" customWidth="1"/>
    <col min="11" max="11" width="14.28515625" customWidth="1"/>
    <col min="12" max="12" width="22.7109375" customWidth="1"/>
    <col min="13" max="13" width="18.8554687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3.85546875" style="31" customWidth="1"/>
    <col min="30" max="30" width="11.140625" customWidth="1"/>
  </cols>
  <sheetData>
    <row r="1" spans="1:30" ht="33.75" customHeight="1" thickBot="1" x14ac:dyDescent="0.3">
      <c r="A1" s="46" t="s">
        <v>129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0" ht="49.5" customHeight="1" thickTop="1" thickBot="1" x14ac:dyDescent="0.3">
      <c r="A2" s="1" t="s">
        <v>1</v>
      </c>
      <c r="B2" s="2" t="s">
        <v>2</v>
      </c>
      <c r="C2" s="2" t="s">
        <v>3</v>
      </c>
      <c r="D2" s="3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8" t="s">
        <v>18</v>
      </c>
      <c r="S2" s="2" t="s">
        <v>19</v>
      </c>
      <c r="T2" s="8" t="s">
        <v>20</v>
      </c>
      <c r="U2" s="2" t="s">
        <v>21</v>
      </c>
      <c r="V2" s="8" t="s">
        <v>22</v>
      </c>
      <c r="W2" s="8" t="s">
        <v>23</v>
      </c>
      <c r="X2" s="2" t="s">
        <v>24</v>
      </c>
      <c r="Y2" s="2" t="s">
        <v>25</v>
      </c>
      <c r="Z2" s="2" t="s">
        <v>26</v>
      </c>
      <c r="AA2" s="8" t="s">
        <v>27</v>
      </c>
      <c r="AB2" s="2" t="s">
        <v>28</v>
      </c>
      <c r="AC2" s="9" t="s">
        <v>29</v>
      </c>
    </row>
    <row r="3" spans="1:30" ht="20.25" customHeight="1" thickTop="1" thickBot="1" x14ac:dyDescent="0.3">
      <c r="A3" s="10">
        <v>1</v>
      </c>
      <c r="B3" s="11"/>
      <c r="C3" s="11" t="e">
        <f>VLOOKUP(B3,داتا!$B$3:$D$107,2,FALSE)</f>
        <v>#N/A</v>
      </c>
      <c r="D3" s="33" t="e">
        <f>VLOOKUP(B3,داتا!$B$3:$D$107,3,FALSE)</f>
        <v>#N/A</v>
      </c>
      <c r="E3" s="11"/>
      <c r="F3" s="11"/>
      <c r="G3" s="12">
        <v>0.25</v>
      </c>
      <c r="H3" s="12"/>
      <c r="I3" s="12">
        <f>H3-G3</f>
        <v>-0.25</v>
      </c>
      <c r="J3" s="12"/>
      <c r="K3" s="12"/>
      <c r="L3" s="12"/>
      <c r="M3" s="12"/>
      <c r="N3" s="12">
        <f>K3-J3</f>
        <v>0</v>
      </c>
      <c r="O3" s="12" t="e">
        <f>N3-D3</f>
        <v>#N/A</v>
      </c>
      <c r="P3" s="12">
        <v>6.9444444444444397E-3</v>
      </c>
      <c r="Q3" s="12"/>
      <c r="R3" s="12">
        <f>Q3-P3-K3</f>
        <v>-6.9444444444444397E-3</v>
      </c>
      <c r="S3" s="12"/>
      <c r="T3" s="12" t="e">
        <f>VLOOKUP(E3,'[2]21-3-2026'!E$3:T$35,16,FALSE)</f>
        <v>#N/A</v>
      </c>
      <c r="U3" s="12"/>
      <c r="V3" s="12" t="e">
        <f>U3-T3-S3</f>
        <v>#N/A</v>
      </c>
      <c r="W3" s="12"/>
      <c r="X3" s="12"/>
      <c r="Y3" s="12"/>
      <c r="Z3" s="12">
        <f>Y3-X3</f>
        <v>0</v>
      </c>
      <c r="AA3" s="12">
        <f t="shared" ref="AA3:AA66" si="0">Z3-W3</f>
        <v>0</v>
      </c>
      <c r="AB3" s="12"/>
      <c r="AC3" s="13"/>
      <c r="AD3" s="47" t="s">
        <v>33</v>
      </c>
    </row>
    <row r="4" spans="1:30" ht="19.5" thickBot="1" x14ac:dyDescent="0.3">
      <c r="A4" s="14">
        <v>2</v>
      </c>
      <c r="B4" s="15"/>
      <c r="C4" s="15" t="e">
        <f>VLOOKUP(B4,داتا!$B$3:$D$107,2,FALSE)</f>
        <v>#N/A</v>
      </c>
      <c r="D4" s="34" t="e">
        <f>VLOOKUP(B4,داتا!$B$3:$D$107,3,FALSE)</f>
        <v>#N/A</v>
      </c>
      <c r="E4" s="15"/>
      <c r="F4" s="15"/>
      <c r="G4" s="16">
        <v>0.25</v>
      </c>
      <c r="H4" s="16"/>
      <c r="I4" s="16">
        <f t="shared" ref="I4:I67" si="1">H4-G4</f>
        <v>-0.25</v>
      </c>
      <c r="J4" s="16"/>
      <c r="K4" s="16"/>
      <c r="L4" s="16"/>
      <c r="M4" s="16"/>
      <c r="N4" s="16">
        <f t="shared" ref="N4:N67" si="2">K4-J4</f>
        <v>0</v>
      </c>
      <c r="O4" s="16" t="e">
        <f t="shared" ref="O4:O67" si="3">N4-D4</f>
        <v>#N/A</v>
      </c>
      <c r="P4" s="16">
        <v>6.9444444444444397E-3</v>
      </c>
      <c r="Q4" s="16"/>
      <c r="R4" s="16">
        <f t="shared" ref="R4:R67" si="4">Q4-P4-K4</f>
        <v>-6.9444444444444397E-3</v>
      </c>
      <c r="S4" s="16"/>
      <c r="T4" s="16" t="e">
        <f>VLOOKUP(E4,'[2]21-3-2026'!E$3:T$35,16,FALSE)</f>
        <v>#N/A</v>
      </c>
      <c r="U4" s="16"/>
      <c r="V4" s="16" t="e">
        <f t="shared" ref="V4:V67" si="5">U4-T4-S4</f>
        <v>#N/A</v>
      </c>
      <c r="W4" s="16"/>
      <c r="X4" s="16"/>
      <c r="Y4" s="16"/>
      <c r="Z4" s="16">
        <f t="shared" ref="Z4:Z67" si="6">Y4-X4</f>
        <v>0</v>
      </c>
      <c r="AA4" s="16">
        <f t="shared" si="0"/>
        <v>0</v>
      </c>
      <c r="AB4" s="16"/>
      <c r="AC4" s="17"/>
      <c r="AD4" s="48"/>
    </row>
    <row r="5" spans="1:30" ht="19.5" thickBot="1" x14ac:dyDescent="0.3">
      <c r="A5" s="14">
        <v>3</v>
      </c>
      <c r="B5" s="15"/>
      <c r="C5" s="15" t="e">
        <f>VLOOKUP(B5,داتا!$B$3:$D$107,2,FALSE)</f>
        <v>#N/A</v>
      </c>
      <c r="D5" s="34" t="e">
        <f>VLOOKUP(B5,داتا!$B$3:$D$107,3,FALSE)</f>
        <v>#N/A</v>
      </c>
      <c r="E5" s="15"/>
      <c r="F5" s="15"/>
      <c r="G5" s="16">
        <v>0.25</v>
      </c>
      <c r="H5" s="16"/>
      <c r="I5" s="16">
        <f t="shared" si="1"/>
        <v>-0.25</v>
      </c>
      <c r="J5" s="16"/>
      <c r="K5" s="16"/>
      <c r="L5" s="16"/>
      <c r="M5" s="16"/>
      <c r="N5" s="16">
        <f t="shared" si="2"/>
        <v>0</v>
      </c>
      <c r="O5" s="16" t="e">
        <f t="shared" si="3"/>
        <v>#N/A</v>
      </c>
      <c r="P5" s="16">
        <v>6.9444444444444397E-3</v>
      </c>
      <c r="Q5" s="16"/>
      <c r="R5" s="16">
        <f t="shared" si="4"/>
        <v>-6.9444444444444397E-3</v>
      </c>
      <c r="S5" s="16"/>
      <c r="T5" s="16" t="e">
        <f>VLOOKUP(E5,'[2]21-3-2026'!E$3:T$35,16,FALSE)</f>
        <v>#N/A</v>
      </c>
      <c r="U5" s="16"/>
      <c r="V5" s="16" t="e">
        <f t="shared" si="5"/>
        <v>#N/A</v>
      </c>
      <c r="W5" s="16"/>
      <c r="X5" s="16"/>
      <c r="Y5" s="16"/>
      <c r="Z5" s="16">
        <f t="shared" si="6"/>
        <v>0</v>
      </c>
      <c r="AA5" s="16">
        <f t="shared" si="0"/>
        <v>0</v>
      </c>
      <c r="AB5" s="16"/>
      <c r="AC5" s="17"/>
      <c r="AD5" s="48"/>
    </row>
    <row r="6" spans="1:30" ht="19.5" thickBot="1" x14ac:dyDescent="0.3">
      <c r="A6" s="14">
        <v>4</v>
      </c>
      <c r="B6" s="15"/>
      <c r="C6" s="15" t="e">
        <f>VLOOKUP(B6,داتا!$B$3:$D$107,2,FALSE)</f>
        <v>#N/A</v>
      </c>
      <c r="D6" s="34" t="e">
        <f>VLOOKUP(B6,داتا!$B$3:$D$107,3,FALSE)</f>
        <v>#N/A</v>
      </c>
      <c r="E6" s="15"/>
      <c r="F6" s="15"/>
      <c r="G6" s="16">
        <v>0.25</v>
      </c>
      <c r="H6" s="16"/>
      <c r="I6" s="16">
        <f t="shared" si="1"/>
        <v>-0.25</v>
      </c>
      <c r="J6" s="16"/>
      <c r="K6" s="16"/>
      <c r="L6" s="16"/>
      <c r="M6" s="16"/>
      <c r="N6" s="16">
        <f t="shared" si="2"/>
        <v>0</v>
      </c>
      <c r="O6" s="16" t="e">
        <f t="shared" si="3"/>
        <v>#N/A</v>
      </c>
      <c r="P6" s="16">
        <v>6.9444444444444397E-3</v>
      </c>
      <c r="Q6" s="16"/>
      <c r="R6" s="16">
        <f t="shared" si="4"/>
        <v>-6.9444444444444397E-3</v>
      </c>
      <c r="S6" s="16"/>
      <c r="T6" s="16" t="e">
        <f>VLOOKUP(E6,'[2]21-3-2026'!E$3:T$35,16,FALSE)</f>
        <v>#N/A</v>
      </c>
      <c r="U6" s="16"/>
      <c r="V6" s="16" t="e">
        <f t="shared" si="5"/>
        <v>#N/A</v>
      </c>
      <c r="W6" s="16"/>
      <c r="X6" s="16"/>
      <c r="Y6" s="16"/>
      <c r="Z6" s="16">
        <f t="shared" si="6"/>
        <v>0</v>
      </c>
      <c r="AA6" s="16">
        <f t="shared" si="0"/>
        <v>0</v>
      </c>
      <c r="AB6" s="16"/>
      <c r="AC6" s="17"/>
      <c r="AD6" s="48"/>
    </row>
    <row r="7" spans="1:30" ht="19.5" thickBot="1" x14ac:dyDescent="0.3">
      <c r="A7" s="14">
        <v>5</v>
      </c>
      <c r="B7" s="15"/>
      <c r="C7" s="15" t="e">
        <f>VLOOKUP(B7,داتا!$B$3:$D$107,2,FALSE)</f>
        <v>#N/A</v>
      </c>
      <c r="D7" s="34" t="e">
        <f>VLOOKUP(B7,داتا!$B$3:$D$107,3,FALSE)</f>
        <v>#N/A</v>
      </c>
      <c r="E7" s="15"/>
      <c r="F7" s="15"/>
      <c r="G7" s="16">
        <v>0.25</v>
      </c>
      <c r="H7" s="16"/>
      <c r="I7" s="16">
        <f t="shared" si="1"/>
        <v>-0.25</v>
      </c>
      <c r="J7" s="16"/>
      <c r="K7" s="16"/>
      <c r="L7" s="16"/>
      <c r="M7" s="16"/>
      <c r="N7" s="16">
        <f t="shared" si="2"/>
        <v>0</v>
      </c>
      <c r="O7" s="16" t="e">
        <f t="shared" si="3"/>
        <v>#N/A</v>
      </c>
      <c r="P7" s="16">
        <v>6.9444444444444397E-3</v>
      </c>
      <c r="Q7" s="16"/>
      <c r="R7" s="16">
        <f t="shared" si="4"/>
        <v>-6.9444444444444397E-3</v>
      </c>
      <c r="S7" s="16"/>
      <c r="T7" s="16" t="e">
        <f>VLOOKUP(E7,'[2]21-3-2026'!E$3:T$35,16,FALSE)</f>
        <v>#N/A</v>
      </c>
      <c r="U7" s="16"/>
      <c r="V7" s="16" t="e">
        <f t="shared" si="5"/>
        <v>#N/A</v>
      </c>
      <c r="W7" s="16"/>
      <c r="X7" s="16"/>
      <c r="Y7" s="16"/>
      <c r="Z7" s="16">
        <f t="shared" si="6"/>
        <v>0</v>
      </c>
      <c r="AA7" s="16">
        <f t="shared" si="0"/>
        <v>0</v>
      </c>
      <c r="AB7" s="16"/>
      <c r="AC7" s="17"/>
      <c r="AD7" s="48"/>
    </row>
    <row r="8" spans="1:30" ht="19.5" thickBot="1" x14ac:dyDescent="0.3">
      <c r="A8" s="14">
        <v>6</v>
      </c>
      <c r="B8" s="15"/>
      <c r="C8" s="15" t="e">
        <f>VLOOKUP(B8,داتا!$B$3:$D$107,2,FALSE)</f>
        <v>#N/A</v>
      </c>
      <c r="D8" s="34" t="e">
        <f>VLOOKUP(B8,داتا!$B$3:$D$107,3,FALSE)</f>
        <v>#N/A</v>
      </c>
      <c r="E8" s="15"/>
      <c r="F8" s="15"/>
      <c r="G8" s="16">
        <v>0.25</v>
      </c>
      <c r="H8" s="16"/>
      <c r="I8" s="16">
        <f t="shared" si="1"/>
        <v>-0.25</v>
      </c>
      <c r="J8" s="16"/>
      <c r="K8" s="16"/>
      <c r="L8" s="16"/>
      <c r="M8" s="16"/>
      <c r="N8" s="16">
        <f t="shared" si="2"/>
        <v>0</v>
      </c>
      <c r="O8" s="16" t="e">
        <f t="shared" si="3"/>
        <v>#N/A</v>
      </c>
      <c r="P8" s="16">
        <v>6.9444444444444397E-3</v>
      </c>
      <c r="Q8" s="16"/>
      <c r="R8" s="16">
        <f t="shared" si="4"/>
        <v>-6.9444444444444397E-3</v>
      </c>
      <c r="S8" s="16"/>
      <c r="T8" s="16" t="e">
        <f>VLOOKUP(E8,'[2]21-3-2026'!E$3:T$35,16,FALSE)</f>
        <v>#N/A</v>
      </c>
      <c r="U8" s="16"/>
      <c r="V8" s="16" t="e">
        <f t="shared" si="5"/>
        <v>#N/A</v>
      </c>
      <c r="W8" s="16"/>
      <c r="X8" s="16"/>
      <c r="Y8" s="16"/>
      <c r="Z8" s="16">
        <f t="shared" si="6"/>
        <v>0</v>
      </c>
      <c r="AA8" s="16">
        <f t="shared" si="0"/>
        <v>0</v>
      </c>
      <c r="AB8" s="16"/>
      <c r="AC8" s="18"/>
      <c r="AD8" s="48"/>
    </row>
    <row r="9" spans="1:30" ht="19.5" thickBot="1" x14ac:dyDescent="0.3">
      <c r="A9" s="14">
        <v>7</v>
      </c>
      <c r="B9" s="15"/>
      <c r="C9" s="15" t="e">
        <f>VLOOKUP(B9,داتا!$B$3:$D$107,2,FALSE)</f>
        <v>#N/A</v>
      </c>
      <c r="D9" s="34" t="e">
        <f>VLOOKUP(B9,داتا!$B$3:$D$107,3,FALSE)</f>
        <v>#N/A</v>
      </c>
      <c r="E9" s="15"/>
      <c r="F9" s="15"/>
      <c r="G9" s="16">
        <v>0.25</v>
      </c>
      <c r="H9" s="16"/>
      <c r="I9" s="16">
        <f t="shared" si="1"/>
        <v>-0.25</v>
      </c>
      <c r="J9" s="16"/>
      <c r="K9" s="16"/>
      <c r="L9" s="16"/>
      <c r="M9" s="16"/>
      <c r="N9" s="16">
        <f t="shared" si="2"/>
        <v>0</v>
      </c>
      <c r="O9" s="16" t="e">
        <f t="shared" si="3"/>
        <v>#N/A</v>
      </c>
      <c r="P9" s="16">
        <v>6.9444444444444397E-3</v>
      </c>
      <c r="Q9" s="16"/>
      <c r="R9" s="16">
        <f t="shared" si="4"/>
        <v>-6.9444444444444397E-3</v>
      </c>
      <c r="S9" s="16"/>
      <c r="T9" s="16" t="e">
        <f>VLOOKUP(E9,'[2]21-3-2026'!E$3:T$35,16,FALSE)</f>
        <v>#N/A</v>
      </c>
      <c r="U9" s="16"/>
      <c r="V9" s="16" t="e">
        <f t="shared" si="5"/>
        <v>#N/A</v>
      </c>
      <c r="W9" s="16"/>
      <c r="X9" s="16"/>
      <c r="Y9" s="16"/>
      <c r="Z9" s="16">
        <f t="shared" si="6"/>
        <v>0</v>
      </c>
      <c r="AA9" s="16">
        <f t="shared" si="0"/>
        <v>0</v>
      </c>
      <c r="AB9" s="16"/>
      <c r="AC9" s="17"/>
      <c r="AD9" s="48"/>
    </row>
    <row r="10" spans="1:30" ht="19.5" thickBot="1" x14ac:dyDescent="0.3">
      <c r="A10" s="14">
        <v>8</v>
      </c>
      <c r="B10" s="15"/>
      <c r="C10" s="15" t="e">
        <f>VLOOKUP(B10,داتا!$B$3:$D$107,2,FALSE)</f>
        <v>#N/A</v>
      </c>
      <c r="D10" s="34" t="e">
        <f>VLOOKUP(B10,داتا!$B$3:$D$107,3,FALSE)</f>
        <v>#N/A</v>
      </c>
      <c r="E10" s="15"/>
      <c r="F10" s="15"/>
      <c r="G10" s="16">
        <v>0.25</v>
      </c>
      <c r="H10" s="16"/>
      <c r="I10" s="16">
        <f t="shared" si="1"/>
        <v>-0.25</v>
      </c>
      <c r="J10" s="16"/>
      <c r="K10" s="16"/>
      <c r="L10" s="16"/>
      <c r="M10" s="16"/>
      <c r="N10" s="16">
        <f t="shared" si="2"/>
        <v>0</v>
      </c>
      <c r="O10" s="16" t="e">
        <f t="shared" si="3"/>
        <v>#N/A</v>
      </c>
      <c r="P10" s="16">
        <v>6.9444444444444397E-3</v>
      </c>
      <c r="Q10" s="16"/>
      <c r="R10" s="16">
        <f t="shared" si="4"/>
        <v>-6.9444444444444397E-3</v>
      </c>
      <c r="S10" s="16"/>
      <c r="T10" s="16" t="e">
        <f>VLOOKUP(E10,'[2]21-3-2026'!E$3:T$35,16,FALSE)</f>
        <v>#N/A</v>
      </c>
      <c r="U10" s="16"/>
      <c r="V10" s="16" t="e">
        <f t="shared" si="5"/>
        <v>#N/A</v>
      </c>
      <c r="W10" s="16"/>
      <c r="X10" s="16"/>
      <c r="Y10" s="16"/>
      <c r="Z10" s="16">
        <f t="shared" si="6"/>
        <v>0</v>
      </c>
      <c r="AA10" s="16">
        <f t="shared" si="0"/>
        <v>0</v>
      </c>
      <c r="AB10" s="16"/>
      <c r="AC10" s="17"/>
      <c r="AD10" s="48"/>
    </row>
    <row r="11" spans="1:30" ht="19.5" thickBot="1" x14ac:dyDescent="0.3">
      <c r="A11" s="14">
        <v>9</v>
      </c>
      <c r="B11" s="15"/>
      <c r="C11" s="15" t="e">
        <f>VLOOKUP(B11,داتا!$B$3:$D$107,2,FALSE)</f>
        <v>#N/A</v>
      </c>
      <c r="D11" s="34" t="e">
        <f>VLOOKUP(B11,داتا!$B$3:$D$107,3,FALSE)</f>
        <v>#N/A</v>
      </c>
      <c r="E11" s="15"/>
      <c r="F11" s="15"/>
      <c r="G11" s="16">
        <v>0.25</v>
      </c>
      <c r="H11" s="16"/>
      <c r="I11" s="16">
        <f t="shared" si="1"/>
        <v>-0.25</v>
      </c>
      <c r="J11" s="16"/>
      <c r="K11" s="16"/>
      <c r="L11" s="16"/>
      <c r="M11" s="16"/>
      <c r="N11" s="16">
        <f t="shared" si="2"/>
        <v>0</v>
      </c>
      <c r="O11" s="16" t="e">
        <f t="shared" si="3"/>
        <v>#N/A</v>
      </c>
      <c r="P11" s="16">
        <v>6.9444444444444397E-3</v>
      </c>
      <c r="Q11" s="16"/>
      <c r="R11" s="16">
        <f t="shared" si="4"/>
        <v>-6.9444444444444397E-3</v>
      </c>
      <c r="S11" s="16"/>
      <c r="T11" s="16" t="e">
        <f>VLOOKUP(E11,'[2]21-3-2026'!E$3:T$35,16,FALSE)</f>
        <v>#N/A</v>
      </c>
      <c r="U11" s="16"/>
      <c r="V11" s="16" t="e">
        <f t="shared" si="5"/>
        <v>#N/A</v>
      </c>
      <c r="W11" s="16"/>
      <c r="X11" s="16"/>
      <c r="Y11" s="16"/>
      <c r="Z11" s="16">
        <f t="shared" si="6"/>
        <v>0</v>
      </c>
      <c r="AA11" s="16">
        <f t="shared" si="0"/>
        <v>0</v>
      </c>
      <c r="AB11" s="16"/>
      <c r="AC11" s="17"/>
      <c r="AD11" s="48"/>
    </row>
    <row r="12" spans="1:30" ht="19.5" thickBot="1" x14ac:dyDescent="0.3">
      <c r="A12" s="14">
        <v>10</v>
      </c>
      <c r="B12" s="15"/>
      <c r="C12" s="15" t="e">
        <f>VLOOKUP(B12,داتا!$B$3:$D$107,2,FALSE)</f>
        <v>#N/A</v>
      </c>
      <c r="D12" s="34" t="e">
        <f>VLOOKUP(B12,داتا!$B$3:$D$107,3,FALSE)</f>
        <v>#N/A</v>
      </c>
      <c r="E12" s="15"/>
      <c r="F12" s="15"/>
      <c r="G12" s="16">
        <v>0.25</v>
      </c>
      <c r="H12" s="16"/>
      <c r="I12" s="16">
        <f t="shared" si="1"/>
        <v>-0.25</v>
      </c>
      <c r="J12" s="16"/>
      <c r="K12" s="16"/>
      <c r="L12" s="16"/>
      <c r="M12" s="16"/>
      <c r="N12" s="16">
        <f t="shared" si="2"/>
        <v>0</v>
      </c>
      <c r="O12" s="16" t="e">
        <f t="shared" si="3"/>
        <v>#N/A</v>
      </c>
      <c r="P12" s="16">
        <v>6.9444444444444397E-3</v>
      </c>
      <c r="Q12" s="16"/>
      <c r="R12" s="16">
        <f t="shared" si="4"/>
        <v>-6.9444444444444397E-3</v>
      </c>
      <c r="S12" s="16"/>
      <c r="T12" s="16" t="e">
        <f>VLOOKUP(E12,'[2]21-3-2026'!E$3:T$35,16,FALSE)</f>
        <v>#N/A</v>
      </c>
      <c r="U12" s="16"/>
      <c r="V12" s="16" t="e">
        <f t="shared" si="5"/>
        <v>#N/A</v>
      </c>
      <c r="W12" s="16"/>
      <c r="X12" s="16"/>
      <c r="Y12" s="16"/>
      <c r="Z12" s="16">
        <f t="shared" si="6"/>
        <v>0</v>
      </c>
      <c r="AA12" s="16">
        <f t="shared" si="0"/>
        <v>0</v>
      </c>
      <c r="AB12" s="16"/>
      <c r="AC12" s="17"/>
      <c r="AD12" s="48"/>
    </row>
    <row r="13" spans="1:30" ht="19.5" thickBot="1" x14ac:dyDescent="0.3">
      <c r="A13" s="14">
        <v>11</v>
      </c>
      <c r="B13" s="15"/>
      <c r="C13" s="15" t="e">
        <f>VLOOKUP(B13,داتا!$B$3:$D$107,2,FALSE)</f>
        <v>#N/A</v>
      </c>
      <c r="D13" s="34" t="e">
        <f>VLOOKUP(B13,داتا!$B$3:$D$107,3,FALSE)</f>
        <v>#N/A</v>
      </c>
      <c r="E13" s="15"/>
      <c r="F13" s="15"/>
      <c r="G13" s="16">
        <v>0.25</v>
      </c>
      <c r="H13" s="16"/>
      <c r="I13" s="16">
        <f t="shared" si="1"/>
        <v>-0.25</v>
      </c>
      <c r="J13" s="16"/>
      <c r="K13" s="16"/>
      <c r="L13" s="16"/>
      <c r="M13" s="16"/>
      <c r="N13" s="16">
        <f t="shared" si="2"/>
        <v>0</v>
      </c>
      <c r="O13" s="16" t="e">
        <f t="shared" si="3"/>
        <v>#N/A</v>
      </c>
      <c r="P13" s="16">
        <v>6.9444444444444397E-3</v>
      </c>
      <c r="Q13" s="16"/>
      <c r="R13" s="16">
        <f t="shared" si="4"/>
        <v>-6.9444444444444397E-3</v>
      </c>
      <c r="S13" s="16"/>
      <c r="T13" s="16" t="e">
        <f>VLOOKUP(E13,'[2]21-3-2026'!E$3:T$35,16,FALSE)</f>
        <v>#N/A</v>
      </c>
      <c r="U13" s="16"/>
      <c r="V13" s="16" t="e">
        <f t="shared" si="5"/>
        <v>#N/A</v>
      </c>
      <c r="W13" s="16"/>
      <c r="X13" s="16"/>
      <c r="Y13" s="16"/>
      <c r="Z13" s="16">
        <f t="shared" si="6"/>
        <v>0</v>
      </c>
      <c r="AA13" s="16">
        <f t="shared" si="0"/>
        <v>0</v>
      </c>
      <c r="AB13" s="16"/>
      <c r="AC13" s="18"/>
      <c r="AD13" s="48"/>
    </row>
    <row r="14" spans="1:30" ht="19.5" thickBot="1" x14ac:dyDescent="0.3">
      <c r="A14" s="14">
        <v>12</v>
      </c>
      <c r="B14" s="15"/>
      <c r="C14" s="15" t="e">
        <f>VLOOKUP(B14,داتا!$B$3:$D$107,2,FALSE)</f>
        <v>#N/A</v>
      </c>
      <c r="D14" s="34" t="e">
        <f>VLOOKUP(B14,داتا!$B$3:$D$107,3,FALSE)</f>
        <v>#N/A</v>
      </c>
      <c r="E14" s="15"/>
      <c r="F14" s="15"/>
      <c r="G14" s="16">
        <v>0.25</v>
      </c>
      <c r="H14" s="16"/>
      <c r="I14" s="16">
        <f t="shared" si="1"/>
        <v>-0.25</v>
      </c>
      <c r="J14" s="16"/>
      <c r="K14" s="16"/>
      <c r="L14" s="16"/>
      <c r="M14" s="16"/>
      <c r="N14" s="16">
        <f t="shared" si="2"/>
        <v>0</v>
      </c>
      <c r="O14" s="16" t="e">
        <f t="shared" si="3"/>
        <v>#N/A</v>
      </c>
      <c r="P14" s="16">
        <v>6.9444444444444397E-3</v>
      </c>
      <c r="Q14" s="16"/>
      <c r="R14" s="16">
        <f t="shared" si="4"/>
        <v>-6.9444444444444397E-3</v>
      </c>
      <c r="S14" s="16"/>
      <c r="T14" s="16" t="e">
        <f>VLOOKUP(E14,'[2]21-3-2026'!E$3:T$35,16,FALSE)</f>
        <v>#N/A</v>
      </c>
      <c r="U14" s="16"/>
      <c r="V14" s="16" t="e">
        <f t="shared" si="5"/>
        <v>#N/A</v>
      </c>
      <c r="W14" s="16"/>
      <c r="X14" s="16"/>
      <c r="Y14" s="16"/>
      <c r="Z14" s="16">
        <f t="shared" si="6"/>
        <v>0</v>
      </c>
      <c r="AA14" s="16">
        <f t="shared" si="0"/>
        <v>0</v>
      </c>
      <c r="AB14" s="16"/>
      <c r="AC14" s="17"/>
      <c r="AD14" s="48"/>
    </row>
    <row r="15" spans="1:30" ht="19.5" thickBot="1" x14ac:dyDescent="0.3">
      <c r="A15" s="14">
        <v>13</v>
      </c>
      <c r="B15" s="15"/>
      <c r="C15" s="15" t="e">
        <f>VLOOKUP(B15,داتا!$B$3:$D$107,2,FALSE)</f>
        <v>#N/A</v>
      </c>
      <c r="D15" s="34" t="e">
        <f>VLOOKUP(B15,داتا!$B$3:$D$107,3,FALSE)</f>
        <v>#N/A</v>
      </c>
      <c r="E15" s="15"/>
      <c r="F15" s="15"/>
      <c r="G15" s="16">
        <v>0.25</v>
      </c>
      <c r="H15" s="16"/>
      <c r="I15" s="16">
        <f t="shared" si="1"/>
        <v>-0.25</v>
      </c>
      <c r="J15" s="16"/>
      <c r="K15" s="16"/>
      <c r="L15" s="16"/>
      <c r="M15" s="16"/>
      <c r="N15" s="16">
        <f t="shared" si="2"/>
        <v>0</v>
      </c>
      <c r="O15" s="16" t="e">
        <f t="shared" si="3"/>
        <v>#N/A</v>
      </c>
      <c r="P15" s="16">
        <v>6.9444444444444397E-3</v>
      </c>
      <c r="Q15" s="16"/>
      <c r="R15" s="16">
        <f t="shared" si="4"/>
        <v>-6.9444444444444397E-3</v>
      </c>
      <c r="S15" s="16"/>
      <c r="T15" s="16" t="e">
        <f>VLOOKUP(E15,'[2]21-3-2026'!E$3:T$35,16,FALSE)</f>
        <v>#N/A</v>
      </c>
      <c r="U15" s="16"/>
      <c r="V15" s="16" t="e">
        <f t="shared" si="5"/>
        <v>#N/A</v>
      </c>
      <c r="W15" s="16"/>
      <c r="X15" s="16"/>
      <c r="Y15" s="16"/>
      <c r="Z15" s="16">
        <f t="shared" si="6"/>
        <v>0</v>
      </c>
      <c r="AA15" s="16">
        <f t="shared" si="0"/>
        <v>0</v>
      </c>
      <c r="AB15" s="16"/>
      <c r="AC15" s="17"/>
      <c r="AD15" s="48"/>
    </row>
    <row r="16" spans="1:30" ht="19.5" thickBot="1" x14ac:dyDescent="0.3">
      <c r="A16" s="14">
        <v>14</v>
      </c>
      <c r="B16" s="15"/>
      <c r="C16" s="15" t="e">
        <f>VLOOKUP(B16,داتا!$B$3:$D$107,2,FALSE)</f>
        <v>#N/A</v>
      </c>
      <c r="D16" s="34" t="e">
        <f>VLOOKUP(B16,داتا!$B$3:$D$107,3,FALSE)</f>
        <v>#N/A</v>
      </c>
      <c r="E16" s="15"/>
      <c r="F16" s="15"/>
      <c r="G16" s="16">
        <v>0.25</v>
      </c>
      <c r="H16" s="16"/>
      <c r="I16" s="16">
        <f t="shared" si="1"/>
        <v>-0.25</v>
      </c>
      <c r="J16" s="16"/>
      <c r="K16" s="16"/>
      <c r="L16" s="16"/>
      <c r="M16" s="16"/>
      <c r="N16" s="16">
        <f t="shared" si="2"/>
        <v>0</v>
      </c>
      <c r="O16" s="16" t="e">
        <f t="shared" si="3"/>
        <v>#N/A</v>
      </c>
      <c r="P16" s="16">
        <v>6.9444444444444397E-3</v>
      </c>
      <c r="Q16" s="16"/>
      <c r="R16" s="16">
        <f t="shared" si="4"/>
        <v>-6.9444444444444397E-3</v>
      </c>
      <c r="S16" s="16"/>
      <c r="T16" s="16" t="e">
        <f>VLOOKUP(E16,'[2]21-3-2026'!E$3:T$35,16,FALSE)</f>
        <v>#N/A</v>
      </c>
      <c r="U16" s="16"/>
      <c r="V16" s="16" t="e">
        <f t="shared" si="5"/>
        <v>#N/A</v>
      </c>
      <c r="W16" s="16"/>
      <c r="X16" s="16"/>
      <c r="Y16" s="16"/>
      <c r="Z16" s="16">
        <f t="shared" si="6"/>
        <v>0</v>
      </c>
      <c r="AA16" s="16">
        <f t="shared" si="0"/>
        <v>0</v>
      </c>
      <c r="AB16" s="16"/>
      <c r="AC16" s="17"/>
      <c r="AD16" s="48"/>
    </row>
    <row r="17" spans="1:30" ht="19.5" thickBot="1" x14ac:dyDescent="0.3">
      <c r="A17" s="14">
        <v>15</v>
      </c>
      <c r="B17" s="15"/>
      <c r="C17" s="15" t="e">
        <f>VLOOKUP(B17,داتا!$B$3:$D$107,2,FALSE)</f>
        <v>#N/A</v>
      </c>
      <c r="D17" s="34" t="e">
        <f>VLOOKUP(B17,داتا!$B$3:$D$107,3,FALSE)</f>
        <v>#N/A</v>
      </c>
      <c r="E17" s="15"/>
      <c r="F17" s="15"/>
      <c r="G17" s="16">
        <v>0.25</v>
      </c>
      <c r="H17" s="16"/>
      <c r="I17" s="16">
        <f t="shared" si="1"/>
        <v>-0.25</v>
      </c>
      <c r="J17" s="16"/>
      <c r="K17" s="16"/>
      <c r="L17" s="16"/>
      <c r="M17" s="16"/>
      <c r="N17" s="16">
        <f t="shared" si="2"/>
        <v>0</v>
      </c>
      <c r="O17" s="16" t="e">
        <f t="shared" si="3"/>
        <v>#N/A</v>
      </c>
      <c r="P17" s="16">
        <v>6.9444444444444397E-3</v>
      </c>
      <c r="Q17" s="16"/>
      <c r="R17" s="16">
        <f t="shared" si="4"/>
        <v>-6.9444444444444397E-3</v>
      </c>
      <c r="S17" s="16"/>
      <c r="T17" s="16" t="e">
        <f>VLOOKUP(E17,'[2]21-3-2026'!E$3:T$35,16,FALSE)</f>
        <v>#N/A</v>
      </c>
      <c r="U17" s="16"/>
      <c r="V17" s="16" t="e">
        <f t="shared" si="5"/>
        <v>#N/A</v>
      </c>
      <c r="W17" s="16"/>
      <c r="X17" s="16"/>
      <c r="Y17" s="16"/>
      <c r="Z17" s="16">
        <f t="shared" si="6"/>
        <v>0</v>
      </c>
      <c r="AA17" s="16">
        <f t="shared" si="0"/>
        <v>0</v>
      </c>
      <c r="AB17" s="16"/>
      <c r="AC17" s="17"/>
      <c r="AD17" s="48"/>
    </row>
    <row r="18" spans="1:30" ht="19.5" thickBot="1" x14ac:dyDescent="0.3">
      <c r="A18" s="14">
        <v>16</v>
      </c>
      <c r="B18" s="15"/>
      <c r="C18" s="15" t="e">
        <f>VLOOKUP(B18,داتا!$B$3:$D$107,2,FALSE)</f>
        <v>#N/A</v>
      </c>
      <c r="D18" s="34" t="e">
        <f>VLOOKUP(B18,داتا!$B$3:$D$107,3,FALSE)</f>
        <v>#N/A</v>
      </c>
      <c r="E18" s="16"/>
      <c r="F18" s="15"/>
      <c r="G18" s="16">
        <v>0.25</v>
      </c>
      <c r="H18" s="16"/>
      <c r="I18" s="16">
        <f t="shared" si="1"/>
        <v>-0.25</v>
      </c>
      <c r="J18" s="16"/>
      <c r="K18" s="16"/>
      <c r="L18" s="16"/>
      <c r="M18" s="16"/>
      <c r="N18" s="16">
        <f t="shared" si="2"/>
        <v>0</v>
      </c>
      <c r="O18" s="16" t="e">
        <f t="shared" si="3"/>
        <v>#N/A</v>
      </c>
      <c r="P18" s="16">
        <v>6.9444444444444397E-3</v>
      </c>
      <c r="Q18" s="16"/>
      <c r="R18" s="16">
        <f t="shared" si="4"/>
        <v>-6.9444444444444397E-3</v>
      </c>
      <c r="S18" s="16"/>
      <c r="T18" s="16" t="e">
        <f>VLOOKUP(E18,'[2]21-3-2026'!E$3:T$35,16,FALSE)</f>
        <v>#N/A</v>
      </c>
      <c r="U18" s="16"/>
      <c r="V18" s="16" t="e">
        <f t="shared" si="5"/>
        <v>#N/A</v>
      </c>
      <c r="W18" s="16"/>
      <c r="X18" s="16"/>
      <c r="Y18" s="16"/>
      <c r="Z18" s="16">
        <f t="shared" si="6"/>
        <v>0</v>
      </c>
      <c r="AA18" s="16">
        <f t="shared" si="0"/>
        <v>0</v>
      </c>
      <c r="AB18" s="16"/>
      <c r="AC18" s="17"/>
      <c r="AD18" s="48"/>
    </row>
    <row r="19" spans="1:30" ht="19.5" thickBot="1" x14ac:dyDescent="0.3">
      <c r="A19" s="14">
        <v>17</v>
      </c>
      <c r="B19" s="15"/>
      <c r="C19" s="15" t="e">
        <f>VLOOKUP(B19,داتا!$B$3:$D$107,2,FALSE)</f>
        <v>#N/A</v>
      </c>
      <c r="D19" s="34" t="e">
        <f>VLOOKUP(B19,داتا!$B$3:$D$107,3,FALSE)</f>
        <v>#N/A</v>
      </c>
      <c r="E19" s="15"/>
      <c r="F19" s="15"/>
      <c r="G19" s="16">
        <v>0.25</v>
      </c>
      <c r="H19" s="16"/>
      <c r="I19" s="16">
        <f t="shared" si="1"/>
        <v>-0.25</v>
      </c>
      <c r="J19" s="16"/>
      <c r="K19" s="16"/>
      <c r="L19" s="16"/>
      <c r="M19" s="16"/>
      <c r="N19" s="16">
        <f t="shared" si="2"/>
        <v>0</v>
      </c>
      <c r="O19" s="16" t="e">
        <f t="shared" si="3"/>
        <v>#N/A</v>
      </c>
      <c r="P19" s="16">
        <v>6.9444444444444397E-3</v>
      </c>
      <c r="Q19" s="16"/>
      <c r="R19" s="16">
        <f t="shared" si="4"/>
        <v>-6.9444444444444397E-3</v>
      </c>
      <c r="S19" s="16"/>
      <c r="T19" s="16" t="e">
        <f>VLOOKUP(E19,'[2]21-3-2026'!E$3:T$35,16,FALSE)</f>
        <v>#N/A</v>
      </c>
      <c r="U19" s="16"/>
      <c r="V19" s="16" t="e">
        <f t="shared" si="5"/>
        <v>#N/A</v>
      </c>
      <c r="W19" s="16"/>
      <c r="X19" s="16"/>
      <c r="Y19" s="16"/>
      <c r="Z19" s="16">
        <f t="shared" si="6"/>
        <v>0</v>
      </c>
      <c r="AA19" s="16">
        <f t="shared" si="0"/>
        <v>0</v>
      </c>
      <c r="AB19" s="16"/>
      <c r="AC19" s="17"/>
      <c r="AD19" s="48"/>
    </row>
    <row r="20" spans="1:30" ht="19.5" thickBot="1" x14ac:dyDescent="0.3">
      <c r="A20" s="14">
        <v>18</v>
      </c>
      <c r="B20" s="15"/>
      <c r="C20" s="15" t="e">
        <f>VLOOKUP(B20,داتا!$B$3:$D$107,2,FALSE)</f>
        <v>#N/A</v>
      </c>
      <c r="D20" s="34" t="e">
        <f>VLOOKUP(B20,داتا!$B$3:$D$107,3,FALSE)</f>
        <v>#N/A</v>
      </c>
      <c r="E20" s="15"/>
      <c r="F20" s="15"/>
      <c r="G20" s="16">
        <v>0.25</v>
      </c>
      <c r="H20" s="16"/>
      <c r="I20" s="16">
        <f t="shared" si="1"/>
        <v>-0.25</v>
      </c>
      <c r="J20" s="16"/>
      <c r="K20" s="16"/>
      <c r="L20" s="16"/>
      <c r="M20" s="16"/>
      <c r="N20" s="16">
        <f t="shared" si="2"/>
        <v>0</v>
      </c>
      <c r="O20" s="16" t="e">
        <f t="shared" si="3"/>
        <v>#N/A</v>
      </c>
      <c r="P20" s="16">
        <v>6.9444444444444397E-3</v>
      </c>
      <c r="Q20" s="16"/>
      <c r="R20" s="16">
        <f t="shared" si="4"/>
        <v>-6.9444444444444397E-3</v>
      </c>
      <c r="S20" s="16"/>
      <c r="T20" s="16" t="e">
        <f>VLOOKUP(E20,'[2]21-3-2026'!E$3:T$35,16,FALSE)</f>
        <v>#N/A</v>
      </c>
      <c r="U20" s="16"/>
      <c r="V20" s="16" t="e">
        <f t="shared" si="5"/>
        <v>#N/A</v>
      </c>
      <c r="W20" s="16"/>
      <c r="X20" s="16"/>
      <c r="Y20" s="16"/>
      <c r="Z20" s="16">
        <f t="shared" si="6"/>
        <v>0</v>
      </c>
      <c r="AA20" s="16">
        <f t="shared" si="0"/>
        <v>0</v>
      </c>
      <c r="AB20" s="16"/>
      <c r="AC20" s="17"/>
      <c r="AD20" s="48"/>
    </row>
    <row r="21" spans="1:30" ht="19.5" thickBot="1" x14ac:dyDescent="0.3">
      <c r="A21" s="14">
        <v>19</v>
      </c>
      <c r="B21" s="15"/>
      <c r="C21" s="15" t="e">
        <f>VLOOKUP(B21,داتا!$B$3:$D$107,2,FALSE)</f>
        <v>#N/A</v>
      </c>
      <c r="D21" s="34" t="e">
        <f>VLOOKUP(B21,داتا!$B$3:$D$107,3,FALSE)</f>
        <v>#N/A</v>
      </c>
      <c r="E21" s="15"/>
      <c r="F21" s="15"/>
      <c r="G21" s="16">
        <v>0.25</v>
      </c>
      <c r="H21" s="16"/>
      <c r="I21" s="16">
        <f t="shared" si="1"/>
        <v>-0.25</v>
      </c>
      <c r="J21" s="16"/>
      <c r="K21" s="16"/>
      <c r="L21" s="16"/>
      <c r="M21" s="16"/>
      <c r="N21" s="16">
        <f t="shared" si="2"/>
        <v>0</v>
      </c>
      <c r="O21" s="16" t="e">
        <f t="shared" si="3"/>
        <v>#N/A</v>
      </c>
      <c r="P21" s="16">
        <v>6.9444444444444397E-3</v>
      </c>
      <c r="Q21" s="16"/>
      <c r="R21" s="16">
        <f t="shared" si="4"/>
        <v>-6.9444444444444397E-3</v>
      </c>
      <c r="S21" s="16"/>
      <c r="T21" s="16" t="e">
        <f>VLOOKUP(E21,'[2]21-3-2026'!E$3:T$35,16,FALSE)</f>
        <v>#N/A</v>
      </c>
      <c r="U21" s="16"/>
      <c r="V21" s="16" t="e">
        <f t="shared" si="5"/>
        <v>#N/A</v>
      </c>
      <c r="W21" s="16"/>
      <c r="X21" s="16"/>
      <c r="Y21" s="16"/>
      <c r="Z21" s="16">
        <f t="shared" si="6"/>
        <v>0</v>
      </c>
      <c r="AA21" s="16">
        <f t="shared" si="0"/>
        <v>0</v>
      </c>
      <c r="AB21" s="16"/>
      <c r="AC21" s="17"/>
      <c r="AD21" s="48"/>
    </row>
    <row r="22" spans="1:30" ht="19.5" thickBot="1" x14ac:dyDescent="0.3">
      <c r="A22" s="14">
        <v>20</v>
      </c>
      <c r="B22" s="15"/>
      <c r="C22" s="15" t="e">
        <f>VLOOKUP(B22,داتا!$B$3:$D$107,2,FALSE)</f>
        <v>#N/A</v>
      </c>
      <c r="D22" s="34" t="e">
        <f>VLOOKUP(B22,داتا!$B$3:$D$107,3,FALSE)</f>
        <v>#N/A</v>
      </c>
      <c r="E22" s="15"/>
      <c r="F22" s="15"/>
      <c r="G22" s="16">
        <v>0.25</v>
      </c>
      <c r="H22" s="16"/>
      <c r="I22" s="16">
        <f t="shared" si="1"/>
        <v>-0.25</v>
      </c>
      <c r="J22" s="16"/>
      <c r="K22" s="16"/>
      <c r="L22" s="16"/>
      <c r="M22" s="16"/>
      <c r="N22" s="16">
        <f t="shared" si="2"/>
        <v>0</v>
      </c>
      <c r="O22" s="16" t="e">
        <f t="shared" si="3"/>
        <v>#N/A</v>
      </c>
      <c r="P22" s="16">
        <v>6.9444444444444397E-3</v>
      </c>
      <c r="Q22" s="16"/>
      <c r="R22" s="16">
        <f t="shared" si="4"/>
        <v>-6.9444444444444397E-3</v>
      </c>
      <c r="S22" s="16"/>
      <c r="T22" s="16" t="e">
        <f>VLOOKUP(E22,'[2]21-3-2026'!E$3:T$35,16,FALSE)</f>
        <v>#N/A</v>
      </c>
      <c r="U22" s="16"/>
      <c r="V22" s="16" t="e">
        <f t="shared" si="5"/>
        <v>#N/A</v>
      </c>
      <c r="W22" s="16"/>
      <c r="X22" s="16"/>
      <c r="Y22" s="16"/>
      <c r="Z22" s="16">
        <f t="shared" si="6"/>
        <v>0</v>
      </c>
      <c r="AA22" s="16">
        <f t="shared" si="0"/>
        <v>0</v>
      </c>
      <c r="AB22" s="16"/>
      <c r="AC22" s="17"/>
      <c r="AD22" s="48"/>
    </row>
    <row r="23" spans="1:30" ht="19.5" thickBot="1" x14ac:dyDescent="0.3">
      <c r="A23" s="14">
        <v>21</v>
      </c>
      <c r="B23" s="15"/>
      <c r="C23" s="15" t="e">
        <f>VLOOKUP(B23,داتا!$B$3:$D$107,2,FALSE)</f>
        <v>#N/A</v>
      </c>
      <c r="D23" s="34" t="e">
        <f>VLOOKUP(B23,داتا!$B$3:$D$107,3,FALSE)</f>
        <v>#N/A</v>
      </c>
      <c r="E23" s="15"/>
      <c r="F23" s="15"/>
      <c r="G23" s="16">
        <v>0.25</v>
      </c>
      <c r="H23" s="16"/>
      <c r="I23" s="16">
        <f t="shared" si="1"/>
        <v>-0.25</v>
      </c>
      <c r="J23" s="16"/>
      <c r="K23" s="16"/>
      <c r="L23" s="16"/>
      <c r="M23" s="16"/>
      <c r="N23" s="16">
        <f t="shared" si="2"/>
        <v>0</v>
      </c>
      <c r="O23" s="16" t="e">
        <f t="shared" si="3"/>
        <v>#N/A</v>
      </c>
      <c r="P23" s="16">
        <v>6.9444444444444397E-3</v>
      </c>
      <c r="Q23" s="16"/>
      <c r="R23" s="16">
        <f t="shared" si="4"/>
        <v>-6.9444444444444397E-3</v>
      </c>
      <c r="S23" s="16"/>
      <c r="T23" s="16" t="e">
        <f>VLOOKUP(E23,'[2]21-3-2026'!E$3:T$35,16,FALSE)</f>
        <v>#N/A</v>
      </c>
      <c r="U23" s="16"/>
      <c r="V23" s="16" t="e">
        <f t="shared" si="5"/>
        <v>#N/A</v>
      </c>
      <c r="W23" s="16"/>
      <c r="X23" s="16"/>
      <c r="Y23" s="16"/>
      <c r="Z23" s="16">
        <f t="shared" si="6"/>
        <v>0</v>
      </c>
      <c r="AA23" s="16">
        <f t="shared" si="0"/>
        <v>0</v>
      </c>
      <c r="AB23" s="16"/>
      <c r="AC23" s="17"/>
      <c r="AD23" s="48"/>
    </row>
    <row r="24" spans="1:30" ht="19.5" thickBot="1" x14ac:dyDescent="0.3">
      <c r="A24" s="14">
        <v>22</v>
      </c>
      <c r="B24" s="15"/>
      <c r="C24" s="15" t="e">
        <f>VLOOKUP(B24,داتا!$B$3:$D$107,2,FALSE)</f>
        <v>#N/A</v>
      </c>
      <c r="D24" s="34" t="e">
        <f>VLOOKUP(B24,داتا!$B$3:$D$107,3,FALSE)</f>
        <v>#N/A</v>
      </c>
      <c r="E24" s="15"/>
      <c r="F24" s="16"/>
      <c r="G24" s="16">
        <v>0.25</v>
      </c>
      <c r="H24" s="16"/>
      <c r="I24" s="16">
        <f t="shared" si="1"/>
        <v>-0.25</v>
      </c>
      <c r="J24" s="16"/>
      <c r="K24" s="16"/>
      <c r="L24" s="16"/>
      <c r="M24" s="16"/>
      <c r="N24" s="16">
        <f t="shared" si="2"/>
        <v>0</v>
      </c>
      <c r="O24" s="16" t="e">
        <f t="shared" si="3"/>
        <v>#N/A</v>
      </c>
      <c r="P24" s="16">
        <v>6.9444444444444397E-3</v>
      </c>
      <c r="Q24" s="16"/>
      <c r="R24" s="16">
        <f t="shared" si="4"/>
        <v>-6.9444444444444397E-3</v>
      </c>
      <c r="S24" s="16"/>
      <c r="T24" s="16" t="e">
        <f>VLOOKUP(E24,'[2]21-3-2026'!E$3:T$35,16,FALSE)</f>
        <v>#N/A</v>
      </c>
      <c r="U24" s="16"/>
      <c r="V24" s="16" t="e">
        <f t="shared" si="5"/>
        <v>#N/A</v>
      </c>
      <c r="W24" s="16"/>
      <c r="X24" s="16"/>
      <c r="Y24" s="16"/>
      <c r="Z24" s="16">
        <f t="shared" si="6"/>
        <v>0</v>
      </c>
      <c r="AA24" s="16">
        <f t="shared" si="0"/>
        <v>0</v>
      </c>
      <c r="AB24" s="16"/>
      <c r="AC24" s="17"/>
      <c r="AD24" s="48"/>
    </row>
    <row r="25" spans="1:30" ht="19.5" thickBot="1" x14ac:dyDescent="0.3">
      <c r="A25" s="14">
        <v>23</v>
      </c>
      <c r="B25" s="15"/>
      <c r="C25" s="15" t="e">
        <f>VLOOKUP(B25,داتا!$B$3:$D$107,2,FALSE)</f>
        <v>#N/A</v>
      </c>
      <c r="D25" s="34" t="e">
        <f>VLOOKUP(B25,داتا!$B$3:$D$107,3,FALSE)</f>
        <v>#N/A</v>
      </c>
      <c r="E25" s="15"/>
      <c r="F25" s="15"/>
      <c r="G25" s="16">
        <v>0.25</v>
      </c>
      <c r="H25" s="16"/>
      <c r="I25" s="16">
        <f t="shared" si="1"/>
        <v>-0.25</v>
      </c>
      <c r="J25" s="16"/>
      <c r="K25" s="16"/>
      <c r="L25" s="16"/>
      <c r="M25" s="16"/>
      <c r="N25" s="16">
        <f t="shared" si="2"/>
        <v>0</v>
      </c>
      <c r="O25" s="16" t="e">
        <f t="shared" si="3"/>
        <v>#N/A</v>
      </c>
      <c r="P25" s="16">
        <v>6.9444444444444397E-3</v>
      </c>
      <c r="Q25" s="16"/>
      <c r="R25" s="16">
        <f t="shared" si="4"/>
        <v>-6.9444444444444397E-3</v>
      </c>
      <c r="S25" s="16"/>
      <c r="T25" s="16" t="e">
        <f>VLOOKUP(E25,'[2]21-3-2026'!E$3:T$35,16,FALSE)</f>
        <v>#N/A</v>
      </c>
      <c r="U25" s="16"/>
      <c r="V25" s="16" t="e">
        <f t="shared" si="5"/>
        <v>#N/A</v>
      </c>
      <c r="W25" s="16"/>
      <c r="X25" s="16"/>
      <c r="Y25" s="16"/>
      <c r="Z25" s="16">
        <f t="shared" si="6"/>
        <v>0</v>
      </c>
      <c r="AA25" s="16">
        <f t="shared" si="0"/>
        <v>0</v>
      </c>
      <c r="AB25" s="16"/>
      <c r="AC25" s="19"/>
      <c r="AD25" s="48"/>
    </row>
    <row r="26" spans="1:30" ht="19.5" thickBot="1" x14ac:dyDescent="0.3">
      <c r="A26" s="14">
        <v>24</v>
      </c>
      <c r="B26" s="15"/>
      <c r="C26" s="15" t="e">
        <f>VLOOKUP(B26,داتا!$B$3:$D$107,2,FALSE)</f>
        <v>#N/A</v>
      </c>
      <c r="D26" s="34" t="e">
        <f>VLOOKUP(B26,داتا!$B$3:$D$107,3,FALSE)</f>
        <v>#N/A</v>
      </c>
      <c r="E26" s="15"/>
      <c r="F26" s="15"/>
      <c r="G26" s="16">
        <v>0.25</v>
      </c>
      <c r="H26" s="16"/>
      <c r="I26" s="16">
        <f t="shared" si="1"/>
        <v>-0.25</v>
      </c>
      <c r="J26" s="16"/>
      <c r="K26" s="16"/>
      <c r="L26" s="16"/>
      <c r="M26" s="16"/>
      <c r="N26" s="16">
        <f t="shared" si="2"/>
        <v>0</v>
      </c>
      <c r="O26" s="16" t="e">
        <f t="shared" si="3"/>
        <v>#N/A</v>
      </c>
      <c r="P26" s="16">
        <v>6.9444444444444397E-3</v>
      </c>
      <c r="Q26" s="16"/>
      <c r="R26" s="16">
        <f t="shared" si="4"/>
        <v>-6.9444444444444397E-3</v>
      </c>
      <c r="S26" s="16"/>
      <c r="T26" s="16" t="e">
        <f>VLOOKUP(E26,'[2]21-3-2026'!E$3:T$35,16,FALSE)</f>
        <v>#N/A</v>
      </c>
      <c r="U26" s="16"/>
      <c r="V26" s="16" t="e">
        <f t="shared" si="5"/>
        <v>#N/A</v>
      </c>
      <c r="W26" s="16"/>
      <c r="X26" s="16"/>
      <c r="Y26" s="16"/>
      <c r="Z26" s="16">
        <f t="shared" si="6"/>
        <v>0</v>
      </c>
      <c r="AA26" s="16">
        <f t="shared" si="0"/>
        <v>0</v>
      </c>
      <c r="AB26" s="16"/>
      <c r="AC26" s="19"/>
      <c r="AD26" s="48"/>
    </row>
    <row r="27" spans="1:30" ht="19.5" thickBot="1" x14ac:dyDescent="0.3">
      <c r="A27" s="14">
        <v>25</v>
      </c>
      <c r="B27" s="15"/>
      <c r="C27" s="15" t="e">
        <f>VLOOKUP(B27,داتا!$B$3:$D$107,2,FALSE)</f>
        <v>#N/A</v>
      </c>
      <c r="D27" s="34" t="e">
        <f>VLOOKUP(B27,داتا!$B$3:$D$107,3,FALSE)</f>
        <v>#N/A</v>
      </c>
      <c r="E27" s="15"/>
      <c r="F27" s="15"/>
      <c r="G27" s="16">
        <v>0.25</v>
      </c>
      <c r="H27" s="16"/>
      <c r="I27" s="16">
        <f t="shared" si="1"/>
        <v>-0.25</v>
      </c>
      <c r="J27" s="16"/>
      <c r="K27" s="16"/>
      <c r="L27" s="16"/>
      <c r="M27" s="16"/>
      <c r="N27" s="16">
        <f t="shared" si="2"/>
        <v>0</v>
      </c>
      <c r="O27" s="16" t="e">
        <f t="shared" si="3"/>
        <v>#N/A</v>
      </c>
      <c r="P27" s="16">
        <v>6.9444444444444397E-3</v>
      </c>
      <c r="Q27" s="16"/>
      <c r="R27" s="16">
        <f t="shared" si="4"/>
        <v>-6.9444444444444397E-3</v>
      </c>
      <c r="S27" s="16"/>
      <c r="T27" s="16" t="e">
        <f>VLOOKUP(E27,'[2]21-3-2026'!E$3:T$35,16,FALSE)</f>
        <v>#N/A</v>
      </c>
      <c r="U27" s="16"/>
      <c r="V27" s="16" t="e">
        <f t="shared" si="5"/>
        <v>#N/A</v>
      </c>
      <c r="W27" s="16"/>
      <c r="X27" s="16"/>
      <c r="Y27" s="16"/>
      <c r="Z27" s="16">
        <f t="shared" si="6"/>
        <v>0</v>
      </c>
      <c r="AA27" s="16">
        <f t="shared" si="0"/>
        <v>0</v>
      </c>
      <c r="AB27" s="16"/>
      <c r="AC27" s="19"/>
      <c r="AD27" s="48"/>
    </row>
    <row r="28" spans="1:30" ht="19.5" thickBot="1" x14ac:dyDescent="0.3">
      <c r="A28" s="14">
        <v>26</v>
      </c>
      <c r="B28" s="15"/>
      <c r="C28" s="15" t="e">
        <f>VLOOKUP(B28,داتا!$B$3:$D$107,2,FALSE)</f>
        <v>#N/A</v>
      </c>
      <c r="D28" s="34" t="e">
        <f>VLOOKUP(B28,داتا!$B$3:$D$107,3,FALSE)</f>
        <v>#N/A</v>
      </c>
      <c r="E28" s="15"/>
      <c r="F28" s="15"/>
      <c r="G28" s="16">
        <v>0.25</v>
      </c>
      <c r="H28" s="16"/>
      <c r="I28" s="16">
        <f t="shared" si="1"/>
        <v>-0.25</v>
      </c>
      <c r="J28" s="16"/>
      <c r="K28" s="16"/>
      <c r="L28" s="16"/>
      <c r="M28" s="16"/>
      <c r="N28" s="16">
        <f t="shared" si="2"/>
        <v>0</v>
      </c>
      <c r="O28" s="16" t="e">
        <f t="shared" si="3"/>
        <v>#N/A</v>
      </c>
      <c r="P28" s="16">
        <v>6.9444444444444397E-3</v>
      </c>
      <c r="Q28" s="16"/>
      <c r="R28" s="16">
        <f t="shared" si="4"/>
        <v>-6.9444444444444397E-3</v>
      </c>
      <c r="S28" s="16"/>
      <c r="T28" s="16" t="e">
        <f>VLOOKUP(E28,'[2]21-3-2026'!E$3:T$35,16,FALSE)</f>
        <v>#N/A</v>
      </c>
      <c r="U28" s="16"/>
      <c r="V28" s="16" t="e">
        <f t="shared" si="5"/>
        <v>#N/A</v>
      </c>
      <c r="W28" s="16"/>
      <c r="X28" s="16"/>
      <c r="Y28" s="16"/>
      <c r="Z28" s="16">
        <f t="shared" si="6"/>
        <v>0</v>
      </c>
      <c r="AA28" s="16">
        <f t="shared" si="0"/>
        <v>0</v>
      </c>
      <c r="AB28" s="16"/>
      <c r="AC28" s="17"/>
      <c r="AD28" s="48"/>
    </row>
    <row r="29" spans="1:30" ht="19.5" thickBot="1" x14ac:dyDescent="0.3">
      <c r="A29" s="14">
        <v>27</v>
      </c>
      <c r="B29" s="15"/>
      <c r="C29" s="15" t="e">
        <f>VLOOKUP(B29,داتا!$B$3:$D$107,2,FALSE)</f>
        <v>#N/A</v>
      </c>
      <c r="D29" s="34" t="e">
        <f>VLOOKUP(B29,داتا!$B$3:$D$107,3,FALSE)</f>
        <v>#N/A</v>
      </c>
      <c r="E29" s="15"/>
      <c r="F29" s="15"/>
      <c r="G29" s="16">
        <v>0.25</v>
      </c>
      <c r="H29" s="16"/>
      <c r="I29" s="16">
        <f t="shared" si="1"/>
        <v>-0.25</v>
      </c>
      <c r="J29" s="16"/>
      <c r="K29" s="16"/>
      <c r="L29" s="16"/>
      <c r="M29" s="16"/>
      <c r="N29" s="16">
        <f t="shared" si="2"/>
        <v>0</v>
      </c>
      <c r="O29" s="16" t="e">
        <f t="shared" si="3"/>
        <v>#N/A</v>
      </c>
      <c r="P29" s="16">
        <v>6.9444444444444397E-3</v>
      </c>
      <c r="Q29" s="16"/>
      <c r="R29" s="16">
        <f t="shared" si="4"/>
        <v>-6.9444444444444397E-3</v>
      </c>
      <c r="S29" s="16"/>
      <c r="T29" s="16" t="e">
        <f>VLOOKUP(E29,'[2]21-3-2026'!E$3:T$35,16,FALSE)</f>
        <v>#N/A</v>
      </c>
      <c r="U29" s="16"/>
      <c r="V29" s="16" t="e">
        <f t="shared" si="5"/>
        <v>#N/A</v>
      </c>
      <c r="W29" s="16"/>
      <c r="X29" s="16"/>
      <c r="Y29" s="16"/>
      <c r="Z29" s="16">
        <f t="shared" si="6"/>
        <v>0</v>
      </c>
      <c r="AA29" s="16">
        <f t="shared" si="0"/>
        <v>0</v>
      </c>
      <c r="AB29" s="16"/>
      <c r="AC29" s="18"/>
      <c r="AD29" s="48"/>
    </row>
    <row r="30" spans="1:30" ht="19.5" thickBot="1" x14ac:dyDescent="0.3">
      <c r="A30" s="14">
        <v>28</v>
      </c>
      <c r="B30" s="15"/>
      <c r="C30" s="15" t="e">
        <f>VLOOKUP(B30,داتا!$B$3:$D$107,2,FALSE)</f>
        <v>#N/A</v>
      </c>
      <c r="D30" s="34" t="e">
        <f>VLOOKUP(B30,داتا!$B$3:$D$107,3,FALSE)</f>
        <v>#N/A</v>
      </c>
      <c r="E30" s="15"/>
      <c r="F30" s="15"/>
      <c r="G30" s="16">
        <v>0.25</v>
      </c>
      <c r="H30" s="16"/>
      <c r="I30" s="16">
        <f t="shared" si="1"/>
        <v>-0.25</v>
      </c>
      <c r="J30" s="16"/>
      <c r="K30" s="16"/>
      <c r="L30" s="16"/>
      <c r="M30" s="16"/>
      <c r="N30" s="16">
        <f t="shared" si="2"/>
        <v>0</v>
      </c>
      <c r="O30" s="16" t="e">
        <f t="shared" si="3"/>
        <v>#N/A</v>
      </c>
      <c r="P30" s="16">
        <v>6.9444444444444397E-3</v>
      </c>
      <c r="Q30" s="16"/>
      <c r="R30" s="16">
        <f t="shared" si="4"/>
        <v>-6.9444444444444397E-3</v>
      </c>
      <c r="S30" s="16"/>
      <c r="T30" s="16" t="e">
        <f>VLOOKUP(E30,'[2]21-3-2026'!E$3:T$35,16,FALSE)</f>
        <v>#N/A</v>
      </c>
      <c r="U30" s="16"/>
      <c r="V30" s="16" t="e">
        <f t="shared" si="5"/>
        <v>#N/A</v>
      </c>
      <c r="W30" s="16"/>
      <c r="X30" s="16"/>
      <c r="Y30" s="16"/>
      <c r="Z30" s="16">
        <f t="shared" si="6"/>
        <v>0</v>
      </c>
      <c r="AA30" s="16">
        <f t="shared" si="0"/>
        <v>0</v>
      </c>
      <c r="AB30" s="16"/>
      <c r="AC30" s="17"/>
      <c r="AD30" s="48"/>
    </row>
    <row r="31" spans="1:30" ht="19.5" thickBot="1" x14ac:dyDescent="0.3">
      <c r="A31" s="14">
        <v>29</v>
      </c>
      <c r="B31" s="15"/>
      <c r="C31" s="15" t="e">
        <f>VLOOKUP(B31,داتا!$B$3:$D$107,2,FALSE)</f>
        <v>#N/A</v>
      </c>
      <c r="D31" s="34" t="e">
        <f>VLOOKUP(B31,داتا!$B$3:$D$107,3,FALSE)</f>
        <v>#N/A</v>
      </c>
      <c r="E31" s="15"/>
      <c r="F31" s="15"/>
      <c r="G31" s="16">
        <v>0.25</v>
      </c>
      <c r="H31" s="16"/>
      <c r="I31" s="16">
        <f t="shared" si="1"/>
        <v>-0.25</v>
      </c>
      <c r="J31" s="16"/>
      <c r="K31" s="16"/>
      <c r="L31" s="16"/>
      <c r="M31" s="16"/>
      <c r="N31" s="16">
        <f t="shared" si="2"/>
        <v>0</v>
      </c>
      <c r="O31" s="16" t="e">
        <f t="shared" si="3"/>
        <v>#N/A</v>
      </c>
      <c r="P31" s="16">
        <v>6.9444444444444397E-3</v>
      </c>
      <c r="Q31" s="16"/>
      <c r="R31" s="16">
        <f t="shared" si="4"/>
        <v>-6.9444444444444397E-3</v>
      </c>
      <c r="S31" s="16"/>
      <c r="T31" s="16" t="e">
        <f>VLOOKUP(E31,'[2]21-3-2026'!E$3:T$35,16,FALSE)</f>
        <v>#N/A</v>
      </c>
      <c r="U31" s="16"/>
      <c r="V31" s="16" t="e">
        <f t="shared" si="5"/>
        <v>#N/A</v>
      </c>
      <c r="W31" s="16"/>
      <c r="X31" s="16"/>
      <c r="Y31" s="16"/>
      <c r="Z31" s="16">
        <f t="shared" si="6"/>
        <v>0</v>
      </c>
      <c r="AA31" s="16">
        <f t="shared" si="0"/>
        <v>0</v>
      </c>
      <c r="AB31" s="16"/>
      <c r="AC31" s="17"/>
      <c r="AD31" s="48"/>
    </row>
    <row r="32" spans="1:30" ht="19.5" thickBot="1" x14ac:dyDescent="0.3">
      <c r="A32" s="14">
        <v>30</v>
      </c>
      <c r="B32" s="15"/>
      <c r="C32" s="15" t="e">
        <f>VLOOKUP(B32,داتا!$B$3:$D$107,2,FALSE)</f>
        <v>#N/A</v>
      </c>
      <c r="D32" s="34" t="e">
        <f>VLOOKUP(B32,داتا!$B$3:$D$107,3,FALSE)</f>
        <v>#N/A</v>
      </c>
      <c r="E32" s="15"/>
      <c r="F32" s="15"/>
      <c r="G32" s="16">
        <v>0.25</v>
      </c>
      <c r="H32" s="16"/>
      <c r="I32" s="16">
        <f t="shared" si="1"/>
        <v>-0.25</v>
      </c>
      <c r="J32" s="16"/>
      <c r="K32" s="16"/>
      <c r="L32" s="16"/>
      <c r="M32" s="16"/>
      <c r="N32" s="16">
        <f t="shared" si="2"/>
        <v>0</v>
      </c>
      <c r="O32" s="16" t="e">
        <f t="shared" si="3"/>
        <v>#N/A</v>
      </c>
      <c r="P32" s="16">
        <v>6.9444444444444397E-3</v>
      </c>
      <c r="Q32" s="16"/>
      <c r="R32" s="16">
        <f t="shared" si="4"/>
        <v>-6.9444444444444397E-3</v>
      </c>
      <c r="S32" s="16"/>
      <c r="T32" s="16" t="e">
        <f>VLOOKUP(E32,'[2]21-3-2026'!E$3:T$35,16,FALSE)</f>
        <v>#N/A</v>
      </c>
      <c r="U32" s="16"/>
      <c r="V32" s="16" t="e">
        <f t="shared" si="5"/>
        <v>#N/A</v>
      </c>
      <c r="W32" s="16"/>
      <c r="X32" s="16"/>
      <c r="Y32" s="16"/>
      <c r="Z32" s="16">
        <f t="shared" si="6"/>
        <v>0</v>
      </c>
      <c r="AA32" s="16">
        <f t="shared" si="0"/>
        <v>0</v>
      </c>
      <c r="AB32" s="16"/>
      <c r="AC32" s="17"/>
      <c r="AD32" s="48"/>
    </row>
    <row r="33" spans="1:30" ht="19.5" thickBot="1" x14ac:dyDescent="0.3">
      <c r="A33" s="14">
        <v>31</v>
      </c>
      <c r="B33" s="15"/>
      <c r="C33" s="15" t="e">
        <f>VLOOKUP(B33,داتا!$B$3:$D$107,2,FALSE)</f>
        <v>#N/A</v>
      </c>
      <c r="D33" s="34" t="e">
        <f>VLOOKUP(B33,داتا!$B$3:$D$107,3,FALSE)</f>
        <v>#N/A</v>
      </c>
      <c r="E33" s="15"/>
      <c r="F33" s="15"/>
      <c r="G33" s="16">
        <v>0.25</v>
      </c>
      <c r="H33" s="16"/>
      <c r="I33" s="16">
        <f t="shared" si="1"/>
        <v>-0.25</v>
      </c>
      <c r="J33" s="16"/>
      <c r="K33" s="16"/>
      <c r="L33" s="16"/>
      <c r="M33" s="16"/>
      <c r="N33" s="16">
        <f t="shared" si="2"/>
        <v>0</v>
      </c>
      <c r="O33" s="16" t="e">
        <f t="shared" si="3"/>
        <v>#N/A</v>
      </c>
      <c r="P33" s="16">
        <v>6.9444444444444397E-3</v>
      </c>
      <c r="Q33" s="16"/>
      <c r="R33" s="16">
        <f t="shared" si="4"/>
        <v>-6.9444444444444397E-3</v>
      </c>
      <c r="S33" s="16"/>
      <c r="T33" s="16" t="e">
        <f>VLOOKUP(E33,'[2]21-3-2026'!E$3:T$35,16,FALSE)</f>
        <v>#N/A</v>
      </c>
      <c r="U33" s="16"/>
      <c r="V33" s="16" t="e">
        <f t="shared" si="5"/>
        <v>#N/A</v>
      </c>
      <c r="W33" s="16"/>
      <c r="X33" s="16"/>
      <c r="Y33" s="16"/>
      <c r="Z33" s="16">
        <f t="shared" si="6"/>
        <v>0</v>
      </c>
      <c r="AA33" s="16">
        <f t="shared" si="0"/>
        <v>0</v>
      </c>
      <c r="AB33" s="16"/>
      <c r="AC33" s="17"/>
      <c r="AD33" s="48"/>
    </row>
    <row r="34" spans="1:30" ht="19.5" thickBot="1" x14ac:dyDescent="0.3">
      <c r="A34" s="14">
        <v>32</v>
      </c>
      <c r="B34" s="15"/>
      <c r="C34" s="15" t="e">
        <f>VLOOKUP(B34,داتا!$B$3:$D$107,2,FALSE)</f>
        <v>#N/A</v>
      </c>
      <c r="D34" s="34" t="e">
        <f>VLOOKUP(B34,داتا!$B$3:$D$107,3,FALSE)</f>
        <v>#N/A</v>
      </c>
      <c r="E34" s="15"/>
      <c r="F34" s="15"/>
      <c r="G34" s="16">
        <v>0.25</v>
      </c>
      <c r="H34" s="16"/>
      <c r="I34" s="16">
        <f t="shared" si="1"/>
        <v>-0.25</v>
      </c>
      <c r="J34" s="16"/>
      <c r="K34" s="16"/>
      <c r="L34" s="16"/>
      <c r="M34" s="16"/>
      <c r="N34" s="16">
        <f t="shared" si="2"/>
        <v>0</v>
      </c>
      <c r="O34" s="16" t="e">
        <f t="shared" si="3"/>
        <v>#N/A</v>
      </c>
      <c r="P34" s="16">
        <v>6.9444444444444397E-3</v>
      </c>
      <c r="Q34" s="16"/>
      <c r="R34" s="16">
        <f t="shared" si="4"/>
        <v>-6.9444444444444397E-3</v>
      </c>
      <c r="S34" s="16"/>
      <c r="T34" s="16" t="e">
        <f>VLOOKUP(E34,'[2]21-3-2026'!E$3:T$35,16,FALSE)</f>
        <v>#N/A</v>
      </c>
      <c r="U34" s="16"/>
      <c r="V34" s="16" t="e">
        <f t="shared" si="5"/>
        <v>#N/A</v>
      </c>
      <c r="W34" s="16"/>
      <c r="X34" s="16"/>
      <c r="Y34" s="16"/>
      <c r="Z34" s="16">
        <f t="shared" si="6"/>
        <v>0</v>
      </c>
      <c r="AA34" s="16">
        <f t="shared" si="0"/>
        <v>0</v>
      </c>
      <c r="AB34" s="16"/>
      <c r="AC34" s="17"/>
      <c r="AD34" s="48"/>
    </row>
    <row r="35" spans="1:30" ht="19.5" thickBot="1" x14ac:dyDescent="0.3">
      <c r="A35" s="20">
        <v>33</v>
      </c>
      <c r="B35" s="21"/>
      <c r="C35" s="21" t="e">
        <f>VLOOKUP(B35,داتا!$B$3:$D$107,2,FALSE)</f>
        <v>#N/A</v>
      </c>
      <c r="D35" s="35" t="e">
        <f>VLOOKUP(B35,داتا!$B$3:$D$107,3,FALSE)</f>
        <v>#N/A</v>
      </c>
      <c r="E35" s="21"/>
      <c r="F35" s="21"/>
      <c r="G35" s="22">
        <v>0.25</v>
      </c>
      <c r="H35" s="22"/>
      <c r="I35" s="22">
        <f t="shared" si="1"/>
        <v>-0.25</v>
      </c>
      <c r="J35" s="22"/>
      <c r="K35" s="22"/>
      <c r="L35" s="22"/>
      <c r="M35" s="22"/>
      <c r="N35" s="22">
        <f t="shared" si="2"/>
        <v>0</v>
      </c>
      <c r="O35" s="22" t="e">
        <f t="shared" si="3"/>
        <v>#N/A</v>
      </c>
      <c r="P35" s="22">
        <v>6.9444444444444397E-3</v>
      </c>
      <c r="Q35" s="22"/>
      <c r="R35" s="22">
        <f t="shared" si="4"/>
        <v>-6.9444444444444397E-3</v>
      </c>
      <c r="S35" s="22"/>
      <c r="T35" s="22" t="e">
        <f>VLOOKUP(E35,'[2]21-3-2026'!E$3:T$35,16,FALSE)</f>
        <v>#N/A</v>
      </c>
      <c r="U35" s="22"/>
      <c r="V35" s="22" t="e">
        <f t="shared" si="5"/>
        <v>#N/A</v>
      </c>
      <c r="W35" s="22"/>
      <c r="X35" s="22"/>
      <c r="Y35" s="22"/>
      <c r="Z35" s="22">
        <f t="shared" si="6"/>
        <v>0</v>
      </c>
      <c r="AA35" s="22">
        <f t="shared" si="0"/>
        <v>0</v>
      </c>
      <c r="AB35" s="22"/>
      <c r="AC35" s="23"/>
      <c r="AD35" s="49"/>
    </row>
    <row r="36" spans="1:30" ht="20.25" customHeight="1" thickTop="1" thickBot="1" x14ac:dyDescent="0.3">
      <c r="A36" s="10">
        <v>1</v>
      </c>
      <c r="B36" s="11"/>
      <c r="C36" s="11" t="e">
        <f>VLOOKUP(B36,داتا!$B$3:$D$107,2,FALSE)</f>
        <v>#N/A</v>
      </c>
      <c r="D36" s="33" t="e">
        <f>VLOOKUP(B36,داتا!$B$3:$D$107,3,FALSE)</f>
        <v>#N/A</v>
      </c>
      <c r="E36" s="11"/>
      <c r="F36" s="11"/>
      <c r="G36" s="12">
        <v>0.25</v>
      </c>
      <c r="H36" s="12" t="e">
        <f>VLOOKUP(G36,$F$3:$I$35,2,FALSE)</f>
        <v>#N/A</v>
      </c>
      <c r="I36" s="12" t="e">
        <f t="shared" si="1"/>
        <v>#N/A</v>
      </c>
      <c r="J36" s="12"/>
      <c r="K36" s="12"/>
      <c r="L36" s="12"/>
      <c r="M36" s="12"/>
      <c r="N36" s="12">
        <f t="shared" si="2"/>
        <v>0</v>
      </c>
      <c r="O36" s="12" t="e">
        <f t="shared" si="3"/>
        <v>#N/A</v>
      </c>
      <c r="P36" s="12">
        <v>6.9444444444444397E-3</v>
      </c>
      <c r="Q36" s="12"/>
      <c r="R36" s="12">
        <f t="shared" si="4"/>
        <v>-6.9444444444444397E-3</v>
      </c>
      <c r="S36" s="12"/>
      <c r="T36" s="12" t="e">
        <f>VLOOKUP(E36,'[2]21-3-2026'!E$3:T$35,16,FALSE)</f>
        <v>#N/A</v>
      </c>
      <c r="U36" s="12"/>
      <c r="V36" s="12" t="e">
        <f t="shared" si="5"/>
        <v>#N/A</v>
      </c>
      <c r="W36" s="12"/>
      <c r="X36" s="12"/>
      <c r="Y36" s="12"/>
      <c r="Z36" s="12">
        <f t="shared" si="6"/>
        <v>0</v>
      </c>
      <c r="AA36" s="12">
        <f t="shared" si="0"/>
        <v>0</v>
      </c>
      <c r="AB36" s="12"/>
      <c r="AC36" s="29"/>
      <c r="AD36" s="50" t="s">
        <v>104</v>
      </c>
    </row>
    <row r="37" spans="1:30" ht="19.5" thickBot="1" x14ac:dyDescent="0.3">
      <c r="A37" s="14">
        <v>2</v>
      </c>
      <c r="B37" s="15"/>
      <c r="C37" s="15" t="e">
        <f>VLOOKUP(B37,داتا!$B$3:$D$107,2,FALSE)</f>
        <v>#N/A</v>
      </c>
      <c r="D37" s="34" t="e">
        <f>VLOOKUP(B37,داتا!$B$3:$D$107,3,FALSE)</f>
        <v>#N/A</v>
      </c>
      <c r="E37" s="15"/>
      <c r="F37" s="15"/>
      <c r="G37" s="16">
        <v>0.25</v>
      </c>
      <c r="H37" s="16" t="e">
        <f t="shared" ref="H37:H52" si="7">VLOOKUP(G37,$F$3:$I$35,2,FALSE)</f>
        <v>#N/A</v>
      </c>
      <c r="I37" s="16" t="e">
        <f t="shared" si="1"/>
        <v>#N/A</v>
      </c>
      <c r="J37" s="16"/>
      <c r="K37" s="16"/>
      <c r="L37" s="16"/>
      <c r="M37" s="16"/>
      <c r="N37" s="16">
        <f t="shared" si="2"/>
        <v>0</v>
      </c>
      <c r="O37" s="16" t="e">
        <f t="shared" si="3"/>
        <v>#N/A</v>
      </c>
      <c r="P37" s="16">
        <v>6.9444444444444397E-3</v>
      </c>
      <c r="Q37" s="16"/>
      <c r="R37" s="16">
        <f t="shared" si="4"/>
        <v>-6.9444444444444397E-3</v>
      </c>
      <c r="S37" s="16"/>
      <c r="T37" s="16" t="e">
        <f>VLOOKUP(E37,'[2]21-3-2026'!E$3:T$35,16,FALSE)</f>
        <v>#N/A</v>
      </c>
      <c r="U37" s="16"/>
      <c r="V37" s="16" t="e">
        <f t="shared" si="5"/>
        <v>#N/A</v>
      </c>
      <c r="W37" s="16"/>
      <c r="X37" s="16"/>
      <c r="Y37" s="16"/>
      <c r="Z37" s="16">
        <f t="shared" si="6"/>
        <v>0</v>
      </c>
      <c r="AA37" s="16">
        <f t="shared" si="0"/>
        <v>0</v>
      </c>
      <c r="AB37" s="16"/>
      <c r="AC37" s="19"/>
      <c r="AD37" s="51"/>
    </row>
    <row r="38" spans="1:30" ht="19.5" thickBot="1" x14ac:dyDescent="0.3">
      <c r="A38" s="14">
        <v>3</v>
      </c>
      <c r="B38" s="15"/>
      <c r="C38" s="15" t="e">
        <f>VLOOKUP(B38,داتا!$B$3:$D$107,2,FALSE)</f>
        <v>#N/A</v>
      </c>
      <c r="D38" s="34" t="e">
        <f>VLOOKUP(B38,داتا!$B$3:$D$107,3,FALSE)</f>
        <v>#N/A</v>
      </c>
      <c r="E38" s="15"/>
      <c r="F38" s="15"/>
      <c r="G38" s="16">
        <v>0.25</v>
      </c>
      <c r="H38" s="16" t="e">
        <f t="shared" si="7"/>
        <v>#N/A</v>
      </c>
      <c r="I38" s="16" t="e">
        <f t="shared" si="1"/>
        <v>#N/A</v>
      </c>
      <c r="J38" s="16"/>
      <c r="K38" s="16"/>
      <c r="L38" s="16"/>
      <c r="M38" s="16"/>
      <c r="N38" s="16">
        <f t="shared" si="2"/>
        <v>0</v>
      </c>
      <c r="O38" s="16" t="e">
        <f t="shared" si="3"/>
        <v>#N/A</v>
      </c>
      <c r="P38" s="16">
        <v>6.9444444444444397E-3</v>
      </c>
      <c r="Q38" s="16"/>
      <c r="R38" s="16">
        <f t="shared" si="4"/>
        <v>-6.9444444444444397E-3</v>
      </c>
      <c r="S38" s="16"/>
      <c r="T38" s="16" t="e">
        <f>VLOOKUP(E38,'[2]21-3-2026'!E$3:T$35,16,FALSE)</f>
        <v>#N/A</v>
      </c>
      <c r="U38" s="16"/>
      <c r="V38" s="16" t="e">
        <f t="shared" si="5"/>
        <v>#N/A</v>
      </c>
      <c r="W38" s="16"/>
      <c r="X38" s="16"/>
      <c r="Y38" s="16"/>
      <c r="Z38" s="16">
        <f t="shared" si="6"/>
        <v>0</v>
      </c>
      <c r="AA38" s="16">
        <f t="shared" si="0"/>
        <v>0</v>
      </c>
      <c r="AB38" s="16"/>
      <c r="AC38" s="19"/>
      <c r="AD38" s="51"/>
    </row>
    <row r="39" spans="1:30" ht="19.5" thickBot="1" x14ac:dyDescent="0.3">
      <c r="A39" s="14">
        <v>4</v>
      </c>
      <c r="B39" s="15"/>
      <c r="C39" s="15" t="e">
        <f>VLOOKUP(B39,داتا!$B$3:$D$107,2,FALSE)</f>
        <v>#N/A</v>
      </c>
      <c r="D39" s="34" t="e">
        <f>VLOOKUP(B39,داتا!$B$3:$D$107,3,FALSE)</f>
        <v>#N/A</v>
      </c>
      <c r="E39" s="15"/>
      <c r="F39" s="15"/>
      <c r="G39" s="16">
        <v>0.25</v>
      </c>
      <c r="H39" s="16" t="e">
        <f t="shared" si="7"/>
        <v>#N/A</v>
      </c>
      <c r="I39" s="16" t="e">
        <f t="shared" si="1"/>
        <v>#N/A</v>
      </c>
      <c r="J39" s="16"/>
      <c r="K39" s="16"/>
      <c r="L39" s="16"/>
      <c r="M39" s="16"/>
      <c r="N39" s="16">
        <f t="shared" si="2"/>
        <v>0</v>
      </c>
      <c r="O39" s="16" t="e">
        <f t="shared" si="3"/>
        <v>#N/A</v>
      </c>
      <c r="P39" s="16">
        <v>6.9444444444444397E-3</v>
      </c>
      <c r="Q39" s="16"/>
      <c r="R39" s="16">
        <f t="shared" si="4"/>
        <v>-6.9444444444444397E-3</v>
      </c>
      <c r="S39" s="16"/>
      <c r="T39" s="16" t="e">
        <f>VLOOKUP(E39,'[2]21-3-2026'!E$3:T$35,16,FALSE)</f>
        <v>#N/A</v>
      </c>
      <c r="U39" s="16"/>
      <c r="V39" s="16" t="e">
        <f t="shared" si="5"/>
        <v>#N/A</v>
      </c>
      <c r="W39" s="16"/>
      <c r="X39" s="16"/>
      <c r="Y39" s="16"/>
      <c r="Z39" s="16">
        <f t="shared" si="6"/>
        <v>0</v>
      </c>
      <c r="AA39" s="16">
        <f t="shared" si="0"/>
        <v>0</v>
      </c>
      <c r="AB39" s="16"/>
      <c r="AC39" s="17"/>
      <c r="AD39" s="51"/>
    </row>
    <row r="40" spans="1:30" ht="19.5" thickBot="1" x14ac:dyDescent="0.3">
      <c r="A40" s="14">
        <v>5</v>
      </c>
      <c r="B40" s="15"/>
      <c r="C40" s="15" t="e">
        <f>VLOOKUP(B40,داتا!$B$3:$D$107,2,FALSE)</f>
        <v>#N/A</v>
      </c>
      <c r="D40" s="34" t="e">
        <f>VLOOKUP(B40,داتا!$B$3:$D$107,3,FALSE)</f>
        <v>#N/A</v>
      </c>
      <c r="E40" s="15"/>
      <c r="F40" s="15"/>
      <c r="G40" s="16">
        <v>0.25</v>
      </c>
      <c r="H40" s="16" t="e">
        <f t="shared" si="7"/>
        <v>#N/A</v>
      </c>
      <c r="I40" s="16" t="e">
        <f t="shared" si="1"/>
        <v>#N/A</v>
      </c>
      <c r="J40" s="16"/>
      <c r="K40" s="16"/>
      <c r="L40" s="16"/>
      <c r="M40" s="16"/>
      <c r="N40" s="16">
        <f t="shared" si="2"/>
        <v>0</v>
      </c>
      <c r="O40" s="16" t="e">
        <f t="shared" si="3"/>
        <v>#N/A</v>
      </c>
      <c r="P40" s="16">
        <v>6.9444444444444397E-3</v>
      </c>
      <c r="Q40" s="16"/>
      <c r="R40" s="16">
        <f t="shared" si="4"/>
        <v>-6.9444444444444397E-3</v>
      </c>
      <c r="S40" s="16"/>
      <c r="T40" s="16" t="e">
        <f>VLOOKUP(E40,'[2]21-3-2026'!E$3:T$35,16,FALSE)</f>
        <v>#N/A</v>
      </c>
      <c r="U40" s="16"/>
      <c r="V40" s="16" t="e">
        <f t="shared" si="5"/>
        <v>#N/A</v>
      </c>
      <c r="W40" s="16"/>
      <c r="X40" s="16"/>
      <c r="Y40" s="16"/>
      <c r="Z40" s="16">
        <f t="shared" si="6"/>
        <v>0</v>
      </c>
      <c r="AA40" s="16">
        <f t="shared" si="0"/>
        <v>0</v>
      </c>
      <c r="AB40" s="16"/>
      <c r="AC40" s="17"/>
      <c r="AD40" s="51"/>
    </row>
    <row r="41" spans="1:30" ht="19.5" thickBot="1" x14ac:dyDescent="0.3">
      <c r="A41" s="14">
        <v>6</v>
      </c>
      <c r="B41" s="15"/>
      <c r="C41" s="15" t="e">
        <f>VLOOKUP(B41,داتا!$B$3:$D$107,2,FALSE)</f>
        <v>#N/A</v>
      </c>
      <c r="D41" s="34" t="e">
        <f>VLOOKUP(B41,داتا!$B$3:$D$107,3,FALSE)</f>
        <v>#N/A</v>
      </c>
      <c r="E41" s="15"/>
      <c r="F41" s="15"/>
      <c r="G41" s="16">
        <v>0.25</v>
      </c>
      <c r="H41" s="16" t="e">
        <f t="shared" si="7"/>
        <v>#N/A</v>
      </c>
      <c r="I41" s="16" t="e">
        <f t="shared" si="1"/>
        <v>#N/A</v>
      </c>
      <c r="J41" s="16"/>
      <c r="K41" s="16"/>
      <c r="L41" s="16"/>
      <c r="M41" s="16"/>
      <c r="N41" s="16">
        <f t="shared" si="2"/>
        <v>0</v>
      </c>
      <c r="O41" s="16" t="e">
        <f t="shared" si="3"/>
        <v>#N/A</v>
      </c>
      <c r="P41" s="16">
        <v>6.9444444444444397E-3</v>
      </c>
      <c r="Q41" s="16"/>
      <c r="R41" s="16">
        <f t="shared" si="4"/>
        <v>-6.9444444444444397E-3</v>
      </c>
      <c r="S41" s="16"/>
      <c r="T41" s="16" t="e">
        <f>VLOOKUP(E41,'[2]21-3-2026'!E$3:T$35,16,FALSE)</f>
        <v>#N/A</v>
      </c>
      <c r="U41" s="16"/>
      <c r="V41" s="16" t="e">
        <f t="shared" si="5"/>
        <v>#N/A</v>
      </c>
      <c r="W41" s="16"/>
      <c r="X41" s="16"/>
      <c r="Y41" s="16"/>
      <c r="Z41" s="16">
        <f t="shared" si="6"/>
        <v>0</v>
      </c>
      <c r="AA41" s="16">
        <f t="shared" si="0"/>
        <v>0</v>
      </c>
      <c r="AB41" s="16"/>
      <c r="AC41" s="17"/>
      <c r="AD41" s="51"/>
    </row>
    <row r="42" spans="1:30" ht="19.5" thickBot="1" x14ac:dyDescent="0.3">
      <c r="A42" s="14">
        <v>7</v>
      </c>
      <c r="B42" s="15"/>
      <c r="C42" s="15" t="e">
        <f>VLOOKUP(B42,داتا!$B$3:$D$107,2,FALSE)</f>
        <v>#N/A</v>
      </c>
      <c r="D42" s="34" t="e">
        <f>VLOOKUP(B42,داتا!$B$3:$D$107,3,FALSE)</f>
        <v>#N/A</v>
      </c>
      <c r="E42" s="15"/>
      <c r="F42" s="15"/>
      <c r="G42" s="16">
        <v>0.25</v>
      </c>
      <c r="H42" s="16" t="e">
        <f t="shared" si="7"/>
        <v>#N/A</v>
      </c>
      <c r="I42" s="16" t="e">
        <f t="shared" si="1"/>
        <v>#N/A</v>
      </c>
      <c r="J42" s="16"/>
      <c r="K42" s="16"/>
      <c r="L42" s="16"/>
      <c r="M42" s="16"/>
      <c r="N42" s="16">
        <f t="shared" si="2"/>
        <v>0</v>
      </c>
      <c r="O42" s="16" t="e">
        <f t="shared" si="3"/>
        <v>#N/A</v>
      </c>
      <c r="P42" s="16">
        <v>6.9444444444444397E-3</v>
      </c>
      <c r="Q42" s="16"/>
      <c r="R42" s="16">
        <f t="shared" si="4"/>
        <v>-6.9444444444444397E-3</v>
      </c>
      <c r="S42" s="16"/>
      <c r="T42" s="16" t="e">
        <f>VLOOKUP(E42,'[2]21-3-2026'!E$3:T$35,16,FALSE)</f>
        <v>#N/A</v>
      </c>
      <c r="U42" s="16"/>
      <c r="V42" s="16" t="e">
        <f t="shared" si="5"/>
        <v>#N/A</v>
      </c>
      <c r="W42" s="16"/>
      <c r="X42" s="16"/>
      <c r="Y42" s="16"/>
      <c r="Z42" s="16">
        <f t="shared" si="6"/>
        <v>0</v>
      </c>
      <c r="AA42" s="16">
        <f t="shared" si="0"/>
        <v>0</v>
      </c>
      <c r="AB42" s="16"/>
      <c r="AC42" s="17"/>
      <c r="AD42" s="51"/>
    </row>
    <row r="43" spans="1:30" ht="19.5" thickBot="1" x14ac:dyDescent="0.3">
      <c r="A43" s="14">
        <v>8</v>
      </c>
      <c r="B43" s="15"/>
      <c r="C43" s="15" t="e">
        <f>VLOOKUP(B43,داتا!$B$3:$D$107,2,FALSE)</f>
        <v>#N/A</v>
      </c>
      <c r="D43" s="34" t="e">
        <f>VLOOKUP(B43,داتا!$B$3:$D$107,3,FALSE)</f>
        <v>#N/A</v>
      </c>
      <c r="E43" s="15"/>
      <c r="F43" s="15"/>
      <c r="G43" s="16">
        <v>0.25</v>
      </c>
      <c r="H43" s="16" t="e">
        <f t="shared" si="7"/>
        <v>#N/A</v>
      </c>
      <c r="I43" s="16" t="e">
        <f t="shared" si="1"/>
        <v>#N/A</v>
      </c>
      <c r="J43" s="16"/>
      <c r="K43" s="16"/>
      <c r="L43" s="16"/>
      <c r="M43" s="16"/>
      <c r="N43" s="16">
        <f t="shared" si="2"/>
        <v>0</v>
      </c>
      <c r="O43" s="16" t="e">
        <f t="shared" si="3"/>
        <v>#N/A</v>
      </c>
      <c r="P43" s="16">
        <v>6.9444444444444397E-3</v>
      </c>
      <c r="Q43" s="16"/>
      <c r="R43" s="16">
        <f t="shared" si="4"/>
        <v>-6.9444444444444397E-3</v>
      </c>
      <c r="S43" s="16"/>
      <c r="T43" s="16" t="e">
        <f>VLOOKUP(E43,'[2]21-3-2026'!E$3:T$35,16,FALSE)</f>
        <v>#N/A</v>
      </c>
      <c r="U43" s="16"/>
      <c r="V43" s="16" t="e">
        <f t="shared" si="5"/>
        <v>#N/A</v>
      </c>
      <c r="W43" s="16"/>
      <c r="X43" s="16"/>
      <c r="Y43" s="16"/>
      <c r="Z43" s="16">
        <f t="shared" si="6"/>
        <v>0</v>
      </c>
      <c r="AA43" s="16">
        <f t="shared" si="0"/>
        <v>0</v>
      </c>
      <c r="AB43" s="16"/>
      <c r="AC43" s="17"/>
      <c r="AD43" s="51"/>
    </row>
    <row r="44" spans="1:30" ht="19.5" thickBot="1" x14ac:dyDescent="0.3">
      <c r="A44" s="14">
        <v>9</v>
      </c>
      <c r="B44" s="15"/>
      <c r="C44" s="15" t="e">
        <f>VLOOKUP(B44,داتا!$B$3:$D$107,2,FALSE)</f>
        <v>#N/A</v>
      </c>
      <c r="D44" s="34" t="e">
        <f>VLOOKUP(B44,داتا!$B$3:$D$107,3,FALSE)</f>
        <v>#N/A</v>
      </c>
      <c r="E44" s="15"/>
      <c r="F44" s="15"/>
      <c r="G44" s="16">
        <v>0.25</v>
      </c>
      <c r="H44" s="16" t="e">
        <f t="shared" si="7"/>
        <v>#N/A</v>
      </c>
      <c r="I44" s="16" t="e">
        <f t="shared" si="1"/>
        <v>#N/A</v>
      </c>
      <c r="J44" s="16"/>
      <c r="K44" s="16"/>
      <c r="L44" s="16"/>
      <c r="M44" s="16"/>
      <c r="N44" s="16">
        <f t="shared" si="2"/>
        <v>0</v>
      </c>
      <c r="O44" s="16" t="e">
        <f t="shared" si="3"/>
        <v>#N/A</v>
      </c>
      <c r="P44" s="16">
        <v>6.9444444444444397E-3</v>
      </c>
      <c r="Q44" s="16"/>
      <c r="R44" s="16">
        <f t="shared" si="4"/>
        <v>-6.9444444444444397E-3</v>
      </c>
      <c r="S44" s="16"/>
      <c r="T44" s="16" t="e">
        <f>VLOOKUP(E44,'[2]21-3-2026'!E$3:T$35,16,FALSE)</f>
        <v>#N/A</v>
      </c>
      <c r="U44" s="16"/>
      <c r="V44" s="16" t="e">
        <f t="shared" si="5"/>
        <v>#N/A</v>
      </c>
      <c r="W44" s="16"/>
      <c r="X44" s="16"/>
      <c r="Y44" s="16"/>
      <c r="Z44" s="16">
        <f t="shared" si="6"/>
        <v>0</v>
      </c>
      <c r="AA44" s="16">
        <f t="shared" si="0"/>
        <v>0</v>
      </c>
      <c r="AB44" s="16"/>
      <c r="AC44" s="17"/>
      <c r="AD44" s="51"/>
    </row>
    <row r="45" spans="1:30" ht="19.5" thickBot="1" x14ac:dyDescent="0.3">
      <c r="A45" s="14">
        <v>10</v>
      </c>
      <c r="B45" s="15"/>
      <c r="C45" s="15" t="e">
        <f>VLOOKUP(B45,داتا!$B$3:$D$107,2,FALSE)</f>
        <v>#N/A</v>
      </c>
      <c r="D45" s="34" t="e">
        <f>VLOOKUP(B45,داتا!$B$3:$D$107,3,FALSE)</f>
        <v>#N/A</v>
      </c>
      <c r="E45" s="15"/>
      <c r="F45" s="15"/>
      <c r="G45" s="16">
        <v>0.25</v>
      </c>
      <c r="H45" s="16" t="e">
        <f t="shared" si="7"/>
        <v>#N/A</v>
      </c>
      <c r="I45" s="16" t="e">
        <f t="shared" si="1"/>
        <v>#N/A</v>
      </c>
      <c r="J45" s="16"/>
      <c r="K45" s="16"/>
      <c r="L45" s="16"/>
      <c r="M45" s="16"/>
      <c r="N45" s="16">
        <f t="shared" si="2"/>
        <v>0</v>
      </c>
      <c r="O45" s="16" t="e">
        <f t="shared" si="3"/>
        <v>#N/A</v>
      </c>
      <c r="P45" s="16">
        <v>6.9444444444444397E-3</v>
      </c>
      <c r="Q45" s="16"/>
      <c r="R45" s="16">
        <f t="shared" si="4"/>
        <v>-6.9444444444444397E-3</v>
      </c>
      <c r="S45" s="16"/>
      <c r="T45" s="16" t="e">
        <f>VLOOKUP(E45,'[2]21-3-2026'!E$3:T$35,16,FALSE)</f>
        <v>#N/A</v>
      </c>
      <c r="U45" s="16"/>
      <c r="V45" s="16" t="e">
        <f t="shared" si="5"/>
        <v>#N/A</v>
      </c>
      <c r="W45" s="16"/>
      <c r="X45" s="16"/>
      <c r="Y45" s="16"/>
      <c r="Z45" s="16">
        <f t="shared" si="6"/>
        <v>0</v>
      </c>
      <c r="AA45" s="16">
        <f t="shared" si="0"/>
        <v>0</v>
      </c>
      <c r="AB45" s="16"/>
      <c r="AC45" s="17"/>
      <c r="AD45" s="51"/>
    </row>
    <row r="46" spans="1:30" ht="19.5" thickBot="1" x14ac:dyDescent="0.3">
      <c r="A46" s="14">
        <v>11</v>
      </c>
      <c r="B46" s="15"/>
      <c r="C46" s="15" t="e">
        <f>VLOOKUP(B46,داتا!$B$3:$D$107,2,FALSE)</f>
        <v>#N/A</v>
      </c>
      <c r="D46" s="34" t="e">
        <f>VLOOKUP(B46,داتا!$B$3:$D$107,3,FALSE)</f>
        <v>#N/A</v>
      </c>
      <c r="E46" s="15"/>
      <c r="F46" s="15"/>
      <c r="G46" s="16">
        <v>0.25</v>
      </c>
      <c r="H46" s="16" t="e">
        <f t="shared" si="7"/>
        <v>#N/A</v>
      </c>
      <c r="I46" s="16" t="e">
        <f t="shared" si="1"/>
        <v>#N/A</v>
      </c>
      <c r="J46" s="16"/>
      <c r="K46" s="16"/>
      <c r="L46" s="16"/>
      <c r="M46" s="16"/>
      <c r="N46" s="16">
        <f t="shared" si="2"/>
        <v>0</v>
      </c>
      <c r="O46" s="16" t="e">
        <f t="shared" si="3"/>
        <v>#N/A</v>
      </c>
      <c r="P46" s="16">
        <v>6.9444444444444397E-3</v>
      </c>
      <c r="Q46" s="16"/>
      <c r="R46" s="16">
        <f t="shared" si="4"/>
        <v>-6.9444444444444397E-3</v>
      </c>
      <c r="S46" s="16"/>
      <c r="T46" s="16" t="e">
        <f>VLOOKUP(E46,'[2]21-3-2026'!E$3:T$35,16,FALSE)</f>
        <v>#N/A</v>
      </c>
      <c r="U46" s="16"/>
      <c r="V46" s="16" t="e">
        <f t="shared" si="5"/>
        <v>#N/A</v>
      </c>
      <c r="W46" s="16"/>
      <c r="X46" s="16"/>
      <c r="Y46" s="16"/>
      <c r="Z46" s="16">
        <f t="shared" si="6"/>
        <v>0</v>
      </c>
      <c r="AA46" s="16">
        <f t="shared" si="0"/>
        <v>0</v>
      </c>
      <c r="AB46" s="16"/>
      <c r="AC46" s="17"/>
      <c r="AD46" s="51"/>
    </row>
    <row r="47" spans="1:30" ht="19.5" thickBot="1" x14ac:dyDescent="0.3">
      <c r="A47" s="14">
        <v>12</v>
      </c>
      <c r="B47" s="15"/>
      <c r="C47" s="15" t="e">
        <f>VLOOKUP(B47,داتا!$B$3:$D$107,2,FALSE)</f>
        <v>#N/A</v>
      </c>
      <c r="D47" s="34" t="e">
        <f>VLOOKUP(B47,داتا!$B$3:$D$107,3,FALSE)</f>
        <v>#N/A</v>
      </c>
      <c r="E47" s="15"/>
      <c r="F47" s="15"/>
      <c r="G47" s="16">
        <v>0.25</v>
      </c>
      <c r="H47" s="16" t="e">
        <f t="shared" si="7"/>
        <v>#N/A</v>
      </c>
      <c r="I47" s="16" t="e">
        <f t="shared" si="1"/>
        <v>#N/A</v>
      </c>
      <c r="J47" s="16"/>
      <c r="K47" s="16"/>
      <c r="L47" s="16"/>
      <c r="M47" s="16"/>
      <c r="N47" s="16">
        <f t="shared" si="2"/>
        <v>0</v>
      </c>
      <c r="O47" s="16" t="e">
        <f t="shared" si="3"/>
        <v>#N/A</v>
      </c>
      <c r="P47" s="16">
        <v>6.9444444444444397E-3</v>
      </c>
      <c r="Q47" s="16"/>
      <c r="R47" s="16">
        <f t="shared" si="4"/>
        <v>-6.9444444444444397E-3</v>
      </c>
      <c r="S47" s="16"/>
      <c r="T47" s="16" t="e">
        <f>VLOOKUP(E47,'[2]21-3-2026'!E$3:T$35,16,FALSE)</f>
        <v>#N/A</v>
      </c>
      <c r="U47" s="16"/>
      <c r="V47" s="16" t="e">
        <f t="shared" si="5"/>
        <v>#N/A</v>
      </c>
      <c r="W47" s="16"/>
      <c r="X47" s="16"/>
      <c r="Y47" s="16"/>
      <c r="Z47" s="16">
        <f t="shared" si="6"/>
        <v>0</v>
      </c>
      <c r="AA47" s="16">
        <f t="shared" si="0"/>
        <v>0</v>
      </c>
      <c r="AB47" s="16"/>
      <c r="AC47" s="17"/>
      <c r="AD47" s="51"/>
    </row>
    <row r="48" spans="1:30" ht="19.5" thickBot="1" x14ac:dyDescent="0.3">
      <c r="A48" s="14">
        <v>13</v>
      </c>
      <c r="B48" s="15"/>
      <c r="C48" s="15" t="e">
        <f>VLOOKUP(B48,داتا!$B$3:$D$107,2,FALSE)</f>
        <v>#N/A</v>
      </c>
      <c r="D48" s="34" t="e">
        <f>VLOOKUP(B48,داتا!$B$3:$D$107,3,FALSE)</f>
        <v>#N/A</v>
      </c>
      <c r="E48" s="15"/>
      <c r="F48" s="15"/>
      <c r="G48" s="16">
        <v>0.25</v>
      </c>
      <c r="H48" s="16" t="e">
        <f t="shared" si="7"/>
        <v>#N/A</v>
      </c>
      <c r="I48" s="16" t="e">
        <f t="shared" si="1"/>
        <v>#N/A</v>
      </c>
      <c r="J48" s="16"/>
      <c r="K48" s="16"/>
      <c r="L48" s="16"/>
      <c r="M48" s="16"/>
      <c r="N48" s="16">
        <f t="shared" si="2"/>
        <v>0</v>
      </c>
      <c r="O48" s="16" t="e">
        <f t="shared" si="3"/>
        <v>#N/A</v>
      </c>
      <c r="P48" s="16">
        <v>6.9444444444444397E-3</v>
      </c>
      <c r="Q48" s="16"/>
      <c r="R48" s="16">
        <f t="shared" si="4"/>
        <v>-6.9444444444444397E-3</v>
      </c>
      <c r="S48" s="16"/>
      <c r="T48" s="16" t="e">
        <f>VLOOKUP(E48,'[2]21-3-2026'!E$3:T$35,16,FALSE)</f>
        <v>#N/A</v>
      </c>
      <c r="U48" s="16"/>
      <c r="V48" s="16" t="e">
        <f t="shared" si="5"/>
        <v>#N/A</v>
      </c>
      <c r="W48" s="16"/>
      <c r="X48" s="16"/>
      <c r="Y48" s="16"/>
      <c r="Z48" s="16">
        <f t="shared" si="6"/>
        <v>0</v>
      </c>
      <c r="AA48" s="16">
        <f t="shared" si="0"/>
        <v>0</v>
      </c>
      <c r="AB48" s="16"/>
      <c r="AC48" s="17"/>
      <c r="AD48" s="51"/>
    </row>
    <row r="49" spans="1:30" ht="19.5" thickBot="1" x14ac:dyDescent="0.3">
      <c r="A49" s="14">
        <v>14</v>
      </c>
      <c r="B49" s="15"/>
      <c r="C49" s="15" t="e">
        <f>VLOOKUP(B49,داتا!$B$3:$D$107,2,FALSE)</f>
        <v>#N/A</v>
      </c>
      <c r="D49" s="34" t="e">
        <f>VLOOKUP(B49,داتا!$B$3:$D$107,3,FALSE)</f>
        <v>#N/A</v>
      </c>
      <c r="E49" s="15"/>
      <c r="F49" s="15"/>
      <c r="G49" s="16">
        <v>0.25</v>
      </c>
      <c r="H49" s="16" t="e">
        <f t="shared" si="7"/>
        <v>#N/A</v>
      </c>
      <c r="I49" s="16" t="e">
        <f t="shared" si="1"/>
        <v>#N/A</v>
      </c>
      <c r="J49" s="16"/>
      <c r="K49" s="16"/>
      <c r="L49" s="16"/>
      <c r="M49" s="16"/>
      <c r="N49" s="16">
        <f t="shared" si="2"/>
        <v>0</v>
      </c>
      <c r="O49" s="16" t="e">
        <f t="shared" si="3"/>
        <v>#N/A</v>
      </c>
      <c r="P49" s="16">
        <v>6.9444444444444397E-3</v>
      </c>
      <c r="Q49" s="16"/>
      <c r="R49" s="16">
        <f t="shared" si="4"/>
        <v>-6.9444444444444397E-3</v>
      </c>
      <c r="S49" s="16"/>
      <c r="T49" s="16" t="e">
        <f>VLOOKUP(E49,'[2]21-3-2026'!E$3:T$35,16,FALSE)</f>
        <v>#N/A</v>
      </c>
      <c r="U49" s="16"/>
      <c r="V49" s="16" t="e">
        <f t="shared" si="5"/>
        <v>#N/A</v>
      </c>
      <c r="W49" s="16"/>
      <c r="X49" s="16"/>
      <c r="Y49" s="16"/>
      <c r="Z49" s="16">
        <f t="shared" si="6"/>
        <v>0</v>
      </c>
      <c r="AA49" s="16">
        <f t="shared" si="0"/>
        <v>0</v>
      </c>
      <c r="AB49" s="16"/>
      <c r="AC49" s="17"/>
      <c r="AD49" s="51"/>
    </row>
    <row r="50" spans="1:30" ht="19.5" thickBot="1" x14ac:dyDescent="0.3">
      <c r="A50" s="14">
        <v>15</v>
      </c>
      <c r="B50" s="15"/>
      <c r="C50" s="15" t="e">
        <f>VLOOKUP(B50,داتا!$B$3:$D$107,2,FALSE)</f>
        <v>#N/A</v>
      </c>
      <c r="D50" s="34" t="e">
        <f>VLOOKUP(B50,داتا!$B$3:$D$107,3,FALSE)</f>
        <v>#N/A</v>
      </c>
      <c r="E50" s="15"/>
      <c r="F50" s="15"/>
      <c r="G50" s="16">
        <v>0.25</v>
      </c>
      <c r="H50" s="16" t="e">
        <f t="shared" si="7"/>
        <v>#N/A</v>
      </c>
      <c r="I50" s="16" t="e">
        <f t="shared" si="1"/>
        <v>#N/A</v>
      </c>
      <c r="J50" s="16"/>
      <c r="K50" s="16"/>
      <c r="L50" s="16"/>
      <c r="M50" s="16"/>
      <c r="N50" s="16">
        <f t="shared" si="2"/>
        <v>0</v>
      </c>
      <c r="O50" s="16" t="e">
        <f t="shared" si="3"/>
        <v>#N/A</v>
      </c>
      <c r="P50" s="16">
        <v>6.9444444444444397E-3</v>
      </c>
      <c r="Q50" s="16"/>
      <c r="R50" s="16">
        <f t="shared" si="4"/>
        <v>-6.9444444444444397E-3</v>
      </c>
      <c r="S50" s="16"/>
      <c r="T50" s="16" t="e">
        <f>VLOOKUP(E50,'[2]21-3-2026'!E$3:T$35,16,FALSE)</f>
        <v>#N/A</v>
      </c>
      <c r="U50" s="16"/>
      <c r="V50" s="16" t="e">
        <f t="shared" si="5"/>
        <v>#N/A</v>
      </c>
      <c r="W50" s="16"/>
      <c r="X50" s="16"/>
      <c r="Y50" s="16"/>
      <c r="Z50" s="16">
        <f t="shared" si="6"/>
        <v>0</v>
      </c>
      <c r="AA50" s="16">
        <f t="shared" si="0"/>
        <v>0</v>
      </c>
      <c r="AB50" s="16"/>
      <c r="AC50" s="17"/>
      <c r="AD50" s="51"/>
    </row>
    <row r="51" spans="1:30" ht="19.5" thickBot="1" x14ac:dyDescent="0.3">
      <c r="A51" s="14">
        <v>16</v>
      </c>
      <c r="B51" s="15"/>
      <c r="C51" s="15" t="e">
        <f>VLOOKUP(B51,داتا!$B$3:$D$107,2,FALSE)</f>
        <v>#N/A</v>
      </c>
      <c r="D51" s="34" t="e">
        <f>VLOOKUP(B51,داتا!$B$3:$D$107,3,FALSE)</f>
        <v>#N/A</v>
      </c>
      <c r="E51" s="15"/>
      <c r="F51" s="15"/>
      <c r="G51" s="16">
        <v>0.25</v>
      </c>
      <c r="H51" s="16" t="e">
        <f t="shared" si="7"/>
        <v>#N/A</v>
      </c>
      <c r="I51" s="16" t="e">
        <f t="shared" si="1"/>
        <v>#N/A</v>
      </c>
      <c r="J51" s="16"/>
      <c r="K51" s="16"/>
      <c r="L51" s="16"/>
      <c r="M51" s="16"/>
      <c r="N51" s="16">
        <f t="shared" si="2"/>
        <v>0</v>
      </c>
      <c r="O51" s="16" t="e">
        <f t="shared" si="3"/>
        <v>#N/A</v>
      </c>
      <c r="P51" s="16">
        <v>6.9444444444444397E-3</v>
      </c>
      <c r="Q51" s="16"/>
      <c r="R51" s="16">
        <f t="shared" si="4"/>
        <v>-6.9444444444444397E-3</v>
      </c>
      <c r="S51" s="16"/>
      <c r="T51" s="16" t="e">
        <f>VLOOKUP(E51,'[2]21-3-2026'!E$3:T$35,16,FALSE)</f>
        <v>#N/A</v>
      </c>
      <c r="U51" s="16"/>
      <c r="V51" s="16" t="e">
        <f t="shared" si="5"/>
        <v>#N/A</v>
      </c>
      <c r="W51" s="16"/>
      <c r="X51" s="16"/>
      <c r="Y51" s="16"/>
      <c r="Z51" s="16">
        <f t="shared" si="6"/>
        <v>0</v>
      </c>
      <c r="AA51" s="16">
        <f t="shared" si="0"/>
        <v>0</v>
      </c>
      <c r="AB51" s="16"/>
      <c r="AC51" s="17"/>
      <c r="AD51" s="51"/>
    </row>
    <row r="52" spans="1:30" ht="19.5" thickBot="1" x14ac:dyDescent="0.3">
      <c r="A52" s="14">
        <v>17</v>
      </c>
      <c r="B52" s="15"/>
      <c r="C52" s="15" t="e">
        <f>VLOOKUP(B52,داتا!$B$3:$D$107,2,FALSE)</f>
        <v>#N/A</v>
      </c>
      <c r="D52" s="34" t="e">
        <f>VLOOKUP(B52,داتا!$B$3:$D$107,3,FALSE)</f>
        <v>#N/A</v>
      </c>
      <c r="E52" s="15"/>
      <c r="F52" s="15"/>
      <c r="G52" s="16">
        <v>0.25</v>
      </c>
      <c r="H52" s="16" t="e">
        <f t="shared" si="7"/>
        <v>#N/A</v>
      </c>
      <c r="I52" s="16" t="e">
        <f t="shared" si="1"/>
        <v>#N/A</v>
      </c>
      <c r="J52" s="16"/>
      <c r="K52" s="16"/>
      <c r="L52" s="16"/>
      <c r="M52" s="16"/>
      <c r="N52" s="16">
        <f t="shared" si="2"/>
        <v>0</v>
      </c>
      <c r="O52" s="16" t="e">
        <f t="shared" si="3"/>
        <v>#N/A</v>
      </c>
      <c r="P52" s="16">
        <v>6.9444444444444397E-3</v>
      </c>
      <c r="Q52" s="16"/>
      <c r="R52" s="16">
        <f t="shared" si="4"/>
        <v>-6.9444444444444397E-3</v>
      </c>
      <c r="S52" s="16"/>
      <c r="T52" s="16" t="e">
        <f>VLOOKUP(E52,'[2]21-3-2026'!E$3:T$35,16,FALSE)</f>
        <v>#N/A</v>
      </c>
      <c r="U52" s="16"/>
      <c r="V52" s="16" t="e">
        <f t="shared" si="5"/>
        <v>#N/A</v>
      </c>
      <c r="W52" s="16"/>
      <c r="X52" s="16"/>
      <c r="Y52" s="16"/>
      <c r="Z52" s="16">
        <f t="shared" si="6"/>
        <v>0</v>
      </c>
      <c r="AA52" s="16">
        <f t="shared" si="0"/>
        <v>0</v>
      </c>
      <c r="AB52" s="16"/>
      <c r="AC52" s="17"/>
      <c r="AD52" s="51"/>
    </row>
    <row r="53" spans="1:30" ht="19.5" thickBot="1" x14ac:dyDescent="0.3">
      <c r="A53" s="14">
        <v>18</v>
      </c>
      <c r="B53" s="15"/>
      <c r="C53" s="15" t="e">
        <f>VLOOKUP(B53,داتا!$B$3:$D$107,2,FALSE)</f>
        <v>#N/A</v>
      </c>
      <c r="D53" s="34" t="e">
        <f>VLOOKUP(B53,داتا!$B$3:$D$107,3,FALSE)</f>
        <v>#N/A</v>
      </c>
      <c r="E53" s="15"/>
      <c r="F53" s="15"/>
      <c r="G53" s="16">
        <v>0.25</v>
      </c>
      <c r="H53" s="16" t="e">
        <f t="shared" ref="H53:H68" si="8">VLOOKUP(G53,$F$3:$I$35,2,FALSE)</f>
        <v>#N/A</v>
      </c>
      <c r="I53" s="16" t="e">
        <f t="shared" si="1"/>
        <v>#N/A</v>
      </c>
      <c r="J53" s="16"/>
      <c r="K53" s="16"/>
      <c r="L53" s="16"/>
      <c r="M53" s="16"/>
      <c r="N53" s="16">
        <f t="shared" si="2"/>
        <v>0</v>
      </c>
      <c r="O53" s="16" t="e">
        <f t="shared" si="3"/>
        <v>#N/A</v>
      </c>
      <c r="P53" s="16">
        <v>6.9444444444444397E-3</v>
      </c>
      <c r="Q53" s="16"/>
      <c r="R53" s="16">
        <f t="shared" si="4"/>
        <v>-6.9444444444444397E-3</v>
      </c>
      <c r="S53" s="16"/>
      <c r="T53" s="16" t="e">
        <f>VLOOKUP(E53,'[2]21-3-2026'!E$3:T$35,16,FALSE)</f>
        <v>#N/A</v>
      </c>
      <c r="U53" s="16"/>
      <c r="V53" s="16" t="e">
        <f t="shared" si="5"/>
        <v>#N/A</v>
      </c>
      <c r="W53" s="16"/>
      <c r="X53" s="16"/>
      <c r="Y53" s="16"/>
      <c r="Z53" s="16">
        <f t="shared" si="6"/>
        <v>0</v>
      </c>
      <c r="AA53" s="16">
        <f t="shared" si="0"/>
        <v>0</v>
      </c>
      <c r="AB53" s="16"/>
      <c r="AC53" s="17"/>
      <c r="AD53" s="51"/>
    </row>
    <row r="54" spans="1:30" ht="19.5" thickBot="1" x14ac:dyDescent="0.3">
      <c r="A54" s="14">
        <v>19</v>
      </c>
      <c r="B54" s="15"/>
      <c r="C54" s="15" t="e">
        <f>VLOOKUP(B54,داتا!$B$3:$D$107,2,FALSE)</f>
        <v>#N/A</v>
      </c>
      <c r="D54" s="34" t="e">
        <f>VLOOKUP(B54,داتا!$B$3:$D$107,3,FALSE)</f>
        <v>#N/A</v>
      </c>
      <c r="E54" s="15"/>
      <c r="F54" s="15"/>
      <c r="G54" s="16">
        <v>0.25</v>
      </c>
      <c r="H54" s="16" t="e">
        <f t="shared" si="8"/>
        <v>#N/A</v>
      </c>
      <c r="I54" s="16" t="e">
        <f t="shared" si="1"/>
        <v>#N/A</v>
      </c>
      <c r="J54" s="16"/>
      <c r="K54" s="16"/>
      <c r="L54" s="16"/>
      <c r="M54" s="16"/>
      <c r="N54" s="16">
        <f t="shared" si="2"/>
        <v>0</v>
      </c>
      <c r="O54" s="16" t="e">
        <f t="shared" si="3"/>
        <v>#N/A</v>
      </c>
      <c r="P54" s="16">
        <v>6.9444444444444397E-3</v>
      </c>
      <c r="Q54" s="16"/>
      <c r="R54" s="16">
        <f t="shared" si="4"/>
        <v>-6.9444444444444397E-3</v>
      </c>
      <c r="S54" s="16"/>
      <c r="T54" s="16" t="e">
        <f>VLOOKUP(E54,'[2]21-3-2026'!E$3:T$35,16,FALSE)</f>
        <v>#N/A</v>
      </c>
      <c r="U54" s="16"/>
      <c r="V54" s="16" t="e">
        <f t="shared" si="5"/>
        <v>#N/A</v>
      </c>
      <c r="W54" s="16"/>
      <c r="X54" s="16"/>
      <c r="Y54" s="16"/>
      <c r="Z54" s="16">
        <f t="shared" si="6"/>
        <v>0</v>
      </c>
      <c r="AA54" s="16">
        <f t="shared" si="0"/>
        <v>0</v>
      </c>
      <c r="AB54" s="16"/>
      <c r="AC54" s="17"/>
      <c r="AD54" s="51"/>
    </row>
    <row r="55" spans="1:30" ht="19.5" thickBot="1" x14ac:dyDescent="0.3">
      <c r="A55" s="14">
        <v>20</v>
      </c>
      <c r="B55" s="15"/>
      <c r="C55" s="15" t="e">
        <f>VLOOKUP(B55,داتا!$B$3:$D$107,2,FALSE)</f>
        <v>#N/A</v>
      </c>
      <c r="D55" s="34" t="e">
        <f>VLOOKUP(B55,داتا!$B$3:$D$107,3,FALSE)</f>
        <v>#N/A</v>
      </c>
      <c r="E55" s="15"/>
      <c r="F55" s="15"/>
      <c r="G55" s="16">
        <v>0.25</v>
      </c>
      <c r="H55" s="16" t="e">
        <f t="shared" si="8"/>
        <v>#N/A</v>
      </c>
      <c r="I55" s="16" t="e">
        <f t="shared" si="1"/>
        <v>#N/A</v>
      </c>
      <c r="J55" s="16"/>
      <c r="K55" s="16"/>
      <c r="L55" s="16"/>
      <c r="M55" s="16"/>
      <c r="N55" s="16">
        <f t="shared" si="2"/>
        <v>0</v>
      </c>
      <c r="O55" s="16" t="e">
        <f t="shared" si="3"/>
        <v>#N/A</v>
      </c>
      <c r="P55" s="16">
        <v>6.9444444444444397E-3</v>
      </c>
      <c r="Q55" s="16"/>
      <c r="R55" s="16">
        <f t="shared" si="4"/>
        <v>-6.9444444444444397E-3</v>
      </c>
      <c r="S55" s="16"/>
      <c r="T55" s="16" t="e">
        <f>VLOOKUP(E55,'[2]21-3-2026'!E$3:T$35,16,FALSE)</f>
        <v>#N/A</v>
      </c>
      <c r="U55" s="16"/>
      <c r="V55" s="16" t="e">
        <f t="shared" si="5"/>
        <v>#N/A</v>
      </c>
      <c r="W55" s="16"/>
      <c r="X55" s="16"/>
      <c r="Y55" s="16"/>
      <c r="Z55" s="16">
        <f t="shared" si="6"/>
        <v>0</v>
      </c>
      <c r="AA55" s="16">
        <f t="shared" si="0"/>
        <v>0</v>
      </c>
      <c r="AB55" s="16"/>
      <c r="AC55" s="17"/>
      <c r="AD55" s="51"/>
    </row>
    <row r="56" spans="1:30" ht="19.5" thickBot="1" x14ac:dyDescent="0.3">
      <c r="A56" s="14">
        <v>21</v>
      </c>
      <c r="B56" s="15"/>
      <c r="C56" s="15" t="e">
        <f>VLOOKUP(B56,داتا!$B$3:$D$107,2,FALSE)</f>
        <v>#N/A</v>
      </c>
      <c r="D56" s="34" t="e">
        <f>VLOOKUP(B56,داتا!$B$3:$D$107,3,FALSE)</f>
        <v>#N/A</v>
      </c>
      <c r="E56" s="15"/>
      <c r="F56" s="15"/>
      <c r="G56" s="16">
        <v>0.25</v>
      </c>
      <c r="H56" s="16" t="e">
        <f t="shared" si="8"/>
        <v>#N/A</v>
      </c>
      <c r="I56" s="16" t="e">
        <f t="shared" si="1"/>
        <v>#N/A</v>
      </c>
      <c r="J56" s="16"/>
      <c r="K56" s="16"/>
      <c r="L56" s="15"/>
      <c r="M56" s="15"/>
      <c r="N56" s="16">
        <f t="shared" si="2"/>
        <v>0</v>
      </c>
      <c r="O56" s="16" t="e">
        <f t="shared" si="3"/>
        <v>#N/A</v>
      </c>
      <c r="P56" s="16">
        <v>6.9444444444444397E-3</v>
      </c>
      <c r="Q56" s="16"/>
      <c r="R56" s="16">
        <f t="shared" si="4"/>
        <v>-6.9444444444444397E-3</v>
      </c>
      <c r="S56" s="16"/>
      <c r="T56" s="16" t="e">
        <f>VLOOKUP(E56,'[2]21-3-2026'!E$3:T$35,16,FALSE)</f>
        <v>#N/A</v>
      </c>
      <c r="U56" s="16"/>
      <c r="V56" s="16" t="e">
        <f t="shared" si="5"/>
        <v>#N/A</v>
      </c>
      <c r="W56" s="16"/>
      <c r="X56" s="16"/>
      <c r="Y56" s="16"/>
      <c r="Z56" s="16">
        <f t="shared" si="6"/>
        <v>0</v>
      </c>
      <c r="AA56" s="16">
        <f t="shared" si="0"/>
        <v>0</v>
      </c>
      <c r="AB56" s="16"/>
      <c r="AC56" s="17"/>
      <c r="AD56" s="51"/>
    </row>
    <row r="57" spans="1:30" ht="19.5" thickBot="1" x14ac:dyDescent="0.3">
      <c r="A57" s="14">
        <v>22</v>
      </c>
      <c r="B57" s="15"/>
      <c r="C57" s="15" t="e">
        <f>VLOOKUP(B57,داتا!$B$3:$D$107,2,FALSE)</f>
        <v>#N/A</v>
      </c>
      <c r="D57" s="34" t="e">
        <f>VLOOKUP(B57,داتا!$B$3:$D$107,3,FALSE)</f>
        <v>#N/A</v>
      </c>
      <c r="E57" s="15"/>
      <c r="F57" s="15"/>
      <c r="G57" s="16">
        <v>0.25</v>
      </c>
      <c r="H57" s="16" t="e">
        <f t="shared" si="8"/>
        <v>#N/A</v>
      </c>
      <c r="I57" s="16" t="e">
        <f t="shared" si="1"/>
        <v>#N/A</v>
      </c>
      <c r="J57" s="16"/>
      <c r="K57" s="16"/>
      <c r="L57" s="15"/>
      <c r="M57" s="15"/>
      <c r="N57" s="16">
        <f t="shared" si="2"/>
        <v>0</v>
      </c>
      <c r="O57" s="16" t="e">
        <f t="shared" si="3"/>
        <v>#N/A</v>
      </c>
      <c r="P57" s="16">
        <v>6.9444444444444397E-3</v>
      </c>
      <c r="Q57" s="16"/>
      <c r="R57" s="16">
        <f t="shared" si="4"/>
        <v>-6.9444444444444397E-3</v>
      </c>
      <c r="S57" s="16"/>
      <c r="T57" s="16" t="e">
        <f>VLOOKUP(E57,'[2]21-3-2026'!E$3:T$35,16,FALSE)</f>
        <v>#N/A</v>
      </c>
      <c r="U57" s="16"/>
      <c r="V57" s="16" t="e">
        <f t="shared" si="5"/>
        <v>#N/A</v>
      </c>
      <c r="W57" s="16"/>
      <c r="X57" s="16"/>
      <c r="Y57" s="16"/>
      <c r="Z57" s="16">
        <f t="shared" si="6"/>
        <v>0</v>
      </c>
      <c r="AA57" s="16">
        <f t="shared" si="0"/>
        <v>0</v>
      </c>
      <c r="AB57" s="16"/>
      <c r="AC57" s="17"/>
      <c r="AD57" s="51"/>
    </row>
    <row r="58" spans="1:30" ht="19.5" thickBot="1" x14ac:dyDescent="0.3">
      <c r="A58" s="14">
        <v>23</v>
      </c>
      <c r="B58" s="15"/>
      <c r="C58" s="15" t="e">
        <f>VLOOKUP(B58,داتا!$B$3:$D$107,2,FALSE)</f>
        <v>#N/A</v>
      </c>
      <c r="D58" s="34" t="e">
        <f>VLOOKUP(B58,داتا!$B$3:$D$107,3,FALSE)</f>
        <v>#N/A</v>
      </c>
      <c r="E58" s="15"/>
      <c r="F58" s="15"/>
      <c r="G58" s="16">
        <v>0.25</v>
      </c>
      <c r="H58" s="16" t="e">
        <f t="shared" si="8"/>
        <v>#N/A</v>
      </c>
      <c r="I58" s="16" t="e">
        <f t="shared" si="1"/>
        <v>#N/A</v>
      </c>
      <c r="J58" s="16"/>
      <c r="K58" s="16"/>
      <c r="L58" s="16"/>
      <c r="M58" s="16"/>
      <c r="N58" s="16">
        <f t="shared" si="2"/>
        <v>0</v>
      </c>
      <c r="O58" s="16" t="e">
        <f t="shared" si="3"/>
        <v>#N/A</v>
      </c>
      <c r="P58" s="16">
        <v>6.9444444444444397E-3</v>
      </c>
      <c r="Q58" s="16"/>
      <c r="R58" s="16">
        <f t="shared" si="4"/>
        <v>-6.9444444444444397E-3</v>
      </c>
      <c r="S58" s="16"/>
      <c r="T58" s="16" t="e">
        <f>VLOOKUP(E58,'[2]21-3-2026'!E$3:T$35,16,FALSE)</f>
        <v>#N/A</v>
      </c>
      <c r="U58" s="16"/>
      <c r="V58" s="16" t="e">
        <f t="shared" si="5"/>
        <v>#N/A</v>
      </c>
      <c r="W58" s="16"/>
      <c r="X58" s="16"/>
      <c r="Y58" s="16"/>
      <c r="Z58" s="16">
        <f t="shared" si="6"/>
        <v>0</v>
      </c>
      <c r="AA58" s="16">
        <f t="shared" si="0"/>
        <v>0</v>
      </c>
      <c r="AB58" s="16"/>
      <c r="AC58" s="17"/>
      <c r="AD58" s="51"/>
    </row>
    <row r="59" spans="1:30" ht="19.5" thickBot="1" x14ac:dyDescent="0.3">
      <c r="A59" s="14">
        <v>24</v>
      </c>
      <c r="B59" s="15"/>
      <c r="C59" s="15" t="e">
        <f>VLOOKUP(B59,داتا!$B$3:$D$107,2,FALSE)</f>
        <v>#N/A</v>
      </c>
      <c r="D59" s="34" t="e">
        <f>VLOOKUP(B59,داتا!$B$3:$D$107,3,FALSE)</f>
        <v>#N/A</v>
      </c>
      <c r="E59" s="16"/>
      <c r="F59" s="15"/>
      <c r="G59" s="16">
        <v>0.25</v>
      </c>
      <c r="H59" s="16" t="e">
        <f t="shared" si="8"/>
        <v>#N/A</v>
      </c>
      <c r="I59" s="16" t="e">
        <f t="shared" si="1"/>
        <v>#N/A</v>
      </c>
      <c r="J59" s="16"/>
      <c r="K59" s="16"/>
      <c r="L59" s="15"/>
      <c r="M59" s="15"/>
      <c r="N59" s="16">
        <f t="shared" si="2"/>
        <v>0</v>
      </c>
      <c r="O59" s="16" t="e">
        <f t="shared" si="3"/>
        <v>#N/A</v>
      </c>
      <c r="P59" s="16">
        <v>6.9444444444444397E-3</v>
      </c>
      <c r="Q59" s="16"/>
      <c r="R59" s="16">
        <f t="shared" si="4"/>
        <v>-6.9444444444444397E-3</v>
      </c>
      <c r="S59" s="16"/>
      <c r="T59" s="16" t="e">
        <f>VLOOKUP(E59,'[2]21-3-2026'!E$3:T$35,16,FALSE)</f>
        <v>#N/A</v>
      </c>
      <c r="U59" s="16"/>
      <c r="V59" s="16" t="e">
        <f t="shared" si="5"/>
        <v>#N/A</v>
      </c>
      <c r="W59" s="16"/>
      <c r="X59" s="16"/>
      <c r="Y59" s="16"/>
      <c r="Z59" s="16">
        <f t="shared" si="6"/>
        <v>0</v>
      </c>
      <c r="AA59" s="16">
        <f t="shared" si="0"/>
        <v>0</v>
      </c>
      <c r="AB59" s="16"/>
      <c r="AC59" s="17"/>
      <c r="AD59" s="51"/>
    </row>
    <row r="60" spans="1:30" ht="19.5" thickBot="1" x14ac:dyDescent="0.3">
      <c r="A60" s="14">
        <v>25</v>
      </c>
      <c r="B60" s="15"/>
      <c r="C60" s="15" t="e">
        <f>VLOOKUP(B60,داتا!$B$3:$D$107,2,FALSE)</f>
        <v>#N/A</v>
      </c>
      <c r="D60" s="34" t="e">
        <f>VLOOKUP(B60,داتا!$B$3:$D$107,3,FALSE)</f>
        <v>#N/A</v>
      </c>
      <c r="E60" s="15"/>
      <c r="F60" s="15"/>
      <c r="G60" s="16">
        <v>0.25</v>
      </c>
      <c r="H60" s="16" t="e">
        <f t="shared" si="8"/>
        <v>#N/A</v>
      </c>
      <c r="I60" s="16" t="e">
        <f t="shared" si="1"/>
        <v>#N/A</v>
      </c>
      <c r="J60" s="16"/>
      <c r="K60" s="16"/>
      <c r="L60" s="16"/>
      <c r="M60" s="16"/>
      <c r="N60" s="16">
        <f t="shared" si="2"/>
        <v>0</v>
      </c>
      <c r="O60" s="16" t="e">
        <f t="shared" si="3"/>
        <v>#N/A</v>
      </c>
      <c r="P60" s="16">
        <v>6.9444444444444397E-3</v>
      </c>
      <c r="Q60" s="16"/>
      <c r="R60" s="16">
        <f t="shared" si="4"/>
        <v>-6.9444444444444397E-3</v>
      </c>
      <c r="S60" s="16"/>
      <c r="T60" s="16" t="e">
        <f>VLOOKUP(E60,'[2]21-3-2026'!E$3:T$35,16,FALSE)</f>
        <v>#N/A</v>
      </c>
      <c r="U60" s="16"/>
      <c r="V60" s="16" t="e">
        <f t="shared" si="5"/>
        <v>#N/A</v>
      </c>
      <c r="W60" s="16"/>
      <c r="X60" s="16"/>
      <c r="Y60" s="16"/>
      <c r="Z60" s="16">
        <f t="shared" si="6"/>
        <v>0</v>
      </c>
      <c r="AA60" s="16">
        <f t="shared" si="0"/>
        <v>0</v>
      </c>
      <c r="AB60" s="16"/>
      <c r="AC60" s="17"/>
      <c r="AD60" s="51"/>
    </row>
    <row r="61" spans="1:30" ht="19.5" thickBot="1" x14ac:dyDescent="0.3">
      <c r="A61" s="14">
        <v>26</v>
      </c>
      <c r="B61" s="15"/>
      <c r="C61" s="15" t="e">
        <f>VLOOKUP(B61,داتا!$B$3:$D$107,2,FALSE)</f>
        <v>#N/A</v>
      </c>
      <c r="D61" s="34" t="e">
        <f>VLOOKUP(B61,داتا!$B$3:$D$107,3,FALSE)</f>
        <v>#N/A</v>
      </c>
      <c r="E61" s="15"/>
      <c r="F61" s="15"/>
      <c r="G61" s="16">
        <v>0.25</v>
      </c>
      <c r="H61" s="16" t="e">
        <f t="shared" si="8"/>
        <v>#N/A</v>
      </c>
      <c r="I61" s="16" t="e">
        <f t="shared" si="1"/>
        <v>#N/A</v>
      </c>
      <c r="J61" s="16"/>
      <c r="K61" s="16"/>
      <c r="L61" s="16"/>
      <c r="M61" s="16"/>
      <c r="N61" s="16">
        <f t="shared" si="2"/>
        <v>0</v>
      </c>
      <c r="O61" s="16" t="e">
        <f t="shared" si="3"/>
        <v>#N/A</v>
      </c>
      <c r="P61" s="16">
        <v>6.9444444444444397E-3</v>
      </c>
      <c r="Q61" s="16"/>
      <c r="R61" s="16">
        <f t="shared" si="4"/>
        <v>-6.9444444444444397E-3</v>
      </c>
      <c r="S61" s="16"/>
      <c r="T61" s="16" t="e">
        <f>VLOOKUP(E61,'[2]21-3-2026'!E$3:T$35,16,FALSE)</f>
        <v>#N/A</v>
      </c>
      <c r="U61" s="16"/>
      <c r="V61" s="16" t="e">
        <f t="shared" si="5"/>
        <v>#N/A</v>
      </c>
      <c r="W61" s="16"/>
      <c r="X61" s="16"/>
      <c r="Y61" s="16"/>
      <c r="Z61" s="16">
        <f t="shared" si="6"/>
        <v>0</v>
      </c>
      <c r="AA61" s="16">
        <f t="shared" si="0"/>
        <v>0</v>
      </c>
      <c r="AB61" s="16"/>
      <c r="AC61" s="17"/>
      <c r="AD61" s="51"/>
    </row>
    <row r="62" spans="1:30" ht="19.5" thickBot="1" x14ac:dyDescent="0.3">
      <c r="A62" s="14">
        <v>27</v>
      </c>
      <c r="B62" s="15"/>
      <c r="C62" s="15" t="e">
        <f>VLOOKUP(B62,داتا!$B$3:$D$107,2,FALSE)</f>
        <v>#N/A</v>
      </c>
      <c r="D62" s="34" t="e">
        <f>VLOOKUP(B62,داتا!$B$3:$D$107,3,FALSE)</f>
        <v>#N/A</v>
      </c>
      <c r="E62" s="15"/>
      <c r="F62" s="15"/>
      <c r="G62" s="16">
        <v>0.25</v>
      </c>
      <c r="H62" s="16" t="e">
        <f t="shared" si="8"/>
        <v>#N/A</v>
      </c>
      <c r="I62" s="16" t="e">
        <f t="shared" si="1"/>
        <v>#N/A</v>
      </c>
      <c r="J62" s="16"/>
      <c r="K62" s="16"/>
      <c r="L62" s="16"/>
      <c r="M62" s="16"/>
      <c r="N62" s="16">
        <f t="shared" si="2"/>
        <v>0</v>
      </c>
      <c r="O62" s="16" t="e">
        <f t="shared" si="3"/>
        <v>#N/A</v>
      </c>
      <c r="P62" s="16">
        <v>6.9444444444444397E-3</v>
      </c>
      <c r="Q62" s="16"/>
      <c r="R62" s="16">
        <f t="shared" si="4"/>
        <v>-6.9444444444444397E-3</v>
      </c>
      <c r="S62" s="16"/>
      <c r="T62" s="16" t="e">
        <f>VLOOKUP(E62,'[2]21-3-2026'!E$3:T$35,16,FALSE)</f>
        <v>#N/A</v>
      </c>
      <c r="U62" s="16"/>
      <c r="V62" s="16" t="e">
        <f t="shared" si="5"/>
        <v>#N/A</v>
      </c>
      <c r="W62" s="16"/>
      <c r="X62" s="16"/>
      <c r="Y62" s="16"/>
      <c r="Z62" s="16">
        <f t="shared" si="6"/>
        <v>0</v>
      </c>
      <c r="AA62" s="16">
        <f t="shared" si="0"/>
        <v>0</v>
      </c>
      <c r="AB62" s="16"/>
      <c r="AC62" s="17"/>
      <c r="AD62" s="51"/>
    </row>
    <row r="63" spans="1:30" ht="19.5" thickBot="1" x14ac:dyDescent="0.3">
      <c r="A63" s="14">
        <v>28</v>
      </c>
      <c r="B63" s="15"/>
      <c r="C63" s="15" t="e">
        <f>VLOOKUP(B63,داتا!$B$3:$D$107,2,FALSE)</f>
        <v>#N/A</v>
      </c>
      <c r="D63" s="34" t="e">
        <f>VLOOKUP(B63,داتا!$B$3:$D$107,3,FALSE)</f>
        <v>#N/A</v>
      </c>
      <c r="E63" s="15"/>
      <c r="F63" s="15"/>
      <c r="G63" s="16">
        <v>0.25</v>
      </c>
      <c r="H63" s="16" t="e">
        <f t="shared" si="8"/>
        <v>#N/A</v>
      </c>
      <c r="I63" s="16" t="e">
        <f t="shared" si="1"/>
        <v>#N/A</v>
      </c>
      <c r="J63" s="16"/>
      <c r="K63" s="16"/>
      <c r="L63" s="16"/>
      <c r="M63" s="16"/>
      <c r="N63" s="16">
        <f t="shared" si="2"/>
        <v>0</v>
      </c>
      <c r="O63" s="16" t="e">
        <f t="shared" si="3"/>
        <v>#N/A</v>
      </c>
      <c r="P63" s="16">
        <v>6.9444444444444397E-3</v>
      </c>
      <c r="Q63" s="16"/>
      <c r="R63" s="16">
        <f t="shared" si="4"/>
        <v>-6.9444444444444397E-3</v>
      </c>
      <c r="S63" s="16"/>
      <c r="T63" s="16" t="e">
        <f>VLOOKUP(E63,'[2]21-3-2026'!E$3:T$35,16,FALSE)</f>
        <v>#N/A</v>
      </c>
      <c r="U63" s="16"/>
      <c r="V63" s="16" t="e">
        <f t="shared" si="5"/>
        <v>#N/A</v>
      </c>
      <c r="W63" s="16"/>
      <c r="X63" s="16"/>
      <c r="Y63" s="16"/>
      <c r="Z63" s="16">
        <f t="shared" si="6"/>
        <v>0</v>
      </c>
      <c r="AA63" s="16">
        <f t="shared" si="0"/>
        <v>0</v>
      </c>
      <c r="AB63" s="16"/>
      <c r="AC63" s="17"/>
      <c r="AD63" s="51"/>
    </row>
    <row r="64" spans="1:30" ht="19.5" thickBot="1" x14ac:dyDescent="0.3">
      <c r="A64" s="14">
        <v>29</v>
      </c>
      <c r="B64" s="15"/>
      <c r="C64" s="15" t="e">
        <f>VLOOKUP(B64,داتا!$B$3:$D$107,2,FALSE)</f>
        <v>#N/A</v>
      </c>
      <c r="D64" s="34" t="e">
        <f>VLOOKUP(B64,داتا!$B$3:$D$107,3,FALSE)</f>
        <v>#N/A</v>
      </c>
      <c r="E64" s="15"/>
      <c r="F64" s="15"/>
      <c r="G64" s="16">
        <v>0.25</v>
      </c>
      <c r="H64" s="16" t="e">
        <f t="shared" si="8"/>
        <v>#N/A</v>
      </c>
      <c r="I64" s="16" t="e">
        <f t="shared" si="1"/>
        <v>#N/A</v>
      </c>
      <c r="J64" s="16"/>
      <c r="K64" s="16"/>
      <c r="L64" s="16"/>
      <c r="M64" s="16"/>
      <c r="N64" s="16">
        <f t="shared" si="2"/>
        <v>0</v>
      </c>
      <c r="O64" s="16" t="e">
        <f t="shared" si="3"/>
        <v>#N/A</v>
      </c>
      <c r="P64" s="16">
        <v>6.9444444444444397E-3</v>
      </c>
      <c r="Q64" s="16"/>
      <c r="R64" s="16">
        <f t="shared" si="4"/>
        <v>-6.9444444444444397E-3</v>
      </c>
      <c r="S64" s="16"/>
      <c r="T64" s="16" t="e">
        <f>VLOOKUP(E64,'[2]21-3-2026'!E$3:T$35,16,FALSE)</f>
        <v>#N/A</v>
      </c>
      <c r="U64" s="16"/>
      <c r="V64" s="16" t="e">
        <f t="shared" si="5"/>
        <v>#N/A</v>
      </c>
      <c r="W64" s="16"/>
      <c r="X64" s="16"/>
      <c r="Y64" s="16"/>
      <c r="Z64" s="16">
        <f t="shared" si="6"/>
        <v>0</v>
      </c>
      <c r="AA64" s="16">
        <f t="shared" si="0"/>
        <v>0</v>
      </c>
      <c r="AB64" s="16"/>
      <c r="AC64" s="17"/>
      <c r="AD64" s="51"/>
    </row>
    <row r="65" spans="1:30" ht="19.5" thickBot="1" x14ac:dyDescent="0.3">
      <c r="A65" s="14">
        <v>30</v>
      </c>
      <c r="B65" s="15"/>
      <c r="C65" s="15" t="e">
        <f>VLOOKUP(B65,داتا!$B$3:$D$107,2,FALSE)</f>
        <v>#N/A</v>
      </c>
      <c r="D65" s="34" t="e">
        <f>VLOOKUP(B65,داتا!$B$3:$D$107,3,FALSE)</f>
        <v>#N/A</v>
      </c>
      <c r="E65" s="15"/>
      <c r="F65" s="15"/>
      <c r="G65" s="16">
        <v>0.25</v>
      </c>
      <c r="H65" s="16" t="e">
        <f t="shared" si="8"/>
        <v>#N/A</v>
      </c>
      <c r="I65" s="16" t="e">
        <f t="shared" si="1"/>
        <v>#N/A</v>
      </c>
      <c r="J65" s="16"/>
      <c r="K65" s="16"/>
      <c r="L65" s="16"/>
      <c r="M65" s="16"/>
      <c r="N65" s="16">
        <f t="shared" si="2"/>
        <v>0</v>
      </c>
      <c r="O65" s="16" t="e">
        <f t="shared" si="3"/>
        <v>#N/A</v>
      </c>
      <c r="P65" s="16">
        <v>6.9444444444444397E-3</v>
      </c>
      <c r="Q65" s="16"/>
      <c r="R65" s="16">
        <f t="shared" si="4"/>
        <v>-6.9444444444444397E-3</v>
      </c>
      <c r="S65" s="16"/>
      <c r="T65" s="16" t="e">
        <f>VLOOKUP(E65,'[2]21-3-2026'!E$3:T$35,16,FALSE)</f>
        <v>#N/A</v>
      </c>
      <c r="U65" s="16"/>
      <c r="V65" s="16" t="e">
        <f t="shared" si="5"/>
        <v>#N/A</v>
      </c>
      <c r="W65" s="16"/>
      <c r="X65" s="16"/>
      <c r="Y65" s="16"/>
      <c r="Z65" s="16">
        <f t="shared" si="6"/>
        <v>0</v>
      </c>
      <c r="AA65" s="16">
        <f t="shared" si="0"/>
        <v>0</v>
      </c>
      <c r="AB65" s="16"/>
      <c r="AC65" s="17"/>
      <c r="AD65" s="51"/>
    </row>
    <row r="66" spans="1:30" ht="20.25" customHeight="1" thickBot="1" x14ac:dyDescent="0.3">
      <c r="A66" s="14">
        <v>31</v>
      </c>
      <c r="B66" s="15"/>
      <c r="C66" s="15" t="e">
        <f>VLOOKUP(B66,داتا!$B$3:$D$107,2,FALSE)</f>
        <v>#N/A</v>
      </c>
      <c r="D66" s="34" t="e">
        <f>VLOOKUP(B66,داتا!$B$3:$D$107,3,FALSE)</f>
        <v>#N/A</v>
      </c>
      <c r="E66" s="15"/>
      <c r="F66" s="15"/>
      <c r="G66" s="16">
        <v>0.25</v>
      </c>
      <c r="H66" s="16" t="e">
        <f t="shared" si="8"/>
        <v>#N/A</v>
      </c>
      <c r="I66" s="16" t="e">
        <f t="shared" si="1"/>
        <v>#N/A</v>
      </c>
      <c r="J66" s="16"/>
      <c r="K66" s="16"/>
      <c r="L66" s="16"/>
      <c r="M66" s="16"/>
      <c r="N66" s="16">
        <f t="shared" si="2"/>
        <v>0</v>
      </c>
      <c r="O66" s="16" t="e">
        <f t="shared" si="3"/>
        <v>#N/A</v>
      </c>
      <c r="P66" s="16">
        <v>6.9444444444444397E-3</v>
      </c>
      <c r="Q66" s="16"/>
      <c r="R66" s="16">
        <f t="shared" si="4"/>
        <v>-6.9444444444444397E-3</v>
      </c>
      <c r="S66" s="16"/>
      <c r="T66" s="16" t="e">
        <f>VLOOKUP(E66,'[2]21-3-2026'!E$3:T$35,16,FALSE)</f>
        <v>#N/A</v>
      </c>
      <c r="U66" s="16"/>
      <c r="V66" s="16" t="e">
        <f t="shared" si="5"/>
        <v>#N/A</v>
      </c>
      <c r="W66" s="16"/>
      <c r="X66" s="16"/>
      <c r="Y66" s="16"/>
      <c r="Z66" s="16">
        <f t="shared" si="6"/>
        <v>0</v>
      </c>
      <c r="AA66" s="16">
        <f t="shared" si="0"/>
        <v>0</v>
      </c>
      <c r="AB66" s="16"/>
      <c r="AC66" s="19"/>
      <c r="AD66" s="51"/>
    </row>
    <row r="67" spans="1:30" ht="19.5" customHeight="1" thickBot="1" x14ac:dyDescent="0.3">
      <c r="A67" s="20">
        <v>32</v>
      </c>
      <c r="B67" s="21"/>
      <c r="C67" s="21" t="e">
        <f>VLOOKUP(B67,داتا!$B$3:$D$107,2,FALSE)</f>
        <v>#N/A</v>
      </c>
      <c r="D67" s="35" t="e">
        <f>VLOOKUP(B67,داتا!$B$3:$D$107,3,FALSE)</f>
        <v>#N/A</v>
      </c>
      <c r="E67" s="21"/>
      <c r="F67" s="21"/>
      <c r="G67" s="22">
        <v>0.25</v>
      </c>
      <c r="H67" s="22" t="e">
        <f t="shared" si="8"/>
        <v>#N/A</v>
      </c>
      <c r="I67" s="22" t="e">
        <f t="shared" si="1"/>
        <v>#N/A</v>
      </c>
      <c r="J67" s="22"/>
      <c r="K67" s="22"/>
      <c r="L67" s="22"/>
      <c r="M67" s="22"/>
      <c r="N67" s="22">
        <f t="shared" si="2"/>
        <v>0</v>
      </c>
      <c r="O67" s="22" t="e">
        <f t="shared" si="3"/>
        <v>#N/A</v>
      </c>
      <c r="P67" s="22">
        <v>6.9444444444444397E-3</v>
      </c>
      <c r="Q67" s="22"/>
      <c r="R67" s="22">
        <f t="shared" si="4"/>
        <v>-6.9444444444444397E-3</v>
      </c>
      <c r="S67" s="22"/>
      <c r="T67" s="22" t="e">
        <f>VLOOKUP(E67,'[2]21-3-2026'!E$3:T$35,16,FALSE)</f>
        <v>#N/A</v>
      </c>
      <c r="U67" s="22"/>
      <c r="V67" s="22" t="e">
        <f t="shared" si="5"/>
        <v>#N/A</v>
      </c>
      <c r="W67" s="22"/>
      <c r="X67" s="22"/>
      <c r="Y67" s="22"/>
      <c r="Z67" s="22">
        <f t="shared" si="6"/>
        <v>0</v>
      </c>
      <c r="AA67" s="22">
        <f t="shared" ref="AA67:AA99" si="9">Z67-W67</f>
        <v>0</v>
      </c>
      <c r="AB67" s="22"/>
      <c r="AC67" s="23"/>
      <c r="AD67" s="52"/>
    </row>
    <row r="68" spans="1:30" ht="20.25" thickTop="1" thickBot="1" x14ac:dyDescent="0.3">
      <c r="A68" s="10">
        <v>1</v>
      </c>
      <c r="B68" s="11"/>
      <c r="C68" s="11" t="e">
        <f>VLOOKUP(B68,داتا!$B$3:$D$107,2,FALSE)</f>
        <v>#N/A</v>
      </c>
      <c r="D68" s="33" t="e">
        <f>VLOOKUP(B68,داتا!$B$3:$D$107,3,FALSE)</f>
        <v>#N/A</v>
      </c>
      <c r="E68" s="11"/>
      <c r="F68" s="11"/>
      <c r="G68" s="12">
        <v>8.3333333333333329E-2</v>
      </c>
      <c r="H68" s="12" t="e">
        <f t="shared" si="8"/>
        <v>#N/A</v>
      </c>
      <c r="I68" s="12" t="e">
        <f t="shared" ref="I68:I99" si="10">H68-G68</f>
        <v>#N/A</v>
      </c>
      <c r="J68" s="12"/>
      <c r="K68" s="12"/>
      <c r="L68" s="12"/>
      <c r="M68" s="12"/>
      <c r="N68" s="12">
        <f t="shared" ref="N68:N99" si="11">K68-J68</f>
        <v>0</v>
      </c>
      <c r="O68" s="12" t="e">
        <f t="shared" ref="O68:O99" si="12">N68-D68</f>
        <v>#N/A</v>
      </c>
      <c r="P68" s="12">
        <v>6.9444444444444397E-3</v>
      </c>
      <c r="Q68" s="12"/>
      <c r="R68" s="12">
        <f t="shared" ref="R68:R99" si="13">Q68-P68-K68</f>
        <v>-6.9444444444444397E-3</v>
      </c>
      <c r="S68" s="12"/>
      <c r="T68" s="12" t="e">
        <f>VLOOKUP(E68,'[2]21-3-2026'!E$3:T$35,16,FALSE)</f>
        <v>#N/A</v>
      </c>
      <c r="U68" s="12"/>
      <c r="V68" s="12" t="e">
        <f t="shared" ref="V68:V99" si="14">U68-T68-S68</f>
        <v>#N/A</v>
      </c>
      <c r="W68" s="12"/>
      <c r="X68" s="12"/>
      <c r="Y68" s="12"/>
      <c r="Z68" s="12">
        <f t="shared" ref="Z68:Z99" si="15">Y68-X68</f>
        <v>0</v>
      </c>
      <c r="AA68" s="12">
        <f t="shared" si="9"/>
        <v>0</v>
      </c>
      <c r="AB68" s="12"/>
      <c r="AC68" s="13"/>
      <c r="AD68" s="53" t="s">
        <v>116</v>
      </c>
    </row>
    <row r="69" spans="1:30" ht="19.5" thickBot="1" x14ac:dyDescent="0.3">
      <c r="A69" s="14">
        <v>2</v>
      </c>
      <c r="B69" s="15"/>
      <c r="C69" s="15" t="e">
        <f>VLOOKUP(B69,داتا!$B$3:$D$107,2,FALSE)</f>
        <v>#N/A</v>
      </c>
      <c r="D69" s="34" t="e">
        <f>VLOOKUP(B69,داتا!$B$3:$D$107,3,FALSE)</f>
        <v>#N/A</v>
      </c>
      <c r="E69" s="15"/>
      <c r="F69" s="15"/>
      <c r="G69" s="16">
        <v>8.3333333333333329E-2</v>
      </c>
      <c r="H69" s="16" t="e">
        <f t="shared" ref="H69:H84" si="16">VLOOKUP(G69,$F$3:$I$35,2,FALSE)</f>
        <v>#N/A</v>
      </c>
      <c r="I69" s="16" t="e">
        <f t="shared" si="10"/>
        <v>#N/A</v>
      </c>
      <c r="J69" s="16"/>
      <c r="K69" s="16"/>
      <c r="L69" s="16"/>
      <c r="M69" s="16"/>
      <c r="N69" s="16">
        <f t="shared" si="11"/>
        <v>0</v>
      </c>
      <c r="O69" s="16" t="e">
        <f t="shared" si="12"/>
        <v>#N/A</v>
      </c>
      <c r="P69" s="16">
        <v>6.9444444444444397E-3</v>
      </c>
      <c r="Q69" s="16"/>
      <c r="R69" s="16">
        <f t="shared" si="13"/>
        <v>-6.9444444444444397E-3</v>
      </c>
      <c r="S69" s="16"/>
      <c r="T69" s="16" t="e">
        <f>VLOOKUP(E69,'[2]21-3-2026'!E$3:T$35,16,FALSE)</f>
        <v>#N/A</v>
      </c>
      <c r="U69" s="16"/>
      <c r="V69" s="16" t="e">
        <f t="shared" si="14"/>
        <v>#N/A</v>
      </c>
      <c r="W69" s="16"/>
      <c r="X69" s="16"/>
      <c r="Y69" s="16"/>
      <c r="Z69" s="16">
        <f t="shared" si="15"/>
        <v>0</v>
      </c>
      <c r="AA69" s="16">
        <f t="shared" si="9"/>
        <v>0</v>
      </c>
      <c r="AB69" s="16"/>
      <c r="AC69" s="17"/>
      <c r="AD69" s="51"/>
    </row>
    <row r="70" spans="1:30" ht="19.5" thickBot="1" x14ac:dyDescent="0.3">
      <c r="A70" s="14">
        <v>3</v>
      </c>
      <c r="B70" s="15"/>
      <c r="C70" s="15" t="e">
        <f>VLOOKUP(B70,داتا!$B$3:$D$107,2,FALSE)</f>
        <v>#N/A</v>
      </c>
      <c r="D70" s="34" t="e">
        <f>VLOOKUP(B70,داتا!$B$3:$D$107,3,FALSE)</f>
        <v>#N/A</v>
      </c>
      <c r="E70" s="15"/>
      <c r="F70" s="15"/>
      <c r="G70" s="16">
        <v>8.3333333333333329E-2</v>
      </c>
      <c r="H70" s="16" t="e">
        <f t="shared" si="16"/>
        <v>#N/A</v>
      </c>
      <c r="I70" s="16" t="e">
        <f t="shared" si="10"/>
        <v>#N/A</v>
      </c>
      <c r="J70" s="16"/>
      <c r="K70" s="16"/>
      <c r="L70" s="16"/>
      <c r="M70" s="16"/>
      <c r="N70" s="16">
        <f t="shared" si="11"/>
        <v>0</v>
      </c>
      <c r="O70" s="16" t="e">
        <f t="shared" si="12"/>
        <v>#N/A</v>
      </c>
      <c r="P70" s="16">
        <v>6.9444444444444397E-3</v>
      </c>
      <c r="Q70" s="16"/>
      <c r="R70" s="16">
        <f t="shared" si="13"/>
        <v>-6.9444444444444397E-3</v>
      </c>
      <c r="S70" s="16"/>
      <c r="T70" s="16" t="e">
        <f>VLOOKUP(E70,'[2]21-3-2026'!E$3:T$35,16,FALSE)</f>
        <v>#N/A</v>
      </c>
      <c r="U70" s="16"/>
      <c r="V70" s="16" t="e">
        <f t="shared" si="14"/>
        <v>#N/A</v>
      </c>
      <c r="W70" s="16"/>
      <c r="X70" s="16"/>
      <c r="Y70" s="16"/>
      <c r="Z70" s="16">
        <f t="shared" si="15"/>
        <v>0</v>
      </c>
      <c r="AA70" s="16">
        <f t="shared" si="9"/>
        <v>0</v>
      </c>
      <c r="AB70" s="16"/>
      <c r="AC70" s="17"/>
      <c r="AD70" s="51"/>
    </row>
    <row r="71" spans="1:30" ht="19.5" thickBot="1" x14ac:dyDescent="0.3">
      <c r="A71" s="14">
        <v>4</v>
      </c>
      <c r="B71" s="15"/>
      <c r="C71" s="15" t="e">
        <f>VLOOKUP(B71,داتا!$B$3:$D$107,2,FALSE)</f>
        <v>#N/A</v>
      </c>
      <c r="D71" s="34" t="e">
        <f>VLOOKUP(B71,داتا!$B$3:$D$107,3,FALSE)</f>
        <v>#N/A</v>
      </c>
      <c r="E71" s="15"/>
      <c r="F71" s="15"/>
      <c r="G71" s="16">
        <v>8.3333333333333329E-2</v>
      </c>
      <c r="H71" s="16" t="e">
        <f t="shared" si="16"/>
        <v>#N/A</v>
      </c>
      <c r="I71" s="16" t="e">
        <f t="shared" si="10"/>
        <v>#N/A</v>
      </c>
      <c r="J71" s="16"/>
      <c r="K71" s="16"/>
      <c r="L71" s="16"/>
      <c r="M71" s="16"/>
      <c r="N71" s="16">
        <f t="shared" si="11"/>
        <v>0</v>
      </c>
      <c r="O71" s="16" t="e">
        <f t="shared" si="12"/>
        <v>#N/A</v>
      </c>
      <c r="P71" s="16">
        <v>6.9444444444444397E-3</v>
      </c>
      <c r="Q71" s="16"/>
      <c r="R71" s="16">
        <f t="shared" si="13"/>
        <v>-6.9444444444444397E-3</v>
      </c>
      <c r="S71" s="16"/>
      <c r="T71" s="16" t="e">
        <f>VLOOKUP(E71,'[2]21-3-2026'!E$3:T$35,16,FALSE)</f>
        <v>#N/A</v>
      </c>
      <c r="U71" s="16"/>
      <c r="V71" s="16" t="e">
        <f t="shared" si="14"/>
        <v>#N/A</v>
      </c>
      <c r="W71" s="16"/>
      <c r="X71" s="16"/>
      <c r="Y71" s="16"/>
      <c r="Z71" s="16">
        <f t="shared" si="15"/>
        <v>0</v>
      </c>
      <c r="AA71" s="16">
        <f t="shared" si="9"/>
        <v>0</v>
      </c>
      <c r="AB71" s="16"/>
      <c r="AC71" s="17"/>
      <c r="AD71" s="51"/>
    </row>
    <row r="72" spans="1:30" ht="19.5" thickBot="1" x14ac:dyDescent="0.3">
      <c r="A72" s="14">
        <v>5</v>
      </c>
      <c r="B72" s="15"/>
      <c r="C72" s="15" t="e">
        <f>VLOOKUP(B72,داتا!$B$3:$D$107,2,FALSE)</f>
        <v>#N/A</v>
      </c>
      <c r="D72" s="34" t="e">
        <f>VLOOKUP(B72,داتا!$B$3:$D$107,3,FALSE)</f>
        <v>#N/A</v>
      </c>
      <c r="E72" s="15"/>
      <c r="F72" s="15"/>
      <c r="G72" s="16">
        <v>8.3333333333333329E-2</v>
      </c>
      <c r="H72" s="16" t="e">
        <f t="shared" si="16"/>
        <v>#N/A</v>
      </c>
      <c r="I72" s="16" t="e">
        <f t="shared" si="10"/>
        <v>#N/A</v>
      </c>
      <c r="J72" s="16"/>
      <c r="K72" s="16"/>
      <c r="L72" s="16"/>
      <c r="M72" s="16"/>
      <c r="N72" s="16">
        <f t="shared" si="11"/>
        <v>0</v>
      </c>
      <c r="O72" s="16" t="e">
        <f t="shared" si="12"/>
        <v>#N/A</v>
      </c>
      <c r="P72" s="16">
        <v>6.9444444444444397E-3</v>
      </c>
      <c r="Q72" s="16"/>
      <c r="R72" s="16">
        <f t="shared" si="13"/>
        <v>-6.9444444444444397E-3</v>
      </c>
      <c r="S72" s="16"/>
      <c r="T72" s="16" t="e">
        <f>VLOOKUP(E72,'[2]21-3-2026'!E$3:T$35,16,FALSE)</f>
        <v>#N/A</v>
      </c>
      <c r="U72" s="16"/>
      <c r="V72" s="16" t="e">
        <f t="shared" si="14"/>
        <v>#N/A</v>
      </c>
      <c r="W72" s="16"/>
      <c r="X72" s="16"/>
      <c r="Y72" s="16"/>
      <c r="Z72" s="16">
        <f t="shared" si="15"/>
        <v>0</v>
      </c>
      <c r="AA72" s="16">
        <f t="shared" si="9"/>
        <v>0</v>
      </c>
      <c r="AB72" s="16"/>
      <c r="AC72" s="17"/>
      <c r="AD72" s="51"/>
    </row>
    <row r="73" spans="1:30" ht="19.5" thickBot="1" x14ac:dyDescent="0.3">
      <c r="A73" s="14">
        <v>6</v>
      </c>
      <c r="B73" s="15"/>
      <c r="C73" s="15" t="e">
        <f>VLOOKUP(B73,داتا!$B$3:$D$107,2,FALSE)</f>
        <v>#N/A</v>
      </c>
      <c r="D73" s="34" t="e">
        <f>VLOOKUP(B73,داتا!$B$3:$D$107,3,FALSE)</f>
        <v>#N/A</v>
      </c>
      <c r="E73" s="15"/>
      <c r="F73" s="15"/>
      <c r="G73" s="16">
        <v>8.3333333333333329E-2</v>
      </c>
      <c r="H73" s="16" t="e">
        <f t="shared" si="16"/>
        <v>#N/A</v>
      </c>
      <c r="I73" s="16" t="e">
        <f t="shared" si="10"/>
        <v>#N/A</v>
      </c>
      <c r="J73" s="16"/>
      <c r="K73" s="16"/>
      <c r="L73" s="16"/>
      <c r="M73" s="16"/>
      <c r="N73" s="16">
        <f t="shared" si="11"/>
        <v>0</v>
      </c>
      <c r="O73" s="16" t="e">
        <f t="shared" si="12"/>
        <v>#N/A</v>
      </c>
      <c r="P73" s="16">
        <v>6.9444444444444397E-3</v>
      </c>
      <c r="Q73" s="16"/>
      <c r="R73" s="16">
        <f t="shared" si="13"/>
        <v>-6.9444444444444397E-3</v>
      </c>
      <c r="S73" s="16"/>
      <c r="T73" s="16" t="e">
        <f>VLOOKUP(E73,'[2]21-3-2026'!E$3:T$35,16,FALSE)</f>
        <v>#N/A</v>
      </c>
      <c r="U73" s="16"/>
      <c r="V73" s="16" t="e">
        <f t="shared" si="14"/>
        <v>#N/A</v>
      </c>
      <c r="W73" s="16"/>
      <c r="X73" s="16"/>
      <c r="Y73" s="16"/>
      <c r="Z73" s="16">
        <f t="shared" si="15"/>
        <v>0</v>
      </c>
      <c r="AA73" s="16">
        <f t="shared" si="9"/>
        <v>0</v>
      </c>
      <c r="AB73" s="16"/>
      <c r="AC73" s="17"/>
      <c r="AD73" s="51"/>
    </row>
    <row r="74" spans="1:30" ht="19.5" thickBot="1" x14ac:dyDescent="0.3">
      <c r="A74" s="14">
        <v>7</v>
      </c>
      <c r="B74" s="15"/>
      <c r="C74" s="15" t="e">
        <f>VLOOKUP(B74,داتا!$B$3:$D$107,2,FALSE)</f>
        <v>#N/A</v>
      </c>
      <c r="D74" s="34" t="e">
        <f>VLOOKUP(B74,داتا!$B$3:$D$107,3,FALSE)</f>
        <v>#N/A</v>
      </c>
      <c r="E74" s="15"/>
      <c r="F74" s="15"/>
      <c r="G74" s="16">
        <v>8.3333333333333329E-2</v>
      </c>
      <c r="H74" s="16" t="e">
        <f t="shared" si="16"/>
        <v>#N/A</v>
      </c>
      <c r="I74" s="16" t="e">
        <f t="shared" si="10"/>
        <v>#N/A</v>
      </c>
      <c r="J74" s="16"/>
      <c r="K74" s="16"/>
      <c r="L74" s="16"/>
      <c r="M74" s="16"/>
      <c r="N74" s="16">
        <f t="shared" si="11"/>
        <v>0</v>
      </c>
      <c r="O74" s="16" t="e">
        <f t="shared" si="12"/>
        <v>#N/A</v>
      </c>
      <c r="P74" s="16">
        <v>6.9444444444444397E-3</v>
      </c>
      <c r="Q74" s="16"/>
      <c r="R74" s="16">
        <f t="shared" si="13"/>
        <v>-6.9444444444444397E-3</v>
      </c>
      <c r="S74" s="16"/>
      <c r="T74" s="16" t="e">
        <f>VLOOKUP(E74,'[2]21-3-2026'!E$3:T$35,16,FALSE)</f>
        <v>#N/A</v>
      </c>
      <c r="U74" s="16"/>
      <c r="V74" s="16" t="e">
        <f t="shared" si="14"/>
        <v>#N/A</v>
      </c>
      <c r="W74" s="16"/>
      <c r="X74" s="16"/>
      <c r="Y74" s="16"/>
      <c r="Z74" s="16">
        <f t="shared" si="15"/>
        <v>0</v>
      </c>
      <c r="AA74" s="16">
        <f t="shared" si="9"/>
        <v>0</v>
      </c>
      <c r="AB74" s="16"/>
      <c r="AC74" s="17"/>
      <c r="AD74" s="51"/>
    </row>
    <row r="75" spans="1:30" ht="19.5" thickBot="1" x14ac:dyDescent="0.3">
      <c r="A75" s="14">
        <v>8</v>
      </c>
      <c r="B75" s="15"/>
      <c r="C75" s="15" t="e">
        <f>VLOOKUP(B75,داتا!$B$3:$D$107,2,FALSE)</f>
        <v>#N/A</v>
      </c>
      <c r="D75" s="34" t="e">
        <f>VLOOKUP(B75,داتا!$B$3:$D$107,3,FALSE)</f>
        <v>#N/A</v>
      </c>
      <c r="E75" s="15"/>
      <c r="F75" s="15"/>
      <c r="G75" s="16">
        <v>8.3333333333333329E-2</v>
      </c>
      <c r="H75" s="16" t="e">
        <f t="shared" si="16"/>
        <v>#N/A</v>
      </c>
      <c r="I75" s="16" t="e">
        <f t="shared" si="10"/>
        <v>#N/A</v>
      </c>
      <c r="J75" s="16"/>
      <c r="K75" s="16"/>
      <c r="L75" s="16"/>
      <c r="M75" s="16"/>
      <c r="N75" s="16">
        <f t="shared" si="11"/>
        <v>0</v>
      </c>
      <c r="O75" s="16" t="e">
        <f t="shared" si="12"/>
        <v>#N/A</v>
      </c>
      <c r="P75" s="16">
        <v>6.9444444444444397E-3</v>
      </c>
      <c r="Q75" s="16"/>
      <c r="R75" s="16">
        <f t="shared" si="13"/>
        <v>-6.9444444444444397E-3</v>
      </c>
      <c r="S75" s="16"/>
      <c r="T75" s="16" t="e">
        <f>VLOOKUP(E75,'[2]21-3-2026'!E$3:T$35,16,FALSE)</f>
        <v>#N/A</v>
      </c>
      <c r="U75" s="16"/>
      <c r="V75" s="16" t="e">
        <f t="shared" si="14"/>
        <v>#N/A</v>
      </c>
      <c r="W75" s="16"/>
      <c r="X75" s="16"/>
      <c r="Y75" s="16"/>
      <c r="Z75" s="16">
        <f t="shared" si="15"/>
        <v>0</v>
      </c>
      <c r="AA75" s="16">
        <f t="shared" si="9"/>
        <v>0</v>
      </c>
      <c r="AB75" s="16"/>
      <c r="AC75" s="17"/>
      <c r="AD75" s="51"/>
    </row>
    <row r="76" spans="1:30" ht="19.5" thickBot="1" x14ac:dyDescent="0.3">
      <c r="A76" s="14">
        <v>9</v>
      </c>
      <c r="B76" s="15"/>
      <c r="C76" s="15" t="e">
        <f>VLOOKUP(B76,داتا!$B$3:$D$107,2,FALSE)</f>
        <v>#N/A</v>
      </c>
      <c r="D76" s="34" t="e">
        <f>VLOOKUP(B76,داتا!$B$3:$D$107,3,FALSE)</f>
        <v>#N/A</v>
      </c>
      <c r="E76" s="16"/>
      <c r="F76" s="15"/>
      <c r="G76" s="16">
        <v>8.3333333333333329E-2</v>
      </c>
      <c r="H76" s="16" t="e">
        <f t="shared" si="16"/>
        <v>#N/A</v>
      </c>
      <c r="I76" s="16" t="e">
        <f t="shared" si="10"/>
        <v>#N/A</v>
      </c>
      <c r="J76" s="16"/>
      <c r="K76" s="16"/>
      <c r="L76" s="16"/>
      <c r="M76" s="16"/>
      <c r="N76" s="16">
        <f t="shared" si="11"/>
        <v>0</v>
      </c>
      <c r="O76" s="16" t="e">
        <f t="shared" si="12"/>
        <v>#N/A</v>
      </c>
      <c r="P76" s="16">
        <v>6.9444444444444397E-3</v>
      </c>
      <c r="Q76" s="16"/>
      <c r="R76" s="16">
        <f t="shared" si="13"/>
        <v>-6.9444444444444397E-3</v>
      </c>
      <c r="S76" s="16"/>
      <c r="T76" s="16" t="e">
        <f>VLOOKUP(E76,'[2]21-3-2026'!E$3:T$35,16,FALSE)</f>
        <v>#N/A</v>
      </c>
      <c r="U76" s="16"/>
      <c r="V76" s="16" t="e">
        <f t="shared" si="14"/>
        <v>#N/A</v>
      </c>
      <c r="W76" s="16"/>
      <c r="X76" s="16"/>
      <c r="Y76" s="16"/>
      <c r="Z76" s="16">
        <f t="shared" si="15"/>
        <v>0</v>
      </c>
      <c r="AA76" s="16">
        <f t="shared" si="9"/>
        <v>0</v>
      </c>
      <c r="AB76" s="16"/>
      <c r="AC76" s="17"/>
      <c r="AD76" s="51"/>
    </row>
    <row r="77" spans="1:30" ht="19.5" thickBot="1" x14ac:dyDescent="0.3">
      <c r="A77" s="14">
        <v>10</v>
      </c>
      <c r="B77" s="15"/>
      <c r="C77" s="15" t="e">
        <f>VLOOKUP(B77,داتا!$B$3:$D$107,2,FALSE)</f>
        <v>#N/A</v>
      </c>
      <c r="D77" s="34" t="e">
        <f>VLOOKUP(B77,داتا!$B$3:$D$107,3,FALSE)</f>
        <v>#N/A</v>
      </c>
      <c r="E77" s="15"/>
      <c r="F77" s="15"/>
      <c r="G77" s="16">
        <v>8.3333333333333329E-2</v>
      </c>
      <c r="H77" s="16" t="e">
        <f t="shared" si="16"/>
        <v>#N/A</v>
      </c>
      <c r="I77" s="16" t="e">
        <f t="shared" si="10"/>
        <v>#N/A</v>
      </c>
      <c r="J77" s="16"/>
      <c r="K77" s="16"/>
      <c r="L77" s="16"/>
      <c r="M77" s="16"/>
      <c r="N77" s="16">
        <f t="shared" si="11"/>
        <v>0</v>
      </c>
      <c r="O77" s="16" t="e">
        <f t="shared" si="12"/>
        <v>#N/A</v>
      </c>
      <c r="P77" s="16">
        <v>6.9444444444444397E-3</v>
      </c>
      <c r="Q77" s="16"/>
      <c r="R77" s="16">
        <f t="shared" si="13"/>
        <v>-6.9444444444444397E-3</v>
      </c>
      <c r="S77" s="16"/>
      <c r="T77" s="16" t="e">
        <f>VLOOKUP(E77,'[2]21-3-2026'!E$3:T$35,16,FALSE)</f>
        <v>#N/A</v>
      </c>
      <c r="U77" s="16"/>
      <c r="V77" s="16" t="e">
        <f t="shared" si="14"/>
        <v>#N/A</v>
      </c>
      <c r="W77" s="16"/>
      <c r="X77" s="16"/>
      <c r="Y77" s="16"/>
      <c r="Z77" s="16">
        <f t="shared" si="15"/>
        <v>0</v>
      </c>
      <c r="AA77" s="16">
        <f t="shared" si="9"/>
        <v>0</v>
      </c>
      <c r="AB77" s="16"/>
      <c r="AC77" s="17"/>
      <c r="AD77" s="51"/>
    </row>
    <row r="78" spans="1:30" ht="19.5" thickBot="1" x14ac:dyDescent="0.3">
      <c r="A78" s="14">
        <v>11</v>
      </c>
      <c r="B78" s="15"/>
      <c r="C78" s="15" t="e">
        <f>VLOOKUP(B78,داتا!$B$3:$D$107,2,FALSE)</f>
        <v>#N/A</v>
      </c>
      <c r="D78" s="34" t="e">
        <f>VLOOKUP(B78,داتا!$B$3:$D$107,3,FALSE)</f>
        <v>#N/A</v>
      </c>
      <c r="E78" s="15"/>
      <c r="F78" s="15"/>
      <c r="G78" s="16">
        <v>8.3333333333333329E-2</v>
      </c>
      <c r="H78" s="16" t="e">
        <f t="shared" si="16"/>
        <v>#N/A</v>
      </c>
      <c r="I78" s="16" t="e">
        <f t="shared" si="10"/>
        <v>#N/A</v>
      </c>
      <c r="J78" s="16"/>
      <c r="K78" s="16"/>
      <c r="L78" s="16"/>
      <c r="M78" s="16"/>
      <c r="N78" s="16">
        <f t="shared" si="11"/>
        <v>0</v>
      </c>
      <c r="O78" s="16" t="e">
        <f t="shared" si="12"/>
        <v>#N/A</v>
      </c>
      <c r="P78" s="16">
        <v>6.9444444444444397E-3</v>
      </c>
      <c r="Q78" s="16"/>
      <c r="R78" s="16">
        <f t="shared" si="13"/>
        <v>-6.9444444444444397E-3</v>
      </c>
      <c r="S78" s="16"/>
      <c r="T78" s="16" t="e">
        <f>VLOOKUP(E78,'[2]21-3-2026'!E$3:T$35,16,FALSE)</f>
        <v>#N/A</v>
      </c>
      <c r="U78" s="16"/>
      <c r="V78" s="16" t="e">
        <f t="shared" si="14"/>
        <v>#N/A</v>
      </c>
      <c r="W78" s="16"/>
      <c r="X78" s="16"/>
      <c r="Y78" s="16"/>
      <c r="Z78" s="16">
        <f t="shared" si="15"/>
        <v>0</v>
      </c>
      <c r="AA78" s="16">
        <f t="shared" si="9"/>
        <v>0</v>
      </c>
      <c r="AB78" s="16"/>
      <c r="AC78" s="17"/>
      <c r="AD78" s="51"/>
    </row>
    <row r="79" spans="1:30" ht="19.5" thickBot="1" x14ac:dyDescent="0.3">
      <c r="A79" s="14">
        <v>12</v>
      </c>
      <c r="B79" s="15"/>
      <c r="C79" s="15" t="e">
        <f>VLOOKUP(B79,داتا!$B$3:$D$107,2,FALSE)</f>
        <v>#N/A</v>
      </c>
      <c r="D79" s="34" t="e">
        <f>VLOOKUP(B79,داتا!$B$3:$D$107,3,FALSE)</f>
        <v>#N/A</v>
      </c>
      <c r="E79" s="15"/>
      <c r="F79" s="15"/>
      <c r="G79" s="16">
        <v>8.3333333333333329E-2</v>
      </c>
      <c r="H79" s="16" t="e">
        <f t="shared" si="16"/>
        <v>#N/A</v>
      </c>
      <c r="I79" s="16" t="e">
        <f t="shared" si="10"/>
        <v>#N/A</v>
      </c>
      <c r="J79" s="16"/>
      <c r="K79" s="16"/>
      <c r="L79" s="16"/>
      <c r="M79" s="16"/>
      <c r="N79" s="16">
        <f t="shared" si="11"/>
        <v>0</v>
      </c>
      <c r="O79" s="16" t="e">
        <f t="shared" si="12"/>
        <v>#N/A</v>
      </c>
      <c r="P79" s="16">
        <v>6.9444444444444397E-3</v>
      </c>
      <c r="Q79" s="16"/>
      <c r="R79" s="16">
        <f t="shared" si="13"/>
        <v>-6.9444444444444397E-3</v>
      </c>
      <c r="S79" s="16"/>
      <c r="T79" s="16" t="e">
        <f>VLOOKUP(E79,'[2]21-3-2026'!E$3:T$35,16,FALSE)</f>
        <v>#N/A</v>
      </c>
      <c r="U79" s="16"/>
      <c r="V79" s="16" t="e">
        <f t="shared" si="14"/>
        <v>#N/A</v>
      </c>
      <c r="W79" s="16"/>
      <c r="X79" s="16"/>
      <c r="Y79" s="16"/>
      <c r="Z79" s="16">
        <f t="shared" si="15"/>
        <v>0</v>
      </c>
      <c r="AA79" s="16">
        <f t="shared" si="9"/>
        <v>0</v>
      </c>
      <c r="AB79" s="16"/>
      <c r="AC79" s="17"/>
      <c r="AD79" s="51"/>
    </row>
    <row r="80" spans="1:30" ht="19.5" thickBot="1" x14ac:dyDescent="0.3">
      <c r="A80" s="14">
        <v>13</v>
      </c>
      <c r="B80" s="15"/>
      <c r="C80" s="15" t="e">
        <f>VLOOKUP(B80,داتا!$B$3:$D$107,2,FALSE)</f>
        <v>#N/A</v>
      </c>
      <c r="D80" s="34" t="e">
        <f>VLOOKUP(B80,داتا!$B$3:$D$107,3,FALSE)</f>
        <v>#N/A</v>
      </c>
      <c r="E80" s="15"/>
      <c r="F80" s="15"/>
      <c r="G80" s="16">
        <v>8.3333333333333329E-2</v>
      </c>
      <c r="H80" s="16" t="e">
        <f t="shared" si="16"/>
        <v>#N/A</v>
      </c>
      <c r="I80" s="16" t="e">
        <f t="shared" si="10"/>
        <v>#N/A</v>
      </c>
      <c r="J80" s="16"/>
      <c r="K80" s="16"/>
      <c r="L80" s="16"/>
      <c r="M80" s="16"/>
      <c r="N80" s="16">
        <f t="shared" si="11"/>
        <v>0</v>
      </c>
      <c r="O80" s="16" t="e">
        <f t="shared" si="12"/>
        <v>#N/A</v>
      </c>
      <c r="P80" s="16">
        <v>6.9444444444444397E-3</v>
      </c>
      <c r="Q80" s="16"/>
      <c r="R80" s="16">
        <f t="shared" si="13"/>
        <v>-6.9444444444444397E-3</v>
      </c>
      <c r="S80" s="16"/>
      <c r="T80" s="16" t="e">
        <f>VLOOKUP(E80,'[2]21-3-2026'!E$3:T$35,16,FALSE)</f>
        <v>#N/A</v>
      </c>
      <c r="U80" s="16"/>
      <c r="V80" s="16" t="e">
        <f t="shared" si="14"/>
        <v>#N/A</v>
      </c>
      <c r="W80" s="16"/>
      <c r="X80" s="16"/>
      <c r="Y80" s="16"/>
      <c r="Z80" s="16">
        <f t="shared" si="15"/>
        <v>0</v>
      </c>
      <c r="AA80" s="16">
        <f t="shared" si="9"/>
        <v>0</v>
      </c>
      <c r="AB80" s="16"/>
      <c r="AC80" s="17"/>
      <c r="AD80" s="51"/>
    </row>
    <row r="81" spans="1:30" ht="19.5" thickBot="1" x14ac:dyDescent="0.3">
      <c r="A81" s="14">
        <v>14</v>
      </c>
      <c r="B81" s="15"/>
      <c r="C81" s="15" t="e">
        <f>VLOOKUP(B81,داتا!$B$3:$D$107,2,FALSE)</f>
        <v>#N/A</v>
      </c>
      <c r="D81" s="34" t="e">
        <f>VLOOKUP(B81,داتا!$B$3:$D$107,3,FALSE)</f>
        <v>#N/A</v>
      </c>
      <c r="E81" s="15"/>
      <c r="F81" s="15"/>
      <c r="G81" s="16">
        <v>8.3333333333333329E-2</v>
      </c>
      <c r="H81" s="16" t="e">
        <f t="shared" si="16"/>
        <v>#N/A</v>
      </c>
      <c r="I81" s="16" t="e">
        <f t="shared" si="10"/>
        <v>#N/A</v>
      </c>
      <c r="J81" s="16"/>
      <c r="K81" s="16"/>
      <c r="L81" s="16"/>
      <c r="M81" s="16"/>
      <c r="N81" s="16">
        <f t="shared" si="11"/>
        <v>0</v>
      </c>
      <c r="O81" s="16" t="e">
        <f t="shared" si="12"/>
        <v>#N/A</v>
      </c>
      <c r="P81" s="16">
        <v>6.9444444444444397E-3</v>
      </c>
      <c r="Q81" s="16"/>
      <c r="R81" s="16">
        <f t="shared" si="13"/>
        <v>-6.9444444444444397E-3</v>
      </c>
      <c r="S81" s="16"/>
      <c r="T81" s="16" t="e">
        <f>VLOOKUP(E81,'[2]21-3-2026'!E$3:T$35,16,FALSE)</f>
        <v>#N/A</v>
      </c>
      <c r="U81" s="16"/>
      <c r="V81" s="16" t="e">
        <f t="shared" si="14"/>
        <v>#N/A</v>
      </c>
      <c r="W81" s="16"/>
      <c r="X81" s="16"/>
      <c r="Y81" s="16"/>
      <c r="Z81" s="16">
        <f t="shared" si="15"/>
        <v>0</v>
      </c>
      <c r="AA81" s="16">
        <f t="shared" si="9"/>
        <v>0</v>
      </c>
      <c r="AB81" s="16"/>
      <c r="AC81" s="17"/>
      <c r="AD81" s="51"/>
    </row>
    <row r="82" spans="1:30" ht="19.5" thickBot="1" x14ac:dyDescent="0.3">
      <c r="A82" s="14">
        <v>15</v>
      </c>
      <c r="B82" s="15"/>
      <c r="C82" s="15" t="e">
        <f>VLOOKUP(B82,داتا!$B$3:$D$107,2,FALSE)</f>
        <v>#N/A</v>
      </c>
      <c r="D82" s="34" t="e">
        <f>VLOOKUP(B82,داتا!$B$3:$D$107,3,FALSE)</f>
        <v>#N/A</v>
      </c>
      <c r="E82" s="15"/>
      <c r="F82" s="15"/>
      <c r="G82" s="16">
        <v>8.3333333333333329E-2</v>
      </c>
      <c r="H82" s="16" t="e">
        <f t="shared" si="16"/>
        <v>#N/A</v>
      </c>
      <c r="I82" s="16" t="e">
        <f t="shared" si="10"/>
        <v>#N/A</v>
      </c>
      <c r="J82" s="16"/>
      <c r="K82" s="16"/>
      <c r="L82" s="16"/>
      <c r="M82" s="16"/>
      <c r="N82" s="16">
        <f t="shared" si="11"/>
        <v>0</v>
      </c>
      <c r="O82" s="16" t="e">
        <f t="shared" si="12"/>
        <v>#N/A</v>
      </c>
      <c r="P82" s="16">
        <v>6.9444444444444397E-3</v>
      </c>
      <c r="Q82" s="16"/>
      <c r="R82" s="16">
        <f t="shared" si="13"/>
        <v>-6.9444444444444397E-3</v>
      </c>
      <c r="S82" s="16"/>
      <c r="T82" s="16" t="e">
        <f>VLOOKUP(E82,'[2]21-3-2026'!E$3:T$35,16,FALSE)</f>
        <v>#N/A</v>
      </c>
      <c r="U82" s="16"/>
      <c r="V82" s="16" t="e">
        <f t="shared" si="14"/>
        <v>#N/A</v>
      </c>
      <c r="W82" s="16"/>
      <c r="X82" s="16"/>
      <c r="Y82" s="16"/>
      <c r="Z82" s="16">
        <f t="shared" si="15"/>
        <v>0</v>
      </c>
      <c r="AA82" s="16">
        <f t="shared" si="9"/>
        <v>0</v>
      </c>
      <c r="AB82" s="16"/>
      <c r="AC82" s="17"/>
      <c r="AD82" s="51"/>
    </row>
    <row r="83" spans="1:30" ht="19.5" thickBot="1" x14ac:dyDescent="0.3">
      <c r="A83" s="14">
        <v>16</v>
      </c>
      <c r="B83" s="15"/>
      <c r="C83" s="15" t="e">
        <f>VLOOKUP(B83,داتا!$B$3:$D$107,2,FALSE)</f>
        <v>#N/A</v>
      </c>
      <c r="D83" s="34" t="e">
        <f>VLOOKUP(B83,داتا!$B$3:$D$107,3,FALSE)</f>
        <v>#N/A</v>
      </c>
      <c r="E83" s="15"/>
      <c r="F83" s="15"/>
      <c r="G83" s="16">
        <v>8.3333333333333329E-2</v>
      </c>
      <c r="H83" s="16" t="e">
        <f t="shared" si="16"/>
        <v>#N/A</v>
      </c>
      <c r="I83" s="16" t="e">
        <f t="shared" si="10"/>
        <v>#N/A</v>
      </c>
      <c r="J83" s="16"/>
      <c r="K83" s="16"/>
      <c r="L83" s="16"/>
      <c r="M83" s="16"/>
      <c r="N83" s="16">
        <f t="shared" si="11"/>
        <v>0</v>
      </c>
      <c r="O83" s="16" t="e">
        <f t="shared" si="12"/>
        <v>#N/A</v>
      </c>
      <c r="P83" s="16">
        <v>6.9444444444444397E-3</v>
      </c>
      <c r="Q83" s="16"/>
      <c r="R83" s="16">
        <f t="shared" si="13"/>
        <v>-6.9444444444444397E-3</v>
      </c>
      <c r="S83" s="16"/>
      <c r="T83" s="16" t="e">
        <f>VLOOKUP(E83,'[2]21-3-2026'!E$3:T$35,16,FALSE)</f>
        <v>#N/A</v>
      </c>
      <c r="U83" s="16"/>
      <c r="V83" s="16" t="e">
        <f t="shared" si="14"/>
        <v>#N/A</v>
      </c>
      <c r="W83" s="16"/>
      <c r="X83" s="16"/>
      <c r="Y83" s="16"/>
      <c r="Z83" s="16">
        <f t="shared" si="15"/>
        <v>0</v>
      </c>
      <c r="AA83" s="16">
        <f t="shared" si="9"/>
        <v>0</v>
      </c>
      <c r="AB83" s="16"/>
      <c r="AC83" s="17"/>
      <c r="AD83" s="51"/>
    </row>
    <row r="84" spans="1:30" ht="19.5" thickBot="1" x14ac:dyDescent="0.3">
      <c r="A84" s="14">
        <v>17</v>
      </c>
      <c r="B84" s="15"/>
      <c r="C84" s="15" t="e">
        <f>VLOOKUP(B84,داتا!$B$3:$D$107,2,FALSE)</f>
        <v>#N/A</v>
      </c>
      <c r="D84" s="34" t="e">
        <f>VLOOKUP(B84,داتا!$B$3:$D$107,3,FALSE)</f>
        <v>#N/A</v>
      </c>
      <c r="E84" s="15"/>
      <c r="F84" s="15"/>
      <c r="G84" s="16">
        <v>8.3333333333333329E-2</v>
      </c>
      <c r="H84" s="16" t="e">
        <f t="shared" si="16"/>
        <v>#N/A</v>
      </c>
      <c r="I84" s="16" t="e">
        <f t="shared" si="10"/>
        <v>#N/A</v>
      </c>
      <c r="J84" s="16"/>
      <c r="K84" s="16"/>
      <c r="L84" s="16"/>
      <c r="M84" s="16"/>
      <c r="N84" s="16">
        <f t="shared" si="11"/>
        <v>0</v>
      </c>
      <c r="O84" s="16" t="e">
        <f t="shared" si="12"/>
        <v>#N/A</v>
      </c>
      <c r="P84" s="16">
        <v>6.9444444444444397E-3</v>
      </c>
      <c r="Q84" s="16"/>
      <c r="R84" s="16">
        <f t="shared" si="13"/>
        <v>-6.9444444444444397E-3</v>
      </c>
      <c r="S84" s="16"/>
      <c r="T84" s="16" t="e">
        <f>VLOOKUP(E84,'[2]21-3-2026'!E$3:T$35,16,FALSE)</f>
        <v>#N/A</v>
      </c>
      <c r="U84" s="16"/>
      <c r="V84" s="16" t="e">
        <f t="shared" si="14"/>
        <v>#N/A</v>
      </c>
      <c r="W84" s="16"/>
      <c r="X84" s="16"/>
      <c r="Y84" s="16"/>
      <c r="Z84" s="16">
        <f t="shared" si="15"/>
        <v>0</v>
      </c>
      <c r="AA84" s="16">
        <f t="shared" si="9"/>
        <v>0</v>
      </c>
      <c r="AB84" s="16"/>
      <c r="AC84" s="17"/>
      <c r="AD84" s="51"/>
    </row>
    <row r="85" spans="1:30" ht="19.5" thickBot="1" x14ac:dyDescent="0.3">
      <c r="A85" s="14">
        <v>18</v>
      </c>
      <c r="B85" s="15"/>
      <c r="C85" s="15" t="e">
        <f>VLOOKUP(B85,داتا!$B$3:$D$107,2,FALSE)</f>
        <v>#N/A</v>
      </c>
      <c r="D85" s="34" t="e">
        <f>VLOOKUP(B85,داتا!$B$3:$D$107,3,FALSE)</f>
        <v>#N/A</v>
      </c>
      <c r="E85" s="15"/>
      <c r="F85" s="15"/>
      <c r="G85" s="16">
        <v>8.3333333333333329E-2</v>
      </c>
      <c r="H85" s="16" t="e">
        <f t="shared" ref="H85:H99" si="17">VLOOKUP(G85,$F$3:$I$35,2,FALSE)</f>
        <v>#N/A</v>
      </c>
      <c r="I85" s="16" t="e">
        <f t="shared" si="10"/>
        <v>#N/A</v>
      </c>
      <c r="J85" s="16"/>
      <c r="K85" s="16"/>
      <c r="L85" s="16"/>
      <c r="M85" s="16"/>
      <c r="N85" s="16">
        <f t="shared" si="11"/>
        <v>0</v>
      </c>
      <c r="O85" s="16" t="e">
        <f t="shared" si="12"/>
        <v>#N/A</v>
      </c>
      <c r="P85" s="16">
        <v>6.9444444444444397E-3</v>
      </c>
      <c r="Q85" s="16"/>
      <c r="R85" s="16">
        <f t="shared" si="13"/>
        <v>-6.9444444444444397E-3</v>
      </c>
      <c r="S85" s="16"/>
      <c r="T85" s="16" t="e">
        <f>VLOOKUP(E85,'[2]21-3-2026'!E$3:T$35,16,FALSE)</f>
        <v>#N/A</v>
      </c>
      <c r="U85" s="16"/>
      <c r="V85" s="16" t="e">
        <f t="shared" si="14"/>
        <v>#N/A</v>
      </c>
      <c r="W85" s="16"/>
      <c r="X85" s="16"/>
      <c r="Y85" s="16"/>
      <c r="Z85" s="16">
        <f t="shared" si="15"/>
        <v>0</v>
      </c>
      <c r="AA85" s="16">
        <f t="shared" si="9"/>
        <v>0</v>
      </c>
      <c r="AB85" s="16"/>
      <c r="AC85" s="17"/>
      <c r="AD85" s="51"/>
    </row>
    <row r="86" spans="1:30" ht="19.5" thickBot="1" x14ac:dyDescent="0.3">
      <c r="A86" s="14">
        <v>19</v>
      </c>
      <c r="B86" s="15"/>
      <c r="C86" s="15" t="e">
        <f>VLOOKUP(B86,داتا!$B$3:$D$107,2,FALSE)</f>
        <v>#N/A</v>
      </c>
      <c r="D86" s="34" t="e">
        <f>VLOOKUP(B86,داتا!$B$3:$D$107,3,FALSE)</f>
        <v>#N/A</v>
      </c>
      <c r="E86" s="15"/>
      <c r="F86" s="15"/>
      <c r="G86" s="16">
        <v>8.3333333333333329E-2</v>
      </c>
      <c r="H86" s="16" t="e">
        <f t="shared" si="17"/>
        <v>#N/A</v>
      </c>
      <c r="I86" s="16" t="e">
        <f t="shared" si="10"/>
        <v>#N/A</v>
      </c>
      <c r="J86" s="16"/>
      <c r="K86" s="16"/>
      <c r="L86" s="16"/>
      <c r="M86" s="16"/>
      <c r="N86" s="16">
        <f t="shared" si="11"/>
        <v>0</v>
      </c>
      <c r="O86" s="16" t="e">
        <f t="shared" si="12"/>
        <v>#N/A</v>
      </c>
      <c r="P86" s="16">
        <v>6.9444444444444397E-3</v>
      </c>
      <c r="Q86" s="16"/>
      <c r="R86" s="16">
        <f t="shared" si="13"/>
        <v>-6.9444444444444397E-3</v>
      </c>
      <c r="S86" s="16"/>
      <c r="T86" s="16" t="e">
        <f>VLOOKUP(E86,'[2]21-3-2026'!E$3:T$35,16,FALSE)</f>
        <v>#N/A</v>
      </c>
      <c r="U86" s="16"/>
      <c r="V86" s="16" t="e">
        <f t="shared" si="14"/>
        <v>#N/A</v>
      </c>
      <c r="W86" s="16"/>
      <c r="X86" s="16"/>
      <c r="Y86" s="16"/>
      <c r="Z86" s="16">
        <f t="shared" si="15"/>
        <v>0</v>
      </c>
      <c r="AA86" s="16">
        <f t="shared" si="9"/>
        <v>0</v>
      </c>
      <c r="AB86" s="16"/>
      <c r="AC86" s="17"/>
      <c r="AD86" s="51"/>
    </row>
    <row r="87" spans="1:30" ht="19.5" thickBot="1" x14ac:dyDescent="0.3">
      <c r="A87" s="14">
        <v>20</v>
      </c>
      <c r="B87" s="15"/>
      <c r="C87" s="15" t="e">
        <f>VLOOKUP(B87,داتا!$B$3:$D$107,2,FALSE)</f>
        <v>#N/A</v>
      </c>
      <c r="D87" s="34" t="e">
        <f>VLOOKUP(B87,داتا!$B$3:$D$107,3,FALSE)</f>
        <v>#N/A</v>
      </c>
      <c r="E87" s="15"/>
      <c r="F87" s="15"/>
      <c r="G87" s="16">
        <v>8.3333333333333329E-2</v>
      </c>
      <c r="H87" s="16" t="e">
        <f t="shared" si="17"/>
        <v>#N/A</v>
      </c>
      <c r="I87" s="16" t="e">
        <f t="shared" si="10"/>
        <v>#N/A</v>
      </c>
      <c r="J87" s="16"/>
      <c r="K87" s="16"/>
      <c r="L87" s="16"/>
      <c r="M87" s="16"/>
      <c r="N87" s="16">
        <f t="shared" si="11"/>
        <v>0</v>
      </c>
      <c r="O87" s="16" t="e">
        <f t="shared" si="12"/>
        <v>#N/A</v>
      </c>
      <c r="P87" s="16">
        <v>6.9444444444444397E-3</v>
      </c>
      <c r="Q87" s="16"/>
      <c r="R87" s="16">
        <f t="shared" si="13"/>
        <v>-6.9444444444444397E-3</v>
      </c>
      <c r="S87" s="16"/>
      <c r="T87" s="16" t="e">
        <f>VLOOKUP(E87,'[2]21-3-2026'!E$3:T$35,16,FALSE)</f>
        <v>#N/A</v>
      </c>
      <c r="U87" s="16"/>
      <c r="V87" s="16" t="e">
        <f t="shared" si="14"/>
        <v>#N/A</v>
      </c>
      <c r="W87" s="16"/>
      <c r="X87" s="16"/>
      <c r="Y87" s="16"/>
      <c r="Z87" s="16">
        <f t="shared" si="15"/>
        <v>0</v>
      </c>
      <c r="AA87" s="16">
        <f t="shared" si="9"/>
        <v>0</v>
      </c>
      <c r="AB87" s="16"/>
      <c r="AC87" s="17"/>
      <c r="AD87" s="51"/>
    </row>
    <row r="88" spans="1:30" ht="19.5" thickBot="1" x14ac:dyDescent="0.3">
      <c r="A88" s="14">
        <v>21</v>
      </c>
      <c r="B88" s="15"/>
      <c r="C88" s="15" t="e">
        <f>VLOOKUP(B88,داتا!$B$3:$D$107,2,FALSE)</f>
        <v>#N/A</v>
      </c>
      <c r="D88" s="34" t="e">
        <f>VLOOKUP(B88,داتا!$B$3:$D$107,3,FALSE)</f>
        <v>#N/A</v>
      </c>
      <c r="E88" s="15"/>
      <c r="F88" s="15"/>
      <c r="G88" s="16">
        <v>8.3333333333333329E-2</v>
      </c>
      <c r="H88" s="16" t="e">
        <f t="shared" si="17"/>
        <v>#N/A</v>
      </c>
      <c r="I88" s="16" t="e">
        <f t="shared" si="10"/>
        <v>#N/A</v>
      </c>
      <c r="J88" s="16"/>
      <c r="K88" s="16"/>
      <c r="L88" s="16"/>
      <c r="M88" s="16"/>
      <c r="N88" s="16">
        <f t="shared" si="11"/>
        <v>0</v>
      </c>
      <c r="O88" s="16" t="e">
        <f t="shared" si="12"/>
        <v>#N/A</v>
      </c>
      <c r="P88" s="16">
        <v>6.9444444444444397E-3</v>
      </c>
      <c r="Q88" s="16"/>
      <c r="R88" s="16">
        <f t="shared" si="13"/>
        <v>-6.9444444444444397E-3</v>
      </c>
      <c r="S88" s="16"/>
      <c r="T88" s="16" t="e">
        <f>VLOOKUP(E88,'[2]21-3-2026'!E$3:T$35,16,FALSE)</f>
        <v>#N/A</v>
      </c>
      <c r="U88" s="16"/>
      <c r="V88" s="16" t="e">
        <f t="shared" si="14"/>
        <v>#N/A</v>
      </c>
      <c r="W88" s="16"/>
      <c r="X88" s="16"/>
      <c r="Y88" s="16"/>
      <c r="Z88" s="16">
        <f t="shared" si="15"/>
        <v>0</v>
      </c>
      <c r="AA88" s="16">
        <f t="shared" si="9"/>
        <v>0</v>
      </c>
      <c r="AB88" s="16"/>
      <c r="AC88" s="19"/>
      <c r="AD88" s="51"/>
    </row>
    <row r="89" spans="1:30" ht="19.5" thickBot="1" x14ac:dyDescent="0.3">
      <c r="A89" s="14">
        <v>22</v>
      </c>
      <c r="B89" s="15"/>
      <c r="C89" s="15" t="e">
        <f>VLOOKUP(B89,داتا!$B$3:$D$107,2,FALSE)</f>
        <v>#N/A</v>
      </c>
      <c r="D89" s="34" t="e">
        <f>VLOOKUP(B89,داتا!$B$3:$D$107,3,FALSE)</f>
        <v>#N/A</v>
      </c>
      <c r="E89" s="15"/>
      <c r="F89" s="15"/>
      <c r="G89" s="16">
        <v>8.3333333333333329E-2</v>
      </c>
      <c r="H89" s="16" t="e">
        <f t="shared" si="17"/>
        <v>#N/A</v>
      </c>
      <c r="I89" s="16" t="e">
        <f t="shared" si="10"/>
        <v>#N/A</v>
      </c>
      <c r="J89" s="16"/>
      <c r="K89" s="16"/>
      <c r="L89" s="16"/>
      <c r="M89" s="16"/>
      <c r="N89" s="16">
        <f t="shared" si="11"/>
        <v>0</v>
      </c>
      <c r="O89" s="16" t="e">
        <f t="shared" si="12"/>
        <v>#N/A</v>
      </c>
      <c r="P89" s="16">
        <v>6.9444444444444397E-3</v>
      </c>
      <c r="Q89" s="16"/>
      <c r="R89" s="16">
        <f t="shared" si="13"/>
        <v>-6.9444444444444397E-3</v>
      </c>
      <c r="S89" s="16"/>
      <c r="T89" s="16" t="e">
        <f>VLOOKUP(E89,'[2]21-3-2026'!E$3:T$35,16,FALSE)</f>
        <v>#N/A</v>
      </c>
      <c r="U89" s="16"/>
      <c r="V89" s="16" t="e">
        <f t="shared" si="14"/>
        <v>#N/A</v>
      </c>
      <c r="W89" s="16"/>
      <c r="X89" s="16"/>
      <c r="Y89" s="16"/>
      <c r="Z89" s="16">
        <f t="shared" si="15"/>
        <v>0</v>
      </c>
      <c r="AA89" s="16">
        <f t="shared" si="9"/>
        <v>0</v>
      </c>
      <c r="AB89" s="16"/>
      <c r="AC89" s="19"/>
      <c r="AD89" s="51"/>
    </row>
    <row r="90" spans="1:30" ht="19.5" thickBot="1" x14ac:dyDescent="0.3">
      <c r="A90" s="14">
        <v>23</v>
      </c>
      <c r="B90" s="15"/>
      <c r="C90" s="15" t="e">
        <f>VLOOKUP(B90,داتا!$B$3:$D$107,2,FALSE)</f>
        <v>#N/A</v>
      </c>
      <c r="D90" s="34" t="e">
        <f>VLOOKUP(B90,داتا!$B$3:$D$107,3,FALSE)</f>
        <v>#N/A</v>
      </c>
      <c r="E90" s="15"/>
      <c r="F90" s="15"/>
      <c r="G90" s="16">
        <v>8.3333333333333329E-2</v>
      </c>
      <c r="H90" s="16" t="e">
        <f t="shared" si="17"/>
        <v>#N/A</v>
      </c>
      <c r="I90" s="16" t="e">
        <f t="shared" si="10"/>
        <v>#N/A</v>
      </c>
      <c r="J90" s="16"/>
      <c r="K90" s="16"/>
      <c r="L90" s="16"/>
      <c r="M90" s="16"/>
      <c r="N90" s="16">
        <f t="shared" si="11"/>
        <v>0</v>
      </c>
      <c r="O90" s="16" t="e">
        <f t="shared" si="12"/>
        <v>#N/A</v>
      </c>
      <c r="P90" s="16">
        <v>6.9444444444444397E-3</v>
      </c>
      <c r="Q90" s="16"/>
      <c r="R90" s="16">
        <f t="shared" si="13"/>
        <v>-6.9444444444444397E-3</v>
      </c>
      <c r="S90" s="16"/>
      <c r="T90" s="16" t="e">
        <f>VLOOKUP(E90,'[2]21-3-2026'!E$3:T$35,16,FALSE)</f>
        <v>#N/A</v>
      </c>
      <c r="U90" s="16"/>
      <c r="V90" s="16" t="e">
        <f t="shared" si="14"/>
        <v>#N/A</v>
      </c>
      <c r="W90" s="16"/>
      <c r="X90" s="16"/>
      <c r="Y90" s="16"/>
      <c r="Z90" s="16">
        <f t="shared" si="15"/>
        <v>0</v>
      </c>
      <c r="AA90" s="16">
        <f t="shared" si="9"/>
        <v>0</v>
      </c>
      <c r="AB90" s="16"/>
      <c r="AC90" s="19"/>
      <c r="AD90" s="51"/>
    </row>
    <row r="91" spans="1:30" ht="19.5" thickBot="1" x14ac:dyDescent="0.3">
      <c r="A91" s="14">
        <v>24</v>
      </c>
      <c r="B91" s="15"/>
      <c r="C91" s="15" t="e">
        <f>VLOOKUP(B91,داتا!$B$3:$D$107,2,FALSE)</f>
        <v>#N/A</v>
      </c>
      <c r="D91" s="34" t="e">
        <f>VLOOKUP(B91,داتا!$B$3:$D$107,3,FALSE)</f>
        <v>#N/A</v>
      </c>
      <c r="E91" s="15"/>
      <c r="F91" s="15"/>
      <c r="G91" s="16">
        <v>8.3333333333333329E-2</v>
      </c>
      <c r="H91" s="16" t="e">
        <f t="shared" si="17"/>
        <v>#N/A</v>
      </c>
      <c r="I91" s="16" t="e">
        <f t="shared" si="10"/>
        <v>#N/A</v>
      </c>
      <c r="J91" s="16"/>
      <c r="K91" s="16"/>
      <c r="L91" s="16"/>
      <c r="M91" s="16"/>
      <c r="N91" s="16">
        <f t="shared" si="11"/>
        <v>0</v>
      </c>
      <c r="O91" s="16" t="e">
        <f t="shared" si="12"/>
        <v>#N/A</v>
      </c>
      <c r="P91" s="16">
        <v>6.9444444444444397E-3</v>
      </c>
      <c r="Q91" s="16"/>
      <c r="R91" s="16">
        <f t="shared" si="13"/>
        <v>-6.9444444444444397E-3</v>
      </c>
      <c r="S91" s="16"/>
      <c r="T91" s="16" t="e">
        <f>VLOOKUP(E91,'[2]21-3-2026'!E$3:T$35,16,FALSE)</f>
        <v>#N/A</v>
      </c>
      <c r="U91" s="16"/>
      <c r="V91" s="16" t="e">
        <f t="shared" si="14"/>
        <v>#N/A</v>
      </c>
      <c r="W91" s="16"/>
      <c r="X91" s="16"/>
      <c r="Y91" s="16"/>
      <c r="Z91" s="16">
        <f t="shared" si="15"/>
        <v>0</v>
      </c>
      <c r="AA91" s="16">
        <f t="shared" si="9"/>
        <v>0</v>
      </c>
      <c r="AB91" s="16"/>
      <c r="AC91" s="19"/>
      <c r="AD91" s="51"/>
    </row>
    <row r="92" spans="1:30" ht="19.5" thickBot="1" x14ac:dyDescent="0.3">
      <c r="A92" s="14">
        <v>25</v>
      </c>
      <c r="B92" s="15"/>
      <c r="C92" s="15" t="e">
        <f>VLOOKUP(B92,داتا!$B$3:$D$107,2,FALSE)</f>
        <v>#N/A</v>
      </c>
      <c r="D92" s="34" t="e">
        <f>VLOOKUP(B92,داتا!$B$3:$D$107,3,FALSE)</f>
        <v>#N/A</v>
      </c>
      <c r="E92" s="15"/>
      <c r="F92" s="15"/>
      <c r="G92" s="16">
        <v>8.3333333333333329E-2</v>
      </c>
      <c r="H92" s="16" t="e">
        <f t="shared" si="17"/>
        <v>#N/A</v>
      </c>
      <c r="I92" s="16" t="e">
        <f t="shared" si="10"/>
        <v>#N/A</v>
      </c>
      <c r="J92" s="16"/>
      <c r="K92" s="16"/>
      <c r="L92" s="16"/>
      <c r="M92" s="16"/>
      <c r="N92" s="16">
        <f t="shared" si="11"/>
        <v>0</v>
      </c>
      <c r="O92" s="16" t="e">
        <f t="shared" si="12"/>
        <v>#N/A</v>
      </c>
      <c r="P92" s="16">
        <v>6.9444444444444397E-3</v>
      </c>
      <c r="Q92" s="16"/>
      <c r="R92" s="16">
        <f t="shared" si="13"/>
        <v>-6.9444444444444397E-3</v>
      </c>
      <c r="S92" s="16"/>
      <c r="T92" s="16" t="e">
        <f>VLOOKUP(E92,'[2]21-3-2026'!E$3:T$35,16,FALSE)</f>
        <v>#N/A</v>
      </c>
      <c r="U92" s="16"/>
      <c r="V92" s="16" t="e">
        <f t="shared" si="14"/>
        <v>#N/A</v>
      </c>
      <c r="W92" s="16"/>
      <c r="X92" s="16"/>
      <c r="Y92" s="16"/>
      <c r="Z92" s="16">
        <f t="shared" si="15"/>
        <v>0</v>
      </c>
      <c r="AA92" s="16">
        <f t="shared" si="9"/>
        <v>0</v>
      </c>
      <c r="AB92" s="16"/>
      <c r="AC92" s="19"/>
      <c r="AD92" s="51"/>
    </row>
    <row r="93" spans="1:30" ht="19.5" thickBot="1" x14ac:dyDescent="0.3">
      <c r="A93" s="14">
        <v>26</v>
      </c>
      <c r="B93" s="15"/>
      <c r="C93" s="15" t="e">
        <f>VLOOKUP(B93,داتا!$B$3:$D$107,2,FALSE)</f>
        <v>#N/A</v>
      </c>
      <c r="D93" s="34" t="e">
        <f>VLOOKUP(B93,داتا!$B$3:$D$107,3,FALSE)</f>
        <v>#N/A</v>
      </c>
      <c r="E93" s="15"/>
      <c r="F93" s="15"/>
      <c r="G93" s="16">
        <v>8.3333333333333329E-2</v>
      </c>
      <c r="H93" s="16" t="e">
        <f t="shared" si="17"/>
        <v>#N/A</v>
      </c>
      <c r="I93" s="16" t="e">
        <f t="shared" si="10"/>
        <v>#N/A</v>
      </c>
      <c r="J93" s="16"/>
      <c r="K93" s="16"/>
      <c r="L93" s="16"/>
      <c r="M93" s="16"/>
      <c r="N93" s="16">
        <f t="shared" si="11"/>
        <v>0</v>
      </c>
      <c r="O93" s="16" t="e">
        <f t="shared" si="12"/>
        <v>#N/A</v>
      </c>
      <c r="P93" s="16">
        <v>6.9444444444444397E-3</v>
      </c>
      <c r="Q93" s="16"/>
      <c r="R93" s="16">
        <f t="shared" si="13"/>
        <v>-6.9444444444444397E-3</v>
      </c>
      <c r="S93" s="16"/>
      <c r="T93" s="16" t="e">
        <f>VLOOKUP(E93,'[2]21-3-2026'!E$3:T$35,16,FALSE)</f>
        <v>#N/A</v>
      </c>
      <c r="U93" s="16"/>
      <c r="V93" s="16" t="e">
        <f t="shared" si="14"/>
        <v>#N/A</v>
      </c>
      <c r="W93" s="16"/>
      <c r="X93" s="16"/>
      <c r="Y93" s="16"/>
      <c r="Z93" s="16">
        <f t="shared" si="15"/>
        <v>0</v>
      </c>
      <c r="AA93" s="16">
        <f t="shared" si="9"/>
        <v>0</v>
      </c>
      <c r="AB93" s="16"/>
      <c r="AC93" s="19"/>
      <c r="AD93" s="51"/>
    </row>
    <row r="94" spans="1:30" ht="19.5" thickBot="1" x14ac:dyDescent="0.3">
      <c r="A94" s="14">
        <v>27</v>
      </c>
      <c r="B94" s="15"/>
      <c r="C94" s="15" t="e">
        <f>VLOOKUP(B94,داتا!$B$3:$D$107,2,FALSE)</f>
        <v>#N/A</v>
      </c>
      <c r="D94" s="34" t="e">
        <f>VLOOKUP(B94,داتا!$B$3:$D$107,3,FALSE)</f>
        <v>#N/A</v>
      </c>
      <c r="E94" s="15"/>
      <c r="F94" s="15"/>
      <c r="G94" s="16">
        <v>8.3333333333333329E-2</v>
      </c>
      <c r="H94" s="16" t="e">
        <f t="shared" si="17"/>
        <v>#N/A</v>
      </c>
      <c r="I94" s="16" t="e">
        <f t="shared" si="10"/>
        <v>#N/A</v>
      </c>
      <c r="J94" s="16"/>
      <c r="K94" s="16"/>
      <c r="L94" s="16"/>
      <c r="M94" s="16"/>
      <c r="N94" s="16">
        <f t="shared" si="11"/>
        <v>0</v>
      </c>
      <c r="O94" s="16" t="e">
        <f t="shared" si="12"/>
        <v>#N/A</v>
      </c>
      <c r="P94" s="16">
        <v>6.9444444444444397E-3</v>
      </c>
      <c r="Q94" s="16"/>
      <c r="R94" s="16">
        <f t="shared" si="13"/>
        <v>-6.9444444444444397E-3</v>
      </c>
      <c r="S94" s="16"/>
      <c r="T94" s="16" t="e">
        <f>VLOOKUP(E94,'[2]21-3-2026'!E$3:T$35,16,FALSE)</f>
        <v>#N/A</v>
      </c>
      <c r="U94" s="16"/>
      <c r="V94" s="16" t="e">
        <f t="shared" si="14"/>
        <v>#N/A</v>
      </c>
      <c r="W94" s="16"/>
      <c r="X94" s="16"/>
      <c r="Y94" s="16"/>
      <c r="Z94" s="16">
        <f t="shared" si="15"/>
        <v>0</v>
      </c>
      <c r="AA94" s="16">
        <f t="shared" si="9"/>
        <v>0</v>
      </c>
      <c r="AB94" s="16"/>
      <c r="AC94" s="19"/>
      <c r="AD94" s="51"/>
    </row>
    <row r="95" spans="1:30" ht="19.5" thickBot="1" x14ac:dyDescent="0.3">
      <c r="A95" s="14">
        <v>28</v>
      </c>
      <c r="B95" s="15"/>
      <c r="C95" s="15" t="e">
        <f>VLOOKUP(B95,داتا!$B$3:$D$107,2,FALSE)</f>
        <v>#N/A</v>
      </c>
      <c r="D95" s="34" t="e">
        <f>VLOOKUP(B95,داتا!$B$3:$D$107,3,FALSE)</f>
        <v>#N/A</v>
      </c>
      <c r="E95" s="15"/>
      <c r="F95" s="16"/>
      <c r="G95" s="16">
        <v>8.3333333333333329E-2</v>
      </c>
      <c r="H95" s="16" t="e">
        <f t="shared" si="17"/>
        <v>#N/A</v>
      </c>
      <c r="I95" s="16" t="e">
        <f t="shared" si="10"/>
        <v>#N/A</v>
      </c>
      <c r="J95" s="16"/>
      <c r="K95" s="16"/>
      <c r="L95" s="16"/>
      <c r="M95" s="16"/>
      <c r="N95" s="16">
        <f t="shared" si="11"/>
        <v>0</v>
      </c>
      <c r="O95" s="16" t="e">
        <f t="shared" si="12"/>
        <v>#N/A</v>
      </c>
      <c r="P95" s="16">
        <v>6.9444444444444397E-3</v>
      </c>
      <c r="Q95" s="16"/>
      <c r="R95" s="16">
        <f t="shared" si="13"/>
        <v>-6.9444444444444397E-3</v>
      </c>
      <c r="S95" s="16"/>
      <c r="T95" s="16" t="e">
        <f>VLOOKUP(E95,'[2]21-3-2026'!E$3:T$35,16,FALSE)</f>
        <v>#N/A</v>
      </c>
      <c r="U95" s="16"/>
      <c r="V95" s="16" t="e">
        <f t="shared" si="14"/>
        <v>#N/A</v>
      </c>
      <c r="W95" s="16"/>
      <c r="X95" s="16"/>
      <c r="Y95" s="16"/>
      <c r="Z95" s="16">
        <f t="shared" si="15"/>
        <v>0</v>
      </c>
      <c r="AA95" s="16">
        <f t="shared" si="9"/>
        <v>0</v>
      </c>
      <c r="AB95" s="16"/>
      <c r="AC95" s="19"/>
      <c r="AD95" s="51"/>
    </row>
    <row r="96" spans="1:30" ht="19.5" thickBot="1" x14ac:dyDescent="0.3">
      <c r="A96" s="14">
        <v>29</v>
      </c>
      <c r="B96" s="15"/>
      <c r="C96" s="15" t="e">
        <f>VLOOKUP(B96,داتا!$B$3:$D$107,2,FALSE)</f>
        <v>#N/A</v>
      </c>
      <c r="D96" s="34" t="e">
        <f>VLOOKUP(B96,داتا!$B$3:$D$107,3,FALSE)</f>
        <v>#N/A</v>
      </c>
      <c r="E96" s="15"/>
      <c r="F96" s="16"/>
      <c r="G96" s="16">
        <v>8.3333333333333329E-2</v>
      </c>
      <c r="H96" s="16" t="e">
        <f t="shared" si="17"/>
        <v>#N/A</v>
      </c>
      <c r="I96" s="16" t="e">
        <f t="shared" si="10"/>
        <v>#N/A</v>
      </c>
      <c r="J96" s="16"/>
      <c r="K96" s="16"/>
      <c r="L96" s="16"/>
      <c r="M96" s="16"/>
      <c r="N96" s="16">
        <f t="shared" si="11"/>
        <v>0</v>
      </c>
      <c r="O96" s="16" t="e">
        <f t="shared" si="12"/>
        <v>#N/A</v>
      </c>
      <c r="P96" s="16">
        <v>6.9444444444444397E-3</v>
      </c>
      <c r="Q96" s="16"/>
      <c r="R96" s="16">
        <f t="shared" si="13"/>
        <v>-6.9444444444444397E-3</v>
      </c>
      <c r="S96" s="16"/>
      <c r="T96" s="16" t="e">
        <f>VLOOKUP(E96,'[2]21-3-2026'!E$3:T$35,16,FALSE)</f>
        <v>#N/A</v>
      </c>
      <c r="U96" s="16"/>
      <c r="V96" s="16" t="e">
        <f t="shared" si="14"/>
        <v>#N/A</v>
      </c>
      <c r="W96" s="16"/>
      <c r="X96" s="16"/>
      <c r="Y96" s="16"/>
      <c r="Z96" s="16">
        <f t="shared" si="15"/>
        <v>0</v>
      </c>
      <c r="AA96" s="16">
        <f t="shared" si="9"/>
        <v>0</v>
      </c>
      <c r="AB96" s="16"/>
      <c r="AC96" s="19"/>
      <c r="AD96" s="54"/>
    </row>
    <row r="97" spans="1:29" ht="19.5" thickBot="1" x14ac:dyDescent="0.3">
      <c r="A97" s="14">
        <v>30</v>
      </c>
      <c r="B97" s="15"/>
      <c r="C97" s="15" t="e">
        <f>VLOOKUP(B97,داتا!$B$3:$D$107,2,FALSE)</f>
        <v>#N/A</v>
      </c>
      <c r="D97" s="34" t="e">
        <f>VLOOKUP(B97,داتا!$B$3:$D$107,3,FALSE)</f>
        <v>#N/A</v>
      </c>
      <c r="E97" s="15"/>
      <c r="F97" s="16"/>
      <c r="G97" s="16">
        <v>8.3333333333333329E-2</v>
      </c>
      <c r="H97" s="16" t="e">
        <f t="shared" si="17"/>
        <v>#N/A</v>
      </c>
      <c r="I97" s="16" t="e">
        <f t="shared" si="10"/>
        <v>#N/A</v>
      </c>
      <c r="J97" s="16"/>
      <c r="K97" s="16"/>
      <c r="L97" s="16"/>
      <c r="M97" s="16"/>
      <c r="N97" s="16">
        <f t="shared" si="11"/>
        <v>0</v>
      </c>
      <c r="O97" s="16" t="e">
        <f t="shared" si="12"/>
        <v>#N/A</v>
      </c>
      <c r="P97" s="16">
        <v>6.9444444444444397E-3</v>
      </c>
      <c r="Q97" s="16"/>
      <c r="R97" s="16">
        <f t="shared" si="13"/>
        <v>-6.9444444444444397E-3</v>
      </c>
      <c r="S97" s="16"/>
      <c r="T97" s="16" t="e">
        <f>VLOOKUP(E97,'[2]21-3-2026'!E$3:T$35,16,FALSE)</f>
        <v>#N/A</v>
      </c>
      <c r="U97" s="16"/>
      <c r="V97" s="16" t="e">
        <f t="shared" si="14"/>
        <v>#N/A</v>
      </c>
      <c r="W97" s="16"/>
      <c r="X97" s="16"/>
      <c r="Y97" s="16"/>
      <c r="Z97" s="16">
        <f t="shared" si="15"/>
        <v>0</v>
      </c>
      <c r="AA97" s="16">
        <f t="shared" si="9"/>
        <v>0</v>
      </c>
      <c r="AB97" s="16"/>
      <c r="AC97" s="19"/>
    </row>
    <row r="98" spans="1:29" ht="19.5" thickBot="1" x14ac:dyDescent="0.3">
      <c r="A98" s="14">
        <v>31</v>
      </c>
      <c r="B98" s="15"/>
      <c r="C98" s="15" t="e">
        <f>VLOOKUP(B98,داتا!$B$3:$D$107,2,FALSE)</f>
        <v>#N/A</v>
      </c>
      <c r="D98" s="34" t="e">
        <f>VLOOKUP(B98,داتا!$B$3:$D$107,3,FALSE)</f>
        <v>#N/A</v>
      </c>
      <c r="E98" s="15"/>
      <c r="F98" s="16"/>
      <c r="G98" s="16">
        <v>8.3333333333333329E-2</v>
      </c>
      <c r="H98" s="16" t="e">
        <f t="shared" si="17"/>
        <v>#N/A</v>
      </c>
      <c r="I98" s="16" t="e">
        <f t="shared" si="10"/>
        <v>#N/A</v>
      </c>
      <c r="J98" s="16"/>
      <c r="K98" s="16"/>
      <c r="L98" s="16"/>
      <c r="M98" s="16"/>
      <c r="N98" s="16">
        <f t="shared" si="11"/>
        <v>0</v>
      </c>
      <c r="O98" s="16" t="e">
        <f t="shared" si="12"/>
        <v>#N/A</v>
      </c>
      <c r="P98" s="16">
        <v>6.9444444444444397E-3</v>
      </c>
      <c r="Q98" s="16"/>
      <c r="R98" s="16">
        <f t="shared" si="13"/>
        <v>-6.9444444444444397E-3</v>
      </c>
      <c r="S98" s="16"/>
      <c r="T98" s="16" t="e">
        <f>VLOOKUP(E98,'[2]21-3-2026'!E$3:T$35,16,FALSE)</f>
        <v>#N/A</v>
      </c>
      <c r="U98" s="16"/>
      <c r="V98" s="16" t="e">
        <f t="shared" si="14"/>
        <v>#N/A</v>
      </c>
      <c r="W98" s="16"/>
      <c r="X98" s="16"/>
      <c r="Y98" s="16"/>
      <c r="Z98" s="16">
        <f t="shared" si="15"/>
        <v>0</v>
      </c>
      <c r="AA98" s="16">
        <f t="shared" si="9"/>
        <v>0</v>
      </c>
      <c r="AB98" s="16"/>
      <c r="AC98" s="19"/>
    </row>
    <row r="99" spans="1:29" ht="19.5" thickBot="1" x14ac:dyDescent="0.3">
      <c r="A99" s="20">
        <v>32</v>
      </c>
      <c r="B99" s="21"/>
      <c r="C99" s="21" t="e">
        <f>VLOOKUP(B99,داتا!$B$3:$D$107,2,FALSE)</f>
        <v>#N/A</v>
      </c>
      <c r="D99" s="35" t="e">
        <f>VLOOKUP(B99,داتا!$B$3:$D$107,3,FALSE)</f>
        <v>#N/A</v>
      </c>
      <c r="E99" s="21"/>
      <c r="F99" s="22"/>
      <c r="G99" s="22">
        <v>8.3333333333333329E-2</v>
      </c>
      <c r="H99" s="22" t="e">
        <f t="shared" si="17"/>
        <v>#N/A</v>
      </c>
      <c r="I99" s="22" t="e">
        <f t="shared" si="10"/>
        <v>#N/A</v>
      </c>
      <c r="J99" s="22"/>
      <c r="K99" s="22"/>
      <c r="L99" s="22"/>
      <c r="M99" s="22"/>
      <c r="N99" s="22">
        <f t="shared" si="11"/>
        <v>0</v>
      </c>
      <c r="O99" s="22" t="e">
        <f t="shared" si="12"/>
        <v>#N/A</v>
      </c>
      <c r="P99" s="22">
        <v>6.9444444444444397E-3</v>
      </c>
      <c r="Q99" s="22"/>
      <c r="R99" s="22">
        <f t="shared" si="13"/>
        <v>-6.9444444444444397E-3</v>
      </c>
      <c r="S99" s="22"/>
      <c r="T99" s="22" t="e">
        <f>VLOOKUP(E99,'[2]21-3-2026'!E$3:T$35,16,FALSE)</f>
        <v>#N/A</v>
      </c>
      <c r="U99" s="22"/>
      <c r="V99" s="22" t="e">
        <f t="shared" si="14"/>
        <v>#N/A</v>
      </c>
      <c r="W99" s="22"/>
      <c r="X99" s="22"/>
      <c r="Y99" s="22"/>
      <c r="Z99" s="22">
        <f t="shared" si="15"/>
        <v>0</v>
      </c>
      <c r="AA99" s="22">
        <f t="shared" si="9"/>
        <v>0</v>
      </c>
      <c r="AB99" s="22"/>
      <c r="AC99" s="30"/>
    </row>
    <row r="100" spans="1:29" ht="16.5" thickTop="1" x14ac:dyDescent="0.25"/>
  </sheetData>
  <mergeCells count="4">
    <mergeCell ref="A1:AC1"/>
    <mergeCell ref="AD3:AD35"/>
    <mergeCell ref="AD36:AD67"/>
    <mergeCell ref="AD68:AD96"/>
  </mergeCells>
  <conditionalFormatting sqref="AC1:AC96 AC100:AC1048576">
    <cfRule type="containsText" dxfId="314" priority="14" operator="containsText" text="ت">
      <formula>NOT(ISERROR(SEARCH("ت",AC1)))</formula>
    </cfRule>
  </conditionalFormatting>
  <conditionalFormatting sqref="AC4:AC96">
    <cfRule type="containsText" dxfId="313" priority="13" operator="containsText" text="ت">
      <formula>NOT(ISERROR(SEARCH("ت",AC4)))</formula>
    </cfRule>
  </conditionalFormatting>
  <conditionalFormatting sqref="O1:O2 I1:I2 R1:R2 V1:V2 AA100:AA1048576 V100:V1048576 R100:R1048576 O100:O1048576 I100:I1048576 AA1:AA2">
    <cfRule type="cellIs" dxfId="312" priority="15" operator="between">
      <formula>0.00277777777777778</formula>
      <formula>1</formula>
    </cfRule>
  </conditionalFormatting>
  <conditionalFormatting sqref="AC97:AC99">
    <cfRule type="containsText" dxfId="311" priority="12" operator="containsText" text="ت">
      <formula>NOT(ISERROR(SEARCH("ت",AC97)))</formula>
    </cfRule>
  </conditionalFormatting>
  <conditionalFormatting sqref="AC97:AC99">
    <cfRule type="containsText" dxfId="310" priority="11" operator="containsText" text="ت">
      <formula>NOT(ISERROR(SEARCH("ت",AC97)))</formula>
    </cfRule>
  </conditionalFormatting>
  <conditionalFormatting sqref="I3:I99">
    <cfRule type="cellIs" dxfId="309" priority="9" operator="between">
      <formula>0.00277777777777778</formula>
      <formula>1</formula>
    </cfRule>
  </conditionalFormatting>
  <conditionalFormatting sqref="I3:I99">
    <cfRule type="cellIs" dxfId="308" priority="10" operator="between">
      <formula>0.00277777777777778</formula>
      <formula>1</formula>
    </cfRule>
  </conditionalFormatting>
  <conditionalFormatting sqref="O3:O99">
    <cfRule type="cellIs" dxfId="307" priority="7" operator="between">
      <formula>0.00277777777777778</formula>
      <formula>1</formula>
    </cfRule>
  </conditionalFormatting>
  <conditionalFormatting sqref="O3:O99">
    <cfRule type="cellIs" dxfId="306" priority="8" operator="between">
      <formula>0.00277777777777778</formula>
      <formula>1</formula>
    </cfRule>
  </conditionalFormatting>
  <conditionalFormatting sqref="R3:R99">
    <cfRule type="cellIs" dxfId="305" priority="5" operator="between">
      <formula>0.00277777777777778</formula>
      <formula>1</formula>
    </cfRule>
  </conditionalFormatting>
  <conditionalFormatting sqref="R3:R99">
    <cfRule type="cellIs" dxfId="304" priority="6" operator="between">
      <formula>0.00277777777777778</formula>
      <formula>1</formula>
    </cfRule>
  </conditionalFormatting>
  <conditionalFormatting sqref="V3:V99">
    <cfRule type="cellIs" dxfId="303" priority="3" operator="between">
      <formula>0.00277777777777778</formula>
      <formula>1</formula>
    </cfRule>
  </conditionalFormatting>
  <conditionalFormatting sqref="V3:V99">
    <cfRule type="cellIs" dxfId="302" priority="4" operator="between">
      <formula>0.00277777777777778</formula>
      <formula>1</formula>
    </cfRule>
  </conditionalFormatting>
  <conditionalFormatting sqref="AA3:AA99">
    <cfRule type="cellIs" dxfId="301" priority="1" operator="between">
      <formula>0.00277777777777778</formula>
      <formula>1</formula>
    </cfRule>
  </conditionalFormatting>
  <conditionalFormatting sqref="AA3:AA99">
    <cfRule type="cellIs" dxfId="300" priority="2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"/>
  <sheetViews>
    <sheetView rightToLeft="1" workbookViewId="0">
      <pane xSplit="6" ySplit="2" topLeftCell="G68" activePane="bottomRight" state="frozen"/>
      <selection activeCell="A92" sqref="A92"/>
      <selection pane="topRight" activeCell="A92" sqref="A92"/>
      <selection pane="bottomLeft" activeCell="A92" sqref="A92"/>
      <selection pane="bottomRight" activeCell="A2" sqref="A2"/>
    </sheetView>
  </sheetViews>
  <sheetFormatPr defaultColWidth="9" defaultRowHeight="15.75" x14ac:dyDescent="0.25"/>
  <cols>
    <col min="1" max="1" width="5.42578125" customWidth="1"/>
    <col min="2" max="2" width="12.28515625" customWidth="1"/>
    <col min="3" max="3" width="12.5703125" customWidth="1"/>
    <col min="4" max="4" width="16.140625" style="36" customWidth="1"/>
    <col min="5" max="5" width="17.140625" customWidth="1"/>
    <col min="6" max="6" width="20.85546875" customWidth="1"/>
    <col min="7" max="7" width="12.7109375" customWidth="1"/>
    <col min="8" max="9" width="12.85546875" customWidth="1"/>
    <col min="10" max="10" width="12.5703125" customWidth="1"/>
    <col min="11" max="11" width="14.28515625" customWidth="1"/>
    <col min="12" max="12" width="22.7109375" customWidth="1"/>
    <col min="13" max="13" width="18.8554687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3.85546875" style="31" customWidth="1"/>
    <col min="30" max="30" width="11.140625" customWidth="1"/>
  </cols>
  <sheetData>
    <row r="1" spans="1:30" ht="33.75" customHeight="1" thickBot="1" x14ac:dyDescent="0.3">
      <c r="A1" s="46" t="s">
        <v>130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0" ht="49.5" customHeight="1" thickTop="1" thickBot="1" x14ac:dyDescent="0.3">
      <c r="A2" s="1" t="s">
        <v>1</v>
      </c>
      <c r="B2" s="2" t="s">
        <v>2</v>
      </c>
      <c r="C2" s="2" t="s">
        <v>3</v>
      </c>
      <c r="D2" s="3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8" t="s">
        <v>18</v>
      </c>
      <c r="S2" s="2" t="s">
        <v>19</v>
      </c>
      <c r="T2" s="8" t="s">
        <v>20</v>
      </c>
      <c r="U2" s="2" t="s">
        <v>21</v>
      </c>
      <c r="V2" s="8" t="s">
        <v>22</v>
      </c>
      <c r="W2" s="8" t="s">
        <v>23</v>
      </c>
      <c r="X2" s="2" t="s">
        <v>24</v>
      </c>
      <c r="Y2" s="2" t="s">
        <v>25</v>
      </c>
      <c r="Z2" s="2" t="s">
        <v>26</v>
      </c>
      <c r="AA2" s="8" t="s">
        <v>27</v>
      </c>
      <c r="AB2" s="2" t="s">
        <v>28</v>
      </c>
      <c r="AC2" s="9" t="s">
        <v>29</v>
      </c>
    </row>
    <row r="3" spans="1:30" ht="20.25" customHeight="1" thickTop="1" thickBot="1" x14ac:dyDescent="0.3">
      <c r="A3" s="10">
        <v>1</v>
      </c>
      <c r="B3" s="11"/>
      <c r="C3" s="11" t="e">
        <f>VLOOKUP(B3,داتا!$B$3:$D$107,2,FALSE)</f>
        <v>#N/A</v>
      </c>
      <c r="D3" s="33" t="e">
        <f>VLOOKUP(B3,داتا!$B$3:$D$107,3,FALSE)</f>
        <v>#N/A</v>
      </c>
      <c r="E3" s="11"/>
      <c r="F3" s="11"/>
      <c r="G3" s="12">
        <v>0.25</v>
      </c>
      <c r="H3" s="12"/>
      <c r="I3" s="12">
        <f>H3-G3</f>
        <v>-0.25</v>
      </c>
      <c r="J3" s="12"/>
      <c r="K3" s="12"/>
      <c r="L3" s="12"/>
      <c r="M3" s="12"/>
      <c r="N3" s="12">
        <f>K3-J3</f>
        <v>0</v>
      </c>
      <c r="O3" s="12" t="e">
        <f>N3-D3</f>
        <v>#N/A</v>
      </c>
      <c r="P3" s="12">
        <v>6.9444444444444397E-3</v>
      </c>
      <c r="Q3" s="12"/>
      <c r="R3" s="12">
        <f>Q3-P3-K3</f>
        <v>-6.9444444444444397E-3</v>
      </c>
      <c r="S3" s="12"/>
      <c r="T3" s="12" t="e">
        <f>VLOOKUP(E3,'[2]21-3-2026'!E$3:T$35,16,FALSE)</f>
        <v>#N/A</v>
      </c>
      <c r="U3" s="12"/>
      <c r="V3" s="12" t="e">
        <f>U3-T3-S3</f>
        <v>#N/A</v>
      </c>
      <c r="W3" s="12"/>
      <c r="X3" s="12"/>
      <c r="Y3" s="12"/>
      <c r="Z3" s="12">
        <f>Y3-X3</f>
        <v>0</v>
      </c>
      <c r="AA3" s="12">
        <f t="shared" ref="AA3:AA66" si="0">Z3-W3</f>
        <v>0</v>
      </c>
      <c r="AB3" s="12"/>
      <c r="AC3" s="13"/>
      <c r="AD3" s="47" t="s">
        <v>33</v>
      </c>
    </row>
    <row r="4" spans="1:30" ht="19.5" thickBot="1" x14ac:dyDescent="0.3">
      <c r="A4" s="14">
        <v>2</v>
      </c>
      <c r="B4" s="15"/>
      <c r="C4" s="15" t="e">
        <f>VLOOKUP(B4,داتا!$B$3:$D$107,2,FALSE)</f>
        <v>#N/A</v>
      </c>
      <c r="D4" s="34" t="e">
        <f>VLOOKUP(B4,داتا!$B$3:$D$107,3,FALSE)</f>
        <v>#N/A</v>
      </c>
      <c r="E4" s="15"/>
      <c r="F4" s="15"/>
      <c r="G4" s="16">
        <v>0.25</v>
      </c>
      <c r="H4" s="16"/>
      <c r="I4" s="16">
        <f t="shared" ref="I4:I67" si="1">H4-G4</f>
        <v>-0.25</v>
      </c>
      <c r="J4" s="16"/>
      <c r="K4" s="16"/>
      <c r="L4" s="16"/>
      <c r="M4" s="16"/>
      <c r="N4" s="16">
        <f t="shared" ref="N4:N67" si="2">K4-J4</f>
        <v>0</v>
      </c>
      <c r="O4" s="16" t="e">
        <f t="shared" ref="O4:O67" si="3">N4-D4</f>
        <v>#N/A</v>
      </c>
      <c r="P4" s="16">
        <v>6.9444444444444397E-3</v>
      </c>
      <c r="Q4" s="16"/>
      <c r="R4" s="16">
        <f t="shared" ref="R4:R67" si="4">Q4-P4-K4</f>
        <v>-6.9444444444444397E-3</v>
      </c>
      <c r="S4" s="16"/>
      <c r="T4" s="16" t="e">
        <f>VLOOKUP(E4,'[2]21-3-2026'!E$3:T$35,16,FALSE)</f>
        <v>#N/A</v>
      </c>
      <c r="U4" s="16"/>
      <c r="V4" s="16" t="e">
        <f t="shared" ref="V4:V67" si="5">U4-T4-S4</f>
        <v>#N/A</v>
      </c>
      <c r="W4" s="16"/>
      <c r="X4" s="16"/>
      <c r="Y4" s="16"/>
      <c r="Z4" s="16">
        <f t="shared" ref="Z4:Z67" si="6">Y4-X4</f>
        <v>0</v>
      </c>
      <c r="AA4" s="16">
        <f t="shared" si="0"/>
        <v>0</v>
      </c>
      <c r="AB4" s="16"/>
      <c r="AC4" s="17"/>
      <c r="AD4" s="48"/>
    </row>
    <row r="5" spans="1:30" ht="19.5" thickBot="1" x14ac:dyDescent="0.3">
      <c r="A5" s="14">
        <v>3</v>
      </c>
      <c r="B5" s="15"/>
      <c r="C5" s="15" t="e">
        <f>VLOOKUP(B5,داتا!$B$3:$D$107,2,FALSE)</f>
        <v>#N/A</v>
      </c>
      <c r="D5" s="34" t="e">
        <f>VLOOKUP(B5,داتا!$B$3:$D$107,3,FALSE)</f>
        <v>#N/A</v>
      </c>
      <c r="E5" s="15"/>
      <c r="F5" s="15"/>
      <c r="G5" s="16">
        <v>0.25</v>
      </c>
      <c r="H5" s="16"/>
      <c r="I5" s="16">
        <f t="shared" si="1"/>
        <v>-0.25</v>
      </c>
      <c r="J5" s="16"/>
      <c r="K5" s="16"/>
      <c r="L5" s="16"/>
      <c r="M5" s="16"/>
      <c r="N5" s="16">
        <f t="shared" si="2"/>
        <v>0</v>
      </c>
      <c r="O5" s="16" t="e">
        <f t="shared" si="3"/>
        <v>#N/A</v>
      </c>
      <c r="P5" s="16">
        <v>6.9444444444444397E-3</v>
      </c>
      <c r="Q5" s="16"/>
      <c r="R5" s="16">
        <f t="shared" si="4"/>
        <v>-6.9444444444444397E-3</v>
      </c>
      <c r="S5" s="16"/>
      <c r="T5" s="16" t="e">
        <f>VLOOKUP(E5,'[2]21-3-2026'!E$3:T$35,16,FALSE)</f>
        <v>#N/A</v>
      </c>
      <c r="U5" s="16"/>
      <c r="V5" s="16" t="e">
        <f t="shared" si="5"/>
        <v>#N/A</v>
      </c>
      <c r="W5" s="16"/>
      <c r="X5" s="16"/>
      <c r="Y5" s="16"/>
      <c r="Z5" s="16">
        <f t="shared" si="6"/>
        <v>0</v>
      </c>
      <c r="AA5" s="16">
        <f t="shared" si="0"/>
        <v>0</v>
      </c>
      <c r="AB5" s="16"/>
      <c r="AC5" s="17"/>
      <c r="AD5" s="48"/>
    </row>
    <row r="6" spans="1:30" ht="19.5" thickBot="1" x14ac:dyDescent="0.3">
      <c r="A6" s="14">
        <v>4</v>
      </c>
      <c r="B6" s="15"/>
      <c r="C6" s="15" t="e">
        <f>VLOOKUP(B6,داتا!$B$3:$D$107,2,FALSE)</f>
        <v>#N/A</v>
      </c>
      <c r="D6" s="34" t="e">
        <f>VLOOKUP(B6,داتا!$B$3:$D$107,3,FALSE)</f>
        <v>#N/A</v>
      </c>
      <c r="E6" s="15"/>
      <c r="F6" s="15"/>
      <c r="G6" s="16">
        <v>0.25</v>
      </c>
      <c r="H6" s="16"/>
      <c r="I6" s="16">
        <f t="shared" si="1"/>
        <v>-0.25</v>
      </c>
      <c r="J6" s="16"/>
      <c r="K6" s="16"/>
      <c r="L6" s="16"/>
      <c r="M6" s="16"/>
      <c r="N6" s="16">
        <f t="shared" si="2"/>
        <v>0</v>
      </c>
      <c r="O6" s="16" t="e">
        <f t="shared" si="3"/>
        <v>#N/A</v>
      </c>
      <c r="P6" s="16">
        <v>6.9444444444444397E-3</v>
      </c>
      <c r="Q6" s="16"/>
      <c r="R6" s="16">
        <f t="shared" si="4"/>
        <v>-6.9444444444444397E-3</v>
      </c>
      <c r="S6" s="16"/>
      <c r="T6" s="16" t="e">
        <f>VLOOKUP(E6,'[2]21-3-2026'!E$3:T$35,16,FALSE)</f>
        <v>#N/A</v>
      </c>
      <c r="U6" s="16"/>
      <c r="V6" s="16" t="e">
        <f t="shared" si="5"/>
        <v>#N/A</v>
      </c>
      <c r="W6" s="16"/>
      <c r="X6" s="16"/>
      <c r="Y6" s="16"/>
      <c r="Z6" s="16">
        <f t="shared" si="6"/>
        <v>0</v>
      </c>
      <c r="AA6" s="16">
        <f t="shared" si="0"/>
        <v>0</v>
      </c>
      <c r="AB6" s="16"/>
      <c r="AC6" s="17"/>
      <c r="AD6" s="48"/>
    </row>
    <row r="7" spans="1:30" ht="19.5" thickBot="1" x14ac:dyDescent="0.3">
      <c r="A7" s="14">
        <v>5</v>
      </c>
      <c r="B7" s="15"/>
      <c r="C7" s="15" t="e">
        <f>VLOOKUP(B7,داتا!$B$3:$D$107,2,FALSE)</f>
        <v>#N/A</v>
      </c>
      <c r="D7" s="34" t="e">
        <f>VLOOKUP(B7,داتا!$B$3:$D$107,3,FALSE)</f>
        <v>#N/A</v>
      </c>
      <c r="E7" s="15"/>
      <c r="F7" s="15"/>
      <c r="G7" s="16">
        <v>0.25</v>
      </c>
      <c r="H7" s="16"/>
      <c r="I7" s="16">
        <f t="shared" si="1"/>
        <v>-0.25</v>
      </c>
      <c r="J7" s="16"/>
      <c r="K7" s="16"/>
      <c r="L7" s="16"/>
      <c r="M7" s="16"/>
      <c r="N7" s="16">
        <f t="shared" si="2"/>
        <v>0</v>
      </c>
      <c r="O7" s="16" t="e">
        <f t="shared" si="3"/>
        <v>#N/A</v>
      </c>
      <c r="P7" s="16">
        <v>6.9444444444444397E-3</v>
      </c>
      <c r="Q7" s="16"/>
      <c r="R7" s="16">
        <f t="shared" si="4"/>
        <v>-6.9444444444444397E-3</v>
      </c>
      <c r="S7" s="16"/>
      <c r="T7" s="16" t="e">
        <f>VLOOKUP(E7,'[2]21-3-2026'!E$3:T$35,16,FALSE)</f>
        <v>#N/A</v>
      </c>
      <c r="U7" s="16"/>
      <c r="V7" s="16" t="e">
        <f t="shared" si="5"/>
        <v>#N/A</v>
      </c>
      <c r="W7" s="16"/>
      <c r="X7" s="16"/>
      <c r="Y7" s="16"/>
      <c r="Z7" s="16">
        <f t="shared" si="6"/>
        <v>0</v>
      </c>
      <c r="AA7" s="16">
        <f t="shared" si="0"/>
        <v>0</v>
      </c>
      <c r="AB7" s="16"/>
      <c r="AC7" s="17"/>
      <c r="AD7" s="48"/>
    </row>
    <row r="8" spans="1:30" ht="19.5" thickBot="1" x14ac:dyDescent="0.3">
      <c r="A8" s="14">
        <v>6</v>
      </c>
      <c r="B8" s="15"/>
      <c r="C8" s="15" t="e">
        <f>VLOOKUP(B8,داتا!$B$3:$D$107,2,FALSE)</f>
        <v>#N/A</v>
      </c>
      <c r="D8" s="34" t="e">
        <f>VLOOKUP(B8,داتا!$B$3:$D$107,3,FALSE)</f>
        <v>#N/A</v>
      </c>
      <c r="E8" s="15"/>
      <c r="F8" s="15"/>
      <c r="G8" s="16">
        <v>0.25</v>
      </c>
      <c r="H8" s="16"/>
      <c r="I8" s="16">
        <f t="shared" si="1"/>
        <v>-0.25</v>
      </c>
      <c r="J8" s="16"/>
      <c r="K8" s="16"/>
      <c r="L8" s="16"/>
      <c r="M8" s="16"/>
      <c r="N8" s="16">
        <f t="shared" si="2"/>
        <v>0</v>
      </c>
      <c r="O8" s="16" t="e">
        <f t="shared" si="3"/>
        <v>#N/A</v>
      </c>
      <c r="P8" s="16">
        <v>6.9444444444444397E-3</v>
      </c>
      <c r="Q8" s="16"/>
      <c r="R8" s="16">
        <f t="shared" si="4"/>
        <v>-6.9444444444444397E-3</v>
      </c>
      <c r="S8" s="16"/>
      <c r="T8" s="16" t="e">
        <f>VLOOKUP(E8,'[2]21-3-2026'!E$3:T$35,16,FALSE)</f>
        <v>#N/A</v>
      </c>
      <c r="U8" s="16"/>
      <c r="V8" s="16" t="e">
        <f t="shared" si="5"/>
        <v>#N/A</v>
      </c>
      <c r="W8" s="16"/>
      <c r="X8" s="16"/>
      <c r="Y8" s="16"/>
      <c r="Z8" s="16">
        <f t="shared" si="6"/>
        <v>0</v>
      </c>
      <c r="AA8" s="16">
        <f t="shared" si="0"/>
        <v>0</v>
      </c>
      <c r="AB8" s="16"/>
      <c r="AC8" s="18"/>
      <c r="AD8" s="48"/>
    </row>
    <row r="9" spans="1:30" ht="19.5" thickBot="1" x14ac:dyDescent="0.3">
      <c r="A9" s="14">
        <v>7</v>
      </c>
      <c r="B9" s="15"/>
      <c r="C9" s="15" t="e">
        <f>VLOOKUP(B9,داتا!$B$3:$D$107,2,FALSE)</f>
        <v>#N/A</v>
      </c>
      <c r="D9" s="34" t="e">
        <f>VLOOKUP(B9,داتا!$B$3:$D$107,3,FALSE)</f>
        <v>#N/A</v>
      </c>
      <c r="E9" s="15"/>
      <c r="F9" s="15"/>
      <c r="G9" s="16">
        <v>0.25</v>
      </c>
      <c r="H9" s="16"/>
      <c r="I9" s="16">
        <f t="shared" si="1"/>
        <v>-0.25</v>
      </c>
      <c r="J9" s="16"/>
      <c r="K9" s="16"/>
      <c r="L9" s="16"/>
      <c r="M9" s="16"/>
      <c r="N9" s="16">
        <f t="shared" si="2"/>
        <v>0</v>
      </c>
      <c r="O9" s="16" t="e">
        <f t="shared" si="3"/>
        <v>#N/A</v>
      </c>
      <c r="P9" s="16">
        <v>6.9444444444444397E-3</v>
      </c>
      <c r="Q9" s="16"/>
      <c r="R9" s="16">
        <f t="shared" si="4"/>
        <v>-6.9444444444444397E-3</v>
      </c>
      <c r="S9" s="16"/>
      <c r="T9" s="16" t="e">
        <f>VLOOKUP(E9,'[2]21-3-2026'!E$3:T$35,16,FALSE)</f>
        <v>#N/A</v>
      </c>
      <c r="U9" s="16"/>
      <c r="V9" s="16" t="e">
        <f t="shared" si="5"/>
        <v>#N/A</v>
      </c>
      <c r="W9" s="16"/>
      <c r="X9" s="16"/>
      <c r="Y9" s="16"/>
      <c r="Z9" s="16">
        <f t="shared" si="6"/>
        <v>0</v>
      </c>
      <c r="AA9" s="16">
        <f t="shared" si="0"/>
        <v>0</v>
      </c>
      <c r="AB9" s="16"/>
      <c r="AC9" s="17"/>
      <c r="AD9" s="48"/>
    </row>
    <row r="10" spans="1:30" ht="19.5" thickBot="1" x14ac:dyDescent="0.3">
      <c r="A10" s="14">
        <v>8</v>
      </c>
      <c r="B10" s="15"/>
      <c r="C10" s="15" t="e">
        <f>VLOOKUP(B10,داتا!$B$3:$D$107,2,FALSE)</f>
        <v>#N/A</v>
      </c>
      <c r="D10" s="34" t="e">
        <f>VLOOKUP(B10,داتا!$B$3:$D$107,3,FALSE)</f>
        <v>#N/A</v>
      </c>
      <c r="E10" s="15"/>
      <c r="F10" s="15"/>
      <c r="G10" s="16">
        <v>0.25</v>
      </c>
      <c r="H10" s="16"/>
      <c r="I10" s="16">
        <f t="shared" si="1"/>
        <v>-0.25</v>
      </c>
      <c r="J10" s="16"/>
      <c r="K10" s="16"/>
      <c r="L10" s="16"/>
      <c r="M10" s="16"/>
      <c r="N10" s="16">
        <f t="shared" si="2"/>
        <v>0</v>
      </c>
      <c r="O10" s="16" t="e">
        <f t="shared" si="3"/>
        <v>#N/A</v>
      </c>
      <c r="P10" s="16">
        <v>6.9444444444444397E-3</v>
      </c>
      <c r="Q10" s="16"/>
      <c r="R10" s="16">
        <f t="shared" si="4"/>
        <v>-6.9444444444444397E-3</v>
      </c>
      <c r="S10" s="16"/>
      <c r="T10" s="16" t="e">
        <f>VLOOKUP(E10,'[2]21-3-2026'!E$3:T$35,16,FALSE)</f>
        <v>#N/A</v>
      </c>
      <c r="U10" s="16"/>
      <c r="V10" s="16" t="e">
        <f t="shared" si="5"/>
        <v>#N/A</v>
      </c>
      <c r="W10" s="16"/>
      <c r="X10" s="16"/>
      <c r="Y10" s="16"/>
      <c r="Z10" s="16">
        <f t="shared" si="6"/>
        <v>0</v>
      </c>
      <c r="AA10" s="16">
        <f t="shared" si="0"/>
        <v>0</v>
      </c>
      <c r="AB10" s="16"/>
      <c r="AC10" s="17"/>
      <c r="AD10" s="48"/>
    </row>
    <row r="11" spans="1:30" ht="19.5" thickBot="1" x14ac:dyDescent="0.3">
      <c r="A11" s="14">
        <v>9</v>
      </c>
      <c r="B11" s="15"/>
      <c r="C11" s="15" t="e">
        <f>VLOOKUP(B11,داتا!$B$3:$D$107,2,FALSE)</f>
        <v>#N/A</v>
      </c>
      <c r="D11" s="34" t="e">
        <f>VLOOKUP(B11,داتا!$B$3:$D$107,3,FALSE)</f>
        <v>#N/A</v>
      </c>
      <c r="E11" s="15"/>
      <c r="F11" s="15"/>
      <c r="G11" s="16">
        <v>0.25</v>
      </c>
      <c r="H11" s="16"/>
      <c r="I11" s="16">
        <f t="shared" si="1"/>
        <v>-0.25</v>
      </c>
      <c r="J11" s="16"/>
      <c r="K11" s="16"/>
      <c r="L11" s="16"/>
      <c r="M11" s="16"/>
      <c r="N11" s="16">
        <f t="shared" si="2"/>
        <v>0</v>
      </c>
      <c r="O11" s="16" t="e">
        <f t="shared" si="3"/>
        <v>#N/A</v>
      </c>
      <c r="P11" s="16">
        <v>6.9444444444444397E-3</v>
      </c>
      <c r="Q11" s="16"/>
      <c r="R11" s="16">
        <f t="shared" si="4"/>
        <v>-6.9444444444444397E-3</v>
      </c>
      <c r="S11" s="16"/>
      <c r="T11" s="16" t="e">
        <f>VLOOKUP(E11,'[2]21-3-2026'!E$3:T$35,16,FALSE)</f>
        <v>#N/A</v>
      </c>
      <c r="U11" s="16"/>
      <c r="V11" s="16" t="e">
        <f t="shared" si="5"/>
        <v>#N/A</v>
      </c>
      <c r="W11" s="16"/>
      <c r="X11" s="16"/>
      <c r="Y11" s="16"/>
      <c r="Z11" s="16">
        <f t="shared" si="6"/>
        <v>0</v>
      </c>
      <c r="AA11" s="16">
        <f t="shared" si="0"/>
        <v>0</v>
      </c>
      <c r="AB11" s="16"/>
      <c r="AC11" s="17"/>
      <c r="AD11" s="48"/>
    </row>
    <row r="12" spans="1:30" ht="19.5" thickBot="1" x14ac:dyDescent="0.3">
      <c r="A12" s="14">
        <v>10</v>
      </c>
      <c r="B12" s="15"/>
      <c r="C12" s="15" t="e">
        <f>VLOOKUP(B12,داتا!$B$3:$D$107,2,FALSE)</f>
        <v>#N/A</v>
      </c>
      <c r="D12" s="34" t="e">
        <f>VLOOKUP(B12,داتا!$B$3:$D$107,3,FALSE)</f>
        <v>#N/A</v>
      </c>
      <c r="E12" s="15"/>
      <c r="F12" s="15"/>
      <c r="G12" s="16">
        <v>0.25</v>
      </c>
      <c r="H12" s="16"/>
      <c r="I12" s="16">
        <f t="shared" si="1"/>
        <v>-0.25</v>
      </c>
      <c r="J12" s="16"/>
      <c r="K12" s="16"/>
      <c r="L12" s="16"/>
      <c r="M12" s="16"/>
      <c r="N12" s="16">
        <f t="shared" si="2"/>
        <v>0</v>
      </c>
      <c r="O12" s="16" t="e">
        <f t="shared" si="3"/>
        <v>#N/A</v>
      </c>
      <c r="P12" s="16">
        <v>6.9444444444444397E-3</v>
      </c>
      <c r="Q12" s="16"/>
      <c r="R12" s="16">
        <f t="shared" si="4"/>
        <v>-6.9444444444444397E-3</v>
      </c>
      <c r="S12" s="16"/>
      <c r="T12" s="16" t="e">
        <f>VLOOKUP(E12,'[2]21-3-2026'!E$3:T$35,16,FALSE)</f>
        <v>#N/A</v>
      </c>
      <c r="U12" s="16"/>
      <c r="V12" s="16" t="e">
        <f t="shared" si="5"/>
        <v>#N/A</v>
      </c>
      <c r="W12" s="16"/>
      <c r="X12" s="16"/>
      <c r="Y12" s="16"/>
      <c r="Z12" s="16">
        <f t="shared" si="6"/>
        <v>0</v>
      </c>
      <c r="AA12" s="16">
        <f t="shared" si="0"/>
        <v>0</v>
      </c>
      <c r="AB12" s="16"/>
      <c r="AC12" s="17"/>
      <c r="AD12" s="48"/>
    </row>
    <row r="13" spans="1:30" ht="19.5" thickBot="1" x14ac:dyDescent="0.3">
      <c r="A13" s="14">
        <v>11</v>
      </c>
      <c r="B13" s="15"/>
      <c r="C13" s="15" t="e">
        <f>VLOOKUP(B13,داتا!$B$3:$D$107,2,FALSE)</f>
        <v>#N/A</v>
      </c>
      <c r="D13" s="34" t="e">
        <f>VLOOKUP(B13,داتا!$B$3:$D$107,3,FALSE)</f>
        <v>#N/A</v>
      </c>
      <c r="E13" s="15"/>
      <c r="F13" s="15"/>
      <c r="G13" s="16">
        <v>0.25</v>
      </c>
      <c r="H13" s="16"/>
      <c r="I13" s="16">
        <f t="shared" si="1"/>
        <v>-0.25</v>
      </c>
      <c r="J13" s="16"/>
      <c r="K13" s="16"/>
      <c r="L13" s="16"/>
      <c r="M13" s="16"/>
      <c r="N13" s="16">
        <f t="shared" si="2"/>
        <v>0</v>
      </c>
      <c r="O13" s="16" t="e">
        <f t="shared" si="3"/>
        <v>#N/A</v>
      </c>
      <c r="P13" s="16">
        <v>6.9444444444444397E-3</v>
      </c>
      <c r="Q13" s="16"/>
      <c r="R13" s="16">
        <f t="shared" si="4"/>
        <v>-6.9444444444444397E-3</v>
      </c>
      <c r="S13" s="16"/>
      <c r="T13" s="16" t="e">
        <f>VLOOKUP(E13,'[2]21-3-2026'!E$3:T$35,16,FALSE)</f>
        <v>#N/A</v>
      </c>
      <c r="U13" s="16"/>
      <c r="V13" s="16" t="e">
        <f t="shared" si="5"/>
        <v>#N/A</v>
      </c>
      <c r="W13" s="16"/>
      <c r="X13" s="16"/>
      <c r="Y13" s="16"/>
      <c r="Z13" s="16">
        <f t="shared" si="6"/>
        <v>0</v>
      </c>
      <c r="AA13" s="16">
        <f t="shared" si="0"/>
        <v>0</v>
      </c>
      <c r="AB13" s="16"/>
      <c r="AC13" s="18"/>
      <c r="AD13" s="48"/>
    </row>
    <row r="14" spans="1:30" ht="19.5" thickBot="1" x14ac:dyDescent="0.3">
      <c r="A14" s="14">
        <v>12</v>
      </c>
      <c r="B14" s="15"/>
      <c r="C14" s="15" t="e">
        <f>VLOOKUP(B14,داتا!$B$3:$D$107,2,FALSE)</f>
        <v>#N/A</v>
      </c>
      <c r="D14" s="34" t="e">
        <f>VLOOKUP(B14,داتا!$B$3:$D$107,3,FALSE)</f>
        <v>#N/A</v>
      </c>
      <c r="E14" s="15"/>
      <c r="F14" s="15"/>
      <c r="G14" s="16">
        <v>0.25</v>
      </c>
      <c r="H14" s="16"/>
      <c r="I14" s="16">
        <f t="shared" si="1"/>
        <v>-0.25</v>
      </c>
      <c r="J14" s="16"/>
      <c r="K14" s="16"/>
      <c r="L14" s="16"/>
      <c r="M14" s="16"/>
      <c r="N14" s="16">
        <f t="shared" si="2"/>
        <v>0</v>
      </c>
      <c r="O14" s="16" t="e">
        <f t="shared" si="3"/>
        <v>#N/A</v>
      </c>
      <c r="P14" s="16">
        <v>6.9444444444444397E-3</v>
      </c>
      <c r="Q14" s="16"/>
      <c r="R14" s="16">
        <f t="shared" si="4"/>
        <v>-6.9444444444444397E-3</v>
      </c>
      <c r="S14" s="16"/>
      <c r="T14" s="16" t="e">
        <f>VLOOKUP(E14,'[2]21-3-2026'!E$3:T$35,16,FALSE)</f>
        <v>#N/A</v>
      </c>
      <c r="U14" s="16"/>
      <c r="V14" s="16" t="e">
        <f t="shared" si="5"/>
        <v>#N/A</v>
      </c>
      <c r="W14" s="16"/>
      <c r="X14" s="16"/>
      <c r="Y14" s="16"/>
      <c r="Z14" s="16">
        <f t="shared" si="6"/>
        <v>0</v>
      </c>
      <c r="AA14" s="16">
        <f t="shared" si="0"/>
        <v>0</v>
      </c>
      <c r="AB14" s="16"/>
      <c r="AC14" s="17"/>
      <c r="AD14" s="48"/>
    </row>
    <row r="15" spans="1:30" ht="19.5" thickBot="1" x14ac:dyDescent="0.3">
      <c r="A15" s="14">
        <v>13</v>
      </c>
      <c r="B15" s="15"/>
      <c r="C15" s="15" t="e">
        <f>VLOOKUP(B15,داتا!$B$3:$D$107,2,FALSE)</f>
        <v>#N/A</v>
      </c>
      <c r="D15" s="34" t="e">
        <f>VLOOKUP(B15,داتا!$B$3:$D$107,3,FALSE)</f>
        <v>#N/A</v>
      </c>
      <c r="E15" s="15"/>
      <c r="F15" s="15"/>
      <c r="G15" s="16">
        <v>0.25</v>
      </c>
      <c r="H15" s="16"/>
      <c r="I15" s="16">
        <f t="shared" si="1"/>
        <v>-0.25</v>
      </c>
      <c r="J15" s="16"/>
      <c r="K15" s="16"/>
      <c r="L15" s="16"/>
      <c r="M15" s="16"/>
      <c r="N15" s="16">
        <f t="shared" si="2"/>
        <v>0</v>
      </c>
      <c r="O15" s="16" t="e">
        <f t="shared" si="3"/>
        <v>#N/A</v>
      </c>
      <c r="P15" s="16">
        <v>6.9444444444444397E-3</v>
      </c>
      <c r="Q15" s="16"/>
      <c r="R15" s="16">
        <f t="shared" si="4"/>
        <v>-6.9444444444444397E-3</v>
      </c>
      <c r="S15" s="16"/>
      <c r="T15" s="16" t="e">
        <f>VLOOKUP(E15,'[2]21-3-2026'!E$3:T$35,16,FALSE)</f>
        <v>#N/A</v>
      </c>
      <c r="U15" s="16"/>
      <c r="V15" s="16" t="e">
        <f t="shared" si="5"/>
        <v>#N/A</v>
      </c>
      <c r="W15" s="16"/>
      <c r="X15" s="16"/>
      <c r="Y15" s="16"/>
      <c r="Z15" s="16">
        <f t="shared" si="6"/>
        <v>0</v>
      </c>
      <c r="AA15" s="16">
        <f t="shared" si="0"/>
        <v>0</v>
      </c>
      <c r="AB15" s="16"/>
      <c r="AC15" s="17"/>
      <c r="AD15" s="48"/>
    </row>
    <row r="16" spans="1:30" ht="19.5" thickBot="1" x14ac:dyDescent="0.3">
      <c r="A16" s="14">
        <v>14</v>
      </c>
      <c r="B16" s="15"/>
      <c r="C16" s="15" t="e">
        <f>VLOOKUP(B16,داتا!$B$3:$D$107,2,FALSE)</f>
        <v>#N/A</v>
      </c>
      <c r="D16" s="34" t="e">
        <f>VLOOKUP(B16,داتا!$B$3:$D$107,3,FALSE)</f>
        <v>#N/A</v>
      </c>
      <c r="E16" s="15"/>
      <c r="F16" s="15"/>
      <c r="G16" s="16">
        <v>0.25</v>
      </c>
      <c r="H16" s="16"/>
      <c r="I16" s="16">
        <f t="shared" si="1"/>
        <v>-0.25</v>
      </c>
      <c r="J16" s="16"/>
      <c r="K16" s="16"/>
      <c r="L16" s="16"/>
      <c r="M16" s="16"/>
      <c r="N16" s="16">
        <f t="shared" si="2"/>
        <v>0</v>
      </c>
      <c r="O16" s="16" t="e">
        <f t="shared" si="3"/>
        <v>#N/A</v>
      </c>
      <c r="P16" s="16">
        <v>6.9444444444444397E-3</v>
      </c>
      <c r="Q16" s="16"/>
      <c r="R16" s="16">
        <f t="shared" si="4"/>
        <v>-6.9444444444444397E-3</v>
      </c>
      <c r="S16" s="16"/>
      <c r="T16" s="16" t="e">
        <f>VLOOKUP(E16,'[2]21-3-2026'!E$3:T$35,16,FALSE)</f>
        <v>#N/A</v>
      </c>
      <c r="U16" s="16"/>
      <c r="V16" s="16" t="e">
        <f t="shared" si="5"/>
        <v>#N/A</v>
      </c>
      <c r="W16" s="16"/>
      <c r="X16" s="16"/>
      <c r="Y16" s="16"/>
      <c r="Z16" s="16">
        <f t="shared" si="6"/>
        <v>0</v>
      </c>
      <c r="AA16" s="16">
        <f t="shared" si="0"/>
        <v>0</v>
      </c>
      <c r="AB16" s="16"/>
      <c r="AC16" s="17"/>
      <c r="AD16" s="48"/>
    </row>
    <row r="17" spans="1:30" ht="19.5" thickBot="1" x14ac:dyDescent="0.3">
      <c r="A17" s="14">
        <v>15</v>
      </c>
      <c r="B17" s="15"/>
      <c r="C17" s="15" t="e">
        <f>VLOOKUP(B17,داتا!$B$3:$D$107,2,FALSE)</f>
        <v>#N/A</v>
      </c>
      <c r="D17" s="34" t="e">
        <f>VLOOKUP(B17,داتا!$B$3:$D$107,3,FALSE)</f>
        <v>#N/A</v>
      </c>
      <c r="E17" s="15"/>
      <c r="F17" s="15"/>
      <c r="G17" s="16">
        <v>0.25</v>
      </c>
      <c r="H17" s="16"/>
      <c r="I17" s="16">
        <f t="shared" si="1"/>
        <v>-0.25</v>
      </c>
      <c r="J17" s="16"/>
      <c r="K17" s="16"/>
      <c r="L17" s="16"/>
      <c r="M17" s="16"/>
      <c r="N17" s="16">
        <f t="shared" si="2"/>
        <v>0</v>
      </c>
      <c r="O17" s="16" t="e">
        <f t="shared" si="3"/>
        <v>#N/A</v>
      </c>
      <c r="P17" s="16">
        <v>6.9444444444444397E-3</v>
      </c>
      <c r="Q17" s="16"/>
      <c r="R17" s="16">
        <f t="shared" si="4"/>
        <v>-6.9444444444444397E-3</v>
      </c>
      <c r="S17" s="16"/>
      <c r="T17" s="16" t="e">
        <f>VLOOKUP(E17,'[2]21-3-2026'!E$3:T$35,16,FALSE)</f>
        <v>#N/A</v>
      </c>
      <c r="U17" s="16"/>
      <c r="V17" s="16" t="e">
        <f t="shared" si="5"/>
        <v>#N/A</v>
      </c>
      <c r="W17" s="16"/>
      <c r="X17" s="16"/>
      <c r="Y17" s="16"/>
      <c r="Z17" s="16">
        <f t="shared" si="6"/>
        <v>0</v>
      </c>
      <c r="AA17" s="16">
        <f t="shared" si="0"/>
        <v>0</v>
      </c>
      <c r="AB17" s="16"/>
      <c r="AC17" s="17"/>
      <c r="AD17" s="48"/>
    </row>
    <row r="18" spans="1:30" ht="19.5" thickBot="1" x14ac:dyDescent="0.3">
      <c r="A18" s="14">
        <v>16</v>
      </c>
      <c r="B18" s="15"/>
      <c r="C18" s="15" t="e">
        <f>VLOOKUP(B18,داتا!$B$3:$D$107,2,FALSE)</f>
        <v>#N/A</v>
      </c>
      <c r="D18" s="34" t="e">
        <f>VLOOKUP(B18,داتا!$B$3:$D$107,3,FALSE)</f>
        <v>#N/A</v>
      </c>
      <c r="E18" s="16"/>
      <c r="F18" s="15"/>
      <c r="G18" s="16">
        <v>0.25</v>
      </c>
      <c r="H18" s="16"/>
      <c r="I18" s="16">
        <f t="shared" si="1"/>
        <v>-0.25</v>
      </c>
      <c r="J18" s="16"/>
      <c r="K18" s="16"/>
      <c r="L18" s="16"/>
      <c r="M18" s="16"/>
      <c r="N18" s="16">
        <f t="shared" si="2"/>
        <v>0</v>
      </c>
      <c r="O18" s="16" t="e">
        <f t="shared" si="3"/>
        <v>#N/A</v>
      </c>
      <c r="P18" s="16">
        <v>6.9444444444444397E-3</v>
      </c>
      <c r="Q18" s="16"/>
      <c r="R18" s="16">
        <f t="shared" si="4"/>
        <v>-6.9444444444444397E-3</v>
      </c>
      <c r="S18" s="16"/>
      <c r="T18" s="16" t="e">
        <f>VLOOKUP(E18,'[2]21-3-2026'!E$3:T$35,16,FALSE)</f>
        <v>#N/A</v>
      </c>
      <c r="U18" s="16"/>
      <c r="V18" s="16" t="e">
        <f t="shared" si="5"/>
        <v>#N/A</v>
      </c>
      <c r="W18" s="16"/>
      <c r="X18" s="16"/>
      <c r="Y18" s="16"/>
      <c r="Z18" s="16">
        <f t="shared" si="6"/>
        <v>0</v>
      </c>
      <c r="AA18" s="16">
        <f t="shared" si="0"/>
        <v>0</v>
      </c>
      <c r="AB18" s="16"/>
      <c r="AC18" s="17"/>
      <c r="AD18" s="48"/>
    </row>
    <row r="19" spans="1:30" ht="19.5" thickBot="1" x14ac:dyDescent="0.3">
      <c r="A19" s="14">
        <v>17</v>
      </c>
      <c r="B19" s="15"/>
      <c r="C19" s="15" t="e">
        <f>VLOOKUP(B19,داتا!$B$3:$D$107,2,FALSE)</f>
        <v>#N/A</v>
      </c>
      <c r="D19" s="34" t="e">
        <f>VLOOKUP(B19,داتا!$B$3:$D$107,3,FALSE)</f>
        <v>#N/A</v>
      </c>
      <c r="E19" s="15"/>
      <c r="F19" s="15"/>
      <c r="G19" s="16">
        <v>0.25</v>
      </c>
      <c r="H19" s="16"/>
      <c r="I19" s="16">
        <f t="shared" si="1"/>
        <v>-0.25</v>
      </c>
      <c r="J19" s="16"/>
      <c r="K19" s="16"/>
      <c r="L19" s="16"/>
      <c r="M19" s="16"/>
      <c r="N19" s="16">
        <f t="shared" si="2"/>
        <v>0</v>
      </c>
      <c r="O19" s="16" t="e">
        <f t="shared" si="3"/>
        <v>#N/A</v>
      </c>
      <c r="P19" s="16">
        <v>6.9444444444444397E-3</v>
      </c>
      <c r="Q19" s="16"/>
      <c r="R19" s="16">
        <f t="shared" si="4"/>
        <v>-6.9444444444444397E-3</v>
      </c>
      <c r="S19" s="16"/>
      <c r="T19" s="16" t="e">
        <f>VLOOKUP(E19,'[2]21-3-2026'!E$3:T$35,16,FALSE)</f>
        <v>#N/A</v>
      </c>
      <c r="U19" s="16"/>
      <c r="V19" s="16" t="e">
        <f t="shared" si="5"/>
        <v>#N/A</v>
      </c>
      <c r="W19" s="16"/>
      <c r="X19" s="16"/>
      <c r="Y19" s="16"/>
      <c r="Z19" s="16">
        <f t="shared" si="6"/>
        <v>0</v>
      </c>
      <c r="AA19" s="16">
        <f t="shared" si="0"/>
        <v>0</v>
      </c>
      <c r="AB19" s="16"/>
      <c r="AC19" s="17"/>
      <c r="AD19" s="48"/>
    </row>
    <row r="20" spans="1:30" ht="19.5" thickBot="1" x14ac:dyDescent="0.3">
      <c r="A20" s="14">
        <v>18</v>
      </c>
      <c r="B20" s="15"/>
      <c r="C20" s="15" t="e">
        <f>VLOOKUP(B20,داتا!$B$3:$D$107,2,FALSE)</f>
        <v>#N/A</v>
      </c>
      <c r="D20" s="34" t="e">
        <f>VLOOKUP(B20,داتا!$B$3:$D$107,3,FALSE)</f>
        <v>#N/A</v>
      </c>
      <c r="E20" s="15"/>
      <c r="F20" s="15"/>
      <c r="G20" s="16">
        <v>0.25</v>
      </c>
      <c r="H20" s="16"/>
      <c r="I20" s="16">
        <f t="shared" si="1"/>
        <v>-0.25</v>
      </c>
      <c r="J20" s="16"/>
      <c r="K20" s="16"/>
      <c r="L20" s="16"/>
      <c r="M20" s="16"/>
      <c r="N20" s="16">
        <f t="shared" si="2"/>
        <v>0</v>
      </c>
      <c r="O20" s="16" t="e">
        <f t="shared" si="3"/>
        <v>#N/A</v>
      </c>
      <c r="P20" s="16">
        <v>6.9444444444444397E-3</v>
      </c>
      <c r="Q20" s="16"/>
      <c r="R20" s="16">
        <f t="shared" si="4"/>
        <v>-6.9444444444444397E-3</v>
      </c>
      <c r="S20" s="16"/>
      <c r="T20" s="16" t="e">
        <f>VLOOKUP(E20,'[2]21-3-2026'!E$3:T$35,16,FALSE)</f>
        <v>#N/A</v>
      </c>
      <c r="U20" s="16"/>
      <c r="V20" s="16" t="e">
        <f t="shared" si="5"/>
        <v>#N/A</v>
      </c>
      <c r="W20" s="16"/>
      <c r="X20" s="16"/>
      <c r="Y20" s="16"/>
      <c r="Z20" s="16">
        <f t="shared" si="6"/>
        <v>0</v>
      </c>
      <c r="AA20" s="16">
        <f t="shared" si="0"/>
        <v>0</v>
      </c>
      <c r="AB20" s="16"/>
      <c r="AC20" s="17"/>
      <c r="AD20" s="48"/>
    </row>
    <row r="21" spans="1:30" ht="19.5" thickBot="1" x14ac:dyDescent="0.3">
      <c r="A21" s="14">
        <v>19</v>
      </c>
      <c r="B21" s="15"/>
      <c r="C21" s="15" t="e">
        <f>VLOOKUP(B21,داتا!$B$3:$D$107,2,FALSE)</f>
        <v>#N/A</v>
      </c>
      <c r="D21" s="34" t="e">
        <f>VLOOKUP(B21,داتا!$B$3:$D$107,3,FALSE)</f>
        <v>#N/A</v>
      </c>
      <c r="E21" s="15"/>
      <c r="F21" s="15"/>
      <c r="G21" s="16">
        <v>0.25</v>
      </c>
      <c r="H21" s="16"/>
      <c r="I21" s="16">
        <f t="shared" si="1"/>
        <v>-0.25</v>
      </c>
      <c r="J21" s="16"/>
      <c r="K21" s="16"/>
      <c r="L21" s="16"/>
      <c r="M21" s="16"/>
      <c r="N21" s="16">
        <f t="shared" si="2"/>
        <v>0</v>
      </c>
      <c r="O21" s="16" t="e">
        <f t="shared" si="3"/>
        <v>#N/A</v>
      </c>
      <c r="P21" s="16">
        <v>6.9444444444444397E-3</v>
      </c>
      <c r="Q21" s="16"/>
      <c r="R21" s="16">
        <f t="shared" si="4"/>
        <v>-6.9444444444444397E-3</v>
      </c>
      <c r="S21" s="16"/>
      <c r="T21" s="16" t="e">
        <f>VLOOKUP(E21,'[2]21-3-2026'!E$3:T$35,16,FALSE)</f>
        <v>#N/A</v>
      </c>
      <c r="U21" s="16"/>
      <c r="V21" s="16" t="e">
        <f t="shared" si="5"/>
        <v>#N/A</v>
      </c>
      <c r="W21" s="16"/>
      <c r="X21" s="16"/>
      <c r="Y21" s="16"/>
      <c r="Z21" s="16">
        <f t="shared" si="6"/>
        <v>0</v>
      </c>
      <c r="AA21" s="16">
        <f t="shared" si="0"/>
        <v>0</v>
      </c>
      <c r="AB21" s="16"/>
      <c r="AC21" s="17"/>
      <c r="AD21" s="48"/>
    </row>
    <row r="22" spans="1:30" ht="19.5" thickBot="1" x14ac:dyDescent="0.3">
      <c r="A22" s="14">
        <v>20</v>
      </c>
      <c r="B22" s="15"/>
      <c r="C22" s="15" t="e">
        <f>VLOOKUP(B22,داتا!$B$3:$D$107,2,FALSE)</f>
        <v>#N/A</v>
      </c>
      <c r="D22" s="34" t="e">
        <f>VLOOKUP(B22,داتا!$B$3:$D$107,3,FALSE)</f>
        <v>#N/A</v>
      </c>
      <c r="E22" s="15"/>
      <c r="F22" s="15"/>
      <c r="G22" s="16">
        <v>0.25</v>
      </c>
      <c r="H22" s="16"/>
      <c r="I22" s="16">
        <f t="shared" si="1"/>
        <v>-0.25</v>
      </c>
      <c r="J22" s="16"/>
      <c r="K22" s="16"/>
      <c r="L22" s="16"/>
      <c r="M22" s="16"/>
      <c r="N22" s="16">
        <f t="shared" si="2"/>
        <v>0</v>
      </c>
      <c r="O22" s="16" t="e">
        <f t="shared" si="3"/>
        <v>#N/A</v>
      </c>
      <c r="P22" s="16">
        <v>6.9444444444444397E-3</v>
      </c>
      <c r="Q22" s="16"/>
      <c r="R22" s="16">
        <f t="shared" si="4"/>
        <v>-6.9444444444444397E-3</v>
      </c>
      <c r="S22" s="16"/>
      <c r="T22" s="16" t="e">
        <f>VLOOKUP(E22,'[2]21-3-2026'!E$3:T$35,16,FALSE)</f>
        <v>#N/A</v>
      </c>
      <c r="U22" s="16"/>
      <c r="V22" s="16" t="e">
        <f t="shared" si="5"/>
        <v>#N/A</v>
      </c>
      <c r="W22" s="16"/>
      <c r="X22" s="16"/>
      <c r="Y22" s="16"/>
      <c r="Z22" s="16">
        <f t="shared" si="6"/>
        <v>0</v>
      </c>
      <c r="AA22" s="16">
        <f t="shared" si="0"/>
        <v>0</v>
      </c>
      <c r="AB22" s="16"/>
      <c r="AC22" s="17"/>
      <c r="AD22" s="48"/>
    </row>
    <row r="23" spans="1:30" ht="19.5" thickBot="1" x14ac:dyDescent="0.3">
      <c r="A23" s="14">
        <v>21</v>
      </c>
      <c r="B23" s="15"/>
      <c r="C23" s="15" t="e">
        <f>VLOOKUP(B23,داتا!$B$3:$D$107,2,FALSE)</f>
        <v>#N/A</v>
      </c>
      <c r="D23" s="34" t="e">
        <f>VLOOKUP(B23,داتا!$B$3:$D$107,3,FALSE)</f>
        <v>#N/A</v>
      </c>
      <c r="E23" s="15"/>
      <c r="F23" s="15"/>
      <c r="G23" s="16">
        <v>0.25</v>
      </c>
      <c r="H23" s="16"/>
      <c r="I23" s="16">
        <f t="shared" si="1"/>
        <v>-0.25</v>
      </c>
      <c r="J23" s="16"/>
      <c r="K23" s="16"/>
      <c r="L23" s="16"/>
      <c r="M23" s="16"/>
      <c r="N23" s="16">
        <f t="shared" si="2"/>
        <v>0</v>
      </c>
      <c r="O23" s="16" t="e">
        <f t="shared" si="3"/>
        <v>#N/A</v>
      </c>
      <c r="P23" s="16">
        <v>6.9444444444444397E-3</v>
      </c>
      <c r="Q23" s="16"/>
      <c r="R23" s="16">
        <f t="shared" si="4"/>
        <v>-6.9444444444444397E-3</v>
      </c>
      <c r="S23" s="16"/>
      <c r="T23" s="16" t="e">
        <f>VLOOKUP(E23,'[2]21-3-2026'!E$3:T$35,16,FALSE)</f>
        <v>#N/A</v>
      </c>
      <c r="U23" s="16"/>
      <c r="V23" s="16" t="e">
        <f t="shared" si="5"/>
        <v>#N/A</v>
      </c>
      <c r="W23" s="16"/>
      <c r="X23" s="16"/>
      <c r="Y23" s="16"/>
      <c r="Z23" s="16">
        <f t="shared" si="6"/>
        <v>0</v>
      </c>
      <c r="AA23" s="16">
        <f t="shared" si="0"/>
        <v>0</v>
      </c>
      <c r="AB23" s="16"/>
      <c r="AC23" s="17"/>
      <c r="AD23" s="48"/>
    </row>
    <row r="24" spans="1:30" ht="19.5" thickBot="1" x14ac:dyDescent="0.3">
      <c r="A24" s="14">
        <v>22</v>
      </c>
      <c r="B24" s="15"/>
      <c r="C24" s="15" t="e">
        <f>VLOOKUP(B24,داتا!$B$3:$D$107,2,FALSE)</f>
        <v>#N/A</v>
      </c>
      <c r="D24" s="34" t="e">
        <f>VLOOKUP(B24,داتا!$B$3:$D$107,3,FALSE)</f>
        <v>#N/A</v>
      </c>
      <c r="E24" s="15"/>
      <c r="F24" s="16"/>
      <c r="G24" s="16">
        <v>0.25</v>
      </c>
      <c r="H24" s="16"/>
      <c r="I24" s="16">
        <f t="shared" si="1"/>
        <v>-0.25</v>
      </c>
      <c r="J24" s="16"/>
      <c r="K24" s="16"/>
      <c r="L24" s="16"/>
      <c r="M24" s="16"/>
      <c r="N24" s="16">
        <f t="shared" si="2"/>
        <v>0</v>
      </c>
      <c r="O24" s="16" t="e">
        <f t="shared" si="3"/>
        <v>#N/A</v>
      </c>
      <c r="P24" s="16">
        <v>6.9444444444444397E-3</v>
      </c>
      <c r="Q24" s="16"/>
      <c r="R24" s="16">
        <f t="shared" si="4"/>
        <v>-6.9444444444444397E-3</v>
      </c>
      <c r="S24" s="16"/>
      <c r="T24" s="16" t="e">
        <f>VLOOKUP(E24,'[2]21-3-2026'!E$3:T$35,16,FALSE)</f>
        <v>#N/A</v>
      </c>
      <c r="U24" s="16"/>
      <c r="V24" s="16" t="e">
        <f t="shared" si="5"/>
        <v>#N/A</v>
      </c>
      <c r="W24" s="16"/>
      <c r="X24" s="16"/>
      <c r="Y24" s="16"/>
      <c r="Z24" s="16">
        <f t="shared" si="6"/>
        <v>0</v>
      </c>
      <c r="AA24" s="16">
        <f t="shared" si="0"/>
        <v>0</v>
      </c>
      <c r="AB24" s="16"/>
      <c r="AC24" s="17"/>
      <c r="AD24" s="48"/>
    </row>
    <row r="25" spans="1:30" ht="19.5" thickBot="1" x14ac:dyDescent="0.3">
      <c r="A25" s="14">
        <v>23</v>
      </c>
      <c r="B25" s="15"/>
      <c r="C25" s="15" t="e">
        <f>VLOOKUP(B25,داتا!$B$3:$D$107,2,FALSE)</f>
        <v>#N/A</v>
      </c>
      <c r="D25" s="34" t="e">
        <f>VLOOKUP(B25,داتا!$B$3:$D$107,3,FALSE)</f>
        <v>#N/A</v>
      </c>
      <c r="E25" s="15"/>
      <c r="F25" s="15"/>
      <c r="G25" s="16">
        <v>0.25</v>
      </c>
      <c r="H25" s="16"/>
      <c r="I25" s="16">
        <f t="shared" si="1"/>
        <v>-0.25</v>
      </c>
      <c r="J25" s="16"/>
      <c r="K25" s="16"/>
      <c r="L25" s="16"/>
      <c r="M25" s="16"/>
      <c r="N25" s="16">
        <f t="shared" si="2"/>
        <v>0</v>
      </c>
      <c r="O25" s="16" t="e">
        <f t="shared" si="3"/>
        <v>#N/A</v>
      </c>
      <c r="P25" s="16">
        <v>6.9444444444444397E-3</v>
      </c>
      <c r="Q25" s="16"/>
      <c r="R25" s="16">
        <f t="shared" si="4"/>
        <v>-6.9444444444444397E-3</v>
      </c>
      <c r="S25" s="16"/>
      <c r="T25" s="16" t="e">
        <f>VLOOKUP(E25,'[2]21-3-2026'!E$3:T$35,16,FALSE)</f>
        <v>#N/A</v>
      </c>
      <c r="U25" s="16"/>
      <c r="V25" s="16" t="e">
        <f t="shared" si="5"/>
        <v>#N/A</v>
      </c>
      <c r="W25" s="16"/>
      <c r="X25" s="16"/>
      <c r="Y25" s="16"/>
      <c r="Z25" s="16">
        <f t="shared" si="6"/>
        <v>0</v>
      </c>
      <c r="AA25" s="16">
        <f t="shared" si="0"/>
        <v>0</v>
      </c>
      <c r="AB25" s="16"/>
      <c r="AC25" s="19"/>
      <c r="AD25" s="48"/>
    </row>
    <row r="26" spans="1:30" ht="19.5" thickBot="1" x14ac:dyDescent="0.3">
      <c r="A26" s="14">
        <v>24</v>
      </c>
      <c r="B26" s="15"/>
      <c r="C26" s="15" t="e">
        <f>VLOOKUP(B26,داتا!$B$3:$D$107,2,FALSE)</f>
        <v>#N/A</v>
      </c>
      <c r="D26" s="34" t="e">
        <f>VLOOKUP(B26,داتا!$B$3:$D$107,3,FALSE)</f>
        <v>#N/A</v>
      </c>
      <c r="E26" s="15"/>
      <c r="F26" s="15"/>
      <c r="G26" s="16">
        <v>0.25</v>
      </c>
      <c r="H26" s="16"/>
      <c r="I26" s="16">
        <f t="shared" si="1"/>
        <v>-0.25</v>
      </c>
      <c r="J26" s="16"/>
      <c r="K26" s="16"/>
      <c r="L26" s="16"/>
      <c r="M26" s="16"/>
      <c r="N26" s="16">
        <f t="shared" si="2"/>
        <v>0</v>
      </c>
      <c r="O26" s="16" t="e">
        <f t="shared" si="3"/>
        <v>#N/A</v>
      </c>
      <c r="P26" s="16">
        <v>6.9444444444444397E-3</v>
      </c>
      <c r="Q26" s="16"/>
      <c r="R26" s="16">
        <f t="shared" si="4"/>
        <v>-6.9444444444444397E-3</v>
      </c>
      <c r="S26" s="16"/>
      <c r="T26" s="16" t="e">
        <f>VLOOKUP(E26,'[2]21-3-2026'!E$3:T$35,16,FALSE)</f>
        <v>#N/A</v>
      </c>
      <c r="U26" s="16"/>
      <c r="V26" s="16" t="e">
        <f t="shared" si="5"/>
        <v>#N/A</v>
      </c>
      <c r="W26" s="16"/>
      <c r="X26" s="16"/>
      <c r="Y26" s="16"/>
      <c r="Z26" s="16">
        <f t="shared" si="6"/>
        <v>0</v>
      </c>
      <c r="AA26" s="16">
        <f t="shared" si="0"/>
        <v>0</v>
      </c>
      <c r="AB26" s="16"/>
      <c r="AC26" s="19"/>
      <c r="AD26" s="48"/>
    </row>
    <row r="27" spans="1:30" ht="19.5" thickBot="1" x14ac:dyDescent="0.3">
      <c r="A27" s="14">
        <v>25</v>
      </c>
      <c r="B27" s="15"/>
      <c r="C27" s="15" t="e">
        <f>VLOOKUP(B27,داتا!$B$3:$D$107,2,FALSE)</f>
        <v>#N/A</v>
      </c>
      <c r="D27" s="34" t="e">
        <f>VLOOKUP(B27,داتا!$B$3:$D$107,3,FALSE)</f>
        <v>#N/A</v>
      </c>
      <c r="E27" s="15"/>
      <c r="F27" s="15"/>
      <c r="G27" s="16">
        <v>0.25</v>
      </c>
      <c r="H27" s="16"/>
      <c r="I27" s="16">
        <f t="shared" si="1"/>
        <v>-0.25</v>
      </c>
      <c r="J27" s="16"/>
      <c r="K27" s="16"/>
      <c r="L27" s="16"/>
      <c r="M27" s="16"/>
      <c r="N27" s="16">
        <f t="shared" si="2"/>
        <v>0</v>
      </c>
      <c r="O27" s="16" t="e">
        <f t="shared" si="3"/>
        <v>#N/A</v>
      </c>
      <c r="P27" s="16">
        <v>6.9444444444444397E-3</v>
      </c>
      <c r="Q27" s="16"/>
      <c r="R27" s="16">
        <f t="shared" si="4"/>
        <v>-6.9444444444444397E-3</v>
      </c>
      <c r="S27" s="16"/>
      <c r="T27" s="16" t="e">
        <f>VLOOKUP(E27,'[2]21-3-2026'!E$3:T$35,16,FALSE)</f>
        <v>#N/A</v>
      </c>
      <c r="U27" s="16"/>
      <c r="V27" s="16" t="e">
        <f t="shared" si="5"/>
        <v>#N/A</v>
      </c>
      <c r="W27" s="16"/>
      <c r="X27" s="16"/>
      <c r="Y27" s="16"/>
      <c r="Z27" s="16">
        <f t="shared" si="6"/>
        <v>0</v>
      </c>
      <c r="AA27" s="16">
        <f t="shared" si="0"/>
        <v>0</v>
      </c>
      <c r="AB27" s="16"/>
      <c r="AC27" s="19"/>
      <c r="AD27" s="48"/>
    </row>
    <row r="28" spans="1:30" ht="19.5" thickBot="1" x14ac:dyDescent="0.3">
      <c r="A28" s="14">
        <v>26</v>
      </c>
      <c r="B28" s="15"/>
      <c r="C28" s="15" t="e">
        <f>VLOOKUP(B28,داتا!$B$3:$D$107,2,FALSE)</f>
        <v>#N/A</v>
      </c>
      <c r="D28" s="34" t="e">
        <f>VLOOKUP(B28,داتا!$B$3:$D$107,3,FALSE)</f>
        <v>#N/A</v>
      </c>
      <c r="E28" s="15"/>
      <c r="F28" s="15"/>
      <c r="G28" s="16">
        <v>0.25</v>
      </c>
      <c r="H28" s="16"/>
      <c r="I28" s="16">
        <f t="shared" si="1"/>
        <v>-0.25</v>
      </c>
      <c r="J28" s="16"/>
      <c r="K28" s="16"/>
      <c r="L28" s="16"/>
      <c r="M28" s="16"/>
      <c r="N28" s="16">
        <f t="shared" si="2"/>
        <v>0</v>
      </c>
      <c r="O28" s="16" t="e">
        <f t="shared" si="3"/>
        <v>#N/A</v>
      </c>
      <c r="P28" s="16">
        <v>6.9444444444444397E-3</v>
      </c>
      <c r="Q28" s="16"/>
      <c r="R28" s="16">
        <f t="shared" si="4"/>
        <v>-6.9444444444444397E-3</v>
      </c>
      <c r="S28" s="16"/>
      <c r="T28" s="16" t="e">
        <f>VLOOKUP(E28,'[2]21-3-2026'!E$3:T$35,16,FALSE)</f>
        <v>#N/A</v>
      </c>
      <c r="U28" s="16"/>
      <c r="V28" s="16" t="e">
        <f t="shared" si="5"/>
        <v>#N/A</v>
      </c>
      <c r="W28" s="16"/>
      <c r="X28" s="16"/>
      <c r="Y28" s="16"/>
      <c r="Z28" s="16">
        <f t="shared" si="6"/>
        <v>0</v>
      </c>
      <c r="AA28" s="16">
        <f t="shared" si="0"/>
        <v>0</v>
      </c>
      <c r="AB28" s="16"/>
      <c r="AC28" s="17"/>
      <c r="AD28" s="48"/>
    </row>
    <row r="29" spans="1:30" ht="19.5" thickBot="1" x14ac:dyDescent="0.3">
      <c r="A29" s="14">
        <v>27</v>
      </c>
      <c r="B29" s="15"/>
      <c r="C29" s="15" t="e">
        <f>VLOOKUP(B29,داتا!$B$3:$D$107,2,FALSE)</f>
        <v>#N/A</v>
      </c>
      <c r="D29" s="34" t="e">
        <f>VLOOKUP(B29,داتا!$B$3:$D$107,3,FALSE)</f>
        <v>#N/A</v>
      </c>
      <c r="E29" s="15"/>
      <c r="F29" s="15"/>
      <c r="G29" s="16">
        <v>0.25</v>
      </c>
      <c r="H29" s="16"/>
      <c r="I29" s="16">
        <f t="shared" si="1"/>
        <v>-0.25</v>
      </c>
      <c r="J29" s="16"/>
      <c r="K29" s="16"/>
      <c r="L29" s="16"/>
      <c r="M29" s="16"/>
      <c r="N29" s="16">
        <f t="shared" si="2"/>
        <v>0</v>
      </c>
      <c r="O29" s="16" t="e">
        <f t="shared" si="3"/>
        <v>#N/A</v>
      </c>
      <c r="P29" s="16">
        <v>6.9444444444444397E-3</v>
      </c>
      <c r="Q29" s="16"/>
      <c r="R29" s="16">
        <f t="shared" si="4"/>
        <v>-6.9444444444444397E-3</v>
      </c>
      <c r="S29" s="16"/>
      <c r="T29" s="16" t="e">
        <f>VLOOKUP(E29,'[2]21-3-2026'!E$3:T$35,16,FALSE)</f>
        <v>#N/A</v>
      </c>
      <c r="U29" s="16"/>
      <c r="V29" s="16" t="e">
        <f t="shared" si="5"/>
        <v>#N/A</v>
      </c>
      <c r="W29" s="16"/>
      <c r="X29" s="16"/>
      <c r="Y29" s="16"/>
      <c r="Z29" s="16">
        <f t="shared" si="6"/>
        <v>0</v>
      </c>
      <c r="AA29" s="16">
        <f t="shared" si="0"/>
        <v>0</v>
      </c>
      <c r="AB29" s="16"/>
      <c r="AC29" s="18"/>
      <c r="AD29" s="48"/>
    </row>
    <row r="30" spans="1:30" ht="19.5" thickBot="1" x14ac:dyDescent="0.3">
      <c r="A30" s="14">
        <v>28</v>
      </c>
      <c r="B30" s="15"/>
      <c r="C30" s="15" t="e">
        <f>VLOOKUP(B30,داتا!$B$3:$D$107,2,FALSE)</f>
        <v>#N/A</v>
      </c>
      <c r="D30" s="34" t="e">
        <f>VLOOKUP(B30,داتا!$B$3:$D$107,3,FALSE)</f>
        <v>#N/A</v>
      </c>
      <c r="E30" s="15"/>
      <c r="F30" s="15"/>
      <c r="G30" s="16">
        <v>0.25</v>
      </c>
      <c r="H30" s="16"/>
      <c r="I30" s="16">
        <f t="shared" si="1"/>
        <v>-0.25</v>
      </c>
      <c r="J30" s="16"/>
      <c r="K30" s="16"/>
      <c r="L30" s="16"/>
      <c r="M30" s="16"/>
      <c r="N30" s="16">
        <f t="shared" si="2"/>
        <v>0</v>
      </c>
      <c r="O30" s="16" t="e">
        <f t="shared" si="3"/>
        <v>#N/A</v>
      </c>
      <c r="P30" s="16">
        <v>6.9444444444444397E-3</v>
      </c>
      <c r="Q30" s="16"/>
      <c r="R30" s="16">
        <f t="shared" si="4"/>
        <v>-6.9444444444444397E-3</v>
      </c>
      <c r="S30" s="16"/>
      <c r="T30" s="16" t="e">
        <f>VLOOKUP(E30,'[2]21-3-2026'!E$3:T$35,16,FALSE)</f>
        <v>#N/A</v>
      </c>
      <c r="U30" s="16"/>
      <c r="V30" s="16" t="e">
        <f t="shared" si="5"/>
        <v>#N/A</v>
      </c>
      <c r="W30" s="16"/>
      <c r="X30" s="16"/>
      <c r="Y30" s="16"/>
      <c r="Z30" s="16">
        <f t="shared" si="6"/>
        <v>0</v>
      </c>
      <c r="AA30" s="16">
        <f t="shared" si="0"/>
        <v>0</v>
      </c>
      <c r="AB30" s="16"/>
      <c r="AC30" s="17"/>
      <c r="AD30" s="48"/>
    </row>
    <row r="31" spans="1:30" ht="19.5" thickBot="1" x14ac:dyDescent="0.3">
      <c r="A31" s="14">
        <v>29</v>
      </c>
      <c r="B31" s="15"/>
      <c r="C31" s="15" t="e">
        <f>VLOOKUP(B31,داتا!$B$3:$D$107,2,FALSE)</f>
        <v>#N/A</v>
      </c>
      <c r="D31" s="34" t="e">
        <f>VLOOKUP(B31,داتا!$B$3:$D$107,3,FALSE)</f>
        <v>#N/A</v>
      </c>
      <c r="E31" s="15"/>
      <c r="F31" s="15"/>
      <c r="G31" s="16">
        <v>0.25</v>
      </c>
      <c r="H31" s="16"/>
      <c r="I31" s="16">
        <f t="shared" si="1"/>
        <v>-0.25</v>
      </c>
      <c r="J31" s="16"/>
      <c r="K31" s="16"/>
      <c r="L31" s="16"/>
      <c r="M31" s="16"/>
      <c r="N31" s="16">
        <f t="shared" si="2"/>
        <v>0</v>
      </c>
      <c r="O31" s="16" t="e">
        <f t="shared" si="3"/>
        <v>#N/A</v>
      </c>
      <c r="P31" s="16">
        <v>6.9444444444444397E-3</v>
      </c>
      <c r="Q31" s="16"/>
      <c r="R31" s="16">
        <f t="shared" si="4"/>
        <v>-6.9444444444444397E-3</v>
      </c>
      <c r="S31" s="16"/>
      <c r="T31" s="16" t="e">
        <f>VLOOKUP(E31,'[2]21-3-2026'!E$3:T$35,16,FALSE)</f>
        <v>#N/A</v>
      </c>
      <c r="U31" s="16"/>
      <c r="V31" s="16" t="e">
        <f t="shared" si="5"/>
        <v>#N/A</v>
      </c>
      <c r="W31" s="16"/>
      <c r="X31" s="16"/>
      <c r="Y31" s="16"/>
      <c r="Z31" s="16">
        <f t="shared" si="6"/>
        <v>0</v>
      </c>
      <c r="AA31" s="16">
        <f t="shared" si="0"/>
        <v>0</v>
      </c>
      <c r="AB31" s="16"/>
      <c r="AC31" s="17"/>
      <c r="AD31" s="48"/>
    </row>
    <row r="32" spans="1:30" ht="19.5" thickBot="1" x14ac:dyDescent="0.3">
      <c r="A32" s="14">
        <v>30</v>
      </c>
      <c r="B32" s="15"/>
      <c r="C32" s="15" t="e">
        <f>VLOOKUP(B32,داتا!$B$3:$D$107,2,FALSE)</f>
        <v>#N/A</v>
      </c>
      <c r="D32" s="34" t="e">
        <f>VLOOKUP(B32,داتا!$B$3:$D$107,3,FALSE)</f>
        <v>#N/A</v>
      </c>
      <c r="E32" s="15"/>
      <c r="F32" s="15"/>
      <c r="G32" s="16">
        <v>0.25</v>
      </c>
      <c r="H32" s="16"/>
      <c r="I32" s="16">
        <f t="shared" si="1"/>
        <v>-0.25</v>
      </c>
      <c r="J32" s="16"/>
      <c r="K32" s="16"/>
      <c r="L32" s="16"/>
      <c r="M32" s="16"/>
      <c r="N32" s="16">
        <f t="shared" si="2"/>
        <v>0</v>
      </c>
      <c r="O32" s="16" t="e">
        <f t="shared" si="3"/>
        <v>#N/A</v>
      </c>
      <c r="P32" s="16">
        <v>6.9444444444444397E-3</v>
      </c>
      <c r="Q32" s="16"/>
      <c r="R32" s="16">
        <f t="shared" si="4"/>
        <v>-6.9444444444444397E-3</v>
      </c>
      <c r="S32" s="16"/>
      <c r="T32" s="16" t="e">
        <f>VLOOKUP(E32,'[2]21-3-2026'!E$3:T$35,16,FALSE)</f>
        <v>#N/A</v>
      </c>
      <c r="U32" s="16"/>
      <c r="V32" s="16" t="e">
        <f t="shared" si="5"/>
        <v>#N/A</v>
      </c>
      <c r="W32" s="16"/>
      <c r="X32" s="16"/>
      <c r="Y32" s="16"/>
      <c r="Z32" s="16">
        <f t="shared" si="6"/>
        <v>0</v>
      </c>
      <c r="AA32" s="16">
        <f t="shared" si="0"/>
        <v>0</v>
      </c>
      <c r="AB32" s="16"/>
      <c r="AC32" s="17"/>
      <c r="AD32" s="48"/>
    </row>
    <row r="33" spans="1:30" ht="19.5" thickBot="1" x14ac:dyDescent="0.3">
      <c r="A33" s="14">
        <v>31</v>
      </c>
      <c r="B33" s="15"/>
      <c r="C33" s="15" t="e">
        <f>VLOOKUP(B33,داتا!$B$3:$D$107,2,FALSE)</f>
        <v>#N/A</v>
      </c>
      <c r="D33" s="34" t="e">
        <f>VLOOKUP(B33,داتا!$B$3:$D$107,3,FALSE)</f>
        <v>#N/A</v>
      </c>
      <c r="E33" s="15"/>
      <c r="F33" s="15"/>
      <c r="G33" s="16">
        <v>0.25</v>
      </c>
      <c r="H33" s="16"/>
      <c r="I33" s="16">
        <f t="shared" si="1"/>
        <v>-0.25</v>
      </c>
      <c r="J33" s="16"/>
      <c r="K33" s="16"/>
      <c r="L33" s="16"/>
      <c r="M33" s="16"/>
      <c r="N33" s="16">
        <f t="shared" si="2"/>
        <v>0</v>
      </c>
      <c r="O33" s="16" t="e">
        <f t="shared" si="3"/>
        <v>#N/A</v>
      </c>
      <c r="P33" s="16">
        <v>6.9444444444444397E-3</v>
      </c>
      <c r="Q33" s="16"/>
      <c r="R33" s="16">
        <f t="shared" si="4"/>
        <v>-6.9444444444444397E-3</v>
      </c>
      <c r="S33" s="16"/>
      <c r="T33" s="16" t="e">
        <f>VLOOKUP(E33,'[2]21-3-2026'!E$3:T$35,16,FALSE)</f>
        <v>#N/A</v>
      </c>
      <c r="U33" s="16"/>
      <c r="V33" s="16" t="e">
        <f t="shared" si="5"/>
        <v>#N/A</v>
      </c>
      <c r="W33" s="16"/>
      <c r="X33" s="16"/>
      <c r="Y33" s="16"/>
      <c r="Z33" s="16">
        <f t="shared" si="6"/>
        <v>0</v>
      </c>
      <c r="AA33" s="16">
        <f t="shared" si="0"/>
        <v>0</v>
      </c>
      <c r="AB33" s="16"/>
      <c r="AC33" s="17"/>
      <c r="AD33" s="48"/>
    </row>
    <row r="34" spans="1:30" ht="19.5" thickBot="1" x14ac:dyDescent="0.3">
      <c r="A34" s="14">
        <v>32</v>
      </c>
      <c r="B34" s="15"/>
      <c r="C34" s="15" t="e">
        <f>VLOOKUP(B34,داتا!$B$3:$D$107,2,FALSE)</f>
        <v>#N/A</v>
      </c>
      <c r="D34" s="34" t="e">
        <f>VLOOKUP(B34,داتا!$B$3:$D$107,3,FALSE)</f>
        <v>#N/A</v>
      </c>
      <c r="E34" s="15"/>
      <c r="F34" s="15"/>
      <c r="G34" s="16">
        <v>0.25</v>
      </c>
      <c r="H34" s="16"/>
      <c r="I34" s="16">
        <f t="shared" si="1"/>
        <v>-0.25</v>
      </c>
      <c r="J34" s="16"/>
      <c r="K34" s="16"/>
      <c r="L34" s="16"/>
      <c r="M34" s="16"/>
      <c r="N34" s="16">
        <f t="shared" si="2"/>
        <v>0</v>
      </c>
      <c r="O34" s="16" t="e">
        <f t="shared" si="3"/>
        <v>#N/A</v>
      </c>
      <c r="P34" s="16">
        <v>6.9444444444444397E-3</v>
      </c>
      <c r="Q34" s="16"/>
      <c r="R34" s="16">
        <f t="shared" si="4"/>
        <v>-6.9444444444444397E-3</v>
      </c>
      <c r="S34" s="16"/>
      <c r="T34" s="16" t="e">
        <f>VLOOKUP(E34,'[2]21-3-2026'!E$3:T$35,16,FALSE)</f>
        <v>#N/A</v>
      </c>
      <c r="U34" s="16"/>
      <c r="V34" s="16" t="e">
        <f t="shared" si="5"/>
        <v>#N/A</v>
      </c>
      <c r="W34" s="16"/>
      <c r="X34" s="16"/>
      <c r="Y34" s="16"/>
      <c r="Z34" s="16">
        <f t="shared" si="6"/>
        <v>0</v>
      </c>
      <c r="AA34" s="16">
        <f t="shared" si="0"/>
        <v>0</v>
      </c>
      <c r="AB34" s="16"/>
      <c r="AC34" s="17"/>
      <c r="AD34" s="48"/>
    </row>
    <row r="35" spans="1:30" ht="19.5" thickBot="1" x14ac:dyDescent="0.3">
      <c r="A35" s="20">
        <v>33</v>
      </c>
      <c r="B35" s="21"/>
      <c r="C35" s="21" t="e">
        <f>VLOOKUP(B35,داتا!$B$3:$D$107,2,FALSE)</f>
        <v>#N/A</v>
      </c>
      <c r="D35" s="35" t="e">
        <f>VLOOKUP(B35,داتا!$B$3:$D$107,3,FALSE)</f>
        <v>#N/A</v>
      </c>
      <c r="E35" s="21"/>
      <c r="F35" s="21"/>
      <c r="G35" s="22">
        <v>0.25</v>
      </c>
      <c r="H35" s="22"/>
      <c r="I35" s="22">
        <f t="shared" si="1"/>
        <v>-0.25</v>
      </c>
      <c r="J35" s="22"/>
      <c r="K35" s="22"/>
      <c r="L35" s="22"/>
      <c r="M35" s="22"/>
      <c r="N35" s="22">
        <f t="shared" si="2"/>
        <v>0</v>
      </c>
      <c r="O35" s="22" t="e">
        <f t="shared" si="3"/>
        <v>#N/A</v>
      </c>
      <c r="P35" s="22">
        <v>6.9444444444444397E-3</v>
      </c>
      <c r="Q35" s="22"/>
      <c r="R35" s="22">
        <f t="shared" si="4"/>
        <v>-6.9444444444444397E-3</v>
      </c>
      <c r="S35" s="22"/>
      <c r="T35" s="22" t="e">
        <f>VLOOKUP(E35,'[2]21-3-2026'!E$3:T$35,16,FALSE)</f>
        <v>#N/A</v>
      </c>
      <c r="U35" s="22"/>
      <c r="V35" s="22" t="e">
        <f t="shared" si="5"/>
        <v>#N/A</v>
      </c>
      <c r="W35" s="22"/>
      <c r="X35" s="22"/>
      <c r="Y35" s="22"/>
      <c r="Z35" s="22">
        <f t="shared" si="6"/>
        <v>0</v>
      </c>
      <c r="AA35" s="22">
        <f t="shared" si="0"/>
        <v>0</v>
      </c>
      <c r="AB35" s="22"/>
      <c r="AC35" s="23"/>
      <c r="AD35" s="49"/>
    </row>
    <row r="36" spans="1:30" ht="20.25" customHeight="1" thickTop="1" thickBot="1" x14ac:dyDescent="0.3">
      <c r="A36" s="10">
        <v>1</v>
      </c>
      <c r="B36" s="11"/>
      <c r="C36" s="11" t="e">
        <f>VLOOKUP(B36,داتا!$B$3:$D$107,2,FALSE)</f>
        <v>#N/A</v>
      </c>
      <c r="D36" s="33" t="e">
        <f>VLOOKUP(B36,داتا!$B$3:$D$107,3,FALSE)</f>
        <v>#N/A</v>
      </c>
      <c r="E36" s="11"/>
      <c r="F36" s="11"/>
      <c r="G36" s="12">
        <v>0.25</v>
      </c>
      <c r="H36" s="12" t="e">
        <f>VLOOKUP(G36,$F$3:$I$35,2,FALSE)</f>
        <v>#N/A</v>
      </c>
      <c r="I36" s="12" t="e">
        <f t="shared" si="1"/>
        <v>#N/A</v>
      </c>
      <c r="J36" s="12"/>
      <c r="K36" s="12"/>
      <c r="L36" s="12"/>
      <c r="M36" s="12"/>
      <c r="N36" s="12">
        <f t="shared" si="2"/>
        <v>0</v>
      </c>
      <c r="O36" s="12" t="e">
        <f t="shared" si="3"/>
        <v>#N/A</v>
      </c>
      <c r="P36" s="12">
        <v>6.9444444444444397E-3</v>
      </c>
      <c r="Q36" s="12"/>
      <c r="R36" s="12">
        <f t="shared" si="4"/>
        <v>-6.9444444444444397E-3</v>
      </c>
      <c r="S36" s="12"/>
      <c r="T36" s="12" t="e">
        <f>VLOOKUP(E36,'[2]21-3-2026'!E$3:T$35,16,FALSE)</f>
        <v>#N/A</v>
      </c>
      <c r="U36" s="12"/>
      <c r="V36" s="12" t="e">
        <f t="shared" si="5"/>
        <v>#N/A</v>
      </c>
      <c r="W36" s="12"/>
      <c r="X36" s="12"/>
      <c r="Y36" s="12"/>
      <c r="Z36" s="12">
        <f t="shared" si="6"/>
        <v>0</v>
      </c>
      <c r="AA36" s="12">
        <f t="shared" si="0"/>
        <v>0</v>
      </c>
      <c r="AB36" s="12"/>
      <c r="AC36" s="29"/>
      <c r="AD36" s="50" t="s">
        <v>104</v>
      </c>
    </row>
    <row r="37" spans="1:30" ht="19.5" thickBot="1" x14ac:dyDescent="0.3">
      <c r="A37" s="14">
        <v>2</v>
      </c>
      <c r="B37" s="15"/>
      <c r="C37" s="15" t="e">
        <f>VLOOKUP(B37,داتا!$B$3:$D$107,2,FALSE)</f>
        <v>#N/A</v>
      </c>
      <c r="D37" s="34" t="e">
        <f>VLOOKUP(B37,داتا!$B$3:$D$107,3,FALSE)</f>
        <v>#N/A</v>
      </c>
      <c r="E37" s="15"/>
      <c r="F37" s="15"/>
      <c r="G37" s="16">
        <v>0.25</v>
      </c>
      <c r="H37" s="16" t="e">
        <f t="shared" ref="H37:H52" si="7">VLOOKUP(G37,$F$3:$I$35,2,FALSE)</f>
        <v>#N/A</v>
      </c>
      <c r="I37" s="16" t="e">
        <f t="shared" si="1"/>
        <v>#N/A</v>
      </c>
      <c r="J37" s="16"/>
      <c r="K37" s="16"/>
      <c r="L37" s="16"/>
      <c r="M37" s="16"/>
      <c r="N37" s="16">
        <f t="shared" si="2"/>
        <v>0</v>
      </c>
      <c r="O37" s="16" t="e">
        <f t="shared" si="3"/>
        <v>#N/A</v>
      </c>
      <c r="P37" s="16">
        <v>6.9444444444444397E-3</v>
      </c>
      <c r="Q37" s="16"/>
      <c r="R37" s="16">
        <f t="shared" si="4"/>
        <v>-6.9444444444444397E-3</v>
      </c>
      <c r="S37" s="16"/>
      <c r="T37" s="16" t="e">
        <f>VLOOKUP(E37,'[2]21-3-2026'!E$3:T$35,16,FALSE)</f>
        <v>#N/A</v>
      </c>
      <c r="U37" s="16"/>
      <c r="V37" s="16" t="e">
        <f t="shared" si="5"/>
        <v>#N/A</v>
      </c>
      <c r="W37" s="16"/>
      <c r="X37" s="16"/>
      <c r="Y37" s="16"/>
      <c r="Z37" s="16">
        <f t="shared" si="6"/>
        <v>0</v>
      </c>
      <c r="AA37" s="16">
        <f t="shared" si="0"/>
        <v>0</v>
      </c>
      <c r="AB37" s="16"/>
      <c r="AC37" s="19"/>
      <c r="AD37" s="51"/>
    </row>
    <row r="38" spans="1:30" ht="19.5" thickBot="1" x14ac:dyDescent="0.3">
      <c r="A38" s="14">
        <v>3</v>
      </c>
      <c r="B38" s="15"/>
      <c r="C38" s="15" t="e">
        <f>VLOOKUP(B38,داتا!$B$3:$D$107,2,FALSE)</f>
        <v>#N/A</v>
      </c>
      <c r="D38" s="34" t="e">
        <f>VLOOKUP(B38,داتا!$B$3:$D$107,3,FALSE)</f>
        <v>#N/A</v>
      </c>
      <c r="E38" s="15"/>
      <c r="F38" s="15"/>
      <c r="G38" s="16">
        <v>0.25</v>
      </c>
      <c r="H38" s="16" t="e">
        <f t="shared" si="7"/>
        <v>#N/A</v>
      </c>
      <c r="I38" s="16" t="e">
        <f t="shared" si="1"/>
        <v>#N/A</v>
      </c>
      <c r="J38" s="16"/>
      <c r="K38" s="16"/>
      <c r="L38" s="16"/>
      <c r="M38" s="16"/>
      <c r="N38" s="16">
        <f t="shared" si="2"/>
        <v>0</v>
      </c>
      <c r="O38" s="16" t="e">
        <f t="shared" si="3"/>
        <v>#N/A</v>
      </c>
      <c r="P38" s="16">
        <v>6.9444444444444397E-3</v>
      </c>
      <c r="Q38" s="16"/>
      <c r="R38" s="16">
        <f t="shared" si="4"/>
        <v>-6.9444444444444397E-3</v>
      </c>
      <c r="S38" s="16"/>
      <c r="T38" s="16" t="e">
        <f>VLOOKUP(E38,'[2]21-3-2026'!E$3:T$35,16,FALSE)</f>
        <v>#N/A</v>
      </c>
      <c r="U38" s="16"/>
      <c r="V38" s="16" t="e">
        <f t="shared" si="5"/>
        <v>#N/A</v>
      </c>
      <c r="W38" s="16"/>
      <c r="X38" s="16"/>
      <c r="Y38" s="16"/>
      <c r="Z38" s="16">
        <f t="shared" si="6"/>
        <v>0</v>
      </c>
      <c r="AA38" s="16">
        <f t="shared" si="0"/>
        <v>0</v>
      </c>
      <c r="AB38" s="16"/>
      <c r="AC38" s="19"/>
      <c r="AD38" s="51"/>
    </row>
    <row r="39" spans="1:30" ht="19.5" thickBot="1" x14ac:dyDescent="0.3">
      <c r="A39" s="14">
        <v>4</v>
      </c>
      <c r="B39" s="15"/>
      <c r="C39" s="15" t="e">
        <f>VLOOKUP(B39,داتا!$B$3:$D$107,2,FALSE)</f>
        <v>#N/A</v>
      </c>
      <c r="D39" s="34" t="e">
        <f>VLOOKUP(B39,داتا!$B$3:$D$107,3,FALSE)</f>
        <v>#N/A</v>
      </c>
      <c r="E39" s="15"/>
      <c r="F39" s="15"/>
      <c r="G39" s="16">
        <v>0.25</v>
      </c>
      <c r="H39" s="16" t="e">
        <f t="shared" si="7"/>
        <v>#N/A</v>
      </c>
      <c r="I39" s="16" t="e">
        <f t="shared" si="1"/>
        <v>#N/A</v>
      </c>
      <c r="J39" s="16"/>
      <c r="K39" s="16"/>
      <c r="L39" s="16"/>
      <c r="M39" s="16"/>
      <c r="N39" s="16">
        <f t="shared" si="2"/>
        <v>0</v>
      </c>
      <c r="O39" s="16" t="e">
        <f t="shared" si="3"/>
        <v>#N/A</v>
      </c>
      <c r="P39" s="16">
        <v>6.9444444444444397E-3</v>
      </c>
      <c r="Q39" s="16"/>
      <c r="R39" s="16">
        <f t="shared" si="4"/>
        <v>-6.9444444444444397E-3</v>
      </c>
      <c r="S39" s="16"/>
      <c r="T39" s="16" t="e">
        <f>VLOOKUP(E39,'[2]21-3-2026'!E$3:T$35,16,FALSE)</f>
        <v>#N/A</v>
      </c>
      <c r="U39" s="16"/>
      <c r="V39" s="16" t="e">
        <f t="shared" si="5"/>
        <v>#N/A</v>
      </c>
      <c r="W39" s="16"/>
      <c r="X39" s="16"/>
      <c r="Y39" s="16"/>
      <c r="Z39" s="16">
        <f t="shared" si="6"/>
        <v>0</v>
      </c>
      <c r="AA39" s="16">
        <f t="shared" si="0"/>
        <v>0</v>
      </c>
      <c r="AB39" s="16"/>
      <c r="AC39" s="17"/>
      <c r="AD39" s="51"/>
    </row>
    <row r="40" spans="1:30" ht="19.5" thickBot="1" x14ac:dyDescent="0.3">
      <c r="A40" s="14">
        <v>5</v>
      </c>
      <c r="B40" s="15"/>
      <c r="C40" s="15" t="e">
        <f>VLOOKUP(B40,داتا!$B$3:$D$107,2,FALSE)</f>
        <v>#N/A</v>
      </c>
      <c r="D40" s="34" t="e">
        <f>VLOOKUP(B40,داتا!$B$3:$D$107,3,FALSE)</f>
        <v>#N/A</v>
      </c>
      <c r="E40" s="15"/>
      <c r="F40" s="15"/>
      <c r="G40" s="16">
        <v>0.25</v>
      </c>
      <c r="H40" s="16" t="e">
        <f t="shared" si="7"/>
        <v>#N/A</v>
      </c>
      <c r="I40" s="16" t="e">
        <f t="shared" si="1"/>
        <v>#N/A</v>
      </c>
      <c r="J40" s="16"/>
      <c r="K40" s="16"/>
      <c r="L40" s="16"/>
      <c r="M40" s="16"/>
      <c r="N40" s="16">
        <f t="shared" si="2"/>
        <v>0</v>
      </c>
      <c r="O40" s="16" t="e">
        <f t="shared" si="3"/>
        <v>#N/A</v>
      </c>
      <c r="P40" s="16">
        <v>6.9444444444444397E-3</v>
      </c>
      <c r="Q40" s="16"/>
      <c r="R40" s="16">
        <f t="shared" si="4"/>
        <v>-6.9444444444444397E-3</v>
      </c>
      <c r="S40" s="16"/>
      <c r="T40" s="16" t="e">
        <f>VLOOKUP(E40,'[2]21-3-2026'!E$3:T$35,16,FALSE)</f>
        <v>#N/A</v>
      </c>
      <c r="U40" s="16"/>
      <c r="V40" s="16" t="e">
        <f t="shared" si="5"/>
        <v>#N/A</v>
      </c>
      <c r="W40" s="16"/>
      <c r="X40" s="16"/>
      <c r="Y40" s="16"/>
      <c r="Z40" s="16">
        <f t="shared" si="6"/>
        <v>0</v>
      </c>
      <c r="AA40" s="16">
        <f t="shared" si="0"/>
        <v>0</v>
      </c>
      <c r="AB40" s="16"/>
      <c r="AC40" s="17"/>
      <c r="AD40" s="51"/>
    </row>
    <row r="41" spans="1:30" ht="19.5" thickBot="1" x14ac:dyDescent="0.3">
      <c r="A41" s="14">
        <v>6</v>
      </c>
      <c r="B41" s="15"/>
      <c r="C41" s="15" t="e">
        <f>VLOOKUP(B41,داتا!$B$3:$D$107,2,FALSE)</f>
        <v>#N/A</v>
      </c>
      <c r="D41" s="34" t="e">
        <f>VLOOKUP(B41,داتا!$B$3:$D$107,3,FALSE)</f>
        <v>#N/A</v>
      </c>
      <c r="E41" s="15"/>
      <c r="F41" s="15"/>
      <c r="G41" s="16">
        <v>0.25</v>
      </c>
      <c r="H41" s="16" t="e">
        <f t="shared" si="7"/>
        <v>#N/A</v>
      </c>
      <c r="I41" s="16" t="e">
        <f t="shared" si="1"/>
        <v>#N/A</v>
      </c>
      <c r="J41" s="16"/>
      <c r="K41" s="16"/>
      <c r="L41" s="16"/>
      <c r="M41" s="16"/>
      <c r="N41" s="16">
        <f t="shared" si="2"/>
        <v>0</v>
      </c>
      <c r="O41" s="16" t="e">
        <f t="shared" si="3"/>
        <v>#N/A</v>
      </c>
      <c r="P41" s="16">
        <v>6.9444444444444397E-3</v>
      </c>
      <c r="Q41" s="16"/>
      <c r="R41" s="16">
        <f t="shared" si="4"/>
        <v>-6.9444444444444397E-3</v>
      </c>
      <c r="S41" s="16"/>
      <c r="T41" s="16" t="e">
        <f>VLOOKUP(E41,'[2]21-3-2026'!E$3:T$35,16,FALSE)</f>
        <v>#N/A</v>
      </c>
      <c r="U41" s="16"/>
      <c r="V41" s="16" t="e">
        <f t="shared" si="5"/>
        <v>#N/A</v>
      </c>
      <c r="W41" s="16"/>
      <c r="X41" s="16"/>
      <c r="Y41" s="16"/>
      <c r="Z41" s="16">
        <f t="shared" si="6"/>
        <v>0</v>
      </c>
      <c r="AA41" s="16">
        <f t="shared" si="0"/>
        <v>0</v>
      </c>
      <c r="AB41" s="16"/>
      <c r="AC41" s="17"/>
      <c r="AD41" s="51"/>
    </row>
    <row r="42" spans="1:30" ht="19.5" thickBot="1" x14ac:dyDescent="0.3">
      <c r="A42" s="14">
        <v>7</v>
      </c>
      <c r="B42" s="15"/>
      <c r="C42" s="15" t="e">
        <f>VLOOKUP(B42,داتا!$B$3:$D$107,2,FALSE)</f>
        <v>#N/A</v>
      </c>
      <c r="D42" s="34" t="e">
        <f>VLOOKUP(B42,داتا!$B$3:$D$107,3,FALSE)</f>
        <v>#N/A</v>
      </c>
      <c r="E42" s="15"/>
      <c r="F42" s="15"/>
      <c r="G42" s="16">
        <v>0.25</v>
      </c>
      <c r="H42" s="16" t="e">
        <f t="shared" si="7"/>
        <v>#N/A</v>
      </c>
      <c r="I42" s="16" t="e">
        <f t="shared" si="1"/>
        <v>#N/A</v>
      </c>
      <c r="J42" s="16"/>
      <c r="K42" s="16"/>
      <c r="L42" s="16"/>
      <c r="M42" s="16"/>
      <c r="N42" s="16">
        <f t="shared" si="2"/>
        <v>0</v>
      </c>
      <c r="O42" s="16" t="e">
        <f t="shared" si="3"/>
        <v>#N/A</v>
      </c>
      <c r="P42" s="16">
        <v>6.9444444444444397E-3</v>
      </c>
      <c r="Q42" s="16"/>
      <c r="R42" s="16">
        <f t="shared" si="4"/>
        <v>-6.9444444444444397E-3</v>
      </c>
      <c r="S42" s="16"/>
      <c r="T42" s="16" t="e">
        <f>VLOOKUP(E42,'[2]21-3-2026'!E$3:T$35,16,FALSE)</f>
        <v>#N/A</v>
      </c>
      <c r="U42" s="16"/>
      <c r="V42" s="16" t="e">
        <f t="shared" si="5"/>
        <v>#N/A</v>
      </c>
      <c r="W42" s="16"/>
      <c r="X42" s="16"/>
      <c r="Y42" s="16"/>
      <c r="Z42" s="16">
        <f t="shared" si="6"/>
        <v>0</v>
      </c>
      <c r="AA42" s="16">
        <f t="shared" si="0"/>
        <v>0</v>
      </c>
      <c r="AB42" s="16"/>
      <c r="AC42" s="17"/>
      <c r="AD42" s="51"/>
    </row>
    <row r="43" spans="1:30" ht="19.5" thickBot="1" x14ac:dyDescent="0.3">
      <c r="A43" s="14">
        <v>8</v>
      </c>
      <c r="B43" s="15"/>
      <c r="C43" s="15" t="e">
        <f>VLOOKUP(B43,داتا!$B$3:$D$107,2,FALSE)</f>
        <v>#N/A</v>
      </c>
      <c r="D43" s="34" t="e">
        <f>VLOOKUP(B43,داتا!$B$3:$D$107,3,FALSE)</f>
        <v>#N/A</v>
      </c>
      <c r="E43" s="15"/>
      <c r="F43" s="15"/>
      <c r="G43" s="16">
        <v>0.25</v>
      </c>
      <c r="H43" s="16" t="e">
        <f t="shared" si="7"/>
        <v>#N/A</v>
      </c>
      <c r="I43" s="16" t="e">
        <f t="shared" si="1"/>
        <v>#N/A</v>
      </c>
      <c r="J43" s="16"/>
      <c r="K43" s="16"/>
      <c r="L43" s="16"/>
      <c r="M43" s="16"/>
      <c r="N43" s="16">
        <f t="shared" si="2"/>
        <v>0</v>
      </c>
      <c r="O43" s="16" t="e">
        <f t="shared" si="3"/>
        <v>#N/A</v>
      </c>
      <c r="P43" s="16">
        <v>6.9444444444444397E-3</v>
      </c>
      <c r="Q43" s="16"/>
      <c r="R43" s="16">
        <f t="shared" si="4"/>
        <v>-6.9444444444444397E-3</v>
      </c>
      <c r="S43" s="16"/>
      <c r="T43" s="16" t="e">
        <f>VLOOKUP(E43,'[2]21-3-2026'!E$3:T$35,16,FALSE)</f>
        <v>#N/A</v>
      </c>
      <c r="U43" s="16"/>
      <c r="V43" s="16" t="e">
        <f t="shared" si="5"/>
        <v>#N/A</v>
      </c>
      <c r="W43" s="16"/>
      <c r="X43" s="16"/>
      <c r="Y43" s="16"/>
      <c r="Z43" s="16">
        <f t="shared" si="6"/>
        <v>0</v>
      </c>
      <c r="AA43" s="16">
        <f t="shared" si="0"/>
        <v>0</v>
      </c>
      <c r="AB43" s="16"/>
      <c r="AC43" s="17"/>
      <c r="AD43" s="51"/>
    </row>
    <row r="44" spans="1:30" ht="19.5" thickBot="1" x14ac:dyDescent="0.3">
      <c r="A44" s="14">
        <v>9</v>
      </c>
      <c r="B44" s="15"/>
      <c r="C44" s="15" t="e">
        <f>VLOOKUP(B44,داتا!$B$3:$D$107,2,FALSE)</f>
        <v>#N/A</v>
      </c>
      <c r="D44" s="34" t="e">
        <f>VLOOKUP(B44,داتا!$B$3:$D$107,3,FALSE)</f>
        <v>#N/A</v>
      </c>
      <c r="E44" s="15"/>
      <c r="F44" s="15"/>
      <c r="G44" s="16">
        <v>0.25</v>
      </c>
      <c r="H44" s="16" t="e">
        <f t="shared" si="7"/>
        <v>#N/A</v>
      </c>
      <c r="I44" s="16" t="e">
        <f t="shared" si="1"/>
        <v>#N/A</v>
      </c>
      <c r="J44" s="16"/>
      <c r="K44" s="16"/>
      <c r="L44" s="16"/>
      <c r="M44" s="16"/>
      <c r="N44" s="16">
        <f t="shared" si="2"/>
        <v>0</v>
      </c>
      <c r="O44" s="16" t="e">
        <f t="shared" si="3"/>
        <v>#N/A</v>
      </c>
      <c r="P44" s="16">
        <v>6.9444444444444397E-3</v>
      </c>
      <c r="Q44" s="16"/>
      <c r="R44" s="16">
        <f t="shared" si="4"/>
        <v>-6.9444444444444397E-3</v>
      </c>
      <c r="S44" s="16"/>
      <c r="T44" s="16" t="e">
        <f>VLOOKUP(E44,'[2]21-3-2026'!E$3:T$35,16,FALSE)</f>
        <v>#N/A</v>
      </c>
      <c r="U44" s="16"/>
      <c r="V44" s="16" t="e">
        <f t="shared" si="5"/>
        <v>#N/A</v>
      </c>
      <c r="W44" s="16"/>
      <c r="X44" s="16"/>
      <c r="Y44" s="16"/>
      <c r="Z44" s="16">
        <f t="shared" si="6"/>
        <v>0</v>
      </c>
      <c r="AA44" s="16">
        <f t="shared" si="0"/>
        <v>0</v>
      </c>
      <c r="AB44" s="16"/>
      <c r="AC44" s="17"/>
      <c r="AD44" s="51"/>
    </row>
    <row r="45" spans="1:30" ht="19.5" thickBot="1" x14ac:dyDescent="0.3">
      <c r="A45" s="14">
        <v>10</v>
      </c>
      <c r="B45" s="15"/>
      <c r="C45" s="15" t="e">
        <f>VLOOKUP(B45,داتا!$B$3:$D$107,2,FALSE)</f>
        <v>#N/A</v>
      </c>
      <c r="D45" s="34" t="e">
        <f>VLOOKUP(B45,داتا!$B$3:$D$107,3,FALSE)</f>
        <v>#N/A</v>
      </c>
      <c r="E45" s="15"/>
      <c r="F45" s="15"/>
      <c r="G45" s="16">
        <v>0.25</v>
      </c>
      <c r="H45" s="16" t="e">
        <f t="shared" si="7"/>
        <v>#N/A</v>
      </c>
      <c r="I45" s="16" t="e">
        <f t="shared" si="1"/>
        <v>#N/A</v>
      </c>
      <c r="J45" s="16"/>
      <c r="K45" s="16"/>
      <c r="L45" s="16"/>
      <c r="M45" s="16"/>
      <c r="N45" s="16">
        <f t="shared" si="2"/>
        <v>0</v>
      </c>
      <c r="O45" s="16" t="e">
        <f t="shared" si="3"/>
        <v>#N/A</v>
      </c>
      <c r="P45" s="16">
        <v>6.9444444444444397E-3</v>
      </c>
      <c r="Q45" s="16"/>
      <c r="R45" s="16">
        <f t="shared" si="4"/>
        <v>-6.9444444444444397E-3</v>
      </c>
      <c r="S45" s="16"/>
      <c r="T45" s="16" t="e">
        <f>VLOOKUP(E45,'[2]21-3-2026'!E$3:T$35,16,FALSE)</f>
        <v>#N/A</v>
      </c>
      <c r="U45" s="16"/>
      <c r="V45" s="16" t="e">
        <f t="shared" si="5"/>
        <v>#N/A</v>
      </c>
      <c r="W45" s="16"/>
      <c r="X45" s="16"/>
      <c r="Y45" s="16"/>
      <c r="Z45" s="16">
        <f t="shared" si="6"/>
        <v>0</v>
      </c>
      <c r="AA45" s="16">
        <f t="shared" si="0"/>
        <v>0</v>
      </c>
      <c r="AB45" s="16"/>
      <c r="AC45" s="17"/>
      <c r="AD45" s="51"/>
    </row>
    <row r="46" spans="1:30" ht="19.5" thickBot="1" x14ac:dyDescent="0.3">
      <c r="A46" s="14">
        <v>11</v>
      </c>
      <c r="B46" s="15"/>
      <c r="C46" s="15" t="e">
        <f>VLOOKUP(B46,داتا!$B$3:$D$107,2,FALSE)</f>
        <v>#N/A</v>
      </c>
      <c r="D46" s="34" t="e">
        <f>VLOOKUP(B46,داتا!$B$3:$D$107,3,FALSE)</f>
        <v>#N/A</v>
      </c>
      <c r="E46" s="15"/>
      <c r="F46" s="15"/>
      <c r="G46" s="16">
        <v>0.25</v>
      </c>
      <c r="H46" s="16" t="e">
        <f t="shared" si="7"/>
        <v>#N/A</v>
      </c>
      <c r="I46" s="16" t="e">
        <f t="shared" si="1"/>
        <v>#N/A</v>
      </c>
      <c r="J46" s="16"/>
      <c r="K46" s="16"/>
      <c r="L46" s="16"/>
      <c r="M46" s="16"/>
      <c r="N46" s="16">
        <f t="shared" si="2"/>
        <v>0</v>
      </c>
      <c r="O46" s="16" t="e">
        <f t="shared" si="3"/>
        <v>#N/A</v>
      </c>
      <c r="P46" s="16">
        <v>6.9444444444444397E-3</v>
      </c>
      <c r="Q46" s="16"/>
      <c r="R46" s="16">
        <f t="shared" si="4"/>
        <v>-6.9444444444444397E-3</v>
      </c>
      <c r="S46" s="16"/>
      <c r="T46" s="16" t="e">
        <f>VLOOKUP(E46,'[2]21-3-2026'!E$3:T$35,16,FALSE)</f>
        <v>#N/A</v>
      </c>
      <c r="U46" s="16"/>
      <c r="V46" s="16" t="e">
        <f t="shared" si="5"/>
        <v>#N/A</v>
      </c>
      <c r="W46" s="16"/>
      <c r="X46" s="16"/>
      <c r="Y46" s="16"/>
      <c r="Z46" s="16">
        <f t="shared" si="6"/>
        <v>0</v>
      </c>
      <c r="AA46" s="16">
        <f t="shared" si="0"/>
        <v>0</v>
      </c>
      <c r="AB46" s="16"/>
      <c r="AC46" s="17"/>
      <c r="AD46" s="51"/>
    </row>
    <row r="47" spans="1:30" ht="19.5" thickBot="1" x14ac:dyDescent="0.3">
      <c r="A47" s="14">
        <v>12</v>
      </c>
      <c r="B47" s="15"/>
      <c r="C47" s="15" t="e">
        <f>VLOOKUP(B47,داتا!$B$3:$D$107,2,FALSE)</f>
        <v>#N/A</v>
      </c>
      <c r="D47" s="34" t="e">
        <f>VLOOKUP(B47,داتا!$B$3:$D$107,3,FALSE)</f>
        <v>#N/A</v>
      </c>
      <c r="E47" s="15"/>
      <c r="F47" s="15"/>
      <c r="G47" s="16">
        <v>0.25</v>
      </c>
      <c r="H47" s="16" t="e">
        <f t="shared" si="7"/>
        <v>#N/A</v>
      </c>
      <c r="I47" s="16" t="e">
        <f t="shared" si="1"/>
        <v>#N/A</v>
      </c>
      <c r="J47" s="16"/>
      <c r="K47" s="16"/>
      <c r="L47" s="16"/>
      <c r="M47" s="16"/>
      <c r="N47" s="16">
        <f t="shared" si="2"/>
        <v>0</v>
      </c>
      <c r="O47" s="16" t="e">
        <f t="shared" si="3"/>
        <v>#N/A</v>
      </c>
      <c r="P47" s="16">
        <v>6.9444444444444397E-3</v>
      </c>
      <c r="Q47" s="16"/>
      <c r="R47" s="16">
        <f t="shared" si="4"/>
        <v>-6.9444444444444397E-3</v>
      </c>
      <c r="S47" s="16"/>
      <c r="T47" s="16" t="e">
        <f>VLOOKUP(E47,'[2]21-3-2026'!E$3:T$35,16,FALSE)</f>
        <v>#N/A</v>
      </c>
      <c r="U47" s="16"/>
      <c r="V47" s="16" t="e">
        <f t="shared" si="5"/>
        <v>#N/A</v>
      </c>
      <c r="W47" s="16"/>
      <c r="X47" s="16"/>
      <c r="Y47" s="16"/>
      <c r="Z47" s="16">
        <f t="shared" si="6"/>
        <v>0</v>
      </c>
      <c r="AA47" s="16">
        <f t="shared" si="0"/>
        <v>0</v>
      </c>
      <c r="AB47" s="16"/>
      <c r="AC47" s="17"/>
      <c r="AD47" s="51"/>
    </row>
    <row r="48" spans="1:30" ht="19.5" thickBot="1" x14ac:dyDescent="0.3">
      <c r="A48" s="14">
        <v>13</v>
      </c>
      <c r="B48" s="15"/>
      <c r="C48" s="15" t="e">
        <f>VLOOKUP(B48,داتا!$B$3:$D$107,2,FALSE)</f>
        <v>#N/A</v>
      </c>
      <c r="D48" s="34" t="e">
        <f>VLOOKUP(B48,داتا!$B$3:$D$107,3,FALSE)</f>
        <v>#N/A</v>
      </c>
      <c r="E48" s="15"/>
      <c r="F48" s="15"/>
      <c r="G48" s="16">
        <v>0.25</v>
      </c>
      <c r="H48" s="16" t="e">
        <f t="shared" si="7"/>
        <v>#N/A</v>
      </c>
      <c r="I48" s="16" t="e">
        <f t="shared" si="1"/>
        <v>#N/A</v>
      </c>
      <c r="J48" s="16"/>
      <c r="K48" s="16"/>
      <c r="L48" s="16"/>
      <c r="M48" s="16"/>
      <c r="N48" s="16">
        <f t="shared" si="2"/>
        <v>0</v>
      </c>
      <c r="O48" s="16" t="e">
        <f t="shared" si="3"/>
        <v>#N/A</v>
      </c>
      <c r="P48" s="16">
        <v>6.9444444444444397E-3</v>
      </c>
      <c r="Q48" s="16"/>
      <c r="R48" s="16">
        <f t="shared" si="4"/>
        <v>-6.9444444444444397E-3</v>
      </c>
      <c r="S48" s="16"/>
      <c r="T48" s="16" t="e">
        <f>VLOOKUP(E48,'[2]21-3-2026'!E$3:T$35,16,FALSE)</f>
        <v>#N/A</v>
      </c>
      <c r="U48" s="16"/>
      <c r="V48" s="16" t="e">
        <f t="shared" si="5"/>
        <v>#N/A</v>
      </c>
      <c r="W48" s="16"/>
      <c r="X48" s="16"/>
      <c r="Y48" s="16"/>
      <c r="Z48" s="16">
        <f t="shared" si="6"/>
        <v>0</v>
      </c>
      <c r="AA48" s="16">
        <f t="shared" si="0"/>
        <v>0</v>
      </c>
      <c r="AB48" s="16"/>
      <c r="AC48" s="17"/>
      <c r="AD48" s="51"/>
    </row>
    <row r="49" spans="1:30" ht="19.5" thickBot="1" x14ac:dyDescent="0.3">
      <c r="A49" s="14">
        <v>14</v>
      </c>
      <c r="B49" s="15"/>
      <c r="C49" s="15" t="e">
        <f>VLOOKUP(B49,داتا!$B$3:$D$107,2,FALSE)</f>
        <v>#N/A</v>
      </c>
      <c r="D49" s="34" t="e">
        <f>VLOOKUP(B49,داتا!$B$3:$D$107,3,FALSE)</f>
        <v>#N/A</v>
      </c>
      <c r="E49" s="15"/>
      <c r="F49" s="15"/>
      <c r="G49" s="16">
        <v>0.25</v>
      </c>
      <c r="H49" s="16" t="e">
        <f t="shared" si="7"/>
        <v>#N/A</v>
      </c>
      <c r="I49" s="16" t="e">
        <f t="shared" si="1"/>
        <v>#N/A</v>
      </c>
      <c r="J49" s="16"/>
      <c r="K49" s="16"/>
      <c r="L49" s="16"/>
      <c r="M49" s="16"/>
      <c r="N49" s="16">
        <f t="shared" si="2"/>
        <v>0</v>
      </c>
      <c r="O49" s="16" t="e">
        <f t="shared" si="3"/>
        <v>#N/A</v>
      </c>
      <c r="P49" s="16">
        <v>6.9444444444444397E-3</v>
      </c>
      <c r="Q49" s="16"/>
      <c r="R49" s="16">
        <f t="shared" si="4"/>
        <v>-6.9444444444444397E-3</v>
      </c>
      <c r="S49" s="16"/>
      <c r="T49" s="16" t="e">
        <f>VLOOKUP(E49,'[2]21-3-2026'!E$3:T$35,16,FALSE)</f>
        <v>#N/A</v>
      </c>
      <c r="U49" s="16"/>
      <c r="V49" s="16" t="e">
        <f t="shared" si="5"/>
        <v>#N/A</v>
      </c>
      <c r="W49" s="16"/>
      <c r="X49" s="16"/>
      <c r="Y49" s="16"/>
      <c r="Z49" s="16">
        <f t="shared" si="6"/>
        <v>0</v>
      </c>
      <c r="AA49" s="16">
        <f t="shared" si="0"/>
        <v>0</v>
      </c>
      <c r="AB49" s="16"/>
      <c r="AC49" s="17"/>
      <c r="AD49" s="51"/>
    </row>
    <row r="50" spans="1:30" ht="19.5" thickBot="1" x14ac:dyDescent="0.3">
      <c r="A50" s="14">
        <v>15</v>
      </c>
      <c r="B50" s="15"/>
      <c r="C50" s="15" t="e">
        <f>VLOOKUP(B50,داتا!$B$3:$D$107,2,FALSE)</f>
        <v>#N/A</v>
      </c>
      <c r="D50" s="34" t="e">
        <f>VLOOKUP(B50,داتا!$B$3:$D$107,3,FALSE)</f>
        <v>#N/A</v>
      </c>
      <c r="E50" s="15"/>
      <c r="F50" s="15"/>
      <c r="G50" s="16">
        <v>0.25</v>
      </c>
      <c r="H50" s="16" t="e">
        <f t="shared" si="7"/>
        <v>#N/A</v>
      </c>
      <c r="I50" s="16" t="e">
        <f t="shared" si="1"/>
        <v>#N/A</v>
      </c>
      <c r="J50" s="16"/>
      <c r="K50" s="16"/>
      <c r="L50" s="16"/>
      <c r="M50" s="16"/>
      <c r="N50" s="16">
        <f t="shared" si="2"/>
        <v>0</v>
      </c>
      <c r="O50" s="16" t="e">
        <f t="shared" si="3"/>
        <v>#N/A</v>
      </c>
      <c r="P50" s="16">
        <v>6.9444444444444397E-3</v>
      </c>
      <c r="Q50" s="16"/>
      <c r="R50" s="16">
        <f t="shared" si="4"/>
        <v>-6.9444444444444397E-3</v>
      </c>
      <c r="S50" s="16"/>
      <c r="T50" s="16" t="e">
        <f>VLOOKUP(E50,'[2]21-3-2026'!E$3:T$35,16,FALSE)</f>
        <v>#N/A</v>
      </c>
      <c r="U50" s="16"/>
      <c r="V50" s="16" t="e">
        <f t="shared" si="5"/>
        <v>#N/A</v>
      </c>
      <c r="W50" s="16"/>
      <c r="X50" s="16"/>
      <c r="Y50" s="16"/>
      <c r="Z50" s="16">
        <f t="shared" si="6"/>
        <v>0</v>
      </c>
      <c r="AA50" s="16">
        <f t="shared" si="0"/>
        <v>0</v>
      </c>
      <c r="AB50" s="16"/>
      <c r="AC50" s="17"/>
      <c r="AD50" s="51"/>
    </row>
    <row r="51" spans="1:30" ht="19.5" thickBot="1" x14ac:dyDescent="0.3">
      <c r="A51" s="14">
        <v>16</v>
      </c>
      <c r="B51" s="15"/>
      <c r="C51" s="15" t="e">
        <f>VLOOKUP(B51,داتا!$B$3:$D$107,2,FALSE)</f>
        <v>#N/A</v>
      </c>
      <c r="D51" s="34" t="e">
        <f>VLOOKUP(B51,داتا!$B$3:$D$107,3,FALSE)</f>
        <v>#N/A</v>
      </c>
      <c r="E51" s="15"/>
      <c r="F51" s="15"/>
      <c r="G51" s="16">
        <v>0.25</v>
      </c>
      <c r="H51" s="16" t="e">
        <f t="shared" si="7"/>
        <v>#N/A</v>
      </c>
      <c r="I51" s="16" t="e">
        <f t="shared" si="1"/>
        <v>#N/A</v>
      </c>
      <c r="J51" s="16"/>
      <c r="K51" s="16"/>
      <c r="L51" s="16"/>
      <c r="M51" s="16"/>
      <c r="N51" s="16">
        <f t="shared" si="2"/>
        <v>0</v>
      </c>
      <c r="O51" s="16" t="e">
        <f t="shared" si="3"/>
        <v>#N/A</v>
      </c>
      <c r="P51" s="16">
        <v>6.9444444444444397E-3</v>
      </c>
      <c r="Q51" s="16"/>
      <c r="R51" s="16">
        <f t="shared" si="4"/>
        <v>-6.9444444444444397E-3</v>
      </c>
      <c r="S51" s="16"/>
      <c r="T51" s="16" t="e">
        <f>VLOOKUP(E51,'[2]21-3-2026'!E$3:T$35,16,FALSE)</f>
        <v>#N/A</v>
      </c>
      <c r="U51" s="16"/>
      <c r="V51" s="16" t="e">
        <f t="shared" si="5"/>
        <v>#N/A</v>
      </c>
      <c r="W51" s="16"/>
      <c r="X51" s="16"/>
      <c r="Y51" s="16"/>
      <c r="Z51" s="16">
        <f t="shared" si="6"/>
        <v>0</v>
      </c>
      <c r="AA51" s="16">
        <f t="shared" si="0"/>
        <v>0</v>
      </c>
      <c r="AB51" s="16"/>
      <c r="AC51" s="17"/>
      <c r="AD51" s="51"/>
    </row>
    <row r="52" spans="1:30" ht="19.5" thickBot="1" x14ac:dyDescent="0.3">
      <c r="A52" s="14">
        <v>17</v>
      </c>
      <c r="B52" s="15"/>
      <c r="C52" s="15" t="e">
        <f>VLOOKUP(B52,داتا!$B$3:$D$107,2,FALSE)</f>
        <v>#N/A</v>
      </c>
      <c r="D52" s="34" t="e">
        <f>VLOOKUP(B52,داتا!$B$3:$D$107,3,FALSE)</f>
        <v>#N/A</v>
      </c>
      <c r="E52" s="15"/>
      <c r="F52" s="15"/>
      <c r="G52" s="16">
        <v>0.25</v>
      </c>
      <c r="H52" s="16" t="e">
        <f t="shared" si="7"/>
        <v>#N/A</v>
      </c>
      <c r="I52" s="16" t="e">
        <f t="shared" si="1"/>
        <v>#N/A</v>
      </c>
      <c r="J52" s="16"/>
      <c r="K52" s="16"/>
      <c r="L52" s="16"/>
      <c r="M52" s="16"/>
      <c r="N52" s="16">
        <f t="shared" si="2"/>
        <v>0</v>
      </c>
      <c r="O52" s="16" t="e">
        <f t="shared" si="3"/>
        <v>#N/A</v>
      </c>
      <c r="P52" s="16">
        <v>6.9444444444444397E-3</v>
      </c>
      <c r="Q52" s="16"/>
      <c r="R52" s="16">
        <f t="shared" si="4"/>
        <v>-6.9444444444444397E-3</v>
      </c>
      <c r="S52" s="16"/>
      <c r="T52" s="16" t="e">
        <f>VLOOKUP(E52,'[2]21-3-2026'!E$3:T$35,16,FALSE)</f>
        <v>#N/A</v>
      </c>
      <c r="U52" s="16"/>
      <c r="V52" s="16" t="e">
        <f t="shared" si="5"/>
        <v>#N/A</v>
      </c>
      <c r="W52" s="16"/>
      <c r="X52" s="16"/>
      <c r="Y52" s="16"/>
      <c r="Z52" s="16">
        <f t="shared" si="6"/>
        <v>0</v>
      </c>
      <c r="AA52" s="16">
        <f t="shared" si="0"/>
        <v>0</v>
      </c>
      <c r="AB52" s="16"/>
      <c r="AC52" s="17"/>
      <c r="AD52" s="51"/>
    </row>
    <row r="53" spans="1:30" ht="19.5" thickBot="1" x14ac:dyDescent="0.3">
      <c r="A53" s="14">
        <v>18</v>
      </c>
      <c r="B53" s="15"/>
      <c r="C53" s="15" t="e">
        <f>VLOOKUP(B53,داتا!$B$3:$D$107,2,FALSE)</f>
        <v>#N/A</v>
      </c>
      <c r="D53" s="34" t="e">
        <f>VLOOKUP(B53,داتا!$B$3:$D$107,3,FALSE)</f>
        <v>#N/A</v>
      </c>
      <c r="E53" s="15"/>
      <c r="F53" s="15"/>
      <c r="G53" s="16">
        <v>0.25</v>
      </c>
      <c r="H53" s="16" t="e">
        <f t="shared" ref="H53:H68" si="8">VLOOKUP(G53,$F$3:$I$35,2,FALSE)</f>
        <v>#N/A</v>
      </c>
      <c r="I53" s="16" t="e">
        <f t="shared" si="1"/>
        <v>#N/A</v>
      </c>
      <c r="J53" s="16"/>
      <c r="K53" s="16"/>
      <c r="L53" s="16"/>
      <c r="M53" s="16"/>
      <c r="N53" s="16">
        <f t="shared" si="2"/>
        <v>0</v>
      </c>
      <c r="O53" s="16" t="e">
        <f t="shared" si="3"/>
        <v>#N/A</v>
      </c>
      <c r="P53" s="16">
        <v>6.9444444444444397E-3</v>
      </c>
      <c r="Q53" s="16"/>
      <c r="R53" s="16">
        <f t="shared" si="4"/>
        <v>-6.9444444444444397E-3</v>
      </c>
      <c r="S53" s="16"/>
      <c r="T53" s="16" t="e">
        <f>VLOOKUP(E53,'[2]21-3-2026'!E$3:T$35,16,FALSE)</f>
        <v>#N/A</v>
      </c>
      <c r="U53" s="16"/>
      <c r="V53" s="16" t="e">
        <f t="shared" si="5"/>
        <v>#N/A</v>
      </c>
      <c r="W53" s="16"/>
      <c r="X53" s="16"/>
      <c r="Y53" s="16"/>
      <c r="Z53" s="16">
        <f t="shared" si="6"/>
        <v>0</v>
      </c>
      <c r="AA53" s="16">
        <f t="shared" si="0"/>
        <v>0</v>
      </c>
      <c r="AB53" s="16"/>
      <c r="AC53" s="17"/>
      <c r="AD53" s="51"/>
    </row>
    <row r="54" spans="1:30" ht="19.5" thickBot="1" x14ac:dyDescent="0.3">
      <c r="A54" s="14">
        <v>19</v>
      </c>
      <c r="B54" s="15"/>
      <c r="C54" s="15" t="e">
        <f>VLOOKUP(B54,داتا!$B$3:$D$107,2,FALSE)</f>
        <v>#N/A</v>
      </c>
      <c r="D54" s="34" t="e">
        <f>VLOOKUP(B54,داتا!$B$3:$D$107,3,FALSE)</f>
        <v>#N/A</v>
      </c>
      <c r="E54" s="15"/>
      <c r="F54" s="15"/>
      <c r="G54" s="16">
        <v>0.25</v>
      </c>
      <c r="H54" s="16" t="e">
        <f t="shared" si="8"/>
        <v>#N/A</v>
      </c>
      <c r="I54" s="16" t="e">
        <f t="shared" si="1"/>
        <v>#N/A</v>
      </c>
      <c r="J54" s="16"/>
      <c r="K54" s="16"/>
      <c r="L54" s="16"/>
      <c r="M54" s="16"/>
      <c r="N54" s="16">
        <f t="shared" si="2"/>
        <v>0</v>
      </c>
      <c r="O54" s="16" t="e">
        <f t="shared" si="3"/>
        <v>#N/A</v>
      </c>
      <c r="P54" s="16">
        <v>6.9444444444444397E-3</v>
      </c>
      <c r="Q54" s="16"/>
      <c r="R54" s="16">
        <f t="shared" si="4"/>
        <v>-6.9444444444444397E-3</v>
      </c>
      <c r="S54" s="16"/>
      <c r="T54" s="16" t="e">
        <f>VLOOKUP(E54,'[2]21-3-2026'!E$3:T$35,16,FALSE)</f>
        <v>#N/A</v>
      </c>
      <c r="U54" s="16"/>
      <c r="V54" s="16" t="e">
        <f t="shared" si="5"/>
        <v>#N/A</v>
      </c>
      <c r="W54" s="16"/>
      <c r="X54" s="16"/>
      <c r="Y54" s="16"/>
      <c r="Z54" s="16">
        <f t="shared" si="6"/>
        <v>0</v>
      </c>
      <c r="AA54" s="16">
        <f t="shared" si="0"/>
        <v>0</v>
      </c>
      <c r="AB54" s="16"/>
      <c r="AC54" s="17"/>
      <c r="AD54" s="51"/>
    </row>
    <row r="55" spans="1:30" ht="19.5" thickBot="1" x14ac:dyDescent="0.3">
      <c r="A55" s="14">
        <v>20</v>
      </c>
      <c r="B55" s="15"/>
      <c r="C55" s="15" t="e">
        <f>VLOOKUP(B55,داتا!$B$3:$D$107,2,FALSE)</f>
        <v>#N/A</v>
      </c>
      <c r="D55" s="34" t="e">
        <f>VLOOKUP(B55,داتا!$B$3:$D$107,3,FALSE)</f>
        <v>#N/A</v>
      </c>
      <c r="E55" s="15"/>
      <c r="F55" s="15"/>
      <c r="G55" s="16">
        <v>0.25</v>
      </c>
      <c r="H55" s="16" t="e">
        <f t="shared" si="8"/>
        <v>#N/A</v>
      </c>
      <c r="I55" s="16" t="e">
        <f t="shared" si="1"/>
        <v>#N/A</v>
      </c>
      <c r="J55" s="16"/>
      <c r="K55" s="16"/>
      <c r="L55" s="16"/>
      <c r="M55" s="16"/>
      <c r="N55" s="16">
        <f t="shared" si="2"/>
        <v>0</v>
      </c>
      <c r="O55" s="16" t="e">
        <f t="shared" si="3"/>
        <v>#N/A</v>
      </c>
      <c r="P55" s="16">
        <v>6.9444444444444397E-3</v>
      </c>
      <c r="Q55" s="16"/>
      <c r="R55" s="16">
        <f t="shared" si="4"/>
        <v>-6.9444444444444397E-3</v>
      </c>
      <c r="S55" s="16"/>
      <c r="T55" s="16" t="e">
        <f>VLOOKUP(E55,'[2]21-3-2026'!E$3:T$35,16,FALSE)</f>
        <v>#N/A</v>
      </c>
      <c r="U55" s="16"/>
      <c r="V55" s="16" t="e">
        <f t="shared" si="5"/>
        <v>#N/A</v>
      </c>
      <c r="W55" s="16"/>
      <c r="X55" s="16"/>
      <c r="Y55" s="16"/>
      <c r="Z55" s="16">
        <f t="shared" si="6"/>
        <v>0</v>
      </c>
      <c r="AA55" s="16">
        <f t="shared" si="0"/>
        <v>0</v>
      </c>
      <c r="AB55" s="16"/>
      <c r="AC55" s="17"/>
      <c r="AD55" s="51"/>
    </row>
    <row r="56" spans="1:30" ht="19.5" thickBot="1" x14ac:dyDescent="0.3">
      <c r="A56" s="14">
        <v>21</v>
      </c>
      <c r="B56" s="15"/>
      <c r="C56" s="15" t="e">
        <f>VLOOKUP(B56,داتا!$B$3:$D$107,2,FALSE)</f>
        <v>#N/A</v>
      </c>
      <c r="D56" s="34" t="e">
        <f>VLOOKUP(B56,داتا!$B$3:$D$107,3,FALSE)</f>
        <v>#N/A</v>
      </c>
      <c r="E56" s="15"/>
      <c r="F56" s="15"/>
      <c r="G56" s="16">
        <v>0.25</v>
      </c>
      <c r="H56" s="16" t="e">
        <f t="shared" si="8"/>
        <v>#N/A</v>
      </c>
      <c r="I56" s="16" t="e">
        <f t="shared" si="1"/>
        <v>#N/A</v>
      </c>
      <c r="J56" s="16"/>
      <c r="K56" s="16"/>
      <c r="L56" s="15"/>
      <c r="M56" s="15"/>
      <c r="N56" s="16">
        <f t="shared" si="2"/>
        <v>0</v>
      </c>
      <c r="O56" s="16" t="e">
        <f t="shared" si="3"/>
        <v>#N/A</v>
      </c>
      <c r="P56" s="16">
        <v>6.9444444444444397E-3</v>
      </c>
      <c r="Q56" s="16"/>
      <c r="R56" s="16">
        <f t="shared" si="4"/>
        <v>-6.9444444444444397E-3</v>
      </c>
      <c r="S56" s="16"/>
      <c r="T56" s="16" t="e">
        <f>VLOOKUP(E56,'[2]21-3-2026'!E$3:T$35,16,FALSE)</f>
        <v>#N/A</v>
      </c>
      <c r="U56" s="16"/>
      <c r="V56" s="16" t="e">
        <f t="shared" si="5"/>
        <v>#N/A</v>
      </c>
      <c r="W56" s="16"/>
      <c r="X56" s="16"/>
      <c r="Y56" s="16"/>
      <c r="Z56" s="16">
        <f t="shared" si="6"/>
        <v>0</v>
      </c>
      <c r="AA56" s="16">
        <f t="shared" si="0"/>
        <v>0</v>
      </c>
      <c r="AB56" s="16"/>
      <c r="AC56" s="17"/>
      <c r="AD56" s="51"/>
    </row>
    <row r="57" spans="1:30" ht="19.5" thickBot="1" x14ac:dyDescent="0.3">
      <c r="A57" s="14">
        <v>22</v>
      </c>
      <c r="B57" s="15"/>
      <c r="C57" s="15" t="e">
        <f>VLOOKUP(B57,داتا!$B$3:$D$107,2,FALSE)</f>
        <v>#N/A</v>
      </c>
      <c r="D57" s="34" t="e">
        <f>VLOOKUP(B57,داتا!$B$3:$D$107,3,FALSE)</f>
        <v>#N/A</v>
      </c>
      <c r="E57" s="15"/>
      <c r="F57" s="15"/>
      <c r="G57" s="16">
        <v>0.25</v>
      </c>
      <c r="H57" s="16" t="e">
        <f t="shared" si="8"/>
        <v>#N/A</v>
      </c>
      <c r="I57" s="16" t="e">
        <f t="shared" si="1"/>
        <v>#N/A</v>
      </c>
      <c r="J57" s="16"/>
      <c r="K57" s="16"/>
      <c r="L57" s="15"/>
      <c r="M57" s="15"/>
      <c r="N57" s="16">
        <f t="shared" si="2"/>
        <v>0</v>
      </c>
      <c r="O57" s="16" t="e">
        <f t="shared" si="3"/>
        <v>#N/A</v>
      </c>
      <c r="P57" s="16">
        <v>6.9444444444444397E-3</v>
      </c>
      <c r="Q57" s="16"/>
      <c r="R57" s="16">
        <f t="shared" si="4"/>
        <v>-6.9444444444444397E-3</v>
      </c>
      <c r="S57" s="16"/>
      <c r="T57" s="16" t="e">
        <f>VLOOKUP(E57,'[2]21-3-2026'!E$3:T$35,16,FALSE)</f>
        <v>#N/A</v>
      </c>
      <c r="U57" s="16"/>
      <c r="V57" s="16" t="e">
        <f t="shared" si="5"/>
        <v>#N/A</v>
      </c>
      <c r="W57" s="16"/>
      <c r="X57" s="16"/>
      <c r="Y57" s="16"/>
      <c r="Z57" s="16">
        <f t="shared" si="6"/>
        <v>0</v>
      </c>
      <c r="AA57" s="16">
        <f t="shared" si="0"/>
        <v>0</v>
      </c>
      <c r="AB57" s="16"/>
      <c r="AC57" s="17"/>
      <c r="AD57" s="51"/>
    </row>
    <row r="58" spans="1:30" ht="19.5" thickBot="1" x14ac:dyDescent="0.3">
      <c r="A58" s="14">
        <v>23</v>
      </c>
      <c r="B58" s="15"/>
      <c r="C58" s="15" t="e">
        <f>VLOOKUP(B58,داتا!$B$3:$D$107,2,FALSE)</f>
        <v>#N/A</v>
      </c>
      <c r="D58" s="34" t="e">
        <f>VLOOKUP(B58,داتا!$B$3:$D$107,3,FALSE)</f>
        <v>#N/A</v>
      </c>
      <c r="E58" s="15"/>
      <c r="F58" s="15"/>
      <c r="G58" s="16">
        <v>0.25</v>
      </c>
      <c r="H58" s="16" t="e">
        <f t="shared" si="8"/>
        <v>#N/A</v>
      </c>
      <c r="I58" s="16" t="e">
        <f t="shared" si="1"/>
        <v>#N/A</v>
      </c>
      <c r="J58" s="16"/>
      <c r="K58" s="16"/>
      <c r="L58" s="16"/>
      <c r="M58" s="16"/>
      <c r="N58" s="16">
        <f t="shared" si="2"/>
        <v>0</v>
      </c>
      <c r="O58" s="16" t="e">
        <f t="shared" si="3"/>
        <v>#N/A</v>
      </c>
      <c r="P58" s="16">
        <v>6.9444444444444397E-3</v>
      </c>
      <c r="Q58" s="16"/>
      <c r="R58" s="16">
        <f t="shared" si="4"/>
        <v>-6.9444444444444397E-3</v>
      </c>
      <c r="S58" s="16"/>
      <c r="T58" s="16" t="e">
        <f>VLOOKUP(E58,'[2]21-3-2026'!E$3:T$35,16,FALSE)</f>
        <v>#N/A</v>
      </c>
      <c r="U58" s="16"/>
      <c r="V58" s="16" t="e">
        <f t="shared" si="5"/>
        <v>#N/A</v>
      </c>
      <c r="W58" s="16"/>
      <c r="X58" s="16"/>
      <c r="Y58" s="16"/>
      <c r="Z58" s="16">
        <f t="shared" si="6"/>
        <v>0</v>
      </c>
      <c r="AA58" s="16">
        <f t="shared" si="0"/>
        <v>0</v>
      </c>
      <c r="AB58" s="16"/>
      <c r="AC58" s="17"/>
      <c r="AD58" s="51"/>
    </row>
    <row r="59" spans="1:30" ht="19.5" thickBot="1" x14ac:dyDescent="0.3">
      <c r="A59" s="14">
        <v>24</v>
      </c>
      <c r="B59" s="15"/>
      <c r="C59" s="15" t="e">
        <f>VLOOKUP(B59,داتا!$B$3:$D$107,2,FALSE)</f>
        <v>#N/A</v>
      </c>
      <c r="D59" s="34" t="e">
        <f>VLOOKUP(B59,داتا!$B$3:$D$107,3,FALSE)</f>
        <v>#N/A</v>
      </c>
      <c r="E59" s="16"/>
      <c r="F59" s="15"/>
      <c r="G59" s="16">
        <v>0.25</v>
      </c>
      <c r="H59" s="16" t="e">
        <f t="shared" si="8"/>
        <v>#N/A</v>
      </c>
      <c r="I59" s="16" t="e">
        <f t="shared" si="1"/>
        <v>#N/A</v>
      </c>
      <c r="J59" s="16"/>
      <c r="K59" s="16"/>
      <c r="L59" s="15"/>
      <c r="M59" s="15"/>
      <c r="N59" s="16">
        <f t="shared" si="2"/>
        <v>0</v>
      </c>
      <c r="O59" s="16" t="e">
        <f t="shared" si="3"/>
        <v>#N/A</v>
      </c>
      <c r="P59" s="16">
        <v>6.9444444444444397E-3</v>
      </c>
      <c r="Q59" s="16"/>
      <c r="R59" s="16">
        <f t="shared" si="4"/>
        <v>-6.9444444444444397E-3</v>
      </c>
      <c r="S59" s="16"/>
      <c r="T59" s="16" t="e">
        <f>VLOOKUP(E59,'[2]21-3-2026'!E$3:T$35,16,FALSE)</f>
        <v>#N/A</v>
      </c>
      <c r="U59" s="16"/>
      <c r="V59" s="16" t="e">
        <f t="shared" si="5"/>
        <v>#N/A</v>
      </c>
      <c r="W59" s="16"/>
      <c r="X59" s="16"/>
      <c r="Y59" s="16"/>
      <c r="Z59" s="16">
        <f t="shared" si="6"/>
        <v>0</v>
      </c>
      <c r="AA59" s="16">
        <f t="shared" si="0"/>
        <v>0</v>
      </c>
      <c r="AB59" s="16"/>
      <c r="AC59" s="17"/>
      <c r="AD59" s="51"/>
    </row>
    <row r="60" spans="1:30" ht="19.5" thickBot="1" x14ac:dyDescent="0.3">
      <c r="A60" s="14">
        <v>25</v>
      </c>
      <c r="B60" s="15"/>
      <c r="C60" s="15" t="e">
        <f>VLOOKUP(B60,داتا!$B$3:$D$107,2,FALSE)</f>
        <v>#N/A</v>
      </c>
      <c r="D60" s="34" t="e">
        <f>VLOOKUP(B60,داتا!$B$3:$D$107,3,FALSE)</f>
        <v>#N/A</v>
      </c>
      <c r="E60" s="15"/>
      <c r="F60" s="15"/>
      <c r="G60" s="16">
        <v>0.25</v>
      </c>
      <c r="H60" s="16" t="e">
        <f t="shared" si="8"/>
        <v>#N/A</v>
      </c>
      <c r="I60" s="16" t="e">
        <f t="shared" si="1"/>
        <v>#N/A</v>
      </c>
      <c r="J60" s="16"/>
      <c r="K60" s="16"/>
      <c r="L60" s="16"/>
      <c r="M60" s="16"/>
      <c r="N60" s="16">
        <f t="shared" si="2"/>
        <v>0</v>
      </c>
      <c r="O60" s="16" t="e">
        <f t="shared" si="3"/>
        <v>#N/A</v>
      </c>
      <c r="P60" s="16">
        <v>6.9444444444444397E-3</v>
      </c>
      <c r="Q60" s="16"/>
      <c r="R60" s="16">
        <f t="shared" si="4"/>
        <v>-6.9444444444444397E-3</v>
      </c>
      <c r="S60" s="16"/>
      <c r="T60" s="16" t="e">
        <f>VLOOKUP(E60,'[2]21-3-2026'!E$3:T$35,16,FALSE)</f>
        <v>#N/A</v>
      </c>
      <c r="U60" s="16"/>
      <c r="V60" s="16" t="e">
        <f t="shared" si="5"/>
        <v>#N/A</v>
      </c>
      <c r="W60" s="16"/>
      <c r="X60" s="16"/>
      <c r="Y60" s="16"/>
      <c r="Z60" s="16">
        <f t="shared" si="6"/>
        <v>0</v>
      </c>
      <c r="AA60" s="16">
        <f t="shared" si="0"/>
        <v>0</v>
      </c>
      <c r="AB60" s="16"/>
      <c r="AC60" s="17"/>
      <c r="AD60" s="51"/>
    </row>
    <row r="61" spans="1:30" ht="19.5" thickBot="1" x14ac:dyDescent="0.3">
      <c r="A61" s="14">
        <v>26</v>
      </c>
      <c r="B61" s="15"/>
      <c r="C61" s="15" t="e">
        <f>VLOOKUP(B61,داتا!$B$3:$D$107,2,FALSE)</f>
        <v>#N/A</v>
      </c>
      <c r="D61" s="34" t="e">
        <f>VLOOKUP(B61,داتا!$B$3:$D$107,3,FALSE)</f>
        <v>#N/A</v>
      </c>
      <c r="E61" s="15"/>
      <c r="F61" s="15"/>
      <c r="G61" s="16">
        <v>0.25</v>
      </c>
      <c r="H61" s="16" t="e">
        <f t="shared" si="8"/>
        <v>#N/A</v>
      </c>
      <c r="I61" s="16" t="e">
        <f t="shared" si="1"/>
        <v>#N/A</v>
      </c>
      <c r="J61" s="16"/>
      <c r="K61" s="16"/>
      <c r="L61" s="16"/>
      <c r="M61" s="16"/>
      <c r="N61" s="16">
        <f t="shared" si="2"/>
        <v>0</v>
      </c>
      <c r="O61" s="16" t="e">
        <f t="shared" si="3"/>
        <v>#N/A</v>
      </c>
      <c r="P61" s="16">
        <v>6.9444444444444397E-3</v>
      </c>
      <c r="Q61" s="16"/>
      <c r="R61" s="16">
        <f t="shared" si="4"/>
        <v>-6.9444444444444397E-3</v>
      </c>
      <c r="S61" s="16"/>
      <c r="T61" s="16" t="e">
        <f>VLOOKUP(E61,'[2]21-3-2026'!E$3:T$35,16,FALSE)</f>
        <v>#N/A</v>
      </c>
      <c r="U61" s="16"/>
      <c r="V61" s="16" t="e">
        <f t="shared" si="5"/>
        <v>#N/A</v>
      </c>
      <c r="W61" s="16"/>
      <c r="X61" s="16"/>
      <c r="Y61" s="16"/>
      <c r="Z61" s="16">
        <f t="shared" si="6"/>
        <v>0</v>
      </c>
      <c r="AA61" s="16">
        <f t="shared" si="0"/>
        <v>0</v>
      </c>
      <c r="AB61" s="16"/>
      <c r="AC61" s="17"/>
      <c r="AD61" s="51"/>
    </row>
    <row r="62" spans="1:30" ht="19.5" thickBot="1" x14ac:dyDescent="0.3">
      <c r="A62" s="14">
        <v>27</v>
      </c>
      <c r="B62" s="15"/>
      <c r="C62" s="15" t="e">
        <f>VLOOKUP(B62,داتا!$B$3:$D$107,2,FALSE)</f>
        <v>#N/A</v>
      </c>
      <c r="D62" s="34" t="e">
        <f>VLOOKUP(B62,داتا!$B$3:$D$107,3,FALSE)</f>
        <v>#N/A</v>
      </c>
      <c r="E62" s="15"/>
      <c r="F62" s="15"/>
      <c r="G62" s="16">
        <v>0.25</v>
      </c>
      <c r="H62" s="16" t="e">
        <f t="shared" si="8"/>
        <v>#N/A</v>
      </c>
      <c r="I62" s="16" t="e">
        <f t="shared" si="1"/>
        <v>#N/A</v>
      </c>
      <c r="J62" s="16"/>
      <c r="K62" s="16"/>
      <c r="L62" s="16"/>
      <c r="M62" s="16"/>
      <c r="N62" s="16">
        <f t="shared" si="2"/>
        <v>0</v>
      </c>
      <c r="O62" s="16" t="e">
        <f t="shared" si="3"/>
        <v>#N/A</v>
      </c>
      <c r="P62" s="16">
        <v>6.9444444444444397E-3</v>
      </c>
      <c r="Q62" s="16"/>
      <c r="R62" s="16">
        <f t="shared" si="4"/>
        <v>-6.9444444444444397E-3</v>
      </c>
      <c r="S62" s="16"/>
      <c r="T62" s="16" t="e">
        <f>VLOOKUP(E62,'[2]21-3-2026'!E$3:T$35,16,FALSE)</f>
        <v>#N/A</v>
      </c>
      <c r="U62" s="16"/>
      <c r="V62" s="16" t="e">
        <f t="shared" si="5"/>
        <v>#N/A</v>
      </c>
      <c r="W62" s="16"/>
      <c r="X62" s="16"/>
      <c r="Y62" s="16"/>
      <c r="Z62" s="16">
        <f t="shared" si="6"/>
        <v>0</v>
      </c>
      <c r="AA62" s="16">
        <f t="shared" si="0"/>
        <v>0</v>
      </c>
      <c r="AB62" s="16"/>
      <c r="AC62" s="17"/>
      <c r="AD62" s="51"/>
    </row>
    <row r="63" spans="1:30" ht="19.5" thickBot="1" x14ac:dyDescent="0.3">
      <c r="A63" s="14">
        <v>28</v>
      </c>
      <c r="B63" s="15"/>
      <c r="C63" s="15" t="e">
        <f>VLOOKUP(B63,داتا!$B$3:$D$107,2,FALSE)</f>
        <v>#N/A</v>
      </c>
      <c r="D63" s="34" t="e">
        <f>VLOOKUP(B63,داتا!$B$3:$D$107,3,FALSE)</f>
        <v>#N/A</v>
      </c>
      <c r="E63" s="15"/>
      <c r="F63" s="15"/>
      <c r="G63" s="16">
        <v>0.25</v>
      </c>
      <c r="H63" s="16" t="e">
        <f t="shared" si="8"/>
        <v>#N/A</v>
      </c>
      <c r="I63" s="16" t="e">
        <f t="shared" si="1"/>
        <v>#N/A</v>
      </c>
      <c r="J63" s="16"/>
      <c r="K63" s="16"/>
      <c r="L63" s="16"/>
      <c r="M63" s="16"/>
      <c r="N63" s="16">
        <f t="shared" si="2"/>
        <v>0</v>
      </c>
      <c r="O63" s="16" t="e">
        <f t="shared" si="3"/>
        <v>#N/A</v>
      </c>
      <c r="P63" s="16">
        <v>6.9444444444444397E-3</v>
      </c>
      <c r="Q63" s="16"/>
      <c r="R63" s="16">
        <f t="shared" si="4"/>
        <v>-6.9444444444444397E-3</v>
      </c>
      <c r="S63" s="16"/>
      <c r="T63" s="16" t="e">
        <f>VLOOKUP(E63,'[2]21-3-2026'!E$3:T$35,16,FALSE)</f>
        <v>#N/A</v>
      </c>
      <c r="U63" s="16"/>
      <c r="V63" s="16" t="e">
        <f t="shared" si="5"/>
        <v>#N/A</v>
      </c>
      <c r="W63" s="16"/>
      <c r="X63" s="16"/>
      <c r="Y63" s="16"/>
      <c r="Z63" s="16">
        <f t="shared" si="6"/>
        <v>0</v>
      </c>
      <c r="AA63" s="16">
        <f t="shared" si="0"/>
        <v>0</v>
      </c>
      <c r="AB63" s="16"/>
      <c r="AC63" s="17"/>
      <c r="AD63" s="51"/>
    </row>
    <row r="64" spans="1:30" ht="19.5" thickBot="1" x14ac:dyDescent="0.3">
      <c r="A64" s="14">
        <v>29</v>
      </c>
      <c r="B64" s="15"/>
      <c r="C64" s="15" t="e">
        <f>VLOOKUP(B64,داتا!$B$3:$D$107,2,FALSE)</f>
        <v>#N/A</v>
      </c>
      <c r="D64" s="34" t="e">
        <f>VLOOKUP(B64,داتا!$B$3:$D$107,3,FALSE)</f>
        <v>#N/A</v>
      </c>
      <c r="E64" s="15"/>
      <c r="F64" s="15"/>
      <c r="G64" s="16">
        <v>0.25</v>
      </c>
      <c r="H64" s="16" t="e">
        <f t="shared" si="8"/>
        <v>#N/A</v>
      </c>
      <c r="I64" s="16" t="e">
        <f t="shared" si="1"/>
        <v>#N/A</v>
      </c>
      <c r="J64" s="16"/>
      <c r="K64" s="16"/>
      <c r="L64" s="16"/>
      <c r="M64" s="16"/>
      <c r="N64" s="16">
        <f t="shared" si="2"/>
        <v>0</v>
      </c>
      <c r="O64" s="16" t="e">
        <f t="shared" si="3"/>
        <v>#N/A</v>
      </c>
      <c r="P64" s="16">
        <v>6.9444444444444397E-3</v>
      </c>
      <c r="Q64" s="16"/>
      <c r="R64" s="16">
        <f t="shared" si="4"/>
        <v>-6.9444444444444397E-3</v>
      </c>
      <c r="S64" s="16"/>
      <c r="T64" s="16" t="e">
        <f>VLOOKUP(E64,'[2]21-3-2026'!E$3:T$35,16,FALSE)</f>
        <v>#N/A</v>
      </c>
      <c r="U64" s="16"/>
      <c r="V64" s="16" t="e">
        <f t="shared" si="5"/>
        <v>#N/A</v>
      </c>
      <c r="W64" s="16"/>
      <c r="X64" s="16"/>
      <c r="Y64" s="16"/>
      <c r="Z64" s="16">
        <f t="shared" si="6"/>
        <v>0</v>
      </c>
      <c r="AA64" s="16">
        <f t="shared" si="0"/>
        <v>0</v>
      </c>
      <c r="AB64" s="16"/>
      <c r="AC64" s="17"/>
      <c r="AD64" s="51"/>
    </row>
    <row r="65" spans="1:30" ht="19.5" thickBot="1" x14ac:dyDescent="0.3">
      <c r="A65" s="14">
        <v>30</v>
      </c>
      <c r="B65" s="15"/>
      <c r="C65" s="15" t="e">
        <f>VLOOKUP(B65,داتا!$B$3:$D$107,2,FALSE)</f>
        <v>#N/A</v>
      </c>
      <c r="D65" s="34" t="e">
        <f>VLOOKUP(B65,داتا!$B$3:$D$107,3,FALSE)</f>
        <v>#N/A</v>
      </c>
      <c r="E65" s="15"/>
      <c r="F65" s="15"/>
      <c r="G65" s="16">
        <v>0.25</v>
      </c>
      <c r="H65" s="16" t="e">
        <f t="shared" si="8"/>
        <v>#N/A</v>
      </c>
      <c r="I65" s="16" t="e">
        <f t="shared" si="1"/>
        <v>#N/A</v>
      </c>
      <c r="J65" s="16"/>
      <c r="K65" s="16"/>
      <c r="L65" s="16"/>
      <c r="M65" s="16"/>
      <c r="N65" s="16">
        <f t="shared" si="2"/>
        <v>0</v>
      </c>
      <c r="O65" s="16" t="e">
        <f t="shared" si="3"/>
        <v>#N/A</v>
      </c>
      <c r="P65" s="16">
        <v>6.9444444444444397E-3</v>
      </c>
      <c r="Q65" s="16"/>
      <c r="R65" s="16">
        <f t="shared" si="4"/>
        <v>-6.9444444444444397E-3</v>
      </c>
      <c r="S65" s="16"/>
      <c r="T65" s="16" t="e">
        <f>VLOOKUP(E65,'[2]21-3-2026'!E$3:T$35,16,FALSE)</f>
        <v>#N/A</v>
      </c>
      <c r="U65" s="16"/>
      <c r="V65" s="16" t="e">
        <f t="shared" si="5"/>
        <v>#N/A</v>
      </c>
      <c r="W65" s="16"/>
      <c r="X65" s="16"/>
      <c r="Y65" s="16"/>
      <c r="Z65" s="16">
        <f t="shared" si="6"/>
        <v>0</v>
      </c>
      <c r="AA65" s="16">
        <f t="shared" si="0"/>
        <v>0</v>
      </c>
      <c r="AB65" s="16"/>
      <c r="AC65" s="17"/>
      <c r="AD65" s="51"/>
    </row>
    <row r="66" spans="1:30" ht="20.25" customHeight="1" thickBot="1" x14ac:dyDescent="0.3">
      <c r="A66" s="14">
        <v>31</v>
      </c>
      <c r="B66" s="15"/>
      <c r="C66" s="15" t="e">
        <f>VLOOKUP(B66,داتا!$B$3:$D$107,2,FALSE)</f>
        <v>#N/A</v>
      </c>
      <c r="D66" s="34" t="e">
        <f>VLOOKUP(B66,داتا!$B$3:$D$107,3,FALSE)</f>
        <v>#N/A</v>
      </c>
      <c r="E66" s="15"/>
      <c r="F66" s="15"/>
      <c r="G66" s="16">
        <v>0.25</v>
      </c>
      <c r="H66" s="16" t="e">
        <f t="shared" si="8"/>
        <v>#N/A</v>
      </c>
      <c r="I66" s="16" t="e">
        <f t="shared" si="1"/>
        <v>#N/A</v>
      </c>
      <c r="J66" s="16"/>
      <c r="K66" s="16"/>
      <c r="L66" s="16"/>
      <c r="M66" s="16"/>
      <c r="N66" s="16">
        <f t="shared" si="2"/>
        <v>0</v>
      </c>
      <c r="O66" s="16" t="e">
        <f t="shared" si="3"/>
        <v>#N/A</v>
      </c>
      <c r="P66" s="16">
        <v>6.9444444444444397E-3</v>
      </c>
      <c r="Q66" s="16"/>
      <c r="R66" s="16">
        <f t="shared" si="4"/>
        <v>-6.9444444444444397E-3</v>
      </c>
      <c r="S66" s="16"/>
      <c r="T66" s="16" t="e">
        <f>VLOOKUP(E66,'[2]21-3-2026'!E$3:T$35,16,FALSE)</f>
        <v>#N/A</v>
      </c>
      <c r="U66" s="16"/>
      <c r="V66" s="16" t="e">
        <f t="shared" si="5"/>
        <v>#N/A</v>
      </c>
      <c r="W66" s="16"/>
      <c r="X66" s="16"/>
      <c r="Y66" s="16"/>
      <c r="Z66" s="16">
        <f t="shared" si="6"/>
        <v>0</v>
      </c>
      <c r="AA66" s="16">
        <f t="shared" si="0"/>
        <v>0</v>
      </c>
      <c r="AB66" s="16"/>
      <c r="AC66" s="19"/>
      <c r="AD66" s="51"/>
    </row>
    <row r="67" spans="1:30" ht="19.5" customHeight="1" thickBot="1" x14ac:dyDescent="0.3">
      <c r="A67" s="20">
        <v>32</v>
      </c>
      <c r="B67" s="21"/>
      <c r="C67" s="21" t="e">
        <f>VLOOKUP(B67,داتا!$B$3:$D$107,2,FALSE)</f>
        <v>#N/A</v>
      </c>
      <c r="D67" s="35" t="e">
        <f>VLOOKUP(B67,داتا!$B$3:$D$107,3,FALSE)</f>
        <v>#N/A</v>
      </c>
      <c r="E67" s="21"/>
      <c r="F67" s="21"/>
      <c r="G67" s="22">
        <v>0.25</v>
      </c>
      <c r="H67" s="22" t="e">
        <f t="shared" si="8"/>
        <v>#N/A</v>
      </c>
      <c r="I67" s="22" t="e">
        <f t="shared" si="1"/>
        <v>#N/A</v>
      </c>
      <c r="J67" s="22"/>
      <c r="K67" s="22"/>
      <c r="L67" s="22"/>
      <c r="M67" s="22"/>
      <c r="N67" s="22">
        <f t="shared" si="2"/>
        <v>0</v>
      </c>
      <c r="O67" s="22" t="e">
        <f t="shared" si="3"/>
        <v>#N/A</v>
      </c>
      <c r="P67" s="22">
        <v>6.9444444444444397E-3</v>
      </c>
      <c r="Q67" s="22"/>
      <c r="R67" s="22">
        <f t="shared" si="4"/>
        <v>-6.9444444444444397E-3</v>
      </c>
      <c r="S67" s="22"/>
      <c r="T67" s="22" t="e">
        <f>VLOOKUP(E67,'[2]21-3-2026'!E$3:T$35,16,FALSE)</f>
        <v>#N/A</v>
      </c>
      <c r="U67" s="22"/>
      <c r="V67" s="22" t="e">
        <f t="shared" si="5"/>
        <v>#N/A</v>
      </c>
      <c r="W67" s="22"/>
      <c r="X67" s="22"/>
      <c r="Y67" s="22"/>
      <c r="Z67" s="22">
        <f t="shared" si="6"/>
        <v>0</v>
      </c>
      <c r="AA67" s="22">
        <f t="shared" ref="AA67:AA99" si="9">Z67-W67</f>
        <v>0</v>
      </c>
      <c r="AB67" s="22"/>
      <c r="AC67" s="23"/>
      <c r="AD67" s="52"/>
    </row>
    <row r="68" spans="1:30" ht="20.25" thickTop="1" thickBot="1" x14ac:dyDescent="0.3">
      <c r="A68" s="10">
        <v>1</v>
      </c>
      <c r="B68" s="11"/>
      <c r="C68" s="11" t="e">
        <f>VLOOKUP(B68,داتا!$B$3:$D$107,2,FALSE)</f>
        <v>#N/A</v>
      </c>
      <c r="D68" s="33" t="e">
        <f>VLOOKUP(B68,داتا!$B$3:$D$107,3,FALSE)</f>
        <v>#N/A</v>
      </c>
      <c r="E68" s="11"/>
      <c r="F68" s="11"/>
      <c r="G68" s="12">
        <v>8.3333333333333329E-2</v>
      </c>
      <c r="H68" s="12" t="e">
        <f t="shared" si="8"/>
        <v>#N/A</v>
      </c>
      <c r="I68" s="12" t="e">
        <f t="shared" ref="I68:I99" si="10">H68-G68</f>
        <v>#N/A</v>
      </c>
      <c r="J68" s="12"/>
      <c r="K68" s="12"/>
      <c r="L68" s="12"/>
      <c r="M68" s="12"/>
      <c r="N68" s="12">
        <f t="shared" ref="N68:N99" si="11">K68-J68</f>
        <v>0</v>
      </c>
      <c r="O68" s="12" t="e">
        <f t="shared" ref="O68:O99" si="12">N68-D68</f>
        <v>#N/A</v>
      </c>
      <c r="P68" s="12">
        <v>6.9444444444444397E-3</v>
      </c>
      <c r="Q68" s="12"/>
      <c r="R68" s="12">
        <f t="shared" ref="R68:R99" si="13">Q68-P68-K68</f>
        <v>-6.9444444444444397E-3</v>
      </c>
      <c r="S68" s="12"/>
      <c r="T68" s="12" t="e">
        <f>VLOOKUP(E68,'[2]21-3-2026'!E$3:T$35,16,FALSE)</f>
        <v>#N/A</v>
      </c>
      <c r="U68" s="12"/>
      <c r="V68" s="12" t="e">
        <f t="shared" ref="V68:V99" si="14">U68-T68-S68</f>
        <v>#N/A</v>
      </c>
      <c r="W68" s="12"/>
      <c r="X68" s="12"/>
      <c r="Y68" s="12"/>
      <c r="Z68" s="12">
        <f t="shared" ref="Z68:Z99" si="15">Y68-X68</f>
        <v>0</v>
      </c>
      <c r="AA68" s="12">
        <f t="shared" si="9"/>
        <v>0</v>
      </c>
      <c r="AB68" s="12"/>
      <c r="AC68" s="13"/>
      <c r="AD68" s="53" t="s">
        <v>116</v>
      </c>
    </row>
    <row r="69" spans="1:30" ht="19.5" thickBot="1" x14ac:dyDescent="0.3">
      <c r="A69" s="14">
        <v>2</v>
      </c>
      <c r="B69" s="15"/>
      <c r="C69" s="15" t="e">
        <f>VLOOKUP(B69,داتا!$B$3:$D$107,2,FALSE)</f>
        <v>#N/A</v>
      </c>
      <c r="D69" s="34" t="e">
        <f>VLOOKUP(B69,داتا!$B$3:$D$107,3,FALSE)</f>
        <v>#N/A</v>
      </c>
      <c r="E69" s="15"/>
      <c r="F69" s="15"/>
      <c r="G69" s="16">
        <v>8.3333333333333329E-2</v>
      </c>
      <c r="H69" s="16" t="e">
        <f t="shared" ref="H69:H84" si="16">VLOOKUP(G69,$F$3:$I$35,2,FALSE)</f>
        <v>#N/A</v>
      </c>
      <c r="I69" s="16" t="e">
        <f t="shared" si="10"/>
        <v>#N/A</v>
      </c>
      <c r="J69" s="16"/>
      <c r="K69" s="16"/>
      <c r="L69" s="16"/>
      <c r="M69" s="16"/>
      <c r="N69" s="16">
        <f t="shared" si="11"/>
        <v>0</v>
      </c>
      <c r="O69" s="16" t="e">
        <f t="shared" si="12"/>
        <v>#N/A</v>
      </c>
      <c r="P69" s="16">
        <v>6.9444444444444397E-3</v>
      </c>
      <c r="Q69" s="16"/>
      <c r="R69" s="16">
        <f t="shared" si="13"/>
        <v>-6.9444444444444397E-3</v>
      </c>
      <c r="S69" s="16"/>
      <c r="T69" s="16" t="e">
        <f>VLOOKUP(E69,'[2]21-3-2026'!E$3:T$35,16,FALSE)</f>
        <v>#N/A</v>
      </c>
      <c r="U69" s="16"/>
      <c r="V69" s="16" t="e">
        <f t="shared" si="14"/>
        <v>#N/A</v>
      </c>
      <c r="W69" s="16"/>
      <c r="X69" s="16"/>
      <c r="Y69" s="16"/>
      <c r="Z69" s="16">
        <f t="shared" si="15"/>
        <v>0</v>
      </c>
      <c r="AA69" s="16">
        <f t="shared" si="9"/>
        <v>0</v>
      </c>
      <c r="AB69" s="16"/>
      <c r="AC69" s="17"/>
      <c r="AD69" s="51"/>
    </row>
    <row r="70" spans="1:30" ht="19.5" thickBot="1" x14ac:dyDescent="0.3">
      <c r="A70" s="14">
        <v>3</v>
      </c>
      <c r="B70" s="15"/>
      <c r="C70" s="15" t="e">
        <f>VLOOKUP(B70,داتا!$B$3:$D$107,2,FALSE)</f>
        <v>#N/A</v>
      </c>
      <c r="D70" s="34" t="e">
        <f>VLOOKUP(B70,داتا!$B$3:$D$107,3,FALSE)</f>
        <v>#N/A</v>
      </c>
      <c r="E70" s="15"/>
      <c r="F70" s="15"/>
      <c r="G70" s="16">
        <v>8.3333333333333329E-2</v>
      </c>
      <c r="H70" s="16" t="e">
        <f t="shared" si="16"/>
        <v>#N/A</v>
      </c>
      <c r="I70" s="16" t="e">
        <f t="shared" si="10"/>
        <v>#N/A</v>
      </c>
      <c r="J70" s="16"/>
      <c r="K70" s="16"/>
      <c r="L70" s="16"/>
      <c r="M70" s="16"/>
      <c r="N70" s="16">
        <f t="shared" si="11"/>
        <v>0</v>
      </c>
      <c r="O70" s="16" t="e">
        <f t="shared" si="12"/>
        <v>#N/A</v>
      </c>
      <c r="P70" s="16">
        <v>6.9444444444444397E-3</v>
      </c>
      <c r="Q70" s="16"/>
      <c r="R70" s="16">
        <f t="shared" si="13"/>
        <v>-6.9444444444444397E-3</v>
      </c>
      <c r="S70" s="16"/>
      <c r="T70" s="16" t="e">
        <f>VLOOKUP(E70,'[2]21-3-2026'!E$3:T$35,16,FALSE)</f>
        <v>#N/A</v>
      </c>
      <c r="U70" s="16"/>
      <c r="V70" s="16" t="e">
        <f t="shared" si="14"/>
        <v>#N/A</v>
      </c>
      <c r="W70" s="16"/>
      <c r="X70" s="16"/>
      <c r="Y70" s="16"/>
      <c r="Z70" s="16">
        <f t="shared" si="15"/>
        <v>0</v>
      </c>
      <c r="AA70" s="16">
        <f t="shared" si="9"/>
        <v>0</v>
      </c>
      <c r="AB70" s="16"/>
      <c r="AC70" s="17"/>
      <c r="AD70" s="51"/>
    </row>
    <row r="71" spans="1:30" ht="19.5" thickBot="1" x14ac:dyDescent="0.3">
      <c r="A71" s="14">
        <v>4</v>
      </c>
      <c r="B71" s="15"/>
      <c r="C71" s="15" t="e">
        <f>VLOOKUP(B71,داتا!$B$3:$D$107,2,FALSE)</f>
        <v>#N/A</v>
      </c>
      <c r="D71" s="34" t="e">
        <f>VLOOKUP(B71,داتا!$B$3:$D$107,3,FALSE)</f>
        <v>#N/A</v>
      </c>
      <c r="E71" s="15"/>
      <c r="F71" s="15"/>
      <c r="G71" s="16">
        <v>8.3333333333333329E-2</v>
      </c>
      <c r="H71" s="16" t="e">
        <f t="shared" si="16"/>
        <v>#N/A</v>
      </c>
      <c r="I71" s="16" t="e">
        <f t="shared" si="10"/>
        <v>#N/A</v>
      </c>
      <c r="J71" s="16"/>
      <c r="K71" s="16"/>
      <c r="L71" s="16"/>
      <c r="M71" s="16"/>
      <c r="N71" s="16">
        <f t="shared" si="11"/>
        <v>0</v>
      </c>
      <c r="O71" s="16" t="e">
        <f t="shared" si="12"/>
        <v>#N/A</v>
      </c>
      <c r="P71" s="16">
        <v>6.9444444444444397E-3</v>
      </c>
      <c r="Q71" s="16"/>
      <c r="R71" s="16">
        <f t="shared" si="13"/>
        <v>-6.9444444444444397E-3</v>
      </c>
      <c r="S71" s="16"/>
      <c r="T71" s="16" t="e">
        <f>VLOOKUP(E71,'[2]21-3-2026'!E$3:T$35,16,FALSE)</f>
        <v>#N/A</v>
      </c>
      <c r="U71" s="16"/>
      <c r="V71" s="16" t="e">
        <f t="shared" si="14"/>
        <v>#N/A</v>
      </c>
      <c r="W71" s="16"/>
      <c r="X71" s="16"/>
      <c r="Y71" s="16"/>
      <c r="Z71" s="16">
        <f t="shared" si="15"/>
        <v>0</v>
      </c>
      <c r="AA71" s="16">
        <f t="shared" si="9"/>
        <v>0</v>
      </c>
      <c r="AB71" s="16"/>
      <c r="AC71" s="17"/>
      <c r="AD71" s="51"/>
    </row>
    <row r="72" spans="1:30" ht="19.5" thickBot="1" x14ac:dyDescent="0.3">
      <c r="A72" s="14">
        <v>5</v>
      </c>
      <c r="B72" s="15"/>
      <c r="C72" s="15" t="e">
        <f>VLOOKUP(B72,داتا!$B$3:$D$107,2,FALSE)</f>
        <v>#N/A</v>
      </c>
      <c r="D72" s="34" t="e">
        <f>VLOOKUP(B72,داتا!$B$3:$D$107,3,FALSE)</f>
        <v>#N/A</v>
      </c>
      <c r="E72" s="15"/>
      <c r="F72" s="15"/>
      <c r="G72" s="16">
        <v>8.3333333333333329E-2</v>
      </c>
      <c r="H72" s="16" t="e">
        <f t="shared" si="16"/>
        <v>#N/A</v>
      </c>
      <c r="I72" s="16" t="e">
        <f t="shared" si="10"/>
        <v>#N/A</v>
      </c>
      <c r="J72" s="16"/>
      <c r="K72" s="16"/>
      <c r="L72" s="16"/>
      <c r="M72" s="16"/>
      <c r="N72" s="16">
        <f t="shared" si="11"/>
        <v>0</v>
      </c>
      <c r="O72" s="16" t="e">
        <f t="shared" si="12"/>
        <v>#N/A</v>
      </c>
      <c r="P72" s="16">
        <v>6.9444444444444397E-3</v>
      </c>
      <c r="Q72" s="16"/>
      <c r="R72" s="16">
        <f t="shared" si="13"/>
        <v>-6.9444444444444397E-3</v>
      </c>
      <c r="S72" s="16"/>
      <c r="T72" s="16" t="e">
        <f>VLOOKUP(E72,'[2]21-3-2026'!E$3:T$35,16,FALSE)</f>
        <v>#N/A</v>
      </c>
      <c r="U72" s="16"/>
      <c r="V72" s="16" t="e">
        <f t="shared" si="14"/>
        <v>#N/A</v>
      </c>
      <c r="W72" s="16"/>
      <c r="X72" s="16"/>
      <c r="Y72" s="16"/>
      <c r="Z72" s="16">
        <f t="shared" si="15"/>
        <v>0</v>
      </c>
      <c r="AA72" s="16">
        <f t="shared" si="9"/>
        <v>0</v>
      </c>
      <c r="AB72" s="16"/>
      <c r="AC72" s="17"/>
      <c r="AD72" s="51"/>
    </row>
    <row r="73" spans="1:30" ht="19.5" thickBot="1" x14ac:dyDescent="0.3">
      <c r="A73" s="14">
        <v>6</v>
      </c>
      <c r="B73" s="15"/>
      <c r="C73" s="15" t="e">
        <f>VLOOKUP(B73,داتا!$B$3:$D$107,2,FALSE)</f>
        <v>#N/A</v>
      </c>
      <c r="D73" s="34" t="e">
        <f>VLOOKUP(B73,داتا!$B$3:$D$107,3,FALSE)</f>
        <v>#N/A</v>
      </c>
      <c r="E73" s="15"/>
      <c r="F73" s="15"/>
      <c r="G73" s="16">
        <v>8.3333333333333329E-2</v>
      </c>
      <c r="H73" s="16" t="e">
        <f t="shared" si="16"/>
        <v>#N/A</v>
      </c>
      <c r="I73" s="16" t="e">
        <f t="shared" si="10"/>
        <v>#N/A</v>
      </c>
      <c r="J73" s="16"/>
      <c r="K73" s="16"/>
      <c r="L73" s="16"/>
      <c r="M73" s="16"/>
      <c r="N73" s="16">
        <f t="shared" si="11"/>
        <v>0</v>
      </c>
      <c r="O73" s="16" t="e">
        <f t="shared" si="12"/>
        <v>#N/A</v>
      </c>
      <c r="P73" s="16">
        <v>6.9444444444444397E-3</v>
      </c>
      <c r="Q73" s="16"/>
      <c r="R73" s="16">
        <f t="shared" si="13"/>
        <v>-6.9444444444444397E-3</v>
      </c>
      <c r="S73" s="16"/>
      <c r="T73" s="16" t="e">
        <f>VLOOKUP(E73,'[2]21-3-2026'!E$3:T$35,16,FALSE)</f>
        <v>#N/A</v>
      </c>
      <c r="U73" s="16"/>
      <c r="V73" s="16" t="e">
        <f t="shared" si="14"/>
        <v>#N/A</v>
      </c>
      <c r="W73" s="16"/>
      <c r="X73" s="16"/>
      <c r="Y73" s="16"/>
      <c r="Z73" s="16">
        <f t="shared" si="15"/>
        <v>0</v>
      </c>
      <c r="AA73" s="16">
        <f t="shared" si="9"/>
        <v>0</v>
      </c>
      <c r="AB73" s="16"/>
      <c r="AC73" s="17"/>
      <c r="AD73" s="51"/>
    </row>
    <row r="74" spans="1:30" ht="19.5" thickBot="1" x14ac:dyDescent="0.3">
      <c r="A74" s="14">
        <v>7</v>
      </c>
      <c r="B74" s="15"/>
      <c r="C74" s="15" t="e">
        <f>VLOOKUP(B74,داتا!$B$3:$D$107,2,FALSE)</f>
        <v>#N/A</v>
      </c>
      <c r="D74" s="34" t="e">
        <f>VLOOKUP(B74,داتا!$B$3:$D$107,3,FALSE)</f>
        <v>#N/A</v>
      </c>
      <c r="E74" s="15"/>
      <c r="F74" s="15"/>
      <c r="G74" s="16">
        <v>8.3333333333333329E-2</v>
      </c>
      <c r="H74" s="16" t="e">
        <f t="shared" si="16"/>
        <v>#N/A</v>
      </c>
      <c r="I74" s="16" t="e">
        <f t="shared" si="10"/>
        <v>#N/A</v>
      </c>
      <c r="J74" s="16"/>
      <c r="K74" s="16"/>
      <c r="L74" s="16"/>
      <c r="M74" s="16"/>
      <c r="N74" s="16">
        <f t="shared" si="11"/>
        <v>0</v>
      </c>
      <c r="O74" s="16" t="e">
        <f t="shared" si="12"/>
        <v>#N/A</v>
      </c>
      <c r="P74" s="16">
        <v>6.9444444444444397E-3</v>
      </c>
      <c r="Q74" s="16"/>
      <c r="R74" s="16">
        <f t="shared" si="13"/>
        <v>-6.9444444444444397E-3</v>
      </c>
      <c r="S74" s="16"/>
      <c r="T74" s="16" t="e">
        <f>VLOOKUP(E74,'[2]21-3-2026'!E$3:T$35,16,FALSE)</f>
        <v>#N/A</v>
      </c>
      <c r="U74" s="16"/>
      <c r="V74" s="16" t="e">
        <f t="shared" si="14"/>
        <v>#N/A</v>
      </c>
      <c r="W74" s="16"/>
      <c r="X74" s="16"/>
      <c r="Y74" s="16"/>
      <c r="Z74" s="16">
        <f t="shared" si="15"/>
        <v>0</v>
      </c>
      <c r="AA74" s="16">
        <f t="shared" si="9"/>
        <v>0</v>
      </c>
      <c r="AB74" s="16"/>
      <c r="AC74" s="17"/>
      <c r="AD74" s="51"/>
    </row>
    <row r="75" spans="1:30" ht="19.5" thickBot="1" x14ac:dyDescent="0.3">
      <c r="A75" s="14">
        <v>8</v>
      </c>
      <c r="B75" s="15"/>
      <c r="C75" s="15" t="e">
        <f>VLOOKUP(B75,داتا!$B$3:$D$107,2,FALSE)</f>
        <v>#N/A</v>
      </c>
      <c r="D75" s="34" t="e">
        <f>VLOOKUP(B75,داتا!$B$3:$D$107,3,FALSE)</f>
        <v>#N/A</v>
      </c>
      <c r="E75" s="15"/>
      <c r="F75" s="15"/>
      <c r="G75" s="16">
        <v>8.3333333333333329E-2</v>
      </c>
      <c r="H75" s="16" t="e">
        <f t="shared" si="16"/>
        <v>#N/A</v>
      </c>
      <c r="I75" s="16" t="e">
        <f t="shared" si="10"/>
        <v>#N/A</v>
      </c>
      <c r="J75" s="16"/>
      <c r="K75" s="16"/>
      <c r="L75" s="16"/>
      <c r="M75" s="16"/>
      <c r="N75" s="16">
        <f t="shared" si="11"/>
        <v>0</v>
      </c>
      <c r="O75" s="16" t="e">
        <f t="shared" si="12"/>
        <v>#N/A</v>
      </c>
      <c r="P75" s="16">
        <v>6.9444444444444397E-3</v>
      </c>
      <c r="Q75" s="16"/>
      <c r="R75" s="16">
        <f t="shared" si="13"/>
        <v>-6.9444444444444397E-3</v>
      </c>
      <c r="S75" s="16"/>
      <c r="T75" s="16" t="e">
        <f>VLOOKUP(E75,'[2]21-3-2026'!E$3:T$35,16,FALSE)</f>
        <v>#N/A</v>
      </c>
      <c r="U75" s="16"/>
      <c r="V75" s="16" t="e">
        <f t="shared" si="14"/>
        <v>#N/A</v>
      </c>
      <c r="W75" s="16"/>
      <c r="X75" s="16"/>
      <c r="Y75" s="16"/>
      <c r="Z75" s="16">
        <f t="shared" si="15"/>
        <v>0</v>
      </c>
      <c r="AA75" s="16">
        <f t="shared" si="9"/>
        <v>0</v>
      </c>
      <c r="AB75" s="16"/>
      <c r="AC75" s="17"/>
      <c r="AD75" s="51"/>
    </row>
    <row r="76" spans="1:30" ht="19.5" thickBot="1" x14ac:dyDescent="0.3">
      <c r="A76" s="14">
        <v>9</v>
      </c>
      <c r="B76" s="15"/>
      <c r="C76" s="15" t="e">
        <f>VLOOKUP(B76,داتا!$B$3:$D$107,2,FALSE)</f>
        <v>#N/A</v>
      </c>
      <c r="D76" s="34" t="e">
        <f>VLOOKUP(B76,داتا!$B$3:$D$107,3,FALSE)</f>
        <v>#N/A</v>
      </c>
      <c r="E76" s="16"/>
      <c r="F76" s="15"/>
      <c r="G76" s="16">
        <v>8.3333333333333329E-2</v>
      </c>
      <c r="H76" s="16" t="e">
        <f t="shared" si="16"/>
        <v>#N/A</v>
      </c>
      <c r="I76" s="16" t="e">
        <f t="shared" si="10"/>
        <v>#N/A</v>
      </c>
      <c r="J76" s="16"/>
      <c r="K76" s="16"/>
      <c r="L76" s="16"/>
      <c r="M76" s="16"/>
      <c r="N76" s="16">
        <f t="shared" si="11"/>
        <v>0</v>
      </c>
      <c r="O76" s="16" t="e">
        <f t="shared" si="12"/>
        <v>#N/A</v>
      </c>
      <c r="P76" s="16">
        <v>6.9444444444444397E-3</v>
      </c>
      <c r="Q76" s="16"/>
      <c r="R76" s="16">
        <f t="shared" si="13"/>
        <v>-6.9444444444444397E-3</v>
      </c>
      <c r="S76" s="16"/>
      <c r="T76" s="16" t="e">
        <f>VLOOKUP(E76,'[2]21-3-2026'!E$3:T$35,16,FALSE)</f>
        <v>#N/A</v>
      </c>
      <c r="U76" s="16"/>
      <c r="V76" s="16" t="e">
        <f t="shared" si="14"/>
        <v>#N/A</v>
      </c>
      <c r="W76" s="16"/>
      <c r="X76" s="16"/>
      <c r="Y76" s="16"/>
      <c r="Z76" s="16">
        <f t="shared" si="15"/>
        <v>0</v>
      </c>
      <c r="AA76" s="16">
        <f t="shared" si="9"/>
        <v>0</v>
      </c>
      <c r="AB76" s="16"/>
      <c r="AC76" s="17"/>
      <c r="AD76" s="51"/>
    </row>
    <row r="77" spans="1:30" ht="19.5" thickBot="1" x14ac:dyDescent="0.3">
      <c r="A77" s="14">
        <v>10</v>
      </c>
      <c r="B77" s="15"/>
      <c r="C77" s="15" t="e">
        <f>VLOOKUP(B77,داتا!$B$3:$D$107,2,FALSE)</f>
        <v>#N/A</v>
      </c>
      <c r="D77" s="34" t="e">
        <f>VLOOKUP(B77,داتا!$B$3:$D$107,3,FALSE)</f>
        <v>#N/A</v>
      </c>
      <c r="E77" s="15"/>
      <c r="F77" s="15"/>
      <c r="G77" s="16">
        <v>8.3333333333333329E-2</v>
      </c>
      <c r="H77" s="16" t="e">
        <f t="shared" si="16"/>
        <v>#N/A</v>
      </c>
      <c r="I77" s="16" t="e">
        <f t="shared" si="10"/>
        <v>#N/A</v>
      </c>
      <c r="J77" s="16"/>
      <c r="K77" s="16"/>
      <c r="L77" s="16"/>
      <c r="M77" s="16"/>
      <c r="N77" s="16">
        <f t="shared" si="11"/>
        <v>0</v>
      </c>
      <c r="O77" s="16" t="e">
        <f t="shared" si="12"/>
        <v>#N/A</v>
      </c>
      <c r="P77" s="16">
        <v>6.9444444444444397E-3</v>
      </c>
      <c r="Q77" s="16"/>
      <c r="R77" s="16">
        <f t="shared" si="13"/>
        <v>-6.9444444444444397E-3</v>
      </c>
      <c r="S77" s="16"/>
      <c r="T77" s="16" t="e">
        <f>VLOOKUP(E77,'[2]21-3-2026'!E$3:T$35,16,FALSE)</f>
        <v>#N/A</v>
      </c>
      <c r="U77" s="16"/>
      <c r="V77" s="16" t="e">
        <f t="shared" si="14"/>
        <v>#N/A</v>
      </c>
      <c r="W77" s="16"/>
      <c r="X77" s="16"/>
      <c r="Y77" s="16"/>
      <c r="Z77" s="16">
        <f t="shared" si="15"/>
        <v>0</v>
      </c>
      <c r="AA77" s="16">
        <f t="shared" si="9"/>
        <v>0</v>
      </c>
      <c r="AB77" s="16"/>
      <c r="AC77" s="17"/>
      <c r="AD77" s="51"/>
    </row>
    <row r="78" spans="1:30" ht="19.5" thickBot="1" x14ac:dyDescent="0.3">
      <c r="A78" s="14">
        <v>11</v>
      </c>
      <c r="B78" s="15"/>
      <c r="C78" s="15" t="e">
        <f>VLOOKUP(B78,داتا!$B$3:$D$107,2,FALSE)</f>
        <v>#N/A</v>
      </c>
      <c r="D78" s="34" t="e">
        <f>VLOOKUP(B78,داتا!$B$3:$D$107,3,FALSE)</f>
        <v>#N/A</v>
      </c>
      <c r="E78" s="15"/>
      <c r="F78" s="15"/>
      <c r="G78" s="16">
        <v>8.3333333333333329E-2</v>
      </c>
      <c r="H78" s="16" t="e">
        <f t="shared" si="16"/>
        <v>#N/A</v>
      </c>
      <c r="I78" s="16" t="e">
        <f t="shared" si="10"/>
        <v>#N/A</v>
      </c>
      <c r="J78" s="16"/>
      <c r="K78" s="16"/>
      <c r="L78" s="16"/>
      <c r="M78" s="16"/>
      <c r="N78" s="16">
        <f t="shared" si="11"/>
        <v>0</v>
      </c>
      <c r="O78" s="16" t="e">
        <f t="shared" si="12"/>
        <v>#N/A</v>
      </c>
      <c r="P78" s="16">
        <v>6.9444444444444397E-3</v>
      </c>
      <c r="Q78" s="16"/>
      <c r="R78" s="16">
        <f t="shared" si="13"/>
        <v>-6.9444444444444397E-3</v>
      </c>
      <c r="S78" s="16"/>
      <c r="T78" s="16" t="e">
        <f>VLOOKUP(E78,'[2]21-3-2026'!E$3:T$35,16,FALSE)</f>
        <v>#N/A</v>
      </c>
      <c r="U78" s="16"/>
      <c r="V78" s="16" t="e">
        <f t="shared" si="14"/>
        <v>#N/A</v>
      </c>
      <c r="W78" s="16"/>
      <c r="X78" s="16"/>
      <c r="Y78" s="16"/>
      <c r="Z78" s="16">
        <f t="shared" si="15"/>
        <v>0</v>
      </c>
      <c r="AA78" s="16">
        <f t="shared" si="9"/>
        <v>0</v>
      </c>
      <c r="AB78" s="16"/>
      <c r="AC78" s="17"/>
      <c r="AD78" s="51"/>
    </row>
    <row r="79" spans="1:30" ht="19.5" thickBot="1" x14ac:dyDescent="0.3">
      <c r="A79" s="14">
        <v>12</v>
      </c>
      <c r="B79" s="15"/>
      <c r="C79" s="15" t="e">
        <f>VLOOKUP(B79,داتا!$B$3:$D$107,2,FALSE)</f>
        <v>#N/A</v>
      </c>
      <c r="D79" s="34" t="e">
        <f>VLOOKUP(B79,داتا!$B$3:$D$107,3,FALSE)</f>
        <v>#N/A</v>
      </c>
      <c r="E79" s="15"/>
      <c r="F79" s="15"/>
      <c r="G79" s="16">
        <v>8.3333333333333329E-2</v>
      </c>
      <c r="H79" s="16" t="e">
        <f t="shared" si="16"/>
        <v>#N/A</v>
      </c>
      <c r="I79" s="16" t="e">
        <f t="shared" si="10"/>
        <v>#N/A</v>
      </c>
      <c r="J79" s="16"/>
      <c r="K79" s="16"/>
      <c r="L79" s="16"/>
      <c r="M79" s="16"/>
      <c r="N79" s="16">
        <f t="shared" si="11"/>
        <v>0</v>
      </c>
      <c r="O79" s="16" t="e">
        <f t="shared" si="12"/>
        <v>#N/A</v>
      </c>
      <c r="P79" s="16">
        <v>6.9444444444444397E-3</v>
      </c>
      <c r="Q79" s="16"/>
      <c r="R79" s="16">
        <f t="shared" si="13"/>
        <v>-6.9444444444444397E-3</v>
      </c>
      <c r="S79" s="16"/>
      <c r="T79" s="16" t="e">
        <f>VLOOKUP(E79,'[2]21-3-2026'!E$3:T$35,16,FALSE)</f>
        <v>#N/A</v>
      </c>
      <c r="U79" s="16"/>
      <c r="V79" s="16" t="e">
        <f t="shared" si="14"/>
        <v>#N/A</v>
      </c>
      <c r="W79" s="16"/>
      <c r="X79" s="16"/>
      <c r="Y79" s="16"/>
      <c r="Z79" s="16">
        <f t="shared" si="15"/>
        <v>0</v>
      </c>
      <c r="AA79" s="16">
        <f t="shared" si="9"/>
        <v>0</v>
      </c>
      <c r="AB79" s="16"/>
      <c r="AC79" s="17"/>
      <c r="AD79" s="51"/>
    </row>
    <row r="80" spans="1:30" ht="19.5" thickBot="1" x14ac:dyDescent="0.3">
      <c r="A80" s="14">
        <v>13</v>
      </c>
      <c r="B80" s="15"/>
      <c r="C80" s="15" t="e">
        <f>VLOOKUP(B80,داتا!$B$3:$D$107,2,FALSE)</f>
        <v>#N/A</v>
      </c>
      <c r="D80" s="34" t="e">
        <f>VLOOKUP(B80,داتا!$B$3:$D$107,3,FALSE)</f>
        <v>#N/A</v>
      </c>
      <c r="E80" s="15"/>
      <c r="F80" s="15"/>
      <c r="G80" s="16">
        <v>8.3333333333333329E-2</v>
      </c>
      <c r="H80" s="16" t="e">
        <f t="shared" si="16"/>
        <v>#N/A</v>
      </c>
      <c r="I80" s="16" t="e">
        <f t="shared" si="10"/>
        <v>#N/A</v>
      </c>
      <c r="J80" s="16"/>
      <c r="K80" s="16"/>
      <c r="L80" s="16"/>
      <c r="M80" s="16"/>
      <c r="N80" s="16">
        <f t="shared" si="11"/>
        <v>0</v>
      </c>
      <c r="O80" s="16" t="e">
        <f t="shared" si="12"/>
        <v>#N/A</v>
      </c>
      <c r="P80" s="16">
        <v>6.9444444444444397E-3</v>
      </c>
      <c r="Q80" s="16"/>
      <c r="R80" s="16">
        <f t="shared" si="13"/>
        <v>-6.9444444444444397E-3</v>
      </c>
      <c r="S80" s="16"/>
      <c r="T80" s="16" t="e">
        <f>VLOOKUP(E80,'[2]21-3-2026'!E$3:T$35,16,FALSE)</f>
        <v>#N/A</v>
      </c>
      <c r="U80" s="16"/>
      <c r="V80" s="16" t="e">
        <f t="shared" si="14"/>
        <v>#N/A</v>
      </c>
      <c r="W80" s="16"/>
      <c r="X80" s="16"/>
      <c r="Y80" s="16"/>
      <c r="Z80" s="16">
        <f t="shared" si="15"/>
        <v>0</v>
      </c>
      <c r="AA80" s="16">
        <f t="shared" si="9"/>
        <v>0</v>
      </c>
      <c r="AB80" s="16"/>
      <c r="AC80" s="17"/>
      <c r="AD80" s="51"/>
    </row>
    <row r="81" spans="1:30" ht="19.5" thickBot="1" x14ac:dyDescent="0.3">
      <c r="A81" s="14">
        <v>14</v>
      </c>
      <c r="B81" s="15"/>
      <c r="C81" s="15" t="e">
        <f>VLOOKUP(B81,داتا!$B$3:$D$107,2,FALSE)</f>
        <v>#N/A</v>
      </c>
      <c r="D81" s="34" t="e">
        <f>VLOOKUP(B81,داتا!$B$3:$D$107,3,FALSE)</f>
        <v>#N/A</v>
      </c>
      <c r="E81" s="15"/>
      <c r="F81" s="15"/>
      <c r="G81" s="16">
        <v>8.3333333333333329E-2</v>
      </c>
      <c r="H81" s="16" t="e">
        <f t="shared" si="16"/>
        <v>#N/A</v>
      </c>
      <c r="I81" s="16" t="e">
        <f t="shared" si="10"/>
        <v>#N/A</v>
      </c>
      <c r="J81" s="16"/>
      <c r="K81" s="16"/>
      <c r="L81" s="16"/>
      <c r="M81" s="16"/>
      <c r="N81" s="16">
        <f t="shared" si="11"/>
        <v>0</v>
      </c>
      <c r="O81" s="16" t="e">
        <f t="shared" si="12"/>
        <v>#N/A</v>
      </c>
      <c r="P81" s="16">
        <v>6.9444444444444397E-3</v>
      </c>
      <c r="Q81" s="16"/>
      <c r="R81" s="16">
        <f t="shared" si="13"/>
        <v>-6.9444444444444397E-3</v>
      </c>
      <c r="S81" s="16"/>
      <c r="T81" s="16" t="e">
        <f>VLOOKUP(E81,'[2]21-3-2026'!E$3:T$35,16,FALSE)</f>
        <v>#N/A</v>
      </c>
      <c r="U81" s="16"/>
      <c r="V81" s="16" t="e">
        <f t="shared" si="14"/>
        <v>#N/A</v>
      </c>
      <c r="W81" s="16"/>
      <c r="X81" s="16"/>
      <c r="Y81" s="16"/>
      <c r="Z81" s="16">
        <f t="shared" si="15"/>
        <v>0</v>
      </c>
      <c r="AA81" s="16">
        <f t="shared" si="9"/>
        <v>0</v>
      </c>
      <c r="AB81" s="16"/>
      <c r="AC81" s="17"/>
      <c r="AD81" s="51"/>
    </row>
    <row r="82" spans="1:30" ht="19.5" thickBot="1" x14ac:dyDescent="0.3">
      <c r="A82" s="14">
        <v>15</v>
      </c>
      <c r="B82" s="15"/>
      <c r="C82" s="15" t="e">
        <f>VLOOKUP(B82,داتا!$B$3:$D$107,2,FALSE)</f>
        <v>#N/A</v>
      </c>
      <c r="D82" s="34" t="e">
        <f>VLOOKUP(B82,داتا!$B$3:$D$107,3,FALSE)</f>
        <v>#N/A</v>
      </c>
      <c r="E82" s="15"/>
      <c r="F82" s="15"/>
      <c r="G82" s="16">
        <v>8.3333333333333329E-2</v>
      </c>
      <c r="H82" s="16" t="e">
        <f t="shared" si="16"/>
        <v>#N/A</v>
      </c>
      <c r="I82" s="16" t="e">
        <f t="shared" si="10"/>
        <v>#N/A</v>
      </c>
      <c r="J82" s="16"/>
      <c r="K82" s="16"/>
      <c r="L82" s="16"/>
      <c r="M82" s="16"/>
      <c r="N82" s="16">
        <f t="shared" si="11"/>
        <v>0</v>
      </c>
      <c r="O82" s="16" t="e">
        <f t="shared" si="12"/>
        <v>#N/A</v>
      </c>
      <c r="P82" s="16">
        <v>6.9444444444444397E-3</v>
      </c>
      <c r="Q82" s="16"/>
      <c r="R82" s="16">
        <f t="shared" si="13"/>
        <v>-6.9444444444444397E-3</v>
      </c>
      <c r="S82" s="16"/>
      <c r="T82" s="16" t="e">
        <f>VLOOKUP(E82,'[2]21-3-2026'!E$3:T$35,16,FALSE)</f>
        <v>#N/A</v>
      </c>
      <c r="U82" s="16"/>
      <c r="V82" s="16" t="e">
        <f t="shared" si="14"/>
        <v>#N/A</v>
      </c>
      <c r="W82" s="16"/>
      <c r="X82" s="16"/>
      <c r="Y82" s="16"/>
      <c r="Z82" s="16">
        <f t="shared" si="15"/>
        <v>0</v>
      </c>
      <c r="AA82" s="16">
        <f t="shared" si="9"/>
        <v>0</v>
      </c>
      <c r="AB82" s="16"/>
      <c r="AC82" s="17"/>
      <c r="AD82" s="51"/>
    </row>
    <row r="83" spans="1:30" ht="19.5" thickBot="1" x14ac:dyDescent="0.3">
      <c r="A83" s="14">
        <v>16</v>
      </c>
      <c r="B83" s="15"/>
      <c r="C83" s="15" t="e">
        <f>VLOOKUP(B83,داتا!$B$3:$D$107,2,FALSE)</f>
        <v>#N/A</v>
      </c>
      <c r="D83" s="34" t="e">
        <f>VLOOKUP(B83,داتا!$B$3:$D$107,3,FALSE)</f>
        <v>#N/A</v>
      </c>
      <c r="E83" s="15"/>
      <c r="F83" s="15"/>
      <c r="G83" s="16">
        <v>8.3333333333333329E-2</v>
      </c>
      <c r="H83" s="16" t="e">
        <f t="shared" si="16"/>
        <v>#N/A</v>
      </c>
      <c r="I83" s="16" t="e">
        <f t="shared" si="10"/>
        <v>#N/A</v>
      </c>
      <c r="J83" s="16"/>
      <c r="K83" s="16"/>
      <c r="L83" s="16"/>
      <c r="M83" s="16"/>
      <c r="N83" s="16">
        <f t="shared" si="11"/>
        <v>0</v>
      </c>
      <c r="O83" s="16" t="e">
        <f t="shared" si="12"/>
        <v>#N/A</v>
      </c>
      <c r="P83" s="16">
        <v>6.9444444444444397E-3</v>
      </c>
      <c r="Q83" s="16"/>
      <c r="R83" s="16">
        <f t="shared" si="13"/>
        <v>-6.9444444444444397E-3</v>
      </c>
      <c r="S83" s="16"/>
      <c r="T83" s="16" t="e">
        <f>VLOOKUP(E83,'[2]21-3-2026'!E$3:T$35,16,FALSE)</f>
        <v>#N/A</v>
      </c>
      <c r="U83" s="16"/>
      <c r="V83" s="16" t="e">
        <f t="shared" si="14"/>
        <v>#N/A</v>
      </c>
      <c r="W83" s="16"/>
      <c r="X83" s="16"/>
      <c r="Y83" s="16"/>
      <c r="Z83" s="16">
        <f t="shared" si="15"/>
        <v>0</v>
      </c>
      <c r="AA83" s="16">
        <f t="shared" si="9"/>
        <v>0</v>
      </c>
      <c r="AB83" s="16"/>
      <c r="AC83" s="17"/>
      <c r="AD83" s="51"/>
    </row>
    <row r="84" spans="1:30" ht="19.5" thickBot="1" x14ac:dyDescent="0.3">
      <c r="A84" s="14">
        <v>17</v>
      </c>
      <c r="B84" s="15"/>
      <c r="C84" s="15" t="e">
        <f>VLOOKUP(B84,داتا!$B$3:$D$107,2,FALSE)</f>
        <v>#N/A</v>
      </c>
      <c r="D84" s="34" t="e">
        <f>VLOOKUP(B84,داتا!$B$3:$D$107,3,FALSE)</f>
        <v>#N/A</v>
      </c>
      <c r="E84" s="15"/>
      <c r="F84" s="15"/>
      <c r="G84" s="16">
        <v>8.3333333333333329E-2</v>
      </c>
      <c r="H84" s="16" t="e">
        <f t="shared" si="16"/>
        <v>#N/A</v>
      </c>
      <c r="I84" s="16" t="e">
        <f t="shared" si="10"/>
        <v>#N/A</v>
      </c>
      <c r="J84" s="16"/>
      <c r="K84" s="16"/>
      <c r="L84" s="16"/>
      <c r="M84" s="16"/>
      <c r="N84" s="16">
        <f t="shared" si="11"/>
        <v>0</v>
      </c>
      <c r="O84" s="16" t="e">
        <f t="shared" si="12"/>
        <v>#N/A</v>
      </c>
      <c r="P84" s="16">
        <v>6.9444444444444397E-3</v>
      </c>
      <c r="Q84" s="16"/>
      <c r="R84" s="16">
        <f t="shared" si="13"/>
        <v>-6.9444444444444397E-3</v>
      </c>
      <c r="S84" s="16"/>
      <c r="T84" s="16" t="e">
        <f>VLOOKUP(E84,'[2]21-3-2026'!E$3:T$35,16,FALSE)</f>
        <v>#N/A</v>
      </c>
      <c r="U84" s="16"/>
      <c r="V84" s="16" t="e">
        <f t="shared" si="14"/>
        <v>#N/A</v>
      </c>
      <c r="W84" s="16"/>
      <c r="X84" s="16"/>
      <c r="Y84" s="16"/>
      <c r="Z84" s="16">
        <f t="shared" si="15"/>
        <v>0</v>
      </c>
      <c r="AA84" s="16">
        <f t="shared" si="9"/>
        <v>0</v>
      </c>
      <c r="AB84" s="16"/>
      <c r="AC84" s="17"/>
      <c r="AD84" s="51"/>
    </row>
    <row r="85" spans="1:30" ht="19.5" thickBot="1" x14ac:dyDescent="0.3">
      <c r="A85" s="14">
        <v>18</v>
      </c>
      <c r="B85" s="15"/>
      <c r="C85" s="15" t="e">
        <f>VLOOKUP(B85,داتا!$B$3:$D$107,2,FALSE)</f>
        <v>#N/A</v>
      </c>
      <c r="D85" s="34" t="e">
        <f>VLOOKUP(B85,داتا!$B$3:$D$107,3,FALSE)</f>
        <v>#N/A</v>
      </c>
      <c r="E85" s="15"/>
      <c r="F85" s="15"/>
      <c r="G85" s="16">
        <v>8.3333333333333329E-2</v>
      </c>
      <c r="H85" s="16" t="e">
        <f t="shared" ref="H85:H99" si="17">VLOOKUP(G85,$F$3:$I$35,2,FALSE)</f>
        <v>#N/A</v>
      </c>
      <c r="I85" s="16" t="e">
        <f t="shared" si="10"/>
        <v>#N/A</v>
      </c>
      <c r="J85" s="16"/>
      <c r="K85" s="16"/>
      <c r="L85" s="16"/>
      <c r="M85" s="16"/>
      <c r="N85" s="16">
        <f t="shared" si="11"/>
        <v>0</v>
      </c>
      <c r="O85" s="16" t="e">
        <f t="shared" si="12"/>
        <v>#N/A</v>
      </c>
      <c r="P85" s="16">
        <v>6.9444444444444397E-3</v>
      </c>
      <c r="Q85" s="16"/>
      <c r="R85" s="16">
        <f t="shared" si="13"/>
        <v>-6.9444444444444397E-3</v>
      </c>
      <c r="S85" s="16"/>
      <c r="T85" s="16" t="e">
        <f>VLOOKUP(E85,'[2]21-3-2026'!E$3:T$35,16,FALSE)</f>
        <v>#N/A</v>
      </c>
      <c r="U85" s="16"/>
      <c r="V85" s="16" t="e">
        <f t="shared" si="14"/>
        <v>#N/A</v>
      </c>
      <c r="W85" s="16"/>
      <c r="X85" s="16"/>
      <c r="Y85" s="16"/>
      <c r="Z85" s="16">
        <f t="shared" si="15"/>
        <v>0</v>
      </c>
      <c r="AA85" s="16">
        <f t="shared" si="9"/>
        <v>0</v>
      </c>
      <c r="AB85" s="16"/>
      <c r="AC85" s="17"/>
      <c r="AD85" s="51"/>
    </row>
    <row r="86" spans="1:30" ht="19.5" thickBot="1" x14ac:dyDescent="0.3">
      <c r="A86" s="14">
        <v>19</v>
      </c>
      <c r="B86" s="15"/>
      <c r="C86" s="15" t="e">
        <f>VLOOKUP(B86,داتا!$B$3:$D$107,2,FALSE)</f>
        <v>#N/A</v>
      </c>
      <c r="D86" s="34" t="e">
        <f>VLOOKUP(B86,داتا!$B$3:$D$107,3,FALSE)</f>
        <v>#N/A</v>
      </c>
      <c r="E86" s="15"/>
      <c r="F86" s="15"/>
      <c r="G86" s="16">
        <v>8.3333333333333329E-2</v>
      </c>
      <c r="H86" s="16" t="e">
        <f t="shared" si="17"/>
        <v>#N/A</v>
      </c>
      <c r="I86" s="16" t="e">
        <f t="shared" si="10"/>
        <v>#N/A</v>
      </c>
      <c r="J86" s="16"/>
      <c r="K86" s="16"/>
      <c r="L86" s="16"/>
      <c r="M86" s="16"/>
      <c r="N86" s="16">
        <f t="shared" si="11"/>
        <v>0</v>
      </c>
      <c r="O86" s="16" t="e">
        <f t="shared" si="12"/>
        <v>#N/A</v>
      </c>
      <c r="P86" s="16">
        <v>6.9444444444444397E-3</v>
      </c>
      <c r="Q86" s="16"/>
      <c r="R86" s="16">
        <f t="shared" si="13"/>
        <v>-6.9444444444444397E-3</v>
      </c>
      <c r="S86" s="16"/>
      <c r="T86" s="16" t="e">
        <f>VLOOKUP(E86,'[2]21-3-2026'!E$3:T$35,16,FALSE)</f>
        <v>#N/A</v>
      </c>
      <c r="U86" s="16"/>
      <c r="V86" s="16" t="e">
        <f t="shared" si="14"/>
        <v>#N/A</v>
      </c>
      <c r="W86" s="16"/>
      <c r="X86" s="16"/>
      <c r="Y86" s="16"/>
      <c r="Z86" s="16">
        <f t="shared" si="15"/>
        <v>0</v>
      </c>
      <c r="AA86" s="16">
        <f t="shared" si="9"/>
        <v>0</v>
      </c>
      <c r="AB86" s="16"/>
      <c r="AC86" s="17"/>
      <c r="AD86" s="51"/>
    </row>
    <row r="87" spans="1:30" ht="19.5" thickBot="1" x14ac:dyDescent="0.3">
      <c r="A87" s="14">
        <v>20</v>
      </c>
      <c r="B87" s="15"/>
      <c r="C87" s="15" t="e">
        <f>VLOOKUP(B87,داتا!$B$3:$D$107,2,FALSE)</f>
        <v>#N/A</v>
      </c>
      <c r="D87" s="34" t="e">
        <f>VLOOKUP(B87,داتا!$B$3:$D$107,3,FALSE)</f>
        <v>#N/A</v>
      </c>
      <c r="E87" s="15"/>
      <c r="F87" s="15"/>
      <c r="G87" s="16">
        <v>8.3333333333333329E-2</v>
      </c>
      <c r="H87" s="16" t="e">
        <f t="shared" si="17"/>
        <v>#N/A</v>
      </c>
      <c r="I87" s="16" t="e">
        <f t="shared" si="10"/>
        <v>#N/A</v>
      </c>
      <c r="J87" s="16"/>
      <c r="K87" s="16"/>
      <c r="L87" s="16"/>
      <c r="M87" s="16"/>
      <c r="N87" s="16">
        <f t="shared" si="11"/>
        <v>0</v>
      </c>
      <c r="O87" s="16" t="e">
        <f t="shared" si="12"/>
        <v>#N/A</v>
      </c>
      <c r="P87" s="16">
        <v>6.9444444444444397E-3</v>
      </c>
      <c r="Q87" s="16"/>
      <c r="R87" s="16">
        <f t="shared" si="13"/>
        <v>-6.9444444444444397E-3</v>
      </c>
      <c r="S87" s="16"/>
      <c r="T87" s="16" t="e">
        <f>VLOOKUP(E87,'[2]21-3-2026'!E$3:T$35,16,FALSE)</f>
        <v>#N/A</v>
      </c>
      <c r="U87" s="16"/>
      <c r="V87" s="16" t="e">
        <f t="shared" si="14"/>
        <v>#N/A</v>
      </c>
      <c r="W87" s="16"/>
      <c r="X87" s="16"/>
      <c r="Y87" s="16"/>
      <c r="Z87" s="16">
        <f t="shared" si="15"/>
        <v>0</v>
      </c>
      <c r="AA87" s="16">
        <f t="shared" si="9"/>
        <v>0</v>
      </c>
      <c r="AB87" s="16"/>
      <c r="AC87" s="17"/>
      <c r="AD87" s="51"/>
    </row>
    <row r="88" spans="1:30" ht="19.5" thickBot="1" x14ac:dyDescent="0.3">
      <c r="A88" s="14">
        <v>21</v>
      </c>
      <c r="B88" s="15"/>
      <c r="C88" s="15" t="e">
        <f>VLOOKUP(B88,داتا!$B$3:$D$107,2,FALSE)</f>
        <v>#N/A</v>
      </c>
      <c r="D88" s="34" t="e">
        <f>VLOOKUP(B88,داتا!$B$3:$D$107,3,FALSE)</f>
        <v>#N/A</v>
      </c>
      <c r="E88" s="15"/>
      <c r="F88" s="15"/>
      <c r="G88" s="16">
        <v>8.3333333333333329E-2</v>
      </c>
      <c r="H88" s="16" t="e">
        <f t="shared" si="17"/>
        <v>#N/A</v>
      </c>
      <c r="I88" s="16" t="e">
        <f t="shared" si="10"/>
        <v>#N/A</v>
      </c>
      <c r="J88" s="16"/>
      <c r="K88" s="16"/>
      <c r="L88" s="16"/>
      <c r="M88" s="16"/>
      <c r="N88" s="16">
        <f t="shared" si="11"/>
        <v>0</v>
      </c>
      <c r="O88" s="16" t="e">
        <f t="shared" si="12"/>
        <v>#N/A</v>
      </c>
      <c r="P88" s="16">
        <v>6.9444444444444397E-3</v>
      </c>
      <c r="Q88" s="16"/>
      <c r="R88" s="16">
        <f t="shared" si="13"/>
        <v>-6.9444444444444397E-3</v>
      </c>
      <c r="S88" s="16"/>
      <c r="T88" s="16" t="e">
        <f>VLOOKUP(E88,'[2]21-3-2026'!E$3:T$35,16,FALSE)</f>
        <v>#N/A</v>
      </c>
      <c r="U88" s="16"/>
      <c r="V88" s="16" t="e">
        <f t="shared" si="14"/>
        <v>#N/A</v>
      </c>
      <c r="W88" s="16"/>
      <c r="X88" s="16"/>
      <c r="Y88" s="16"/>
      <c r="Z88" s="16">
        <f t="shared" si="15"/>
        <v>0</v>
      </c>
      <c r="AA88" s="16">
        <f t="shared" si="9"/>
        <v>0</v>
      </c>
      <c r="AB88" s="16"/>
      <c r="AC88" s="19"/>
      <c r="AD88" s="51"/>
    </row>
    <row r="89" spans="1:30" ht="19.5" thickBot="1" x14ac:dyDescent="0.3">
      <c r="A89" s="14">
        <v>22</v>
      </c>
      <c r="B89" s="15"/>
      <c r="C89" s="15" t="e">
        <f>VLOOKUP(B89,داتا!$B$3:$D$107,2,FALSE)</f>
        <v>#N/A</v>
      </c>
      <c r="D89" s="34" t="e">
        <f>VLOOKUP(B89,داتا!$B$3:$D$107,3,FALSE)</f>
        <v>#N/A</v>
      </c>
      <c r="E89" s="15"/>
      <c r="F89" s="15"/>
      <c r="G89" s="16">
        <v>8.3333333333333329E-2</v>
      </c>
      <c r="H89" s="16" t="e">
        <f t="shared" si="17"/>
        <v>#N/A</v>
      </c>
      <c r="I89" s="16" t="e">
        <f t="shared" si="10"/>
        <v>#N/A</v>
      </c>
      <c r="J89" s="16"/>
      <c r="K89" s="16"/>
      <c r="L89" s="16"/>
      <c r="M89" s="16"/>
      <c r="N89" s="16">
        <f t="shared" si="11"/>
        <v>0</v>
      </c>
      <c r="O89" s="16" t="e">
        <f t="shared" si="12"/>
        <v>#N/A</v>
      </c>
      <c r="P89" s="16">
        <v>6.9444444444444397E-3</v>
      </c>
      <c r="Q89" s="16"/>
      <c r="R89" s="16">
        <f t="shared" si="13"/>
        <v>-6.9444444444444397E-3</v>
      </c>
      <c r="S89" s="16"/>
      <c r="T89" s="16" t="e">
        <f>VLOOKUP(E89,'[2]21-3-2026'!E$3:T$35,16,FALSE)</f>
        <v>#N/A</v>
      </c>
      <c r="U89" s="16"/>
      <c r="V89" s="16" t="e">
        <f t="shared" si="14"/>
        <v>#N/A</v>
      </c>
      <c r="W89" s="16"/>
      <c r="X89" s="16"/>
      <c r="Y89" s="16"/>
      <c r="Z89" s="16">
        <f t="shared" si="15"/>
        <v>0</v>
      </c>
      <c r="AA89" s="16">
        <f t="shared" si="9"/>
        <v>0</v>
      </c>
      <c r="AB89" s="16"/>
      <c r="AC89" s="19"/>
      <c r="AD89" s="51"/>
    </row>
    <row r="90" spans="1:30" ht="19.5" thickBot="1" x14ac:dyDescent="0.3">
      <c r="A90" s="14">
        <v>23</v>
      </c>
      <c r="B90" s="15"/>
      <c r="C90" s="15" t="e">
        <f>VLOOKUP(B90,داتا!$B$3:$D$107,2,FALSE)</f>
        <v>#N/A</v>
      </c>
      <c r="D90" s="34" t="e">
        <f>VLOOKUP(B90,داتا!$B$3:$D$107,3,FALSE)</f>
        <v>#N/A</v>
      </c>
      <c r="E90" s="15"/>
      <c r="F90" s="15"/>
      <c r="G90" s="16">
        <v>8.3333333333333329E-2</v>
      </c>
      <c r="H90" s="16" t="e">
        <f t="shared" si="17"/>
        <v>#N/A</v>
      </c>
      <c r="I90" s="16" t="e">
        <f t="shared" si="10"/>
        <v>#N/A</v>
      </c>
      <c r="J90" s="16"/>
      <c r="K90" s="16"/>
      <c r="L90" s="16"/>
      <c r="M90" s="16"/>
      <c r="N90" s="16">
        <f t="shared" si="11"/>
        <v>0</v>
      </c>
      <c r="O90" s="16" t="e">
        <f t="shared" si="12"/>
        <v>#N/A</v>
      </c>
      <c r="P90" s="16">
        <v>6.9444444444444397E-3</v>
      </c>
      <c r="Q90" s="16"/>
      <c r="R90" s="16">
        <f t="shared" si="13"/>
        <v>-6.9444444444444397E-3</v>
      </c>
      <c r="S90" s="16"/>
      <c r="T90" s="16" t="e">
        <f>VLOOKUP(E90,'[2]21-3-2026'!E$3:T$35,16,FALSE)</f>
        <v>#N/A</v>
      </c>
      <c r="U90" s="16"/>
      <c r="V90" s="16" t="e">
        <f t="shared" si="14"/>
        <v>#N/A</v>
      </c>
      <c r="W90" s="16"/>
      <c r="X90" s="16"/>
      <c r="Y90" s="16"/>
      <c r="Z90" s="16">
        <f t="shared" si="15"/>
        <v>0</v>
      </c>
      <c r="AA90" s="16">
        <f t="shared" si="9"/>
        <v>0</v>
      </c>
      <c r="AB90" s="16"/>
      <c r="AC90" s="19"/>
      <c r="AD90" s="51"/>
    </row>
    <row r="91" spans="1:30" ht="19.5" thickBot="1" x14ac:dyDescent="0.3">
      <c r="A91" s="14">
        <v>24</v>
      </c>
      <c r="B91" s="15"/>
      <c r="C91" s="15" t="e">
        <f>VLOOKUP(B91,داتا!$B$3:$D$107,2,FALSE)</f>
        <v>#N/A</v>
      </c>
      <c r="D91" s="34" t="e">
        <f>VLOOKUP(B91,داتا!$B$3:$D$107,3,FALSE)</f>
        <v>#N/A</v>
      </c>
      <c r="E91" s="15"/>
      <c r="F91" s="15"/>
      <c r="G91" s="16">
        <v>8.3333333333333329E-2</v>
      </c>
      <c r="H91" s="16" t="e">
        <f t="shared" si="17"/>
        <v>#N/A</v>
      </c>
      <c r="I91" s="16" t="e">
        <f t="shared" si="10"/>
        <v>#N/A</v>
      </c>
      <c r="J91" s="16"/>
      <c r="K91" s="16"/>
      <c r="L91" s="16"/>
      <c r="M91" s="16"/>
      <c r="N91" s="16">
        <f t="shared" si="11"/>
        <v>0</v>
      </c>
      <c r="O91" s="16" t="e">
        <f t="shared" si="12"/>
        <v>#N/A</v>
      </c>
      <c r="P91" s="16">
        <v>6.9444444444444397E-3</v>
      </c>
      <c r="Q91" s="16"/>
      <c r="R91" s="16">
        <f t="shared" si="13"/>
        <v>-6.9444444444444397E-3</v>
      </c>
      <c r="S91" s="16"/>
      <c r="T91" s="16" t="e">
        <f>VLOOKUP(E91,'[2]21-3-2026'!E$3:T$35,16,FALSE)</f>
        <v>#N/A</v>
      </c>
      <c r="U91" s="16"/>
      <c r="V91" s="16" t="e">
        <f t="shared" si="14"/>
        <v>#N/A</v>
      </c>
      <c r="W91" s="16"/>
      <c r="X91" s="16"/>
      <c r="Y91" s="16"/>
      <c r="Z91" s="16">
        <f t="shared" si="15"/>
        <v>0</v>
      </c>
      <c r="AA91" s="16">
        <f t="shared" si="9"/>
        <v>0</v>
      </c>
      <c r="AB91" s="16"/>
      <c r="AC91" s="19"/>
      <c r="AD91" s="51"/>
    </row>
    <row r="92" spans="1:30" ht="19.5" thickBot="1" x14ac:dyDescent="0.3">
      <c r="A92" s="14">
        <v>25</v>
      </c>
      <c r="B92" s="15"/>
      <c r="C92" s="15" t="e">
        <f>VLOOKUP(B92,داتا!$B$3:$D$107,2,FALSE)</f>
        <v>#N/A</v>
      </c>
      <c r="D92" s="34" t="e">
        <f>VLOOKUP(B92,داتا!$B$3:$D$107,3,FALSE)</f>
        <v>#N/A</v>
      </c>
      <c r="E92" s="15"/>
      <c r="F92" s="15"/>
      <c r="G92" s="16">
        <v>8.3333333333333329E-2</v>
      </c>
      <c r="H92" s="16" t="e">
        <f t="shared" si="17"/>
        <v>#N/A</v>
      </c>
      <c r="I92" s="16" t="e">
        <f t="shared" si="10"/>
        <v>#N/A</v>
      </c>
      <c r="J92" s="16"/>
      <c r="K92" s="16"/>
      <c r="L92" s="16"/>
      <c r="M92" s="16"/>
      <c r="N92" s="16">
        <f t="shared" si="11"/>
        <v>0</v>
      </c>
      <c r="O92" s="16" t="e">
        <f t="shared" si="12"/>
        <v>#N/A</v>
      </c>
      <c r="P92" s="16">
        <v>6.9444444444444397E-3</v>
      </c>
      <c r="Q92" s="16"/>
      <c r="R92" s="16">
        <f t="shared" si="13"/>
        <v>-6.9444444444444397E-3</v>
      </c>
      <c r="S92" s="16"/>
      <c r="T92" s="16" t="e">
        <f>VLOOKUP(E92,'[2]21-3-2026'!E$3:T$35,16,FALSE)</f>
        <v>#N/A</v>
      </c>
      <c r="U92" s="16"/>
      <c r="V92" s="16" t="e">
        <f t="shared" si="14"/>
        <v>#N/A</v>
      </c>
      <c r="W92" s="16"/>
      <c r="X92" s="16"/>
      <c r="Y92" s="16"/>
      <c r="Z92" s="16">
        <f t="shared" si="15"/>
        <v>0</v>
      </c>
      <c r="AA92" s="16">
        <f t="shared" si="9"/>
        <v>0</v>
      </c>
      <c r="AB92" s="16"/>
      <c r="AC92" s="19"/>
      <c r="AD92" s="51"/>
    </row>
    <row r="93" spans="1:30" ht="19.5" thickBot="1" x14ac:dyDescent="0.3">
      <c r="A93" s="14">
        <v>26</v>
      </c>
      <c r="B93" s="15"/>
      <c r="C93" s="15" t="e">
        <f>VLOOKUP(B93,داتا!$B$3:$D$107,2,FALSE)</f>
        <v>#N/A</v>
      </c>
      <c r="D93" s="34" t="e">
        <f>VLOOKUP(B93,داتا!$B$3:$D$107,3,FALSE)</f>
        <v>#N/A</v>
      </c>
      <c r="E93" s="15"/>
      <c r="F93" s="15"/>
      <c r="G93" s="16">
        <v>8.3333333333333329E-2</v>
      </c>
      <c r="H93" s="16" t="e">
        <f t="shared" si="17"/>
        <v>#N/A</v>
      </c>
      <c r="I93" s="16" t="e">
        <f t="shared" si="10"/>
        <v>#N/A</v>
      </c>
      <c r="J93" s="16"/>
      <c r="K93" s="16"/>
      <c r="L93" s="16"/>
      <c r="M93" s="16"/>
      <c r="N93" s="16">
        <f t="shared" si="11"/>
        <v>0</v>
      </c>
      <c r="O93" s="16" t="e">
        <f t="shared" si="12"/>
        <v>#N/A</v>
      </c>
      <c r="P93" s="16">
        <v>6.9444444444444397E-3</v>
      </c>
      <c r="Q93" s="16"/>
      <c r="R93" s="16">
        <f t="shared" si="13"/>
        <v>-6.9444444444444397E-3</v>
      </c>
      <c r="S93" s="16"/>
      <c r="T93" s="16" t="e">
        <f>VLOOKUP(E93,'[2]21-3-2026'!E$3:T$35,16,FALSE)</f>
        <v>#N/A</v>
      </c>
      <c r="U93" s="16"/>
      <c r="V93" s="16" t="e">
        <f t="shared" si="14"/>
        <v>#N/A</v>
      </c>
      <c r="W93" s="16"/>
      <c r="X93" s="16"/>
      <c r="Y93" s="16"/>
      <c r="Z93" s="16">
        <f t="shared" si="15"/>
        <v>0</v>
      </c>
      <c r="AA93" s="16">
        <f t="shared" si="9"/>
        <v>0</v>
      </c>
      <c r="AB93" s="16"/>
      <c r="AC93" s="19"/>
      <c r="AD93" s="51"/>
    </row>
    <row r="94" spans="1:30" ht="19.5" thickBot="1" x14ac:dyDescent="0.3">
      <c r="A94" s="14">
        <v>27</v>
      </c>
      <c r="B94" s="15"/>
      <c r="C94" s="15" t="e">
        <f>VLOOKUP(B94,داتا!$B$3:$D$107,2,FALSE)</f>
        <v>#N/A</v>
      </c>
      <c r="D94" s="34" t="e">
        <f>VLOOKUP(B94,داتا!$B$3:$D$107,3,FALSE)</f>
        <v>#N/A</v>
      </c>
      <c r="E94" s="15"/>
      <c r="F94" s="15"/>
      <c r="G94" s="16">
        <v>8.3333333333333329E-2</v>
      </c>
      <c r="H94" s="16" t="e">
        <f t="shared" si="17"/>
        <v>#N/A</v>
      </c>
      <c r="I94" s="16" t="e">
        <f t="shared" si="10"/>
        <v>#N/A</v>
      </c>
      <c r="J94" s="16"/>
      <c r="K94" s="16"/>
      <c r="L94" s="16"/>
      <c r="M94" s="16"/>
      <c r="N94" s="16">
        <f t="shared" si="11"/>
        <v>0</v>
      </c>
      <c r="O94" s="16" t="e">
        <f t="shared" si="12"/>
        <v>#N/A</v>
      </c>
      <c r="P94" s="16">
        <v>6.9444444444444397E-3</v>
      </c>
      <c r="Q94" s="16"/>
      <c r="R94" s="16">
        <f t="shared" si="13"/>
        <v>-6.9444444444444397E-3</v>
      </c>
      <c r="S94" s="16"/>
      <c r="T94" s="16" t="e">
        <f>VLOOKUP(E94,'[2]21-3-2026'!E$3:T$35,16,FALSE)</f>
        <v>#N/A</v>
      </c>
      <c r="U94" s="16"/>
      <c r="V94" s="16" t="e">
        <f t="shared" si="14"/>
        <v>#N/A</v>
      </c>
      <c r="W94" s="16"/>
      <c r="X94" s="16"/>
      <c r="Y94" s="16"/>
      <c r="Z94" s="16">
        <f t="shared" si="15"/>
        <v>0</v>
      </c>
      <c r="AA94" s="16">
        <f t="shared" si="9"/>
        <v>0</v>
      </c>
      <c r="AB94" s="16"/>
      <c r="AC94" s="19"/>
      <c r="AD94" s="51"/>
    </row>
    <row r="95" spans="1:30" ht="19.5" thickBot="1" x14ac:dyDescent="0.3">
      <c r="A95" s="14">
        <v>28</v>
      </c>
      <c r="B95" s="15"/>
      <c r="C95" s="15" t="e">
        <f>VLOOKUP(B95,داتا!$B$3:$D$107,2,FALSE)</f>
        <v>#N/A</v>
      </c>
      <c r="D95" s="34" t="e">
        <f>VLOOKUP(B95,داتا!$B$3:$D$107,3,FALSE)</f>
        <v>#N/A</v>
      </c>
      <c r="E95" s="15"/>
      <c r="F95" s="16"/>
      <c r="G95" s="16">
        <v>8.3333333333333329E-2</v>
      </c>
      <c r="H95" s="16" t="e">
        <f t="shared" si="17"/>
        <v>#N/A</v>
      </c>
      <c r="I95" s="16" t="e">
        <f t="shared" si="10"/>
        <v>#N/A</v>
      </c>
      <c r="J95" s="16"/>
      <c r="K95" s="16"/>
      <c r="L95" s="16"/>
      <c r="M95" s="16"/>
      <c r="N95" s="16">
        <f t="shared" si="11"/>
        <v>0</v>
      </c>
      <c r="O95" s="16" t="e">
        <f t="shared" si="12"/>
        <v>#N/A</v>
      </c>
      <c r="P95" s="16">
        <v>6.9444444444444397E-3</v>
      </c>
      <c r="Q95" s="16"/>
      <c r="R95" s="16">
        <f t="shared" si="13"/>
        <v>-6.9444444444444397E-3</v>
      </c>
      <c r="S95" s="16"/>
      <c r="T95" s="16" t="e">
        <f>VLOOKUP(E95,'[2]21-3-2026'!E$3:T$35,16,FALSE)</f>
        <v>#N/A</v>
      </c>
      <c r="U95" s="16"/>
      <c r="V95" s="16" t="e">
        <f t="shared" si="14"/>
        <v>#N/A</v>
      </c>
      <c r="W95" s="16"/>
      <c r="X95" s="16"/>
      <c r="Y95" s="16"/>
      <c r="Z95" s="16">
        <f t="shared" si="15"/>
        <v>0</v>
      </c>
      <c r="AA95" s="16">
        <f t="shared" si="9"/>
        <v>0</v>
      </c>
      <c r="AB95" s="16"/>
      <c r="AC95" s="19"/>
      <c r="AD95" s="51"/>
    </row>
    <row r="96" spans="1:30" ht="19.5" thickBot="1" x14ac:dyDescent="0.3">
      <c r="A96" s="14">
        <v>29</v>
      </c>
      <c r="B96" s="15"/>
      <c r="C96" s="15" t="e">
        <f>VLOOKUP(B96,داتا!$B$3:$D$107,2,FALSE)</f>
        <v>#N/A</v>
      </c>
      <c r="D96" s="34" t="e">
        <f>VLOOKUP(B96,داتا!$B$3:$D$107,3,FALSE)</f>
        <v>#N/A</v>
      </c>
      <c r="E96" s="15"/>
      <c r="F96" s="16"/>
      <c r="G96" s="16">
        <v>8.3333333333333329E-2</v>
      </c>
      <c r="H96" s="16" t="e">
        <f t="shared" si="17"/>
        <v>#N/A</v>
      </c>
      <c r="I96" s="16" t="e">
        <f t="shared" si="10"/>
        <v>#N/A</v>
      </c>
      <c r="J96" s="16"/>
      <c r="K96" s="16"/>
      <c r="L96" s="16"/>
      <c r="M96" s="16"/>
      <c r="N96" s="16">
        <f t="shared" si="11"/>
        <v>0</v>
      </c>
      <c r="O96" s="16" t="e">
        <f t="shared" si="12"/>
        <v>#N/A</v>
      </c>
      <c r="P96" s="16">
        <v>6.9444444444444397E-3</v>
      </c>
      <c r="Q96" s="16"/>
      <c r="R96" s="16">
        <f t="shared" si="13"/>
        <v>-6.9444444444444397E-3</v>
      </c>
      <c r="S96" s="16"/>
      <c r="T96" s="16" t="e">
        <f>VLOOKUP(E96,'[2]21-3-2026'!E$3:T$35,16,FALSE)</f>
        <v>#N/A</v>
      </c>
      <c r="U96" s="16"/>
      <c r="V96" s="16" t="e">
        <f t="shared" si="14"/>
        <v>#N/A</v>
      </c>
      <c r="W96" s="16"/>
      <c r="X96" s="16"/>
      <c r="Y96" s="16"/>
      <c r="Z96" s="16">
        <f t="shared" si="15"/>
        <v>0</v>
      </c>
      <c r="AA96" s="16">
        <f t="shared" si="9"/>
        <v>0</v>
      </c>
      <c r="AB96" s="16"/>
      <c r="AC96" s="19"/>
      <c r="AD96" s="54"/>
    </row>
    <row r="97" spans="1:29" ht="19.5" thickBot="1" x14ac:dyDescent="0.3">
      <c r="A97" s="14">
        <v>30</v>
      </c>
      <c r="B97" s="15"/>
      <c r="C97" s="15" t="e">
        <f>VLOOKUP(B97,داتا!$B$3:$D$107,2,FALSE)</f>
        <v>#N/A</v>
      </c>
      <c r="D97" s="34" t="e">
        <f>VLOOKUP(B97,داتا!$B$3:$D$107,3,FALSE)</f>
        <v>#N/A</v>
      </c>
      <c r="E97" s="15"/>
      <c r="F97" s="16"/>
      <c r="G97" s="16">
        <v>8.3333333333333329E-2</v>
      </c>
      <c r="H97" s="16" t="e">
        <f t="shared" si="17"/>
        <v>#N/A</v>
      </c>
      <c r="I97" s="16" t="e">
        <f t="shared" si="10"/>
        <v>#N/A</v>
      </c>
      <c r="J97" s="16"/>
      <c r="K97" s="16"/>
      <c r="L97" s="16"/>
      <c r="M97" s="16"/>
      <c r="N97" s="16">
        <f t="shared" si="11"/>
        <v>0</v>
      </c>
      <c r="O97" s="16" t="e">
        <f t="shared" si="12"/>
        <v>#N/A</v>
      </c>
      <c r="P97" s="16">
        <v>6.9444444444444397E-3</v>
      </c>
      <c r="Q97" s="16"/>
      <c r="R97" s="16">
        <f t="shared" si="13"/>
        <v>-6.9444444444444397E-3</v>
      </c>
      <c r="S97" s="16"/>
      <c r="T97" s="16" t="e">
        <f>VLOOKUP(E97,'[2]21-3-2026'!E$3:T$35,16,FALSE)</f>
        <v>#N/A</v>
      </c>
      <c r="U97" s="16"/>
      <c r="V97" s="16" t="e">
        <f t="shared" si="14"/>
        <v>#N/A</v>
      </c>
      <c r="W97" s="16"/>
      <c r="X97" s="16"/>
      <c r="Y97" s="16"/>
      <c r="Z97" s="16">
        <f t="shared" si="15"/>
        <v>0</v>
      </c>
      <c r="AA97" s="16">
        <f t="shared" si="9"/>
        <v>0</v>
      </c>
      <c r="AB97" s="16"/>
      <c r="AC97" s="19"/>
    </row>
    <row r="98" spans="1:29" ht="19.5" thickBot="1" x14ac:dyDescent="0.3">
      <c r="A98" s="14">
        <v>31</v>
      </c>
      <c r="B98" s="15"/>
      <c r="C98" s="15" t="e">
        <f>VLOOKUP(B98,داتا!$B$3:$D$107,2,FALSE)</f>
        <v>#N/A</v>
      </c>
      <c r="D98" s="34" t="e">
        <f>VLOOKUP(B98,داتا!$B$3:$D$107,3,FALSE)</f>
        <v>#N/A</v>
      </c>
      <c r="E98" s="15"/>
      <c r="F98" s="16"/>
      <c r="G98" s="16">
        <v>8.3333333333333329E-2</v>
      </c>
      <c r="H98" s="16" t="e">
        <f t="shared" si="17"/>
        <v>#N/A</v>
      </c>
      <c r="I98" s="16" t="e">
        <f t="shared" si="10"/>
        <v>#N/A</v>
      </c>
      <c r="J98" s="16"/>
      <c r="K98" s="16"/>
      <c r="L98" s="16"/>
      <c r="M98" s="16"/>
      <c r="N98" s="16">
        <f t="shared" si="11"/>
        <v>0</v>
      </c>
      <c r="O98" s="16" t="e">
        <f t="shared" si="12"/>
        <v>#N/A</v>
      </c>
      <c r="P98" s="16">
        <v>6.9444444444444397E-3</v>
      </c>
      <c r="Q98" s="16"/>
      <c r="R98" s="16">
        <f t="shared" si="13"/>
        <v>-6.9444444444444397E-3</v>
      </c>
      <c r="S98" s="16"/>
      <c r="T98" s="16" t="e">
        <f>VLOOKUP(E98,'[2]21-3-2026'!E$3:T$35,16,FALSE)</f>
        <v>#N/A</v>
      </c>
      <c r="U98" s="16"/>
      <c r="V98" s="16" t="e">
        <f t="shared" si="14"/>
        <v>#N/A</v>
      </c>
      <c r="W98" s="16"/>
      <c r="X98" s="16"/>
      <c r="Y98" s="16"/>
      <c r="Z98" s="16">
        <f t="shared" si="15"/>
        <v>0</v>
      </c>
      <c r="AA98" s="16">
        <f t="shared" si="9"/>
        <v>0</v>
      </c>
      <c r="AB98" s="16"/>
      <c r="AC98" s="19"/>
    </row>
    <row r="99" spans="1:29" ht="19.5" thickBot="1" x14ac:dyDescent="0.3">
      <c r="A99" s="20">
        <v>32</v>
      </c>
      <c r="B99" s="21"/>
      <c r="C99" s="21" t="e">
        <f>VLOOKUP(B99,داتا!$B$3:$D$107,2,FALSE)</f>
        <v>#N/A</v>
      </c>
      <c r="D99" s="35" t="e">
        <f>VLOOKUP(B99,داتا!$B$3:$D$107,3,FALSE)</f>
        <v>#N/A</v>
      </c>
      <c r="E99" s="21"/>
      <c r="F99" s="22"/>
      <c r="G99" s="22">
        <v>8.3333333333333329E-2</v>
      </c>
      <c r="H99" s="22" t="e">
        <f t="shared" si="17"/>
        <v>#N/A</v>
      </c>
      <c r="I99" s="22" t="e">
        <f t="shared" si="10"/>
        <v>#N/A</v>
      </c>
      <c r="J99" s="22"/>
      <c r="K99" s="22"/>
      <c r="L99" s="22"/>
      <c r="M99" s="22"/>
      <c r="N99" s="22">
        <f t="shared" si="11"/>
        <v>0</v>
      </c>
      <c r="O99" s="22" t="e">
        <f t="shared" si="12"/>
        <v>#N/A</v>
      </c>
      <c r="P99" s="22">
        <v>6.9444444444444397E-3</v>
      </c>
      <c r="Q99" s="22"/>
      <c r="R99" s="22">
        <f t="shared" si="13"/>
        <v>-6.9444444444444397E-3</v>
      </c>
      <c r="S99" s="22"/>
      <c r="T99" s="22" t="e">
        <f>VLOOKUP(E99,'[2]21-3-2026'!E$3:T$35,16,FALSE)</f>
        <v>#N/A</v>
      </c>
      <c r="U99" s="22"/>
      <c r="V99" s="22" t="e">
        <f t="shared" si="14"/>
        <v>#N/A</v>
      </c>
      <c r="W99" s="22"/>
      <c r="X99" s="22"/>
      <c r="Y99" s="22"/>
      <c r="Z99" s="22">
        <f t="shared" si="15"/>
        <v>0</v>
      </c>
      <c r="AA99" s="22">
        <f t="shared" si="9"/>
        <v>0</v>
      </c>
      <c r="AB99" s="22"/>
      <c r="AC99" s="30"/>
    </row>
    <row r="100" spans="1:29" ht="16.5" thickTop="1" x14ac:dyDescent="0.25"/>
  </sheetData>
  <mergeCells count="4">
    <mergeCell ref="A1:AC1"/>
    <mergeCell ref="AD3:AD35"/>
    <mergeCell ref="AD36:AD67"/>
    <mergeCell ref="AD68:AD96"/>
  </mergeCells>
  <conditionalFormatting sqref="AC1:AC96 AC100:AC1048576">
    <cfRule type="containsText" dxfId="299" priority="14" operator="containsText" text="ت">
      <formula>NOT(ISERROR(SEARCH("ت",AC1)))</formula>
    </cfRule>
  </conditionalFormatting>
  <conditionalFormatting sqref="AC4:AC96">
    <cfRule type="containsText" dxfId="298" priority="13" operator="containsText" text="ت">
      <formula>NOT(ISERROR(SEARCH("ت",AC4)))</formula>
    </cfRule>
  </conditionalFormatting>
  <conditionalFormatting sqref="O1:O2 I1:I2 R1:R2 V1:V2 AA100:AA1048576 V100:V1048576 R100:R1048576 O100:O1048576 I100:I1048576 AA1:AA2">
    <cfRule type="cellIs" dxfId="297" priority="15" operator="between">
      <formula>0.00277777777777778</formula>
      <formula>1</formula>
    </cfRule>
  </conditionalFormatting>
  <conditionalFormatting sqref="AC97:AC99">
    <cfRule type="containsText" dxfId="296" priority="12" operator="containsText" text="ت">
      <formula>NOT(ISERROR(SEARCH("ت",AC97)))</formula>
    </cfRule>
  </conditionalFormatting>
  <conditionalFormatting sqref="AC97:AC99">
    <cfRule type="containsText" dxfId="295" priority="11" operator="containsText" text="ت">
      <formula>NOT(ISERROR(SEARCH("ت",AC97)))</formula>
    </cfRule>
  </conditionalFormatting>
  <conditionalFormatting sqref="I3:I99">
    <cfRule type="cellIs" dxfId="294" priority="9" operator="between">
      <formula>0.00277777777777778</formula>
      <formula>1</formula>
    </cfRule>
  </conditionalFormatting>
  <conditionalFormatting sqref="I3:I99">
    <cfRule type="cellIs" dxfId="293" priority="10" operator="between">
      <formula>0.00277777777777778</formula>
      <formula>1</formula>
    </cfRule>
  </conditionalFormatting>
  <conditionalFormatting sqref="O3:O99">
    <cfRule type="cellIs" dxfId="292" priority="7" operator="between">
      <formula>0.00277777777777778</formula>
      <formula>1</formula>
    </cfRule>
  </conditionalFormatting>
  <conditionalFormatting sqref="O3:O99">
    <cfRule type="cellIs" dxfId="291" priority="8" operator="between">
      <formula>0.00277777777777778</formula>
      <formula>1</formula>
    </cfRule>
  </conditionalFormatting>
  <conditionalFormatting sqref="R3:R99">
    <cfRule type="cellIs" dxfId="290" priority="5" operator="between">
      <formula>0.00277777777777778</formula>
      <formula>1</formula>
    </cfRule>
  </conditionalFormatting>
  <conditionalFormatting sqref="R3:R99">
    <cfRule type="cellIs" dxfId="289" priority="6" operator="between">
      <formula>0.00277777777777778</formula>
      <formula>1</formula>
    </cfRule>
  </conditionalFormatting>
  <conditionalFormatting sqref="V3:V99">
    <cfRule type="cellIs" dxfId="288" priority="3" operator="between">
      <formula>0.00277777777777778</formula>
      <formula>1</formula>
    </cfRule>
  </conditionalFormatting>
  <conditionalFormatting sqref="V3:V99">
    <cfRule type="cellIs" dxfId="287" priority="4" operator="between">
      <formula>0.00277777777777778</formula>
      <formula>1</formula>
    </cfRule>
  </conditionalFormatting>
  <conditionalFormatting sqref="AA3:AA99">
    <cfRule type="cellIs" dxfId="286" priority="1" operator="between">
      <formula>0.00277777777777778</formula>
      <formula>1</formula>
    </cfRule>
  </conditionalFormatting>
  <conditionalFormatting sqref="AA3:AA99">
    <cfRule type="cellIs" dxfId="285" priority="2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"/>
  <sheetViews>
    <sheetView rightToLeft="1" workbookViewId="0">
      <pane xSplit="6" ySplit="2" topLeftCell="G68" activePane="bottomRight" state="frozen"/>
      <selection activeCell="A92" sqref="A92"/>
      <selection pane="topRight" activeCell="A92" sqref="A92"/>
      <selection pane="bottomLeft" activeCell="A92" sqref="A92"/>
      <selection pane="bottomRight" activeCell="A2" sqref="A2"/>
    </sheetView>
  </sheetViews>
  <sheetFormatPr defaultColWidth="9" defaultRowHeight="15.75" x14ac:dyDescent="0.25"/>
  <cols>
    <col min="1" max="1" width="5.42578125" customWidth="1"/>
    <col min="2" max="2" width="12.28515625" customWidth="1"/>
    <col min="3" max="3" width="12.5703125" customWidth="1"/>
    <col min="4" max="4" width="16.140625" style="36" customWidth="1"/>
    <col min="5" max="5" width="17.140625" customWidth="1"/>
    <col min="6" max="6" width="20.85546875" customWidth="1"/>
    <col min="7" max="7" width="12.7109375" customWidth="1"/>
    <col min="8" max="9" width="12.85546875" customWidth="1"/>
    <col min="10" max="10" width="12.5703125" customWidth="1"/>
    <col min="11" max="11" width="14.28515625" customWidth="1"/>
    <col min="12" max="12" width="22.7109375" customWidth="1"/>
    <col min="13" max="13" width="18.8554687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3.85546875" style="31" customWidth="1"/>
    <col min="30" max="30" width="11.140625" customWidth="1"/>
  </cols>
  <sheetData>
    <row r="1" spans="1:30" ht="33.75" customHeight="1" thickBot="1" x14ac:dyDescent="0.3">
      <c r="A1" s="46" t="s">
        <v>131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0" ht="49.5" customHeight="1" thickTop="1" thickBot="1" x14ac:dyDescent="0.3">
      <c r="A2" s="1" t="s">
        <v>1</v>
      </c>
      <c r="B2" s="2" t="s">
        <v>2</v>
      </c>
      <c r="C2" s="2" t="s">
        <v>3</v>
      </c>
      <c r="D2" s="3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8" t="s">
        <v>18</v>
      </c>
      <c r="S2" s="2" t="s">
        <v>19</v>
      </c>
      <c r="T2" s="8" t="s">
        <v>20</v>
      </c>
      <c r="U2" s="2" t="s">
        <v>21</v>
      </c>
      <c r="V2" s="8" t="s">
        <v>22</v>
      </c>
      <c r="W2" s="8" t="s">
        <v>23</v>
      </c>
      <c r="X2" s="2" t="s">
        <v>24</v>
      </c>
      <c r="Y2" s="2" t="s">
        <v>25</v>
      </c>
      <c r="Z2" s="2" t="s">
        <v>26</v>
      </c>
      <c r="AA2" s="8" t="s">
        <v>27</v>
      </c>
      <c r="AB2" s="2" t="s">
        <v>28</v>
      </c>
      <c r="AC2" s="9" t="s">
        <v>29</v>
      </c>
    </row>
    <row r="3" spans="1:30" ht="20.25" customHeight="1" thickTop="1" thickBot="1" x14ac:dyDescent="0.3">
      <c r="A3" s="10">
        <v>1</v>
      </c>
      <c r="B3" s="11"/>
      <c r="C3" s="11" t="e">
        <f>VLOOKUP(B3,داتا!$B$3:$D$107,2,FALSE)</f>
        <v>#N/A</v>
      </c>
      <c r="D3" s="33" t="e">
        <f>VLOOKUP(B3,داتا!$B$3:$D$107,3,FALSE)</f>
        <v>#N/A</v>
      </c>
      <c r="E3" s="11"/>
      <c r="F3" s="11"/>
      <c r="G3" s="12">
        <v>0.25</v>
      </c>
      <c r="H3" s="12"/>
      <c r="I3" s="12">
        <f>H3-G3</f>
        <v>-0.25</v>
      </c>
      <c r="J3" s="12"/>
      <c r="K3" s="12"/>
      <c r="L3" s="12"/>
      <c r="M3" s="12"/>
      <c r="N3" s="12">
        <f>K3-J3</f>
        <v>0</v>
      </c>
      <c r="O3" s="12" t="e">
        <f>N3-D3</f>
        <v>#N/A</v>
      </c>
      <c r="P3" s="12">
        <v>6.9444444444444397E-3</v>
      </c>
      <c r="Q3" s="12"/>
      <c r="R3" s="12">
        <f>Q3-P3-K3</f>
        <v>-6.9444444444444397E-3</v>
      </c>
      <c r="S3" s="12"/>
      <c r="T3" s="12" t="e">
        <f>VLOOKUP(E3,'[2]21-3-2026'!E$3:T$35,16,FALSE)</f>
        <v>#N/A</v>
      </c>
      <c r="U3" s="12"/>
      <c r="V3" s="12" t="e">
        <f>U3-T3-S3</f>
        <v>#N/A</v>
      </c>
      <c r="W3" s="12"/>
      <c r="X3" s="12"/>
      <c r="Y3" s="12"/>
      <c r="Z3" s="12">
        <f>Y3-X3</f>
        <v>0</v>
      </c>
      <c r="AA3" s="12">
        <f t="shared" ref="AA3:AA66" si="0">Z3-W3</f>
        <v>0</v>
      </c>
      <c r="AB3" s="12"/>
      <c r="AC3" s="13"/>
      <c r="AD3" s="47" t="s">
        <v>33</v>
      </c>
    </row>
    <row r="4" spans="1:30" ht="19.5" thickBot="1" x14ac:dyDescent="0.3">
      <c r="A4" s="14">
        <v>2</v>
      </c>
      <c r="B4" s="15"/>
      <c r="C4" s="15" t="e">
        <f>VLOOKUP(B4,داتا!$B$3:$D$107,2,FALSE)</f>
        <v>#N/A</v>
      </c>
      <c r="D4" s="34" t="e">
        <f>VLOOKUP(B4,داتا!$B$3:$D$107,3,FALSE)</f>
        <v>#N/A</v>
      </c>
      <c r="E4" s="15"/>
      <c r="F4" s="15"/>
      <c r="G4" s="16">
        <v>0.25</v>
      </c>
      <c r="H4" s="16"/>
      <c r="I4" s="16">
        <f t="shared" ref="I4:I67" si="1">H4-G4</f>
        <v>-0.25</v>
      </c>
      <c r="J4" s="16"/>
      <c r="K4" s="16"/>
      <c r="L4" s="16"/>
      <c r="M4" s="16"/>
      <c r="N4" s="16">
        <f t="shared" ref="N4:N67" si="2">K4-J4</f>
        <v>0</v>
      </c>
      <c r="O4" s="16" t="e">
        <f t="shared" ref="O4:O67" si="3">N4-D4</f>
        <v>#N/A</v>
      </c>
      <c r="P4" s="16">
        <v>6.9444444444444397E-3</v>
      </c>
      <c r="Q4" s="16"/>
      <c r="R4" s="16">
        <f t="shared" ref="R4:R67" si="4">Q4-P4-K4</f>
        <v>-6.9444444444444397E-3</v>
      </c>
      <c r="S4" s="16"/>
      <c r="T4" s="16" t="e">
        <f>VLOOKUP(E4,'[2]21-3-2026'!E$3:T$35,16,FALSE)</f>
        <v>#N/A</v>
      </c>
      <c r="U4" s="16"/>
      <c r="V4" s="16" t="e">
        <f t="shared" ref="V4:V67" si="5">U4-T4-S4</f>
        <v>#N/A</v>
      </c>
      <c r="W4" s="16"/>
      <c r="X4" s="16"/>
      <c r="Y4" s="16"/>
      <c r="Z4" s="16">
        <f t="shared" ref="Z4:Z67" si="6">Y4-X4</f>
        <v>0</v>
      </c>
      <c r="AA4" s="16">
        <f t="shared" si="0"/>
        <v>0</v>
      </c>
      <c r="AB4" s="16"/>
      <c r="AC4" s="17"/>
      <c r="AD4" s="48"/>
    </row>
    <row r="5" spans="1:30" ht="19.5" thickBot="1" x14ac:dyDescent="0.3">
      <c r="A5" s="14">
        <v>3</v>
      </c>
      <c r="B5" s="15"/>
      <c r="C5" s="15" t="e">
        <f>VLOOKUP(B5,داتا!$B$3:$D$107,2,FALSE)</f>
        <v>#N/A</v>
      </c>
      <c r="D5" s="34" t="e">
        <f>VLOOKUP(B5,داتا!$B$3:$D$107,3,FALSE)</f>
        <v>#N/A</v>
      </c>
      <c r="E5" s="15"/>
      <c r="F5" s="15"/>
      <c r="G5" s="16">
        <v>0.25</v>
      </c>
      <c r="H5" s="16"/>
      <c r="I5" s="16">
        <f t="shared" si="1"/>
        <v>-0.25</v>
      </c>
      <c r="J5" s="16"/>
      <c r="K5" s="16"/>
      <c r="L5" s="16"/>
      <c r="M5" s="16"/>
      <c r="N5" s="16">
        <f t="shared" si="2"/>
        <v>0</v>
      </c>
      <c r="O5" s="16" t="e">
        <f t="shared" si="3"/>
        <v>#N/A</v>
      </c>
      <c r="P5" s="16">
        <v>6.9444444444444397E-3</v>
      </c>
      <c r="Q5" s="16"/>
      <c r="R5" s="16">
        <f t="shared" si="4"/>
        <v>-6.9444444444444397E-3</v>
      </c>
      <c r="S5" s="16"/>
      <c r="T5" s="16" t="e">
        <f>VLOOKUP(E5,'[2]21-3-2026'!E$3:T$35,16,FALSE)</f>
        <v>#N/A</v>
      </c>
      <c r="U5" s="16"/>
      <c r="V5" s="16" t="e">
        <f t="shared" si="5"/>
        <v>#N/A</v>
      </c>
      <c r="W5" s="16"/>
      <c r="X5" s="16"/>
      <c r="Y5" s="16"/>
      <c r="Z5" s="16">
        <f t="shared" si="6"/>
        <v>0</v>
      </c>
      <c r="AA5" s="16">
        <f t="shared" si="0"/>
        <v>0</v>
      </c>
      <c r="AB5" s="16"/>
      <c r="AC5" s="17"/>
      <c r="AD5" s="48"/>
    </row>
    <row r="6" spans="1:30" ht="19.5" thickBot="1" x14ac:dyDescent="0.3">
      <c r="A6" s="14">
        <v>4</v>
      </c>
      <c r="B6" s="15"/>
      <c r="C6" s="15" t="e">
        <f>VLOOKUP(B6,داتا!$B$3:$D$107,2,FALSE)</f>
        <v>#N/A</v>
      </c>
      <c r="D6" s="34" t="e">
        <f>VLOOKUP(B6,داتا!$B$3:$D$107,3,FALSE)</f>
        <v>#N/A</v>
      </c>
      <c r="E6" s="15"/>
      <c r="F6" s="15"/>
      <c r="G6" s="16">
        <v>0.25</v>
      </c>
      <c r="H6" s="16"/>
      <c r="I6" s="16">
        <f t="shared" si="1"/>
        <v>-0.25</v>
      </c>
      <c r="J6" s="16"/>
      <c r="K6" s="16"/>
      <c r="L6" s="16"/>
      <c r="M6" s="16"/>
      <c r="N6" s="16">
        <f t="shared" si="2"/>
        <v>0</v>
      </c>
      <c r="O6" s="16" t="e">
        <f t="shared" si="3"/>
        <v>#N/A</v>
      </c>
      <c r="P6" s="16">
        <v>6.9444444444444397E-3</v>
      </c>
      <c r="Q6" s="16"/>
      <c r="R6" s="16">
        <f t="shared" si="4"/>
        <v>-6.9444444444444397E-3</v>
      </c>
      <c r="S6" s="16"/>
      <c r="T6" s="16" t="e">
        <f>VLOOKUP(E6,'[2]21-3-2026'!E$3:T$35,16,FALSE)</f>
        <v>#N/A</v>
      </c>
      <c r="U6" s="16"/>
      <c r="V6" s="16" t="e">
        <f t="shared" si="5"/>
        <v>#N/A</v>
      </c>
      <c r="W6" s="16"/>
      <c r="X6" s="16"/>
      <c r="Y6" s="16"/>
      <c r="Z6" s="16">
        <f t="shared" si="6"/>
        <v>0</v>
      </c>
      <c r="AA6" s="16">
        <f t="shared" si="0"/>
        <v>0</v>
      </c>
      <c r="AB6" s="16"/>
      <c r="AC6" s="17"/>
      <c r="AD6" s="48"/>
    </row>
    <row r="7" spans="1:30" ht="19.5" thickBot="1" x14ac:dyDescent="0.3">
      <c r="A7" s="14">
        <v>5</v>
      </c>
      <c r="B7" s="15"/>
      <c r="C7" s="15" t="e">
        <f>VLOOKUP(B7,داتا!$B$3:$D$107,2,FALSE)</f>
        <v>#N/A</v>
      </c>
      <c r="D7" s="34" t="e">
        <f>VLOOKUP(B7,داتا!$B$3:$D$107,3,FALSE)</f>
        <v>#N/A</v>
      </c>
      <c r="E7" s="15"/>
      <c r="F7" s="15"/>
      <c r="G7" s="16">
        <v>0.25</v>
      </c>
      <c r="H7" s="16"/>
      <c r="I7" s="16">
        <f t="shared" si="1"/>
        <v>-0.25</v>
      </c>
      <c r="J7" s="16"/>
      <c r="K7" s="16"/>
      <c r="L7" s="16"/>
      <c r="M7" s="16"/>
      <c r="N7" s="16">
        <f t="shared" si="2"/>
        <v>0</v>
      </c>
      <c r="O7" s="16" t="e">
        <f t="shared" si="3"/>
        <v>#N/A</v>
      </c>
      <c r="P7" s="16">
        <v>6.9444444444444397E-3</v>
      </c>
      <c r="Q7" s="16"/>
      <c r="R7" s="16">
        <f t="shared" si="4"/>
        <v>-6.9444444444444397E-3</v>
      </c>
      <c r="S7" s="16"/>
      <c r="T7" s="16" t="e">
        <f>VLOOKUP(E7,'[2]21-3-2026'!E$3:T$35,16,FALSE)</f>
        <v>#N/A</v>
      </c>
      <c r="U7" s="16"/>
      <c r="V7" s="16" t="e">
        <f t="shared" si="5"/>
        <v>#N/A</v>
      </c>
      <c r="W7" s="16"/>
      <c r="X7" s="16"/>
      <c r="Y7" s="16"/>
      <c r="Z7" s="16">
        <f t="shared" si="6"/>
        <v>0</v>
      </c>
      <c r="AA7" s="16">
        <f t="shared" si="0"/>
        <v>0</v>
      </c>
      <c r="AB7" s="16"/>
      <c r="AC7" s="17"/>
      <c r="AD7" s="48"/>
    </row>
    <row r="8" spans="1:30" ht="19.5" thickBot="1" x14ac:dyDescent="0.3">
      <c r="A8" s="14">
        <v>6</v>
      </c>
      <c r="B8" s="15"/>
      <c r="C8" s="15" t="e">
        <f>VLOOKUP(B8,داتا!$B$3:$D$107,2,FALSE)</f>
        <v>#N/A</v>
      </c>
      <c r="D8" s="34" t="e">
        <f>VLOOKUP(B8,داتا!$B$3:$D$107,3,FALSE)</f>
        <v>#N/A</v>
      </c>
      <c r="E8" s="15"/>
      <c r="F8" s="15"/>
      <c r="G8" s="16">
        <v>0.25</v>
      </c>
      <c r="H8" s="16"/>
      <c r="I8" s="16">
        <f t="shared" si="1"/>
        <v>-0.25</v>
      </c>
      <c r="J8" s="16"/>
      <c r="K8" s="16"/>
      <c r="L8" s="16"/>
      <c r="M8" s="16"/>
      <c r="N8" s="16">
        <f t="shared" si="2"/>
        <v>0</v>
      </c>
      <c r="O8" s="16" t="e">
        <f t="shared" si="3"/>
        <v>#N/A</v>
      </c>
      <c r="P8" s="16">
        <v>6.9444444444444397E-3</v>
      </c>
      <c r="Q8" s="16"/>
      <c r="R8" s="16">
        <f t="shared" si="4"/>
        <v>-6.9444444444444397E-3</v>
      </c>
      <c r="S8" s="16"/>
      <c r="T8" s="16" t="e">
        <f>VLOOKUP(E8,'[2]21-3-2026'!E$3:T$35,16,FALSE)</f>
        <v>#N/A</v>
      </c>
      <c r="U8" s="16"/>
      <c r="V8" s="16" t="e">
        <f t="shared" si="5"/>
        <v>#N/A</v>
      </c>
      <c r="W8" s="16"/>
      <c r="X8" s="16"/>
      <c r="Y8" s="16"/>
      <c r="Z8" s="16">
        <f t="shared" si="6"/>
        <v>0</v>
      </c>
      <c r="AA8" s="16">
        <f t="shared" si="0"/>
        <v>0</v>
      </c>
      <c r="AB8" s="16"/>
      <c r="AC8" s="18"/>
      <c r="AD8" s="48"/>
    </row>
    <row r="9" spans="1:30" ht="19.5" thickBot="1" x14ac:dyDescent="0.3">
      <c r="A9" s="14">
        <v>7</v>
      </c>
      <c r="B9" s="15"/>
      <c r="C9" s="15" t="e">
        <f>VLOOKUP(B9,داتا!$B$3:$D$107,2,FALSE)</f>
        <v>#N/A</v>
      </c>
      <c r="D9" s="34" t="e">
        <f>VLOOKUP(B9,داتا!$B$3:$D$107,3,FALSE)</f>
        <v>#N/A</v>
      </c>
      <c r="E9" s="15"/>
      <c r="F9" s="15"/>
      <c r="G9" s="16">
        <v>0.25</v>
      </c>
      <c r="H9" s="16"/>
      <c r="I9" s="16">
        <f t="shared" si="1"/>
        <v>-0.25</v>
      </c>
      <c r="J9" s="16"/>
      <c r="K9" s="16"/>
      <c r="L9" s="16"/>
      <c r="M9" s="16"/>
      <c r="N9" s="16">
        <f t="shared" si="2"/>
        <v>0</v>
      </c>
      <c r="O9" s="16" t="e">
        <f t="shared" si="3"/>
        <v>#N/A</v>
      </c>
      <c r="P9" s="16">
        <v>6.9444444444444397E-3</v>
      </c>
      <c r="Q9" s="16"/>
      <c r="R9" s="16">
        <f t="shared" si="4"/>
        <v>-6.9444444444444397E-3</v>
      </c>
      <c r="S9" s="16"/>
      <c r="T9" s="16" t="e">
        <f>VLOOKUP(E9,'[2]21-3-2026'!E$3:T$35,16,FALSE)</f>
        <v>#N/A</v>
      </c>
      <c r="U9" s="16"/>
      <c r="V9" s="16" t="e">
        <f t="shared" si="5"/>
        <v>#N/A</v>
      </c>
      <c r="W9" s="16"/>
      <c r="X9" s="16"/>
      <c r="Y9" s="16"/>
      <c r="Z9" s="16">
        <f t="shared" si="6"/>
        <v>0</v>
      </c>
      <c r="AA9" s="16">
        <f t="shared" si="0"/>
        <v>0</v>
      </c>
      <c r="AB9" s="16"/>
      <c r="AC9" s="17"/>
      <c r="AD9" s="48"/>
    </row>
    <row r="10" spans="1:30" ht="19.5" thickBot="1" x14ac:dyDescent="0.3">
      <c r="A10" s="14">
        <v>8</v>
      </c>
      <c r="B10" s="15"/>
      <c r="C10" s="15" t="e">
        <f>VLOOKUP(B10,داتا!$B$3:$D$107,2,FALSE)</f>
        <v>#N/A</v>
      </c>
      <c r="D10" s="34" t="e">
        <f>VLOOKUP(B10,داتا!$B$3:$D$107,3,FALSE)</f>
        <v>#N/A</v>
      </c>
      <c r="E10" s="15"/>
      <c r="F10" s="15"/>
      <c r="G10" s="16">
        <v>0.25</v>
      </c>
      <c r="H10" s="16"/>
      <c r="I10" s="16">
        <f t="shared" si="1"/>
        <v>-0.25</v>
      </c>
      <c r="J10" s="16"/>
      <c r="K10" s="16"/>
      <c r="L10" s="16"/>
      <c r="M10" s="16"/>
      <c r="N10" s="16">
        <f t="shared" si="2"/>
        <v>0</v>
      </c>
      <c r="O10" s="16" t="e">
        <f t="shared" si="3"/>
        <v>#N/A</v>
      </c>
      <c r="P10" s="16">
        <v>6.9444444444444397E-3</v>
      </c>
      <c r="Q10" s="16"/>
      <c r="R10" s="16">
        <f t="shared" si="4"/>
        <v>-6.9444444444444397E-3</v>
      </c>
      <c r="S10" s="16"/>
      <c r="T10" s="16" t="e">
        <f>VLOOKUP(E10,'[2]21-3-2026'!E$3:T$35,16,FALSE)</f>
        <v>#N/A</v>
      </c>
      <c r="U10" s="16"/>
      <c r="V10" s="16" t="e">
        <f t="shared" si="5"/>
        <v>#N/A</v>
      </c>
      <c r="W10" s="16"/>
      <c r="X10" s="16"/>
      <c r="Y10" s="16"/>
      <c r="Z10" s="16">
        <f t="shared" si="6"/>
        <v>0</v>
      </c>
      <c r="AA10" s="16">
        <f t="shared" si="0"/>
        <v>0</v>
      </c>
      <c r="AB10" s="16"/>
      <c r="AC10" s="17"/>
      <c r="AD10" s="48"/>
    </row>
    <row r="11" spans="1:30" ht="19.5" thickBot="1" x14ac:dyDescent="0.3">
      <c r="A11" s="14">
        <v>9</v>
      </c>
      <c r="B11" s="15"/>
      <c r="C11" s="15" t="e">
        <f>VLOOKUP(B11,داتا!$B$3:$D$107,2,FALSE)</f>
        <v>#N/A</v>
      </c>
      <c r="D11" s="34" t="e">
        <f>VLOOKUP(B11,داتا!$B$3:$D$107,3,FALSE)</f>
        <v>#N/A</v>
      </c>
      <c r="E11" s="15"/>
      <c r="F11" s="15"/>
      <c r="G11" s="16">
        <v>0.25</v>
      </c>
      <c r="H11" s="16"/>
      <c r="I11" s="16">
        <f t="shared" si="1"/>
        <v>-0.25</v>
      </c>
      <c r="J11" s="16"/>
      <c r="K11" s="16"/>
      <c r="L11" s="16"/>
      <c r="M11" s="16"/>
      <c r="N11" s="16">
        <f t="shared" si="2"/>
        <v>0</v>
      </c>
      <c r="O11" s="16" t="e">
        <f t="shared" si="3"/>
        <v>#N/A</v>
      </c>
      <c r="P11" s="16">
        <v>6.9444444444444397E-3</v>
      </c>
      <c r="Q11" s="16"/>
      <c r="R11" s="16">
        <f t="shared" si="4"/>
        <v>-6.9444444444444397E-3</v>
      </c>
      <c r="S11" s="16"/>
      <c r="T11" s="16" t="e">
        <f>VLOOKUP(E11,'[2]21-3-2026'!E$3:T$35,16,FALSE)</f>
        <v>#N/A</v>
      </c>
      <c r="U11" s="16"/>
      <c r="V11" s="16" t="e">
        <f t="shared" si="5"/>
        <v>#N/A</v>
      </c>
      <c r="W11" s="16"/>
      <c r="X11" s="16"/>
      <c r="Y11" s="16"/>
      <c r="Z11" s="16">
        <f t="shared" si="6"/>
        <v>0</v>
      </c>
      <c r="AA11" s="16">
        <f t="shared" si="0"/>
        <v>0</v>
      </c>
      <c r="AB11" s="16"/>
      <c r="AC11" s="17"/>
      <c r="AD11" s="48"/>
    </row>
    <row r="12" spans="1:30" ht="19.5" thickBot="1" x14ac:dyDescent="0.3">
      <c r="A12" s="14">
        <v>10</v>
      </c>
      <c r="B12" s="15"/>
      <c r="C12" s="15" t="e">
        <f>VLOOKUP(B12,داتا!$B$3:$D$107,2,FALSE)</f>
        <v>#N/A</v>
      </c>
      <c r="D12" s="34" t="e">
        <f>VLOOKUP(B12,داتا!$B$3:$D$107,3,FALSE)</f>
        <v>#N/A</v>
      </c>
      <c r="E12" s="15"/>
      <c r="F12" s="15"/>
      <c r="G12" s="16">
        <v>0.25</v>
      </c>
      <c r="H12" s="16"/>
      <c r="I12" s="16">
        <f t="shared" si="1"/>
        <v>-0.25</v>
      </c>
      <c r="J12" s="16"/>
      <c r="K12" s="16"/>
      <c r="L12" s="16"/>
      <c r="M12" s="16"/>
      <c r="N12" s="16">
        <f t="shared" si="2"/>
        <v>0</v>
      </c>
      <c r="O12" s="16" t="e">
        <f t="shared" si="3"/>
        <v>#N/A</v>
      </c>
      <c r="P12" s="16">
        <v>6.9444444444444397E-3</v>
      </c>
      <c r="Q12" s="16"/>
      <c r="R12" s="16">
        <f t="shared" si="4"/>
        <v>-6.9444444444444397E-3</v>
      </c>
      <c r="S12" s="16"/>
      <c r="T12" s="16" t="e">
        <f>VLOOKUP(E12,'[2]21-3-2026'!E$3:T$35,16,FALSE)</f>
        <v>#N/A</v>
      </c>
      <c r="U12" s="16"/>
      <c r="V12" s="16" t="e">
        <f t="shared" si="5"/>
        <v>#N/A</v>
      </c>
      <c r="W12" s="16"/>
      <c r="X12" s="16"/>
      <c r="Y12" s="16"/>
      <c r="Z12" s="16">
        <f t="shared" si="6"/>
        <v>0</v>
      </c>
      <c r="AA12" s="16">
        <f t="shared" si="0"/>
        <v>0</v>
      </c>
      <c r="AB12" s="16"/>
      <c r="AC12" s="17"/>
      <c r="AD12" s="48"/>
    </row>
    <row r="13" spans="1:30" ht="19.5" thickBot="1" x14ac:dyDescent="0.3">
      <c r="A13" s="14">
        <v>11</v>
      </c>
      <c r="B13" s="15"/>
      <c r="C13" s="15" t="e">
        <f>VLOOKUP(B13,داتا!$B$3:$D$107,2,FALSE)</f>
        <v>#N/A</v>
      </c>
      <c r="D13" s="34" t="e">
        <f>VLOOKUP(B13,داتا!$B$3:$D$107,3,FALSE)</f>
        <v>#N/A</v>
      </c>
      <c r="E13" s="15"/>
      <c r="F13" s="15"/>
      <c r="G13" s="16">
        <v>0.25</v>
      </c>
      <c r="H13" s="16"/>
      <c r="I13" s="16">
        <f t="shared" si="1"/>
        <v>-0.25</v>
      </c>
      <c r="J13" s="16"/>
      <c r="K13" s="16"/>
      <c r="L13" s="16"/>
      <c r="M13" s="16"/>
      <c r="N13" s="16">
        <f t="shared" si="2"/>
        <v>0</v>
      </c>
      <c r="O13" s="16" t="e">
        <f t="shared" si="3"/>
        <v>#N/A</v>
      </c>
      <c r="P13" s="16">
        <v>6.9444444444444397E-3</v>
      </c>
      <c r="Q13" s="16"/>
      <c r="R13" s="16">
        <f t="shared" si="4"/>
        <v>-6.9444444444444397E-3</v>
      </c>
      <c r="S13" s="16"/>
      <c r="T13" s="16" t="e">
        <f>VLOOKUP(E13,'[2]21-3-2026'!E$3:T$35,16,FALSE)</f>
        <v>#N/A</v>
      </c>
      <c r="U13" s="16"/>
      <c r="V13" s="16" t="e">
        <f t="shared" si="5"/>
        <v>#N/A</v>
      </c>
      <c r="W13" s="16"/>
      <c r="X13" s="16"/>
      <c r="Y13" s="16"/>
      <c r="Z13" s="16">
        <f t="shared" si="6"/>
        <v>0</v>
      </c>
      <c r="AA13" s="16">
        <f t="shared" si="0"/>
        <v>0</v>
      </c>
      <c r="AB13" s="16"/>
      <c r="AC13" s="18"/>
      <c r="AD13" s="48"/>
    </row>
    <row r="14" spans="1:30" ht="19.5" thickBot="1" x14ac:dyDescent="0.3">
      <c r="A14" s="14">
        <v>12</v>
      </c>
      <c r="B14" s="15"/>
      <c r="C14" s="15" t="e">
        <f>VLOOKUP(B14,داتا!$B$3:$D$107,2,FALSE)</f>
        <v>#N/A</v>
      </c>
      <c r="D14" s="34" t="e">
        <f>VLOOKUP(B14,داتا!$B$3:$D$107,3,FALSE)</f>
        <v>#N/A</v>
      </c>
      <c r="E14" s="15"/>
      <c r="F14" s="15"/>
      <c r="G14" s="16">
        <v>0.25</v>
      </c>
      <c r="H14" s="16"/>
      <c r="I14" s="16">
        <f t="shared" si="1"/>
        <v>-0.25</v>
      </c>
      <c r="J14" s="16"/>
      <c r="K14" s="16"/>
      <c r="L14" s="16"/>
      <c r="M14" s="16"/>
      <c r="N14" s="16">
        <f t="shared" si="2"/>
        <v>0</v>
      </c>
      <c r="O14" s="16" t="e">
        <f t="shared" si="3"/>
        <v>#N/A</v>
      </c>
      <c r="P14" s="16">
        <v>6.9444444444444397E-3</v>
      </c>
      <c r="Q14" s="16"/>
      <c r="R14" s="16">
        <f t="shared" si="4"/>
        <v>-6.9444444444444397E-3</v>
      </c>
      <c r="S14" s="16"/>
      <c r="T14" s="16" t="e">
        <f>VLOOKUP(E14,'[2]21-3-2026'!E$3:T$35,16,FALSE)</f>
        <v>#N/A</v>
      </c>
      <c r="U14" s="16"/>
      <c r="V14" s="16" t="e">
        <f t="shared" si="5"/>
        <v>#N/A</v>
      </c>
      <c r="W14" s="16"/>
      <c r="X14" s="16"/>
      <c r="Y14" s="16"/>
      <c r="Z14" s="16">
        <f t="shared" si="6"/>
        <v>0</v>
      </c>
      <c r="AA14" s="16">
        <f t="shared" si="0"/>
        <v>0</v>
      </c>
      <c r="AB14" s="16"/>
      <c r="AC14" s="17"/>
      <c r="AD14" s="48"/>
    </row>
    <row r="15" spans="1:30" ht="19.5" thickBot="1" x14ac:dyDescent="0.3">
      <c r="A15" s="14">
        <v>13</v>
      </c>
      <c r="B15" s="15"/>
      <c r="C15" s="15" t="e">
        <f>VLOOKUP(B15,داتا!$B$3:$D$107,2,FALSE)</f>
        <v>#N/A</v>
      </c>
      <c r="D15" s="34" t="e">
        <f>VLOOKUP(B15,داتا!$B$3:$D$107,3,FALSE)</f>
        <v>#N/A</v>
      </c>
      <c r="E15" s="15"/>
      <c r="F15" s="15"/>
      <c r="G15" s="16">
        <v>0.25</v>
      </c>
      <c r="H15" s="16"/>
      <c r="I15" s="16">
        <f t="shared" si="1"/>
        <v>-0.25</v>
      </c>
      <c r="J15" s="16"/>
      <c r="K15" s="16"/>
      <c r="L15" s="16"/>
      <c r="M15" s="16"/>
      <c r="N15" s="16">
        <f t="shared" si="2"/>
        <v>0</v>
      </c>
      <c r="O15" s="16" t="e">
        <f t="shared" si="3"/>
        <v>#N/A</v>
      </c>
      <c r="P15" s="16">
        <v>6.9444444444444397E-3</v>
      </c>
      <c r="Q15" s="16"/>
      <c r="R15" s="16">
        <f t="shared" si="4"/>
        <v>-6.9444444444444397E-3</v>
      </c>
      <c r="S15" s="16"/>
      <c r="T15" s="16" t="e">
        <f>VLOOKUP(E15,'[2]21-3-2026'!E$3:T$35,16,FALSE)</f>
        <v>#N/A</v>
      </c>
      <c r="U15" s="16"/>
      <c r="V15" s="16" t="e">
        <f t="shared" si="5"/>
        <v>#N/A</v>
      </c>
      <c r="W15" s="16"/>
      <c r="X15" s="16"/>
      <c r="Y15" s="16"/>
      <c r="Z15" s="16">
        <f t="shared" si="6"/>
        <v>0</v>
      </c>
      <c r="AA15" s="16">
        <f t="shared" si="0"/>
        <v>0</v>
      </c>
      <c r="AB15" s="16"/>
      <c r="AC15" s="17"/>
      <c r="AD15" s="48"/>
    </row>
    <row r="16" spans="1:30" ht="19.5" thickBot="1" x14ac:dyDescent="0.3">
      <c r="A16" s="14">
        <v>14</v>
      </c>
      <c r="B16" s="15"/>
      <c r="C16" s="15" t="e">
        <f>VLOOKUP(B16,داتا!$B$3:$D$107,2,FALSE)</f>
        <v>#N/A</v>
      </c>
      <c r="D16" s="34" t="e">
        <f>VLOOKUP(B16,داتا!$B$3:$D$107,3,FALSE)</f>
        <v>#N/A</v>
      </c>
      <c r="E16" s="15"/>
      <c r="F16" s="15"/>
      <c r="G16" s="16">
        <v>0.25</v>
      </c>
      <c r="H16" s="16"/>
      <c r="I16" s="16">
        <f t="shared" si="1"/>
        <v>-0.25</v>
      </c>
      <c r="J16" s="16"/>
      <c r="K16" s="16"/>
      <c r="L16" s="16"/>
      <c r="M16" s="16"/>
      <c r="N16" s="16">
        <f t="shared" si="2"/>
        <v>0</v>
      </c>
      <c r="O16" s="16" t="e">
        <f t="shared" si="3"/>
        <v>#N/A</v>
      </c>
      <c r="P16" s="16">
        <v>6.9444444444444397E-3</v>
      </c>
      <c r="Q16" s="16"/>
      <c r="R16" s="16">
        <f t="shared" si="4"/>
        <v>-6.9444444444444397E-3</v>
      </c>
      <c r="S16" s="16"/>
      <c r="T16" s="16" t="e">
        <f>VLOOKUP(E16,'[2]21-3-2026'!E$3:T$35,16,FALSE)</f>
        <v>#N/A</v>
      </c>
      <c r="U16" s="16"/>
      <c r="V16" s="16" t="e">
        <f t="shared" si="5"/>
        <v>#N/A</v>
      </c>
      <c r="W16" s="16"/>
      <c r="X16" s="16"/>
      <c r="Y16" s="16"/>
      <c r="Z16" s="16">
        <f t="shared" si="6"/>
        <v>0</v>
      </c>
      <c r="AA16" s="16">
        <f t="shared" si="0"/>
        <v>0</v>
      </c>
      <c r="AB16" s="16"/>
      <c r="AC16" s="17"/>
      <c r="AD16" s="48"/>
    </row>
    <row r="17" spans="1:30" ht="19.5" thickBot="1" x14ac:dyDescent="0.3">
      <c r="A17" s="14">
        <v>15</v>
      </c>
      <c r="B17" s="15"/>
      <c r="C17" s="15" t="e">
        <f>VLOOKUP(B17,داتا!$B$3:$D$107,2,FALSE)</f>
        <v>#N/A</v>
      </c>
      <c r="D17" s="34" t="e">
        <f>VLOOKUP(B17,داتا!$B$3:$D$107,3,FALSE)</f>
        <v>#N/A</v>
      </c>
      <c r="E17" s="15"/>
      <c r="F17" s="15"/>
      <c r="G17" s="16">
        <v>0.25</v>
      </c>
      <c r="H17" s="16"/>
      <c r="I17" s="16">
        <f t="shared" si="1"/>
        <v>-0.25</v>
      </c>
      <c r="J17" s="16"/>
      <c r="K17" s="16"/>
      <c r="L17" s="16"/>
      <c r="M17" s="16"/>
      <c r="N17" s="16">
        <f t="shared" si="2"/>
        <v>0</v>
      </c>
      <c r="O17" s="16" t="e">
        <f t="shared" si="3"/>
        <v>#N/A</v>
      </c>
      <c r="P17" s="16">
        <v>6.9444444444444397E-3</v>
      </c>
      <c r="Q17" s="16"/>
      <c r="R17" s="16">
        <f t="shared" si="4"/>
        <v>-6.9444444444444397E-3</v>
      </c>
      <c r="S17" s="16"/>
      <c r="T17" s="16" t="e">
        <f>VLOOKUP(E17,'[2]21-3-2026'!E$3:T$35,16,FALSE)</f>
        <v>#N/A</v>
      </c>
      <c r="U17" s="16"/>
      <c r="V17" s="16" t="e">
        <f t="shared" si="5"/>
        <v>#N/A</v>
      </c>
      <c r="W17" s="16"/>
      <c r="X17" s="16"/>
      <c r="Y17" s="16"/>
      <c r="Z17" s="16">
        <f t="shared" si="6"/>
        <v>0</v>
      </c>
      <c r="AA17" s="16">
        <f t="shared" si="0"/>
        <v>0</v>
      </c>
      <c r="AB17" s="16"/>
      <c r="AC17" s="17"/>
      <c r="AD17" s="48"/>
    </row>
    <row r="18" spans="1:30" ht="19.5" thickBot="1" x14ac:dyDescent="0.3">
      <c r="A18" s="14">
        <v>16</v>
      </c>
      <c r="B18" s="15"/>
      <c r="C18" s="15" t="e">
        <f>VLOOKUP(B18,داتا!$B$3:$D$107,2,FALSE)</f>
        <v>#N/A</v>
      </c>
      <c r="D18" s="34" t="e">
        <f>VLOOKUP(B18,داتا!$B$3:$D$107,3,FALSE)</f>
        <v>#N/A</v>
      </c>
      <c r="E18" s="16"/>
      <c r="F18" s="15"/>
      <c r="G18" s="16">
        <v>0.25</v>
      </c>
      <c r="H18" s="16"/>
      <c r="I18" s="16">
        <f t="shared" si="1"/>
        <v>-0.25</v>
      </c>
      <c r="J18" s="16"/>
      <c r="K18" s="16"/>
      <c r="L18" s="16"/>
      <c r="M18" s="16"/>
      <c r="N18" s="16">
        <f t="shared" si="2"/>
        <v>0</v>
      </c>
      <c r="O18" s="16" t="e">
        <f t="shared" si="3"/>
        <v>#N/A</v>
      </c>
      <c r="P18" s="16">
        <v>6.9444444444444397E-3</v>
      </c>
      <c r="Q18" s="16"/>
      <c r="R18" s="16">
        <f t="shared" si="4"/>
        <v>-6.9444444444444397E-3</v>
      </c>
      <c r="S18" s="16"/>
      <c r="T18" s="16" t="e">
        <f>VLOOKUP(E18,'[2]21-3-2026'!E$3:T$35,16,FALSE)</f>
        <v>#N/A</v>
      </c>
      <c r="U18" s="16"/>
      <c r="V18" s="16" t="e">
        <f t="shared" si="5"/>
        <v>#N/A</v>
      </c>
      <c r="W18" s="16"/>
      <c r="X18" s="16"/>
      <c r="Y18" s="16"/>
      <c r="Z18" s="16">
        <f t="shared" si="6"/>
        <v>0</v>
      </c>
      <c r="AA18" s="16">
        <f t="shared" si="0"/>
        <v>0</v>
      </c>
      <c r="AB18" s="16"/>
      <c r="AC18" s="17"/>
      <c r="AD18" s="48"/>
    </row>
    <row r="19" spans="1:30" ht="19.5" thickBot="1" x14ac:dyDescent="0.3">
      <c r="A19" s="14">
        <v>17</v>
      </c>
      <c r="B19" s="15"/>
      <c r="C19" s="15" t="e">
        <f>VLOOKUP(B19,داتا!$B$3:$D$107,2,FALSE)</f>
        <v>#N/A</v>
      </c>
      <c r="D19" s="34" t="e">
        <f>VLOOKUP(B19,داتا!$B$3:$D$107,3,FALSE)</f>
        <v>#N/A</v>
      </c>
      <c r="E19" s="15"/>
      <c r="F19" s="15"/>
      <c r="G19" s="16">
        <v>0.25</v>
      </c>
      <c r="H19" s="16"/>
      <c r="I19" s="16">
        <f t="shared" si="1"/>
        <v>-0.25</v>
      </c>
      <c r="J19" s="16"/>
      <c r="K19" s="16"/>
      <c r="L19" s="16"/>
      <c r="M19" s="16"/>
      <c r="N19" s="16">
        <f t="shared" si="2"/>
        <v>0</v>
      </c>
      <c r="O19" s="16" t="e">
        <f t="shared" si="3"/>
        <v>#N/A</v>
      </c>
      <c r="P19" s="16">
        <v>6.9444444444444397E-3</v>
      </c>
      <c r="Q19" s="16"/>
      <c r="R19" s="16">
        <f t="shared" si="4"/>
        <v>-6.9444444444444397E-3</v>
      </c>
      <c r="S19" s="16"/>
      <c r="T19" s="16" t="e">
        <f>VLOOKUP(E19,'[2]21-3-2026'!E$3:T$35,16,FALSE)</f>
        <v>#N/A</v>
      </c>
      <c r="U19" s="16"/>
      <c r="V19" s="16" t="e">
        <f t="shared" si="5"/>
        <v>#N/A</v>
      </c>
      <c r="W19" s="16"/>
      <c r="X19" s="16"/>
      <c r="Y19" s="16"/>
      <c r="Z19" s="16">
        <f t="shared" si="6"/>
        <v>0</v>
      </c>
      <c r="AA19" s="16">
        <f t="shared" si="0"/>
        <v>0</v>
      </c>
      <c r="AB19" s="16"/>
      <c r="AC19" s="17"/>
      <c r="AD19" s="48"/>
    </row>
    <row r="20" spans="1:30" ht="19.5" thickBot="1" x14ac:dyDescent="0.3">
      <c r="A20" s="14">
        <v>18</v>
      </c>
      <c r="B20" s="15"/>
      <c r="C20" s="15" t="e">
        <f>VLOOKUP(B20,داتا!$B$3:$D$107,2,FALSE)</f>
        <v>#N/A</v>
      </c>
      <c r="D20" s="34" t="e">
        <f>VLOOKUP(B20,داتا!$B$3:$D$107,3,FALSE)</f>
        <v>#N/A</v>
      </c>
      <c r="E20" s="15"/>
      <c r="F20" s="15"/>
      <c r="G20" s="16">
        <v>0.25</v>
      </c>
      <c r="H20" s="16"/>
      <c r="I20" s="16">
        <f t="shared" si="1"/>
        <v>-0.25</v>
      </c>
      <c r="J20" s="16"/>
      <c r="K20" s="16"/>
      <c r="L20" s="16"/>
      <c r="M20" s="16"/>
      <c r="N20" s="16">
        <f t="shared" si="2"/>
        <v>0</v>
      </c>
      <c r="O20" s="16" t="e">
        <f t="shared" si="3"/>
        <v>#N/A</v>
      </c>
      <c r="P20" s="16">
        <v>6.9444444444444397E-3</v>
      </c>
      <c r="Q20" s="16"/>
      <c r="R20" s="16">
        <f t="shared" si="4"/>
        <v>-6.9444444444444397E-3</v>
      </c>
      <c r="S20" s="16"/>
      <c r="T20" s="16" t="e">
        <f>VLOOKUP(E20,'[2]21-3-2026'!E$3:T$35,16,FALSE)</f>
        <v>#N/A</v>
      </c>
      <c r="U20" s="16"/>
      <c r="V20" s="16" t="e">
        <f t="shared" si="5"/>
        <v>#N/A</v>
      </c>
      <c r="W20" s="16"/>
      <c r="X20" s="16"/>
      <c r="Y20" s="16"/>
      <c r="Z20" s="16">
        <f t="shared" si="6"/>
        <v>0</v>
      </c>
      <c r="AA20" s="16">
        <f t="shared" si="0"/>
        <v>0</v>
      </c>
      <c r="AB20" s="16"/>
      <c r="AC20" s="17"/>
      <c r="AD20" s="48"/>
    </row>
    <row r="21" spans="1:30" ht="19.5" thickBot="1" x14ac:dyDescent="0.3">
      <c r="A21" s="14">
        <v>19</v>
      </c>
      <c r="B21" s="15"/>
      <c r="C21" s="15" t="e">
        <f>VLOOKUP(B21,داتا!$B$3:$D$107,2,FALSE)</f>
        <v>#N/A</v>
      </c>
      <c r="D21" s="34" t="e">
        <f>VLOOKUP(B21,داتا!$B$3:$D$107,3,FALSE)</f>
        <v>#N/A</v>
      </c>
      <c r="E21" s="15"/>
      <c r="F21" s="15"/>
      <c r="G21" s="16">
        <v>0.25</v>
      </c>
      <c r="H21" s="16"/>
      <c r="I21" s="16">
        <f t="shared" si="1"/>
        <v>-0.25</v>
      </c>
      <c r="J21" s="16"/>
      <c r="K21" s="16"/>
      <c r="L21" s="16"/>
      <c r="M21" s="16"/>
      <c r="N21" s="16">
        <f t="shared" si="2"/>
        <v>0</v>
      </c>
      <c r="O21" s="16" t="e">
        <f t="shared" si="3"/>
        <v>#N/A</v>
      </c>
      <c r="P21" s="16">
        <v>6.9444444444444397E-3</v>
      </c>
      <c r="Q21" s="16"/>
      <c r="R21" s="16">
        <f t="shared" si="4"/>
        <v>-6.9444444444444397E-3</v>
      </c>
      <c r="S21" s="16"/>
      <c r="T21" s="16" t="e">
        <f>VLOOKUP(E21,'[2]21-3-2026'!E$3:T$35,16,FALSE)</f>
        <v>#N/A</v>
      </c>
      <c r="U21" s="16"/>
      <c r="V21" s="16" t="e">
        <f t="shared" si="5"/>
        <v>#N/A</v>
      </c>
      <c r="W21" s="16"/>
      <c r="X21" s="16"/>
      <c r="Y21" s="16"/>
      <c r="Z21" s="16">
        <f t="shared" si="6"/>
        <v>0</v>
      </c>
      <c r="AA21" s="16">
        <f t="shared" si="0"/>
        <v>0</v>
      </c>
      <c r="AB21" s="16"/>
      <c r="AC21" s="17"/>
      <c r="AD21" s="48"/>
    </row>
    <row r="22" spans="1:30" ht="19.5" thickBot="1" x14ac:dyDescent="0.3">
      <c r="A22" s="14">
        <v>20</v>
      </c>
      <c r="B22" s="15"/>
      <c r="C22" s="15" t="e">
        <f>VLOOKUP(B22,داتا!$B$3:$D$107,2,FALSE)</f>
        <v>#N/A</v>
      </c>
      <c r="D22" s="34" t="e">
        <f>VLOOKUP(B22,داتا!$B$3:$D$107,3,FALSE)</f>
        <v>#N/A</v>
      </c>
      <c r="E22" s="15"/>
      <c r="F22" s="15"/>
      <c r="G22" s="16">
        <v>0.25</v>
      </c>
      <c r="H22" s="16"/>
      <c r="I22" s="16">
        <f t="shared" si="1"/>
        <v>-0.25</v>
      </c>
      <c r="J22" s="16"/>
      <c r="K22" s="16"/>
      <c r="L22" s="16"/>
      <c r="M22" s="16"/>
      <c r="N22" s="16">
        <f t="shared" si="2"/>
        <v>0</v>
      </c>
      <c r="O22" s="16" t="e">
        <f t="shared" si="3"/>
        <v>#N/A</v>
      </c>
      <c r="P22" s="16">
        <v>6.9444444444444397E-3</v>
      </c>
      <c r="Q22" s="16"/>
      <c r="R22" s="16">
        <f t="shared" si="4"/>
        <v>-6.9444444444444397E-3</v>
      </c>
      <c r="S22" s="16"/>
      <c r="T22" s="16" t="e">
        <f>VLOOKUP(E22,'[2]21-3-2026'!E$3:T$35,16,FALSE)</f>
        <v>#N/A</v>
      </c>
      <c r="U22" s="16"/>
      <c r="V22" s="16" t="e">
        <f t="shared" si="5"/>
        <v>#N/A</v>
      </c>
      <c r="W22" s="16"/>
      <c r="X22" s="16"/>
      <c r="Y22" s="16"/>
      <c r="Z22" s="16">
        <f t="shared" si="6"/>
        <v>0</v>
      </c>
      <c r="AA22" s="16">
        <f t="shared" si="0"/>
        <v>0</v>
      </c>
      <c r="AB22" s="16"/>
      <c r="AC22" s="17"/>
      <c r="AD22" s="48"/>
    </row>
    <row r="23" spans="1:30" ht="19.5" thickBot="1" x14ac:dyDescent="0.3">
      <c r="A23" s="14">
        <v>21</v>
      </c>
      <c r="B23" s="15"/>
      <c r="C23" s="15" t="e">
        <f>VLOOKUP(B23,داتا!$B$3:$D$107,2,FALSE)</f>
        <v>#N/A</v>
      </c>
      <c r="D23" s="34" t="e">
        <f>VLOOKUP(B23,داتا!$B$3:$D$107,3,FALSE)</f>
        <v>#N/A</v>
      </c>
      <c r="E23" s="15"/>
      <c r="F23" s="15"/>
      <c r="G23" s="16">
        <v>0.25</v>
      </c>
      <c r="H23" s="16"/>
      <c r="I23" s="16">
        <f t="shared" si="1"/>
        <v>-0.25</v>
      </c>
      <c r="J23" s="16"/>
      <c r="K23" s="16"/>
      <c r="L23" s="16"/>
      <c r="M23" s="16"/>
      <c r="N23" s="16">
        <f t="shared" si="2"/>
        <v>0</v>
      </c>
      <c r="O23" s="16" t="e">
        <f t="shared" si="3"/>
        <v>#N/A</v>
      </c>
      <c r="P23" s="16">
        <v>6.9444444444444397E-3</v>
      </c>
      <c r="Q23" s="16"/>
      <c r="R23" s="16">
        <f t="shared" si="4"/>
        <v>-6.9444444444444397E-3</v>
      </c>
      <c r="S23" s="16"/>
      <c r="T23" s="16" t="e">
        <f>VLOOKUP(E23,'[2]21-3-2026'!E$3:T$35,16,FALSE)</f>
        <v>#N/A</v>
      </c>
      <c r="U23" s="16"/>
      <c r="V23" s="16" t="e">
        <f t="shared" si="5"/>
        <v>#N/A</v>
      </c>
      <c r="W23" s="16"/>
      <c r="X23" s="16"/>
      <c r="Y23" s="16"/>
      <c r="Z23" s="16">
        <f t="shared" si="6"/>
        <v>0</v>
      </c>
      <c r="AA23" s="16">
        <f t="shared" si="0"/>
        <v>0</v>
      </c>
      <c r="AB23" s="16"/>
      <c r="AC23" s="17"/>
      <c r="AD23" s="48"/>
    </row>
    <row r="24" spans="1:30" ht="19.5" thickBot="1" x14ac:dyDescent="0.3">
      <c r="A24" s="14">
        <v>22</v>
      </c>
      <c r="B24" s="15"/>
      <c r="C24" s="15" t="e">
        <f>VLOOKUP(B24,داتا!$B$3:$D$107,2,FALSE)</f>
        <v>#N/A</v>
      </c>
      <c r="D24" s="34" t="e">
        <f>VLOOKUP(B24,داتا!$B$3:$D$107,3,FALSE)</f>
        <v>#N/A</v>
      </c>
      <c r="E24" s="15"/>
      <c r="F24" s="16"/>
      <c r="G24" s="16">
        <v>0.25</v>
      </c>
      <c r="H24" s="16"/>
      <c r="I24" s="16">
        <f t="shared" si="1"/>
        <v>-0.25</v>
      </c>
      <c r="J24" s="16"/>
      <c r="K24" s="16"/>
      <c r="L24" s="16"/>
      <c r="M24" s="16"/>
      <c r="N24" s="16">
        <f t="shared" si="2"/>
        <v>0</v>
      </c>
      <c r="O24" s="16" t="e">
        <f t="shared" si="3"/>
        <v>#N/A</v>
      </c>
      <c r="P24" s="16">
        <v>6.9444444444444397E-3</v>
      </c>
      <c r="Q24" s="16"/>
      <c r="R24" s="16">
        <f t="shared" si="4"/>
        <v>-6.9444444444444397E-3</v>
      </c>
      <c r="S24" s="16"/>
      <c r="T24" s="16" t="e">
        <f>VLOOKUP(E24,'[2]21-3-2026'!E$3:T$35,16,FALSE)</f>
        <v>#N/A</v>
      </c>
      <c r="U24" s="16"/>
      <c r="V24" s="16" t="e">
        <f t="shared" si="5"/>
        <v>#N/A</v>
      </c>
      <c r="W24" s="16"/>
      <c r="X24" s="16"/>
      <c r="Y24" s="16"/>
      <c r="Z24" s="16">
        <f t="shared" si="6"/>
        <v>0</v>
      </c>
      <c r="AA24" s="16">
        <f t="shared" si="0"/>
        <v>0</v>
      </c>
      <c r="AB24" s="16"/>
      <c r="AC24" s="17"/>
      <c r="AD24" s="48"/>
    </row>
    <row r="25" spans="1:30" ht="19.5" thickBot="1" x14ac:dyDescent="0.3">
      <c r="A25" s="14">
        <v>23</v>
      </c>
      <c r="B25" s="15"/>
      <c r="C25" s="15" t="e">
        <f>VLOOKUP(B25,داتا!$B$3:$D$107,2,FALSE)</f>
        <v>#N/A</v>
      </c>
      <c r="D25" s="34" t="e">
        <f>VLOOKUP(B25,داتا!$B$3:$D$107,3,FALSE)</f>
        <v>#N/A</v>
      </c>
      <c r="E25" s="15"/>
      <c r="F25" s="15"/>
      <c r="G25" s="16">
        <v>0.25</v>
      </c>
      <c r="H25" s="16"/>
      <c r="I25" s="16">
        <f t="shared" si="1"/>
        <v>-0.25</v>
      </c>
      <c r="J25" s="16"/>
      <c r="K25" s="16"/>
      <c r="L25" s="16"/>
      <c r="M25" s="16"/>
      <c r="N25" s="16">
        <f t="shared" si="2"/>
        <v>0</v>
      </c>
      <c r="O25" s="16" t="e">
        <f t="shared" si="3"/>
        <v>#N/A</v>
      </c>
      <c r="P25" s="16">
        <v>6.9444444444444397E-3</v>
      </c>
      <c r="Q25" s="16"/>
      <c r="R25" s="16">
        <f t="shared" si="4"/>
        <v>-6.9444444444444397E-3</v>
      </c>
      <c r="S25" s="16"/>
      <c r="T25" s="16" t="e">
        <f>VLOOKUP(E25,'[2]21-3-2026'!E$3:T$35,16,FALSE)</f>
        <v>#N/A</v>
      </c>
      <c r="U25" s="16"/>
      <c r="V25" s="16" t="e">
        <f t="shared" si="5"/>
        <v>#N/A</v>
      </c>
      <c r="W25" s="16"/>
      <c r="X25" s="16"/>
      <c r="Y25" s="16"/>
      <c r="Z25" s="16">
        <f t="shared" si="6"/>
        <v>0</v>
      </c>
      <c r="AA25" s="16">
        <f t="shared" si="0"/>
        <v>0</v>
      </c>
      <c r="AB25" s="16"/>
      <c r="AC25" s="19"/>
      <c r="AD25" s="48"/>
    </row>
    <row r="26" spans="1:30" ht="19.5" thickBot="1" x14ac:dyDescent="0.3">
      <c r="A26" s="14">
        <v>24</v>
      </c>
      <c r="B26" s="15"/>
      <c r="C26" s="15" t="e">
        <f>VLOOKUP(B26,داتا!$B$3:$D$107,2,FALSE)</f>
        <v>#N/A</v>
      </c>
      <c r="D26" s="34" t="e">
        <f>VLOOKUP(B26,داتا!$B$3:$D$107,3,FALSE)</f>
        <v>#N/A</v>
      </c>
      <c r="E26" s="15"/>
      <c r="F26" s="15"/>
      <c r="G26" s="16">
        <v>0.25</v>
      </c>
      <c r="H26" s="16"/>
      <c r="I26" s="16">
        <f t="shared" si="1"/>
        <v>-0.25</v>
      </c>
      <c r="J26" s="16"/>
      <c r="K26" s="16"/>
      <c r="L26" s="16"/>
      <c r="M26" s="16"/>
      <c r="N26" s="16">
        <f t="shared" si="2"/>
        <v>0</v>
      </c>
      <c r="O26" s="16" t="e">
        <f t="shared" si="3"/>
        <v>#N/A</v>
      </c>
      <c r="P26" s="16">
        <v>6.9444444444444397E-3</v>
      </c>
      <c r="Q26" s="16"/>
      <c r="R26" s="16">
        <f t="shared" si="4"/>
        <v>-6.9444444444444397E-3</v>
      </c>
      <c r="S26" s="16"/>
      <c r="T26" s="16" t="e">
        <f>VLOOKUP(E26,'[2]21-3-2026'!E$3:T$35,16,FALSE)</f>
        <v>#N/A</v>
      </c>
      <c r="U26" s="16"/>
      <c r="V26" s="16" t="e">
        <f t="shared" si="5"/>
        <v>#N/A</v>
      </c>
      <c r="W26" s="16"/>
      <c r="X26" s="16"/>
      <c r="Y26" s="16"/>
      <c r="Z26" s="16">
        <f t="shared" si="6"/>
        <v>0</v>
      </c>
      <c r="AA26" s="16">
        <f t="shared" si="0"/>
        <v>0</v>
      </c>
      <c r="AB26" s="16"/>
      <c r="AC26" s="19"/>
      <c r="AD26" s="48"/>
    </row>
    <row r="27" spans="1:30" ht="19.5" thickBot="1" x14ac:dyDescent="0.3">
      <c r="A27" s="14">
        <v>25</v>
      </c>
      <c r="B27" s="15"/>
      <c r="C27" s="15" t="e">
        <f>VLOOKUP(B27,داتا!$B$3:$D$107,2,FALSE)</f>
        <v>#N/A</v>
      </c>
      <c r="D27" s="34" t="e">
        <f>VLOOKUP(B27,داتا!$B$3:$D$107,3,FALSE)</f>
        <v>#N/A</v>
      </c>
      <c r="E27" s="15"/>
      <c r="F27" s="15"/>
      <c r="G27" s="16">
        <v>0.25</v>
      </c>
      <c r="H27" s="16"/>
      <c r="I27" s="16">
        <f t="shared" si="1"/>
        <v>-0.25</v>
      </c>
      <c r="J27" s="16"/>
      <c r="K27" s="16"/>
      <c r="L27" s="16"/>
      <c r="M27" s="16"/>
      <c r="N27" s="16">
        <f t="shared" si="2"/>
        <v>0</v>
      </c>
      <c r="O27" s="16" t="e">
        <f t="shared" si="3"/>
        <v>#N/A</v>
      </c>
      <c r="P27" s="16">
        <v>6.9444444444444397E-3</v>
      </c>
      <c r="Q27" s="16"/>
      <c r="R27" s="16">
        <f t="shared" si="4"/>
        <v>-6.9444444444444397E-3</v>
      </c>
      <c r="S27" s="16"/>
      <c r="T27" s="16" t="e">
        <f>VLOOKUP(E27,'[2]21-3-2026'!E$3:T$35,16,FALSE)</f>
        <v>#N/A</v>
      </c>
      <c r="U27" s="16"/>
      <c r="V27" s="16" t="e">
        <f t="shared" si="5"/>
        <v>#N/A</v>
      </c>
      <c r="W27" s="16"/>
      <c r="X27" s="16"/>
      <c r="Y27" s="16"/>
      <c r="Z27" s="16">
        <f t="shared" si="6"/>
        <v>0</v>
      </c>
      <c r="AA27" s="16">
        <f t="shared" si="0"/>
        <v>0</v>
      </c>
      <c r="AB27" s="16"/>
      <c r="AC27" s="19"/>
      <c r="AD27" s="48"/>
    </row>
    <row r="28" spans="1:30" ht="19.5" thickBot="1" x14ac:dyDescent="0.3">
      <c r="A28" s="14">
        <v>26</v>
      </c>
      <c r="B28" s="15"/>
      <c r="C28" s="15" t="e">
        <f>VLOOKUP(B28,داتا!$B$3:$D$107,2,FALSE)</f>
        <v>#N/A</v>
      </c>
      <c r="D28" s="34" t="e">
        <f>VLOOKUP(B28,داتا!$B$3:$D$107,3,FALSE)</f>
        <v>#N/A</v>
      </c>
      <c r="E28" s="15"/>
      <c r="F28" s="15"/>
      <c r="G28" s="16">
        <v>0.25</v>
      </c>
      <c r="H28" s="16"/>
      <c r="I28" s="16">
        <f t="shared" si="1"/>
        <v>-0.25</v>
      </c>
      <c r="J28" s="16"/>
      <c r="K28" s="16"/>
      <c r="L28" s="16"/>
      <c r="M28" s="16"/>
      <c r="N28" s="16">
        <f t="shared" si="2"/>
        <v>0</v>
      </c>
      <c r="O28" s="16" t="e">
        <f t="shared" si="3"/>
        <v>#N/A</v>
      </c>
      <c r="P28" s="16">
        <v>6.9444444444444397E-3</v>
      </c>
      <c r="Q28" s="16"/>
      <c r="R28" s="16">
        <f t="shared" si="4"/>
        <v>-6.9444444444444397E-3</v>
      </c>
      <c r="S28" s="16"/>
      <c r="T28" s="16" t="e">
        <f>VLOOKUP(E28,'[2]21-3-2026'!E$3:T$35,16,FALSE)</f>
        <v>#N/A</v>
      </c>
      <c r="U28" s="16"/>
      <c r="V28" s="16" t="e">
        <f t="shared" si="5"/>
        <v>#N/A</v>
      </c>
      <c r="W28" s="16"/>
      <c r="X28" s="16"/>
      <c r="Y28" s="16"/>
      <c r="Z28" s="16">
        <f t="shared" si="6"/>
        <v>0</v>
      </c>
      <c r="AA28" s="16">
        <f t="shared" si="0"/>
        <v>0</v>
      </c>
      <c r="AB28" s="16"/>
      <c r="AC28" s="17"/>
      <c r="AD28" s="48"/>
    </row>
    <row r="29" spans="1:30" ht="19.5" thickBot="1" x14ac:dyDescent="0.3">
      <c r="A29" s="14">
        <v>27</v>
      </c>
      <c r="B29" s="15"/>
      <c r="C29" s="15" t="e">
        <f>VLOOKUP(B29,داتا!$B$3:$D$107,2,FALSE)</f>
        <v>#N/A</v>
      </c>
      <c r="D29" s="34" t="e">
        <f>VLOOKUP(B29,داتا!$B$3:$D$107,3,FALSE)</f>
        <v>#N/A</v>
      </c>
      <c r="E29" s="15"/>
      <c r="F29" s="15"/>
      <c r="G29" s="16">
        <v>0.25</v>
      </c>
      <c r="H29" s="16"/>
      <c r="I29" s="16">
        <f t="shared" si="1"/>
        <v>-0.25</v>
      </c>
      <c r="J29" s="16"/>
      <c r="K29" s="16"/>
      <c r="L29" s="16"/>
      <c r="M29" s="16"/>
      <c r="N29" s="16">
        <f t="shared" si="2"/>
        <v>0</v>
      </c>
      <c r="O29" s="16" t="e">
        <f t="shared" si="3"/>
        <v>#N/A</v>
      </c>
      <c r="P29" s="16">
        <v>6.9444444444444397E-3</v>
      </c>
      <c r="Q29" s="16"/>
      <c r="R29" s="16">
        <f t="shared" si="4"/>
        <v>-6.9444444444444397E-3</v>
      </c>
      <c r="S29" s="16"/>
      <c r="T29" s="16" t="e">
        <f>VLOOKUP(E29,'[2]21-3-2026'!E$3:T$35,16,FALSE)</f>
        <v>#N/A</v>
      </c>
      <c r="U29" s="16"/>
      <c r="V29" s="16" t="e">
        <f t="shared" si="5"/>
        <v>#N/A</v>
      </c>
      <c r="W29" s="16"/>
      <c r="X29" s="16"/>
      <c r="Y29" s="16"/>
      <c r="Z29" s="16">
        <f t="shared" si="6"/>
        <v>0</v>
      </c>
      <c r="AA29" s="16">
        <f t="shared" si="0"/>
        <v>0</v>
      </c>
      <c r="AB29" s="16"/>
      <c r="AC29" s="18"/>
      <c r="AD29" s="48"/>
    </row>
    <row r="30" spans="1:30" ht="19.5" thickBot="1" x14ac:dyDescent="0.3">
      <c r="A30" s="14">
        <v>28</v>
      </c>
      <c r="B30" s="15"/>
      <c r="C30" s="15" t="e">
        <f>VLOOKUP(B30,داتا!$B$3:$D$107,2,FALSE)</f>
        <v>#N/A</v>
      </c>
      <c r="D30" s="34" t="e">
        <f>VLOOKUP(B30,داتا!$B$3:$D$107,3,FALSE)</f>
        <v>#N/A</v>
      </c>
      <c r="E30" s="15"/>
      <c r="F30" s="15"/>
      <c r="G30" s="16">
        <v>0.25</v>
      </c>
      <c r="H30" s="16"/>
      <c r="I30" s="16">
        <f t="shared" si="1"/>
        <v>-0.25</v>
      </c>
      <c r="J30" s="16"/>
      <c r="K30" s="16"/>
      <c r="L30" s="16"/>
      <c r="M30" s="16"/>
      <c r="N30" s="16">
        <f t="shared" si="2"/>
        <v>0</v>
      </c>
      <c r="O30" s="16" t="e">
        <f t="shared" si="3"/>
        <v>#N/A</v>
      </c>
      <c r="P30" s="16">
        <v>6.9444444444444397E-3</v>
      </c>
      <c r="Q30" s="16"/>
      <c r="R30" s="16">
        <f t="shared" si="4"/>
        <v>-6.9444444444444397E-3</v>
      </c>
      <c r="S30" s="16"/>
      <c r="T30" s="16" t="e">
        <f>VLOOKUP(E30,'[2]21-3-2026'!E$3:T$35,16,FALSE)</f>
        <v>#N/A</v>
      </c>
      <c r="U30" s="16"/>
      <c r="V30" s="16" t="e">
        <f t="shared" si="5"/>
        <v>#N/A</v>
      </c>
      <c r="W30" s="16"/>
      <c r="X30" s="16"/>
      <c r="Y30" s="16"/>
      <c r="Z30" s="16">
        <f t="shared" si="6"/>
        <v>0</v>
      </c>
      <c r="AA30" s="16">
        <f t="shared" si="0"/>
        <v>0</v>
      </c>
      <c r="AB30" s="16"/>
      <c r="AC30" s="17"/>
      <c r="AD30" s="48"/>
    </row>
    <row r="31" spans="1:30" ht="19.5" thickBot="1" x14ac:dyDescent="0.3">
      <c r="A31" s="14">
        <v>29</v>
      </c>
      <c r="B31" s="15"/>
      <c r="C31" s="15" t="e">
        <f>VLOOKUP(B31,داتا!$B$3:$D$107,2,FALSE)</f>
        <v>#N/A</v>
      </c>
      <c r="D31" s="34" t="e">
        <f>VLOOKUP(B31,داتا!$B$3:$D$107,3,FALSE)</f>
        <v>#N/A</v>
      </c>
      <c r="E31" s="15"/>
      <c r="F31" s="15"/>
      <c r="G31" s="16">
        <v>0.25</v>
      </c>
      <c r="H31" s="16"/>
      <c r="I31" s="16">
        <f t="shared" si="1"/>
        <v>-0.25</v>
      </c>
      <c r="J31" s="16"/>
      <c r="K31" s="16"/>
      <c r="L31" s="16"/>
      <c r="M31" s="16"/>
      <c r="N31" s="16">
        <f t="shared" si="2"/>
        <v>0</v>
      </c>
      <c r="O31" s="16" t="e">
        <f t="shared" si="3"/>
        <v>#N/A</v>
      </c>
      <c r="P31" s="16">
        <v>6.9444444444444397E-3</v>
      </c>
      <c r="Q31" s="16"/>
      <c r="R31" s="16">
        <f t="shared" si="4"/>
        <v>-6.9444444444444397E-3</v>
      </c>
      <c r="S31" s="16"/>
      <c r="T31" s="16" t="e">
        <f>VLOOKUP(E31,'[2]21-3-2026'!E$3:T$35,16,FALSE)</f>
        <v>#N/A</v>
      </c>
      <c r="U31" s="16"/>
      <c r="V31" s="16" t="e">
        <f t="shared" si="5"/>
        <v>#N/A</v>
      </c>
      <c r="W31" s="16"/>
      <c r="X31" s="16"/>
      <c r="Y31" s="16"/>
      <c r="Z31" s="16">
        <f t="shared" si="6"/>
        <v>0</v>
      </c>
      <c r="AA31" s="16">
        <f t="shared" si="0"/>
        <v>0</v>
      </c>
      <c r="AB31" s="16"/>
      <c r="AC31" s="17"/>
      <c r="AD31" s="48"/>
    </row>
    <row r="32" spans="1:30" ht="19.5" thickBot="1" x14ac:dyDescent="0.3">
      <c r="A32" s="14">
        <v>30</v>
      </c>
      <c r="B32" s="15"/>
      <c r="C32" s="15" t="e">
        <f>VLOOKUP(B32,داتا!$B$3:$D$107,2,FALSE)</f>
        <v>#N/A</v>
      </c>
      <c r="D32" s="34" t="e">
        <f>VLOOKUP(B32,داتا!$B$3:$D$107,3,FALSE)</f>
        <v>#N/A</v>
      </c>
      <c r="E32" s="15"/>
      <c r="F32" s="15"/>
      <c r="G32" s="16">
        <v>0.25</v>
      </c>
      <c r="H32" s="16"/>
      <c r="I32" s="16">
        <f t="shared" si="1"/>
        <v>-0.25</v>
      </c>
      <c r="J32" s="16"/>
      <c r="K32" s="16"/>
      <c r="L32" s="16"/>
      <c r="M32" s="16"/>
      <c r="N32" s="16">
        <f t="shared" si="2"/>
        <v>0</v>
      </c>
      <c r="O32" s="16" t="e">
        <f t="shared" si="3"/>
        <v>#N/A</v>
      </c>
      <c r="P32" s="16">
        <v>6.9444444444444397E-3</v>
      </c>
      <c r="Q32" s="16"/>
      <c r="R32" s="16">
        <f t="shared" si="4"/>
        <v>-6.9444444444444397E-3</v>
      </c>
      <c r="S32" s="16"/>
      <c r="T32" s="16" t="e">
        <f>VLOOKUP(E32,'[2]21-3-2026'!E$3:T$35,16,FALSE)</f>
        <v>#N/A</v>
      </c>
      <c r="U32" s="16"/>
      <c r="V32" s="16" t="e">
        <f t="shared" si="5"/>
        <v>#N/A</v>
      </c>
      <c r="W32" s="16"/>
      <c r="X32" s="16"/>
      <c r="Y32" s="16"/>
      <c r="Z32" s="16">
        <f t="shared" si="6"/>
        <v>0</v>
      </c>
      <c r="AA32" s="16">
        <f t="shared" si="0"/>
        <v>0</v>
      </c>
      <c r="AB32" s="16"/>
      <c r="AC32" s="17"/>
      <c r="AD32" s="48"/>
    </row>
    <row r="33" spans="1:30" ht="19.5" thickBot="1" x14ac:dyDescent="0.3">
      <c r="A33" s="14">
        <v>31</v>
      </c>
      <c r="B33" s="15"/>
      <c r="C33" s="15" t="e">
        <f>VLOOKUP(B33,داتا!$B$3:$D$107,2,FALSE)</f>
        <v>#N/A</v>
      </c>
      <c r="D33" s="34" t="e">
        <f>VLOOKUP(B33,داتا!$B$3:$D$107,3,FALSE)</f>
        <v>#N/A</v>
      </c>
      <c r="E33" s="15"/>
      <c r="F33" s="15"/>
      <c r="G33" s="16">
        <v>0.25</v>
      </c>
      <c r="H33" s="16"/>
      <c r="I33" s="16">
        <f t="shared" si="1"/>
        <v>-0.25</v>
      </c>
      <c r="J33" s="16"/>
      <c r="K33" s="16"/>
      <c r="L33" s="16"/>
      <c r="M33" s="16"/>
      <c r="N33" s="16">
        <f t="shared" si="2"/>
        <v>0</v>
      </c>
      <c r="O33" s="16" t="e">
        <f t="shared" si="3"/>
        <v>#N/A</v>
      </c>
      <c r="P33" s="16">
        <v>6.9444444444444397E-3</v>
      </c>
      <c r="Q33" s="16"/>
      <c r="R33" s="16">
        <f t="shared" si="4"/>
        <v>-6.9444444444444397E-3</v>
      </c>
      <c r="S33" s="16"/>
      <c r="T33" s="16" t="e">
        <f>VLOOKUP(E33,'[2]21-3-2026'!E$3:T$35,16,FALSE)</f>
        <v>#N/A</v>
      </c>
      <c r="U33" s="16"/>
      <c r="V33" s="16" t="e">
        <f t="shared" si="5"/>
        <v>#N/A</v>
      </c>
      <c r="W33" s="16"/>
      <c r="X33" s="16"/>
      <c r="Y33" s="16"/>
      <c r="Z33" s="16">
        <f t="shared" si="6"/>
        <v>0</v>
      </c>
      <c r="AA33" s="16">
        <f t="shared" si="0"/>
        <v>0</v>
      </c>
      <c r="AB33" s="16"/>
      <c r="AC33" s="17"/>
      <c r="AD33" s="48"/>
    </row>
    <row r="34" spans="1:30" ht="19.5" thickBot="1" x14ac:dyDescent="0.3">
      <c r="A34" s="14">
        <v>32</v>
      </c>
      <c r="B34" s="15"/>
      <c r="C34" s="15" t="e">
        <f>VLOOKUP(B34,داتا!$B$3:$D$107,2,FALSE)</f>
        <v>#N/A</v>
      </c>
      <c r="D34" s="34" t="e">
        <f>VLOOKUP(B34,داتا!$B$3:$D$107,3,FALSE)</f>
        <v>#N/A</v>
      </c>
      <c r="E34" s="15"/>
      <c r="F34" s="15"/>
      <c r="G34" s="16">
        <v>0.25</v>
      </c>
      <c r="H34" s="16"/>
      <c r="I34" s="16">
        <f t="shared" si="1"/>
        <v>-0.25</v>
      </c>
      <c r="J34" s="16"/>
      <c r="K34" s="16"/>
      <c r="L34" s="16"/>
      <c r="M34" s="16"/>
      <c r="N34" s="16">
        <f t="shared" si="2"/>
        <v>0</v>
      </c>
      <c r="O34" s="16" t="e">
        <f t="shared" si="3"/>
        <v>#N/A</v>
      </c>
      <c r="P34" s="16">
        <v>6.9444444444444397E-3</v>
      </c>
      <c r="Q34" s="16"/>
      <c r="R34" s="16">
        <f t="shared" si="4"/>
        <v>-6.9444444444444397E-3</v>
      </c>
      <c r="S34" s="16"/>
      <c r="T34" s="16" t="e">
        <f>VLOOKUP(E34,'[2]21-3-2026'!E$3:T$35,16,FALSE)</f>
        <v>#N/A</v>
      </c>
      <c r="U34" s="16"/>
      <c r="V34" s="16" t="e">
        <f t="shared" si="5"/>
        <v>#N/A</v>
      </c>
      <c r="W34" s="16"/>
      <c r="X34" s="16"/>
      <c r="Y34" s="16"/>
      <c r="Z34" s="16">
        <f t="shared" si="6"/>
        <v>0</v>
      </c>
      <c r="AA34" s="16">
        <f t="shared" si="0"/>
        <v>0</v>
      </c>
      <c r="AB34" s="16"/>
      <c r="AC34" s="17"/>
      <c r="AD34" s="48"/>
    </row>
    <row r="35" spans="1:30" ht="19.5" thickBot="1" x14ac:dyDescent="0.3">
      <c r="A35" s="20">
        <v>33</v>
      </c>
      <c r="B35" s="21"/>
      <c r="C35" s="21" t="e">
        <f>VLOOKUP(B35,داتا!$B$3:$D$107,2,FALSE)</f>
        <v>#N/A</v>
      </c>
      <c r="D35" s="35" t="e">
        <f>VLOOKUP(B35,داتا!$B$3:$D$107,3,FALSE)</f>
        <v>#N/A</v>
      </c>
      <c r="E35" s="21"/>
      <c r="F35" s="21"/>
      <c r="G35" s="22">
        <v>0.25</v>
      </c>
      <c r="H35" s="22"/>
      <c r="I35" s="22">
        <f t="shared" si="1"/>
        <v>-0.25</v>
      </c>
      <c r="J35" s="22"/>
      <c r="K35" s="22"/>
      <c r="L35" s="22"/>
      <c r="M35" s="22"/>
      <c r="N35" s="22">
        <f t="shared" si="2"/>
        <v>0</v>
      </c>
      <c r="O35" s="22" t="e">
        <f t="shared" si="3"/>
        <v>#N/A</v>
      </c>
      <c r="P35" s="22">
        <v>6.9444444444444397E-3</v>
      </c>
      <c r="Q35" s="22"/>
      <c r="R35" s="22">
        <f t="shared" si="4"/>
        <v>-6.9444444444444397E-3</v>
      </c>
      <c r="S35" s="22"/>
      <c r="T35" s="22" t="e">
        <f>VLOOKUP(E35,'[2]21-3-2026'!E$3:T$35,16,FALSE)</f>
        <v>#N/A</v>
      </c>
      <c r="U35" s="22"/>
      <c r="V35" s="22" t="e">
        <f t="shared" si="5"/>
        <v>#N/A</v>
      </c>
      <c r="W35" s="22"/>
      <c r="X35" s="22"/>
      <c r="Y35" s="22"/>
      <c r="Z35" s="22">
        <f t="shared" si="6"/>
        <v>0</v>
      </c>
      <c r="AA35" s="22">
        <f t="shared" si="0"/>
        <v>0</v>
      </c>
      <c r="AB35" s="22"/>
      <c r="AC35" s="23"/>
      <c r="AD35" s="49"/>
    </row>
    <row r="36" spans="1:30" ht="20.25" customHeight="1" thickTop="1" thickBot="1" x14ac:dyDescent="0.3">
      <c r="A36" s="10">
        <v>1</v>
      </c>
      <c r="B36" s="11"/>
      <c r="C36" s="11" t="e">
        <f>VLOOKUP(B36,داتا!$B$3:$D$107,2,FALSE)</f>
        <v>#N/A</v>
      </c>
      <c r="D36" s="33" t="e">
        <f>VLOOKUP(B36,داتا!$B$3:$D$107,3,FALSE)</f>
        <v>#N/A</v>
      </c>
      <c r="E36" s="11"/>
      <c r="F36" s="11"/>
      <c r="G36" s="12">
        <v>0.25</v>
      </c>
      <c r="H36" s="12" t="e">
        <f>VLOOKUP(G36,$F$3:$I$35,2,FALSE)</f>
        <v>#N/A</v>
      </c>
      <c r="I36" s="12" t="e">
        <f t="shared" si="1"/>
        <v>#N/A</v>
      </c>
      <c r="J36" s="12"/>
      <c r="K36" s="12"/>
      <c r="L36" s="12"/>
      <c r="M36" s="12"/>
      <c r="N36" s="12">
        <f t="shared" si="2"/>
        <v>0</v>
      </c>
      <c r="O36" s="12" t="e">
        <f t="shared" si="3"/>
        <v>#N/A</v>
      </c>
      <c r="P36" s="12">
        <v>6.9444444444444397E-3</v>
      </c>
      <c r="Q36" s="12"/>
      <c r="R36" s="12">
        <f t="shared" si="4"/>
        <v>-6.9444444444444397E-3</v>
      </c>
      <c r="S36" s="12"/>
      <c r="T36" s="12" t="e">
        <f>VLOOKUP(E36,'[2]21-3-2026'!E$3:T$35,16,FALSE)</f>
        <v>#N/A</v>
      </c>
      <c r="U36" s="12"/>
      <c r="V36" s="12" t="e">
        <f t="shared" si="5"/>
        <v>#N/A</v>
      </c>
      <c r="W36" s="12"/>
      <c r="X36" s="12"/>
      <c r="Y36" s="12"/>
      <c r="Z36" s="12">
        <f t="shared" si="6"/>
        <v>0</v>
      </c>
      <c r="AA36" s="12">
        <f t="shared" si="0"/>
        <v>0</v>
      </c>
      <c r="AB36" s="12"/>
      <c r="AC36" s="29"/>
      <c r="AD36" s="50" t="s">
        <v>104</v>
      </c>
    </row>
    <row r="37" spans="1:30" ht="19.5" thickBot="1" x14ac:dyDescent="0.3">
      <c r="A37" s="14">
        <v>2</v>
      </c>
      <c r="B37" s="15"/>
      <c r="C37" s="15" t="e">
        <f>VLOOKUP(B37,داتا!$B$3:$D$107,2,FALSE)</f>
        <v>#N/A</v>
      </c>
      <c r="D37" s="34" t="e">
        <f>VLOOKUP(B37,داتا!$B$3:$D$107,3,FALSE)</f>
        <v>#N/A</v>
      </c>
      <c r="E37" s="15"/>
      <c r="F37" s="15"/>
      <c r="G37" s="16">
        <v>0.25</v>
      </c>
      <c r="H37" s="16" t="e">
        <f t="shared" ref="H37:H52" si="7">VLOOKUP(G37,$F$3:$I$35,2,FALSE)</f>
        <v>#N/A</v>
      </c>
      <c r="I37" s="16" t="e">
        <f t="shared" si="1"/>
        <v>#N/A</v>
      </c>
      <c r="J37" s="16"/>
      <c r="K37" s="16"/>
      <c r="L37" s="16"/>
      <c r="M37" s="16"/>
      <c r="N37" s="16">
        <f t="shared" si="2"/>
        <v>0</v>
      </c>
      <c r="O37" s="16" t="e">
        <f t="shared" si="3"/>
        <v>#N/A</v>
      </c>
      <c r="P37" s="16">
        <v>6.9444444444444397E-3</v>
      </c>
      <c r="Q37" s="16"/>
      <c r="R37" s="16">
        <f t="shared" si="4"/>
        <v>-6.9444444444444397E-3</v>
      </c>
      <c r="S37" s="16"/>
      <c r="T37" s="16" t="e">
        <f>VLOOKUP(E37,'[2]21-3-2026'!E$3:T$35,16,FALSE)</f>
        <v>#N/A</v>
      </c>
      <c r="U37" s="16"/>
      <c r="V37" s="16" t="e">
        <f t="shared" si="5"/>
        <v>#N/A</v>
      </c>
      <c r="W37" s="16"/>
      <c r="X37" s="16"/>
      <c r="Y37" s="16"/>
      <c r="Z37" s="16">
        <f t="shared" si="6"/>
        <v>0</v>
      </c>
      <c r="AA37" s="16">
        <f t="shared" si="0"/>
        <v>0</v>
      </c>
      <c r="AB37" s="16"/>
      <c r="AC37" s="19"/>
      <c r="AD37" s="51"/>
    </row>
    <row r="38" spans="1:30" ht="19.5" thickBot="1" x14ac:dyDescent="0.3">
      <c r="A38" s="14">
        <v>3</v>
      </c>
      <c r="B38" s="15"/>
      <c r="C38" s="15" t="e">
        <f>VLOOKUP(B38,داتا!$B$3:$D$107,2,FALSE)</f>
        <v>#N/A</v>
      </c>
      <c r="D38" s="34" t="e">
        <f>VLOOKUP(B38,داتا!$B$3:$D$107,3,FALSE)</f>
        <v>#N/A</v>
      </c>
      <c r="E38" s="15"/>
      <c r="F38" s="15"/>
      <c r="G38" s="16">
        <v>0.25</v>
      </c>
      <c r="H38" s="16" t="e">
        <f t="shared" si="7"/>
        <v>#N/A</v>
      </c>
      <c r="I38" s="16" t="e">
        <f t="shared" si="1"/>
        <v>#N/A</v>
      </c>
      <c r="J38" s="16"/>
      <c r="K38" s="16"/>
      <c r="L38" s="16"/>
      <c r="M38" s="16"/>
      <c r="N38" s="16">
        <f t="shared" si="2"/>
        <v>0</v>
      </c>
      <c r="O38" s="16" t="e">
        <f t="shared" si="3"/>
        <v>#N/A</v>
      </c>
      <c r="P38" s="16">
        <v>6.9444444444444397E-3</v>
      </c>
      <c r="Q38" s="16"/>
      <c r="R38" s="16">
        <f t="shared" si="4"/>
        <v>-6.9444444444444397E-3</v>
      </c>
      <c r="S38" s="16"/>
      <c r="T38" s="16" t="e">
        <f>VLOOKUP(E38,'[2]21-3-2026'!E$3:T$35,16,FALSE)</f>
        <v>#N/A</v>
      </c>
      <c r="U38" s="16"/>
      <c r="V38" s="16" t="e">
        <f t="shared" si="5"/>
        <v>#N/A</v>
      </c>
      <c r="W38" s="16"/>
      <c r="X38" s="16"/>
      <c r="Y38" s="16"/>
      <c r="Z38" s="16">
        <f t="shared" si="6"/>
        <v>0</v>
      </c>
      <c r="AA38" s="16">
        <f t="shared" si="0"/>
        <v>0</v>
      </c>
      <c r="AB38" s="16"/>
      <c r="AC38" s="19"/>
      <c r="AD38" s="51"/>
    </row>
    <row r="39" spans="1:30" ht="19.5" thickBot="1" x14ac:dyDescent="0.3">
      <c r="A39" s="14">
        <v>4</v>
      </c>
      <c r="B39" s="15"/>
      <c r="C39" s="15" t="e">
        <f>VLOOKUP(B39,داتا!$B$3:$D$107,2,FALSE)</f>
        <v>#N/A</v>
      </c>
      <c r="D39" s="34" t="e">
        <f>VLOOKUP(B39,داتا!$B$3:$D$107,3,FALSE)</f>
        <v>#N/A</v>
      </c>
      <c r="E39" s="15"/>
      <c r="F39" s="15"/>
      <c r="G39" s="16">
        <v>0.25</v>
      </c>
      <c r="H39" s="16" t="e">
        <f t="shared" si="7"/>
        <v>#N/A</v>
      </c>
      <c r="I39" s="16" t="e">
        <f t="shared" si="1"/>
        <v>#N/A</v>
      </c>
      <c r="J39" s="16"/>
      <c r="K39" s="16"/>
      <c r="L39" s="16"/>
      <c r="M39" s="16"/>
      <c r="N39" s="16">
        <f t="shared" si="2"/>
        <v>0</v>
      </c>
      <c r="O39" s="16" t="e">
        <f t="shared" si="3"/>
        <v>#N/A</v>
      </c>
      <c r="P39" s="16">
        <v>6.9444444444444397E-3</v>
      </c>
      <c r="Q39" s="16"/>
      <c r="R39" s="16">
        <f t="shared" si="4"/>
        <v>-6.9444444444444397E-3</v>
      </c>
      <c r="S39" s="16"/>
      <c r="T39" s="16" t="e">
        <f>VLOOKUP(E39,'[2]21-3-2026'!E$3:T$35,16,FALSE)</f>
        <v>#N/A</v>
      </c>
      <c r="U39" s="16"/>
      <c r="V39" s="16" t="e">
        <f t="shared" si="5"/>
        <v>#N/A</v>
      </c>
      <c r="W39" s="16"/>
      <c r="X39" s="16"/>
      <c r="Y39" s="16"/>
      <c r="Z39" s="16">
        <f t="shared" si="6"/>
        <v>0</v>
      </c>
      <c r="AA39" s="16">
        <f t="shared" si="0"/>
        <v>0</v>
      </c>
      <c r="AB39" s="16"/>
      <c r="AC39" s="17"/>
      <c r="AD39" s="51"/>
    </row>
    <row r="40" spans="1:30" ht="19.5" thickBot="1" x14ac:dyDescent="0.3">
      <c r="A40" s="14">
        <v>5</v>
      </c>
      <c r="B40" s="15"/>
      <c r="C40" s="15" t="e">
        <f>VLOOKUP(B40,داتا!$B$3:$D$107,2,FALSE)</f>
        <v>#N/A</v>
      </c>
      <c r="D40" s="34" t="e">
        <f>VLOOKUP(B40,داتا!$B$3:$D$107,3,FALSE)</f>
        <v>#N/A</v>
      </c>
      <c r="E40" s="15"/>
      <c r="F40" s="15"/>
      <c r="G40" s="16">
        <v>0.25</v>
      </c>
      <c r="H40" s="16" t="e">
        <f t="shared" si="7"/>
        <v>#N/A</v>
      </c>
      <c r="I40" s="16" t="e">
        <f t="shared" si="1"/>
        <v>#N/A</v>
      </c>
      <c r="J40" s="16"/>
      <c r="K40" s="16"/>
      <c r="L40" s="16"/>
      <c r="M40" s="16"/>
      <c r="N40" s="16">
        <f t="shared" si="2"/>
        <v>0</v>
      </c>
      <c r="O40" s="16" t="e">
        <f t="shared" si="3"/>
        <v>#N/A</v>
      </c>
      <c r="P40" s="16">
        <v>6.9444444444444397E-3</v>
      </c>
      <c r="Q40" s="16"/>
      <c r="R40" s="16">
        <f t="shared" si="4"/>
        <v>-6.9444444444444397E-3</v>
      </c>
      <c r="S40" s="16"/>
      <c r="T40" s="16" t="e">
        <f>VLOOKUP(E40,'[2]21-3-2026'!E$3:T$35,16,FALSE)</f>
        <v>#N/A</v>
      </c>
      <c r="U40" s="16"/>
      <c r="V40" s="16" t="e">
        <f t="shared" si="5"/>
        <v>#N/A</v>
      </c>
      <c r="W40" s="16"/>
      <c r="X40" s="16"/>
      <c r="Y40" s="16"/>
      <c r="Z40" s="16">
        <f t="shared" si="6"/>
        <v>0</v>
      </c>
      <c r="AA40" s="16">
        <f t="shared" si="0"/>
        <v>0</v>
      </c>
      <c r="AB40" s="16"/>
      <c r="AC40" s="17"/>
      <c r="AD40" s="51"/>
    </row>
    <row r="41" spans="1:30" ht="19.5" thickBot="1" x14ac:dyDescent="0.3">
      <c r="A41" s="14">
        <v>6</v>
      </c>
      <c r="B41" s="15"/>
      <c r="C41" s="15" t="e">
        <f>VLOOKUP(B41,داتا!$B$3:$D$107,2,FALSE)</f>
        <v>#N/A</v>
      </c>
      <c r="D41" s="34" t="e">
        <f>VLOOKUP(B41,داتا!$B$3:$D$107,3,FALSE)</f>
        <v>#N/A</v>
      </c>
      <c r="E41" s="15"/>
      <c r="F41" s="15"/>
      <c r="G41" s="16">
        <v>0.25</v>
      </c>
      <c r="H41" s="16" t="e">
        <f t="shared" si="7"/>
        <v>#N/A</v>
      </c>
      <c r="I41" s="16" t="e">
        <f t="shared" si="1"/>
        <v>#N/A</v>
      </c>
      <c r="J41" s="16"/>
      <c r="K41" s="16"/>
      <c r="L41" s="16"/>
      <c r="M41" s="16"/>
      <c r="N41" s="16">
        <f t="shared" si="2"/>
        <v>0</v>
      </c>
      <c r="O41" s="16" t="e">
        <f t="shared" si="3"/>
        <v>#N/A</v>
      </c>
      <c r="P41" s="16">
        <v>6.9444444444444397E-3</v>
      </c>
      <c r="Q41" s="16"/>
      <c r="R41" s="16">
        <f t="shared" si="4"/>
        <v>-6.9444444444444397E-3</v>
      </c>
      <c r="S41" s="16"/>
      <c r="T41" s="16" t="e">
        <f>VLOOKUP(E41,'[2]21-3-2026'!E$3:T$35,16,FALSE)</f>
        <v>#N/A</v>
      </c>
      <c r="U41" s="16"/>
      <c r="V41" s="16" t="e">
        <f t="shared" si="5"/>
        <v>#N/A</v>
      </c>
      <c r="W41" s="16"/>
      <c r="X41" s="16"/>
      <c r="Y41" s="16"/>
      <c r="Z41" s="16">
        <f t="shared" si="6"/>
        <v>0</v>
      </c>
      <c r="AA41" s="16">
        <f t="shared" si="0"/>
        <v>0</v>
      </c>
      <c r="AB41" s="16"/>
      <c r="AC41" s="17"/>
      <c r="AD41" s="51"/>
    </row>
    <row r="42" spans="1:30" ht="19.5" thickBot="1" x14ac:dyDescent="0.3">
      <c r="A42" s="14">
        <v>7</v>
      </c>
      <c r="B42" s="15"/>
      <c r="C42" s="15" t="e">
        <f>VLOOKUP(B42,داتا!$B$3:$D$107,2,FALSE)</f>
        <v>#N/A</v>
      </c>
      <c r="D42" s="34" t="e">
        <f>VLOOKUP(B42,داتا!$B$3:$D$107,3,FALSE)</f>
        <v>#N/A</v>
      </c>
      <c r="E42" s="15"/>
      <c r="F42" s="15"/>
      <c r="G42" s="16">
        <v>0.25</v>
      </c>
      <c r="H42" s="16" t="e">
        <f t="shared" si="7"/>
        <v>#N/A</v>
      </c>
      <c r="I42" s="16" t="e">
        <f t="shared" si="1"/>
        <v>#N/A</v>
      </c>
      <c r="J42" s="16"/>
      <c r="K42" s="16"/>
      <c r="L42" s="16"/>
      <c r="M42" s="16"/>
      <c r="N42" s="16">
        <f t="shared" si="2"/>
        <v>0</v>
      </c>
      <c r="O42" s="16" t="e">
        <f t="shared" si="3"/>
        <v>#N/A</v>
      </c>
      <c r="P42" s="16">
        <v>6.9444444444444397E-3</v>
      </c>
      <c r="Q42" s="16"/>
      <c r="R42" s="16">
        <f t="shared" si="4"/>
        <v>-6.9444444444444397E-3</v>
      </c>
      <c r="S42" s="16"/>
      <c r="T42" s="16" t="e">
        <f>VLOOKUP(E42,'[2]21-3-2026'!E$3:T$35,16,FALSE)</f>
        <v>#N/A</v>
      </c>
      <c r="U42" s="16"/>
      <c r="V42" s="16" t="e">
        <f t="shared" si="5"/>
        <v>#N/A</v>
      </c>
      <c r="W42" s="16"/>
      <c r="X42" s="16"/>
      <c r="Y42" s="16"/>
      <c r="Z42" s="16">
        <f t="shared" si="6"/>
        <v>0</v>
      </c>
      <c r="AA42" s="16">
        <f t="shared" si="0"/>
        <v>0</v>
      </c>
      <c r="AB42" s="16"/>
      <c r="AC42" s="17"/>
      <c r="AD42" s="51"/>
    </row>
    <row r="43" spans="1:30" ht="19.5" thickBot="1" x14ac:dyDescent="0.3">
      <c r="A43" s="14">
        <v>8</v>
      </c>
      <c r="B43" s="15"/>
      <c r="C43" s="15" t="e">
        <f>VLOOKUP(B43,داتا!$B$3:$D$107,2,FALSE)</f>
        <v>#N/A</v>
      </c>
      <c r="D43" s="34" t="e">
        <f>VLOOKUP(B43,داتا!$B$3:$D$107,3,FALSE)</f>
        <v>#N/A</v>
      </c>
      <c r="E43" s="15"/>
      <c r="F43" s="15"/>
      <c r="G43" s="16">
        <v>0.25</v>
      </c>
      <c r="H43" s="16" t="e">
        <f t="shared" si="7"/>
        <v>#N/A</v>
      </c>
      <c r="I43" s="16" t="e">
        <f t="shared" si="1"/>
        <v>#N/A</v>
      </c>
      <c r="J43" s="16"/>
      <c r="K43" s="16"/>
      <c r="L43" s="16"/>
      <c r="M43" s="16"/>
      <c r="N43" s="16">
        <f t="shared" si="2"/>
        <v>0</v>
      </c>
      <c r="O43" s="16" t="e">
        <f t="shared" si="3"/>
        <v>#N/A</v>
      </c>
      <c r="P43" s="16">
        <v>6.9444444444444397E-3</v>
      </c>
      <c r="Q43" s="16"/>
      <c r="R43" s="16">
        <f t="shared" si="4"/>
        <v>-6.9444444444444397E-3</v>
      </c>
      <c r="S43" s="16"/>
      <c r="T43" s="16" t="e">
        <f>VLOOKUP(E43,'[2]21-3-2026'!E$3:T$35,16,FALSE)</f>
        <v>#N/A</v>
      </c>
      <c r="U43" s="16"/>
      <c r="V43" s="16" t="e">
        <f t="shared" si="5"/>
        <v>#N/A</v>
      </c>
      <c r="W43" s="16"/>
      <c r="X43" s="16"/>
      <c r="Y43" s="16"/>
      <c r="Z43" s="16">
        <f t="shared" si="6"/>
        <v>0</v>
      </c>
      <c r="AA43" s="16">
        <f t="shared" si="0"/>
        <v>0</v>
      </c>
      <c r="AB43" s="16"/>
      <c r="AC43" s="17"/>
      <c r="AD43" s="51"/>
    </row>
    <row r="44" spans="1:30" ht="19.5" thickBot="1" x14ac:dyDescent="0.3">
      <c r="A44" s="14">
        <v>9</v>
      </c>
      <c r="B44" s="15"/>
      <c r="C44" s="15" t="e">
        <f>VLOOKUP(B44,داتا!$B$3:$D$107,2,FALSE)</f>
        <v>#N/A</v>
      </c>
      <c r="D44" s="34" t="e">
        <f>VLOOKUP(B44,داتا!$B$3:$D$107,3,FALSE)</f>
        <v>#N/A</v>
      </c>
      <c r="E44" s="15"/>
      <c r="F44" s="15"/>
      <c r="G44" s="16">
        <v>0.25</v>
      </c>
      <c r="H44" s="16" t="e">
        <f t="shared" si="7"/>
        <v>#N/A</v>
      </c>
      <c r="I44" s="16" t="e">
        <f t="shared" si="1"/>
        <v>#N/A</v>
      </c>
      <c r="J44" s="16"/>
      <c r="K44" s="16"/>
      <c r="L44" s="16"/>
      <c r="M44" s="16"/>
      <c r="N44" s="16">
        <f t="shared" si="2"/>
        <v>0</v>
      </c>
      <c r="O44" s="16" t="e">
        <f t="shared" si="3"/>
        <v>#N/A</v>
      </c>
      <c r="P44" s="16">
        <v>6.9444444444444397E-3</v>
      </c>
      <c r="Q44" s="16"/>
      <c r="R44" s="16">
        <f t="shared" si="4"/>
        <v>-6.9444444444444397E-3</v>
      </c>
      <c r="S44" s="16"/>
      <c r="T44" s="16" t="e">
        <f>VLOOKUP(E44,'[2]21-3-2026'!E$3:T$35,16,FALSE)</f>
        <v>#N/A</v>
      </c>
      <c r="U44" s="16"/>
      <c r="V44" s="16" t="e">
        <f t="shared" si="5"/>
        <v>#N/A</v>
      </c>
      <c r="W44" s="16"/>
      <c r="X44" s="16"/>
      <c r="Y44" s="16"/>
      <c r="Z44" s="16">
        <f t="shared" si="6"/>
        <v>0</v>
      </c>
      <c r="AA44" s="16">
        <f t="shared" si="0"/>
        <v>0</v>
      </c>
      <c r="AB44" s="16"/>
      <c r="AC44" s="17"/>
      <c r="AD44" s="51"/>
    </row>
    <row r="45" spans="1:30" ht="19.5" thickBot="1" x14ac:dyDescent="0.3">
      <c r="A45" s="14">
        <v>10</v>
      </c>
      <c r="B45" s="15"/>
      <c r="C45" s="15" t="e">
        <f>VLOOKUP(B45,داتا!$B$3:$D$107,2,FALSE)</f>
        <v>#N/A</v>
      </c>
      <c r="D45" s="34" t="e">
        <f>VLOOKUP(B45,داتا!$B$3:$D$107,3,FALSE)</f>
        <v>#N/A</v>
      </c>
      <c r="E45" s="15"/>
      <c r="F45" s="15"/>
      <c r="G45" s="16">
        <v>0.25</v>
      </c>
      <c r="H45" s="16" t="e">
        <f t="shared" si="7"/>
        <v>#N/A</v>
      </c>
      <c r="I45" s="16" t="e">
        <f t="shared" si="1"/>
        <v>#N/A</v>
      </c>
      <c r="J45" s="16"/>
      <c r="K45" s="16"/>
      <c r="L45" s="16"/>
      <c r="M45" s="16"/>
      <c r="N45" s="16">
        <f t="shared" si="2"/>
        <v>0</v>
      </c>
      <c r="O45" s="16" t="e">
        <f t="shared" si="3"/>
        <v>#N/A</v>
      </c>
      <c r="P45" s="16">
        <v>6.9444444444444397E-3</v>
      </c>
      <c r="Q45" s="16"/>
      <c r="R45" s="16">
        <f t="shared" si="4"/>
        <v>-6.9444444444444397E-3</v>
      </c>
      <c r="S45" s="16"/>
      <c r="T45" s="16" t="e">
        <f>VLOOKUP(E45,'[2]21-3-2026'!E$3:T$35,16,FALSE)</f>
        <v>#N/A</v>
      </c>
      <c r="U45" s="16"/>
      <c r="V45" s="16" t="e">
        <f t="shared" si="5"/>
        <v>#N/A</v>
      </c>
      <c r="W45" s="16"/>
      <c r="X45" s="16"/>
      <c r="Y45" s="16"/>
      <c r="Z45" s="16">
        <f t="shared" si="6"/>
        <v>0</v>
      </c>
      <c r="AA45" s="16">
        <f t="shared" si="0"/>
        <v>0</v>
      </c>
      <c r="AB45" s="16"/>
      <c r="AC45" s="17"/>
      <c r="AD45" s="51"/>
    </row>
    <row r="46" spans="1:30" ht="19.5" thickBot="1" x14ac:dyDescent="0.3">
      <c r="A46" s="14">
        <v>11</v>
      </c>
      <c r="B46" s="15"/>
      <c r="C46" s="15" t="e">
        <f>VLOOKUP(B46,داتا!$B$3:$D$107,2,FALSE)</f>
        <v>#N/A</v>
      </c>
      <c r="D46" s="34" t="e">
        <f>VLOOKUP(B46,داتا!$B$3:$D$107,3,FALSE)</f>
        <v>#N/A</v>
      </c>
      <c r="E46" s="15"/>
      <c r="F46" s="15"/>
      <c r="G46" s="16">
        <v>0.25</v>
      </c>
      <c r="H46" s="16" t="e">
        <f t="shared" si="7"/>
        <v>#N/A</v>
      </c>
      <c r="I46" s="16" t="e">
        <f t="shared" si="1"/>
        <v>#N/A</v>
      </c>
      <c r="J46" s="16"/>
      <c r="K46" s="16"/>
      <c r="L46" s="16"/>
      <c r="M46" s="16"/>
      <c r="N46" s="16">
        <f t="shared" si="2"/>
        <v>0</v>
      </c>
      <c r="O46" s="16" t="e">
        <f t="shared" si="3"/>
        <v>#N/A</v>
      </c>
      <c r="P46" s="16">
        <v>6.9444444444444397E-3</v>
      </c>
      <c r="Q46" s="16"/>
      <c r="R46" s="16">
        <f t="shared" si="4"/>
        <v>-6.9444444444444397E-3</v>
      </c>
      <c r="S46" s="16"/>
      <c r="T46" s="16" t="e">
        <f>VLOOKUP(E46,'[2]21-3-2026'!E$3:T$35,16,FALSE)</f>
        <v>#N/A</v>
      </c>
      <c r="U46" s="16"/>
      <c r="V46" s="16" t="e">
        <f t="shared" si="5"/>
        <v>#N/A</v>
      </c>
      <c r="W46" s="16"/>
      <c r="X46" s="16"/>
      <c r="Y46" s="16"/>
      <c r="Z46" s="16">
        <f t="shared" si="6"/>
        <v>0</v>
      </c>
      <c r="AA46" s="16">
        <f t="shared" si="0"/>
        <v>0</v>
      </c>
      <c r="AB46" s="16"/>
      <c r="AC46" s="17"/>
      <c r="AD46" s="51"/>
    </row>
    <row r="47" spans="1:30" ht="19.5" thickBot="1" x14ac:dyDescent="0.3">
      <c r="A47" s="14">
        <v>12</v>
      </c>
      <c r="B47" s="15"/>
      <c r="C47" s="15" t="e">
        <f>VLOOKUP(B47,داتا!$B$3:$D$107,2,FALSE)</f>
        <v>#N/A</v>
      </c>
      <c r="D47" s="34" t="e">
        <f>VLOOKUP(B47,داتا!$B$3:$D$107,3,FALSE)</f>
        <v>#N/A</v>
      </c>
      <c r="E47" s="15"/>
      <c r="F47" s="15"/>
      <c r="G47" s="16">
        <v>0.25</v>
      </c>
      <c r="H47" s="16" t="e">
        <f t="shared" si="7"/>
        <v>#N/A</v>
      </c>
      <c r="I47" s="16" t="e">
        <f t="shared" si="1"/>
        <v>#N/A</v>
      </c>
      <c r="J47" s="16"/>
      <c r="K47" s="16"/>
      <c r="L47" s="16"/>
      <c r="M47" s="16"/>
      <c r="N47" s="16">
        <f t="shared" si="2"/>
        <v>0</v>
      </c>
      <c r="O47" s="16" t="e">
        <f t="shared" si="3"/>
        <v>#N/A</v>
      </c>
      <c r="P47" s="16">
        <v>6.9444444444444397E-3</v>
      </c>
      <c r="Q47" s="16"/>
      <c r="R47" s="16">
        <f t="shared" si="4"/>
        <v>-6.9444444444444397E-3</v>
      </c>
      <c r="S47" s="16"/>
      <c r="T47" s="16" t="e">
        <f>VLOOKUP(E47,'[2]21-3-2026'!E$3:T$35,16,FALSE)</f>
        <v>#N/A</v>
      </c>
      <c r="U47" s="16"/>
      <c r="V47" s="16" t="e">
        <f t="shared" si="5"/>
        <v>#N/A</v>
      </c>
      <c r="W47" s="16"/>
      <c r="X47" s="16"/>
      <c r="Y47" s="16"/>
      <c r="Z47" s="16">
        <f t="shared" si="6"/>
        <v>0</v>
      </c>
      <c r="AA47" s="16">
        <f t="shared" si="0"/>
        <v>0</v>
      </c>
      <c r="AB47" s="16"/>
      <c r="AC47" s="17"/>
      <c r="AD47" s="51"/>
    </row>
    <row r="48" spans="1:30" ht="19.5" thickBot="1" x14ac:dyDescent="0.3">
      <c r="A48" s="14">
        <v>13</v>
      </c>
      <c r="B48" s="15"/>
      <c r="C48" s="15" t="e">
        <f>VLOOKUP(B48,داتا!$B$3:$D$107,2,FALSE)</f>
        <v>#N/A</v>
      </c>
      <c r="D48" s="34" t="e">
        <f>VLOOKUP(B48,داتا!$B$3:$D$107,3,FALSE)</f>
        <v>#N/A</v>
      </c>
      <c r="E48" s="15"/>
      <c r="F48" s="15"/>
      <c r="G48" s="16">
        <v>0.25</v>
      </c>
      <c r="H48" s="16" t="e">
        <f t="shared" si="7"/>
        <v>#N/A</v>
      </c>
      <c r="I48" s="16" t="e">
        <f t="shared" si="1"/>
        <v>#N/A</v>
      </c>
      <c r="J48" s="16"/>
      <c r="K48" s="16"/>
      <c r="L48" s="16"/>
      <c r="M48" s="16"/>
      <c r="N48" s="16">
        <f t="shared" si="2"/>
        <v>0</v>
      </c>
      <c r="O48" s="16" t="e">
        <f t="shared" si="3"/>
        <v>#N/A</v>
      </c>
      <c r="P48" s="16">
        <v>6.9444444444444397E-3</v>
      </c>
      <c r="Q48" s="16"/>
      <c r="R48" s="16">
        <f t="shared" si="4"/>
        <v>-6.9444444444444397E-3</v>
      </c>
      <c r="S48" s="16"/>
      <c r="T48" s="16" t="e">
        <f>VLOOKUP(E48,'[2]21-3-2026'!E$3:T$35,16,FALSE)</f>
        <v>#N/A</v>
      </c>
      <c r="U48" s="16"/>
      <c r="V48" s="16" t="e">
        <f t="shared" si="5"/>
        <v>#N/A</v>
      </c>
      <c r="W48" s="16"/>
      <c r="X48" s="16"/>
      <c r="Y48" s="16"/>
      <c r="Z48" s="16">
        <f t="shared" si="6"/>
        <v>0</v>
      </c>
      <c r="AA48" s="16">
        <f t="shared" si="0"/>
        <v>0</v>
      </c>
      <c r="AB48" s="16"/>
      <c r="AC48" s="17"/>
      <c r="AD48" s="51"/>
    </row>
    <row r="49" spans="1:30" ht="19.5" thickBot="1" x14ac:dyDescent="0.3">
      <c r="A49" s="14">
        <v>14</v>
      </c>
      <c r="B49" s="15"/>
      <c r="C49" s="15" t="e">
        <f>VLOOKUP(B49,داتا!$B$3:$D$107,2,FALSE)</f>
        <v>#N/A</v>
      </c>
      <c r="D49" s="34" t="e">
        <f>VLOOKUP(B49,داتا!$B$3:$D$107,3,FALSE)</f>
        <v>#N/A</v>
      </c>
      <c r="E49" s="15"/>
      <c r="F49" s="15"/>
      <c r="G49" s="16">
        <v>0.25</v>
      </c>
      <c r="H49" s="16" t="e">
        <f t="shared" si="7"/>
        <v>#N/A</v>
      </c>
      <c r="I49" s="16" t="e">
        <f t="shared" si="1"/>
        <v>#N/A</v>
      </c>
      <c r="J49" s="16"/>
      <c r="K49" s="16"/>
      <c r="L49" s="16"/>
      <c r="M49" s="16"/>
      <c r="N49" s="16">
        <f t="shared" si="2"/>
        <v>0</v>
      </c>
      <c r="O49" s="16" t="e">
        <f t="shared" si="3"/>
        <v>#N/A</v>
      </c>
      <c r="P49" s="16">
        <v>6.9444444444444397E-3</v>
      </c>
      <c r="Q49" s="16"/>
      <c r="R49" s="16">
        <f t="shared" si="4"/>
        <v>-6.9444444444444397E-3</v>
      </c>
      <c r="S49" s="16"/>
      <c r="T49" s="16" t="e">
        <f>VLOOKUP(E49,'[2]21-3-2026'!E$3:T$35,16,FALSE)</f>
        <v>#N/A</v>
      </c>
      <c r="U49" s="16"/>
      <c r="V49" s="16" t="e">
        <f t="shared" si="5"/>
        <v>#N/A</v>
      </c>
      <c r="W49" s="16"/>
      <c r="X49" s="16"/>
      <c r="Y49" s="16"/>
      <c r="Z49" s="16">
        <f t="shared" si="6"/>
        <v>0</v>
      </c>
      <c r="AA49" s="16">
        <f t="shared" si="0"/>
        <v>0</v>
      </c>
      <c r="AB49" s="16"/>
      <c r="AC49" s="17"/>
      <c r="AD49" s="51"/>
    </row>
    <row r="50" spans="1:30" ht="19.5" thickBot="1" x14ac:dyDescent="0.3">
      <c r="A50" s="14">
        <v>15</v>
      </c>
      <c r="B50" s="15"/>
      <c r="C50" s="15" t="e">
        <f>VLOOKUP(B50,داتا!$B$3:$D$107,2,FALSE)</f>
        <v>#N/A</v>
      </c>
      <c r="D50" s="34" t="e">
        <f>VLOOKUP(B50,داتا!$B$3:$D$107,3,FALSE)</f>
        <v>#N/A</v>
      </c>
      <c r="E50" s="15"/>
      <c r="F50" s="15"/>
      <c r="G50" s="16">
        <v>0.25</v>
      </c>
      <c r="H50" s="16" t="e">
        <f t="shared" si="7"/>
        <v>#N/A</v>
      </c>
      <c r="I50" s="16" t="e">
        <f t="shared" si="1"/>
        <v>#N/A</v>
      </c>
      <c r="J50" s="16"/>
      <c r="K50" s="16"/>
      <c r="L50" s="16"/>
      <c r="M50" s="16"/>
      <c r="N50" s="16">
        <f t="shared" si="2"/>
        <v>0</v>
      </c>
      <c r="O50" s="16" t="e">
        <f t="shared" si="3"/>
        <v>#N/A</v>
      </c>
      <c r="P50" s="16">
        <v>6.9444444444444397E-3</v>
      </c>
      <c r="Q50" s="16"/>
      <c r="R50" s="16">
        <f t="shared" si="4"/>
        <v>-6.9444444444444397E-3</v>
      </c>
      <c r="S50" s="16"/>
      <c r="T50" s="16" t="e">
        <f>VLOOKUP(E50,'[2]21-3-2026'!E$3:T$35,16,FALSE)</f>
        <v>#N/A</v>
      </c>
      <c r="U50" s="16"/>
      <c r="V50" s="16" t="e">
        <f t="shared" si="5"/>
        <v>#N/A</v>
      </c>
      <c r="W50" s="16"/>
      <c r="X50" s="16"/>
      <c r="Y50" s="16"/>
      <c r="Z50" s="16">
        <f t="shared" si="6"/>
        <v>0</v>
      </c>
      <c r="AA50" s="16">
        <f t="shared" si="0"/>
        <v>0</v>
      </c>
      <c r="AB50" s="16"/>
      <c r="AC50" s="17"/>
      <c r="AD50" s="51"/>
    </row>
    <row r="51" spans="1:30" ht="19.5" thickBot="1" x14ac:dyDescent="0.3">
      <c r="A51" s="14">
        <v>16</v>
      </c>
      <c r="B51" s="15"/>
      <c r="C51" s="15" t="e">
        <f>VLOOKUP(B51,داتا!$B$3:$D$107,2,FALSE)</f>
        <v>#N/A</v>
      </c>
      <c r="D51" s="34" t="e">
        <f>VLOOKUP(B51,داتا!$B$3:$D$107,3,FALSE)</f>
        <v>#N/A</v>
      </c>
      <c r="E51" s="15"/>
      <c r="F51" s="15"/>
      <c r="G51" s="16">
        <v>0.25</v>
      </c>
      <c r="H51" s="16" t="e">
        <f t="shared" si="7"/>
        <v>#N/A</v>
      </c>
      <c r="I51" s="16" t="e">
        <f t="shared" si="1"/>
        <v>#N/A</v>
      </c>
      <c r="J51" s="16"/>
      <c r="K51" s="16"/>
      <c r="L51" s="16"/>
      <c r="M51" s="16"/>
      <c r="N51" s="16">
        <f t="shared" si="2"/>
        <v>0</v>
      </c>
      <c r="O51" s="16" t="e">
        <f t="shared" si="3"/>
        <v>#N/A</v>
      </c>
      <c r="P51" s="16">
        <v>6.9444444444444397E-3</v>
      </c>
      <c r="Q51" s="16"/>
      <c r="R51" s="16">
        <f t="shared" si="4"/>
        <v>-6.9444444444444397E-3</v>
      </c>
      <c r="S51" s="16"/>
      <c r="T51" s="16" t="e">
        <f>VLOOKUP(E51,'[2]21-3-2026'!E$3:T$35,16,FALSE)</f>
        <v>#N/A</v>
      </c>
      <c r="U51" s="16"/>
      <c r="V51" s="16" t="e">
        <f t="shared" si="5"/>
        <v>#N/A</v>
      </c>
      <c r="W51" s="16"/>
      <c r="X51" s="16"/>
      <c r="Y51" s="16"/>
      <c r="Z51" s="16">
        <f t="shared" si="6"/>
        <v>0</v>
      </c>
      <c r="AA51" s="16">
        <f t="shared" si="0"/>
        <v>0</v>
      </c>
      <c r="AB51" s="16"/>
      <c r="AC51" s="17"/>
      <c r="AD51" s="51"/>
    </row>
    <row r="52" spans="1:30" ht="19.5" thickBot="1" x14ac:dyDescent="0.3">
      <c r="A52" s="14">
        <v>17</v>
      </c>
      <c r="B52" s="15"/>
      <c r="C52" s="15" t="e">
        <f>VLOOKUP(B52,داتا!$B$3:$D$107,2,FALSE)</f>
        <v>#N/A</v>
      </c>
      <c r="D52" s="34" t="e">
        <f>VLOOKUP(B52,داتا!$B$3:$D$107,3,FALSE)</f>
        <v>#N/A</v>
      </c>
      <c r="E52" s="15"/>
      <c r="F52" s="15"/>
      <c r="G52" s="16">
        <v>0.25</v>
      </c>
      <c r="H52" s="16" t="e">
        <f t="shared" si="7"/>
        <v>#N/A</v>
      </c>
      <c r="I52" s="16" t="e">
        <f t="shared" si="1"/>
        <v>#N/A</v>
      </c>
      <c r="J52" s="16"/>
      <c r="K52" s="16"/>
      <c r="L52" s="16"/>
      <c r="M52" s="16"/>
      <c r="N52" s="16">
        <f t="shared" si="2"/>
        <v>0</v>
      </c>
      <c r="O52" s="16" t="e">
        <f t="shared" si="3"/>
        <v>#N/A</v>
      </c>
      <c r="P52" s="16">
        <v>6.9444444444444397E-3</v>
      </c>
      <c r="Q52" s="16"/>
      <c r="R52" s="16">
        <f t="shared" si="4"/>
        <v>-6.9444444444444397E-3</v>
      </c>
      <c r="S52" s="16"/>
      <c r="T52" s="16" t="e">
        <f>VLOOKUP(E52,'[2]21-3-2026'!E$3:T$35,16,FALSE)</f>
        <v>#N/A</v>
      </c>
      <c r="U52" s="16"/>
      <c r="V52" s="16" t="e">
        <f t="shared" si="5"/>
        <v>#N/A</v>
      </c>
      <c r="W52" s="16"/>
      <c r="X52" s="16"/>
      <c r="Y52" s="16"/>
      <c r="Z52" s="16">
        <f t="shared" si="6"/>
        <v>0</v>
      </c>
      <c r="AA52" s="16">
        <f t="shared" si="0"/>
        <v>0</v>
      </c>
      <c r="AB52" s="16"/>
      <c r="AC52" s="17"/>
      <c r="AD52" s="51"/>
    </row>
    <row r="53" spans="1:30" ht="19.5" thickBot="1" x14ac:dyDescent="0.3">
      <c r="A53" s="14">
        <v>18</v>
      </c>
      <c r="B53" s="15"/>
      <c r="C53" s="15" t="e">
        <f>VLOOKUP(B53,داتا!$B$3:$D$107,2,FALSE)</f>
        <v>#N/A</v>
      </c>
      <c r="D53" s="34" t="e">
        <f>VLOOKUP(B53,داتا!$B$3:$D$107,3,FALSE)</f>
        <v>#N/A</v>
      </c>
      <c r="E53" s="15"/>
      <c r="F53" s="15"/>
      <c r="G53" s="16">
        <v>0.25</v>
      </c>
      <c r="H53" s="16" t="e">
        <f t="shared" ref="H53:H68" si="8">VLOOKUP(G53,$F$3:$I$35,2,FALSE)</f>
        <v>#N/A</v>
      </c>
      <c r="I53" s="16" t="e">
        <f t="shared" si="1"/>
        <v>#N/A</v>
      </c>
      <c r="J53" s="16"/>
      <c r="K53" s="16"/>
      <c r="L53" s="16"/>
      <c r="M53" s="16"/>
      <c r="N53" s="16">
        <f t="shared" si="2"/>
        <v>0</v>
      </c>
      <c r="O53" s="16" t="e">
        <f t="shared" si="3"/>
        <v>#N/A</v>
      </c>
      <c r="P53" s="16">
        <v>6.9444444444444397E-3</v>
      </c>
      <c r="Q53" s="16"/>
      <c r="R53" s="16">
        <f t="shared" si="4"/>
        <v>-6.9444444444444397E-3</v>
      </c>
      <c r="S53" s="16"/>
      <c r="T53" s="16" t="e">
        <f>VLOOKUP(E53,'[2]21-3-2026'!E$3:T$35,16,FALSE)</f>
        <v>#N/A</v>
      </c>
      <c r="U53" s="16"/>
      <c r="V53" s="16" t="e">
        <f t="shared" si="5"/>
        <v>#N/A</v>
      </c>
      <c r="W53" s="16"/>
      <c r="X53" s="16"/>
      <c r="Y53" s="16"/>
      <c r="Z53" s="16">
        <f t="shared" si="6"/>
        <v>0</v>
      </c>
      <c r="AA53" s="16">
        <f t="shared" si="0"/>
        <v>0</v>
      </c>
      <c r="AB53" s="16"/>
      <c r="AC53" s="17"/>
      <c r="AD53" s="51"/>
    </row>
    <row r="54" spans="1:30" ht="19.5" thickBot="1" x14ac:dyDescent="0.3">
      <c r="A54" s="14">
        <v>19</v>
      </c>
      <c r="B54" s="15"/>
      <c r="C54" s="15" t="e">
        <f>VLOOKUP(B54,داتا!$B$3:$D$107,2,FALSE)</f>
        <v>#N/A</v>
      </c>
      <c r="D54" s="34" t="e">
        <f>VLOOKUP(B54,داتا!$B$3:$D$107,3,FALSE)</f>
        <v>#N/A</v>
      </c>
      <c r="E54" s="15"/>
      <c r="F54" s="15"/>
      <c r="G54" s="16">
        <v>0.25</v>
      </c>
      <c r="H54" s="16" t="e">
        <f t="shared" si="8"/>
        <v>#N/A</v>
      </c>
      <c r="I54" s="16" t="e">
        <f t="shared" si="1"/>
        <v>#N/A</v>
      </c>
      <c r="J54" s="16"/>
      <c r="K54" s="16"/>
      <c r="L54" s="16"/>
      <c r="M54" s="16"/>
      <c r="N54" s="16">
        <f t="shared" si="2"/>
        <v>0</v>
      </c>
      <c r="O54" s="16" t="e">
        <f t="shared" si="3"/>
        <v>#N/A</v>
      </c>
      <c r="P54" s="16">
        <v>6.9444444444444397E-3</v>
      </c>
      <c r="Q54" s="16"/>
      <c r="R54" s="16">
        <f t="shared" si="4"/>
        <v>-6.9444444444444397E-3</v>
      </c>
      <c r="S54" s="16"/>
      <c r="T54" s="16" t="e">
        <f>VLOOKUP(E54,'[2]21-3-2026'!E$3:T$35,16,FALSE)</f>
        <v>#N/A</v>
      </c>
      <c r="U54" s="16"/>
      <c r="V54" s="16" t="e">
        <f t="shared" si="5"/>
        <v>#N/A</v>
      </c>
      <c r="W54" s="16"/>
      <c r="X54" s="16"/>
      <c r="Y54" s="16"/>
      <c r="Z54" s="16">
        <f t="shared" si="6"/>
        <v>0</v>
      </c>
      <c r="AA54" s="16">
        <f t="shared" si="0"/>
        <v>0</v>
      </c>
      <c r="AB54" s="16"/>
      <c r="AC54" s="17"/>
      <c r="AD54" s="51"/>
    </row>
    <row r="55" spans="1:30" ht="19.5" thickBot="1" x14ac:dyDescent="0.3">
      <c r="A55" s="14">
        <v>20</v>
      </c>
      <c r="B55" s="15"/>
      <c r="C55" s="15" t="e">
        <f>VLOOKUP(B55,داتا!$B$3:$D$107,2,FALSE)</f>
        <v>#N/A</v>
      </c>
      <c r="D55" s="34" t="e">
        <f>VLOOKUP(B55,داتا!$B$3:$D$107,3,FALSE)</f>
        <v>#N/A</v>
      </c>
      <c r="E55" s="15"/>
      <c r="F55" s="15"/>
      <c r="G55" s="16">
        <v>0.25</v>
      </c>
      <c r="H55" s="16" t="e">
        <f t="shared" si="8"/>
        <v>#N/A</v>
      </c>
      <c r="I55" s="16" t="e">
        <f t="shared" si="1"/>
        <v>#N/A</v>
      </c>
      <c r="J55" s="16"/>
      <c r="K55" s="16"/>
      <c r="L55" s="16"/>
      <c r="M55" s="16"/>
      <c r="N55" s="16">
        <f t="shared" si="2"/>
        <v>0</v>
      </c>
      <c r="O55" s="16" t="e">
        <f t="shared" si="3"/>
        <v>#N/A</v>
      </c>
      <c r="P55" s="16">
        <v>6.9444444444444397E-3</v>
      </c>
      <c r="Q55" s="16"/>
      <c r="R55" s="16">
        <f t="shared" si="4"/>
        <v>-6.9444444444444397E-3</v>
      </c>
      <c r="S55" s="16"/>
      <c r="T55" s="16" t="e">
        <f>VLOOKUP(E55,'[2]21-3-2026'!E$3:T$35,16,FALSE)</f>
        <v>#N/A</v>
      </c>
      <c r="U55" s="16"/>
      <c r="V55" s="16" t="e">
        <f t="shared" si="5"/>
        <v>#N/A</v>
      </c>
      <c r="W55" s="16"/>
      <c r="X55" s="16"/>
      <c r="Y55" s="16"/>
      <c r="Z55" s="16">
        <f t="shared" si="6"/>
        <v>0</v>
      </c>
      <c r="AA55" s="16">
        <f t="shared" si="0"/>
        <v>0</v>
      </c>
      <c r="AB55" s="16"/>
      <c r="AC55" s="17"/>
      <c r="AD55" s="51"/>
    </row>
    <row r="56" spans="1:30" ht="19.5" thickBot="1" x14ac:dyDescent="0.3">
      <c r="A56" s="14">
        <v>21</v>
      </c>
      <c r="B56" s="15"/>
      <c r="C56" s="15" t="e">
        <f>VLOOKUP(B56,داتا!$B$3:$D$107,2,FALSE)</f>
        <v>#N/A</v>
      </c>
      <c r="D56" s="34" t="e">
        <f>VLOOKUP(B56,داتا!$B$3:$D$107,3,FALSE)</f>
        <v>#N/A</v>
      </c>
      <c r="E56" s="15"/>
      <c r="F56" s="15"/>
      <c r="G56" s="16">
        <v>0.25</v>
      </c>
      <c r="H56" s="16" t="e">
        <f t="shared" si="8"/>
        <v>#N/A</v>
      </c>
      <c r="I56" s="16" t="e">
        <f t="shared" si="1"/>
        <v>#N/A</v>
      </c>
      <c r="J56" s="16"/>
      <c r="K56" s="16"/>
      <c r="L56" s="15"/>
      <c r="M56" s="15"/>
      <c r="N56" s="16">
        <f t="shared" si="2"/>
        <v>0</v>
      </c>
      <c r="O56" s="16" t="e">
        <f t="shared" si="3"/>
        <v>#N/A</v>
      </c>
      <c r="P56" s="16">
        <v>6.9444444444444397E-3</v>
      </c>
      <c r="Q56" s="16"/>
      <c r="R56" s="16">
        <f t="shared" si="4"/>
        <v>-6.9444444444444397E-3</v>
      </c>
      <c r="S56" s="16"/>
      <c r="T56" s="16" t="e">
        <f>VLOOKUP(E56,'[2]21-3-2026'!E$3:T$35,16,FALSE)</f>
        <v>#N/A</v>
      </c>
      <c r="U56" s="16"/>
      <c r="V56" s="16" t="e">
        <f t="shared" si="5"/>
        <v>#N/A</v>
      </c>
      <c r="W56" s="16"/>
      <c r="X56" s="16"/>
      <c r="Y56" s="16"/>
      <c r="Z56" s="16">
        <f t="shared" si="6"/>
        <v>0</v>
      </c>
      <c r="AA56" s="16">
        <f t="shared" si="0"/>
        <v>0</v>
      </c>
      <c r="AB56" s="16"/>
      <c r="AC56" s="17"/>
      <c r="AD56" s="51"/>
    </row>
    <row r="57" spans="1:30" ht="19.5" thickBot="1" x14ac:dyDescent="0.3">
      <c r="A57" s="14">
        <v>22</v>
      </c>
      <c r="B57" s="15"/>
      <c r="C57" s="15" t="e">
        <f>VLOOKUP(B57,داتا!$B$3:$D$107,2,FALSE)</f>
        <v>#N/A</v>
      </c>
      <c r="D57" s="34" t="e">
        <f>VLOOKUP(B57,داتا!$B$3:$D$107,3,FALSE)</f>
        <v>#N/A</v>
      </c>
      <c r="E57" s="15"/>
      <c r="F57" s="15"/>
      <c r="G57" s="16">
        <v>0.25</v>
      </c>
      <c r="H57" s="16" t="e">
        <f t="shared" si="8"/>
        <v>#N/A</v>
      </c>
      <c r="I57" s="16" t="e">
        <f t="shared" si="1"/>
        <v>#N/A</v>
      </c>
      <c r="J57" s="16"/>
      <c r="K57" s="16"/>
      <c r="L57" s="15"/>
      <c r="M57" s="15"/>
      <c r="N57" s="16">
        <f t="shared" si="2"/>
        <v>0</v>
      </c>
      <c r="O57" s="16" t="e">
        <f t="shared" si="3"/>
        <v>#N/A</v>
      </c>
      <c r="P57" s="16">
        <v>6.9444444444444397E-3</v>
      </c>
      <c r="Q57" s="16"/>
      <c r="R57" s="16">
        <f t="shared" si="4"/>
        <v>-6.9444444444444397E-3</v>
      </c>
      <c r="S57" s="16"/>
      <c r="T57" s="16" t="e">
        <f>VLOOKUP(E57,'[2]21-3-2026'!E$3:T$35,16,FALSE)</f>
        <v>#N/A</v>
      </c>
      <c r="U57" s="16"/>
      <c r="V57" s="16" t="e">
        <f t="shared" si="5"/>
        <v>#N/A</v>
      </c>
      <c r="W57" s="16"/>
      <c r="X57" s="16"/>
      <c r="Y57" s="16"/>
      <c r="Z57" s="16">
        <f t="shared" si="6"/>
        <v>0</v>
      </c>
      <c r="AA57" s="16">
        <f t="shared" si="0"/>
        <v>0</v>
      </c>
      <c r="AB57" s="16"/>
      <c r="AC57" s="17"/>
      <c r="AD57" s="51"/>
    </row>
    <row r="58" spans="1:30" ht="19.5" thickBot="1" x14ac:dyDescent="0.3">
      <c r="A58" s="14">
        <v>23</v>
      </c>
      <c r="B58" s="15"/>
      <c r="C58" s="15" t="e">
        <f>VLOOKUP(B58,داتا!$B$3:$D$107,2,FALSE)</f>
        <v>#N/A</v>
      </c>
      <c r="D58" s="34" t="e">
        <f>VLOOKUP(B58,داتا!$B$3:$D$107,3,FALSE)</f>
        <v>#N/A</v>
      </c>
      <c r="E58" s="15"/>
      <c r="F58" s="15"/>
      <c r="G58" s="16">
        <v>0.25</v>
      </c>
      <c r="H58" s="16" t="e">
        <f t="shared" si="8"/>
        <v>#N/A</v>
      </c>
      <c r="I58" s="16" t="e">
        <f t="shared" si="1"/>
        <v>#N/A</v>
      </c>
      <c r="J58" s="16"/>
      <c r="K58" s="16"/>
      <c r="L58" s="16"/>
      <c r="M58" s="16"/>
      <c r="N58" s="16">
        <f t="shared" si="2"/>
        <v>0</v>
      </c>
      <c r="O58" s="16" t="e">
        <f t="shared" si="3"/>
        <v>#N/A</v>
      </c>
      <c r="P58" s="16">
        <v>6.9444444444444397E-3</v>
      </c>
      <c r="Q58" s="16"/>
      <c r="R58" s="16">
        <f t="shared" si="4"/>
        <v>-6.9444444444444397E-3</v>
      </c>
      <c r="S58" s="16"/>
      <c r="T58" s="16" t="e">
        <f>VLOOKUP(E58,'[2]21-3-2026'!E$3:T$35,16,FALSE)</f>
        <v>#N/A</v>
      </c>
      <c r="U58" s="16"/>
      <c r="V58" s="16" t="e">
        <f t="shared" si="5"/>
        <v>#N/A</v>
      </c>
      <c r="W58" s="16"/>
      <c r="X58" s="16"/>
      <c r="Y58" s="16"/>
      <c r="Z58" s="16">
        <f t="shared" si="6"/>
        <v>0</v>
      </c>
      <c r="AA58" s="16">
        <f t="shared" si="0"/>
        <v>0</v>
      </c>
      <c r="AB58" s="16"/>
      <c r="AC58" s="17"/>
      <c r="AD58" s="51"/>
    </row>
    <row r="59" spans="1:30" ht="19.5" thickBot="1" x14ac:dyDescent="0.3">
      <c r="A59" s="14">
        <v>24</v>
      </c>
      <c r="B59" s="15"/>
      <c r="C59" s="15" t="e">
        <f>VLOOKUP(B59,داتا!$B$3:$D$107,2,FALSE)</f>
        <v>#N/A</v>
      </c>
      <c r="D59" s="34" t="e">
        <f>VLOOKUP(B59,داتا!$B$3:$D$107,3,FALSE)</f>
        <v>#N/A</v>
      </c>
      <c r="E59" s="16"/>
      <c r="F59" s="15"/>
      <c r="G59" s="16">
        <v>0.25</v>
      </c>
      <c r="H59" s="16" t="e">
        <f t="shared" si="8"/>
        <v>#N/A</v>
      </c>
      <c r="I59" s="16" t="e">
        <f t="shared" si="1"/>
        <v>#N/A</v>
      </c>
      <c r="J59" s="16"/>
      <c r="K59" s="16"/>
      <c r="L59" s="15"/>
      <c r="M59" s="15"/>
      <c r="N59" s="16">
        <f t="shared" si="2"/>
        <v>0</v>
      </c>
      <c r="O59" s="16" t="e">
        <f t="shared" si="3"/>
        <v>#N/A</v>
      </c>
      <c r="P59" s="16">
        <v>6.9444444444444397E-3</v>
      </c>
      <c r="Q59" s="16"/>
      <c r="R59" s="16">
        <f t="shared" si="4"/>
        <v>-6.9444444444444397E-3</v>
      </c>
      <c r="S59" s="16"/>
      <c r="T59" s="16" t="e">
        <f>VLOOKUP(E59,'[2]21-3-2026'!E$3:T$35,16,FALSE)</f>
        <v>#N/A</v>
      </c>
      <c r="U59" s="16"/>
      <c r="V59" s="16" t="e">
        <f t="shared" si="5"/>
        <v>#N/A</v>
      </c>
      <c r="W59" s="16"/>
      <c r="X59" s="16"/>
      <c r="Y59" s="16"/>
      <c r="Z59" s="16">
        <f t="shared" si="6"/>
        <v>0</v>
      </c>
      <c r="AA59" s="16">
        <f t="shared" si="0"/>
        <v>0</v>
      </c>
      <c r="AB59" s="16"/>
      <c r="AC59" s="17"/>
      <c r="AD59" s="51"/>
    </row>
    <row r="60" spans="1:30" ht="19.5" thickBot="1" x14ac:dyDescent="0.3">
      <c r="A60" s="14">
        <v>25</v>
      </c>
      <c r="B60" s="15"/>
      <c r="C60" s="15" t="e">
        <f>VLOOKUP(B60,داتا!$B$3:$D$107,2,FALSE)</f>
        <v>#N/A</v>
      </c>
      <c r="D60" s="34" t="e">
        <f>VLOOKUP(B60,داتا!$B$3:$D$107,3,FALSE)</f>
        <v>#N/A</v>
      </c>
      <c r="E60" s="15"/>
      <c r="F60" s="15"/>
      <c r="G60" s="16">
        <v>0.25</v>
      </c>
      <c r="H60" s="16" t="e">
        <f t="shared" si="8"/>
        <v>#N/A</v>
      </c>
      <c r="I60" s="16" t="e">
        <f t="shared" si="1"/>
        <v>#N/A</v>
      </c>
      <c r="J60" s="16"/>
      <c r="K60" s="16"/>
      <c r="L60" s="16"/>
      <c r="M60" s="16"/>
      <c r="N60" s="16">
        <f t="shared" si="2"/>
        <v>0</v>
      </c>
      <c r="O60" s="16" t="e">
        <f t="shared" si="3"/>
        <v>#N/A</v>
      </c>
      <c r="P60" s="16">
        <v>6.9444444444444397E-3</v>
      </c>
      <c r="Q60" s="16"/>
      <c r="R60" s="16">
        <f t="shared" si="4"/>
        <v>-6.9444444444444397E-3</v>
      </c>
      <c r="S60" s="16"/>
      <c r="T60" s="16" t="e">
        <f>VLOOKUP(E60,'[2]21-3-2026'!E$3:T$35,16,FALSE)</f>
        <v>#N/A</v>
      </c>
      <c r="U60" s="16"/>
      <c r="V60" s="16" t="e">
        <f t="shared" si="5"/>
        <v>#N/A</v>
      </c>
      <c r="W60" s="16"/>
      <c r="X60" s="16"/>
      <c r="Y60" s="16"/>
      <c r="Z60" s="16">
        <f t="shared" si="6"/>
        <v>0</v>
      </c>
      <c r="AA60" s="16">
        <f t="shared" si="0"/>
        <v>0</v>
      </c>
      <c r="AB60" s="16"/>
      <c r="AC60" s="17"/>
      <c r="AD60" s="51"/>
    </row>
    <row r="61" spans="1:30" ht="19.5" thickBot="1" x14ac:dyDescent="0.3">
      <c r="A61" s="14">
        <v>26</v>
      </c>
      <c r="B61" s="15"/>
      <c r="C61" s="15" t="e">
        <f>VLOOKUP(B61,داتا!$B$3:$D$107,2,FALSE)</f>
        <v>#N/A</v>
      </c>
      <c r="D61" s="34" t="e">
        <f>VLOOKUP(B61,داتا!$B$3:$D$107,3,FALSE)</f>
        <v>#N/A</v>
      </c>
      <c r="E61" s="15"/>
      <c r="F61" s="15"/>
      <c r="G61" s="16">
        <v>0.25</v>
      </c>
      <c r="H61" s="16" t="e">
        <f t="shared" si="8"/>
        <v>#N/A</v>
      </c>
      <c r="I61" s="16" t="e">
        <f t="shared" si="1"/>
        <v>#N/A</v>
      </c>
      <c r="J61" s="16"/>
      <c r="K61" s="16"/>
      <c r="L61" s="16"/>
      <c r="M61" s="16"/>
      <c r="N61" s="16">
        <f t="shared" si="2"/>
        <v>0</v>
      </c>
      <c r="O61" s="16" t="e">
        <f t="shared" si="3"/>
        <v>#N/A</v>
      </c>
      <c r="P61" s="16">
        <v>6.9444444444444397E-3</v>
      </c>
      <c r="Q61" s="16"/>
      <c r="R61" s="16">
        <f t="shared" si="4"/>
        <v>-6.9444444444444397E-3</v>
      </c>
      <c r="S61" s="16"/>
      <c r="T61" s="16" t="e">
        <f>VLOOKUP(E61,'[2]21-3-2026'!E$3:T$35,16,FALSE)</f>
        <v>#N/A</v>
      </c>
      <c r="U61" s="16"/>
      <c r="V61" s="16" t="e">
        <f t="shared" si="5"/>
        <v>#N/A</v>
      </c>
      <c r="W61" s="16"/>
      <c r="X61" s="16"/>
      <c r="Y61" s="16"/>
      <c r="Z61" s="16">
        <f t="shared" si="6"/>
        <v>0</v>
      </c>
      <c r="AA61" s="16">
        <f t="shared" si="0"/>
        <v>0</v>
      </c>
      <c r="AB61" s="16"/>
      <c r="AC61" s="17"/>
      <c r="AD61" s="51"/>
    </row>
    <row r="62" spans="1:30" ht="19.5" thickBot="1" x14ac:dyDescent="0.3">
      <c r="A62" s="14">
        <v>27</v>
      </c>
      <c r="B62" s="15"/>
      <c r="C62" s="15" t="e">
        <f>VLOOKUP(B62,داتا!$B$3:$D$107,2,FALSE)</f>
        <v>#N/A</v>
      </c>
      <c r="D62" s="34" t="e">
        <f>VLOOKUP(B62,داتا!$B$3:$D$107,3,FALSE)</f>
        <v>#N/A</v>
      </c>
      <c r="E62" s="15"/>
      <c r="F62" s="15"/>
      <c r="G62" s="16">
        <v>0.25</v>
      </c>
      <c r="H62" s="16" t="e">
        <f t="shared" si="8"/>
        <v>#N/A</v>
      </c>
      <c r="I62" s="16" t="e">
        <f t="shared" si="1"/>
        <v>#N/A</v>
      </c>
      <c r="J62" s="16"/>
      <c r="K62" s="16"/>
      <c r="L62" s="16"/>
      <c r="M62" s="16"/>
      <c r="N62" s="16">
        <f t="shared" si="2"/>
        <v>0</v>
      </c>
      <c r="O62" s="16" t="e">
        <f t="shared" si="3"/>
        <v>#N/A</v>
      </c>
      <c r="P62" s="16">
        <v>6.9444444444444397E-3</v>
      </c>
      <c r="Q62" s="16"/>
      <c r="R62" s="16">
        <f t="shared" si="4"/>
        <v>-6.9444444444444397E-3</v>
      </c>
      <c r="S62" s="16"/>
      <c r="T62" s="16" t="e">
        <f>VLOOKUP(E62,'[2]21-3-2026'!E$3:T$35,16,FALSE)</f>
        <v>#N/A</v>
      </c>
      <c r="U62" s="16"/>
      <c r="V62" s="16" t="e">
        <f t="shared" si="5"/>
        <v>#N/A</v>
      </c>
      <c r="W62" s="16"/>
      <c r="X62" s="16"/>
      <c r="Y62" s="16"/>
      <c r="Z62" s="16">
        <f t="shared" si="6"/>
        <v>0</v>
      </c>
      <c r="AA62" s="16">
        <f t="shared" si="0"/>
        <v>0</v>
      </c>
      <c r="AB62" s="16"/>
      <c r="AC62" s="17"/>
      <c r="AD62" s="51"/>
    </row>
    <row r="63" spans="1:30" ht="19.5" thickBot="1" x14ac:dyDescent="0.3">
      <c r="A63" s="14">
        <v>28</v>
      </c>
      <c r="B63" s="15"/>
      <c r="C63" s="15" t="e">
        <f>VLOOKUP(B63,داتا!$B$3:$D$107,2,FALSE)</f>
        <v>#N/A</v>
      </c>
      <c r="D63" s="34" t="e">
        <f>VLOOKUP(B63,داتا!$B$3:$D$107,3,FALSE)</f>
        <v>#N/A</v>
      </c>
      <c r="E63" s="15"/>
      <c r="F63" s="15"/>
      <c r="G63" s="16">
        <v>0.25</v>
      </c>
      <c r="H63" s="16" t="e">
        <f t="shared" si="8"/>
        <v>#N/A</v>
      </c>
      <c r="I63" s="16" t="e">
        <f t="shared" si="1"/>
        <v>#N/A</v>
      </c>
      <c r="J63" s="16"/>
      <c r="K63" s="16"/>
      <c r="L63" s="16"/>
      <c r="M63" s="16"/>
      <c r="N63" s="16">
        <f t="shared" si="2"/>
        <v>0</v>
      </c>
      <c r="O63" s="16" t="e">
        <f t="shared" si="3"/>
        <v>#N/A</v>
      </c>
      <c r="P63" s="16">
        <v>6.9444444444444397E-3</v>
      </c>
      <c r="Q63" s="16"/>
      <c r="R63" s="16">
        <f t="shared" si="4"/>
        <v>-6.9444444444444397E-3</v>
      </c>
      <c r="S63" s="16"/>
      <c r="T63" s="16" t="e">
        <f>VLOOKUP(E63,'[2]21-3-2026'!E$3:T$35,16,FALSE)</f>
        <v>#N/A</v>
      </c>
      <c r="U63" s="16"/>
      <c r="V63" s="16" t="e">
        <f t="shared" si="5"/>
        <v>#N/A</v>
      </c>
      <c r="W63" s="16"/>
      <c r="X63" s="16"/>
      <c r="Y63" s="16"/>
      <c r="Z63" s="16">
        <f t="shared" si="6"/>
        <v>0</v>
      </c>
      <c r="AA63" s="16">
        <f t="shared" si="0"/>
        <v>0</v>
      </c>
      <c r="AB63" s="16"/>
      <c r="AC63" s="17"/>
      <c r="AD63" s="51"/>
    </row>
    <row r="64" spans="1:30" ht="19.5" thickBot="1" x14ac:dyDescent="0.3">
      <c r="A64" s="14">
        <v>29</v>
      </c>
      <c r="B64" s="15"/>
      <c r="C64" s="15" t="e">
        <f>VLOOKUP(B64,داتا!$B$3:$D$107,2,FALSE)</f>
        <v>#N/A</v>
      </c>
      <c r="D64" s="34" t="e">
        <f>VLOOKUP(B64,داتا!$B$3:$D$107,3,FALSE)</f>
        <v>#N/A</v>
      </c>
      <c r="E64" s="15"/>
      <c r="F64" s="15"/>
      <c r="G64" s="16">
        <v>0.25</v>
      </c>
      <c r="H64" s="16" t="e">
        <f t="shared" si="8"/>
        <v>#N/A</v>
      </c>
      <c r="I64" s="16" t="e">
        <f t="shared" si="1"/>
        <v>#N/A</v>
      </c>
      <c r="J64" s="16"/>
      <c r="K64" s="16"/>
      <c r="L64" s="16"/>
      <c r="M64" s="16"/>
      <c r="N64" s="16">
        <f t="shared" si="2"/>
        <v>0</v>
      </c>
      <c r="O64" s="16" t="e">
        <f t="shared" si="3"/>
        <v>#N/A</v>
      </c>
      <c r="P64" s="16">
        <v>6.9444444444444397E-3</v>
      </c>
      <c r="Q64" s="16"/>
      <c r="R64" s="16">
        <f t="shared" si="4"/>
        <v>-6.9444444444444397E-3</v>
      </c>
      <c r="S64" s="16"/>
      <c r="T64" s="16" t="e">
        <f>VLOOKUP(E64,'[2]21-3-2026'!E$3:T$35,16,FALSE)</f>
        <v>#N/A</v>
      </c>
      <c r="U64" s="16"/>
      <c r="V64" s="16" t="e">
        <f t="shared" si="5"/>
        <v>#N/A</v>
      </c>
      <c r="W64" s="16"/>
      <c r="X64" s="16"/>
      <c r="Y64" s="16"/>
      <c r="Z64" s="16">
        <f t="shared" si="6"/>
        <v>0</v>
      </c>
      <c r="AA64" s="16">
        <f t="shared" si="0"/>
        <v>0</v>
      </c>
      <c r="AB64" s="16"/>
      <c r="AC64" s="17"/>
      <c r="AD64" s="51"/>
    </row>
    <row r="65" spans="1:30" ht="19.5" thickBot="1" x14ac:dyDescent="0.3">
      <c r="A65" s="14">
        <v>30</v>
      </c>
      <c r="B65" s="15"/>
      <c r="C65" s="15" t="e">
        <f>VLOOKUP(B65,داتا!$B$3:$D$107,2,FALSE)</f>
        <v>#N/A</v>
      </c>
      <c r="D65" s="34" t="e">
        <f>VLOOKUP(B65,داتا!$B$3:$D$107,3,FALSE)</f>
        <v>#N/A</v>
      </c>
      <c r="E65" s="15"/>
      <c r="F65" s="15"/>
      <c r="G65" s="16">
        <v>0.25</v>
      </c>
      <c r="H65" s="16" t="e">
        <f t="shared" si="8"/>
        <v>#N/A</v>
      </c>
      <c r="I65" s="16" t="e">
        <f t="shared" si="1"/>
        <v>#N/A</v>
      </c>
      <c r="J65" s="16"/>
      <c r="K65" s="16"/>
      <c r="L65" s="16"/>
      <c r="M65" s="16"/>
      <c r="N65" s="16">
        <f t="shared" si="2"/>
        <v>0</v>
      </c>
      <c r="O65" s="16" t="e">
        <f t="shared" si="3"/>
        <v>#N/A</v>
      </c>
      <c r="P65" s="16">
        <v>6.9444444444444397E-3</v>
      </c>
      <c r="Q65" s="16"/>
      <c r="R65" s="16">
        <f t="shared" si="4"/>
        <v>-6.9444444444444397E-3</v>
      </c>
      <c r="S65" s="16"/>
      <c r="T65" s="16" t="e">
        <f>VLOOKUP(E65,'[2]21-3-2026'!E$3:T$35,16,FALSE)</f>
        <v>#N/A</v>
      </c>
      <c r="U65" s="16"/>
      <c r="V65" s="16" t="e">
        <f t="shared" si="5"/>
        <v>#N/A</v>
      </c>
      <c r="W65" s="16"/>
      <c r="X65" s="16"/>
      <c r="Y65" s="16"/>
      <c r="Z65" s="16">
        <f t="shared" si="6"/>
        <v>0</v>
      </c>
      <c r="AA65" s="16">
        <f t="shared" si="0"/>
        <v>0</v>
      </c>
      <c r="AB65" s="16"/>
      <c r="AC65" s="17"/>
      <c r="AD65" s="51"/>
    </row>
    <row r="66" spans="1:30" ht="20.25" customHeight="1" thickBot="1" x14ac:dyDescent="0.3">
      <c r="A66" s="14">
        <v>31</v>
      </c>
      <c r="B66" s="15"/>
      <c r="C66" s="15" t="e">
        <f>VLOOKUP(B66,داتا!$B$3:$D$107,2,FALSE)</f>
        <v>#N/A</v>
      </c>
      <c r="D66" s="34" t="e">
        <f>VLOOKUP(B66,داتا!$B$3:$D$107,3,FALSE)</f>
        <v>#N/A</v>
      </c>
      <c r="E66" s="15"/>
      <c r="F66" s="15"/>
      <c r="G66" s="16">
        <v>0.25</v>
      </c>
      <c r="H66" s="16" t="e">
        <f t="shared" si="8"/>
        <v>#N/A</v>
      </c>
      <c r="I66" s="16" t="e">
        <f t="shared" si="1"/>
        <v>#N/A</v>
      </c>
      <c r="J66" s="16"/>
      <c r="K66" s="16"/>
      <c r="L66" s="16"/>
      <c r="M66" s="16"/>
      <c r="N66" s="16">
        <f t="shared" si="2"/>
        <v>0</v>
      </c>
      <c r="O66" s="16" t="e">
        <f t="shared" si="3"/>
        <v>#N/A</v>
      </c>
      <c r="P66" s="16">
        <v>6.9444444444444397E-3</v>
      </c>
      <c r="Q66" s="16"/>
      <c r="R66" s="16">
        <f t="shared" si="4"/>
        <v>-6.9444444444444397E-3</v>
      </c>
      <c r="S66" s="16"/>
      <c r="T66" s="16" t="e">
        <f>VLOOKUP(E66,'[2]21-3-2026'!E$3:T$35,16,FALSE)</f>
        <v>#N/A</v>
      </c>
      <c r="U66" s="16"/>
      <c r="V66" s="16" t="e">
        <f t="shared" si="5"/>
        <v>#N/A</v>
      </c>
      <c r="W66" s="16"/>
      <c r="X66" s="16"/>
      <c r="Y66" s="16"/>
      <c r="Z66" s="16">
        <f t="shared" si="6"/>
        <v>0</v>
      </c>
      <c r="AA66" s="16">
        <f t="shared" si="0"/>
        <v>0</v>
      </c>
      <c r="AB66" s="16"/>
      <c r="AC66" s="19"/>
      <c r="AD66" s="51"/>
    </row>
    <row r="67" spans="1:30" ht="19.5" customHeight="1" thickBot="1" x14ac:dyDescent="0.3">
      <c r="A67" s="20">
        <v>32</v>
      </c>
      <c r="B67" s="21"/>
      <c r="C67" s="21" t="e">
        <f>VLOOKUP(B67,داتا!$B$3:$D$107,2,FALSE)</f>
        <v>#N/A</v>
      </c>
      <c r="D67" s="35" t="e">
        <f>VLOOKUP(B67,داتا!$B$3:$D$107,3,FALSE)</f>
        <v>#N/A</v>
      </c>
      <c r="E67" s="21"/>
      <c r="F67" s="21"/>
      <c r="G67" s="22">
        <v>0.25</v>
      </c>
      <c r="H67" s="22" t="e">
        <f t="shared" si="8"/>
        <v>#N/A</v>
      </c>
      <c r="I67" s="22" t="e">
        <f t="shared" si="1"/>
        <v>#N/A</v>
      </c>
      <c r="J67" s="22"/>
      <c r="K67" s="22"/>
      <c r="L67" s="22"/>
      <c r="M67" s="22"/>
      <c r="N67" s="22">
        <f t="shared" si="2"/>
        <v>0</v>
      </c>
      <c r="O67" s="22" t="e">
        <f t="shared" si="3"/>
        <v>#N/A</v>
      </c>
      <c r="P67" s="22">
        <v>6.9444444444444397E-3</v>
      </c>
      <c r="Q67" s="22"/>
      <c r="R67" s="22">
        <f t="shared" si="4"/>
        <v>-6.9444444444444397E-3</v>
      </c>
      <c r="S67" s="22"/>
      <c r="T67" s="22" t="e">
        <f>VLOOKUP(E67,'[2]21-3-2026'!E$3:T$35,16,FALSE)</f>
        <v>#N/A</v>
      </c>
      <c r="U67" s="22"/>
      <c r="V67" s="22" t="e">
        <f t="shared" si="5"/>
        <v>#N/A</v>
      </c>
      <c r="W67" s="22"/>
      <c r="X67" s="22"/>
      <c r="Y67" s="22"/>
      <c r="Z67" s="22">
        <f t="shared" si="6"/>
        <v>0</v>
      </c>
      <c r="AA67" s="22">
        <f t="shared" ref="AA67:AA99" si="9">Z67-W67</f>
        <v>0</v>
      </c>
      <c r="AB67" s="22"/>
      <c r="AC67" s="23"/>
      <c r="AD67" s="52"/>
    </row>
    <row r="68" spans="1:30" ht="20.25" thickTop="1" thickBot="1" x14ac:dyDescent="0.3">
      <c r="A68" s="10">
        <v>1</v>
      </c>
      <c r="B68" s="11"/>
      <c r="C68" s="11" t="e">
        <f>VLOOKUP(B68,داتا!$B$3:$D$107,2,FALSE)</f>
        <v>#N/A</v>
      </c>
      <c r="D68" s="33" t="e">
        <f>VLOOKUP(B68,داتا!$B$3:$D$107,3,FALSE)</f>
        <v>#N/A</v>
      </c>
      <c r="E68" s="11"/>
      <c r="F68" s="11"/>
      <c r="G68" s="12">
        <v>8.3333333333333329E-2</v>
      </c>
      <c r="H68" s="12" t="e">
        <f t="shared" si="8"/>
        <v>#N/A</v>
      </c>
      <c r="I68" s="12" t="e">
        <f t="shared" ref="I68:I99" si="10">H68-G68</f>
        <v>#N/A</v>
      </c>
      <c r="J68" s="12"/>
      <c r="K68" s="12"/>
      <c r="L68" s="12"/>
      <c r="M68" s="12"/>
      <c r="N68" s="12">
        <f t="shared" ref="N68:N99" si="11">K68-J68</f>
        <v>0</v>
      </c>
      <c r="O68" s="12" t="e">
        <f t="shared" ref="O68:O99" si="12">N68-D68</f>
        <v>#N/A</v>
      </c>
      <c r="P68" s="12">
        <v>6.9444444444444397E-3</v>
      </c>
      <c r="Q68" s="12"/>
      <c r="R68" s="12">
        <f t="shared" ref="R68:R99" si="13">Q68-P68-K68</f>
        <v>-6.9444444444444397E-3</v>
      </c>
      <c r="S68" s="12"/>
      <c r="T68" s="12" t="e">
        <f>VLOOKUP(E68,'[2]21-3-2026'!E$3:T$35,16,FALSE)</f>
        <v>#N/A</v>
      </c>
      <c r="U68" s="12"/>
      <c r="V68" s="12" t="e">
        <f t="shared" ref="V68:V99" si="14">U68-T68-S68</f>
        <v>#N/A</v>
      </c>
      <c r="W68" s="12"/>
      <c r="X68" s="12"/>
      <c r="Y68" s="12"/>
      <c r="Z68" s="12">
        <f t="shared" ref="Z68:Z99" si="15">Y68-X68</f>
        <v>0</v>
      </c>
      <c r="AA68" s="12">
        <f t="shared" si="9"/>
        <v>0</v>
      </c>
      <c r="AB68" s="12"/>
      <c r="AC68" s="13"/>
      <c r="AD68" s="53" t="s">
        <v>116</v>
      </c>
    </row>
    <row r="69" spans="1:30" ht="19.5" thickBot="1" x14ac:dyDescent="0.3">
      <c r="A69" s="14">
        <v>2</v>
      </c>
      <c r="B69" s="15"/>
      <c r="C69" s="15" t="e">
        <f>VLOOKUP(B69,داتا!$B$3:$D$107,2,FALSE)</f>
        <v>#N/A</v>
      </c>
      <c r="D69" s="34" t="e">
        <f>VLOOKUP(B69,داتا!$B$3:$D$107,3,FALSE)</f>
        <v>#N/A</v>
      </c>
      <c r="E69" s="15"/>
      <c r="F69" s="15"/>
      <c r="G69" s="16">
        <v>8.3333333333333329E-2</v>
      </c>
      <c r="H69" s="16" t="e">
        <f t="shared" ref="H69:H84" si="16">VLOOKUP(G69,$F$3:$I$35,2,FALSE)</f>
        <v>#N/A</v>
      </c>
      <c r="I69" s="16" t="e">
        <f t="shared" si="10"/>
        <v>#N/A</v>
      </c>
      <c r="J69" s="16"/>
      <c r="K69" s="16"/>
      <c r="L69" s="16"/>
      <c r="M69" s="16"/>
      <c r="N69" s="16">
        <f t="shared" si="11"/>
        <v>0</v>
      </c>
      <c r="O69" s="16" t="e">
        <f t="shared" si="12"/>
        <v>#N/A</v>
      </c>
      <c r="P69" s="16">
        <v>6.9444444444444397E-3</v>
      </c>
      <c r="Q69" s="16"/>
      <c r="R69" s="16">
        <f t="shared" si="13"/>
        <v>-6.9444444444444397E-3</v>
      </c>
      <c r="S69" s="16"/>
      <c r="T69" s="16" t="e">
        <f>VLOOKUP(E69,'[2]21-3-2026'!E$3:T$35,16,FALSE)</f>
        <v>#N/A</v>
      </c>
      <c r="U69" s="16"/>
      <c r="V69" s="16" t="e">
        <f t="shared" si="14"/>
        <v>#N/A</v>
      </c>
      <c r="W69" s="16"/>
      <c r="X69" s="16"/>
      <c r="Y69" s="16"/>
      <c r="Z69" s="16">
        <f t="shared" si="15"/>
        <v>0</v>
      </c>
      <c r="AA69" s="16">
        <f t="shared" si="9"/>
        <v>0</v>
      </c>
      <c r="AB69" s="16"/>
      <c r="AC69" s="17"/>
      <c r="AD69" s="51"/>
    </row>
    <row r="70" spans="1:30" ht="19.5" thickBot="1" x14ac:dyDescent="0.3">
      <c r="A70" s="14">
        <v>3</v>
      </c>
      <c r="B70" s="15"/>
      <c r="C70" s="15" t="e">
        <f>VLOOKUP(B70,داتا!$B$3:$D$107,2,FALSE)</f>
        <v>#N/A</v>
      </c>
      <c r="D70" s="34" t="e">
        <f>VLOOKUP(B70,داتا!$B$3:$D$107,3,FALSE)</f>
        <v>#N/A</v>
      </c>
      <c r="E70" s="15"/>
      <c r="F70" s="15"/>
      <c r="G70" s="16">
        <v>8.3333333333333329E-2</v>
      </c>
      <c r="H70" s="16" t="e">
        <f t="shared" si="16"/>
        <v>#N/A</v>
      </c>
      <c r="I70" s="16" t="e">
        <f t="shared" si="10"/>
        <v>#N/A</v>
      </c>
      <c r="J70" s="16"/>
      <c r="K70" s="16"/>
      <c r="L70" s="16"/>
      <c r="M70" s="16"/>
      <c r="N70" s="16">
        <f t="shared" si="11"/>
        <v>0</v>
      </c>
      <c r="O70" s="16" t="e">
        <f t="shared" si="12"/>
        <v>#N/A</v>
      </c>
      <c r="P70" s="16">
        <v>6.9444444444444397E-3</v>
      </c>
      <c r="Q70" s="16"/>
      <c r="R70" s="16">
        <f t="shared" si="13"/>
        <v>-6.9444444444444397E-3</v>
      </c>
      <c r="S70" s="16"/>
      <c r="T70" s="16" t="e">
        <f>VLOOKUP(E70,'[2]21-3-2026'!E$3:T$35,16,FALSE)</f>
        <v>#N/A</v>
      </c>
      <c r="U70" s="16"/>
      <c r="V70" s="16" t="e">
        <f t="shared" si="14"/>
        <v>#N/A</v>
      </c>
      <c r="W70" s="16"/>
      <c r="X70" s="16"/>
      <c r="Y70" s="16"/>
      <c r="Z70" s="16">
        <f t="shared" si="15"/>
        <v>0</v>
      </c>
      <c r="AA70" s="16">
        <f t="shared" si="9"/>
        <v>0</v>
      </c>
      <c r="AB70" s="16"/>
      <c r="AC70" s="17"/>
      <c r="AD70" s="51"/>
    </row>
    <row r="71" spans="1:30" ht="19.5" thickBot="1" x14ac:dyDescent="0.3">
      <c r="A71" s="14">
        <v>4</v>
      </c>
      <c r="B71" s="15"/>
      <c r="C71" s="15" t="e">
        <f>VLOOKUP(B71,داتا!$B$3:$D$107,2,FALSE)</f>
        <v>#N/A</v>
      </c>
      <c r="D71" s="34" t="e">
        <f>VLOOKUP(B71,داتا!$B$3:$D$107,3,FALSE)</f>
        <v>#N/A</v>
      </c>
      <c r="E71" s="15"/>
      <c r="F71" s="15"/>
      <c r="G71" s="16">
        <v>8.3333333333333329E-2</v>
      </c>
      <c r="H71" s="16" t="e">
        <f t="shared" si="16"/>
        <v>#N/A</v>
      </c>
      <c r="I71" s="16" t="e">
        <f t="shared" si="10"/>
        <v>#N/A</v>
      </c>
      <c r="J71" s="16"/>
      <c r="K71" s="16"/>
      <c r="L71" s="16"/>
      <c r="M71" s="16"/>
      <c r="N71" s="16">
        <f t="shared" si="11"/>
        <v>0</v>
      </c>
      <c r="O71" s="16" t="e">
        <f t="shared" si="12"/>
        <v>#N/A</v>
      </c>
      <c r="P71" s="16">
        <v>6.9444444444444397E-3</v>
      </c>
      <c r="Q71" s="16"/>
      <c r="R71" s="16">
        <f t="shared" si="13"/>
        <v>-6.9444444444444397E-3</v>
      </c>
      <c r="S71" s="16"/>
      <c r="T71" s="16" t="e">
        <f>VLOOKUP(E71,'[2]21-3-2026'!E$3:T$35,16,FALSE)</f>
        <v>#N/A</v>
      </c>
      <c r="U71" s="16"/>
      <c r="V71" s="16" t="e">
        <f t="shared" si="14"/>
        <v>#N/A</v>
      </c>
      <c r="W71" s="16"/>
      <c r="X71" s="16"/>
      <c r="Y71" s="16"/>
      <c r="Z71" s="16">
        <f t="shared" si="15"/>
        <v>0</v>
      </c>
      <c r="AA71" s="16">
        <f t="shared" si="9"/>
        <v>0</v>
      </c>
      <c r="AB71" s="16"/>
      <c r="AC71" s="17"/>
      <c r="AD71" s="51"/>
    </row>
    <row r="72" spans="1:30" ht="19.5" thickBot="1" x14ac:dyDescent="0.3">
      <c r="A72" s="14">
        <v>5</v>
      </c>
      <c r="B72" s="15"/>
      <c r="C72" s="15" t="e">
        <f>VLOOKUP(B72,داتا!$B$3:$D$107,2,FALSE)</f>
        <v>#N/A</v>
      </c>
      <c r="D72" s="34" t="e">
        <f>VLOOKUP(B72,داتا!$B$3:$D$107,3,FALSE)</f>
        <v>#N/A</v>
      </c>
      <c r="E72" s="15"/>
      <c r="F72" s="15"/>
      <c r="G72" s="16">
        <v>8.3333333333333329E-2</v>
      </c>
      <c r="H72" s="16" t="e">
        <f t="shared" si="16"/>
        <v>#N/A</v>
      </c>
      <c r="I72" s="16" t="e">
        <f t="shared" si="10"/>
        <v>#N/A</v>
      </c>
      <c r="J72" s="16"/>
      <c r="K72" s="16"/>
      <c r="L72" s="16"/>
      <c r="M72" s="16"/>
      <c r="N72" s="16">
        <f t="shared" si="11"/>
        <v>0</v>
      </c>
      <c r="O72" s="16" t="e">
        <f t="shared" si="12"/>
        <v>#N/A</v>
      </c>
      <c r="P72" s="16">
        <v>6.9444444444444397E-3</v>
      </c>
      <c r="Q72" s="16"/>
      <c r="R72" s="16">
        <f t="shared" si="13"/>
        <v>-6.9444444444444397E-3</v>
      </c>
      <c r="S72" s="16"/>
      <c r="T72" s="16" t="e">
        <f>VLOOKUP(E72,'[2]21-3-2026'!E$3:T$35,16,FALSE)</f>
        <v>#N/A</v>
      </c>
      <c r="U72" s="16"/>
      <c r="V72" s="16" t="e">
        <f t="shared" si="14"/>
        <v>#N/A</v>
      </c>
      <c r="W72" s="16"/>
      <c r="X72" s="16"/>
      <c r="Y72" s="16"/>
      <c r="Z72" s="16">
        <f t="shared" si="15"/>
        <v>0</v>
      </c>
      <c r="AA72" s="16">
        <f t="shared" si="9"/>
        <v>0</v>
      </c>
      <c r="AB72" s="16"/>
      <c r="AC72" s="17"/>
      <c r="AD72" s="51"/>
    </row>
    <row r="73" spans="1:30" ht="19.5" thickBot="1" x14ac:dyDescent="0.3">
      <c r="A73" s="14">
        <v>6</v>
      </c>
      <c r="B73" s="15"/>
      <c r="C73" s="15" t="e">
        <f>VLOOKUP(B73,داتا!$B$3:$D$107,2,FALSE)</f>
        <v>#N/A</v>
      </c>
      <c r="D73" s="34" t="e">
        <f>VLOOKUP(B73,داتا!$B$3:$D$107,3,FALSE)</f>
        <v>#N/A</v>
      </c>
      <c r="E73" s="15"/>
      <c r="F73" s="15"/>
      <c r="G73" s="16">
        <v>8.3333333333333329E-2</v>
      </c>
      <c r="H73" s="16" t="e">
        <f t="shared" si="16"/>
        <v>#N/A</v>
      </c>
      <c r="I73" s="16" t="e">
        <f t="shared" si="10"/>
        <v>#N/A</v>
      </c>
      <c r="J73" s="16"/>
      <c r="K73" s="16"/>
      <c r="L73" s="16"/>
      <c r="M73" s="16"/>
      <c r="N73" s="16">
        <f t="shared" si="11"/>
        <v>0</v>
      </c>
      <c r="O73" s="16" t="e">
        <f t="shared" si="12"/>
        <v>#N/A</v>
      </c>
      <c r="P73" s="16">
        <v>6.9444444444444397E-3</v>
      </c>
      <c r="Q73" s="16"/>
      <c r="R73" s="16">
        <f t="shared" si="13"/>
        <v>-6.9444444444444397E-3</v>
      </c>
      <c r="S73" s="16"/>
      <c r="T73" s="16" t="e">
        <f>VLOOKUP(E73,'[2]21-3-2026'!E$3:T$35,16,FALSE)</f>
        <v>#N/A</v>
      </c>
      <c r="U73" s="16"/>
      <c r="V73" s="16" t="e">
        <f t="shared" si="14"/>
        <v>#N/A</v>
      </c>
      <c r="W73" s="16"/>
      <c r="X73" s="16"/>
      <c r="Y73" s="16"/>
      <c r="Z73" s="16">
        <f t="shared" si="15"/>
        <v>0</v>
      </c>
      <c r="AA73" s="16">
        <f t="shared" si="9"/>
        <v>0</v>
      </c>
      <c r="AB73" s="16"/>
      <c r="AC73" s="17"/>
      <c r="AD73" s="51"/>
    </row>
    <row r="74" spans="1:30" ht="19.5" thickBot="1" x14ac:dyDescent="0.3">
      <c r="A74" s="14">
        <v>7</v>
      </c>
      <c r="B74" s="15"/>
      <c r="C74" s="15" t="e">
        <f>VLOOKUP(B74,داتا!$B$3:$D$107,2,FALSE)</f>
        <v>#N/A</v>
      </c>
      <c r="D74" s="34" t="e">
        <f>VLOOKUP(B74,داتا!$B$3:$D$107,3,FALSE)</f>
        <v>#N/A</v>
      </c>
      <c r="E74" s="15"/>
      <c r="F74" s="15"/>
      <c r="G74" s="16">
        <v>8.3333333333333329E-2</v>
      </c>
      <c r="H74" s="16" t="e">
        <f t="shared" si="16"/>
        <v>#N/A</v>
      </c>
      <c r="I74" s="16" t="e">
        <f t="shared" si="10"/>
        <v>#N/A</v>
      </c>
      <c r="J74" s="16"/>
      <c r="K74" s="16"/>
      <c r="L74" s="16"/>
      <c r="M74" s="16"/>
      <c r="N74" s="16">
        <f t="shared" si="11"/>
        <v>0</v>
      </c>
      <c r="O74" s="16" t="e">
        <f t="shared" si="12"/>
        <v>#N/A</v>
      </c>
      <c r="P74" s="16">
        <v>6.9444444444444397E-3</v>
      </c>
      <c r="Q74" s="16"/>
      <c r="R74" s="16">
        <f t="shared" si="13"/>
        <v>-6.9444444444444397E-3</v>
      </c>
      <c r="S74" s="16"/>
      <c r="T74" s="16" t="e">
        <f>VLOOKUP(E74,'[2]21-3-2026'!E$3:T$35,16,FALSE)</f>
        <v>#N/A</v>
      </c>
      <c r="U74" s="16"/>
      <c r="V74" s="16" t="e">
        <f t="shared" si="14"/>
        <v>#N/A</v>
      </c>
      <c r="W74" s="16"/>
      <c r="X74" s="16"/>
      <c r="Y74" s="16"/>
      <c r="Z74" s="16">
        <f t="shared" si="15"/>
        <v>0</v>
      </c>
      <c r="AA74" s="16">
        <f t="shared" si="9"/>
        <v>0</v>
      </c>
      <c r="AB74" s="16"/>
      <c r="AC74" s="17"/>
      <c r="AD74" s="51"/>
    </row>
    <row r="75" spans="1:30" ht="19.5" thickBot="1" x14ac:dyDescent="0.3">
      <c r="A75" s="14">
        <v>8</v>
      </c>
      <c r="B75" s="15"/>
      <c r="C75" s="15" t="e">
        <f>VLOOKUP(B75,داتا!$B$3:$D$107,2,FALSE)</f>
        <v>#N/A</v>
      </c>
      <c r="D75" s="34" t="e">
        <f>VLOOKUP(B75,داتا!$B$3:$D$107,3,FALSE)</f>
        <v>#N/A</v>
      </c>
      <c r="E75" s="15"/>
      <c r="F75" s="15"/>
      <c r="G75" s="16">
        <v>8.3333333333333329E-2</v>
      </c>
      <c r="H75" s="16" t="e">
        <f t="shared" si="16"/>
        <v>#N/A</v>
      </c>
      <c r="I75" s="16" t="e">
        <f t="shared" si="10"/>
        <v>#N/A</v>
      </c>
      <c r="J75" s="16"/>
      <c r="K75" s="16"/>
      <c r="L75" s="16"/>
      <c r="M75" s="16"/>
      <c r="N75" s="16">
        <f t="shared" si="11"/>
        <v>0</v>
      </c>
      <c r="O75" s="16" t="e">
        <f t="shared" si="12"/>
        <v>#N/A</v>
      </c>
      <c r="P75" s="16">
        <v>6.9444444444444397E-3</v>
      </c>
      <c r="Q75" s="16"/>
      <c r="R75" s="16">
        <f t="shared" si="13"/>
        <v>-6.9444444444444397E-3</v>
      </c>
      <c r="S75" s="16"/>
      <c r="T75" s="16" t="e">
        <f>VLOOKUP(E75,'[2]21-3-2026'!E$3:T$35,16,FALSE)</f>
        <v>#N/A</v>
      </c>
      <c r="U75" s="16"/>
      <c r="V75" s="16" t="e">
        <f t="shared" si="14"/>
        <v>#N/A</v>
      </c>
      <c r="W75" s="16"/>
      <c r="X75" s="16"/>
      <c r="Y75" s="16"/>
      <c r="Z75" s="16">
        <f t="shared" si="15"/>
        <v>0</v>
      </c>
      <c r="AA75" s="16">
        <f t="shared" si="9"/>
        <v>0</v>
      </c>
      <c r="AB75" s="16"/>
      <c r="AC75" s="17"/>
      <c r="AD75" s="51"/>
    </row>
    <row r="76" spans="1:30" ht="19.5" thickBot="1" x14ac:dyDescent="0.3">
      <c r="A76" s="14">
        <v>9</v>
      </c>
      <c r="B76" s="15"/>
      <c r="C76" s="15" t="e">
        <f>VLOOKUP(B76,داتا!$B$3:$D$107,2,FALSE)</f>
        <v>#N/A</v>
      </c>
      <c r="D76" s="34" t="e">
        <f>VLOOKUP(B76,داتا!$B$3:$D$107,3,FALSE)</f>
        <v>#N/A</v>
      </c>
      <c r="E76" s="16"/>
      <c r="F76" s="15"/>
      <c r="G76" s="16">
        <v>8.3333333333333329E-2</v>
      </c>
      <c r="H76" s="16" t="e">
        <f t="shared" si="16"/>
        <v>#N/A</v>
      </c>
      <c r="I76" s="16" t="e">
        <f t="shared" si="10"/>
        <v>#N/A</v>
      </c>
      <c r="J76" s="16"/>
      <c r="K76" s="16"/>
      <c r="L76" s="16"/>
      <c r="M76" s="16"/>
      <c r="N76" s="16">
        <f t="shared" si="11"/>
        <v>0</v>
      </c>
      <c r="O76" s="16" t="e">
        <f t="shared" si="12"/>
        <v>#N/A</v>
      </c>
      <c r="P76" s="16">
        <v>6.9444444444444397E-3</v>
      </c>
      <c r="Q76" s="16"/>
      <c r="R76" s="16">
        <f t="shared" si="13"/>
        <v>-6.9444444444444397E-3</v>
      </c>
      <c r="S76" s="16"/>
      <c r="T76" s="16" t="e">
        <f>VLOOKUP(E76,'[2]21-3-2026'!E$3:T$35,16,FALSE)</f>
        <v>#N/A</v>
      </c>
      <c r="U76" s="16"/>
      <c r="V76" s="16" t="e">
        <f t="shared" si="14"/>
        <v>#N/A</v>
      </c>
      <c r="W76" s="16"/>
      <c r="X76" s="16"/>
      <c r="Y76" s="16"/>
      <c r="Z76" s="16">
        <f t="shared" si="15"/>
        <v>0</v>
      </c>
      <c r="AA76" s="16">
        <f t="shared" si="9"/>
        <v>0</v>
      </c>
      <c r="AB76" s="16"/>
      <c r="AC76" s="17"/>
      <c r="AD76" s="51"/>
    </row>
    <row r="77" spans="1:30" ht="19.5" thickBot="1" x14ac:dyDescent="0.3">
      <c r="A77" s="14">
        <v>10</v>
      </c>
      <c r="B77" s="15"/>
      <c r="C77" s="15" t="e">
        <f>VLOOKUP(B77,داتا!$B$3:$D$107,2,FALSE)</f>
        <v>#N/A</v>
      </c>
      <c r="D77" s="34" t="e">
        <f>VLOOKUP(B77,داتا!$B$3:$D$107,3,FALSE)</f>
        <v>#N/A</v>
      </c>
      <c r="E77" s="15"/>
      <c r="F77" s="15"/>
      <c r="G77" s="16">
        <v>8.3333333333333329E-2</v>
      </c>
      <c r="H77" s="16" t="e">
        <f t="shared" si="16"/>
        <v>#N/A</v>
      </c>
      <c r="I77" s="16" t="e">
        <f t="shared" si="10"/>
        <v>#N/A</v>
      </c>
      <c r="J77" s="16"/>
      <c r="K77" s="16"/>
      <c r="L77" s="16"/>
      <c r="M77" s="16"/>
      <c r="N77" s="16">
        <f t="shared" si="11"/>
        <v>0</v>
      </c>
      <c r="O77" s="16" t="e">
        <f t="shared" si="12"/>
        <v>#N/A</v>
      </c>
      <c r="P77" s="16">
        <v>6.9444444444444397E-3</v>
      </c>
      <c r="Q77" s="16"/>
      <c r="R77" s="16">
        <f t="shared" si="13"/>
        <v>-6.9444444444444397E-3</v>
      </c>
      <c r="S77" s="16"/>
      <c r="T77" s="16" t="e">
        <f>VLOOKUP(E77,'[2]21-3-2026'!E$3:T$35,16,FALSE)</f>
        <v>#N/A</v>
      </c>
      <c r="U77" s="16"/>
      <c r="V77" s="16" t="e">
        <f t="shared" si="14"/>
        <v>#N/A</v>
      </c>
      <c r="W77" s="16"/>
      <c r="X77" s="16"/>
      <c r="Y77" s="16"/>
      <c r="Z77" s="16">
        <f t="shared" si="15"/>
        <v>0</v>
      </c>
      <c r="AA77" s="16">
        <f t="shared" si="9"/>
        <v>0</v>
      </c>
      <c r="AB77" s="16"/>
      <c r="AC77" s="17"/>
      <c r="AD77" s="51"/>
    </row>
    <row r="78" spans="1:30" ht="19.5" thickBot="1" x14ac:dyDescent="0.3">
      <c r="A78" s="14">
        <v>11</v>
      </c>
      <c r="B78" s="15"/>
      <c r="C78" s="15" t="e">
        <f>VLOOKUP(B78,داتا!$B$3:$D$107,2,FALSE)</f>
        <v>#N/A</v>
      </c>
      <c r="D78" s="34" t="e">
        <f>VLOOKUP(B78,داتا!$B$3:$D$107,3,FALSE)</f>
        <v>#N/A</v>
      </c>
      <c r="E78" s="15"/>
      <c r="F78" s="15"/>
      <c r="G78" s="16">
        <v>8.3333333333333329E-2</v>
      </c>
      <c r="H78" s="16" t="e">
        <f t="shared" si="16"/>
        <v>#N/A</v>
      </c>
      <c r="I78" s="16" t="e">
        <f t="shared" si="10"/>
        <v>#N/A</v>
      </c>
      <c r="J78" s="16"/>
      <c r="K78" s="16"/>
      <c r="L78" s="16"/>
      <c r="M78" s="16"/>
      <c r="N78" s="16">
        <f t="shared" si="11"/>
        <v>0</v>
      </c>
      <c r="O78" s="16" t="e">
        <f t="shared" si="12"/>
        <v>#N/A</v>
      </c>
      <c r="P78" s="16">
        <v>6.9444444444444397E-3</v>
      </c>
      <c r="Q78" s="16"/>
      <c r="R78" s="16">
        <f t="shared" si="13"/>
        <v>-6.9444444444444397E-3</v>
      </c>
      <c r="S78" s="16"/>
      <c r="T78" s="16" t="e">
        <f>VLOOKUP(E78,'[2]21-3-2026'!E$3:T$35,16,FALSE)</f>
        <v>#N/A</v>
      </c>
      <c r="U78" s="16"/>
      <c r="V78" s="16" t="e">
        <f t="shared" si="14"/>
        <v>#N/A</v>
      </c>
      <c r="W78" s="16"/>
      <c r="X78" s="16"/>
      <c r="Y78" s="16"/>
      <c r="Z78" s="16">
        <f t="shared" si="15"/>
        <v>0</v>
      </c>
      <c r="AA78" s="16">
        <f t="shared" si="9"/>
        <v>0</v>
      </c>
      <c r="AB78" s="16"/>
      <c r="AC78" s="17"/>
      <c r="AD78" s="51"/>
    </row>
    <row r="79" spans="1:30" ht="19.5" thickBot="1" x14ac:dyDescent="0.3">
      <c r="A79" s="14">
        <v>12</v>
      </c>
      <c r="B79" s="15"/>
      <c r="C79" s="15" t="e">
        <f>VLOOKUP(B79,داتا!$B$3:$D$107,2,FALSE)</f>
        <v>#N/A</v>
      </c>
      <c r="D79" s="34" t="e">
        <f>VLOOKUP(B79,داتا!$B$3:$D$107,3,FALSE)</f>
        <v>#N/A</v>
      </c>
      <c r="E79" s="15"/>
      <c r="F79" s="15"/>
      <c r="G79" s="16">
        <v>8.3333333333333329E-2</v>
      </c>
      <c r="H79" s="16" t="e">
        <f t="shared" si="16"/>
        <v>#N/A</v>
      </c>
      <c r="I79" s="16" t="e">
        <f t="shared" si="10"/>
        <v>#N/A</v>
      </c>
      <c r="J79" s="16"/>
      <c r="K79" s="16"/>
      <c r="L79" s="16"/>
      <c r="M79" s="16"/>
      <c r="N79" s="16">
        <f t="shared" si="11"/>
        <v>0</v>
      </c>
      <c r="O79" s="16" t="e">
        <f t="shared" si="12"/>
        <v>#N/A</v>
      </c>
      <c r="P79" s="16">
        <v>6.9444444444444397E-3</v>
      </c>
      <c r="Q79" s="16"/>
      <c r="R79" s="16">
        <f t="shared" si="13"/>
        <v>-6.9444444444444397E-3</v>
      </c>
      <c r="S79" s="16"/>
      <c r="T79" s="16" t="e">
        <f>VLOOKUP(E79,'[2]21-3-2026'!E$3:T$35,16,FALSE)</f>
        <v>#N/A</v>
      </c>
      <c r="U79" s="16"/>
      <c r="V79" s="16" t="e">
        <f t="shared" si="14"/>
        <v>#N/A</v>
      </c>
      <c r="W79" s="16"/>
      <c r="X79" s="16"/>
      <c r="Y79" s="16"/>
      <c r="Z79" s="16">
        <f t="shared" si="15"/>
        <v>0</v>
      </c>
      <c r="AA79" s="16">
        <f t="shared" si="9"/>
        <v>0</v>
      </c>
      <c r="AB79" s="16"/>
      <c r="AC79" s="17"/>
      <c r="AD79" s="51"/>
    </row>
    <row r="80" spans="1:30" ht="19.5" thickBot="1" x14ac:dyDescent="0.3">
      <c r="A80" s="14">
        <v>13</v>
      </c>
      <c r="B80" s="15"/>
      <c r="C80" s="15" t="e">
        <f>VLOOKUP(B80,داتا!$B$3:$D$107,2,FALSE)</f>
        <v>#N/A</v>
      </c>
      <c r="D80" s="34" t="e">
        <f>VLOOKUP(B80,داتا!$B$3:$D$107,3,FALSE)</f>
        <v>#N/A</v>
      </c>
      <c r="E80" s="15"/>
      <c r="F80" s="15"/>
      <c r="G80" s="16">
        <v>8.3333333333333329E-2</v>
      </c>
      <c r="H80" s="16" t="e">
        <f t="shared" si="16"/>
        <v>#N/A</v>
      </c>
      <c r="I80" s="16" t="e">
        <f t="shared" si="10"/>
        <v>#N/A</v>
      </c>
      <c r="J80" s="16"/>
      <c r="K80" s="16"/>
      <c r="L80" s="16"/>
      <c r="M80" s="16"/>
      <c r="N80" s="16">
        <f t="shared" si="11"/>
        <v>0</v>
      </c>
      <c r="O80" s="16" t="e">
        <f t="shared" si="12"/>
        <v>#N/A</v>
      </c>
      <c r="P80" s="16">
        <v>6.9444444444444397E-3</v>
      </c>
      <c r="Q80" s="16"/>
      <c r="R80" s="16">
        <f t="shared" si="13"/>
        <v>-6.9444444444444397E-3</v>
      </c>
      <c r="S80" s="16"/>
      <c r="T80" s="16" t="e">
        <f>VLOOKUP(E80,'[2]21-3-2026'!E$3:T$35,16,FALSE)</f>
        <v>#N/A</v>
      </c>
      <c r="U80" s="16"/>
      <c r="V80" s="16" t="e">
        <f t="shared" si="14"/>
        <v>#N/A</v>
      </c>
      <c r="W80" s="16"/>
      <c r="X80" s="16"/>
      <c r="Y80" s="16"/>
      <c r="Z80" s="16">
        <f t="shared" si="15"/>
        <v>0</v>
      </c>
      <c r="AA80" s="16">
        <f t="shared" si="9"/>
        <v>0</v>
      </c>
      <c r="AB80" s="16"/>
      <c r="AC80" s="17"/>
      <c r="AD80" s="51"/>
    </row>
    <row r="81" spans="1:30" ht="19.5" thickBot="1" x14ac:dyDescent="0.3">
      <c r="A81" s="14">
        <v>14</v>
      </c>
      <c r="B81" s="15"/>
      <c r="C81" s="15" t="e">
        <f>VLOOKUP(B81,داتا!$B$3:$D$107,2,FALSE)</f>
        <v>#N/A</v>
      </c>
      <c r="D81" s="34" t="e">
        <f>VLOOKUP(B81,داتا!$B$3:$D$107,3,FALSE)</f>
        <v>#N/A</v>
      </c>
      <c r="E81" s="15"/>
      <c r="F81" s="15"/>
      <c r="G81" s="16">
        <v>8.3333333333333329E-2</v>
      </c>
      <c r="H81" s="16" t="e">
        <f t="shared" si="16"/>
        <v>#N/A</v>
      </c>
      <c r="I81" s="16" t="e">
        <f t="shared" si="10"/>
        <v>#N/A</v>
      </c>
      <c r="J81" s="16"/>
      <c r="K81" s="16"/>
      <c r="L81" s="16"/>
      <c r="M81" s="16"/>
      <c r="N81" s="16">
        <f t="shared" si="11"/>
        <v>0</v>
      </c>
      <c r="O81" s="16" t="e">
        <f t="shared" si="12"/>
        <v>#N/A</v>
      </c>
      <c r="P81" s="16">
        <v>6.9444444444444397E-3</v>
      </c>
      <c r="Q81" s="16"/>
      <c r="R81" s="16">
        <f t="shared" si="13"/>
        <v>-6.9444444444444397E-3</v>
      </c>
      <c r="S81" s="16"/>
      <c r="T81" s="16" t="e">
        <f>VLOOKUP(E81,'[2]21-3-2026'!E$3:T$35,16,FALSE)</f>
        <v>#N/A</v>
      </c>
      <c r="U81" s="16"/>
      <c r="V81" s="16" t="e">
        <f t="shared" si="14"/>
        <v>#N/A</v>
      </c>
      <c r="W81" s="16"/>
      <c r="X81" s="16"/>
      <c r="Y81" s="16"/>
      <c r="Z81" s="16">
        <f t="shared" si="15"/>
        <v>0</v>
      </c>
      <c r="AA81" s="16">
        <f t="shared" si="9"/>
        <v>0</v>
      </c>
      <c r="AB81" s="16"/>
      <c r="AC81" s="17"/>
      <c r="AD81" s="51"/>
    </row>
    <row r="82" spans="1:30" ht="19.5" thickBot="1" x14ac:dyDescent="0.3">
      <c r="A82" s="14">
        <v>15</v>
      </c>
      <c r="B82" s="15"/>
      <c r="C82" s="15" t="e">
        <f>VLOOKUP(B82,داتا!$B$3:$D$107,2,FALSE)</f>
        <v>#N/A</v>
      </c>
      <c r="D82" s="34" t="e">
        <f>VLOOKUP(B82,داتا!$B$3:$D$107,3,FALSE)</f>
        <v>#N/A</v>
      </c>
      <c r="E82" s="15"/>
      <c r="F82" s="15"/>
      <c r="G82" s="16">
        <v>8.3333333333333329E-2</v>
      </c>
      <c r="H82" s="16" t="e">
        <f t="shared" si="16"/>
        <v>#N/A</v>
      </c>
      <c r="I82" s="16" t="e">
        <f t="shared" si="10"/>
        <v>#N/A</v>
      </c>
      <c r="J82" s="16"/>
      <c r="K82" s="16"/>
      <c r="L82" s="16"/>
      <c r="M82" s="16"/>
      <c r="N82" s="16">
        <f t="shared" si="11"/>
        <v>0</v>
      </c>
      <c r="O82" s="16" t="e">
        <f t="shared" si="12"/>
        <v>#N/A</v>
      </c>
      <c r="P82" s="16">
        <v>6.9444444444444397E-3</v>
      </c>
      <c r="Q82" s="16"/>
      <c r="R82" s="16">
        <f t="shared" si="13"/>
        <v>-6.9444444444444397E-3</v>
      </c>
      <c r="S82" s="16"/>
      <c r="T82" s="16" t="e">
        <f>VLOOKUP(E82,'[2]21-3-2026'!E$3:T$35,16,FALSE)</f>
        <v>#N/A</v>
      </c>
      <c r="U82" s="16"/>
      <c r="V82" s="16" t="e">
        <f t="shared" si="14"/>
        <v>#N/A</v>
      </c>
      <c r="W82" s="16"/>
      <c r="X82" s="16"/>
      <c r="Y82" s="16"/>
      <c r="Z82" s="16">
        <f t="shared" si="15"/>
        <v>0</v>
      </c>
      <c r="AA82" s="16">
        <f t="shared" si="9"/>
        <v>0</v>
      </c>
      <c r="AB82" s="16"/>
      <c r="AC82" s="17"/>
      <c r="AD82" s="51"/>
    </row>
    <row r="83" spans="1:30" ht="19.5" thickBot="1" x14ac:dyDescent="0.3">
      <c r="A83" s="14">
        <v>16</v>
      </c>
      <c r="B83" s="15"/>
      <c r="C83" s="15" t="e">
        <f>VLOOKUP(B83,داتا!$B$3:$D$107,2,FALSE)</f>
        <v>#N/A</v>
      </c>
      <c r="D83" s="34" t="e">
        <f>VLOOKUP(B83,داتا!$B$3:$D$107,3,FALSE)</f>
        <v>#N/A</v>
      </c>
      <c r="E83" s="15"/>
      <c r="F83" s="15"/>
      <c r="G83" s="16">
        <v>8.3333333333333329E-2</v>
      </c>
      <c r="H83" s="16" t="e">
        <f t="shared" si="16"/>
        <v>#N/A</v>
      </c>
      <c r="I83" s="16" t="e">
        <f t="shared" si="10"/>
        <v>#N/A</v>
      </c>
      <c r="J83" s="16"/>
      <c r="K83" s="16"/>
      <c r="L83" s="16"/>
      <c r="M83" s="16"/>
      <c r="N83" s="16">
        <f t="shared" si="11"/>
        <v>0</v>
      </c>
      <c r="O83" s="16" t="e">
        <f t="shared" si="12"/>
        <v>#N/A</v>
      </c>
      <c r="P83" s="16">
        <v>6.9444444444444397E-3</v>
      </c>
      <c r="Q83" s="16"/>
      <c r="R83" s="16">
        <f t="shared" si="13"/>
        <v>-6.9444444444444397E-3</v>
      </c>
      <c r="S83" s="16"/>
      <c r="T83" s="16" t="e">
        <f>VLOOKUP(E83,'[2]21-3-2026'!E$3:T$35,16,FALSE)</f>
        <v>#N/A</v>
      </c>
      <c r="U83" s="16"/>
      <c r="V83" s="16" t="e">
        <f t="shared" si="14"/>
        <v>#N/A</v>
      </c>
      <c r="W83" s="16"/>
      <c r="X83" s="16"/>
      <c r="Y83" s="16"/>
      <c r="Z83" s="16">
        <f t="shared" si="15"/>
        <v>0</v>
      </c>
      <c r="AA83" s="16">
        <f t="shared" si="9"/>
        <v>0</v>
      </c>
      <c r="AB83" s="16"/>
      <c r="AC83" s="17"/>
      <c r="AD83" s="51"/>
    </row>
    <row r="84" spans="1:30" ht="19.5" thickBot="1" x14ac:dyDescent="0.3">
      <c r="A84" s="14">
        <v>17</v>
      </c>
      <c r="B84" s="15"/>
      <c r="C84" s="15" t="e">
        <f>VLOOKUP(B84,داتا!$B$3:$D$107,2,FALSE)</f>
        <v>#N/A</v>
      </c>
      <c r="D84" s="34" t="e">
        <f>VLOOKUP(B84,داتا!$B$3:$D$107,3,FALSE)</f>
        <v>#N/A</v>
      </c>
      <c r="E84" s="15"/>
      <c r="F84" s="15"/>
      <c r="G84" s="16">
        <v>8.3333333333333329E-2</v>
      </c>
      <c r="H84" s="16" t="e">
        <f t="shared" si="16"/>
        <v>#N/A</v>
      </c>
      <c r="I84" s="16" t="e">
        <f t="shared" si="10"/>
        <v>#N/A</v>
      </c>
      <c r="J84" s="16"/>
      <c r="K84" s="16"/>
      <c r="L84" s="16"/>
      <c r="M84" s="16"/>
      <c r="N84" s="16">
        <f t="shared" si="11"/>
        <v>0</v>
      </c>
      <c r="O84" s="16" t="e">
        <f t="shared" si="12"/>
        <v>#N/A</v>
      </c>
      <c r="P84" s="16">
        <v>6.9444444444444397E-3</v>
      </c>
      <c r="Q84" s="16"/>
      <c r="R84" s="16">
        <f t="shared" si="13"/>
        <v>-6.9444444444444397E-3</v>
      </c>
      <c r="S84" s="16"/>
      <c r="T84" s="16" t="e">
        <f>VLOOKUP(E84,'[2]21-3-2026'!E$3:T$35,16,FALSE)</f>
        <v>#N/A</v>
      </c>
      <c r="U84" s="16"/>
      <c r="V84" s="16" t="e">
        <f t="shared" si="14"/>
        <v>#N/A</v>
      </c>
      <c r="W84" s="16"/>
      <c r="X84" s="16"/>
      <c r="Y84" s="16"/>
      <c r="Z84" s="16">
        <f t="shared" si="15"/>
        <v>0</v>
      </c>
      <c r="AA84" s="16">
        <f t="shared" si="9"/>
        <v>0</v>
      </c>
      <c r="AB84" s="16"/>
      <c r="AC84" s="17"/>
      <c r="AD84" s="51"/>
    </row>
    <row r="85" spans="1:30" ht="19.5" thickBot="1" x14ac:dyDescent="0.3">
      <c r="A85" s="14">
        <v>18</v>
      </c>
      <c r="B85" s="15"/>
      <c r="C85" s="15" t="e">
        <f>VLOOKUP(B85,داتا!$B$3:$D$107,2,FALSE)</f>
        <v>#N/A</v>
      </c>
      <c r="D85" s="34" t="e">
        <f>VLOOKUP(B85,داتا!$B$3:$D$107,3,FALSE)</f>
        <v>#N/A</v>
      </c>
      <c r="E85" s="15"/>
      <c r="F85" s="15"/>
      <c r="G85" s="16">
        <v>8.3333333333333329E-2</v>
      </c>
      <c r="H85" s="16" t="e">
        <f t="shared" ref="H85:H99" si="17">VLOOKUP(G85,$F$3:$I$35,2,FALSE)</f>
        <v>#N/A</v>
      </c>
      <c r="I85" s="16" t="e">
        <f t="shared" si="10"/>
        <v>#N/A</v>
      </c>
      <c r="J85" s="16"/>
      <c r="K85" s="16"/>
      <c r="L85" s="16"/>
      <c r="M85" s="16"/>
      <c r="N85" s="16">
        <f t="shared" si="11"/>
        <v>0</v>
      </c>
      <c r="O85" s="16" t="e">
        <f t="shared" si="12"/>
        <v>#N/A</v>
      </c>
      <c r="P85" s="16">
        <v>6.9444444444444397E-3</v>
      </c>
      <c r="Q85" s="16"/>
      <c r="R85" s="16">
        <f t="shared" si="13"/>
        <v>-6.9444444444444397E-3</v>
      </c>
      <c r="S85" s="16"/>
      <c r="T85" s="16" t="e">
        <f>VLOOKUP(E85,'[2]21-3-2026'!E$3:T$35,16,FALSE)</f>
        <v>#N/A</v>
      </c>
      <c r="U85" s="16"/>
      <c r="V85" s="16" t="e">
        <f t="shared" si="14"/>
        <v>#N/A</v>
      </c>
      <c r="W85" s="16"/>
      <c r="X85" s="16"/>
      <c r="Y85" s="16"/>
      <c r="Z85" s="16">
        <f t="shared" si="15"/>
        <v>0</v>
      </c>
      <c r="AA85" s="16">
        <f t="shared" si="9"/>
        <v>0</v>
      </c>
      <c r="AB85" s="16"/>
      <c r="AC85" s="17"/>
      <c r="AD85" s="51"/>
    </row>
    <row r="86" spans="1:30" ht="19.5" thickBot="1" x14ac:dyDescent="0.3">
      <c r="A86" s="14">
        <v>19</v>
      </c>
      <c r="B86" s="15"/>
      <c r="C86" s="15" t="e">
        <f>VLOOKUP(B86,داتا!$B$3:$D$107,2,FALSE)</f>
        <v>#N/A</v>
      </c>
      <c r="D86" s="34" t="e">
        <f>VLOOKUP(B86,داتا!$B$3:$D$107,3,FALSE)</f>
        <v>#N/A</v>
      </c>
      <c r="E86" s="15"/>
      <c r="F86" s="15"/>
      <c r="G86" s="16">
        <v>8.3333333333333329E-2</v>
      </c>
      <c r="H86" s="16" t="e">
        <f t="shared" si="17"/>
        <v>#N/A</v>
      </c>
      <c r="I86" s="16" t="e">
        <f t="shared" si="10"/>
        <v>#N/A</v>
      </c>
      <c r="J86" s="16"/>
      <c r="K86" s="16"/>
      <c r="L86" s="16"/>
      <c r="M86" s="16"/>
      <c r="N86" s="16">
        <f t="shared" si="11"/>
        <v>0</v>
      </c>
      <c r="O86" s="16" t="e">
        <f t="shared" si="12"/>
        <v>#N/A</v>
      </c>
      <c r="P86" s="16">
        <v>6.9444444444444397E-3</v>
      </c>
      <c r="Q86" s="16"/>
      <c r="R86" s="16">
        <f t="shared" si="13"/>
        <v>-6.9444444444444397E-3</v>
      </c>
      <c r="S86" s="16"/>
      <c r="T86" s="16" t="e">
        <f>VLOOKUP(E86,'[2]21-3-2026'!E$3:T$35,16,FALSE)</f>
        <v>#N/A</v>
      </c>
      <c r="U86" s="16"/>
      <c r="V86" s="16" t="e">
        <f t="shared" si="14"/>
        <v>#N/A</v>
      </c>
      <c r="W86" s="16"/>
      <c r="X86" s="16"/>
      <c r="Y86" s="16"/>
      <c r="Z86" s="16">
        <f t="shared" si="15"/>
        <v>0</v>
      </c>
      <c r="AA86" s="16">
        <f t="shared" si="9"/>
        <v>0</v>
      </c>
      <c r="AB86" s="16"/>
      <c r="AC86" s="17"/>
      <c r="AD86" s="51"/>
    </row>
    <row r="87" spans="1:30" ht="19.5" thickBot="1" x14ac:dyDescent="0.3">
      <c r="A87" s="14">
        <v>20</v>
      </c>
      <c r="B87" s="15"/>
      <c r="C87" s="15" t="e">
        <f>VLOOKUP(B87,داتا!$B$3:$D$107,2,FALSE)</f>
        <v>#N/A</v>
      </c>
      <c r="D87" s="34" t="e">
        <f>VLOOKUP(B87,داتا!$B$3:$D$107,3,FALSE)</f>
        <v>#N/A</v>
      </c>
      <c r="E87" s="15"/>
      <c r="F87" s="15"/>
      <c r="G87" s="16">
        <v>8.3333333333333329E-2</v>
      </c>
      <c r="H87" s="16" t="e">
        <f t="shared" si="17"/>
        <v>#N/A</v>
      </c>
      <c r="I87" s="16" t="e">
        <f t="shared" si="10"/>
        <v>#N/A</v>
      </c>
      <c r="J87" s="16"/>
      <c r="K87" s="16"/>
      <c r="L87" s="16"/>
      <c r="M87" s="16"/>
      <c r="N87" s="16">
        <f t="shared" si="11"/>
        <v>0</v>
      </c>
      <c r="O87" s="16" t="e">
        <f t="shared" si="12"/>
        <v>#N/A</v>
      </c>
      <c r="P87" s="16">
        <v>6.9444444444444397E-3</v>
      </c>
      <c r="Q87" s="16"/>
      <c r="R87" s="16">
        <f t="shared" si="13"/>
        <v>-6.9444444444444397E-3</v>
      </c>
      <c r="S87" s="16"/>
      <c r="T87" s="16" t="e">
        <f>VLOOKUP(E87,'[2]21-3-2026'!E$3:T$35,16,FALSE)</f>
        <v>#N/A</v>
      </c>
      <c r="U87" s="16"/>
      <c r="V87" s="16" t="e">
        <f t="shared" si="14"/>
        <v>#N/A</v>
      </c>
      <c r="W87" s="16"/>
      <c r="X87" s="16"/>
      <c r="Y87" s="16"/>
      <c r="Z87" s="16">
        <f t="shared" si="15"/>
        <v>0</v>
      </c>
      <c r="AA87" s="16">
        <f t="shared" si="9"/>
        <v>0</v>
      </c>
      <c r="AB87" s="16"/>
      <c r="AC87" s="17"/>
      <c r="AD87" s="51"/>
    </row>
    <row r="88" spans="1:30" ht="19.5" thickBot="1" x14ac:dyDescent="0.3">
      <c r="A88" s="14">
        <v>21</v>
      </c>
      <c r="B88" s="15"/>
      <c r="C88" s="15" t="e">
        <f>VLOOKUP(B88,داتا!$B$3:$D$107,2,FALSE)</f>
        <v>#N/A</v>
      </c>
      <c r="D88" s="34" t="e">
        <f>VLOOKUP(B88,داتا!$B$3:$D$107,3,FALSE)</f>
        <v>#N/A</v>
      </c>
      <c r="E88" s="15"/>
      <c r="F88" s="15"/>
      <c r="G88" s="16">
        <v>8.3333333333333329E-2</v>
      </c>
      <c r="H88" s="16" t="e">
        <f t="shared" si="17"/>
        <v>#N/A</v>
      </c>
      <c r="I88" s="16" t="e">
        <f t="shared" si="10"/>
        <v>#N/A</v>
      </c>
      <c r="J88" s="16"/>
      <c r="K88" s="16"/>
      <c r="L88" s="16"/>
      <c r="M88" s="16"/>
      <c r="N88" s="16">
        <f t="shared" si="11"/>
        <v>0</v>
      </c>
      <c r="O88" s="16" t="e">
        <f t="shared" si="12"/>
        <v>#N/A</v>
      </c>
      <c r="P88" s="16">
        <v>6.9444444444444397E-3</v>
      </c>
      <c r="Q88" s="16"/>
      <c r="R88" s="16">
        <f t="shared" si="13"/>
        <v>-6.9444444444444397E-3</v>
      </c>
      <c r="S88" s="16"/>
      <c r="T88" s="16" t="e">
        <f>VLOOKUP(E88,'[2]21-3-2026'!E$3:T$35,16,FALSE)</f>
        <v>#N/A</v>
      </c>
      <c r="U88" s="16"/>
      <c r="V88" s="16" t="e">
        <f t="shared" si="14"/>
        <v>#N/A</v>
      </c>
      <c r="W88" s="16"/>
      <c r="X88" s="16"/>
      <c r="Y88" s="16"/>
      <c r="Z88" s="16">
        <f t="shared" si="15"/>
        <v>0</v>
      </c>
      <c r="AA88" s="16">
        <f t="shared" si="9"/>
        <v>0</v>
      </c>
      <c r="AB88" s="16"/>
      <c r="AC88" s="19"/>
      <c r="AD88" s="51"/>
    </row>
    <row r="89" spans="1:30" ht="19.5" thickBot="1" x14ac:dyDescent="0.3">
      <c r="A89" s="14">
        <v>22</v>
      </c>
      <c r="B89" s="15"/>
      <c r="C89" s="15" t="e">
        <f>VLOOKUP(B89,داتا!$B$3:$D$107,2,FALSE)</f>
        <v>#N/A</v>
      </c>
      <c r="D89" s="34" t="e">
        <f>VLOOKUP(B89,داتا!$B$3:$D$107,3,FALSE)</f>
        <v>#N/A</v>
      </c>
      <c r="E89" s="15"/>
      <c r="F89" s="15"/>
      <c r="G89" s="16">
        <v>8.3333333333333329E-2</v>
      </c>
      <c r="H89" s="16" t="e">
        <f t="shared" si="17"/>
        <v>#N/A</v>
      </c>
      <c r="I89" s="16" t="e">
        <f t="shared" si="10"/>
        <v>#N/A</v>
      </c>
      <c r="J89" s="16"/>
      <c r="K89" s="16"/>
      <c r="L89" s="16"/>
      <c r="M89" s="16"/>
      <c r="N89" s="16">
        <f t="shared" si="11"/>
        <v>0</v>
      </c>
      <c r="O89" s="16" t="e">
        <f t="shared" si="12"/>
        <v>#N/A</v>
      </c>
      <c r="P89" s="16">
        <v>6.9444444444444397E-3</v>
      </c>
      <c r="Q89" s="16"/>
      <c r="R89" s="16">
        <f t="shared" si="13"/>
        <v>-6.9444444444444397E-3</v>
      </c>
      <c r="S89" s="16"/>
      <c r="T89" s="16" t="e">
        <f>VLOOKUP(E89,'[2]21-3-2026'!E$3:T$35,16,FALSE)</f>
        <v>#N/A</v>
      </c>
      <c r="U89" s="16"/>
      <c r="V89" s="16" t="e">
        <f t="shared" si="14"/>
        <v>#N/A</v>
      </c>
      <c r="W89" s="16"/>
      <c r="X89" s="16"/>
      <c r="Y89" s="16"/>
      <c r="Z89" s="16">
        <f t="shared" si="15"/>
        <v>0</v>
      </c>
      <c r="AA89" s="16">
        <f t="shared" si="9"/>
        <v>0</v>
      </c>
      <c r="AB89" s="16"/>
      <c r="AC89" s="19"/>
      <c r="AD89" s="51"/>
    </row>
    <row r="90" spans="1:30" ht="19.5" thickBot="1" x14ac:dyDescent="0.3">
      <c r="A90" s="14">
        <v>23</v>
      </c>
      <c r="B90" s="15"/>
      <c r="C90" s="15" t="e">
        <f>VLOOKUP(B90,داتا!$B$3:$D$107,2,FALSE)</f>
        <v>#N/A</v>
      </c>
      <c r="D90" s="34" t="e">
        <f>VLOOKUP(B90,داتا!$B$3:$D$107,3,FALSE)</f>
        <v>#N/A</v>
      </c>
      <c r="E90" s="15"/>
      <c r="F90" s="15"/>
      <c r="G90" s="16">
        <v>8.3333333333333329E-2</v>
      </c>
      <c r="H90" s="16" t="e">
        <f t="shared" si="17"/>
        <v>#N/A</v>
      </c>
      <c r="I90" s="16" t="e">
        <f t="shared" si="10"/>
        <v>#N/A</v>
      </c>
      <c r="J90" s="16"/>
      <c r="K90" s="16"/>
      <c r="L90" s="16"/>
      <c r="M90" s="16"/>
      <c r="N90" s="16">
        <f t="shared" si="11"/>
        <v>0</v>
      </c>
      <c r="O90" s="16" t="e">
        <f t="shared" si="12"/>
        <v>#N/A</v>
      </c>
      <c r="P90" s="16">
        <v>6.9444444444444397E-3</v>
      </c>
      <c r="Q90" s="16"/>
      <c r="R90" s="16">
        <f t="shared" si="13"/>
        <v>-6.9444444444444397E-3</v>
      </c>
      <c r="S90" s="16"/>
      <c r="T90" s="16" t="e">
        <f>VLOOKUP(E90,'[2]21-3-2026'!E$3:T$35,16,FALSE)</f>
        <v>#N/A</v>
      </c>
      <c r="U90" s="16"/>
      <c r="V90" s="16" t="e">
        <f t="shared" si="14"/>
        <v>#N/A</v>
      </c>
      <c r="W90" s="16"/>
      <c r="X90" s="16"/>
      <c r="Y90" s="16"/>
      <c r="Z90" s="16">
        <f t="shared" si="15"/>
        <v>0</v>
      </c>
      <c r="AA90" s="16">
        <f t="shared" si="9"/>
        <v>0</v>
      </c>
      <c r="AB90" s="16"/>
      <c r="AC90" s="19"/>
      <c r="AD90" s="51"/>
    </row>
    <row r="91" spans="1:30" ht="19.5" thickBot="1" x14ac:dyDescent="0.3">
      <c r="A91" s="14">
        <v>24</v>
      </c>
      <c r="B91" s="15"/>
      <c r="C91" s="15" t="e">
        <f>VLOOKUP(B91,داتا!$B$3:$D$107,2,FALSE)</f>
        <v>#N/A</v>
      </c>
      <c r="D91" s="34" t="e">
        <f>VLOOKUP(B91,داتا!$B$3:$D$107,3,FALSE)</f>
        <v>#N/A</v>
      </c>
      <c r="E91" s="15"/>
      <c r="F91" s="15"/>
      <c r="G91" s="16">
        <v>8.3333333333333329E-2</v>
      </c>
      <c r="H91" s="16" t="e">
        <f t="shared" si="17"/>
        <v>#N/A</v>
      </c>
      <c r="I91" s="16" t="e">
        <f t="shared" si="10"/>
        <v>#N/A</v>
      </c>
      <c r="J91" s="16"/>
      <c r="K91" s="16"/>
      <c r="L91" s="16"/>
      <c r="M91" s="16"/>
      <c r="N91" s="16">
        <f t="shared" si="11"/>
        <v>0</v>
      </c>
      <c r="O91" s="16" t="e">
        <f t="shared" si="12"/>
        <v>#N/A</v>
      </c>
      <c r="P91" s="16">
        <v>6.9444444444444397E-3</v>
      </c>
      <c r="Q91" s="16"/>
      <c r="R91" s="16">
        <f t="shared" si="13"/>
        <v>-6.9444444444444397E-3</v>
      </c>
      <c r="S91" s="16"/>
      <c r="T91" s="16" t="e">
        <f>VLOOKUP(E91,'[2]21-3-2026'!E$3:T$35,16,FALSE)</f>
        <v>#N/A</v>
      </c>
      <c r="U91" s="16"/>
      <c r="V91" s="16" t="e">
        <f t="shared" si="14"/>
        <v>#N/A</v>
      </c>
      <c r="W91" s="16"/>
      <c r="X91" s="16"/>
      <c r="Y91" s="16"/>
      <c r="Z91" s="16">
        <f t="shared" si="15"/>
        <v>0</v>
      </c>
      <c r="AA91" s="16">
        <f t="shared" si="9"/>
        <v>0</v>
      </c>
      <c r="AB91" s="16"/>
      <c r="AC91" s="19"/>
      <c r="AD91" s="51"/>
    </row>
    <row r="92" spans="1:30" ht="19.5" thickBot="1" x14ac:dyDescent="0.3">
      <c r="A92" s="14">
        <v>25</v>
      </c>
      <c r="B92" s="15"/>
      <c r="C92" s="15" t="e">
        <f>VLOOKUP(B92,داتا!$B$3:$D$107,2,FALSE)</f>
        <v>#N/A</v>
      </c>
      <c r="D92" s="34" t="e">
        <f>VLOOKUP(B92,داتا!$B$3:$D$107,3,FALSE)</f>
        <v>#N/A</v>
      </c>
      <c r="E92" s="15"/>
      <c r="F92" s="15"/>
      <c r="G92" s="16">
        <v>8.3333333333333329E-2</v>
      </c>
      <c r="H92" s="16" t="e">
        <f t="shared" si="17"/>
        <v>#N/A</v>
      </c>
      <c r="I92" s="16" t="e">
        <f t="shared" si="10"/>
        <v>#N/A</v>
      </c>
      <c r="J92" s="16"/>
      <c r="K92" s="16"/>
      <c r="L92" s="16"/>
      <c r="M92" s="16"/>
      <c r="N92" s="16">
        <f t="shared" si="11"/>
        <v>0</v>
      </c>
      <c r="O92" s="16" t="e">
        <f t="shared" si="12"/>
        <v>#N/A</v>
      </c>
      <c r="P92" s="16">
        <v>6.9444444444444397E-3</v>
      </c>
      <c r="Q92" s="16"/>
      <c r="R92" s="16">
        <f t="shared" si="13"/>
        <v>-6.9444444444444397E-3</v>
      </c>
      <c r="S92" s="16"/>
      <c r="T92" s="16" t="e">
        <f>VLOOKUP(E92,'[2]21-3-2026'!E$3:T$35,16,FALSE)</f>
        <v>#N/A</v>
      </c>
      <c r="U92" s="16"/>
      <c r="V92" s="16" t="e">
        <f t="shared" si="14"/>
        <v>#N/A</v>
      </c>
      <c r="W92" s="16"/>
      <c r="X92" s="16"/>
      <c r="Y92" s="16"/>
      <c r="Z92" s="16">
        <f t="shared" si="15"/>
        <v>0</v>
      </c>
      <c r="AA92" s="16">
        <f t="shared" si="9"/>
        <v>0</v>
      </c>
      <c r="AB92" s="16"/>
      <c r="AC92" s="19"/>
      <c r="AD92" s="51"/>
    </row>
    <row r="93" spans="1:30" ht="19.5" thickBot="1" x14ac:dyDescent="0.3">
      <c r="A93" s="14">
        <v>26</v>
      </c>
      <c r="B93" s="15"/>
      <c r="C93" s="15" t="e">
        <f>VLOOKUP(B93,داتا!$B$3:$D$107,2,FALSE)</f>
        <v>#N/A</v>
      </c>
      <c r="D93" s="34" t="e">
        <f>VLOOKUP(B93,داتا!$B$3:$D$107,3,FALSE)</f>
        <v>#N/A</v>
      </c>
      <c r="E93" s="15"/>
      <c r="F93" s="15"/>
      <c r="G93" s="16">
        <v>8.3333333333333329E-2</v>
      </c>
      <c r="H93" s="16" t="e">
        <f t="shared" si="17"/>
        <v>#N/A</v>
      </c>
      <c r="I93" s="16" t="e">
        <f t="shared" si="10"/>
        <v>#N/A</v>
      </c>
      <c r="J93" s="16"/>
      <c r="K93" s="16"/>
      <c r="L93" s="16"/>
      <c r="M93" s="16"/>
      <c r="N93" s="16">
        <f t="shared" si="11"/>
        <v>0</v>
      </c>
      <c r="O93" s="16" t="e">
        <f t="shared" si="12"/>
        <v>#N/A</v>
      </c>
      <c r="P93" s="16">
        <v>6.9444444444444397E-3</v>
      </c>
      <c r="Q93" s="16"/>
      <c r="R93" s="16">
        <f t="shared" si="13"/>
        <v>-6.9444444444444397E-3</v>
      </c>
      <c r="S93" s="16"/>
      <c r="T93" s="16" t="e">
        <f>VLOOKUP(E93,'[2]21-3-2026'!E$3:T$35,16,FALSE)</f>
        <v>#N/A</v>
      </c>
      <c r="U93" s="16"/>
      <c r="V93" s="16" t="e">
        <f t="shared" si="14"/>
        <v>#N/A</v>
      </c>
      <c r="W93" s="16"/>
      <c r="X93" s="16"/>
      <c r="Y93" s="16"/>
      <c r="Z93" s="16">
        <f t="shared" si="15"/>
        <v>0</v>
      </c>
      <c r="AA93" s="16">
        <f t="shared" si="9"/>
        <v>0</v>
      </c>
      <c r="AB93" s="16"/>
      <c r="AC93" s="19"/>
      <c r="AD93" s="51"/>
    </row>
    <row r="94" spans="1:30" ht="19.5" thickBot="1" x14ac:dyDescent="0.3">
      <c r="A94" s="14">
        <v>27</v>
      </c>
      <c r="B94" s="15"/>
      <c r="C94" s="15" t="e">
        <f>VLOOKUP(B94,داتا!$B$3:$D$107,2,FALSE)</f>
        <v>#N/A</v>
      </c>
      <c r="D94" s="34" t="e">
        <f>VLOOKUP(B94,داتا!$B$3:$D$107,3,FALSE)</f>
        <v>#N/A</v>
      </c>
      <c r="E94" s="15"/>
      <c r="F94" s="15"/>
      <c r="G94" s="16">
        <v>8.3333333333333329E-2</v>
      </c>
      <c r="H94" s="16" t="e">
        <f t="shared" si="17"/>
        <v>#N/A</v>
      </c>
      <c r="I94" s="16" t="e">
        <f t="shared" si="10"/>
        <v>#N/A</v>
      </c>
      <c r="J94" s="16"/>
      <c r="K94" s="16"/>
      <c r="L94" s="16"/>
      <c r="M94" s="16"/>
      <c r="N94" s="16">
        <f t="shared" si="11"/>
        <v>0</v>
      </c>
      <c r="O94" s="16" t="e">
        <f t="shared" si="12"/>
        <v>#N/A</v>
      </c>
      <c r="P94" s="16">
        <v>6.9444444444444397E-3</v>
      </c>
      <c r="Q94" s="16"/>
      <c r="R94" s="16">
        <f t="shared" si="13"/>
        <v>-6.9444444444444397E-3</v>
      </c>
      <c r="S94" s="16"/>
      <c r="T94" s="16" t="e">
        <f>VLOOKUP(E94,'[2]21-3-2026'!E$3:T$35,16,FALSE)</f>
        <v>#N/A</v>
      </c>
      <c r="U94" s="16"/>
      <c r="V94" s="16" t="e">
        <f t="shared" si="14"/>
        <v>#N/A</v>
      </c>
      <c r="W94" s="16"/>
      <c r="X94" s="16"/>
      <c r="Y94" s="16"/>
      <c r="Z94" s="16">
        <f t="shared" si="15"/>
        <v>0</v>
      </c>
      <c r="AA94" s="16">
        <f t="shared" si="9"/>
        <v>0</v>
      </c>
      <c r="AB94" s="16"/>
      <c r="AC94" s="19"/>
      <c r="AD94" s="51"/>
    </row>
    <row r="95" spans="1:30" ht="19.5" thickBot="1" x14ac:dyDescent="0.3">
      <c r="A95" s="14">
        <v>28</v>
      </c>
      <c r="B95" s="15"/>
      <c r="C95" s="15" t="e">
        <f>VLOOKUP(B95,داتا!$B$3:$D$107,2,FALSE)</f>
        <v>#N/A</v>
      </c>
      <c r="D95" s="34" t="e">
        <f>VLOOKUP(B95,داتا!$B$3:$D$107,3,FALSE)</f>
        <v>#N/A</v>
      </c>
      <c r="E95" s="15"/>
      <c r="F95" s="16"/>
      <c r="G95" s="16">
        <v>8.3333333333333329E-2</v>
      </c>
      <c r="H95" s="16" t="e">
        <f t="shared" si="17"/>
        <v>#N/A</v>
      </c>
      <c r="I95" s="16" t="e">
        <f t="shared" si="10"/>
        <v>#N/A</v>
      </c>
      <c r="J95" s="16"/>
      <c r="K95" s="16"/>
      <c r="L95" s="16"/>
      <c r="M95" s="16"/>
      <c r="N95" s="16">
        <f t="shared" si="11"/>
        <v>0</v>
      </c>
      <c r="O95" s="16" t="e">
        <f t="shared" si="12"/>
        <v>#N/A</v>
      </c>
      <c r="P95" s="16">
        <v>6.9444444444444397E-3</v>
      </c>
      <c r="Q95" s="16"/>
      <c r="R95" s="16">
        <f t="shared" si="13"/>
        <v>-6.9444444444444397E-3</v>
      </c>
      <c r="S95" s="16"/>
      <c r="T95" s="16" t="e">
        <f>VLOOKUP(E95,'[2]21-3-2026'!E$3:T$35,16,FALSE)</f>
        <v>#N/A</v>
      </c>
      <c r="U95" s="16"/>
      <c r="V95" s="16" t="e">
        <f t="shared" si="14"/>
        <v>#N/A</v>
      </c>
      <c r="W95" s="16"/>
      <c r="X95" s="16"/>
      <c r="Y95" s="16"/>
      <c r="Z95" s="16">
        <f t="shared" si="15"/>
        <v>0</v>
      </c>
      <c r="AA95" s="16">
        <f t="shared" si="9"/>
        <v>0</v>
      </c>
      <c r="AB95" s="16"/>
      <c r="AC95" s="19"/>
      <c r="AD95" s="51"/>
    </row>
    <row r="96" spans="1:30" ht="19.5" thickBot="1" x14ac:dyDescent="0.3">
      <c r="A96" s="14">
        <v>29</v>
      </c>
      <c r="B96" s="15"/>
      <c r="C96" s="15" t="e">
        <f>VLOOKUP(B96,داتا!$B$3:$D$107,2,FALSE)</f>
        <v>#N/A</v>
      </c>
      <c r="D96" s="34" t="e">
        <f>VLOOKUP(B96,داتا!$B$3:$D$107,3,FALSE)</f>
        <v>#N/A</v>
      </c>
      <c r="E96" s="15"/>
      <c r="F96" s="16"/>
      <c r="G96" s="16">
        <v>8.3333333333333329E-2</v>
      </c>
      <c r="H96" s="16" t="e">
        <f t="shared" si="17"/>
        <v>#N/A</v>
      </c>
      <c r="I96" s="16" t="e">
        <f t="shared" si="10"/>
        <v>#N/A</v>
      </c>
      <c r="J96" s="16"/>
      <c r="K96" s="16"/>
      <c r="L96" s="16"/>
      <c r="M96" s="16"/>
      <c r="N96" s="16">
        <f t="shared" si="11"/>
        <v>0</v>
      </c>
      <c r="O96" s="16" t="e">
        <f t="shared" si="12"/>
        <v>#N/A</v>
      </c>
      <c r="P96" s="16">
        <v>6.9444444444444397E-3</v>
      </c>
      <c r="Q96" s="16"/>
      <c r="R96" s="16">
        <f t="shared" si="13"/>
        <v>-6.9444444444444397E-3</v>
      </c>
      <c r="S96" s="16"/>
      <c r="T96" s="16" t="e">
        <f>VLOOKUP(E96,'[2]21-3-2026'!E$3:T$35,16,FALSE)</f>
        <v>#N/A</v>
      </c>
      <c r="U96" s="16"/>
      <c r="V96" s="16" t="e">
        <f t="shared" si="14"/>
        <v>#N/A</v>
      </c>
      <c r="W96" s="16"/>
      <c r="X96" s="16"/>
      <c r="Y96" s="16"/>
      <c r="Z96" s="16">
        <f t="shared" si="15"/>
        <v>0</v>
      </c>
      <c r="AA96" s="16">
        <f t="shared" si="9"/>
        <v>0</v>
      </c>
      <c r="AB96" s="16"/>
      <c r="AC96" s="19"/>
      <c r="AD96" s="54"/>
    </row>
    <row r="97" spans="1:29" ht="19.5" thickBot="1" x14ac:dyDescent="0.3">
      <c r="A97" s="14">
        <v>30</v>
      </c>
      <c r="B97" s="15"/>
      <c r="C97" s="15" t="e">
        <f>VLOOKUP(B97,داتا!$B$3:$D$107,2,FALSE)</f>
        <v>#N/A</v>
      </c>
      <c r="D97" s="34" t="e">
        <f>VLOOKUP(B97,داتا!$B$3:$D$107,3,FALSE)</f>
        <v>#N/A</v>
      </c>
      <c r="E97" s="15"/>
      <c r="F97" s="16"/>
      <c r="G97" s="16">
        <v>8.3333333333333329E-2</v>
      </c>
      <c r="H97" s="16" t="e">
        <f t="shared" si="17"/>
        <v>#N/A</v>
      </c>
      <c r="I97" s="16" t="e">
        <f t="shared" si="10"/>
        <v>#N/A</v>
      </c>
      <c r="J97" s="16"/>
      <c r="K97" s="16"/>
      <c r="L97" s="16"/>
      <c r="M97" s="16"/>
      <c r="N97" s="16">
        <f t="shared" si="11"/>
        <v>0</v>
      </c>
      <c r="O97" s="16" t="e">
        <f t="shared" si="12"/>
        <v>#N/A</v>
      </c>
      <c r="P97" s="16">
        <v>6.9444444444444397E-3</v>
      </c>
      <c r="Q97" s="16"/>
      <c r="R97" s="16">
        <f t="shared" si="13"/>
        <v>-6.9444444444444397E-3</v>
      </c>
      <c r="S97" s="16"/>
      <c r="T97" s="16" t="e">
        <f>VLOOKUP(E97,'[2]21-3-2026'!E$3:T$35,16,FALSE)</f>
        <v>#N/A</v>
      </c>
      <c r="U97" s="16"/>
      <c r="V97" s="16" t="e">
        <f t="shared" si="14"/>
        <v>#N/A</v>
      </c>
      <c r="W97" s="16"/>
      <c r="X97" s="16"/>
      <c r="Y97" s="16"/>
      <c r="Z97" s="16">
        <f t="shared" si="15"/>
        <v>0</v>
      </c>
      <c r="AA97" s="16">
        <f t="shared" si="9"/>
        <v>0</v>
      </c>
      <c r="AB97" s="16"/>
      <c r="AC97" s="19"/>
    </row>
    <row r="98" spans="1:29" ht="19.5" thickBot="1" x14ac:dyDescent="0.3">
      <c r="A98" s="14">
        <v>31</v>
      </c>
      <c r="B98" s="15"/>
      <c r="C98" s="15" t="e">
        <f>VLOOKUP(B98,داتا!$B$3:$D$107,2,FALSE)</f>
        <v>#N/A</v>
      </c>
      <c r="D98" s="34" t="e">
        <f>VLOOKUP(B98,داتا!$B$3:$D$107,3,FALSE)</f>
        <v>#N/A</v>
      </c>
      <c r="E98" s="15"/>
      <c r="F98" s="16"/>
      <c r="G98" s="16">
        <v>8.3333333333333329E-2</v>
      </c>
      <c r="H98" s="16" t="e">
        <f t="shared" si="17"/>
        <v>#N/A</v>
      </c>
      <c r="I98" s="16" t="e">
        <f t="shared" si="10"/>
        <v>#N/A</v>
      </c>
      <c r="J98" s="16"/>
      <c r="K98" s="16"/>
      <c r="L98" s="16"/>
      <c r="M98" s="16"/>
      <c r="N98" s="16">
        <f t="shared" si="11"/>
        <v>0</v>
      </c>
      <c r="O98" s="16" t="e">
        <f t="shared" si="12"/>
        <v>#N/A</v>
      </c>
      <c r="P98" s="16">
        <v>6.9444444444444397E-3</v>
      </c>
      <c r="Q98" s="16"/>
      <c r="R98" s="16">
        <f t="shared" si="13"/>
        <v>-6.9444444444444397E-3</v>
      </c>
      <c r="S98" s="16"/>
      <c r="T98" s="16" t="e">
        <f>VLOOKUP(E98,'[2]21-3-2026'!E$3:T$35,16,FALSE)</f>
        <v>#N/A</v>
      </c>
      <c r="U98" s="16"/>
      <c r="V98" s="16" t="e">
        <f t="shared" si="14"/>
        <v>#N/A</v>
      </c>
      <c r="W98" s="16"/>
      <c r="X98" s="16"/>
      <c r="Y98" s="16"/>
      <c r="Z98" s="16">
        <f t="shared" si="15"/>
        <v>0</v>
      </c>
      <c r="AA98" s="16">
        <f t="shared" si="9"/>
        <v>0</v>
      </c>
      <c r="AB98" s="16"/>
      <c r="AC98" s="19"/>
    </row>
    <row r="99" spans="1:29" ht="19.5" thickBot="1" x14ac:dyDescent="0.3">
      <c r="A99" s="20">
        <v>32</v>
      </c>
      <c r="B99" s="21"/>
      <c r="C99" s="21" t="e">
        <f>VLOOKUP(B99,داتا!$B$3:$D$107,2,FALSE)</f>
        <v>#N/A</v>
      </c>
      <c r="D99" s="35" t="e">
        <f>VLOOKUP(B99,داتا!$B$3:$D$107,3,FALSE)</f>
        <v>#N/A</v>
      </c>
      <c r="E99" s="21"/>
      <c r="F99" s="22"/>
      <c r="G99" s="22">
        <v>8.3333333333333329E-2</v>
      </c>
      <c r="H99" s="22" t="e">
        <f t="shared" si="17"/>
        <v>#N/A</v>
      </c>
      <c r="I99" s="22" t="e">
        <f t="shared" si="10"/>
        <v>#N/A</v>
      </c>
      <c r="J99" s="22"/>
      <c r="K99" s="22"/>
      <c r="L99" s="22"/>
      <c r="M99" s="22"/>
      <c r="N99" s="22">
        <f t="shared" si="11"/>
        <v>0</v>
      </c>
      <c r="O99" s="22" t="e">
        <f t="shared" si="12"/>
        <v>#N/A</v>
      </c>
      <c r="P99" s="22">
        <v>6.9444444444444397E-3</v>
      </c>
      <c r="Q99" s="22"/>
      <c r="R99" s="22">
        <f t="shared" si="13"/>
        <v>-6.9444444444444397E-3</v>
      </c>
      <c r="S99" s="22"/>
      <c r="T99" s="22" t="e">
        <f>VLOOKUP(E99,'[2]21-3-2026'!E$3:T$35,16,FALSE)</f>
        <v>#N/A</v>
      </c>
      <c r="U99" s="22"/>
      <c r="V99" s="22" t="e">
        <f t="shared" si="14"/>
        <v>#N/A</v>
      </c>
      <c r="W99" s="22"/>
      <c r="X99" s="22"/>
      <c r="Y99" s="22"/>
      <c r="Z99" s="22">
        <f t="shared" si="15"/>
        <v>0</v>
      </c>
      <c r="AA99" s="22">
        <f t="shared" si="9"/>
        <v>0</v>
      </c>
      <c r="AB99" s="22"/>
      <c r="AC99" s="30"/>
    </row>
    <row r="100" spans="1:29" ht="16.5" thickTop="1" x14ac:dyDescent="0.25"/>
  </sheetData>
  <mergeCells count="4">
    <mergeCell ref="A1:AC1"/>
    <mergeCell ref="AD3:AD35"/>
    <mergeCell ref="AD36:AD67"/>
    <mergeCell ref="AD68:AD96"/>
  </mergeCells>
  <conditionalFormatting sqref="AC1:AC96 AC100:AC1048576">
    <cfRule type="containsText" dxfId="284" priority="14" operator="containsText" text="ت">
      <formula>NOT(ISERROR(SEARCH("ت",AC1)))</formula>
    </cfRule>
  </conditionalFormatting>
  <conditionalFormatting sqref="AC4:AC96">
    <cfRule type="containsText" dxfId="283" priority="13" operator="containsText" text="ت">
      <formula>NOT(ISERROR(SEARCH("ت",AC4)))</formula>
    </cfRule>
  </conditionalFormatting>
  <conditionalFormatting sqref="O1:O2 I1:I2 R1:R2 V1:V2 AA100:AA1048576 V100:V1048576 R100:R1048576 O100:O1048576 I100:I1048576 AA1:AA2">
    <cfRule type="cellIs" dxfId="282" priority="15" operator="between">
      <formula>0.00277777777777778</formula>
      <formula>1</formula>
    </cfRule>
  </conditionalFormatting>
  <conditionalFormatting sqref="AC97:AC99">
    <cfRule type="containsText" dxfId="281" priority="12" operator="containsText" text="ت">
      <formula>NOT(ISERROR(SEARCH("ت",AC97)))</formula>
    </cfRule>
  </conditionalFormatting>
  <conditionalFormatting sqref="AC97:AC99">
    <cfRule type="containsText" dxfId="280" priority="11" operator="containsText" text="ت">
      <formula>NOT(ISERROR(SEARCH("ت",AC97)))</formula>
    </cfRule>
  </conditionalFormatting>
  <conditionalFormatting sqref="I3:I99">
    <cfRule type="cellIs" dxfId="279" priority="9" operator="between">
      <formula>0.00277777777777778</formula>
      <formula>1</formula>
    </cfRule>
  </conditionalFormatting>
  <conditionalFormatting sqref="I3:I99">
    <cfRule type="cellIs" dxfId="278" priority="10" operator="between">
      <formula>0.00277777777777778</formula>
      <formula>1</formula>
    </cfRule>
  </conditionalFormatting>
  <conditionalFormatting sqref="O3:O99">
    <cfRule type="cellIs" dxfId="277" priority="7" operator="between">
      <formula>0.00277777777777778</formula>
      <formula>1</formula>
    </cfRule>
  </conditionalFormatting>
  <conditionalFormatting sqref="O3:O99">
    <cfRule type="cellIs" dxfId="276" priority="8" operator="between">
      <formula>0.00277777777777778</formula>
      <formula>1</formula>
    </cfRule>
  </conditionalFormatting>
  <conditionalFormatting sqref="R3:R99">
    <cfRule type="cellIs" dxfId="275" priority="5" operator="between">
      <formula>0.00277777777777778</formula>
      <formula>1</formula>
    </cfRule>
  </conditionalFormatting>
  <conditionalFormatting sqref="R3:R99">
    <cfRule type="cellIs" dxfId="274" priority="6" operator="between">
      <formula>0.00277777777777778</formula>
      <formula>1</formula>
    </cfRule>
  </conditionalFormatting>
  <conditionalFormatting sqref="V3:V99">
    <cfRule type="cellIs" dxfId="273" priority="3" operator="between">
      <formula>0.00277777777777778</formula>
      <formula>1</formula>
    </cfRule>
  </conditionalFormatting>
  <conditionalFormatting sqref="V3:V99">
    <cfRule type="cellIs" dxfId="272" priority="4" operator="between">
      <formula>0.00277777777777778</formula>
      <formula>1</formula>
    </cfRule>
  </conditionalFormatting>
  <conditionalFormatting sqref="AA3:AA99">
    <cfRule type="cellIs" dxfId="271" priority="1" operator="between">
      <formula>0.00277777777777778</formula>
      <formula>1</formula>
    </cfRule>
  </conditionalFormatting>
  <conditionalFormatting sqref="AA3:AA99">
    <cfRule type="cellIs" dxfId="270" priority="2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"/>
  <sheetViews>
    <sheetView rightToLeft="1" workbookViewId="0">
      <pane xSplit="6" ySplit="2" topLeftCell="G68" activePane="bottomRight" state="frozen"/>
      <selection activeCell="A92" sqref="A92"/>
      <selection pane="topRight" activeCell="A92" sqref="A92"/>
      <selection pane="bottomLeft" activeCell="A92" sqref="A92"/>
      <selection pane="bottomRight" activeCell="A2" sqref="A2"/>
    </sheetView>
  </sheetViews>
  <sheetFormatPr defaultColWidth="9" defaultRowHeight="15.75" x14ac:dyDescent="0.25"/>
  <cols>
    <col min="1" max="1" width="5.42578125" customWidth="1"/>
    <col min="2" max="2" width="12.28515625" customWidth="1"/>
    <col min="3" max="3" width="12.5703125" customWidth="1"/>
    <col min="4" max="4" width="16.140625" style="36" customWidth="1"/>
    <col min="5" max="5" width="17.140625" customWidth="1"/>
    <col min="6" max="6" width="20.85546875" customWidth="1"/>
    <col min="7" max="7" width="12.7109375" customWidth="1"/>
    <col min="8" max="9" width="12.85546875" customWidth="1"/>
    <col min="10" max="10" width="12.5703125" customWidth="1"/>
    <col min="11" max="11" width="14.28515625" customWidth="1"/>
    <col min="12" max="12" width="22.7109375" customWidth="1"/>
    <col min="13" max="13" width="18.8554687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3.85546875" style="31" customWidth="1"/>
    <col min="30" max="30" width="11.140625" customWidth="1"/>
  </cols>
  <sheetData>
    <row r="1" spans="1:30" ht="33.75" customHeight="1" thickBot="1" x14ac:dyDescent="0.3">
      <c r="A1" s="46" t="s">
        <v>132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0" ht="49.5" customHeight="1" thickTop="1" thickBot="1" x14ac:dyDescent="0.3">
      <c r="A2" s="1" t="s">
        <v>1</v>
      </c>
      <c r="B2" s="2" t="s">
        <v>2</v>
      </c>
      <c r="C2" s="2" t="s">
        <v>3</v>
      </c>
      <c r="D2" s="3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8" t="s">
        <v>18</v>
      </c>
      <c r="S2" s="2" t="s">
        <v>19</v>
      </c>
      <c r="T2" s="8" t="s">
        <v>20</v>
      </c>
      <c r="U2" s="2" t="s">
        <v>21</v>
      </c>
      <c r="V2" s="8" t="s">
        <v>22</v>
      </c>
      <c r="W2" s="8" t="s">
        <v>23</v>
      </c>
      <c r="X2" s="2" t="s">
        <v>24</v>
      </c>
      <c r="Y2" s="2" t="s">
        <v>25</v>
      </c>
      <c r="Z2" s="2" t="s">
        <v>26</v>
      </c>
      <c r="AA2" s="8" t="s">
        <v>27</v>
      </c>
      <c r="AB2" s="2" t="s">
        <v>28</v>
      </c>
      <c r="AC2" s="9" t="s">
        <v>29</v>
      </c>
    </row>
    <row r="3" spans="1:30" ht="20.25" customHeight="1" thickTop="1" thickBot="1" x14ac:dyDescent="0.3">
      <c r="A3" s="10">
        <v>1</v>
      </c>
      <c r="B3" s="11"/>
      <c r="C3" s="11" t="e">
        <f>VLOOKUP(B3,داتا!$B$3:$D$107,2,FALSE)</f>
        <v>#N/A</v>
      </c>
      <c r="D3" s="33" t="e">
        <f>VLOOKUP(B3,داتا!$B$3:$D$107,3,FALSE)</f>
        <v>#N/A</v>
      </c>
      <c r="E3" s="11"/>
      <c r="F3" s="11"/>
      <c r="G3" s="12">
        <v>0.25</v>
      </c>
      <c r="H3" s="12"/>
      <c r="I3" s="12">
        <f>H3-G3</f>
        <v>-0.25</v>
      </c>
      <c r="J3" s="12"/>
      <c r="K3" s="12"/>
      <c r="L3" s="12"/>
      <c r="M3" s="12"/>
      <c r="N3" s="12">
        <f>K3-J3</f>
        <v>0</v>
      </c>
      <c r="O3" s="12" t="e">
        <f>N3-D3</f>
        <v>#N/A</v>
      </c>
      <c r="P3" s="12">
        <v>6.9444444444444397E-3</v>
      </c>
      <c r="Q3" s="12"/>
      <c r="R3" s="12">
        <f>Q3-P3-K3</f>
        <v>-6.9444444444444397E-3</v>
      </c>
      <c r="S3" s="12"/>
      <c r="T3" s="12" t="e">
        <f>VLOOKUP(E3,'[2]21-3-2026'!E$3:T$35,16,FALSE)</f>
        <v>#N/A</v>
      </c>
      <c r="U3" s="12"/>
      <c r="V3" s="12" t="e">
        <f>U3-T3-S3</f>
        <v>#N/A</v>
      </c>
      <c r="W3" s="12"/>
      <c r="X3" s="12"/>
      <c r="Y3" s="12"/>
      <c r="Z3" s="12">
        <f>Y3-X3</f>
        <v>0</v>
      </c>
      <c r="AA3" s="12">
        <f t="shared" ref="AA3:AA66" si="0">Z3-W3</f>
        <v>0</v>
      </c>
      <c r="AB3" s="12"/>
      <c r="AC3" s="13"/>
      <c r="AD3" s="47" t="s">
        <v>33</v>
      </c>
    </row>
    <row r="4" spans="1:30" ht="19.5" thickBot="1" x14ac:dyDescent="0.3">
      <c r="A4" s="14">
        <v>2</v>
      </c>
      <c r="B4" s="15"/>
      <c r="C4" s="15" t="e">
        <f>VLOOKUP(B4,داتا!$B$3:$D$107,2,FALSE)</f>
        <v>#N/A</v>
      </c>
      <c r="D4" s="34" t="e">
        <f>VLOOKUP(B4,داتا!$B$3:$D$107,3,FALSE)</f>
        <v>#N/A</v>
      </c>
      <c r="E4" s="15"/>
      <c r="F4" s="15"/>
      <c r="G4" s="16">
        <v>0.25</v>
      </c>
      <c r="H4" s="16"/>
      <c r="I4" s="16">
        <f t="shared" ref="I4:I67" si="1">H4-G4</f>
        <v>-0.25</v>
      </c>
      <c r="J4" s="16"/>
      <c r="K4" s="16"/>
      <c r="L4" s="16"/>
      <c r="M4" s="16"/>
      <c r="N4" s="16">
        <f t="shared" ref="N4:N67" si="2">K4-J4</f>
        <v>0</v>
      </c>
      <c r="O4" s="16" t="e">
        <f t="shared" ref="O4:O67" si="3">N4-D4</f>
        <v>#N/A</v>
      </c>
      <c r="P4" s="16">
        <v>6.9444444444444397E-3</v>
      </c>
      <c r="Q4" s="16"/>
      <c r="R4" s="16">
        <f t="shared" ref="R4:R67" si="4">Q4-P4-K4</f>
        <v>-6.9444444444444397E-3</v>
      </c>
      <c r="S4" s="16"/>
      <c r="T4" s="16" t="e">
        <f>VLOOKUP(E4,'[2]21-3-2026'!E$3:T$35,16,FALSE)</f>
        <v>#N/A</v>
      </c>
      <c r="U4" s="16"/>
      <c r="V4" s="16" t="e">
        <f t="shared" ref="V4:V67" si="5">U4-T4-S4</f>
        <v>#N/A</v>
      </c>
      <c r="W4" s="16"/>
      <c r="X4" s="16"/>
      <c r="Y4" s="16"/>
      <c r="Z4" s="16">
        <f t="shared" ref="Z4:Z67" si="6">Y4-X4</f>
        <v>0</v>
      </c>
      <c r="AA4" s="16">
        <f t="shared" si="0"/>
        <v>0</v>
      </c>
      <c r="AB4" s="16"/>
      <c r="AC4" s="17"/>
      <c r="AD4" s="48"/>
    </row>
    <row r="5" spans="1:30" ht="19.5" thickBot="1" x14ac:dyDescent="0.3">
      <c r="A5" s="14">
        <v>3</v>
      </c>
      <c r="B5" s="15"/>
      <c r="C5" s="15" t="e">
        <f>VLOOKUP(B5,داتا!$B$3:$D$107,2,FALSE)</f>
        <v>#N/A</v>
      </c>
      <c r="D5" s="34" t="e">
        <f>VLOOKUP(B5,داتا!$B$3:$D$107,3,FALSE)</f>
        <v>#N/A</v>
      </c>
      <c r="E5" s="15"/>
      <c r="F5" s="15"/>
      <c r="G5" s="16">
        <v>0.25</v>
      </c>
      <c r="H5" s="16"/>
      <c r="I5" s="16">
        <f t="shared" si="1"/>
        <v>-0.25</v>
      </c>
      <c r="J5" s="16"/>
      <c r="K5" s="16"/>
      <c r="L5" s="16"/>
      <c r="M5" s="16"/>
      <c r="N5" s="16">
        <f t="shared" si="2"/>
        <v>0</v>
      </c>
      <c r="O5" s="16" t="e">
        <f t="shared" si="3"/>
        <v>#N/A</v>
      </c>
      <c r="P5" s="16">
        <v>6.9444444444444397E-3</v>
      </c>
      <c r="Q5" s="16"/>
      <c r="R5" s="16">
        <f t="shared" si="4"/>
        <v>-6.9444444444444397E-3</v>
      </c>
      <c r="S5" s="16"/>
      <c r="T5" s="16" t="e">
        <f>VLOOKUP(E5,'[2]21-3-2026'!E$3:T$35,16,FALSE)</f>
        <v>#N/A</v>
      </c>
      <c r="U5" s="16"/>
      <c r="V5" s="16" t="e">
        <f t="shared" si="5"/>
        <v>#N/A</v>
      </c>
      <c r="W5" s="16"/>
      <c r="X5" s="16"/>
      <c r="Y5" s="16"/>
      <c r="Z5" s="16">
        <f t="shared" si="6"/>
        <v>0</v>
      </c>
      <c r="AA5" s="16">
        <f t="shared" si="0"/>
        <v>0</v>
      </c>
      <c r="AB5" s="16"/>
      <c r="AC5" s="17"/>
      <c r="AD5" s="48"/>
    </row>
    <row r="6" spans="1:30" ht="19.5" thickBot="1" x14ac:dyDescent="0.3">
      <c r="A6" s="14">
        <v>4</v>
      </c>
      <c r="B6" s="15"/>
      <c r="C6" s="15" t="e">
        <f>VLOOKUP(B6,داتا!$B$3:$D$107,2,FALSE)</f>
        <v>#N/A</v>
      </c>
      <c r="D6" s="34" t="e">
        <f>VLOOKUP(B6,داتا!$B$3:$D$107,3,FALSE)</f>
        <v>#N/A</v>
      </c>
      <c r="E6" s="15"/>
      <c r="F6" s="15"/>
      <c r="G6" s="16">
        <v>0.25</v>
      </c>
      <c r="H6" s="16"/>
      <c r="I6" s="16">
        <f t="shared" si="1"/>
        <v>-0.25</v>
      </c>
      <c r="J6" s="16"/>
      <c r="K6" s="16"/>
      <c r="L6" s="16"/>
      <c r="M6" s="16"/>
      <c r="N6" s="16">
        <f t="shared" si="2"/>
        <v>0</v>
      </c>
      <c r="O6" s="16" t="e">
        <f t="shared" si="3"/>
        <v>#N/A</v>
      </c>
      <c r="P6" s="16">
        <v>6.9444444444444397E-3</v>
      </c>
      <c r="Q6" s="16"/>
      <c r="R6" s="16">
        <f t="shared" si="4"/>
        <v>-6.9444444444444397E-3</v>
      </c>
      <c r="S6" s="16"/>
      <c r="T6" s="16" t="e">
        <f>VLOOKUP(E6,'[2]21-3-2026'!E$3:T$35,16,FALSE)</f>
        <v>#N/A</v>
      </c>
      <c r="U6" s="16"/>
      <c r="V6" s="16" t="e">
        <f t="shared" si="5"/>
        <v>#N/A</v>
      </c>
      <c r="W6" s="16"/>
      <c r="X6" s="16"/>
      <c r="Y6" s="16"/>
      <c r="Z6" s="16">
        <f t="shared" si="6"/>
        <v>0</v>
      </c>
      <c r="AA6" s="16">
        <f t="shared" si="0"/>
        <v>0</v>
      </c>
      <c r="AB6" s="16"/>
      <c r="AC6" s="17"/>
      <c r="AD6" s="48"/>
    </row>
    <row r="7" spans="1:30" ht="19.5" thickBot="1" x14ac:dyDescent="0.3">
      <c r="A7" s="14">
        <v>5</v>
      </c>
      <c r="B7" s="15"/>
      <c r="C7" s="15" t="e">
        <f>VLOOKUP(B7,داتا!$B$3:$D$107,2,FALSE)</f>
        <v>#N/A</v>
      </c>
      <c r="D7" s="34" t="e">
        <f>VLOOKUP(B7,داتا!$B$3:$D$107,3,FALSE)</f>
        <v>#N/A</v>
      </c>
      <c r="E7" s="15"/>
      <c r="F7" s="15"/>
      <c r="G7" s="16">
        <v>0.25</v>
      </c>
      <c r="H7" s="16"/>
      <c r="I7" s="16">
        <f t="shared" si="1"/>
        <v>-0.25</v>
      </c>
      <c r="J7" s="16"/>
      <c r="K7" s="16"/>
      <c r="L7" s="16"/>
      <c r="M7" s="16"/>
      <c r="N7" s="16">
        <f t="shared" si="2"/>
        <v>0</v>
      </c>
      <c r="O7" s="16" t="e">
        <f t="shared" si="3"/>
        <v>#N/A</v>
      </c>
      <c r="P7" s="16">
        <v>6.9444444444444397E-3</v>
      </c>
      <c r="Q7" s="16"/>
      <c r="R7" s="16">
        <f t="shared" si="4"/>
        <v>-6.9444444444444397E-3</v>
      </c>
      <c r="S7" s="16"/>
      <c r="T7" s="16" t="e">
        <f>VLOOKUP(E7,'[2]21-3-2026'!E$3:T$35,16,FALSE)</f>
        <v>#N/A</v>
      </c>
      <c r="U7" s="16"/>
      <c r="V7" s="16" t="e">
        <f t="shared" si="5"/>
        <v>#N/A</v>
      </c>
      <c r="W7" s="16"/>
      <c r="X7" s="16"/>
      <c r="Y7" s="16"/>
      <c r="Z7" s="16">
        <f t="shared" si="6"/>
        <v>0</v>
      </c>
      <c r="AA7" s="16">
        <f t="shared" si="0"/>
        <v>0</v>
      </c>
      <c r="AB7" s="16"/>
      <c r="AC7" s="17"/>
      <c r="AD7" s="48"/>
    </row>
    <row r="8" spans="1:30" ht="19.5" thickBot="1" x14ac:dyDescent="0.3">
      <c r="A8" s="14">
        <v>6</v>
      </c>
      <c r="B8" s="15"/>
      <c r="C8" s="15" t="e">
        <f>VLOOKUP(B8,داتا!$B$3:$D$107,2,FALSE)</f>
        <v>#N/A</v>
      </c>
      <c r="D8" s="34" t="e">
        <f>VLOOKUP(B8,داتا!$B$3:$D$107,3,FALSE)</f>
        <v>#N/A</v>
      </c>
      <c r="E8" s="15"/>
      <c r="F8" s="15"/>
      <c r="G8" s="16">
        <v>0.25</v>
      </c>
      <c r="H8" s="16"/>
      <c r="I8" s="16">
        <f t="shared" si="1"/>
        <v>-0.25</v>
      </c>
      <c r="J8" s="16"/>
      <c r="K8" s="16"/>
      <c r="L8" s="16"/>
      <c r="M8" s="16"/>
      <c r="N8" s="16">
        <f t="shared" si="2"/>
        <v>0</v>
      </c>
      <c r="O8" s="16" t="e">
        <f t="shared" si="3"/>
        <v>#N/A</v>
      </c>
      <c r="P8" s="16">
        <v>6.9444444444444397E-3</v>
      </c>
      <c r="Q8" s="16"/>
      <c r="R8" s="16">
        <f t="shared" si="4"/>
        <v>-6.9444444444444397E-3</v>
      </c>
      <c r="S8" s="16"/>
      <c r="T8" s="16" t="e">
        <f>VLOOKUP(E8,'[2]21-3-2026'!E$3:T$35,16,FALSE)</f>
        <v>#N/A</v>
      </c>
      <c r="U8" s="16"/>
      <c r="V8" s="16" t="e">
        <f t="shared" si="5"/>
        <v>#N/A</v>
      </c>
      <c r="W8" s="16"/>
      <c r="X8" s="16"/>
      <c r="Y8" s="16"/>
      <c r="Z8" s="16">
        <f t="shared" si="6"/>
        <v>0</v>
      </c>
      <c r="AA8" s="16">
        <f t="shared" si="0"/>
        <v>0</v>
      </c>
      <c r="AB8" s="16"/>
      <c r="AC8" s="18"/>
      <c r="AD8" s="48"/>
    </row>
    <row r="9" spans="1:30" ht="19.5" thickBot="1" x14ac:dyDescent="0.3">
      <c r="A9" s="14">
        <v>7</v>
      </c>
      <c r="B9" s="15"/>
      <c r="C9" s="15" t="e">
        <f>VLOOKUP(B9,داتا!$B$3:$D$107,2,FALSE)</f>
        <v>#N/A</v>
      </c>
      <c r="D9" s="34" t="e">
        <f>VLOOKUP(B9,داتا!$B$3:$D$107,3,FALSE)</f>
        <v>#N/A</v>
      </c>
      <c r="E9" s="15"/>
      <c r="F9" s="15"/>
      <c r="G9" s="16">
        <v>0.25</v>
      </c>
      <c r="H9" s="16"/>
      <c r="I9" s="16">
        <f t="shared" si="1"/>
        <v>-0.25</v>
      </c>
      <c r="J9" s="16"/>
      <c r="K9" s="16"/>
      <c r="L9" s="16"/>
      <c r="M9" s="16"/>
      <c r="N9" s="16">
        <f t="shared" si="2"/>
        <v>0</v>
      </c>
      <c r="O9" s="16" t="e">
        <f t="shared" si="3"/>
        <v>#N/A</v>
      </c>
      <c r="P9" s="16">
        <v>6.9444444444444397E-3</v>
      </c>
      <c r="Q9" s="16"/>
      <c r="R9" s="16">
        <f t="shared" si="4"/>
        <v>-6.9444444444444397E-3</v>
      </c>
      <c r="S9" s="16"/>
      <c r="T9" s="16" t="e">
        <f>VLOOKUP(E9,'[2]21-3-2026'!E$3:T$35,16,FALSE)</f>
        <v>#N/A</v>
      </c>
      <c r="U9" s="16"/>
      <c r="V9" s="16" t="e">
        <f t="shared" si="5"/>
        <v>#N/A</v>
      </c>
      <c r="W9" s="16"/>
      <c r="X9" s="16"/>
      <c r="Y9" s="16"/>
      <c r="Z9" s="16">
        <f t="shared" si="6"/>
        <v>0</v>
      </c>
      <c r="AA9" s="16">
        <f t="shared" si="0"/>
        <v>0</v>
      </c>
      <c r="AB9" s="16"/>
      <c r="AC9" s="17"/>
      <c r="AD9" s="48"/>
    </row>
    <row r="10" spans="1:30" ht="19.5" thickBot="1" x14ac:dyDescent="0.3">
      <c r="A10" s="14">
        <v>8</v>
      </c>
      <c r="B10" s="15"/>
      <c r="C10" s="15" t="e">
        <f>VLOOKUP(B10,داتا!$B$3:$D$107,2,FALSE)</f>
        <v>#N/A</v>
      </c>
      <c r="D10" s="34" t="e">
        <f>VLOOKUP(B10,داتا!$B$3:$D$107,3,FALSE)</f>
        <v>#N/A</v>
      </c>
      <c r="E10" s="15"/>
      <c r="F10" s="15"/>
      <c r="G10" s="16">
        <v>0.25</v>
      </c>
      <c r="H10" s="16"/>
      <c r="I10" s="16">
        <f t="shared" si="1"/>
        <v>-0.25</v>
      </c>
      <c r="J10" s="16"/>
      <c r="K10" s="16"/>
      <c r="L10" s="16"/>
      <c r="M10" s="16"/>
      <c r="N10" s="16">
        <f t="shared" si="2"/>
        <v>0</v>
      </c>
      <c r="O10" s="16" t="e">
        <f t="shared" si="3"/>
        <v>#N/A</v>
      </c>
      <c r="P10" s="16">
        <v>6.9444444444444397E-3</v>
      </c>
      <c r="Q10" s="16"/>
      <c r="R10" s="16">
        <f t="shared" si="4"/>
        <v>-6.9444444444444397E-3</v>
      </c>
      <c r="S10" s="16"/>
      <c r="T10" s="16" t="e">
        <f>VLOOKUP(E10,'[2]21-3-2026'!E$3:T$35,16,FALSE)</f>
        <v>#N/A</v>
      </c>
      <c r="U10" s="16"/>
      <c r="V10" s="16" t="e">
        <f t="shared" si="5"/>
        <v>#N/A</v>
      </c>
      <c r="W10" s="16"/>
      <c r="X10" s="16"/>
      <c r="Y10" s="16"/>
      <c r="Z10" s="16">
        <f t="shared" si="6"/>
        <v>0</v>
      </c>
      <c r="AA10" s="16">
        <f t="shared" si="0"/>
        <v>0</v>
      </c>
      <c r="AB10" s="16"/>
      <c r="AC10" s="17"/>
      <c r="AD10" s="48"/>
    </row>
    <row r="11" spans="1:30" ht="19.5" thickBot="1" x14ac:dyDescent="0.3">
      <c r="A11" s="14">
        <v>9</v>
      </c>
      <c r="B11" s="15"/>
      <c r="C11" s="15" t="e">
        <f>VLOOKUP(B11,داتا!$B$3:$D$107,2,FALSE)</f>
        <v>#N/A</v>
      </c>
      <c r="D11" s="34" t="e">
        <f>VLOOKUP(B11,داتا!$B$3:$D$107,3,FALSE)</f>
        <v>#N/A</v>
      </c>
      <c r="E11" s="15"/>
      <c r="F11" s="15"/>
      <c r="G11" s="16">
        <v>0.25</v>
      </c>
      <c r="H11" s="16"/>
      <c r="I11" s="16">
        <f t="shared" si="1"/>
        <v>-0.25</v>
      </c>
      <c r="J11" s="16"/>
      <c r="K11" s="16"/>
      <c r="L11" s="16"/>
      <c r="M11" s="16"/>
      <c r="N11" s="16">
        <f t="shared" si="2"/>
        <v>0</v>
      </c>
      <c r="O11" s="16" t="e">
        <f t="shared" si="3"/>
        <v>#N/A</v>
      </c>
      <c r="P11" s="16">
        <v>6.9444444444444397E-3</v>
      </c>
      <c r="Q11" s="16"/>
      <c r="R11" s="16">
        <f t="shared" si="4"/>
        <v>-6.9444444444444397E-3</v>
      </c>
      <c r="S11" s="16"/>
      <c r="T11" s="16" t="e">
        <f>VLOOKUP(E11,'[2]21-3-2026'!E$3:T$35,16,FALSE)</f>
        <v>#N/A</v>
      </c>
      <c r="U11" s="16"/>
      <c r="V11" s="16" t="e">
        <f t="shared" si="5"/>
        <v>#N/A</v>
      </c>
      <c r="W11" s="16"/>
      <c r="X11" s="16"/>
      <c r="Y11" s="16"/>
      <c r="Z11" s="16">
        <f t="shared" si="6"/>
        <v>0</v>
      </c>
      <c r="AA11" s="16">
        <f t="shared" si="0"/>
        <v>0</v>
      </c>
      <c r="AB11" s="16"/>
      <c r="AC11" s="17"/>
      <c r="AD11" s="48"/>
    </row>
    <row r="12" spans="1:30" ht="19.5" thickBot="1" x14ac:dyDescent="0.3">
      <c r="A12" s="14">
        <v>10</v>
      </c>
      <c r="B12" s="15"/>
      <c r="C12" s="15" t="e">
        <f>VLOOKUP(B12,داتا!$B$3:$D$107,2,FALSE)</f>
        <v>#N/A</v>
      </c>
      <c r="D12" s="34" t="e">
        <f>VLOOKUP(B12,داتا!$B$3:$D$107,3,FALSE)</f>
        <v>#N/A</v>
      </c>
      <c r="E12" s="15"/>
      <c r="F12" s="15"/>
      <c r="G12" s="16">
        <v>0.25</v>
      </c>
      <c r="H12" s="16"/>
      <c r="I12" s="16">
        <f t="shared" si="1"/>
        <v>-0.25</v>
      </c>
      <c r="J12" s="16"/>
      <c r="K12" s="16"/>
      <c r="L12" s="16"/>
      <c r="M12" s="16"/>
      <c r="N12" s="16">
        <f t="shared" si="2"/>
        <v>0</v>
      </c>
      <c r="O12" s="16" t="e">
        <f t="shared" si="3"/>
        <v>#N/A</v>
      </c>
      <c r="P12" s="16">
        <v>6.9444444444444397E-3</v>
      </c>
      <c r="Q12" s="16"/>
      <c r="R12" s="16">
        <f t="shared" si="4"/>
        <v>-6.9444444444444397E-3</v>
      </c>
      <c r="S12" s="16"/>
      <c r="T12" s="16" t="e">
        <f>VLOOKUP(E12,'[2]21-3-2026'!E$3:T$35,16,FALSE)</f>
        <v>#N/A</v>
      </c>
      <c r="U12" s="16"/>
      <c r="V12" s="16" t="e">
        <f t="shared" si="5"/>
        <v>#N/A</v>
      </c>
      <c r="W12" s="16"/>
      <c r="X12" s="16"/>
      <c r="Y12" s="16"/>
      <c r="Z12" s="16">
        <f t="shared" si="6"/>
        <v>0</v>
      </c>
      <c r="AA12" s="16">
        <f t="shared" si="0"/>
        <v>0</v>
      </c>
      <c r="AB12" s="16"/>
      <c r="AC12" s="17"/>
      <c r="AD12" s="48"/>
    </row>
    <row r="13" spans="1:30" ht="19.5" thickBot="1" x14ac:dyDescent="0.3">
      <c r="A13" s="14">
        <v>11</v>
      </c>
      <c r="B13" s="15"/>
      <c r="C13" s="15" t="e">
        <f>VLOOKUP(B13,داتا!$B$3:$D$107,2,FALSE)</f>
        <v>#N/A</v>
      </c>
      <c r="D13" s="34" t="e">
        <f>VLOOKUP(B13,داتا!$B$3:$D$107,3,FALSE)</f>
        <v>#N/A</v>
      </c>
      <c r="E13" s="15"/>
      <c r="F13" s="15"/>
      <c r="G13" s="16">
        <v>0.25</v>
      </c>
      <c r="H13" s="16"/>
      <c r="I13" s="16">
        <f t="shared" si="1"/>
        <v>-0.25</v>
      </c>
      <c r="J13" s="16"/>
      <c r="K13" s="16"/>
      <c r="L13" s="16"/>
      <c r="M13" s="16"/>
      <c r="N13" s="16">
        <f t="shared" si="2"/>
        <v>0</v>
      </c>
      <c r="O13" s="16" t="e">
        <f t="shared" si="3"/>
        <v>#N/A</v>
      </c>
      <c r="P13" s="16">
        <v>6.9444444444444397E-3</v>
      </c>
      <c r="Q13" s="16"/>
      <c r="R13" s="16">
        <f t="shared" si="4"/>
        <v>-6.9444444444444397E-3</v>
      </c>
      <c r="S13" s="16"/>
      <c r="T13" s="16" t="e">
        <f>VLOOKUP(E13,'[2]21-3-2026'!E$3:T$35,16,FALSE)</f>
        <v>#N/A</v>
      </c>
      <c r="U13" s="16"/>
      <c r="V13" s="16" t="e">
        <f t="shared" si="5"/>
        <v>#N/A</v>
      </c>
      <c r="W13" s="16"/>
      <c r="X13" s="16"/>
      <c r="Y13" s="16"/>
      <c r="Z13" s="16">
        <f t="shared" si="6"/>
        <v>0</v>
      </c>
      <c r="AA13" s="16">
        <f t="shared" si="0"/>
        <v>0</v>
      </c>
      <c r="AB13" s="16"/>
      <c r="AC13" s="18"/>
      <c r="AD13" s="48"/>
    </row>
    <row r="14" spans="1:30" ht="19.5" thickBot="1" x14ac:dyDescent="0.3">
      <c r="A14" s="14">
        <v>12</v>
      </c>
      <c r="B14" s="15"/>
      <c r="C14" s="15" t="e">
        <f>VLOOKUP(B14,داتا!$B$3:$D$107,2,FALSE)</f>
        <v>#N/A</v>
      </c>
      <c r="D14" s="34" t="e">
        <f>VLOOKUP(B14,داتا!$B$3:$D$107,3,FALSE)</f>
        <v>#N/A</v>
      </c>
      <c r="E14" s="15"/>
      <c r="F14" s="15"/>
      <c r="G14" s="16">
        <v>0.25</v>
      </c>
      <c r="H14" s="16"/>
      <c r="I14" s="16">
        <f t="shared" si="1"/>
        <v>-0.25</v>
      </c>
      <c r="J14" s="16"/>
      <c r="K14" s="16"/>
      <c r="L14" s="16"/>
      <c r="M14" s="16"/>
      <c r="N14" s="16">
        <f t="shared" si="2"/>
        <v>0</v>
      </c>
      <c r="O14" s="16" t="e">
        <f t="shared" si="3"/>
        <v>#N/A</v>
      </c>
      <c r="P14" s="16">
        <v>6.9444444444444397E-3</v>
      </c>
      <c r="Q14" s="16"/>
      <c r="R14" s="16">
        <f t="shared" si="4"/>
        <v>-6.9444444444444397E-3</v>
      </c>
      <c r="S14" s="16"/>
      <c r="T14" s="16" t="e">
        <f>VLOOKUP(E14,'[2]21-3-2026'!E$3:T$35,16,FALSE)</f>
        <v>#N/A</v>
      </c>
      <c r="U14" s="16"/>
      <c r="V14" s="16" t="e">
        <f t="shared" si="5"/>
        <v>#N/A</v>
      </c>
      <c r="W14" s="16"/>
      <c r="X14" s="16"/>
      <c r="Y14" s="16"/>
      <c r="Z14" s="16">
        <f t="shared" si="6"/>
        <v>0</v>
      </c>
      <c r="AA14" s="16">
        <f t="shared" si="0"/>
        <v>0</v>
      </c>
      <c r="AB14" s="16"/>
      <c r="AC14" s="17"/>
      <c r="AD14" s="48"/>
    </row>
    <row r="15" spans="1:30" ht="19.5" thickBot="1" x14ac:dyDescent="0.3">
      <c r="A15" s="14">
        <v>13</v>
      </c>
      <c r="B15" s="15"/>
      <c r="C15" s="15" t="e">
        <f>VLOOKUP(B15,داتا!$B$3:$D$107,2,FALSE)</f>
        <v>#N/A</v>
      </c>
      <c r="D15" s="34" t="e">
        <f>VLOOKUP(B15,داتا!$B$3:$D$107,3,FALSE)</f>
        <v>#N/A</v>
      </c>
      <c r="E15" s="15"/>
      <c r="F15" s="15"/>
      <c r="G15" s="16">
        <v>0.25</v>
      </c>
      <c r="H15" s="16"/>
      <c r="I15" s="16">
        <f t="shared" si="1"/>
        <v>-0.25</v>
      </c>
      <c r="J15" s="16"/>
      <c r="K15" s="16"/>
      <c r="L15" s="16"/>
      <c r="M15" s="16"/>
      <c r="N15" s="16">
        <f t="shared" si="2"/>
        <v>0</v>
      </c>
      <c r="O15" s="16" t="e">
        <f t="shared" si="3"/>
        <v>#N/A</v>
      </c>
      <c r="P15" s="16">
        <v>6.9444444444444397E-3</v>
      </c>
      <c r="Q15" s="16"/>
      <c r="R15" s="16">
        <f t="shared" si="4"/>
        <v>-6.9444444444444397E-3</v>
      </c>
      <c r="S15" s="16"/>
      <c r="T15" s="16" t="e">
        <f>VLOOKUP(E15,'[2]21-3-2026'!E$3:T$35,16,FALSE)</f>
        <v>#N/A</v>
      </c>
      <c r="U15" s="16"/>
      <c r="V15" s="16" t="e">
        <f t="shared" si="5"/>
        <v>#N/A</v>
      </c>
      <c r="W15" s="16"/>
      <c r="X15" s="16"/>
      <c r="Y15" s="16"/>
      <c r="Z15" s="16">
        <f t="shared" si="6"/>
        <v>0</v>
      </c>
      <c r="AA15" s="16">
        <f t="shared" si="0"/>
        <v>0</v>
      </c>
      <c r="AB15" s="16"/>
      <c r="AC15" s="17"/>
      <c r="AD15" s="48"/>
    </row>
    <row r="16" spans="1:30" ht="19.5" thickBot="1" x14ac:dyDescent="0.3">
      <c r="A16" s="14">
        <v>14</v>
      </c>
      <c r="B16" s="15"/>
      <c r="C16" s="15" t="e">
        <f>VLOOKUP(B16,داتا!$B$3:$D$107,2,FALSE)</f>
        <v>#N/A</v>
      </c>
      <c r="D16" s="34" t="e">
        <f>VLOOKUP(B16,داتا!$B$3:$D$107,3,FALSE)</f>
        <v>#N/A</v>
      </c>
      <c r="E16" s="15"/>
      <c r="F16" s="15"/>
      <c r="G16" s="16">
        <v>0.25</v>
      </c>
      <c r="H16" s="16"/>
      <c r="I16" s="16">
        <f t="shared" si="1"/>
        <v>-0.25</v>
      </c>
      <c r="J16" s="16"/>
      <c r="K16" s="16"/>
      <c r="L16" s="16"/>
      <c r="M16" s="16"/>
      <c r="N16" s="16">
        <f t="shared" si="2"/>
        <v>0</v>
      </c>
      <c r="O16" s="16" t="e">
        <f t="shared" si="3"/>
        <v>#N/A</v>
      </c>
      <c r="P16" s="16">
        <v>6.9444444444444397E-3</v>
      </c>
      <c r="Q16" s="16"/>
      <c r="R16" s="16">
        <f t="shared" si="4"/>
        <v>-6.9444444444444397E-3</v>
      </c>
      <c r="S16" s="16"/>
      <c r="T16" s="16" t="e">
        <f>VLOOKUP(E16,'[2]21-3-2026'!E$3:T$35,16,FALSE)</f>
        <v>#N/A</v>
      </c>
      <c r="U16" s="16"/>
      <c r="V16" s="16" t="e">
        <f t="shared" si="5"/>
        <v>#N/A</v>
      </c>
      <c r="W16" s="16"/>
      <c r="X16" s="16"/>
      <c r="Y16" s="16"/>
      <c r="Z16" s="16">
        <f t="shared" si="6"/>
        <v>0</v>
      </c>
      <c r="AA16" s="16">
        <f t="shared" si="0"/>
        <v>0</v>
      </c>
      <c r="AB16" s="16"/>
      <c r="AC16" s="17"/>
      <c r="AD16" s="48"/>
    </row>
    <row r="17" spans="1:30" ht="19.5" thickBot="1" x14ac:dyDescent="0.3">
      <c r="A17" s="14">
        <v>15</v>
      </c>
      <c r="B17" s="15"/>
      <c r="C17" s="15" t="e">
        <f>VLOOKUP(B17,داتا!$B$3:$D$107,2,FALSE)</f>
        <v>#N/A</v>
      </c>
      <c r="D17" s="34" t="e">
        <f>VLOOKUP(B17,داتا!$B$3:$D$107,3,FALSE)</f>
        <v>#N/A</v>
      </c>
      <c r="E17" s="15"/>
      <c r="F17" s="15"/>
      <c r="G17" s="16">
        <v>0.25</v>
      </c>
      <c r="H17" s="16"/>
      <c r="I17" s="16">
        <f t="shared" si="1"/>
        <v>-0.25</v>
      </c>
      <c r="J17" s="16"/>
      <c r="K17" s="16"/>
      <c r="L17" s="16"/>
      <c r="M17" s="16"/>
      <c r="N17" s="16">
        <f t="shared" si="2"/>
        <v>0</v>
      </c>
      <c r="O17" s="16" t="e">
        <f t="shared" si="3"/>
        <v>#N/A</v>
      </c>
      <c r="P17" s="16">
        <v>6.9444444444444397E-3</v>
      </c>
      <c r="Q17" s="16"/>
      <c r="R17" s="16">
        <f t="shared" si="4"/>
        <v>-6.9444444444444397E-3</v>
      </c>
      <c r="S17" s="16"/>
      <c r="T17" s="16" t="e">
        <f>VLOOKUP(E17,'[2]21-3-2026'!E$3:T$35,16,FALSE)</f>
        <v>#N/A</v>
      </c>
      <c r="U17" s="16"/>
      <c r="V17" s="16" t="e">
        <f t="shared" si="5"/>
        <v>#N/A</v>
      </c>
      <c r="W17" s="16"/>
      <c r="X17" s="16"/>
      <c r="Y17" s="16"/>
      <c r="Z17" s="16">
        <f t="shared" si="6"/>
        <v>0</v>
      </c>
      <c r="AA17" s="16">
        <f t="shared" si="0"/>
        <v>0</v>
      </c>
      <c r="AB17" s="16"/>
      <c r="AC17" s="17"/>
      <c r="AD17" s="48"/>
    </row>
    <row r="18" spans="1:30" ht="19.5" thickBot="1" x14ac:dyDescent="0.3">
      <c r="A18" s="14">
        <v>16</v>
      </c>
      <c r="B18" s="15"/>
      <c r="C18" s="15" t="e">
        <f>VLOOKUP(B18,داتا!$B$3:$D$107,2,FALSE)</f>
        <v>#N/A</v>
      </c>
      <c r="D18" s="34" t="e">
        <f>VLOOKUP(B18,داتا!$B$3:$D$107,3,FALSE)</f>
        <v>#N/A</v>
      </c>
      <c r="E18" s="16"/>
      <c r="F18" s="15"/>
      <c r="G18" s="16">
        <v>0.25</v>
      </c>
      <c r="H18" s="16"/>
      <c r="I18" s="16">
        <f t="shared" si="1"/>
        <v>-0.25</v>
      </c>
      <c r="J18" s="16"/>
      <c r="K18" s="16"/>
      <c r="L18" s="16"/>
      <c r="M18" s="16"/>
      <c r="N18" s="16">
        <f t="shared" si="2"/>
        <v>0</v>
      </c>
      <c r="O18" s="16" t="e">
        <f t="shared" si="3"/>
        <v>#N/A</v>
      </c>
      <c r="P18" s="16">
        <v>6.9444444444444397E-3</v>
      </c>
      <c r="Q18" s="16"/>
      <c r="R18" s="16">
        <f t="shared" si="4"/>
        <v>-6.9444444444444397E-3</v>
      </c>
      <c r="S18" s="16"/>
      <c r="T18" s="16" t="e">
        <f>VLOOKUP(E18,'[2]21-3-2026'!E$3:T$35,16,FALSE)</f>
        <v>#N/A</v>
      </c>
      <c r="U18" s="16"/>
      <c r="V18" s="16" t="e">
        <f t="shared" si="5"/>
        <v>#N/A</v>
      </c>
      <c r="W18" s="16"/>
      <c r="X18" s="16"/>
      <c r="Y18" s="16"/>
      <c r="Z18" s="16">
        <f t="shared" si="6"/>
        <v>0</v>
      </c>
      <c r="AA18" s="16">
        <f t="shared" si="0"/>
        <v>0</v>
      </c>
      <c r="AB18" s="16"/>
      <c r="AC18" s="17"/>
      <c r="AD18" s="48"/>
    </row>
    <row r="19" spans="1:30" ht="19.5" thickBot="1" x14ac:dyDescent="0.3">
      <c r="A19" s="14">
        <v>17</v>
      </c>
      <c r="B19" s="15"/>
      <c r="C19" s="15" t="e">
        <f>VLOOKUP(B19,داتا!$B$3:$D$107,2,FALSE)</f>
        <v>#N/A</v>
      </c>
      <c r="D19" s="34" t="e">
        <f>VLOOKUP(B19,داتا!$B$3:$D$107,3,FALSE)</f>
        <v>#N/A</v>
      </c>
      <c r="E19" s="15"/>
      <c r="F19" s="15"/>
      <c r="G19" s="16">
        <v>0.25</v>
      </c>
      <c r="H19" s="16"/>
      <c r="I19" s="16">
        <f t="shared" si="1"/>
        <v>-0.25</v>
      </c>
      <c r="J19" s="16"/>
      <c r="K19" s="16"/>
      <c r="L19" s="16"/>
      <c r="M19" s="16"/>
      <c r="N19" s="16">
        <f t="shared" si="2"/>
        <v>0</v>
      </c>
      <c r="O19" s="16" t="e">
        <f t="shared" si="3"/>
        <v>#N/A</v>
      </c>
      <c r="P19" s="16">
        <v>6.9444444444444397E-3</v>
      </c>
      <c r="Q19" s="16"/>
      <c r="R19" s="16">
        <f t="shared" si="4"/>
        <v>-6.9444444444444397E-3</v>
      </c>
      <c r="S19" s="16"/>
      <c r="T19" s="16" t="e">
        <f>VLOOKUP(E19,'[2]21-3-2026'!E$3:T$35,16,FALSE)</f>
        <v>#N/A</v>
      </c>
      <c r="U19" s="16"/>
      <c r="V19" s="16" t="e">
        <f t="shared" si="5"/>
        <v>#N/A</v>
      </c>
      <c r="W19" s="16"/>
      <c r="X19" s="16"/>
      <c r="Y19" s="16"/>
      <c r="Z19" s="16">
        <f t="shared" si="6"/>
        <v>0</v>
      </c>
      <c r="AA19" s="16">
        <f t="shared" si="0"/>
        <v>0</v>
      </c>
      <c r="AB19" s="16"/>
      <c r="AC19" s="17"/>
      <c r="AD19" s="48"/>
    </row>
    <row r="20" spans="1:30" ht="19.5" thickBot="1" x14ac:dyDescent="0.3">
      <c r="A20" s="14">
        <v>18</v>
      </c>
      <c r="B20" s="15"/>
      <c r="C20" s="15" t="e">
        <f>VLOOKUP(B20,داتا!$B$3:$D$107,2,FALSE)</f>
        <v>#N/A</v>
      </c>
      <c r="D20" s="34" t="e">
        <f>VLOOKUP(B20,داتا!$B$3:$D$107,3,FALSE)</f>
        <v>#N/A</v>
      </c>
      <c r="E20" s="15"/>
      <c r="F20" s="15"/>
      <c r="G20" s="16">
        <v>0.25</v>
      </c>
      <c r="H20" s="16"/>
      <c r="I20" s="16">
        <f t="shared" si="1"/>
        <v>-0.25</v>
      </c>
      <c r="J20" s="16"/>
      <c r="K20" s="16"/>
      <c r="L20" s="16"/>
      <c r="M20" s="16"/>
      <c r="N20" s="16">
        <f t="shared" si="2"/>
        <v>0</v>
      </c>
      <c r="O20" s="16" t="e">
        <f t="shared" si="3"/>
        <v>#N/A</v>
      </c>
      <c r="P20" s="16">
        <v>6.9444444444444397E-3</v>
      </c>
      <c r="Q20" s="16"/>
      <c r="R20" s="16">
        <f t="shared" si="4"/>
        <v>-6.9444444444444397E-3</v>
      </c>
      <c r="S20" s="16"/>
      <c r="T20" s="16" t="e">
        <f>VLOOKUP(E20,'[2]21-3-2026'!E$3:T$35,16,FALSE)</f>
        <v>#N/A</v>
      </c>
      <c r="U20" s="16"/>
      <c r="V20" s="16" t="e">
        <f t="shared" si="5"/>
        <v>#N/A</v>
      </c>
      <c r="W20" s="16"/>
      <c r="X20" s="16"/>
      <c r="Y20" s="16"/>
      <c r="Z20" s="16">
        <f t="shared" si="6"/>
        <v>0</v>
      </c>
      <c r="AA20" s="16">
        <f t="shared" si="0"/>
        <v>0</v>
      </c>
      <c r="AB20" s="16"/>
      <c r="AC20" s="17"/>
      <c r="AD20" s="48"/>
    </row>
    <row r="21" spans="1:30" ht="19.5" thickBot="1" x14ac:dyDescent="0.3">
      <c r="A21" s="14">
        <v>19</v>
      </c>
      <c r="B21" s="15"/>
      <c r="C21" s="15" t="e">
        <f>VLOOKUP(B21,داتا!$B$3:$D$107,2,FALSE)</f>
        <v>#N/A</v>
      </c>
      <c r="D21" s="34" t="e">
        <f>VLOOKUP(B21,داتا!$B$3:$D$107,3,FALSE)</f>
        <v>#N/A</v>
      </c>
      <c r="E21" s="15"/>
      <c r="F21" s="15"/>
      <c r="G21" s="16">
        <v>0.25</v>
      </c>
      <c r="H21" s="16"/>
      <c r="I21" s="16">
        <f t="shared" si="1"/>
        <v>-0.25</v>
      </c>
      <c r="J21" s="16"/>
      <c r="K21" s="16"/>
      <c r="L21" s="16"/>
      <c r="M21" s="16"/>
      <c r="N21" s="16">
        <f t="shared" si="2"/>
        <v>0</v>
      </c>
      <c r="O21" s="16" t="e">
        <f t="shared" si="3"/>
        <v>#N/A</v>
      </c>
      <c r="P21" s="16">
        <v>6.9444444444444397E-3</v>
      </c>
      <c r="Q21" s="16"/>
      <c r="R21" s="16">
        <f t="shared" si="4"/>
        <v>-6.9444444444444397E-3</v>
      </c>
      <c r="S21" s="16"/>
      <c r="T21" s="16" t="e">
        <f>VLOOKUP(E21,'[2]21-3-2026'!E$3:T$35,16,FALSE)</f>
        <v>#N/A</v>
      </c>
      <c r="U21" s="16"/>
      <c r="V21" s="16" t="e">
        <f t="shared" si="5"/>
        <v>#N/A</v>
      </c>
      <c r="W21" s="16"/>
      <c r="X21" s="16"/>
      <c r="Y21" s="16"/>
      <c r="Z21" s="16">
        <f t="shared" si="6"/>
        <v>0</v>
      </c>
      <c r="AA21" s="16">
        <f t="shared" si="0"/>
        <v>0</v>
      </c>
      <c r="AB21" s="16"/>
      <c r="AC21" s="17"/>
      <c r="AD21" s="48"/>
    </row>
    <row r="22" spans="1:30" ht="19.5" thickBot="1" x14ac:dyDescent="0.3">
      <c r="A22" s="14">
        <v>20</v>
      </c>
      <c r="B22" s="15"/>
      <c r="C22" s="15" t="e">
        <f>VLOOKUP(B22,داتا!$B$3:$D$107,2,FALSE)</f>
        <v>#N/A</v>
      </c>
      <c r="D22" s="34" t="e">
        <f>VLOOKUP(B22,داتا!$B$3:$D$107,3,FALSE)</f>
        <v>#N/A</v>
      </c>
      <c r="E22" s="15"/>
      <c r="F22" s="15"/>
      <c r="G22" s="16">
        <v>0.25</v>
      </c>
      <c r="H22" s="16"/>
      <c r="I22" s="16">
        <f t="shared" si="1"/>
        <v>-0.25</v>
      </c>
      <c r="J22" s="16"/>
      <c r="K22" s="16"/>
      <c r="L22" s="16"/>
      <c r="M22" s="16"/>
      <c r="N22" s="16">
        <f t="shared" si="2"/>
        <v>0</v>
      </c>
      <c r="O22" s="16" t="e">
        <f t="shared" si="3"/>
        <v>#N/A</v>
      </c>
      <c r="P22" s="16">
        <v>6.9444444444444397E-3</v>
      </c>
      <c r="Q22" s="16"/>
      <c r="R22" s="16">
        <f t="shared" si="4"/>
        <v>-6.9444444444444397E-3</v>
      </c>
      <c r="S22" s="16"/>
      <c r="T22" s="16" t="e">
        <f>VLOOKUP(E22,'[2]21-3-2026'!E$3:T$35,16,FALSE)</f>
        <v>#N/A</v>
      </c>
      <c r="U22" s="16"/>
      <c r="V22" s="16" t="e">
        <f t="shared" si="5"/>
        <v>#N/A</v>
      </c>
      <c r="W22" s="16"/>
      <c r="X22" s="16"/>
      <c r="Y22" s="16"/>
      <c r="Z22" s="16">
        <f t="shared" si="6"/>
        <v>0</v>
      </c>
      <c r="AA22" s="16">
        <f t="shared" si="0"/>
        <v>0</v>
      </c>
      <c r="AB22" s="16"/>
      <c r="AC22" s="17"/>
      <c r="AD22" s="48"/>
    </row>
    <row r="23" spans="1:30" ht="19.5" thickBot="1" x14ac:dyDescent="0.3">
      <c r="A23" s="14">
        <v>21</v>
      </c>
      <c r="B23" s="15"/>
      <c r="C23" s="15" t="e">
        <f>VLOOKUP(B23,داتا!$B$3:$D$107,2,FALSE)</f>
        <v>#N/A</v>
      </c>
      <c r="D23" s="34" t="e">
        <f>VLOOKUP(B23,داتا!$B$3:$D$107,3,FALSE)</f>
        <v>#N/A</v>
      </c>
      <c r="E23" s="15"/>
      <c r="F23" s="15"/>
      <c r="G23" s="16">
        <v>0.25</v>
      </c>
      <c r="H23" s="16"/>
      <c r="I23" s="16">
        <f t="shared" si="1"/>
        <v>-0.25</v>
      </c>
      <c r="J23" s="16"/>
      <c r="K23" s="16"/>
      <c r="L23" s="16"/>
      <c r="M23" s="16"/>
      <c r="N23" s="16">
        <f t="shared" si="2"/>
        <v>0</v>
      </c>
      <c r="O23" s="16" t="e">
        <f t="shared" si="3"/>
        <v>#N/A</v>
      </c>
      <c r="P23" s="16">
        <v>6.9444444444444397E-3</v>
      </c>
      <c r="Q23" s="16"/>
      <c r="R23" s="16">
        <f t="shared" si="4"/>
        <v>-6.9444444444444397E-3</v>
      </c>
      <c r="S23" s="16"/>
      <c r="T23" s="16" t="e">
        <f>VLOOKUP(E23,'[2]21-3-2026'!E$3:T$35,16,FALSE)</f>
        <v>#N/A</v>
      </c>
      <c r="U23" s="16"/>
      <c r="V23" s="16" t="e">
        <f t="shared" si="5"/>
        <v>#N/A</v>
      </c>
      <c r="W23" s="16"/>
      <c r="X23" s="16"/>
      <c r="Y23" s="16"/>
      <c r="Z23" s="16">
        <f t="shared" si="6"/>
        <v>0</v>
      </c>
      <c r="AA23" s="16">
        <f t="shared" si="0"/>
        <v>0</v>
      </c>
      <c r="AB23" s="16"/>
      <c r="AC23" s="17"/>
      <c r="AD23" s="48"/>
    </row>
    <row r="24" spans="1:30" ht="19.5" thickBot="1" x14ac:dyDescent="0.3">
      <c r="A24" s="14">
        <v>22</v>
      </c>
      <c r="B24" s="15"/>
      <c r="C24" s="15" t="e">
        <f>VLOOKUP(B24,داتا!$B$3:$D$107,2,FALSE)</f>
        <v>#N/A</v>
      </c>
      <c r="D24" s="34" t="e">
        <f>VLOOKUP(B24,داتا!$B$3:$D$107,3,FALSE)</f>
        <v>#N/A</v>
      </c>
      <c r="E24" s="15"/>
      <c r="F24" s="16"/>
      <c r="G24" s="16">
        <v>0.25</v>
      </c>
      <c r="H24" s="16"/>
      <c r="I24" s="16">
        <f t="shared" si="1"/>
        <v>-0.25</v>
      </c>
      <c r="J24" s="16"/>
      <c r="K24" s="16"/>
      <c r="L24" s="16"/>
      <c r="M24" s="16"/>
      <c r="N24" s="16">
        <f t="shared" si="2"/>
        <v>0</v>
      </c>
      <c r="O24" s="16" t="e">
        <f t="shared" si="3"/>
        <v>#N/A</v>
      </c>
      <c r="P24" s="16">
        <v>6.9444444444444397E-3</v>
      </c>
      <c r="Q24" s="16"/>
      <c r="R24" s="16">
        <f t="shared" si="4"/>
        <v>-6.9444444444444397E-3</v>
      </c>
      <c r="S24" s="16"/>
      <c r="T24" s="16" t="e">
        <f>VLOOKUP(E24,'[2]21-3-2026'!E$3:T$35,16,FALSE)</f>
        <v>#N/A</v>
      </c>
      <c r="U24" s="16"/>
      <c r="V24" s="16" t="e">
        <f t="shared" si="5"/>
        <v>#N/A</v>
      </c>
      <c r="W24" s="16"/>
      <c r="X24" s="16"/>
      <c r="Y24" s="16"/>
      <c r="Z24" s="16">
        <f t="shared" si="6"/>
        <v>0</v>
      </c>
      <c r="AA24" s="16">
        <f t="shared" si="0"/>
        <v>0</v>
      </c>
      <c r="AB24" s="16"/>
      <c r="AC24" s="17"/>
      <c r="AD24" s="48"/>
    </row>
    <row r="25" spans="1:30" ht="19.5" thickBot="1" x14ac:dyDescent="0.3">
      <c r="A25" s="14">
        <v>23</v>
      </c>
      <c r="B25" s="15"/>
      <c r="C25" s="15" t="e">
        <f>VLOOKUP(B25,داتا!$B$3:$D$107,2,FALSE)</f>
        <v>#N/A</v>
      </c>
      <c r="D25" s="34" t="e">
        <f>VLOOKUP(B25,داتا!$B$3:$D$107,3,FALSE)</f>
        <v>#N/A</v>
      </c>
      <c r="E25" s="15"/>
      <c r="F25" s="15"/>
      <c r="G25" s="16">
        <v>0.25</v>
      </c>
      <c r="H25" s="16"/>
      <c r="I25" s="16">
        <f t="shared" si="1"/>
        <v>-0.25</v>
      </c>
      <c r="J25" s="16"/>
      <c r="K25" s="16"/>
      <c r="L25" s="16"/>
      <c r="M25" s="16"/>
      <c r="N25" s="16">
        <f t="shared" si="2"/>
        <v>0</v>
      </c>
      <c r="O25" s="16" t="e">
        <f t="shared" si="3"/>
        <v>#N/A</v>
      </c>
      <c r="P25" s="16">
        <v>6.9444444444444397E-3</v>
      </c>
      <c r="Q25" s="16"/>
      <c r="R25" s="16">
        <f t="shared" si="4"/>
        <v>-6.9444444444444397E-3</v>
      </c>
      <c r="S25" s="16"/>
      <c r="T25" s="16" t="e">
        <f>VLOOKUP(E25,'[2]21-3-2026'!E$3:T$35,16,FALSE)</f>
        <v>#N/A</v>
      </c>
      <c r="U25" s="16"/>
      <c r="V25" s="16" t="e">
        <f t="shared" si="5"/>
        <v>#N/A</v>
      </c>
      <c r="W25" s="16"/>
      <c r="X25" s="16"/>
      <c r="Y25" s="16"/>
      <c r="Z25" s="16">
        <f t="shared" si="6"/>
        <v>0</v>
      </c>
      <c r="AA25" s="16">
        <f t="shared" si="0"/>
        <v>0</v>
      </c>
      <c r="AB25" s="16"/>
      <c r="AC25" s="19"/>
      <c r="AD25" s="48"/>
    </row>
    <row r="26" spans="1:30" ht="19.5" thickBot="1" x14ac:dyDescent="0.3">
      <c r="A26" s="14">
        <v>24</v>
      </c>
      <c r="B26" s="15"/>
      <c r="C26" s="15" t="e">
        <f>VLOOKUP(B26,داتا!$B$3:$D$107,2,FALSE)</f>
        <v>#N/A</v>
      </c>
      <c r="D26" s="34" t="e">
        <f>VLOOKUP(B26,داتا!$B$3:$D$107,3,FALSE)</f>
        <v>#N/A</v>
      </c>
      <c r="E26" s="15"/>
      <c r="F26" s="15"/>
      <c r="G26" s="16">
        <v>0.25</v>
      </c>
      <c r="H26" s="16"/>
      <c r="I26" s="16">
        <f t="shared" si="1"/>
        <v>-0.25</v>
      </c>
      <c r="J26" s="16"/>
      <c r="K26" s="16"/>
      <c r="L26" s="16"/>
      <c r="M26" s="16"/>
      <c r="N26" s="16">
        <f t="shared" si="2"/>
        <v>0</v>
      </c>
      <c r="O26" s="16" t="e">
        <f t="shared" si="3"/>
        <v>#N/A</v>
      </c>
      <c r="P26" s="16">
        <v>6.9444444444444397E-3</v>
      </c>
      <c r="Q26" s="16"/>
      <c r="R26" s="16">
        <f t="shared" si="4"/>
        <v>-6.9444444444444397E-3</v>
      </c>
      <c r="S26" s="16"/>
      <c r="T26" s="16" t="e">
        <f>VLOOKUP(E26,'[2]21-3-2026'!E$3:T$35,16,FALSE)</f>
        <v>#N/A</v>
      </c>
      <c r="U26" s="16"/>
      <c r="V26" s="16" t="e">
        <f t="shared" si="5"/>
        <v>#N/A</v>
      </c>
      <c r="W26" s="16"/>
      <c r="X26" s="16"/>
      <c r="Y26" s="16"/>
      <c r="Z26" s="16">
        <f t="shared" si="6"/>
        <v>0</v>
      </c>
      <c r="AA26" s="16">
        <f t="shared" si="0"/>
        <v>0</v>
      </c>
      <c r="AB26" s="16"/>
      <c r="AC26" s="19"/>
      <c r="AD26" s="48"/>
    </row>
    <row r="27" spans="1:30" ht="19.5" thickBot="1" x14ac:dyDescent="0.3">
      <c r="A27" s="14">
        <v>25</v>
      </c>
      <c r="B27" s="15"/>
      <c r="C27" s="15" t="e">
        <f>VLOOKUP(B27,داتا!$B$3:$D$107,2,FALSE)</f>
        <v>#N/A</v>
      </c>
      <c r="D27" s="34" t="e">
        <f>VLOOKUP(B27,داتا!$B$3:$D$107,3,FALSE)</f>
        <v>#N/A</v>
      </c>
      <c r="E27" s="15"/>
      <c r="F27" s="15"/>
      <c r="G27" s="16">
        <v>0.25</v>
      </c>
      <c r="H27" s="16"/>
      <c r="I27" s="16">
        <f t="shared" si="1"/>
        <v>-0.25</v>
      </c>
      <c r="J27" s="16"/>
      <c r="K27" s="16"/>
      <c r="L27" s="16"/>
      <c r="M27" s="16"/>
      <c r="N27" s="16">
        <f t="shared" si="2"/>
        <v>0</v>
      </c>
      <c r="O27" s="16" t="e">
        <f t="shared" si="3"/>
        <v>#N/A</v>
      </c>
      <c r="P27" s="16">
        <v>6.9444444444444397E-3</v>
      </c>
      <c r="Q27" s="16"/>
      <c r="R27" s="16">
        <f t="shared" si="4"/>
        <v>-6.9444444444444397E-3</v>
      </c>
      <c r="S27" s="16"/>
      <c r="T27" s="16" t="e">
        <f>VLOOKUP(E27,'[2]21-3-2026'!E$3:T$35,16,FALSE)</f>
        <v>#N/A</v>
      </c>
      <c r="U27" s="16"/>
      <c r="V27" s="16" t="e">
        <f t="shared" si="5"/>
        <v>#N/A</v>
      </c>
      <c r="W27" s="16"/>
      <c r="X27" s="16"/>
      <c r="Y27" s="16"/>
      <c r="Z27" s="16">
        <f t="shared" si="6"/>
        <v>0</v>
      </c>
      <c r="AA27" s="16">
        <f t="shared" si="0"/>
        <v>0</v>
      </c>
      <c r="AB27" s="16"/>
      <c r="AC27" s="19"/>
      <c r="AD27" s="48"/>
    </row>
    <row r="28" spans="1:30" ht="19.5" thickBot="1" x14ac:dyDescent="0.3">
      <c r="A28" s="14">
        <v>26</v>
      </c>
      <c r="B28" s="15"/>
      <c r="C28" s="15" t="e">
        <f>VLOOKUP(B28,داتا!$B$3:$D$107,2,FALSE)</f>
        <v>#N/A</v>
      </c>
      <c r="D28" s="34" t="e">
        <f>VLOOKUP(B28,داتا!$B$3:$D$107,3,FALSE)</f>
        <v>#N/A</v>
      </c>
      <c r="E28" s="15"/>
      <c r="F28" s="15"/>
      <c r="G28" s="16">
        <v>0.25</v>
      </c>
      <c r="H28" s="16"/>
      <c r="I28" s="16">
        <f t="shared" si="1"/>
        <v>-0.25</v>
      </c>
      <c r="J28" s="16"/>
      <c r="K28" s="16"/>
      <c r="L28" s="16"/>
      <c r="M28" s="16"/>
      <c r="N28" s="16">
        <f t="shared" si="2"/>
        <v>0</v>
      </c>
      <c r="O28" s="16" t="e">
        <f t="shared" si="3"/>
        <v>#N/A</v>
      </c>
      <c r="P28" s="16">
        <v>6.9444444444444397E-3</v>
      </c>
      <c r="Q28" s="16"/>
      <c r="R28" s="16">
        <f t="shared" si="4"/>
        <v>-6.9444444444444397E-3</v>
      </c>
      <c r="S28" s="16"/>
      <c r="T28" s="16" t="e">
        <f>VLOOKUP(E28,'[2]21-3-2026'!E$3:T$35,16,FALSE)</f>
        <v>#N/A</v>
      </c>
      <c r="U28" s="16"/>
      <c r="V28" s="16" t="e">
        <f t="shared" si="5"/>
        <v>#N/A</v>
      </c>
      <c r="W28" s="16"/>
      <c r="X28" s="16"/>
      <c r="Y28" s="16"/>
      <c r="Z28" s="16">
        <f t="shared" si="6"/>
        <v>0</v>
      </c>
      <c r="AA28" s="16">
        <f t="shared" si="0"/>
        <v>0</v>
      </c>
      <c r="AB28" s="16"/>
      <c r="AC28" s="17"/>
      <c r="AD28" s="48"/>
    </row>
    <row r="29" spans="1:30" ht="19.5" thickBot="1" x14ac:dyDescent="0.3">
      <c r="A29" s="14">
        <v>27</v>
      </c>
      <c r="B29" s="15"/>
      <c r="C29" s="15" t="e">
        <f>VLOOKUP(B29,داتا!$B$3:$D$107,2,FALSE)</f>
        <v>#N/A</v>
      </c>
      <c r="D29" s="34" t="e">
        <f>VLOOKUP(B29,داتا!$B$3:$D$107,3,FALSE)</f>
        <v>#N/A</v>
      </c>
      <c r="E29" s="15"/>
      <c r="F29" s="15"/>
      <c r="G29" s="16">
        <v>0.25</v>
      </c>
      <c r="H29" s="16"/>
      <c r="I29" s="16">
        <f t="shared" si="1"/>
        <v>-0.25</v>
      </c>
      <c r="J29" s="16"/>
      <c r="K29" s="16"/>
      <c r="L29" s="16"/>
      <c r="M29" s="16"/>
      <c r="N29" s="16">
        <f t="shared" si="2"/>
        <v>0</v>
      </c>
      <c r="O29" s="16" t="e">
        <f t="shared" si="3"/>
        <v>#N/A</v>
      </c>
      <c r="P29" s="16">
        <v>6.9444444444444397E-3</v>
      </c>
      <c r="Q29" s="16"/>
      <c r="R29" s="16">
        <f t="shared" si="4"/>
        <v>-6.9444444444444397E-3</v>
      </c>
      <c r="S29" s="16"/>
      <c r="T29" s="16" t="e">
        <f>VLOOKUP(E29,'[2]21-3-2026'!E$3:T$35,16,FALSE)</f>
        <v>#N/A</v>
      </c>
      <c r="U29" s="16"/>
      <c r="V29" s="16" t="e">
        <f t="shared" si="5"/>
        <v>#N/A</v>
      </c>
      <c r="W29" s="16"/>
      <c r="X29" s="16"/>
      <c r="Y29" s="16"/>
      <c r="Z29" s="16">
        <f t="shared" si="6"/>
        <v>0</v>
      </c>
      <c r="AA29" s="16">
        <f t="shared" si="0"/>
        <v>0</v>
      </c>
      <c r="AB29" s="16"/>
      <c r="AC29" s="18"/>
      <c r="AD29" s="48"/>
    </row>
    <row r="30" spans="1:30" ht="19.5" thickBot="1" x14ac:dyDescent="0.3">
      <c r="A30" s="14">
        <v>28</v>
      </c>
      <c r="B30" s="15"/>
      <c r="C30" s="15" t="e">
        <f>VLOOKUP(B30,داتا!$B$3:$D$107,2,FALSE)</f>
        <v>#N/A</v>
      </c>
      <c r="D30" s="34" t="e">
        <f>VLOOKUP(B30,داتا!$B$3:$D$107,3,FALSE)</f>
        <v>#N/A</v>
      </c>
      <c r="E30" s="15"/>
      <c r="F30" s="15"/>
      <c r="G30" s="16">
        <v>0.25</v>
      </c>
      <c r="H30" s="16"/>
      <c r="I30" s="16">
        <f t="shared" si="1"/>
        <v>-0.25</v>
      </c>
      <c r="J30" s="16"/>
      <c r="K30" s="16"/>
      <c r="L30" s="16"/>
      <c r="M30" s="16"/>
      <c r="N30" s="16">
        <f t="shared" si="2"/>
        <v>0</v>
      </c>
      <c r="O30" s="16" t="e">
        <f t="shared" si="3"/>
        <v>#N/A</v>
      </c>
      <c r="P30" s="16">
        <v>6.9444444444444397E-3</v>
      </c>
      <c r="Q30" s="16"/>
      <c r="R30" s="16">
        <f t="shared" si="4"/>
        <v>-6.9444444444444397E-3</v>
      </c>
      <c r="S30" s="16"/>
      <c r="T30" s="16" t="e">
        <f>VLOOKUP(E30,'[2]21-3-2026'!E$3:T$35,16,FALSE)</f>
        <v>#N/A</v>
      </c>
      <c r="U30" s="16"/>
      <c r="V30" s="16" t="e">
        <f t="shared" si="5"/>
        <v>#N/A</v>
      </c>
      <c r="W30" s="16"/>
      <c r="X30" s="16"/>
      <c r="Y30" s="16"/>
      <c r="Z30" s="16">
        <f t="shared" si="6"/>
        <v>0</v>
      </c>
      <c r="AA30" s="16">
        <f t="shared" si="0"/>
        <v>0</v>
      </c>
      <c r="AB30" s="16"/>
      <c r="AC30" s="17"/>
      <c r="AD30" s="48"/>
    </row>
    <row r="31" spans="1:30" ht="19.5" thickBot="1" x14ac:dyDescent="0.3">
      <c r="A31" s="14">
        <v>29</v>
      </c>
      <c r="B31" s="15"/>
      <c r="C31" s="15" t="e">
        <f>VLOOKUP(B31,داتا!$B$3:$D$107,2,FALSE)</f>
        <v>#N/A</v>
      </c>
      <c r="D31" s="34" t="e">
        <f>VLOOKUP(B31,داتا!$B$3:$D$107,3,FALSE)</f>
        <v>#N/A</v>
      </c>
      <c r="E31" s="15"/>
      <c r="F31" s="15"/>
      <c r="G31" s="16">
        <v>0.25</v>
      </c>
      <c r="H31" s="16"/>
      <c r="I31" s="16">
        <f t="shared" si="1"/>
        <v>-0.25</v>
      </c>
      <c r="J31" s="16"/>
      <c r="K31" s="16"/>
      <c r="L31" s="16"/>
      <c r="M31" s="16"/>
      <c r="N31" s="16">
        <f t="shared" si="2"/>
        <v>0</v>
      </c>
      <c r="O31" s="16" t="e">
        <f t="shared" si="3"/>
        <v>#N/A</v>
      </c>
      <c r="P31" s="16">
        <v>6.9444444444444397E-3</v>
      </c>
      <c r="Q31" s="16"/>
      <c r="R31" s="16">
        <f t="shared" si="4"/>
        <v>-6.9444444444444397E-3</v>
      </c>
      <c r="S31" s="16"/>
      <c r="T31" s="16" t="e">
        <f>VLOOKUP(E31,'[2]21-3-2026'!E$3:T$35,16,FALSE)</f>
        <v>#N/A</v>
      </c>
      <c r="U31" s="16"/>
      <c r="V31" s="16" t="e">
        <f t="shared" si="5"/>
        <v>#N/A</v>
      </c>
      <c r="W31" s="16"/>
      <c r="X31" s="16"/>
      <c r="Y31" s="16"/>
      <c r="Z31" s="16">
        <f t="shared" si="6"/>
        <v>0</v>
      </c>
      <c r="AA31" s="16">
        <f t="shared" si="0"/>
        <v>0</v>
      </c>
      <c r="AB31" s="16"/>
      <c r="AC31" s="17"/>
      <c r="AD31" s="48"/>
    </row>
    <row r="32" spans="1:30" ht="19.5" thickBot="1" x14ac:dyDescent="0.3">
      <c r="A32" s="14">
        <v>30</v>
      </c>
      <c r="B32" s="15"/>
      <c r="C32" s="15" t="e">
        <f>VLOOKUP(B32,داتا!$B$3:$D$107,2,FALSE)</f>
        <v>#N/A</v>
      </c>
      <c r="D32" s="34" t="e">
        <f>VLOOKUP(B32,داتا!$B$3:$D$107,3,FALSE)</f>
        <v>#N/A</v>
      </c>
      <c r="E32" s="15"/>
      <c r="F32" s="15"/>
      <c r="G32" s="16">
        <v>0.25</v>
      </c>
      <c r="H32" s="16"/>
      <c r="I32" s="16">
        <f t="shared" si="1"/>
        <v>-0.25</v>
      </c>
      <c r="J32" s="16"/>
      <c r="K32" s="16"/>
      <c r="L32" s="16"/>
      <c r="M32" s="16"/>
      <c r="N32" s="16">
        <f t="shared" si="2"/>
        <v>0</v>
      </c>
      <c r="O32" s="16" t="e">
        <f t="shared" si="3"/>
        <v>#N/A</v>
      </c>
      <c r="P32" s="16">
        <v>6.9444444444444397E-3</v>
      </c>
      <c r="Q32" s="16"/>
      <c r="R32" s="16">
        <f t="shared" si="4"/>
        <v>-6.9444444444444397E-3</v>
      </c>
      <c r="S32" s="16"/>
      <c r="T32" s="16" t="e">
        <f>VLOOKUP(E32,'[2]21-3-2026'!E$3:T$35,16,FALSE)</f>
        <v>#N/A</v>
      </c>
      <c r="U32" s="16"/>
      <c r="V32" s="16" t="e">
        <f t="shared" si="5"/>
        <v>#N/A</v>
      </c>
      <c r="W32" s="16"/>
      <c r="X32" s="16"/>
      <c r="Y32" s="16"/>
      <c r="Z32" s="16">
        <f t="shared" si="6"/>
        <v>0</v>
      </c>
      <c r="AA32" s="16">
        <f t="shared" si="0"/>
        <v>0</v>
      </c>
      <c r="AB32" s="16"/>
      <c r="AC32" s="17"/>
      <c r="AD32" s="48"/>
    </row>
    <row r="33" spans="1:30" ht="19.5" thickBot="1" x14ac:dyDescent="0.3">
      <c r="A33" s="14">
        <v>31</v>
      </c>
      <c r="B33" s="15"/>
      <c r="C33" s="15" t="e">
        <f>VLOOKUP(B33,داتا!$B$3:$D$107,2,FALSE)</f>
        <v>#N/A</v>
      </c>
      <c r="D33" s="34" t="e">
        <f>VLOOKUP(B33,داتا!$B$3:$D$107,3,FALSE)</f>
        <v>#N/A</v>
      </c>
      <c r="E33" s="15"/>
      <c r="F33" s="15"/>
      <c r="G33" s="16">
        <v>0.25</v>
      </c>
      <c r="H33" s="16"/>
      <c r="I33" s="16">
        <f t="shared" si="1"/>
        <v>-0.25</v>
      </c>
      <c r="J33" s="16"/>
      <c r="K33" s="16"/>
      <c r="L33" s="16"/>
      <c r="M33" s="16"/>
      <c r="N33" s="16">
        <f t="shared" si="2"/>
        <v>0</v>
      </c>
      <c r="O33" s="16" t="e">
        <f t="shared" si="3"/>
        <v>#N/A</v>
      </c>
      <c r="P33" s="16">
        <v>6.9444444444444397E-3</v>
      </c>
      <c r="Q33" s="16"/>
      <c r="R33" s="16">
        <f t="shared" si="4"/>
        <v>-6.9444444444444397E-3</v>
      </c>
      <c r="S33" s="16"/>
      <c r="T33" s="16" t="e">
        <f>VLOOKUP(E33,'[2]21-3-2026'!E$3:T$35,16,FALSE)</f>
        <v>#N/A</v>
      </c>
      <c r="U33" s="16"/>
      <c r="V33" s="16" t="e">
        <f t="shared" si="5"/>
        <v>#N/A</v>
      </c>
      <c r="W33" s="16"/>
      <c r="X33" s="16"/>
      <c r="Y33" s="16"/>
      <c r="Z33" s="16">
        <f t="shared" si="6"/>
        <v>0</v>
      </c>
      <c r="AA33" s="16">
        <f t="shared" si="0"/>
        <v>0</v>
      </c>
      <c r="AB33" s="16"/>
      <c r="AC33" s="17"/>
      <c r="AD33" s="48"/>
    </row>
    <row r="34" spans="1:30" ht="19.5" thickBot="1" x14ac:dyDescent="0.3">
      <c r="A34" s="14">
        <v>32</v>
      </c>
      <c r="B34" s="15"/>
      <c r="C34" s="15" t="e">
        <f>VLOOKUP(B34,داتا!$B$3:$D$107,2,FALSE)</f>
        <v>#N/A</v>
      </c>
      <c r="D34" s="34" t="e">
        <f>VLOOKUP(B34,داتا!$B$3:$D$107,3,FALSE)</f>
        <v>#N/A</v>
      </c>
      <c r="E34" s="15"/>
      <c r="F34" s="15"/>
      <c r="G34" s="16">
        <v>0.25</v>
      </c>
      <c r="H34" s="16"/>
      <c r="I34" s="16">
        <f t="shared" si="1"/>
        <v>-0.25</v>
      </c>
      <c r="J34" s="16"/>
      <c r="K34" s="16"/>
      <c r="L34" s="16"/>
      <c r="M34" s="16"/>
      <c r="N34" s="16">
        <f t="shared" si="2"/>
        <v>0</v>
      </c>
      <c r="O34" s="16" t="e">
        <f t="shared" si="3"/>
        <v>#N/A</v>
      </c>
      <c r="P34" s="16">
        <v>6.9444444444444397E-3</v>
      </c>
      <c r="Q34" s="16"/>
      <c r="R34" s="16">
        <f t="shared" si="4"/>
        <v>-6.9444444444444397E-3</v>
      </c>
      <c r="S34" s="16"/>
      <c r="T34" s="16" t="e">
        <f>VLOOKUP(E34,'[2]21-3-2026'!E$3:T$35,16,FALSE)</f>
        <v>#N/A</v>
      </c>
      <c r="U34" s="16"/>
      <c r="V34" s="16" t="e">
        <f t="shared" si="5"/>
        <v>#N/A</v>
      </c>
      <c r="W34" s="16"/>
      <c r="X34" s="16"/>
      <c r="Y34" s="16"/>
      <c r="Z34" s="16">
        <f t="shared" si="6"/>
        <v>0</v>
      </c>
      <c r="AA34" s="16">
        <f t="shared" si="0"/>
        <v>0</v>
      </c>
      <c r="AB34" s="16"/>
      <c r="AC34" s="17"/>
      <c r="AD34" s="48"/>
    </row>
    <row r="35" spans="1:30" ht="19.5" thickBot="1" x14ac:dyDescent="0.3">
      <c r="A35" s="20">
        <v>33</v>
      </c>
      <c r="B35" s="21"/>
      <c r="C35" s="21" t="e">
        <f>VLOOKUP(B35,داتا!$B$3:$D$107,2,FALSE)</f>
        <v>#N/A</v>
      </c>
      <c r="D35" s="35" t="e">
        <f>VLOOKUP(B35,داتا!$B$3:$D$107,3,FALSE)</f>
        <v>#N/A</v>
      </c>
      <c r="E35" s="21"/>
      <c r="F35" s="21"/>
      <c r="G35" s="22">
        <v>0.25</v>
      </c>
      <c r="H35" s="22"/>
      <c r="I35" s="22">
        <f t="shared" si="1"/>
        <v>-0.25</v>
      </c>
      <c r="J35" s="22"/>
      <c r="K35" s="22"/>
      <c r="L35" s="22"/>
      <c r="M35" s="22"/>
      <c r="N35" s="22">
        <f t="shared" si="2"/>
        <v>0</v>
      </c>
      <c r="O35" s="22" t="e">
        <f t="shared" si="3"/>
        <v>#N/A</v>
      </c>
      <c r="P35" s="22">
        <v>6.9444444444444397E-3</v>
      </c>
      <c r="Q35" s="22"/>
      <c r="R35" s="22">
        <f t="shared" si="4"/>
        <v>-6.9444444444444397E-3</v>
      </c>
      <c r="S35" s="22"/>
      <c r="T35" s="22" t="e">
        <f>VLOOKUP(E35,'[2]21-3-2026'!E$3:T$35,16,FALSE)</f>
        <v>#N/A</v>
      </c>
      <c r="U35" s="22"/>
      <c r="V35" s="22" t="e">
        <f t="shared" si="5"/>
        <v>#N/A</v>
      </c>
      <c r="W35" s="22"/>
      <c r="X35" s="22"/>
      <c r="Y35" s="22"/>
      <c r="Z35" s="22">
        <f t="shared" si="6"/>
        <v>0</v>
      </c>
      <c r="AA35" s="22">
        <f t="shared" si="0"/>
        <v>0</v>
      </c>
      <c r="AB35" s="22"/>
      <c r="AC35" s="23"/>
      <c r="AD35" s="49"/>
    </row>
    <row r="36" spans="1:30" ht="20.25" customHeight="1" thickTop="1" thickBot="1" x14ac:dyDescent="0.3">
      <c r="A36" s="10">
        <v>1</v>
      </c>
      <c r="B36" s="11"/>
      <c r="C36" s="11" t="e">
        <f>VLOOKUP(B36,داتا!$B$3:$D$107,2,FALSE)</f>
        <v>#N/A</v>
      </c>
      <c r="D36" s="33" t="e">
        <f>VLOOKUP(B36,داتا!$B$3:$D$107,3,FALSE)</f>
        <v>#N/A</v>
      </c>
      <c r="E36" s="11"/>
      <c r="F36" s="11"/>
      <c r="G36" s="12">
        <v>0.25</v>
      </c>
      <c r="H36" s="12" t="e">
        <f>VLOOKUP(G36,$F$3:$I$35,2,FALSE)</f>
        <v>#N/A</v>
      </c>
      <c r="I36" s="12" t="e">
        <f t="shared" si="1"/>
        <v>#N/A</v>
      </c>
      <c r="J36" s="12"/>
      <c r="K36" s="12"/>
      <c r="L36" s="12"/>
      <c r="M36" s="12"/>
      <c r="N36" s="12">
        <f t="shared" si="2"/>
        <v>0</v>
      </c>
      <c r="O36" s="12" t="e">
        <f t="shared" si="3"/>
        <v>#N/A</v>
      </c>
      <c r="P36" s="12">
        <v>6.9444444444444397E-3</v>
      </c>
      <c r="Q36" s="12"/>
      <c r="R36" s="12">
        <f t="shared" si="4"/>
        <v>-6.9444444444444397E-3</v>
      </c>
      <c r="S36" s="12"/>
      <c r="T36" s="12" t="e">
        <f>VLOOKUP(E36,'[2]21-3-2026'!E$3:T$35,16,FALSE)</f>
        <v>#N/A</v>
      </c>
      <c r="U36" s="12"/>
      <c r="V36" s="12" t="e">
        <f t="shared" si="5"/>
        <v>#N/A</v>
      </c>
      <c r="W36" s="12"/>
      <c r="X36" s="12"/>
      <c r="Y36" s="12"/>
      <c r="Z36" s="12">
        <f t="shared" si="6"/>
        <v>0</v>
      </c>
      <c r="AA36" s="12">
        <f t="shared" si="0"/>
        <v>0</v>
      </c>
      <c r="AB36" s="12"/>
      <c r="AC36" s="29"/>
      <c r="AD36" s="50" t="s">
        <v>104</v>
      </c>
    </row>
    <row r="37" spans="1:30" ht="19.5" thickBot="1" x14ac:dyDescent="0.3">
      <c r="A37" s="14">
        <v>2</v>
      </c>
      <c r="B37" s="15"/>
      <c r="C37" s="15" t="e">
        <f>VLOOKUP(B37,داتا!$B$3:$D$107,2,FALSE)</f>
        <v>#N/A</v>
      </c>
      <c r="D37" s="34" t="e">
        <f>VLOOKUP(B37,داتا!$B$3:$D$107,3,FALSE)</f>
        <v>#N/A</v>
      </c>
      <c r="E37" s="15"/>
      <c r="F37" s="15"/>
      <c r="G37" s="16">
        <v>0.25</v>
      </c>
      <c r="H37" s="16" t="e">
        <f t="shared" ref="H37:H52" si="7">VLOOKUP(G37,$F$3:$I$35,2,FALSE)</f>
        <v>#N/A</v>
      </c>
      <c r="I37" s="16" t="e">
        <f t="shared" si="1"/>
        <v>#N/A</v>
      </c>
      <c r="J37" s="16"/>
      <c r="K37" s="16"/>
      <c r="L37" s="16"/>
      <c r="M37" s="16"/>
      <c r="N37" s="16">
        <f t="shared" si="2"/>
        <v>0</v>
      </c>
      <c r="O37" s="16" t="e">
        <f t="shared" si="3"/>
        <v>#N/A</v>
      </c>
      <c r="P37" s="16">
        <v>6.9444444444444397E-3</v>
      </c>
      <c r="Q37" s="16"/>
      <c r="R37" s="16">
        <f t="shared" si="4"/>
        <v>-6.9444444444444397E-3</v>
      </c>
      <c r="S37" s="16"/>
      <c r="T37" s="16" t="e">
        <f>VLOOKUP(E37,'[2]21-3-2026'!E$3:T$35,16,FALSE)</f>
        <v>#N/A</v>
      </c>
      <c r="U37" s="16"/>
      <c r="V37" s="16" t="e">
        <f t="shared" si="5"/>
        <v>#N/A</v>
      </c>
      <c r="W37" s="16"/>
      <c r="X37" s="16"/>
      <c r="Y37" s="16"/>
      <c r="Z37" s="16">
        <f t="shared" si="6"/>
        <v>0</v>
      </c>
      <c r="AA37" s="16">
        <f t="shared" si="0"/>
        <v>0</v>
      </c>
      <c r="AB37" s="16"/>
      <c r="AC37" s="19"/>
      <c r="AD37" s="51"/>
    </row>
    <row r="38" spans="1:30" ht="19.5" thickBot="1" x14ac:dyDescent="0.3">
      <c r="A38" s="14">
        <v>3</v>
      </c>
      <c r="B38" s="15"/>
      <c r="C38" s="15" t="e">
        <f>VLOOKUP(B38,داتا!$B$3:$D$107,2,FALSE)</f>
        <v>#N/A</v>
      </c>
      <c r="D38" s="34" t="e">
        <f>VLOOKUP(B38,داتا!$B$3:$D$107,3,FALSE)</f>
        <v>#N/A</v>
      </c>
      <c r="E38" s="15"/>
      <c r="F38" s="15"/>
      <c r="G38" s="16">
        <v>0.25</v>
      </c>
      <c r="H38" s="16" t="e">
        <f t="shared" si="7"/>
        <v>#N/A</v>
      </c>
      <c r="I38" s="16" t="e">
        <f t="shared" si="1"/>
        <v>#N/A</v>
      </c>
      <c r="J38" s="16"/>
      <c r="K38" s="16"/>
      <c r="L38" s="16"/>
      <c r="M38" s="16"/>
      <c r="N38" s="16">
        <f t="shared" si="2"/>
        <v>0</v>
      </c>
      <c r="O38" s="16" t="e">
        <f t="shared" si="3"/>
        <v>#N/A</v>
      </c>
      <c r="P38" s="16">
        <v>6.9444444444444397E-3</v>
      </c>
      <c r="Q38" s="16"/>
      <c r="R38" s="16">
        <f t="shared" si="4"/>
        <v>-6.9444444444444397E-3</v>
      </c>
      <c r="S38" s="16"/>
      <c r="T38" s="16" t="e">
        <f>VLOOKUP(E38,'[2]21-3-2026'!E$3:T$35,16,FALSE)</f>
        <v>#N/A</v>
      </c>
      <c r="U38" s="16"/>
      <c r="V38" s="16" t="e">
        <f t="shared" si="5"/>
        <v>#N/A</v>
      </c>
      <c r="W38" s="16"/>
      <c r="X38" s="16"/>
      <c r="Y38" s="16"/>
      <c r="Z38" s="16">
        <f t="shared" si="6"/>
        <v>0</v>
      </c>
      <c r="AA38" s="16">
        <f t="shared" si="0"/>
        <v>0</v>
      </c>
      <c r="AB38" s="16"/>
      <c r="AC38" s="19"/>
      <c r="AD38" s="51"/>
    </row>
    <row r="39" spans="1:30" ht="19.5" thickBot="1" x14ac:dyDescent="0.3">
      <c r="A39" s="14">
        <v>4</v>
      </c>
      <c r="B39" s="15"/>
      <c r="C39" s="15" t="e">
        <f>VLOOKUP(B39,داتا!$B$3:$D$107,2,FALSE)</f>
        <v>#N/A</v>
      </c>
      <c r="D39" s="34" t="e">
        <f>VLOOKUP(B39,داتا!$B$3:$D$107,3,FALSE)</f>
        <v>#N/A</v>
      </c>
      <c r="E39" s="15"/>
      <c r="F39" s="15"/>
      <c r="G39" s="16">
        <v>0.25</v>
      </c>
      <c r="H39" s="16" t="e">
        <f t="shared" si="7"/>
        <v>#N/A</v>
      </c>
      <c r="I39" s="16" t="e">
        <f t="shared" si="1"/>
        <v>#N/A</v>
      </c>
      <c r="J39" s="16"/>
      <c r="K39" s="16"/>
      <c r="L39" s="16"/>
      <c r="M39" s="16"/>
      <c r="N39" s="16">
        <f t="shared" si="2"/>
        <v>0</v>
      </c>
      <c r="O39" s="16" t="e">
        <f t="shared" si="3"/>
        <v>#N/A</v>
      </c>
      <c r="P39" s="16">
        <v>6.9444444444444397E-3</v>
      </c>
      <c r="Q39" s="16"/>
      <c r="R39" s="16">
        <f t="shared" si="4"/>
        <v>-6.9444444444444397E-3</v>
      </c>
      <c r="S39" s="16"/>
      <c r="T39" s="16" t="e">
        <f>VLOOKUP(E39,'[2]21-3-2026'!E$3:T$35,16,FALSE)</f>
        <v>#N/A</v>
      </c>
      <c r="U39" s="16"/>
      <c r="V39" s="16" t="e">
        <f t="shared" si="5"/>
        <v>#N/A</v>
      </c>
      <c r="W39" s="16"/>
      <c r="X39" s="16"/>
      <c r="Y39" s="16"/>
      <c r="Z39" s="16">
        <f t="shared" si="6"/>
        <v>0</v>
      </c>
      <c r="AA39" s="16">
        <f t="shared" si="0"/>
        <v>0</v>
      </c>
      <c r="AB39" s="16"/>
      <c r="AC39" s="17"/>
      <c r="AD39" s="51"/>
    </row>
    <row r="40" spans="1:30" ht="19.5" thickBot="1" x14ac:dyDescent="0.3">
      <c r="A40" s="14">
        <v>5</v>
      </c>
      <c r="B40" s="15"/>
      <c r="C40" s="15" t="e">
        <f>VLOOKUP(B40,داتا!$B$3:$D$107,2,FALSE)</f>
        <v>#N/A</v>
      </c>
      <c r="D40" s="34" t="e">
        <f>VLOOKUP(B40,داتا!$B$3:$D$107,3,FALSE)</f>
        <v>#N/A</v>
      </c>
      <c r="E40" s="15"/>
      <c r="F40" s="15"/>
      <c r="G40" s="16">
        <v>0.25</v>
      </c>
      <c r="H40" s="16" t="e">
        <f t="shared" si="7"/>
        <v>#N/A</v>
      </c>
      <c r="I40" s="16" t="e">
        <f t="shared" si="1"/>
        <v>#N/A</v>
      </c>
      <c r="J40" s="16"/>
      <c r="K40" s="16"/>
      <c r="L40" s="16"/>
      <c r="M40" s="16"/>
      <c r="N40" s="16">
        <f t="shared" si="2"/>
        <v>0</v>
      </c>
      <c r="O40" s="16" t="e">
        <f t="shared" si="3"/>
        <v>#N/A</v>
      </c>
      <c r="P40" s="16">
        <v>6.9444444444444397E-3</v>
      </c>
      <c r="Q40" s="16"/>
      <c r="R40" s="16">
        <f t="shared" si="4"/>
        <v>-6.9444444444444397E-3</v>
      </c>
      <c r="S40" s="16"/>
      <c r="T40" s="16" t="e">
        <f>VLOOKUP(E40,'[2]21-3-2026'!E$3:T$35,16,FALSE)</f>
        <v>#N/A</v>
      </c>
      <c r="U40" s="16"/>
      <c r="V40" s="16" t="e">
        <f t="shared" si="5"/>
        <v>#N/A</v>
      </c>
      <c r="W40" s="16"/>
      <c r="X40" s="16"/>
      <c r="Y40" s="16"/>
      <c r="Z40" s="16">
        <f t="shared" si="6"/>
        <v>0</v>
      </c>
      <c r="AA40" s="16">
        <f t="shared" si="0"/>
        <v>0</v>
      </c>
      <c r="AB40" s="16"/>
      <c r="AC40" s="17"/>
      <c r="AD40" s="51"/>
    </row>
    <row r="41" spans="1:30" ht="19.5" thickBot="1" x14ac:dyDescent="0.3">
      <c r="A41" s="14">
        <v>6</v>
      </c>
      <c r="B41" s="15"/>
      <c r="C41" s="15" t="e">
        <f>VLOOKUP(B41,داتا!$B$3:$D$107,2,FALSE)</f>
        <v>#N/A</v>
      </c>
      <c r="D41" s="34" t="e">
        <f>VLOOKUP(B41,داتا!$B$3:$D$107,3,FALSE)</f>
        <v>#N/A</v>
      </c>
      <c r="E41" s="15"/>
      <c r="F41" s="15"/>
      <c r="G41" s="16">
        <v>0.25</v>
      </c>
      <c r="H41" s="16" t="e">
        <f t="shared" si="7"/>
        <v>#N/A</v>
      </c>
      <c r="I41" s="16" t="e">
        <f t="shared" si="1"/>
        <v>#N/A</v>
      </c>
      <c r="J41" s="16"/>
      <c r="K41" s="16"/>
      <c r="L41" s="16"/>
      <c r="M41" s="16"/>
      <c r="N41" s="16">
        <f t="shared" si="2"/>
        <v>0</v>
      </c>
      <c r="O41" s="16" t="e">
        <f t="shared" si="3"/>
        <v>#N/A</v>
      </c>
      <c r="P41" s="16">
        <v>6.9444444444444397E-3</v>
      </c>
      <c r="Q41" s="16"/>
      <c r="R41" s="16">
        <f t="shared" si="4"/>
        <v>-6.9444444444444397E-3</v>
      </c>
      <c r="S41" s="16"/>
      <c r="T41" s="16" t="e">
        <f>VLOOKUP(E41,'[2]21-3-2026'!E$3:T$35,16,FALSE)</f>
        <v>#N/A</v>
      </c>
      <c r="U41" s="16"/>
      <c r="V41" s="16" t="e">
        <f t="shared" si="5"/>
        <v>#N/A</v>
      </c>
      <c r="W41" s="16"/>
      <c r="X41" s="16"/>
      <c r="Y41" s="16"/>
      <c r="Z41" s="16">
        <f t="shared" si="6"/>
        <v>0</v>
      </c>
      <c r="AA41" s="16">
        <f t="shared" si="0"/>
        <v>0</v>
      </c>
      <c r="AB41" s="16"/>
      <c r="AC41" s="17"/>
      <c r="AD41" s="51"/>
    </row>
    <row r="42" spans="1:30" ht="19.5" thickBot="1" x14ac:dyDescent="0.3">
      <c r="A42" s="14">
        <v>7</v>
      </c>
      <c r="B42" s="15"/>
      <c r="C42" s="15" t="e">
        <f>VLOOKUP(B42,داتا!$B$3:$D$107,2,FALSE)</f>
        <v>#N/A</v>
      </c>
      <c r="D42" s="34" t="e">
        <f>VLOOKUP(B42,داتا!$B$3:$D$107,3,FALSE)</f>
        <v>#N/A</v>
      </c>
      <c r="E42" s="15"/>
      <c r="F42" s="15"/>
      <c r="G42" s="16">
        <v>0.25</v>
      </c>
      <c r="H42" s="16" t="e">
        <f t="shared" si="7"/>
        <v>#N/A</v>
      </c>
      <c r="I42" s="16" t="e">
        <f t="shared" si="1"/>
        <v>#N/A</v>
      </c>
      <c r="J42" s="16"/>
      <c r="K42" s="16"/>
      <c r="L42" s="16"/>
      <c r="M42" s="16"/>
      <c r="N42" s="16">
        <f t="shared" si="2"/>
        <v>0</v>
      </c>
      <c r="O42" s="16" t="e">
        <f t="shared" si="3"/>
        <v>#N/A</v>
      </c>
      <c r="P42" s="16">
        <v>6.9444444444444397E-3</v>
      </c>
      <c r="Q42" s="16"/>
      <c r="R42" s="16">
        <f t="shared" si="4"/>
        <v>-6.9444444444444397E-3</v>
      </c>
      <c r="S42" s="16"/>
      <c r="T42" s="16" t="e">
        <f>VLOOKUP(E42,'[2]21-3-2026'!E$3:T$35,16,FALSE)</f>
        <v>#N/A</v>
      </c>
      <c r="U42" s="16"/>
      <c r="V42" s="16" t="e">
        <f t="shared" si="5"/>
        <v>#N/A</v>
      </c>
      <c r="W42" s="16"/>
      <c r="X42" s="16"/>
      <c r="Y42" s="16"/>
      <c r="Z42" s="16">
        <f t="shared" si="6"/>
        <v>0</v>
      </c>
      <c r="AA42" s="16">
        <f t="shared" si="0"/>
        <v>0</v>
      </c>
      <c r="AB42" s="16"/>
      <c r="AC42" s="17"/>
      <c r="AD42" s="51"/>
    </row>
    <row r="43" spans="1:30" ht="19.5" thickBot="1" x14ac:dyDescent="0.3">
      <c r="A43" s="14">
        <v>8</v>
      </c>
      <c r="B43" s="15"/>
      <c r="C43" s="15" t="e">
        <f>VLOOKUP(B43,داتا!$B$3:$D$107,2,FALSE)</f>
        <v>#N/A</v>
      </c>
      <c r="D43" s="34" t="e">
        <f>VLOOKUP(B43,داتا!$B$3:$D$107,3,FALSE)</f>
        <v>#N/A</v>
      </c>
      <c r="E43" s="15"/>
      <c r="F43" s="15"/>
      <c r="G43" s="16">
        <v>0.25</v>
      </c>
      <c r="H43" s="16" t="e">
        <f t="shared" si="7"/>
        <v>#N/A</v>
      </c>
      <c r="I43" s="16" t="e">
        <f t="shared" si="1"/>
        <v>#N/A</v>
      </c>
      <c r="J43" s="16"/>
      <c r="K43" s="16"/>
      <c r="L43" s="16"/>
      <c r="M43" s="16"/>
      <c r="N43" s="16">
        <f t="shared" si="2"/>
        <v>0</v>
      </c>
      <c r="O43" s="16" t="e">
        <f t="shared" si="3"/>
        <v>#N/A</v>
      </c>
      <c r="P43" s="16">
        <v>6.9444444444444397E-3</v>
      </c>
      <c r="Q43" s="16"/>
      <c r="R43" s="16">
        <f t="shared" si="4"/>
        <v>-6.9444444444444397E-3</v>
      </c>
      <c r="S43" s="16"/>
      <c r="T43" s="16" t="e">
        <f>VLOOKUP(E43,'[2]21-3-2026'!E$3:T$35,16,FALSE)</f>
        <v>#N/A</v>
      </c>
      <c r="U43" s="16"/>
      <c r="V43" s="16" t="e">
        <f t="shared" si="5"/>
        <v>#N/A</v>
      </c>
      <c r="W43" s="16"/>
      <c r="X43" s="16"/>
      <c r="Y43" s="16"/>
      <c r="Z43" s="16">
        <f t="shared" si="6"/>
        <v>0</v>
      </c>
      <c r="AA43" s="16">
        <f t="shared" si="0"/>
        <v>0</v>
      </c>
      <c r="AB43" s="16"/>
      <c r="AC43" s="17"/>
      <c r="AD43" s="51"/>
    </row>
    <row r="44" spans="1:30" ht="19.5" thickBot="1" x14ac:dyDescent="0.3">
      <c r="A44" s="14">
        <v>9</v>
      </c>
      <c r="B44" s="15"/>
      <c r="C44" s="15" t="e">
        <f>VLOOKUP(B44,داتا!$B$3:$D$107,2,FALSE)</f>
        <v>#N/A</v>
      </c>
      <c r="D44" s="34" t="e">
        <f>VLOOKUP(B44,داتا!$B$3:$D$107,3,FALSE)</f>
        <v>#N/A</v>
      </c>
      <c r="E44" s="15"/>
      <c r="F44" s="15"/>
      <c r="G44" s="16">
        <v>0.25</v>
      </c>
      <c r="H44" s="16" t="e">
        <f t="shared" si="7"/>
        <v>#N/A</v>
      </c>
      <c r="I44" s="16" t="e">
        <f t="shared" si="1"/>
        <v>#N/A</v>
      </c>
      <c r="J44" s="16"/>
      <c r="K44" s="16"/>
      <c r="L44" s="16"/>
      <c r="M44" s="16"/>
      <c r="N44" s="16">
        <f t="shared" si="2"/>
        <v>0</v>
      </c>
      <c r="O44" s="16" t="e">
        <f t="shared" si="3"/>
        <v>#N/A</v>
      </c>
      <c r="P44" s="16">
        <v>6.9444444444444397E-3</v>
      </c>
      <c r="Q44" s="16"/>
      <c r="R44" s="16">
        <f t="shared" si="4"/>
        <v>-6.9444444444444397E-3</v>
      </c>
      <c r="S44" s="16"/>
      <c r="T44" s="16" t="e">
        <f>VLOOKUP(E44,'[2]21-3-2026'!E$3:T$35,16,FALSE)</f>
        <v>#N/A</v>
      </c>
      <c r="U44" s="16"/>
      <c r="V44" s="16" t="e">
        <f t="shared" si="5"/>
        <v>#N/A</v>
      </c>
      <c r="W44" s="16"/>
      <c r="X44" s="16"/>
      <c r="Y44" s="16"/>
      <c r="Z44" s="16">
        <f t="shared" si="6"/>
        <v>0</v>
      </c>
      <c r="AA44" s="16">
        <f t="shared" si="0"/>
        <v>0</v>
      </c>
      <c r="AB44" s="16"/>
      <c r="AC44" s="17"/>
      <c r="AD44" s="51"/>
    </row>
    <row r="45" spans="1:30" ht="19.5" thickBot="1" x14ac:dyDescent="0.3">
      <c r="A45" s="14">
        <v>10</v>
      </c>
      <c r="B45" s="15"/>
      <c r="C45" s="15" t="e">
        <f>VLOOKUP(B45,داتا!$B$3:$D$107,2,FALSE)</f>
        <v>#N/A</v>
      </c>
      <c r="D45" s="34" t="e">
        <f>VLOOKUP(B45,داتا!$B$3:$D$107,3,FALSE)</f>
        <v>#N/A</v>
      </c>
      <c r="E45" s="15"/>
      <c r="F45" s="15"/>
      <c r="G45" s="16">
        <v>0.25</v>
      </c>
      <c r="H45" s="16" t="e">
        <f t="shared" si="7"/>
        <v>#N/A</v>
      </c>
      <c r="I45" s="16" t="e">
        <f t="shared" si="1"/>
        <v>#N/A</v>
      </c>
      <c r="J45" s="16"/>
      <c r="K45" s="16"/>
      <c r="L45" s="16"/>
      <c r="M45" s="16"/>
      <c r="N45" s="16">
        <f t="shared" si="2"/>
        <v>0</v>
      </c>
      <c r="O45" s="16" t="e">
        <f t="shared" si="3"/>
        <v>#N/A</v>
      </c>
      <c r="P45" s="16">
        <v>6.9444444444444397E-3</v>
      </c>
      <c r="Q45" s="16"/>
      <c r="R45" s="16">
        <f t="shared" si="4"/>
        <v>-6.9444444444444397E-3</v>
      </c>
      <c r="S45" s="16"/>
      <c r="T45" s="16" t="e">
        <f>VLOOKUP(E45,'[2]21-3-2026'!E$3:T$35,16,FALSE)</f>
        <v>#N/A</v>
      </c>
      <c r="U45" s="16"/>
      <c r="V45" s="16" t="e">
        <f t="shared" si="5"/>
        <v>#N/A</v>
      </c>
      <c r="W45" s="16"/>
      <c r="X45" s="16"/>
      <c r="Y45" s="16"/>
      <c r="Z45" s="16">
        <f t="shared" si="6"/>
        <v>0</v>
      </c>
      <c r="AA45" s="16">
        <f t="shared" si="0"/>
        <v>0</v>
      </c>
      <c r="AB45" s="16"/>
      <c r="AC45" s="17"/>
      <c r="AD45" s="51"/>
    </row>
    <row r="46" spans="1:30" ht="19.5" thickBot="1" x14ac:dyDescent="0.3">
      <c r="A46" s="14">
        <v>11</v>
      </c>
      <c r="B46" s="15"/>
      <c r="C46" s="15" t="e">
        <f>VLOOKUP(B46,داتا!$B$3:$D$107,2,FALSE)</f>
        <v>#N/A</v>
      </c>
      <c r="D46" s="34" t="e">
        <f>VLOOKUP(B46,داتا!$B$3:$D$107,3,FALSE)</f>
        <v>#N/A</v>
      </c>
      <c r="E46" s="15"/>
      <c r="F46" s="15"/>
      <c r="G46" s="16">
        <v>0.25</v>
      </c>
      <c r="H46" s="16" t="e">
        <f t="shared" si="7"/>
        <v>#N/A</v>
      </c>
      <c r="I46" s="16" t="e">
        <f t="shared" si="1"/>
        <v>#N/A</v>
      </c>
      <c r="J46" s="16"/>
      <c r="K46" s="16"/>
      <c r="L46" s="16"/>
      <c r="M46" s="16"/>
      <c r="N46" s="16">
        <f t="shared" si="2"/>
        <v>0</v>
      </c>
      <c r="O46" s="16" t="e">
        <f t="shared" si="3"/>
        <v>#N/A</v>
      </c>
      <c r="P46" s="16">
        <v>6.9444444444444397E-3</v>
      </c>
      <c r="Q46" s="16"/>
      <c r="R46" s="16">
        <f t="shared" si="4"/>
        <v>-6.9444444444444397E-3</v>
      </c>
      <c r="S46" s="16"/>
      <c r="T46" s="16" t="e">
        <f>VLOOKUP(E46,'[2]21-3-2026'!E$3:T$35,16,FALSE)</f>
        <v>#N/A</v>
      </c>
      <c r="U46" s="16"/>
      <c r="V46" s="16" t="e">
        <f t="shared" si="5"/>
        <v>#N/A</v>
      </c>
      <c r="W46" s="16"/>
      <c r="X46" s="16"/>
      <c r="Y46" s="16"/>
      <c r="Z46" s="16">
        <f t="shared" si="6"/>
        <v>0</v>
      </c>
      <c r="AA46" s="16">
        <f t="shared" si="0"/>
        <v>0</v>
      </c>
      <c r="AB46" s="16"/>
      <c r="AC46" s="17"/>
      <c r="AD46" s="51"/>
    </row>
    <row r="47" spans="1:30" ht="19.5" thickBot="1" x14ac:dyDescent="0.3">
      <c r="A47" s="14">
        <v>12</v>
      </c>
      <c r="B47" s="15"/>
      <c r="C47" s="15" t="e">
        <f>VLOOKUP(B47,داتا!$B$3:$D$107,2,FALSE)</f>
        <v>#N/A</v>
      </c>
      <c r="D47" s="34" t="e">
        <f>VLOOKUP(B47,داتا!$B$3:$D$107,3,FALSE)</f>
        <v>#N/A</v>
      </c>
      <c r="E47" s="15"/>
      <c r="F47" s="15"/>
      <c r="G47" s="16">
        <v>0.25</v>
      </c>
      <c r="H47" s="16" t="e">
        <f t="shared" si="7"/>
        <v>#N/A</v>
      </c>
      <c r="I47" s="16" t="e">
        <f t="shared" si="1"/>
        <v>#N/A</v>
      </c>
      <c r="J47" s="16"/>
      <c r="K47" s="16"/>
      <c r="L47" s="16"/>
      <c r="M47" s="16"/>
      <c r="N47" s="16">
        <f t="shared" si="2"/>
        <v>0</v>
      </c>
      <c r="O47" s="16" t="e">
        <f t="shared" si="3"/>
        <v>#N/A</v>
      </c>
      <c r="P47" s="16">
        <v>6.9444444444444397E-3</v>
      </c>
      <c r="Q47" s="16"/>
      <c r="R47" s="16">
        <f t="shared" si="4"/>
        <v>-6.9444444444444397E-3</v>
      </c>
      <c r="S47" s="16"/>
      <c r="T47" s="16" t="e">
        <f>VLOOKUP(E47,'[2]21-3-2026'!E$3:T$35,16,FALSE)</f>
        <v>#N/A</v>
      </c>
      <c r="U47" s="16"/>
      <c r="V47" s="16" t="e">
        <f t="shared" si="5"/>
        <v>#N/A</v>
      </c>
      <c r="W47" s="16"/>
      <c r="X47" s="16"/>
      <c r="Y47" s="16"/>
      <c r="Z47" s="16">
        <f t="shared" si="6"/>
        <v>0</v>
      </c>
      <c r="AA47" s="16">
        <f t="shared" si="0"/>
        <v>0</v>
      </c>
      <c r="AB47" s="16"/>
      <c r="AC47" s="17"/>
      <c r="AD47" s="51"/>
    </row>
    <row r="48" spans="1:30" ht="19.5" thickBot="1" x14ac:dyDescent="0.3">
      <c r="A48" s="14">
        <v>13</v>
      </c>
      <c r="B48" s="15"/>
      <c r="C48" s="15" t="e">
        <f>VLOOKUP(B48,داتا!$B$3:$D$107,2,FALSE)</f>
        <v>#N/A</v>
      </c>
      <c r="D48" s="34" t="e">
        <f>VLOOKUP(B48,داتا!$B$3:$D$107,3,FALSE)</f>
        <v>#N/A</v>
      </c>
      <c r="E48" s="15"/>
      <c r="F48" s="15"/>
      <c r="G48" s="16">
        <v>0.25</v>
      </c>
      <c r="H48" s="16" t="e">
        <f t="shared" si="7"/>
        <v>#N/A</v>
      </c>
      <c r="I48" s="16" t="e">
        <f t="shared" si="1"/>
        <v>#N/A</v>
      </c>
      <c r="J48" s="16"/>
      <c r="K48" s="16"/>
      <c r="L48" s="16"/>
      <c r="M48" s="16"/>
      <c r="N48" s="16">
        <f t="shared" si="2"/>
        <v>0</v>
      </c>
      <c r="O48" s="16" t="e">
        <f t="shared" si="3"/>
        <v>#N/A</v>
      </c>
      <c r="P48" s="16">
        <v>6.9444444444444397E-3</v>
      </c>
      <c r="Q48" s="16"/>
      <c r="R48" s="16">
        <f t="shared" si="4"/>
        <v>-6.9444444444444397E-3</v>
      </c>
      <c r="S48" s="16"/>
      <c r="T48" s="16" t="e">
        <f>VLOOKUP(E48,'[2]21-3-2026'!E$3:T$35,16,FALSE)</f>
        <v>#N/A</v>
      </c>
      <c r="U48" s="16"/>
      <c r="V48" s="16" t="e">
        <f t="shared" si="5"/>
        <v>#N/A</v>
      </c>
      <c r="W48" s="16"/>
      <c r="X48" s="16"/>
      <c r="Y48" s="16"/>
      <c r="Z48" s="16">
        <f t="shared" si="6"/>
        <v>0</v>
      </c>
      <c r="AA48" s="16">
        <f t="shared" si="0"/>
        <v>0</v>
      </c>
      <c r="AB48" s="16"/>
      <c r="AC48" s="17"/>
      <c r="AD48" s="51"/>
    </row>
    <row r="49" spans="1:30" ht="19.5" thickBot="1" x14ac:dyDescent="0.3">
      <c r="A49" s="14">
        <v>14</v>
      </c>
      <c r="B49" s="15"/>
      <c r="C49" s="15" t="e">
        <f>VLOOKUP(B49,داتا!$B$3:$D$107,2,FALSE)</f>
        <v>#N/A</v>
      </c>
      <c r="D49" s="34" t="e">
        <f>VLOOKUP(B49,داتا!$B$3:$D$107,3,FALSE)</f>
        <v>#N/A</v>
      </c>
      <c r="E49" s="15"/>
      <c r="F49" s="15"/>
      <c r="G49" s="16">
        <v>0.25</v>
      </c>
      <c r="H49" s="16" t="e">
        <f t="shared" si="7"/>
        <v>#N/A</v>
      </c>
      <c r="I49" s="16" t="e">
        <f t="shared" si="1"/>
        <v>#N/A</v>
      </c>
      <c r="J49" s="16"/>
      <c r="K49" s="16"/>
      <c r="L49" s="16"/>
      <c r="M49" s="16"/>
      <c r="N49" s="16">
        <f t="shared" si="2"/>
        <v>0</v>
      </c>
      <c r="O49" s="16" t="e">
        <f t="shared" si="3"/>
        <v>#N/A</v>
      </c>
      <c r="P49" s="16">
        <v>6.9444444444444397E-3</v>
      </c>
      <c r="Q49" s="16"/>
      <c r="R49" s="16">
        <f t="shared" si="4"/>
        <v>-6.9444444444444397E-3</v>
      </c>
      <c r="S49" s="16"/>
      <c r="T49" s="16" t="e">
        <f>VLOOKUP(E49,'[2]21-3-2026'!E$3:T$35,16,FALSE)</f>
        <v>#N/A</v>
      </c>
      <c r="U49" s="16"/>
      <c r="V49" s="16" t="e">
        <f t="shared" si="5"/>
        <v>#N/A</v>
      </c>
      <c r="W49" s="16"/>
      <c r="X49" s="16"/>
      <c r="Y49" s="16"/>
      <c r="Z49" s="16">
        <f t="shared" si="6"/>
        <v>0</v>
      </c>
      <c r="AA49" s="16">
        <f t="shared" si="0"/>
        <v>0</v>
      </c>
      <c r="AB49" s="16"/>
      <c r="AC49" s="17"/>
      <c r="AD49" s="51"/>
    </row>
    <row r="50" spans="1:30" ht="19.5" thickBot="1" x14ac:dyDescent="0.3">
      <c r="A50" s="14">
        <v>15</v>
      </c>
      <c r="B50" s="15"/>
      <c r="C50" s="15" t="e">
        <f>VLOOKUP(B50,داتا!$B$3:$D$107,2,FALSE)</f>
        <v>#N/A</v>
      </c>
      <c r="D50" s="34" t="e">
        <f>VLOOKUP(B50,داتا!$B$3:$D$107,3,FALSE)</f>
        <v>#N/A</v>
      </c>
      <c r="E50" s="15"/>
      <c r="F50" s="15"/>
      <c r="G50" s="16">
        <v>0.25</v>
      </c>
      <c r="H50" s="16" t="e">
        <f t="shared" si="7"/>
        <v>#N/A</v>
      </c>
      <c r="I50" s="16" t="e">
        <f t="shared" si="1"/>
        <v>#N/A</v>
      </c>
      <c r="J50" s="16"/>
      <c r="K50" s="16"/>
      <c r="L50" s="16"/>
      <c r="M50" s="16"/>
      <c r="N50" s="16">
        <f t="shared" si="2"/>
        <v>0</v>
      </c>
      <c r="O50" s="16" t="e">
        <f t="shared" si="3"/>
        <v>#N/A</v>
      </c>
      <c r="P50" s="16">
        <v>6.9444444444444397E-3</v>
      </c>
      <c r="Q50" s="16"/>
      <c r="R50" s="16">
        <f t="shared" si="4"/>
        <v>-6.9444444444444397E-3</v>
      </c>
      <c r="S50" s="16"/>
      <c r="T50" s="16" t="e">
        <f>VLOOKUP(E50,'[2]21-3-2026'!E$3:T$35,16,FALSE)</f>
        <v>#N/A</v>
      </c>
      <c r="U50" s="16"/>
      <c r="V50" s="16" t="e">
        <f t="shared" si="5"/>
        <v>#N/A</v>
      </c>
      <c r="W50" s="16"/>
      <c r="X50" s="16"/>
      <c r="Y50" s="16"/>
      <c r="Z50" s="16">
        <f t="shared" si="6"/>
        <v>0</v>
      </c>
      <c r="AA50" s="16">
        <f t="shared" si="0"/>
        <v>0</v>
      </c>
      <c r="AB50" s="16"/>
      <c r="AC50" s="17"/>
      <c r="AD50" s="51"/>
    </row>
    <row r="51" spans="1:30" ht="19.5" thickBot="1" x14ac:dyDescent="0.3">
      <c r="A51" s="14">
        <v>16</v>
      </c>
      <c r="B51" s="15"/>
      <c r="C51" s="15" t="e">
        <f>VLOOKUP(B51,داتا!$B$3:$D$107,2,FALSE)</f>
        <v>#N/A</v>
      </c>
      <c r="D51" s="34" t="e">
        <f>VLOOKUP(B51,داتا!$B$3:$D$107,3,FALSE)</f>
        <v>#N/A</v>
      </c>
      <c r="E51" s="15"/>
      <c r="F51" s="15"/>
      <c r="G51" s="16">
        <v>0.25</v>
      </c>
      <c r="H51" s="16" t="e">
        <f t="shared" si="7"/>
        <v>#N/A</v>
      </c>
      <c r="I51" s="16" t="e">
        <f t="shared" si="1"/>
        <v>#N/A</v>
      </c>
      <c r="J51" s="16"/>
      <c r="K51" s="16"/>
      <c r="L51" s="16"/>
      <c r="M51" s="16"/>
      <c r="N51" s="16">
        <f t="shared" si="2"/>
        <v>0</v>
      </c>
      <c r="O51" s="16" t="e">
        <f t="shared" si="3"/>
        <v>#N/A</v>
      </c>
      <c r="P51" s="16">
        <v>6.9444444444444397E-3</v>
      </c>
      <c r="Q51" s="16"/>
      <c r="R51" s="16">
        <f t="shared" si="4"/>
        <v>-6.9444444444444397E-3</v>
      </c>
      <c r="S51" s="16"/>
      <c r="T51" s="16" t="e">
        <f>VLOOKUP(E51,'[2]21-3-2026'!E$3:T$35,16,FALSE)</f>
        <v>#N/A</v>
      </c>
      <c r="U51" s="16"/>
      <c r="V51" s="16" t="e">
        <f t="shared" si="5"/>
        <v>#N/A</v>
      </c>
      <c r="W51" s="16"/>
      <c r="X51" s="16"/>
      <c r="Y51" s="16"/>
      <c r="Z51" s="16">
        <f t="shared" si="6"/>
        <v>0</v>
      </c>
      <c r="AA51" s="16">
        <f t="shared" si="0"/>
        <v>0</v>
      </c>
      <c r="AB51" s="16"/>
      <c r="AC51" s="17"/>
      <c r="AD51" s="51"/>
    </row>
    <row r="52" spans="1:30" ht="19.5" thickBot="1" x14ac:dyDescent="0.3">
      <c r="A52" s="14">
        <v>17</v>
      </c>
      <c r="B52" s="15"/>
      <c r="C52" s="15" t="e">
        <f>VLOOKUP(B52,داتا!$B$3:$D$107,2,FALSE)</f>
        <v>#N/A</v>
      </c>
      <c r="D52" s="34" t="e">
        <f>VLOOKUP(B52,داتا!$B$3:$D$107,3,FALSE)</f>
        <v>#N/A</v>
      </c>
      <c r="E52" s="15"/>
      <c r="F52" s="15"/>
      <c r="G52" s="16">
        <v>0.25</v>
      </c>
      <c r="H52" s="16" t="e">
        <f t="shared" si="7"/>
        <v>#N/A</v>
      </c>
      <c r="I52" s="16" t="e">
        <f t="shared" si="1"/>
        <v>#N/A</v>
      </c>
      <c r="J52" s="16"/>
      <c r="K52" s="16"/>
      <c r="L52" s="16"/>
      <c r="M52" s="16"/>
      <c r="N52" s="16">
        <f t="shared" si="2"/>
        <v>0</v>
      </c>
      <c r="O52" s="16" t="e">
        <f t="shared" si="3"/>
        <v>#N/A</v>
      </c>
      <c r="P52" s="16">
        <v>6.9444444444444397E-3</v>
      </c>
      <c r="Q52" s="16"/>
      <c r="R52" s="16">
        <f t="shared" si="4"/>
        <v>-6.9444444444444397E-3</v>
      </c>
      <c r="S52" s="16"/>
      <c r="T52" s="16" t="e">
        <f>VLOOKUP(E52,'[2]21-3-2026'!E$3:T$35,16,FALSE)</f>
        <v>#N/A</v>
      </c>
      <c r="U52" s="16"/>
      <c r="V52" s="16" t="e">
        <f t="shared" si="5"/>
        <v>#N/A</v>
      </c>
      <c r="W52" s="16"/>
      <c r="X52" s="16"/>
      <c r="Y52" s="16"/>
      <c r="Z52" s="16">
        <f t="shared" si="6"/>
        <v>0</v>
      </c>
      <c r="AA52" s="16">
        <f t="shared" si="0"/>
        <v>0</v>
      </c>
      <c r="AB52" s="16"/>
      <c r="AC52" s="17"/>
      <c r="AD52" s="51"/>
    </row>
    <row r="53" spans="1:30" ht="19.5" thickBot="1" x14ac:dyDescent="0.3">
      <c r="A53" s="14">
        <v>18</v>
      </c>
      <c r="B53" s="15"/>
      <c r="C53" s="15" t="e">
        <f>VLOOKUP(B53,داتا!$B$3:$D$107,2,FALSE)</f>
        <v>#N/A</v>
      </c>
      <c r="D53" s="34" t="e">
        <f>VLOOKUP(B53,داتا!$B$3:$D$107,3,FALSE)</f>
        <v>#N/A</v>
      </c>
      <c r="E53" s="15"/>
      <c r="F53" s="15"/>
      <c r="G53" s="16">
        <v>0.25</v>
      </c>
      <c r="H53" s="16" t="e">
        <f t="shared" ref="H53:H68" si="8">VLOOKUP(G53,$F$3:$I$35,2,FALSE)</f>
        <v>#N/A</v>
      </c>
      <c r="I53" s="16" t="e">
        <f t="shared" si="1"/>
        <v>#N/A</v>
      </c>
      <c r="J53" s="16"/>
      <c r="K53" s="16"/>
      <c r="L53" s="16"/>
      <c r="M53" s="16"/>
      <c r="N53" s="16">
        <f t="shared" si="2"/>
        <v>0</v>
      </c>
      <c r="O53" s="16" t="e">
        <f t="shared" si="3"/>
        <v>#N/A</v>
      </c>
      <c r="P53" s="16">
        <v>6.9444444444444397E-3</v>
      </c>
      <c r="Q53" s="16"/>
      <c r="R53" s="16">
        <f t="shared" si="4"/>
        <v>-6.9444444444444397E-3</v>
      </c>
      <c r="S53" s="16"/>
      <c r="T53" s="16" t="e">
        <f>VLOOKUP(E53,'[2]21-3-2026'!E$3:T$35,16,FALSE)</f>
        <v>#N/A</v>
      </c>
      <c r="U53" s="16"/>
      <c r="V53" s="16" t="e">
        <f t="shared" si="5"/>
        <v>#N/A</v>
      </c>
      <c r="W53" s="16"/>
      <c r="X53" s="16"/>
      <c r="Y53" s="16"/>
      <c r="Z53" s="16">
        <f t="shared" si="6"/>
        <v>0</v>
      </c>
      <c r="AA53" s="16">
        <f t="shared" si="0"/>
        <v>0</v>
      </c>
      <c r="AB53" s="16"/>
      <c r="AC53" s="17"/>
      <c r="AD53" s="51"/>
    </row>
    <row r="54" spans="1:30" ht="19.5" thickBot="1" x14ac:dyDescent="0.3">
      <c r="A54" s="14">
        <v>19</v>
      </c>
      <c r="B54" s="15"/>
      <c r="C54" s="15" t="e">
        <f>VLOOKUP(B54,داتا!$B$3:$D$107,2,FALSE)</f>
        <v>#N/A</v>
      </c>
      <c r="D54" s="34" t="e">
        <f>VLOOKUP(B54,داتا!$B$3:$D$107,3,FALSE)</f>
        <v>#N/A</v>
      </c>
      <c r="E54" s="15"/>
      <c r="F54" s="15"/>
      <c r="G54" s="16">
        <v>0.25</v>
      </c>
      <c r="H54" s="16" t="e">
        <f t="shared" si="8"/>
        <v>#N/A</v>
      </c>
      <c r="I54" s="16" t="e">
        <f t="shared" si="1"/>
        <v>#N/A</v>
      </c>
      <c r="J54" s="16"/>
      <c r="K54" s="16"/>
      <c r="L54" s="16"/>
      <c r="M54" s="16"/>
      <c r="N54" s="16">
        <f t="shared" si="2"/>
        <v>0</v>
      </c>
      <c r="O54" s="16" t="e">
        <f t="shared" si="3"/>
        <v>#N/A</v>
      </c>
      <c r="P54" s="16">
        <v>6.9444444444444397E-3</v>
      </c>
      <c r="Q54" s="16"/>
      <c r="R54" s="16">
        <f t="shared" si="4"/>
        <v>-6.9444444444444397E-3</v>
      </c>
      <c r="S54" s="16"/>
      <c r="T54" s="16" t="e">
        <f>VLOOKUP(E54,'[2]21-3-2026'!E$3:T$35,16,FALSE)</f>
        <v>#N/A</v>
      </c>
      <c r="U54" s="16"/>
      <c r="V54" s="16" t="e">
        <f t="shared" si="5"/>
        <v>#N/A</v>
      </c>
      <c r="W54" s="16"/>
      <c r="X54" s="16"/>
      <c r="Y54" s="16"/>
      <c r="Z54" s="16">
        <f t="shared" si="6"/>
        <v>0</v>
      </c>
      <c r="AA54" s="16">
        <f t="shared" si="0"/>
        <v>0</v>
      </c>
      <c r="AB54" s="16"/>
      <c r="AC54" s="17"/>
      <c r="AD54" s="51"/>
    </row>
    <row r="55" spans="1:30" ht="19.5" thickBot="1" x14ac:dyDescent="0.3">
      <c r="A55" s="14">
        <v>20</v>
      </c>
      <c r="B55" s="15"/>
      <c r="C55" s="15" t="e">
        <f>VLOOKUP(B55,داتا!$B$3:$D$107,2,FALSE)</f>
        <v>#N/A</v>
      </c>
      <c r="D55" s="34" t="e">
        <f>VLOOKUP(B55,داتا!$B$3:$D$107,3,FALSE)</f>
        <v>#N/A</v>
      </c>
      <c r="E55" s="15"/>
      <c r="F55" s="15"/>
      <c r="G55" s="16">
        <v>0.25</v>
      </c>
      <c r="H55" s="16" t="e">
        <f t="shared" si="8"/>
        <v>#N/A</v>
      </c>
      <c r="I55" s="16" t="e">
        <f t="shared" si="1"/>
        <v>#N/A</v>
      </c>
      <c r="J55" s="16"/>
      <c r="K55" s="16"/>
      <c r="L55" s="16"/>
      <c r="M55" s="16"/>
      <c r="N55" s="16">
        <f t="shared" si="2"/>
        <v>0</v>
      </c>
      <c r="O55" s="16" t="e">
        <f t="shared" si="3"/>
        <v>#N/A</v>
      </c>
      <c r="P55" s="16">
        <v>6.9444444444444397E-3</v>
      </c>
      <c r="Q55" s="16"/>
      <c r="R55" s="16">
        <f t="shared" si="4"/>
        <v>-6.9444444444444397E-3</v>
      </c>
      <c r="S55" s="16"/>
      <c r="T55" s="16" t="e">
        <f>VLOOKUP(E55,'[2]21-3-2026'!E$3:T$35,16,FALSE)</f>
        <v>#N/A</v>
      </c>
      <c r="U55" s="16"/>
      <c r="V55" s="16" t="e">
        <f t="shared" si="5"/>
        <v>#N/A</v>
      </c>
      <c r="W55" s="16"/>
      <c r="X55" s="16"/>
      <c r="Y55" s="16"/>
      <c r="Z55" s="16">
        <f t="shared" si="6"/>
        <v>0</v>
      </c>
      <c r="AA55" s="16">
        <f t="shared" si="0"/>
        <v>0</v>
      </c>
      <c r="AB55" s="16"/>
      <c r="AC55" s="17"/>
      <c r="AD55" s="51"/>
    </row>
    <row r="56" spans="1:30" ht="19.5" thickBot="1" x14ac:dyDescent="0.3">
      <c r="A56" s="14">
        <v>21</v>
      </c>
      <c r="B56" s="15"/>
      <c r="C56" s="15" t="e">
        <f>VLOOKUP(B56,داتا!$B$3:$D$107,2,FALSE)</f>
        <v>#N/A</v>
      </c>
      <c r="D56" s="34" t="e">
        <f>VLOOKUP(B56,داتا!$B$3:$D$107,3,FALSE)</f>
        <v>#N/A</v>
      </c>
      <c r="E56" s="15"/>
      <c r="F56" s="15"/>
      <c r="G56" s="16">
        <v>0.25</v>
      </c>
      <c r="H56" s="16" t="e">
        <f t="shared" si="8"/>
        <v>#N/A</v>
      </c>
      <c r="I56" s="16" t="e">
        <f t="shared" si="1"/>
        <v>#N/A</v>
      </c>
      <c r="J56" s="16"/>
      <c r="K56" s="16"/>
      <c r="L56" s="15"/>
      <c r="M56" s="15"/>
      <c r="N56" s="16">
        <f t="shared" si="2"/>
        <v>0</v>
      </c>
      <c r="O56" s="16" t="e">
        <f t="shared" si="3"/>
        <v>#N/A</v>
      </c>
      <c r="P56" s="16">
        <v>6.9444444444444397E-3</v>
      </c>
      <c r="Q56" s="16"/>
      <c r="R56" s="16">
        <f t="shared" si="4"/>
        <v>-6.9444444444444397E-3</v>
      </c>
      <c r="S56" s="16"/>
      <c r="T56" s="16" t="e">
        <f>VLOOKUP(E56,'[2]21-3-2026'!E$3:T$35,16,FALSE)</f>
        <v>#N/A</v>
      </c>
      <c r="U56" s="16"/>
      <c r="V56" s="16" t="e">
        <f t="shared" si="5"/>
        <v>#N/A</v>
      </c>
      <c r="W56" s="16"/>
      <c r="X56" s="16"/>
      <c r="Y56" s="16"/>
      <c r="Z56" s="16">
        <f t="shared" si="6"/>
        <v>0</v>
      </c>
      <c r="AA56" s="16">
        <f t="shared" si="0"/>
        <v>0</v>
      </c>
      <c r="AB56" s="16"/>
      <c r="AC56" s="17"/>
      <c r="AD56" s="51"/>
    </row>
    <row r="57" spans="1:30" ht="19.5" thickBot="1" x14ac:dyDescent="0.3">
      <c r="A57" s="14">
        <v>22</v>
      </c>
      <c r="B57" s="15"/>
      <c r="C57" s="15" t="e">
        <f>VLOOKUP(B57,داتا!$B$3:$D$107,2,FALSE)</f>
        <v>#N/A</v>
      </c>
      <c r="D57" s="34" t="e">
        <f>VLOOKUP(B57,داتا!$B$3:$D$107,3,FALSE)</f>
        <v>#N/A</v>
      </c>
      <c r="E57" s="15"/>
      <c r="F57" s="15"/>
      <c r="G57" s="16">
        <v>0.25</v>
      </c>
      <c r="H57" s="16" t="e">
        <f t="shared" si="8"/>
        <v>#N/A</v>
      </c>
      <c r="I57" s="16" t="e">
        <f t="shared" si="1"/>
        <v>#N/A</v>
      </c>
      <c r="J57" s="16"/>
      <c r="K57" s="16"/>
      <c r="L57" s="15"/>
      <c r="M57" s="15"/>
      <c r="N57" s="16">
        <f t="shared" si="2"/>
        <v>0</v>
      </c>
      <c r="O57" s="16" t="e">
        <f t="shared" si="3"/>
        <v>#N/A</v>
      </c>
      <c r="P57" s="16">
        <v>6.9444444444444397E-3</v>
      </c>
      <c r="Q57" s="16"/>
      <c r="R57" s="16">
        <f t="shared" si="4"/>
        <v>-6.9444444444444397E-3</v>
      </c>
      <c r="S57" s="16"/>
      <c r="T57" s="16" t="e">
        <f>VLOOKUP(E57,'[2]21-3-2026'!E$3:T$35,16,FALSE)</f>
        <v>#N/A</v>
      </c>
      <c r="U57" s="16"/>
      <c r="V57" s="16" t="e">
        <f t="shared" si="5"/>
        <v>#N/A</v>
      </c>
      <c r="W57" s="16"/>
      <c r="X57" s="16"/>
      <c r="Y57" s="16"/>
      <c r="Z57" s="16">
        <f t="shared" si="6"/>
        <v>0</v>
      </c>
      <c r="AA57" s="16">
        <f t="shared" si="0"/>
        <v>0</v>
      </c>
      <c r="AB57" s="16"/>
      <c r="AC57" s="17"/>
      <c r="AD57" s="51"/>
    </row>
    <row r="58" spans="1:30" ht="19.5" thickBot="1" x14ac:dyDescent="0.3">
      <c r="A58" s="14">
        <v>23</v>
      </c>
      <c r="B58" s="15"/>
      <c r="C58" s="15" t="e">
        <f>VLOOKUP(B58,داتا!$B$3:$D$107,2,FALSE)</f>
        <v>#N/A</v>
      </c>
      <c r="D58" s="34" t="e">
        <f>VLOOKUP(B58,داتا!$B$3:$D$107,3,FALSE)</f>
        <v>#N/A</v>
      </c>
      <c r="E58" s="15"/>
      <c r="F58" s="15"/>
      <c r="G58" s="16">
        <v>0.25</v>
      </c>
      <c r="H58" s="16" t="e">
        <f t="shared" si="8"/>
        <v>#N/A</v>
      </c>
      <c r="I58" s="16" t="e">
        <f t="shared" si="1"/>
        <v>#N/A</v>
      </c>
      <c r="J58" s="16"/>
      <c r="K58" s="16"/>
      <c r="L58" s="16"/>
      <c r="M58" s="16"/>
      <c r="N58" s="16">
        <f t="shared" si="2"/>
        <v>0</v>
      </c>
      <c r="O58" s="16" t="e">
        <f t="shared" si="3"/>
        <v>#N/A</v>
      </c>
      <c r="P58" s="16">
        <v>6.9444444444444397E-3</v>
      </c>
      <c r="Q58" s="16"/>
      <c r="R58" s="16">
        <f t="shared" si="4"/>
        <v>-6.9444444444444397E-3</v>
      </c>
      <c r="S58" s="16"/>
      <c r="T58" s="16" t="e">
        <f>VLOOKUP(E58,'[2]21-3-2026'!E$3:T$35,16,FALSE)</f>
        <v>#N/A</v>
      </c>
      <c r="U58" s="16"/>
      <c r="V58" s="16" t="e">
        <f t="shared" si="5"/>
        <v>#N/A</v>
      </c>
      <c r="W58" s="16"/>
      <c r="X58" s="16"/>
      <c r="Y58" s="16"/>
      <c r="Z58" s="16">
        <f t="shared" si="6"/>
        <v>0</v>
      </c>
      <c r="AA58" s="16">
        <f t="shared" si="0"/>
        <v>0</v>
      </c>
      <c r="AB58" s="16"/>
      <c r="AC58" s="17"/>
      <c r="AD58" s="51"/>
    </row>
    <row r="59" spans="1:30" ht="19.5" thickBot="1" x14ac:dyDescent="0.3">
      <c r="A59" s="14">
        <v>24</v>
      </c>
      <c r="B59" s="15"/>
      <c r="C59" s="15" t="e">
        <f>VLOOKUP(B59,داتا!$B$3:$D$107,2,FALSE)</f>
        <v>#N/A</v>
      </c>
      <c r="D59" s="34" t="e">
        <f>VLOOKUP(B59,داتا!$B$3:$D$107,3,FALSE)</f>
        <v>#N/A</v>
      </c>
      <c r="E59" s="16"/>
      <c r="F59" s="15"/>
      <c r="G59" s="16">
        <v>0.25</v>
      </c>
      <c r="H59" s="16" t="e">
        <f t="shared" si="8"/>
        <v>#N/A</v>
      </c>
      <c r="I59" s="16" t="e">
        <f t="shared" si="1"/>
        <v>#N/A</v>
      </c>
      <c r="J59" s="16"/>
      <c r="K59" s="16"/>
      <c r="L59" s="15"/>
      <c r="M59" s="15"/>
      <c r="N59" s="16">
        <f t="shared" si="2"/>
        <v>0</v>
      </c>
      <c r="O59" s="16" t="e">
        <f t="shared" si="3"/>
        <v>#N/A</v>
      </c>
      <c r="P59" s="16">
        <v>6.9444444444444397E-3</v>
      </c>
      <c r="Q59" s="16"/>
      <c r="R59" s="16">
        <f t="shared" si="4"/>
        <v>-6.9444444444444397E-3</v>
      </c>
      <c r="S59" s="16"/>
      <c r="T59" s="16" t="e">
        <f>VLOOKUP(E59,'[2]21-3-2026'!E$3:T$35,16,FALSE)</f>
        <v>#N/A</v>
      </c>
      <c r="U59" s="16"/>
      <c r="V59" s="16" t="e">
        <f t="shared" si="5"/>
        <v>#N/A</v>
      </c>
      <c r="W59" s="16"/>
      <c r="X59" s="16"/>
      <c r="Y59" s="16"/>
      <c r="Z59" s="16">
        <f t="shared" si="6"/>
        <v>0</v>
      </c>
      <c r="AA59" s="16">
        <f t="shared" si="0"/>
        <v>0</v>
      </c>
      <c r="AB59" s="16"/>
      <c r="AC59" s="17"/>
      <c r="AD59" s="51"/>
    </row>
    <row r="60" spans="1:30" ht="19.5" thickBot="1" x14ac:dyDescent="0.3">
      <c r="A60" s="14">
        <v>25</v>
      </c>
      <c r="B60" s="15"/>
      <c r="C60" s="15" t="e">
        <f>VLOOKUP(B60,داتا!$B$3:$D$107,2,FALSE)</f>
        <v>#N/A</v>
      </c>
      <c r="D60" s="34" t="e">
        <f>VLOOKUP(B60,داتا!$B$3:$D$107,3,FALSE)</f>
        <v>#N/A</v>
      </c>
      <c r="E60" s="15"/>
      <c r="F60" s="15"/>
      <c r="G60" s="16">
        <v>0.25</v>
      </c>
      <c r="H60" s="16" t="e">
        <f t="shared" si="8"/>
        <v>#N/A</v>
      </c>
      <c r="I60" s="16" t="e">
        <f t="shared" si="1"/>
        <v>#N/A</v>
      </c>
      <c r="J60" s="16"/>
      <c r="K60" s="16"/>
      <c r="L60" s="16"/>
      <c r="M60" s="16"/>
      <c r="N60" s="16">
        <f t="shared" si="2"/>
        <v>0</v>
      </c>
      <c r="O60" s="16" t="e">
        <f t="shared" si="3"/>
        <v>#N/A</v>
      </c>
      <c r="P60" s="16">
        <v>6.9444444444444397E-3</v>
      </c>
      <c r="Q60" s="16"/>
      <c r="R60" s="16">
        <f t="shared" si="4"/>
        <v>-6.9444444444444397E-3</v>
      </c>
      <c r="S60" s="16"/>
      <c r="T60" s="16" t="e">
        <f>VLOOKUP(E60,'[2]21-3-2026'!E$3:T$35,16,FALSE)</f>
        <v>#N/A</v>
      </c>
      <c r="U60" s="16"/>
      <c r="V60" s="16" t="e">
        <f t="shared" si="5"/>
        <v>#N/A</v>
      </c>
      <c r="W60" s="16"/>
      <c r="X60" s="16"/>
      <c r="Y60" s="16"/>
      <c r="Z60" s="16">
        <f t="shared" si="6"/>
        <v>0</v>
      </c>
      <c r="AA60" s="16">
        <f t="shared" si="0"/>
        <v>0</v>
      </c>
      <c r="AB60" s="16"/>
      <c r="AC60" s="17"/>
      <c r="AD60" s="51"/>
    </row>
    <row r="61" spans="1:30" ht="19.5" thickBot="1" x14ac:dyDescent="0.3">
      <c r="A61" s="14">
        <v>26</v>
      </c>
      <c r="B61" s="15"/>
      <c r="C61" s="15" t="e">
        <f>VLOOKUP(B61,داتا!$B$3:$D$107,2,FALSE)</f>
        <v>#N/A</v>
      </c>
      <c r="D61" s="34" t="e">
        <f>VLOOKUP(B61,داتا!$B$3:$D$107,3,FALSE)</f>
        <v>#N/A</v>
      </c>
      <c r="E61" s="15"/>
      <c r="F61" s="15"/>
      <c r="G61" s="16">
        <v>0.25</v>
      </c>
      <c r="H61" s="16" t="e">
        <f t="shared" si="8"/>
        <v>#N/A</v>
      </c>
      <c r="I61" s="16" t="e">
        <f t="shared" si="1"/>
        <v>#N/A</v>
      </c>
      <c r="J61" s="16"/>
      <c r="K61" s="16"/>
      <c r="L61" s="16"/>
      <c r="M61" s="16"/>
      <c r="N61" s="16">
        <f t="shared" si="2"/>
        <v>0</v>
      </c>
      <c r="O61" s="16" t="e">
        <f t="shared" si="3"/>
        <v>#N/A</v>
      </c>
      <c r="P61" s="16">
        <v>6.9444444444444397E-3</v>
      </c>
      <c r="Q61" s="16"/>
      <c r="R61" s="16">
        <f t="shared" si="4"/>
        <v>-6.9444444444444397E-3</v>
      </c>
      <c r="S61" s="16"/>
      <c r="T61" s="16" t="e">
        <f>VLOOKUP(E61,'[2]21-3-2026'!E$3:T$35,16,FALSE)</f>
        <v>#N/A</v>
      </c>
      <c r="U61" s="16"/>
      <c r="V61" s="16" t="e">
        <f t="shared" si="5"/>
        <v>#N/A</v>
      </c>
      <c r="W61" s="16"/>
      <c r="X61" s="16"/>
      <c r="Y61" s="16"/>
      <c r="Z61" s="16">
        <f t="shared" si="6"/>
        <v>0</v>
      </c>
      <c r="AA61" s="16">
        <f t="shared" si="0"/>
        <v>0</v>
      </c>
      <c r="AB61" s="16"/>
      <c r="AC61" s="17"/>
      <c r="AD61" s="51"/>
    </row>
    <row r="62" spans="1:30" ht="19.5" thickBot="1" x14ac:dyDescent="0.3">
      <c r="A62" s="14">
        <v>27</v>
      </c>
      <c r="B62" s="15"/>
      <c r="C62" s="15" t="e">
        <f>VLOOKUP(B62,داتا!$B$3:$D$107,2,FALSE)</f>
        <v>#N/A</v>
      </c>
      <c r="D62" s="34" t="e">
        <f>VLOOKUP(B62,داتا!$B$3:$D$107,3,FALSE)</f>
        <v>#N/A</v>
      </c>
      <c r="E62" s="15"/>
      <c r="F62" s="15"/>
      <c r="G62" s="16">
        <v>0.25</v>
      </c>
      <c r="H62" s="16" t="e">
        <f t="shared" si="8"/>
        <v>#N/A</v>
      </c>
      <c r="I62" s="16" t="e">
        <f t="shared" si="1"/>
        <v>#N/A</v>
      </c>
      <c r="J62" s="16"/>
      <c r="K62" s="16"/>
      <c r="L62" s="16"/>
      <c r="M62" s="16"/>
      <c r="N62" s="16">
        <f t="shared" si="2"/>
        <v>0</v>
      </c>
      <c r="O62" s="16" t="e">
        <f t="shared" si="3"/>
        <v>#N/A</v>
      </c>
      <c r="P62" s="16">
        <v>6.9444444444444397E-3</v>
      </c>
      <c r="Q62" s="16"/>
      <c r="R62" s="16">
        <f t="shared" si="4"/>
        <v>-6.9444444444444397E-3</v>
      </c>
      <c r="S62" s="16"/>
      <c r="T62" s="16" t="e">
        <f>VLOOKUP(E62,'[2]21-3-2026'!E$3:T$35,16,FALSE)</f>
        <v>#N/A</v>
      </c>
      <c r="U62" s="16"/>
      <c r="V62" s="16" t="e">
        <f t="shared" si="5"/>
        <v>#N/A</v>
      </c>
      <c r="W62" s="16"/>
      <c r="X62" s="16"/>
      <c r="Y62" s="16"/>
      <c r="Z62" s="16">
        <f t="shared" si="6"/>
        <v>0</v>
      </c>
      <c r="AA62" s="16">
        <f t="shared" si="0"/>
        <v>0</v>
      </c>
      <c r="AB62" s="16"/>
      <c r="AC62" s="17"/>
      <c r="AD62" s="51"/>
    </row>
    <row r="63" spans="1:30" ht="19.5" thickBot="1" x14ac:dyDescent="0.3">
      <c r="A63" s="14">
        <v>28</v>
      </c>
      <c r="B63" s="15"/>
      <c r="C63" s="15" t="e">
        <f>VLOOKUP(B63,داتا!$B$3:$D$107,2,FALSE)</f>
        <v>#N/A</v>
      </c>
      <c r="D63" s="34" t="e">
        <f>VLOOKUP(B63,داتا!$B$3:$D$107,3,FALSE)</f>
        <v>#N/A</v>
      </c>
      <c r="E63" s="15"/>
      <c r="F63" s="15"/>
      <c r="G63" s="16">
        <v>0.25</v>
      </c>
      <c r="H63" s="16" t="e">
        <f t="shared" si="8"/>
        <v>#N/A</v>
      </c>
      <c r="I63" s="16" t="e">
        <f t="shared" si="1"/>
        <v>#N/A</v>
      </c>
      <c r="J63" s="16"/>
      <c r="K63" s="16"/>
      <c r="L63" s="16"/>
      <c r="M63" s="16"/>
      <c r="N63" s="16">
        <f t="shared" si="2"/>
        <v>0</v>
      </c>
      <c r="O63" s="16" t="e">
        <f t="shared" si="3"/>
        <v>#N/A</v>
      </c>
      <c r="P63" s="16">
        <v>6.9444444444444397E-3</v>
      </c>
      <c r="Q63" s="16"/>
      <c r="R63" s="16">
        <f t="shared" si="4"/>
        <v>-6.9444444444444397E-3</v>
      </c>
      <c r="S63" s="16"/>
      <c r="T63" s="16" t="e">
        <f>VLOOKUP(E63,'[2]21-3-2026'!E$3:T$35,16,FALSE)</f>
        <v>#N/A</v>
      </c>
      <c r="U63" s="16"/>
      <c r="V63" s="16" t="e">
        <f t="shared" si="5"/>
        <v>#N/A</v>
      </c>
      <c r="W63" s="16"/>
      <c r="X63" s="16"/>
      <c r="Y63" s="16"/>
      <c r="Z63" s="16">
        <f t="shared" si="6"/>
        <v>0</v>
      </c>
      <c r="AA63" s="16">
        <f t="shared" si="0"/>
        <v>0</v>
      </c>
      <c r="AB63" s="16"/>
      <c r="AC63" s="17"/>
      <c r="AD63" s="51"/>
    </row>
    <row r="64" spans="1:30" ht="19.5" thickBot="1" x14ac:dyDescent="0.3">
      <c r="A64" s="14">
        <v>29</v>
      </c>
      <c r="B64" s="15"/>
      <c r="C64" s="15" t="e">
        <f>VLOOKUP(B64,داتا!$B$3:$D$107,2,FALSE)</f>
        <v>#N/A</v>
      </c>
      <c r="D64" s="34" t="e">
        <f>VLOOKUP(B64,داتا!$B$3:$D$107,3,FALSE)</f>
        <v>#N/A</v>
      </c>
      <c r="E64" s="15"/>
      <c r="F64" s="15"/>
      <c r="G64" s="16">
        <v>0.25</v>
      </c>
      <c r="H64" s="16" t="e">
        <f t="shared" si="8"/>
        <v>#N/A</v>
      </c>
      <c r="I64" s="16" t="e">
        <f t="shared" si="1"/>
        <v>#N/A</v>
      </c>
      <c r="J64" s="16"/>
      <c r="K64" s="16"/>
      <c r="L64" s="16"/>
      <c r="M64" s="16"/>
      <c r="N64" s="16">
        <f t="shared" si="2"/>
        <v>0</v>
      </c>
      <c r="O64" s="16" t="e">
        <f t="shared" si="3"/>
        <v>#N/A</v>
      </c>
      <c r="P64" s="16">
        <v>6.9444444444444397E-3</v>
      </c>
      <c r="Q64" s="16"/>
      <c r="R64" s="16">
        <f t="shared" si="4"/>
        <v>-6.9444444444444397E-3</v>
      </c>
      <c r="S64" s="16"/>
      <c r="T64" s="16" t="e">
        <f>VLOOKUP(E64,'[2]21-3-2026'!E$3:T$35,16,FALSE)</f>
        <v>#N/A</v>
      </c>
      <c r="U64" s="16"/>
      <c r="V64" s="16" t="e">
        <f t="shared" si="5"/>
        <v>#N/A</v>
      </c>
      <c r="W64" s="16"/>
      <c r="X64" s="16"/>
      <c r="Y64" s="16"/>
      <c r="Z64" s="16">
        <f t="shared" si="6"/>
        <v>0</v>
      </c>
      <c r="AA64" s="16">
        <f t="shared" si="0"/>
        <v>0</v>
      </c>
      <c r="AB64" s="16"/>
      <c r="AC64" s="17"/>
      <c r="AD64" s="51"/>
    </row>
    <row r="65" spans="1:30" ht="19.5" thickBot="1" x14ac:dyDescent="0.3">
      <c r="A65" s="14">
        <v>30</v>
      </c>
      <c r="B65" s="15"/>
      <c r="C65" s="15" t="e">
        <f>VLOOKUP(B65,داتا!$B$3:$D$107,2,FALSE)</f>
        <v>#N/A</v>
      </c>
      <c r="D65" s="34" t="e">
        <f>VLOOKUP(B65,داتا!$B$3:$D$107,3,FALSE)</f>
        <v>#N/A</v>
      </c>
      <c r="E65" s="15"/>
      <c r="F65" s="15"/>
      <c r="G65" s="16">
        <v>0.25</v>
      </c>
      <c r="H65" s="16" t="e">
        <f t="shared" si="8"/>
        <v>#N/A</v>
      </c>
      <c r="I65" s="16" t="e">
        <f t="shared" si="1"/>
        <v>#N/A</v>
      </c>
      <c r="J65" s="16"/>
      <c r="K65" s="16"/>
      <c r="L65" s="16"/>
      <c r="M65" s="16"/>
      <c r="N65" s="16">
        <f t="shared" si="2"/>
        <v>0</v>
      </c>
      <c r="O65" s="16" t="e">
        <f t="shared" si="3"/>
        <v>#N/A</v>
      </c>
      <c r="P65" s="16">
        <v>6.9444444444444397E-3</v>
      </c>
      <c r="Q65" s="16"/>
      <c r="R65" s="16">
        <f t="shared" si="4"/>
        <v>-6.9444444444444397E-3</v>
      </c>
      <c r="S65" s="16"/>
      <c r="T65" s="16" t="e">
        <f>VLOOKUP(E65,'[2]21-3-2026'!E$3:T$35,16,FALSE)</f>
        <v>#N/A</v>
      </c>
      <c r="U65" s="16"/>
      <c r="V65" s="16" t="e">
        <f t="shared" si="5"/>
        <v>#N/A</v>
      </c>
      <c r="W65" s="16"/>
      <c r="X65" s="16"/>
      <c r="Y65" s="16"/>
      <c r="Z65" s="16">
        <f t="shared" si="6"/>
        <v>0</v>
      </c>
      <c r="AA65" s="16">
        <f t="shared" si="0"/>
        <v>0</v>
      </c>
      <c r="AB65" s="16"/>
      <c r="AC65" s="17"/>
      <c r="AD65" s="51"/>
    </row>
    <row r="66" spans="1:30" ht="20.25" customHeight="1" thickBot="1" x14ac:dyDescent="0.3">
      <c r="A66" s="14">
        <v>31</v>
      </c>
      <c r="B66" s="15"/>
      <c r="C66" s="15" t="e">
        <f>VLOOKUP(B66,داتا!$B$3:$D$107,2,FALSE)</f>
        <v>#N/A</v>
      </c>
      <c r="D66" s="34" t="e">
        <f>VLOOKUP(B66,داتا!$B$3:$D$107,3,FALSE)</f>
        <v>#N/A</v>
      </c>
      <c r="E66" s="15"/>
      <c r="F66" s="15"/>
      <c r="G66" s="16">
        <v>0.25</v>
      </c>
      <c r="H66" s="16" t="e">
        <f t="shared" si="8"/>
        <v>#N/A</v>
      </c>
      <c r="I66" s="16" t="e">
        <f t="shared" si="1"/>
        <v>#N/A</v>
      </c>
      <c r="J66" s="16"/>
      <c r="K66" s="16"/>
      <c r="L66" s="16"/>
      <c r="M66" s="16"/>
      <c r="N66" s="16">
        <f t="shared" si="2"/>
        <v>0</v>
      </c>
      <c r="O66" s="16" t="e">
        <f t="shared" si="3"/>
        <v>#N/A</v>
      </c>
      <c r="P66" s="16">
        <v>6.9444444444444397E-3</v>
      </c>
      <c r="Q66" s="16"/>
      <c r="R66" s="16">
        <f t="shared" si="4"/>
        <v>-6.9444444444444397E-3</v>
      </c>
      <c r="S66" s="16"/>
      <c r="T66" s="16" t="e">
        <f>VLOOKUP(E66,'[2]21-3-2026'!E$3:T$35,16,FALSE)</f>
        <v>#N/A</v>
      </c>
      <c r="U66" s="16"/>
      <c r="V66" s="16" t="e">
        <f t="shared" si="5"/>
        <v>#N/A</v>
      </c>
      <c r="W66" s="16"/>
      <c r="X66" s="16"/>
      <c r="Y66" s="16"/>
      <c r="Z66" s="16">
        <f t="shared" si="6"/>
        <v>0</v>
      </c>
      <c r="AA66" s="16">
        <f t="shared" si="0"/>
        <v>0</v>
      </c>
      <c r="AB66" s="16"/>
      <c r="AC66" s="19"/>
      <c r="AD66" s="51"/>
    </row>
    <row r="67" spans="1:30" ht="19.5" customHeight="1" thickBot="1" x14ac:dyDescent="0.3">
      <c r="A67" s="20">
        <v>32</v>
      </c>
      <c r="B67" s="21"/>
      <c r="C67" s="21" t="e">
        <f>VLOOKUP(B67,داتا!$B$3:$D$107,2,FALSE)</f>
        <v>#N/A</v>
      </c>
      <c r="D67" s="35" t="e">
        <f>VLOOKUP(B67,داتا!$B$3:$D$107,3,FALSE)</f>
        <v>#N/A</v>
      </c>
      <c r="E67" s="21"/>
      <c r="F67" s="21"/>
      <c r="G67" s="22">
        <v>0.25</v>
      </c>
      <c r="H67" s="22" t="e">
        <f t="shared" si="8"/>
        <v>#N/A</v>
      </c>
      <c r="I67" s="22" t="e">
        <f t="shared" si="1"/>
        <v>#N/A</v>
      </c>
      <c r="J67" s="22"/>
      <c r="K67" s="22"/>
      <c r="L67" s="22"/>
      <c r="M67" s="22"/>
      <c r="N67" s="22">
        <f t="shared" si="2"/>
        <v>0</v>
      </c>
      <c r="O67" s="22" t="e">
        <f t="shared" si="3"/>
        <v>#N/A</v>
      </c>
      <c r="P67" s="22">
        <v>6.9444444444444397E-3</v>
      </c>
      <c r="Q67" s="22"/>
      <c r="R67" s="22">
        <f t="shared" si="4"/>
        <v>-6.9444444444444397E-3</v>
      </c>
      <c r="S67" s="22"/>
      <c r="T67" s="22" t="e">
        <f>VLOOKUP(E67,'[2]21-3-2026'!E$3:T$35,16,FALSE)</f>
        <v>#N/A</v>
      </c>
      <c r="U67" s="22"/>
      <c r="V67" s="22" t="e">
        <f t="shared" si="5"/>
        <v>#N/A</v>
      </c>
      <c r="W67" s="22"/>
      <c r="X67" s="22"/>
      <c r="Y67" s="22"/>
      <c r="Z67" s="22">
        <f t="shared" si="6"/>
        <v>0</v>
      </c>
      <c r="AA67" s="22">
        <f t="shared" ref="AA67:AA99" si="9">Z67-W67</f>
        <v>0</v>
      </c>
      <c r="AB67" s="22"/>
      <c r="AC67" s="23"/>
      <c r="AD67" s="52"/>
    </row>
    <row r="68" spans="1:30" ht="20.25" thickTop="1" thickBot="1" x14ac:dyDescent="0.3">
      <c r="A68" s="10">
        <v>1</v>
      </c>
      <c r="B68" s="11"/>
      <c r="C68" s="11" t="e">
        <f>VLOOKUP(B68,داتا!$B$3:$D$107,2,FALSE)</f>
        <v>#N/A</v>
      </c>
      <c r="D68" s="33" t="e">
        <f>VLOOKUP(B68,داتا!$B$3:$D$107,3,FALSE)</f>
        <v>#N/A</v>
      </c>
      <c r="E68" s="11"/>
      <c r="F68" s="11"/>
      <c r="G68" s="12">
        <v>8.3333333333333329E-2</v>
      </c>
      <c r="H68" s="12" t="e">
        <f t="shared" si="8"/>
        <v>#N/A</v>
      </c>
      <c r="I68" s="12" t="e">
        <f t="shared" ref="I68:I99" si="10">H68-G68</f>
        <v>#N/A</v>
      </c>
      <c r="J68" s="12"/>
      <c r="K68" s="12"/>
      <c r="L68" s="12"/>
      <c r="M68" s="12"/>
      <c r="N68" s="12">
        <f t="shared" ref="N68:N99" si="11">K68-J68</f>
        <v>0</v>
      </c>
      <c r="O68" s="12" t="e">
        <f t="shared" ref="O68:O99" si="12">N68-D68</f>
        <v>#N/A</v>
      </c>
      <c r="P68" s="12">
        <v>6.9444444444444397E-3</v>
      </c>
      <c r="Q68" s="12"/>
      <c r="R68" s="12">
        <f t="shared" ref="R68:R99" si="13">Q68-P68-K68</f>
        <v>-6.9444444444444397E-3</v>
      </c>
      <c r="S68" s="12"/>
      <c r="T68" s="12" t="e">
        <f>VLOOKUP(E68,'[2]21-3-2026'!E$3:T$35,16,FALSE)</f>
        <v>#N/A</v>
      </c>
      <c r="U68" s="12"/>
      <c r="V68" s="12" t="e">
        <f t="shared" ref="V68:V99" si="14">U68-T68-S68</f>
        <v>#N/A</v>
      </c>
      <c r="W68" s="12"/>
      <c r="X68" s="12"/>
      <c r="Y68" s="12"/>
      <c r="Z68" s="12">
        <f t="shared" ref="Z68:Z99" si="15">Y68-X68</f>
        <v>0</v>
      </c>
      <c r="AA68" s="12">
        <f t="shared" si="9"/>
        <v>0</v>
      </c>
      <c r="AB68" s="12"/>
      <c r="AC68" s="13"/>
      <c r="AD68" s="53" t="s">
        <v>116</v>
      </c>
    </row>
    <row r="69" spans="1:30" ht="19.5" thickBot="1" x14ac:dyDescent="0.3">
      <c r="A69" s="14">
        <v>2</v>
      </c>
      <c r="B69" s="15"/>
      <c r="C69" s="15" t="e">
        <f>VLOOKUP(B69,داتا!$B$3:$D$107,2,FALSE)</f>
        <v>#N/A</v>
      </c>
      <c r="D69" s="34" t="e">
        <f>VLOOKUP(B69,داتا!$B$3:$D$107,3,FALSE)</f>
        <v>#N/A</v>
      </c>
      <c r="E69" s="15"/>
      <c r="F69" s="15"/>
      <c r="G69" s="16">
        <v>8.3333333333333329E-2</v>
      </c>
      <c r="H69" s="16" t="e">
        <f t="shared" ref="H69:H84" si="16">VLOOKUP(G69,$F$3:$I$35,2,FALSE)</f>
        <v>#N/A</v>
      </c>
      <c r="I69" s="16" t="e">
        <f t="shared" si="10"/>
        <v>#N/A</v>
      </c>
      <c r="J69" s="16"/>
      <c r="K69" s="16"/>
      <c r="L69" s="16"/>
      <c r="M69" s="16"/>
      <c r="N69" s="16">
        <f t="shared" si="11"/>
        <v>0</v>
      </c>
      <c r="O69" s="16" t="e">
        <f t="shared" si="12"/>
        <v>#N/A</v>
      </c>
      <c r="P69" s="16">
        <v>6.9444444444444397E-3</v>
      </c>
      <c r="Q69" s="16"/>
      <c r="R69" s="16">
        <f t="shared" si="13"/>
        <v>-6.9444444444444397E-3</v>
      </c>
      <c r="S69" s="16"/>
      <c r="T69" s="16" t="e">
        <f>VLOOKUP(E69,'[2]21-3-2026'!E$3:T$35,16,FALSE)</f>
        <v>#N/A</v>
      </c>
      <c r="U69" s="16"/>
      <c r="V69" s="16" t="e">
        <f t="shared" si="14"/>
        <v>#N/A</v>
      </c>
      <c r="W69" s="16"/>
      <c r="X69" s="16"/>
      <c r="Y69" s="16"/>
      <c r="Z69" s="16">
        <f t="shared" si="15"/>
        <v>0</v>
      </c>
      <c r="AA69" s="16">
        <f t="shared" si="9"/>
        <v>0</v>
      </c>
      <c r="AB69" s="16"/>
      <c r="AC69" s="17"/>
      <c r="AD69" s="51"/>
    </row>
    <row r="70" spans="1:30" ht="19.5" thickBot="1" x14ac:dyDescent="0.3">
      <c r="A70" s="14">
        <v>3</v>
      </c>
      <c r="B70" s="15"/>
      <c r="C70" s="15" t="e">
        <f>VLOOKUP(B70,داتا!$B$3:$D$107,2,FALSE)</f>
        <v>#N/A</v>
      </c>
      <c r="D70" s="34" t="e">
        <f>VLOOKUP(B70,داتا!$B$3:$D$107,3,FALSE)</f>
        <v>#N/A</v>
      </c>
      <c r="E70" s="15"/>
      <c r="F70" s="15"/>
      <c r="G70" s="16">
        <v>8.3333333333333329E-2</v>
      </c>
      <c r="H70" s="16" t="e">
        <f t="shared" si="16"/>
        <v>#N/A</v>
      </c>
      <c r="I70" s="16" t="e">
        <f t="shared" si="10"/>
        <v>#N/A</v>
      </c>
      <c r="J70" s="16"/>
      <c r="K70" s="16"/>
      <c r="L70" s="16"/>
      <c r="M70" s="16"/>
      <c r="N70" s="16">
        <f t="shared" si="11"/>
        <v>0</v>
      </c>
      <c r="O70" s="16" t="e">
        <f t="shared" si="12"/>
        <v>#N/A</v>
      </c>
      <c r="P70" s="16">
        <v>6.9444444444444397E-3</v>
      </c>
      <c r="Q70" s="16"/>
      <c r="R70" s="16">
        <f t="shared" si="13"/>
        <v>-6.9444444444444397E-3</v>
      </c>
      <c r="S70" s="16"/>
      <c r="T70" s="16" t="e">
        <f>VLOOKUP(E70,'[2]21-3-2026'!E$3:T$35,16,FALSE)</f>
        <v>#N/A</v>
      </c>
      <c r="U70" s="16"/>
      <c r="V70" s="16" t="e">
        <f t="shared" si="14"/>
        <v>#N/A</v>
      </c>
      <c r="W70" s="16"/>
      <c r="X70" s="16"/>
      <c r="Y70" s="16"/>
      <c r="Z70" s="16">
        <f t="shared" si="15"/>
        <v>0</v>
      </c>
      <c r="AA70" s="16">
        <f t="shared" si="9"/>
        <v>0</v>
      </c>
      <c r="AB70" s="16"/>
      <c r="AC70" s="17"/>
      <c r="AD70" s="51"/>
    </row>
    <row r="71" spans="1:30" ht="19.5" thickBot="1" x14ac:dyDescent="0.3">
      <c r="A71" s="14">
        <v>4</v>
      </c>
      <c r="B71" s="15"/>
      <c r="C71" s="15" t="e">
        <f>VLOOKUP(B71,داتا!$B$3:$D$107,2,FALSE)</f>
        <v>#N/A</v>
      </c>
      <c r="D71" s="34" t="e">
        <f>VLOOKUP(B71,داتا!$B$3:$D$107,3,FALSE)</f>
        <v>#N/A</v>
      </c>
      <c r="E71" s="15"/>
      <c r="F71" s="15"/>
      <c r="G71" s="16">
        <v>8.3333333333333329E-2</v>
      </c>
      <c r="H71" s="16" t="e">
        <f t="shared" si="16"/>
        <v>#N/A</v>
      </c>
      <c r="I71" s="16" t="e">
        <f t="shared" si="10"/>
        <v>#N/A</v>
      </c>
      <c r="J71" s="16"/>
      <c r="K71" s="16"/>
      <c r="L71" s="16"/>
      <c r="M71" s="16"/>
      <c r="N71" s="16">
        <f t="shared" si="11"/>
        <v>0</v>
      </c>
      <c r="O71" s="16" t="e">
        <f t="shared" si="12"/>
        <v>#N/A</v>
      </c>
      <c r="P71" s="16">
        <v>6.9444444444444397E-3</v>
      </c>
      <c r="Q71" s="16"/>
      <c r="R71" s="16">
        <f t="shared" si="13"/>
        <v>-6.9444444444444397E-3</v>
      </c>
      <c r="S71" s="16"/>
      <c r="T71" s="16" t="e">
        <f>VLOOKUP(E71,'[2]21-3-2026'!E$3:T$35,16,FALSE)</f>
        <v>#N/A</v>
      </c>
      <c r="U71" s="16"/>
      <c r="V71" s="16" t="e">
        <f t="shared" si="14"/>
        <v>#N/A</v>
      </c>
      <c r="W71" s="16"/>
      <c r="X71" s="16"/>
      <c r="Y71" s="16"/>
      <c r="Z71" s="16">
        <f t="shared" si="15"/>
        <v>0</v>
      </c>
      <c r="AA71" s="16">
        <f t="shared" si="9"/>
        <v>0</v>
      </c>
      <c r="AB71" s="16"/>
      <c r="AC71" s="17"/>
      <c r="AD71" s="51"/>
    </row>
    <row r="72" spans="1:30" ht="19.5" thickBot="1" x14ac:dyDescent="0.3">
      <c r="A72" s="14">
        <v>5</v>
      </c>
      <c r="B72" s="15"/>
      <c r="C72" s="15" t="e">
        <f>VLOOKUP(B72,داتا!$B$3:$D$107,2,FALSE)</f>
        <v>#N/A</v>
      </c>
      <c r="D72" s="34" t="e">
        <f>VLOOKUP(B72,داتا!$B$3:$D$107,3,FALSE)</f>
        <v>#N/A</v>
      </c>
      <c r="E72" s="15"/>
      <c r="F72" s="15"/>
      <c r="G72" s="16">
        <v>8.3333333333333329E-2</v>
      </c>
      <c r="H72" s="16" t="e">
        <f t="shared" si="16"/>
        <v>#N/A</v>
      </c>
      <c r="I72" s="16" t="e">
        <f t="shared" si="10"/>
        <v>#N/A</v>
      </c>
      <c r="J72" s="16"/>
      <c r="K72" s="16"/>
      <c r="L72" s="16"/>
      <c r="M72" s="16"/>
      <c r="N72" s="16">
        <f t="shared" si="11"/>
        <v>0</v>
      </c>
      <c r="O72" s="16" t="e">
        <f t="shared" si="12"/>
        <v>#N/A</v>
      </c>
      <c r="P72" s="16">
        <v>6.9444444444444397E-3</v>
      </c>
      <c r="Q72" s="16"/>
      <c r="R72" s="16">
        <f t="shared" si="13"/>
        <v>-6.9444444444444397E-3</v>
      </c>
      <c r="S72" s="16"/>
      <c r="T72" s="16" t="e">
        <f>VLOOKUP(E72,'[2]21-3-2026'!E$3:T$35,16,FALSE)</f>
        <v>#N/A</v>
      </c>
      <c r="U72" s="16"/>
      <c r="V72" s="16" t="e">
        <f t="shared" si="14"/>
        <v>#N/A</v>
      </c>
      <c r="W72" s="16"/>
      <c r="X72" s="16"/>
      <c r="Y72" s="16"/>
      <c r="Z72" s="16">
        <f t="shared" si="15"/>
        <v>0</v>
      </c>
      <c r="AA72" s="16">
        <f t="shared" si="9"/>
        <v>0</v>
      </c>
      <c r="AB72" s="16"/>
      <c r="AC72" s="17"/>
      <c r="AD72" s="51"/>
    </row>
    <row r="73" spans="1:30" ht="19.5" thickBot="1" x14ac:dyDescent="0.3">
      <c r="A73" s="14">
        <v>6</v>
      </c>
      <c r="B73" s="15"/>
      <c r="C73" s="15" t="e">
        <f>VLOOKUP(B73,داتا!$B$3:$D$107,2,FALSE)</f>
        <v>#N/A</v>
      </c>
      <c r="D73" s="34" t="e">
        <f>VLOOKUP(B73,داتا!$B$3:$D$107,3,FALSE)</f>
        <v>#N/A</v>
      </c>
      <c r="E73" s="15"/>
      <c r="F73" s="15"/>
      <c r="G73" s="16">
        <v>8.3333333333333329E-2</v>
      </c>
      <c r="H73" s="16" t="e">
        <f t="shared" si="16"/>
        <v>#N/A</v>
      </c>
      <c r="I73" s="16" t="e">
        <f t="shared" si="10"/>
        <v>#N/A</v>
      </c>
      <c r="J73" s="16"/>
      <c r="K73" s="16"/>
      <c r="L73" s="16"/>
      <c r="M73" s="16"/>
      <c r="N73" s="16">
        <f t="shared" si="11"/>
        <v>0</v>
      </c>
      <c r="O73" s="16" t="e">
        <f t="shared" si="12"/>
        <v>#N/A</v>
      </c>
      <c r="P73" s="16">
        <v>6.9444444444444397E-3</v>
      </c>
      <c r="Q73" s="16"/>
      <c r="R73" s="16">
        <f t="shared" si="13"/>
        <v>-6.9444444444444397E-3</v>
      </c>
      <c r="S73" s="16"/>
      <c r="T73" s="16" t="e">
        <f>VLOOKUP(E73,'[2]21-3-2026'!E$3:T$35,16,FALSE)</f>
        <v>#N/A</v>
      </c>
      <c r="U73" s="16"/>
      <c r="V73" s="16" t="e">
        <f t="shared" si="14"/>
        <v>#N/A</v>
      </c>
      <c r="W73" s="16"/>
      <c r="X73" s="16"/>
      <c r="Y73" s="16"/>
      <c r="Z73" s="16">
        <f t="shared" si="15"/>
        <v>0</v>
      </c>
      <c r="AA73" s="16">
        <f t="shared" si="9"/>
        <v>0</v>
      </c>
      <c r="AB73" s="16"/>
      <c r="AC73" s="17"/>
      <c r="AD73" s="51"/>
    </row>
    <row r="74" spans="1:30" ht="19.5" thickBot="1" x14ac:dyDescent="0.3">
      <c r="A74" s="14">
        <v>7</v>
      </c>
      <c r="B74" s="15"/>
      <c r="C74" s="15" t="e">
        <f>VLOOKUP(B74,داتا!$B$3:$D$107,2,FALSE)</f>
        <v>#N/A</v>
      </c>
      <c r="D74" s="34" t="e">
        <f>VLOOKUP(B74,داتا!$B$3:$D$107,3,FALSE)</f>
        <v>#N/A</v>
      </c>
      <c r="E74" s="15"/>
      <c r="F74" s="15"/>
      <c r="G74" s="16">
        <v>8.3333333333333329E-2</v>
      </c>
      <c r="H74" s="16" t="e">
        <f t="shared" si="16"/>
        <v>#N/A</v>
      </c>
      <c r="I74" s="16" t="e">
        <f t="shared" si="10"/>
        <v>#N/A</v>
      </c>
      <c r="J74" s="16"/>
      <c r="K74" s="16"/>
      <c r="L74" s="16"/>
      <c r="M74" s="16"/>
      <c r="N74" s="16">
        <f t="shared" si="11"/>
        <v>0</v>
      </c>
      <c r="O74" s="16" t="e">
        <f t="shared" si="12"/>
        <v>#N/A</v>
      </c>
      <c r="P74" s="16">
        <v>6.9444444444444397E-3</v>
      </c>
      <c r="Q74" s="16"/>
      <c r="R74" s="16">
        <f t="shared" si="13"/>
        <v>-6.9444444444444397E-3</v>
      </c>
      <c r="S74" s="16"/>
      <c r="T74" s="16" t="e">
        <f>VLOOKUP(E74,'[2]21-3-2026'!E$3:T$35,16,FALSE)</f>
        <v>#N/A</v>
      </c>
      <c r="U74" s="16"/>
      <c r="V74" s="16" t="e">
        <f t="shared" si="14"/>
        <v>#N/A</v>
      </c>
      <c r="W74" s="16"/>
      <c r="X74" s="16"/>
      <c r="Y74" s="16"/>
      <c r="Z74" s="16">
        <f t="shared" si="15"/>
        <v>0</v>
      </c>
      <c r="AA74" s="16">
        <f t="shared" si="9"/>
        <v>0</v>
      </c>
      <c r="AB74" s="16"/>
      <c r="AC74" s="17"/>
      <c r="AD74" s="51"/>
    </row>
    <row r="75" spans="1:30" ht="19.5" thickBot="1" x14ac:dyDescent="0.3">
      <c r="A75" s="14">
        <v>8</v>
      </c>
      <c r="B75" s="15"/>
      <c r="C75" s="15" t="e">
        <f>VLOOKUP(B75,داتا!$B$3:$D$107,2,FALSE)</f>
        <v>#N/A</v>
      </c>
      <c r="D75" s="34" t="e">
        <f>VLOOKUP(B75,داتا!$B$3:$D$107,3,FALSE)</f>
        <v>#N/A</v>
      </c>
      <c r="E75" s="15"/>
      <c r="F75" s="15"/>
      <c r="G75" s="16">
        <v>8.3333333333333329E-2</v>
      </c>
      <c r="H75" s="16" t="e">
        <f t="shared" si="16"/>
        <v>#N/A</v>
      </c>
      <c r="I75" s="16" t="e">
        <f t="shared" si="10"/>
        <v>#N/A</v>
      </c>
      <c r="J75" s="16"/>
      <c r="K75" s="16"/>
      <c r="L75" s="16"/>
      <c r="M75" s="16"/>
      <c r="N75" s="16">
        <f t="shared" si="11"/>
        <v>0</v>
      </c>
      <c r="O75" s="16" t="e">
        <f t="shared" si="12"/>
        <v>#N/A</v>
      </c>
      <c r="P75" s="16">
        <v>6.9444444444444397E-3</v>
      </c>
      <c r="Q75" s="16"/>
      <c r="R75" s="16">
        <f t="shared" si="13"/>
        <v>-6.9444444444444397E-3</v>
      </c>
      <c r="S75" s="16"/>
      <c r="T75" s="16" t="e">
        <f>VLOOKUP(E75,'[2]21-3-2026'!E$3:T$35,16,FALSE)</f>
        <v>#N/A</v>
      </c>
      <c r="U75" s="16"/>
      <c r="V75" s="16" t="e">
        <f t="shared" si="14"/>
        <v>#N/A</v>
      </c>
      <c r="W75" s="16"/>
      <c r="X75" s="16"/>
      <c r="Y75" s="16"/>
      <c r="Z75" s="16">
        <f t="shared" si="15"/>
        <v>0</v>
      </c>
      <c r="AA75" s="16">
        <f t="shared" si="9"/>
        <v>0</v>
      </c>
      <c r="AB75" s="16"/>
      <c r="AC75" s="17"/>
      <c r="AD75" s="51"/>
    </row>
    <row r="76" spans="1:30" ht="19.5" thickBot="1" x14ac:dyDescent="0.3">
      <c r="A76" s="14">
        <v>9</v>
      </c>
      <c r="B76" s="15"/>
      <c r="C76" s="15" t="e">
        <f>VLOOKUP(B76,داتا!$B$3:$D$107,2,FALSE)</f>
        <v>#N/A</v>
      </c>
      <c r="D76" s="34" t="e">
        <f>VLOOKUP(B76,داتا!$B$3:$D$107,3,FALSE)</f>
        <v>#N/A</v>
      </c>
      <c r="E76" s="16"/>
      <c r="F76" s="15"/>
      <c r="G76" s="16">
        <v>8.3333333333333329E-2</v>
      </c>
      <c r="H76" s="16" t="e">
        <f t="shared" si="16"/>
        <v>#N/A</v>
      </c>
      <c r="I76" s="16" t="e">
        <f t="shared" si="10"/>
        <v>#N/A</v>
      </c>
      <c r="J76" s="16"/>
      <c r="K76" s="16"/>
      <c r="L76" s="16"/>
      <c r="M76" s="16"/>
      <c r="N76" s="16">
        <f t="shared" si="11"/>
        <v>0</v>
      </c>
      <c r="O76" s="16" t="e">
        <f t="shared" si="12"/>
        <v>#N/A</v>
      </c>
      <c r="P76" s="16">
        <v>6.9444444444444397E-3</v>
      </c>
      <c r="Q76" s="16"/>
      <c r="R76" s="16">
        <f t="shared" si="13"/>
        <v>-6.9444444444444397E-3</v>
      </c>
      <c r="S76" s="16"/>
      <c r="T76" s="16" t="e">
        <f>VLOOKUP(E76,'[2]21-3-2026'!E$3:T$35,16,FALSE)</f>
        <v>#N/A</v>
      </c>
      <c r="U76" s="16"/>
      <c r="V76" s="16" t="e">
        <f t="shared" si="14"/>
        <v>#N/A</v>
      </c>
      <c r="W76" s="16"/>
      <c r="X76" s="16"/>
      <c r="Y76" s="16"/>
      <c r="Z76" s="16">
        <f t="shared" si="15"/>
        <v>0</v>
      </c>
      <c r="AA76" s="16">
        <f t="shared" si="9"/>
        <v>0</v>
      </c>
      <c r="AB76" s="16"/>
      <c r="AC76" s="17"/>
      <c r="AD76" s="51"/>
    </row>
    <row r="77" spans="1:30" ht="19.5" thickBot="1" x14ac:dyDescent="0.3">
      <c r="A77" s="14">
        <v>10</v>
      </c>
      <c r="B77" s="15"/>
      <c r="C77" s="15" t="e">
        <f>VLOOKUP(B77,داتا!$B$3:$D$107,2,FALSE)</f>
        <v>#N/A</v>
      </c>
      <c r="D77" s="34" t="e">
        <f>VLOOKUP(B77,داتا!$B$3:$D$107,3,FALSE)</f>
        <v>#N/A</v>
      </c>
      <c r="E77" s="15"/>
      <c r="F77" s="15"/>
      <c r="G77" s="16">
        <v>8.3333333333333329E-2</v>
      </c>
      <c r="H77" s="16" t="e">
        <f t="shared" si="16"/>
        <v>#N/A</v>
      </c>
      <c r="I77" s="16" t="e">
        <f t="shared" si="10"/>
        <v>#N/A</v>
      </c>
      <c r="J77" s="16"/>
      <c r="K77" s="16"/>
      <c r="L77" s="16"/>
      <c r="M77" s="16"/>
      <c r="N77" s="16">
        <f t="shared" si="11"/>
        <v>0</v>
      </c>
      <c r="O77" s="16" t="e">
        <f t="shared" si="12"/>
        <v>#N/A</v>
      </c>
      <c r="P77" s="16">
        <v>6.9444444444444397E-3</v>
      </c>
      <c r="Q77" s="16"/>
      <c r="R77" s="16">
        <f t="shared" si="13"/>
        <v>-6.9444444444444397E-3</v>
      </c>
      <c r="S77" s="16"/>
      <c r="T77" s="16" t="e">
        <f>VLOOKUP(E77,'[2]21-3-2026'!E$3:T$35,16,FALSE)</f>
        <v>#N/A</v>
      </c>
      <c r="U77" s="16"/>
      <c r="V77" s="16" t="e">
        <f t="shared" si="14"/>
        <v>#N/A</v>
      </c>
      <c r="W77" s="16"/>
      <c r="X77" s="16"/>
      <c r="Y77" s="16"/>
      <c r="Z77" s="16">
        <f t="shared" si="15"/>
        <v>0</v>
      </c>
      <c r="AA77" s="16">
        <f t="shared" si="9"/>
        <v>0</v>
      </c>
      <c r="AB77" s="16"/>
      <c r="AC77" s="17"/>
      <c r="AD77" s="51"/>
    </row>
    <row r="78" spans="1:30" ht="19.5" thickBot="1" x14ac:dyDescent="0.3">
      <c r="A78" s="14">
        <v>11</v>
      </c>
      <c r="B78" s="15"/>
      <c r="C78" s="15" t="e">
        <f>VLOOKUP(B78,داتا!$B$3:$D$107,2,FALSE)</f>
        <v>#N/A</v>
      </c>
      <c r="D78" s="34" t="e">
        <f>VLOOKUP(B78,داتا!$B$3:$D$107,3,FALSE)</f>
        <v>#N/A</v>
      </c>
      <c r="E78" s="15"/>
      <c r="F78" s="15"/>
      <c r="G78" s="16">
        <v>8.3333333333333329E-2</v>
      </c>
      <c r="H78" s="16" t="e">
        <f t="shared" si="16"/>
        <v>#N/A</v>
      </c>
      <c r="I78" s="16" t="e">
        <f t="shared" si="10"/>
        <v>#N/A</v>
      </c>
      <c r="J78" s="16"/>
      <c r="K78" s="16"/>
      <c r="L78" s="16"/>
      <c r="M78" s="16"/>
      <c r="N78" s="16">
        <f t="shared" si="11"/>
        <v>0</v>
      </c>
      <c r="O78" s="16" t="e">
        <f t="shared" si="12"/>
        <v>#N/A</v>
      </c>
      <c r="P78" s="16">
        <v>6.9444444444444397E-3</v>
      </c>
      <c r="Q78" s="16"/>
      <c r="R78" s="16">
        <f t="shared" si="13"/>
        <v>-6.9444444444444397E-3</v>
      </c>
      <c r="S78" s="16"/>
      <c r="T78" s="16" t="e">
        <f>VLOOKUP(E78,'[2]21-3-2026'!E$3:T$35,16,FALSE)</f>
        <v>#N/A</v>
      </c>
      <c r="U78" s="16"/>
      <c r="V78" s="16" t="e">
        <f t="shared" si="14"/>
        <v>#N/A</v>
      </c>
      <c r="W78" s="16"/>
      <c r="X78" s="16"/>
      <c r="Y78" s="16"/>
      <c r="Z78" s="16">
        <f t="shared" si="15"/>
        <v>0</v>
      </c>
      <c r="AA78" s="16">
        <f t="shared" si="9"/>
        <v>0</v>
      </c>
      <c r="AB78" s="16"/>
      <c r="AC78" s="17"/>
      <c r="AD78" s="51"/>
    </row>
    <row r="79" spans="1:30" ht="19.5" thickBot="1" x14ac:dyDescent="0.3">
      <c r="A79" s="14">
        <v>12</v>
      </c>
      <c r="B79" s="15"/>
      <c r="C79" s="15" t="e">
        <f>VLOOKUP(B79,داتا!$B$3:$D$107,2,FALSE)</f>
        <v>#N/A</v>
      </c>
      <c r="D79" s="34" t="e">
        <f>VLOOKUP(B79,داتا!$B$3:$D$107,3,FALSE)</f>
        <v>#N/A</v>
      </c>
      <c r="E79" s="15"/>
      <c r="F79" s="15"/>
      <c r="G79" s="16">
        <v>8.3333333333333329E-2</v>
      </c>
      <c r="H79" s="16" t="e">
        <f t="shared" si="16"/>
        <v>#N/A</v>
      </c>
      <c r="I79" s="16" t="e">
        <f t="shared" si="10"/>
        <v>#N/A</v>
      </c>
      <c r="J79" s="16"/>
      <c r="K79" s="16"/>
      <c r="L79" s="16"/>
      <c r="M79" s="16"/>
      <c r="N79" s="16">
        <f t="shared" si="11"/>
        <v>0</v>
      </c>
      <c r="O79" s="16" t="e">
        <f t="shared" si="12"/>
        <v>#N/A</v>
      </c>
      <c r="P79" s="16">
        <v>6.9444444444444397E-3</v>
      </c>
      <c r="Q79" s="16"/>
      <c r="R79" s="16">
        <f t="shared" si="13"/>
        <v>-6.9444444444444397E-3</v>
      </c>
      <c r="S79" s="16"/>
      <c r="T79" s="16" t="e">
        <f>VLOOKUP(E79,'[2]21-3-2026'!E$3:T$35,16,FALSE)</f>
        <v>#N/A</v>
      </c>
      <c r="U79" s="16"/>
      <c r="V79" s="16" t="e">
        <f t="shared" si="14"/>
        <v>#N/A</v>
      </c>
      <c r="W79" s="16"/>
      <c r="X79" s="16"/>
      <c r="Y79" s="16"/>
      <c r="Z79" s="16">
        <f t="shared" si="15"/>
        <v>0</v>
      </c>
      <c r="AA79" s="16">
        <f t="shared" si="9"/>
        <v>0</v>
      </c>
      <c r="AB79" s="16"/>
      <c r="AC79" s="17"/>
      <c r="AD79" s="51"/>
    </row>
    <row r="80" spans="1:30" ht="19.5" thickBot="1" x14ac:dyDescent="0.3">
      <c r="A80" s="14">
        <v>13</v>
      </c>
      <c r="B80" s="15"/>
      <c r="C80" s="15" t="e">
        <f>VLOOKUP(B80,داتا!$B$3:$D$107,2,FALSE)</f>
        <v>#N/A</v>
      </c>
      <c r="D80" s="34" t="e">
        <f>VLOOKUP(B80,داتا!$B$3:$D$107,3,FALSE)</f>
        <v>#N/A</v>
      </c>
      <c r="E80" s="15"/>
      <c r="F80" s="15"/>
      <c r="G80" s="16">
        <v>8.3333333333333329E-2</v>
      </c>
      <c r="H80" s="16" t="e">
        <f t="shared" si="16"/>
        <v>#N/A</v>
      </c>
      <c r="I80" s="16" t="e">
        <f t="shared" si="10"/>
        <v>#N/A</v>
      </c>
      <c r="J80" s="16"/>
      <c r="K80" s="16"/>
      <c r="L80" s="16"/>
      <c r="M80" s="16"/>
      <c r="N80" s="16">
        <f t="shared" si="11"/>
        <v>0</v>
      </c>
      <c r="O80" s="16" t="e">
        <f t="shared" si="12"/>
        <v>#N/A</v>
      </c>
      <c r="P80" s="16">
        <v>6.9444444444444397E-3</v>
      </c>
      <c r="Q80" s="16"/>
      <c r="R80" s="16">
        <f t="shared" si="13"/>
        <v>-6.9444444444444397E-3</v>
      </c>
      <c r="S80" s="16"/>
      <c r="T80" s="16" t="e">
        <f>VLOOKUP(E80,'[2]21-3-2026'!E$3:T$35,16,FALSE)</f>
        <v>#N/A</v>
      </c>
      <c r="U80" s="16"/>
      <c r="V80" s="16" t="e">
        <f t="shared" si="14"/>
        <v>#N/A</v>
      </c>
      <c r="W80" s="16"/>
      <c r="X80" s="16"/>
      <c r="Y80" s="16"/>
      <c r="Z80" s="16">
        <f t="shared" si="15"/>
        <v>0</v>
      </c>
      <c r="AA80" s="16">
        <f t="shared" si="9"/>
        <v>0</v>
      </c>
      <c r="AB80" s="16"/>
      <c r="AC80" s="17"/>
      <c r="AD80" s="51"/>
    </row>
    <row r="81" spans="1:30" ht="19.5" thickBot="1" x14ac:dyDescent="0.3">
      <c r="A81" s="14">
        <v>14</v>
      </c>
      <c r="B81" s="15"/>
      <c r="C81" s="15" t="e">
        <f>VLOOKUP(B81,داتا!$B$3:$D$107,2,FALSE)</f>
        <v>#N/A</v>
      </c>
      <c r="D81" s="34" t="e">
        <f>VLOOKUP(B81,داتا!$B$3:$D$107,3,FALSE)</f>
        <v>#N/A</v>
      </c>
      <c r="E81" s="15"/>
      <c r="F81" s="15"/>
      <c r="G81" s="16">
        <v>8.3333333333333329E-2</v>
      </c>
      <c r="H81" s="16" t="e">
        <f t="shared" si="16"/>
        <v>#N/A</v>
      </c>
      <c r="I81" s="16" t="e">
        <f t="shared" si="10"/>
        <v>#N/A</v>
      </c>
      <c r="J81" s="16"/>
      <c r="K81" s="16"/>
      <c r="L81" s="16"/>
      <c r="M81" s="16"/>
      <c r="N81" s="16">
        <f t="shared" si="11"/>
        <v>0</v>
      </c>
      <c r="O81" s="16" t="e">
        <f t="shared" si="12"/>
        <v>#N/A</v>
      </c>
      <c r="P81" s="16">
        <v>6.9444444444444397E-3</v>
      </c>
      <c r="Q81" s="16"/>
      <c r="R81" s="16">
        <f t="shared" si="13"/>
        <v>-6.9444444444444397E-3</v>
      </c>
      <c r="S81" s="16"/>
      <c r="T81" s="16" t="e">
        <f>VLOOKUP(E81,'[2]21-3-2026'!E$3:T$35,16,FALSE)</f>
        <v>#N/A</v>
      </c>
      <c r="U81" s="16"/>
      <c r="V81" s="16" t="e">
        <f t="shared" si="14"/>
        <v>#N/A</v>
      </c>
      <c r="W81" s="16"/>
      <c r="X81" s="16"/>
      <c r="Y81" s="16"/>
      <c r="Z81" s="16">
        <f t="shared" si="15"/>
        <v>0</v>
      </c>
      <c r="AA81" s="16">
        <f t="shared" si="9"/>
        <v>0</v>
      </c>
      <c r="AB81" s="16"/>
      <c r="AC81" s="17"/>
      <c r="AD81" s="51"/>
    </row>
    <row r="82" spans="1:30" ht="19.5" thickBot="1" x14ac:dyDescent="0.3">
      <c r="A82" s="14">
        <v>15</v>
      </c>
      <c r="B82" s="15"/>
      <c r="C82" s="15" t="e">
        <f>VLOOKUP(B82,داتا!$B$3:$D$107,2,FALSE)</f>
        <v>#N/A</v>
      </c>
      <c r="D82" s="34" t="e">
        <f>VLOOKUP(B82,داتا!$B$3:$D$107,3,FALSE)</f>
        <v>#N/A</v>
      </c>
      <c r="E82" s="15"/>
      <c r="F82" s="15"/>
      <c r="G82" s="16">
        <v>8.3333333333333329E-2</v>
      </c>
      <c r="H82" s="16" t="e">
        <f t="shared" si="16"/>
        <v>#N/A</v>
      </c>
      <c r="I82" s="16" t="e">
        <f t="shared" si="10"/>
        <v>#N/A</v>
      </c>
      <c r="J82" s="16"/>
      <c r="K82" s="16"/>
      <c r="L82" s="16"/>
      <c r="M82" s="16"/>
      <c r="N82" s="16">
        <f t="shared" si="11"/>
        <v>0</v>
      </c>
      <c r="O82" s="16" t="e">
        <f t="shared" si="12"/>
        <v>#N/A</v>
      </c>
      <c r="P82" s="16">
        <v>6.9444444444444397E-3</v>
      </c>
      <c r="Q82" s="16"/>
      <c r="R82" s="16">
        <f t="shared" si="13"/>
        <v>-6.9444444444444397E-3</v>
      </c>
      <c r="S82" s="16"/>
      <c r="T82" s="16" t="e">
        <f>VLOOKUP(E82,'[2]21-3-2026'!E$3:T$35,16,FALSE)</f>
        <v>#N/A</v>
      </c>
      <c r="U82" s="16"/>
      <c r="V82" s="16" t="e">
        <f t="shared" si="14"/>
        <v>#N/A</v>
      </c>
      <c r="W82" s="16"/>
      <c r="X82" s="16"/>
      <c r="Y82" s="16"/>
      <c r="Z82" s="16">
        <f t="shared" si="15"/>
        <v>0</v>
      </c>
      <c r="AA82" s="16">
        <f t="shared" si="9"/>
        <v>0</v>
      </c>
      <c r="AB82" s="16"/>
      <c r="AC82" s="17"/>
      <c r="AD82" s="51"/>
    </row>
    <row r="83" spans="1:30" ht="19.5" thickBot="1" x14ac:dyDescent="0.3">
      <c r="A83" s="14">
        <v>16</v>
      </c>
      <c r="B83" s="15"/>
      <c r="C83" s="15" t="e">
        <f>VLOOKUP(B83,داتا!$B$3:$D$107,2,FALSE)</f>
        <v>#N/A</v>
      </c>
      <c r="D83" s="34" t="e">
        <f>VLOOKUP(B83,داتا!$B$3:$D$107,3,FALSE)</f>
        <v>#N/A</v>
      </c>
      <c r="E83" s="15"/>
      <c r="F83" s="15"/>
      <c r="G83" s="16">
        <v>8.3333333333333329E-2</v>
      </c>
      <c r="H83" s="16" t="e">
        <f t="shared" si="16"/>
        <v>#N/A</v>
      </c>
      <c r="I83" s="16" t="e">
        <f t="shared" si="10"/>
        <v>#N/A</v>
      </c>
      <c r="J83" s="16"/>
      <c r="K83" s="16"/>
      <c r="L83" s="16"/>
      <c r="M83" s="16"/>
      <c r="N83" s="16">
        <f t="shared" si="11"/>
        <v>0</v>
      </c>
      <c r="O83" s="16" t="e">
        <f t="shared" si="12"/>
        <v>#N/A</v>
      </c>
      <c r="P83" s="16">
        <v>6.9444444444444397E-3</v>
      </c>
      <c r="Q83" s="16"/>
      <c r="R83" s="16">
        <f t="shared" si="13"/>
        <v>-6.9444444444444397E-3</v>
      </c>
      <c r="S83" s="16"/>
      <c r="T83" s="16" t="e">
        <f>VLOOKUP(E83,'[2]21-3-2026'!E$3:T$35,16,FALSE)</f>
        <v>#N/A</v>
      </c>
      <c r="U83" s="16"/>
      <c r="V83" s="16" t="e">
        <f t="shared" si="14"/>
        <v>#N/A</v>
      </c>
      <c r="W83" s="16"/>
      <c r="X83" s="16"/>
      <c r="Y83" s="16"/>
      <c r="Z83" s="16">
        <f t="shared" si="15"/>
        <v>0</v>
      </c>
      <c r="AA83" s="16">
        <f t="shared" si="9"/>
        <v>0</v>
      </c>
      <c r="AB83" s="16"/>
      <c r="AC83" s="17"/>
      <c r="AD83" s="51"/>
    </row>
    <row r="84" spans="1:30" ht="19.5" thickBot="1" x14ac:dyDescent="0.3">
      <c r="A84" s="14">
        <v>17</v>
      </c>
      <c r="B84" s="15"/>
      <c r="C84" s="15" t="e">
        <f>VLOOKUP(B84,داتا!$B$3:$D$107,2,FALSE)</f>
        <v>#N/A</v>
      </c>
      <c r="D84" s="34" t="e">
        <f>VLOOKUP(B84,داتا!$B$3:$D$107,3,FALSE)</f>
        <v>#N/A</v>
      </c>
      <c r="E84" s="15"/>
      <c r="F84" s="15"/>
      <c r="G84" s="16">
        <v>8.3333333333333329E-2</v>
      </c>
      <c r="H84" s="16" t="e">
        <f t="shared" si="16"/>
        <v>#N/A</v>
      </c>
      <c r="I84" s="16" t="e">
        <f t="shared" si="10"/>
        <v>#N/A</v>
      </c>
      <c r="J84" s="16"/>
      <c r="K84" s="16"/>
      <c r="L84" s="16"/>
      <c r="M84" s="16"/>
      <c r="N84" s="16">
        <f t="shared" si="11"/>
        <v>0</v>
      </c>
      <c r="O84" s="16" t="e">
        <f t="shared" si="12"/>
        <v>#N/A</v>
      </c>
      <c r="P84" s="16">
        <v>6.9444444444444397E-3</v>
      </c>
      <c r="Q84" s="16"/>
      <c r="R84" s="16">
        <f t="shared" si="13"/>
        <v>-6.9444444444444397E-3</v>
      </c>
      <c r="S84" s="16"/>
      <c r="T84" s="16" t="e">
        <f>VLOOKUP(E84,'[2]21-3-2026'!E$3:T$35,16,FALSE)</f>
        <v>#N/A</v>
      </c>
      <c r="U84" s="16"/>
      <c r="V84" s="16" t="e">
        <f t="shared" si="14"/>
        <v>#N/A</v>
      </c>
      <c r="W84" s="16"/>
      <c r="X84" s="16"/>
      <c r="Y84" s="16"/>
      <c r="Z84" s="16">
        <f t="shared" si="15"/>
        <v>0</v>
      </c>
      <c r="AA84" s="16">
        <f t="shared" si="9"/>
        <v>0</v>
      </c>
      <c r="AB84" s="16"/>
      <c r="AC84" s="17"/>
      <c r="AD84" s="51"/>
    </row>
    <row r="85" spans="1:30" ht="19.5" thickBot="1" x14ac:dyDescent="0.3">
      <c r="A85" s="14">
        <v>18</v>
      </c>
      <c r="B85" s="15"/>
      <c r="C85" s="15" t="e">
        <f>VLOOKUP(B85,داتا!$B$3:$D$107,2,FALSE)</f>
        <v>#N/A</v>
      </c>
      <c r="D85" s="34" t="e">
        <f>VLOOKUP(B85,داتا!$B$3:$D$107,3,FALSE)</f>
        <v>#N/A</v>
      </c>
      <c r="E85" s="15"/>
      <c r="F85" s="15"/>
      <c r="G85" s="16">
        <v>8.3333333333333329E-2</v>
      </c>
      <c r="H85" s="16" t="e">
        <f t="shared" ref="H85:H99" si="17">VLOOKUP(G85,$F$3:$I$35,2,FALSE)</f>
        <v>#N/A</v>
      </c>
      <c r="I85" s="16" t="e">
        <f t="shared" si="10"/>
        <v>#N/A</v>
      </c>
      <c r="J85" s="16"/>
      <c r="K85" s="16"/>
      <c r="L85" s="16"/>
      <c r="M85" s="16"/>
      <c r="N85" s="16">
        <f t="shared" si="11"/>
        <v>0</v>
      </c>
      <c r="O85" s="16" t="e">
        <f t="shared" si="12"/>
        <v>#N/A</v>
      </c>
      <c r="P85" s="16">
        <v>6.9444444444444397E-3</v>
      </c>
      <c r="Q85" s="16"/>
      <c r="R85" s="16">
        <f t="shared" si="13"/>
        <v>-6.9444444444444397E-3</v>
      </c>
      <c r="S85" s="16"/>
      <c r="T85" s="16" t="e">
        <f>VLOOKUP(E85,'[2]21-3-2026'!E$3:T$35,16,FALSE)</f>
        <v>#N/A</v>
      </c>
      <c r="U85" s="16"/>
      <c r="V85" s="16" t="e">
        <f t="shared" si="14"/>
        <v>#N/A</v>
      </c>
      <c r="W85" s="16"/>
      <c r="X85" s="16"/>
      <c r="Y85" s="16"/>
      <c r="Z85" s="16">
        <f t="shared" si="15"/>
        <v>0</v>
      </c>
      <c r="AA85" s="16">
        <f t="shared" si="9"/>
        <v>0</v>
      </c>
      <c r="AB85" s="16"/>
      <c r="AC85" s="17"/>
      <c r="AD85" s="51"/>
    </row>
    <row r="86" spans="1:30" ht="19.5" thickBot="1" x14ac:dyDescent="0.3">
      <c r="A86" s="14">
        <v>19</v>
      </c>
      <c r="B86" s="15"/>
      <c r="C86" s="15" t="e">
        <f>VLOOKUP(B86,داتا!$B$3:$D$107,2,FALSE)</f>
        <v>#N/A</v>
      </c>
      <c r="D86" s="34" t="e">
        <f>VLOOKUP(B86,داتا!$B$3:$D$107,3,FALSE)</f>
        <v>#N/A</v>
      </c>
      <c r="E86" s="15"/>
      <c r="F86" s="15"/>
      <c r="G86" s="16">
        <v>8.3333333333333329E-2</v>
      </c>
      <c r="H86" s="16" t="e">
        <f t="shared" si="17"/>
        <v>#N/A</v>
      </c>
      <c r="I86" s="16" t="e">
        <f t="shared" si="10"/>
        <v>#N/A</v>
      </c>
      <c r="J86" s="16"/>
      <c r="K86" s="16"/>
      <c r="L86" s="16"/>
      <c r="M86" s="16"/>
      <c r="N86" s="16">
        <f t="shared" si="11"/>
        <v>0</v>
      </c>
      <c r="O86" s="16" t="e">
        <f t="shared" si="12"/>
        <v>#N/A</v>
      </c>
      <c r="P86" s="16">
        <v>6.9444444444444397E-3</v>
      </c>
      <c r="Q86" s="16"/>
      <c r="R86" s="16">
        <f t="shared" si="13"/>
        <v>-6.9444444444444397E-3</v>
      </c>
      <c r="S86" s="16"/>
      <c r="T86" s="16" t="e">
        <f>VLOOKUP(E86,'[2]21-3-2026'!E$3:T$35,16,FALSE)</f>
        <v>#N/A</v>
      </c>
      <c r="U86" s="16"/>
      <c r="V86" s="16" t="e">
        <f t="shared" si="14"/>
        <v>#N/A</v>
      </c>
      <c r="W86" s="16"/>
      <c r="X86" s="16"/>
      <c r="Y86" s="16"/>
      <c r="Z86" s="16">
        <f t="shared" si="15"/>
        <v>0</v>
      </c>
      <c r="AA86" s="16">
        <f t="shared" si="9"/>
        <v>0</v>
      </c>
      <c r="AB86" s="16"/>
      <c r="AC86" s="17"/>
      <c r="AD86" s="51"/>
    </row>
    <row r="87" spans="1:30" ht="19.5" thickBot="1" x14ac:dyDescent="0.3">
      <c r="A87" s="14">
        <v>20</v>
      </c>
      <c r="B87" s="15"/>
      <c r="C87" s="15" t="e">
        <f>VLOOKUP(B87,داتا!$B$3:$D$107,2,FALSE)</f>
        <v>#N/A</v>
      </c>
      <c r="D87" s="34" t="e">
        <f>VLOOKUP(B87,داتا!$B$3:$D$107,3,FALSE)</f>
        <v>#N/A</v>
      </c>
      <c r="E87" s="15"/>
      <c r="F87" s="15"/>
      <c r="G87" s="16">
        <v>8.3333333333333329E-2</v>
      </c>
      <c r="H87" s="16" t="e">
        <f t="shared" si="17"/>
        <v>#N/A</v>
      </c>
      <c r="I87" s="16" t="e">
        <f t="shared" si="10"/>
        <v>#N/A</v>
      </c>
      <c r="J87" s="16"/>
      <c r="K87" s="16"/>
      <c r="L87" s="16"/>
      <c r="M87" s="16"/>
      <c r="N87" s="16">
        <f t="shared" si="11"/>
        <v>0</v>
      </c>
      <c r="O87" s="16" t="e">
        <f t="shared" si="12"/>
        <v>#N/A</v>
      </c>
      <c r="P87" s="16">
        <v>6.9444444444444397E-3</v>
      </c>
      <c r="Q87" s="16"/>
      <c r="R87" s="16">
        <f t="shared" si="13"/>
        <v>-6.9444444444444397E-3</v>
      </c>
      <c r="S87" s="16"/>
      <c r="T87" s="16" t="e">
        <f>VLOOKUP(E87,'[2]21-3-2026'!E$3:T$35,16,FALSE)</f>
        <v>#N/A</v>
      </c>
      <c r="U87" s="16"/>
      <c r="V87" s="16" t="e">
        <f t="shared" si="14"/>
        <v>#N/A</v>
      </c>
      <c r="W87" s="16"/>
      <c r="X87" s="16"/>
      <c r="Y87" s="16"/>
      <c r="Z87" s="16">
        <f t="shared" si="15"/>
        <v>0</v>
      </c>
      <c r="AA87" s="16">
        <f t="shared" si="9"/>
        <v>0</v>
      </c>
      <c r="AB87" s="16"/>
      <c r="AC87" s="17"/>
      <c r="AD87" s="51"/>
    </row>
    <row r="88" spans="1:30" ht="19.5" thickBot="1" x14ac:dyDescent="0.3">
      <c r="A88" s="14">
        <v>21</v>
      </c>
      <c r="B88" s="15"/>
      <c r="C88" s="15" t="e">
        <f>VLOOKUP(B88,داتا!$B$3:$D$107,2,FALSE)</f>
        <v>#N/A</v>
      </c>
      <c r="D88" s="34" t="e">
        <f>VLOOKUP(B88,داتا!$B$3:$D$107,3,FALSE)</f>
        <v>#N/A</v>
      </c>
      <c r="E88" s="15"/>
      <c r="F88" s="15"/>
      <c r="G88" s="16">
        <v>8.3333333333333329E-2</v>
      </c>
      <c r="H88" s="16" t="e">
        <f t="shared" si="17"/>
        <v>#N/A</v>
      </c>
      <c r="I88" s="16" t="e">
        <f t="shared" si="10"/>
        <v>#N/A</v>
      </c>
      <c r="J88" s="16"/>
      <c r="K88" s="16"/>
      <c r="L88" s="16"/>
      <c r="M88" s="16"/>
      <c r="N88" s="16">
        <f t="shared" si="11"/>
        <v>0</v>
      </c>
      <c r="O88" s="16" t="e">
        <f t="shared" si="12"/>
        <v>#N/A</v>
      </c>
      <c r="P88" s="16">
        <v>6.9444444444444397E-3</v>
      </c>
      <c r="Q88" s="16"/>
      <c r="R88" s="16">
        <f t="shared" si="13"/>
        <v>-6.9444444444444397E-3</v>
      </c>
      <c r="S88" s="16"/>
      <c r="T88" s="16" t="e">
        <f>VLOOKUP(E88,'[2]21-3-2026'!E$3:T$35,16,FALSE)</f>
        <v>#N/A</v>
      </c>
      <c r="U88" s="16"/>
      <c r="V88" s="16" t="e">
        <f t="shared" si="14"/>
        <v>#N/A</v>
      </c>
      <c r="W88" s="16"/>
      <c r="X88" s="16"/>
      <c r="Y88" s="16"/>
      <c r="Z88" s="16">
        <f t="shared" si="15"/>
        <v>0</v>
      </c>
      <c r="AA88" s="16">
        <f t="shared" si="9"/>
        <v>0</v>
      </c>
      <c r="AB88" s="16"/>
      <c r="AC88" s="19"/>
      <c r="AD88" s="51"/>
    </row>
    <row r="89" spans="1:30" ht="19.5" thickBot="1" x14ac:dyDescent="0.3">
      <c r="A89" s="14">
        <v>22</v>
      </c>
      <c r="B89" s="15"/>
      <c r="C89" s="15" t="e">
        <f>VLOOKUP(B89,داتا!$B$3:$D$107,2,FALSE)</f>
        <v>#N/A</v>
      </c>
      <c r="D89" s="34" t="e">
        <f>VLOOKUP(B89,داتا!$B$3:$D$107,3,FALSE)</f>
        <v>#N/A</v>
      </c>
      <c r="E89" s="15"/>
      <c r="F89" s="15"/>
      <c r="G89" s="16">
        <v>8.3333333333333329E-2</v>
      </c>
      <c r="H89" s="16" t="e">
        <f t="shared" si="17"/>
        <v>#N/A</v>
      </c>
      <c r="I89" s="16" t="e">
        <f t="shared" si="10"/>
        <v>#N/A</v>
      </c>
      <c r="J89" s="16"/>
      <c r="K89" s="16"/>
      <c r="L89" s="16"/>
      <c r="M89" s="16"/>
      <c r="N89" s="16">
        <f t="shared" si="11"/>
        <v>0</v>
      </c>
      <c r="O89" s="16" t="e">
        <f t="shared" si="12"/>
        <v>#N/A</v>
      </c>
      <c r="P89" s="16">
        <v>6.9444444444444397E-3</v>
      </c>
      <c r="Q89" s="16"/>
      <c r="R89" s="16">
        <f t="shared" si="13"/>
        <v>-6.9444444444444397E-3</v>
      </c>
      <c r="S89" s="16"/>
      <c r="T89" s="16" t="e">
        <f>VLOOKUP(E89,'[2]21-3-2026'!E$3:T$35,16,FALSE)</f>
        <v>#N/A</v>
      </c>
      <c r="U89" s="16"/>
      <c r="V89" s="16" t="e">
        <f t="shared" si="14"/>
        <v>#N/A</v>
      </c>
      <c r="W89" s="16"/>
      <c r="X89" s="16"/>
      <c r="Y89" s="16"/>
      <c r="Z89" s="16">
        <f t="shared" si="15"/>
        <v>0</v>
      </c>
      <c r="AA89" s="16">
        <f t="shared" si="9"/>
        <v>0</v>
      </c>
      <c r="AB89" s="16"/>
      <c r="AC89" s="19"/>
      <c r="AD89" s="51"/>
    </row>
    <row r="90" spans="1:30" ht="19.5" thickBot="1" x14ac:dyDescent="0.3">
      <c r="A90" s="14">
        <v>23</v>
      </c>
      <c r="B90" s="15"/>
      <c r="C90" s="15" t="e">
        <f>VLOOKUP(B90,داتا!$B$3:$D$107,2,FALSE)</f>
        <v>#N/A</v>
      </c>
      <c r="D90" s="34" t="e">
        <f>VLOOKUP(B90,داتا!$B$3:$D$107,3,FALSE)</f>
        <v>#N/A</v>
      </c>
      <c r="E90" s="15"/>
      <c r="F90" s="15"/>
      <c r="G90" s="16">
        <v>8.3333333333333329E-2</v>
      </c>
      <c r="H90" s="16" t="e">
        <f t="shared" si="17"/>
        <v>#N/A</v>
      </c>
      <c r="I90" s="16" t="e">
        <f t="shared" si="10"/>
        <v>#N/A</v>
      </c>
      <c r="J90" s="16"/>
      <c r="K90" s="16"/>
      <c r="L90" s="16"/>
      <c r="M90" s="16"/>
      <c r="N90" s="16">
        <f t="shared" si="11"/>
        <v>0</v>
      </c>
      <c r="O90" s="16" t="e">
        <f t="shared" si="12"/>
        <v>#N/A</v>
      </c>
      <c r="P90" s="16">
        <v>6.9444444444444397E-3</v>
      </c>
      <c r="Q90" s="16"/>
      <c r="R90" s="16">
        <f t="shared" si="13"/>
        <v>-6.9444444444444397E-3</v>
      </c>
      <c r="S90" s="16"/>
      <c r="T90" s="16" t="e">
        <f>VLOOKUP(E90,'[2]21-3-2026'!E$3:T$35,16,FALSE)</f>
        <v>#N/A</v>
      </c>
      <c r="U90" s="16"/>
      <c r="V90" s="16" t="e">
        <f t="shared" si="14"/>
        <v>#N/A</v>
      </c>
      <c r="W90" s="16"/>
      <c r="X90" s="16"/>
      <c r="Y90" s="16"/>
      <c r="Z90" s="16">
        <f t="shared" si="15"/>
        <v>0</v>
      </c>
      <c r="AA90" s="16">
        <f t="shared" si="9"/>
        <v>0</v>
      </c>
      <c r="AB90" s="16"/>
      <c r="AC90" s="19"/>
      <c r="AD90" s="51"/>
    </row>
    <row r="91" spans="1:30" ht="19.5" thickBot="1" x14ac:dyDescent="0.3">
      <c r="A91" s="14">
        <v>24</v>
      </c>
      <c r="B91" s="15"/>
      <c r="C91" s="15" t="e">
        <f>VLOOKUP(B91,داتا!$B$3:$D$107,2,FALSE)</f>
        <v>#N/A</v>
      </c>
      <c r="D91" s="34" t="e">
        <f>VLOOKUP(B91,داتا!$B$3:$D$107,3,FALSE)</f>
        <v>#N/A</v>
      </c>
      <c r="E91" s="15"/>
      <c r="F91" s="15"/>
      <c r="G91" s="16">
        <v>8.3333333333333329E-2</v>
      </c>
      <c r="H91" s="16" t="e">
        <f t="shared" si="17"/>
        <v>#N/A</v>
      </c>
      <c r="I91" s="16" t="e">
        <f t="shared" si="10"/>
        <v>#N/A</v>
      </c>
      <c r="J91" s="16"/>
      <c r="K91" s="16"/>
      <c r="L91" s="16"/>
      <c r="M91" s="16"/>
      <c r="N91" s="16">
        <f t="shared" si="11"/>
        <v>0</v>
      </c>
      <c r="O91" s="16" t="e">
        <f t="shared" si="12"/>
        <v>#N/A</v>
      </c>
      <c r="P91" s="16">
        <v>6.9444444444444397E-3</v>
      </c>
      <c r="Q91" s="16"/>
      <c r="R91" s="16">
        <f t="shared" si="13"/>
        <v>-6.9444444444444397E-3</v>
      </c>
      <c r="S91" s="16"/>
      <c r="T91" s="16" t="e">
        <f>VLOOKUP(E91,'[2]21-3-2026'!E$3:T$35,16,FALSE)</f>
        <v>#N/A</v>
      </c>
      <c r="U91" s="16"/>
      <c r="V91" s="16" t="e">
        <f t="shared" si="14"/>
        <v>#N/A</v>
      </c>
      <c r="W91" s="16"/>
      <c r="X91" s="16"/>
      <c r="Y91" s="16"/>
      <c r="Z91" s="16">
        <f t="shared" si="15"/>
        <v>0</v>
      </c>
      <c r="AA91" s="16">
        <f t="shared" si="9"/>
        <v>0</v>
      </c>
      <c r="AB91" s="16"/>
      <c r="AC91" s="19"/>
      <c r="AD91" s="51"/>
    </row>
    <row r="92" spans="1:30" ht="19.5" thickBot="1" x14ac:dyDescent="0.3">
      <c r="A92" s="14">
        <v>25</v>
      </c>
      <c r="B92" s="15"/>
      <c r="C92" s="15" t="e">
        <f>VLOOKUP(B92,داتا!$B$3:$D$107,2,FALSE)</f>
        <v>#N/A</v>
      </c>
      <c r="D92" s="34" t="e">
        <f>VLOOKUP(B92,داتا!$B$3:$D$107,3,FALSE)</f>
        <v>#N/A</v>
      </c>
      <c r="E92" s="15"/>
      <c r="F92" s="15"/>
      <c r="G92" s="16">
        <v>8.3333333333333329E-2</v>
      </c>
      <c r="H92" s="16" t="e">
        <f t="shared" si="17"/>
        <v>#N/A</v>
      </c>
      <c r="I92" s="16" t="e">
        <f t="shared" si="10"/>
        <v>#N/A</v>
      </c>
      <c r="J92" s="16"/>
      <c r="K92" s="16"/>
      <c r="L92" s="16"/>
      <c r="M92" s="16"/>
      <c r="N92" s="16">
        <f t="shared" si="11"/>
        <v>0</v>
      </c>
      <c r="O92" s="16" t="e">
        <f t="shared" si="12"/>
        <v>#N/A</v>
      </c>
      <c r="P92" s="16">
        <v>6.9444444444444397E-3</v>
      </c>
      <c r="Q92" s="16"/>
      <c r="R92" s="16">
        <f t="shared" si="13"/>
        <v>-6.9444444444444397E-3</v>
      </c>
      <c r="S92" s="16"/>
      <c r="T92" s="16" t="e">
        <f>VLOOKUP(E92,'[2]21-3-2026'!E$3:T$35,16,FALSE)</f>
        <v>#N/A</v>
      </c>
      <c r="U92" s="16"/>
      <c r="V92" s="16" t="e">
        <f t="shared" si="14"/>
        <v>#N/A</v>
      </c>
      <c r="W92" s="16"/>
      <c r="X92" s="16"/>
      <c r="Y92" s="16"/>
      <c r="Z92" s="16">
        <f t="shared" si="15"/>
        <v>0</v>
      </c>
      <c r="AA92" s="16">
        <f t="shared" si="9"/>
        <v>0</v>
      </c>
      <c r="AB92" s="16"/>
      <c r="AC92" s="19"/>
      <c r="AD92" s="51"/>
    </row>
    <row r="93" spans="1:30" ht="19.5" thickBot="1" x14ac:dyDescent="0.3">
      <c r="A93" s="14">
        <v>26</v>
      </c>
      <c r="B93" s="15"/>
      <c r="C93" s="15" t="e">
        <f>VLOOKUP(B93,داتا!$B$3:$D$107,2,FALSE)</f>
        <v>#N/A</v>
      </c>
      <c r="D93" s="34" t="e">
        <f>VLOOKUP(B93,داتا!$B$3:$D$107,3,FALSE)</f>
        <v>#N/A</v>
      </c>
      <c r="E93" s="15"/>
      <c r="F93" s="15"/>
      <c r="G93" s="16">
        <v>8.3333333333333329E-2</v>
      </c>
      <c r="H93" s="16" t="e">
        <f t="shared" si="17"/>
        <v>#N/A</v>
      </c>
      <c r="I93" s="16" t="e">
        <f t="shared" si="10"/>
        <v>#N/A</v>
      </c>
      <c r="J93" s="16"/>
      <c r="K93" s="16"/>
      <c r="L93" s="16"/>
      <c r="M93" s="16"/>
      <c r="N93" s="16">
        <f t="shared" si="11"/>
        <v>0</v>
      </c>
      <c r="O93" s="16" t="e">
        <f t="shared" si="12"/>
        <v>#N/A</v>
      </c>
      <c r="P93" s="16">
        <v>6.9444444444444397E-3</v>
      </c>
      <c r="Q93" s="16"/>
      <c r="R93" s="16">
        <f t="shared" si="13"/>
        <v>-6.9444444444444397E-3</v>
      </c>
      <c r="S93" s="16"/>
      <c r="T93" s="16" t="e">
        <f>VLOOKUP(E93,'[2]21-3-2026'!E$3:T$35,16,FALSE)</f>
        <v>#N/A</v>
      </c>
      <c r="U93" s="16"/>
      <c r="V93" s="16" t="e">
        <f t="shared" si="14"/>
        <v>#N/A</v>
      </c>
      <c r="W93" s="16"/>
      <c r="X93" s="16"/>
      <c r="Y93" s="16"/>
      <c r="Z93" s="16">
        <f t="shared" si="15"/>
        <v>0</v>
      </c>
      <c r="AA93" s="16">
        <f t="shared" si="9"/>
        <v>0</v>
      </c>
      <c r="AB93" s="16"/>
      <c r="AC93" s="19"/>
      <c r="AD93" s="51"/>
    </row>
    <row r="94" spans="1:30" ht="19.5" thickBot="1" x14ac:dyDescent="0.3">
      <c r="A94" s="14">
        <v>27</v>
      </c>
      <c r="B94" s="15"/>
      <c r="C94" s="15" t="e">
        <f>VLOOKUP(B94,داتا!$B$3:$D$107,2,FALSE)</f>
        <v>#N/A</v>
      </c>
      <c r="D94" s="34" t="e">
        <f>VLOOKUP(B94,داتا!$B$3:$D$107,3,FALSE)</f>
        <v>#N/A</v>
      </c>
      <c r="E94" s="15"/>
      <c r="F94" s="15"/>
      <c r="G94" s="16">
        <v>8.3333333333333329E-2</v>
      </c>
      <c r="H94" s="16" t="e">
        <f t="shared" si="17"/>
        <v>#N/A</v>
      </c>
      <c r="I94" s="16" t="e">
        <f t="shared" si="10"/>
        <v>#N/A</v>
      </c>
      <c r="J94" s="16"/>
      <c r="K94" s="16"/>
      <c r="L94" s="16"/>
      <c r="M94" s="16"/>
      <c r="N94" s="16">
        <f t="shared" si="11"/>
        <v>0</v>
      </c>
      <c r="O94" s="16" t="e">
        <f t="shared" si="12"/>
        <v>#N/A</v>
      </c>
      <c r="P94" s="16">
        <v>6.9444444444444397E-3</v>
      </c>
      <c r="Q94" s="16"/>
      <c r="R94" s="16">
        <f t="shared" si="13"/>
        <v>-6.9444444444444397E-3</v>
      </c>
      <c r="S94" s="16"/>
      <c r="T94" s="16" t="e">
        <f>VLOOKUP(E94,'[2]21-3-2026'!E$3:T$35,16,FALSE)</f>
        <v>#N/A</v>
      </c>
      <c r="U94" s="16"/>
      <c r="V94" s="16" t="e">
        <f t="shared" si="14"/>
        <v>#N/A</v>
      </c>
      <c r="W94" s="16"/>
      <c r="X94" s="16"/>
      <c r="Y94" s="16"/>
      <c r="Z94" s="16">
        <f t="shared" si="15"/>
        <v>0</v>
      </c>
      <c r="AA94" s="16">
        <f t="shared" si="9"/>
        <v>0</v>
      </c>
      <c r="AB94" s="16"/>
      <c r="AC94" s="19"/>
      <c r="AD94" s="51"/>
    </row>
    <row r="95" spans="1:30" ht="19.5" thickBot="1" x14ac:dyDescent="0.3">
      <c r="A95" s="14">
        <v>28</v>
      </c>
      <c r="B95" s="15"/>
      <c r="C95" s="15" t="e">
        <f>VLOOKUP(B95,داتا!$B$3:$D$107,2,FALSE)</f>
        <v>#N/A</v>
      </c>
      <c r="D95" s="34" t="e">
        <f>VLOOKUP(B95,داتا!$B$3:$D$107,3,FALSE)</f>
        <v>#N/A</v>
      </c>
      <c r="E95" s="15"/>
      <c r="F95" s="16"/>
      <c r="G95" s="16">
        <v>8.3333333333333329E-2</v>
      </c>
      <c r="H95" s="16" t="e">
        <f t="shared" si="17"/>
        <v>#N/A</v>
      </c>
      <c r="I95" s="16" t="e">
        <f t="shared" si="10"/>
        <v>#N/A</v>
      </c>
      <c r="J95" s="16"/>
      <c r="K95" s="16"/>
      <c r="L95" s="16"/>
      <c r="M95" s="16"/>
      <c r="N95" s="16">
        <f t="shared" si="11"/>
        <v>0</v>
      </c>
      <c r="O95" s="16" t="e">
        <f t="shared" si="12"/>
        <v>#N/A</v>
      </c>
      <c r="P95" s="16">
        <v>6.9444444444444397E-3</v>
      </c>
      <c r="Q95" s="16"/>
      <c r="R95" s="16">
        <f t="shared" si="13"/>
        <v>-6.9444444444444397E-3</v>
      </c>
      <c r="S95" s="16"/>
      <c r="T95" s="16" t="e">
        <f>VLOOKUP(E95,'[2]21-3-2026'!E$3:T$35,16,FALSE)</f>
        <v>#N/A</v>
      </c>
      <c r="U95" s="16"/>
      <c r="V95" s="16" t="e">
        <f t="shared" si="14"/>
        <v>#N/A</v>
      </c>
      <c r="W95" s="16"/>
      <c r="X95" s="16"/>
      <c r="Y95" s="16"/>
      <c r="Z95" s="16">
        <f t="shared" si="15"/>
        <v>0</v>
      </c>
      <c r="AA95" s="16">
        <f t="shared" si="9"/>
        <v>0</v>
      </c>
      <c r="AB95" s="16"/>
      <c r="AC95" s="19"/>
      <c r="AD95" s="51"/>
    </row>
    <row r="96" spans="1:30" ht="19.5" thickBot="1" x14ac:dyDescent="0.3">
      <c r="A96" s="14">
        <v>29</v>
      </c>
      <c r="B96" s="15"/>
      <c r="C96" s="15" t="e">
        <f>VLOOKUP(B96,داتا!$B$3:$D$107,2,FALSE)</f>
        <v>#N/A</v>
      </c>
      <c r="D96" s="34" t="e">
        <f>VLOOKUP(B96,داتا!$B$3:$D$107,3,FALSE)</f>
        <v>#N/A</v>
      </c>
      <c r="E96" s="15"/>
      <c r="F96" s="16"/>
      <c r="G96" s="16">
        <v>8.3333333333333329E-2</v>
      </c>
      <c r="H96" s="16" t="e">
        <f t="shared" si="17"/>
        <v>#N/A</v>
      </c>
      <c r="I96" s="16" t="e">
        <f t="shared" si="10"/>
        <v>#N/A</v>
      </c>
      <c r="J96" s="16"/>
      <c r="K96" s="16"/>
      <c r="L96" s="16"/>
      <c r="M96" s="16"/>
      <c r="N96" s="16">
        <f t="shared" si="11"/>
        <v>0</v>
      </c>
      <c r="O96" s="16" t="e">
        <f t="shared" si="12"/>
        <v>#N/A</v>
      </c>
      <c r="P96" s="16">
        <v>6.9444444444444397E-3</v>
      </c>
      <c r="Q96" s="16"/>
      <c r="R96" s="16">
        <f t="shared" si="13"/>
        <v>-6.9444444444444397E-3</v>
      </c>
      <c r="S96" s="16"/>
      <c r="T96" s="16" t="e">
        <f>VLOOKUP(E96,'[2]21-3-2026'!E$3:T$35,16,FALSE)</f>
        <v>#N/A</v>
      </c>
      <c r="U96" s="16"/>
      <c r="V96" s="16" t="e">
        <f t="shared" si="14"/>
        <v>#N/A</v>
      </c>
      <c r="W96" s="16"/>
      <c r="X96" s="16"/>
      <c r="Y96" s="16"/>
      <c r="Z96" s="16">
        <f t="shared" si="15"/>
        <v>0</v>
      </c>
      <c r="AA96" s="16">
        <f t="shared" si="9"/>
        <v>0</v>
      </c>
      <c r="AB96" s="16"/>
      <c r="AC96" s="19"/>
      <c r="AD96" s="54"/>
    </row>
    <row r="97" spans="1:29" ht="19.5" thickBot="1" x14ac:dyDescent="0.3">
      <c r="A97" s="14">
        <v>30</v>
      </c>
      <c r="B97" s="15"/>
      <c r="C97" s="15" t="e">
        <f>VLOOKUP(B97,داتا!$B$3:$D$107,2,FALSE)</f>
        <v>#N/A</v>
      </c>
      <c r="D97" s="34" t="e">
        <f>VLOOKUP(B97,داتا!$B$3:$D$107,3,FALSE)</f>
        <v>#N/A</v>
      </c>
      <c r="E97" s="15"/>
      <c r="F97" s="16"/>
      <c r="G97" s="16">
        <v>8.3333333333333329E-2</v>
      </c>
      <c r="H97" s="16" t="e">
        <f t="shared" si="17"/>
        <v>#N/A</v>
      </c>
      <c r="I97" s="16" t="e">
        <f t="shared" si="10"/>
        <v>#N/A</v>
      </c>
      <c r="J97" s="16"/>
      <c r="K97" s="16"/>
      <c r="L97" s="16"/>
      <c r="M97" s="16"/>
      <c r="N97" s="16">
        <f t="shared" si="11"/>
        <v>0</v>
      </c>
      <c r="O97" s="16" t="e">
        <f t="shared" si="12"/>
        <v>#N/A</v>
      </c>
      <c r="P97" s="16">
        <v>6.9444444444444397E-3</v>
      </c>
      <c r="Q97" s="16"/>
      <c r="R97" s="16">
        <f t="shared" si="13"/>
        <v>-6.9444444444444397E-3</v>
      </c>
      <c r="S97" s="16"/>
      <c r="T97" s="16" t="e">
        <f>VLOOKUP(E97,'[2]21-3-2026'!E$3:T$35,16,FALSE)</f>
        <v>#N/A</v>
      </c>
      <c r="U97" s="16"/>
      <c r="V97" s="16" t="e">
        <f t="shared" si="14"/>
        <v>#N/A</v>
      </c>
      <c r="W97" s="16"/>
      <c r="X97" s="16"/>
      <c r="Y97" s="16"/>
      <c r="Z97" s="16">
        <f t="shared" si="15"/>
        <v>0</v>
      </c>
      <c r="AA97" s="16">
        <f t="shared" si="9"/>
        <v>0</v>
      </c>
      <c r="AB97" s="16"/>
      <c r="AC97" s="19"/>
    </row>
    <row r="98" spans="1:29" ht="19.5" thickBot="1" x14ac:dyDescent="0.3">
      <c r="A98" s="14">
        <v>31</v>
      </c>
      <c r="B98" s="15"/>
      <c r="C98" s="15" t="e">
        <f>VLOOKUP(B98,داتا!$B$3:$D$107,2,FALSE)</f>
        <v>#N/A</v>
      </c>
      <c r="D98" s="34" t="e">
        <f>VLOOKUP(B98,داتا!$B$3:$D$107,3,FALSE)</f>
        <v>#N/A</v>
      </c>
      <c r="E98" s="15"/>
      <c r="F98" s="16"/>
      <c r="G98" s="16">
        <v>8.3333333333333329E-2</v>
      </c>
      <c r="H98" s="16" t="e">
        <f t="shared" si="17"/>
        <v>#N/A</v>
      </c>
      <c r="I98" s="16" t="e">
        <f t="shared" si="10"/>
        <v>#N/A</v>
      </c>
      <c r="J98" s="16"/>
      <c r="K98" s="16"/>
      <c r="L98" s="16"/>
      <c r="M98" s="16"/>
      <c r="N98" s="16">
        <f t="shared" si="11"/>
        <v>0</v>
      </c>
      <c r="O98" s="16" t="e">
        <f t="shared" si="12"/>
        <v>#N/A</v>
      </c>
      <c r="P98" s="16">
        <v>6.9444444444444397E-3</v>
      </c>
      <c r="Q98" s="16"/>
      <c r="R98" s="16">
        <f t="shared" si="13"/>
        <v>-6.9444444444444397E-3</v>
      </c>
      <c r="S98" s="16"/>
      <c r="T98" s="16" t="e">
        <f>VLOOKUP(E98,'[2]21-3-2026'!E$3:T$35,16,FALSE)</f>
        <v>#N/A</v>
      </c>
      <c r="U98" s="16"/>
      <c r="V98" s="16" t="e">
        <f t="shared" si="14"/>
        <v>#N/A</v>
      </c>
      <c r="W98" s="16"/>
      <c r="X98" s="16"/>
      <c r="Y98" s="16"/>
      <c r="Z98" s="16">
        <f t="shared" si="15"/>
        <v>0</v>
      </c>
      <c r="AA98" s="16">
        <f t="shared" si="9"/>
        <v>0</v>
      </c>
      <c r="AB98" s="16"/>
      <c r="AC98" s="19"/>
    </row>
    <row r="99" spans="1:29" ht="19.5" thickBot="1" x14ac:dyDescent="0.3">
      <c r="A99" s="20">
        <v>32</v>
      </c>
      <c r="B99" s="21"/>
      <c r="C99" s="21" t="e">
        <f>VLOOKUP(B99,داتا!$B$3:$D$107,2,FALSE)</f>
        <v>#N/A</v>
      </c>
      <c r="D99" s="35" t="e">
        <f>VLOOKUP(B99,داتا!$B$3:$D$107,3,FALSE)</f>
        <v>#N/A</v>
      </c>
      <c r="E99" s="21"/>
      <c r="F99" s="22"/>
      <c r="G99" s="22">
        <v>8.3333333333333329E-2</v>
      </c>
      <c r="H99" s="22" t="e">
        <f t="shared" si="17"/>
        <v>#N/A</v>
      </c>
      <c r="I99" s="22" t="e">
        <f t="shared" si="10"/>
        <v>#N/A</v>
      </c>
      <c r="J99" s="22"/>
      <c r="K99" s="22"/>
      <c r="L99" s="22"/>
      <c r="M99" s="22"/>
      <c r="N99" s="22">
        <f t="shared" si="11"/>
        <v>0</v>
      </c>
      <c r="O99" s="22" t="e">
        <f t="shared" si="12"/>
        <v>#N/A</v>
      </c>
      <c r="P99" s="22">
        <v>6.9444444444444397E-3</v>
      </c>
      <c r="Q99" s="22"/>
      <c r="R99" s="22">
        <f t="shared" si="13"/>
        <v>-6.9444444444444397E-3</v>
      </c>
      <c r="S99" s="22"/>
      <c r="T99" s="22" t="e">
        <f>VLOOKUP(E99,'[2]21-3-2026'!E$3:T$35,16,FALSE)</f>
        <v>#N/A</v>
      </c>
      <c r="U99" s="22"/>
      <c r="V99" s="22" t="e">
        <f t="shared" si="14"/>
        <v>#N/A</v>
      </c>
      <c r="W99" s="22"/>
      <c r="X99" s="22"/>
      <c r="Y99" s="22"/>
      <c r="Z99" s="22">
        <f t="shared" si="15"/>
        <v>0</v>
      </c>
      <c r="AA99" s="22">
        <f t="shared" si="9"/>
        <v>0</v>
      </c>
      <c r="AB99" s="22"/>
      <c r="AC99" s="30"/>
    </row>
    <row r="100" spans="1:29" ht="16.5" thickTop="1" x14ac:dyDescent="0.25"/>
  </sheetData>
  <mergeCells count="4">
    <mergeCell ref="A1:AC1"/>
    <mergeCell ref="AD3:AD35"/>
    <mergeCell ref="AD36:AD67"/>
    <mergeCell ref="AD68:AD96"/>
  </mergeCells>
  <conditionalFormatting sqref="AC1:AC96 AC100:AC1048576">
    <cfRule type="containsText" dxfId="269" priority="14" operator="containsText" text="ت">
      <formula>NOT(ISERROR(SEARCH("ت",AC1)))</formula>
    </cfRule>
  </conditionalFormatting>
  <conditionalFormatting sqref="AC4:AC96">
    <cfRule type="containsText" dxfId="268" priority="13" operator="containsText" text="ت">
      <formula>NOT(ISERROR(SEARCH("ت",AC4)))</formula>
    </cfRule>
  </conditionalFormatting>
  <conditionalFormatting sqref="O1:O2 I1:I2 R1:R2 V1:V2 AA100:AA1048576 V100:V1048576 R100:R1048576 O100:O1048576 I100:I1048576 AA1:AA2">
    <cfRule type="cellIs" dxfId="267" priority="15" operator="between">
      <formula>0.00277777777777778</formula>
      <formula>1</formula>
    </cfRule>
  </conditionalFormatting>
  <conditionalFormatting sqref="AC97:AC99">
    <cfRule type="containsText" dxfId="266" priority="12" operator="containsText" text="ت">
      <formula>NOT(ISERROR(SEARCH("ت",AC97)))</formula>
    </cfRule>
  </conditionalFormatting>
  <conditionalFormatting sqref="AC97:AC99">
    <cfRule type="containsText" dxfId="265" priority="11" operator="containsText" text="ت">
      <formula>NOT(ISERROR(SEARCH("ت",AC97)))</formula>
    </cfRule>
  </conditionalFormatting>
  <conditionalFormatting sqref="I3:I99">
    <cfRule type="cellIs" dxfId="264" priority="9" operator="between">
      <formula>0.00277777777777778</formula>
      <formula>1</formula>
    </cfRule>
  </conditionalFormatting>
  <conditionalFormatting sqref="I3:I99">
    <cfRule type="cellIs" dxfId="263" priority="10" operator="between">
      <formula>0.00277777777777778</formula>
      <formula>1</formula>
    </cfRule>
  </conditionalFormatting>
  <conditionalFormatting sqref="O3:O99">
    <cfRule type="cellIs" dxfId="262" priority="7" operator="between">
      <formula>0.00277777777777778</formula>
      <formula>1</formula>
    </cfRule>
  </conditionalFormatting>
  <conditionalFormatting sqref="O3:O99">
    <cfRule type="cellIs" dxfId="261" priority="8" operator="between">
      <formula>0.00277777777777778</formula>
      <formula>1</formula>
    </cfRule>
  </conditionalFormatting>
  <conditionalFormatting sqref="R3:R99">
    <cfRule type="cellIs" dxfId="260" priority="5" operator="between">
      <formula>0.00277777777777778</formula>
      <formula>1</formula>
    </cfRule>
  </conditionalFormatting>
  <conditionalFormatting sqref="R3:R99">
    <cfRule type="cellIs" dxfId="259" priority="6" operator="between">
      <formula>0.00277777777777778</formula>
      <formula>1</formula>
    </cfRule>
  </conditionalFormatting>
  <conditionalFormatting sqref="V3:V99">
    <cfRule type="cellIs" dxfId="258" priority="3" operator="between">
      <formula>0.00277777777777778</formula>
      <formula>1</formula>
    </cfRule>
  </conditionalFormatting>
  <conditionalFormatting sqref="V3:V99">
    <cfRule type="cellIs" dxfId="257" priority="4" operator="between">
      <formula>0.00277777777777778</formula>
      <formula>1</formula>
    </cfRule>
  </conditionalFormatting>
  <conditionalFormatting sqref="AA3:AA99">
    <cfRule type="cellIs" dxfId="256" priority="1" operator="between">
      <formula>0.00277777777777778</formula>
      <formula>1</formula>
    </cfRule>
  </conditionalFormatting>
  <conditionalFormatting sqref="AA3:AA99">
    <cfRule type="cellIs" dxfId="255" priority="2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"/>
  <sheetViews>
    <sheetView rightToLeft="1" workbookViewId="0">
      <pane xSplit="6" ySplit="2" topLeftCell="G68" activePane="bottomRight" state="frozen"/>
      <selection activeCell="A92" sqref="A92"/>
      <selection pane="topRight" activeCell="A92" sqref="A92"/>
      <selection pane="bottomLeft" activeCell="A92" sqref="A92"/>
      <selection pane="bottomRight" activeCell="A2" sqref="A2"/>
    </sheetView>
  </sheetViews>
  <sheetFormatPr defaultColWidth="9" defaultRowHeight="15.75" x14ac:dyDescent="0.25"/>
  <cols>
    <col min="1" max="1" width="5.42578125" customWidth="1"/>
    <col min="2" max="2" width="12.28515625" customWidth="1"/>
    <col min="3" max="3" width="12.5703125" customWidth="1"/>
    <col min="4" max="4" width="16.140625" style="36" customWidth="1"/>
    <col min="5" max="5" width="17.140625" customWidth="1"/>
    <col min="6" max="6" width="20.85546875" customWidth="1"/>
    <col min="7" max="7" width="12.7109375" customWidth="1"/>
    <col min="8" max="9" width="12.85546875" customWidth="1"/>
    <col min="10" max="10" width="12.5703125" customWidth="1"/>
    <col min="11" max="11" width="14.28515625" customWidth="1"/>
    <col min="12" max="12" width="22.7109375" customWidth="1"/>
    <col min="13" max="13" width="18.8554687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3.85546875" style="31" customWidth="1"/>
    <col min="30" max="30" width="11.140625" customWidth="1"/>
  </cols>
  <sheetData>
    <row r="1" spans="1:30" ht="33.75" customHeight="1" thickBot="1" x14ac:dyDescent="0.3">
      <c r="A1" s="46" t="s">
        <v>133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0" ht="49.5" customHeight="1" thickTop="1" thickBot="1" x14ac:dyDescent="0.3">
      <c r="A2" s="1" t="s">
        <v>1</v>
      </c>
      <c r="B2" s="2" t="s">
        <v>2</v>
      </c>
      <c r="C2" s="2" t="s">
        <v>3</v>
      </c>
      <c r="D2" s="3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8" t="s">
        <v>18</v>
      </c>
      <c r="S2" s="2" t="s">
        <v>19</v>
      </c>
      <c r="T2" s="8" t="s">
        <v>20</v>
      </c>
      <c r="U2" s="2" t="s">
        <v>21</v>
      </c>
      <c r="V2" s="8" t="s">
        <v>22</v>
      </c>
      <c r="W2" s="8" t="s">
        <v>23</v>
      </c>
      <c r="X2" s="2" t="s">
        <v>24</v>
      </c>
      <c r="Y2" s="2" t="s">
        <v>25</v>
      </c>
      <c r="Z2" s="2" t="s">
        <v>26</v>
      </c>
      <c r="AA2" s="8" t="s">
        <v>27</v>
      </c>
      <c r="AB2" s="2" t="s">
        <v>28</v>
      </c>
      <c r="AC2" s="9" t="s">
        <v>29</v>
      </c>
    </row>
    <row r="3" spans="1:30" ht="20.25" customHeight="1" thickTop="1" thickBot="1" x14ac:dyDescent="0.3">
      <c r="A3" s="10">
        <v>1</v>
      </c>
      <c r="B3" s="11"/>
      <c r="C3" s="11" t="e">
        <f>VLOOKUP(B3,داتا!$B$3:$D$107,2,FALSE)</f>
        <v>#N/A</v>
      </c>
      <c r="D3" s="33" t="e">
        <f>VLOOKUP(B3,داتا!$B$3:$D$107,3,FALSE)</f>
        <v>#N/A</v>
      </c>
      <c r="E3" s="11"/>
      <c r="F3" s="11"/>
      <c r="G3" s="12">
        <v>0.25</v>
      </c>
      <c r="H3" s="12"/>
      <c r="I3" s="12">
        <f>H3-G3</f>
        <v>-0.25</v>
      </c>
      <c r="J3" s="12"/>
      <c r="K3" s="12"/>
      <c r="L3" s="12"/>
      <c r="M3" s="12"/>
      <c r="N3" s="12">
        <f>K3-J3</f>
        <v>0</v>
      </c>
      <c r="O3" s="12" t="e">
        <f>N3-D3</f>
        <v>#N/A</v>
      </c>
      <c r="P3" s="12">
        <v>6.9444444444444397E-3</v>
      </c>
      <c r="Q3" s="12"/>
      <c r="R3" s="12">
        <f>Q3-P3-K3</f>
        <v>-6.9444444444444397E-3</v>
      </c>
      <c r="S3" s="12"/>
      <c r="T3" s="12" t="e">
        <f>VLOOKUP(E3,'[2]21-3-2026'!E$3:T$35,16,FALSE)</f>
        <v>#N/A</v>
      </c>
      <c r="U3" s="12"/>
      <c r="V3" s="12" t="e">
        <f>U3-T3-S3</f>
        <v>#N/A</v>
      </c>
      <c r="W3" s="12"/>
      <c r="X3" s="12"/>
      <c r="Y3" s="12"/>
      <c r="Z3" s="12">
        <f>Y3-X3</f>
        <v>0</v>
      </c>
      <c r="AA3" s="12">
        <f t="shared" ref="AA3:AA66" si="0">Z3-W3</f>
        <v>0</v>
      </c>
      <c r="AB3" s="12"/>
      <c r="AC3" s="13"/>
      <c r="AD3" s="47" t="s">
        <v>33</v>
      </c>
    </row>
    <row r="4" spans="1:30" ht="19.5" thickBot="1" x14ac:dyDescent="0.3">
      <c r="A4" s="14">
        <v>2</v>
      </c>
      <c r="B4" s="15"/>
      <c r="C4" s="15" t="e">
        <f>VLOOKUP(B4,داتا!$B$3:$D$107,2,FALSE)</f>
        <v>#N/A</v>
      </c>
      <c r="D4" s="34" t="e">
        <f>VLOOKUP(B4,داتا!$B$3:$D$107,3,FALSE)</f>
        <v>#N/A</v>
      </c>
      <c r="E4" s="15"/>
      <c r="F4" s="15"/>
      <c r="G4" s="16">
        <v>0.25</v>
      </c>
      <c r="H4" s="16"/>
      <c r="I4" s="16">
        <f t="shared" ref="I4:I67" si="1">H4-G4</f>
        <v>-0.25</v>
      </c>
      <c r="J4" s="16"/>
      <c r="K4" s="16"/>
      <c r="L4" s="16"/>
      <c r="M4" s="16"/>
      <c r="N4" s="16">
        <f t="shared" ref="N4:N67" si="2">K4-J4</f>
        <v>0</v>
      </c>
      <c r="O4" s="16" t="e">
        <f t="shared" ref="O4:O67" si="3">N4-D4</f>
        <v>#N/A</v>
      </c>
      <c r="P4" s="16">
        <v>6.9444444444444397E-3</v>
      </c>
      <c r="Q4" s="16"/>
      <c r="R4" s="16">
        <f t="shared" ref="R4:R67" si="4">Q4-P4-K4</f>
        <v>-6.9444444444444397E-3</v>
      </c>
      <c r="S4" s="16"/>
      <c r="T4" s="16" t="e">
        <f>VLOOKUP(E4,'[2]21-3-2026'!E$3:T$35,16,FALSE)</f>
        <v>#N/A</v>
      </c>
      <c r="U4" s="16"/>
      <c r="V4" s="16" t="e">
        <f t="shared" ref="V4:V67" si="5">U4-T4-S4</f>
        <v>#N/A</v>
      </c>
      <c r="W4" s="16"/>
      <c r="X4" s="16"/>
      <c r="Y4" s="16"/>
      <c r="Z4" s="16">
        <f t="shared" ref="Z4:Z67" si="6">Y4-X4</f>
        <v>0</v>
      </c>
      <c r="AA4" s="16">
        <f t="shared" si="0"/>
        <v>0</v>
      </c>
      <c r="AB4" s="16"/>
      <c r="AC4" s="17"/>
      <c r="AD4" s="48"/>
    </row>
    <row r="5" spans="1:30" ht="19.5" thickBot="1" x14ac:dyDescent="0.3">
      <c r="A5" s="14">
        <v>3</v>
      </c>
      <c r="B5" s="15"/>
      <c r="C5" s="15" t="e">
        <f>VLOOKUP(B5,داتا!$B$3:$D$107,2,FALSE)</f>
        <v>#N/A</v>
      </c>
      <c r="D5" s="34" t="e">
        <f>VLOOKUP(B5,داتا!$B$3:$D$107,3,FALSE)</f>
        <v>#N/A</v>
      </c>
      <c r="E5" s="15"/>
      <c r="F5" s="15"/>
      <c r="G5" s="16">
        <v>0.25</v>
      </c>
      <c r="H5" s="16"/>
      <c r="I5" s="16">
        <f t="shared" si="1"/>
        <v>-0.25</v>
      </c>
      <c r="J5" s="16"/>
      <c r="K5" s="16"/>
      <c r="L5" s="16"/>
      <c r="M5" s="16"/>
      <c r="N5" s="16">
        <f t="shared" si="2"/>
        <v>0</v>
      </c>
      <c r="O5" s="16" t="e">
        <f t="shared" si="3"/>
        <v>#N/A</v>
      </c>
      <c r="P5" s="16">
        <v>6.9444444444444397E-3</v>
      </c>
      <c r="Q5" s="16"/>
      <c r="R5" s="16">
        <f t="shared" si="4"/>
        <v>-6.9444444444444397E-3</v>
      </c>
      <c r="S5" s="16"/>
      <c r="T5" s="16" t="e">
        <f>VLOOKUP(E5,'[2]21-3-2026'!E$3:T$35,16,FALSE)</f>
        <v>#N/A</v>
      </c>
      <c r="U5" s="16"/>
      <c r="V5" s="16" t="e">
        <f t="shared" si="5"/>
        <v>#N/A</v>
      </c>
      <c r="W5" s="16"/>
      <c r="X5" s="16"/>
      <c r="Y5" s="16"/>
      <c r="Z5" s="16">
        <f t="shared" si="6"/>
        <v>0</v>
      </c>
      <c r="AA5" s="16">
        <f t="shared" si="0"/>
        <v>0</v>
      </c>
      <c r="AB5" s="16"/>
      <c r="AC5" s="17"/>
      <c r="AD5" s="48"/>
    </row>
    <row r="6" spans="1:30" ht="19.5" thickBot="1" x14ac:dyDescent="0.3">
      <c r="A6" s="14">
        <v>4</v>
      </c>
      <c r="B6" s="15"/>
      <c r="C6" s="15" t="e">
        <f>VLOOKUP(B6,داتا!$B$3:$D$107,2,FALSE)</f>
        <v>#N/A</v>
      </c>
      <c r="D6" s="34" t="e">
        <f>VLOOKUP(B6,داتا!$B$3:$D$107,3,FALSE)</f>
        <v>#N/A</v>
      </c>
      <c r="E6" s="15"/>
      <c r="F6" s="15"/>
      <c r="G6" s="16">
        <v>0.25</v>
      </c>
      <c r="H6" s="16"/>
      <c r="I6" s="16">
        <f t="shared" si="1"/>
        <v>-0.25</v>
      </c>
      <c r="J6" s="16"/>
      <c r="K6" s="16"/>
      <c r="L6" s="16"/>
      <c r="M6" s="16"/>
      <c r="N6" s="16">
        <f t="shared" si="2"/>
        <v>0</v>
      </c>
      <c r="O6" s="16" t="e">
        <f t="shared" si="3"/>
        <v>#N/A</v>
      </c>
      <c r="P6" s="16">
        <v>6.9444444444444397E-3</v>
      </c>
      <c r="Q6" s="16"/>
      <c r="R6" s="16">
        <f t="shared" si="4"/>
        <v>-6.9444444444444397E-3</v>
      </c>
      <c r="S6" s="16"/>
      <c r="T6" s="16" t="e">
        <f>VLOOKUP(E6,'[2]21-3-2026'!E$3:T$35,16,FALSE)</f>
        <v>#N/A</v>
      </c>
      <c r="U6" s="16"/>
      <c r="V6" s="16" t="e">
        <f t="shared" si="5"/>
        <v>#N/A</v>
      </c>
      <c r="W6" s="16"/>
      <c r="X6" s="16"/>
      <c r="Y6" s="16"/>
      <c r="Z6" s="16">
        <f t="shared" si="6"/>
        <v>0</v>
      </c>
      <c r="AA6" s="16">
        <f t="shared" si="0"/>
        <v>0</v>
      </c>
      <c r="AB6" s="16"/>
      <c r="AC6" s="17"/>
      <c r="AD6" s="48"/>
    </row>
    <row r="7" spans="1:30" ht="19.5" thickBot="1" x14ac:dyDescent="0.3">
      <c r="A7" s="14">
        <v>5</v>
      </c>
      <c r="B7" s="15"/>
      <c r="C7" s="15" t="e">
        <f>VLOOKUP(B7,داتا!$B$3:$D$107,2,FALSE)</f>
        <v>#N/A</v>
      </c>
      <c r="D7" s="34" t="e">
        <f>VLOOKUP(B7,داتا!$B$3:$D$107,3,FALSE)</f>
        <v>#N/A</v>
      </c>
      <c r="E7" s="15"/>
      <c r="F7" s="15"/>
      <c r="G7" s="16">
        <v>0.25</v>
      </c>
      <c r="H7" s="16"/>
      <c r="I7" s="16">
        <f t="shared" si="1"/>
        <v>-0.25</v>
      </c>
      <c r="J7" s="16"/>
      <c r="K7" s="16"/>
      <c r="L7" s="16"/>
      <c r="M7" s="16"/>
      <c r="N7" s="16">
        <f t="shared" si="2"/>
        <v>0</v>
      </c>
      <c r="O7" s="16" t="e">
        <f t="shared" si="3"/>
        <v>#N/A</v>
      </c>
      <c r="P7" s="16">
        <v>6.9444444444444397E-3</v>
      </c>
      <c r="Q7" s="16"/>
      <c r="R7" s="16">
        <f t="shared" si="4"/>
        <v>-6.9444444444444397E-3</v>
      </c>
      <c r="S7" s="16"/>
      <c r="T7" s="16" t="e">
        <f>VLOOKUP(E7,'[2]21-3-2026'!E$3:T$35,16,FALSE)</f>
        <v>#N/A</v>
      </c>
      <c r="U7" s="16"/>
      <c r="V7" s="16" t="e">
        <f t="shared" si="5"/>
        <v>#N/A</v>
      </c>
      <c r="W7" s="16"/>
      <c r="X7" s="16"/>
      <c r="Y7" s="16"/>
      <c r="Z7" s="16">
        <f t="shared" si="6"/>
        <v>0</v>
      </c>
      <c r="AA7" s="16">
        <f t="shared" si="0"/>
        <v>0</v>
      </c>
      <c r="AB7" s="16"/>
      <c r="AC7" s="17"/>
      <c r="AD7" s="48"/>
    </row>
    <row r="8" spans="1:30" ht="19.5" thickBot="1" x14ac:dyDescent="0.3">
      <c r="A8" s="14">
        <v>6</v>
      </c>
      <c r="B8" s="15"/>
      <c r="C8" s="15" t="e">
        <f>VLOOKUP(B8,داتا!$B$3:$D$107,2,FALSE)</f>
        <v>#N/A</v>
      </c>
      <c r="D8" s="34" t="e">
        <f>VLOOKUP(B8,داتا!$B$3:$D$107,3,FALSE)</f>
        <v>#N/A</v>
      </c>
      <c r="E8" s="15"/>
      <c r="F8" s="15"/>
      <c r="G8" s="16">
        <v>0.25</v>
      </c>
      <c r="H8" s="16"/>
      <c r="I8" s="16">
        <f t="shared" si="1"/>
        <v>-0.25</v>
      </c>
      <c r="J8" s="16"/>
      <c r="K8" s="16"/>
      <c r="L8" s="16"/>
      <c r="M8" s="16"/>
      <c r="N8" s="16">
        <f t="shared" si="2"/>
        <v>0</v>
      </c>
      <c r="O8" s="16" t="e">
        <f t="shared" si="3"/>
        <v>#N/A</v>
      </c>
      <c r="P8" s="16">
        <v>6.9444444444444397E-3</v>
      </c>
      <c r="Q8" s="16"/>
      <c r="R8" s="16">
        <f t="shared" si="4"/>
        <v>-6.9444444444444397E-3</v>
      </c>
      <c r="S8" s="16"/>
      <c r="T8" s="16" t="e">
        <f>VLOOKUP(E8,'[2]21-3-2026'!E$3:T$35,16,FALSE)</f>
        <v>#N/A</v>
      </c>
      <c r="U8" s="16"/>
      <c r="V8" s="16" t="e">
        <f t="shared" si="5"/>
        <v>#N/A</v>
      </c>
      <c r="W8" s="16"/>
      <c r="X8" s="16"/>
      <c r="Y8" s="16"/>
      <c r="Z8" s="16">
        <f t="shared" si="6"/>
        <v>0</v>
      </c>
      <c r="AA8" s="16">
        <f t="shared" si="0"/>
        <v>0</v>
      </c>
      <c r="AB8" s="16"/>
      <c r="AC8" s="18"/>
      <c r="AD8" s="48"/>
    </row>
    <row r="9" spans="1:30" ht="19.5" thickBot="1" x14ac:dyDescent="0.3">
      <c r="A9" s="14">
        <v>7</v>
      </c>
      <c r="B9" s="15"/>
      <c r="C9" s="15" t="e">
        <f>VLOOKUP(B9,داتا!$B$3:$D$107,2,FALSE)</f>
        <v>#N/A</v>
      </c>
      <c r="D9" s="34" t="e">
        <f>VLOOKUP(B9,داتا!$B$3:$D$107,3,FALSE)</f>
        <v>#N/A</v>
      </c>
      <c r="E9" s="15"/>
      <c r="F9" s="15"/>
      <c r="G9" s="16">
        <v>0.25</v>
      </c>
      <c r="H9" s="16"/>
      <c r="I9" s="16">
        <f t="shared" si="1"/>
        <v>-0.25</v>
      </c>
      <c r="J9" s="16"/>
      <c r="K9" s="16"/>
      <c r="L9" s="16"/>
      <c r="M9" s="16"/>
      <c r="N9" s="16">
        <f t="shared" si="2"/>
        <v>0</v>
      </c>
      <c r="O9" s="16" t="e">
        <f t="shared" si="3"/>
        <v>#N/A</v>
      </c>
      <c r="P9" s="16">
        <v>6.9444444444444397E-3</v>
      </c>
      <c r="Q9" s="16"/>
      <c r="R9" s="16">
        <f t="shared" si="4"/>
        <v>-6.9444444444444397E-3</v>
      </c>
      <c r="S9" s="16"/>
      <c r="T9" s="16" t="e">
        <f>VLOOKUP(E9,'[2]21-3-2026'!E$3:T$35,16,FALSE)</f>
        <v>#N/A</v>
      </c>
      <c r="U9" s="16"/>
      <c r="V9" s="16" t="e">
        <f t="shared" si="5"/>
        <v>#N/A</v>
      </c>
      <c r="W9" s="16"/>
      <c r="X9" s="16"/>
      <c r="Y9" s="16"/>
      <c r="Z9" s="16">
        <f t="shared" si="6"/>
        <v>0</v>
      </c>
      <c r="AA9" s="16">
        <f t="shared" si="0"/>
        <v>0</v>
      </c>
      <c r="AB9" s="16"/>
      <c r="AC9" s="17"/>
      <c r="AD9" s="48"/>
    </row>
    <row r="10" spans="1:30" ht="19.5" thickBot="1" x14ac:dyDescent="0.3">
      <c r="A10" s="14">
        <v>8</v>
      </c>
      <c r="B10" s="15"/>
      <c r="C10" s="15" t="e">
        <f>VLOOKUP(B10,داتا!$B$3:$D$107,2,FALSE)</f>
        <v>#N/A</v>
      </c>
      <c r="D10" s="34" t="e">
        <f>VLOOKUP(B10,داتا!$B$3:$D$107,3,FALSE)</f>
        <v>#N/A</v>
      </c>
      <c r="E10" s="15"/>
      <c r="F10" s="15"/>
      <c r="G10" s="16">
        <v>0.25</v>
      </c>
      <c r="H10" s="16"/>
      <c r="I10" s="16">
        <f t="shared" si="1"/>
        <v>-0.25</v>
      </c>
      <c r="J10" s="16"/>
      <c r="K10" s="16"/>
      <c r="L10" s="16"/>
      <c r="M10" s="16"/>
      <c r="N10" s="16">
        <f t="shared" si="2"/>
        <v>0</v>
      </c>
      <c r="O10" s="16" t="e">
        <f t="shared" si="3"/>
        <v>#N/A</v>
      </c>
      <c r="P10" s="16">
        <v>6.9444444444444397E-3</v>
      </c>
      <c r="Q10" s="16"/>
      <c r="R10" s="16">
        <f t="shared" si="4"/>
        <v>-6.9444444444444397E-3</v>
      </c>
      <c r="S10" s="16"/>
      <c r="T10" s="16" t="e">
        <f>VLOOKUP(E10,'[2]21-3-2026'!E$3:T$35,16,FALSE)</f>
        <v>#N/A</v>
      </c>
      <c r="U10" s="16"/>
      <c r="V10" s="16" t="e">
        <f t="shared" si="5"/>
        <v>#N/A</v>
      </c>
      <c r="W10" s="16"/>
      <c r="X10" s="16"/>
      <c r="Y10" s="16"/>
      <c r="Z10" s="16">
        <f t="shared" si="6"/>
        <v>0</v>
      </c>
      <c r="AA10" s="16">
        <f t="shared" si="0"/>
        <v>0</v>
      </c>
      <c r="AB10" s="16"/>
      <c r="AC10" s="17"/>
      <c r="AD10" s="48"/>
    </row>
    <row r="11" spans="1:30" ht="19.5" thickBot="1" x14ac:dyDescent="0.3">
      <c r="A11" s="14">
        <v>9</v>
      </c>
      <c r="B11" s="15"/>
      <c r="C11" s="15" t="e">
        <f>VLOOKUP(B11,داتا!$B$3:$D$107,2,FALSE)</f>
        <v>#N/A</v>
      </c>
      <c r="D11" s="34" t="e">
        <f>VLOOKUP(B11,داتا!$B$3:$D$107,3,FALSE)</f>
        <v>#N/A</v>
      </c>
      <c r="E11" s="15"/>
      <c r="F11" s="15"/>
      <c r="G11" s="16">
        <v>0.25</v>
      </c>
      <c r="H11" s="16"/>
      <c r="I11" s="16">
        <f t="shared" si="1"/>
        <v>-0.25</v>
      </c>
      <c r="J11" s="16"/>
      <c r="K11" s="16"/>
      <c r="L11" s="16"/>
      <c r="M11" s="16"/>
      <c r="N11" s="16">
        <f t="shared" si="2"/>
        <v>0</v>
      </c>
      <c r="O11" s="16" t="e">
        <f t="shared" si="3"/>
        <v>#N/A</v>
      </c>
      <c r="P11" s="16">
        <v>6.9444444444444397E-3</v>
      </c>
      <c r="Q11" s="16"/>
      <c r="R11" s="16">
        <f t="shared" si="4"/>
        <v>-6.9444444444444397E-3</v>
      </c>
      <c r="S11" s="16"/>
      <c r="T11" s="16" t="e">
        <f>VLOOKUP(E11,'[2]21-3-2026'!E$3:T$35,16,FALSE)</f>
        <v>#N/A</v>
      </c>
      <c r="U11" s="16"/>
      <c r="V11" s="16" t="e">
        <f t="shared" si="5"/>
        <v>#N/A</v>
      </c>
      <c r="W11" s="16"/>
      <c r="X11" s="16"/>
      <c r="Y11" s="16"/>
      <c r="Z11" s="16">
        <f t="shared" si="6"/>
        <v>0</v>
      </c>
      <c r="AA11" s="16">
        <f t="shared" si="0"/>
        <v>0</v>
      </c>
      <c r="AB11" s="16"/>
      <c r="AC11" s="17"/>
      <c r="AD11" s="48"/>
    </row>
    <row r="12" spans="1:30" ht="19.5" thickBot="1" x14ac:dyDescent="0.3">
      <c r="A12" s="14">
        <v>10</v>
      </c>
      <c r="B12" s="15"/>
      <c r="C12" s="15" t="e">
        <f>VLOOKUP(B12,داتا!$B$3:$D$107,2,FALSE)</f>
        <v>#N/A</v>
      </c>
      <c r="D12" s="34" t="e">
        <f>VLOOKUP(B12,داتا!$B$3:$D$107,3,FALSE)</f>
        <v>#N/A</v>
      </c>
      <c r="E12" s="15"/>
      <c r="F12" s="15"/>
      <c r="G12" s="16">
        <v>0.25</v>
      </c>
      <c r="H12" s="16"/>
      <c r="I12" s="16">
        <f t="shared" si="1"/>
        <v>-0.25</v>
      </c>
      <c r="J12" s="16"/>
      <c r="K12" s="16"/>
      <c r="L12" s="16"/>
      <c r="M12" s="16"/>
      <c r="N12" s="16">
        <f t="shared" si="2"/>
        <v>0</v>
      </c>
      <c r="O12" s="16" t="e">
        <f t="shared" si="3"/>
        <v>#N/A</v>
      </c>
      <c r="P12" s="16">
        <v>6.9444444444444397E-3</v>
      </c>
      <c r="Q12" s="16"/>
      <c r="R12" s="16">
        <f t="shared" si="4"/>
        <v>-6.9444444444444397E-3</v>
      </c>
      <c r="S12" s="16"/>
      <c r="T12" s="16" t="e">
        <f>VLOOKUP(E12,'[2]21-3-2026'!E$3:T$35,16,FALSE)</f>
        <v>#N/A</v>
      </c>
      <c r="U12" s="16"/>
      <c r="V12" s="16" t="e">
        <f t="shared" si="5"/>
        <v>#N/A</v>
      </c>
      <c r="W12" s="16"/>
      <c r="X12" s="16"/>
      <c r="Y12" s="16"/>
      <c r="Z12" s="16">
        <f t="shared" si="6"/>
        <v>0</v>
      </c>
      <c r="AA12" s="16">
        <f t="shared" si="0"/>
        <v>0</v>
      </c>
      <c r="AB12" s="16"/>
      <c r="AC12" s="17"/>
      <c r="AD12" s="48"/>
    </row>
    <row r="13" spans="1:30" ht="19.5" thickBot="1" x14ac:dyDescent="0.3">
      <c r="A13" s="14">
        <v>11</v>
      </c>
      <c r="B13" s="15"/>
      <c r="C13" s="15" t="e">
        <f>VLOOKUP(B13,داتا!$B$3:$D$107,2,FALSE)</f>
        <v>#N/A</v>
      </c>
      <c r="D13" s="34" t="e">
        <f>VLOOKUP(B13,داتا!$B$3:$D$107,3,FALSE)</f>
        <v>#N/A</v>
      </c>
      <c r="E13" s="15"/>
      <c r="F13" s="15"/>
      <c r="G13" s="16">
        <v>0.25</v>
      </c>
      <c r="H13" s="16"/>
      <c r="I13" s="16">
        <f t="shared" si="1"/>
        <v>-0.25</v>
      </c>
      <c r="J13" s="16"/>
      <c r="K13" s="16"/>
      <c r="L13" s="16"/>
      <c r="M13" s="16"/>
      <c r="N13" s="16">
        <f t="shared" si="2"/>
        <v>0</v>
      </c>
      <c r="O13" s="16" t="e">
        <f t="shared" si="3"/>
        <v>#N/A</v>
      </c>
      <c r="P13" s="16">
        <v>6.9444444444444397E-3</v>
      </c>
      <c r="Q13" s="16"/>
      <c r="R13" s="16">
        <f t="shared" si="4"/>
        <v>-6.9444444444444397E-3</v>
      </c>
      <c r="S13" s="16"/>
      <c r="T13" s="16" t="e">
        <f>VLOOKUP(E13,'[2]21-3-2026'!E$3:T$35,16,FALSE)</f>
        <v>#N/A</v>
      </c>
      <c r="U13" s="16"/>
      <c r="V13" s="16" t="e">
        <f t="shared" si="5"/>
        <v>#N/A</v>
      </c>
      <c r="W13" s="16"/>
      <c r="X13" s="16"/>
      <c r="Y13" s="16"/>
      <c r="Z13" s="16">
        <f t="shared" si="6"/>
        <v>0</v>
      </c>
      <c r="AA13" s="16">
        <f t="shared" si="0"/>
        <v>0</v>
      </c>
      <c r="AB13" s="16"/>
      <c r="AC13" s="18"/>
      <c r="AD13" s="48"/>
    </row>
    <row r="14" spans="1:30" ht="19.5" thickBot="1" x14ac:dyDescent="0.3">
      <c r="A14" s="14">
        <v>12</v>
      </c>
      <c r="B14" s="15"/>
      <c r="C14" s="15" t="e">
        <f>VLOOKUP(B14,داتا!$B$3:$D$107,2,FALSE)</f>
        <v>#N/A</v>
      </c>
      <c r="D14" s="34" t="e">
        <f>VLOOKUP(B14,داتا!$B$3:$D$107,3,FALSE)</f>
        <v>#N/A</v>
      </c>
      <c r="E14" s="15"/>
      <c r="F14" s="15"/>
      <c r="G14" s="16">
        <v>0.25</v>
      </c>
      <c r="H14" s="16"/>
      <c r="I14" s="16">
        <f t="shared" si="1"/>
        <v>-0.25</v>
      </c>
      <c r="J14" s="16"/>
      <c r="K14" s="16"/>
      <c r="L14" s="16"/>
      <c r="M14" s="16"/>
      <c r="N14" s="16">
        <f t="shared" si="2"/>
        <v>0</v>
      </c>
      <c r="O14" s="16" t="e">
        <f t="shared" si="3"/>
        <v>#N/A</v>
      </c>
      <c r="P14" s="16">
        <v>6.9444444444444397E-3</v>
      </c>
      <c r="Q14" s="16"/>
      <c r="R14" s="16">
        <f t="shared" si="4"/>
        <v>-6.9444444444444397E-3</v>
      </c>
      <c r="S14" s="16"/>
      <c r="T14" s="16" t="e">
        <f>VLOOKUP(E14,'[2]21-3-2026'!E$3:T$35,16,FALSE)</f>
        <v>#N/A</v>
      </c>
      <c r="U14" s="16"/>
      <c r="V14" s="16" t="e">
        <f t="shared" si="5"/>
        <v>#N/A</v>
      </c>
      <c r="W14" s="16"/>
      <c r="X14" s="16"/>
      <c r="Y14" s="16"/>
      <c r="Z14" s="16">
        <f t="shared" si="6"/>
        <v>0</v>
      </c>
      <c r="AA14" s="16">
        <f t="shared" si="0"/>
        <v>0</v>
      </c>
      <c r="AB14" s="16"/>
      <c r="AC14" s="17"/>
      <c r="AD14" s="48"/>
    </row>
    <row r="15" spans="1:30" ht="19.5" thickBot="1" x14ac:dyDescent="0.3">
      <c r="A15" s="14">
        <v>13</v>
      </c>
      <c r="B15" s="15"/>
      <c r="C15" s="15" t="e">
        <f>VLOOKUP(B15,داتا!$B$3:$D$107,2,FALSE)</f>
        <v>#N/A</v>
      </c>
      <c r="D15" s="34" t="e">
        <f>VLOOKUP(B15,داتا!$B$3:$D$107,3,FALSE)</f>
        <v>#N/A</v>
      </c>
      <c r="E15" s="15"/>
      <c r="F15" s="15"/>
      <c r="G15" s="16">
        <v>0.25</v>
      </c>
      <c r="H15" s="16"/>
      <c r="I15" s="16">
        <f t="shared" si="1"/>
        <v>-0.25</v>
      </c>
      <c r="J15" s="16"/>
      <c r="K15" s="16"/>
      <c r="L15" s="16"/>
      <c r="M15" s="16"/>
      <c r="N15" s="16">
        <f t="shared" si="2"/>
        <v>0</v>
      </c>
      <c r="O15" s="16" t="e">
        <f t="shared" si="3"/>
        <v>#N/A</v>
      </c>
      <c r="P15" s="16">
        <v>6.9444444444444397E-3</v>
      </c>
      <c r="Q15" s="16"/>
      <c r="R15" s="16">
        <f t="shared" si="4"/>
        <v>-6.9444444444444397E-3</v>
      </c>
      <c r="S15" s="16"/>
      <c r="T15" s="16" t="e">
        <f>VLOOKUP(E15,'[2]21-3-2026'!E$3:T$35,16,FALSE)</f>
        <v>#N/A</v>
      </c>
      <c r="U15" s="16"/>
      <c r="V15" s="16" t="e">
        <f t="shared" si="5"/>
        <v>#N/A</v>
      </c>
      <c r="W15" s="16"/>
      <c r="X15" s="16"/>
      <c r="Y15" s="16"/>
      <c r="Z15" s="16">
        <f t="shared" si="6"/>
        <v>0</v>
      </c>
      <c r="AA15" s="16">
        <f t="shared" si="0"/>
        <v>0</v>
      </c>
      <c r="AB15" s="16"/>
      <c r="AC15" s="17"/>
      <c r="AD15" s="48"/>
    </row>
    <row r="16" spans="1:30" ht="19.5" thickBot="1" x14ac:dyDescent="0.3">
      <c r="A16" s="14">
        <v>14</v>
      </c>
      <c r="B16" s="15"/>
      <c r="C16" s="15" t="e">
        <f>VLOOKUP(B16,داتا!$B$3:$D$107,2,FALSE)</f>
        <v>#N/A</v>
      </c>
      <c r="D16" s="34" t="e">
        <f>VLOOKUP(B16,داتا!$B$3:$D$107,3,FALSE)</f>
        <v>#N/A</v>
      </c>
      <c r="E16" s="15"/>
      <c r="F16" s="15"/>
      <c r="G16" s="16">
        <v>0.25</v>
      </c>
      <c r="H16" s="16"/>
      <c r="I16" s="16">
        <f t="shared" si="1"/>
        <v>-0.25</v>
      </c>
      <c r="J16" s="16"/>
      <c r="K16" s="16"/>
      <c r="L16" s="16"/>
      <c r="M16" s="16"/>
      <c r="N16" s="16">
        <f t="shared" si="2"/>
        <v>0</v>
      </c>
      <c r="O16" s="16" t="e">
        <f t="shared" si="3"/>
        <v>#N/A</v>
      </c>
      <c r="P16" s="16">
        <v>6.9444444444444397E-3</v>
      </c>
      <c r="Q16" s="16"/>
      <c r="R16" s="16">
        <f t="shared" si="4"/>
        <v>-6.9444444444444397E-3</v>
      </c>
      <c r="S16" s="16"/>
      <c r="T16" s="16" t="e">
        <f>VLOOKUP(E16,'[2]21-3-2026'!E$3:T$35,16,FALSE)</f>
        <v>#N/A</v>
      </c>
      <c r="U16" s="16"/>
      <c r="V16" s="16" t="e">
        <f t="shared" si="5"/>
        <v>#N/A</v>
      </c>
      <c r="W16" s="16"/>
      <c r="X16" s="16"/>
      <c r="Y16" s="16"/>
      <c r="Z16" s="16">
        <f t="shared" si="6"/>
        <v>0</v>
      </c>
      <c r="AA16" s="16">
        <f t="shared" si="0"/>
        <v>0</v>
      </c>
      <c r="AB16" s="16"/>
      <c r="AC16" s="17"/>
      <c r="AD16" s="48"/>
    </row>
    <row r="17" spans="1:30" ht="19.5" thickBot="1" x14ac:dyDescent="0.3">
      <c r="A17" s="14">
        <v>15</v>
      </c>
      <c r="B17" s="15"/>
      <c r="C17" s="15" t="e">
        <f>VLOOKUP(B17,داتا!$B$3:$D$107,2,FALSE)</f>
        <v>#N/A</v>
      </c>
      <c r="D17" s="34" t="e">
        <f>VLOOKUP(B17,داتا!$B$3:$D$107,3,FALSE)</f>
        <v>#N/A</v>
      </c>
      <c r="E17" s="15"/>
      <c r="F17" s="15"/>
      <c r="G17" s="16">
        <v>0.25</v>
      </c>
      <c r="H17" s="16"/>
      <c r="I17" s="16">
        <f t="shared" si="1"/>
        <v>-0.25</v>
      </c>
      <c r="J17" s="16"/>
      <c r="K17" s="16"/>
      <c r="L17" s="16"/>
      <c r="M17" s="16"/>
      <c r="N17" s="16">
        <f t="shared" si="2"/>
        <v>0</v>
      </c>
      <c r="O17" s="16" t="e">
        <f t="shared" si="3"/>
        <v>#N/A</v>
      </c>
      <c r="P17" s="16">
        <v>6.9444444444444397E-3</v>
      </c>
      <c r="Q17" s="16"/>
      <c r="R17" s="16">
        <f t="shared" si="4"/>
        <v>-6.9444444444444397E-3</v>
      </c>
      <c r="S17" s="16"/>
      <c r="T17" s="16" t="e">
        <f>VLOOKUP(E17,'[2]21-3-2026'!E$3:T$35,16,FALSE)</f>
        <v>#N/A</v>
      </c>
      <c r="U17" s="16"/>
      <c r="V17" s="16" t="e">
        <f t="shared" si="5"/>
        <v>#N/A</v>
      </c>
      <c r="W17" s="16"/>
      <c r="X17" s="16"/>
      <c r="Y17" s="16"/>
      <c r="Z17" s="16">
        <f t="shared" si="6"/>
        <v>0</v>
      </c>
      <c r="AA17" s="16">
        <f t="shared" si="0"/>
        <v>0</v>
      </c>
      <c r="AB17" s="16"/>
      <c r="AC17" s="17"/>
      <c r="AD17" s="48"/>
    </row>
    <row r="18" spans="1:30" ht="19.5" thickBot="1" x14ac:dyDescent="0.3">
      <c r="A18" s="14">
        <v>16</v>
      </c>
      <c r="B18" s="15"/>
      <c r="C18" s="15" t="e">
        <f>VLOOKUP(B18,داتا!$B$3:$D$107,2,FALSE)</f>
        <v>#N/A</v>
      </c>
      <c r="D18" s="34" t="e">
        <f>VLOOKUP(B18,داتا!$B$3:$D$107,3,FALSE)</f>
        <v>#N/A</v>
      </c>
      <c r="E18" s="16"/>
      <c r="F18" s="15"/>
      <c r="G18" s="16">
        <v>0.25</v>
      </c>
      <c r="H18" s="16"/>
      <c r="I18" s="16">
        <f t="shared" si="1"/>
        <v>-0.25</v>
      </c>
      <c r="J18" s="16"/>
      <c r="K18" s="16"/>
      <c r="L18" s="16"/>
      <c r="M18" s="16"/>
      <c r="N18" s="16">
        <f t="shared" si="2"/>
        <v>0</v>
      </c>
      <c r="O18" s="16" t="e">
        <f t="shared" si="3"/>
        <v>#N/A</v>
      </c>
      <c r="P18" s="16">
        <v>6.9444444444444397E-3</v>
      </c>
      <c r="Q18" s="16"/>
      <c r="R18" s="16">
        <f t="shared" si="4"/>
        <v>-6.9444444444444397E-3</v>
      </c>
      <c r="S18" s="16"/>
      <c r="T18" s="16" t="e">
        <f>VLOOKUP(E18,'[2]21-3-2026'!E$3:T$35,16,FALSE)</f>
        <v>#N/A</v>
      </c>
      <c r="U18" s="16"/>
      <c r="V18" s="16" t="e">
        <f t="shared" si="5"/>
        <v>#N/A</v>
      </c>
      <c r="W18" s="16"/>
      <c r="X18" s="16"/>
      <c r="Y18" s="16"/>
      <c r="Z18" s="16">
        <f t="shared" si="6"/>
        <v>0</v>
      </c>
      <c r="AA18" s="16">
        <f t="shared" si="0"/>
        <v>0</v>
      </c>
      <c r="AB18" s="16"/>
      <c r="AC18" s="17"/>
      <c r="AD18" s="48"/>
    </row>
    <row r="19" spans="1:30" ht="19.5" thickBot="1" x14ac:dyDescent="0.3">
      <c r="A19" s="14">
        <v>17</v>
      </c>
      <c r="B19" s="15"/>
      <c r="C19" s="15" t="e">
        <f>VLOOKUP(B19,داتا!$B$3:$D$107,2,FALSE)</f>
        <v>#N/A</v>
      </c>
      <c r="D19" s="34" t="e">
        <f>VLOOKUP(B19,داتا!$B$3:$D$107,3,FALSE)</f>
        <v>#N/A</v>
      </c>
      <c r="E19" s="15"/>
      <c r="F19" s="15"/>
      <c r="G19" s="16">
        <v>0.25</v>
      </c>
      <c r="H19" s="16"/>
      <c r="I19" s="16">
        <f t="shared" si="1"/>
        <v>-0.25</v>
      </c>
      <c r="J19" s="16"/>
      <c r="K19" s="16"/>
      <c r="L19" s="16"/>
      <c r="M19" s="16"/>
      <c r="N19" s="16">
        <f t="shared" si="2"/>
        <v>0</v>
      </c>
      <c r="O19" s="16" t="e">
        <f t="shared" si="3"/>
        <v>#N/A</v>
      </c>
      <c r="P19" s="16">
        <v>6.9444444444444397E-3</v>
      </c>
      <c r="Q19" s="16"/>
      <c r="R19" s="16">
        <f t="shared" si="4"/>
        <v>-6.9444444444444397E-3</v>
      </c>
      <c r="S19" s="16"/>
      <c r="T19" s="16" t="e">
        <f>VLOOKUP(E19,'[2]21-3-2026'!E$3:T$35,16,FALSE)</f>
        <v>#N/A</v>
      </c>
      <c r="U19" s="16"/>
      <c r="V19" s="16" t="e">
        <f t="shared" si="5"/>
        <v>#N/A</v>
      </c>
      <c r="W19" s="16"/>
      <c r="X19" s="16"/>
      <c r="Y19" s="16"/>
      <c r="Z19" s="16">
        <f t="shared" si="6"/>
        <v>0</v>
      </c>
      <c r="AA19" s="16">
        <f t="shared" si="0"/>
        <v>0</v>
      </c>
      <c r="AB19" s="16"/>
      <c r="AC19" s="17"/>
      <c r="AD19" s="48"/>
    </row>
    <row r="20" spans="1:30" ht="19.5" thickBot="1" x14ac:dyDescent="0.3">
      <c r="A20" s="14">
        <v>18</v>
      </c>
      <c r="B20" s="15"/>
      <c r="C20" s="15" t="e">
        <f>VLOOKUP(B20,داتا!$B$3:$D$107,2,FALSE)</f>
        <v>#N/A</v>
      </c>
      <c r="D20" s="34" t="e">
        <f>VLOOKUP(B20,داتا!$B$3:$D$107,3,FALSE)</f>
        <v>#N/A</v>
      </c>
      <c r="E20" s="15"/>
      <c r="F20" s="15"/>
      <c r="G20" s="16">
        <v>0.25</v>
      </c>
      <c r="H20" s="16"/>
      <c r="I20" s="16">
        <f t="shared" si="1"/>
        <v>-0.25</v>
      </c>
      <c r="J20" s="16"/>
      <c r="K20" s="16"/>
      <c r="L20" s="16"/>
      <c r="M20" s="16"/>
      <c r="N20" s="16">
        <f t="shared" si="2"/>
        <v>0</v>
      </c>
      <c r="O20" s="16" t="e">
        <f t="shared" si="3"/>
        <v>#N/A</v>
      </c>
      <c r="P20" s="16">
        <v>6.9444444444444397E-3</v>
      </c>
      <c r="Q20" s="16"/>
      <c r="R20" s="16">
        <f t="shared" si="4"/>
        <v>-6.9444444444444397E-3</v>
      </c>
      <c r="S20" s="16"/>
      <c r="T20" s="16" t="e">
        <f>VLOOKUP(E20,'[2]21-3-2026'!E$3:T$35,16,FALSE)</f>
        <v>#N/A</v>
      </c>
      <c r="U20" s="16"/>
      <c r="V20" s="16" t="e">
        <f t="shared" si="5"/>
        <v>#N/A</v>
      </c>
      <c r="W20" s="16"/>
      <c r="X20" s="16"/>
      <c r="Y20" s="16"/>
      <c r="Z20" s="16">
        <f t="shared" si="6"/>
        <v>0</v>
      </c>
      <c r="AA20" s="16">
        <f t="shared" si="0"/>
        <v>0</v>
      </c>
      <c r="AB20" s="16"/>
      <c r="AC20" s="17"/>
      <c r="AD20" s="48"/>
    </row>
    <row r="21" spans="1:30" ht="19.5" thickBot="1" x14ac:dyDescent="0.3">
      <c r="A21" s="14">
        <v>19</v>
      </c>
      <c r="B21" s="15"/>
      <c r="C21" s="15" t="e">
        <f>VLOOKUP(B21,داتا!$B$3:$D$107,2,FALSE)</f>
        <v>#N/A</v>
      </c>
      <c r="D21" s="34" t="e">
        <f>VLOOKUP(B21,داتا!$B$3:$D$107,3,FALSE)</f>
        <v>#N/A</v>
      </c>
      <c r="E21" s="15"/>
      <c r="F21" s="15"/>
      <c r="G21" s="16">
        <v>0.25</v>
      </c>
      <c r="H21" s="16"/>
      <c r="I21" s="16">
        <f t="shared" si="1"/>
        <v>-0.25</v>
      </c>
      <c r="J21" s="16"/>
      <c r="K21" s="16"/>
      <c r="L21" s="16"/>
      <c r="M21" s="16"/>
      <c r="N21" s="16">
        <f t="shared" si="2"/>
        <v>0</v>
      </c>
      <c r="O21" s="16" t="e">
        <f t="shared" si="3"/>
        <v>#N/A</v>
      </c>
      <c r="P21" s="16">
        <v>6.9444444444444397E-3</v>
      </c>
      <c r="Q21" s="16"/>
      <c r="R21" s="16">
        <f t="shared" si="4"/>
        <v>-6.9444444444444397E-3</v>
      </c>
      <c r="S21" s="16"/>
      <c r="T21" s="16" t="e">
        <f>VLOOKUP(E21,'[2]21-3-2026'!E$3:T$35,16,FALSE)</f>
        <v>#N/A</v>
      </c>
      <c r="U21" s="16"/>
      <c r="V21" s="16" t="e">
        <f t="shared" si="5"/>
        <v>#N/A</v>
      </c>
      <c r="W21" s="16"/>
      <c r="X21" s="16"/>
      <c r="Y21" s="16"/>
      <c r="Z21" s="16">
        <f t="shared" si="6"/>
        <v>0</v>
      </c>
      <c r="AA21" s="16">
        <f t="shared" si="0"/>
        <v>0</v>
      </c>
      <c r="AB21" s="16"/>
      <c r="AC21" s="17"/>
      <c r="AD21" s="48"/>
    </row>
    <row r="22" spans="1:30" ht="19.5" thickBot="1" x14ac:dyDescent="0.3">
      <c r="A22" s="14">
        <v>20</v>
      </c>
      <c r="B22" s="15"/>
      <c r="C22" s="15" t="e">
        <f>VLOOKUP(B22,داتا!$B$3:$D$107,2,FALSE)</f>
        <v>#N/A</v>
      </c>
      <c r="D22" s="34" t="e">
        <f>VLOOKUP(B22,داتا!$B$3:$D$107,3,FALSE)</f>
        <v>#N/A</v>
      </c>
      <c r="E22" s="15"/>
      <c r="F22" s="15"/>
      <c r="G22" s="16">
        <v>0.25</v>
      </c>
      <c r="H22" s="16"/>
      <c r="I22" s="16">
        <f t="shared" si="1"/>
        <v>-0.25</v>
      </c>
      <c r="J22" s="16"/>
      <c r="K22" s="16"/>
      <c r="L22" s="16"/>
      <c r="M22" s="16"/>
      <c r="N22" s="16">
        <f t="shared" si="2"/>
        <v>0</v>
      </c>
      <c r="O22" s="16" t="e">
        <f t="shared" si="3"/>
        <v>#N/A</v>
      </c>
      <c r="P22" s="16">
        <v>6.9444444444444397E-3</v>
      </c>
      <c r="Q22" s="16"/>
      <c r="R22" s="16">
        <f t="shared" si="4"/>
        <v>-6.9444444444444397E-3</v>
      </c>
      <c r="S22" s="16"/>
      <c r="T22" s="16" t="e">
        <f>VLOOKUP(E22,'[2]21-3-2026'!E$3:T$35,16,FALSE)</f>
        <v>#N/A</v>
      </c>
      <c r="U22" s="16"/>
      <c r="V22" s="16" t="e">
        <f t="shared" si="5"/>
        <v>#N/A</v>
      </c>
      <c r="W22" s="16"/>
      <c r="X22" s="16"/>
      <c r="Y22" s="16"/>
      <c r="Z22" s="16">
        <f t="shared" si="6"/>
        <v>0</v>
      </c>
      <c r="AA22" s="16">
        <f t="shared" si="0"/>
        <v>0</v>
      </c>
      <c r="AB22" s="16"/>
      <c r="AC22" s="17"/>
      <c r="AD22" s="48"/>
    </row>
    <row r="23" spans="1:30" ht="19.5" thickBot="1" x14ac:dyDescent="0.3">
      <c r="A23" s="14">
        <v>21</v>
      </c>
      <c r="B23" s="15"/>
      <c r="C23" s="15" t="e">
        <f>VLOOKUP(B23,داتا!$B$3:$D$107,2,FALSE)</f>
        <v>#N/A</v>
      </c>
      <c r="D23" s="34" t="e">
        <f>VLOOKUP(B23,داتا!$B$3:$D$107,3,FALSE)</f>
        <v>#N/A</v>
      </c>
      <c r="E23" s="15"/>
      <c r="F23" s="15"/>
      <c r="G23" s="16">
        <v>0.25</v>
      </c>
      <c r="H23" s="16"/>
      <c r="I23" s="16">
        <f t="shared" si="1"/>
        <v>-0.25</v>
      </c>
      <c r="J23" s="16"/>
      <c r="K23" s="16"/>
      <c r="L23" s="16"/>
      <c r="M23" s="16"/>
      <c r="N23" s="16">
        <f t="shared" si="2"/>
        <v>0</v>
      </c>
      <c r="O23" s="16" t="e">
        <f t="shared" si="3"/>
        <v>#N/A</v>
      </c>
      <c r="P23" s="16">
        <v>6.9444444444444397E-3</v>
      </c>
      <c r="Q23" s="16"/>
      <c r="R23" s="16">
        <f t="shared" si="4"/>
        <v>-6.9444444444444397E-3</v>
      </c>
      <c r="S23" s="16"/>
      <c r="T23" s="16" t="e">
        <f>VLOOKUP(E23,'[2]21-3-2026'!E$3:T$35,16,FALSE)</f>
        <v>#N/A</v>
      </c>
      <c r="U23" s="16"/>
      <c r="V23" s="16" t="e">
        <f t="shared" si="5"/>
        <v>#N/A</v>
      </c>
      <c r="W23" s="16"/>
      <c r="X23" s="16"/>
      <c r="Y23" s="16"/>
      <c r="Z23" s="16">
        <f t="shared" si="6"/>
        <v>0</v>
      </c>
      <c r="AA23" s="16">
        <f t="shared" si="0"/>
        <v>0</v>
      </c>
      <c r="AB23" s="16"/>
      <c r="AC23" s="17"/>
      <c r="AD23" s="48"/>
    </row>
    <row r="24" spans="1:30" ht="19.5" thickBot="1" x14ac:dyDescent="0.3">
      <c r="A24" s="14">
        <v>22</v>
      </c>
      <c r="B24" s="15"/>
      <c r="C24" s="15" t="e">
        <f>VLOOKUP(B24,داتا!$B$3:$D$107,2,FALSE)</f>
        <v>#N/A</v>
      </c>
      <c r="D24" s="34" t="e">
        <f>VLOOKUP(B24,داتا!$B$3:$D$107,3,FALSE)</f>
        <v>#N/A</v>
      </c>
      <c r="E24" s="15"/>
      <c r="F24" s="16"/>
      <c r="G24" s="16">
        <v>0.25</v>
      </c>
      <c r="H24" s="16"/>
      <c r="I24" s="16">
        <f t="shared" si="1"/>
        <v>-0.25</v>
      </c>
      <c r="J24" s="16"/>
      <c r="K24" s="16"/>
      <c r="L24" s="16"/>
      <c r="M24" s="16"/>
      <c r="N24" s="16">
        <f t="shared" si="2"/>
        <v>0</v>
      </c>
      <c r="O24" s="16" t="e">
        <f t="shared" si="3"/>
        <v>#N/A</v>
      </c>
      <c r="P24" s="16">
        <v>6.9444444444444397E-3</v>
      </c>
      <c r="Q24" s="16"/>
      <c r="R24" s="16">
        <f t="shared" si="4"/>
        <v>-6.9444444444444397E-3</v>
      </c>
      <c r="S24" s="16"/>
      <c r="T24" s="16" t="e">
        <f>VLOOKUP(E24,'[2]21-3-2026'!E$3:T$35,16,FALSE)</f>
        <v>#N/A</v>
      </c>
      <c r="U24" s="16"/>
      <c r="V24" s="16" t="e">
        <f t="shared" si="5"/>
        <v>#N/A</v>
      </c>
      <c r="W24" s="16"/>
      <c r="X24" s="16"/>
      <c r="Y24" s="16"/>
      <c r="Z24" s="16">
        <f t="shared" si="6"/>
        <v>0</v>
      </c>
      <c r="AA24" s="16">
        <f t="shared" si="0"/>
        <v>0</v>
      </c>
      <c r="AB24" s="16"/>
      <c r="AC24" s="17"/>
      <c r="AD24" s="48"/>
    </row>
    <row r="25" spans="1:30" ht="19.5" thickBot="1" x14ac:dyDescent="0.3">
      <c r="A25" s="14">
        <v>23</v>
      </c>
      <c r="B25" s="15"/>
      <c r="C25" s="15" t="e">
        <f>VLOOKUP(B25,داتا!$B$3:$D$107,2,FALSE)</f>
        <v>#N/A</v>
      </c>
      <c r="D25" s="34" t="e">
        <f>VLOOKUP(B25,داتا!$B$3:$D$107,3,FALSE)</f>
        <v>#N/A</v>
      </c>
      <c r="E25" s="15"/>
      <c r="F25" s="15"/>
      <c r="G25" s="16">
        <v>0.25</v>
      </c>
      <c r="H25" s="16"/>
      <c r="I25" s="16">
        <f t="shared" si="1"/>
        <v>-0.25</v>
      </c>
      <c r="J25" s="16"/>
      <c r="K25" s="16"/>
      <c r="L25" s="16"/>
      <c r="M25" s="16"/>
      <c r="N25" s="16">
        <f t="shared" si="2"/>
        <v>0</v>
      </c>
      <c r="O25" s="16" t="e">
        <f t="shared" si="3"/>
        <v>#N/A</v>
      </c>
      <c r="P25" s="16">
        <v>6.9444444444444397E-3</v>
      </c>
      <c r="Q25" s="16"/>
      <c r="R25" s="16">
        <f t="shared" si="4"/>
        <v>-6.9444444444444397E-3</v>
      </c>
      <c r="S25" s="16"/>
      <c r="T25" s="16" t="e">
        <f>VLOOKUP(E25,'[2]21-3-2026'!E$3:T$35,16,FALSE)</f>
        <v>#N/A</v>
      </c>
      <c r="U25" s="16"/>
      <c r="V25" s="16" t="e">
        <f t="shared" si="5"/>
        <v>#N/A</v>
      </c>
      <c r="W25" s="16"/>
      <c r="X25" s="16"/>
      <c r="Y25" s="16"/>
      <c r="Z25" s="16">
        <f t="shared" si="6"/>
        <v>0</v>
      </c>
      <c r="AA25" s="16">
        <f t="shared" si="0"/>
        <v>0</v>
      </c>
      <c r="AB25" s="16"/>
      <c r="AC25" s="19"/>
      <c r="AD25" s="48"/>
    </row>
    <row r="26" spans="1:30" ht="19.5" thickBot="1" x14ac:dyDescent="0.3">
      <c r="A26" s="14">
        <v>24</v>
      </c>
      <c r="B26" s="15"/>
      <c r="C26" s="15" t="e">
        <f>VLOOKUP(B26,داتا!$B$3:$D$107,2,FALSE)</f>
        <v>#N/A</v>
      </c>
      <c r="D26" s="34" t="e">
        <f>VLOOKUP(B26,داتا!$B$3:$D$107,3,FALSE)</f>
        <v>#N/A</v>
      </c>
      <c r="E26" s="15"/>
      <c r="F26" s="15"/>
      <c r="G26" s="16">
        <v>0.25</v>
      </c>
      <c r="H26" s="16"/>
      <c r="I26" s="16">
        <f t="shared" si="1"/>
        <v>-0.25</v>
      </c>
      <c r="J26" s="16"/>
      <c r="K26" s="16"/>
      <c r="L26" s="16"/>
      <c r="M26" s="16"/>
      <c r="N26" s="16">
        <f t="shared" si="2"/>
        <v>0</v>
      </c>
      <c r="O26" s="16" t="e">
        <f t="shared" si="3"/>
        <v>#N/A</v>
      </c>
      <c r="P26" s="16">
        <v>6.9444444444444397E-3</v>
      </c>
      <c r="Q26" s="16"/>
      <c r="R26" s="16">
        <f t="shared" si="4"/>
        <v>-6.9444444444444397E-3</v>
      </c>
      <c r="S26" s="16"/>
      <c r="T26" s="16" t="e">
        <f>VLOOKUP(E26,'[2]21-3-2026'!E$3:T$35,16,FALSE)</f>
        <v>#N/A</v>
      </c>
      <c r="U26" s="16"/>
      <c r="V26" s="16" t="e">
        <f t="shared" si="5"/>
        <v>#N/A</v>
      </c>
      <c r="W26" s="16"/>
      <c r="X26" s="16"/>
      <c r="Y26" s="16"/>
      <c r="Z26" s="16">
        <f t="shared" si="6"/>
        <v>0</v>
      </c>
      <c r="AA26" s="16">
        <f t="shared" si="0"/>
        <v>0</v>
      </c>
      <c r="AB26" s="16"/>
      <c r="AC26" s="19"/>
      <c r="AD26" s="48"/>
    </row>
    <row r="27" spans="1:30" ht="19.5" thickBot="1" x14ac:dyDescent="0.3">
      <c r="A27" s="14">
        <v>25</v>
      </c>
      <c r="B27" s="15"/>
      <c r="C27" s="15" t="e">
        <f>VLOOKUP(B27,داتا!$B$3:$D$107,2,FALSE)</f>
        <v>#N/A</v>
      </c>
      <c r="D27" s="34" t="e">
        <f>VLOOKUP(B27,داتا!$B$3:$D$107,3,FALSE)</f>
        <v>#N/A</v>
      </c>
      <c r="E27" s="15"/>
      <c r="F27" s="15"/>
      <c r="G27" s="16">
        <v>0.25</v>
      </c>
      <c r="H27" s="16"/>
      <c r="I27" s="16">
        <f t="shared" si="1"/>
        <v>-0.25</v>
      </c>
      <c r="J27" s="16"/>
      <c r="K27" s="16"/>
      <c r="L27" s="16"/>
      <c r="M27" s="16"/>
      <c r="N27" s="16">
        <f t="shared" si="2"/>
        <v>0</v>
      </c>
      <c r="O27" s="16" t="e">
        <f t="shared" si="3"/>
        <v>#N/A</v>
      </c>
      <c r="P27" s="16">
        <v>6.9444444444444397E-3</v>
      </c>
      <c r="Q27" s="16"/>
      <c r="R27" s="16">
        <f t="shared" si="4"/>
        <v>-6.9444444444444397E-3</v>
      </c>
      <c r="S27" s="16"/>
      <c r="T27" s="16" t="e">
        <f>VLOOKUP(E27,'[2]21-3-2026'!E$3:T$35,16,FALSE)</f>
        <v>#N/A</v>
      </c>
      <c r="U27" s="16"/>
      <c r="V27" s="16" t="e">
        <f t="shared" si="5"/>
        <v>#N/A</v>
      </c>
      <c r="W27" s="16"/>
      <c r="X27" s="16"/>
      <c r="Y27" s="16"/>
      <c r="Z27" s="16">
        <f t="shared" si="6"/>
        <v>0</v>
      </c>
      <c r="AA27" s="16">
        <f t="shared" si="0"/>
        <v>0</v>
      </c>
      <c r="AB27" s="16"/>
      <c r="AC27" s="19"/>
      <c r="AD27" s="48"/>
    </row>
    <row r="28" spans="1:30" ht="19.5" thickBot="1" x14ac:dyDescent="0.3">
      <c r="A28" s="14">
        <v>26</v>
      </c>
      <c r="B28" s="15"/>
      <c r="C28" s="15" t="e">
        <f>VLOOKUP(B28,داتا!$B$3:$D$107,2,FALSE)</f>
        <v>#N/A</v>
      </c>
      <c r="D28" s="34" t="e">
        <f>VLOOKUP(B28,داتا!$B$3:$D$107,3,FALSE)</f>
        <v>#N/A</v>
      </c>
      <c r="E28" s="15"/>
      <c r="F28" s="15"/>
      <c r="G28" s="16">
        <v>0.25</v>
      </c>
      <c r="H28" s="16"/>
      <c r="I28" s="16">
        <f t="shared" si="1"/>
        <v>-0.25</v>
      </c>
      <c r="J28" s="16"/>
      <c r="K28" s="16"/>
      <c r="L28" s="16"/>
      <c r="M28" s="16"/>
      <c r="N28" s="16">
        <f t="shared" si="2"/>
        <v>0</v>
      </c>
      <c r="O28" s="16" t="e">
        <f t="shared" si="3"/>
        <v>#N/A</v>
      </c>
      <c r="P28" s="16">
        <v>6.9444444444444397E-3</v>
      </c>
      <c r="Q28" s="16"/>
      <c r="R28" s="16">
        <f t="shared" si="4"/>
        <v>-6.9444444444444397E-3</v>
      </c>
      <c r="S28" s="16"/>
      <c r="T28" s="16" t="e">
        <f>VLOOKUP(E28,'[2]21-3-2026'!E$3:T$35,16,FALSE)</f>
        <v>#N/A</v>
      </c>
      <c r="U28" s="16"/>
      <c r="V28" s="16" t="e">
        <f t="shared" si="5"/>
        <v>#N/A</v>
      </c>
      <c r="W28" s="16"/>
      <c r="X28" s="16"/>
      <c r="Y28" s="16"/>
      <c r="Z28" s="16">
        <f t="shared" si="6"/>
        <v>0</v>
      </c>
      <c r="AA28" s="16">
        <f t="shared" si="0"/>
        <v>0</v>
      </c>
      <c r="AB28" s="16"/>
      <c r="AC28" s="17"/>
      <c r="AD28" s="48"/>
    </row>
    <row r="29" spans="1:30" ht="19.5" thickBot="1" x14ac:dyDescent="0.3">
      <c r="A29" s="14">
        <v>27</v>
      </c>
      <c r="B29" s="15"/>
      <c r="C29" s="15" t="e">
        <f>VLOOKUP(B29,داتا!$B$3:$D$107,2,FALSE)</f>
        <v>#N/A</v>
      </c>
      <c r="D29" s="34" t="e">
        <f>VLOOKUP(B29,داتا!$B$3:$D$107,3,FALSE)</f>
        <v>#N/A</v>
      </c>
      <c r="E29" s="15"/>
      <c r="F29" s="15"/>
      <c r="G29" s="16">
        <v>0.25</v>
      </c>
      <c r="H29" s="16"/>
      <c r="I29" s="16">
        <f t="shared" si="1"/>
        <v>-0.25</v>
      </c>
      <c r="J29" s="16"/>
      <c r="K29" s="16"/>
      <c r="L29" s="16"/>
      <c r="M29" s="16"/>
      <c r="N29" s="16">
        <f t="shared" si="2"/>
        <v>0</v>
      </c>
      <c r="O29" s="16" t="e">
        <f t="shared" si="3"/>
        <v>#N/A</v>
      </c>
      <c r="P29" s="16">
        <v>6.9444444444444397E-3</v>
      </c>
      <c r="Q29" s="16"/>
      <c r="R29" s="16">
        <f t="shared" si="4"/>
        <v>-6.9444444444444397E-3</v>
      </c>
      <c r="S29" s="16"/>
      <c r="T29" s="16" t="e">
        <f>VLOOKUP(E29,'[2]21-3-2026'!E$3:T$35,16,FALSE)</f>
        <v>#N/A</v>
      </c>
      <c r="U29" s="16"/>
      <c r="V29" s="16" t="e">
        <f t="shared" si="5"/>
        <v>#N/A</v>
      </c>
      <c r="W29" s="16"/>
      <c r="X29" s="16"/>
      <c r="Y29" s="16"/>
      <c r="Z29" s="16">
        <f t="shared" si="6"/>
        <v>0</v>
      </c>
      <c r="AA29" s="16">
        <f t="shared" si="0"/>
        <v>0</v>
      </c>
      <c r="AB29" s="16"/>
      <c r="AC29" s="18"/>
      <c r="AD29" s="48"/>
    </row>
    <row r="30" spans="1:30" ht="19.5" thickBot="1" x14ac:dyDescent="0.3">
      <c r="A30" s="14">
        <v>28</v>
      </c>
      <c r="B30" s="15"/>
      <c r="C30" s="15" t="e">
        <f>VLOOKUP(B30,داتا!$B$3:$D$107,2,FALSE)</f>
        <v>#N/A</v>
      </c>
      <c r="D30" s="34" t="e">
        <f>VLOOKUP(B30,داتا!$B$3:$D$107,3,FALSE)</f>
        <v>#N/A</v>
      </c>
      <c r="E30" s="15"/>
      <c r="F30" s="15"/>
      <c r="G30" s="16">
        <v>0.25</v>
      </c>
      <c r="H30" s="16"/>
      <c r="I30" s="16">
        <f t="shared" si="1"/>
        <v>-0.25</v>
      </c>
      <c r="J30" s="16"/>
      <c r="K30" s="16"/>
      <c r="L30" s="16"/>
      <c r="M30" s="16"/>
      <c r="N30" s="16">
        <f t="shared" si="2"/>
        <v>0</v>
      </c>
      <c r="O30" s="16" t="e">
        <f t="shared" si="3"/>
        <v>#N/A</v>
      </c>
      <c r="P30" s="16">
        <v>6.9444444444444397E-3</v>
      </c>
      <c r="Q30" s="16"/>
      <c r="R30" s="16">
        <f t="shared" si="4"/>
        <v>-6.9444444444444397E-3</v>
      </c>
      <c r="S30" s="16"/>
      <c r="T30" s="16" t="e">
        <f>VLOOKUP(E30,'[2]21-3-2026'!E$3:T$35,16,FALSE)</f>
        <v>#N/A</v>
      </c>
      <c r="U30" s="16"/>
      <c r="V30" s="16" t="e">
        <f t="shared" si="5"/>
        <v>#N/A</v>
      </c>
      <c r="W30" s="16"/>
      <c r="X30" s="16"/>
      <c r="Y30" s="16"/>
      <c r="Z30" s="16">
        <f t="shared" si="6"/>
        <v>0</v>
      </c>
      <c r="AA30" s="16">
        <f t="shared" si="0"/>
        <v>0</v>
      </c>
      <c r="AB30" s="16"/>
      <c r="AC30" s="17"/>
      <c r="AD30" s="48"/>
    </row>
    <row r="31" spans="1:30" ht="19.5" thickBot="1" x14ac:dyDescent="0.3">
      <c r="A31" s="14">
        <v>29</v>
      </c>
      <c r="B31" s="15"/>
      <c r="C31" s="15" t="e">
        <f>VLOOKUP(B31,داتا!$B$3:$D$107,2,FALSE)</f>
        <v>#N/A</v>
      </c>
      <c r="D31" s="34" t="e">
        <f>VLOOKUP(B31,داتا!$B$3:$D$107,3,FALSE)</f>
        <v>#N/A</v>
      </c>
      <c r="E31" s="15"/>
      <c r="F31" s="15"/>
      <c r="G31" s="16">
        <v>0.25</v>
      </c>
      <c r="H31" s="16"/>
      <c r="I31" s="16">
        <f t="shared" si="1"/>
        <v>-0.25</v>
      </c>
      <c r="J31" s="16"/>
      <c r="K31" s="16"/>
      <c r="L31" s="16"/>
      <c r="M31" s="16"/>
      <c r="N31" s="16">
        <f t="shared" si="2"/>
        <v>0</v>
      </c>
      <c r="O31" s="16" t="e">
        <f t="shared" si="3"/>
        <v>#N/A</v>
      </c>
      <c r="P31" s="16">
        <v>6.9444444444444397E-3</v>
      </c>
      <c r="Q31" s="16"/>
      <c r="R31" s="16">
        <f t="shared" si="4"/>
        <v>-6.9444444444444397E-3</v>
      </c>
      <c r="S31" s="16"/>
      <c r="T31" s="16" t="e">
        <f>VLOOKUP(E31,'[2]21-3-2026'!E$3:T$35,16,FALSE)</f>
        <v>#N/A</v>
      </c>
      <c r="U31" s="16"/>
      <c r="V31" s="16" t="e">
        <f t="shared" si="5"/>
        <v>#N/A</v>
      </c>
      <c r="W31" s="16"/>
      <c r="X31" s="16"/>
      <c r="Y31" s="16"/>
      <c r="Z31" s="16">
        <f t="shared" si="6"/>
        <v>0</v>
      </c>
      <c r="AA31" s="16">
        <f t="shared" si="0"/>
        <v>0</v>
      </c>
      <c r="AB31" s="16"/>
      <c r="AC31" s="17"/>
      <c r="AD31" s="48"/>
    </row>
    <row r="32" spans="1:30" ht="19.5" thickBot="1" x14ac:dyDescent="0.3">
      <c r="A32" s="14">
        <v>30</v>
      </c>
      <c r="B32" s="15"/>
      <c r="C32" s="15" t="e">
        <f>VLOOKUP(B32,داتا!$B$3:$D$107,2,FALSE)</f>
        <v>#N/A</v>
      </c>
      <c r="D32" s="34" t="e">
        <f>VLOOKUP(B32,داتا!$B$3:$D$107,3,FALSE)</f>
        <v>#N/A</v>
      </c>
      <c r="E32" s="15"/>
      <c r="F32" s="15"/>
      <c r="G32" s="16">
        <v>0.25</v>
      </c>
      <c r="H32" s="16"/>
      <c r="I32" s="16">
        <f t="shared" si="1"/>
        <v>-0.25</v>
      </c>
      <c r="J32" s="16"/>
      <c r="K32" s="16"/>
      <c r="L32" s="16"/>
      <c r="M32" s="16"/>
      <c r="N32" s="16">
        <f t="shared" si="2"/>
        <v>0</v>
      </c>
      <c r="O32" s="16" t="e">
        <f t="shared" si="3"/>
        <v>#N/A</v>
      </c>
      <c r="P32" s="16">
        <v>6.9444444444444397E-3</v>
      </c>
      <c r="Q32" s="16"/>
      <c r="R32" s="16">
        <f t="shared" si="4"/>
        <v>-6.9444444444444397E-3</v>
      </c>
      <c r="S32" s="16"/>
      <c r="T32" s="16" t="e">
        <f>VLOOKUP(E32,'[2]21-3-2026'!E$3:T$35,16,FALSE)</f>
        <v>#N/A</v>
      </c>
      <c r="U32" s="16"/>
      <c r="V32" s="16" t="e">
        <f t="shared" si="5"/>
        <v>#N/A</v>
      </c>
      <c r="W32" s="16"/>
      <c r="X32" s="16"/>
      <c r="Y32" s="16"/>
      <c r="Z32" s="16">
        <f t="shared" si="6"/>
        <v>0</v>
      </c>
      <c r="AA32" s="16">
        <f t="shared" si="0"/>
        <v>0</v>
      </c>
      <c r="AB32" s="16"/>
      <c r="AC32" s="17"/>
      <c r="AD32" s="48"/>
    </row>
    <row r="33" spans="1:30" ht="19.5" thickBot="1" x14ac:dyDescent="0.3">
      <c r="A33" s="14">
        <v>31</v>
      </c>
      <c r="B33" s="15"/>
      <c r="C33" s="15" t="e">
        <f>VLOOKUP(B33,داتا!$B$3:$D$107,2,FALSE)</f>
        <v>#N/A</v>
      </c>
      <c r="D33" s="34" t="e">
        <f>VLOOKUP(B33,داتا!$B$3:$D$107,3,FALSE)</f>
        <v>#N/A</v>
      </c>
      <c r="E33" s="15"/>
      <c r="F33" s="15"/>
      <c r="G33" s="16">
        <v>0.25</v>
      </c>
      <c r="H33" s="16"/>
      <c r="I33" s="16">
        <f t="shared" si="1"/>
        <v>-0.25</v>
      </c>
      <c r="J33" s="16"/>
      <c r="K33" s="16"/>
      <c r="L33" s="16"/>
      <c r="M33" s="16"/>
      <c r="N33" s="16">
        <f t="shared" si="2"/>
        <v>0</v>
      </c>
      <c r="O33" s="16" t="e">
        <f t="shared" si="3"/>
        <v>#N/A</v>
      </c>
      <c r="P33" s="16">
        <v>6.9444444444444397E-3</v>
      </c>
      <c r="Q33" s="16"/>
      <c r="R33" s="16">
        <f t="shared" si="4"/>
        <v>-6.9444444444444397E-3</v>
      </c>
      <c r="S33" s="16"/>
      <c r="T33" s="16" t="e">
        <f>VLOOKUP(E33,'[2]21-3-2026'!E$3:T$35,16,FALSE)</f>
        <v>#N/A</v>
      </c>
      <c r="U33" s="16"/>
      <c r="V33" s="16" t="e">
        <f t="shared" si="5"/>
        <v>#N/A</v>
      </c>
      <c r="W33" s="16"/>
      <c r="X33" s="16"/>
      <c r="Y33" s="16"/>
      <c r="Z33" s="16">
        <f t="shared" si="6"/>
        <v>0</v>
      </c>
      <c r="AA33" s="16">
        <f t="shared" si="0"/>
        <v>0</v>
      </c>
      <c r="AB33" s="16"/>
      <c r="AC33" s="17"/>
      <c r="AD33" s="48"/>
    </row>
    <row r="34" spans="1:30" ht="19.5" thickBot="1" x14ac:dyDescent="0.3">
      <c r="A34" s="14">
        <v>32</v>
      </c>
      <c r="B34" s="15"/>
      <c r="C34" s="15" t="e">
        <f>VLOOKUP(B34,داتا!$B$3:$D$107,2,FALSE)</f>
        <v>#N/A</v>
      </c>
      <c r="D34" s="34" t="e">
        <f>VLOOKUP(B34,داتا!$B$3:$D$107,3,FALSE)</f>
        <v>#N/A</v>
      </c>
      <c r="E34" s="15"/>
      <c r="F34" s="15"/>
      <c r="G34" s="16">
        <v>0.25</v>
      </c>
      <c r="H34" s="16"/>
      <c r="I34" s="16">
        <f t="shared" si="1"/>
        <v>-0.25</v>
      </c>
      <c r="J34" s="16"/>
      <c r="K34" s="16"/>
      <c r="L34" s="16"/>
      <c r="M34" s="16"/>
      <c r="N34" s="16">
        <f t="shared" si="2"/>
        <v>0</v>
      </c>
      <c r="O34" s="16" t="e">
        <f t="shared" si="3"/>
        <v>#N/A</v>
      </c>
      <c r="P34" s="16">
        <v>6.9444444444444397E-3</v>
      </c>
      <c r="Q34" s="16"/>
      <c r="R34" s="16">
        <f t="shared" si="4"/>
        <v>-6.9444444444444397E-3</v>
      </c>
      <c r="S34" s="16"/>
      <c r="T34" s="16" t="e">
        <f>VLOOKUP(E34,'[2]21-3-2026'!E$3:T$35,16,FALSE)</f>
        <v>#N/A</v>
      </c>
      <c r="U34" s="16"/>
      <c r="V34" s="16" t="e">
        <f t="shared" si="5"/>
        <v>#N/A</v>
      </c>
      <c r="W34" s="16"/>
      <c r="X34" s="16"/>
      <c r="Y34" s="16"/>
      <c r="Z34" s="16">
        <f t="shared" si="6"/>
        <v>0</v>
      </c>
      <c r="AA34" s="16">
        <f t="shared" si="0"/>
        <v>0</v>
      </c>
      <c r="AB34" s="16"/>
      <c r="AC34" s="17"/>
      <c r="AD34" s="48"/>
    </row>
    <row r="35" spans="1:30" ht="19.5" thickBot="1" x14ac:dyDescent="0.3">
      <c r="A35" s="20">
        <v>33</v>
      </c>
      <c r="B35" s="21"/>
      <c r="C35" s="21" t="e">
        <f>VLOOKUP(B35,داتا!$B$3:$D$107,2,FALSE)</f>
        <v>#N/A</v>
      </c>
      <c r="D35" s="35" t="e">
        <f>VLOOKUP(B35,داتا!$B$3:$D$107,3,FALSE)</f>
        <v>#N/A</v>
      </c>
      <c r="E35" s="21"/>
      <c r="F35" s="21"/>
      <c r="G35" s="22">
        <v>0.25</v>
      </c>
      <c r="H35" s="22"/>
      <c r="I35" s="22">
        <f t="shared" si="1"/>
        <v>-0.25</v>
      </c>
      <c r="J35" s="22"/>
      <c r="K35" s="22"/>
      <c r="L35" s="22"/>
      <c r="M35" s="22"/>
      <c r="N35" s="22">
        <f t="shared" si="2"/>
        <v>0</v>
      </c>
      <c r="O35" s="22" t="e">
        <f t="shared" si="3"/>
        <v>#N/A</v>
      </c>
      <c r="P35" s="22">
        <v>6.9444444444444397E-3</v>
      </c>
      <c r="Q35" s="22"/>
      <c r="R35" s="22">
        <f t="shared" si="4"/>
        <v>-6.9444444444444397E-3</v>
      </c>
      <c r="S35" s="22"/>
      <c r="T35" s="22" t="e">
        <f>VLOOKUP(E35,'[2]21-3-2026'!E$3:T$35,16,FALSE)</f>
        <v>#N/A</v>
      </c>
      <c r="U35" s="22"/>
      <c r="V35" s="22" t="e">
        <f t="shared" si="5"/>
        <v>#N/A</v>
      </c>
      <c r="W35" s="22"/>
      <c r="X35" s="22"/>
      <c r="Y35" s="22"/>
      <c r="Z35" s="22">
        <f t="shared" si="6"/>
        <v>0</v>
      </c>
      <c r="AA35" s="22">
        <f t="shared" si="0"/>
        <v>0</v>
      </c>
      <c r="AB35" s="22"/>
      <c r="AC35" s="23"/>
      <c r="AD35" s="49"/>
    </row>
    <row r="36" spans="1:30" ht="20.25" customHeight="1" thickTop="1" thickBot="1" x14ac:dyDescent="0.3">
      <c r="A36" s="10">
        <v>1</v>
      </c>
      <c r="B36" s="11"/>
      <c r="C36" s="11" t="e">
        <f>VLOOKUP(B36,داتا!$B$3:$D$107,2,FALSE)</f>
        <v>#N/A</v>
      </c>
      <c r="D36" s="33" t="e">
        <f>VLOOKUP(B36,داتا!$B$3:$D$107,3,FALSE)</f>
        <v>#N/A</v>
      </c>
      <c r="E36" s="11"/>
      <c r="F36" s="11"/>
      <c r="G36" s="12">
        <v>0.25</v>
      </c>
      <c r="H36" s="12" t="e">
        <f>VLOOKUP(G36,$F$3:$I$35,2,FALSE)</f>
        <v>#N/A</v>
      </c>
      <c r="I36" s="12" t="e">
        <f t="shared" si="1"/>
        <v>#N/A</v>
      </c>
      <c r="J36" s="12"/>
      <c r="K36" s="12"/>
      <c r="L36" s="12"/>
      <c r="M36" s="12"/>
      <c r="N36" s="12">
        <f t="shared" si="2"/>
        <v>0</v>
      </c>
      <c r="O36" s="12" t="e">
        <f t="shared" si="3"/>
        <v>#N/A</v>
      </c>
      <c r="P36" s="12">
        <v>6.9444444444444397E-3</v>
      </c>
      <c r="Q36" s="12"/>
      <c r="R36" s="12">
        <f t="shared" si="4"/>
        <v>-6.9444444444444397E-3</v>
      </c>
      <c r="S36" s="12"/>
      <c r="T36" s="12" t="e">
        <f>VLOOKUP(E36,'[2]21-3-2026'!E$3:T$35,16,FALSE)</f>
        <v>#N/A</v>
      </c>
      <c r="U36" s="12"/>
      <c r="V36" s="12" t="e">
        <f t="shared" si="5"/>
        <v>#N/A</v>
      </c>
      <c r="W36" s="12"/>
      <c r="X36" s="12"/>
      <c r="Y36" s="12"/>
      <c r="Z36" s="12">
        <f t="shared" si="6"/>
        <v>0</v>
      </c>
      <c r="AA36" s="12">
        <f t="shared" si="0"/>
        <v>0</v>
      </c>
      <c r="AB36" s="12"/>
      <c r="AC36" s="29"/>
      <c r="AD36" s="50" t="s">
        <v>104</v>
      </c>
    </row>
    <row r="37" spans="1:30" ht="19.5" thickBot="1" x14ac:dyDescent="0.3">
      <c r="A37" s="14">
        <v>2</v>
      </c>
      <c r="B37" s="15"/>
      <c r="C37" s="15" t="e">
        <f>VLOOKUP(B37,داتا!$B$3:$D$107,2,FALSE)</f>
        <v>#N/A</v>
      </c>
      <c r="D37" s="34" t="e">
        <f>VLOOKUP(B37,داتا!$B$3:$D$107,3,FALSE)</f>
        <v>#N/A</v>
      </c>
      <c r="E37" s="15"/>
      <c r="F37" s="15"/>
      <c r="G37" s="16">
        <v>0.25</v>
      </c>
      <c r="H37" s="16" t="e">
        <f t="shared" ref="H37:H52" si="7">VLOOKUP(G37,$F$3:$I$35,2,FALSE)</f>
        <v>#N/A</v>
      </c>
      <c r="I37" s="16" t="e">
        <f t="shared" si="1"/>
        <v>#N/A</v>
      </c>
      <c r="J37" s="16"/>
      <c r="K37" s="16"/>
      <c r="L37" s="16"/>
      <c r="M37" s="16"/>
      <c r="N37" s="16">
        <f t="shared" si="2"/>
        <v>0</v>
      </c>
      <c r="O37" s="16" t="e">
        <f t="shared" si="3"/>
        <v>#N/A</v>
      </c>
      <c r="P37" s="16">
        <v>6.9444444444444397E-3</v>
      </c>
      <c r="Q37" s="16"/>
      <c r="R37" s="16">
        <f t="shared" si="4"/>
        <v>-6.9444444444444397E-3</v>
      </c>
      <c r="S37" s="16"/>
      <c r="T37" s="16" t="e">
        <f>VLOOKUP(E37,'[2]21-3-2026'!E$3:T$35,16,FALSE)</f>
        <v>#N/A</v>
      </c>
      <c r="U37" s="16"/>
      <c r="V37" s="16" t="e">
        <f t="shared" si="5"/>
        <v>#N/A</v>
      </c>
      <c r="W37" s="16"/>
      <c r="X37" s="16"/>
      <c r="Y37" s="16"/>
      <c r="Z37" s="16">
        <f t="shared" si="6"/>
        <v>0</v>
      </c>
      <c r="AA37" s="16">
        <f t="shared" si="0"/>
        <v>0</v>
      </c>
      <c r="AB37" s="16"/>
      <c r="AC37" s="19"/>
      <c r="AD37" s="51"/>
    </row>
    <row r="38" spans="1:30" ht="19.5" thickBot="1" x14ac:dyDescent="0.3">
      <c r="A38" s="14">
        <v>3</v>
      </c>
      <c r="B38" s="15"/>
      <c r="C38" s="15" t="e">
        <f>VLOOKUP(B38,داتا!$B$3:$D$107,2,FALSE)</f>
        <v>#N/A</v>
      </c>
      <c r="D38" s="34" t="e">
        <f>VLOOKUP(B38,داتا!$B$3:$D$107,3,FALSE)</f>
        <v>#N/A</v>
      </c>
      <c r="E38" s="15"/>
      <c r="F38" s="15"/>
      <c r="G38" s="16">
        <v>0.25</v>
      </c>
      <c r="H38" s="16" t="e">
        <f t="shared" si="7"/>
        <v>#N/A</v>
      </c>
      <c r="I38" s="16" t="e">
        <f t="shared" si="1"/>
        <v>#N/A</v>
      </c>
      <c r="J38" s="16"/>
      <c r="K38" s="16"/>
      <c r="L38" s="16"/>
      <c r="M38" s="16"/>
      <c r="N38" s="16">
        <f t="shared" si="2"/>
        <v>0</v>
      </c>
      <c r="O38" s="16" t="e">
        <f t="shared" si="3"/>
        <v>#N/A</v>
      </c>
      <c r="P38" s="16">
        <v>6.9444444444444397E-3</v>
      </c>
      <c r="Q38" s="16"/>
      <c r="R38" s="16">
        <f t="shared" si="4"/>
        <v>-6.9444444444444397E-3</v>
      </c>
      <c r="S38" s="16"/>
      <c r="T38" s="16" t="e">
        <f>VLOOKUP(E38,'[2]21-3-2026'!E$3:T$35,16,FALSE)</f>
        <v>#N/A</v>
      </c>
      <c r="U38" s="16"/>
      <c r="V38" s="16" t="e">
        <f t="shared" si="5"/>
        <v>#N/A</v>
      </c>
      <c r="W38" s="16"/>
      <c r="X38" s="16"/>
      <c r="Y38" s="16"/>
      <c r="Z38" s="16">
        <f t="shared" si="6"/>
        <v>0</v>
      </c>
      <c r="AA38" s="16">
        <f t="shared" si="0"/>
        <v>0</v>
      </c>
      <c r="AB38" s="16"/>
      <c r="AC38" s="19"/>
      <c r="AD38" s="51"/>
    </row>
    <row r="39" spans="1:30" ht="19.5" thickBot="1" x14ac:dyDescent="0.3">
      <c r="A39" s="14">
        <v>4</v>
      </c>
      <c r="B39" s="15"/>
      <c r="C39" s="15" t="e">
        <f>VLOOKUP(B39,داتا!$B$3:$D$107,2,FALSE)</f>
        <v>#N/A</v>
      </c>
      <c r="D39" s="34" t="e">
        <f>VLOOKUP(B39,داتا!$B$3:$D$107,3,FALSE)</f>
        <v>#N/A</v>
      </c>
      <c r="E39" s="15"/>
      <c r="F39" s="15"/>
      <c r="G39" s="16">
        <v>0.25</v>
      </c>
      <c r="H39" s="16" t="e">
        <f t="shared" si="7"/>
        <v>#N/A</v>
      </c>
      <c r="I39" s="16" t="e">
        <f t="shared" si="1"/>
        <v>#N/A</v>
      </c>
      <c r="J39" s="16"/>
      <c r="K39" s="16"/>
      <c r="L39" s="16"/>
      <c r="M39" s="16"/>
      <c r="N39" s="16">
        <f t="shared" si="2"/>
        <v>0</v>
      </c>
      <c r="O39" s="16" t="e">
        <f t="shared" si="3"/>
        <v>#N/A</v>
      </c>
      <c r="P39" s="16">
        <v>6.9444444444444397E-3</v>
      </c>
      <c r="Q39" s="16"/>
      <c r="R39" s="16">
        <f t="shared" si="4"/>
        <v>-6.9444444444444397E-3</v>
      </c>
      <c r="S39" s="16"/>
      <c r="T39" s="16" t="e">
        <f>VLOOKUP(E39,'[2]21-3-2026'!E$3:T$35,16,FALSE)</f>
        <v>#N/A</v>
      </c>
      <c r="U39" s="16"/>
      <c r="V39" s="16" t="e">
        <f t="shared" si="5"/>
        <v>#N/A</v>
      </c>
      <c r="W39" s="16"/>
      <c r="X39" s="16"/>
      <c r="Y39" s="16"/>
      <c r="Z39" s="16">
        <f t="shared" si="6"/>
        <v>0</v>
      </c>
      <c r="AA39" s="16">
        <f t="shared" si="0"/>
        <v>0</v>
      </c>
      <c r="AB39" s="16"/>
      <c r="AC39" s="17"/>
      <c r="AD39" s="51"/>
    </row>
    <row r="40" spans="1:30" ht="19.5" thickBot="1" x14ac:dyDescent="0.3">
      <c r="A40" s="14">
        <v>5</v>
      </c>
      <c r="B40" s="15"/>
      <c r="C40" s="15" t="e">
        <f>VLOOKUP(B40,داتا!$B$3:$D$107,2,FALSE)</f>
        <v>#N/A</v>
      </c>
      <c r="D40" s="34" t="e">
        <f>VLOOKUP(B40,داتا!$B$3:$D$107,3,FALSE)</f>
        <v>#N/A</v>
      </c>
      <c r="E40" s="15"/>
      <c r="F40" s="15"/>
      <c r="G40" s="16">
        <v>0.25</v>
      </c>
      <c r="H40" s="16" t="e">
        <f t="shared" si="7"/>
        <v>#N/A</v>
      </c>
      <c r="I40" s="16" t="e">
        <f t="shared" si="1"/>
        <v>#N/A</v>
      </c>
      <c r="J40" s="16"/>
      <c r="K40" s="16"/>
      <c r="L40" s="16"/>
      <c r="M40" s="16"/>
      <c r="N40" s="16">
        <f t="shared" si="2"/>
        <v>0</v>
      </c>
      <c r="O40" s="16" t="e">
        <f t="shared" si="3"/>
        <v>#N/A</v>
      </c>
      <c r="P40" s="16">
        <v>6.9444444444444397E-3</v>
      </c>
      <c r="Q40" s="16"/>
      <c r="R40" s="16">
        <f t="shared" si="4"/>
        <v>-6.9444444444444397E-3</v>
      </c>
      <c r="S40" s="16"/>
      <c r="T40" s="16" t="e">
        <f>VLOOKUP(E40,'[2]21-3-2026'!E$3:T$35,16,FALSE)</f>
        <v>#N/A</v>
      </c>
      <c r="U40" s="16"/>
      <c r="V40" s="16" t="e">
        <f t="shared" si="5"/>
        <v>#N/A</v>
      </c>
      <c r="W40" s="16"/>
      <c r="X40" s="16"/>
      <c r="Y40" s="16"/>
      <c r="Z40" s="16">
        <f t="shared" si="6"/>
        <v>0</v>
      </c>
      <c r="AA40" s="16">
        <f t="shared" si="0"/>
        <v>0</v>
      </c>
      <c r="AB40" s="16"/>
      <c r="AC40" s="17"/>
      <c r="AD40" s="51"/>
    </row>
    <row r="41" spans="1:30" ht="19.5" thickBot="1" x14ac:dyDescent="0.3">
      <c r="A41" s="14">
        <v>6</v>
      </c>
      <c r="B41" s="15"/>
      <c r="C41" s="15" t="e">
        <f>VLOOKUP(B41,داتا!$B$3:$D$107,2,FALSE)</f>
        <v>#N/A</v>
      </c>
      <c r="D41" s="34" t="e">
        <f>VLOOKUP(B41,داتا!$B$3:$D$107,3,FALSE)</f>
        <v>#N/A</v>
      </c>
      <c r="E41" s="15"/>
      <c r="F41" s="15"/>
      <c r="G41" s="16">
        <v>0.25</v>
      </c>
      <c r="H41" s="16" t="e">
        <f t="shared" si="7"/>
        <v>#N/A</v>
      </c>
      <c r="I41" s="16" t="e">
        <f t="shared" si="1"/>
        <v>#N/A</v>
      </c>
      <c r="J41" s="16"/>
      <c r="K41" s="16"/>
      <c r="L41" s="16"/>
      <c r="M41" s="16"/>
      <c r="N41" s="16">
        <f t="shared" si="2"/>
        <v>0</v>
      </c>
      <c r="O41" s="16" t="e">
        <f t="shared" si="3"/>
        <v>#N/A</v>
      </c>
      <c r="P41" s="16">
        <v>6.9444444444444397E-3</v>
      </c>
      <c r="Q41" s="16"/>
      <c r="R41" s="16">
        <f t="shared" si="4"/>
        <v>-6.9444444444444397E-3</v>
      </c>
      <c r="S41" s="16"/>
      <c r="T41" s="16" t="e">
        <f>VLOOKUP(E41,'[2]21-3-2026'!E$3:T$35,16,FALSE)</f>
        <v>#N/A</v>
      </c>
      <c r="U41" s="16"/>
      <c r="V41" s="16" t="e">
        <f t="shared" si="5"/>
        <v>#N/A</v>
      </c>
      <c r="W41" s="16"/>
      <c r="X41" s="16"/>
      <c r="Y41" s="16"/>
      <c r="Z41" s="16">
        <f t="shared" si="6"/>
        <v>0</v>
      </c>
      <c r="AA41" s="16">
        <f t="shared" si="0"/>
        <v>0</v>
      </c>
      <c r="AB41" s="16"/>
      <c r="AC41" s="17"/>
      <c r="AD41" s="51"/>
    </row>
    <row r="42" spans="1:30" ht="19.5" thickBot="1" x14ac:dyDescent="0.3">
      <c r="A42" s="14">
        <v>7</v>
      </c>
      <c r="B42" s="15"/>
      <c r="C42" s="15" t="e">
        <f>VLOOKUP(B42,داتا!$B$3:$D$107,2,FALSE)</f>
        <v>#N/A</v>
      </c>
      <c r="D42" s="34" t="e">
        <f>VLOOKUP(B42,داتا!$B$3:$D$107,3,FALSE)</f>
        <v>#N/A</v>
      </c>
      <c r="E42" s="15"/>
      <c r="F42" s="15"/>
      <c r="G42" s="16">
        <v>0.25</v>
      </c>
      <c r="H42" s="16" t="e">
        <f t="shared" si="7"/>
        <v>#N/A</v>
      </c>
      <c r="I42" s="16" t="e">
        <f t="shared" si="1"/>
        <v>#N/A</v>
      </c>
      <c r="J42" s="16"/>
      <c r="K42" s="16"/>
      <c r="L42" s="16"/>
      <c r="M42" s="16"/>
      <c r="N42" s="16">
        <f t="shared" si="2"/>
        <v>0</v>
      </c>
      <c r="O42" s="16" t="e">
        <f t="shared" si="3"/>
        <v>#N/A</v>
      </c>
      <c r="P42" s="16">
        <v>6.9444444444444397E-3</v>
      </c>
      <c r="Q42" s="16"/>
      <c r="R42" s="16">
        <f t="shared" si="4"/>
        <v>-6.9444444444444397E-3</v>
      </c>
      <c r="S42" s="16"/>
      <c r="T42" s="16" t="e">
        <f>VLOOKUP(E42,'[2]21-3-2026'!E$3:T$35,16,FALSE)</f>
        <v>#N/A</v>
      </c>
      <c r="U42" s="16"/>
      <c r="V42" s="16" t="e">
        <f t="shared" si="5"/>
        <v>#N/A</v>
      </c>
      <c r="W42" s="16"/>
      <c r="X42" s="16"/>
      <c r="Y42" s="16"/>
      <c r="Z42" s="16">
        <f t="shared" si="6"/>
        <v>0</v>
      </c>
      <c r="AA42" s="16">
        <f t="shared" si="0"/>
        <v>0</v>
      </c>
      <c r="AB42" s="16"/>
      <c r="AC42" s="17"/>
      <c r="AD42" s="51"/>
    </row>
    <row r="43" spans="1:30" ht="19.5" thickBot="1" x14ac:dyDescent="0.3">
      <c r="A43" s="14">
        <v>8</v>
      </c>
      <c r="B43" s="15"/>
      <c r="C43" s="15" t="e">
        <f>VLOOKUP(B43,داتا!$B$3:$D$107,2,FALSE)</f>
        <v>#N/A</v>
      </c>
      <c r="D43" s="34" t="e">
        <f>VLOOKUP(B43,داتا!$B$3:$D$107,3,FALSE)</f>
        <v>#N/A</v>
      </c>
      <c r="E43" s="15"/>
      <c r="F43" s="15"/>
      <c r="G43" s="16">
        <v>0.25</v>
      </c>
      <c r="H43" s="16" t="e">
        <f t="shared" si="7"/>
        <v>#N/A</v>
      </c>
      <c r="I43" s="16" t="e">
        <f t="shared" si="1"/>
        <v>#N/A</v>
      </c>
      <c r="J43" s="16"/>
      <c r="K43" s="16"/>
      <c r="L43" s="16"/>
      <c r="M43" s="16"/>
      <c r="N43" s="16">
        <f t="shared" si="2"/>
        <v>0</v>
      </c>
      <c r="O43" s="16" t="e">
        <f t="shared" si="3"/>
        <v>#N/A</v>
      </c>
      <c r="P43" s="16">
        <v>6.9444444444444397E-3</v>
      </c>
      <c r="Q43" s="16"/>
      <c r="R43" s="16">
        <f t="shared" si="4"/>
        <v>-6.9444444444444397E-3</v>
      </c>
      <c r="S43" s="16"/>
      <c r="T43" s="16" t="e">
        <f>VLOOKUP(E43,'[2]21-3-2026'!E$3:T$35,16,FALSE)</f>
        <v>#N/A</v>
      </c>
      <c r="U43" s="16"/>
      <c r="V43" s="16" t="e">
        <f t="shared" si="5"/>
        <v>#N/A</v>
      </c>
      <c r="W43" s="16"/>
      <c r="X43" s="16"/>
      <c r="Y43" s="16"/>
      <c r="Z43" s="16">
        <f t="shared" si="6"/>
        <v>0</v>
      </c>
      <c r="AA43" s="16">
        <f t="shared" si="0"/>
        <v>0</v>
      </c>
      <c r="AB43" s="16"/>
      <c r="AC43" s="17"/>
      <c r="AD43" s="51"/>
    </row>
    <row r="44" spans="1:30" ht="19.5" thickBot="1" x14ac:dyDescent="0.3">
      <c r="A44" s="14">
        <v>9</v>
      </c>
      <c r="B44" s="15"/>
      <c r="C44" s="15" t="e">
        <f>VLOOKUP(B44,داتا!$B$3:$D$107,2,FALSE)</f>
        <v>#N/A</v>
      </c>
      <c r="D44" s="34" t="e">
        <f>VLOOKUP(B44,داتا!$B$3:$D$107,3,FALSE)</f>
        <v>#N/A</v>
      </c>
      <c r="E44" s="15"/>
      <c r="F44" s="15"/>
      <c r="G44" s="16">
        <v>0.25</v>
      </c>
      <c r="H44" s="16" t="e">
        <f t="shared" si="7"/>
        <v>#N/A</v>
      </c>
      <c r="I44" s="16" t="e">
        <f t="shared" si="1"/>
        <v>#N/A</v>
      </c>
      <c r="J44" s="16"/>
      <c r="K44" s="16"/>
      <c r="L44" s="16"/>
      <c r="M44" s="16"/>
      <c r="N44" s="16">
        <f t="shared" si="2"/>
        <v>0</v>
      </c>
      <c r="O44" s="16" t="e">
        <f t="shared" si="3"/>
        <v>#N/A</v>
      </c>
      <c r="P44" s="16">
        <v>6.9444444444444397E-3</v>
      </c>
      <c r="Q44" s="16"/>
      <c r="R44" s="16">
        <f t="shared" si="4"/>
        <v>-6.9444444444444397E-3</v>
      </c>
      <c r="S44" s="16"/>
      <c r="T44" s="16" t="e">
        <f>VLOOKUP(E44,'[2]21-3-2026'!E$3:T$35,16,FALSE)</f>
        <v>#N/A</v>
      </c>
      <c r="U44" s="16"/>
      <c r="V44" s="16" t="e">
        <f t="shared" si="5"/>
        <v>#N/A</v>
      </c>
      <c r="W44" s="16"/>
      <c r="X44" s="16"/>
      <c r="Y44" s="16"/>
      <c r="Z44" s="16">
        <f t="shared" si="6"/>
        <v>0</v>
      </c>
      <c r="AA44" s="16">
        <f t="shared" si="0"/>
        <v>0</v>
      </c>
      <c r="AB44" s="16"/>
      <c r="AC44" s="17"/>
      <c r="AD44" s="51"/>
    </row>
    <row r="45" spans="1:30" ht="19.5" thickBot="1" x14ac:dyDescent="0.3">
      <c r="A45" s="14">
        <v>10</v>
      </c>
      <c r="B45" s="15"/>
      <c r="C45" s="15" t="e">
        <f>VLOOKUP(B45,داتا!$B$3:$D$107,2,FALSE)</f>
        <v>#N/A</v>
      </c>
      <c r="D45" s="34" t="e">
        <f>VLOOKUP(B45,داتا!$B$3:$D$107,3,FALSE)</f>
        <v>#N/A</v>
      </c>
      <c r="E45" s="15"/>
      <c r="F45" s="15"/>
      <c r="G45" s="16">
        <v>0.25</v>
      </c>
      <c r="H45" s="16" t="e">
        <f t="shared" si="7"/>
        <v>#N/A</v>
      </c>
      <c r="I45" s="16" t="e">
        <f t="shared" si="1"/>
        <v>#N/A</v>
      </c>
      <c r="J45" s="16"/>
      <c r="K45" s="16"/>
      <c r="L45" s="16"/>
      <c r="M45" s="16"/>
      <c r="N45" s="16">
        <f t="shared" si="2"/>
        <v>0</v>
      </c>
      <c r="O45" s="16" t="e">
        <f t="shared" si="3"/>
        <v>#N/A</v>
      </c>
      <c r="P45" s="16">
        <v>6.9444444444444397E-3</v>
      </c>
      <c r="Q45" s="16"/>
      <c r="R45" s="16">
        <f t="shared" si="4"/>
        <v>-6.9444444444444397E-3</v>
      </c>
      <c r="S45" s="16"/>
      <c r="T45" s="16" t="e">
        <f>VLOOKUP(E45,'[2]21-3-2026'!E$3:T$35,16,FALSE)</f>
        <v>#N/A</v>
      </c>
      <c r="U45" s="16"/>
      <c r="V45" s="16" t="e">
        <f t="shared" si="5"/>
        <v>#N/A</v>
      </c>
      <c r="W45" s="16"/>
      <c r="X45" s="16"/>
      <c r="Y45" s="16"/>
      <c r="Z45" s="16">
        <f t="shared" si="6"/>
        <v>0</v>
      </c>
      <c r="AA45" s="16">
        <f t="shared" si="0"/>
        <v>0</v>
      </c>
      <c r="AB45" s="16"/>
      <c r="AC45" s="17"/>
      <c r="AD45" s="51"/>
    </row>
    <row r="46" spans="1:30" ht="19.5" thickBot="1" x14ac:dyDescent="0.3">
      <c r="A46" s="14">
        <v>11</v>
      </c>
      <c r="B46" s="15"/>
      <c r="C46" s="15" t="e">
        <f>VLOOKUP(B46,داتا!$B$3:$D$107,2,FALSE)</f>
        <v>#N/A</v>
      </c>
      <c r="D46" s="34" t="e">
        <f>VLOOKUP(B46,داتا!$B$3:$D$107,3,FALSE)</f>
        <v>#N/A</v>
      </c>
      <c r="E46" s="15"/>
      <c r="F46" s="15"/>
      <c r="G46" s="16">
        <v>0.25</v>
      </c>
      <c r="H46" s="16" t="e">
        <f t="shared" si="7"/>
        <v>#N/A</v>
      </c>
      <c r="I46" s="16" t="e">
        <f t="shared" si="1"/>
        <v>#N/A</v>
      </c>
      <c r="J46" s="16"/>
      <c r="K46" s="16"/>
      <c r="L46" s="16"/>
      <c r="M46" s="16"/>
      <c r="N46" s="16">
        <f t="shared" si="2"/>
        <v>0</v>
      </c>
      <c r="O46" s="16" t="e">
        <f t="shared" si="3"/>
        <v>#N/A</v>
      </c>
      <c r="P46" s="16">
        <v>6.9444444444444397E-3</v>
      </c>
      <c r="Q46" s="16"/>
      <c r="R46" s="16">
        <f t="shared" si="4"/>
        <v>-6.9444444444444397E-3</v>
      </c>
      <c r="S46" s="16"/>
      <c r="T46" s="16" t="e">
        <f>VLOOKUP(E46,'[2]21-3-2026'!E$3:T$35,16,FALSE)</f>
        <v>#N/A</v>
      </c>
      <c r="U46" s="16"/>
      <c r="V46" s="16" t="e">
        <f t="shared" si="5"/>
        <v>#N/A</v>
      </c>
      <c r="W46" s="16"/>
      <c r="X46" s="16"/>
      <c r="Y46" s="16"/>
      <c r="Z46" s="16">
        <f t="shared" si="6"/>
        <v>0</v>
      </c>
      <c r="AA46" s="16">
        <f t="shared" si="0"/>
        <v>0</v>
      </c>
      <c r="AB46" s="16"/>
      <c r="AC46" s="17"/>
      <c r="AD46" s="51"/>
    </row>
    <row r="47" spans="1:30" ht="19.5" thickBot="1" x14ac:dyDescent="0.3">
      <c r="A47" s="14">
        <v>12</v>
      </c>
      <c r="B47" s="15"/>
      <c r="C47" s="15" t="e">
        <f>VLOOKUP(B47,داتا!$B$3:$D$107,2,FALSE)</f>
        <v>#N/A</v>
      </c>
      <c r="D47" s="34" t="e">
        <f>VLOOKUP(B47,داتا!$B$3:$D$107,3,FALSE)</f>
        <v>#N/A</v>
      </c>
      <c r="E47" s="15"/>
      <c r="F47" s="15"/>
      <c r="G47" s="16">
        <v>0.25</v>
      </c>
      <c r="H47" s="16" t="e">
        <f t="shared" si="7"/>
        <v>#N/A</v>
      </c>
      <c r="I47" s="16" t="e">
        <f t="shared" si="1"/>
        <v>#N/A</v>
      </c>
      <c r="J47" s="16"/>
      <c r="K47" s="16"/>
      <c r="L47" s="16"/>
      <c r="M47" s="16"/>
      <c r="N47" s="16">
        <f t="shared" si="2"/>
        <v>0</v>
      </c>
      <c r="O47" s="16" t="e">
        <f t="shared" si="3"/>
        <v>#N/A</v>
      </c>
      <c r="P47" s="16">
        <v>6.9444444444444397E-3</v>
      </c>
      <c r="Q47" s="16"/>
      <c r="R47" s="16">
        <f t="shared" si="4"/>
        <v>-6.9444444444444397E-3</v>
      </c>
      <c r="S47" s="16"/>
      <c r="T47" s="16" t="e">
        <f>VLOOKUP(E47,'[2]21-3-2026'!E$3:T$35,16,FALSE)</f>
        <v>#N/A</v>
      </c>
      <c r="U47" s="16"/>
      <c r="V47" s="16" t="e">
        <f t="shared" si="5"/>
        <v>#N/A</v>
      </c>
      <c r="W47" s="16"/>
      <c r="X47" s="16"/>
      <c r="Y47" s="16"/>
      <c r="Z47" s="16">
        <f t="shared" si="6"/>
        <v>0</v>
      </c>
      <c r="AA47" s="16">
        <f t="shared" si="0"/>
        <v>0</v>
      </c>
      <c r="AB47" s="16"/>
      <c r="AC47" s="17"/>
      <c r="AD47" s="51"/>
    </row>
    <row r="48" spans="1:30" ht="19.5" thickBot="1" x14ac:dyDescent="0.3">
      <c r="A48" s="14">
        <v>13</v>
      </c>
      <c r="B48" s="15"/>
      <c r="C48" s="15" t="e">
        <f>VLOOKUP(B48,داتا!$B$3:$D$107,2,FALSE)</f>
        <v>#N/A</v>
      </c>
      <c r="D48" s="34" t="e">
        <f>VLOOKUP(B48,داتا!$B$3:$D$107,3,FALSE)</f>
        <v>#N/A</v>
      </c>
      <c r="E48" s="15"/>
      <c r="F48" s="15"/>
      <c r="G48" s="16">
        <v>0.25</v>
      </c>
      <c r="H48" s="16" t="e">
        <f t="shared" si="7"/>
        <v>#N/A</v>
      </c>
      <c r="I48" s="16" t="e">
        <f t="shared" si="1"/>
        <v>#N/A</v>
      </c>
      <c r="J48" s="16"/>
      <c r="K48" s="16"/>
      <c r="L48" s="16"/>
      <c r="M48" s="16"/>
      <c r="N48" s="16">
        <f t="shared" si="2"/>
        <v>0</v>
      </c>
      <c r="O48" s="16" t="e">
        <f t="shared" si="3"/>
        <v>#N/A</v>
      </c>
      <c r="P48" s="16">
        <v>6.9444444444444397E-3</v>
      </c>
      <c r="Q48" s="16"/>
      <c r="R48" s="16">
        <f t="shared" si="4"/>
        <v>-6.9444444444444397E-3</v>
      </c>
      <c r="S48" s="16"/>
      <c r="T48" s="16" t="e">
        <f>VLOOKUP(E48,'[2]21-3-2026'!E$3:T$35,16,FALSE)</f>
        <v>#N/A</v>
      </c>
      <c r="U48" s="16"/>
      <c r="V48" s="16" t="e">
        <f t="shared" si="5"/>
        <v>#N/A</v>
      </c>
      <c r="W48" s="16"/>
      <c r="X48" s="16"/>
      <c r="Y48" s="16"/>
      <c r="Z48" s="16">
        <f t="shared" si="6"/>
        <v>0</v>
      </c>
      <c r="AA48" s="16">
        <f t="shared" si="0"/>
        <v>0</v>
      </c>
      <c r="AB48" s="16"/>
      <c r="AC48" s="17"/>
      <c r="AD48" s="51"/>
    </row>
    <row r="49" spans="1:30" ht="19.5" thickBot="1" x14ac:dyDescent="0.3">
      <c r="A49" s="14">
        <v>14</v>
      </c>
      <c r="B49" s="15"/>
      <c r="C49" s="15" t="e">
        <f>VLOOKUP(B49,داتا!$B$3:$D$107,2,FALSE)</f>
        <v>#N/A</v>
      </c>
      <c r="D49" s="34" t="e">
        <f>VLOOKUP(B49,داتا!$B$3:$D$107,3,FALSE)</f>
        <v>#N/A</v>
      </c>
      <c r="E49" s="15"/>
      <c r="F49" s="15"/>
      <c r="G49" s="16">
        <v>0.25</v>
      </c>
      <c r="H49" s="16" t="e">
        <f t="shared" si="7"/>
        <v>#N/A</v>
      </c>
      <c r="I49" s="16" t="e">
        <f t="shared" si="1"/>
        <v>#N/A</v>
      </c>
      <c r="J49" s="16"/>
      <c r="K49" s="16"/>
      <c r="L49" s="16"/>
      <c r="M49" s="16"/>
      <c r="N49" s="16">
        <f t="shared" si="2"/>
        <v>0</v>
      </c>
      <c r="O49" s="16" t="e">
        <f t="shared" si="3"/>
        <v>#N/A</v>
      </c>
      <c r="P49" s="16">
        <v>6.9444444444444397E-3</v>
      </c>
      <c r="Q49" s="16"/>
      <c r="R49" s="16">
        <f t="shared" si="4"/>
        <v>-6.9444444444444397E-3</v>
      </c>
      <c r="S49" s="16"/>
      <c r="T49" s="16" t="e">
        <f>VLOOKUP(E49,'[2]21-3-2026'!E$3:T$35,16,FALSE)</f>
        <v>#N/A</v>
      </c>
      <c r="U49" s="16"/>
      <c r="V49" s="16" t="e">
        <f t="shared" si="5"/>
        <v>#N/A</v>
      </c>
      <c r="W49" s="16"/>
      <c r="X49" s="16"/>
      <c r="Y49" s="16"/>
      <c r="Z49" s="16">
        <f t="shared" si="6"/>
        <v>0</v>
      </c>
      <c r="AA49" s="16">
        <f t="shared" si="0"/>
        <v>0</v>
      </c>
      <c r="AB49" s="16"/>
      <c r="AC49" s="17"/>
      <c r="AD49" s="51"/>
    </row>
    <row r="50" spans="1:30" ht="19.5" thickBot="1" x14ac:dyDescent="0.3">
      <c r="A50" s="14">
        <v>15</v>
      </c>
      <c r="B50" s="15"/>
      <c r="C50" s="15" t="e">
        <f>VLOOKUP(B50,داتا!$B$3:$D$107,2,FALSE)</f>
        <v>#N/A</v>
      </c>
      <c r="D50" s="34" t="e">
        <f>VLOOKUP(B50,داتا!$B$3:$D$107,3,FALSE)</f>
        <v>#N/A</v>
      </c>
      <c r="E50" s="15"/>
      <c r="F50" s="15"/>
      <c r="G50" s="16">
        <v>0.25</v>
      </c>
      <c r="H50" s="16" t="e">
        <f t="shared" si="7"/>
        <v>#N/A</v>
      </c>
      <c r="I50" s="16" t="e">
        <f t="shared" si="1"/>
        <v>#N/A</v>
      </c>
      <c r="J50" s="16"/>
      <c r="K50" s="16"/>
      <c r="L50" s="16"/>
      <c r="M50" s="16"/>
      <c r="N50" s="16">
        <f t="shared" si="2"/>
        <v>0</v>
      </c>
      <c r="O50" s="16" t="e">
        <f t="shared" si="3"/>
        <v>#N/A</v>
      </c>
      <c r="P50" s="16">
        <v>6.9444444444444397E-3</v>
      </c>
      <c r="Q50" s="16"/>
      <c r="R50" s="16">
        <f t="shared" si="4"/>
        <v>-6.9444444444444397E-3</v>
      </c>
      <c r="S50" s="16"/>
      <c r="T50" s="16" t="e">
        <f>VLOOKUP(E50,'[2]21-3-2026'!E$3:T$35,16,FALSE)</f>
        <v>#N/A</v>
      </c>
      <c r="U50" s="16"/>
      <c r="V50" s="16" t="e">
        <f t="shared" si="5"/>
        <v>#N/A</v>
      </c>
      <c r="W50" s="16"/>
      <c r="X50" s="16"/>
      <c r="Y50" s="16"/>
      <c r="Z50" s="16">
        <f t="shared" si="6"/>
        <v>0</v>
      </c>
      <c r="AA50" s="16">
        <f t="shared" si="0"/>
        <v>0</v>
      </c>
      <c r="AB50" s="16"/>
      <c r="AC50" s="17"/>
      <c r="AD50" s="51"/>
    </row>
    <row r="51" spans="1:30" ht="19.5" thickBot="1" x14ac:dyDescent="0.3">
      <c r="A51" s="14">
        <v>16</v>
      </c>
      <c r="B51" s="15"/>
      <c r="C51" s="15" t="e">
        <f>VLOOKUP(B51,داتا!$B$3:$D$107,2,FALSE)</f>
        <v>#N/A</v>
      </c>
      <c r="D51" s="34" t="e">
        <f>VLOOKUP(B51,داتا!$B$3:$D$107,3,FALSE)</f>
        <v>#N/A</v>
      </c>
      <c r="E51" s="15"/>
      <c r="F51" s="15"/>
      <c r="G51" s="16">
        <v>0.25</v>
      </c>
      <c r="H51" s="16" t="e">
        <f t="shared" si="7"/>
        <v>#N/A</v>
      </c>
      <c r="I51" s="16" t="e">
        <f t="shared" si="1"/>
        <v>#N/A</v>
      </c>
      <c r="J51" s="16"/>
      <c r="K51" s="16"/>
      <c r="L51" s="16"/>
      <c r="M51" s="16"/>
      <c r="N51" s="16">
        <f t="shared" si="2"/>
        <v>0</v>
      </c>
      <c r="O51" s="16" t="e">
        <f t="shared" si="3"/>
        <v>#N/A</v>
      </c>
      <c r="P51" s="16">
        <v>6.9444444444444397E-3</v>
      </c>
      <c r="Q51" s="16"/>
      <c r="R51" s="16">
        <f t="shared" si="4"/>
        <v>-6.9444444444444397E-3</v>
      </c>
      <c r="S51" s="16"/>
      <c r="T51" s="16" t="e">
        <f>VLOOKUP(E51,'[2]21-3-2026'!E$3:T$35,16,FALSE)</f>
        <v>#N/A</v>
      </c>
      <c r="U51" s="16"/>
      <c r="V51" s="16" t="e">
        <f t="shared" si="5"/>
        <v>#N/A</v>
      </c>
      <c r="W51" s="16"/>
      <c r="X51" s="16"/>
      <c r="Y51" s="16"/>
      <c r="Z51" s="16">
        <f t="shared" si="6"/>
        <v>0</v>
      </c>
      <c r="AA51" s="16">
        <f t="shared" si="0"/>
        <v>0</v>
      </c>
      <c r="AB51" s="16"/>
      <c r="AC51" s="17"/>
      <c r="AD51" s="51"/>
    </row>
    <row r="52" spans="1:30" ht="19.5" thickBot="1" x14ac:dyDescent="0.3">
      <c r="A52" s="14">
        <v>17</v>
      </c>
      <c r="B52" s="15"/>
      <c r="C52" s="15" t="e">
        <f>VLOOKUP(B52,داتا!$B$3:$D$107,2,FALSE)</f>
        <v>#N/A</v>
      </c>
      <c r="D52" s="34" t="e">
        <f>VLOOKUP(B52,داتا!$B$3:$D$107,3,FALSE)</f>
        <v>#N/A</v>
      </c>
      <c r="E52" s="15"/>
      <c r="F52" s="15"/>
      <c r="G52" s="16">
        <v>0.25</v>
      </c>
      <c r="H52" s="16" t="e">
        <f t="shared" si="7"/>
        <v>#N/A</v>
      </c>
      <c r="I52" s="16" t="e">
        <f t="shared" si="1"/>
        <v>#N/A</v>
      </c>
      <c r="J52" s="16"/>
      <c r="K52" s="16"/>
      <c r="L52" s="16"/>
      <c r="M52" s="16"/>
      <c r="N52" s="16">
        <f t="shared" si="2"/>
        <v>0</v>
      </c>
      <c r="O52" s="16" t="e">
        <f t="shared" si="3"/>
        <v>#N/A</v>
      </c>
      <c r="P52" s="16">
        <v>6.9444444444444397E-3</v>
      </c>
      <c r="Q52" s="16"/>
      <c r="R52" s="16">
        <f t="shared" si="4"/>
        <v>-6.9444444444444397E-3</v>
      </c>
      <c r="S52" s="16"/>
      <c r="T52" s="16" t="e">
        <f>VLOOKUP(E52,'[2]21-3-2026'!E$3:T$35,16,FALSE)</f>
        <v>#N/A</v>
      </c>
      <c r="U52" s="16"/>
      <c r="V52" s="16" t="e">
        <f t="shared" si="5"/>
        <v>#N/A</v>
      </c>
      <c r="W52" s="16"/>
      <c r="X52" s="16"/>
      <c r="Y52" s="16"/>
      <c r="Z52" s="16">
        <f t="shared" si="6"/>
        <v>0</v>
      </c>
      <c r="AA52" s="16">
        <f t="shared" si="0"/>
        <v>0</v>
      </c>
      <c r="AB52" s="16"/>
      <c r="AC52" s="17"/>
      <c r="AD52" s="51"/>
    </row>
    <row r="53" spans="1:30" ht="19.5" thickBot="1" x14ac:dyDescent="0.3">
      <c r="A53" s="14">
        <v>18</v>
      </c>
      <c r="B53" s="15"/>
      <c r="C53" s="15" t="e">
        <f>VLOOKUP(B53,داتا!$B$3:$D$107,2,FALSE)</f>
        <v>#N/A</v>
      </c>
      <c r="D53" s="34" t="e">
        <f>VLOOKUP(B53,داتا!$B$3:$D$107,3,FALSE)</f>
        <v>#N/A</v>
      </c>
      <c r="E53" s="15"/>
      <c r="F53" s="15"/>
      <c r="G53" s="16">
        <v>0.25</v>
      </c>
      <c r="H53" s="16" t="e">
        <f t="shared" ref="H53:H68" si="8">VLOOKUP(G53,$F$3:$I$35,2,FALSE)</f>
        <v>#N/A</v>
      </c>
      <c r="I53" s="16" t="e">
        <f t="shared" si="1"/>
        <v>#N/A</v>
      </c>
      <c r="J53" s="16"/>
      <c r="K53" s="16"/>
      <c r="L53" s="16"/>
      <c r="M53" s="16"/>
      <c r="N53" s="16">
        <f t="shared" si="2"/>
        <v>0</v>
      </c>
      <c r="O53" s="16" t="e">
        <f t="shared" si="3"/>
        <v>#N/A</v>
      </c>
      <c r="P53" s="16">
        <v>6.9444444444444397E-3</v>
      </c>
      <c r="Q53" s="16"/>
      <c r="R53" s="16">
        <f t="shared" si="4"/>
        <v>-6.9444444444444397E-3</v>
      </c>
      <c r="S53" s="16"/>
      <c r="T53" s="16" t="e">
        <f>VLOOKUP(E53,'[2]21-3-2026'!E$3:T$35,16,FALSE)</f>
        <v>#N/A</v>
      </c>
      <c r="U53" s="16"/>
      <c r="V53" s="16" t="e">
        <f t="shared" si="5"/>
        <v>#N/A</v>
      </c>
      <c r="W53" s="16"/>
      <c r="X53" s="16"/>
      <c r="Y53" s="16"/>
      <c r="Z53" s="16">
        <f t="shared" si="6"/>
        <v>0</v>
      </c>
      <c r="AA53" s="16">
        <f t="shared" si="0"/>
        <v>0</v>
      </c>
      <c r="AB53" s="16"/>
      <c r="AC53" s="17"/>
      <c r="AD53" s="51"/>
    </row>
    <row r="54" spans="1:30" ht="19.5" thickBot="1" x14ac:dyDescent="0.3">
      <c r="A54" s="14">
        <v>19</v>
      </c>
      <c r="B54" s="15"/>
      <c r="C54" s="15" t="e">
        <f>VLOOKUP(B54,داتا!$B$3:$D$107,2,FALSE)</f>
        <v>#N/A</v>
      </c>
      <c r="D54" s="34" t="e">
        <f>VLOOKUP(B54,داتا!$B$3:$D$107,3,FALSE)</f>
        <v>#N/A</v>
      </c>
      <c r="E54" s="15"/>
      <c r="F54" s="15"/>
      <c r="G54" s="16">
        <v>0.25</v>
      </c>
      <c r="H54" s="16" t="e">
        <f t="shared" si="8"/>
        <v>#N/A</v>
      </c>
      <c r="I54" s="16" t="e">
        <f t="shared" si="1"/>
        <v>#N/A</v>
      </c>
      <c r="J54" s="16"/>
      <c r="K54" s="16"/>
      <c r="L54" s="16"/>
      <c r="M54" s="16"/>
      <c r="N54" s="16">
        <f t="shared" si="2"/>
        <v>0</v>
      </c>
      <c r="O54" s="16" t="e">
        <f t="shared" si="3"/>
        <v>#N/A</v>
      </c>
      <c r="P54" s="16">
        <v>6.9444444444444397E-3</v>
      </c>
      <c r="Q54" s="16"/>
      <c r="R54" s="16">
        <f t="shared" si="4"/>
        <v>-6.9444444444444397E-3</v>
      </c>
      <c r="S54" s="16"/>
      <c r="T54" s="16" t="e">
        <f>VLOOKUP(E54,'[2]21-3-2026'!E$3:T$35,16,FALSE)</f>
        <v>#N/A</v>
      </c>
      <c r="U54" s="16"/>
      <c r="V54" s="16" t="e">
        <f t="shared" si="5"/>
        <v>#N/A</v>
      </c>
      <c r="W54" s="16"/>
      <c r="X54" s="16"/>
      <c r="Y54" s="16"/>
      <c r="Z54" s="16">
        <f t="shared" si="6"/>
        <v>0</v>
      </c>
      <c r="AA54" s="16">
        <f t="shared" si="0"/>
        <v>0</v>
      </c>
      <c r="AB54" s="16"/>
      <c r="AC54" s="17"/>
      <c r="AD54" s="51"/>
    </row>
    <row r="55" spans="1:30" ht="19.5" thickBot="1" x14ac:dyDescent="0.3">
      <c r="A55" s="14">
        <v>20</v>
      </c>
      <c r="B55" s="15"/>
      <c r="C55" s="15" t="e">
        <f>VLOOKUP(B55,داتا!$B$3:$D$107,2,FALSE)</f>
        <v>#N/A</v>
      </c>
      <c r="D55" s="34" t="e">
        <f>VLOOKUP(B55,داتا!$B$3:$D$107,3,FALSE)</f>
        <v>#N/A</v>
      </c>
      <c r="E55" s="15"/>
      <c r="F55" s="15"/>
      <c r="G55" s="16">
        <v>0.25</v>
      </c>
      <c r="H55" s="16" t="e">
        <f t="shared" si="8"/>
        <v>#N/A</v>
      </c>
      <c r="I55" s="16" t="e">
        <f t="shared" si="1"/>
        <v>#N/A</v>
      </c>
      <c r="J55" s="16"/>
      <c r="K55" s="16"/>
      <c r="L55" s="16"/>
      <c r="M55" s="16"/>
      <c r="N55" s="16">
        <f t="shared" si="2"/>
        <v>0</v>
      </c>
      <c r="O55" s="16" t="e">
        <f t="shared" si="3"/>
        <v>#N/A</v>
      </c>
      <c r="P55" s="16">
        <v>6.9444444444444397E-3</v>
      </c>
      <c r="Q55" s="16"/>
      <c r="R55" s="16">
        <f t="shared" si="4"/>
        <v>-6.9444444444444397E-3</v>
      </c>
      <c r="S55" s="16"/>
      <c r="T55" s="16" t="e">
        <f>VLOOKUP(E55,'[2]21-3-2026'!E$3:T$35,16,FALSE)</f>
        <v>#N/A</v>
      </c>
      <c r="U55" s="16"/>
      <c r="V55" s="16" t="e">
        <f t="shared" si="5"/>
        <v>#N/A</v>
      </c>
      <c r="W55" s="16"/>
      <c r="X55" s="16"/>
      <c r="Y55" s="16"/>
      <c r="Z55" s="16">
        <f t="shared" si="6"/>
        <v>0</v>
      </c>
      <c r="AA55" s="16">
        <f t="shared" si="0"/>
        <v>0</v>
      </c>
      <c r="AB55" s="16"/>
      <c r="AC55" s="17"/>
      <c r="AD55" s="51"/>
    </row>
    <row r="56" spans="1:30" ht="19.5" thickBot="1" x14ac:dyDescent="0.3">
      <c r="A56" s="14">
        <v>21</v>
      </c>
      <c r="B56" s="15"/>
      <c r="C56" s="15" t="e">
        <f>VLOOKUP(B56,داتا!$B$3:$D$107,2,FALSE)</f>
        <v>#N/A</v>
      </c>
      <c r="D56" s="34" t="e">
        <f>VLOOKUP(B56,داتا!$B$3:$D$107,3,FALSE)</f>
        <v>#N/A</v>
      </c>
      <c r="E56" s="15"/>
      <c r="F56" s="15"/>
      <c r="G56" s="16">
        <v>0.25</v>
      </c>
      <c r="H56" s="16" t="e">
        <f t="shared" si="8"/>
        <v>#N/A</v>
      </c>
      <c r="I56" s="16" t="e">
        <f t="shared" si="1"/>
        <v>#N/A</v>
      </c>
      <c r="J56" s="16"/>
      <c r="K56" s="16"/>
      <c r="L56" s="15"/>
      <c r="M56" s="15"/>
      <c r="N56" s="16">
        <f t="shared" si="2"/>
        <v>0</v>
      </c>
      <c r="O56" s="16" t="e">
        <f t="shared" si="3"/>
        <v>#N/A</v>
      </c>
      <c r="P56" s="16">
        <v>6.9444444444444397E-3</v>
      </c>
      <c r="Q56" s="16"/>
      <c r="R56" s="16">
        <f t="shared" si="4"/>
        <v>-6.9444444444444397E-3</v>
      </c>
      <c r="S56" s="16"/>
      <c r="T56" s="16" t="e">
        <f>VLOOKUP(E56,'[2]21-3-2026'!E$3:T$35,16,FALSE)</f>
        <v>#N/A</v>
      </c>
      <c r="U56" s="16"/>
      <c r="V56" s="16" t="e">
        <f t="shared" si="5"/>
        <v>#N/A</v>
      </c>
      <c r="W56" s="16"/>
      <c r="X56" s="16"/>
      <c r="Y56" s="16"/>
      <c r="Z56" s="16">
        <f t="shared" si="6"/>
        <v>0</v>
      </c>
      <c r="AA56" s="16">
        <f t="shared" si="0"/>
        <v>0</v>
      </c>
      <c r="AB56" s="16"/>
      <c r="AC56" s="17"/>
      <c r="AD56" s="51"/>
    </row>
    <row r="57" spans="1:30" ht="19.5" thickBot="1" x14ac:dyDescent="0.3">
      <c r="A57" s="14">
        <v>22</v>
      </c>
      <c r="B57" s="15"/>
      <c r="C57" s="15" t="e">
        <f>VLOOKUP(B57,داتا!$B$3:$D$107,2,FALSE)</f>
        <v>#N/A</v>
      </c>
      <c r="D57" s="34" t="e">
        <f>VLOOKUP(B57,داتا!$B$3:$D$107,3,FALSE)</f>
        <v>#N/A</v>
      </c>
      <c r="E57" s="15"/>
      <c r="F57" s="15"/>
      <c r="G57" s="16">
        <v>0.25</v>
      </c>
      <c r="H57" s="16" t="e">
        <f t="shared" si="8"/>
        <v>#N/A</v>
      </c>
      <c r="I57" s="16" t="e">
        <f t="shared" si="1"/>
        <v>#N/A</v>
      </c>
      <c r="J57" s="16"/>
      <c r="K57" s="16"/>
      <c r="L57" s="15"/>
      <c r="M57" s="15"/>
      <c r="N57" s="16">
        <f t="shared" si="2"/>
        <v>0</v>
      </c>
      <c r="O57" s="16" t="e">
        <f t="shared" si="3"/>
        <v>#N/A</v>
      </c>
      <c r="P57" s="16">
        <v>6.9444444444444397E-3</v>
      </c>
      <c r="Q57" s="16"/>
      <c r="R57" s="16">
        <f t="shared" si="4"/>
        <v>-6.9444444444444397E-3</v>
      </c>
      <c r="S57" s="16"/>
      <c r="T57" s="16" t="e">
        <f>VLOOKUP(E57,'[2]21-3-2026'!E$3:T$35,16,FALSE)</f>
        <v>#N/A</v>
      </c>
      <c r="U57" s="16"/>
      <c r="V57" s="16" t="e">
        <f t="shared" si="5"/>
        <v>#N/A</v>
      </c>
      <c r="W57" s="16"/>
      <c r="X57" s="16"/>
      <c r="Y57" s="16"/>
      <c r="Z57" s="16">
        <f t="shared" si="6"/>
        <v>0</v>
      </c>
      <c r="AA57" s="16">
        <f t="shared" si="0"/>
        <v>0</v>
      </c>
      <c r="AB57" s="16"/>
      <c r="AC57" s="17"/>
      <c r="AD57" s="51"/>
    </row>
    <row r="58" spans="1:30" ht="19.5" thickBot="1" x14ac:dyDescent="0.3">
      <c r="A58" s="14">
        <v>23</v>
      </c>
      <c r="B58" s="15"/>
      <c r="C58" s="15" t="e">
        <f>VLOOKUP(B58,داتا!$B$3:$D$107,2,FALSE)</f>
        <v>#N/A</v>
      </c>
      <c r="D58" s="34" t="e">
        <f>VLOOKUP(B58,داتا!$B$3:$D$107,3,FALSE)</f>
        <v>#N/A</v>
      </c>
      <c r="E58" s="15"/>
      <c r="F58" s="15"/>
      <c r="G58" s="16">
        <v>0.25</v>
      </c>
      <c r="H58" s="16" t="e">
        <f t="shared" si="8"/>
        <v>#N/A</v>
      </c>
      <c r="I58" s="16" t="e">
        <f t="shared" si="1"/>
        <v>#N/A</v>
      </c>
      <c r="J58" s="16"/>
      <c r="K58" s="16"/>
      <c r="L58" s="16"/>
      <c r="M58" s="16"/>
      <c r="N58" s="16">
        <f t="shared" si="2"/>
        <v>0</v>
      </c>
      <c r="O58" s="16" t="e">
        <f t="shared" si="3"/>
        <v>#N/A</v>
      </c>
      <c r="P58" s="16">
        <v>6.9444444444444397E-3</v>
      </c>
      <c r="Q58" s="16"/>
      <c r="R58" s="16">
        <f t="shared" si="4"/>
        <v>-6.9444444444444397E-3</v>
      </c>
      <c r="S58" s="16"/>
      <c r="T58" s="16" t="e">
        <f>VLOOKUP(E58,'[2]21-3-2026'!E$3:T$35,16,FALSE)</f>
        <v>#N/A</v>
      </c>
      <c r="U58" s="16"/>
      <c r="V58" s="16" t="e">
        <f t="shared" si="5"/>
        <v>#N/A</v>
      </c>
      <c r="W58" s="16"/>
      <c r="X58" s="16"/>
      <c r="Y58" s="16"/>
      <c r="Z58" s="16">
        <f t="shared" si="6"/>
        <v>0</v>
      </c>
      <c r="AA58" s="16">
        <f t="shared" si="0"/>
        <v>0</v>
      </c>
      <c r="AB58" s="16"/>
      <c r="AC58" s="17"/>
      <c r="AD58" s="51"/>
    </row>
    <row r="59" spans="1:30" ht="19.5" thickBot="1" x14ac:dyDescent="0.3">
      <c r="A59" s="14">
        <v>24</v>
      </c>
      <c r="B59" s="15"/>
      <c r="C59" s="15" t="e">
        <f>VLOOKUP(B59,داتا!$B$3:$D$107,2,FALSE)</f>
        <v>#N/A</v>
      </c>
      <c r="D59" s="34" t="e">
        <f>VLOOKUP(B59,داتا!$B$3:$D$107,3,FALSE)</f>
        <v>#N/A</v>
      </c>
      <c r="E59" s="16"/>
      <c r="F59" s="15"/>
      <c r="G59" s="16">
        <v>0.25</v>
      </c>
      <c r="H59" s="16" t="e">
        <f t="shared" si="8"/>
        <v>#N/A</v>
      </c>
      <c r="I59" s="16" t="e">
        <f t="shared" si="1"/>
        <v>#N/A</v>
      </c>
      <c r="J59" s="16"/>
      <c r="K59" s="16"/>
      <c r="L59" s="15"/>
      <c r="M59" s="15"/>
      <c r="N59" s="16">
        <f t="shared" si="2"/>
        <v>0</v>
      </c>
      <c r="O59" s="16" t="e">
        <f t="shared" si="3"/>
        <v>#N/A</v>
      </c>
      <c r="P59" s="16">
        <v>6.9444444444444397E-3</v>
      </c>
      <c r="Q59" s="16"/>
      <c r="R59" s="16">
        <f t="shared" si="4"/>
        <v>-6.9444444444444397E-3</v>
      </c>
      <c r="S59" s="16"/>
      <c r="T59" s="16" t="e">
        <f>VLOOKUP(E59,'[2]21-3-2026'!E$3:T$35,16,FALSE)</f>
        <v>#N/A</v>
      </c>
      <c r="U59" s="16"/>
      <c r="V59" s="16" t="e">
        <f t="shared" si="5"/>
        <v>#N/A</v>
      </c>
      <c r="W59" s="16"/>
      <c r="X59" s="16"/>
      <c r="Y59" s="16"/>
      <c r="Z59" s="16">
        <f t="shared" si="6"/>
        <v>0</v>
      </c>
      <c r="AA59" s="16">
        <f t="shared" si="0"/>
        <v>0</v>
      </c>
      <c r="AB59" s="16"/>
      <c r="AC59" s="17"/>
      <c r="AD59" s="51"/>
    </row>
    <row r="60" spans="1:30" ht="19.5" thickBot="1" x14ac:dyDescent="0.3">
      <c r="A60" s="14">
        <v>25</v>
      </c>
      <c r="B60" s="15"/>
      <c r="C60" s="15" t="e">
        <f>VLOOKUP(B60,داتا!$B$3:$D$107,2,FALSE)</f>
        <v>#N/A</v>
      </c>
      <c r="D60" s="34" t="e">
        <f>VLOOKUP(B60,داتا!$B$3:$D$107,3,FALSE)</f>
        <v>#N/A</v>
      </c>
      <c r="E60" s="15"/>
      <c r="F60" s="15"/>
      <c r="G60" s="16">
        <v>0.25</v>
      </c>
      <c r="H60" s="16" t="e">
        <f t="shared" si="8"/>
        <v>#N/A</v>
      </c>
      <c r="I60" s="16" t="e">
        <f t="shared" si="1"/>
        <v>#N/A</v>
      </c>
      <c r="J60" s="16"/>
      <c r="K60" s="16"/>
      <c r="L60" s="16"/>
      <c r="M60" s="16"/>
      <c r="N60" s="16">
        <f t="shared" si="2"/>
        <v>0</v>
      </c>
      <c r="O60" s="16" t="e">
        <f t="shared" si="3"/>
        <v>#N/A</v>
      </c>
      <c r="P60" s="16">
        <v>6.9444444444444397E-3</v>
      </c>
      <c r="Q60" s="16"/>
      <c r="R60" s="16">
        <f t="shared" si="4"/>
        <v>-6.9444444444444397E-3</v>
      </c>
      <c r="S60" s="16"/>
      <c r="T60" s="16" t="e">
        <f>VLOOKUP(E60,'[2]21-3-2026'!E$3:T$35,16,FALSE)</f>
        <v>#N/A</v>
      </c>
      <c r="U60" s="16"/>
      <c r="V60" s="16" t="e">
        <f t="shared" si="5"/>
        <v>#N/A</v>
      </c>
      <c r="W60" s="16"/>
      <c r="X60" s="16"/>
      <c r="Y60" s="16"/>
      <c r="Z60" s="16">
        <f t="shared" si="6"/>
        <v>0</v>
      </c>
      <c r="AA60" s="16">
        <f t="shared" si="0"/>
        <v>0</v>
      </c>
      <c r="AB60" s="16"/>
      <c r="AC60" s="17"/>
      <c r="AD60" s="51"/>
    </row>
    <row r="61" spans="1:30" ht="19.5" thickBot="1" x14ac:dyDescent="0.3">
      <c r="A61" s="14">
        <v>26</v>
      </c>
      <c r="B61" s="15"/>
      <c r="C61" s="15" t="e">
        <f>VLOOKUP(B61,داتا!$B$3:$D$107,2,FALSE)</f>
        <v>#N/A</v>
      </c>
      <c r="D61" s="34" t="e">
        <f>VLOOKUP(B61,داتا!$B$3:$D$107,3,FALSE)</f>
        <v>#N/A</v>
      </c>
      <c r="E61" s="15"/>
      <c r="F61" s="15"/>
      <c r="G61" s="16">
        <v>0.25</v>
      </c>
      <c r="H61" s="16" t="e">
        <f t="shared" si="8"/>
        <v>#N/A</v>
      </c>
      <c r="I61" s="16" t="e">
        <f t="shared" si="1"/>
        <v>#N/A</v>
      </c>
      <c r="J61" s="16"/>
      <c r="K61" s="16"/>
      <c r="L61" s="16"/>
      <c r="M61" s="16"/>
      <c r="N61" s="16">
        <f t="shared" si="2"/>
        <v>0</v>
      </c>
      <c r="O61" s="16" t="e">
        <f t="shared" si="3"/>
        <v>#N/A</v>
      </c>
      <c r="P61" s="16">
        <v>6.9444444444444397E-3</v>
      </c>
      <c r="Q61" s="16"/>
      <c r="R61" s="16">
        <f t="shared" si="4"/>
        <v>-6.9444444444444397E-3</v>
      </c>
      <c r="S61" s="16"/>
      <c r="T61" s="16" t="e">
        <f>VLOOKUP(E61,'[2]21-3-2026'!E$3:T$35,16,FALSE)</f>
        <v>#N/A</v>
      </c>
      <c r="U61" s="16"/>
      <c r="V61" s="16" t="e">
        <f t="shared" si="5"/>
        <v>#N/A</v>
      </c>
      <c r="W61" s="16"/>
      <c r="X61" s="16"/>
      <c r="Y61" s="16"/>
      <c r="Z61" s="16">
        <f t="shared" si="6"/>
        <v>0</v>
      </c>
      <c r="AA61" s="16">
        <f t="shared" si="0"/>
        <v>0</v>
      </c>
      <c r="AB61" s="16"/>
      <c r="AC61" s="17"/>
      <c r="AD61" s="51"/>
    </row>
    <row r="62" spans="1:30" ht="19.5" thickBot="1" x14ac:dyDescent="0.3">
      <c r="A62" s="14">
        <v>27</v>
      </c>
      <c r="B62" s="15"/>
      <c r="C62" s="15" t="e">
        <f>VLOOKUP(B62,داتا!$B$3:$D$107,2,FALSE)</f>
        <v>#N/A</v>
      </c>
      <c r="D62" s="34" t="e">
        <f>VLOOKUP(B62,داتا!$B$3:$D$107,3,FALSE)</f>
        <v>#N/A</v>
      </c>
      <c r="E62" s="15"/>
      <c r="F62" s="15"/>
      <c r="G62" s="16">
        <v>0.25</v>
      </c>
      <c r="H62" s="16" t="e">
        <f t="shared" si="8"/>
        <v>#N/A</v>
      </c>
      <c r="I62" s="16" t="e">
        <f t="shared" si="1"/>
        <v>#N/A</v>
      </c>
      <c r="J62" s="16"/>
      <c r="K62" s="16"/>
      <c r="L62" s="16"/>
      <c r="M62" s="16"/>
      <c r="N62" s="16">
        <f t="shared" si="2"/>
        <v>0</v>
      </c>
      <c r="O62" s="16" t="e">
        <f t="shared" si="3"/>
        <v>#N/A</v>
      </c>
      <c r="P62" s="16">
        <v>6.9444444444444397E-3</v>
      </c>
      <c r="Q62" s="16"/>
      <c r="R62" s="16">
        <f t="shared" si="4"/>
        <v>-6.9444444444444397E-3</v>
      </c>
      <c r="S62" s="16"/>
      <c r="T62" s="16" t="e">
        <f>VLOOKUP(E62,'[2]21-3-2026'!E$3:T$35,16,FALSE)</f>
        <v>#N/A</v>
      </c>
      <c r="U62" s="16"/>
      <c r="V62" s="16" t="e">
        <f t="shared" si="5"/>
        <v>#N/A</v>
      </c>
      <c r="W62" s="16"/>
      <c r="X62" s="16"/>
      <c r="Y62" s="16"/>
      <c r="Z62" s="16">
        <f t="shared" si="6"/>
        <v>0</v>
      </c>
      <c r="AA62" s="16">
        <f t="shared" si="0"/>
        <v>0</v>
      </c>
      <c r="AB62" s="16"/>
      <c r="AC62" s="17"/>
      <c r="AD62" s="51"/>
    </row>
    <row r="63" spans="1:30" ht="19.5" thickBot="1" x14ac:dyDescent="0.3">
      <c r="A63" s="14">
        <v>28</v>
      </c>
      <c r="B63" s="15"/>
      <c r="C63" s="15" t="e">
        <f>VLOOKUP(B63,داتا!$B$3:$D$107,2,FALSE)</f>
        <v>#N/A</v>
      </c>
      <c r="D63" s="34" t="e">
        <f>VLOOKUP(B63,داتا!$B$3:$D$107,3,FALSE)</f>
        <v>#N/A</v>
      </c>
      <c r="E63" s="15"/>
      <c r="F63" s="15"/>
      <c r="G63" s="16">
        <v>0.25</v>
      </c>
      <c r="H63" s="16" t="e">
        <f t="shared" si="8"/>
        <v>#N/A</v>
      </c>
      <c r="I63" s="16" t="e">
        <f t="shared" si="1"/>
        <v>#N/A</v>
      </c>
      <c r="J63" s="16"/>
      <c r="K63" s="16"/>
      <c r="L63" s="16"/>
      <c r="M63" s="16"/>
      <c r="N63" s="16">
        <f t="shared" si="2"/>
        <v>0</v>
      </c>
      <c r="O63" s="16" t="e">
        <f t="shared" si="3"/>
        <v>#N/A</v>
      </c>
      <c r="P63" s="16">
        <v>6.9444444444444397E-3</v>
      </c>
      <c r="Q63" s="16"/>
      <c r="R63" s="16">
        <f t="shared" si="4"/>
        <v>-6.9444444444444397E-3</v>
      </c>
      <c r="S63" s="16"/>
      <c r="T63" s="16" t="e">
        <f>VLOOKUP(E63,'[2]21-3-2026'!E$3:T$35,16,FALSE)</f>
        <v>#N/A</v>
      </c>
      <c r="U63" s="16"/>
      <c r="V63" s="16" t="e">
        <f t="shared" si="5"/>
        <v>#N/A</v>
      </c>
      <c r="W63" s="16"/>
      <c r="X63" s="16"/>
      <c r="Y63" s="16"/>
      <c r="Z63" s="16">
        <f t="shared" si="6"/>
        <v>0</v>
      </c>
      <c r="AA63" s="16">
        <f t="shared" si="0"/>
        <v>0</v>
      </c>
      <c r="AB63" s="16"/>
      <c r="AC63" s="17"/>
      <c r="AD63" s="51"/>
    </row>
    <row r="64" spans="1:30" ht="19.5" thickBot="1" x14ac:dyDescent="0.3">
      <c r="A64" s="14">
        <v>29</v>
      </c>
      <c r="B64" s="15"/>
      <c r="C64" s="15" t="e">
        <f>VLOOKUP(B64,داتا!$B$3:$D$107,2,FALSE)</f>
        <v>#N/A</v>
      </c>
      <c r="D64" s="34" t="e">
        <f>VLOOKUP(B64,داتا!$B$3:$D$107,3,FALSE)</f>
        <v>#N/A</v>
      </c>
      <c r="E64" s="15"/>
      <c r="F64" s="15"/>
      <c r="G64" s="16">
        <v>0.25</v>
      </c>
      <c r="H64" s="16" t="e">
        <f t="shared" si="8"/>
        <v>#N/A</v>
      </c>
      <c r="I64" s="16" t="e">
        <f t="shared" si="1"/>
        <v>#N/A</v>
      </c>
      <c r="J64" s="16"/>
      <c r="K64" s="16"/>
      <c r="L64" s="16"/>
      <c r="M64" s="16"/>
      <c r="N64" s="16">
        <f t="shared" si="2"/>
        <v>0</v>
      </c>
      <c r="O64" s="16" t="e">
        <f t="shared" si="3"/>
        <v>#N/A</v>
      </c>
      <c r="P64" s="16">
        <v>6.9444444444444397E-3</v>
      </c>
      <c r="Q64" s="16"/>
      <c r="R64" s="16">
        <f t="shared" si="4"/>
        <v>-6.9444444444444397E-3</v>
      </c>
      <c r="S64" s="16"/>
      <c r="T64" s="16" t="e">
        <f>VLOOKUP(E64,'[2]21-3-2026'!E$3:T$35,16,FALSE)</f>
        <v>#N/A</v>
      </c>
      <c r="U64" s="16"/>
      <c r="V64" s="16" t="e">
        <f t="shared" si="5"/>
        <v>#N/A</v>
      </c>
      <c r="W64" s="16"/>
      <c r="X64" s="16"/>
      <c r="Y64" s="16"/>
      <c r="Z64" s="16">
        <f t="shared" si="6"/>
        <v>0</v>
      </c>
      <c r="AA64" s="16">
        <f t="shared" si="0"/>
        <v>0</v>
      </c>
      <c r="AB64" s="16"/>
      <c r="AC64" s="17"/>
      <c r="AD64" s="51"/>
    </row>
    <row r="65" spans="1:30" ht="19.5" thickBot="1" x14ac:dyDescent="0.3">
      <c r="A65" s="14">
        <v>30</v>
      </c>
      <c r="B65" s="15"/>
      <c r="C65" s="15" t="e">
        <f>VLOOKUP(B65,داتا!$B$3:$D$107,2,FALSE)</f>
        <v>#N/A</v>
      </c>
      <c r="D65" s="34" t="e">
        <f>VLOOKUP(B65,داتا!$B$3:$D$107,3,FALSE)</f>
        <v>#N/A</v>
      </c>
      <c r="E65" s="15"/>
      <c r="F65" s="15"/>
      <c r="G65" s="16">
        <v>0.25</v>
      </c>
      <c r="H65" s="16" t="e">
        <f t="shared" si="8"/>
        <v>#N/A</v>
      </c>
      <c r="I65" s="16" t="e">
        <f t="shared" si="1"/>
        <v>#N/A</v>
      </c>
      <c r="J65" s="16"/>
      <c r="K65" s="16"/>
      <c r="L65" s="16"/>
      <c r="M65" s="16"/>
      <c r="N65" s="16">
        <f t="shared" si="2"/>
        <v>0</v>
      </c>
      <c r="O65" s="16" t="e">
        <f t="shared" si="3"/>
        <v>#N/A</v>
      </c>
      <c r="P65" s="16">
        <v>6.9444444444444397E-3</v>
      </c>
      <c r="Q65" s="16"/>
      <c r="R65" s="16">
        <f t="shared" si="4"/>
        <v>-6.9444444444444397E-3</v>
      </c>
      <c r="S65" s="16"/>
      <c r="T65" s="16" t="e">
        <f>VLOOKUP(E65,'[2]21-3-2026'!E$3:T$35,16,FALSE)</f>
        <v>#N/A</v>
      </c>
      <c r="U65" s="16"/>
      <c r="V65" s="16" t="e">
        <f t="shared" si="5"/>
        <v>#N/A</v>
      </c>
      <c r="W65" s="16"/>
      <c r="X65" s="16"/>
      <c r="Y65" s="16"/>
      <c r="Z65" s="16">
        <f t="shared" si="6"/>
        <v>0</v>
      </c>
      <c r="AA65" s="16">
        <f t="shared" si="0"/>
        <v>0</v>
      </c>
      <c r="AB65" s="16"/>
      <c r="AC65" s="17"/>
      <c r="AD65" s="51"/>
    </row>
    <row r="66" spans="1:30" ht="20.25" customHeight="1" thickBot="1" x14ac:dyDescent="0.3">
      <c r="A66" s="14">
        <v>31</v>
      </c>
      <c r="B66" s="15"/>
      <c r="C66" s="15" t="e">
        <f>VLOOKUP(B66,داتا!$B$3:$D$107,2,FALSE)</f>
        <v>#N/A</v>
      </c>
      <c r="D66" s="34" t="e">
        <f>VLOOKUP(B66,داتا!$B$3:$D$107,3,FALSE)</f>
        <v>#N/A</v>
      </c>
      <c r="E66" s="15"/>
      <c r="F66" s="15"/>
      <c r="G66" s="16">
        <v>0.25</v>
      </c>
      <c r="H66" s="16" t="e">
        <f t="shared" si="8"/>
        <v>#N/A</v>
      </c>
      <c r="I66" s="16" t="e">
        <f t="shared" si="1"/>
        <v>#N/A</v>
      </c>
      <c r="J66" s="16"/>
      <c r="K66" s="16"/>
      <c r="L66" s="16"/>
      <c r="M66" s="16"/>
      <c r="N66" s="16">
        <f t="shared" si="2"/>
        <v>0</v>
      </c>
      <c r="O66" s="16" t="e">
        <f t="shared" si="3"/>
        <v>#N/A</v>
      </c>
      <c r="P66" s="16">
        <v>6.9444444444444397E-3</v>
      </c>
      <c r="Q66" s="16"/>
      <c r="R66" s="16">
        <f t="shared" si="4"/>
        <v>-6.9444444444444397E-3</v>
      </c>
      <c r="S66" s="16"/>
      <c r="T66" s="16" t="e">
        <f>VLOOKUP(E66,'[2]21-3-2026'!E$3:T$35,16,FALSE)</f>
        <v>#N/A</v>
      </c>
      <c r="U66" s="16"/>
      <c r="V66" s="16" t="e">
        <f t="shared" si="5"/>
        <v>#N/A</v>
      </c>
      <c r="W66" s="16"/>
      <c r="X66" s="16"/>
      <c r="Y66" s="16"/>
      <c r="Z66" s="16">
        <f t="shared" si="6"/>
        <v>0</v>
      </c>
      <c r="AA66" s="16">
        <f t="shared" si="0"/>
        <v>0</v>
      </c>
      <c r="AB66" s="16"/>
      <c r="AC66" s="19"/>
      <c r="AD66" s="51"/>
    </row>
    <row r="67" spans="1:30" ht="19.5" customHeight="1" thickBot="1" x14ac:dyDescent="0.3">
      <c r="A67" s="20">
        <v>32</v>
      </c>
      <c r="B67" s="21"/>
      <c r="C67" s="21" t="e">
        <f>VLOOKUP(B67,داتا!$B$3:$D$107,2,FALSE)</f>
        <v>#N/A</v>
      </c>
      <c r="D67" s="35" t="e">
        <f>VLOOKUP(B67,داتا!$B$3:$D$107,3,FALSE)</f>
        <v>#N/A</v>
      </c>
      <c r="E67" s="21"/>
      <c r="F67" s="21"/>
      <c r="G67" s="22">
        <v>0.25</v>
      </c>
      <c r="H67" s="22" t="e">
        <f t="shared" si="8"/>
        <v>#N/A</v>
      </c>
      <c r="I67" s="22" t="e">
        <f t="shared" si="1"/>
        <v>#N/A</v>
      </c>
      <c r="J67" s="22"/>
      <c r="K67" s="22"/>
      <c r="L67" s="22"/>
      <c r="M67" s="22"/>
      <c r="N67" s="22">
        <f t="shared" si="2"/>
        <v>0</v>
      </c>
      <c r="O67" s="22" t="e">
        <f t="shared" si="3"/>
        <v>#N/A</v>
      </c>
      <c r="P67" s="22">
        <v>6.9444444444444397E-3</v>
      </c>
      <c r="Q67" s="22"/>
      <c r="R67" s="22">
        <f t="shared" si="4"/>
        <v>-6.9444444444444397E-3</v>
      </c>
      <c r="S67" s="22"/>
      <c r="T67" s="22" t="e">
        <f>VLOOKUP(E67,'[2]21-3-2026'!E$3:T$35,16,FALSE)</f>
        <v>#N/A</v>
      </c>
      <c r="U67" s="22"/>
      <c r="V67" s="22" t="e">
        <f t="shared" si="5"/>
        <v>#N/A</v>
      </c>
      <c r="W67" s="22"/>
      <c r="X67" s="22"/>
      <c r="Y67" s="22"/>
      <c r="Z67" s="22">
        <f t="shared" si="6"/>
        <v>0</v>
      </c>
      <c r="AA67" s="22">
        <f t="shared" ref="AA67:AA99" si="9">Z67-W67</f>
        <v>0</v>
      </c>
      <c r="AB67" s="22"/>
      <c r="AC67" s="23"/>
      <c r="AD67" s="52"/>
    </row>
    <row r="68" spans="1:30" ht="20.25" thickTop="1" thickBot="1" x14ac:dyDescent="0.3">
      <c r="A68" s="10">
        <v>1</v>
      </c>
      <c r="B68" s="11"/>
      <c r="C68" s="11" t="e">
        <f>VLOOKUP(B68,داتا!$B$3:$D$107,2,FALSE)</f>
        <v>#N/A</v>
      </c>
      <c r="D68" s="33" t="e">
        <f>VLOOKUP(B68,داتا!$B$3:$D$107,3,FALSE)</f>
        <v>#N/A</v>
      </c>
      <c r="E68" s="11"/>
      <c r="F68" s="11"/>
      <c r="G68" s="12">
        <v>8.3333333333333329E-2</v>
      </c>
      <c r="H68" s="12" t="e">
        <f t="shared" si="8"/>
        <v>#N/A</v>
      </c>
      <c r="I68" s="12" t="e">
        <f t="shared" ref="I68:I99" si="10">H68-G68</f>
        <v>#N/A</v>
      </c>
      <c r="J68" s="12"/>
      <c r="K68" s="12"/>
      <c r="L68" s="12"/>
      <c r="M68" s="12"/>
      <c r="N68" s="12">
        <f t="shared" ref="N68:N99" si="11">K68-J68</f>
        <v>0</v>
      </c>
      <c r="O68" s="12" t="e">
        <f t="shared" ref="O68:O99" si="12">N68-D68</f>
        <v>#N/A</v>
      </c>
      <c r="P68" s="12">
        <v>6.9444444444444397E-3</v>
      </c>
      <c r="Q68" s="12"/>
      <c r="R68" s="12">
        <f t="shared" ref="R68:R99" si="13">Q68-P68-K68</f>
        <v>-6.9444444444444397E-3</v>
      </c>
      <c r="S68" s="12"/>
      <c r="T68" s="12" t="e">
        <f>VLOOKUP(E68,'[2]21-3-2026'!E$3:T$35,16,FALSE)</f>
        <v>#N/A</v>
      </c>
      <c r="U68" s="12"/>
      <c r="V68" s="12" t="e">
        <f t="shared" ref="V68:V99" si="14">U68-T68-S68</f>
        <v>#N/A</v>
      </c>
      <c r="W68" s="12"/>
      <c r="X68" s="12"/>
      <c r="Y68" s="12"/>
      <c r="Z68" s="12">
        <f t="shared" ref="Z68:Z99" si="15">Y68-X68</f>
        <v>0</v>
      </c>
      <c r="AA68" s="12">
        <f t="shared" si="9"/>
        <v>0</v>
      </c>
      <c r="AB68" s="12"/>
      <c r="AC68" s="13"/>
      <c r="AD68" s="53" t="s">
        <v>116</v>
      </c>
    </row>
    <row r="69" spans="1:30" ht="19.5" thickBot="1" x14ac:dyDescent="0.3">
      <c r="A69" s="14">
        <v>2</v>
      </c>
      <c r="B69" s="15"/>
      <c r="C69" s="15" t="e">
        <f>VLOOKUP(B69,داتا!$B$3:$D$107,2,FALSE)</f>
        <v>#N/A</v>
      </c>
      <c r="D69" s="34" t="e">
        <f>VLOOKUP(B69,داتا!$B$3:$D$107,3,FALSE)</f>
        <v>#N/A</v>
      </c>
      <c r="E69" s="15"/>
      <c r="F69" s="15"/>
      <c r="G69" s="16">
        <v>8.3333333333333329E-2</v>
      </c>
      <c r="H69" s="16" t="e">
        <f t="shared" ref="H69:H84" si="16">VLOOKUP(G69,$F$3:$I$35,2,FALSE)</f>
        <v>#N/A</v>
      </c>
      <c r="I69" s="16" t="e">
        <f t="shared" si="10"/>
        <v>#N/A</v>
      </c>
      <c r="J69" s="16"/>
      <c r="K69" s="16"/>
      <c r="L69" s="16"/>
      <c r="M69" s="16"/>
      <c r="N69" s="16">
        <f t="shared" si="11"/>
        <v>0</v>
      </c>
      <c r="O69" s="16" t="e">
        <f t="shared" si="12"/>
        <v>#N/A</v>
      </c>
      <c r="P69" s="16">
        <v>6.9444444444444397E-3</v>
      </c>
      <c r="Q69" s="16"/>
      <c r="R69" s="16">
        <f t="shared" si="13"/>
        <v>-6.9444444444444397E-3</v>
      </c>
      <c r="S69" s="16"/>
      <c r="T69" s="16" t="e">
        <f>VLOOKUP(E69,'[2]21-3-2026'!E$3:T$35,16,FALSE)</f>
        <v>#N/A</v>
      </c>
      <c r="U69" s="16"/>
      <c r="V69" s="16" t="e">
        <f t="shared" si="14"/>
        <v>#N/A</v>
      </c>
      <c r="W69" s="16"/>
      <c r="X69" s="16"/>
      <c r="Y69" s="16"/>
      <c r="Z69" s="16">
        <f t="shared" si="15"/>
        <v>0</v>
      </c>
      <c r="AA69" s="16">
        <f t="shared" si="9"/>
        <v>0</v>
      </c>
      <c r="AB69" s="16"/>
      <c r="AC69" s="17"/>
      <c r="AD69" s="51"/>
    </row>
    <row r="70" spans="1:30" ht="19.5" thickBot="1" x14ac:dyDescent="0.3">
      <c r="A70" s="14">
        <v>3</v>
      </c>
      <c r="B70" s="15"/>
      <c r="C70" s="15" t="e">
        <f>VLOOKUP(B70,داتا!$B$3:$D$107,2,FALSE)</f>
        <v>#N/A</v>
      </c>
      <c r="D70" s="34" t="e">
        <f>VLOOKUP(B70,داتا!$B$3:$D$107,3,FALSE)</f>
        <v>#N/A</v>
      </c>
      <c r="E70" s="15"/>
      <c r="F70" s="15"/>
      <c r="G70" s="16">
        <v>8.3333333333333329E-2</v>
      </c>
      <c r="H70" s="16" t="e">
        <f t="shared" si="16"/>
        <v>#N/A</v>
      </c>
      <c r="I70" s="16" t="e">
        <f t="shared" si="10"/>
        <v>#N/A</v>
      </c>
      <c r="J70" s="16"/>
      <c r="K70" s="16"/>
      <c r="L70" s="16"/>
      <c r="M70" s="16"/>
      <c r="N70" s="16">
        <f t="shared" si="11"/>
        <v>0</v>
      </c>
      <c r="O70" s="16" t="e">
        <f t="shared" si="12"/>
        <v>#N/A</v>
      </c>
      <c r="P70" s="16">
        <v>6.9444444444444397E-3</v>
      </c>
      <c r="Q70" s="16"/>
      <c r="R70" s="16">
        <f t="shared" si="13"/>
        <v>-6.9444444444444397E-3</v>
      </c>
      <c r="S70" s="16"/>
      <c r="T70" s="16" t="e">
        <f>VLOOKUP(E70,'[2]21-3-2026'!E$3:T$35,16,FALSE)</f>
        <v>#N/A</v>
      </c>
      <c r="U70" s="16"/>
      <c r="V70" s="16" t="e">
        <f t="shared" si="14"/>
        <v>#N/A</v>
      </c>
      <c r="W70" s="16"/>
      <c r="X70" s="16"/>
      <c r="Y70" s="16"/>
      <c r="Z70" s="16">
        <f t="shared" si="15"/>
        <v>0</v>
      </c>
      <c r="AA70" s="16">
        <f t="shared" si="9"/>
        <v>0</v>
      </c>
      <c r="AB70" s="16"/>
      <c r="AC70" s="17"/>
      <c r="AD70" s="51"/>
    </row>
    <row r="71" spans="1:30" ht="19.5" thickBot="1" x14ac:dyDescent="0.3">
      <c r="A71" s="14">
        <v>4</v>
      </c>
      <c r="B71" s="15"/>
      <c r="C71" s="15" t="e">
        <f>VLOOKUP(B71,داتا!$B$3:$D$107,2,FALSE)</f>
        <v>#N/A</v>
      </c>
      <c r="D71" s="34" t="e">
        <f>VLOOKUP(B71,داتا!$B$3:$D$107,3,FALSE)</f>
        <v>#N/A</v>
      </c>
      <c r="E71" s="15"/>
      <c r="F71" s="15"/>
      <c r="G71" s="16">
        <v>8.3333333333333329E-2</v>
      </c>
      <c r="H71" s="16" t="e">
        <f t="shared" si="16"/>
        <v>#N/A</v>
      </c>
      <c r="I71" s="16" t="e">
        <f t="shared" si="10"/>
        <v>#N/A</v>
      </c>
      <c r="J71" s="16"/>
      <c r="K71" s="16"/>
      <c r="L71" s="16"/>
      <c r="M71" s="16"/>
      <c r="N71" s="16">
        <f t="shared" si="11"/>
        <v>0</v>
      </c>
      <c r="O71" s="16" t="e">
        <f t="shared" si="12"/>
        <v>#N/A</v>
      </c>
      <c r="P71" s="16">
        <v>6.9444444444444397E-3</v>
      </c>
      <c r="Q71" s="16"/>
      <c r="R71" s="16">
        <f t="shared" si="13"/>
        <v>-6.9444444444444397E-3</v>
      </c>
      <c r="S71" s="16"/>
      <c r="T71" s="16" t="e">
        <f>VLOOKUP(E71,'[2]21-3-2026'!E$3:T$35,16,FALSE)</f>
        <v>#N/A</v>
      </c>
      <c r="U71" s="16"/>
      <c r="V71" s="16" t="e">
        <f t="shared" si="14"/>
        <v>#N/A</v>
      </c>
      <c r="W71" s="16"/>
      <c r="X71" s="16"/>
      <c r="Y71" s="16"/>
      <c r="Z71" s="16">
        <f t="shared" si="15"/>
        <v>0</v>
      </c>
      <c r="AA71" s="16">
        <f t="shared" si="9"/>
        <v>0</v>
      </c>
      <c r="AB71" s="16"/>
      <c r="AC71" s="17"/>
      <c r="AD71" s="51"/>
    </row>
    <row r="72" spans="1:30" ht="19.5" thickBot="1" x14ac:dyDescent="0.3">
      <c r="A72" s="14">
        <v>5</v>
      </c>
      <c r="B72" s="15"/>
      <c r="C72" s="15" t="e">
        <f>VLOOKUP(B72,داتا!$B$3:$D$107,2,FALSE)</f>
        <v>#N/A</v>
      </c>
      <c r="D72" s="34" t="e">
        <f>VLOOKUP(B72,داتا!$B$3:$D$107,3,FALSE)</f>
        <v>#N/A</v>
      </c>
      <c r="E72" s="15"/>
      <c r="F72" s="15"/>
      <c r="G72" s="16">
        <v>8.3333333333333329E-2</v>
      </c>
      <c r="H72" s="16" t="e">
        <f t="shared" si="16"/>
        <v>#N/A</v>
      </c>
      <c r="I72" s="16" t="e">
        <f t="shared" si="10"/>
        <v>#N/A</v>
      </c>
      <c r="J72" s="16"/>
      <c r="K72" s="16"/>
      <c r="L72" s="16"/>
      <c r="M72" s="16"/>
      <c r="N72" s="16">
        <f t="shared" si="11"/>
        <v>0</v>
      </c>
      <c r="O72" s="16" t="e">
        <f t="shared" si="12"/>
        <v>#N/A</v>
      </c>
      <c r="P72" s="16">
        <v>6.9444444444444397E-3</v>
      </c>
      <c r="Q72" s="16"/>
      <c r="R72" s="16">
        <f t="shared" si="13"/>
        <v>-6.9444444444444397E-3</v>
      </c>
      <c r="S72" s="16"/>
      <c r="T72" s="16" t="e">
        <f>VLOOKUP(E72,'[2]21-3-2026'!E$3:T$35,16,FALSE)</f>
        <v>#N/A</v>
      </c>
      <c r="U72" s="16"/>
      <c r="V72" s="16" t="e">
        <f t="shared" si="14"/>
        <v>#N/A</v>
      </c>
      <c r="W72" s="16"/>
      <c r="X72" s="16"/>
      <c r="Y72" s="16"/>
      <c r="Z72" s="16">
        <f t="shared" si="15"/>
        <v>0</v>
      </c>
      <c r="AA72" s="16">
        <f t="shared" si="9"/>
        <v>0</v>
      </c>
      <c r="AB72" s="16"/>
      <c r="AC72" s="17"/>
      <c r="AD72" s="51"/>
    </row>
    <row r="73" spans="1:30" ht="19.5" thickBot="1" x14ac:dyDescent="0.3">
      <c r="A73" s="14">
        <v>6</v>
      </c>
      <c r="B73" s="15"/>
      <c r="C73" s="15" t="e">
        <f>VLOOKUP(B73,داتا!$B$3:$D$107,2,FALSE)</f>
        <v>#N/A</v>
      </c>
      <c r="D73" s="34" t="e">
        <f>VLOOKUP(B73,داتا!$B$3:$D$107,3,FALSE)</f>
        <v>#N/A</v>
      </c>
      <c r="E73" s="15"/>
      <c r="F73" s="15"/>
      <c r="G73" s="16">
        <v>8.3333333333333329E-2</v>
      </c>
      <c r="H73" s="16" t="e">
        <f t="shared" si="16"/>
        <v>#N/A</v>
      </c>
      <c r="I73" s="16" t="e">
        <f t="shared" si="10"/>
        <v>#N/A</v>
      </c>
      <c r="J73" s="16"/>
      <c r="K73" s="16"/>
      <c r="L73" s="16"/>
      <c r="M73" s="16"/>
      <c r="N73" s="16">
        <f t="shared" si="11"/>
        <v>0</v>
      </c>
      <c r="O73" s="16" t="e">
        <f t="shared" si="12"/>
        <v>#N/A</v>
      </c>
      <c r="P73" s="16">
        <v>6.9444444444444397E-3</v>
      </c>
      <c r="Q73" s="16"/>
      <c r="R73" s="16">
        <f t="shared" si="13"/>
        <v>-6.9444444444444397E-3</v>
      </c>
      <c r="S73" s="16"/>
      <c r="T73" s="16" t="e">
        <f>VLOOKUP(E73,'[2]21-3-2026'!E$3:T$35,16,FALSE)</f>
        <v>#N/A</v>
      </c>
      <c r="U73" s="16"/>
      <c r="V73" s="16" t="e">
        <f t="shared" si="14"/>
        <v>#N/A</v>
      </c>
      <c r="W73" s="16"/>
      <c r="X73" s="16"/>
      <c r="Y73" s="16"/>
      <c r="Z73" s="16">
        <f t="shared" si="15"/>
        <v>0</v>
      </c>
      <c r="AA73" s="16">
        <f t="shared" si="9"/>
        <v>0</v>
      </c>
      <c r="AB73" s="16"/>
      <c r="AC73" s="17"/>
      <c r="AD73" s="51"/>
    </row>
    <row r="74" spans="1:30" ht="19.5" thickBot="1" x14ac:dyDescent="0.3">
      <c r="A74" s="14">
        <v>7</v>
      </c>
      <c r="B74" s="15"/>
      <c r="C74" s="15" t="e">
        <f>VLOOKUP(B74,داتا!$B$3:$D$107,2,FALSE)</f>
        <v>#N/A</v>
      </c>
      <c r="D74" s="34" t="e">
        <f>VLOOKUP(B74,داتا!$B$3:$D$107,3,FALSE)</f>
        <v>#N/A</v>
      </c>
      <c r="E74" s="15"/>
      <c r="F74" s="15"/>
      <c r="G74" s="16">
        <v>8.3333333333333329E-2</v>
      </c>
      <c r="H74" s="16" t="e">
        <f t="shared" si="16"/>
        <v>#N/A</v>
      </c>
      <c r="I74" s="16" t="e">
        <f t="shared" si="10"/>
        <v>#N/A</v>
      </c>
      <c r="J74" s="16"/>
      <c r="K74" s="16"/>
      <c r="L74" s="16"/>
      <c r="M74" s="16"/>
      <c r="N74" s="16">
        <f t="shared" si="11"/>
        <v>0</v>
      </c>
      <c r="O74" s="16" t="e">
        <f t="shared" si="12"/>
        <v>#N/A</v>
      </c>
      <c r="P74" s="16">
        <v>6.9444444444444397E-3</v>
      </c>
      <c r="Q74" s="16"/>
      <c r="R74" s="16">
        <f t="shared" si="13"/>
        <v>-6.9444444444444397E-3</v>
      </c>
      <c r="S74" s="16"/>
      <c r="T74" s="16" t="e">
        <f>VLOOKUP(E74,'[2]21-3-2026'!E$3:T$35,16,FALSE)</f>
        <v>#N/A</v>
      </c>
      <c r="U74" s="16"/>
      <c r="V74" s="16" t="e">
        <f t="shared" si="14"/>
        <v>#N/A</v>
      </c>
      <c r="W74" s="16"/>
      <c r="X74" s="16"/>
      <c r="Y74" s="16"/>
      <c r="Z74" s="16">
        <f t="shared" si="15"/>
        <v>0</v>
      </c>
      <c r="AA74" s="16">
        <f t="shared" si="9"/>
        <v>0</v>
      </c>
      <c r="AB74" s="16"/>
      <c r="AC74" s="17"/>
      <c r="AD74" s="51"/>
    </row>
    <row r="75" spans="1:30" ht="19.5" thickBot="1" x14ac:dyDescent="0.3">
      <c r="A75" s="14">
        <v>8</v>
      </c>
      <c r="B75" s="15"/>
      <c r="C75" s="15" t="e">
        <f>VLOOKUP(B75,داتا!$B$3:$D$107,2,FALSE)</f>
        <v>#N/A</v>
      </c>
      <c r="D75" s="34" t="e">
        <f>VLOOKUP(B75,داتا!$B$3:$D$107,3,FALSE)</f>
        <v>#N/A</v>
      </c>
      <c r="E75" s="15"/>
      <c r="F75" s="15"/>
      <c r="G75" s="16">
        <v>8.3333333333333329E-2</v>
      </c>
      <c r="H75" s="16" t="e">
        <f t="shared" si="16"/>
        <v>#N/A</v>
      </c>
      <c r="I75" s="16" t="e">
        <f t="shared" si="10"/>
        <v>#N/A</v>
      </c>
      <c r="J75" s="16"/>
      <c r="K75" s="16"/>
      <c r="L75" s="16"/>
      <c r="M75" s="16"/>
      <c r="N75" s="16">
        <f t="shared" si="11"/>
        <v>0</v>
      </c>
      <c r="O75" s="16" t="e">
        <f t="shared" si="12"/>
        <v>#N/A</v>
      </c>
      <c r="P75" s="16">
        <v>6.9444444444444397E-3</v>
      </c>
      <c r="Q75" s="16"/>
      <c r="R75" s="16">
        <f t="shared" si="13"/>
        <v>-6.9444444444444397E-3</v>
      </c>
      <c r="S75" s="16"/>
      <c r="T75" s="16" t="e">
        <f>VLOOKUP(E75,'[2]21-3-2026'!E$3:T$35,16,FALSE)</f>
        <v>#N/A</v>
      </c>
      <c r="U75" s="16"/>
      <c r="V75" s="16" t="e">
        <f t="shared" si="14"/>
        <v>#N/A</v>
      </c>
      <c r="W75" s="16"/>
      <c r="X75" s="16"/>
      <c r="Y75" s="16"/>
      <c r="Z75" s="16">
        <f t="shared" si="15"/>
        <v>0</v>
      </c>
      <c r="AA75" s="16">
        <f t="shared" si="9"/>
        <v>0</v>
      </c>
      <c r="AB75" s="16"/>
      <c r="AC75" s="17"/>
      <c r="AD75" s="51"/>
    </row>
    <row r="76" spans="1:30" ht="19.5" thickBot="1" x14ac:dyDescent="0.3">
      <c r="A76" s="14">
        <v>9</v>
      </c>
      <c r="B76" s="15"/>
      <c r="C76" s="15" t="e">
        <f>VLOOKUP(B76,داتا!$B$3:$D$107,2,FALSE)</f>
        <v>#N/A</v>
      </c>
      <c r="D76" s="34" t="e">
        <f>VLOOKUP(B76,داتا!$B$3:$D$107,3,FALSE)</f>
        <v>#N/A</v>
      </c>
      <c r="E76" s="16"/>
      <c r="F76" s="15"/>
      <c r="G76" s="16">
        <v>8.3333333333333329E-2</v>
      </c>
      <c r="H76" s="16" t="e">
        <f t="shared" si="16"/>
        <v>#N/A</v>
      </c>
      <c r="I76" s="16" t="e">
        <f t="shared" si="10"/>
        <v>#N/A</v>
      </c>
      <c r="J76" s="16"/>
      <c r="K76" s="16"/>
      <c r="L76" s="16"/>
      <c r="M76" s="16"/>
      <c r="N76" s="16">
        <f t="shared" si="11"/>
        <v>0</v>
      </c>
      <c r="O76" s="16" t="e">
        <f t="shared" si="12"/>
        <v>#N/A</v>
      </c>
      <c r="P76" s="16">
        <v>6.9444444444444397E-3</v>
      </c>
      <c r="Q76" s="16"/>
      <c r="R76" s="16">
        <f t="shared" si="13"/>
        <v>-6.9444444444444397E-3</v>
      </c>
      <c r="S76" s="16"/>
      <c r="T76" s="16" t="e">
        <f>VLOOKUP(E76,'[2]21-3-2026'!E$3:T$35,16,FALSE)</f>
        <v>#N/A</v>
      </c>
      <c r="U76" s="16"/>
      <c r="V76" s="16" t="e">
        <f t="shared" si="14"/>
        <v>#N/A</v>
      </c>
      <c r="W76" s="16"/>
      <c r="X76" s="16"/>
      <c r="Y76" s="16"/>
      <c r="Z76" s="16">
        <f t="shared" si="15"/>
        <v>0</v>
      </c>
      <c r="AA76" s="16">
        <f t="shared" si="9"/>
        <v>0</v>
      </c>
      <c r="AB76" s="16"/>
      <c r="AC76" s="17"/>
      <c r="AD76" s="51"/>
    </row>
    <row r="77" spans="1:30" ht="19.5" thickBot="1" x14ac:dyDescent="0.3">
      <c r="A77" s="14">
        <v>10</v>
      </c>
      <c r="B77" s="15"/>
      <c r="C77" s="15" t="e">
        <f>VLOOKUP(B77,داتا!$B$3:$D$107,2,FALSE)</f>
        <v>#N/A</v>
      </c>
      <c r="D77" s="34" t="e">
        <f>VLOOKUP(B77,داتا!$B$3:$D$107,3,FALSE)</f>
        <v>#N/A</v>
      </c>
      <c r="E77" s="15"/>
      <c r="F77" s="15"/>
      <c r="G77" s="16">
        <v>8.3333333333333329E-2</v>
      </c>
      <c r="H77" s="16" t="e">
        <f t="shared" si="16"/>
        <v>#N/A</v>
      </c>
      <c r="I77" s="16" t="e">
        <f t="shared" si="10"/>
        <v>#N/A</v>
      </c>
      <c r="J77" s="16"/>
      <c r="K77" s="16"/>
      <c r="L77" s="16"/>
      <c r="M77" s="16"/>
      <c r="N77" s="16">
        <f t="shared" si="11"/>
        <v>0</v>
      </c>
      <c r="O77" s="16" t="e">
        <f t="shared" si="12"/>
        <v>#N/A</v>
      </c>
      <c r="P77" s="16">
        <v>6.9444444444444397E-3</v>
      </c>
      <c r="Q77" s="16"/>
      <c r="R77" s="16">
        <f t="shared" si="13"/>
        <v>-6.9444444444444397E-3</v>
      </c>
      <c r="S77" s="16"/>
      <c r="T77" s="16" t="e">
        <f>VLOOKUP(E77,'[2]21-3-2026'!E$3:T$35,16,FALSE)</f>
        <v>#N/A</v>
      </c>
      <c r="U77" s="16"/>
      <c r="V77" s="16" t="e">
        <f t="shared" si="14"/>
        <v>#N/A</v>
      </c>
      <c r="W77" s="16"/>
      <c r="X77" s="16"/>
      <c r="Y77" s="16"/>
      <c r="Z77" s="16">
        <f t="shared" si="15"/>
        <v>0</v>
      </c>
      <c r="AA77" s="16">
        <f t="shared" si="9"/>
        <v>0</v>
      </c>
      <c r="AB77" s="16"/>
      <c r="AC77" s="17"/>
      <c r="AD77" s="51"/>
    </row>
    <row r="78" spans="1:30" ht="19.5" thickBot="1" x14ac:dyDescent="0.3">
      <c r="A78" s="14">
        <v>11</v>
      </c>
      <c r="B78" s="15"/>
      <c r="C78" s="15" t="e">
        <f>VLOOKUP(B78,داتا!$B$3:$D$107,2,FALSE)</f>
        <v>#N/A</v>
      </c>
      <c r="D78" s="34" t="e">
        <f>VLOOKUP(B78,داتا!$B$3:$D$107,3,FALSE)</f>
        <v>#N/A</v>
      </c>
      <c r="E78" s="15"/>
      <c r="F78" s="15"/>
      <c r="G78" s="16">
        <v>8.3333333333333329E-2</v>
      </c>
      <c r="H78" s="16" t="e">
        <f t="shared" si="16"/>
        <v>#N/A</v>
      </c>
      <c r="I78" s="16" t="e">
        <f t="shared" si="10"/>
        <v>#N/A</v>
      </c>
      <c r="J78" s="16"/>
      <c r="K78" s="16"/>
      <c r="L78" s="16"/>
      <c r="M78" s="16"/>
      <c r="N78" s="16">
        <f t="shared" si="11"/>
        <v>0</v>
      </c>
      <c r="O78" s="16" t="e">
        <f t="shared" si="12"/>
        <v>#N/A</v>
      </c>
      <c r="P78" s="16">
        <v>6.9444444444444397E-3</v>
      </c>
      <c r="Q78" s="16"/>
      <c r="R78" s="16">
        <f t="shared" si="13"/>
        <v>-6.9444444444444397E-3</v>
      </c>
      <c r="S78" s="16"/>
      <c r="T78" s="16" t="e">
        <f>VLOOKUP(E78,'[2]21-3-2026'!E$3:T$35,16,FALSE)</f>
        <v>#N/A</v>
      </c>
      <c r="U78" s="16"/>
      <c r="V78" s="16" t="e">
        <f t="shared" si="14"/>
        <v>#N/A</v>
      </c>
      <c r="W78" s="16"/>
      <c r="X78" s="16"/>
      <c r="Y78" s="16"/>
      <c r="Z78" s="16">
        <f t="shared" si="15"/>
        <v>0</v>
      </c>
      <c r="AA78" s="16">
        <f t="shared" si="9"/>
        <v>0</v>
      </c>
      <c r="AB78" s="16"/>
      <c r="AC78" s="17"/>
      <c r="AD78" s="51"/>
    </row>
    <row r="79" spans="1:30" ht="19.5" thickBot="1" x14ac:dyDescent="0.3">
      <c r="A79" s="14">
        <v>12</v>
      </c>
      <c r="B79" s="15"/>
      <c r="C79" s="15" t="e">
        <f>VLOOKUP(B79,داتا!$B$3:$D$107,2,FALSE)</f>
        <v>#N/A</v>
      </c>
      <c r="D79" s="34" t="e">
        <f>VLOOKUP(B79,داتا!$B$3:$D$107,3,FALSE)</f>
        <v>#N/A</v>
      </c>
      <c r="E79" s="15"/>
      <c r="F79" s="15"/>
      <c r="G79" s="16">
        <v>8.3333333333333329E-2</v>
      </c>
      <c r="H79" s="16" t="e">
        <f t="shared" si="16"/>
        <v>#N/A</v>
      </c>
      <c r="I79" s="16" t="e">
        <f t="shared" si="10"/>
        <v>#N/A</v>
      </c>
      <c r="J79" s="16"/>
      <c r="K79" s="16"/>
      <c r="L79" s="16"/>
      <c r="M79" s="16"/>
      <c r="N79" s="16">
        <f t="shared" si="11"/>
        <v>0</v>
      </c>
      <c r="O79" s="16" t="e">
        <f t="shared" si="12"/>
        <v>#N/A</v>
      </c>
      <c r="P79" s="16">
        <v>6.9444444444444397E-3</v>
      </c>
      <c r="Q79" s="16"/>
      <c r="R79" s="16">
        <f t="shared" si="13"/>
        <v>-6.9444444444444397E-3</v>
      </c>
      <c r="S79" s="16"/>
      <c r="T79" s="16" t="e">
        <f>VLOOKUP(E79,'[2]21-3-2026'!E$3:T$35,16,FALSE)</f>
        <v>#N/A</v>
      </c>
      <c r="U79" s="16"/>
      <c r="V79" s="16" t="e">
        <f t="shared" si="14"/>
        <v>#N/A</v>
      </c>
      <c r="W79" s="16"/>
      <c r="X79" s="16"/>
      <c r="Y79" s="16"/>
      <c r="Z79" s="16">
        <f t="shared" si="15"/>
        <v>0</v>
      </c>
      <c r="AA79" s="16">
        <f t="shared" si="9"/>
        <v>0</v>
      </c>
      <c r="AB79" s="16"/>
      <c r="AC79" s="17"/>
      <c r="AD79" s="51"/>
    </row>
    <row r="80" spans="1:30" ht="19.5" thickBot="1" x14ac:dyDescent="0.3">
      <c r="A80" s="14">
        <v>13</v>
      </c>
      <c r="B80" s="15"/>
      <c r="C80" s="15" t="e">
        <f>VLOOKUP(B80,داتا!$B$3:$D$107,2,FALSE)</f>
        <v>#N/A</v>
      </c>
      <c r="D80" s="34" t="e">
        <f>VLOOKUP(B80,داتا!$B$3:$D$107,3,FALSE)</f>
        <v>#N/A</v>
      </c>
      <c r="E80" s="15"/>
      <c r="F80" s="15"/>
      <c r="G80" s="16">
        <v>8.3333333333333329E-2</v>
      </c>
      <c r="H80" s="16" t="e">
        <f t="shared" si="16"/>
        <v>#N/A</v>
      </c>
      <c r="I80" s="16" t="e">
        <f t="shared" si="10"/>
        <v>#N/A</v>
      </c>
      <c r="J80" s="16"/>
      <c r="K80" s="16"/>
      <c r="L80" s="16"/>
      <c r="M80" s="16"/>
      <c r="N80" s="16">
        <f t="shared" si="11"/>
        <v>0</v>
      </c>
      <c r="O80" s="16" t="e">
        <f t="shared" si="12"/>
        <v>#N/A</v>
      </c>
      <c r="P80" s="16">
        <v>6.9444444444444397E-3</v>
      </c>
      <c r="Q80" s="16"/>
      <c r="R80" s="16">
        <f t="shared" si="13"/>
        <v>-6.9444444444444397E-3</v>
      </c>
      <c r="S80" s="16"/>
      <c r="T80" s="16" t="e">
        <f>VLOOKUP(E80,'[2]21-3-2026'!E$3:T$35,16,FALSE)</f>
        <v>#N/A</v>
      </c>
      <c r="U80" s="16"/>
      <c r="V80" s="16" t="e">
        <f t="shared" si="14"/>
        <v>#N/A</v>
      </c>
      <c r="W80" s="16"/>
      <c r="X80" s="16"/>
      <c r="Y80" s="16"/>
      <c r="Z80" s="16">
        <f t="shared" si="15"/>
        <v>0</v>
      </c>
      <c r="AA80" s="16">
        <f t="shared" si="9"/>
        <v>0</v>
      </c>
      <c r="AB80" s="16"/>
      <c r="AC80" s="17"/>
      <c r="AD80" s="51"/>
    </row>
    <row r="81" spans="1:30" ht="19.5" thickBot="1" x14ac:dyDescent="0.3">
      <c r="A81" s="14">
        <v>14</v>
      </c>
      <c r="B81" s="15"/>
      <c r="C81" s="15" t="e">
        <f>VLOOKUP(B81,داتا!$B$3:$D$107,2,FALSE)</f>
        <v>#N/A</v>
      </c>
      <c r="D81" s="34" t="e">
        <f>VLOOKUP(B81,داتا!$B$3:$D$107,3,FALSE)</f>
        <v>#N/A</v>
      </c>
      <c r="E81" s="15"/>
      <c r="F81" s="15"/>
      <c r="G81" s="16">
        <v>8.3333333333333329E-2</v>
      </c>
      <c r="H81" s="16" t="e">
        <f t="shared" si="16"/>
        <v>#N/A</v>
      </c>
      <c r="I81" s="16" t="e">
        <f t="shared" si="10"/>
        <v>#N/A</v>
      </c>
      <c r="J81" s="16"/>
      <c r="K81" s="16"/>
      <c r="L81" s="16"/>
      <c r="M81" s="16"/>
      <c r="N81" s="16">
        <f t="shared" si="11"/>
        <v>0</v>
      </c>
      <c r="O81" s="16" t="e">
        <f t="shared" si="12"/>
        <v>#N/A</v>
      </c>
      <c r="P81" s="16">
        <v>6.9444444444444397E-3</v>
      </c>
      <c r="Q81" s="16"/>
      <c r="R81" s="16">
        <f t="shared" si="13"/>
        <v>-6.9444444444444397E-3</v>
      </c>
      <c r="S81" s="16"/>
      <c r="T81" s="16" t="e">
        <f>VLOOKUP(E81,'[2]21-3-2026'!E$3:T$35,16,FALSE)</f>
        <v>#N/A</v>
      </c>
      <c r="U81" s="16"/>
      <c r="V81" s="16" t="e">
        <f t="shared" si="14"/>
        <v>#N/A</v>
      </c>
      <c r="W81" s="16"/>
      <c r="X81" s="16"/>
      <c r="Y81" s="16"/>
      <c r="Z81" s="16">
        <f t="shared" si="15"/>
        <v>0</v>
      </c>
      <c r="AA81" s="16">
        <f t="shared" si="9"/>
        <v>0</v>
      </c>
      <c r="AB81" s="16"/>
      <c r="AC81" s="17"/>
      <c r="AD81" s="51"/>
    </row>
    <row r="82" spans="1:30" ht="19.5" thickBot="1" x14ac:dyDescent="0.3">
      <c r="A82" s="14">
        <v>15</v>
      </c>
      <c r="B82" s="15"/>
      <c r="C82" s="15" t="e">
        <f>VLOOKUP(B82,داتا!$B$3:$D$107,2,FALSE)</f>
        <v>#N/A</v>
      </c>
      <c r="D82" s="34" t="e">
        <f>VLOOKUP(B82,داتا!$B$3:$D$107,3,FALSE)</f>
        <v>#N/A</v>
      </c>
      <c r="E82" s="15"/>
      <c r="F82" s="15"/>
      <c r="G82" s="16">
        <v>8.3333333333333329E-2</v>
      </c>
      <c r="H82" s="16" t="e">
        <f t="shared" si="16"/>
        <v>#N/A</v>
      </c>
      <c r="I82" s="16" t="e">
        <f t="shared" si="10"/>
        <v>#N/A</v>
      </c>
      <c r="J82" s="16"/>
      <c r="K82" s="16"/>
      <c r="L82" s="16"/>
      <c r="M82" s="16"/>
      <c r="N82" s="16">
        <f t="shared" si="11"/>
        <v>0</v>
      </c>
      <c r="O82" s="16" t="e">
        <f t="shared" si="12"/>
        <v>#N/A</v>
      </c>
      <c r="P82" s="16">
        <v>6.9444444444444397E-3</v>
      </c>
      <c r="Q82" s="16"/>
      <c r="R82" s="16">
        <f t="shared" si="13"/>
        <v>-6.9444444444444397E-3</v>
      </c>
      <c r="S82" s="16"/>
      <c r="T82" s="16" t="e">
        <f>VLOOKUP(E82,'[2]21-3-2026'!E$3:T$35,16,FALSE)</f>
        <v>#N/A</v>
      </c>
      <c r="U82" s="16"/>
      <c r="V82" s="16" t="e">
        <f t="shared" si="14"/>
        <v>#N/A</v>
      </c>
      <c r="W82" s="16"/>
      <c r="X82" s="16"/>
      <c r="Y82" s="16"/>
      <c r="Z82" s="16">
        <f t="shared" si="15"/>
        <v>0</v>
      </c>
      <c r="AA82" s="16">
        <f t="shared" si="9"/>
        <v>0</v>
      </c>
      <c r="AB82" s="16"/>
      <c r="AC82" s="17"/>
      <c r="AD82" s="51"/>
    </row>
    <row r="83" spans="1:30" ht="19.5" thickBot="1" x14ac:dyDescent="0.3">
      <c r="A83" s="14">
        <v>16</v>
      </c>
      <c r="B83" s="15"/>
      <c r="C83" s="15" t="e">
        <f>VLOOKUP(B83,داتا!$B$3:$D$107,2,FALSE)</f>
        <v>#N/A</v>
      </c>
      <c r="D83" s="34" t="e">
        <f>VLOOKUP(B83,داتا!$B$3:$D$107,3,FALSE)</f>
        <v>#N/A</v>
      </c>
      <c r="E83" s="15"/>
      <c r="F83" s="15"/>
      <c r="G83" s="16">
        <v>8.3333333333333329E-2</v>
      </c>
      <c r="H83" s="16" t="e">
        <f t="shared" si="16"/>
        <v>#N/A</v>
      </c>
      <c r="I83" s="16" t="e">
        <f t="shared" si="10"/>
        <v>#N/A</v>
      </c>
      <c r="J83" s="16"/>
      <c r="K83" s="16"/>
      <c r="L83" s="16"/>
      <c r="M83" s="16"/>
      <c r="N83" s="16">
        <f t="shared" si="11"/>
        <v>0</v>
      </c>
      <c r="O83" s="16" t="e">
        <f t="shared" si="12"/>
        <v>#N/A</v>
      </c>
      <c r="P83" s="16">
        <v>6.9444444444444397E-3</v>
      </c>
      <c r="Q83" s="16"/>
      <c r="R83" s="16">
        <f t="shared" si="13"/>
        <v>-6.9444444444444397E-3</v>
      </c>
      <c r="S83" s="16"/>
      <c r="T83" s="16" t="e">
        <f>VLOOKUP(E83,'[2]21-3-2026'!E$3:T$35,16,FALSE)</f>
        <v>#N/A</v>
      </c>
      <c r="U83" s="16"/>
      <c r="V83" s="16" t="e">
        <f t="shared" si="14"/>
        <v>#N/A</v>
      </c>
      <c r="W83" s="16"/>
      <c r="X83" s="16"/>
      <c r="Y83" s="16"/>
      <c r="Z83" s="16">
        <f t="shared" si="15"/>
        <v>0</v>
      </c>
      <c r="AA83" s="16">
        <f t="shared" si="9"/>
        <v>0</v>
      </c>
      <c r="AB83" s="16"/>
      <c r="AC83" s="17"/>
      <c r="AD83" s="51"/>
    </row>
    <row r="84" spans="1:30" ht="19.5" thickBot="1" x14ac:dyDescent="0.3">
      <c r="A84" s="14">
        <v>17</v>
      </c>
      <c r="B84" s="15"/>
      <c r="C84" s="15" t="e">
        <f>VLOOKUP(B84,داتا!$B$3:$D$107,2,FALSE)</f>
        <v>#N/A</v>
      </c>
      <c r="D84" s="34" t="e">
        <f>VLOOKUP(B84,داتا!$B$3:$D$107,3,FALSE)</f>
        <v>#N/A</v>
      </c>
      <c r="E84" s="15"/>
      <c r="F84" s="15"/>
      <c r="G84" s="16">
        <v>8.3333333333333329E-2</v>
      </c>
      <c r="H84" s="16" t="e">
        <f t="shared" si="16"/>
        <v>#N/A</v>
      </c>
      <c r="I84" s="16" t="e">
        <f t="shared" si="10"/>
        <v>#N/A</v>
      </c>
      <c r="J84" s="16"/>
      <c r="K84" s="16"/>
      <c r="L84" s="16"/>
      <c r="M84" s="16"/>
      <c r="N84" s="16">
        <f t="shared" si="11"/>
        <v>0</v>
      </c>
      <c r="O84" s="16" t="e">
        <f t="shared" si="12"/>
        <v>#N/A</v>
      </c>
      <c r="P84" s="16">
        <v>6.9444444444444397E-3</v>
      </c>
      <c r="Q84" s="16"/>
      <c r="R84" s="16">
        <f t="shared" si="13"/>
        <v>-6.9444444444444397E-3</v>
      </c>
      <c r="S84" s="16"/>
      <c r="T84" s="16" t="e">
        <f>VLOOKUP(E84,'[2]21-3-2026'!E$3:T$35,16,FALSE)</f>
        <v>#N/A</v>
      </c>
      <c r="U84" s="16"/>
      <c r="V84" s="16" t="e">
        <f t="shared" si="14"/>
        <v>#N/A</v>
      </c>
      <c r="W84" s="16"/>
      <c r="X84" s="16"/>
      <c r="Y84" s="16"/>
      <c r="Z84" s="16">
        <f t="shared" si="15"/>
        <v>0</v>
      </c>
      <c r="AA84" s="16">
        <f t="shared" si="9"/>
        <v>0</v>
      </c>
      <c r="AB84" s="16"/>
      <c r="AC84" s="17"/>
      <c r="AD84" s="51"/>
    </row>
    <row r="85" spans="1:30" ht="19.5" thickBot="1" x14ac:dyDescent="0.3">
      <c r="A85" s="14">
        <v>18</v>
      </c>
      <c r="B85" s="15"/>
      <c r="C85" s="15" t="e">
        <f>VLOOKUP(B85,داتا!$B$3:$D$107,2,FALSE)</f>
        <v>#N/A</v>
      </c>
      <c r="D85" s="34" t="e">
        <f>VLOOKUP(B85,داتا!$B$3:$D$107,3,FALSE)</f>
        <v>#N/A</v>
      </c>
      <c r="E85" s="15"/>
      <c r="F85" s="15"/>
      <c r="G85" s="16">
        <v>8.3333333333333329E-2</v>
      </c>
      <c r="H85" s="16" t="e">
        <f t="shared" ref="H85:H99" si="17">VLOOKUP(G85,$F$3:$I$35,2,FALSE)</f>
        <v>#N/A</v>
      </c>
      <c r="I85" s="16" t="e">
        <f t="shared" si="10"/>
        <v>#N/A</v>
      </c>
      <c r="J85" s="16"/>
      <c r="K85" s="16"/>
      <c r="L85" s="16"/>
      <c r="M85" s="16"/>
      <c r="N85" s="16">
        <f t="shared" si="11"/>
        <v>0</v>
      </c>
      <c r="O85" s="16" t="e">
        <f t="shared" si="12"/>
        <v>#N/A</v>
      </c>
      <c r="P85" s="16">
        <v>6.9444444444444397E-3</v>
      </c>
      <c r="Q85" s="16"/>
      <c r="R85" s="16">
        <f t="shared" si="13"/>
        <v>-6.9444444444444397E-3</v>
      </c>
      <c r="S85" s="16"/>
      <c r="T85" s="16" t="e">
        <f>VLOOKUP(E85,'[2]21-3-2026'!E$3:T$35,16,FALSE)</f>
        <v>#N/A</v>
      </c>
      <c r="U85" s="16"/>
      <c r="V85" s="16" t="e">
        <f t="shared" si="14"/>
        <v>#N/A</v>
      </c>
      <c r="W85" s="16"/>
      <c r="X85" s="16"/>
      <c r="Y85" s="16"/>
      <c r="Z85" s="16">
        <f t="shared" si="15"/>
        <v>0</v>
      </c>
      <c r="AA85" s="16">
        <f t="shared" si="9"/>
        <v>0</v>
      </c>
      <c r="AB85" s="16"/>
      <c r="AC85" s="17"/>
      <c r="AD85" s="51"/>
    </row>
    <row r="86" spans="1:30" ht="19.5" thickBot="1" x14ac:dyDescent="0.3">
      <c r="A86" s="14">
        <v>19</v>
      </c>
      <c r="B86" s="15"/>
      <c r="C86" s="15" t="e">
        <f>VLOOKUP(B86,داتا!$B$3:$D$107,2,FALSE)</f>
        <v>#N/A</v>
      </c>
      <c r="D86" s="34" t="e">
        <f>VLOOKUP(B86,داتا!$B$3:$D$107,3,FALSE)</f>
        <v>#N/A</v>
      </c>
      <c r="E86" s="15"/>
      <c r="F86" s="15"/>
      <c r="G86" s="16">
        <v>8.3333333333333329E-2</v>
      </c>
      <c r="H86" s="16" t="e">
        <f t="shared" si="17"/>
        <v>#N/A</v>
      </c>
      <c r="I86" s="16" t="e">
        <f t="shared" si="10"/>
        <v>#N/A</v>
      </c>
      <c r="J86" s="16"/>
      <c r="K86" s="16"/>
      <c r="L86" s="16"/>
      <c r="M86" s="16"/>
      <c r="N86" s="16">
        <f t="shared" si="11"/>
        <v>0</v>
      </c>
      <c r="O86" s="16" t="e">
        <f t="shared" si="12"/>
        <v>#N/A</v>
      </c>
      <c r="P86" s="16">
        <v>6.9444444444444397E-3</v>
      </c>
      <c r="Q86" s="16"/>
      <c r="R86" s="16">
        <f t="shared" si="13"/>
        <v>-6.9444444444444397E-3</v>
      </c>
      <c r="S86" s="16"/>
      <c r="T86" s="16" t="e">
        <f>VLOOKUP(E86,'[2]21-3-2026'!E$3:T$35,16,FALSE)</f>
        <v>#N/A</v>
      </c>
      <c r="U86" s="16"/>
      <c r="V86" s="16" t="e">
        <f t="shared" si="14"/>
        <v>#N/A</v>
      </c>
      <c r="W86" s="16"/>
      <c r="X86" s="16"/>
      <c r="Y86" s="16"/>
      <c r="Z86" s="16">
        <f t="shared" si="15"/>
        <v>0</v>
      </c>
      <c r="AA86" s="16">
        <f t="shared" si="9"/>
        <v>0</v>
      </c>
      <c r="AB86" s="16"/>
      <c r="AC86" s="17"/>
      <c r="AD86" s="51"/>
    </row>
    <row r="87" spans="1:30" ht="19.5" thickBot="1" x14ac:dyDescent="0.3">
      <c r="A87" s="14">
        <v>20</v>
      </c>
      <c r="B87" s="15"/>
      <c r="C87" s="15" t="e">
        <f>VLOOKUP(B87,داتا!$B$3:$D$107,2,FALSE)</f>
        <v>#N/A</v>
      </c>
      <c r="D87" s="34" t="e">
        <f>VLOOKUP(B87,داتا!$B$3:$D$107,3,FALSE)</f>
        <v>#N/A</v>
      </c>
      <c r="E87" s="15"/>
      <c r="F87" s="15"/>
      <c r="G87" s="16">
        <v>8.3333333333333329E-2</v>
      </c>
      <c r="H87" s="16" t="e">
        <f t="shared" si="17"/>
        <v>#N/A</v>
      </c>
      <c r="I87" s="16" t="e">
        <f t="shared" si="10"/>
        <v>#N/A</v>
      </c>
      <c r="J87" s="16"/>
      <c r="K87" s="16"/>
      <c r="L87" s="16"/>
      <c r="M87" s="16"/>
      <c r="N87" s="16">
        <f t="shared" si="11"/>
        <v>0</v>
      </c>
      <c r="O87" s="16" t="e">
        <f t="shared" si="12"/>
        <v>#N/A</v>
      </c>
      <c r="P87" s="16">
        <v>6.9444444444444397E-3</v>
      </c>
      <c r="Q87" s="16"/>
      <c r="R87" s="16">
        <f t="shared" si="13"/>
        <v>-6.9444444444444397E-3</v>
      </c>
      <c r="S87" s="16"/>
      <c r="T87" s="16" t="e">
        <f>VLOOKUP(E87,'[2]21-3-2026'!E$3:T$35,16,FALSE)</f>
        <v>#N/A</v>
      </c>
      <c r="U87" s="16"/>
      <c r="V87" s="16" t="e">
        <f t="shared" si="14"/>
        <v>#N/A</v>
      </c>
      <c r="W87" s="16"/>
      <c r="X87" s="16"/>
      <c r="Y87" s="16"/>
      <c r="Z87" s="16">
        <f t="shared" si="15"/>
        <v>0</v>
      </c>
      <c r="AA87" s="16">
        <f t="shared" si="9"/>
        <v>0</v>
      </c>
      <c r="AB87" s="16"/>
      <c r="AC87" s="17"/>
      <c r="AD87" s="51"/>
    </row>
    <row r="88" spans="1:30" ht="19.5" thickBot="1" x14ac:dyDescent="0.3">
      <c r="A88" s="14">
        <v>21</v>
      </c>
      <c r="B88" s="15"/>
      <c r="C88" s="15" t="e">
        <f>VLOOKUP(B88,داتا!$B$3:$D$107,2,FALSE)</f>
        <v>#N/A</v>
      </c>
      <c r="D88" s="34" t="e">
        <f>VLOOKUP(B88,داتا!$B$3:$D$107,3,FALSE)</f>
        <v>#N/A</v>
      </c>
      <c r="E88" s="15"/>
      <c r="F88" s="15"/>
      <c r="G88" s="16">
        <v>8.3333333333333329E-2</v>
      </c>
      <c r="H88" s="16" t="e">
        <f t="shared" si="17"/>
        <v>#N/A</v>
      </c>
      <c r="I88" s="16" t="e">
        <f t="shared" si="10"/>
        <v>#N/A</v>
      </c>
      <c r="J88" s="16"/>
      <c r="K88" s="16"/>
      <c r="L88" s="16"/>
      <c r="M88" s="16"/>
      <c r="N88" s="16">
        <f t="shared" si="11"/>
        <v>0</v>
      </c>
      <c r="O88" s="16" t="e">
        <f t="shared" si="12"/>
        <v>#N/A</v>
      </c>
      <c r="P88" s="16">
        <v>6.9444444444444397E-3</v>
      </c>
      <c r="Q88" s="16"/>
      <c r="R88" s="16">
        <f t="shared" si="13"/>
        <v>-6.9444444444444397E-3</v>
      </c>
      <c r="S88" s="16"/>
      <c r="T88" s="16" t="e">
        <f>VLOOKUP(E88,'[2]21-3-2026'!E$3:T$35,16,FALSE)</f>
        <v>#N/A</v>
      </c>
      <c r="U88" s="16"/>
      <c r="V88" s="16" t="e">
        <f t="shared" si="14"/>
        <v>#N/A</v>
      </c>
      <c r="W88" s="16"/>
      <c r="X88" s="16"/>
      <c r="Y88" s="16"/>
      <c r="Z88" s="16">
        <f t="shared" si="15"/>
        <v>0</v>
      </c>
      <c r="AA88" s="16">
        <f t="shared" si="9"/>
        <v>0</v>
      </c>
      <c r="AB88" s="16"/>
      <c r="AC88" s="19"/>
      <c r="AD88" s="51"/>
    </row>
    <row r="89" spans="1:30" ht="19.5" thickBot="1" x14ac:dyDescent="0.3">
      <c r="A89" s="14">
        <v>22</v>
      </c>
      <c r="B89" s="15"/>
      <c r="C89" s="15" t="e">
        <f>VLOOKUP(B89,داتا!$B$3:$D$107,2,FALSE)</f>
        <v>#N/A</v>
      </c>
      <c r="D89" s="34" t="e">
        <f>VLOOKUP(B89,داتا!$B$3:$D$107,3,FALSE)</f>
        <v>#N/A</v>
      </c>
      <c r="E89" s="15"/>
      <c r="F89" s="15"/>
      <c r="G89" s="16">
        <v>8.3333333333333329E-2</v>
      </c>
      <c r="H89" s="16" t="e">
        <f t="shared" si="17"/>
        <v>#N/A</v>
      </c>
      <c r="I89" s="16" t="e">
        <f t="shared" si="10"/>
        <v>#N/A</v>
      </c>
      <c r="J89" s="16"/>
      <c r="K89" s="16"/>
      <c r="L89" s="16"/>
      <c r="M89" s="16"/>
      <c r="N89" s="16">
        <f t="shared" si="11"/>
        <v>0</v>
      </c>
      <c r="O89" s="16" t="e">
        <f t="shared" si="12"/>
        <v>#N/A</v>
      </c>
      <c r="P89" s="16">
        <v>6.9444444444444397E-3</v>
      </c>
      <c r="Q89" s="16"/>
      <c r="R89" s="16">
        <f t="shared" si="13"/>
        <v>-6.9444444444444397E-3</v>
      </c>
      <c r="S89" s="16"/>
      <c r="T89" s="16" t="e">
        <f>VLOOKUP(E89,'[2]21-3-2026'!E$3:T$35,16,FALSE)</f>
        <v>#N/A</v>
      </c>
      <c r="U89" s="16"/>
      <c r="V89" s="16" t="e">
        <f t="shared" si="14"/>
        <v>#N/A</v>
      </c>
      <c r="W89" s="16"/>
      <c r="X89" s="16"/>
      <c r="Y89" s="16"/>
      <c r="Z89" s="16">
        <f t="shared" si="15"/>
        <v>0</v>
      </c>
      <c r="AA89" s="16">
        <f t="shared" si="9"/>
        <v>0</v>
      </c>
      <c r="AB89" s="16"/>
      <c r="AC89" s="19"/>
      <c r="AD89" s="51"/>
    </row>
    <row r="90" spans="1:30" ht="19.5" thickBot="1" x14ac:dyDescent="0.3">
      <c r="A90" s="14">
        <v>23</v>
      </c>
      <c r="B90" s="15"/>
      <c r="C90" s="15" t="e">
        <f>VLOOKUP(B90,داتا!$B$3:$D$107,2,FALSE)</f>
        <v>#N/A</v>
      </c>
      <c r="D90" s="34" t="e">
        <f>VLOOKUP(B90,داتا!$B$3:$D$107,3,FALSE)</f>
        <v>#N/A</v>
      </c>
      <c r="E90" s="15"/>
      <c r="F90" s="15"/>
      <c r="G90" s="16">
        <v>8.3333333333333329E-2</v>
      </c>
      <c r="H90" s="16" t="e">
        <f t="shared" si="17"/>
        <v>#N/A</v>
      </c>
      <c r="I90" s="16" t="e">
        <f t="shared" si="10"/>
        <v>#N/A</v>
      </c>
      <c r="J90" s="16"/>
      <c r="K90" s="16"/>
      <c r="L90" s="16"/>
      <c r="M90" s="16"/>
      <c r="N90" s="16">
        <f t="shared" si="11"/>
        <v>0</v>
      </c>
      <c r="O90" s="16" t="e">
        <f t="shared" si="12"/>
        <v>#N/A</v>
      </c>
      <c r="P90" s="16">
        <v>6.9444444444444397E-3</v>
      </c>
      <c r="Q90" s="16"/>
      <c r="R90" s="16">
        <f t="shared" si="13"/>
        <v>-6.9444444444444397E-3</v>
      </c>
      <c r="S90" s="16"/>
      <c r="T90" s="16" t="e">
        <f>VLOOKUP(E90,'[2]21-3-2026'!E$3:T$35,16,FALSE)</f>
        <v>#N/A</v>
      </c>
      <c r="U90" s="16"/>
      <c r="V90" s="16" t="e">
        <f t="shared" si="14"/>
        <v>#N/A</v>
      </c>
      <c r="W90" s="16"/>
      <c r="X90" s="16"/>
      <c r="Y90" s="16"/>
      <c r="Z90" s="16">
        <f t="shared" si="15"/>
        <v>0</v>
      </c>
      <c r="AA90" s="16">
        <f t="shared" si="9"/>
        <v>0</v>
      </c>
      <c r="AB90" s="16"/>
      <c r="AC90" s="19"/>
      <c r="AD90" s="51"/>
    </row>
    <row r="91" spans="1:30" ht="19.5" thickBot="1" x14ac:dyDescent="0.3">
      <c r="A91" s="14">
        <v>24</v>
      </c>
      <c r="B91" s="15"/>
      <c r="C91" s="15" t="e">
        <f>VLOOKUP(B91,داتا!$B$3:$D$107,2,FALSE)</f>
        <v>#N/A</v>
      </c>
      <c r="D91" s="34" t="e">
        <f>VLOOKUP(B91,داتا!$B$3:$D$107,3,FALSE)</f>
        <v>#N/A</v>
      </c>
      <c r="E91" s="15"/>
      <c r="F91" s="15"/>
      <c r="G91" s="16">
        <v>8.3333333333333329E-2</v>
      </c>
      <c r="H91" s="16" t="e">
        <f t="shared" si="17"/>
        <v>#N/A</v>
      </c>
      <c r="I91" s="16" t="e">
        <f t="shared" si="10"/>
        <v>#N/A</v>
      </c>
      <c r="J91" s="16"/>
      <c r="K91" s="16"/>
      <c r="L91" s="16"/>
      <c r="M91" s="16"/>
      <c r="N91" s="16">
        <f t="shared" si="11"/>
        <v>0</v>
      </c>
      <c r="O91" s="16" t="e">
        <f t="shared" si="12"/>
        <v>#N/A</v>
      </c>
      <c r="P91" s="16">
        <v>6.9444444444444397E-3</v>
      </c>
      <c r="Q91" s="16"/>
      <c r="R91" s="16">
        <f t="shared" si="13"/>
        <v>-6.9444444444444397E-3</v>
      </c>
      <c r="S91" s="16"/>
      <c r="T91" s="16" t="e">
        <f>VLOOKUP(E91,'[2]21-3-2026'!E$3:T$35,16,FALSE)</f>
        <v>#N/A</v>
      </c>
      <c r="U91" s="16"/>
      <c r="V91" s="16" t="e">
        <f t="shared" si="14"/>
        <v>#N/A</v>
      </c>
      <c r="W91" s="16"/>
      <c r="X91" s="16"/>
      <c r="Y91" s="16"/>
      <c r="Z91" s="16">
        <f t="shared" si="15"/>
        <v>0</v>
      </c>
      <c r="AA91" s="16">
        <f t="shared" si="9"/>
        <v>0</v>
      </c>
      <c r="AB91" s="16"/>
      <c r="AC91" s="19"/>
      <c r="AD91" s="51"/>
    </row>
    <row r="92" spans="1:30" ht="19.5" thickBot="1" x14ac:dyDescent="0.3">
      <c r="A92" s="14">
        <v>25</v>
      </c>
      <c r="B92" s="15"/>
      <c r="C92" s="15" t="e">
        <f>VLOOKUP(B92,داتا!$B$3:$D$107,2,FALSE)</f>
        <v>#N/A</v>
      </c>
      <c r="D92" s="34" t="e">
        <f>VLOOKUP(B92,داتا!$B$3:$D$107,3,FALSE)</f>
        <v>#N/A</v>
      </c>
      <c r="E92" s="15"/>
      <c r="F92" s="15"/>
      <c r="G92" s="16">
        <v>8.3333333333333329E-2</v>
      </c>
      <c r="H92" s="16" t="e">
        <f t="shared" si="17"/>
        <v>#N/A</v>
      </c>
      <c r="I92" s="16" t="e">
        <f t="shared" si="10"/>
        <v>#N/A</v>
      </c>
      <c r="J92" s="16"/>
      <c r="K92" s="16"/>
      <c r="L92" s="16"/>
      <c r="M92" s="16"/>
      <c r="N92" s="16">
        <f t="shared" si="11"/>
        <v>0</v>
      </c>
      <c r="O92" s="16" t="e">
        <f t="shared" si="12"/>
        <v>#N/A</v>
      </c>
      <c r="P92" s="16">
        <v>6.9444444444444397E-3</v>
      </c>
      <c r="Q92" s="16"/>
      <c r="R92" s="16">
        <f t="shared" si="13"/>
        <v>-6.9444444444444397E-3</v>
      </c>
      <c r="S92" s="16"/>
      <c r="T92" s="16" t="e">
        <f>VLOOKUP(E92,'[2]21-3-2026'!E$3:T$35,16,FALSE)</f>
        <v>#N/A</v>
      </c>
      <c r="U92" s="16"/>
      <c r="V92" s="16" t="e">
        <f t="shared" si="14"/>
        <v>#N/A</v>
      </c>
      <c r="W92" s="16"/>
      <c r="X92" s="16"/>
      <c r="Y92" s="16"/>
      <c r="Z92" s="16">
        <f t="shared" si="15"/>
        <v>0</v>
      </c>
      <c r="AA92" s="16">
        <f t="shared" si="9"/>
        <v>0</v>
      </c>
      <c r="AB92" s="16"/>
      <c r="AC92" s="19"/>
      <c r="AD92" s="51"/>
    </row>
    <row r="93" spans="1:30" ht="19.5" thickBot="1" x14ac:dyDescent="0.3">
      <c r="A93" s="14">
        <v>26</v>
      </c>
      <c r="B93" s="15"/>
      <c r="C93" s="15" t="e">
        <f>VLOOKUP(B93,داتا!$B$3:$D$107,2,FALSE)</f>
        <v>#N/A</v>
      </c>
      <c r="D93" s="34" t="e">
        <f>VLOOKUP(B93,داتا!$B$3:$D$107,3,FALSE)</f>
        <v>#N/A</v>
      </c>
      <c r="E93" s="15"/>
      <c r="F93" s="15"/>
      <c r="G93" s="16">
        <v>8.3333333333333329E-2</v>
      </c>
      <c r="H93" s="16" t="e">
        <f t="shared" si="17"/>
        <v>#N/A</v>
      </c>
      <c r="I93" s="16" t="e">
        <f t="shared" si="10"/>
        <v>#N/A</v>
      </c>
      <c r="J93" s="16"/>
      <c r="K93" s="16"/>
      <c r="L93" s="16"/>
      <c r="M93" s="16"/>
      <c r="N93" s="16">
        <f t="shared" si="11"/>
        <v>0</v>
      </c>
      <c r="O93" s="16" t="e">
        <f t="shared" si="12"/>
        <v>#N/A</v>
      </c>
      <c r="P93" s="16">
        <v>6.9444444444444397E-3</v>
      </c>
      <c r="Q93" s="16"/>
      <c r="R93" s="16">
        <f t="shared" si="13"/>
        <v>-6.9444444444444397E-3</v>
      </c>
      <c r="S93" s="16"/>
      <c r="T93" s="16" t="e">
        <f>VLOOKUP(E93,'[2]21-3-2026'!E$3:T$35,16,FALSE)</f>
        <v>#N/A</v>
      </c>
      <c r="U93" s="16"/>
      <c r="V93" s="16" t="e">
        <f t="shared" si="14"/>
        <v>#N/A</v>
      </c>
      <c r="W93" s="16"/>
      <c r="X93" s="16"/>
      <c r="Y93" s="16"/>
      <c r="Z93" s="16">
        <f t="shared" si="15"/>
        <v>0</v>
      </c>
      <c r="AA93" s="16">
        <f t="shared" si="9"/>
        <v>0</v>
      </c>
      <c r="AB93" s="16"/>
      <c r="AC93" s="19"/>
      <c r="AD93" s="51"/>
    </row>
    <row r="94" spans="1:30" ht="19.5" thickBot="1" x14ac:dyDescent="0.3">
      <c r="A94" s="14">
        <v>27</v>
      </c>
      <c r="B94" s="15"/>
      <c r="C94" s="15" t="e">
        <f>VLOOKUP(B94,داتا!$B$3:$D$107,2,FALSE)</f>
        <v>#N/A</v>
      </c>
      <c r="D94" s="34" t="e">
        <f>VLOOKUP(B94,داتا!$B$3:$D$107,3,FALSE)</f>
        <v>#N/A</v>
      </c>
      <c r="E94" s="15"/>
      <c r="F94" s="15"/>
      <c r="G94" s="16">
        <v>8.3333333333333329E-2</v>
      </c>
      <c r="H94" s="16" t="e">
        <f t="shared" si="17"/>
        <v>#N/A</v>
      </c>
      <c r="I94" s="16" t="e">
        <f t="shared" si="10"/>
        <v>#N/A</v>
      </c>
      <c r="J94" s="16"/>
      <c r="K94" s="16"/>
      <c r="L94" s="16"/>
      <c r="M94" s="16"/>
      <c r="N94" s="16">
        <f t="shared" si="11"/>
        <v>0</v>
      </c>
      <c r="O94" s="16" t="e">
        <f t="shared" si="12"/>
        <v>#N/A</v>
      </c>
      <c r="P94" s="16">
        <v>6.9444444444444397E-3</v>
      </c>
      <c r="Q94" s="16"/>
      <c r="R94" s="16">
        <f t="shared" si="13"/>
        <v>-6.9444444444444397E-3</v>
      </c>
      <c r="S94" s="16"/>
      <c r="T94" s="16" t="e">
        <f>VLOOKUP(E94,'[2]21-3-2026'!E$3:T$35,16,FALSE)</f>
        <v>#N/A</v>
      </c>
      <c r="U94" s="16"/>
      <c r="V94" s="16" t="e">
        <f t="shared" si="14"/>
        <v>#N/A</v>
      </c>
      <c r="W94" s="16"/>
      <c r="X94" s="16"/>
      <c r="Y94" s="16"/>
      <c r="Z94" s="16">
        <f t="shared" si="15"/>
        <v>0</v>
      </c>
      <c r="AA94" s="16">
        <f t="shared" si="9"/>
        <v>0</v>
      </c>
      <c r="AB94" s="16"/>
      <c r="AC94" s="19"/>
      <c r="AD94" s="51"/>
    </row>
    <row r="95" spans="1:30" ht="19.5" thickBot="1" x14ac:dyDescent="0.3">
      <c r="A95" s="14">
        <v>28</v>
      </c>
      <c r="B95" s="15"/>
      <c r="C95" s="15" t="e">
        <f>VLOOKUP(B95,داتا!$B$3:$D$107,2,FALSE)</f>
        <v>#N/A</v>
      </c>
      <c r="D95" s="34" t="e">
        <f>VLOOKUP(B95,داتا!$B$3:$D$107,3,FALSE)</f>
        <v>#N/A</v>
      </c>
      <c r="E95" s="15"/>
      <c r="F95" s="16"/>
      <c r="G95" s="16">
        <v>8.3333333333333329E-2</v>
      </c>
      <c r="H95" s="16" t="e">
        <f t="shared" si="17"/>
        <v>#N/A</v>
      </c>
      <c r="I95" s="16" t="e">
        <f t="shared" si="10"/>
        <v>#N/A</v>
      </c>
      <c r="J95" s="16"/>
      <c r="K95" s="16"/>
      <c r="L95" s="16"/>
      <c r="M95" s="16"/>
      <c r="N95" s="16">
        <f t="shared" si="11"/>
        <v>0</v>
      </c>
      <c r="O95" s="16" t="e">
        <f t="shared" si="12"/>
        <v>#N/A</v>
      </c>
      <c r="P95" s="16">
        <v>6.9444444444444397E-3</v>
      </c>
      <c r="Q95" s="16"/>
      <c r="R95" s="16">
        <f t="shared" si="13"/>
        <v>-6.9444444444444397E-3</v>
      </c>
      <c r="S95" s="16"/>
      <c r="T95" s="16" t="e">
        <f>VLOOKUP(E95,'[2]21-3-2026'!E$3:T$35,16,FALSE)</f>
        <v>#N/A</v>
      </c>
      <c r="U95" s="16"/>
      <c r="V95" s="16" t="e">
        <f t="shared" si="14"/>
        <v>#N/A</v>
      </c>
      <c r="W95" s="16"/>
      <c r="X95" s="16"/>
      <c r="Y95" s="16"/>
      <c r="Z95" s="16">
        <f t="shared" si="15"/>
        <v>0</v>
      </c>
      <c r="AA95" s="16">
        <f t="shared" si="9"/>
        <v>0</v>
      </c>
      <c r="AB95" s="16"/>
      <c r="AC95" s="19"/>
      <c r="AD95" s="51"/>
    </row>
    <row r="96" spans="1:30" ht="19.5" thickBot="1" x14ac:dyDescent="0.3">
      <c r="A96" s="14">
        <v>29</v>
      </c>
      <c r="B96" s="15"/>
      <c r="C96" s="15" t="e">
        <f>VLOOKUP(B96,داتا!$B$3:$D$107,2,FALSE)</f>
        <v>#N/A</v>
      </c>
      <c r="D96" s="34" t="e">
        <f>VLOOKUP(B96,داتا!$B$3:$D$107,3,FALSE)</f>
        <v>#N/A</v>
      </c>
      <c r="E96" s="15"/>
      <c r="F96" s="16"/>
      <c r="G96" s="16">
        <v>8.3333333333333329E-2</v>
      </c>
      <c r="H96" s="16" t="e">
        <f t="shared" si="17"/>
        <v>#N/A</v>
      </c>
      <c r="I96" s="16" t="e">
        <f t="shared" si="10"/>
        <v>#N/A</v>
      </c>
      <c r="J96" s="16"/>
      <c r="K96" s="16"/>
      <c r="L96" s="16"/>
      <c r="M96" s="16"/>
      <c r="N96" s="16">
        <f t="shared" si="11"/>
        <v>0</v>
      </c>
      <c r="O96" s="16" t="e">
        <f t="shared" si="12"/>
        <v>#N/A</v>
      </c>
      <c r="P96" s="16">
        <v>6.9444444444444397E-3</v>
      </c>
      <c r="Q96" s="16"/>
      <c r="R96" s="16">
        <f t="shared" si="13"/>
        <v>-6.9444444444444397E-3</v>
      </c>
      <c r="S96" s="16"/>
      <c r="T96" s="16" t="e">
        <f>VLOOKUP(E96,'[2]21-3-2026'!E$3:T$35,16,FALSE)</f>
        <v>#N/A</v>
      </c>
      <c r="U96" s="16"/>
      <c r="V96" s="16" t="e">
        <f t="shared" si="14"/>
        <v>#N/A</v>
      </c>
      <c r="W96" s="16"/>
      <c r="X96" s="16"/>
      <c r="Y96" s="16"/>
      <c r="Z96" s="16">
        <f t="shared" si="15"/>
        <v>0</v>
      </c>
      <c r="AA96" s="16">
        <f t="shared" si="9"/>
        <v>0</v>
      </c>
      <c r="AB96" s="16"/>
      <c r="AC96" s="19"/>
      <c r="AD96" s="54"/>
    </row>
    <row r="97" spans="1:29" ht="19.5" thickBot="1" x14ac:dyDescent="0.3">
      <c r="A97" s="14">
        <v>30</v>
      </c>
      <c r="B97" s="15"/>
      <c r="C97" s="15" t="e">
        <f>VLOOKUP(B97,داتا!$B$3:$D$107,2,FALSE)</f>
        <v>#N/A</v>
      </c>
      <c r="D97" s="34" t="e">
        <f>VLOOKUP(B97,داتا!$B$3:$D$107,3,FALSE)</f>
        <v>#N/A</v>
      </c>
      <c r="E97" s="15"/>
      <c r="F97" s="16"/>
      <c r="G97" s="16">
        <v>8.3333333333333329E-2</v>
      </c>
      <c r="H97" s="16" t="e">
        <f t="shared" si="17"/>
        <v>#N/A</v>
      </c>
      <c r="I97" s="16" t="e">
        <f t="shared" si="10"/>
        <v>#N/A</v>
      </c>
      <c r="J97" s="16"/>
      <c r="K97" s="16"/>
      <c r="L97" s="16"/>
      <c r="M97" s="16"/>
      <c r="N97" s="16">
        <f t="shared" si="11"/>
        <v>0</v>
      </c>
      <c r="O97" s="16" t="e">
        <f t="shared" si="12"/>
        <v>#N/A</v>
      </c>
      <c r="P97" s="16">
        <v>6.9444444444444397E-3</v>
      </c>
      <c r="Q97" s="16"/>
      <c r="R97" s="16">
        <f t="shared" si="13"/>
        <v>-6.9444444444444397E-3</v>
      </c>
      <c r="S97" s="16"/>
      <c r="T97" s="16" t="e">
        <f>VLOOKUP(E97,'[2]21-3-2026'!E$3:T$35,16,FALSE)</f>
        <v>#N/A</v>
      </c>
      <c r="U97" s="16"/>
      <c r="V97" s="16" t="e">
        <f t="shared" si="14"/>
        <v>#N/A</v>
      </c>
      <c r="W97" s="16"/>
      <c r="X97" s="16"/>
      <c r="Y97" s="16"/>
      <c r="Z97" s="16">
        <f t="shared" si="15"/>
        <v>0</v>
      </c>
      <c r="AA97" s="16">
        <f t="shared" si="9"/>
        <v>0</v>
      </c>
      <c r="AB97" s="16"/>
      <c r="AC97" s="19"/>
    </row>
    <row r="98" spans="1:29" ht="19.5" thickBot="1" x14ac:dyDescent="0.3">
      <c r="A98" s="14">
        <v>31</v>
      </c>
      <c r="B98" s="15"/>
      <c r="C98" s="15" t="e">
        <f>VLOOKUP(B98,داتا!$B$3:$D$107,2,FALSE)</f>
        <v>#N/A</v>
      </c>
      <c r="D98" s="34" t="e">
        <f>VLOOKUP(B98,داتا!$B$3:$D$107,3,FALSE)</f>
        <v>#N/A</v>
      </c>
      <c r="E98" s="15"/>
      <c r="F98" s="16"/>
      <c r="G98" s="16">
        <v>8.3333333333333329E-2</v>
      </c>
      <c r="H98" s="16" t="e">
        <f t="shared" si="17"/>
        <v>#N/A</v>
      </c>
      <c r="I98" s="16" t="e">
        <f t="shared" si="10"/>
        <v>#N/A</v>
      </c>
      <c r="J98" s="16"/>
      <c r="K98" s="16"/>
      <c r="L98" s="16"/>
      <c r="M98" s="16"/>
      <c r="N98" s="16">
        <f t="shared" si="11"/>
        <v>0</v>
      </c>
      <c r="O98" s="16" t="e">
        <f t="shared" si="12"/>
        <v>#N/A</v>
      </c>
      <c r="P98" s="16">
        <v>6.9444444444444397E-3</v>
      </c>
      <c r="Q98" s="16"/>
      <c r="R98" s="16">
        <f t="shared" si="13"/>
        <v>-6.9444444444444397E-3</v>
      </c>
      <c r="S98" s="16"/>
      <c r="T98" s="16" t="e">
        <f>VLOOKUP(E98,'[2]21-3-2026'!E$3:T$35,16,FALSE)</f>
        <v>#N/A</v>
      </c>
      <c r="U98" s="16"/>
      <c r="V98" s="16" t="e">
        <f t="shared" si="14"/>
        <v>#N/A</v>
      </c>
      <c r="W98" s="16"/>
      <c r="X98" s="16"/>
      <c r="Y98" s="16"/>
      <c r="Z98" s="16">
        <f t="shared" si="15"/>
        <v>0</v>
      </c>
      <c r="AA98" s="16">
        <f t="shared" si="9"/>
        <v>0</v>
      </c>
      <c r="AB98" s="16"/>
      <c r="AC98" s="19"/>
    </row>
    <row r="99" spans="1:29" ht="19.5" thickBot="1" x14ac:dyDescent="0.3">
      <c r="A99" s="20">
        <v>32</v>
      </c>
      <c r="B99" s="21"/>
      <c r="C99" s="21" t="e">
        <f>VLOOKUP(B99,داتا!$B$3:$D$107,2,FALSE)</f>
        <v>#N/A</v>
      </c>
      <c r="D99" s="35" t="e">
        <f>VLOOKUP(B99,داتا!$B$3:$D$107,3,FALSE)</f>
        <v>#N/A</v>
      </c>
      <c r="E99" s="21"/>
      <c r="F99" s="22"/>
      <c r="G99" s="22">
        <v>8.3333333333333329E-2</v>
      </c>
      <c r="H99" s="22" t="e">
        <f t="shared" si="17"/>
        <v>#N/A</v>
      </c>
      <c r="I99" s="22" t="e">
        <f t="shared" si="10"/>
        <v>#N/A</v>
      </c>
      <c r="J99" s="22"/>
      <c r="K99" s="22"/>
      <c r="L99" s="22"/>
      <c r="M99" s="22"/>
      <c r="N99" s="22">
        <f t="shared" si="11"/>
        <v>0</v>
      </c>
      <c r="O99" s="22" t="e">
        <f t="shared" si="12"/>
        <v>#N/A</v>
      </c>
      <c r="P99" s="22">
        <v>6.9444444444444397E-3</v>
      </c>
      <c r="Q99" s="22"/>
      <c r="R99" s="22">
        <f t="shared" si="13"/>
        <v>-6.9444444444444397E-3</v>
      </c>
      <c r="S99" s="22"/>
      <c r="T99" s="22" t="e">
        <f>VLOOKUP(E99,'[2]21-3-2026'!E$3:T$35,16,FALSE)</f>
        <v>#N/A</v>
      </c>
      <c r="U99" s="22"/>
      <c r="V99" s="22" t="e">
        <f t="shared" si="14"/>
        <v>#N/A</v>
      </c>
      <c r="W99" s="22"/>
      <c r="X99" s="22"/>
      <c r="Y99" s="22"/>
      <c r="Z99" s="22">
        <f t="shared" si="15"/>
        <v>0</v>
      </c>
      <c r="AA99" s="22">
        <f t="shared" si="9"/>
        <v>0</v>
      </c>
      <c r="AB99" s="22"/>
      <c r="AC99" s="30"/>
    </row>
    <row r="100" spans="1:29" ht="16.5" thickTop="1" x14ac:dyDescent="0.25"/>
  </sheetData>
  <mergeCells count="4">
    <mergeCell ref="A1:AC1"/>
    <mergeCell ref="AD3:AD35"/>
    <mergeCell ref="AD36:AD67"/>
    <mergeCell ref="AD68:AD96"/>
  </mergeCells>
  <conditionalFormatting sqref="AC1:AC96 AC100:AC1048576">
    <cfRule type="containsText" dxfId="254" priority="14" operator="containsText" text="ت">
      <formula>NOT(ISERROR(SEARCH("ت",AC1)))</formula>
    </cfRule>
  </conditionalFormatting>
  <conditionalFormatting sqref="AC4:AC96">
    <cfRule type="containsText" dxfId="253" priority="13" operator="containsText" text="ت">
      <formula>NOT(ISERROR(SEARCH("ت",AC4)))</formula>
    </cfRule>
  </conditionalFormatting>
  <conditionalFormatting sqref="O1:O2 I1:I2 R1:R2 V1:V2 AA100:AA1048576 V100:V1048576 R100:R1048576 O100:O1048576 I100:I1048576 AA1:AA2">
    <cfRule type="cellIs" dxfId="252" priority="15" operator="between">
      <formula>0.00277777777777778</formula>
      <formula>1</formula>
    </cfRule>
  </conditionalFormatting>
  <conditionalFormatting sqref="AC97:AC99">
    <cfRule type="containsText" dxfId="251" priority="12" operator="containsText" text="ت">
      <formula>NOT(ISERROR(SEARCH("ت",AC97)))</formula>
    </cfRule>
  </conditionalFormatting>
  <conditionalFormatting sqref="AC97:AC99">
    <cfRule type="containsText" dxfId="250" priority="11" operator="containsText" text="ت">
      <formula>NOT(ISERROR(SEARCH("ت",AC97)))</formula>
    </cfRule>
  </conditionalFormatting>
  <conditionalFormatting sqref="I3:I99">
    <cfRule type="cellIs" dxfId="249" priority="9" operator="between">
      <formula>0.00277777777777778</formula>
      <formula>1</formula>
    </cfRule>
  </conditionalFormatting>
  <conditionalFormatting sqref="I3:I99">
    <cfRule type="cellIs" dxfId="248" priority="10" operator="between">
      <formula>0.00277777777777778</formula>
      <formula>1</formula>
    </cfRule>
  </conditionalFormatting>
  <conditionalFormatting sqref="O3:O99">
    <cfRule type="cellIs" dxfId="247" priority="7" operator="between">
      <formula>0.00277777777777778</formula>
      <formula>1</formula>
    </cfRule>
  </conditionalFormatting>
  <conditionalFormatting sqref="O3:O99">
    <cfRule type="cellIs" dxfId="246" priority="8" operator="between">
      <formula>0.00277777777777778</formula>
      <formula>1</formula>
    </cfRule>
  </conditionalFormatting>
  <conditionalFormatting sqref="R3:R99">
    <cfRule type="cellIs" dxfId="245" priority="5" operator="between">
      <formula>0.00277777777777778</formula>
      <formula>1</formula>
    </cfRule>
  </conditionalFormatting>
  <conditionalFormatting sqref="R3:R99">
    <cfRule type="cellIs" dxfId="244" priority="6" operator="between">
      <formula>0.00277777777777778</formula>
      <formula>1</formula>
    </cfRule>
  </conditionalFormatting>
  <conditionalFormatting sqref="V3:V99">
    <cfRule type="cellIs" dxfId="243" priority="3" operator="between">
      <formula>0.00277777777777778</formula>
      <formula>1</formula>
    </cfRule>
  </conditionalFormatting>
  <conditionalFormatting sqref="V3:V99">
    <cfRule type="cellIs" dxfId="242" priority="4" operator="between">
      <formula>0.00277777777777778</formula>
      <formula>1</formula>
    </cfRule>
  </conditionalFormatting>
  <conditionalFormatting sqref="AA3:AA99">
    <cfRule type="cellIs" dxfId="241" priority="1" operator="between">
      <formula>0.00277777777777778</formula>
      <formula>1</formula>
    </cfRule>
  </conditionalFormatting>
  <conditionalFormatting sqref="AA3:AA99">
    <cfRule type="cellIs" dxfId="240" priority="2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"/>
  <sheetViews>
    <sheetView rightToLeft="1" workbookViewId="0">
      <pane xSplit="6" ySplit="2" topLeftCell="G68" activePane="bottomRight" state="frozen"/>
      <selection activeCell="A92" sqref="A92"/>
      <selection pane="topRight" activeCell="A92" sqref="A92"/>
      <selection pane="bottomLeft" activeCell="A92" sqref="A92"/>
      <selection pane="bottomRight" activeCell="A2" sqref="A2"/>
    </sheetView>
  </sheetViews>
  <sheetFormatPr defaultColWidth="9" defaultRowHeight="15.75" x14ac:dyDescent="0.25"/>
  <cols>
    <col min="1" max="1" width="5.42578125" customWidth="1"/>
    <col min="2" max="2" width="12.28515625" customWidth="1"/>
    <col min="3" max="3" width="12.5703125" customWidth="1"/>
    <col min="4" max="4" width="16.140625" style="36" customWidth="1"/>
    <col min="5" max="5" width="17.140625" customWidth="1"/>
    <col min="6" max="6" width="20.85546875" customWidth="1"/>
    <col min="7" max="7" width="12.7109375" customWidth="1"/>
    <col min="8" max="9" width="12.85546875" customWidth="1"/>
    <col min="10" max="10" width="12.5703125" customWidth="1"/>
    <col min="11" max="11" width="14.28515625" customWidth="1"/>
    <col min="12" max="12" width="22.7109375" customWidth="1"/>
    <col min="13" max="13" width="18.8554687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3.85546875" style="31" customWidth="1"/>
    <col min="30" max="30" width="11.140625" customWidth="1"/>
  </cols>
  <sheetData>
    <row r="1" spans="1:30" ht="33.75" customHeight="1" thickBot="1" x14ac:dyDescent="0.3">
      <c r="A1" s="46" t="s">
        <v>134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0" ht="49.5" customHeight="1" thickTop="1" thickBot="1" x14ac:dyDescent="0.3">
      <c r="A2" s="1" t="s">
        <v>1</v>
      </c>
      <c r="B2" s="2" t="s">
        <v>2</v>
      </c>
      <c r="C2" s="2" t="s">
        <v>3</v>
      </c>
      <c r="D2" s="3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8" t="s">
        <v>18</v>
      </c>
      <c r="S2" s="2" t="s">
        <v>19</v>
      </c>
      <c r="T2" s="8" t="s">
        <v>20</v>
      </c>
      <c r="U2" s="2" t="s">
        <v>21</v>
      </c>
      <c r="V2" s="8" t="s">
        <v>22</v>
      </c>
      <c r="W2" s="8" t="s">
        <v>23</v>
      </c>
      <c r="X2" s="2" t="s">
        <v>24</v>
      </c>
      <c r="Y2" s="2" t="s">
        <v>25</v>
      </c>
      <c r="Z2" s="2" t="s">
        <v>26</v>
      </c>
      <c r="AA2" s="8" t="s">
        <v>27</v>
      </c>
      <c r="AB2" s="2" t="s">
        <v>28</v>
      </c>
      <c r="AC2" s="9" t="s">
        <v>29</v>
      </c>
    </row>
    <row r="3" spans="1:30" ht="20.25" customHeight="1" thickTop="1" thickBot="1" x14ac:dyDescent="0.3">
      <c r="A3" s="10">
        <v>1</v>
      </c>
      <c r="B3" s="11"/>
      <c r="C3" s="11" t="e">
        <f>VLOOKUP(B3,داتا!$B$3:$D$107,2,FALSE)</f>
        <v>#N/A</v>
      </c>
      <c r="D3" s="33" t="e">
        <f>VLOOKUP(B3,داتا!$B$3:$D$107,3,FALSE)</f>
        <v>#N/A</v>
      </c>
      <c r="E3" s="11"/>
      <c r="F3" s="11"/>
      <c r="G3" s="12">
        <v>0.25</v>
      </c>
      <c r="H3" s="12"/>
      <c r="I3" s="12">
        <f>H3-G3</f>
        <v>-0.25</v>
      </c>
      <c r="J3" s="12"/>
      <c r="K3" s="12"/>
      <c r="L3" s="12"/>
      <c r="M3" s="12"/>
      <c r="N3" s="12">
        <f>K3-J3</f>
        <v>0</v>
      </c>
      <c r="O3" s="12" t="e">
        <f>N3-D3</f>
        <v>#N/A</v>
      </c>
      <c r="P3" s="12">
        <v>6.9444444444444397E-3</v>
      </c>
      <c r="Q3" s="12"/>
      <c r="R3" s="12">
        <f>Q3-P3-K3</f>
        <v>-6.9444444444444397E-3</v>
      </c>
      <c r="S3" s="12"/>
      <c r="T3" s="12" t="e">
        <f>VLOOKUP(E3,'[2]21-3-2026'!E$3:T$35,16,FALSE)</f>
        <v>#N/A</v>
      </c>
      <c r="U3" s="12"/>
      <c r="V3" s="12" t="e">
        <f>U3-T3-S3</f>
        <v>#N/A</v>
      </c>
      <c r="W3" s="12"/>
      <c r="X3" s="12"/>
      <c r="Y3" s="12"/>
      <c r="Z3" s="12">
        <f>Y3-X3</f>
        <v>0</v>
      </c>
      <c r="AA3" s="12">
        <f t="shared" ref="AA3:AA66" si="0">Z3-W3</f>
        <v>0</v>
      </c>
      <c r="AB3" s="12"/>
      <c r="AC3" s="13"/>
      <c r="AD3" s="47" t="s">
        <v>33</v>
      </c>
    </row>
    <row r="4" spans="1:30" ht="19.5" thickBot="1" x14ac:dyDescent="0.3">
      <c r="A4" s="14">
        <v>2</v>
      </c>
      <c r="B4" s="15"/>
      <c r="C4" s="15" t="e">
        <f>VLOOKUP(B4,داتا!$B$3:$D$107,2,FALSE)</f>
        <v>#N/A</v>
      </c>
      <c r="D4" s="34" t="e">
        <f>VLOOKUP(B4,داتا!$B$3:$D$107,3,FALSE)</f>
        <v>#N/A</v>
      </c>
      <c r="E4" s="15"/>
      <c r="F4" s="15"/>
      <c r="G4" s="16">
        <v>0.25</v>
      </c>
      <c r="H4" s="16"/>
      <c r="I4" s="16">
        <f t="shared" ref="I4:I67" si="1">H4-G4</f>
        <v>-0.25</v>
      </c>
      <c r="J4" s="16"/>
      <c r="K4" s="16"/>
      <c r="L4" s="16"/>
      <c r="M4" s="16"/>
      <c r="N4" s="16">
        <f t="shared" ref="N4:N67" si="2">K4-J4</f>
        <v>0</v>
      </c>
      <c r="O4" s="16" t="e">
        <f t="shared" ref="O4:O67" si="3">N4-D4</f>
        <v>#N/A</v>
      </c>
      <c r="P4" s="16">
        <v>6.9444444444444397E-3</v>
      </c>
      <c r="Q4" s="16"/>
      <c r="R4" s="16">
        <f t="shared" ref="R4:R67" si="4">Q4-P4-K4</f>
        <v>-6.9444444444444397E-3</v>
      </c>
      <c r="S4" s="16"/>
      <c r="T4" s="16" t="e">
        <f>VLOOKUP(E4,'[2]21-3-2026'!E$3:T$35,16,FALSE)</f>
        <v>#N/A</v>
      </c>
      <c r="U4" s="16"/>
      <c r="V4" s="16" t="e">
        <f t="shared" ref="V4:V67" si="5">U4-T4-S4</f>
        <v>#N/A</v>
      </c>
      <c r="W4" s="16"/>
      <c r="X4" s="16"/>
      <c r="Y4" s="16"/>
      <c r="Z4" s="16">
        <f t="shared" ref="Z4:Z67" si="6">Y4-X4</f>
        <v>0</v>
      </c>
      <c r="AA4" s="16">
        <f t="shared" si="0"/>
        <v>0</v>
      </c>
      <c r="AB4" s="16"/>
      <c r="AC4" s="17"/>
      <c r="AD4" s="48"/>
    </row>
    <row r="5" spans="1:30" ht="19.5" thickBot="1" x14ac:dyDescent="0.3">
      <c r="A5" s="14">
        <v>3</v>
      </c>
      <c r="B5" s="15"/>
      <c r="C5" s="15" t="e">
        <f>VLOOKUP(B5,داتا!$B$3:$D$107,2,FALSE)</f>
        <v>#N/A</v>
      </c>
      <c r="D5" s="34" t="e">
        <f>VLOOKUP(B5,داتا!$B$3:$D$107,3,FALSE)</f>
        <v>#N/A</v>
      </c>
      <c r="E5" s="15"/>
      <c r="F5" s="15"/>
      <c r="G5" s="16">
        <v>0.25</v>
      </c>
      <c r="H5" s="16"/>
      <c r="I5" s="16">
        <f t="shared" si="1"/>
        <v>-0.25</v>
      </c>
      <c r="J5" s="16"/>
      <c r="K5" s="16"/>
      <c r="L5" s="16"/>
      <c r="M5" s="16"/>
      <c r="N5" s="16">
        <f t="shared" si="2"/>
        <v>0</v>
      </c>
      <c r="O5" s="16" t="e">
        <f t="shared" si="3"/>
        <v>#N/A</v>
      </c>
      <c r="P5" s="16">
        <v>6.9444444444444397E-3</v>
      </c>
      <c r="Q5" s="16"/>
      <c r="R5" s="16">
        <f t="shared" si="4"/>
        <v>-6.9444444444444397E-3</v>
      </c>
      <c r="S5" s="16"/>
      <c r="T5" s="16" t="e">
        <f>VLOOKUP(E5,'[2]21-3-2026'!E$3:T$35,16,FALSE)</f>
        <v>#N/A</v>
      </c>
      <c r="U5" s="16"/>
      <c r="V5" s="16" t="e">
        <f t="shared" si="5"/>
        <v>#N/A</v>
      </c>
      <c r="W5" s="16"/>
      <c r="X5" s="16"/>
      <c r="Y5" s="16"/>
      <c r="Z5" s="16">
        <f t="shared" si="6"/>
        <v>0</v>
      </c>
      <c r="AA5" s="16">
        <f t="shared" si="0"/>
        <v>0</v>
      </c>
      <c r="AB5" s="16"/>
      <c r="AC5" s="17"/>
      <c r="AD5" s="48"/>
    </row>
    <row r="6" spans="1:30" ht="19.5" thickBot="1" x14ac:dyDescent="0.3">
      <c r="A6" s="14">
        <v>4</v>
      </c>
      <c r="B6" s="15"/>
      <c r="C6" s="15" t="e">
        <f>VLOOKUP(B6,داتا!$B$3:$D$107,2,FALSE)</f>
        <v>#N/A</v>
      </c>
      <c r="D6" s="34" t="e">
        <f>VLOOKUP(B6,داتا!$B$3:$D$107,3,FALSE)</f>
        <v>#N/A</v>
      </c>
      <c r="E6" s="15"/>
      <c r="F6" s="15"/>
      <c r="G6" s="16">
        <v>0.25</v>
      </c>
      <c r="H6" s="16"/>
      <c r="I6" s="16">
        <f t="shared" si="1"/>
        <v>-0.25</v>
      </c>
      <c r="J6" s="16"/>
      <c r="K6" s="16"/>
      <c r="L6" s="16"/>
      <c r="M6" s="16"/>
      <c r="N6" s="16">
        <f t="shared" si="2"/>
        <v>0</v>
      </c>
      <c r="O6" s="16" t="e">
        <f t="shared" si="3"/>
        <v>#N/A</v>
      </c>
      <c r="P6" s="16">
        <v>6.9444444444444397E-3</v>
      </c>
      <c r="Q6" s="16"/>
      <c r="R6" s="16">
        <f t="shared" si="4"/>
        <v>-6.9444444444444397E-3</v>
      </c>
      <c r="S6" s="16"/>
      <c r="T6" s="16" t="e">
        <f>VLOOKUP(E6,'[2]21-3-2026'!E$3:T$35,16,FALSE)</f>
        <v>#N/A</v>
      </c>
      <c r="U6" s="16"/>
      <c r="V6" s="16" t="e">
        <f t="shared" si="5"/>
        <v>#N/A</v>
      </c>
      <c r="W6" s="16"/>
      <c r="X6" s="16"/>
      <c r="Y6" s="16"/>
      <c r="Z6" s="16">
        <f t="shared" si="6"/>
        <v>0</v>
      </c>
      <c r="AA6" s="16">
        <f t="shared" si="0"/>
        <v>0</v>
      </c>
      <c r="AB6" s="16"/>
      <c r="AC6" s="17"/>
      <c r="AD6" s="48"/>
    </row>
    <row r="7" spans="1:30" ht="19.5" thickBot="1" x14ac:dyDescent="0.3">
      <c r="A7" s="14">
        <v>5</v>
      </c>
      <c r="B7" s="15"/>
      <c r="C7" s="15" t="e">
        <f>VLOOKUP(B7,داتا!$B$3:$D$107,2,FALSE)</f>
        <v>#N/A</v>
      </c>
      <c r="D7" s="34" t="e">
        <f>VLOOKUP(B7,داتا!$B$3:$D$107,3,FALSE)</f>
        <v>#N/A</v>
      </c>
      <c r="E7" s="15"/>
      <c r="F7" s="15"/>
      <c r="G7" s="16">
        <v>0.25</v>
      </c>
      <c r="H7" s="16"/>
      <c r="I7" s="16">
        <f t="shared" si="1"/>
        <v>-0.25</v>
      </c>
      <c r="J7" s="16"/>
      <c r="K7" s="16"/>
      <c r="L7" s="16"/>
      <c r="M7" s="16"/>
      <c r="N7" s="16">
        <f t="shared" si="2"/>
        <v>0</v>
      </c>
      <c r="O7" s="16" t="e">
        <f t="shared" si="3"/>
        <v>#N/A</v>
      </c>
      <c r="P7" s="16">
        <v>6.9444444444444397E-3</v>
      </c>
      <c r="Q7" s="16"/>
      <c r="R7" s="16">
        <f t="shared" si="4"/>
        <v>-6.9444444444444397E-3</v>
      </c>
      <c r="S7" s="16"/>
      <c r="T7" s="16" t="e">
        <f>VLOOKUP(E7,'[2]21-3-2026'!E$3:T$35,16,FALSE)</f>
        <v>#N/A</v>
      </c>
      <c r="U7" s="16"/>
      <c r="V7" s="16" t="e">
        <f t="shared" si="5"/>
        <v>#N/A</v>
      </c>
      <c r="W7" s="16"/>
      <c r="X7" s="16"/>
      <c r="Y7" s="16"/>
      <c r="Z7" s="16">
        <f t="shared" si="6"/>
        <v>0</v>
      </c>
      <c r="AA7" s="16">
        <f t="shared" si="0"/>
        <v>0</v>
      </c>
      <c r="AB7" s="16"/>
      <c r="AC7" s="17"/>
      <c r="AD7" s="48"/>
    </row>
    <row r="8" spans="1:30" ht="19.5" thickBot="1" x14ac:dyDescent="0.3">
      <c r="A8" s="14">
        <v>6</v>
      </c>
      <c r="B8" s="15"/>
      <c r="C8" s="15" t="e">
        <f>VLOOKUP(B8,داتا!$B$3:$D$107,2,FALSE)</f>
        <v>#N/A</v>
      </c>
      <c r="D8" s="34" t="e">
        <f>VLOOKUP(B8,داتا!$B$3:$D$107,3,FALSE)</f>
        <v>#N/A</v>
      </c>
      <c r="E8" s="15"/>
      <c r="F8" s="15"/>
      <c r="G8" s="16">
        <v>0.25</v>
      </c>
      <c r="H8" s="16"/>
      <c r="I8" s="16">
        <f t="shared" si="1"/>
        <v>-0.25</v>
      </c>
      <c r="J8" s="16"/>
      <c r="K8" s="16"/>
      <c r="L8" s="16"/>
      <c r="M8" s="16"/>
      <c r="N8" s="16">
        <f t="shared" si="2"/>
        <v>0</v>
      </c>
      <c r="O8" s="16" t="e">
        <f t="shared" si="3"/>
        <v>#N/A</v>
      </c>
      <c r="P8" s="16">
        <v>6.9444444444444397E-3</v>
      </c>
      <c r="Q8" s="16"/>
      <c r="R8" s="16">
        <f t="shared" si="4"/>
        <v>-6.9444444444444397E-3</v>
      </c>
      <c r="S8" s="16"/>
      <c r="T8" s="16" t="e">
        <f>VLOOKUP(E8,'[2]21-3-2026'!E$3:T$35,16,FALSE)</f>
        <v>#N/A</v>
      </c>
      <c r="U8" s="16"/>
      <c r="V8" s="16" t="e">
        <f t="shared" si="5"/>
        <v>#N/A</v>
      </c>
      <c r="W8" s="16"/>
      <c r="X8" s="16"/>
      <c r="Y8" s="16"/>
      <c r="Z8" s="16">
        <f t="shared" si="6"/>
        <v>0</v>
      </c>
      <c r="AA8" s="16">
        <f t="shared" si="0"/>
        <v>0</v>
      </c>
      <c r="AB8" s="16"/>
      <c r="AC8" s="18"/>
      <c r="AD8" s="48"/>
    </row>
    <row r="9" spans="1:30" ht="19.5" thickBot="1" x14ac:dyDescent="0.3">
      <c r="A9" s="14">
        <v>7</v>
      </c>
      <c r="B9" s="15"/>
      <c r="C9" s="15" t="e">
        <f>VLOOKUP(B9,داتا!$B$3:$D$107,2,FALSE)</f>
        <v>#N/A</v>
      </c>
      <c r="D9" s="34" t="e">
        <f>VLOOKUP(B9,داتا!$B$3:$D$107,3,FALSE)</f>
        <v>#N/A</v>
      </c>
      <c r="E9" s="15"/>
      <c r="F9" s="15"/>
      <c r="G9" s="16">
        <v>0.25</v>
      </c>
      <c r="H9" s="16"/>
      <c r="I9" s="16">
        <f t="shared" si="1"/>
        <v>-0.25</v>
      </c>
      <c r="J9" s="16"/>
      <c r="K9" s="16"/>
      <c r="L9" s="16"/>
      <c r="M9" s="16"/>
      <c r="N9" s="16">
        <f t="shared" si="2"/>
        <v>0</v>
      </c>
      <c r="O9" s="16" t="e">
        <f t="shared" si="3"/>
        <v>#N/A</v>
      </c>
      <c r="P9" s="16">
        <v>6.9444444444444397E-3</v>
      </c>
      <c r="Q9" s="16"/>
      <c r="R9" s="16">
        <f t="shared" si="4"/>
        <v>-6.9444444444444397E-3</v>
      </c>
      <c r="S9" s="16"/>
      <c r="T9" s="16" t="e">
        <f>VLOOKUP(E9,'[2]21-3-2026'!E$3:T$35,16,FALSE)</f>
        <v>#N/A</v>
      </c>
      <c r="U9" s="16"/>
      <c r="V9" s="16" t="e">
        <f t="shared" si="5"/>
        <v>#N/A</v>
      </c>
      <c r="W9" s="16"/>
      <c r="X9" s="16"/>
      <c r="Y9" s="16"/>
      <c r="Z9" s="16">
        <f t="shared" si="6"/>
        <v>0</v>
      </c>
      <c r="AA9" s="16">
        <f t="shared" si="0"/>
        <v>0</v>
      </c>
      <c r="AB9" s="16"/>
      <c r="AC9" s="17"/>
      <c r="AD9" s="48"/>
    </row>
    <row r="10" spans="1:30" ht="19.5" thickBot="1" x14ac:dyDescent="0.3">
      <c r="A10" s="14">
        <v>8</v>
      </c>
      <c r="B10" s="15"/>
      <c r="C10" s="15" t="e">
        <f>VLOOKUP(B10,داتا!$B$3:$D$107,2,FALSE)</f>
        <v>#N/A</v>
      </c>
      <c r="D10" s="34" t="e">
        <f>VLOOKUP(B10,داتا!$B$3:$D$107,3,FALSE)</f>
        <v>#N/A</v>
      </c>
      <c r="E10" s="15"/>
      <c r="F10" s="15"/>
      <c r="G10" s="16">
        <v>0.25</v>
      </c>
      <c r="H10" s="16"/>
      <c r="I10" s="16">
        <f t="shared" si="1"/>
        <v>-0.25</v>
      </c>
      <c r="J10" s="16"/>
      <c r="K10" s="16"/>
      <c r="L10" s="16"/>
      <c r="M10" s="16"/>
      <c r="N10" s="16">
        <f t="shared" si="2"/>
        <v>0</v>
      </c>
      <c r="O10" s="16" t="e">
        <f t="shared" si="3"/>
        <v>#N/A</v>
      </c>
      <c r="P10" s="16">
        <v>6.9444444444444397E-3</v>
      </c>
      <c r="Q10" s="16"/>
      <c r="R10" s="16">
        <f t="shared" si="4"/>
        <v>-6.9444444444444397E-3</v>
      </c>
      <c r="S10" s="16"/>
      <c r="T10" s="16" t="e">
        <f>VLOOKUP(E10,'[2]21-3-2026'!E$3:T$35,16,FALSE)</f>
        <v>#N/A</v>
      </c>
      <c r="U10" s="16"/>
      <c r="V10" s="16" t="e">
        <f t="shared" si="5"/>
        <v>#N/A</v>
      </c>
      <c r="W10" s="16"/>
      <c r="X10" s="16"/>
      <c r="Y10" s="16"/>
      <c r="Z10" s="16">
        <f t="shared" si="6"/>
        <v>0</v>
      </c>
      <c r="AA10" s="16">
        <f t="shared" si="0"/>
        <v>0</v>
      </c>
      <c r="AB10" s="16"/>
      <c r="AC10" s="17"/>
      <c r="AD10" s="48"/>
    </row>
    <row r="11" spans="1:30" ht="19.5" thickBot="1" x14ac:dyDescent="0.3">
      <c r="A11" s="14">
        <v>9</v>
      </c>
      <c r="B11" s="15"/>
      <c r="C11" s="15" t="e">
        <f>VLOOKUP(B11,داتا!$B$3:$D$107,2,FALSE)</f>
        <v>#N/A</v>
      </c>
      <c r="D11" s="34" t="e">
        <f>VLOOKUP(B11,داتا!$B$3:$D$107,3,FALSE)</f>
        <v>#N/A</v>
      </c>
      <c r="E11" s="15"/>
      <c r="F11" s="15"/>
      <c r="G11" s="16">
        <v>0.25</v>
      </c>
      <c r="H11" s="16"/>
      <c r="I11" s="16">
        <f t="shared" si="1"/>
        <v>-0.25</v>
      </c>
      <c r="J11" s="16"/>
      <c r="K11" s="16"/>
      <c r="L11" s="16"/>
      <c r="M11" s="16"/>
      <c r="N11" s="16">
        <f t="shared" si="2"/>
        <v>0</v>
      </c>
      <c r="O11" s="16" t="e">
        <f t="shared" si="3"/>
        <v>#N/A</v>
      </c>
      <c r="P11" s="16">
        <v>6.9444444444444397E-3</v>
      </c>
      <c r="Q11" s="16"/>
      <c r="R11" s="16">
        <f t="shared" si="4"/>
        <v>-6.9444444444444397E-3</v>
      </c>
      <c r="S11" s="16"/>
      <c r="T11" s="16" t="e">
        <f>VLOOKUP(E11,'[2]21-3-2026'!E$3:T$35,16,FALSE)</f>
        <v>#N/A</v>
      </c>
      <c r="U11" s="16"/>
      <c r="V11" s="16" t="e">
        <f t="shared" si="5"/>
        <v>#N/A</v>
      </c>
      <c r="W11" s="16"/>
      <c r="X11" s="16"/>
      <c r="Y11" s="16"/>
      <c r="Z11" s="16">
        <f t="shared" si="6"/>
        <v>0</v>
      </c>
      <c r="AA11" s="16">
        <f t="shared" si="0"/>
        <v>0</v>
      </c>
      <c r="AB11" s="16"/>
      <c r="AC11" s="17"/>
      <c r="AD11" s="48"/>
    </row>
    <row r="12" spans="1:30" ht="19.5" thickBot="1" x14ac:dyDescent="0.3">
      <c r="A12" s="14">
        <v>10</v>
      </c>
      <c r="B12" s="15"/>
      <c r="C12" s="15" t="e">
        <f>VLOOKUP(B12,داتا!$B$3:$D$107,2,FALSE)</f>
        <v>#N/A</v>
      </c>
      <c r="D12" s="34" t="e">
        <f>VLOOKUP(B12,داتا!$B$3:$D$107,3,FALSE)</f>
        <v>#N/A</v>
      </c>
      <c r="E12" s="15"/>
      <c r="F12" s="15"/>
      <c r="G12" s="16">
        <v>0.25</v>
      </c>
      <c r="H12" s="16"/>
      <c r="I12" s="16">
        <f t="shared" si="1"/>
        <v>-0.25</v>
      </c>
      <c r="J12" s="16"/>
      <c r="K12" s="16"/>
      <c r="L12" s="16"/>
      <c r="M12" s="16"/>
      <c r="N12" s="16">
        <f t="shared" si="2"/>
        <v>0</v>
      </c>
      <c r="O12" s="16" t="e">
        <f t="shared" si="3"/>
        <v>#N/A</v>
      </c>
      <c r="P12" s="16">
        <v>6.9444444444444397E-3</v>
      </c>
      <c r="Q12" s="16"/>
      <c r="R12" s="16">
        <f t="shared" si="4"/>
        <v>-6.9444444444444397E-3</v>
      </c>
      <c r="S12" s="16"/>
      <c r="T12" s="16" t="e">
        <f>VLOOKUP(E12,'[2]21-3-2026'!E$3:T$35,16,FALSE)</f>
        <v>#N/A</v>
      </c>
      <c r="U12" s="16"/>
      <c r="V12" s="16" t="e">
        <f t="shared" si="5"/>
        <v>#N/A</v>
      </c>
      <c r="W12" s="16"/>
      <c r="X12" s="16"/>
      <c r="Y12" s="16"/>
      <c r="Z12" s="16">
        <f t="shared" si="6"/>
        <v>0</v>
      </c>
      <c r="AA12" s="16">
        <f t="shared" si="0"/>
        <v>0</v>
      </c>
      <c r="AB12" s="16"/>
      <c r="AC12" s="17"/>
      <c r="AD12" s="48"/>
    </row>
    <row r="13" spans="1:30" ht="19.5" thickBot="1" x14ac:dyDescent="0.3">
      <c r="A13" s="14">
        <v>11</v>
      </c>
      <c r="B13" s="15"/>
      <c r="C13" s="15" t="e">
        <f>VLOOKUP(B13,داتا!$B$3:$D$107,2,FALSE)</f>
        <v>#N/A</v>
      </c>
      <c r="D13" s="34" t="e">
        <f>VLOOKUP(B13,داتا!$B$3:$D$107,3,FALSE)</f>
        <v>#N/A</v>
      </c>
      <c r="E13" s="15"/>
      <c r="F13" s="15"/>
      <c r="G13" s="16">
        <v>0.25</v>
      </c>
      <c r="H13" s="16"/>
      <c r="I13" s="16">
        <f t="shared" si="1"/>
        <v>-0.25</v>
      </c>
      <c r="J13" s="16"/>
      <c r="K13" s="16"/>
      <c r="L13" s="16"/>
      <c r="M13" s="16"/>
      <c r="N13" s="16">
        <f t="shared" si="2"/>
        <v>0</v>
      </c>
      <c r="O13" s="16" t="e">
        <f t="shared" si="3"/>
        <v>#N/A</v>
      </c>
      <c r="P13" s="16">
        <v>6.9444444444444397E-3</v>
      </c>
      <c r="Q13" s="16"/>
      <c r="R13" s="16">
        <f t="shared" si="4"/>
        <v>-6.9444444444444397E-3</v>
      </c>
      <c r="S13" s="16"/>
      <c r="T13" s="16" t="e">
        <f>VLOOKUP(E13,'[2]21-3-2026'!E$3:T$35,16,FALSE)</f>
        <v>#N/A</v>
      </c>
      <c r="U13" s="16"/>
      <c r="V13" s="16" t="e">
        <f t="shared" si="5"/>
        <v>#N/A</v>
      </c>
      <c r="W13" s="16"/>
      <c r="X13" s="16"/>
      <c r="Y13" s="16"/>
      <c r="Z13" s="16">
        <f t="shared" si="6"/>
        <v>0</v>
      </c>
      <c r="AA13" s="16">
        <f t="shared" si="0"/>
        <v>0</v>
      </c>
      <c r="AB13" s="16"/>
      <c r="AC13" s="18"/>
      <c r="AD13" s="48"/>
    </row>
    <row r="14" spans="1:30" ht="19.5" thickBot="1" x14ac:dyDescent="0.3">
      <c r="A14" s="14">
        <v>12</v>
      </c>
      <c r="B14" s="15"/>
      <c r="C14" s="15" t="e">
        <f>VLOOKUP(B14,داتا!$B$3:$D$107,2,FALSE)</f>
        <v>#N/A</v>
      </c>
      <c r="D14" s="34" t="e">
        <f>VLOOKUP(B14,داتا!$B$3:$D$107,3,FALSE)</f>
        <v>#N/A</v>
      </c>
      <c r="E14" s="15"/>
      <c r="F14" s="15"/>
      <c r="G14" s="16">
        <v>0.25</v>
      </c>
      <c r="H14" s="16"/>
      <c r="I14" s="16">
        <f t="shared" si="1"/>
        <v>-0.25</v>
      </c>
      <c r="J14" s="16"/>
      <c r="K14" s="16"/>
      <c r="L14" s="16"/>
      <c r="M14" s="16"/>
      <c r="N14" s="16">
        <f t="shared" si="2"/>
        <v>0</v>
      </c>
      <c r="O14" s="16" t="e">
        <f t="shared" si="3"/>
        <v>#N/A</v>
      </c>
      <c r="P14" s="16">
        <v>6.9444444444444397E-3</v>
      </c>
      <c r="Q14" s="16"/>
      <c r="R14" s="16">
        <f t="shared" si="4"/>
        <v>-6.9444444444444397E-3</v>
      </c>
      <c r="S14" s="16"/>
      <c r="T14" s="16" t="e">
        <f>VLOOKUP(E14,'[2]21-3-2026'!E$3:T$35,16,FALSE)</f>
        <v>#N/A</v>
      </c>
      <c r="U14" s="16"/>
      <c r="V14" s="16" t="e">
        <f t="shared" si="5"/>
        <v>#N/A</v>
      </c>
      <c r="W14" s="16"/>
      <c r="X14" s="16"/>
      <c r="Y14" s="16"/>
      <c r="Z14" s="16">
        <f t="shared" si="6"/>
        <v>0</v>
      </c>
      <c r="AA14" s="16">
        <f t="shared" si="0"/>
        <v>0</v>
      </c>
      <c r="AB14" s="16"/>
      <c r="AC14" s="17"/>
      <c r="AD14" s="48"/>
    </row>
    <row r="15" spans="1:30" ht="19.5" thickBot="1" x14ac:dyDescent="0.3">
      <c r="A15" s="14">
        <v>13</v>
      </c>
      <c r="B15" s="15"/>
      <c r="C15" s="15" t="e">
        <f>VLOOKUP(B15,داتا!$B$3:$D$107,2,FALSE)</f>
        <v>#N/A</v>
      </c>
      <c r="D15" s="34" t="e">
        <f>VLOOKUP(B15,داتا!$B$3:$D$107,3,FALSE)</f>
        <v>#N/A</v>
      </c>
      <c r="E15" s="15"/>
      <c r="F15" s="15"/>
      <c r="G15" s="16">
        <v>0.25</v>
      </c>
      <c r="H15" s="16"/>
      <c r="I15" s="16">
        <f t="shared" si="1"/>
        <v>-0.25</v>
      </c>
      <c r="J15" s="16"/>
      <c r="K15" s="16"/>
      <c r="L15" s="16"/>
      <c r="M15" s="16"/>
      <c r="N15" s="16">
        <f t="shared" si="2"/>
        <v>0</v>
      </c>
      <c r="O15" s="16" t="e">
        <f t="shared" si="3"/>
        <v>#N/A</v>
      </c>
      <c r="P15" s="16">
        <v>6.9444444444444397E-3</v>
      </c>
      <c r="Q15" s="16"/>
      <c r="R15" s="16">
        <f t="shared" si="4"/>
        <v>-6.9444444444444397E-3</v>
      </c>
      <c r="S15" s="16"/>
      <c r="T15" s="16" t="e">
        <f>VLOOKUP(E15,'[2]21-3-2026'!E$3:T$35,16,FALSE)</f>
        <v>#N/A</v>
      </c>
      <c r="U15" s="16"/>
      <c r="V15" s="16" t="e">
        <f t="shared" si="5"/>
        <v>#N/A</v>
      </c>
      <c r="W15" s="16"/>
      <c r="X15" s="16"/>
      <c r="Y15" s="16"/>
      <c r="Z15" s="16">
        <f t="shared" si="6"/>
        <v>0</v>
      </c>
      <c r="AA15" s="16">
        <f t="shared" si="0"/>
        <v>0</v>
      </c>
      <c r="AB15" s="16"/>
      <c r="AC15" s="17"/>
      <c r="AD15" s="48"/>
    </row>
    <row r="16" spans="1:30" ht="19.5" thickBot="1" x14ac:dyDescent="0.3">
      <c r="A16" s="14">
        <v>14</v>
      </c>
      <c r="B16" s="15"/>
      <c r="C16" s="15" t="e">
        <f>VLOOKUP(B16,داتا!$B$3:$D$107,2,FALSE)</f>
        <v>#N/A</v>
      </c>
      <c r="D16" s="34" t="e">
        <f>VLOOKUP(B16,داتا!$B$3:$D$107,3,FALSE)</f>
        <v>#N/A</v>
      </c>
      <c r="E16" s="15"/>
      <c r="F16" s="15"/>
      <c r="G16" s="16">
        <v>0.25</v>
      </c>
      <c r="H16" s="16"/>
      <c r="I16" s="16">
        <f t="shared" si="1"/>
        <v>-0.25</v>
      </c>
      <c r="J16" s="16"/>
      <c r="K16" s="16"/>
      <c r="L16" s="16"/>
      <c r="M16" s="16"/>
      <c r="N16" s="16">
        <f t="shared" si="2"/>
        <v>0</v>
      </c>
      <c r="O16" s="16" t="e">
        <f t="shared" si="3"/>
        <v>#N/A</v>
      </c>
      <c r="P16" s="16">
        <v>6.9444444444444397E-3</v>
      </c>
      <c r="Q16" s="16"/>
      <c r="R16" s="16">
        <f t="shared" si="4"/>
        <v>-6.9444444444444397E-3</v>
      </c>
      <c r="S16" s="16"/>
      <c r="T16" s="16" t="e">
        <f>VLOOKUP(E16,'[2]21-3-2026'!E$3:T$35,16,FALSE)</f>
        <v>#N/A</v>
      </c>
      <c r="U16" s="16"/>
      <c r="V16" s="16" t="e">
        <f t="shared" si="5"/>
        <v>#N/A</v>
      </c>
      <c r="W16" s="16"/>
      <c r="X16" s="16"/>
      <c r="Y16" s="16"/>
      <c r="Z16" s="16">
        <f t="shared" si="6"/>
        <v>0</v>
      </c>
      <c r="AA16" s="16">
        <f t="shared" si="0"/>
        <v>0</v>
      </c>
      <c r="AB16" s="16"/>
      <c r="AC16" s="17"/>
      <c r="AD16" s="48"/>
    </row>
    <row r="17" spans="1:30" ht="19.5" thickBot="1" x14ac:dyDescent="0.3">
      <c r="A17" s="14">
        <v>15</v>
      </c>
      <c r="B17" s="15"/>
      <c r="C17" s="15" t="e">
        <f>VLOOKUP(B17,داتا!$B$3:$D$107,2,FALSE)</f>
        <v>#N/A</v>
      </c>
      <c r="D17" s="34" t="e">
        <f>VLOOKUP(B17,داتا!$B$3:$D$107,3,FALSE)</f>
        <v>#N/A</v>
      </c>
      <c r="E17" s="15"/>
      <c r="F17" s="15"/>
      <c r="G17" s="16">
        <v>0.25</v>
      </c>
      <c r="H17" s="16"/>
      <c r="I17" s="16">
        <f t="shared" si="1"/>
        <v>-0.25</v>
      </c>
      <c r="J17" s="16"/>
      <c r="K17" s="16"/>
      <c r="L17" s="16"/>
      <c r="M17" s="16"/>
      <c r="N17" s="16">
        <f t="shared" si="2"/>
        <v>0</v>
      </c>
      <c r="O17" s="16" t="e">
        <f t="shared" si="3"/>
        <v>#N/A</v>
      </c>
      <c r="P17" s="16">
        <v>6.9444444444444397E-3</v>
      </c>
      <c r="Q17" s="16"/>
      <c r="R17" s="16">
        <f t="shared" si="4"/>
        <v>-6.9444444444444397E-3</v>
      </c>
      <c r="S17" s="16"/>
      <c r="T17" s="16" t="e">
        <f>VLOOKUP(E17,'[2]21-3-2026'!E$3:T$35,16,FALSE)</f>
        <v>#N/A</v>
      </c>
      <c r="U17" s="16"/>
      <c r="V17" s="16" t="e">
        <f t="shared" si="5"/>
        <v>#N/A</v>
      </c>
      <c r="W17" s="16"/>
      <c r="X17" s="16"/>
      <c r="Y17" s="16"/>
      <c r="Z17" s="16">
        <f t="shared" si="6"/>
        <v>0</v>
      </c>
      <c r="AA17" s="16">
        <f t="shared" si="0"/>
        <v>0</v>
      </c>
      <c r="AB17" s="16"/>
      <c r="AC17" s="17"/>
      <c r="AD17" s="48"/>
    </row>
    <row r="18" spans="1:30" ht="19.5" thickBot="1" x14ac:dyDescent="0.3">
      <c r="A18" s="14">
        <v>16</v>
      </c>
      <c r="B18" s="15"/>
      <c r="C18" s="15" t="e">
        <f>VLOOKUP(B18,داتا!$B$3:$D$107,2,FALSE)</f>
        <v>#N/A</v>
      </c>
      <c r="D18" s="34" t="e">
        <f>VLOOKUP(B18,داتا!$B$3:$D$107,3,FALSE)</f>
        <v>#N/A</v>
      </c>
      <c r="E18" s="16"/>
      <c r="F18" s="15"/>
      <c r="G18" s="16">
        <v>0.25</v>
      </c>
      <c r="H18" s="16"/>
      <c r="I18" s="16">
        <f t="shared" si="1"/>
        <v>-0.25</v>
      </c>
      <c r="J18" s="16"/>
      <c r="K18" s="16"/>
      <c r="L18" s="16"/>
      <c r="M18" s="16"/>
      <c r="N18" s="16">
        <f t="shared" si="2"/>
        <v>0</v>
      </c>
      <c r="O18" s="16" t="e">
        <f t="shared" si="3"/>
        <v>#N/A</v>
      </c>
      <c r="P18" s="16">
        <v>6.9444444444444397E-3</v>
      </c>
      <c r="Q18" s="16"/>
      <c r="R18" s="16">
        <f t="shared" si="4"/>
        <v>-6.9444444444444397E-3</v>
      </c>
      <c r="S18" s="16"/>
      <c r="T18" s="16" t="e">
        <f>VLOOKUP(E18,'[2]21-3-2026'!E$3:T$35,16,FALSE)</f>
        <v>#N/A</v>
      </c>
      <c r="U18" s="16"/>
      <c r="V18" s="16" t="e">
        <f t="shared" si="5"/>
        <v>#N/A</v>
      </c>
      <c r="W18" s="16"/>
      <c r="X18" s="16"/>
      <c r="Y18" s="16"/>
      <c r="Z18" s="16">
        <f t="shared" si="6"/>
        <v>0</v>
      </c>
      <c r="AA18" s="16">
        <f t="shared" si="0"/>
        <v>0</v>
      </c>
      <c r="AB18" s="16"/>
      <c r="AC18" s="17"/>
      <c r="AD18" s="48"/>
    </row>
    <row r="19" spans="1:30" ht="19.5" thickBot="1" x14ac:dyDescent="0.3">
      <c r="A19" s="14">
        <v>17</v>
      </c>
      <c r="B19" s="15"/>
      <c r="C19" s="15" t="e">
        <f>VLOOKUP(B19,داتا!$B$3:$D$107,2,FALSE)</f>
        <v>#N/A</v>
      </c>
      <c r="D19" s="34" t="e">
        <f>VLOOKUP(B19,داتا!$B$3:$D$107,3,FALSE)</f>
        <v>#N/A</v>
      </c>
      <c r="E19" s="15"/>
      <c r="F19" s="15"/>
      <c r="G19" s="16">
        <v>0.25</v>
      </c>
      <c r="H19" s="16"/>
      <c r="I19" s="16">
        <f t="shared" si="1"/>
        <v>-0.25</v>
      </c>
      <c r="J19" s="16"/>
      <c r="K19" s="16"/>
      <c r="L19" s="16"/>
      <c r="M19" s="16"/>
      <c r="N19" s="16">
        <f t="shared" si="2"/>
        <v>0</v>
      </c>
      <c r="O19" s="16" t="e">
        <f t="shared" si="3"/>
        <v>#N/A</v>
      </c>
      <c r="P19" s="16">
        <v>6.9444444444444397E-3</v>
      </c>
      <c r="Q19" s="16"/>
      <c r="R19" s="16">
        <f t="shared" si="4"/>
        <v>-6.9444444444444397E-3</v>
      </c>
      <c r="S19" s="16"/>
      <c r="T19" s="16" t="e">
        <f>VLOOKUP(E19,'[2]21-3-2026'!E$3:T$35,16,FALSE)</f>
        <v>#N/A</v>
      </c>
      <c r="U19" s="16"/>
      <c r="V19" s="16" t="e">
        <f t="shared" si="5"/>
        <v>#N/A</v>
      </c>
      <c r="W19" s="16"/>
      <c r="X19" s="16"/>
      <c r="Y19" s="16"/>
      <c r="Z19" s="16">
        <f t="shared" si="6"/>
        <v>0</v>
      </c>
      <c r="AA19" s="16">
        <f t="shared" si="0"/>
        <v>0</v>
      </c>
      <c r="AB19" s="16"/>
      <c r="AC19" s="17"/>
      <c r="AD19" s="48"/>
    </row>
    <row r="20" spans="1:30" ht="19.5" thickBot="1" x14ac:dyDescent="0.3">
      <c r="A20" s="14">
        <v>18</v>
      </c>
      <c r="B20" s="15"/>
      <c r="C20" s="15" t="e">
        <f>VLOOKUP(B20,داتا!$B$3:$D$107,2,FALSE)</f>
        <v>#N/A</v>
      </c>
      <c r="D20" s="34" t="e">
        <f>VLOOKUP(B20,داتا!$B$3:$D$107,3,FALSE)</f>
        <v>#N/A</v>
      </c>
      <c r="E20" s="15"/>
      <c r="F20" s="15"/>
      <c r="G20" s="16">
        <v>0.25</v>
      </c>
      <c r="H20" s="16"/>
      <c r="I20" s="16">
        <f t="shared" si="1"/>
        <v>-0.25</v>
      </c>
      <c r="J20" s="16"/>
      <c r="K20" s="16"/>
      <c r="L20" s="16"/>
      <c r="M20" s="16"/>
      <c r="N20" s="16">
        <f t="shared" si="2"/>
        <v>0</v>
      </c>
      <c r="O20" s="16" t="e">
        <f t="shared" si="3"/>
        <v>#N/A</v>
      </c>
      <c r="P20" s="16">
        <v>6.9444444444444397E-3</v>
      </c>
      <c r="Q20" s="16"/>
      <c r="R20" s="16">
        <f t="shared" si="4"/>
        <v>-6.9444444444444397E-3</v>
      </c>
      <c r="S20" s="16"/>
      <c r="T20" s="16" t="e">
        <f>VLOOKUP(E20,'[2]21-3-2026'!E$3:T$35,16,FALSE)</f>
        <v>#N/A</v>
      </c>
      <c r="U20" s="16"/>
      <c r="V20" s="16" t="e">
        <f t="shared" si="5"/>
        <v>#N/A</v>
      </c>
      <c r="W20" s="16"/>
      <c r="X20" s="16"/>
      <c r="Y20" s="16"/>
      <c r="Z20" s="16">
        <f t="shared" si="6"/>
        <v>0</v>
      </c>
      <c r="AA20" s="16">
        <f t="shared" si="0"/>
        <v>0</v>
      </c>
      <c r="AB20" s="16"/>
      <c r="AC20" s="17"/>
      <c r="AD20" s="48"/>
    </row>
    <row r="21" spans="1:30" ht="19.5" thickBot="1" x14ac:dyDescent="0.3">
      <c r="A21" s="14">
        <v>19</v>
      </c>
      <c r="B21" s="15"/>
      <c r="C21" s="15" t="e">
        <f>VLOOKUP(B21,داتا!$B$3:$D$107,2,FALSE)</f>
        <v>#N/A</v>
      </c>
      <c r="D21" s="34" t="e">
        <f>VLOOKUP(B21,داتا!$B$3:$D$107,3,FALSE)</f>
        <v>#N/A</v>
      </c>
      <c r="E21" s="15"/>
      <c r="F21" s="15"/>
      <c r="G21" s="16">
        <v>0.25</v>
      </c>
      <c r="H21" s="16"/>
      <c r="I21" s="16">
        <f t="shared" si="1"/>
        <v>-0.25</v>
      </c>
      <c r="J21" s="16"/>
      <c r="K21" s="16"/>
      <c r="L21" s="16"/>
      <c r="M21" s="16"/>
      <c r="N21" s="16">
        <f t="shared" si="2"/>
        <v>0</v>
      </c>
      <c r="O21" s="16" t="e">
        <f t="shared" si="3"/>
        <v>#N/A</v>
      </c>
      <c r="P21" s="16">
        <v>6.9444444444444397E-3</v>
      </c>
      <c r="Q21" s="16"/>
      <c r="R21" s="16">
        <f t="shared" si="4"/>
        <v>-6.9444444444444397E-3</v>
      </c>
      <c r="S21" s="16"/>
      <c r="T21" s="16" t="e">
        <f>VLOOKUP(E21,'[2]21-3-2026'!E$3:T$35,16,FALSE)</f>
        <v>#N/A</v>
      </c>
      <c r="U21" s="16"/>
      <c r="V21" s="16" t="e">
        <f t="shared" si="5"/>
        <v>#N/A</v>
      </c>
      <c r="W21" s="16"/>
      <c r="X21" s="16"/>
      <c r="Y21" s="16"/>
      <c r="Z21" s="16">
        <f t="shared" si="6"/>
        <v>0</v>
      </c>
      <c r="AA21" s="16">
        <f t="shared" si="0"/>
        <v>0</v>
      </c>
      <c r="AB21" s="16"/>
      <c r="AC21" s="17"/>
      <c r="AD21" s="48"/>
    </row>
    <row r="22" spans="1:30" ht="19.5" thickBot="1" x14ac:dyDescent="0.3">
      <c r="A22" s="14">
        <v>20</v>
      </c>
      <c r="B22" s="15"/>
      <c r="C22" s="15" t="e">
        <f>VLOOKUP(B22,داتا!$B$3:$D$107,2,FALSE)</f>
        <v>#N/A</v>
      </c>
      <c r="D22" s="34" t="e">
        <f>VLOOKUP(B22,داتا!$B$3:$D$107,3,FALSE)</f>
        <v>#N/A</v>
      </c>
      <c r="E22" s="15"/>
      <c r="F22" s="15"/>
      <c r="G22" s="16">
        <v>0.25</v>
      </c>
      <c r="H22" s="16"/>
      <c r="I22" s="16">
        <f t="shared" si="1"/>
        <v>-0.25</v>
      </c>
      <c r="J22" s="16"/>
      <c r="K22" s="16"/>
      <c r="L22" s="16"/>
      <c r="M22" s="16"/>
      <c r="N22" s="16">
        <f t="shared" si="2"/>
        <v>0</v>
      </c>
      <c r="O22" s="16" t="e">
        <f t="shared" si="3"/>
        <v>#N/A</v>
      </c>
      <c r="P22" s="16">
        <v>6.9444444444444397E-3</v>
      </c>
      <c r="Q22" s="16"/>
      <c r="R22" s="16">
        <f t="shared" si="4"/>
        <v>-6.9444444444444397E-3</v>
      </c>
      <c r="S22" s="16"/>
      <c r="T22" s="16" t="e">
        <f>VLOOKUP(E22,'[2]21-3-2026'!E$3:T$35,16,FALSE)</f>
        <v>#N/A</v>
      </c>
      <c r="U22" s="16"/>
      <c r="V22" s="16" t="e">
        <f t="shared" si="5"/>
        <v>#N/A</v>
      </c>
      <c r="W22" s="16"/>
      <c r="X22" s="16"/>
      <c r="Y22" s="16"/>
      <c r="Z22" s="16">
        <f t="shared" si="6"/>
        <v>0</v>
      </c>
      <c r="AA22" s="16">
        <f t="shared" si="0"/>
        <v>0</v>
      </c>
      <c r="AB22" s="16"/>
      <c r="AC22" s="17"/>
      <c r="AD22" s="48"/>
    </row>
    <row r="23" spans="1:30" ht="19.5" thickBot="1" x14ac:dyDescent="0.3">
      <c r="A23" s="14">
        <v>21</v>
      </c>
      <c r="B23" s="15"/>
      <c r="C23" s="15" t="e">
        <f>VLOOKUP(B23,داتا!$B$3:$D$107,2,FALSE)</f>
        <v>#N/A</v>
      </c>
      <c r="D23" s="34" t="e">
        <f>VLOOKUP(B23,داتا!$B$3:$D$107,3,FALSE)</f>
        <v>#N/A</v>
      </c>
      <c r="E23" s="15"/>
      <c r="F23" s="15"/>
      <c r="G23" s="16">
        <v>0.25</v>
      </c>
      <c r="H23" s="16"/>
      <c r="I23" s="16">
        <f t="shared" si="1"/>
        <v>-0.25</v>
      </c>
      <c r="J23" s="16"/>
      <c r="K23" s="16"/>
      <c r="L23" s="16"/>
      <c r="M23" s="16"/>
      <c r="N23" s="16">
        <f t="shared" si="2"/>
        <v>0</v>
      </c>
      <c r="O23" s="16" t="e">
        <f t="shared" si="3"/>
        <v>#N/A</v>
      </c>
      <c r="P23" s="16">
        <v>6.9444444444444397E-3</v>
      </c>
      <c r="Q23" s="16"/>
      <c r="R23" s="16">
        <f t="shared" si="4"/>
        <v>-6.9444444444444397E-3</v>
      </c>
      <c r="S23" s="16"/>
      <c r="T23" s="16" t="e">
        <f>VLOOKUP(E23,'[2]21-3-2026'!E$3:T$35,16,FALSE)</f>
        <v>#N/A</v>
      </c>
      <c r="U23" s="16"/>
      <c r="V23" s="16" t="e">
        <f t="shared" si="5"/>
        <v>#N/A</v>
      </c>
      <c r="W23" s="16"/>
      <c r="X23" s="16"/>
      <c r="Y23" s="16"/>
      <c r="Z23" s="16">
        <f t="shared" si="6"/>
        <v>0</v>
      </c>
      <c r="AA23" s="16">
        <f t="shared" si="0"/>
        <v>0</v>
      </c>
      <c r="AB23" s="16"/>
      <c r="AC23" s="17"/>
      <c r="AD23" s="48"/>
    </row>
    <row r="24" spans="1:30" ht="19.5" thickBot="1" x14ac:dyDescent="0.3">
      <c r="A24" s="14">
        <v>22</v>
      </c>
      <c r="B24" s="15"/>
      <c r="C24" s="15" t="e">
        <f>VLOOKUP(B24,داتا!$B$3:$D$107,2,FALSE)</f>
        <v>#N/A</v>
      </c>
      <c r="D24" s="34" t="e">
        <f>VLOOKUP(B24,داتا!$B$3:$D$107,3,FALSE)</f>
        <v>#N/A</v>
      </c>
      <c r="E24" s="15"/>
      <c r="F24" s="16"/>
      <c r="G24" s="16">
        <v>0.25</v>
      </c>
      <c r="H24" s="16"/>
      <c r="I24" s="16">
        <f t="shared" si="1"/>
        <v>-0.25</v>
      </c>
      <c r="J24" s="16"/>
      <c r="K24" s="16"/>
      <c r="L24" s="16"/>
      <c r="M24" s="16"/>
      <c r="N24" s="16">
        <f t="shared" si="2"/>
        <v>0</v>
      </c>
      <c r="O24" s="16" t="e">
        <f t="shared" si="3"/>
        <v>#N/A</v>
      </c>
      <c r="P24" s="16">
        <v>6.9444444444444397E-3</v>
      </c>
      <c r="Q24" s="16"/>
      <c r="R24" s="16">
        <f t="shared" si="4"/>
        <v>-6.9444444444444397E-3</v>
      </c>
      <c r="S24" s="16"/>
      <c r="T24" s="16" t="e">
        <f>VLOOKUP(E24,'[2]21-3-2026'!E$3:T$35,16,FALSE)</f>
        <v>#N/A</v>
      </c>
      <c r="U24" s="16"/>
      <c r="V24" s="16" t="e">
        <f t="shared" si="5"/>
        <v>#N/A</v>
      </c>
      <c r="W24" s="16"/>
      <c r="X24" s="16"/>
      <c r="Y24" s="16"/>
      <c r="Z24" s="16">
        <f t="shared" si="6"/>
        <v>0</v>
      </c>
      <c r="AA24" s="16">
        <f t="shared" si="0"/>
        <v>0</v>
      </c>
      <c r="AB24" s="16"/>
      <c r="AC24" s="17"/>
      <c r="AD24" s="48"/>
    </row>
    <row r="25" spans="1:30" ht="19.5" thickBot="1" x14ac:dyDescent="0.3">
      <c r="A25" s="14">
        <v>23</v>
      </c>
      <c r="B25" s="15"/>
      <c r="C25" s="15" t="e">
        <f>VLOOKUP(B25,داتا!$B$3:$D$107,2,FALSE)</f>
        <v>#N/A</v>
      </c>
      <c r="D25" s="34" t="e">
        <f>VLOOKUP(B25,داتا!$B$3:$D$107,3,FALSE)</f>
        <v>#N/A</v>
      </c>
      <c r="E25" s="15"/>
      <c r="F25" s="15"/>
      <c r="G25" s="16">
        <v>0.25</v>
      </c>
      <c r="H25" s="16"/>
      <c r="I25" s="16">
        <f t="shared" si="1"/>
        <v>-0.25</v>
      </c>
      <c r="J25" s="16"/>
      <c r="K25" s="16"/>
      <c r="L25" s="16"/>
      <c r="M25" s="16"/>
      <c r="N25" s="16">
        <f t="shared" si="2"/>
        <v>0</v>
      </c>
      <c r="O25" s="16" t="e">
        <f t="shared" si="3"/>
        <v>#N/A</v>
      </c>
      <c r="P25" s="16">
        <v>6.9444444444444397E-3</v>
      </c>
      <c r="Q25" s="16"/>
      <c r="R25" s="16">
        <f t="shared" si="4"/>
        <v>-6.9444444444444397E-3</v>
      </c>
      <c r="S25" s="16"/>
      <c r="T25" s="16" t="e">
        <f>VLOOKUP(E25,'[2]21-3-2026'!E$3:T$35,16,FALSE)</f>
        <v>#N/A</v>
      </c>
      <c r="U25" s="16"/>
      <c r="V25" s="16" t="e">
        <f t="shared" si="5"/>
        <v>#N/A</v>
      </c>
      <c r="W25" s="16"/>
      <c r="X25" s="16"/>
      <c r="Y25" s="16"/>
      <c r="Z25" s="16">
        <f t="shared" si="6"/>
        <v>0</v>
      </c>
      <c r="AA25" s="16">
        <f t="shared" si="0"/>
        <v>0</v>
      </c>
      <c r="AB25" s="16"/>
      <c r="AC25" s="19"/>
      <c r="AD25" s="48"/>
    </row>
    <row r="26" spans="1:30" ht="19.5" thickBot="1" x14ac:dyDescent="0.3">
      <c r="A26" s="14">
        <v>24</v>
      </c>
      <c r="B26" s="15"/>
      <c r="C26" s="15" t="e">
        <f>VLOOKUP(B26,داتا!$B$3:$D$107,2,FALSE)</f>
        <v>#N/A</v>
      </c>
      <c r="D26" s="34" t="e">
        <f>VLOOKUP(B26,داتا!$B$3:$D$107,3,FALSE)</f>
        <v>#N/A</v>
      </c>
      <c r="E26" s="15"/>
      <c r="F26" s="15"/>
      <c r="G26" s="16">
        <v>0.25</v>
      </c>
      <c r="H26" s="16"/>
      <c r="I26" s="16">
        <f t="shared" si="1"/>
        <v>-0.25</v>
      </c>
      <c r="J26" s="16"/>
      <c r="K26" s="16"/>
      <c r="L26" s="16"/>
      <c r="M26" s="16"/>
      <c r="N26" s="16">
        <f t="shared" si="2"/>
        <v>0</v>
      </c>
      <c r="O26" s="16" t="e">
        <f t="shared" si="3"/>
        <v>#N/A</v>
      </c>
      <c r="P26" s="16">
        <v>6.9444444444444397E-3</v>
      </c>
      <c r="Q26" s="16"/>
      <c r="R26" s="16">
        <f t="shared" si="4"/>
        <v>-6.9444444444444397E-3</v>
      </c>
      <c r="S26" s="16"/>
      <c r="T26" s="16" t="e">
        <f>VLOOKUP(E26,'[2]21-3-2026'!E$3:T$35,16,FALSE)</f>
        <v>#N/A</v>
      </c>
      <c r="U26" s="16"/>
      <c r="V26" s="16" t="e">
        <f t="shared" si="5"/>
        <v>#N/A</v>
      </c>
      <c r="W26" s="16"/>
      <c r="X26" s="16"/>
      <c r="Y26" s="16"/>
      <c r="Z26" s="16">
        <f t="shared" si="6"/>
        <v>0</v>
      </c>
      <c r="AA26" s="16">
        <f t="shared" si="0"/>
        <v>0</v>
      </c>
      <c r="AB26" s="16"/>
      <c r="AC26" s="19"/>
      <c r="AD26" s="48"/>
    </row>
    <row r="27" spans="1:30" ht="19.5" thickBot="1" x14ac:dyDescent="0.3">
      <c r="A27" s="14">
        <v>25</v>
      </c>
      <c r="B27" s="15"/>
      <c r="C27" s="15" t="e">
        <f>VLOOKUP(B27,داتا!$B$3:$D$107,2,FALSE)</f>
        <v>#N/A</v>
      </c>
      <c r="D27" s="34" t="e">
        <f>VLOOKUP(B27,داتا!$B$3:$D$107,3,FALSE)</f>
        <v>#N/A</v>
      </c>
      <c r="E27" s="15"/>
      <c r="F27" s="15"/>
      <c r="G27" s="16">
        <v>0.25</v>
      </c>
      <c r="H27" s="16"/>
      <c r="I27" s="16">
        <f t="shared" si="1"/>
        <v>-0.25</v>
      </c>
      <c r="J27" s="16"/>
      <c r="K27" s="16"/>
      <c r="L27" s="16"/>
      <c r="M27" s="16"/>
      <c r="N27" s="16">
        <f t="shared" si="2"/>
        <v>0</v>
      </c>
      <c r="O27" s="16" t="e">
        <f t="shared" si="3"/>
        <v>#N/A</v>
      </c>
      <c r="P27" s="16">
        <v>6.9444444444444397E-3</v>
      </c>
      <c r="Q27" s="16"/>
      <c r="R27" s="16">
        <f t="shared" si="4"/>
        <v>-6.9444444444444397E-3</v>
      </c>
      <c r="S27" s="16"/>
      <c r="T27" s="16" t="e">
        <f>VLOOKUP(E27,'[2]21-3-2026'!E$3:T$35,16,FALSE)</f>
        <v>#N/A</v>
      </c>
      <c r="U27" s="16"/>
      <c r="V27" s="16" t="e">
        <f t="shared" si="5"/>
        <v>#N/A</v>
      </c>
      <c r="W27" s="16"/>
      <c r="X27" s="16"/>
      <c r="Y27" s="16"/>
      <c r="Z27" s="16">
        <f t="shared" si="6"/>
        <v>0</v>
      </c>
      <c r="AA27" s="16">
        <f t="shared" si="0"/>
        <v>0</v>
      </c>
      <c r="AB27" s="16"/>
      <c r="AC27" s="19"/>
      <c r="AD27" s="48"/>
    </row>
    <row r="28" spans="1:30" ht="19.5" thickBot="1" x14ac:dyDescent="0.3">
      <c r="A28" s="14">
        <v>26</v>
      </c>
      <c r="B28" s="15"/>
      <c r="C28" s="15" t="e">
        <f>VLOOKUP(B28,داتا!$B$3:$D$107,2,FALSE)</f>
        <v>#N/A</v>
      </c>
      <c r="D28" s="34" t="e">
        <f>VLOOKUP(B28,داتا!$B$3:$D$107,3,FALSE)</f>
        <v>#N/A</v>
      </c>
      <c r="E28" s="15"/>
      <c r="F28" s="15"/>
      <c r="G28" s="16">
        <v>0.25</v>
      </c>
      <c r="H28" s="16"/>
      <c r="I28" s="16">
        <f t="shared" si="1"/>
        <v>-0.25</v>
      </c>
      <c r="J28" s="16"/>
      <c r="K28" s="16"/>
      <c r="L28" s="16"/>
      <c r="M28" s="16"/>
      <c r="N28" s="16">
        <f t="shared" si="2"/>
        <v>0</v>
      </c>
      <c r="O28" s="16" t="e">
        <f t="shared" si="3"/>
        <v>#N/A</v>
      </c>
      <c r="P28" s="16">
        <v>6.9444444444444397E-3</v>
      </c>
      <c r="Q28" s="16"/>
      <c r="R28" s="16">
        <f t="shared" si="4"/>
        <v>-6.9444444444444397E-3</v>
      </c>
      <c r="S28" s="16"/>
      <c r="T28" s="16" t="e">
        <f>VLOOKUP(E28,'[2]21-3-2026'!E$3:T$35,16,FALSE)</f>
        <v>#N/A</v>
      </c>
      <c r="U28" s="16"/>
      <c r="V28" s="16" t="e">
        <f t="shared" si="5"/>
        <v>#N/A</v>
      </c>
      <c r="W28" s="16"/>
      <c r="X28" s="16"/>
      <c r="Y28" s="16"/>
      <c r="Z28" s="16">
        <f t="shared" si="6"/>
        <v>0</v>
      </c>
      <c r="AA28" s="16">
        <f t="shared" si="0"/>
        <v>0</v>
      </c>
      <c r="AB28" s="16"/>
      <c r="AC28" s="17"/>
      <c r="AD28" s="48"/>
    </row>
    <row r="29" spans="1:30" ht="19.5" thickBot="1" x14ac:dyDescent="0.3">
      <c r="A29" s="14">
        <v>27</v>
      </c>
      <c r="B29" s="15"/>
      <c r="C29" s="15" t="e">
        <f>VLOOKUP(B29,داتا!$B$3:$D$107,2,FALSE)</f>
        <v>#N/A</v>
      </c>
      <c r="D29" s="34" t="e">
        <f>VLOOKUP(B29,داتا!$B$3:$D$107,3,FALSE)</f>
        <v>#N/A</v>
      </c>
      <c r="E29" s="15"/>
      <c r="F29" s="15"/>
      <c r="G29" s="16">
        <v>0.25</v>
      </c>
      <c r="H29" s="16"/>
      <c r="I29" s="16">
        <f t="shared" si="1"/>
        <v>-0.25</v>
      </c>
      <c r="J29" s="16"/>
      <c r="K29" s="16"/>
      <c r="L29" s="16"/>
      <c r="M29" s="16"/>
      <c r="N29" s="16">
        <f t="shared" si="2"/>
        <v>0</v>
      </c>
      <c r="O29" s="16" t="e">
        <f t="shared" si="3"/>
        <v>#N/A</v>
      </c>
      <c r="P29" s="16">
        <v>6.9444444444444397E-3</v>
      </c>
      <c r="Q29" s="16"/>
      <c r="R29" s="16">
        <f t="shared" si="4"/>
        <v>-6.9444444444444397E-3</v>
      </c>
      <c r="S29" s="16"/>
      <c r="T29" s="16" t="e">
        <f>VLOOKUP(E29,'[2]21-3-2026'!E$3:T$35,16,FALSE)</f>
        <v>#N/A</v>
      </c>
      <c r="U29" s="16"/>
      <c r="V29" s="16" t="e">
        <f t="shared" si="5"/>
        <v>#N/A</v>
      </c>
      <c r="W29" s="16"/>
      <c r="X29" s="16"/>
      <c r="Y29" s="16"/>
      <c r="Z29" s="16">
        <f t="shared" si="6"/>
        <v>0</v>
      </c>
      <c r="AA29" s="16">
        <f t="shared" si="0"/>
        <v>0</v>
      </c>
      <c r="AB29" s="16"/>
      <c r="AC29" s="18"/>
      <c r="AD29" s="48"/>
    </row>
    <row r="30" spans="1:30" ht="19.5" thickBot="1" x14ac:dyDescent="0.3">
      <c r="A30" s="14">
        <v>28</v>
      </c>
      <c r="B30" s="15"/>
      <c r="C30" s="15" t="e">
        <f>VLOOKUP(B30,داتا!$B$3:$D$107,2,FALSE)</f>
        <v>#N/A</v>
      </c>
      <c r="D30" s="34" t="e">
        <f>VLOOKUP(B30,داتا!$B$3:$D$107,3,FALSE)</f>
        <v>#N/A</v>
      </c>
      <c r="E30" s="15"/>
      <c r="F30" s="15"/>
      <c r="G30" s="16">
        <v>0.25</v>
      </c>
      <c r="H30" s="16"/>
      <c r="I30" s="16">
        <f t="shared" si="1"/>
        <v>-0.25</v>
      </c>
      <c r="J30" s="16"/>
      <c r="K30" s="16"/>
      <c r="L30" s="16"/>
      <c r="M30" s="16"/>
      <c r="N30" s="16">
        <f t="shared" si="2"/>
        <v>0</v>
      </c>
      <c r="O30" s="16" t="e">
        <f t="shared" si="3"/>
        <v>#N/A</v>
      </c>
      <c r="P30" s="16">
        <v>6.9444444444444397E-3</v>
      </c>
      <c r="Q30" s="16"/>
      <c r="R30" s="16">
        <f t="shared" si="4"/>
        <v>-6.9444444444444397E-3</v>
      </c>
      <c r="S30" s="16"/>
      <c r="T30" s="16" t="e">
        <f>VLOOKUP(E30,'[2]21-3-2026'!E$3:T$35,16,FALSE)</f>
        <v>#N/A</v>
      </c>
      <c r="U30" s="16"/>
      <c r="V30" s="16" t="e">
        <f t="shared" si="5"/>
        <v>#N/A</v>
      </c>
      <c r="W30" s="16"/>
      <c r="X30" s="16"/>
      <c r="Y30" s="16"/>
      <c r="Z30" s="16">
        <f t="shared" si="6"/>
        <v>0</v>
      </c>
      <c r="AA30" s="16">
        <f t="shared" si="0"/>
        <v>0</v>
      </c>
      <c r="AB30" s="16"/>
      <c r="AC30" s="17"/>
      <c r="AD30" s="48"/>
    </row>
    <row r="31" spans="1:30" ht="19.5" thickBot="1" x14ac:dyDescent="0.3">
      <c r="A31" s="14">
        <v>29</v>
      </c>
      <c r="B31" s="15"/>
      <c r="C31" s="15" t="e">
        <f>VLOOKUP(B31,داتا!$B$3:$D$107,2,FALSE)</f>
        <v>#N/A</v>
      </c>
      <c r="D31" s="34" t="e">
        <f>VLOOKUP(B31,داتا!$B$3:$D$107,3,FALSE)</f>
        <v>#N/A</v>
      </c>
      <c r="E31" s="15"/>
      <c r="F31" s="15"/>
      <c r="G31" s="16">
        <v>0.25</v>
      </c>
      <c r="H31" s="16"/>
      <c r="I31" s="16">
        <f t="shared" si="1"/>
        <v>-0.25</v>
      </c>
      <c r="J31" s="16"/>
      <c r="K31" s="16"/>
      <c r="L31" s="16"/>
      <c r="M31" s="16"/>
      <c r="N31" s="16">
        <f t="shared" si="2"/>
        <v>0</v>
      </c>
      <c r="O31" s="16" t="e">
        <f t="shared" si="3"/>
        <v>#N/A</v>
      </c>
      <c r="P31" s="16">
        <v>6.9444444444444397E-3</v>
      </c>
      <c r="Q31" s="16"/>
      <c r="R31" s="16">
        <f t="shared" si="4"/>
        <v>-6.9444444444444397E-3</v>
      </c>
      <c r="S31" s="16"/>
      <c r="T31" s="16" t="e">
        <f>VLOOKUP(E31,'[2]21-3-2026'!E$3:T$35,16,FALSE)</f>
        <v>#N/A</v>
      </c>
      <c r="U31" s="16"/>
      <c r="V31" s="16" t="e">
        <f t="shared" si="5"/>
        <v>#N/A</v>
      </c>
      <c r="W31" s="16"/>
      <c r="X31" s="16"/>
      <c r="Y31" s="16"/>
      <c r="Z31" s="16">
        <f t="shared" si="6"/>
        <v>0</v>
      </c>
      <c r="AA31" s="16">
        <f t="shared" si="0"/>
        <v>0</v>
      </c>
      <c r="AB31" s="16"/>
      <c r="AC31" s="17"/>
      <c r="AD31" s="48"/>
    </row>
    <row r="32" spans="1:30" ht="19.5" thickBot="1" x14ac:dyDescent="0.3">
      <c r="A32" s="14">
        <v>30</v>
      </c>
      <c r="B32" s="15"/>
      <c r="C32" s="15" t="e">
        <f>VLOOKUP(B32,داتا!$B$3:$D$107,2,FALSE)</f>
        <v>#N/A</v>
      </c>
      <c r="D32" s="34" t="e">
        <f>VLOOKUP(B32,داتا!$B$3:$D$107,3,FALSE)</f>
        <v>#N/A</v>
      </c>
      <c r="E32" s="15"/>
      <c r="F32" s="15"/>
      <c r="G32" s="16">
        <v>0.25</v>
      </c>
      <c r="H32" s="16"/>
      <c r="I32" s="16">
        <f t="shared" si="1"/>
        <v>-0.25</v>
      </c>
      <c r="J32" s="16"/>
      <c r="K32" s="16"/>
      <c r="L32" s="16"/>
      <c r="M32" s="16"/>
      <c r="N32" s="16">
        <f t="shared" si="2"/>
        <v>0</v>
      </c>
      <c r="O32" s="16" t="e">
        <f t="shared" si="3"/>
        <v>#N/A</v>
      </c>
      <c r="P32" s="16">
        <v>6.9444444444444397E-3</v>
      </c>
      <c r="Q32" s="16"/>
      <c r="R32" s="16">
        <f t="shared" si="4"/>
        <v>-6.9444444444444397E-3</v>
      </c>
      <c r="S32" s="16"/>
      <c r="T32" s="16" t="e">
        <f>VLOOKUP(E32,'[2]21-3-2026'!E$3:T$35,16,FALSE)</f>
        <v>#N/A</v>
      </c>
      <c r="U32" s="16"/>
      <c r="V32" s="16" t="e">
        <f t="shared" si="5"/>
        <v>#N/A</v>
      </c>
      <c r="W32" s="16"/>
      <c r="X32" s="16"/>
      <c r="Y32" s="16"/>
      <c r="Z32" s="16">
        <f t="shared" si="6"/>
        <v>0</v>
      </c>
      <c r="AA32" s="16">
        <f t="shared" si="0"/>
        <v>0</v>
      </c>
      <c r="AB32" s="16"/>
      <c r="AC32" s="17"/>
      <c r="AD32" s="48"/>
    </row>
    <row r="33" spans="1:30" ht="19.5" thickBot="1" x14ac:dyDescent="0.3">
      <c r="A33" s="14">
        <v>31</v>
      </c>
      <c r="B33" s="15"/>
      <c r="C33" s="15" t="e">
        <f>VLOOKUP(B33,داتا!$B$3:$D$107,2,FALSE)</f>
        <v>#N/A</v>
      </c>
      <c r="D33" s="34" t="e">
        <f>VLOOKUP(B33,داتا!$B$3:$D$107,3,FALSE)</f>
        <v>#N/A</v>
      </c>
      <c r="E33" s="15"/>
      <c r="F33" s="15"/>
      <c r="G33" s="16">
        <v>0.25</v>
      </c>
      <c r="H33" s="16"/>
      <c r="I33" s="16">
        <f t="shared" si="1"/>
        <v>-0.25</v>
      </c>
      <c r="J33" s="16"/>
      <c r="K33" s="16"/>
      <c r="L33" s="16"/>
      <c r="M33" s="16"/>
      <c r="N33" s="16">
        <f t="shared" si="2"/>
        <v>0</v>
      </c>
      <c r="O33" s="16" t="e">
        <f t="shared" si="3"/>
        <v>#N/A</v>
      </c>
      <c r="P33" s="16">
        <v>6.9444444444444397E-3</v>
      </c>
      <c r="Q33" s="16"/>
      <c r="R33" s="16">
        <f t="shared" si="4"/>
        <v>-6.9444444444444397E-3</v>
      </c>
      <c r="S33" s="16"/>
      <c r="T33" s="16" t="e">
        <f>VLOOKUP(E33,'[2]21-3-2026'!E$3:T$35,16,FALSE)</f>
        <v>#N/A</v>
      </c>
      <c r="U33" s="16"/>
      <c r="V33" s="16" t="e">
        <f t="shared" si="5"/>
        <v>#N/A</v>
      </c>
      <c r="W33" s="16"/>
      <c r="X33" s="16"/>
      <c r="Y33" s="16"/>
      <c r="Z33" s="16">
        <f t="shared" si="6"/>
        <v>0</v>
      </c>
      <c r="AA33" s="16">
        <f t="shared" si="0"/>
        <v>0</v>
      </c>
      <c r="AB33" s="16"/>
      <c r="AC33" s="17"/>
      <c r="AD33" s="48"/>
    </row>
    <row r="34" spans="1:30" ht="19.5" thickBot="1" x14ac:dyDescent="0.3">
      <c r="A34" s="14">
        <v>32</v>
      </c>
      <c r="B34" s="15"/>
      <c r="C34" s="15" t="e">
        <f>VLOOKUP(B34,داتا!$B$3:$D$107,2,FALSE)</f>
        <v>#N/A</v>
      </c>
      <c r="D34" s="34" t="e">
        <f>VLOOKUP(B34,داتا!$B$3:$D$107,3,FALSE)</f>
        <v>#N/A</v>
      </c>
      <c r="E34" s="15"/>
      <c r="F34" s="15"/>
      <c r="G34" s="16">
        <v>0.25</v>
      </c>
      <c r="H34" s="16"/>
      <c r="I34" s="16">
        <f t="shared" si="1"/>
        <v>-0.25</v>
      </c>
      <c r="J34" s="16"/>
      <c r="K34" s="16"/>
      <c r="L34" s="16"/>
      <c r="M34" s="16"/>
      <c r="N34" s="16">
        <f t="shared" si="2"/>
        <v>0</v>
      </c>
      <c r="O34" s="16" t="e">
        <f t="shared" si="3"/>
        <v>#N/A</v>
      </c>
      <c r="P34" s="16">
        <v>6.9444444444444397E-3</v>
      </c>
      <c r="Q34" s="16"/>
      <c r="R34" s="16">
        <f t="shared" si="4"/>
        <v>-6.9444444444444397E-3</v>
      </c>
      <c r="S34" s="16"/>
      <c r="T34" s="16" t="e">
        <f>VLOOKUP(E34,'[2]21-3-2026'!E$3:T$35,16,FALSE)</f>
        <v>#N/A</v>
      </c>
      <c r="U34" s="16"/>
      <c r="V34" s="16" t="e">
        <f t="shared" si="5"/>
        <v>#N/A</v>
      </c>
      <c r="W34" s="16"/>
      <c r="X34" s="16"/>
      <c r="Y34" s="16"/>
      <c r="Z34" s="16">
        <f t="shared" si="6"/>
        <v>0</v>
      </c>
      <c r="AA34" s="16">
        <f t="shared" si="0"/>
        <v>0</v>
      </c>
      <c r="AB34" s="16"/>
      <c r="AC34" s="17"/>
      <c r="AD34" s="48"/>
    </row>
    <row r="35" spans="1:30" ht="19.5" thickBot="1" x14ac:dyDescent="0.3">
      <c r="A35" s="20">
        <v>33</v>
      </c>
      <c r="B35" s="21"/>
      <c r="C35" s="21" t="e">
        <f>VLOOKUP(B35,داتا!$B$3:$D$107,2,FALSE)</f>
        <v>#N/A</v>
      </c>
      <c r="D35" s="35" t="e">
        <f>VLOOKUP(B35,داتا!$B$3:$D$107,3,FALSE)</f>
        <v>#N/A</v>
      </c>
      <c r="E35" s="21"/>
      <c r="F35" s="21"/>
      <c r="G35" s="22">
        <v>0.25</v>
      </c>
      <c r="H35" s="22"/>
      <c r="I35" s="22">
        <f t="shared" si="1"/>
        <v>-0.25</v>
      </c>
      <c r="J35" s="22"/>
      <c r="K35" s="22"/>
      <c r="L35" s="22"/>
      <c r="M35" s="22"/>
      <c r="N35" s="22">
        <f t="shared" si="2"/>
        <v>0</v>
      </c>
      <c r="O35" s="22" t="e">
        <f t="shared" si="3"/>
        <v>#N/A</v>
      </c>
      <c r="P35" s="22">
        <v>6.9444444444444397E-3</v>
      </c>
      <c r="Q35" s="22"/>
      <c r="R35" s="22">
        <f t="shared" si="4"/>
        <v>-6.9444444444444397E-3</v>
      </c>
      <c r="S35" s="22"/>
      <c r="T35" s="22" t="e">
        <f>VLOOKUP(E35,'[2]21-3-2026'!E$3:T$35,16,FALSE)</f>
        <v>#N/A</v>
      </c>
      <c r="U35" s="22"/>
      <c r="V35" s="22" t="e">
        <f t="shared" si="5"/>
        <v>#N/A</v>
      </c>
      <c r="W35" s="22"/>
      <c r="X35" s="22"/>
      <c r="Y35" s="22"/>
      <c r="Z35" s="22">
        <f t="shared" si="6"/>
        <v>0</v>
      </c>
      <c r="AA35" s="22">
        <f t="shared" si="0"/>
        <v>0</v>
      </c>
      <c r="AB35" s="22"/>
      <c r="AC35" s="23"/>
      <c r="AD35" s="49"/>
    </row>
    <row r="36" spans="1:30" ht="20.25" customHeight="1" thickTop="1" thickBot="1" x14ac:dyDescent="0.3">
      <c r="A36" s="10">
        <v>1</v>
      </c>
      <c r="B36" s="11"/>
      <c r="C36" s="11" t="e">
        <f>VLOOKUP(B36,داتا!$B$3:$D$107,2,FALSE)</f>
        <v>#N/A</v>
      </c>
      <c r="D36" s="33" t="e">
        <f>VLOOKUP(B36,داتا!$B$3:$D$107,3,FALSE)</f>
        <v>#N/A</v>
      </c>
      <c r="E36" s="11"/>
      <c r="F36" s="11"/>
      <c r="G36" s="12">
        <v>0.25</v>
      </c>
      <c r="H36" s="12" t="e">
        <f>VLOOKUP(G36,$F$3:$I$35,2,FALSE)</f>
        <v>#N/A</v>
      </c>
      <c r="I36" s="12" t="e">
        <f t="shared" si="1"/>
        <v>#N/A</v>
      </c>
      <c r="J36" s="12"/>
      <c r="K36" s="12"/>
      <c r="L36" s="12"/>
      <c r="M36" s="12"/>
      <c r="N36" s="12">
        <f t="shared" si="2"/>
        <v>0</v>
      </c>
      <c r="O36" s="12" t="e">
        <f t="shared" si="3"/>
        <v>#N/A</v>
      </c>
      <c r="P36" s="12">
        <v>6.9444444444444397E-3</v>
      </c>
      <c r="Q36" s="12"/>
      <c r="R36" s="12">
        <f t="shared" si="4"/>
        <v>-6.9444444444444397E-3</v>
      </c>
      <c r="S36" s="12"/>
      <c r="T36" s="12" t="e">
        <f>VLOOKUP(E36,'[2]21-3-2026'!E$3:T$35,16,FALSE)</f>
        <v>#N/A</v>
      </c>
      <c r="U36" s="12"/>
      <c r="V36" s="12" t="e">
        <f t="shared" si="5"/>
        <v>#N/A</v>
      </c>
      <c r="W36" s="12"/>
      <c r="X36" s="12"/>
      <c r="Y36" s="12"/>
      <c r="Z36" s="12">
        <f t="shared" si="6"/>
        <v>0</v>
      </c>
      <c r="AA36" s="12">
        <f t="shared" si="0"/>
        <v>0</v>
      </c>
      <c r="AB36" s="12"/>
      <c r="AC36" s="29"/>
      <c r="AD36" s="50" t="s">
        <v>104</v>
      </c>
    </row>
    <row r="37" spans="1:30" ht="19.5" thickBot="1" x14ac:dyDescent="0.3">
      <c r="A37" s="14">
        <v>2</v>
      </c>
      <c r="B37" s="15"/>
      <c r="C37" s="15" t="e">
        <f>VLOOKUP(B37,داتا!$B$3:$D$107,2,FALSE)</f>
        <v>#N/A</v>
      </c>
      <c r="D37" s="34" t="e">
        <f>VLOOKUP(B37,داتا!$B$3:$D$107,3,FALSE)</f>
        <v>#N/A</v>
      </c>
      <c r="E37" s="15"/>
      <c r="F37" s="15"/>
      <c r="G37" s="16">
        <v>0.25</v>
      </c>
      <c r="H37" s="16" t="e">
        <f t="shared" ref="H37:H52" si="7">VLOOKUP(G37,$F$3:$I$35,2,FALSE)</f>
        <v>#N/A</v>
      </c>
      <c r="I37" s="16" t="e">
        <f t="shared" si="1"/>
        <v>#N/A</v>
      </c>
      <c r="J37" s="16"/>
      <c r="K37" s="16"/>
      <c r="L37" s="16"/>
      <c r="M37" s="16"/>
      <c r="N37" s="16">
        <f t="shared" si="2"/>
        <v>0</v>
      </c>
      <c r="O37" s="16" t="e">
        <f t="shared" si="3"/>
        <v>#N/A</v>
      </c>
      <c r="P37" s="16">
        <v>6.9444444444444397E-3</v>
      </c>
      <c r="Q37" s="16"/>
      <c r="R37" s="16">
        <f t="shared" si="4"/>
        <v>-6.9444444444444397E-3</v>
      </c>
      <c r="S37" s="16"/>
      <c r="T37" s="16" t="e">
        <f>VLOOKUP(E37,'[2]21-3-2026'!E$3:T$35,16,FALSE)</f>
        <v>#N/A</v>
      </c>
      <c r="U37" s="16"/>
      <c r="V37" s="16" t="e">
        <f t="shared" si="5"/>
        <v>#N/A</v>
      </c>
      <c r="W37" s="16"/>
      <c r="X37" s="16"/>
      <c r="Y37" s="16"/>
      <c r="Z37" s="16">
        <f t="shared" si="6"/>
        <v>0</v>
      </c>
      <c r="AA37" s="16">
        <f t="shared" si="0"/>
        <v>0</v>
      </c>
      <c r="AB37" s="16"/>
      <c r="AC37" s="19"/>
      <c r="AD37" s="51"/>
    </row>
    <row r="38" spans="1:30" ht="19.5" thickBot="1" x14ac:dyDescent="0.3">
      <c r="A38" s="14">
        <v>3</v>
      </c>
      <c r="B38" s="15"/>
      <c r="C38" s="15" t="e">
        <f>VLOOKUP(B38,داتا!$B$3:$D$107,2,FALSE)</f>
        <v>#N/A</v>
      </c>
      <c r="D38" s="34" t="e">
        <f>VLOOKUP(B38,داتا!$B$3:$D$107,3,FALSE)</f>
        <v>#N/A</v>
      </c>
      <c r="E38" s="15"/>
      <c r="F38" s="15"/>
      <c r="G38" s="16">
        <v>0.25</v>
      </c>
      <c r="H38" s="16" t="e">
        <f t="shared" si="7"/>
        <v>#N/A</v>
      </c>
      <c r="I38" s="16" t="e">
        <f t="shared" si="1"/>
        <v>#N/A</v>
      </c>
      <c r="J38" s="16"/>
      <c r="K38" s="16"/>
      <c r="L38" s="16"/>
      <c r="M38" s="16"/>
      <c r="N38" s="16">
        <f t="shared" si="2"/>
        <v>0</v>
      </c>
      <c r="O38" s="16" t="e">
        <f t="shared" si="3"/>
        <v>#N/A</v>
      </c>
      <c r="P38" s="16">
        <v>6.9444444444444397E-3</v>
      </c>
      <c r="Q38" s="16"/>
      <c r="R38" s="16">
        <f t="shared" si="4"/>
        <v>-6.9444444444444397E-3</v>
      </c>
      <c r="S38" s="16"/>
      <c r="T38" s="16" t="e">
        <f>VLOOKUP(E38,'[2]21-3-2026'!E$3:T$35,16,FALSE)</f>
        <v>#N/A</v>
      </c>
      <c r="U38" s="16"/>
      <c r="V38" s="16" t="e">
        <f t="shared" si="5"/>
        <v>#N/A</v>
      </c>
      <c r="W38" s="16"/>
      <c r="X38" s="16"/>
      <c r="Y38" s="16"/>
      <c r="Z38" s="16">
        <f t="shared" si="6"/>
        <v>0</v>
      </c>
      <c r="AA38" s="16">
        <f t="shared" si="0"/>
        <v>0</v>
      </c>
      <c r="AB38" s="16"/>
      <c r="AC38" s="19"/>
      <c r="AD38" s="51"/>
    </row>
    <row r="39" spans="1:30" ht="19.5" thickBot="1" x14ac:dyDescent="0.3">
      <c r="A39" s="14">
        <v>4</v>
      </c>
      <c r="B39" s="15"/>
      <c r="C39" s="15" t="e">
        <f>VLOOKUP(B39,داتا!$B$3:$D$107,2,FALSE)</f>
        <v>#N/A</v>
      </c>
      <c r="D39" s="34" t="e">
        <f>VLOOKUP(B39,داتا!$B$3:$D$107,3,FALSE)</f>
        <v>#N/A</v>
      </c>
      <c r="E39" s="15"/>
      <c r="F39" s="15"/>
      <c r="G39" s="16">
        <v>0.25</v>
      </c>
      <c r="H39" s="16" t="e">
        <f t="shared" si="7"/>
        <v>#N/A</v>
      </c>
      <c r="I39" s="16" t="e">
        <f t="shared" si="1"/>
        <v>#N/A</v>
      </c>
      <c r="J39" s="16"/>
      <c r="K39" s="16"/>
      <c r="L39" s="16"/>
      <c r="M39" s="16"/>
      <c r="N39" s="16">
        <f t="shared" si="2"/>
        <v>0</v>
      </c>
      <c r="O39" s="16" t="e">
        <f t="shared" si="3"/>
        <v>#N/A</v>
      </c>
      <c r="P39" s="16">
        <v>6.9444444444444397E-3</v>
      </c>
      <c r="Q39" s="16"/>
      <c r="R39" s="16">
        <f t="shared" si="4"/>
        <v>-6.9444444444444397E-3</v>
      </c>
      <c r="S39" s="16"/>
      <c r="T39" s="16" t="e">
        <f>VLOOKUP(E39,'[2]21-3-2026'!E$3:T$35,16,FALSE)</f>
        <v>#N/A</v>
      </c>
      <c r="U39" s="16"/>
      <c r="V39" s="16" t="e">
        <f t="shared" si="5"/>
        <v>#N/A</v>
      </c>
      <c r="W39" s="16"/>
      <c r="X39" s="16"/>
      <c r="Y39" s="16"/>
      <c r="Z39" s="16">
        <f t="shared" si="6"/>
        <v>0</v>
      </c>
      <c r="AA39" s="16">
        <f t="shared" si="0"/>
        <v>0</v>
      </c>
      <c r="AB39" s="16"/>
      <c r="AC39" s="17"/>
      <c r="AD39" s="51"/>
    </row>
    <row r="40" spans="1:30" ht="19.5" thickBot="1" x14ac:dyDescent="0.3">
      <c r="A40" s="14">
        <v>5</v>
      </c>
      <c r="B40" s="15"/>
      <c r="C40" s="15" t="e">
        <f>VLOOKUP(B40,داتا!$B$3:$D$107,2,FALSE)</f>
        <v>#N/A</v>
      </c>
      <c r="D40" s="34" t="e">
        <f>VLOOKUP(B40,داتا!$B$3:$D$107,3,FALSE)</f>
        <v>#N/A</v>
      </c>
      <c r="E40" s="15"/>
      <c r="F40" s="15"/>
      <c r="G40" s="16">
        <v>0.25</v>
      </c>
      <c r="H40" s="16" t="e">
        <f t="shared" si="7"/>
        <v>#N/A</v>
      </c>
      <c r="I40" s="16" t="e">
        <f t="shared" si="1"/>
        <v>#N/A</v>
      </c>
      <c r="J40" s="16"/>
      <c r="K40" s="16"/>
      <c r="L40" s="16"/>
      <c r="M40" s="16"/>
      <c r="N40" s="16">
        <f t="shared" si="2"/>
        <v>0</v>
      </c>
      <c r="O40" s="16" t="e">
        <f t="shared" si="3"/>
        <v>#N/A</v>
      </c>
      <c r="P40" s="16">
        <v>6.9444444444444397E-3</v>
      </c>
      <c r="Q40" s="16"/>
      <c r="R40" s="16">
        <f t="shared" si="4"/>
        <v>-6.9444444444444397E-3</v>
      </c>
      <c r="S40" s="16"/>
      <c r="T40" s="16" t="e">
        <f>VLOOKUP(E40,'[2]21-3-2026'!E$3:T$35,16,FALSE)</f>
        <v>#N/A</v>
      </c>
      <c r="U40" s="16"/>
      <c r="V40" s="16" t="e">
        <f t="shared" si="5"/>
        <v>#N/A</v>
      </c>
      <c r="W40" s="16"/>
      <c r="X40" s="16"/>
      <c r="Y40" s="16"/>
      <c r="Z40" s="16">
        <f t="shared" si="6"/>
        <v>0</v>
      </c>
      <c r="AA40" s="16">
        <f t="shared" si="0"/>
        <v>0</v>
      </c>
      <c r="AB40" s="16"/>
      <c r="AC40" s="17"/>
      <c r="AD40" s="51"/>
    </row>
    <row r="41" spans="1:30" ht="19.5" thickBot="1" x14ac:dyDescent="0.3">
      <c r="A41" s="14">
        <v>6</v>
      </c>
      <c r="B41" s="15"/>
      <c r="C41" s="15" t="e">
        <f>VLOOKUP(B41,داتا!$B$3:$D$107,2,FALSE)</f>
        <v>#N/A</v>
      </c>
      <c r="D41" s="34" t="e">
        <f>VLOOKUP(B41,داتا!$B$3:$D$107,3,FALSE)</f>
        <v>#N/A</v>
      </c>
      <c r="E41" s="15"/>
      <c r="F41" s="15"/>
      <c r="G41" s="16">
        <v>0.25</v>
      </c>
      <c r="H41" s="16" t="e">
        <f t="shared" si="7"/>
        <v>#N/A</v>
      </c>
      <c r="I41" s="16" t="e">
        <f t="shared" si="1"/>
        <v>#N/A</v>
      </c>
      <c r="J41" s="16"/>
      <c r="K41" s="16"/>
      <c r="L41" s="16"/>
      <c r="M41" s="16"/>
      <c r="N41" s="16">
        <f t="shared" si="2"/>
        <v>0</v>
      </c>
      <c r="O41" s="16" t="e">
        <f t="shared" si="3"/>
        <v>#N/A</v>
      </c>
      <c r="P41" s="16">
        <v>6.9444444444444397E-3</v>
      </c>
      <c r="Q41" s="16"/>
      <c r="R41" s="16">
        <f t="shared" si="4"/>
        <v>-6.9444444444444397E-3</v>
      </c>
      <c r="S41" s="16"/>
      <c r="T41" s="16" t="e">
        <f>VLOOKUP(E41,'[2]21-3-2026'!E$3:T$35,16,FALSE)</f>
        <v>#N/A</v>
      </c>
      <c r="U41" s="16"/>
      <c r="V41" s="16" t="e">
        <f t="shared" si="5"/>
        <v>#N/A</v>
      </c>
      <c r="W41" s="16"/>
      <c r="X41" s="16"/>
      <c r="Y41" s="16"/>
      <c r="Z41" s="16">
        <f t="shared" si="6"/>
        <v>0</v>
      </c>
      <c r="AA41" s="16">
        <f t="shared" si="0"/>
        <v>0</v>
      </c>
      <c r="AB41" s="16"/>
      <c r="AC41" s="17"/>
      <c r="AD41" s="51"/>
    </row>
    <row r="42" spans="1:30" ht="19.5" thickBot="1" x14ac:dyDescent="0.3">
      <c r="A42" s="14">
        <v>7</v>
      </c>
      <c r="B42" s="15"/>
      <c r="C42" s="15" t="e">
        <f>VLOOKUP(B42,داتا!$B$3:$D$107,2,FALSE)</f>
        <v>#N/A</v>
      </c>
      <c r="D42" s="34" t="e">
        <f>VLOOKUP(B42,داتا!$B$3:$D$107,3,FALSE)</f>
        <v>#N/A</v>
      </c>
      <c r="E42" s="15"/>
      <c r="F42" s="15"/>
      <c r="G42" s="16">
        <v>0.25</v>
      </c>
      <c r="H42" s="16" t="e">
        <f t="shared" si="7"/>
        <v>#N/A</v>
      </c>
      <c r="I42" s="16" t="e">
        <f t="shared" si="1"/>
        <v>#N/A</v>
      </c>
      <c r="J42" s="16"/>
      <c r="K42" s="16"/>
      <c r="L42" s="16"/>
      <c r="M42" s="16"/>
      <c r="N42" s="16">
        <f t="shared" si="2"/>
        <v>0</v>
      </c>
      <c r="O42" s="16" t="e">
        <f t="shared" si="3"/>
        <v>#N/A</v>
      </c>
      <c r="P42" s="16">
        <v>6.9444444444444397E-3</v>
      </c>
      <c r="Q42" s="16"/>
      <c r="R42" s="16">
        <f t="shared" si="4"/>
        <v>-6.9444444444444397E-3</v>
      </c>
      <c r="S42" s="16"/>
      <c r="T42" s="16" t="e">
        <f>VLOOKUP(E42,'[2]21-3-2026'!E$3:T$35,16,FALSE)</f>
        <v>#N/A</v>
      </c>
      <c r="U42" s="16"/>
      <c r="V42" s="16" t="e">
        <f t="shared" si="5"/>
        <v>#N/A</v>
      </c>
      <c r="W42" s="16"/>
      <c r="X42" s="16"/>
      <c r="Y42" s="16"/>
      <c r="Z42" s="16">
        <f t="shared" si="6"/>
        <v>0</v>
      </c>
      <c r="AA42" s="16">
        <f t="shared" si="0"/>
        <v>0</v>
      </c>
      <c r="AB42" s="16"/>
      <c r="AC42" s="17"/>
      <c r="AD42" s="51"/>
    </row>
    <row r="43" spans="1:30" ht="19.5" thickBot="1" x14ac:dyDescent="0.3">
      <c r="A43" s="14">
        <v>8</v>
      </c>
      <c r="B43" s="15"/>
      <c r="C43" s="15" t="e">
        <f>VLOOKUP(B43,داتا!$B$3:$D$107,2,FALSE)</f>
        <v>#N/A</v>
      </c>
      <c r="D43" s="34" t="e">
        <f>VLOOKUP(B43,داتا!$B$3:$D$107,3,FALSE)</f>
        <v>#N/A</v>
      </c>
      <c r="E43" s="15"/>
      <c r="F43" s="15"/>
      <c r="G43" s="16">
        <v>0.25</v>
      </c>
      <c r="H43" s="16" t="e">
        <f t="shared" si="7"/>
        <v>#N/A</v>
      </c>
      <c r="I43" s="16" t="e">
        <f t="shared" si="1"/>
        <v>#N/A</v>
      </c>
      <c r="J43" s="16"/>
      <c r="K43" s="16"/>
      <c r="L43" s="16"/>
      <c r="M43" s="16"/>
      <c r="N43" s="16">
        <f t="shared" si="2"/>
        <v>0</v>
      </c>
      <c r="O43" s="16" t="e">
        <f t="shared" si="3"/>
        <v>#N/A</v>
      </c>
      <c r="P43" s="16">
        <v>6.9444444444444397E-3</v>
      </c>
      <c r="Q43" s="16"/>
      <c r="R43" s="16">
        <f t="shared" si="4"/>
        <v>-6.9444444444444397E-3</v>
      </c>
      <c r="S43" s="16"/>
      <c r="T43" s="16" t="e">
        <f>VLOOKUP(E43,'[2]21-3-2026'!E$3:T$35,16,FALSE)</f>
        <v>#N/A</v>
      </c>
      <c r="U43" s="16"/>
      <c r="V43" s="16" t="e">
        <f t="shared" si="5"/>
        <v>#N/A</v>
      </c>
      <c r="W43" s="16"/>
      <c r="X43" s="16"/>
      <c r="Y43" s="16"/>
      <c r="Z43" s="16">
        <f t="shared" si="6"/>
        <v>0</v>
      </c>
      <c r="AA43" s="16">
        <f t="shared" si="0"/>
        <v>0</v>
      </c>
      <c r="AB43" s="16"/>
      <c r="AC43" s="17"/>
      <c r="AD43" s="51"/>
    </row>
    <row r="44" spans="1:30" ht="19.5" thickBot="1" x14ac:dyDescent="0.3">
      <c r="A44" s="14">
        <v>9</v>
      </c>
      <c r="B44" s="15"/>
      <c r="C44" s="15" t="e">
        <f>VLOOKUP(B44,داتا!$B$3:$D$107,2,FALSE)</f>
        <v>#N/A</v>
      </c>
      <c r="D44" s="34" t="e">
        <f>VLOOKUP(B44,داتا!$B$3:$D$107,3,FALSE)</f>
        <v>#N/A</v>
      </c>
      <c r="E44" s="15"/>
      <c r="F44" s="15"/>
      <c r="G44" s="16">
        <v>0.25</v>
      </c>
      <c r="H44" s="16" t="e">
        <f t="shared" si="7"/>
        <v>#N/A</v>
      </c>
      <c r="I44" s="16" t="e">
        <f t="shared" si="1"/>
        <v>#N/A</v>
      </c>
      <c r="J44" s="16"/>
      <c r="K44" s="16"/>
      <c r="L44" s="16"/>
      <c r="M44" s="16"/>
      <c r="N44" s="16">
        <f t="shared" si="2"/>
        <v>0</v>
      </c>
      <c r="O44" s="16" t="e">
        <f t="shared" si="3"/>
        <v>#N/A</v>
      </c>
      <c r="P44" s="16">
        <v>6.9444444444444397E-3</v>
      </c>
      <c r="Q44" s="16"/>
      <c r="R44" s="16">
        <f t="shared" si="4"/>
        <v>-6.9444444444444397E-3</v>
      </c>
      <c r="S44" s="16"/>
      <c r="T44" s="16" t="e">
        <f>VLOOKUP(E44,'[2]21-3-2026'!E$3:T$35,16,FALSE)</f>
        <v>#N/A</v>
      </c>
      <c r="U44" s="16"/>
      <c r="V44" s="16" t="e">
        <f t="shared" si="5"/>
        <v>#N/A</v>
      </c>
      <c r="W44" s="16"/>
      <c r="X44" s="16"/>
      <c r="Y44" s="16"/>
      <c r="Z44" s="16">
        <f t="shared" si="6"/>
        <v>0</v>
      </c>
      <c r="AA44" s="16">
        <f t="shared" si="0"/>
        <v>0</v>
      </c>
      <c r="AB44" s="16"/>
      <c r="AC44" s="17"/>
      <c r="AD44" s="51"/>
    </row>
    <row r="45" spans="1:30" ht="19.5" thickBot="1" x14ac:dyDescent="0.3">
      <c r="A45" s="14">
        <v>10</v>
      </c>
      <c r="B45" s="15"/>
      <c r="C45" s="15" t="e">
        <f>VLOOKUP(B45,داتا!$B$3:$D$107,2,FALSE)</f>
        <v>#N/A</v>
      </c>
      <c r="D45" s="34" t="e">
        <f>VLOOKUP(B45,داتا!$B$3:$D$107,3,FALSE)</f>
        <v>#N/A</v>
      </c>
      <c r="E45" s="15"/>
      <c r="F45" s="15"/>
      <c r="G45" s="16">
        <v>0.25</v>
      </c>
      <c r="H45" s="16" t="e">
        <f t="shared" si="7"/>
        <v>#N/A</v>
      </c>
      <c r="I45" s="16" t="e">
        <f t="shared" si="1"/>
        <v>#N/A</v>
      </c>
      <c r="J45" s="16"/>
      <c r="K45" s="16"/>
      <c r="L45" s="16"/>
      <c r="M45" s="16"/>
      <c r="N45" s="16">
        <f t="shared" si="2"/>
        <v>0</v>
      </c>
      <c r="O45" s="16" t="e">
        <f t="shared" si="3"/>
        <v>#N/A</v>
      </c>
      <c r="P45" s="16">
        <v>6.9444444444444397E-3</v>
      </c>
      <c r="Q45" s="16"/>
      <c r="R45" s="16">
        <f t="shared" si="4"/>
        <v>-6.9444444444444397E-3</v>
      </c>
      <c r="S45" s="16"/>
      <c r="T45" s="16" t="e">
        <f>VLOOKUP(E45,'[2]21-3-2026'!E$3:T$35,16,FALSE)</f>
        <v>#N/A</v>
      </c>
      <c r="U45" s="16"/>
      <c r="V45" s="16" t="e">
        <f t="shared" si="5"/>
        <v>#N/A</v>
      </c>
      <c r="W45" s="16"/>
      <c r="X45" s="16"/>
      <c r="Y45" s="16"/>
      <c r="Z45" s="16">
        <f t="shared" si="6"/>
        <v>0</v>
      </c>
      <c r="AA45" s="16">
        <f t="shared" si="0"/>
        <v>0</v>
      </c>
      <c r="AB45" s="16"/>
      <c r="AC45" s="17"/>
      <c r="AD45" s="51"/>
    </row>
    <row r="46" spans="1:30" ht="19.5" thickBot="1" x14ac:dyDescent="0.3">
      <c r="A46" s="14">
        <v>11</v>
      </c>
      <c r="B46" s="15"/>
      <c r="C46" s="15" t="e">
        <f>VLOOKUP(B46,داتا!$B$3:$D$107,2,FALSE)</f>
        <v>#N/A</v>
      </c>
      <c r="D46" s="34" t="e">
        <f>VLOOKUP(B46,داتا!$B$3:$D$107,3,FALSE)</f>
        <v>#N/A</v>
      </c>
      <c r="E46" s="15"/>
      <c r="F46" s="15"/>
      <c r="G46" s="16">
        <v>0.25</v>
      </c>
      <c r="H46" s="16" t="e">
        <f t="shared" si="7"/>
        <v>#N/A</v>
      </c>
      <c r="I46" s="16" t="e">
        <f t="shared" si="1"/>
        <v>#N/A</v>
      </c>
      <c r="J46" s="16"/>
      <c r="K46" s="16"/>
      <c r="L46" s="16"/>
      <c r="M46" s="16"/>
      <c r="N46" s="16">
        <f t="shared" si="2"/>
        <v>0</v>
      </c>
      <c r="O46" s="16" t="e">
        <f t="shared" si="3"/>
        <v>#N/A</v>
      </c>
      <c r="P46" s="16">
        <v>6.9444444444444397E-3</v>
      </c>
      <c r="Q46" s="16"/>
      <c r="R46" s="16">
        <f t="shared" si="4"/>
        <v>-6.9444444444444397E-3</v>
      </c>
      <c r="S46" s="16"/>
      <c r="T46" s="16" t="e">
        <f>VLOOKUP(E46,'[2]21-3-2026'!E$3:T$35,16,FALSE)</f>
        <v>#N/A</v>
      </c>
      <c r="U46" s="16"/>
      <c r="V46" s="16" t="e">
        <f t="shared" si="5"/>
        <v>#N/A</v>
      </c>
      <c r="W46" s="16"/>
      <c r="X46" s="16"/>
      <c r="Y46" s="16"/>
      <c r="Z46" s="16">
        <f t="shared" si="6"/>
        <v>0</v>
      </c>
      <c r="AA46" s="16">
        <f t="shared" si="0"/>
        <v>0</v>
      </c>
      <c r="AB46" s="16"/>
      <c r="AC46" s="17"/>
      <c r="AD46" s="51"/>
    </row>
    <row r="47" spans="1:30" ht="19.5" thickBot="1" x14ac:dyDescent="0.3">
      <c r="A47" s="14">
        <v>12</v>
      </c>
      <c r="B47" s="15"/>
      <c r="C47" s="15" t="e">
        <f>VLOOKUP(B47,داتا!$B$3:$D$107,2,FALSE)</f>
        <v>#N/A</v>
      </c>
      <c r="D47" s="34" t="e">
        <f>VLOOKUP(B47,داتا!$B$3:$D$107,3,FALSE)</f>
        <v>#N/A</v>
      </c>
      <c r="E47" s="15"/>
      <c r="F47" s="15"/>
      <c r="G47" s="16">
        <v>0.25</v>
      </c>
      <c r="H47" s="16" t="e">
        <f t="shared" si="7"/>
        <v>#N/A</v>
      </c>
      <c r="I47" s="16" t="e">
        <f t="shared" si="1"/>
        <v>#N/A</v>
      </c>
      <c r="J47" s="16"/>
      <c r="K47" s="16"/>
      <c r="L47" s="16"/>
      <c r="M47" s="16"/>
      <c r="N47" s="16">
        <f t="shared" si="2"/>
        <v>0</v>
      </c>
      <c r="O47" s="16" t="e">
        <f t="shared" si="3"/>
        <v>#N/A</v>
      </c>
      <c r="P47" s="16">
        <v>6.9444444444444397E-3</v>
      </c>
      <c r="Q47" s="16"/>
      <c r="R47" s="16">
        <f t="shared" si="4"/>
        <v>-6.9444444444444397E-3</v>
      </c>
      <c r="S47" s="16"/>
      <c r="T47" s="16" t="e">
        <f>VLOOKUP(E47,'[2]21-3-2026'!E$3:T$35,16,FALSE)</f>
        <v>#N/A</v>
      </c>
      <c r="U47" s="16"/>
      <c r="V47" s="16" t="e">
        <f t="shared" si="5"/>
        <v>#N/A</v>
      </c>
      <c r="W47" s="16"/>
      <c r="X47" s="16"/>
      <c r="Y47" s="16"/>
      <c r="Z47" s="16">
        <f t="shared" si="6"/>
        <v>0</v>
      </c>
      <c r="AA47" s="16">
        <f t="shared" si="0"/>
        <v>0</v>
      </c>
      <c r="AB47" s="16"/>
      <c r="AC47" s="17"/>
      <c r="AD47" s="51"/>
    </row>
    <row r="48" spans="1:30" ht="19.5" thickBot="1" x14ac:dyDescent="0.3">
      <c r="A48" s="14">
        <v>13</v>
      </c>
      <c r="B48" s="15"/>
      <c r="C48" s="15" t="e">
        <f>VLOOKUP(B48,داتا!$B$3:$D$107,2,FALSE)</f>
        <v>#N/A</v>
      </c>
      <c r="D48" s="34" t="e">
        <f>VLOOKUP(B48,داتا!$B$3:$D$107,3,FALSE)</f>
        <v>#N/A</v>
      </c>
      <c r="E48" s="15"/>
      <c r="F48" s="15"/>
      <c r="G48" s="16">
        <v>0.25</v>
      </c>
      <c r="H48" s="16" t="e">
        <f t="shared" si="7"/>
        <v>#N/A</v>
      </c>
      <c r="I48" s="16" t="e">
        <f t="shared" si="1"/>
        <v>#N/A</v>
      </c>
      <c r="J48" s="16"/>
      <c r="K48" s="16"/>
      <c r="L48" s="16"/>
      <c r="M48" s="16"/>
      <c r="N48" s="16">
        <f t="shared" si="2"/>
        <v>0</v>
      </c>
      <c r="O48" s="16" t="e">
        <f t="shared" si="3"/>
        <v>#N/A</v>
      </c>
      <c r="P48" s="16">
        <v>6.9444444444444397E-3</v>
      </c>
      <c r="Q48" s="16"/>
      <c r="R48" s="16">
        <f t="shared" si="4"/>
        <v>-6.9444444444444397E-3</v>
      </c>
      <c r="S48" s="16"/>
      <c r="T48" s="16" t="e">
        <f>VLOOKUP(E48,'[2]21-3-2026'!E$3:T$35,16,FALSE)</f>
        <v>#N/A</v>
      </c>
      <c r="U48" s="16"/>
      <c r="V48" s="16" t="e">
        <f t="shared" si="5"/>
        <v>#N/A</v>
      </c>
      <c r="W48" s="16"/>
      <c r="X48" s="16"/>
      <c r="Y48" s="16"/>
      <c r="Z48" s="16">
        <f t="shared" si="6"/>
        <v>0</v>
      </c>
      <c r="AA48" s="16">
        <f t="shared" si="0"/>
        <v>0</v>
      </c>
      <c r="AB48" s="16"/>
      <c r="AC48" s="17"/>
      <c r="AD48" s="51"/>
    </row>
    <row r="49" spans="1:30" ht="19.5" thickBot="1" x14ac:dyDescent="0.3">
      <c r="A49" s="14">
        <v>14</v>
      </c>
      <c r="B49" s="15"/>
      <c r="C49" s="15" t="e">
        <f>VLOOKUP(B49,داتا!$B$3:$D$107,2,FALSE)</f>
        <v>#N/A</v>
      </c>
      <c r="D49" s="34" t="e">
        <f>VLOOKUP(B49,داتا!$B$3:$D$107,3,FALSE)</f>
        <v>#N/A</v>
      </c>
      <c r="E49" s="15"/>
      <c r="F49" s="15"/>
      <c r="G49" s="16">
        <v>0.25</v>
      </c>
      <c r="H49" s="16" t="e">
        <f t="shared" si="7"/>
        <v>#N/A</v>
      </c>
      <c r="I49" s="16" t="e">
        <f t="shared" si="1"/>
        <v>#N/A</v>
      </c>
      <c r="J49" s="16"/>
      <c r="K49" s="16"/>
      <c r="L49" s="16"/>
      <c r="M49" s="16"/>
      <c r="N49" s="16">
        <f t="shared" si="2"/>
        <v>0</v>
      </c>
      <c r="O49" s="16" t="e">
        <f t="shared" si="3"/>
        <v>#N/A</v>
      </c>
      <c r="P49" s="16">
        <v>6.9444444444444397E-3</v>
      </c>
      <c r="Q49" s="16"/>
      <c r="R49" s="16">
        <f t="shared" si="4"/>
        <v>-6.9444444444444397E-3</v>
      </c>
      <c r="S49" s="16"/>
      <c r="T49" s="16" t="e">
        <f>VLOOKUP(E49,'[2]21-3-2026'!E$3:T$35,16,FALSE)</f>
        <v>#N/A</v>
      </c>
      <c r="U49" s="16"/>
      <c r="V49" s="16" t="e">
        <f t="shared" si="5"/>
        <v>#N/A</v>
      </c>
      <c r="W49" s="16"/>
      <c r="X49" s="16"/>
      <c r="Y49" s="16"/>
      <c r="Z49" s="16">
        <f t="shared" si="6"/>
        <v>0</v>
      </c>
      <c r="AA49" s="16">
        <f t="shared" si="0"/>
        <v>0</v>
      </c>
      <c r="AB49" s="16"/>
      <c r="AC49" s="17"/>
      <c r="AD49" s="51"/>
    </row>
    <row r="50" spans="1:30" ht="19.5" thickBot="1" x14ac:dyDescent="0.3">
      <c r="A50" s="14">
        <v>15</v>
      </c>
      <c r="B50" s="15"/>
      <c r="C50" s="15" t="e">
        <f>VLOOKUP(B50,داتا!$B$3:$D$107,2,FALSE)</f>
        <v>#N/A</v>
      </c>
      <c r="D50" s="34" t="e">
        <f>VLOOKUP(B50,داتا!$B$3:$D$107,3,FALSE)</f>
        <v>#N/A</v>
      </c>
      <c r="E50" s="15"/>
      <c r="F50" s="15"/>
      <c r="G50" s="16">
        <v>0.25</v>
      </c>
      <c r="H50" s="16" t="e">
        <f t="shared" si="7"/>
        <v>#N/A</v>
      </c>
      <c r="I50" s="16" t="e">
        <f t="shared" si="1"/>
        <v>#N/A</v>
      </c>
      <c r="J50" s="16"/>
      <c r="K50" s="16"/>
      <c r="L50" s="16"/>
      <c r="M50" s="16"/>
      <c r="N50" s="16">
        <f t="shared" si="2"/>
        <v>0</v>
      </c>
      <c r="O50" s="16" t="e">
        <f t="shared" si="3"/>
        <v>#N/A</v>
      </c>
      <c r="P50" s="16">
        <v>6.9444444444444397E-3</v>
      </c>
      <c r="Q50" s="16"/>
      <c r="R50" s="16">
        <f t="shared" si="4"/>
        <v>-6.9444444444444397E-3</v>
      </c>
      <c r="S50" s="16"/>
      <c r="T50" s="16" t="e">
        <f>VLOOKUP(E50,'[2]21-3-2026'!E$3:T$35,16,FALSE)</f>
        <v>#N/A</v>
      </c>
      <c r="U50" s="16"/>
      <c r="V50" s="16" t="e">
        <f t="shared" si="5"/>
        <v>#N/A</v>
      </c>
      <c r="W50" s="16"/>
      <c r="X50" s="16"/>
      <c r="Y50" s="16"/>
      <c r="Z50" s="16">
        <f t="shared" si="6"/>
        <v>0</v>
      </c>
      <c r="AA50" s="16">
        <f t="shared" si="0"/>
        <v>0</v>
      </c>
      <c r="AB50" s="16"/>
      <c r="AC50" s="17"/>
      <c r="AD50" s="51"/>
    </row>
    <row r="51" spans="1:30" ht="19.5" thickBot="1" x14ac:dyDescent="0.3">
      <c r="A51" s="14">
        <v>16</v>
      </c>
      <c r="B51" s="15"/>
      <c r="C51" s="15" t="e">
        <f>VLOOKUP(B51,داتا!$B$3:$D$107,2,FALSE)</f>
        <v>#N/A</v>
      </c>
      <c r="D51" s="34" t="e">
        <f>VLOOKUP(B51,داتا!$B$3:$D$107,3,FALSE)</f>
        <v>#N/A</v>
      </c>
      <c r="E51" s="15"/>
      <c r="F51" s="15"/>
      <c r="G51" s="16">
        <v>0.25</v>
      </c>
      <c r="H51" s="16" t="e">
        <f t="shared" si="7"/>
        <v>#N/A</v>
      </c>
      <c r="I51" s="16" t="e">
        <f t="shared" si="1"/>
        <v>#N/A</v>
      </c>
      <c r="J51" s="16"/>
      <c r="K51" s="16"/>
      <c r="L51" s="16"/>
      <c r="M51" s="16"/>
      <c r="N51" s="16">
        <f t="shared" si="2"/>
        <v>0</v>
      </c>
      <c r="O51" s="16" t="e">
        <f t="shared" si="3"/>
        <v>#N/A</v>
      </c>
      <c r="P51" s="16">
        <v>6.9444444444444397E-3</v>
      </c>
      <c r="Q51" s="16"/>
      <c r="R51" s="16">
        <f t="shared" si="4"/>
        <v>-6.9444444444444397E-3</v>
      </c>
      <c r="S51" s="16"/>
      <c r="T51" s="16" t="e">
        <f>VLOOKUP(E51,'[2]21-3-2026'!E$3:T$35,16,FALSE)</f>
        <v>#N/A</v>
      </c>
      <c r="U51" s="16"/>
      <c r="V51" s="16" t="e">
        <f t="shared" si="5"/>
        <v>#N/A</v>
      </c>
      <c r="W51" s="16"/>
      <c r="X51" s="16"/>
      <c r="Y51" s="16"/>
      <c r="Z51" s="16">
        <f t="shared" si="6"/>
        <v>0</v>
      </c>
      <c r="AA51" s="16">
        <f t="shared" si="0"/>
        <v>0</v>
      </c>
      <c r="AB51" s="16"/>
      <c r="AC51" s="17"/>
      <c r="AD51" s="51"/>
    </row>
    <row r="52" spans="1:30" ht="19.5" thickBot="1" x14ac:dyDescent="0.3">
      <c r="A52" s="14">
        <v>17</v>
      </c>
      <c r="B52" s="15"/>
      <c r="C52" s="15" t="e">
        <f>VLOOKUP(B52,داتا!$B$3:$D$107,2,FALSE)</f>
        <v>#N/A</v>
      </c>
      <c r="D52" s="34" t="e">
        <f>VLOOKUP(B52,داتا!$B$3:$D$107,3,FALSE)</f>
        <v>#N/A</v>
      </c>
      <c r="E52" s="15"/>
      <c r="F52" s="15"/>
      <c r="G52" s="16">
        <v>0.25</v>
      </c>
      <c r="H52" s="16" t="e">
        <f t="shared" si="7"/>
        <v>#N/A</v>
      </c>
      <c r="I52" s="16" t="e">
        <f t="shared" si="1"/>
        <v>#N/A</v>
      </c>
      <c r="J52" s="16"/>
      <c r="K52" s="16"/>
      <c r="L52" s="16"/>
      <c r="M52" s="16"/>
      <c r="N52" s="16">
        <f t="shared" si="2"/>
        <v>0</v>
      </c>
      <c r="O52" s="16" t="e">
        <f t="shared" si="3"/>
        <v>#N/A</v>
      </c>
      <c r="P52" s="16">
        <v>6.9444444444444397E-3</v>
      </c>
      <c r="Q52" s="16"/>
      <c r="R52" s="16">
        <f t="shared" si="4"/>
        <v>-6.9444444444444397E-3</v>
      </c>
      <c r="S52" s="16"/>
      <c r="T52" s="16" t="e">
        <f>VLOOKUP(E52,'[2]21-3-2026'!E$3:T$35,16,FALSE)</f>
        <v>#N/A</v>
      </c>
      <c r="U52" s="16"/>
      <c r="V52" s="16" t="e">
        <f t="shared" si="5"/>
        <v>#N/A</v>
      </c>
      <c r="W52" s="16"/>
      <c r="X52" s="16"/>
      <c r="Y52" s="16"/>
      <c r="Z52" s="16">
        <f t="shared" si="6"/>
        <v>0</v>
      </c>
      <c r="AA52" s="16">
        <f t="shared" si="0"/>
        <v>0</v>
      </c>
      <c r="AB52" s="16"/>
      <c r="AC52" s="17"/>
      <c r="AD52" s="51"/>
    </row>
    <row r="53" spans="1:30" ht="19.5" thickBot="1" x14ac:dyDescent="0.3">
      <c r="A53" s="14">
        <v>18</v>
      </c>
      <c r="B53" s="15"/>
      <c r="C53" s="15" t="e">
        <f>VLOOKUP(B53,داتا!$B$3:$D$107,2,FALSE)</f>
        <v>#N/A</v>
      </c>
      <c r="D53" s="34" t="e">
        <f>VLOOKUP(B53,داتا!$B$3:$D$107,3,FALSE)</f>
        <v>#N/A</v>
      </c>
      <c r="E53" s="15"/>
      <c r="F53" s="15"/>
      <c r="G53" s="16">
        <v>0.25</v>
      </c>
      <c r="H53" s="16" t="e">
        <f t="shared" ref="H53:H68" si="8">VLOOKUP(G53,$F$3:$I$35,2,FALSE)</f>
        <v>#N/A</v>
      </c>
      <c r="I53" s="16" t="e">
        <f t="shared" si="1"/>
        <v>#N/A</v>
      </c>
      <c r="J53" s="16"/>
      <c r="K53" s="16"/>
      <c r="L53" s="16"/>
      <c r="M53" s="16"/>
      <c r="N53" s="16">
        <f t="shared" si="2"/>
        <v>0</v>
      </c>
      <c r="O53" s="16" t="e">
        <f t="shared" si="3"/>
        <v>#N/A</v>
      </c>
      <c r="P53" s="16">
        <v>6.9444444444444397E-3</v>
      </c>
      <c r="Q53" s="16"/>
      <c r="R53" s="16">
        <f t="shared" si="4"/>
        <v>-6.9444444444444397E-3</v>
      </c>
      <c r="S53" s="16"/>
      <c r="T53" s="16" t="e">
        <f>VLOOKUP(E53,'[2]21-3-2026'!E$3:T$35,16,FALSE)</f>
        <v>#N/A</v>
      </c>
      <c r="U53" s="16"/>
      <c r="V53" s="16" t="e">
        <f t="shared" si="5"/>
        <v>#N/A</v>
      </c>
      <c r="W53" s="16"/>
      <c r="X53" s="16"/>
      <c r="Y53" s="16"/>
      <c r="Z53" s="16">
        <f t="shared" si="6"/>
        <v>0</v>
      </c>
      <c r="AA53" s="16">
        <f t="shared" si="0"/>
        <v>0</v>
      </c>
      <c r="AB53" s="16"/>
      <c r="AC53" s="17"/>
      <c r="AD53" s="51"/>
    </row>
    <row r="54" spans="1:30" ht="19.5" thickBot="1" x14ac:dyDescent="0.3">
      <c r="A54" s="14">
        <v>19</v>
      </c>
      <c r="B54" s="15"/>
      <c r="C54" s="15" t="e">
        <f>VLOOKUP(B54,داتا!$B$3:$D$107,2,FALSE)</f>
        <v>#N/A</v>
      </c>
      <c r="D54" s="34" t="e">
        <f>VLOOKUP(B54,داتا!$B$3:$D$107,3,FALSE)</f>
        <v>#N/A</v>
      </c>
      <c r="E54" s="15"/>
      <c r="F54" s="15"/>
      <c r="G54" s="16">
        <v>0.25</v>
      </c>
      <c r="H54" s="16" t="e">
        <f t="shared" si="8"/>
        <v>#N/A</v>
      </c>
      <c r="I54" s="16" t="e">
        <f t="shared" si="1"/>
        <v>#N/A</v>
      </c>
      <c r="J54" s="16"/>
      <c r="K54" s="16"/>
      <c r="L54" s="16"/>
      <c r="M54" s="16"/>
      <c r="N54" s="16">
        <f t="shared" si="2"/>
        <v>0</v>
      </c>
      <c r="O54" s="16" t="e">
        <f t="shared" si="3"/>
        <v>#N/A</v>
      </c>
      <c r="P54" s="16">
        <v>6.9444444444444397E-3</v>
      </c>
      <c r="Q54" s="16"/>
      <c r="R54" s="16">
        <f t="shared" si="4"/>
        <v>-6.9444444444444397E-3</v>
      </c>
      <c r="S54" s="16"/>
      <c r="T54" s="16" t="e">
        <f>VLOOKUP(E54,'[2]21-3-2026'!E$3:T$35,16,FALSE)</f>
        <v>#N/A</v>
      </c>
      <c r="U54" s="16"/>
      <c r="V54" s="16" t="e">
        <f t="shared" si="5"/>
        <v>#N/A</v>
      </c>
      <c r="W54" s="16"/>
      <c r="X54" s="16"/>
      <c r="Y54" s="16"/>
      <c r="Z54" s="16">
        <f t="shared" si="6"/>
        <v>0</v>
      </c>
      <c r="AA54" s="16">
        <f t="shared" si="0"/>
        <v>0</v>
      </c>
      <c r="AB54" s="16"/>
      <c r="AC54" s="17"/>
      <c r="AD54" s="51"/>
    </row>
    <row r="55" spans="1:30" ht="19.5" thickBot="1" x14ac:dyDescent="0.3">
      <c r="A55" s="14">
        <v>20</v>
      </c>
      <c r="B55" s="15"/>
      <c r="C55" s="15" t="e">
        <f>VLOOKUP(B55,داتا!$B$3:$D$107,2,FALSE)</f>
        <v>#N/A</v>
      </c>
      <c r="D55" s="34" t="e">
        <f>VLOOKUP(B55,داتا!$B$3:$D$107,3,FALSE)</f>
        <v>#N/A</v>
      </c>
      <c r="E55" s="15"/>
      <c r="F55" s="15"/>
      <c r="G55" s="16">
        <v>0.25</v>
      </c>
      <c r="H55" s="16" t="e">
        <f t="shared" si="8"/>
        <v>#N/A</v>
      </c>
      <c r="I55" s="16" t="e">
        <f t="shared" si="1"/>
        <v>#N/A</v>
      </c>
      <c r="J55" s="16"/>
      <c r="K55" s="16"/>
      <c r="L55" s="16"/>
      <c r="M55" s="16"/>
      <c r="N55" s="16">
        <f t="shared" si="2"/>
        <v>0</v>
      </c>
      <c r="O55" s="16" t="e">
        <f t="shared" si="3"/>
        <v>#N/A</v>
      </c>
      <c r="P55" s="16">
        <v>6.9444444444444397E-3</v>
      </c>
      <c r="Q55" s="16"/>
      <c r="R55" s="16">
        <f t="shared" si="4"/>
        <v>-6.9444444444444397E-3</v>
      </c>
      <c r="S55" s="16"/>
      <c r="T55" s="16" t="e">
        <f>VLOOKUP(E55,'[2]21-3-2026'!E$3:T$35,16,FALSE)</f>
        <v>#N/A</v>
      </c>
      <c r="U55" s="16"/>
      <c r="V55" s="16" t="e">
        <f t="shared" si="5"/>
        <v>#N/A</v>
      </c>
      <c r="W55" s="16"/>
      <c r="X55" s="16"/>
      <c r="Y55" s="16"/>
      <c r="Z55" s="16">
        <f t="shared" si="6"/>
        <v>0</v>
      </c>
      <c r="AA55" s="16">
        <f t="shared" si="0"/>
        <v>0</v>
      </c>
      <c r="AB55" s="16"/>
      <c r="AC55" s="17"/>
      <c r="AD55" s="51"/>
    </row>
    <row r="56" spans="1:30" ht="19.5" thickBot="1" x14ac:dyDescent="0.3">
      <c r="A56" s="14">
        <v>21</v>
      </c>
      <c r="B56" s="15"/>
      <c r="C56" s="15" t="e">
        <f>VLOOKUP(B56,داتا!$B$3:$D$107,2,FALSE)</f>
        <v>#N/A</v>
      </c>
      <c r="D56" s="34" t="e">
        <f>VLOOKUP(B56,داتا!$B$3:$D$107,3,FALSE)</f>
        <v>#N/A</v>
      </c>
      <c r="E56" s="15"/>
      <c r="F56" s="15"/>
      <c r="G56" s="16">
        <v>0.25</v>
      </c>
      <c r="H56" s="16" t="e">
        <f t="shared" si="8"/>
        <v>#N/A</v>
      </c>
      <c r="I56" s="16" t="e">
        <f t="shared" si="1"/>
        <v>#N/A</v>
      </c>
      <c r="J56" s="16"/>
      <c r="K56" s="16"/>
      <c r="L56" s="15"/>
      <c r="M56" s="15"/>
      <c r="N56" s="16">
        <f t="shared" si="2"/>
        <v>0</v>
      </c>
      <c r="O56" s="16" t="e">
        <f t="shared" si="3"/>
        <v>#N/A</v>
      </c>
      <c r="P56" s="16">
        <v>6.9444444444444397E-3</v>
      </c>
      <c r="Q56" s="16"/>
      <c r="R56" s="16">
        <f t="shared" si="4"/>
        <v>-6.9444444444444397E-3</v>
      </c>
      <c r="S56" s="16"/>
      <c r="T56" s="16" t="e">
        <f>VLOOKUP(E56,'[2]21-3-2026'!E$3:T$35,16,FALSE)</f>
        <v>#N/A</v>
      </c>
      <c r="U56" s="16"/>
      <c r="V56" s="16" t="e">
        <f t="shared" si="5"/>
        <v>#N/A</v>
      </c>
      <c r="W56" s="16"/>
      <c r="X56" s="16"/>
      <c r="Y56" s="16"/>
      <c r="Z56" s="16">
        <f t="shared" si="6"/>
        <v>0</v>
      </c>
      <c r="AA56" s="16">
        <f t="shared" si="0"/>
        <v>0</v>
      </c>
      <c r="AB56" s="16"/>
      <c r="AC56" s="17"/>
      <c r="AD56" s="51"/>
    </row>
    <row r="57" spans="1:30" ht="19.5" thickBot="1" x14ac:dyDescent="0.3">
      <c r="A57" s="14">
        <v>22</v>
      </c>
      <c r="B57" s="15"/>
      <c r="C57" s="15" t="e">
        <f>VLOOKUP(B57,داتا!$B$3:$D$107,2,FALSE)</f>
        <v>#N/A</v>
      </c>
      <c r="D57" s="34" t="e">
        <f>VLOOKUP(B57,داتا!$B$3:$D$107,3,FALSE)</f>
        <v>#N/A</v>
      </c>
      <c r="E57" s="15"/>
      <c r="F57" s="15"/>
      <c r="G57" s="16">
        <v>0.25</v>
      </c>
      <c r="H57" s="16" t="e">
        <f t="shared" si="8"/>
        <v>#N/A</v>
      </c>
      <c r="I57" s="16" t="e">
        <f t="shared" si="1"/>
        <v>#N/A</v>
      </c>
      <c r="J57" s="16"/>
      <c r="K57" s="16"/>
      <c r="L57" s="15"/>
      <c r="M57" s="15"/>
      <c r="N57" s="16">
        <f t="shared" si="2"/>
        <v>0</v>
      </c>
      <c r="O57" s="16" t="e">
        <f t="shared" si="3"/>
        <v>#N/A</v>
      </c>
      <c r="P57" s="16">
        <v>6.9444444444444397E-3</v>
      </c>
      <c r="Q57" s="16"/>
      <c r="R57" s="16">
        <f t="shared" si="4"/>
        <v>-6.9444444444444397E-3</v>
      </c>
      <c r="S57" s="16"/>
      <c r="T57" s="16" t="e">
        <f>VLOOKUP(E57,'[2]21-3-2026'!E$3:T$35,16,FALSE)</f>
        <v>#N/A</v>
      </c>
      <c r="U57" s="16"/>
      <c r="V57" s="16" t="e">
        <f t="shared" si="5"/>
        <v>#N/A</v>
      </c>
      <c r="W57" s="16"/>
      <c r="X57" s="16"/>
      <c r="Y57" s="16"/>
      <c r="Z57" s="16">
        <f t="shared" si="6"/>
        <v>0</v>
      </c>
      <c r="AA57" s="16">
        <f t="shared" si="0"/>
        <v>0</v>
      </c>
      <c r="AB57" s="16"/>
      <c r="AC57" s="17"/>
      <c r="AD57" s="51"/>
    </row>
    <row r="58" spans="1:30" ht="19.5" thickBot="1" x14ac:dyDescent="0.3">
      <c r="A58" s="14">
        <v>23</v>
      </c>
      <c r="B58" s="15"/>
      <c r="C58" s="15" t="e">
        <f>VLOOKUP(B58,داتا!$B$3:$D$107,2,FALSE)</f>
        <v>#N/A</v>
      </c>
      <c r="D58" s="34" t="e">
        <f>VLOOKUP(B58,داتا!$B$3:$D$107,3,FALSE)</f>
        <v>#N/A</v>
      </c>
      <c r="E58" s="15"/>
      <c r="F58" s="15"/>
      <c r="G58" s="16">
        <v>0.25</v>
      </c>
      <c r="H58" s="16" t="e">
        <f t="shared" si="8"/>
        <v>#N/A</v>
      </c>
      <c r="I58" s="16" t="e">
        <f t="shared" si="1"/>
        <v>#N/A</v>
      </c>
      <c r="J58" s="16"/>
      <c r="K58" s="16"/>
      <c r="L58" s="16"/>
      <c r="M58" s="16"/>
      <c r="N58" s="16">
        <f t="shared" si="2"/>
        <v>0</v>
      </c>
      <c r="O58" s="16" t="e">
        <f t="shared" si="3"/>
        <v>#N/A</v>
      </c>
      <c r="P58" s="16">
        <v>6.9444444444444397E-3</v>
      </c>
      <c r="Q58" s="16"/>
      <c r="R58" s="16">
        <f t="shared" si="4"/>
        <v>-6.9444444444444397E-3</v>
      </c>
      <c r="S58" s="16"/>
      <c r="T58" s="16" t="e">
        <f>VLOOKUP(E58,'[2]21-3-2026'!E$3:T$35,16,FALSE)</f>
        <v>#N/A</v>
      </c>
      <c r="U58" s="16"/>
      <c r="V58" s="16" t="e">
        <f t="shared" si="5"/>
        <v>#N/A</v>
      </c>
      <c r="W58" s="16"/>
      <c r="X58" s="16"/>
      <c r="Y58" s="16"/>
      <c r="Z58" s="16">
        <f t="shared" si="6"/>
        <v>0</v>
      </c>
      <c r="AA58" s="16">
        <f t="shared" si="0"/>
        <v>0</v>
      </c>
      <c r="AB58" s="16"/>
      <c r="AC58" s="17"/>
      <c r="AD58" s="51"/>
    </row>
    <row r="59" spans="1:30" ht="19.5" thickBot="1" x14ac:dyDescent="0.3">
      <c r="A59" s="14">
        <v>24</v>
      </c>
      <c r="B59" s="15"/>
      <c r="C59" s="15" t="e">
        <f>VLOOKUP(B59,داتا!$B$3:$D$107,2,FALSE)</f>
        <v>#N/A</v>
      </c>
      <c r="D59" s="34" t="e">
        <f>VLOOKUP(B59,داتا!$B$3:$D$107,3,FALSE)</f>
        <v>#N/A</v>
      </c>
      <c r="E59" s="16"/>
      <c r="F59" s="15"/>
      <c r="G59" s="16">
        <v>0.25</v>
      </c>
      <c r="H59" s="16" t="e">
        <f t="shared" si="8"/>
        <v>#N/A</v>
      </c>
      <c r="I59" s="16" t="e">
        <f t="shared" si="1"/>
        <v>#N/A</v>
      </c>
      <c r="J59" s="16"/>
      <c r="K59" s="16"/>
      <c r="L59" s="15"/>
      <c r="M59" s="15"/>
      <c r="N59" s="16">
        <f t="shared" si="2"/>
        <v>0</v>
      </c>
      <c r="O59" s="16" t="e">
        <f t="shared" si="3"/>
        <v>#N/A</v>
      </c>
      <c r="P59" s="16">
        <v>6.9444444444444397E-3</v>
      </c>
      <c r="Q59" s="16"/>
      <c r="R59" s="16">
        <f t="shared" si="4"/>
        <v>-6.9444444444444397E-3</v>
      </c>
      <c r="S59" s="16"/>
      <c r="T59" s="16" t="e">
        <f>VLOOKUP(E59,'[2]21-3-2026'!E$3:T$35,16,FALSE)</f>
        <v>#N/A</v>
      </c>
      <c r="U59" s="16"/>
      <c r="V59" s="16" t="e">
        <f t="shared" si="5"/>
        <v>#N/A</v>
      </c>
      <c r="W59" s="16"/>
      <c r="X59" s="16"/>
      <c r="Y59" s="16"/>
      <c r="Z59" s="16">
        <f t="shared" si="6"/>
        <v>0</v>
      </c>
      <c r="AA59" s="16">
        <f t="shared" si="0"/>
        <v>0</v>
      </c>
      <c r="AB59" s="16"/>
      <c r="AC59" s="17"/>
      <c r="AD59" s="51"/>
    </row>
    <row r="60" spans="1:30" ht="19.5" thickBot="1" x14ac:dyDescent="0.3">
      <c r="A60" s="14">
        <v>25</v>
      </c>
      <c r="B60" s="15"/>
      <c r="C60" s="15" t="e">
        <f>VLOOKUP(B60,داتا!$B$3:$D$107,2,FALSE)</f>
        <v>#N/A</v>
      </c>
      <c r="D60" s="34" t="e">
        <f>VLOOKUP(B60,داتا!$B$3:$D$107,3,FALSE)</f>
        <v>#N/A</v>
      </c>
      <c r="E60" s="15"/>
      <c r="F60" s="15"/>
      <c r="G60" s="16">
        <v>0.25</v>
      </c>
      <c r="H60" s="16" t="e">
        <f t="shared" si="8"/>
        <v>#N/A</v>
      </c>
      <c r="I60" s="16" t="e">
        <f t="shared" si="1"/>
        <v>#N/A</v>
      </c>
      <c r="J60" s="16"/>
      <c r="K60" s="16"/>
      <c r="L60" s="16"/>
      <c r="M60" s="16"/>
      <c r="N60" s="16">
        <f t="shared" si="2"/>
        <v>0</v>
      </c>
      <c r="O60" s="16" t="e">
        <f t="shared" si="3"/>
        <v>#N/A</v>
      </c>
      <c r="P60" s="16">
        <v>6.9444444444444397E-3</v>
      </c>
      <c r="Q60" s="16"/>
      <c r="R60" s="16">
        <f t="shared" si="4"/>
        <v>-6.9444444444444397E-3</v>
      </c>
      <c r="S60" s="16"/>
      <c r="T60" s="16" t="e">
        <f>VLOOKUP(E60,'[2]21-3-2026'!E$3:T$35,16,FALSE)</f>
        <v>#N/A</v>
      </c>
      <c r="U60" s="16"/>
      <c r="V60" s="16" t="e">
        <f t="shared" si="5"/>
        <v>#N/A</v>
      </c>
      <c r="W60" s="16"/>
      <c r="X60" s="16"/>
      <c r="Y60" s="16"/>
      <c r="Z60" s="16">
        <f t="shared" si="6"/>
        <v>0</v>
      </c>
      <c r="AA60" s="16">
        <f t="shared" si="0"/>
        <v>0</v>
      </c>
      <c r="AB60" s="16"/>
      <c r="AC60" s="17"/>
      <c r="AD60" s="51"/>
    </row>
    <row r="61" spans="1:30" ht="19.5" thickBot="1" x14ac:dyDescent="0.3">
      <c r="A61" s="14">
        <v>26</v>
      </c>
      <c r="B61" s="15"/>
      <c r="C61" s="15" t="e">
        <f>VLOOKUP(B61,داتا!$B$3:$D$107,2,FALSE)</f>
        <v>#N/A</v>
      </c>
      <c r="D61" s="34" t="e">
        <f>VLOOKUP(B61,داتا!$B$3:$D$107,3,FALSE)</f>
        <v>#N/A</v>
      </c>
      <c r="E61" s="15"/>
      <c r="F61" s="15"/>
      <c r="G61" s="16">
        <v>0.25</v>
      </c>
      <c r="H61" s="16" t="e">
        <f t="shared" si="8"/>
        <v>#N/A</v>
      </c>
      <c r="I61" s="16" t="e">
        <f t="shared" si="1"/>
        <v>#N/A</v>
      </c>
      <c r="J61" s="16"/>
      <c r="K61" s="16"/>
      <c r="L61" s="16"/>
      <c r="M61" s="16"/>
      <c r="N61" s="16">
        <f t="shared" si="2"/>
        <v>0</v>
      </c>
      <c r="O61" s="16" t="e">
        <f t="shared" si="3"/>
        <v>#N/A</v>
      </c>
      <c r="P61" s="16">
        <v>6.9444444444444397E-3</v>
      </c>
      <c r="Q61" s="16"/>
      <c r="R61" s="16">
        <f t="shared" si="4"/>
        <v>-6.9444444444444397E-3</v>
      </c>
      <c r="S61" s="16"/>
      <c r="T61" s="16" t="e">
        <f>VLOOKUP(E61,'[2]21-3-2026'!E$3:T$35,16,FALSE)</f>
        <v>#N/A</v>
      </c>
      <c r="U61" s="16"/>
      <c r="V61" s="16" t="e">
        <f t="shared" si="5"/>
        <v>#N/A</v>
      </c>
      <c r="W61" s="16"/>
      <c r="X61" s="16"/>
      <c r="Y61" s="16"/>
      <c r="Z61" s="16">
        <f t="shared" si="6"/>
        <v>0</v>
      </c>
      <c r="AA61" s="16">
        <f t="shared" si="0"/>
        <v>0</v>
      </c>
      <c r="AB61" s="16"/>
      <c r="AC61" s="17"/>
      <c r="AD61" s="51"/>
    </row>
    <row r="62" spans="1:30" ht="19.5" thickBot="1" x14ac:dyDescent="0.3">
      <c r="A62" s="14">
        <v>27</v>
      </c>
      <c r="B62" s="15"/>
      <c r="C62" s="15" t="e">
        <f>VLOOKUP(B62,داتا!$B$3:$D$107,2,FALSE)</f>
        <v>#N/A</v>
      </c>
      <c r="D62" s="34" t="e">
        <f>VLOOKUP(B62,داتا!$B$3:$D$107,3,FALSE)</f>
        <v>#N/A</v>
      </c>
      <c r="E62" s="15"/>
      <c r="F62" s="15"/>
      <c r="G62" s="16">
        <v>0.25</v>
      </c>
      <c r="H62" s="16" t="e">
        <f t="shared" si="8"/>
        <v>#N/A</v>
      </c>
      <c r="I62" s="16" t="e">
        <f t="shared" si="1"/>
        <v>#N/A</v>
      </c>
      <c r="J62" s="16"/>
      <c r="K62" s="16"/>
      <c r="L62" s="16"/>
      <c r="M62" s="16"/>
      <c r="N62" s="16">
        <f t="shared" si="2"/>
        <v>0</v>
      </c>
      <c r="O62" s="16" t="e">
        <f t="shared" si="3"/>
        <v>#N/A</v>
      </c>
      <c r="P62" s="16">
        <v>6.9444444444444397E-3</v>
      </c>
      <c r="Q62" s="16"/>
      <c r="R62" s="16">
        <f t="shared" si="4"/>
        <v>-6.9444444444444397E-3</v>
      </c>
      <c r="S62" s="16"/>
      <c r="T62" s="16" t="e">
        <f>VLOOKUP(E62,'[2]21-3-2026'!E$3:T$35,16,FALSE)</f>
        <v>#N/A</v>
      </c>
      <c r="U62" s="16"/>
      <c r="V62" s="16" t="e">
        <f t="shared" si="5"/>
        <v>#N/A</v>
      </c>
      <c r="W62" s="16"/>
      <c r="X62" s="16"/>
      <c r="Y62" s="16"/>
      <c r="Z62" s="16">
        <f t="shared" si="6"/>
        <v>0</v>
      </c>
      <c r="AA62" s="16">
        <f t="shared" si="0"/>
        <v>0</v>
      </c>
      <c r="AB62" s="16"/>
      <c r="AC62" s="17"/>
      <c r="AD62" s="51"/>
    </row>
    <row r="63" spans="1:30" ht="19.5" thickBot="1" x14ac:dyDescent="0.3">
      <c r="A63" s="14">
        <v>28</v>
      </c>
      <c r="B63" s="15"/>
      <c r="C63" s="15" t="e">
        <f>VLOOKUP(B63,داتا!$B$3:$D$107,2,FALSE)</f>
        <v>#N/A</v>
      </c>
      <c r="D63" s="34" t="e">
        <f>VLOOKUP(B63,داتا!$B$3:$D$107,3,FALSE)</f>
        <v>#N/A</v>
      </c>
      <c r="E63" s="15"/>
      <c r="F63" s="15"/>
      <c r="G63" s="16">
        <v>0.25</v>
      </c>
      <c r="H63" s="16" t="e">
        <f t="shared" si="8"/>
        <v>#N/A</v>
      </c>
      <c r="I63" s="16" t="e">
        <f t="shared" si="1"/>
        <v>#N/A</v>
      </c>
      <c r="J63" s="16"/>
      <c r="K63" s="16"/>
      <c r="L63" s="16"/>
      <c r="M63" s="16"/>
      <c r="N63" s="16">
        <f t="shared" si="2"/>
        <v>0</v>
      </c>
      <c r="O63" s="16" t="e">
        <f t="shared" si="3"/>
        <v>#N/A</v>
      </c>
      <c r="P63" s="16">
        <v>6.9444444444444397E-3</v>
      </c>
      <c r="Q63" s="16"/>
      <c r="R63" s="16">
        <f t="shared" si="4"/>
        <v>-6.9444444444444397E-3</v>
      </c>
      <c r="S63" s="16"/>
      <c r="T63" s="16" t="e">
        <f>VLOOKUP(E63,'[2]21-3-2026'!E$3:T$35,16,FALSE)</f>
        <v>#N/A</v>
      </c>
      <c r="U63" s="16"/>
      <c r="V63" s="16" t="e">
        <f t="shared" si="5"/>
        <v>#N/A</v>
      </c>
      <c r="W63" s="16"/>
      <c r="X63" s="16"/>
      <c r="Y63" s="16"/>
      <c r="Z63" s="16">
        <f t="shared" si="6"/>
        <v>0</v>
      </c>
      <c r="AA63" s="16">
        <f t="shared" si="0"/>
        <v>0</v>
      </c>
      <c r="AB63" s="16"/>
      <c r="AC63" s="17"/>
      <c r="AD63" s="51"/>
    </row>
    <row r="64" spans="1:30" ht="19.5" thickBot="1" x14ac:dyDescent="0.3">
      <c r="A64" s="14">
        <v>29</v>
      </c>
      <c r="B64" s="15"/>
      <c r="C64" s="15" t="e">
        <f>VLOOKUP(B64,داتا!$B$3:$D$107,2,FALSE)</f>
        <v>#N/A</v>
      </c>
      <c r="D64" s="34" t="e">
        <f>VLOOKUP(B64,داتا!$B$3:$D$107,3,FALSE)</f>
        <v>#N/A</v>
      </c>
      <c r="E64" s="15"/>
      <c r="F64" s="15"/>
      <c r="G64" s="16">
        <v>0.25</v>
      </c>
      <c r="H64" s="16" t="e">
        <f t="shared" si="8"/>
        <v>#N/A</v>
      </c>
      <c r="I64" s="16" t="e">
        <f t="shared" si="1"/>
        <v>#N/A</v>
      </c>
      <c r="J64" s="16"/>
      <c r="K64" s="16"/>
      <c r="L64" s="16"/>
      <c r="M64" s="16"/>
      <c r="N64" s="16">
        <f t="shared" si="2"/>
        <v>0</v>
      </c>
      <c r="O64" s="16" t="e">
        <f t="shared" si="3"/>
        <v>#N/A</v>
      </c>
      <c r="P64" s="16">
        <v>6.9444444444444397E-3</v>
      </c>
      <c r="Q64" s="16"/>
      <c r="R64" s="16">
        <f t="shared" si="4"/>
        <v>-6.9444444444444397E-3</v>
      </c>
      <c r="S64" s="16"/>
      <c r="T64" s="16" t="e">
        <f>VLOOKUP(E64,'[2]21-3-2026'!E$3:T$35,16,FALSE)</f>
        <v>#N/A</v>
      </c>
      <c r="U64" s="16"/>
      <c r="V64" s="16" t="e">
        <f t="shared" si="5"/>
        <v>#N/A</v>
      </c>
      <c r="W64" s="16"/>
      <c r="X64" s="16"/>
      <c r="Y64" s="16"/>
      <c r="Z64" s="16">
        <f t="shared" si="6"/>
        <v>0</v>
      </c>
      <c r="AA64" s="16">
        <f t="shared" si="0"/>
        <v>0</v>
      </c>
      <c r="AB64" s="16"/>
      <c r="AC64" s="17"/>
      <c r="AD64" s="51"/>
    </row>
    <row r="65" spans="1:30" ht="19.5" thickBot="1" x14ac:dyDescent="0.3">
      <c r="A65" s="14">
        <v>30</v>
      </c>
      <c r="B65" s="15"/>
      <c r="C65" s="15" t="e">
        <f>VLOOKUP(B65,داتا!$B$3:$D$107,2,FALSE)</f>
        <v>#N/A</v>
      </c>
      <c r="D65" s="34" t="e">
        <f>VLOOKUP(B65,داتا!$B$3:$D$107,3,FALSE)</f>
        <v>#N/A</v>
      </c>
      <c r="E65" s="15"/>
      <c r="F65" s="15"/>
      <c r="G65" s="16">
        <v>0.25</v>
      </c>
      <c r="H65" s="16" t="e">
        <f t="shared" si="8"/>
        <v>#N/A</v>
      </c>
      <c r="I65" s="16" t="e">
        <f t="shared" si="1"/>
        <v>#N/A</v>
      </c>
      <c r="J65" s="16"/>
      <c r="K65" s="16"/>
      <c r="L65" s="16"/>
      <c r="M65" s="16"/>
      <c r="N65" s="16">
        <f t="shared" si="2"/>
        <v>0</v>
      </c>
      <c r="O65" s="16" t="e">
        <f t="shared" si="3"/>
        <v>#N/A</v>
      </c>
      <c r="P65" s="16">
        <v>6.9444444444444397E-3</v>
      </c>
      <c r="Q65" s="16"/>
      <c r="R65" s="16">
        <f t="shared" si="4"/>
        <v>-6.9444444444444397E-3</v>
      </c>
      <c r="S65" s="16"/>
      <c r="T65" s="16" t="e">
        <f>VLOOKUP(E65,'[2]21-3-2026'!E$3:T$35,16,FALSE)</f>
        <v>#N/A</v>
      </c>
      <c r="U65" s="16"/>
      <c r="V65" s="16" t="e">
        <f t="shared" si="5"/>
        <v>#N/A</v>
      </c>
      <c r="W65" s="16"/>
      <c r="X65" s="16"/>
      <c r="Y65" s="16"/>
      <c r="Z65" s="16">
        <f t="shared" si="6"/>
        <v>0</v>
      </c>
      <c r="AA65" s="16">
        <f t="shared" si="0"/>
        <v>0</v>
      </c>
      <c r="AB65" s="16"/>
      <c r="AC65" s="17"/>
      <c r="AD65" s="51"/>
    </row>
    <row r="66" spans="1:30" ht="20.25" customHeight="1" thickBot="1" x14ac:dyDescent="0.3">
      <c r="A66" s="14">
        <v>31</v>
      </c>
      <c r="B66" s="15"/>
      <c r="C66" s="15" t="e">
        <f>VLOOKUP(B66,داتا!$B$3:$D$107,2,FALSE)</f>
        <v>#N/A</v>
      </c>
      <c r="D66" s="34" t="e">
        <f>VLOOKUP(B66,داتا!$B$3:$D$107,3,FALSE)</f>
        <v>#N/A</v>
      </c>
      <c r="E66" s="15"/>
      <c r="F66" s="15"/>
      <c r="G66" s="16">
        <v>0.25</v>
      </c>
      <c r="H66" s="16" t="e">
        <f t="shared" si="8"/>
        <v>#N/A</v>
      </c>
      <c r="I66" s="16" t="e">
        <f t="shared" si="1"/>
        <v>#N/A</v>
      </c>
      <c r="J66" s="16"/>
      <c r="K66" s="16"/>
      <c r="L66" s="16"/>
      <c r="M66" s="16"/>
      <c r="N66" s="16">
        <f t="shared" si="2"/>
        <v>0</v>
      </c>
      <c r="O66" s="16" t="e">
        <f t="shared" si="3"/>
        <v>#N/A</v>
      </c>
      <c r="P66" s="16">
        <v>6.9444444444444397E-3</v>
      </c>
      <c r="Q66" s="16"/>
      <c r="R66" s="16">
        <f t="shared" si="4"/>
        <v>-6.9444444444444397E-3</v>
      </c>
      <c r="S66" s="16"/>
      <c r="T66" s="16" t="e">
        <f>VLOOKUP(E66,'[2]21-3-2026'!E$3:T$35,16,FALSE)</f>
        <v>#N/A</v>
      </c>
      <c r="U66" s="16"/>
      <c r="V66" s="16" t="e">
        <f t="shared" si="5"/>
        <v>#N/A</v>
      </c>
      <c r="W66" s="16"/>
      <c r="X66" s="16"/>
      <c r="Y66" s="16"/>
      <c r="Z66" s="16">
        <f t="shared" si="6"/>
        <v>0</v>
      </c>
      <c r="AA66" s="16">
        <f t="shared" si="0"/>
        <v>0</v>
      </c>
      <c r="AB66" s="16"/>
      <c r="AC66" s="19"/>
      <c r="AD66" s="51"/>
    </row>
    <row r="67" spans="1:30" ht="19.5" customHeight="1" thickBot="1" x14ac:dyDescent="0.3">
      <c r="A67" s="20">
        <v>32</v>
      </c>
      <c r="B67" s="21"/>
      <c r="C67" s="21" t="e">
        <f>VLOOKUP(B67,داتا!$B$3:$D$107,2,FALSE)</f>
        <v>#N/A</v>
      </c>
      <c r="D67" s="35" t="e">
        <f>VLOOKUP(B67,داتا!$B$3:$D$107,3,FALSE)</f>
        <v>#N/A</v>
      </c>
      <c r="E67" s="21"/>
      <c r="F67" s="21"/>
      <c r="G67" s="22">
        <v>0.25</v>
      </c>
      <c r="H67" s="22" t="e">
        <f t="shared" si="8"/>
        <v>#N/A</v>
      </c>
      <c r="I67" s="22" t="e">
        <f t="shared" si="1"/>
        <v>#N/A</v>
      </c>
      <c r="J67" s="22"/>
      <c r="K67" s="22"/>
      <c r="L67" s="22"/>
      <c r="M67" s="22"/>
      <c r="N67" s="22">
        <f t="shared" si="2"/>
        <v>0</v>
      </c>
      <c r="O67" s="22" t="e">
        <f t="shared" si="3"/>
        <v>#N/A</v>
      </c>
      <c r="P67" s="22">
        <v>6.9444444444444397E-3</v>
      </c>
      <c r="Q67" s="22"/>
      <c r="R67" s="22">
        <f t="shared" si="4"/>
        <v>-6.9444444444444397E-3</v>
      </c>
      <c r="S67" s="22"/>
      <c r="T67" s="22" t="e">
        <f>VLOOKUP(E67,'[2]21-3-2026'!E$3:T$35,16,FALSE)</f>
        <v>#N/A</v>
      </c>
      <c r="U67" s="22"/>
      <c r="V67" s="22" t="e">
        <f t="shared" si="5"/>
        <v>#N/A</v>
      </c>
      <c r="W67" s="22"/>
      <c r="X67" s="22"/>
      <c r="Y67" s="22"/>
      <c r="Z67" s="22">
        <f t="shared" si="6"/>
        <v>0</v>
      </c>
      <c r="AA67" s="22">
        <f t="shared" ref="AA67:AA99" si="9">Z67-W67</f>
        <v>0</v>
      </c>
      <c r="AB67" s="22"/>
      <c r="AC67" s="23"/>
      <c r="AD67" s="52"/>
    </row>
    <row r="68" spans="1:30" ht="20.25" thickTop="1" thickBot="1" x14ac:dyDescent="0.3">
      <c r="A68" s="10">
        <v>1</v>
      </c>
      <c r="B68" s="11"/>
      <c r="C68" s="11" t="e">
        <f>VLOOKUP(B68,داتا!$B$3:$D$107,2,FALSE)</f>
        <v>#N/A</v>
      </c>
      <c r="D68" s="33" t="e">
        <f>VLOOKUP(B68,داتا!$B$3:$D$107,3,FALSE)</f>
        <v>#N/A</v>
      </c>
      <c r="E68" s="11"/>
      <c r="F68" s="11"/>
      <c r="G68" s="12">
        <v>8.3333333333333329E-2</v>
      </c>
      <c r="H68" s="12" t="e">
        <f t="shared" si="8"/>
        <v>#N/A</v>
      </c>
      <c r="I68" s="12" t="e">
        <f t="shared" ref="I68:I99" si="10">H68-G68</f>
        <v>#N/A</v>
      </c>
      <c r="J68" s="12"/>
      <c r="K68" s="12"/>
      <c r="L68" s="12"/>
      <c r="M68" s="12"/>
      <c r="N68" s="12">
        <f t="shared" ref="N68:N99" si="11">K68-J68</f>
        <v>0</v>
      </c>
      <c r="O68" s="12" t="e">
        <f t="shared" ref="O68:O99" si="12">N68-D68</f>
        <v>#N/A</v>
      </c>
      <c r="P68" s="12">
        <v>6.9444444444444397E-3</v>
      </c>
      <c r="Q68" s="12"/>
      <c r="R68" s="12">
        <f t="shared" ref="R68:R99" si="13">Q68-P68-K68</f>
        <v>-6.9444444444444397E-3</v>
      </c>
      <c r="S68" s="12"/>
      <c r="T68" s="12" t="e">
        <f>VLOOKUP(E68,'[2]21-3-2026'!E$3:T$35,16,FALSE)</f>
        <v>#N/A</v>
      </c>
      <c r="U68" s="12"/>
      <c r="V68" s="12" t="e">
        <f t="shared" ref="V68:V99" si="14">U68-T68-S68</f>
        <v>#N/A</v>
      </c>
      <c r="W68" s="12"/>
      <c r="X68" s="12"/>
      <c r="Y68" s="12"/>
      <c r="Z68" s="12">
        <f t="shared" ref="Z68:Z99" si="15">Y68-X68</f>
        <v>0</v>
      </c>
      <c r="AA68" s="12">
        <f t="shared" si="9"/>
        <v>0</v>
      </c>
      <c r="AB68" s="12"/>
      <c r="AC68" s="13"/>
      <c r="AD68" s="53" t="s">
        <v>116</v>
      </c>
    </row>
    <row r="69" spans="1:30" ht="19.5" thickBot="1" x14ac:dyDescent="0.3">
      <c r="A69" s="14">
        <v>2</v>
      </c>
      <c r="B69" s="15"/>
      <c r="C69" s="15" t="e">
        <f>VLOOKUP(B69,داتا!$B$3:$D$107,2,FALSE)</f>
        <v>#N/A</v>
      </c>
      <c r="D69" s="34" t="e">
        <f>VLOOKUP(B69,داتا!$B$3:$D$107,3,FALSE)</f>
        <v>#N/A</v>
      </c>
      <c r="E69" s="15"/>
      <c r="F69" s="15"/>
      <c r="G69" s="16">
        <v>8.3333333333333329E-2</v>
      </c>
      <c r="H69" s="16" t="e">
        <f t="shared" ref="H69:H84" si="16">VLOOKUP(G69,$F$3:$I$35,2,FALSE)</f>
        <v>#N/A</v>
      </c>
      <c r="I69" s="16" t="e">
        <f t="shared" si="10"/>
        <v>#N/A</v>
      </c>
      <c r="J69" s="16"/>
      <c r="K69" s="16"/>
      <c r="L69" s="16"/>
      <c r="M69" s="16"/>
      <c r="N69" s="16">
        <f t="shared" si="11"/>
        <v>0</v>
      </c>
      <c r="O69" s="16" t="e">
        <f t="shared" si="12"/>
        <v>#N/A</v>
      </c>
      <c r="P69" s="16">
        <v>6.9444444444444397E-3</v>
      </c>
      <c r="Q69" s="16"/>
      <c r="R69" s="16">
        <f t="shared" si="13"/>
        <v>-6.9444444444444397E-3</v>
      </c>
      <c r="S69" s="16"/>
      <c r="T69" s="16" t="e">
        <f>VLOOKUP(E69,'[2]21-3-2026'!E$3:T$35,16,FALSE)</f>
        <v>#N/A</v>
      </c>
      <c r="U69" s="16"/>
      <c r="V69" s="16" t="e">
        <f t="shared" si="14"/>
        <v>#N/A</v>
      </c>
      <c r="W69" s="16"/>
      <c r="X69" s="16"/>
      <c r="Y69" s="16"/>
      <c r="Z69" s="16">
        <f t="shared" si="15"/>
        <v>0</v>
      </c>
      <c r="AA69" s="16">
        <f t="shared" si="9"/>
        <v>0</v>
      </c>
      <c r="AB69" s="16"/>
      <c r="AC69" s="17"/>
      <c r="AD69" s="51"/>
    </row>
    <row r="70" spans="1:30" ht="19.5" thickBot="1" x14ac:dyDescent="0.3">
      <c r="A70" s="14">
        <v>3</v>
      </c>
      <c r="B70" s="15"/>
      <c r="C70" s="15" t="e">
        <f>VLOOKUP(B70,داتا!$B$3:$D$107,2,FALSE)</f>
        <v>#N/A</v>
      </c>
      <c r="D70" s="34" t="e">
        <f>VLOOKUP(B70,داتا!$B$3:$D$107,3,FALSE)</f>
        <v>#N/A</v>
      </c>
      <c r="E70" s="15"/>
      <c r="F70" s="15"/>
      <c r="G70" s="16">
        <v>8.3333333333333329E-2</v>
      </c>
      <c r="H70" s="16" t="e">
        <f t="shared" si="16"/>
        <v>#N/A</v>
      </c>
      <c r="I70" s="16" t="e">
        <f t="shared" si="10"/>
        <v>#N/A</v>
      </c>
      <c r="J70" s="16"/>
      <c r="K70" s="16"/>
      <c r="L70" s="16"/>
      <c r="M70" s="16"/>
      <c r="N70" s="16">
        <f t="shared" si="11"/>
        <v>0</v>
      </c>
      <c r="O70" s="16" t="e">
        <f t="shared" si="12"/>
        <v>#N/A</v>
      </c>
      <c r="P70" s="16">
        <v>6.9444444444444397E-3</v>
      </c>
      <c r="Q70" s="16"/>
      <c r="R70" s="16">
        <f t="shared" si="13"/>
        <v>-6.9444444444444397E-3</v>
      </c>
      <c r="S70" s="16"/>
      <c r="T70" s="16" t="e">
        <f>VLOOKUP(E70,'[2]21-3-2026'!E$3:T$35,16,FALSE)</f>
        <v>#N/A</v>
      </c>
      <c r="U70" s="16"/>
      <c r="V70" s="16" t="e">
        <f t="shared" si="14"/>
        <v>#N/A</v>
      </c>
      <c r="W70" s="16"/>
      <c r="X70" s="16"/>
      <c r="Y70" s="16"/>
      <c r="Z70" s="16">
        <f t="shared" si="15"/>
        <v>0</v>
      </c>
      <c r="AA70" s="16">
        <f t="shared" si="9"/>
        <v>0</v>
      </c>
      <c r="AB70" s="16"/>
      <c r="AC70" s="17"/>
      <c r="AD70" s="51"/>
    </row>
    <row r="71" spans="1:30" ht="19.5" thickBot="1" x14ac:dyDescent="0.3">
      <c r="A71" s="14">
        <v>4</v>
      </c>
      <c r="B71" s="15"/>
      <c r="C71" s="15" t="e">
        <f>VLOOKUP(B71,داتا!$B$3:$D$107,2,FALSE)</f>
        <v>#N/A</v>
      </c>
      <c r="D71" s="34" t="e">
        <f>VLOOKUP(B71,داتا!$B$3:$D$107,3,FALSE)</f>
        <v>#N/A</v>
      </c>
      <c r="E71" s="15"/>
      <c r="F71" s="15"/>
      <c r="G71" s="16">
        <v>8.3333333333333329E-2</v>
      </c>
      <c r="H71" s="16" t="e">
        <f t="shared" si="16"/>
        <v>#N/A</v>
      </c>
      <c r="I71" s="16" t="e">
        <f t="shared" si="10"/>
        <v>#N/A</v>
      </c>
      <c r="J71" s="16"/>
      <c r="K71" s="16"/>
      <c r="L71" s="16"/>
      <c r="M71" s="16"/>
      <c r="N71" s="16">
        <f t="shared" si="11"/>
        <v>0</v>
      </c>
      <c r="O71" s="16" t="e">
        <f t="shared" si="12"/>
        <v>#N/A</v>
      </c>
      <c r="P71" s="16">
        <v>6.9444444444444397E-3</v>
      </c>
      <c r="Q71" s="16"/>
      <c r="R71" s="16">
        <f t="shared" si="13"/>
        <v>-6.9444444444444397E-3</v>
      </c>
      <c r="S71" s="16"/>
      <c r="T71" s="16" t="e">
        <f>VLOOKUP(E71,'[2]21-3-2026'!E$3:T$35,16,FALSE)</f>
        <v>#N/A</v>
      </c>
      <c r="U71" s="16"/>
      <c r="V71" s="16" t="e">
        <f t="shared" si="14"/>
        <v>#N/A</v>
      </c>
      <c r="W71" s="16"/>
      <c r="X71" s="16"/>
      <c r="Y71" s="16"/>
      <c r="Z71" s="16">
        <f t="shared" si="15"/>
        <v>0</v>
      </c>
      <c r="AA71" s="16">
        <f t="shared" si="9"/>
        <v>0</v>
      </c>
      <c r="AB71" s="16"/>
      <c r="AC71" s="17"/>
      <c r="AD71" s="51"/>
    </row>
    <row r="72" spans="1:30" ht="19.5" thickBot="1" x14ac:dyDescent="0.3">
      <c r="A72" s="14">
        <v>5</v>
      </c>
      <c r="B72" s="15"/>
      <c r="C72" s="15" t="e">
        <f>VLOOKUP(B72,داتا!$B$3:$D$107,2,FALSE)</f>
        <v>#N/A</v>
      </c>
      <c r="D72" s="34" t="e">
        <f>VLOOKUP(B72,داتا!$B$3:$D$107,3,FALSE)</f>
        <v>#N/A</v>
      </c>
      <c r="E72" s="15"/>
      <c r="F72" s="15"/>
      <c r="G72" s="16">
        <v>8.3333333333333329E-2</v>
      </c>
      <c r="H72" s="16" t="e">
        <f t="shared" si="16"/>
        <v>#N/A</v>
      </c>
      <c r="I72" s="16" t="e">
        <f t="shared" si="10"/>
        <v>#N/A</v>
      </c>
      <c r="J72" s="16"/>
      <c r="K72" s="16"/>
      <c r="L72" s="16"/>
      <c r="M72" s="16"/>
      <c r="N72" s="16">
        <f t="shared" si="11"/>
        <v>0</v>
      </c>
      <c r="O72" s="16" t="e">
        <f t="shared" si="12"/>
        <v>#N/A</v>
      </c>
      <c r="P72" s="16">
        <v>6.9444444444444397E-3</v>
      </c>
      <c r="Q72" s="16"/>
      <c r="R72" s="16">
        <f t="shared" si="13"/>
        <v>-6.9444444444444397E-3</v>
      </c>
      <c r="S72" s="16"/>
      <c r="T72" s="16" t="e">
        <f>VLOOKUP(E72,'[2]21-3-2026'!E$3:T$35,16,FALSE)</f>
        <v>#N/A</v>
      </c>
      <c r="U72" s="16"/>
      <c r="V72" s="16" t="e">
        <f t="shared" si="14"/>
        <v>#N/A</v>
      </c>
      <c r="W72" s="16"/>
      <c r="X72" s="16"/>
      <c r="Y72" s="16"/>
      <c r="Z72" s="16">
        <f t="shared" si="15"/>
        <v>0</v>
      </c>
      <c r="AA72" s="16">
        <f t="shared" si="9"/>
        <v>0</v>
      </c>
      <c r="AB72" s="16"/>
      <c r="AC72" s="17"/>
      <c r="AD72" s="51"/>
    </row>
    <row r="73" spans="1:30" ht="19.5" thickBot="1" x14ac:dyDescent="0.3">
      <c r="A73" s="14">
        <v>6</v>
      </c>
      <c r="B73" s="15"/>
      <c r="C73" s="15" t="e">
        <f>VLOOKUP(B73,داتا!$B$3:$D$107,2,FALSE)</f>
        <v>#N/A</v>
      </c>
      <c r="D73" s="34" t="e">
        <f>VLOOKUP(B73,داتا!$B$3:$D$107,3,FALSE)</f>
        <v>#N/A</v>
      </c>
      <c r="E73" s="15"/>
      <c r="F73" s="15"/>
      <c r="G73" s="16">
        <v>8.3333333333333329E-2</v>
      </c>
      <c r="H73" s="16" t="e">
        <f t="shared" si="16"/>
        <v>#N/A</v>
      </c>
      <c r="I73" s="16" t="e">
        <f t="shared" si="10"/>
        <v>#N/A</v>
      </c>
      <c r="J73" s="16"/>
      <c r="K73" s="16"/>
      <c r="L73" s="16"/>
      <c r="M73" s="16"/>
      <c r="N73" s="16">
        <f t="shared" si="11"/>
        <v>0</v>
      </c>
      <c r="O73" s="16" t="e">
        <f t="shared" si="12"/>
        <v>#N/A</v>
      </c>
      <c r="P73" s="16">
        <v>6.9444444444444397E-3</v>
      </c>
      <c r="Q73" s="16"/>
      <c r="R73" s="16">
        <f t="shared" si="13"/>
        <v>-6.9444444444444397E-3</v>
      </c>
      <c r="S73" s="16"/>
      <c r="T73" s="16" t="e">
        <f>VLOOKUP(E73,'[2]21-3-2026'!E$3:T$35,16,FALSE)</f>
        <v>#N/A</v>
      </c>
      <c r="U73" s="16"/>
      <c r="V73" s="16" t="e">
        <f t="shared" si="14"/>
        <v>#N/A</v>
      </c>
      <c r="W73" s="16"/>
      <c r="X73" s="16"/>
      <c r="Y73" s="16"/>
      <c r="Z73" s="16">
        <f t="shared" si="15"/>
        <v>0</v>
      </c>
      <c r="AA73" s="16">
        <f t="shared" si="9"/>
        <v>0</v>
      </c>
      <c r="AB73" s="16"/>
      <c r="AC73" s="17"/>
      <c r="AD73" s="51"/>
    </row>
    <row r="74" spans="1:30" ht="19.5" thickBot="1" x14ac:dyDescent="0.3">
      <c r="A74" s="14">
        <v>7</v>
      </c>
      <c r="B74" s="15"/>
      <c r="C74" s="15" t="e">
        <f>VLOOKUP(B74,داتا!$B$3:$D$107,2,FALSE)</f>
        <v>#N/A</v>
      </c>
      <c r="D74" s="34" t="e">
        <f>VLOOKUP(B74,داتا!$B$3:$D$107,3,FALSE)</f>
        <v>#N/A</v>
      </c>
      <c r="E74" s="15"/>
      <c r="F74" s="15"/>
      <c r="G74" s="16">
        <v>8.3333333333333329E-2</v>
      </c>
      <c r="H74" s="16" t="e">
        <f t="shared" si="16"/>
        <v>#N/A</v>
      </c>
      <c r="I74" s="16" t="e">
        <f t="shared" si="10"/>
        <v>#N/A</v>
      </c>
      <c r="J74" s="16"/>
      <c r="K74" s="16"/>
      <c r="L74" s="16"/>
      <c r="M74" s="16"/>
      <c r="N74" s="16">
        <f t="shared" si="11"/>
        <v>0</v>
      </c>
      <c r="O74" s="16" t="e">
        <f t="shared" si="12"/>
        <v>#N/A</v>
      </c>
      <c r="P74" s="16">
        <v>6.9444444444444397E-3</v>
      </c>
      <c r="Q74" s="16"/>
      <c r="R74" s="16">
        <f t="shared" si="13"/>
        <v>-6.9444444444444397E-3</v>
      </c>
      <c r="S74" s="16"/>
      <c r="T74" s="16" t="e">
        <f>VLOOKUP(E74,'[2]21-3-2026'!E$3:T$35,16,FALSE)</f>
        <v>#N/A</v>
      </c>
      <c r="U74" s="16"/>
      <c r="V74" s="16" t="e">
        <f t="shared" si="14"/>
        <v>#N/A</v>
      </c>
      <c r="W74" s="16"/>
      <c r="X74" s="16"/>
      <c r="Y74" s="16"/>
      <c r="Z74" s="16">
        <f t="shared" si="15"/>
        <v>0</v>
      </c>
      <c r="AA74" s="16">
        <f t="shared" si="9"/>
        <v>0</v>
      </c>
      <c r="AB74" s="16"/>
      <c r="AC74" s="17"/>
      <c r="AD74" s="51"/>
    </row>
    <row r="75" spans="1:30" ht="19.5" thickBot="1" x14ac:dyDescent="0.3">
      <c r="A75" s="14">
        <v>8</v>
      </c>
      <c r="B75" s="15"/>
      <c r="C75" s="15" t="e">
        <f>VLOOKUP(B75,داتا!$B$3:$D$107,2,FALSE)</f>
        <v>#N/A</v>
      </c>
      <c r="D75" s="34" t="e">
        <f>VLOOKUP(B75,داتا!$B$3:$D$107,3,FALSE)</f>
        <v>#N/A</v>
      </c>
      <c r="E75" s="15"/>
      <c r="F75" s="15"/>
      <c r="G75" s="16">
        <v>8.3333333333333329E-2</v>
      </c>
      <c r="H75" s="16" t="e">
        <f t="shared" si="16"/>
        <v>#N/A</v>
      </c>
      <c r="I75" s="16" t="e">
        <f t="shared" si="10"/>
        <v>#N/A</v>
      </c>
      <c r="J75" s="16"/>
      <c r="K75" s="16"/>
      <c r="L75" s="16"/>
      <c r="M75" s="16"/>
      <c r="N75" s="16">
        <f t="shared" si="11"/>
        <v>0</v>
      </c>
      <c r="O75" s="16" t="e">
        <f t="shared" si="12"/>
        <v>#N/A</v>
      </c>
      <c r="P75" s="16">
        <v>6.9444444444444397E-3</v>
      </c>
      <c r="Q75" s="16"/>
      <c r="R75" s="16">
        <f t="shared" si="13"/>
        <v>-6.9444444444444397E-3</v>
      </c>
      <c r="S75" s="16"/>
      <c r="T75" s="16" t="e">
        <f>VLOOKUP(E75,'[2]21-3-2026'!E$3:T$35,16,FALSE)</f>
        <v>#N/A</v>
      </c>
      <c r="U75" s="16"/>
      <c r="V75" s="16" t="e">
        <f t="shared" si="14"/>
        <v>#N/A</v>
      </c>
      <c r="W75" s="16"/>
      <c r="X75" s="16"/>
      <c r="Y75" s="16"/>
      <c r="Z75" s="16">
        <f t="shared" si="15"/>
        <v>0</v>
      </c>
      <c r="AA75" s="16">
        <f t="shared" si="9"/>
        <v>0</v>
      </c>
      <c r="AB75" s="16"/>
      <c r="AC75" s="17"/>
      <c r="AD75" s="51"/>
    </row>
    <row r="76" spans="1:30" ht="19.5" thickBot="1" x14ac:dyDescent="0.3">
      <c r="A76" s="14">
        <v>9</v>
      </c>
      <c r="B76" s="15"/>
      <c r="C76" s="15" t="e">
        <f>VLOOKUP(B76,داتا!$B$3:$D$107,2,FALSE)</f>
        <v>#N/A</v>
      </c>
      <c r="D76" s="34" t="e">
        <f>VLOOKUP(B76,داتا!$B$3:$D$107,3,FALSE)</f>
        <v>#N/A</v>
      </c>
      <c r="E76" s="16"/>
      <c r="F76" s="15"/>
      <c r="G76" s="16">
        <v>8.3333333333333329E-2</v>
      </c>
      <c r="H76" s="16" t="e">
        <f t="shared" si="16"/>
        <v>#N/A</v>
      </c>
      <c r="I76" s="16" t="e">
        <f t="shared" si="10"/>
        <v>#N/A</v>
      </c>
      <c r="J76" s="16"/>
      <c r="K76" s="16"/>
      <c r="L76" s="16"/>
      <c r="M76" s="16"/>
      <c r="N76" s="16">
        <f t="shared" si="11"/>
        <v>0</v>
      </c>
      <c r="O76" s="16" t="e">
        <f t="shared" si="12"/>
        <v>#N/A</v>
      </c>
      <c r="P76" s="16">
        <v>6.9444444444444397E-3</v>
      </c>
      <c r="Q76" s="16"/>
      <c r="R76" s="16">
        <f t="shared" si="13"/>
        <v>-6.9444444444444397E-3</v>
      </c>
      <c r="S76" s="16"/>
      <c r="T76" s="16" t="e">
        <f>VLOOKUP(E76,'[2]21-3-2026'!E$3:T$35,16,FALSE)</f>
        <v>#N/A</v>
      </c>
      <c r="U76" s="16"/>
      <c r="V76" s="16" t="e">
        <f t="shared" si="14"/>
        <v>#N/A</v>
      </c>
      <c r="W76" s="16"/>
      <c r="X76" s="16"/>
      <c r="Y76" s="16"/>
      <c r="Z76" s="16">
        <f t="shared" si="15"/>
        <v>0</v>
      </c>
      <c r="AA76" s="16">
        <f t="shared" si="9"/>
        <v>0</v>
      </c>
      <c r="AB76" s="16"/>
      <c r="AC76" s="17"/>
      <c r="AD76" s="51"/>
    </row>
    <row r="77" spans="1:30" ht="19.5" thickBot="1" x14ac:dyDescent="0.3">
      <c r="A77" s="14">
        <v>10</v>
      </c>
      <c r="B77" s="15"/>
      <c r="C77" s="15" t="e">
        <f>VLOOKUP(B77,داتا!$B$3:$D$107,2,FALSE)</f>
        <v>#N/A</v>
      </c>
      <c r="D77" s="34" t="e">
        <f>VLOOKUP(B77,داتا!$B$3:$D$107,3,FALSE)</f>
        <v>#N/A</v>
      </c>
      <c r="E77" s="15"/>
      <c r="F77" s="15"/>
      <c r="G77" s="16">
        <v>8.3333333333333329E-2</v>
      </c>
      <c r="H77" s="16" t="e">
        <f t="shared" si="16"/>
        <v>#N/A</v>
      </c>
      <c r="I77" s="16" t="e">
        <f t="shared" si="10"/>
        <v>#N/A</v>
      </c>
      <c r="J77" s="16"/>
      <c r="K77" s="16"/>
      <c r="L77" s="16"/>
      <c r="M77" s="16"/>
      <c r="N77" s="16">
        <f t="shared" si="11"/>
        <v>0</v>
      </c>
      <c r="O77" s="16" t="e">
        <f t="shared" si="12"/>
        <v>#N/A</v>
      </c>
      <c r="P77" s="16">
        <v>6.9444444444444397E-3</v>
      </c>
      <c r="Q77" s="16"/>
      <c r="R77" s="16">
        <f t="shared" si="13"/>
        <v>-6.9444444444444397E-3</v>
      </c>
      <c r="S77" s="16"/>
      <c r="T77" s="16" t="e">
        <f>VLOOKUP(E77,'[2]21-3-2026'!E$3:T$35,16,FALSE)</f>
        <v>#N/A</v>
      </c>
      <c r="U77" s="16"/>
      <c r="V77" s="16" t="e">
        <f t="shared" si="14"/>
        <v>#N/A</v>
      </c>
      <c r="W77" s="16"/>
      <c r="X77" s="16"/>
      <c r="Y77" s="16"/>
      <c r="Z77" s="16">
        <f t="shared" si="15"/>
        <v>0</v>
      </c>
      <c r="AA77" s="16">
        <f t="shared" si="9"/>
        <v>0</v>
      </c>
      <c r="AB77" s="16"/>
      <c r="AC77" s="17"/>
      <c r="AD77" s="51"/>
    </row>
    <row r="78" spans="1:30" ht="19.5" thickBot="1" x14ac:dyDescent="0.3">
      <c r="A78" s="14">
        <v>11</v>
      </c>
      <c r="B78" s="15"/>
      <c r="C78" s="15" t="e">
        <f>VLOOKUP(B78,داتا!$B$3:$D$107,2,FALSE)</f>
        <v>#N/A</v>
      </c>
      <c r="D78" s="34" t="e">
        <f>VLOOKUP(B78,داتا!$B$3:$D$107,3,FALSE)</f>
        <v>#N/A</v>
      </c>
      <c r="E78" s="15"/>
      <c r="F78" s="15"/>
      <c r="G78" s="16">
        <v>8.3333333333333329E-2</v>
      </c>
      <c r="H78" s="16" t="e">
        <f t="shared" si="16"/>
        <v>#N/A</v>
      </c>
      <c r="I78" s="16" t="e">
        <f t="shared" si="10"/>
        <v>#N/A</v>
      </c>
      <c r="J78" s="16"/>
      <c r="K78" s="16"/>
      <c r="L78" s="16"/>
      <c r="M78" s="16"/>
      <c r="N78" s="16">
        <f t="shared" si="11"/>
        <v>0</v>
      </c>
      <c r="O78" s="16" t="e">
        <f t="shared" si="12"/>
        <v>#N/A</v>
      </c>
      <c r="P78" s="16">
        <v>6.9444444444444397E-3</v>
      </c>
      <c r="Q78" s="16"/>
      <c r="R78" s="16">
        <f t="shared" si="13"/>
        <v>-6.9444444444444397E-3</v>
      </c>
      <c r="S78" s="16"/>
      <c r="T78" s="16" t="e">
        <f>VLOOKUP(E78,'[2]21-3-2026'!E$3:T$35,16,FALSE)</f>
        <v>#N/A</v>
      </c>
      <c r="U78" s="16"/>
      <c r="V78" s="16" t="e">
        <f t="shared" si="14"/>
        <v>#N/A</v>
      </c>
      <c r="W78" s="16"/>
      <c r="X78" s="16"/>
      <c r="Y78" s="16"/>
      <c r="Z78" s="16">
        <f t="shared" si="15"/>
        <v>0</v>
      </c>
      <c r="AA78" s="16">
        <f t="shared" si="9"/>
        <v>0</v>
      </c>
      <c r="AB78" s="16"/>
      <c r="AC78" s="17"/>
      <c r="AD78" s="51"/>
    </row>
    <row r="79" spans="1:30" ht="19.5" thickBot="1" x14ac:dyDescent="0.3">
      <c r="A79" s="14">
        <v>12</v>
      </c>
      <c r="B79" s="15"/>
      <c r="C79" s="15" t="e">
        <f>VLOOKUP(B79,داتا!$B$3:$D$107,2,FALSE)</f>
        <v>#N/A</v>
      </c>
      <c r="D79" s="34" t="e">
        <f>VLOOKUP(B79,داتا!$B$3:$D$107,3,FALSE)</f>
        <v>#N/A</v>
      </c>
      <c r="E79" s="15"/>
      <c r="F79" s="15"/>
      <c r="G79" s="16">
        <v>8.3333333333333329E-2</v>
      </c>
      <c r="H79" s="16" t="e">
        <f t="shared" si="16"/>
        <v>#N/A</v>
      </c>
      <c r="I79" s="16" t="e">
        <f t="shared" si="10"/>
        <v>#N/A</v>
      </c>
      <c r="J79" s="16"/>
      <c r="K79" s="16"/>
      <c r="L79" s="16"/>
      <c r="M79" s="16"/>
      <c r="N79" s="16">
        <f t="shared" si="11"/>
        <v>0</v>
      </c>
      <c r="O79" s="16" t="e">
        <f t="shared" si="12"/>
        <v>#N/A</v>
      </c>
      <c r="P79" s="16">
        <v>6.9444444444444397E-3</v>
      </c>
      <c r="Q79" s="16"/>
      <c r="R79" s="16">
        <f t="shared" si="13"/>
        <v>-6.9444444444444397E-3</v>
      </c>
      <c r="S79" s="16"/>
      <c r="T79" s="16" t="e">
        <f>VLOOKUP(E79,'[2]21-3-2026'!E$3:T$35,16,FALSE)</f>
        <v>#N/A</v>
      </c>
      <c r="U79" s="16"/>
      <c r="V79" s="16" t="e">
        <f t="shared" si="14"/>
        <v>#N/A</v>
      </c>
      <c r="W79" s="16"/>
      <c r="X79" s="16"/>
      <c r="Y79" s="16"/>
      <c r="Z79" s="16">
        <f t="shared" si="15"/>
        <v>0</v>
      </c>
      <c r="AA79" s="16">
        <f t="shared" si="9"/>
        <v>0</v>
      </c>
      <c r="AB79" s="16"/>
      <c r="AC79" s="17"/>
      <c r="AD79" s="51"/>
    </row>
    <row r="80" spans="1:30" ht="19.5" thickBot="1" x14ac:dyDescent="0.3">
      <c r="A80" s="14">
        <v>13</v>
      </c>
      <c r="B80" s="15"/>
      <c r="C80" s="15" t="e">
        <f>VLOOKUP(B80,داتا!$B$3:$D$107,2,FALSE)</f>
        <v>#N/A</v>
      </c>
      <c r="D80" s="34" t="e">
        <f>VLOOKUP(B80,داتا!$B$3:$D$107,3,FALSE)</f>
        <v>#N/A</v>
      </c>
      <c r="E80" s="15"/>
      <c r="F80" s="15"/>
      <c r="G80" s="16">
        <v>8.3333333333333329E-2</v>
      </c>
      <c r="H80" s="16" t="e">
        <f t="shared" si="16"/>
        <v>#N/A</v>
      </c>
      <c r="I80" s="16" t="e">
        <f t="shared" si="10"/>
        <v>#N/A</v>
      </c>
      <c r="J80" s="16"/>
      <c r="K80" s="16"/>
      <c r="L80" s="16"/>
      <c r="M80" s="16"/>
      <c r="N80" s="16">
        <f t="shared" si="11"/>
        <v>0</v>
      </c>
      <c r="O80" s="16" t="e">
        <f t="shared" si="12"/>
        <v>#N/A</v>
      </c>
      <c r="P80" s="16">
        <v>6.9444444444444397E-3</v>
      </c>
      <c r="Q80" s="16"/>
      <c r="R80" s="16">
        <f t="shared" si="13"/>
        <v>-6.9444444444444397E-3</v>
      </c>
      <c r="S80" s="16"/>
      <c r="T80" s="16" t="e">
        <f>VLOOKUP(E80,'[2]21-3-2026'!E$3:T$35,16,FALSE)</f>
        <v>#N/A</v>
      </c>
      <c r="U80" s="16"/>
      <c r="V80" s="16" t="e">
        <f t="shared" si="14"/>
        <v>#N/A</v>
      </c>
      <c r="W80" s="16"/>
      <c r="X80" s="16"/>
      <c r="Y80" s="16"/>
      <c r="Z80" s="16">
        <f t="shared" si="15"/>
        <v>0</v>
      </c>
      <c r="AA80" s="16">
        <f t="shared" si="9"/>
        <v>0</v>
      </c>
      <c r="AB80" s="16"/>
      <c r="AC80" s="17"/>
      <c r="AD80" s="51"/>
    </row>
    <row r="81" spans="1:30" ht="19.5" thickBot="1" x14ac:dyDescent="0.3">
      <c r="A81" s="14">
        <v>14</v>
      </c>
      <c r="B81" s="15"/>
      <c r="C81" s="15" t="e">
        <f>VLOOKUP(B81,داتا!$B$3:$D$107,2,FALSE)</f>
        <v>#N/A</v>
      </c>
      <c r="D81" s="34" t="e">
        <f>VLOOKUP(B81,داتا!$B$3:$D$107,3,FALSE)</f>
        <v>#N/A</v>
      </c>
      <c r="E81" s="15"/>
      <c r="F81" s="15"/>
      <c r="G81" s="16">
        <v>8.3333333333333329E-2</v>
      </c>
      <c r="H81" s="16" t="e">
        <f t="shared" si="16"/>
        <v>#N/A</v>
      </c>
      <c r="I81" s="16" t="e">
        <f t="shared" si="10"/>
        <v>#N/A</v>
      </c>
      <c r="J81" s="16"/>
      <c r="K81" s="16"/>
      <c r="L81" s="16"/>
      <c r="M81" s="16"/>
      <c r="N81" s="16">
        <f t="shared" si="11"/>
        <v>0</v>
      </c>
      <c r="O81" s="16" t="e">
        <f t="shared" si="12"/>
        <v>#N/A</v>
      </c>
      <c r="P81" s="16">
        <v>6.9444444444444397E-3</v>
      </c>
      <c r="Q81" s="16"/>
      <c r="R81" s="16">
        <f t="shared" si="13"/>
        <v>-6.9444444444444397E-3</v>
      </c>
      <c r="S81" s="16"/>
      <c r="T81" s="16" t="e">
        <f>VLOOKUP(E81,'[2]21-3-2026'!E$3:T$35,16,FALSE)</f>
        <v>#N/A</v>
      </c>
      <c r="U81" s="16"/>
      <c r="V81" s="16" t="e">
        <f t="shared" si="14"/>
        <v>#N/A</v>
      </c>
      <c r="W81" s="16"/>
      <c r="X81" s="16"/>
      <c r="Y81" s="16"/>
      <c r="Z81" s="16">
        <f t="shared" si="15"/>
        <v>0</v>
      </c>
      <c r="AA81" s="16">
        <f t="shared" si="9"/>
        <v>0</v>
      </c>
      <c r="AB81" s="16"/>
      <c r="AC81" s="17"/>
      <c r="AD81" s="51"/>
    </row>
    <row r="82" spans="1:30" ht="19.5" thickBot="1" x14ac:dyDescent="0.3">
      <c r="A82" s="14">
        <v>15</v>
      </c>
      <c r="B82" s="15"/>
      <c r="C82" s="15" t="e">
        <f>VLOOKUP(B82,داتا!$B$3:$D$107,2,FALSE)</f>
        <v>#N/A</v>
      </c>
      <c r="D82" s="34" t="e">
        <f>VLOOKUP(B82,داتا!$B$3:$D$107,3,FALSE)</f>
        <v>#N/A</v>
      </c>
      <c r="E82" s="15"/>
      <c r="F82" s="15"/>
      <c r="G82" s="16">
        <v>8.3333333333333329E-2</v>
      </c>
      <c r="H82" s="16" t="e">
        <f t="shared" si="16"/>
        <v>#N/A</v>
      </c>
      <c r="I82" s="16" t="e">
        <f t="shared" si="10"/>
        <v>#N/A</v>
      </c>
      <c r="J82" s="16"/>
      <c r="K82" s="16"/>
      <c r="L82" s="16"/>
      <c r="M82" s="16"/>
      <c r="N82" s="16">
        <f t="shared" si="11"/>
        <v>0</v>
      </c>
      <c r="O82" s="16" t="e">
        <f t="shared" si="12"/>
        <v>#N/A</v>
      </c>
      <c r="P82" s="16">
        <v>6.9444444444444397E-3</v>
      </c>
      <c r="Q82" s="16"/>
      <c r="R82" s="16">
        <f t="shared" si="13"/>
        <v>-6.9444444444444397E-3</v>
      </c>
      <c r="S82" s="16"/>
      <c r="T82" s="16" t="e">
        <f>VLOOKUP(E82,'[2]21-3-2026'!E$3:T$35,16,FALSE)</f>
        <v>#N/A</v>
      </c>
      <c r="U82" s="16"/>
      <c r="V82" s="16" t="e">
        <f t="shared" si="14"/>
        <v>#N/A</v>
      </c>
      <c r="W82" s="16"/>
      <c r="X82" s="16"/>
      <c r="Y82" s="16"/>
      <c r="Z82" s="16">
        <f t="shared" si="15"/>
        <v>0</v>
      </c>
      <c r="AA82" s="16">
        <f t="shared" si="9"/>
        <v>0</v>
      </c>
      <c r="AB82" s="16"/>
      <c r="AC82" s="17"/>
      <c r="AD82" s="51"/>
    </row>
    <row r="83" spans="1:30" ht="19.5" thickBot="1" x14ac:dyDescent="0.3">
      <c r="A83" s="14">
        <v>16</v>
      </c>
      <c r="B83" s="15"/>
      <c r="C83" s="15" t="e">
        <f>VLOOKUP(B83,داتا!$B$3:$D$107,2,FALSE)</f>
        <v>#N/A</v>
      </c>
      <c r="D83" s="34" t="e">
        <f>VLOOKUP(B83,داتا!$B$3:$D$107,3,FALSE)</f>
        <v>#N/A</v>
      </c>
      <c r="E83" s="15"/>
      <c r="F83" s="15"/>
      <c r="G83" s="16">
        <v>8.3333333333333329E-2</v>
      </c>
      <c r="H83" s="16" t="e">
        <f t="shared" si="16"/>
        <v>#N/A</v>
      </c>
      <c r="I83" s="16" t="e">
        <f t="shared" si="10"/>
        <v>#N/A</v>
      </c>
      <c r="J83" s="16"/>
      <c r="K83" s="16"/>
      <c r="L83" s="16"/>
      <c r="M83" s="16"/>
      <c r="N83" s="16">
        <f t="shared" si="11"/>
        <v>0</v>
      </c>
      <c r="O83" s="16" t="e">
        <f t="shared" si="12"/>
        <v>#N/A</v>
      </c>
      <c r="P83" s="16">
        <v>6.9444444444444397E-3</v>
      </c>
      <c r="Q83" s="16"/>
      <c r="R83" s="16">
        <f t="shared" si="13"/>
        <v>-6.9444444444444397E-3</v>
      </c>
      <c r="S83" s="16"/>
      <c r="T83" s="16" t="e">
        <f>VLOOKUP(E83,'[2]21-3-2026'!E$3:T$35,16,FALSE)</f>
        <v>#N/A</v>
      </c>
      <c r="U83" s="16"/>
      <c r="V83" s="16" t="e">
        <f t="shared" si="14"/>
        <v>#N/A</v>
      </c>
      <c r="W83" s="16"/>
      <c r="X83" s="16"/>
      <c r="Y83" s="16"/>
      <c r="Z83" s="16">
        <f t="shared" si="15"/>
        <v>0</v>
      </c>
      <c r="AA83" s="16">
        <f t="shared" si="9"/>
        <v>0</v>
      </c>
      <c r="AB83" s="16"/>
      <c r="AC83" s="17"/>
      <c r="AD83" s="51"/>
    </row>
    <row r="84" spans="1:30" ht="19.5" thickBot="1" x14ac:dyDescent="0.3">
      <c r="A84" s="14">
        <v>17</v>
      </c>
      <c r="B84" s="15"/>
      <c r="C84" s="15" t="e">
        <f>VLOOKUP(B84,داتا!$B$3:$D$107,2,FALSE)</f>
        <v>#N/A</v>
      </c>
      <c r="D84" s="34" t="e">
        <f>VLOOKUP(B84,داتا!$B$3:$D$107,3,FALSE)</f>
        <v>#N/A</v>
      </c>
      <c r="E84" s="15"/>
      <c r="F84" s="15"/>
      <c r="G84" s="16">
        <v>8.3333333333333329E-2</v>
      </c>
      <c r="H84" s="16" t="e">
        <f t="shared" si="16"/>
        <v>#N/A</v>
      </c>
      <c r="I84" s="16" t="e">
        <f t="shared" si="10"/>
        <v>#N/A</v>
      </c>
      <c r="J84" s="16"/>
      <c r="K84" s="16"/>
      <c r="L84" s="16"/>
      <c r="M84" s="16"/>
      <c r="N84" s="16">
        <f t="shared" si="11"/>
        <v>0</v>
      </c>
      <c r="O84" s="16" t="e">
        <f t="shared" si="12"/>
        <v>#N/A</v>
      </c>
      <c r="P84" s="16">
        <v>6.9444444444444397E-3</v>
      </c>
      <c r="Q84" s="16"/>
      <c r="R84" s="16">
        <f t="shared" si="13"/>
        <v>-6.9444444444444397E-3</v>
      </c>
      <c r="S84" s="16"/>
      <c r="T84" s="16" t="e">
        <f>VLOOKUP(E84,'[2]21-3-2026'!E$3:T$35,16,FALSE)</f>
        <v>#N/A</v>
      </c>
      <c r="U84" s="16"/>
      <c r="V84" s="16" t="e">
        <f t="shared" si="14"/>
        <v>#N/A</v>
      </c>
      <c r="W84" s="16"/>
      <c r="X84" s="16"/>
      <c r="Y84" s="16"/>
      <c r="Z84" s="16">
        <f t="shared" si="15"/>
        <v>0</v>
      </c>
      <c r="AA84" s="16">
        <f t="shared" si="9"/>
        <v>0</v>
      </c>
      <c r="AB84" s="16"/>
      <c r="AC84" s="17"/>
      <c r="AD84" s="51"/>
    </row>
    <row r="85" spans="1:30" ht="19.5" thickBot="1" x14ac:dyDescent="0.3">
      <c r="A85" s="14">
        <v>18</v>
      </c>
      <c r="B85" s="15"/>
      <c r="C85" s="15" t="e">
        <f>VLOOKUP(B85,داتا!$B$3:$D$107,2,FALSE)</f>
        <v>#N/A</v>
      </c>
      <c r="D85" s="34" t="e">
        <f>VLOOKUP(B85,داتا!$B$3:$D$107,3,FALSE)</f>
        <v>#N/A</v>
      </c>
      <c r="E85" s="15"/>
      <c r="F85" s="15"/>
      <c r="G85" s="16">
        <v>8.3333333333333329E-2</v>
      </c>
      <c r="H85" s="16" t="e">
        <f t="shared" ref="H85:H99" si="17">VLOOKUP(G85,$F$3:$I$35,2,FALSE)</f>
        <v>#N/A</v>
      </c>
      <c r="I85" s="16" t="e">
        <f t="shared" si="10"/>
        <v>#N/A</v>
      </c>
      <c r="J85" s="16"/>
      <c r="K85" s="16"/>
      <c r="L85" s="16"/>
      <c r="M85" s="16"/>
      <c r="N85" s="16">
        <f t="shared" si="11"/>
        <v>0</v>
      </c>
      <c r="O85" s="16" t="e">
        <f t="shared" si="12"/>
        <v>#N/A</v>
      </c>
      <c r="P85" s="16">
        <v>6.9444444444444397E-3</v>
      </c>
      <c r="Q85" s="16"/>
      <c r="R85" s="16">
        <f t="shared" si="13"/>
        <v>-6.9444444444444397E-3</v>
      </c>
      <c r="S85" s="16"/>
      <c r="T85" s="16" t="e">
        <f>VLOOKUP(E85,'[2]21-3-2026'!E$3:T$35,16,FALSE)</f>
        <v>#N/A</v>
      </c>
      <c r="U85" s="16"/>
      <c r="V85" s="16" t="e">
        <f t="shared" si="14"/>
        <v>#N/A</v>
      </c>
      <c r="W85" s="16"/>
      <c r="X85" s="16"/>
      <c r="Y85" s="16"/>
      <c r="Z85" s="16">
        <f t="shared" si="15"/>
        <v>0</v>
      </c>
      <c r="AA85" s="16">
        <f t="shared" si="9"/>
        <v>0</v>
      </c>
      <c r="AB85" s="16"/>
      <c r="AC85" s="17"/>
      <c r="AD85" s="51"/>
    </row>
    <row r="86" spans="1:30" ht="19.5" thickBot="1" x14ac:dyDescent="0.3">
      <c r="A86" s="14">
        <v>19</v>
      </c>
      <c r="B86" s="15"/>
      <c r="C86" s="15" t="e">
        <f>VLOOKUP(B86,داتا!$B$3:$D$107,2,FALSE)</f>
        <v>#N/A</v>
      </c>
      <c r="D86" s="34" t="e">
        <f>VLOOKUP(B86,داتا!$B$3:$D$107,3,FALSE)</f>
        <v>#N/A</v>
      </c>
      <c r="E86" s="15"/>
      <c r="F86" s="15"/>
      <c r="G86" s="16">
        <v>8.3333333333333329E-2</v>
      </c>
      <c r="H86" s="16" t="e">
        <f t="shared" si="17"/>
        <v>#N/A</v>
      </c>
      <c r="I86" s="16" t="e">
        <f t="shared" si="10"/>
        <v>#N/A</v>
      </c>
      <c r="J86" s="16"/>
      <c r="K86" s="16"/>
      <c r="L86" s="16"/>
      <c r="M86" s="16"/>
      <c r="N86" s="16">
        <f t="shared" si="11"/>
        <v>0</v>
      </c>
      <c r="O86" s="16" t="e">
        <f t="shared" si="12"/>
        <v>#N/A</v>
      </c>
      <c r="P86" s="16">
        <v>6.9444444444444397E-3</v>
      </c>
      <c r="Q86" s="16"/>
      <c r="R86" s="16">
        <f t="shared" si="13"/>
        <v>-6.9444444444444397E-3</v>
      </c>
      <c r="S86" s="16"/>
      <c r="T86" s="16" t="e">
        <f>VLOOKUP(E86,'[2]21-3-2026'!E$3:T$35,16,FALSE)</f>
        <v>#N/A</v>
      </c>
      <c r="U86" s="16"/>
      <c r="V86" s="16" t="e">
        <f t="shared" si="14"/>
        <v>#N/A</v>
      </c>
      <c r="W86" s="16"/>
      <c r="X86" s="16"/>
      <c r="Y86" s="16"/>
      <c r="Z86" s="16">
        <f t="shared" si="15"/>
        <v>0</v>
      </c>
      <c r="AA86" s="16">
        <f t="shared" si="9"/>
        <v>0</v>
      </c>
      <c r="AB86" s="16"/>
      <c r="AC86" s="17"/>
      <c r="AD86" s="51"/>
    </row>
    <row r="87" spans="1:30" ht="19.5" thickBot="1" x14ac:dyDescent="0.3">
      <c r="A87" s="14">
        <v>20</v>
      </c>
      <c r="B87" s="15"/>
      <c r="C87" s="15" t="e">
        <f>VLOOKUP(B87,داتا!$B$3:$D$107,2,FALSE)</f>
        <v>#N/A</v>
      </c>
      <c r="D87" s="34" t="e">
        <f>VLOOKUP(B87,داتا!$B$3:$D$107,3,FALSE)</f>
        <v>#N/A</v>
      </c>
      <c r="E87" s="15"/>
      <c r="F87" s="15"/>
      <c r="G87" s="16">
        <v>8.3333333333333329E-2</v>
      </c>
      <c r="H87" s="16" t="e">
        <f t="shared" si="17"/>
        <v>#N/A</v>
      </c>
      <c r="I87" s="16" t="e">
        <f t="shared" si="10"/>
        <v>#N/A</v>
      </c>
      <c r="J87" s="16"/>
      <c r="K87" s="16"/>
      <c r="L87" s="16"/>
      <c r="M87" s="16"/>
      <c r="N87" s="16">
        <f t="shared" si="11"/>
        <v>0</v>
      </c>
      <c r="O87" s="16" t="e">
        <f t="shared" si="12"/>
        <v>#N/A</v>
      </c>
      <c r="P87" s="16">
        <v>6.9444444444444397E-3</v>
      </c>
      <c r="Q87" s="16"/>
      <c r="R87" s="16">
        <f t="shared" si="13"/>
        <v>-6.9444444444444397E-3</v>
      </c>
      <c r="S87" s="16"/>
      <c r="T87" s="16" t="e">
        <f>VLOOKUP(E87,'[2]21-3-2026'!E$3:T$35,16,FALSE)</f>
        <v>#N/A</v>
      </c>
      <c r="U87" s="16"/>
      <c r="V87" s="16" t="e">
        <f t="shared" si="14"/>
        <v>#N/A</v>
      </c>
      <c r="W87" s="16"/>
      <c r="X87" s="16"/>
      <c r="Y87" s="16"/>
      <c r="Z87" s="16">
        <f t="shared" si="15"/>
        <v>0</v>
      </c>
      <c r="AA87" s="16">
        <f t="shared" si="9"/>
        <v>0</v>
      </c>
      <c r="AB87" s="16"/>
      <c r="AC87" s="17"/>
      <c r="AD87" s="51"/>
    </row>
    <row r="88" spans="1:30" ht="19.5" thickBot="1" x14ac:dyDescent="0.3">
      <c r="A88" s="14">
        <v>21</v>
      </c>
      <c r="B88" s="15"/>
      <c r="C88" s="15" t="e">
        <f>VLOOKUP(B88,داتا!$B$3:$D$107,2,FALSE)</f>
        <v>#N/A</v>
      </c>
      <c r="D88" s="34" t="e">
        <f>VLOOKUP(B88,داتا!$B$3:$D$107,3,FALSE)</f>
        <v>#N/A</v>
      </c>
      <c r="E88" s="15"/>
      <c r="F88" s="15"/>
      <c r="G88" s="16">
        <v>8.3333333333333329E-2</v>
      </c>
      <c r="H88" s="16" t="e">
        <f t="shared" si="17"/>
        <v>#N/A</v>
      </c>
      <c r="I88" s="16" t="e">
        <f t="shared" si="10"/>
        <v>#N/A</v>
      </c>
      <c r="J88" s="16"/>
      <c r="K88" s="16"/>
      <c r="L88" s="16"/>
      <c r="M88" s="16"/>
      <c r="N88" s="16">
        <f t="shared" si="11"/>
        <v>0</v>
      </c>
      <c r="O88" s="16" t="e">
        <f t="shared" si="12"/>
        <v>#N/A</v>
      </c>
      <c r="P88" s="16">
        <v>6.9444444444444397E-3</v>
      </c>
      <c r="Q88" s="16"/>
      <c r="R88" s="16">
        <f t="shared" si="13"/>
        <v>-6.9444444444444397E-3</v>
      </c>
      <c r="S88" s="16"/>
      <c r="T88" s="16" t="e">
        <f>VLOOKUP(E88,'[2]21-3-2026'!E$3:T$35,16,FALSE)</f>
        <v>#N/A</v>
      </c>
      <c r="U88" s="16"/>
      <c r="V88" s="16" t="e">
        <f t="shared" si="14"/>
        <v>#N/A</v>
      </c>
      <c r="W88" s="16"/>
      <c r="X88" s="16"/>
      <c r="Y88" s="16"/>
      <c r="Z88" s="16">
        <f t="shared" si="15"/>
        <v>0</v>
      </c>
      <c r="AA88" s="16">
        <f t="shared" si="9"/>
        <v>0</v>
      </c>
      <c r="AB88" s="16"/>
      <c r="AC88" s="19"/>
      <c r="AD88" s="51"/>
    </row>
    <row r="89" spans="1:30" ht="19.5" thickBot="1" x14ac:dyDescent="0.3">
      <c r="A89" s="14">
        <v>22</v>
      </c>
      <c r="B89" s="15"/>
      <c r="C89" s="15" t="e">
        <f>VLOOKUP(B89,داتا!$B$3:$D$107,2,FALSE)</f>
        <v>#N/A</v>
      </c>
      <c r="D89" s="34" t="e">
        <f>VLOOKUP(B89,داتا!$B$3:$D$107,3,FALSE)</f>
        <v>#N/A</v>
      </c>
      <c r="E89" s="15"/>
      <c r="F89" s="15"/>
      <c r="G89" s="16">
        <v>8.3333333333333329E-2</v>
      </c>
      <c r="H89" s="16" t="e">
        <f t="shared" si="17"/>
        <v>#N/A</v>
      </c>
      <c r="I89" s="16" t="e">
        <f t="shared" si="10"/>
        <v>#N/A</v>
      </c>
      <c r="J89" s="16"/>
      <c r="K89" s="16"/>
      <c r="L89" s="16"/>
      <c r="M89" s="16"/>
      <c r="N89" s="16">
        <f t="shared" si="11"/>
        <v>0</v>
      </c>
      <c r="O89" s="16" t="e">
        <f t="shared" si="12"/>
        <v>#N/A</v>
      </c>
      <c r="P89" s="16">
        <v>6.9444444444444397E-3</v>
      </c>
      <c r="Q89" s="16"/>
      <c r="R89" s="16">
        <f t="shared" si="13"/>
        <v>-6.9444444444444397E-3</v>
      </c>
      <c r="S89" s="16"/>
      <c r="T89" s="16" t="e">
        <f>VLOOKUP(E89,'[2]21-3-2026'!E$3:T$35,16,FALSE)</f>
        <v>#N/A</v>
      </c>
      <c r="U89" s="16"/>
      <c r="V89" s="16" t="e">
        <f t="shared" si="14"/>
        <v>#N/A</v>
      </c>
      <c r="W89" s="16"/>
      <c r="X89" s="16"/>
      <c r="Y89" s="16"/>
      <c r="Z89" s="16">
        <f t="shared" si="15"/>
        <v>0</v>
      </c>
      <c r="AA89" s="16">
        <f t="shared" si="9"/>
        <v>0</v>
      </c>
      <c r="AB89" s="16"/>
      <c r="AC89" s="19"/>
      <c r="AD89" s="51"/>
    </row>
    <row r="90" spans="1:30" ht="19.5" thickBot="1" x14ac:dyDescent="0.3">
      <c r="A90" s="14">
        <v>23</v>
      </c>
      <c r="B90" s="15"/>
      <c r="C90" s="15" t="e">
        <f>VLOOKUP(B90,داتا!$B$3:$D$107,2,FALSE)</f>
        <v>#N/A</v>
      </c>
      <c r="D90" s="34" t="e">
        <f>VLOOKUP(B90,داتا!$B$3:$D$107,3,FALSE)</f>
        <v>#N/A</v>
      </c>
      <c r="E90" s="15"/>
      <c r="F90" s="15"/>
      <c r="G90" s="16">
        <v>8.3333333333333329E-2</v>
      </c>
      <c r="H90" s="16" t="e">
        <f t="shared" si="17"/>
        <v>#N/A</v>
      </c>
      <c r="I90" s="16" t="e">
        <f t="shared" si="10"/>
        <v>#N/A</v>
      </c>
      <c r="J90" s="16"/>
      <c r="K90" s="16"/>
      <c r="L90" s="16"/>
      <c r="M90" s="16"/>
      <c r="N90" s="16">
        <f t="shared" si="11"/>
        <v>0</v>
      </c>
      <c r="O90" s="16" t="e">
        <f t="shared" si="12"/>
        <v>#N/A</v>
      </c>
      <c r="P90" s="16">
        <v>6.9444444444444397E-3</v>
      </c>
      <c r="Q90" s="16"/>
      <c r="R90" s="16">
        <f t="shared" si="13"/>
        <v>-6.9444444444444397E-3</v>
      </c>
      <c r="S90" s="16"/>
      <c r="T90" s="16" t="e">
        <f>VLOOKUP(E90,'[2]21-3-2026'!E$3:T$35,16,FALSE)</f>
        <v>#N/A</v>
      </c>
      <c r="U90" s="16"/>
      <c r="V90" s="16" t="e">
        <f t="shared" si="14"/>
        <v>#N/A</v>
      </c>
      <c r="W90" s="16"/>
      <c r="X90" s="16"/>
      <c r="Y90" s="16"/>
      <c r="Z90" s="16">
        <f t="shared" si="15"/>
        <v>0</v>
      </c>
      <c r="AA90" s="16">
        <f t="shared" si="9"/>
        <v>0</v>
      </c>
      <c r="AB90" s="16"/>
      <c r="AC90" s="19"/>
      <c r="AD90" s="51"/>
    </row>
    <row r="91" spans="1:30" ht="19.5" thickBot="1" x14ac:dyDescent="0.3">
      <c r="A91" s="14">
        <v>24</v>
      </c>
      <c r="B91" s="15"/>
      <c r="C91" s="15" t="e">
        <f>VLOOKUP(B91,داتا!$B$3:$D$107,2,FALSE)</f>
        <v>#N/A</v>
      </c>
      <c r="D91" s="34" t="e">
        <f>VLOOKUP(B91,داتا!$B$3:$D$107,3,FALSE)</f>
        <v>#N/A</v>
      </c>
      <c r="E91" s="15"/>
      <c r="F91" s="15"/>
      <c r="G91" s="16">
        <v>8.3333333333333329E-2</v>
      </c>
      <c r="H91" s="16" t="e">
        <f t="shared" si="17"/>
        <v>#N/A</v>
      </c>
      <c r="I91" s="16" t="e">
        <f t="shared" si="10"/>
        <v>#N/A</v>
      </c>
      <c r="J91" s="16"/>
      <c r="K91" s="16"/>
      <c r="L91" s="16"/>
      <c r="M91" s="16"/>
      <c r="N91" s="16">
        <f t="shared" si="11"/>
        <v>0</v>
      </c>
      <c r="O91" s="16" t="e">
        <f t="shared" si="12"/>
        <v>#N/A</v>
      </c>
      <c r="P91" s="16">
        <v>6.9444444444444397E-3</v>
      </c>
      <c r="Q91" s="16"/>
      <c r="R91" s="16">
        <f t="shared" si="13"/>
        <v>-6.9444444444444397E-3</v>
      </c>
      <c r="S91" s="16"/>
      <c r="T91" s="16" t="e">
        <f>VLOOKUP(E91,'[2]21-3-2026'!E$3:T$35,16,FALSE)</f>
        <v>#N/A</v>
      </c>
      <c r="U91" s="16"/>
      <c r="V91" s="16" t="e">
        <f t="shared" si="14"/>
        <v>#N/A</v>
      </c>
      <c r="W91" s="16"/>
      <c r="X91" s="16"/>
      <c r="Y91" s="16"/>
      <c r="Z91" s="16">
        <f t="shared" si="15"/>
        <v>0</v>
      </c>
      <c r="AA91" s="16">
        <f t="shared" si="9"/>
        <v>0</v>
      </c>
      <c r="AB91" s="16"/>
      <c r="AC91" s="19"/>
      <c r="AD91" s="51"/>
    </row>
    <row r="92" spans="1:30" ht="19.5" thickBot="1" x14ac:dyDescent="0.3">
      <c r="A92" s="14">
        <v>25</v>
      </c>
      <c r="B92" s="15"/>
      <c r="C92" s="15" t="e">
        <f>VLOOKUP(B92,داتا!$B$3:$D$107,2,FALSE)</f>
        <v>#N/A</v>
      </c>
      <c r="D92" s="34" t="e">
        <f>VLOOKUP(B92,داتا!$B$3:$D$107,3,FALSE)</f>
        <v>#N/A</v>
      </c>
      <c r="E92" s="15"/>
      <c r="F92" s="15"/>
      <c r="G92" s="16">
        <v>8.3333333333333329E-2</v>
      </c>
      <c r="H92" s="16" t="e">
        <f t="shared" si="17"/>
        <v>#N/A</v>
      </c>
      <c r="I92" s="16" t="e">
        <f t="shared" si="10"/>
        <v>#N/A</v>
      </c>
      <c r="J92" s="16"/>
      <c r="K92" s="16"/>
      <c r="L92" s="16"/>
      <c r="M92" s="16"/>
      <c r="N92" s="16">
        <f t="shared" si="11"/>
        <v>0</v>
      </c>
      <c r="O92" s="16" t="e">
        <f t="shared" si="12"/>
        <v>#N/A</v>
      </c>
      <c r="P92" s="16">
        <v>6.9444444444444397E-3</v>
      </c>
      <c r="Q92" s="16"/>
      <c r="R92" s="16">
        <f t="shared" si="13"/>
        <v>-6.9444444444444397E-3</v>
      </c>
      <c r="S92" s="16"/>
      <c r="T92" s="16" t="e">
        <f>VLOOKUP(E92,'[2]21-3-2026'!E$3:T$35,16,FALSE)</f>
        <v>#N/A</v>
      </c>
      <c r="U92" s="16"/>
      <c r="V92" s="16" t="e">
        <f t="shared" si="14"/>
        <v>#N/A</v>
      </c>
      <c r="W92" s="16"/>
      <c r="X92" s="16"/>
      <c r="Y92" s="16"/>
      <c r="Z92" s="16">
        <f t="shared" si="15"/>
        <v>0</v>
      </c>
      <c r="AA92" s="16">
        <f t="shared" si="9"/>
        <v>0</v>
      </c>
      <c r="AB92" s="16"/>
      <c r="AC92" s="19"/>
      <c r="AD92" s="51"/>
    </row>
    <row r="93" spans="1:30" ht="19.5" thickBot="1" x14ac:dyDescent="0.3">
      <c r="A93" s="14">
        <v>26</v>
      </c>
      <c r="B93" s="15"/>
      <c r="C93" s="15" t="e">
        <f>VLOOKUP(B93,داتا!$B$3:$D$107,2,FALSE)</f>
        <v>#N/A</v>
      </c>
      <c r="D93" s="34" t="e">
        <f>VLOOKUP(B93,داتا!$B$3:$D$107,3,FALSE)</f>
        <v>#N/A</v>
      </c>
      <c r="E93" s="15"/>
      <c r="F93" s="15"/>
      <c r="G93" s="16">
        <v>8.3333333333333329E-2</v>
      </c>
      <c r="H93" s="16" t="e">
        <f t="shared" si="17"/>
        <v>#N/A</v>
      </c>
      <c r="I93" s="16" t="e">
        <f t="shared" si="10"/>
        <v>#N/A</v>
      </c>
      <c r="J93" s="16"/>
      <c r="K93" s="16"/>
      <c r="L93" s="16"/>
      <c r="M93" s="16"/>
      <c r="N93" s="16">
        <f t="shared" si="11"/>
        <v>0</v>
      </c>
      <c r="O93" s="16" t="e">
        <f t="shared" si="12"/>
        <v>#N/A</v>
      </c>
      <c r="P93" s="16">
        <v>6.9444444444444397E-3</v>
      </c>
      <c r="Q93" s="16"/>
      <c r="R93" s="16">
        <f t="shared" si="13"/>
        <v>-6.9444444444444397E-3</v>
      </c>
      <c r="S93" s="16"/>
      <c r="T93" s="16" t="e">
        <f>VLOOKUP(E93,'[2]21-3-2026'!E$3:T$35,16,FALSE)</f>
        <v>#N/A</v>
      </c>
      <c r="U93" s="16"/>
      <c r="V93" s="16" t="e">
        <f t="shared" si="14"/>
        <v>#N/A</v>
      </c>
      <c r="W93" s="16"/>
      <c r="X93" s="16"/>
      <c r="Y93" s="16"/>
      <c r="Z93" s="16">
        <f t="shared" si="15"/>
        <v>0</v>
      </c>
      <c r="AA93" s="16">
        <f t="shared" si="9"/>
        <v>0</v>
      </c>
      <c r="AB93" s="16"/>
      <c r="AC93" s="19"/>
      <c r="AD93" s="51"/>
    </row>
    <row r="94" spans="1:30" ht="19.5" thickBot="1" x14ac:dyDescent="0.3">
      <c r="A94" s="14">
        <v>27</v>
      </c>
      <c r="B94" s="15"/>
      <c r="C94" s="15" t="e">
        <f>VLOOKUP(B94,داتا!$B$3:$D$107,2,FALSE)</f>
        <v>#N/A</v>
      </c>
      <c r="D94" s="34" t="e">
        <f>VLOOKUP(B94,داتا!$B$3:$D$107,3,FALSE)</f>
        <v>#N/A</v>
      </c>
      <c r="E94" s="15"/>
      <c r="F94" s="15"/>
      <c r="G94" s="16">
        <v>8.3333333333333329E-2</v>
      </c>
      <c r="H94" s="16" t="e">
        <f t="shared" si="17"/>
        <v>#N/A</v>
      </c>
      <c r="I94" s="16" t="e">
        <f t="shared" si="10"/>
        <v>#N/A</v>
      </c>
      <c r="J94" s="16"/>
      <c r="K94" s="16"/>
      <c r="L94" s="16"/>
      <c r="M94" s="16"/>
      <c r="N94" s="16">
        <f t="shared" si="11"/>
        <v>0</v>
      </c>
      <c r="O94" s="16" t="e">
        <f t="shared" si="12"/>
        <v>#N/A</v>
      </c>
      <c r="P94" s="16">
        <v>6.9444444444444397E-3</v>
      </c>
      <c r="Q94" s="16"/>
      <c r="R94" s="16">
        <f t="shared" si="13"/>
        <v>-6.9444444444444397E-3</v>
      </c>
      <c r="S94" s="16"/>
      <c r="T94" s="16" t="e">
        <f>VLOOKUP(E94,'[2]21-3-2026'!E$3:T$35,16,FALSE)</f>
        <v>#N/A</v>
      </c>
      <c r="U94" s="16"/>
      <c r="V94" s="16" t="e">
        <f t="shared" si="14"/>
        <v>#N/A</v>
      </c>
      <c r="W94" s="16"/>
      <c r="X94" s="16"/>
      <c r="Y94" s="16"/>
      <c r="Z94" s="16">
        <f t="shared" si="15"/>
        <v>0</v>
      </c>
      <c r="AA94" s="16">
        <f t="shared" si="9"/>
        <v>0</v>
      </c>
      <c r="AB94" s="16"/>
      <c r="AC94" s="19"/>
      <c r="AD94" s="51"/>
    </row>
    <row r="95" spans="1:30" ht="19.5" thickBot="1" x14ac:dyDescent="0.3">
      <c r="A95" s="14">
        <v>28</v>
      </c>
      <c r="B95" s="15"/>
      <c r="C95" s="15" t="e">
        <f>VLOOKUP(B95,داتا!$B$3:$D$107,2,FALSE)</f>
        <v>#N/A</v>
      </c>
      <c r="D95" s="34" t="e">
        <f>VLOOKUP(B95,داتا!$B$3:$D$107,3,FALSE)</f>
        <v>#N/A</v>
      </c>
      <c r="E95" s="15"/>
      <c r="F95" s="16"/>
      <c r="G95" s="16">
        <v>8.3333333333333329E-2</v>
      </c>
      <c r="H95" s="16" t="e">
        <f t="shared" si="17"/>
        <v>#N/A</v>
      </c>
      <c r="I95" s="16" t="e">
        <f t="shared" si="10"/>
        <v>#N/A</v>
      </c>
      <c r="J95" s="16"/>
      <c r="K95" s="16"/>
      <c r="L95" s="16"/>
      <c r="M95" s="16"/>
      <c r="N95" s="16">
        <f t="shared" si="11"/>
        <v>0</v>
      </c>
      <c r="O95" s="16" t="e">
        <f t="shared" si="12"/>
        <v>#N/A</v>
      </c>
      <c r="P95" s="16">
        <v>6.9444444444444397E-3</v>
      </c>
      <c r="Q95" s="16"/>
      <c r="R95" s="16">
        <f t="shared" si="13"/>
        <v>-6.9444444444444397E-3</v>
      </c>
      <c r="S95" s="16"/>
      <c r="T95" s="16" t="e">
        <f>VLOOKUP(E95,'[2]21-3-2026'!E$3:T$35,16,FALSE)</f>
        <v>#N/A</v>
      </c>
      <c r="U95" s="16"/>
      <c r="V95" s="16" t="e">
        <f t="shared" si="14"/>
        <v>#N/A</v>
      </c>
      <c r="W95" s="16"/>
      <c r="X95" s="16"/>
      <c r="Y95" s="16"/>
      <c r="Z95" s="16">
        <f t="shared" si="15"/>
        <v>0</v>
      </c>
      <c r="AA95" s="16">
        <f t="shared" si="9"/>
        <v>0</v>
      </c>
      <c r="AB95" s="16"/>
      <c r="AC95" s="19"/>
      <c r="AD95" s="51"/>
    </row>
    <row r="96" spans="1:30" ht="19.5" thickBot="1" x14ac:dyDescent="0.3">
      <c r="A96" s="14">
        <v>29</v>
      </c>
      <c r="B96" s="15"/>
      <c r="C96" s="15" t="e">
        <f>VLOOKUP(B96,داتا!$B$3:$D$107,2,FALSE)</f>
        <v>#N/A</v>
      </c>
      <c r="D96" s="34" t="e">
        <f>VLOOKUP(B96,داتا!$B$3:$D$107,3,FALSE)</f>
        <v>#N/A</v>
      </c>
      <c r="E96" s="15"/>
      <c r="F96" s="16"/>
      <c r="G96" s="16">
        <v>8.3333333333333329E-2</v>
      </c>
      <c r="H96" s="16" t="e">
        <f t="shared" si="17"/>
        <v>#N/A</v>
      </c>
      <c r="I96" s="16" t="e">
        <f t="shared" si="10"/>
        <v>#N/A</v>
      </c>
      <c r="J96" s="16"/>
      <c r="K96" s="16"/>
      <c r="L96" s="16"/>
      <c r="M96" s="16"/>
      <c r="N96" s="16">
        <f t="shared" si="11"/>
        <v>0</v>
      </c>
      <c r="O96" s="16" t="e">
        <f t="shared" si="12"/>
        <v>#N/A</v>
      </c>
      <c r="P96" s="16">
        <v>6.9444444444444397E-3</v>
      </c>
      <c r="Q96" s="16"/>
      <c r="R96" s="16">
        <f t="shared" si="13"/>
        <v>-6.9444444444444397E-3</v>
      </c>
      <c r="S96" s="16"/>
      <c r="T96" s="16" t="e">
        <f>VLOOKUP(E96,'[2]21-3-2026'!E$3:T$35,16,FALSE)</f>
        <v>#N/A</v>
      </c>
      <c r="U96" s="16"/>
      <c r="V96" s="16" t="e">
        <f t="shared" si="14"/>
        <v>#N/A</v>
      </c>
      <c r="W96" s="16"/>
      <c r="X96" s="16"/>
      <c r="Y96" s="16"/>
      <c r="Z96" s="16">
        <f t="shared" si="15"/>
        <v>0</v>
      </c>
      <c r="AA96" s="16">
        <f t="shared" si="9"/>
        <v>0</v>
      </c>
      <c r="AB96" s="16"/>
      <c r="AC96" s="19"/>
      <c r="AD96" s="54"/>
    </row>
    <row r="97" spans="1:29" ht="19.5" thickBot="1" x14ac:dyDescent="0.3">
      <c r="A97" s="14">
        <v>30</v>
      </c>
      <c r="B97" s="15"/>
      <c r="C97" s="15" t="e">
        <f>VLOOKUP(B97,داتا!$B$3:$D$107,2,FALSE)</f>
        <v>#N/A</v>
      </c>
      <c r="D97" s="34" t="e">
        <f>VLOOKUP(B97,داتا!$B$3:$D$107,3,FALSE)</f>
        <v>#N/A</v>
      </c>
      <c r="E97" s="15"/>
      <c r="F97" s="16"/>
      <c r="G97" s="16">
        <v>8.3333333333333329E-2</v>
      </c>
      <c r="H97" s="16" t="e">
        <f t="shared" si="17"/>
        <v>#N/A</v>
      </c>
      <c r="I97" s="16" t="e">
        <f t="shared" si="10"/>
        <v>#N/A</v>
      </c>
      <c r="J97" s="16"/>
      <c r="K97" s="16"/>
      <c r="L97" s="16"/>
      <c r="M97" s="16"/>
      <c r="N97" s="16">
        <f t="shared" si="11"/>
        <v>0</v>
      </c>
      <c r="O97" s="16" t="e">
        <f t="shared" si="12"/>
        <v>#N/A</v>
      </c>
      <c r="P97" s="16">
        <v>6.9444444444444397E-3</v>
      </c>
      <c r="Q97" s="16"/>
      <c r="R97" s="16">
        <f t="shared" si="13"/>
        <v>-6.9444444444444397E-3</v>
      </c>
      <c r="S97" s="16"/>
      <c r="T97" s="16" t="e">
        <f>VLOOKUP(E97,'[2]21-3-2026'!E$3:T$35,16,FALSE)</f>
        <v>#N/A</v>
      </c>
      <c r="U97" s="16"/>
      <c r="V97" s="16" t="e">
        <f t="shared" si="14"/>
        <v>#N/A</v>
      </c>
      <c r="W97" s="16"/>
      <c r="X97" s="16"/>
      <c r="Y97" s="16"/>
      <c r="Z97" s="16">
        <f t="shared" si="15"/>
        <v>0</v>
      </c>
      <c r="AA97" s="16">
        <f t="shared" si="9"/>
        <v>0</v>
      </c>
      <c r="AB97" s="16"/>
      <c r="AC97" s="19"/>
    </row>
    <row r="98" spans="1:29" ht="19.5" thickBot="1" x14ac:dyDescent="0.3">
      <c r="A98" s="14">
        <v>31</v>
      </c>
      <c r="B98" s="15"/>
      <c r="C98" s="15" t="e">
        <f>VLOOKUP(B98,داتا!$B$3:$D$107,2,FALSE)</f>
        <v>#N/A</v>
      </c>
      <c r="D98" s="34" t="e">
        <f>VLOOKUP(B98,داتا!$B$3:$D$107,3,FALSE)</f>
        <v>#N/A</v>
      </c>
      <c r="E98" s="15"/>
      <c r="F98" s="16"/>
      <c r="G98" s="16">
        <v>8.3333333333333329E-2</v>
      </c>
      <c r="H98" s="16" t="e">
        <f t="shared" si="17"/>
        <v>#N/A</v>
      </c>
      <c r="I98" s="16" t="e">
        <f t="shared" si="10"/>
        <v>#N/A</v>
      </c>
      <c r="J98" s="16"/>
      <c r="K98" s="16"/>
      <c r="L98" s="16"/>
      <c r="M98" s="16"/>
      <c r="N98" s="16">
        <f t="shared" si="11"/>
        <v>0</v>
      </c>
      <c r="O98" s="16" t="e">
        <f t="shared" si="12"/>
        <v>#N/A</v>
      </c>
      <c r="P98" s="16">
        <v>6.9444444444444397E-3</v>
      </c>
      <c r="Q98" s="16"/>
      <c r="R98" s="16">
        <f t="shared" si="13"/>
        <v>-6.9444444444444397E-3</v>
      </c>
      <c r="S98" s="16"/>
      <c r="T98" s="16" t="e">
        <f>VLOOKUP(E98,'[2]21-3-2026'!E$3:T$35,16,FALSE)</f>
        <v>#N/A</v>
      </c>
      <c r="U98" s="16"/>
      <c r="V98" s="16" t="e">
        <f t="shared" si="14"/>
        <v>#N/A</v>
      </c>
      <c r="W98" s="16"/>
      <c r="X98" s="16"/>
      <c r="Y98" s="16"/>
      <c r="Z98" s="16">
        <f t="shared" si="15"/>
        <v>0</v>
      </c>
      <c r="AA98" s="16">
        <f t="shared" si="9"/>
        <v>0</v>
      </c>
      <c r="AB98" s="16"/>
      <c r="AC98" s="19"/>
    </row>
    <row r="99" spans="1:29" ht="19.5" thickBot="1" x14ac:dyDescent="0.3">
      <c r="A99" s="20">
        <v>32</v>
      </c>
      <c r="B99" s="21"/>
      <c r="C99" s="21" t="e">
        <f>VLOOKUP(B99,داتا!$B$3:$D$107,2,FALSE)</f>
        <v>#N/A</v>
      </c>
      <c r="D99" s="35" t="e">
        <f>VLOOKUP(B99,داتا!$B$3:$D$107,3,FALSE)</f>
        <v>#N/A</v>
      </c>
      <c r="E99" s="21"/>
      <c r="F99" s="22"/>
      <c r="G99" s="22">
        <v>8.3333333333333329E-2</v>
      </c>
      <c r="H99" s="22" t="e">
        <f t="shared" si="17"/>
        <v>#N/A</v>
      </c>
      <c r="I99" s="22" t="e">
        <f t="shared" si="10"/>
        <v>#N/A</v>
      </c>
      <c r="J99" s="22"/>
      <c r="K99" s="22"/>
      <c r="L99" s="22"/>
      <c r="M99" s="22"/>
      <c r="N99" s="22">
        <f t="shared" si="11"/>
        <v>0</v>
      </c>
      <c r="O99" s="22" t="e">
        <f t="shared" si="12"/>
        <v>#N/A</v>
      </c>
      <c r="P99" s="22">
        <v>6.9444444444444397E-3</v>
      </c>
      <c r="Q99" s="22"/>
      <c r="R99" s="22">
        <f t="shared" si="13"/>
        <v>-6.9444444444444397E-3</v>
      </c>
      <c r="S99" s="22"/>
      <c r="T99" s="22" t="e">
        <f>VLOOKUP(E99,'[2]21-3-2026'!E$3:T$35,16,FALSE)</f>
        <v>#N/A</v>
      </c>
      <c r="U99" s="22"/>
      <c r="V99" s="22" t="e">
        <f t="shared" si="14"/>
        <v>#N/A</v>
      </c>
      <c r="W99" s="22"/>
      <c r="X99" s="22"/>
      <c r="Y99" s="22"/>
      <c r="Z99" s="22">
        <f t="shared" si="15"/>
        <v>0</v>
      </c>
      <c r="AA99" s="22">
        <f t="shared" si="9"/>
        <v>0</v>
      </c>
      <c r="AB99" s="22"/>
      <c r="AC99" s="30"/>
    </row>
    <row r="100" spans="1:29" ht="16.5" thickTop="1" x14ac:dyDescent="0.25"/>
  </sheetData>
  <mergeCells count="4">
    <mergeCell ref="A1:AC1"/>
    <mergeCell ref="AD3:AD35"/>
    <mergeCell ref="AD36:AD67"/>
    <mergeCell ref="AD68:AD96"/>
  </mergeCells>
  <conditionalFormatting sqref="AC1:AC96 AC100:AC1048576">
    <cfRule type="containsText" dxfId="239" priority="14" operator="containsText" text="ت">
      <formula>NOT(ISERROR(SEARCH("ت",AC1)))</formula>
    </cfRule>
  </conditionalFormatting>
  <conditionalFormatting sqref="AC4:AC96">
    <cfRule type="containsText" dxfId="238" priority="13" operator="containsText" text="ت">
      <formula>NOT(ISERROR(SEARCH("ت",AC4)))</formula>
    </cfRule>
  </conditionalFormatting>
  <conditionalFormatting sqref="O1:O2 I1:I2 R1:R2 V1:V2 AA100:AA1048576 V100:V1048576 R100:R1048576 O100:O1048576 I100:I1048576 AA1:AA2">
    <cfRule type="cellIs" dxfId="237" priority="15" operator="between">
      <formula>0.00277777777777778</formula>
      <formula>1</formula>
    </cfRule>
  </conditionalFormatting>
  <conditionalFormatting sqref="AC97:AC99">
    <cfRule type="containsText" dxfId="236" priority="12" operator="containsText" text="ت">
      <formula>NOT(ISERROR(SEARCH("ت",AC97)))</formula>
    </cfRule>
  </conditionalFormatting>
  <conditionalFormatting sqref="AC97:AC99">
    <cfRule type="containsText" dxfId="235" priority="11" operator="containsText" text="ت">
      <formula>NOT(ISERROR(SEARCH("ت",AC97)))</formula>
    </cfRule>
  </conditionalFormatting>
  <conditionalFormatting sqref="I3:I99">
    <cfRule type="cellIs" dxfId="234" priority="9" operator="between">
      <formula>0.00277777777777778</formula>
      <formula>1</formula>
    </cfRule>
  </conditionalFormatting>
  <conditionalFormatting sqref="I3:I99">
    <cfRule type="cellIs" dxfId="233" priority="10" operator="between">
      <formula>0.00277777777777778</formula>
      <formula>1</formula>
    </cfRule>
  </conditionalFormatting>
  <conditionalFormatting sqref="O3:O99">
    <cfRule type="cellIs" dxfId="232" priority="7" operator="between">
      <formula>0.00277777777777778</formula>
      <formula>1</formula>
    </cfRule>
  </conditionalFormatting>
  <conditionalFormatting sqref="O3:O99">
    <cfRule type="cellIs" dxfId="231" priority="8" operator="between">
      <formula>0.00277777777777778</formula>
      <formula>1</formula>
    </cfRule>
  </conditionalFormatting>
  <conditionalFormatting sqref="R3:R99">
    <cfRule type="cellIs" dxfId="230" priority="5" operator="between">
      <formula>0.00277777777777778</formula>
      <formula>1</formula>
    </cfRule>
  </conditionalFormatting>
  <conditionalFormatting sqref="R3:R99">
    <cfRule type="cellIs" dxfId="229" priority="6" operator="between">
      <formula>0.00277777777777778</formula>
      <formula>1</formula>
    </cfRule>
  </conditionalFormatting>
  <conditionalFormatting sqref="V3:V99">
    <cfRule type="cellIs" dxfId="228" priority="3" operator="between">
      <formula>0.00277777777777778</formula>
      <formula>1</formula>
    </cfRule>
  </conditionalFormatting>
  <conditionalFormatting sqref="V3:V99">
    <cfRule type="cellIs" dxfId="227" priority="4" operator="between">
      <formula>0.00277777777777778</formula>
      <formula>1</formula>
    </cfRule>
  </conditionalFormatting>
  <conditionalFormatting sqref="AA3:AA99">
    <cfRule type="cellIs" dxfId="226" priority="1" operator="between">
      <formula>0.00277777777777778</formula>
      <formula>1</formula>
    </cfRule>
  </conditionalFormatting>
  <conditionalFormatting sqref="AA3:AA99">
    <cfRule type="cellIs" dxfId="225" priority="2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"/>
  <sheetViews>
    <sheetView rightToLeft="1" workbookViewId="0">
      <pane xSplit="6" ySplit="2" topLeftCell="G68" activePane="bottomRight" state="frozen"/>
      <selection activeCell="A92" sqref="A92"/>
      <selection pane="topRight" activeCell="A92" sqref="A92"/>
      <selection pane="bottomLeft" activeCell="A92" sqref="A92"/>
      <selection pane="bottomRight" activeCell="A2" sqref="A2"/>
    </sheetView>
  </sheetViews>
  <sheetFormatPr defaultColWidth="9" defaultRowHeight="15.75" x14ac:dyDescent="0.25"/>
  <cols>
    <col min="1" max="1" width="5.42578125" customWidth="1"/>
    <col min="2" max="2" width="12.28515625" customWidth="1"/>
    <col min="3" max="3" width="12.5703125" customWidth="1"/>
    <col min="4" max="4" width="16.140625" style="36" customWidth="1"/>
    <col min="5" max="5" width="17.140625" customWidth="1"/>
    <col min="6" max="6" width="20.85546875" customWidth="1"/>
    <col min="7" max="7" width="12.7109375" customWidth="1"/>
    <col min="8" max="9" width="12.85546875" customWidth="1"/>
    <col min="10" max="10" width="12.5703125" customWidth="1"/>
    <col min="11" max="11" width="14.28515625" customWidth="1"/>
    <col min="12" max="12" width="22.7109375" customWidth="1"/>
    <col min="13" max="13" width="18.8554687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3.85546875" style="31" customWidth="1"/>
    <col min="30" max="30" width="11.140625" customWidth="1"/>
  </cols>
  <sheetData>
    <row r="1" spans="1:30" ht="33.75" customHeight="1" thickBot="1" x14ac:dyDescent="0.3">
      <c r="A1" s="46" t="s">
        <v>135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0" ht="49.5" customHeight="1" thickTop="1" thickBot="1" x14ac:dyDescent="0.3">
      <c r="A2" s="1" t="s">
        <v>1</v>
      </c>
      <c r="B2" s="2" t="s">
        <v>2</v>
      </c>
      <c r="C2" s="2" t="s">
        <v>3</v>
      </c>
      <c r="D2" s="3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8" t="s">
        <v>18</v>
      </c>
      <c r="S2" s="2" t="s">
        <v>19</v>
      </c>
      <c r="T2" s="8" t="s">
        <v>20</v>
      </c>
      <c r="U2" s="2" t="s">
        <v>21</v>
      </c>
      <c r="V2" s="8" t="s">
        <v>22</v>
      </c>
      <c r="W2" s="8" t="s">
        <v>23</v>
      </c>
      <c r="X2" s="2" t="s">
        <v>24</v>
      </c>
      <c r="Y2" s="2" t="s">
        <v>25</v>
      </c>
      <c r="Z2" s="2" t="s">
        <v>26</v>
      </c>
      <c r="AA2" s="8" t="s">
        <v>27</v>
      </c>
      <c r="AB2" s="2" t="s">
        <v>28</v>
      </c>
      <c r="AC2" s="9" t="s">
        <v>29</v>
      </c>
    </row>
    <row r="3" spans="1:30" ht="20.25" customHeight="1" thickTop="1" thickBot="1" x14ac:dyDescent="0.3">
      <c r="A3" s="10">
        <v>1</v>
      </c>
      <c r="B3" s="11"/>
      <c r="C3" s="11" t="e">
        <f>VLOOKUP(B3,داتا!$B$3:$D$107,2,FALSE)</f>
        <v>#N/A</v>
      </c>
      <c r="D3" s="33" t="e">
        <f>VLOOKUP(B3,داتا!$B$3:$D$107,3,FALSE)</f>
        <v>#N/A</v>
      </c>
      <c r="E3" s="11"/>
      <c r="F3" s="11"/>
      <c r="G3" s="12">
        <v>0.25</v>
      </c>
      <c r="H3" s="12"/>
      <c r="I3" s="12">
        <f>H3-G3</f>
        <v>-0.25</v>
      </c>
      <c r="J3" s="12"/>
      <c r="K3" s="12"/>
      <c r="L3" s="12"/>
      <c r="M3" s="12"/>
      <c r="N3" s="12">
        <f>K3-J3</f>
        <v>0</v>
      </c>
      <c r="O3" s="12" t="e">
        <f>N3-D3</f>
        <v>#N/A</v>
      </c>
      <c r="P3" s="12">
        <v>6.9444444444444397E-3</v>
      </c>
      <c r="Q3" s="12"/>
      <c r="R3" s="12">
        <f>Q3-P3-K3</f>
        <v>-6.9444444444444397E-3</v>
      </c>
      <c r="S3" s="12"/>
      <c r="T3" s="12" t="e">
        <f>VLOOKUP(E3,'[2]21-3-2026'!E$3:T$35,16,FALSE)</f>
        <v>#N/A</v>
      </c>
      <c r="U3" s="12"/>
      <c r="V3" s="12" t="e">
        <f>U3-T3-S3</f>
        <v>#N/A</v>
      </c>
      <c r="W3" s="12"/>
      <c r="X3" s="12"/>
      <c r="Y3" s="12"/>
      <c r="Z3" s="12">
        <f>Y3-X3</f>
        <v>0</v>
      </c>
      <c r="AA3" s="12">
        <f t="shared" ref="AA3:AA66" si="0">Z3-W3</f>
        <v>0</v>
      </c>
      <c r="AB3" s="12"/>
      <c r="AC3" s="13"/>
      <c r="AD3" s="47" t="s">
        <v>33</v>
      </c>
    </row>
    <row r="4" spans="1:30" ht="19.5" thickBot="1" x14ac:dyDescent="0.3">
      <c r="A4" s="14">
        <v>2</v>
      </c>
      <c r="B4" s="15"/>
      <c r="C4" s="15" t="e">
        <f>VLOOKUP(B4,داتا!$B$3:$D$107,2,FALSE)</f>
        <v>#N/A</v>
      </c>
      <c r="D4" s="34" t="e">
        <f>VLOOKUP(B4,داتا!$B$3:$D$107,3,FALSE)</f>
        <v>#N/A</v>
      </c>
      <c r="E4" s="15"/>
      <c r="F4" s="15"/>
      <c r="G4" s="16">
        <v>0.25</v>
      </c>
      <c r="H4" s="16"/>
      <c r="I4" s="16">
        <f t="shared" ref="I4:I67" si="1">H4-G4</f>
        <v>-0.25</v>
      </c>
      <c r="J4" s="16"/>
      <c r="K4" s="16"/>
      <c r="L4" s="16"/>
      <c r="M4" s="16"/>
      <c r="N4" s="16">
        <f t="shared" ref="N4:N67" si="2">K4-J4</f>
        <v>0</v>
      </c>
      <c r="O4" s="16" t="e">
        <f t="shared" ref="O4:O67" si="3">N4-D4</f>
        <v>#N/A</v>
      </c>
      <c r="P4" s="16">
        <v>6.9444444444444397E-3</v>
      </c>
      <c r="Q4" s="16"/>
      <c r="R4" s="16">
        <f t="shared" ref="R4:R67" si="4">Q4-P4-K4</f>
        <v>-6.9444444444444397E-3</v>
      </c>
      <c r="S4" s="16"/>
      <c r="T4" s="16" t="e">
        <f>VLOOKUP(E4,'[2]21-3-2026'!E$3:T$35,16,FALSE)</f>
        <v>#N/A</v>
      </c>
      <c r="U4" s="16"/>
      <c r="V4" s="16" t="e">
        <f t="shared" ref="V4:V67" si="5">U4-T4-S4</f>
        <v>#N/A</v>
      </c>
      <c r="W4" s="16"/>
      <c r="X4" s="16"/>
      <c r="Y4" s="16"/>
      <c r="Z4" s="16">
        <f t="shared" ref="Z4:Z67" si="6">Y4-X4</f>
        <v>0</v>
      </c>
      <c r="AA4" s="16">
        <f t="shared" si="0"/>
        <v>0</v>
      </c>
      <c r="AB4" s="16"/>
      <c r="AC4" s="17"/>
      <c r="AD4" s="48"/>
    </row>
    <row r="5" spans="1:30" ht="19.5" thickBot="1" x14ac:dyDescent="0.3">
      <c r="A5" s="14">
        <v>3</v>
      </c>
      <c r="B5" s="15"/>
      <c r="C5" s="15" t="e">
        <f>VLOOKUP(B5,داتا!$B$3:$D$107,2,FALSE)</f>
        <v>#N/A</v>
      </c>
      <c r="D5" s="34" t="e">
        <f>VLOOKUP(B5,داتا!$B$3:$D$107,3,FALSE)</f>
        <v>#N/A</v>
      </c>
      <c r="E5" s="15"/>
      <c r="F5" s="15"/>
      <c r="G5" s="16">
        <v>0.25</v>
      </c>
      <c r="H5" s="16"/>
      <c r="I5" s="16">
        <f t="shared" si="1"/>
        <v>-0.25</v>
      </c>
      <c r="J5" s="16"/>
      <c r="K5" s="16"/>
      <c r="L5" s="16"/>
      <c r="M5" s="16"/>
      <c r="N5" s="16">
        <f t="shared" si="2"/>
        <v>0</v>
      </c>
      <c r="O5" s="16" t="e">
        <f t="shared" si="3"/>
        <v>#N/A</v>
      </c>
      <c r="P5" s="16">
        <v>6.9444444444444397E-3</v>
      </c>
      <c r="Q5" s="16"/>
      <c r="R5" s="16">
        <f t="shared" si="4"/>
        <v>-6.9444444444444397E-3</v>
      </c>
      <c r="S5" s="16"/>
      <c r="T5" s="16" t="e">
        <f>VLOOKUP(E5,'[2]21-3-2026'!E$3:T$35,16,FALSE)</f>
        <v>#N/A</v>
      </c>
      <c r="U5" s="16"/>
      <c r="V5" s="16" t="e">
        <f t="shared" si="5"/>
        <v>#N/A</v>
      </c>
      <c r="W5" s="16"/>
      <c r="X5" s="16"/>
      <c r="Y5" s="16"/>
      <c r="Z5" s="16">
        <f t="shared" si="6"/>
        <v>0</v>
      </c>
      <c r="AA5" s="16">
        <f t="shared" si="0"/>
        <v>0</v>
      </c>
      <c r="AB5" s="16"/>
      <c r="AC5" s="17"/>
      <c r="AD5" s="48"/>
    </row>
    <row r="6" spans="1:30" ht="19.5" thickBot="1" x14ac:dyDescent="0.3">
      <c r="A6" s="14">
        <v>4</v>
      </c>
      <c r="B6" s="15"/>
      <c r="C6" s="15" t="e">
        <f>VLOOKUP(B6,داتا!$B$3:$D$107,2,FALSE)</f>
        <v>#N/A</v>
      </c>
      <c r="D6" s="34" t="e">
        <f>VLOOKUP(B6,داتا!$B$3:$D$107,3,FALSE)</f>
        <v>#N/A</v>
      </c>
      <c r="E6" s="15"/>
      <c r="F6" s="15"/>
      <c r="G6" s="16">
        <v>0.25</v>
      </c>
      <c r="H6" s="16"/>
      <c r="I6" s="16">
        <f t="shared" si="1"/>
        <v>-0.25</v>
      </c>
      <c r="J6" s="16"/>
      <c r="K6" s="16"/>
      <c r="L6" s="16"/>
      <c r="M6" s="16"/>
      <c r="N6" s="16">
        <f t="shared" si="2"/>
        <v>0</v>
      </c>
      <c r="O6" s="16" t="e">
        <f t="shared" si="3"/>
        <v>#N/A</v>
      </c>
      <c r="P6" s="16">
        <v>6.9444444444444397E-3</v>
      </c>
      <c r="Q6" s="16"/>
      <c r="R6" s="16">
        <f t="shared" si="4"/>
        <v>-6.9444444444444397E-3</v>
      </c>
      <c r="S6" s="16"/>
      <c r="T6" s="16" t="e">
        <f>VLOOKUP(E6,'[2]21-3-2026'!E$3:T$35,16,FALSE)</f>
        <v>#N/A</v>
      </c>
      <c r="U6" s="16"/>
      <c r="V6" s="16" t="e">
        <f t="shared" si="5"/>
        <v>#N/A</v>
      </c>
      <c r="W6" s="16"/>
      <c r="X6" s="16"/>
      <c r="Y6" s="16"/>
      <c r="Z6" s="16">
        <f t="shared" si="6"/>
        <v>0</v>
      </c>
      <c r="AA6" s="16">
        <f t="shared" si="0"/>
        <v>0</v>
      </c>
      <c r="AB6" s="16"/>
      <c r="AC6" s="17"/>
      <c r="AD6" s="48"/>
    </row>
    <row r="7" spans="1:30" ht="19.5" thickBot="1" x14ac:dyDescent="0.3">
      <c r="A7" s="14">
        <v>5</v>
      </c>
      <c r="B7" s="15"/>
      <c r="C7" s="15" t="e">
        <f>VLOOKUP(B7,داتا!$B$3:$D$107,2,FALSE)</f>
        <v>#N/A</v>
      </c>
      <c r="D7" s="34" t="e">
        <f>VLOOKUP(B7,داتا!$B$3:$D$107,3,FALSE)</f>
        <v>#N/A</v>
      </c>
      <c r="E7" s="15"/>
      <c r="F7" s="15"/>
      <c r="G7" s="16">
        <v>0.25</v>
      </c>
      <c r="H7" s="16"/>
      <c r="I7" s="16">
        <f t="shared" si="1"/>
        <v>-0.25</v>
      </c>
      <c r="J7" s="16"/>
      <c r="K7" s="16"/>
      <c r="L7" s="16"/>
      <c r="M7" s="16"/>
      <c r="N7" s="16">
        <f t="shared" si="2"/>
        <v>0</v>
      </c>
      <c r="O7" s="16" t="e">
        <f t="shared" si="3"/>
        <v>#N/A</v>
      </c>
      <c r="P7" s="16">
        <v>6.9444444444444397E-3</v>
      </c>
      <c r="Q7" s="16"/>
      <c r="R7" s="16">
        <f t="shared" si="4"/>
        <v>-6.9444444444444397E-3</v>
      </c>
      <c r="S7" s="16"/>
      <c r="T7" s="16" t="e">
        <f>VLOOKUP(E7,'[2]21-3-2026'!E$3:T$35,16,FALSE)</f>
        <v>#N/A</v>
      </c>
      <c r="U7" s="16"/>
      <c r="V7" s="16" t="e">
        <f t="shared" si="5"/>
        <v>#N/A</v>
      </c>
      <c r="W7" s="16"/>
      <c r="X7" s="16"/>
      <c r="Y7" s="16"/>
      <c r="Z7" s="16">
        <f t="shared" si="6"/>
        <v>0</v>
      </c>
      <c r="AA7" s="16">
        <f t="shared" si="0"/>
        <v>0</v>
      </c>
      <c r="AB7" s="16"/>
      <c r="AC7" s="17"/>
      <c r="AD7" s="48"/>
    </row>
    <row r="8" spans="1:30" ht="19.5" thickBot="1" x14ac:dyDescent="0.3">
      <c r="A8" s="14">
        <v>6</v>
      </c>
      <c r="B8" s="15"/>
      <c r="C8" s="15" t="e">
        <f>VLOOKUP(B8,داتا!$B$3:$D$107,2,FALSE)</f>
        <v>#N/A</v>
      </c>
      <c r="D8" s="34" t="e">
        <f>VLOOKUP(B8,داتا!$B$3:$D$107,3,FALSE)</f>
        <v>#N/A</v>
      </c>
      <c r="E8" s="15"/>
      <c r="F8" s="15"/>
      <c r="G8" s="16">
        <v>0.25</v>
      </c>
      <c r="H8" s="16"/>
      <c r="I8" s="16">
        <f t="shared" si="1"/>
        <v>-0.25</v>
      </c>
      <c r="J8" s="16"/>
      <c r="K8" s="16"/>
      <c r="L8" s="16"/>
      <c r="M8" s="16"/>
      <c r="N8" s="16">
        <f t="shared" si="2"/>
        <v>0</v>
      </c>
      <c r="O8" s="16" t="e">
        <f t="shared" si="3"/>
        <v>#N/A</v>
      </c>
      <c r="P8" s="16">
        <v>6.9444444444444397E-3</v>
      </c>
      <c r="Q8" s="16"/>
      <c r="R8" s="16">
        <f t="shared" si="4"/>
        <v>-6.9444444444444397E-3</v>
      </c>
      <c r="S8" s="16"/>
      <c r="T8" s="16" t="e">
        <f>VLOOKUP(E8,'[2]21-3-2026'!E$3:T$35,16,FALSE)</f>
        <v>#N/A</v>
      </c>
      <c r="U8" s="16"/>
      <c r="V8" s="16" t="e">
        <f t="shared" si="5"/>
        <v>#N/A</v>
      </c>
      <c r="W8" s="16"/>
      <c r="X8" s="16"/>
      <c r="Y8" s="16"/>
      <c r="Z8" s="16">
        <f t="shared" si="6"/>
        <v>0</v>
      </c>
      <c r="AA8" s="16">
        <f t="shared" si="0"/>
        <v>0</v>
      </c>
      <c r="AB8" s="16"/>
      <c r="AC8" s="18"/>
      <c r="AD8" s="48"/>
    </row>
    <row r="9" spans="1:30" ht="19.5" thickBot="1" x14ac:dyDescent="0.3">
      <c r="A9" s="14">
        <v>7</v>
      </c>
      <c r="B9" s="15"/>
      <c r="C9" s="15" t="e">
        <f>VLOOKUP(B9,داتا!$B$3:$D$107,2,FALSE)</f>
        <v>#N/A</v>
      </c>
      <c r="D9" s="34" t="e">
        <f>VLOOKUP(B9,داتا!$B$3:$D$107,3,FALSE)</f>
        <v>#N/A</v>
      </c>
      <c r="E9" s="15"/>
      <c r="F9" s="15"/>
      <c r="G9" s="16">
        <v>0.25</v>
      </c>
      <c r="H9" s="16"/>
      <c r="I9" s="16">
        <f t="shared" si="1"/>
        <v>-0.25</v>
      </c>
      <c r="J9" s="16"/>
      <c r="K9" s="16"/>
      <c r="L9" s="16"/>
      <c r="M9" s="16"/>
      <c r="N9" s="16">
        <f t="shared" si="2"/>
        <v>0</v>
      </c>
      <c r="O9" s="16" t="e">
        <f t="shared" si="3"/>
        <v>#N/A</v>
      </c>
      <c r="P9" s="16">
        <v>6.9444444444444397E-3</v>
      </c>
      <c r="Q9" s="16"/>
      <c r="R9" s="16">
        <f t="shared" si="4"/>
        <v>-6.9444444444444397E-3</v>
      </c>
      <c r="S9" s="16"/>
      <c r="T9" s="16" t="e">
        <f>VLOOKUP(E9,'[2]21-3-2026'!E$3:T$35,16,FALSE)</f>
        <v>#N/A</v>
      </c>
      <c r="U9" s="16"/>
      <c r="V9" s="16" t="e">
        <f t="shared" si="5"/>
        <v>#N/A</v>
      </c>
      <c r="W9" s="16"/>
      <c r="X9" s="16"/>
      <c r="Y9" s="16"/>
      <c r="Z9" s="16">
        <f t="shared" si="6"/>
        <v>0</v>
      </c>
      <c r="AA9" s="16">
        <f t="shared" si="0"/>
        <v>0</v>
      </c>
      <c r="AB9" s="16"/>
      <c r="AC9" s="17"/>
      <c r="AD9" s="48"/>
    </row>
    <row r="10" spans="1:30" ht="19.5" thickBot="1" x14ac:dyDescent="0.3">
      <c r="A10" s="14">
        <v>8</v>
      </c>
      <c r="B10" s="15"/>
      <c r="C10" s="15" t="e">
        <f>VLOOKUP(B10,داتا!$B$3:$D$107,2,FALSE)</f>
        <v>#N/A</v>
      </c>
      <c r="D10" s="34" t="e">
        <f>VLOOKUP(B10,داتا!$B$3:$D$107,3,FALSE)</f>
        <v>#N/A</v>
      </c>
      <c r="E10" s="15"/>
      <c r="F10" s="15"/>
      <c r="G10" s="16">
        <v>0.25</v>
      </c>
      <c r="H10" s="16"/>
      <c r="I10" s="16">
        <f t="shared" si="1"/>
        <v>-0.25</v>
      </c>
      <c r="J10" s="16"/>
      <c r="K10" s="16"/>
      <c r="L10" s="16"/>
      <c r="M10" s="16"/>
      <c r="N10" s="16">
        <f t="shared" si="2"/>
        <v>0</v>
      </c>
      <c r="O10" s="16" t="e">
        <f t="shared" si="3"/>
        <v>#N/A</v>
      </c>
      <c r="P10" s="16">
        <v>6.9444444444444397E-3</v>
      </c>
      <c r="Q10" s="16"/>
      <c r="R10" s="16">
        <f t="shared" si="4"/>
        <v>-6.9444444444444397E-3</v>
      </c>
      <c r="S10" s="16"/>
      <c r="T10" s="16" t="e">
        <f>VLOOKUP(E10,'[2]21-3-2026'!E$3:T$35,16,FALSE)</f>
        <v>#N/A</v>
      </c>
      <c r="U10" s="16"/>
      <c r="V10" s="16" t="e">
        <f t="shared" si="5"/>
        <v>#N/A</v>
      </c>
      <c r="W10" s="16"/>
      <c r="X10" s="16"/>
      <c r="Y10" s="16"/>
      <c r="Z10" s="16">
        <f t="shared" si="6"/>
        <v>0</v>
      </c>
      <c r="AA10" s="16">
        <f t="shared" si="0"/>
        <v>0</v>
      </c>
      <c r="AB10" s="16"/>
      <c r="AC10" s="17"/>
      <c r="AD10" s="48"/>
    </row>
    <row r="11" spans="1:30" ht="19.5" thickBot="1" x14ac:dyDescent="0.3">
      <c r="A11" s="14">
        <v>9</v>
      </c>
      <c r="B11" s="15"/>
      <c r="C11" s="15" t="e">
        <f>VLOOKUP(B11,داتا!$B$3:$D$107,2,FALSE)</f>
        <v>#N/A</v>
      </c>
      <c r="D11" s="34" t="e">
        <f>VLOOKUP(B11,داتا!$B$3:$D$107,3,FALSE)</f>
        <v>#N/A</v>
      </c>
      <c r="E11" s="15"/>
      <c r="F11" s="15"/>
      <c r="G11" s="16">
        <v>0.25</v>
      </c>
      <c r="H11" s="16"/>
      <c r="I11" s="16">
        <f t="shared" si="1"/>
        <v>-0.25</v>
      </c>
      <c r="J11" s="16"/>
      <c r="K11" s="16"/>
      <c r="L11" s="16"/>
      <c r="M11" s="16"/>
      <c r="N11" s="16">
        <f t="shared" si="2"/>
        <v>0</v>
      </c>
      <c r="O11" s="16" t="e">
        <f t="shared" si="3"/>
        <v>#N/A</v>
      </c>
      <c r="P11" s="16">
        <v>6.9444444444444397E-3</v>
      </c>
      <c r="Q11" s="16"/>
      <c r="R11" s="16">
        <f t="shared" si="4"/>
        <v>-6.9444444444444397E-3</v>
      </c>
      <c r="S11" s="16"/>
      <c r="T11" s="16" t="e">
        <f>VLOOKUP(E11,'[2]21-3-2026'!E$3:T$35,16,FALSE)</f>
        <v>#N/A</v>
      </c>
      <c r="U11" s="16"/>
      <c r="V11" s="16" t="e">
        <f t="shared" si="5"/>
        <v>#N/A</v>
      </c>
      <c r="W11" s="16"/>
      <c r="X11" s="16"/>
      <c r="Y11" s="16"/>
      <c r="Z11" s="16">
        <f t="shared" si="6"/>
        <v>0</v>
      </c>
      <c r="AA11" s="16">
        <f t="shared" si="0"/>
        <v>0</v>
      </c>
      <c r="AB11" s="16"/>
      <c r="AC11" s="17"/>
      <c r="AD11" s="48"/>
    </row>
    <row r="12" spans="1:30" ht="19.5" thickBot="1" x14ac:dyDescent="0.3">
      <c r="A12" s="14">
        <v>10</v>
      </c>
      <c r="B12" s="15"/>
      <c r="C12" s="15" t="e">
        <f>VLOOKUP(B12,داتا!$B$3:$D$107,2,FALSE)</f>
        <v>#N/A</v>
      </c>
      <c r="D12" s="34" t="e">
        <f>VLOOKUP(B12,داتا!$B$3:$D$107,3,FALSE)</f>
        <v>#N/A</v>
      </c>
      <c r="E12" s="15"/>
      <c r="F12" s="15"/>
      <c r="G12" s="16">
        <v>0.25</v>
      </c>
      <c r="H12" s="16"/>
      <c r="I12" s="16">
        <f t="shared" si="1"/>
        <v>-0.25</v>
      </c>
      <c r="J12" s="16"/>
      <c r="K12" s="16"/>
      <c r="L12" s="16"/>
      <c r="M12" s="16"/>
      <c r="N12" s="16">
        <f t="shared" si="2"/>
        <v>0</v>
      </c>
      <c r="O12" s="16" t="e">
        <f t="shared" si="3"/>
        <v>#N/A</v>
      </c>
      <c r="P12" s="16">
        <v>6.9444444444444397E-3</v>
      </c>
      <c r="Q12" s="16"/>
      <c r="R12" s="16">
        <f t="shared" si="4"/>
        <v>-6.9444444444444397E-3</v>
      </c>
      <c r="S12" s="16"/>
      <c r="T12" s="16" t="e">
        <f>VLOOKUP(E12,'[2]21-3-2026'!E$3:T$35,16,FALSE)</f>
        <v>#N/A</v>
      </c>
      <c r="U12" s="16"/>
      <c r="V12" s="16" t="e">
        <f t="shared" si="5"/>
        <v>#N/A</v>
      </c>
      <c r="W12" s="16"/>
      <c r="X12" s="16"/>
      <c r="Y12" s="16"/>
      <c r="Z12" s="16">
        <f t="shared" si="6"/>
        <v>0</v>
      </c>
      <c r="AA12" s="16">
        <f t="shared" si="0"/>
        <v>0</v>
      </c>
      <c r="AB12" s="16"/>
      <c r="AC12" s="17"/>
      <c r="AD12" s="48"/>
    </row>
    <row r="13" spans="1:30" ht="19.5" thickBot="1" x14ac:dyDescent="0.3">
      <c r="A13" s="14">
        <v>11</v>
      </c>
      <c r="B13" s="15"/>
      <c r="C13" s="15" t="e">
        <f>VLOOKUP(B13,داتا!$B$3:$D$107,2,FALSE)</f>
        <v>#N/A</v>
      </c>
      <c r="D13" s="34" t="e">
        <f>VLOOKUP(B13,داتا!$B$3:$D$107,3,FALSE)</f>
        <v>#N/A</v>
      </c>
      <c r="E13" s="15"/>
      <c r="F13" s="15"/>
      <c r="G13" s="16">
        <v>0.25</v>
      </c>
      <c r="H13" s="16"/>
      <c r="I13" s="16">
        <f t="shared" si="1"/>
        <v>-0.25</v>
      </c>
      <c r="J13" s="16"/>
      <c r="K13" s="16"/>
      <c r="L13" s="16"/>
      <c r="M13" s="16"/>
      <c r="N13" s="16">
        <f t="shared" si="2"/>
        <v>0</v>
      </c>
      <c r="O13" s="16" t="e">
        <f t="shared" si="3"/>
        <v>#N/A</v>
      </c>
      <c r="P13" s="16">
        <v>6.9444444444444397E-3</v>
      </c>
      <c r="Q13" s="16"/>
      <c r="R13" s="16">
        <f t="shared" si="4"/>
        <v>-6.9444444444444397E-3</v>
      </c>
      <c r="S13" s="16"/>
      <c r="T13" s="16" t="e">
        <f>VLOOKUP(E13,'[2]21-3-2026'!E$3:T$35,16,FALSE)</f>
        <v>#N/A</v>
      </c>
      <c r="U13" s="16"/>
      <c r="V13" s="16" t="e">
        <f t="shared" si="5"/>
        <v>#N/A</v>
      </c>
      <c r="W13" s="16"/>
      <c r="X13" s="16"/>
      <c r="Y13" s="16"/>
      <c r="Z13" s="16">
        <f t="shared" si="6"/>
        <v>0</v>
      </c>
      <c r="AA13" s="16">
        <f t="shared" si="0"/>
        <v>0</v>
      </c>
      <c r="AB13" s="16"/>
      <c r="AC13" s="18"/>
      <c r="AD13" s="48"/>
    </row>
    <row r="14" spans="1:30" ht="19.5" thickBot="1" x14ac:dyDescent="0.3">
      <c r="A14" s="14">
        <v>12</v>
      </c>
      <c r="B14" s="15"/>
      <c r="C14" s="15" t="e">
        <f>VLOOKUP(B14,داتا!$B$3:$D$107,2,FALSE)</f>
        <v>#N/A</v>
      </c>
      <c r="D14" s="34" t="e">
        <f>VLOOKUP(B14,داتا!$B$3:$D$107,3,FALSE)</f>
        <v>#N/A</v>
      </c>
      <c r="E14" s="15"/>
      <c r="F14" s="15"/>
      <c r="G14" s="16">
        <v>0.25</v>
      </c>
      <c r="H14" s="16"/>
      <c r="I14" s="16">
        <f t="shared" si="1"/>
        <v>-0.25</v>
      </c>
      <c r="J14" s="16"/>
      <c r="K14" s="16"/>
      <c r="L14" s="16"/>
      <c r="M14" s="16"/>
      <c r="N14" s="16">
        <f t="shared" si="2"/>
        <v>0</v>
      </c>
      <c r="O14" s="16" t="e">
        <f t="shared" si="3"/>
        <v>#N/A</v>
      </c>
      <c r="P14" s="16">
        <v>6.9444444444444397E-3</v>
      </c>
      <c r="Q14" s="16"/>
      <c r="R14" s="16">
        <f t="shared" si="4"/>
        <v>-6.9444444444444397E-3</v>
      </c>
      <c r="S14" s="16"/>
      <c r="T14" s="16" t="e">
        <f>VLOOKUP(E14,'[2]21-3-2026'!E$3:T$35,16,FALSE)</f>
        <v>#N/A</v>
      </c>
      <c r="U14" s="16"/>
      <c r="V14" s="16" t="e">
        <f t="shared" si="5"/>
        <v>#N/A</v>
      </c>
      <c r="W14" s="16"/>
      <c r="X14" s="16"/>
      <c r="Y14" s="16"/>
      <c r="Z14" s="16">
        <f t="shared" si="6"/>
        <v>0</v>
      </c>
      <c r="AA14" s="16">
        <f t="shared" si="0"/>
        <v>0</v>
      </c>
      <c r="AB14" s="16"/>
      <c r="AC14" s="17"/>
      <c r="AD14" s="48"/>
    </row>
    <row r="15" spans="1:30" ht="19.5" thickBot="1" x14ac:dyDescent="0.3">
      <c r="A15" s="14">
        <v>13</v>
      </c>
      <c r="B15" s="15"/>
      <c r="C15" s="15" t="e">
        <f>VLOOKUP(B15,داتا!$B$3:$D$107,2,FALSE)</f>
        <v>#N/A</v>
      </c>
      <c r="D15" s="34" t="e">
        <f>VLOOKUP(B15,داتا!$B$3:$D$107,3,FALSE)</f>
        <v>#N/A</v>
      </c>
      <c r="E15" s="15"/>
      <c r="F15" s="15"/>
      <c r="G15" s="16">
        <v>0.25</v>
      </c>
      <c r="H15" s="16"/>
      <c r="I15" s="16">
        <f t="shared" si="1"/>
        <v>-0.25</v>
      </c>
      <c r="J15" s="16"/>
      <c r="K15" s="16"/>
      <c r="L15" s="16"/>
      <c r="M15" s="16"/>
      <c r="N15" s="16">
        <f t="shared" si="2"/>
        <v>0</v>
      </c>
      <c r="O15" s="16" t="e">
        <f t="shared" si="3"/>
        <v>#N/A</v>
      </c>
      <c r="P15" s="16">
        <v>6.9444444444444397E-3</v>
      </c>
      <c r="Q15" s="16"/>
      <c r="R15" s="16">
        <f t="shared" si="4"/>
        <v>-6.9444444444444397E-3</v>
      </c>
      <c r="S15" s="16"/>
      <c r="T15" s="16" t="e">
        <f>VLOOKUP(E15,'[2]21-3-2026'!E$3:T$35,16,FALSE)</f>
        <v>#N/A</v>
      </c>
      <c r="U15" s="16"/>
      <c r="V15" s="16" t="e">
        <f t="shared" si="5"/>
        <v>#N/A</v>
      </c>
      <c r="W15" s="16"/>
      <c r="X15" s="16"/>
      <c r="Y15" s="16"/>
      <c r="Z15" s="16">
        <f t="shared" si="6"/>
        <v>0</v>
      </c>
      <c r="AA15" s="16">
        <f t="shared" si="0"/>
        <v>0</v>
      </c>
      <c r="AB15" s="16"/>
      <c r="AC15" s="17"/>
      <c r="AD15" s="48"/>
    </row>
    <row r="16" spans="1:30" ht="19.5" thickBot="1" x14ac:dyDescent="0.3">
      <c r="A16" s="14">
        <v>14</v>
      </c>
      <c r="B16" s="15"/>
      <c r="C16" s="15" t="e">
        <f>VLOOKUP(B16,داتا!$B$3:$D$107,2,FALSE)</f>
        <v>#N/A</v>
      </c>
      <c r="D16" s="34" t="e">
        <f>VLOOKUP(B16,داتا!$B$3:$D$107,3,FALSE)</f>
        <v>#N/A</v>
      </c>
      <c r="E16" s="15"/>
      <c r="F16" s="15"/>
      <c r="G16" s="16">
        <v>0.25</v>
      </c>
      <c r="H16" s="16"/>
      <c r="I16" s="16">
        <f t="shared" si="1"/>
        <v>-0.25</v>
      </c>
      <c r="J16" s="16"/>
      <c r="K16" s="16"/>
      <c r="L16" s="16"/>
      <c r="M16" s="16"/>
      <c r="N16" s="16">
        <f t="shared" si="2"/>
        <v>0</v>
      </c>
      <c r="O16" s="16" t="e">
        <f t="shared" si="3"/>
        <v>#N/A</v>
      </c>
      <c r="P16" s="16">
        <v>6.9444444444444397E-3</v>
      </c>
      <c r="Q16" s="16"/>
      <c r="R16" s="16">
        <f t="shared" si="4"/>
        <v>-6.9444444444444397E-3</v>
      </c>
      <c r="S16" s="16"/>
      <c r="T16" s="16" t="e">
        <f>VLOOKUP(E16,'[2]21-3-2026'!E$3:T$35,16,FALSE)</f>
        <v>#N/A</v>
      </c>
      <c r="U16" s="16"/>
      <c r="V16" s="16" t="e">
        <f t="shared" si="5"/>
        <v>#N/A</v>
      </c>
      <c r="W16" s="16"/>
      <c r="X16" s="16"/>
      <c r="Y16" s="16"/>
      <c r="Z16" s="16">
        <f t="shared" si="6"/>
        <v>0</v>
      </c>
      <c r="AA16" s="16">
        <f t="shared" si="0"/>
        <v>0</v>
      </c>
      <c r="AB16" s="16"/>
      <c r="AC16" s="17"/>
      <c r="AD16" s="48"/>
    </row>
    <row r="17" spans="1:30" ht="19.5" thickBot="1" x14ac:dyDescent="0.3">
      <c r="A17" s="14">
        <v>15</v>
      </c>
      <c r="B17" s="15"/>
      <c r="C17" s="15" t="e">
        <f>VLOOKUP(B17,داتا!$B$3:$D$107,2,FALSE)</f>
        <v>#N/A</v>
      </c>
      <c r="D17" s="34" t="e">
        <f>VLOOKUP(B17,داتا!$B$3:$D$107,3,FALSE)</f>
        <v>#N/A</v>
      </c>
      <c r="E17" s="15"/>
      <c r="F17" s="15"/>
      <c r="G17" s="16">
        <v>0.25</v>
      </c>
      <c r="H17" s="16"/>
      <c r="I17" s="16">
        <f t="shared" si="1"/>
        <v>-0.25</v>
      </c>
      <c r="J17" s="16"/>
      <c r="K17" s="16"/>
      <c r="L17" s="16"/>
      <c r="M17" s="16"/>
      <c r="N17" s="16">
        <f t="shared" si="2"/>
        <v>0</v>
      </c>
      <c r="O17" s="16" t="e">
        <f t="shared" si="3"/>
        <v>#N/A</v>
      </c>
      <c r="P17" s="16">
        <v>6.9444444444444397E-3</v>
      </c>
      <c r="Q17" s="16"/>
      <c r="R17" s="16">
        <f t="shared" si="4"/>
        <v>-6.9444444444444397E-3</v>
      </c>
      <c r="S17" s="16"/>
      <c r="T17" s="16" t="e">
        <f>VLOOKUP(E17,'[2]21-3-2026'!E$3:T$35,16,FALSE)</f>
        <v>#N/A</v>
      </c>
      <c r="U17" s="16"/>
      <c r="V17" s="16" t="e">
        <f t="shared" si="5"/>
        <v>#N/A</v>
      </c>
      <c r="W17" s="16"/>
      <c r="X17" s="16"/>
      <c r="Y17" s="16"/>
      <c r="Z17" s="16">
        <f t="shared" si="6"/>
        <v>0</v>
      </c>
      <c r="AA17" s="16">
        <f t="shared" si="0"/>
        <v>0</v>
      </c>
      <c r="AB17" s="16"/>
      <c r="AC17" s="17"/>
      <c r="AD17" s="48"/>
    </row>
    <row r="18" spans="1:30" ht="19.5" thickBot="1" x14ac:dyDescent="0.3">
      <c r="A18" s="14">
        <v>16</v>
      </c>
      <c r="B18" s="15"/>
      <c r="C18" s="15" t="e">
        <f>VLOOKUP(B18,داتا!$B$3:$D$107,2,FALSE)</f>
        <v>#N/A</v>
      </c>
      <c r="D18" s="34" t="e">
        <f>VLOOKUP(B18,داتا!$B$3:$D$107,3,FALSE)</f>
        <v>#N/A</v>
      </c>
      <c r="E18" s="16"/>
      <c r="F18" s="15"/>
      <c r="G18" s="16">
        <v>0.25</v>
      </c>
      <c r="H18" s="16"/>
      <c r="I18" s="16">
        <f t="shared" si="1"/>
        <v>-0.25</v>
      </c>
      <c r="J18" s="16"/>
      <c r="K18" s="16"/>
      <c r="L18" s="16"/>
      <c r="M18" s="16"/>
      <c r="N18" s="16">
        <f t="shared" si="2"/>
        <v>0</v>
      </c>
      <c r="O18" s="16" t="e">
        <f t="shared" si="3"/>
        <v>#N/A</v>
      </c>
      <c r="P18" s="16">
        <v>6.9444444444444397E-3</v>
      </c>
      <c r="Q18" s="16"/>
      <c r="R18" s="16">
        <f t="shared" si="4"/>
        <v>-6.9444444444444397E-3</v>
      </c>
      <c r="S18" s="16"/>
      <c r="T18" s="16" t="e">
        <f>VLOOKUP(E18,'[2]21-3-2026'!E$3:T$35,16,FALSE)</f>
        <v>#N/A</v>
      </c>
      <c r="U18" s="16"/>
      <c r="V18" s="16" t="e">
        <f t="shared" si="5"/>
        <v>#N/A</v>
      </c>
      <c r="W18" s="16"/>
      <c r="X18" s="16"/>
      <c r="Y18" s="16"/>
      <c r="Z18" s="16">
        <f t="shared" si="6"/>
        <v>0</v>
      </c>
      <c r="AA18" s="16">
        <f t="shared" si="0"/>
        <v>0</v>
      </c>
      <c r="AB18" s="16"/>
      <c r="AC18" s="17"/>
      <c r="AD18" s="48"/>
    </row>
    <row r="19" spans="1:30" ht="19.5" thickBot="1" x14ac:dyDescent="0.3">
      <c r="A19" s="14">
        <v>17</v>
      </c>
      <c r="B19" s="15"/>
      <c r="C19" s="15" t="e">
        <f>VLOOKUP(B19,داتا!$B$3:$D$107,2,FALSE)</f>
        <v>#N/A</v>
      </c>
      <c r="D19" s="34" t="e">
        <f>VLOOKUP(B19,داتا!$B$3:$D$107,3,FALSE)</f>
        <v>#N/A</v>
      </c>
      <c r="E19" s="15"/>
      <c r="F19" s="15"/>
      <c r="G19" s="16">
        <v>0.25</v>
      </c>
      <c r="H19" s="16"/>
      <c r="I19" s="16">
        <f t="shared" si="1"/>
        <v>-0.25</v>
      </c>
      <c r="J19" s="16"/>
      <c r="K19" s="16"/>
      <c r="L19" s="16"/>
      <c r="M19" s="16"/>
      <c r="N19" s="16">
        <f t="shared" si="2"/>
        <v>0</v>
      </c>
      <c r="O19" s="16" t="e">
        <f t="shared" si="3"/>
        <v>#N/A</v>
      </c>
      <c r="P19" s="16">
        <v>6.9444444444444397E-3</v>
      </c>
      <c r="Q19" s="16"/>
      <c r="R19" s="16">
        <f t="shared" si="4"/>
        <v>-6.9444444444444397E-3</v>
      </c>
      <c r="S19" s="16"/>
      <c r="T19" s="16" t="e">
        <f>VLOOKUP(E19,'[2]21-3-2026'!E$3:T$35,16,FALSE)</f>
        <v>#N/A</v>
      </c>
      <c r="U19" s="16"/>
      <c r="V19" s="16" t="e">
        <f t="shared" si="5"/>
        <v>#N/A</v>
      </c>
      <c r="W19" s="16"/>
      <c r="X19" s="16"/>
      <c r="Y19" s="16"/>
      <c r="Z19" s="16">
        <f t="shared" si="6"/>
        <v>0</v>
      </c>
      <c r="AA19" s="16">
        <f t="shared" si="0"/>
        <v>0</v>
      </c>
      <c r="AB19" s="16"/>
      <c r="AC19" s="17"/>
      <c r="AD19" s="48"/>
    </row>
    <row r="20" spans="1:30" ht="19.5" thickBot="1" x14ac:dyDescent="0.3">
      <c r="A20" s="14">
        <v>18</v>
      </c>
      <c r="B20" s="15"/>
      <c r="C20" s="15" t="e">
        <f>VLOOKUP(B20,داتا!$B$3:$D$107,2,FALSE)</f>
        <v>#N/A</v>
      </c>
      <c r="D20" s="34" t="e">
        <f>VLOOKUP(B20,داتا!$B$3:$D$107,3,FALSE)</f>
        <v>#N/A</v>
      </c>
      <c r="E20" s="15"/>
      <c r="F20" s="15"/>
      <c r="G20" s="16">
        <v>0.25</v>
      </c>
      <c r="H20" s="16"/>
      <c r="I20" s="16">
        <f t="shared" si="1"/>
        <v>-0.25</v>
      </c>
      <c r="J20" s="16"/>
      <c r="K20" s="16"/>
      <c r="L20" s="16"/>
      <c r="M20" s="16"/>
      <c r="N20" s="16">
        <f t="shared" si="2"/>
        <v>0</v>
      </c>
      <c r="O20" s="16" t="e">
        <f t="shared" si="3"/>
        <v>#N/A</v>
      </c>
      <c r="P20" s="16">
        <v>6.9444444444444397E-3</v>
      </c>
      <c r="Q20" s="16"/>
      <c r="R20" s="16">
        <f t="shared" si="4"/>
        <v>-6.9444444444444397E-3</v>
      </c>
      <c r="S20" s="16"/>
      <c r="T20" s="16" t="e">
        <f>VLOOKUP(E20,'[2]21-3-2026'!E$3:T$35,16,FALSE)</f>
        <v>#N/A</v>
      </c>
      <c r="U20" s="16"/>
      <c r="V20" s="16" t="e">
        <f t="shared" si="5"/>
        <v>#N/A</v>
      </c>
      <c r="W20" s="16"/>
      <c r="X20" s="16"/>
      <c r="Y20" s="16"/>
      <c r="Z20" s="16">
        <f t="shared" si="6"/>
        <v>0</v>
      </c>
      <c r="AA20" s="16">
        <f t="shared" si="0"/>
        <v>0</v>
      </c>
      <c r="AB20" s="16"/>
      <c r="AC20" s="17"/>
      <c r="AD20" s="48"/>
    </row>
    <row r="21" spans="1:30" ht="19.5" thickBot="1" x14ac:dyDescent="0.3">
      <c r="A21" s="14">
        <v>19</v>
      </c>
      <c r="B21" s="15"/>
      <c r="C21" s="15" t="e">
        <f>VLOOKUP(B21,داتا!$B$3:$D$107,2,FALSE)</f>
        <v>#N/A</v>
      </c>
      <c r="D21" s="34" t="e">
        <f>VLOOKUP(B21,داتا!$B$3:$D$107,3,FALSE)</f>
        <v>#N/A</v>
      </c>
      <c r="E21" s="15"/>
      <c r="F21" s="15"/>
      <c r="G21" s="16">
        <v>0.25</v>
      </c>
      <c r="H21" s="16"/>
      <c r="I21" s="16">
        <f t="shared" si="1"/>
        <v>-0.25</v>
      </c>
      <c r="J21" s="16"/>
      <c r="K21" s="16"/>
      <c r="L21" s="16"/>
      <c r="M21" s="16"/>
      <c r="N21" s="16">
        <f t="shared" si="2"/>
        <v>0</v>
      </c>
      <c r="O21" s="16" t="e">
        <f t="shared" si="3"/>
        <v>#N/A</v>
      </c>
      <c r="P21" s="16">
        <v>6.9444444444444397E-3</v>
      </c>
      <c r="Q21" s="16"/>
      <c r="R21" s="16">
        <f t="shared" si="4"/>
        <v>-6.9444444444444397E-3</v>
      </c>
      <c r="S21" s="16"/>
      <c r="T21" s="16" t="e">
        <f>VLOOKUP(E21,'[2]21-3-2026'!E$3:T$35,16,FALSE)</f>
        <v>#N/A</v>
      </c>
      <c r="U21" s="16"/>
      <c r="V21" s="16" t="e">
        <f t="shared" si="5"/>
        <v>#N/A</v>
      </c>
      <c r="W21" s="16"/>
      <c r="X21" s="16"/>
      <c r="Y21" s="16"/>
      <c r="Z21" s="16">
        <f t="shared" si="6"/>
        <v>0</v>
      </c>
      <c r="AA21" s="16">
        <f t="shared" si="0"/>
        <v>0</v>
      </c>
      <c r="AB21" s="16"/>
      <c r="AC21" s="17"/>
      <c r="AD21" s="48"/>
    </row>
    <row r="22" spans="1:30" ht="19.5" thickBot="1" x14ac:dyDescent="0.3">
      <c r="A22" s="14">
        <v>20</v>
      </c>
      <c r="B22" s="15"/>
      <c r="C22" s="15" t="e">
        <f>VLOOKUP(B22,داتا!$B$3:$D$107,2,FALSE)</f>
        <v>#N/A</v>
      </c>
      <c r="D22" s="34" t="e">
        <f>VLOOKUP(B22,داتا!$B$3:$D$107,3,FALSE)</f>
        <v>#N/A</v>
      </c>
      <c r="E22" s="15"/>
      <c r="F22" s="15"/>
      <c r="G22" s="16">
        <v>0.25</v>
      </c>
      <c r="H22" s="16"/>
      <c r="I22" s="16">
        <f t="shared" si="1"/>
        <v>-0.25</v>
      </c>
      <c r="J22" s="16"/>
      <c r="K22" s="16"/>
      <c r="L22" s="16"/>
      <c r="M22" s="16"/>
      <c r="N22" s="16">
        <f t="shared" si="2"/>
        <v>0</v>
      </c>
      <c r="O22" s="16" t="e">
        <f t="shared" si="3"/>
        <v>#N/A</v>
      </c>
      <c r="P22" s="16">
        <v>6.9444444444444397E-3</v>
      </c>
      <c r="Q22" s="16"/>
      <c r="R22" s="16">
        <f t="shared" si="4"/>
        <v>-6.9444444444444397E-3</v>
      </c>
      <c r="S22" s="16"/>
      <c r="T22" s="16" t="e">
        <f>VLOOKUP(E22,'[2]21-3-2026'!E$3:T$35,16,FALSE)</f>
        <v>#N/A</v>
      </c>
      <c r="U22" s="16"/>
      <c r="V22" s="16" t="e">
        <f t="shared" si="5"/>
        <v>#N/A</v>
      </c>
      <c r="W22" s="16"/>
      <c r="X22" s="16"/>
      <c r="Y22" s="16"/>
      <c r="Z22" s="16">
        <f t="shared" si="6"/>
        <v>0</v>
      </c>
      <c r="AA22" s="16">
        <f t="shared" si="0"/>
        <v>0</v>
      </c>
      <c r="AB22" s="16"/>
      <c r="AC22" s="17"/>
      <c r="AD22" s="48"/>
    </row>
    <row r="23" spans="1:30" ht="19.5" thickBot="1" x14ac:dyDescent="0.3">
      <c r="A23" s="14">
        <v>21</v>
      </c>
      <c r="B23" s="15"/>
      <c r="C23" s="15" t="e">
        <f>VLOOKUP(B23,داتا!$B$3:$D$107,2,FALSE)</f>
        <v>#N/A</v>
      </c>
      <c r="D23" s="34" t="e">
        <f>VLOOKUP(B23,داتا!$B$3:$D$107,3,FALSE)</f>
        <v>#N/A</v>
      </c>
      <c r="E23" s="15"/>
      <c r="F23" s="15"/>
      <c r="G23" s="16">
        <v>0.25</v>
      </c>
      <c r="H23" s="16"/>
      <c r="I23" s="16">
        <f t="shared" si="1"/>
        <v>-0.25</v>
      </c>
      <c r="J23" s="16"/>
      <c r="K23" s="16"/>
      <c r="L23" s="16"/>
      <c r="M23" s="16"/>
      <c r="N23" s="16">
        <f t="shared" si="2"/>
        <v>0</v>
      </c>
      <c r="O23" s="16" t="e">
        <f t="shared" si="3"/>
        <v>#N/A</v>
      </c>
      <c r="P23" s="16">
        <v>6.9444444444444397E-3</v>
      </c>
      <c r="Q23" s="16"/>
      <c r="R23" s="16">
        <f t="shared" si="4"/>
        <v>-6.9444444444444397E-3</v>
      </c>
      <c r="S23" s="16"/>
      <c r="T23" s="16" t="e">
        <f>VLOOKUP(E23,'[2]21-3-2026'!E$3:T$35,16,FALSE)</f>
        <v>#N/A</v>
      </c>
      <c r="U23" s="16"/>
      <c r="V23" s="16" t="e">
        <f t="shared" si="5"/>
        <v>#N/A</v>
      </c>
      <c r="W23" s="16"/>
      <c r="X23" s="16"/>
      <c r="Y23" s="16"/>
      <c r="Z23" s="16">
        <f t="shared" si="6"/>
        <v>0</v>
      </c>
      <c r="AA23" s="16">
        <f t="shared" si="0"/>
        <v>0</v>
      </c>
      <c r="AB23" s="16"/>
      <c r="AC23" s="17"/>
      <c r="AD23" s="48"/>
    </row>
    <row r="24" spans="1:30" ht="19.5" thickBot="1" x14ac:dyDescent="0.3">
      <c r="A24" s="14">
        <v>22</v>
      </c>
      <c r="B24" s="15"/>
      <c r="C24" s="15" t="e">
        <f>VLOOKUP(B24,داتا!$B$3:$D$107,2,FALSE)</f>
        <v>#N/A</v>
      </c>
      <c r="D24" s="34" t="e">
        <f>VLOOKUP(B24,داتا!$B$3:$D$107,3,FALSE)</f>
        <v>#N/A</v>
      </c>
      <c r="E24" s="15"/>
      <c r="F24" s="16"/>
      <c r="G24" s="16">
        <v>0.25</v>
      </c>
      <c r="H24" s="16"/>
      <c r="I24" s="16">
        <f t="shared" si="1"/>
        <v>-0.25</v>
      </c>
      <c r="J24" s="16"/>
      <c r="K24" s="16"/>
      <c r="L24" s="16"/>
      <c r="M24" s="16"/>
      <c r="N24" s="16">
        <f t="shared" si="2"/>
        <v>0</v>
      </c>
      <c r="O24" s="16" t="e">
        <f t="shared" si="3"/>
        <v>#N/A</v>
      </c>
      <c r="P24" s="16">
        <v>6.9444444444444397E-3</v>
      </c>
      <c r="Q24" s="16"/>
      <c r="R24" s="16">
        <f t="shared" si="4"/>
        <v>-6.9444444444444397E-3</v>
      </c>
      <c r="S24" s="16"/>
      <c r="T24" s="16" t="e">
        <f>VLOOKUP(E24,'[2]21-3-2026'!E$3:T$35,16,FALSE)</f>
        <v>#N/A</v>
      </c>
      <c r="U24" s="16"/>
      <c r="V24" s="16" t="e">
        <f t="shared" si="5"/>
        <v>#N/A</v>
      </c>
      <c r="W24" s="16"/>
      <c r="X24" s="16"/>
      <c r="Y24" s="16"/>
      <c r="Z24" s="16">
        <f t="shared" si="6"/>
        <v>0</v>
      </c>
      <c r="AA24" s="16">
        <f t="shared" si="0"/>
        <v>0</v>
      </c>
      <c r="AB24" s="16"/>
      <c r="AC24" s="17"/>
      <c r="AD24" s="48"/>
    </row>
    <row r="25" spans="1:30" ht="19.5" thickBot="1" x14ac:dyDescent="0.3">
      <c r="A25" s="14">
        <v>23</v>
      </c>
      <c r="B25" s="15"/>
      <c r="C25" s="15" t="e">
        <f>VLOOKUP(B25,داتا!$B$3:$D$107,2,FALSE)</f>
        <v>#N/A</v>
      </c>
      <c r="D25" s="34" t="e">
        <f>VLOOKUP(B25,داتا!$B$3:$D$107,3,FALSE)</f>
        <v>#N/A</v>
      </c>
      <c r="E25" s="15"/>
      <c r="F25" s="15"/>
      <c r="G25" s="16">
        <v>0.25</v>
      </c>
      <c r="H25" s="16"/>
      <c r="I25" s="16">
        <f t="shared" si="1"/>
        <v>-0.25</v>
      </c>
      <c r="J25" s="16"/>
      <c r="K25" s="16"/>
      <c r="L25" s="16"/>
      <c r="M25" s="16"/>
      <c r="N25" s="16">
        <f t="shared" si="2"/>
        <v>0</v>
      </c>
      <c r="O25" s="16" t="e">
        <f t="shared" si="3"/>
        <v>#N/A</v>
      </c>
      <c r="P25" s="16">
        <v>6.9444444444444397E-3</v>
      </c>
      <c r="Q25" s="16"/>
      <c r="R25" s="16">
        <f t="shared" si="4"/>
        <v>-6.9444444444444397E-3</v>
      </c>
      <c r="S25" s="16"/>
      <c r="T25" s="16" t="e">
        <f>VLOOKUP(E25,'[2]21-3-2026'!E$3:T$35,16,FALSE)</f>
        <v>#N/A</v>
      </c>
      <c r="U25" s="16"/>
      <c r="V25" s="16" t="e">
        <f t="shared" si="5"/>
        <v>#N/A</v>
      </c>
      <c r="W25" s="16"/>
      <c r="X25" s="16"/>
      <c r="Y25" s="16"/>
      <c r="Z25" s="16">
        <f t="shared" si="6"/>
        <v>0</v>
      </c>
      <c r="AA25" s="16">
        <f t="shared" si="0"/>
        <v>0</v>
      </c>
      <c r="AB25" s="16"/>
      <c r="AC25" s="19"/>
      <c r="AD25" s="48"/>
    </row>
    <row r="26" spans="1:30" ht="19.5" thickBot="1" x14ac:dyDescent="0.3">
      <c r="A26" s="14">
        <v>24</v>
      </c>
      <c r="B26" s="15"/>
      <c r="C26" s="15" t="e">
        <f>VLOOKUP(B26,داتا!$B$3:$D$107,2,FALSE)</f>
        <v>#N/A</v>
      </c>
      <c r="D26" s="34" t="e">
        <f>VLOOKUP(B26,داتا!$B$3:$D$107,3,FALSE)</f>
        <v>#N/A</v>
      </c>
      <c r="E26" s="15"/>
      <c r="F26" s="15"/>
      <c r="G26" s="16">
        <v>0.25</v>
      </c>
      <c r="H26" s="16"/>
      <c r="I26" s="16">
        <f t="shared" si="1"/>
        <v>-0.25</v>
      </c>
      <c r="J26" s="16"/>
      <c r="K26" s="16"/>
      <c r="L26" s="16"/>
      <c r="M26" s="16"/>
      <c r="N26" s="16">
        <f t="shared" si="2"/>
        <v>0</v>
      </c>
      <c r="O26" s="16" t="e">
        <f t="shared" si="3"/>
        <v>#N/A</v>
      </c>
      <c r="P26" s="16">
        <v>6.9444444444444397E-3</v>
      </c>
      <c r="Q26" s="16"/>
      <c r="R26" s="16">
        <f t="shared" si="4"/>
        <v>-6.9444444444444397E-3</v>
      </c>
      <c r="S26" s="16"/>
      <c r="T26" s="16" t="e">
        <f>VLOOKUP(E26,'[2]21-3-2026'!E$3:T$35,16,FALSE)</f>
        <v>#N/A</v>
      </c>
      <c r="U26" s="16"/>
      <c r="V26" s="16" t="e">
        <f t="shared" si="5"/>
        <v>#N/A</v>
      </c>
      <c r="W26" s="16"/>
      <c r="X26" s="16"/>
      <c r="Y26" s="16"/>
      <c r="Z26" s="16">
        <f t="shared" si="6"/>
        <v>0</v>
      </c>
      <c r="AA26" s="16">
        <f t="shared" si="0"/>
        <v>0</v>
      </c>
      <c r="AB26" s="16"/>
      <c r="AC26" s="19"/>
      <c r="AD26" s="48"/>
    </row>
    <row r="27" spans="1:30" ht="19.5" thickBot="1" x14ac:dyDescent="0.3">
      <c r="A27" s="14">
        <v>25</v>
      </c>
      <c r="B27" s="15"/>
      <c r="C27" s="15" t="e">
        <f>VLOOKUP(B27,داتا!$B$3:$D$107,2,FALSE)</f>
        <v>#N/A</v>
      </c>
      <c r="D27" s="34" t="e">
        <f>VLOOKUP(B27,داتا!$B$3:$D$107,3,FALSE)</f>
        <v>#N/A</v>
      </c>
      <c r="E27" s="15"/>
      <c r="F27" s="15"/>
      <c r="G27" s="16">
        <v>0.25</v>
      </c>
      <c r="H27" s="16"/>
      <c r="I27" s="16">
        <f t="shared" si="1"/>
        <v>-0.25</v>
      </c>
      <c r="J27" s="16"/>
      <c r="K27" s="16"/>
      <c r="L27" s="16"/>
      <c r="M27" s="16"/>
      <c r="N27" s="16">
        <f t="shared" si="2"/>
        <v>0</v>
      </c>
      <c r="O27" s="16" t="e">
        <f t="shared" si="3"/>
        <v>#N/A</v>
      </c>
      <c r="P27" s="16">
        <v>6.9444444444444397E-3</v>
      </c>
      <c r="Q27" s="16"/>
      <c r="R27" s="16">
        <f t="shared" si="4"/>
        <v>-6.9444444444444397E-3</v>
      </c>
      <c r="S27" s="16"/>
      <c r="T27" s="16" t="e">
        <f>VLOOKUP(E27,'[2]21-3-2026'!E$3:T$35,16,FALSE)</f>
        <v>#N/A</v>
      </c>
      <c r="U27" s="16"/>
      <c r="V27" s="16" t="e">
        <f t="shared" si="5"/>
        <v>#N/A</v>
      </c>
      <c r="W27" s="16"/>
      <c r="X27" s="16"/>
      <c r="Y27" s="16"/>
      <c r="Z27" s="16">
        <f t="shared" si="6"/>
        <v>0</v>
      </c>
      <c r="AA27" s="16">
        <f t="shared" si="0"/>
        <v>0</v>
      </c>
      <c r="AB27" s="16"/>
      <c r="AC27" s="19"/>
      <c r="AD27" s="48"/>
    </row>
    <row r="28" spans="1:30" ht="19.5" thickBot="1" x14ac:dyDescent="0.3">
      <c r="A28" s="14">
        <v>26</v>
      </c>
      <c r="B28" s="15"/>
      <c r="C28" s="15" t="e">
        <f>VLOOKUP(B28,داتا!$B$3:$D$107,2,FALSE)</f>
        <v>#N/A</v>
      </c>
      <c r="D28" s="34" t="e">
        <f>VLOOKUP(B28,داتا!$B$3:$D$107,3,FALSE)</f>
        <v>#N/A</v>
      </c>
      <c r="E28" s="15"/>
      <c r="F28" s="15"/>
      <c r="G28" s="16">
        <v>0.25</v>
      </c>
      <c r="H28" s="16"/>
      <c r="I28" s="16">
        <f t="shared" si="1"/>
        <v>-0.25</v>
      </c>
      <c r="J28" s="16"/>
      <c r="K28" s="16"/>
      <c r="L28" s="16"/>
      <c r="M28" s="16"/>
      <c r="N28" s="16">
        <f t="shared" si="2"/>
        <v>0</v>
      </c>
      <c r="O28" s="16" t="e">
        <f t="shared" si="3"/>
        <v>#N/A</v>
      </c>
      <c r="P28" s="16">
        <v>6.9444444444444397E-3</v>
      </c>
      <c r="Q28" s="16"/>
      <c r="R28" s="16">
        <f t="shared" si="4"/>
        <v>-6.9444444444444397E-3</v>
      </c>
      <c r="S28" s="16"/>
      <c r="T28" s="16" t="e">
        <f>VLOOKUP(E28,'[2]21-3-2026'!E$3:T$35,16,FALSE)</f>
        <v>#N/A</v>
      </c>
      <c r="U28" s="16"/>
      <c r="V28" s="16" t="e">
        <f t="shared" si="5"/>
        <v>#N/A</v>
      </c>
      <c r="W28" s="16"/>
      <c r="X28" s="16"/>
      <c r="Y28" s="16"/>
      <c r="Z28" s="16">
        <f t="shared" si="6"/>
        <v>0</v>
      </c>
      <c r="AA28" s="16">
        <f t="shared" si="0"/>
        <v>0</v>
      </c>
      <c r="AB28" s="16"/>
      <c r="AC28" s="17"/>
      <c r="AD28" s="48"/>
    </row>
    <row r="29" spans="1:30" ht="19.5" thickBot="1" x14ac:dyDescent="0.3">
      <c r="A29" s="14">
        <v>27</v>
      </c>
      <c r="B29" s="15"/>
      <c r="C29" s="15" t="e">
        <f>VLOOKUP(B29,داتا!$B$3:$D$107,2,FALSE)</f>
        <v>#N/A</v>
      </c>
      <c r="D29" s="34" t="e">
        <f>VLOOKUP(B29,داتا!$B$3:$D$107,3,FALSE)</f>
        <v>#N/A</v>
      </c>
      <c r="E29" s="15"/>
      <c r="F29" s="15"/>
      <c r="G29" s="16">
        <v>0.25</v>
      </c>
      <c r="H29" s="16"/>
      <c r="I29" s="16">
        <f t="shared" si="1"/>
        <v>-0.25</v>
      </c>
      <c r="J29" s="16"/>
      <c r="K29" s="16"/>
      <c r="L29" s="16"/>
      <c r="M29" s="16"/>
      <c r="N29" s="16">
        <f t="shared" si="2"/>
        <v>0</v>
      </c>
      <c r="O29" s="16" t="e">
        <f t="shared" si="3"/>
        <v>#N/A</v>
      </c>
      <c r="P29" s="16">
        <v>6.9444444444444397E-3</v>
      </c>
      <c r="Q29" s="16"/>
      <c r="R29" s="16">
        <f t="shared" si="4"/>
        <v>-6.9444444444444397E-3</v>
      </c>
      <c r="S29" s="16"/>
      <c r="T29" s="16" t="e">
        <f>VLOOKUP(E29,'[2]21-3-2026'!E$3:T$35,16,FALSE)</f>
        <v>#N/A</v>
      </c>
      <c r="U29" s="16"/>
      <c r="V29" s="16" t="e">
        <f t="shared" si="5"/>
        <v>#N/A</v>
      </c>
      <c r="W29" s="16"/>
      <c r="X29" s="16"/>
      <c r="Y29" s="16"/>
      <c r="Z29" s="16">
        <f t="shared" si="6"/>
        <v>0</v>
      </c>
      <c r="AA29" s="16">
        <f t="shared" si="0"/>
        <v>0</v>
      </c>
      <c r="AB29" s="16"/>
      <c r="AC29" s="18"/>
      <c r="AD29" s="48"/>
    </row>
    <row r="30" spans="1:30" ht="19.5" thickBot="1" x14ac:dyDescent="0.3">
      <c r="A30" s="14">
        <v>28</v>
      </c>
      <c r="B30" s="15"/>
      <c r="C30" s="15" t="e">
        <f>VLOOKUP(B30,داتا!$B$3:$D$107,2,FALSE)</f>
        <v>#N/A</v>
      </c>
      <c r="D30" s="34" t="e">
        <f>VLOOKUP(B30,داتا!$B$3:$D$107,3,FALSE)</f>
        <v>#N/A</v>
      </c>
      <c r="E30" s="15"/>
      <c r="F30" s="15"/>
      <c r="G30" s="16">
        <v>0.25</v>
      </c>
      <c r="H30" s="16"/>
      <c r="I30" s="16">
        <f t="shared" si="1"/>
        <v>-0.25</v>
      </c>
      <c r="J30" s="16"/>
      <c r="K30" s="16"/>
      <c r="L30" s="16"/>
      <c r="M30" s="16"/>
      <c r="N30" s="16">
        <f t="shared" si="2"/>
        <v>0</v>
      </c>
      <c r="O30" s="16" t="e">
        <f t="shared" si="3"/>
        <v>#N/A</v>
      </c>
      <c r="P30" s="16">
        <v>6.9444444444444397E-3</v>
      </c>
      <c r="Q30" s="16"/>
      <c r="R30" s="16">
        <f t="shared" si="4"/>
        <v>-6.9444444444444397E-3</v>
      </c>
      <c r="S30" s="16"/>
      <c r="T30" s="16" t="e">
        <f>VLOOKUP(E30,'[2]21-3-2026'!E$3:T$35,16,FALSE)</f>
        <v>#N/A</v>
      </c>
      <c r="U30" s="16"/>
      <c r="V30" s="16" t="e">
        <f t="shared" si="5"/>
        <v>#N/A</v>
      </c>
      <c r="W30" s="16"/>
      <c r="X30" s="16"/>
      <c r="Y30" s="16"/>
      <c r="Z30" s="16">
        <f t="shared" si="6"/>
        <v>0</v>
      </c>
      <c r="AA30" s="16">
        <f t="shared" si="0"/>
        <v>0</v>
      </c>
      <c r="AB30" s="16"/>
      <c r="AC30" s="17"/>
      <c r="AD30" s="48"/>
    </row>
    <row r="31" spans="1:30" ht="19.5" thickBot="1" x14ac:dyDescent="0.3">
      <c r="A31" s="14">
        <v>29</v>
      </c>
      <c r="B31" s="15"/>
      <c r="C31" s="15" t="e">
        <f>VLOOKUP(B31,داتا!$B$3:$D$107,2,FALSE)</f>
        <v>#N/A</v>
      </c>
      <c r="D31" s="34" t="e">
        <f>VLOOKUP(B31,داتا!$B$3:$D$107,3,FALSE)</f>
        <v>#N/A</v>
      </c>
      <c r="E31" s="15"/>
      <c r="F31" s="15"/>
      <c r="G31" s="16">
        <v>0.25</v>
      </c>
      <c r="H31" s="16"/>
      <c r="I31" s="16">
        <f t="shared" si="1"/>
        <v>-0.25</v>
      </c>
      <c r="J31" s="16"/>
      <c r="K31" s="16"/>
      <c r="L31" s="16"/>
      <c r="M31" s="16"/>
      <c r="N31" s="16">
        <f t="shared" si="2"/>
        <v>0</v>
      </c>
      <c r="O31" s="16" t="e">
        <f t="shared" si="3"/>
        <v>#N/A</v>
      </c>
      <c r="P31" s="16">
        <v>6.9444444444444397E-3</v>
      </c>
      <c r="Q31" s="16"/>
      <c r="R31" s="16">
        <f t="shared" si="4"/>
        <v>-6.9444444444444397E-3</v>
      </c>
      <c r="S31" s="16"/>
      <c r="T31" s="16" t="e">
        <f>VLOOKUP(E31,'[2]21-3-2026'!E$3:T$35,16,FALSE)</f>
        <v>#N/A</v>
      </c>
      <c r="U31" s="16"/>
      <c r="V31" s="16" t="e">
        <f t="shared" si="5"/>
        <v>#N/A</v>
      </c>
      <c r="W31" s="16"/>
      <c r="X31" s="16"/>
      <c r="Y31" s="16"/>
      <c r="Z31" s="16">
        <f t="shared" si="6"/>
        <v>0</v>
      </c>
      <c r="AA31" s="16">
        <f t="shared" si="0"/>
        <v>0</v>
      </c>
      <c r="AB31" s="16"/>
      <c r="AC31" s="17"/>
      <c r="AD31" s="48"/>
    </row>
    <row r="32" spans="1:30" ht="19.5" thickBot="1" x14ac:dyDescent="0.3">
      <c r="A32" s="14">
        <v>30</v>
      </c>
      <c r="B32" s="15"/>
      <c r="C32" s="15" t="e">
        <f>VLOOKUP(B32,داتا!$B$3:$D$107,2,FALSE)</f>
        <v>#N/A</v>
      </c>
      <c r="D32" s="34" t="e">
        <f>VLOOKUP(B32,داتا!$B$3:$D$107,3,FALSE)</f>
        <v>#N/A</v>
      </c>
      <c r="E32" s="15"/>
      <c r="F32" s="15"/>
      <c r="G32" s="16">
        <v>0.25</v>
      </c>
      <c r="H32" s="16"/>
      <c r="I32" s="16">
        <f t="shared" si="1"/>
        <v>-0.25</v>
      </c>
      <c r="J32" s="16"/>
      <c r="K32" s="16"/>
      <c r="L32" s="16"/>
      <c r="M32" s="16"/>
      <c r="N32" s="16">
        <f t="shared" si="2"/>
        <v>0</v>
      </c>
      <c r="O32" s="16" t="e">
        <f t="shared" si="3"/>
        <v>#N/A</v>
      </c>
      <c r="P32" s="16">
        <v>6.9444444444444397E-3</v>
      </c>
      <c r="Q32" s="16"/>
      <c r="R32" s="16">
        <f t="shared" si="4"/>
        <v>-6.9444444444444397E-3</v>
      </c>
      <c r="S32" s="16"/>
      <c r="T32" s="16" t="e">
        <f>VLOOKUP(E32,'[2]21-3-2026'!E$3:T$35,16,FALSE)</f>
        <v>#N/A</v>
      </c>
      <c r="U32" s="16"/>
      <c r="V32" s="16" t="e">
        <f t="shared" si="5"/>
        <v>#N/A</v>
      </c>
      <c r="W32" s="16"/>
      <c r="X32" s="16"/>
      <c r="Y32" s="16"/>
      <c r="Z32" s="16">
        <f t="shared" si="6"/>
        <v>0</v>
      </c>
      <c r="AA32" s="16">
        <f t="shared" si="0"/>
        <v>0</v>
      </c>
      <c r="AB32" s="16"/>
      <c r="AC32" s="17"/>
      <c r="AD32" s="48"/>
    </row>
    <row r="33" spans="1:30" ht="19.5" thickBot="1" x14ac:dyDescent="0.3">
      <c r="A33" s="14">
        <v>31</v>
      </c>
      <c r="B33" s="15"/>
      <c r="C33" s="15" t="e">
        <f>VLOOKUP(B33,داتا!$B$3:$D$107,2,FALSE)</f>
        <v>#N/A</v>
      </c>
      <c r="D33" s="34" t="e">
        <f>VLOOKUP(B33,داتا!$B$3:$D$107,3,FALSE)</f>
        <v>#N/A</v>
      </c>
      <c r="E33" s="15"/>
      <c r="F33" s="15"/>
      <c r="G33" s="16">
        <v>0.25</v>
      </c>
      <c r="H33" s="16"/>
      <c r="I33" s="16">
        <f t="shared" si="1"/>
        <v>-0.25</v>
      </c>
      <c r="J33" s="16"/>
      <c r="K33" s="16"/>
      <c r="L33" s="16"/>
      <c r="M33" s="16"/>
      <c r="N33" s="16">
        <f t="shared" si="2"/>
        <v>0</v>
      </c>
      <c r="O33" s="16" t="e">
        <f t="shared" si="3"/>
        <v>#N/A</v>
      </c>
      <c r="P33" s="16">
        <v>6.9444444444444397E-3</v>
      </c>
      <c r="Q33" s="16"/>
      <c r="R33" s="16">
        <f t="shared" si="4"/>
        <v>-6.9444444444444397E-3</v>
      </c>
      <c r="S33" s="16"/>
      <c r="T33" s="16" t="e">
        <f>VLOOKUP(E33,'[2]21-3-2026'!E$3:T$35,16,FALSE)</f>
        <v>#N/A</v>
      </c>
      <c r="U33" s="16"/>
      <c r="V33" s="16" t="e">
        <f t="shared" si="5"/>
        <v>#N/A</v>
      </c>
      <c r="W33" s="16"/>
      <c r="X33" s="16"/>
      <c r="Y33" s="16"/>
      <c r="Z33" s="16">
        <f t="shared" si="6"/>
        <v>0</v>
      </c>
      <c r="AA33" s="16">
        <f t="shared" si="0"/>
        <v>0</v>
      </c>
      <c r="AB33" s="16"/>
      <c r="AC33" s="17"/>
      <c r="AD33" s="48"/>
    </row>
    <row r="34" spans="1:30" ht="19.5" thickBot="1" x14ac:dyDescent="0.3">
      <c r="A34" s="14">
        <v>32</v>
      </c>
      <c r="B34" s="15"/>
      <c r="C34" s="15" t="e">
        <f>VLOOKUP(B34,داتا!$B$3:$D$107,2,FALSE)</f>
        <v>#N/A</v>
      </c>
      <c r="D34" s="34" t="e">
        <f>VLOOKUP(B34,داتا!$B$3:$D$107,3,FALSE)</f>
        <v>#N/A</v>
      </c>
      <c r="E34" s="15"/>
      <c r="F34" s="15"/>
      <c r="G34" s="16">
        <v>0.25</v>
      </c>
      <c r="H34" s="16"/>
      <c r="I34" s="16">
        <f t="shared" si="1"/>
        <v>-0.25</v>
      </c>
      <c r="J34" s="16"/>
      <c r="K34" s="16"/>
      <c r="L34" s="16"/>
      <c r="M34" s="16"/>
      <c r="N34" s="16">
        <f t="shared" si="2"/>
        <v>0</v>
      </c>
      <c r="O34" s="16" t="e">
        <f t="shared" si="3"/>
        <v>#N/A</v>
      </c>
      <c r="P34" s="16">
        <v>6.9444444444444397E-3</v>
      </c>
      <c r="Q34" s="16"/>
      <c r="R34" s="16">
        <f t="shared" si="4"/>
        <v>-6.9444444444444397E-3</v>
      </c>
      <c r="S34" s="16"/>
      <c r="T34" s="16" t="e">
        <f>VLOOKUP(E34,'[2]21-3-2026'!E$3:T$35,16,FALSE)</f>
        <v>#N/A</v>
      </c>
      <c r="U34" s="16"/>
      <c r="V34" s="16" t="e">
        <f t="shared" si="5"/>
        <v>#N/A</v>
      </c>
      <c r="W34" s="16"/>
      <c r="X34" s="16"/>
      <c r="Y34" s="16"/>
      <c r="Z34" s="16">
        <f t="shared" si="6"/>
        <v>0</v>
      </c>
      <c r="AA34" s="16">
        <f t="shared" si="0"/>
        <v>0</v>
      </c>
      <c r="AB34" s="16"/>
      <c r="AC34" s="17"/>
      <c r="AD34" s="48"/>
    </row>
    <row r="35" spans="1:30" ht="19.5" thickBot="1" x14ac:dyDescent="0.3">
      <c r="A35" s="20">
        <v>33</v>
      </c>
      <c r="B35" s="21"/>
      <c r="C35" s="21" t="e">
        <f>VLOOKUP(B35,داتا!$B$3:$D$107,2,FALSE)</f>
        <v>#N/A</v>
      </c>
      <c r="D35" s="35" t="e">
        <f>VLOOKUP(B35,داتا!$B$3:$D$107,3,FALSE)</f>
        <v>#N/A</v>
      </c>
      <c r="E35" s="21"/>
      <c r="F35" s="21"/>
      <c r="G35" s="22">
        <v>0.25</v>
      </c>
      <c r="H35" s="22"/>
      <c r="I35" s="22">
        <f t="shared" si="1"/>
        <v>-0.25</v>
      </c>
      <c r="J35" s="22"/>
      <c r="K35" s="22"/>
      <c r="L35" s="22"/>
      <c r="M35" s="22"/>
      <c r="N35" s="22">
        <f t="shared" si="2"/>
        <v>0</v>
      </c>
      <c r="O35" s="22" t="e">
        <f t="shared" si="3"/>
        <v>#N/A</v>
      </c>
      <c r="P35" s="22">
        <v>6.9444444444444397E-3</v>
      </c>
      <c r="Q35" s="22"/>
      <c r="R35" s="22">
        <f t="shared" si="4"/>
        <v>-6.9444444444444397E-3</v>
      </c>
      <c r="S35" s="22"/>
      <c r="T35" s="22" t="e">
        <f>VLOOKUP(E35,'[2]21-3-2026'!E$3:T$35,16,FALSE)</f>
        <v>#N/A</v>
      </c>
      <c r="U35" s="22"/>
      <c r="V35" s="22" t="e">
        <f t="shared" si="5"/>
        <v>#N/A</v>
      </c>
      <c r="W35" s="22"/>
      <c r="X35" s="22"/>
      <c r="Y35" s="22"/>
      <c r="Z35" s="22">
        <f t="shared" si="6"/>
        <v>0</v>
      </c>
      <c r="AA35" s="22">
        <f t="shared" si="0"/>
        <v>0</v>
      </c>
      <c r="AB35" s="22"/>
      <c r="AC35" s="23"/>
      <c r="AD35" s="49"/>
    </row>
    <row r="36" spans="1:30" ht="20.25" customHeight="1" thickTop="1" thickBot="1" x14ac:dyDescent="0.3">
      <c r="A36" s="10">
        <v>1</v>
      </c>
      <c r="B36" s="11"/>
      <c r="C36" s="11" t="e">
        <f>VLOOKUP(B36,داتا!$B$3:$D$107,2,FALSE)</f>
        <v>#N/A</v>
      </c>
      <c r="D36" s="33" t="e">
        <f>VLOOKUP(B36,داتا!$B$3:$D$107,3,FALSE)</f>
        <v>#N/A</v>
      </c>
      <c r="E36" s="11"/>
      <c r="F36" s="11"/>
      <c r="G36" s="12">
        <v>0.25</v>
      </c>
      <c r="H36" s="12" t="e">
        <f>VLOOKUP(G36,$F$3:$I$35,2,FALSE)</f>
        <v>#N/A</v>
      </c>
      <c r="I36" s="12" t="e">
        <f t="shared" si="1"/>
        <v>#N/A</v>
      </c>
      <c r="J36" s="12"/>
      <c r="K36" s="12"/>
      <c r="L36" s="12"/>
      <c r="M36" s="12"/>
      <c r="N36" s="12">
        <f t="shared" si="2"/>
        <v>0</v>
      </c>
      <c r="O36" s="12" t="e">
        <f t="shared" si="3"/>
        <v>#N/A</v>
      </c>
      <c r="P36" s="12">
        <v>6.9444444444444397E-3</v>
      </c>
      <c r="Q36" s="12"/>
      <c r="R36" s="12">
        <f t="shared" si="4"/>
        <v>-6.9444444444444397E-3</v>
      </c>
      <c r="S36" s="12"/>
      <c r="T36" s="12" t="e">
        <f>VLOOKUP(E36,'[2]21-3-2026'!E$3:T$35,16,FALSE)</f>
        <v>#N/A</v>
      </c>
      <c r="U36" s="12"/>
      <c r="V36" s="12" t="e">
        <f t="shared" si="5"/>
        <v>#N/A</v>
      </c>
      <c r="W36" s="12"/>
      <c r="X36" s="12"/>
      <c r="Y36" s="12"/>
      <c r="Z36" s="12">
        <f t="shared" si="6"/>
        <v>0</v>
      </c>
      <c r="AA36" s="12">
        <f t="shared" si="0"/>
        <v>0</v>
      </c>
      <c r="AB36" s="12"/>
      <c r="AC36" s="29"/>
      <c r="AD36" s="50" t="s">
        <v>104</v>
      </c>
    </row>
    <row r="37" spans="1:30" ht="19.5" thickBot="1" x14ac:dyDescent="0.3">
      <c r="A37" s="14">
        <v>2</v>
      </c>
      <c r="B37" s="15"/>
      <c r="C37" s="15" t="e">
        <f>VLOOKUP(B37,داتا!$B$3:$D$107,2,FALSE)</f>
        <v>#N/A</v>
      </c>
      <c r="D37" s="34" t="e">
        <f>VLOOKUP(B37,داتا!$B$3:$D$107,3,FALSE)</f>
        <v>#N/A</v>
      </c>
      <c r="E37" s="15"/>
      <c r="F37" s="15"/>
      <c r="G37" s="16">
        <v>0.25</v>
      </c>
      <c r="H37" s="16" t="e">
        <f t="shared" ref="H37:H52" si="7">VLOOKUP(G37,$F$3:$I$35,2,FALSE)</f>
        <v>#N/A</v>
      </c>
      <c r="I37" s="16" t="e">
        <f t="shared" si="1"/>
        <v>#N/A</v>
      </c>
      <c r="J37" s="16"/>
      <c r="K37" s="16"/>
      <c r="L37" s="16"/>
      <c r="M37" s="16"/>
      <c r="N37" s="16">
        <f t="shared" si="2"/>
        <v>0</v>
      </c>
      <c r="O37" s="16" t="e">
        <f t="shared" si="3"/>
        <v>#N/A</v>
      </c>
      <c r="P37" s="16">
        <v>6.9444444444444397E-3</v>
      </c>
      <c r="Q37" s="16"/>
      <c r="R37" s="16">
        <f t="shared" si="4"/>
        <v>-6.9444444444444397E-3</v>
      </c>
      <c r="S37" s="16"/>
      <c r="T37" s="16" t="e">
        <f>VLOOKUP(E37,'[2]21-3-2026'!E$3:T$35,16,FALSE)</f>
        <v>#N/A</v>
      </c>
      <c r="U37" s="16"/>
      <c r="V37" s="16" t="e">
        <f t="shared" si="5"/>
        <v>#N/A</v>
      </c>
      <c r="W37" s="16"/>
      <c r="X37" s="16"/>
      <c r="Y37" s="16"/>
      <c r="Z37" s="16">
        <f t="shared" si="6"/>
        <v>0</v>
      </c>
      <c r="AA37" s="16">
        <f t="shared" si="0"/>
        <v>0</v>
      </c>
      <c r="AB37" s="16"/>
      <c r="AC37" s="19"/>
      <c r="AD37" s="51"/>
    </row>
    <row r="38" spans="1:30" ht="19.5" thickBot="1" x14ac:dyDescent="0.3">
      <c r="A38" s="14">
        <v>3</v>
      </c>
      <c r="B38" s="15"/>
      <c r="C38" s="15" t="e">
        <f>VLOOKUP(B38,داتا!$B$3:$D$107,2,FALSE)</f>
        <v>#N/A</v>
      </c>
      <c r="D38" s="34" t="e">
        <f>VLOOKUP(B38,داتا!$B$3:$D$107,3,FALSE)</f>
        <v>#N/A</v>
      </c>
      <c r="E38" s="15"/>
      <c r="F38" s="15"/>
      <c r="G38" s="16">
        <v>0.25</v>
      </c>
      <c r="H38" s="16" t="e">
        <f t="shared" si="7"/>
        <v>#N/A</v>
      </c>
      <c r="I38" s="16" t="e">
        <f t="shared" si="1"/>
        <v>#N/A</v>
      </c>
      <c r="J38" s="16"/>
      <c r="K38" s="16"/>
      <c r="L38" s="16"/>
      <c r="M38" s="16"/>
      <c r="N38" s="16">
        <f t="shared" si="2"/>
        <v>0</v>
      </c>
      <c r="O38" s="16" t="e">
        <f t="shared" si="3"/>
        <v>#N/A</v>
      </c>
      <c r="P38" s="16">
        <v>6.9444444444444397E-3</v>
      </c>
      <c r="Q38" s="16"/>
      <c r="R38" s="16">
        <f t="shared" si="4"/>
        <v>-6.9444444444444397E-3</v>
      </c>
      <c r="S38" s="16"/>
      <c r="T38" s="16" t="e">
        <f>VLOOKUP(E38,'[2]21-3-2026'!E$3:T$35,16,FALSE)</f>
        <v>#N/A</v>
      </c>
      <c r="U38" s="16"/>
      <c r="V38" s="16" t="e">
        <f t="shared" si="5"/>
        <v>#N/A</v>
      </c>
      <c r="W38" s="16"/>
      <c r="X38" s="16"/>
      <c r="Y38" s="16"/>
      <c r="Z38" s="16">
        <f t="shared" si="6"/>
        <v>0</v>
      </c>
      <c r="AA38" s="16">
        <f t="shared" si="0"/>
        <v>0</v>
      </c>
      <c r="AB38" s="16"/>
      <c r="AC38" s="19"/>
      <c r="AD38" s="51"/>
    </row>
    <row r="39" spans="1:30" ht="19.5" thickBot="1" x14ac:dyDescent="0.3">
      <c r="A39" s="14">
        <v>4</v>
      </c>
      <c r="B39" s="15"/>
      <c r="C39" s="15" t="e">
        <f>VLOOKUP(B39,داتا!$B$3:$D$107,2,FALSE)</f>
        <v>#N/A</v>
      </c>
      <c r="D39" s="34" t="e">
        <f>VLOOKUP(B39,داتا!$B$3:$D$107,3,FALSE)</f>
        <v>#N/A</v>
      </c>
      <c r="E39" s="15"/>
      <c r="F39" s="15"/>
      <c r="G39" s="16">
        <v>0.25</v>
      </c>
      <c r="H39" s="16" t="e">
        <f t="shared" si="7"/>
        <v>#N/A</v>
      </c>
      <c r="I39" s="16" t="e">
        <f t="shared" si="1"/>
        <v>#N/A</v>
      </c>
      <c r="J39" s="16"/>
      <c r="K39" s="16"/>
      <c r="L39" s="16"/>
      <c r="M39" s="16"/>
      <c r="N39" s="16">
        <f t="shared" si="2"/>
        <v>0</v>
      </c>
      <c r="O39" s="16" t="e">
        <f t="shared" si="3"/>
        <v>#N/A</v>
      </c>
      <c r="P39" s="16">
        <v>6.9444444444444397E-3</v>
      </c>
      <c r="Q39" s="16"/>
      <c r="R39" s="16">
        <f t="shared" si="4"/>
        <v>-6.9444444444444397E-3</v>
      </c>
      <c r="S39" s="16"/>
      <c r="T39" s="16" t="e">
        <f>VLOOKUP(E39,'[2]21-3-2026'!E$3:T$35,16,FALSE)</f>
        <v>#N/A</v>
      </c>
      <c r="U39" s="16"/>
      <c r="V39" s="16" t="e">
        <f t="shared" si="5"/>
        <v>#N/A</v>
      </c>
      <c r="W39" s="16"/>
      <c r="X39" s="16"/>
      <c r="Y39" s="16"/>
      <c r="Z39" s="16">
        <f t="shared" si="6"/>
        <v>0</v>
      </c>
      <c r="AA39" s="16">
        <f t="shared" si="0"/>
        <v>0</v>
      </c>
      <c r="AB39" s="16"/>
      <c r="AC39" s="17"/>
      <c r="AD39" s="51"/>
    </row>
    <row r="40" spans="1:30" ht="19.5" thickBot="1" x14ac:dyDescent="0.3">
      <c r="A40" s="14">
        <v>5</v>
      </c>
      <c r="B40" s="15"/>
      <c r="C40" s="15" t="e">
        <f>VLOOKUP(B40,داتا!$B$3:$D$107,2,FALSE)</f>
        <v>#N/A</v>
      </c>
      <c r="D40" s="34" t="e">
        <f>VLOOKUP(B40,داتا!$B$3:$D$107,3,FALSE)</f>
        <v>#N/A</v>
      </c>
      <c r="E40" s="15"/>
      <c r="F40" s="15"/>
      <c r="G40" s="16">
        <v>0.25</v>
      </c>
      <c r="H40" s="16" t="e">
        <f t="shared" si="7"/>
        <v>#N/A</v>
      </c>
      <c r="I40" s="16" t="e">
        <f t="shared" si="1"/>
        <v>#N/A</v>
      </c>
      <c r="J40" s="16"/>
      <c r="K40" s="16"/>
      <c r="L40" s="16"/>
      <c r="M40" s="16"/>
      <c r="N40" s="16">
        <f t="shared" si="2"/>
        <v>0</v>
      </c>
      <c r="O40" s="16" t="e">
        <f t="shared" si="3"/>
        <v>#N/A</v>
      </c>
      <c r="P40" s="16">
        <v>6.9444444444444397E-3</v>
      </c>
      <c r="Q40" s="16"/>
      <c r="R40" s="16">
        <f t="shared" si="4"/>
        <v>-6.9444444444444397E-3</v>
      </c>
      <c r="S40" s="16"/>
      <c r="T40" s="16" t="e">
        <f>VLOOKUP(E40,'[2]21-3-2026'!E$3:T$35,16,FALSE)</f>
        <v>#N/A</v>
      </c>
      <c r="U40" s="16"/>
      <c r="V40" s="16" t="e">
        <f t="shared" si="5"/>
        <v>#N/A</v>
      </c>
      <c r="W40" s="16"/>
      <c r="X40" s="16"/>
      <c r="Y40" s="16"/>
      <c r="Z40" s="16">
        <f t="shared" si="6"/>
        <v>0</v>
      </c>
      <c r="AA40" s="16">
        <f t="shared" si="0"/>
        <v>0</v>
      </c>
      <c r="AB40" s="16"/>
      <c r="AC40" s="17"/>
      <c r="AD40" s="51"/>
    </row>
    <row r="41" spans="1:30" ht="19.5" thickBot="1" x14ac:dyDescent="0.3">
      <c r="A41" s="14">
        <v>6</v>
      </c>
      <c r="B41" s="15"/>
      <c r="C41" s="15" t="e">
        <f>VLOOKUP(B41,داتا!$B$3:$D$107,2,FALSE)</f>
        <v>#N/A</v>
      </c>
      <c r="D41" s="34" t="e">
        <f>VLOOKUP(B41,داتا!$B$3:$D$107,3,FALSE)</f>
        <v>#N/A</v>
      </c>
      <c r="E41" s="15"/>
      <c r="F41" s="15"/>
      <c r="G41" s="16">
        <v>0.25</v>
      </c>
      <c r="H41" s="16" t="e">
        <f t="shared" si="7"/>
        <v>#N/A</v>
      </c>
      <c r="I41" s="16" t="e">
        <f t="shared" si="1"/>
        <v>#N/A</v>
      </c>
      <c r="J41" s="16"/>
      <c r="K41" s="16"/>
      <c r="L41" s="16"/>
      <c r="M41" s="16"/>
      <c r="N41" s="16">
        <f t="shared" si="2"/>
        <v>0</v>
      </c>
      <c r="O41" s="16" t="e">
        <f t="shared" si="3"/>
        <v>#N/A</v>
      </c>
      <c r="P41" s="16">
        <v>6.9444444444444397E-3</v>
      </c>
      <c r="Q41" s="16"/>
      <c r="R41" s="16">
        <f t="shared" si="4"/>
        <v>-6.9444444444444397E-3</v>
      </c>
      <c r="S41" s="16"/>
      <c r="T41" s="16" t="e">
        <f>VLOOKUP(E41,'[2]21-3-2026'!E$3:T$35,16,FALSE)</f>
        <v>#N/A</v>
      </c>
      <c r="U41" s="16"/>
      <c r="V41" s="16" t="e">
        <f t="shared" si="5"/>
        <v>#N/A</v>
      </c>
      <c r="W41" s="16"/>
      <c r="X41" s="16"/>
      <c r="Y41" s="16"/>
      <c r="Z41" s="16">
        <f t="shared" si="6"/>
        <v>0</v>
      </c>
      <c r="AA41" s="16">
        <f t="shared" si="0"/>
        <v>0</v>
      </c>
      <c r="AB41" s="16"/>
      <c r="AC41" s="17"/>
      <c r="AD41" s="51"/>
    </row>
    <row r="42" spans="1:30" ht="19.5" thickBot="1" x14ac:dyDescent="0.3">
      <c r="A42" s="14">
        <v>7</v>
      </c>
      <c r="B42" s="15"/>
      <c r="C42" s="15" t="e">
        <f>VLOOKUP(B42,داتا!$B$3:$D$107,2,FALSE)</f>
        <v>#N/A</v>
      </c>
      <c r="D42" s="34" t="e">
        <f>VLOOKUP(B42,داتا!$B$3:$D$107,3,FALSE)</f>
        <v>#N/A</v>
      </c>
      <c r="E42" s="15"/>
      <c r="F42" s="15"/>
      <c r="G42" s="16">
        <v>0.25</v>
      </c>
      <c r="H42" s="16" t="e">
        <f t="shared" si="7"/>
        <v>#N/A</v>
      </c>
      <c r="I42" s="16" t="e">
        <f t="shared" si="1"/>
        <v>#N/A</v>
      </c>
      <c r="J42" s="16"/>
      <c r="K42" s="16"/>
      <c r="L42" s="16"/>
      <c r="M42" s="16"/>
      <c r="N42" s="16">
        <f t="shared" si="2"/>
        <v>0</v>
      </c>
      <c r="O42" s="16" t="e">
        <f t="shared" si="3"/>
        <v>#N/A</v>
      </c>
      <c r="P42" s="16">
        <v>6.9444444444444397E-3</v>
      </c>
      <c r="Q42" s="16"/>
      <c r="R42" s="16">
        <f t="shared" si="4"/>
        <v>-6.9444444444444397E-3</v>
      </c>
      <c r="S42" s="16"/>
      <c r="T42" s="16" t="e">
        <f>VLOOKUP(E42,'[2]21-3-2026'!E$3:T$35,16,FALSE)</f>
        <v>#N/A</v>
      </c>
      <c r="U42" s="16"/>
      <c r="V42" s="16" t="e">
        <f t="shared" si="5"/>
        <v>#N/A</v>
      </c>
      <c r="W42" s="16"/>
      <c r="X42" s="16"/>
      <c r="Y42" s="16"/>
      <c r="Z42" s="16">
        <f t="shared" si="6"/>
        <v>0</v>
      </c>
      <c r="AA42" s="16">
        <f t="shared" si="0"/>
        <v>0</v>
      </c>
      <c r="AB42" s="16"/>
      <c r="AC42" s="17"/>
      <c r="AD42" s="51"/>
    </row>
    <row r="43" spans="1:30" ht="19.5" thickBot="1" x14ac:dyDescent="0.3">
      <c r="A43" s="14">
        <v>8</v>
      </c>
      <c r="B43" s="15"/>
      <c r="C43" s="15" t="e">
        <f>VLOOKUP(B43,داتا!$B$3:$D$107,2,FALSE)</f>
        <v>#N/A</v>
      </c>
      <c r="D43" s="34" t="e">
        <f>VLOOKUP(B43,داتا!$B$3:$D$107,3,FALSE)</f>
        <v>#N/A</v>
      </c>
      <c r="E43" s="15"/>
      <c r="F43" s="15"/>
      <c r="G43" s="16">
        <v>0.25</v>
      </c>
      <c r="H43" s="16" t="e">
        <f t="shared" si="7"/>
        <v>#N/A</v>
      </c>
      <c r="I43" s="16" t="e">
        <f t="shared" si="1"/>
        <v>#N/A</v>
      </c>
      <c r="J43" s="16"/>
      <c r="K43" s="16"/>
      <c r="L43" s="16"/>
      <c r="M43" s="16"/>
      <c r="N43" s="16">
        <f t="shared" si="2"/>
        <v>0</v>
      </c>
      <c r="O43" s="16" t="e">
        <f t="shared" si="3"/>
        <v>#N/A</v>
      </c>
      <c r="P43" s="16">
        <v>6.9444444444444397E-3</v>
      </c>
      <c r="Q43" s="16"/>
      <c r="R43" s="16">
        <f t="shared" si="4"/>
        <v>-6.9444444444444397E-3</v>
      </c>
      <c r="S43" s="16"/>
      <c r="T43" s="16" t="e">
        <f>VLOOKUP(E43,'[2]21-3-2026'!E$3:T$35,16,FALSE)</f>
        <v>#N/A</v>
      </c>
      <c r="U43" s="16"/>
      <c r="V43" s="16" t="e">
        <f t="shared" si="5"/>
        <v>#N/A</v>
      </c>
      <c r="W43" s="16"/>
      <c r="X43" s="16"/>
      <c r="Y43" s="16"/>
      <c r="Z43" s="16">
        <f t="shared" si="6"/>
        <v>0</v>
      </c>
      <c r="AA43" s="16">
        <f t="shared" si="0"/>
        <v>0</v>
      </c>
      <c r="AB43" s="16"/>
      <c r="AC43" s="17"/>
      <c r="AD43" s="51"/>
    </row>
    <row r="44" spans="1:30" ht="19.5" thickBot="1" x14ac:dyDescent="0.3">
      <c r="A44" s="14">
        <v>9</v>
      </c>
      <c r="B44" s="15"/>
      <c r="C44" s="15" t="e">
        <f>VLOOKUP(B44,داتا!$B$3:$D$107,2,FALSE)</f>
        <v>#N/A</v>
      </c>
      <c r="D44" s="34" t="e">
        <f>VLOOKUP(B44,داتا!$B$3:$D$107,3,FALSE)</f>
        <v>#N/A</v>
      </c>
      <c r="E44" s="15"/>
      <c r="F44" s="15"/>
      <c r="G44" s="16">
        <v>0.25</v>
      </c>
      <c r="H44" s="16" t="e">
        <f t="shared" si="7"/>
        <v>#N/A</v>
      </c>
      <c r="I44" s="16" t="e">
        <f t="shared" si="1"/>
        <v>#N/A</v>
      </c>
      <c r="J44" s="16"/>
      <c r="K44" s="16"/>
      <c r="L44" s="16"/>
      <c r="M44" s="16"/>
      <c r="N44" s="16">
        <f t="shared" si="2"/>
        <v>0</v>
      </c>
      <c r="O44" s="16" t="e">
        <f t="shared" si="3"/>
        <v>#N/A</v>
      </c>
      <c r="P44" s="16">
        <v>6.9444444444444397E-3</v>
      </c>
      <c r="Q44" s="16"/>
      <c r="R44" s="16">
        <f t="shared" si="4"/>
        <v>-6.9444444444444397E-3</v>
      </c>
      <c r="S44" s="16"/>
      <c r="T44" s="16" t="e">
        <f>VLOOKUP(E44,'[2]21-3-2026'!E$3:T$35,16,FALSE)</f>
        <v>#N/A</v>
      </c>
      <c r="U44" s="16"/>
      <c r="V44" s="16" t="e">
        <f t="shared" si="5"/>
        <v>#N/A</v>
      </c>
      <c r="W44" s="16"/>
      <c r="X44" s="16"/>
      <c r="Y44" s="16"/>
      <c r="Z44" s="16">
        <f t="shared" si="6"/>
        <v>0</v>
      </c>
      <c r="AA44" s="16">
        <f t="shared" si="0"/>
        <v>0</v>
      </c>
      <c r="AB44" s="16"/>
      <c r="AC44" s="17"/>
      <c r="AD44" s="51"/>
    </row>
    <row r="45" spans="1:30" ht="19.5" thickBot="1" x14ac:dyDescent="0.3">
      <c r="A45" s="14">
        <v>10</v>
      </c>
      <c r="B45" s="15"/>
      <c r="C45" s="15" t="e">
        <f>VLOOKUP(B45,داتا!$B$3:$D$107,2,FALSE)</f>
        <v>#N/A</v>
      </c>
      <c r="D45" s="34" t="e">
        <f>VLOOKUP(B45,داتا!$B$3:$D$107,3,FALSE)</f>
        <v>#N/A</v>
      </c>
      <c r="E45" s="15"/>
      <c r="F45" s="15"/>
      <c r="G45" s="16">
        <v>0.25</v>
      </c>
      <c r="H45" s="16" t="e">
        <f t="shared" si="7"/>
        <v>#N/A</v>
      </c>
      <c r="I45" s="16" t="e">
        <f t="shared" si="1"/>
        <v>#N/A</v>
      </c>
      <c r="J45" s="16"/>
      <c r="K45" s="16"/>
      <c r="L45" s="16"/>
      <c r="M45" s="16"/>
      <c r="N45" s="16">
        <f t="shared" si="2"/>
        <v>0</v>
      </c>
      <c r="O45" s="16" t="e">
        <f t="shared" si="3"/>
        <v>#N/A</v>
      </c>
      <c r="P45" s="16">
        <v>6.9444444444444397E-3</v>
      </c>
      <c r="Q45" s="16"/>
      <c r="R45" s="16">
        <f t="shared" si="4"/>
        <v>-6.9444444444444397E-3</v>
      </c>
      <c r="S45" s="16"/>
      <c r="T45" s="16" t="e">
        <f>VLOOKUP(E45,'[2]21-3-2026'!E$3:T$35,16,FALSE)</f>
        <v>#N/A</v>
      </c>
      <c r="U45" s="16"/>
      <c r="V45" s="16" t="e">
        <f t="shared" si="5"/>
        <v>#N/A</v>
      </c>
      <c r="W45" s="16"/>
      <c r="X45" s="16"/>
      <c r="Y45" s="16"/>
      <c r="Z45" s="16">
        <f t="shared" si="6"/>
        <v>0</v>
      </c>
      <c r="AA45" s="16">
        <f t="shared" si="0"/>
        <v>0</v>
      </c>
      <c r="AB45" s="16"/>
      <c r="AC45" s="17"/>
      <c r="AD45" s="51"/>
    </row>
    <row r="46" spans="1:30" ht="19.5" thickBot="1" x14ac:dyDescent="0.3">
      <c r="A46" s="14">
        <v>11</v>
      </c>
      <c r="B46" s="15"/>
      <c r="C46" s="15" t="e">
        <f>VLOOKUP(B46,داتا!$B$3:$D$107,2,FALSE)</f>
        <v>#N/A</v>
      </c>
      <c r="D46" s="34" t="e">
        <f>VLOOKUP(B46,داتا!$B$3:$D$107,3,FALSE)</f>
        <v>#N/A</v>
      </c>
      <c r="E46" s="15"/>
      <c r="F46" s="15"/>
      <c r="G46" s="16">
        <v>0.25</v>
      </c>
      <c r="H46" s="16" t="e">
        <f t="shared" si="7"/>
        <v>#N/A</v>
      </c>
      <c r="I46" s="16" t="e">
        <f t="shared" si="1"/>
        <v>#N/A</v>
      </c>
      <c r="J46" s="16"/>
      <c r="K46" s="16"/>
      <c r="L46" s="16"/>
      <c r="M46" s="16"/>
      <c r="N46" s="16">
        <f t="shared" si="2"/>
        <v>0</v>
      </c>
      <c r="O46" s="16" t="e">
        <f t="shared" si="3"/>
        <v>#N/A</v>
      </c>
      <c r="P46" s="16">
        <v>6.9444444444444397E-3</v>
      </c>
      <c r="Q46" s="16"/>
      <c r="R46" s="16">
        <f t="shared" si="4"/>
        <v>-6.9444444444444397E-3</v>
      </c>
      <c r="S46" s="16"/>
      <c r="T46" s="16" t="e">
        <f>VLOOKUP(E46,'[2]21-3-2026'!E$3:T$35,16,FALSE)</f>
        <v>#N/A</v>
      </c>
      <c r="U46" s="16"/>
      <c r="V46" s="16" t="e">
        <f t="shared" si="5"/>
        <v>#N/A</v>
      </c>
      <c r="W46" s="16"/>
      <c r="X46" s="16"/>
      <c r="Y46" s="16"/>
      <c r="Z46" s="16">
        <f t="shared" si="6"/>
        <v>0</v>
      </c>
      <c r="AA46" s="16">
        <f t="shared" si="0"/>
        <v>0</v>
      </c>
      <c r="AB46" s="16"/>
      <c r="AC46" s="17"/>
      <c r="AD46" s="51"/>
    </row>
    <row r="47" spans="1:30" ht="19.5" thickBot="1" x14ac:dyDescent="0.3">
      <c r="A47" s="14">
        <v>12</v>
      </c>
      <c r="B47" s="15"/>
      <c r="C47" s="15" t="e">
        <f>VLOOKUP(B47,داتا!$B$3:$D$107,2,FALSE)</f>
        <v>#N/A</v>
      </c>
      <c r="D47" s="34" t="e">
        <f>VLOOKUP(B47,داتا!$B$3:$D$107,3,FALSE)</f>
        <v>#N/A</v>
      </c>
      <c r="E47" s="15"/>
      <c r="F47" s="15"/>
      <c r="G47" s="16">
        <v>0.25</v>
      </c>
      <c r="H47" s="16" t="e">
        <f t="shared" si="7"/>
        <v>#N/A</v>
      </c>
      <c r="I47" s="16" t="e">
        <f t="shared" si="1"/>
        <v>#N/A</v>
      </c>
      <c r="J47" s="16"/>
      <c r="K47" s="16"/>
      <c r="L47" s="16"/>
      <c r="M47" s="16"/>
      <c r="N47" s="16">
        <f t="shared" si="2"/>
        <v>0</v>
      </c>
      <c r="O47" s="16" t="e">
        <f t="shared" si="3"/>
        <v>#N/A</v>
      </c>
      <c r="P47" s="16">
        <v>6.9444444444444397E-3</v>
      </c>
      <c r="Q47" s="16"/>
      <c r="R47" s="16">
        <f t="shared" si="4"/>
        <v>-6.9444444444444397E-3</v>
      </c>
      <c r="S47" s="16"/>
      <c r="T47" s="16" t="e">
        <f>VLOOKUP(E47,'[2]21-3-2026'!E$3:T$35,16,FALSE)</f>
        <v>#N/A</v>
      </c>
      <c r="U47" s="16"/>
      <c r="V47" s="16" t="e">
        <f t="shared" si="5"/>
        <v>#N/A</v>
      </c>
      <c r="W47" s="16"/>
      <c r="X47" s="16"/>
      <c r="Y47" s="16"/>
      <c r="Z47" s="16">
        <f t="shared" si="6"/>
        <v>0</v>
      </c>
      <c r="AA47" s="16">
        <f t="shared" si="0"/>
        <v>0</v>
      </c>
      <c r="AB47" s="16"/>
      <c r="AC47" s="17"/>
      <c r="AD47" s="51"/>
    </row>
    <row r="48" spans="1:30" ht="19.5" thickBot="1" x14ac:dyDescent="0.3">
      <c r="A48" s="14">
        <v>13</v>
      </c>
      <c r="B48" s="15"/>
      <c r="C48" s="15" t="e">
        <f>VLOOKUP(B48,داتا!$B$3:$D$107,2,FALSE)</f>
        <v>#N/A</v>
      </c>
      <c r="D48" s="34" t="e">
        <f>VLOOKUP(B48,داتا!$B$3:$D$107,3,FALSE)</f>
        <v>#N/A</v>
      </c>
      <c r="E48" s="15"/>
      <c r="F48" s="15"/>
      <c r="G48" s="16">
        <v>0.25</v>
      </c>
      <c r="H48" s="16" t="e">
        <f t="shared" si="7"/>
        <v>#N/A</v>
      </c>
      <c r="I48" s="16" t="e">
        <f t="shared" si="1"/>
        <v>#N/A</v>
      </c>
      <c r="J48" s="16"/>
      <c r="K48" s="16"/>
      <c r="L48" s="16"/>
      <c r="M48" s="16"/>
      <c r="N48" s="16">
        <f t="shared" si="2"/>
        <v>0</v>
      </c>
      <c r="O48" s="16" t="e">
        <f t="shared" si="3"/>
        <v>#N/A</v>
      </c>
      <c r="P48" s="16">
        <v>6.9444444444444397E-3</v>
      </c>
      <c r="Q48" s="16"/>
      <c r="R48" s="16">
        <f t="shared" si="4"/>
        <v>-6.9444444444444397E-3</v>
      </c>
      <c r="S48" s="16"/>
      <c r="T48" s="16" t="e">
        <f>VLOOKUP(E48,'[2]21-3-2026'!E$3:T$35,16,FALSE)</f>
        <v>#N/A</v>
      </c>
      <c r="U48" s="16"/>
      <c r="V48" s="16" t="e">
        <f t="shared" si="5"/>
        <v>#N/A</v>
      </c>
      <c r="W48" s="16"/>
      <c r="X48" s="16"/>
      <c r="Y48" s="16"/>
      <c r="Z48" s="16">
        <f t="shared" si="6"/>
        <v>0</v>
      </c>
      <c r="AA48" s="16">
        <f t="shared" si="0"/>
        <v>0</v>
      </c>
      <c r="AB48" s="16"/>
      <c r="AC48" s="17"/>
      <c r="AD48" s="51"/>
    </row>
    <row r="49" spans="1:30" ht="19.5" thickBot="1" x14ac:dyDescent="0.3">
      <c r="A49" s="14">
        <v>14</v>
      </c>
      <c r="B49" s="15"/>
      <c r="C49" s="15" t="e">
        <f>VLOOKUP(B49,داتا!$B$3:$D$107,2,FALSE)</f>
        <v>#N/A</v>
      </c>
      <c r="D49" s="34" t="e">
        <f>VLOOKUP(B49,داتا!$B$3:$D$107,3,FALSE)</f>
        <v>#N/A</v>
      </c>
      <c r="E49" s="15"/>
      <c r="F49" s="15"/>
      <c r="G49" s="16">
        <v>0.25</v>
      </c>
      <c r="H49" s="16" t="e">
        <f t="shared" si="7"/>
        <v>#N/A</v>
      </c>
      <c r="I49" s="16" t="e">
        <f t="shared" si="1"/>
        <v>#N/A</v>
      </c>
      <c r="J49" s="16"/>
      <c r="K49" s="16"/>
      <c r="L49" s="16"/>
      <c r="M49" s="16"/>
      <c r="N49" s="16">
        <f t="shared" si="2"/>
        <v>0</v>
      </c>
      <c r="O49" s="16" t="e">
        <f t="shared" si="3"/>
        <v>#N/A</v>
      </c>
      <c r="P49" s="16">
        <v>6.9444444444444397E-3</v>
      </c>
      <c r="Q49" s="16"/>
      <c r="R49" s="16">
        <f t="shared" si="4"/>
        <v>-6.9444444444444397E-3</v>
      </c>
      <c r="S49" s="16"/>
      <c r="T49" s="16" t="e">
        <f>VLOOKUP(E49,'[2]21-3-2026'!E$3:T$35,16,FALSE)</f>
        <v>#N/A</v>
      </c>
      <c r="U49" s="16"/>
      <c r="V49" s="16" t="e">
        <f t="shared" si="5"/>
        <v>#N/A</v>
      </c>
      <c r="W49" s="16"/>
      <c r="X49" s="16"/>
      <c r="Y49" s="16"/>
      <c r="Z49" s="16">
        <f t="shared" si="6"/>
        <v>0</v>
      </c>
      <c r="AA49" s="16">
        <f t="shared" si="0"/>
        <v>0</v>
      </c>
      <c r="AB49" s="16"/>
      <c r="AC49" s="17"/>
      <c r="AD49" s="51"/>
    </row>
    <row r="50" spans="1:30" ht="19.5" thickBot="1" x14ac:dyDescent="0.3">
      <c r="A50" s="14">
        <v>15</v>
      </c>
      <c r="B50" s="15"/>
      <c r="C50" s="15" t="e">
        <f>VLOOKUP(B50,داتا!$B$3:$D$107,2,FALSE)</f>
        <v>#N/A</v>
      </c>
      <c r="D50" s="34" t="e">
        <f>VLOOKUP(B50,داتا!$B$3:$D$107,3,FALSE)</f>
        <v>#N/A</v>
      </c>
      <c r="E50" s="15"/>
      <c r="F50" s="15"/>
      <c r="G50" s="16">
        <v>0.25</v>
      </c>
      <c r="H50" s="16" t="e">
        <f t="shared" si="7"/>
        <v>#N/A</v>
      </c>
      <c r="I50" s="16" t="e">
        <f t="shared" si="1"/>
        <v>#N/A</v>
      </c>
      <c r="J50" s="16"/>
      <c r="K50" s="16"/>
      <c r="L50" s="16"/>
      <c r="M50" s="16"/>
      <c r="N50" s="16">
        <f t="shared" si="2"/>
        <v>0</v>
      </c>
      <c r="O50" s="16" t="e">
        <f t="shared" si="3"/>
        <v>#N/A</v>
      </c>
      <c r="P50" s="16">
        <v>6.9444444444444397E-3</v>
      </c>
      <c r="Q50" s="16"/>
      <c r="R50" s="16">
        <f t="shared" si="4"/>
        <v>-6.9444444444444397E-3</v>
      </c>
      <c r="S50" s="16"/>
      <c r="T50" s="16" t="e">
        <f>VLOOKUP(E50,'[2]21-3-2026'!E$3:T$35,16,FALSE)</f>
        <v>#N/A</v>
      </c>
      <c r="U50" s="16"/>
      <c r="V50" s="16" t="e">
        <f t="shared" si="5"/>
        <v>#N/A</v>
      </c>
      <c r="W50" s="16"/>
      <c r="X50" s="16"/>
      <c r="Y50" s="16"/>
      <c r="Z50" s="16">
        <f t="shared" si="6"/>
        <v>0</v>
      </c>
      <c r="AA50" s="16">
        <f t="shared" si="0"/>
        <v>0</v>
      </c>
      <c r="AB50" s="16"/>
      <c r="AC50" s="17"/>
      <c r="AD50" s="51"/>
    </row>
    <row r="51" spans="1:30" ht="19.5" thickBot="1" x14ac:dyDescent="0.3">
      <c r="A51" s="14">
        <v>16</v>
      </c>
      <c r="B51" s="15"/>
      <c r="C51" s="15" t="e">
        <f>VLOOKUP(B51,داتا!$B$3:$D$107,2,FALSE)</f>
        <v>#N/A</v>
      </c>
      <c r="D51" s="34" t="e">
        <f>VLOOKUP(B51,داتا!$B$3:$D$107,3,FALSE)</f>
        <v>#N/A</v>
      </c>
      <c r="E51" s="15"/>
      <c r="F51" s="15"/>
      <c r="G51" s="16">
        <v>0.25</v>
      </c>
      <c r="H51" s="16" t="e">
        <f t="shared" si="7"/>
        <v>#N/A</v>
      </c>
      <c r="I51" s="16" t="e">
        <f t="shared" si="1"/>
        <v>#N/A</v>
      </c>
      <c r="J51" s="16"/>
      <c r="K51" s="16"/>
      <c r="L51" s="16"/>
      <c r="M51" s="16"/>
      <c r="N51" s="16">
        <f t="shared" si="2"/>
        <v>0</v>
      </c>
      <c r="O51" s="16" t="e">
        <f t="shared" si="3"/>
        <v>#N/A</v>
      </c>
      <c r="P51" s="16">
        <v>6.9444444444444397E-3</v>
      </c>
      <c r="Q51" s="16"/>
      <c r="R51" s="16">
        <f t="shared" si="4"/>
        <v>-6.9444444444444397E-3</v>
      </c>
      <c r="S51" s="16"/>
      <c r="T51" s="16" t="e">
        <f>VLOOKUP(E51,'[2]21-3-2026'!E$3:T$35,16,FALSE)</f>
        <v>#N/A</v>
      </c>
      <c r="U51" s="16"/>
      <c r="V51" s="16" t="e">
        <f t="shared" si="5"/>
        <v>#N/A</v>
      </c>
      <c r="W51" s="16"/>
      <c r="X51" s="16"/>
      <c r="Y51" s="16"/>
      <c r="Z51" s="16">
        <f t="shared" si="6"/>
        <v>0</v>
      </c>
      <c r="AA51" s="16">
        <f t="shared" si="0"/>
        <v>0</v>
      </c>
      <c r="AB51" s="16"/>
      <c r="AC51" s="17"/>
      <c r="AD51" s="51"/>
    </row>
    <row r="52" spans="1:30" ht="19.5" thickBot="1" x14ac:dyDescent="0.3">
      <c r="A52" s="14">
        <v>17</v>
      </c>
      <c r="B52" s="15"/>
      <c r="C52" s="15" t="e">
        <f>VLOOKUP(B52,داتا!$B$3:$D$107,2,FALSE)</f>
        <v>#N/A</v>
      </c>
      <c r="D52" s="34" t="e">
        <f>VLOOKUP(B52,داتا!$B$3:$D$107,3,FALSE)</f>
        <v>#N/A</v>
      </c>
      <c r="E52" s="15"/>
      <c r="F52" s="15"/>
      <c r="G52" s="16">
        <v>0.25</v>
      </c>
      <c r="H52" s="16" t="e">
        <f t="shared" si="7"/>
        <v>#N/A</v>
      </c>
      <c r="I52" s="16" t="e">
        <f t="shared" si="1"/>
        <v>#N/A</v>
      </c>
      <c r="J52" s="16"/>
      <c r="K52" s="16"/>
      <c r="L52" s="16"/>
      <c r="M52" s="16"/>
      <c r="N52" s="16">
        <f t="shared" si="2"/>
        <v>0</v>
      </c>
      <c r="O52" s="16" t="e">
        <f t="shared" si="3"/>
        <v>#N/A</v>
      </c>
      <c r="P52" s="16">
        <v>6.9444444444444397E-3</v>
      </c>
      <c r="Q52" s="16"/>
      <c r="R52" s="16">
        <f t="shared" si="4"/>
        <v>-6.9444444444444397E-3</v>
      </c>
      <c r="S52" s="16"/>
      <c r="T52" s="16" t="e">
        <f>VLOOKUP(E52,'[2]21-3-2026'!E$3:T$35,16,FALSE)</f>
        <v>#N/A</v>
      </c>
      <c r="U52" s="16"/>
      <c r="V52" s="16" t="e">
        <f t="shared" si="5"/>
        <v>#N/A</v>
      </c>
      <c r="W52" s="16"/>
      <c r="X52" s="16"/>
      <c r="Y52" s="16"/>
      <c r="Z52" s="16">
        <f t="shared" si="6"/>
        <v>0</v>
      </c>
      <c r="AA52" s="16">
        <f t="shared" si="0"/>
        <v>0</v>
      </c>
      <c r="AB52" s="16"/>
      <c r="AC52" s="17"/>
      <c r="AD52" s="51"/>
    </row>
    <row r="53" spans="1:30" ht="19.5" thickBot="1" x14ac:dyDescent="0.3">
      <c r="A53" s="14">
        <v>18</v>
      </c>
      <c r="B53" s="15"/>
      <c r="C53" s="15" t="e">
        <f>VLOOKUP(B53,داتا!$B$3:$D$107,2,FALSE)</f>
        <v>#N/A</v>
      </c>
      <c r="D53" s="34" t="e">
        <f>VLOOKUP(B53,داتا!$B$3:$D$107,3,FALSE)</f>
        <v>#N/A</v>
      </c>
      <c r="E53" s="15"/>
      <c r="F53" s="15"/>
      <c r="G53" s="16">
        <v>0.25</v>
      </c>
      <c r="H53" s="16" t="e">
        <f t="shared" ref="H53:H68" si="8">VLOOKUP(G53,$F$3:$I$35,2,FALSE)</f>
        <v>#N/A</v>
      </c>
      <c r="I53" s="16" t="e">
        <f t="shared" si="1"/>
        <v>#N/A</v>
      </c>
      <c r="J53" s="16"/>
      <c r="K53" s="16"/>
      <c r="L53" s="16"/>
      <c r="M53" s="16"/>
      <c r="N53" s="16">
        <f t="shared" si="2"/>
        <v>0</v>
      </c>
      <c r="O53" s="16" t="e">
        <f t="shared" si="3"/>
        <v>#N/A</v>
      </c>
      <c r="P53" s="16">
        <v>6.9444444444444397E-3</v>
      </c>
      <c r="Q53" s="16"/>
      <c r="R53" s="16">
        <f t="shared" si="4"/>
        <v>-6.9444444444444397E-3</v>
      </c>
      <c r="S53" s="16"/>
      <c r="T53" s="16" t="e">
        <f>VLOOKUP(E53,'[2]21-3-2026'!E$3:T$35,16,FALSE)</f>
        <v>#N/A</v>
      </c>
      <c r="U53" s="16"/>
      <c r="V53" s="16" t="e">
        <f t="shared" si="5"/>
        <v>#N/A</v>
      </c>
      <c r="W53" s="16"/>
      <c r="X53" s="16"/>
      <c r="Y53" s="16"/>
      <c r="Z53" s="16">
        <f t="shared" si="6"/>
        <v>0</v>
      </c>
      <c r="AA53" s="16">
        <f t="shared" si="0"/>
        <v>0</v>
      </c>
      <c r="AB53" s="16"/>
      <c r="AC53" s="17"/>
      <c r="AD53" s="51"/>
    </row>
    <row r="54" spans="1:30" ht="19.5" thickBot="1" x14ac:dyDescent="0.3">
      <c r="A54" s="14">
        <v>19</v>
      </c>
      <c r="B54" s="15"/>
      <c r="C54" s="15" t="e">
        <f>VLOOKUP(B54,داتا!$B$3:$D$107,2,FALSE)</f>
        <v>#N/A</v>
      </c>
      <c r="D54" s="34" t="e">
        <f>VLOOKUP(B54,داتا!$B$3:$D$107,3,FALSE)</f>
        <v>#N/A</v>
      </c>
      <c r="E54" s="15"/>
      <c r="F54" s="15"/>
      <c r="G54" s="16">
        <v>0.25</v>
      </c>
      <c r="H54" s="16" t="e">
        <f t="shared" si="8"/>
        <v>#N/A</v>
      </c>
      <c r="I54" s="16" t="e">
        <f t="shared" si="1"/>
        <v>#N/A</v>
      </c>
      <c r="J54" s="16"/>
      <c r="K54" s="16"/>
      <c r="L54" s="16"/>
      <c r="M54" s="16"/>
      <c r="N54" s="16">
        <f t="shared" si="2"/>
        <v>0</v>
      </c>
      <c r="O54" s="16" t="e">
        <f t="shared" si="3"/>
        <v>#N/A</v>
      </c>
      <c r="P54" s="16">
        <v>6.9444444444444397E-3</v>
      </c>
      <c r="Q54" s="16"/>
      <c r="R54" s="16">
        <f t="shared" si="4"/>
        <v>-6.9444444444444397E-3</v>
      </c>
      <c r="S54" s="16"/>
      <c r="T54" s="16" t="e">
        <f>VLOOKUP(E54,'[2]21-3-2026'!E$3:T$35,16,FALSE)</f>
        <v>#N/A</v>
      </c>
      <c r="U54" s="16"/>
      <c r="V54" s="16" t="e">
        <f t="shared" si="5"/>
        <v>#N/A</v>
      </c>
      <c r="W54" s="16"/>
      <c r="X54" s="16"/>
      <c r="Y54" s="16"/>
      <c r="Z54" s="16">
        <f t="shared" si="6"/>
        <v>0</v>
      </c>
      <c r="AA54" s="16">
        <f t="shared" si="0"/>
        <v>0</v>
      </c>
      <c r="AB54" s="16"/>
      <c r="AC54" s="17"/>
      <c r="AD54" s="51"/>
    </row>
    <row r="55" spans="1:30" ht="19.5" thickBot="1" x14ac:dyDescent="0.3">
      <c r="A55" s="14">
        <v>20</v>
      </c>
      <c r="B55" s="15"/>
      <c r="C55" s="15" t="e">
        <f>VLOOKUP(B55,داتا!$B$3:$D$107,2,FALSE)</f>
        <v>#N/A</v>
      </c>
      <c r="D55" s="34" t="e">
        <f>VLOOKUP(B55,داتا!$B$3:$D$107,3,FALSE)</f>
        <v>#N/A</v>
      </c>
      <c r="E55" s="15"/>
      <c r="F55" s="15"/>
      <c r="G55" s="16">
        <v>0.25</v>
      </c>
      <c r="H55" s="16" t="e">
        <f t="shared" si="8"/>
        <v>#N/A</v>
      </c>
      <c r="I55" s="16" t="e">
        <f t="shared" si="1"/>
        <v>#N/A</v>
      </c>
      <c r="J55" s="16"/>
      <c r="K55" s="16"/>
      <c r="L55" s="16"/>
      <c r="M55" s="16"/>
      <c r="N55" s="16">
        <f t="shared" si="2"/>
        <v>0</v>
      </c>
      <c r="O55" s="16" t="e">
        <f t="shared" si="3"/>
        <v>#N/A</v>
      </c>
      <c r="P55" s="16">
        <v>6.9444444444444397E-3</v>
      </c>
      <c r="Q55" s="16"/>
      <c r="R55" s="16">
        <f t="shared" si="4"/>
        <v>-6.9444444444444397E-3</v>
      </c>
      <c r="S55" s="16"/>
      <c r="T55" s="16" t="e">
        <f>VLOOKUP(E55,'[2]21-3-2026'!E$3:T$35,16,FALSE)</f>
        <v>#N/A</v>
      </c>
      <c r="U55" s="16"/>
      <c r="V55" s="16" t="e">
        <f t="shared" si="5"/>
        <v>#N/A</v>
      </c>
      <c r="W55" s="16"/>
      <c r="X55" s="16"/>
      <c r="Y55" s="16"/>
      <c r="Z55" s="16">
        <f t="shared" si="6"/>
        <v>0</v>
      </c>
      <c r="AA55" s="16">
        <f t="shared" si="0"/>
        <v>0</v>
      </c>
      <c r="AB55" s="16"/>
      <c r="AC55" s="17"/>
      <c r="AD55" s="51"/>
    </row>
    <row r="56" spans="1:30" ht="19.5" thickBot="1" x14ac:dyDescent="0.3">
      <c r="A56" s="14">
        <v>21</v>
      </c>
      <c r="B56" s="15"/>
      <c r="C56" s="15" t="e">
        <f>VLOOKUP(B56,داتا!$B$3:$D$107,2,FALSE)</f>
        <v>#N/A</v>
      </c>
      <c r="D56" s="34" t="e">
        <f>VLOOKUP(B56,داتا!$B$3:$D$107,3,FALSE)</f>
        <v>#N/A</v>
      </c>
      <c r="E56" s="15"/>
      <c r="F56" s="15"/>
      <c r="G56" s="16">
        <v>0.25</v>
      </c>
      <c r="H56" s="16" t="e">
        <f t="shared" si="8"/>
        <v>#N/A</v>
      </c>
      <c r="I56" s="16" t="e">
        <f t="shared" si="1"/>
        <v>#N/A</v>
      </c>
      <c r="J56" s="16"/>
      <c r="K56" s="16"/>
      <c r="L56" s="15"/>
      <c r="M56" s="15"/>
      <c r="N56" s="16">
        <f t="shared" si="2"/>
        <v>0</v>
      </c>
      <c r="O56" s="16" t="e">
        <f t="shared" si="3"/>
        <v>#N/A</v>
      </c>
      <c r="P56" s="16">
        <v>6.9444444444444397E-3</v>
      </c>
      <c r="Q56" s="16"/>
      <c r="R56" s="16">
        <f t="shared" si="4"/>
        <v>-6.9444444444444397E-3</v>
      </c>
      <c r="S56" s="16"/>
      <c r="T56" s="16" t="e">
        <f>VLOOKUP(E56,'[2]21-3-2026'!E$3:T$35,16,FALSE)</f>
        <v>#N/A</v>
      </c>
      <c r="U56" s="16"/>
      <c r="V56" s="16" t="e">
        <f t="shared" si="5"/>
        <v>#N/A</v>
      </c>
      <c r="W56" s="16"/>
      <c r="X56" s="16"/>
      <c r="Y56" s="16"/>
      <c r="Z56" s="16">
        <f t="shared" si="6"/>
        <v>0</v>
      </c>
      <c r="AA56" s="16">
        <f t="shared" si="0"/>
        <v>0</v>
      </c>
      <c r="AB56" s="16"/>
      <c r="AC56" s="17"/>
      <c r="AD56" s="51"/>
    </row>
    <row r="57" spans="1:30" ht="19.5" thickBot="1" x14ac:dyDescent="0.3">
      <c r="A57" s="14">
        <v>22</v>
      </c>
      <c r="B57" s="15"/>
      <c r="C57" s="15" t="e">
        <f>VLOOKUP(B57,داتا!$B$3:$D$107,2,FALSE)</f>
        <v>#N/A</v>
      </c>
      <c r="D57" s="34" t="e">
        <f>VLOOKUP(B57,داتا!$B$3:$D$107,3,FALSE)</f>
        <v>#N/A</v>
      </c>
      <c r="E57" s="15"/>
      <c r="F57" s="15"/>
      <c r="G57" s="16">
        <v>0.25</v>
      </c>
      <c r="H57" s="16" t="e">
        <f t="shared" si="8"/>
        <v>#N/A</v>
      </c>
      <c r="I57" s="16" t="e">
        <f t="shared" si="1"/>
        <v>#N/A</v>
      </c>
      <c r="J57" s="16"/>
      <c r="K57" s="16"/>
      <c r="L57" s="15"/>
      <c r="M57" s="15"/>
      <c r="N57" s="16">
        <f t="shared" si="2"/>
        <v>0</v>
      </c>
      <c r="O57" s="16" t="e">
        <f t="shared" si="3"/>
        <v>#N/A</v>
      </c>
      <c r="P57" s="16">
        <v>6.9444444444444397E-3</v>
      </c>
      <c r="Q57" s="16"/>
      <c r="R57" s="16">
        <f t="shared" si="4"/>
        <v>-6.9444444444444397E-3</v>
      </c>
      <c r="S57" s="16"/>
      <c r="T57" s="16" t="e">
        <f>VLOOKUP(E57,'[2]21-3-2026'!E$3:T$35,16,FALSE)</f>
        <v>#N/A</v>
      </c>
      <c r="U57" s="16"/>
      <c r="V57" s="16" t="e">
        <f t="shared" si="5"/>
        <v>#N/A</v>
      </c>
      <c r="W57" s="16"/>
      <c r="X57" s="16"/>
      <c r="Y57" s="16"/>
      <c r="Z57" s="16">
        <f t="shared" si="6"/>
        <v>0</v>
      </c>
      <c r="AA57" s="16">
        <f t="shared" si="0"/>
        <v>0</v>
      </c>
      <c r="AB57" s="16"/>
      <c r="AC57" s="17"/>
      <c r="AD57" s="51"/>
    </row>
    <row r="58" spans="1:30" ht="19.5" thickBot="1" x14ac:dyDescent="0.3">
      <c r="A58" s="14">
        <v>23</v>
      </c>
      <c r="B58" s="15"/>
      <c r="C58" s="15" t="e">
        <f>VLOOKUP(B58,داتا!$B$3:$D$107,2,FALSE)</f>
        <v>#N/A</v>
      </c>
      <c r="D58" s="34" t="e">
        <f>VLOOKUP(B58,داتا!$B$3:$D$107,3,FALSE)</f>
        <v>#N/A</v>
      </c>
      <c r="E58" s="15"/>
      <c r="F58" s="15"/>
      <c r="G58" s="16">
        <v>0.25</v>
      </c>
      <c r="H58" s="16" t="e">
        <f t="shared" si="8"/>
        <v>#N/A</v>
      </c>
      <c r="I58" s="16" t="e">
        <f t="shared" si="1"/>
        <v>#N/A</v>
      </c>
      <c r="J58" s="16"/>
      <c r="K58" s="16"/>
      <c r="L58" s="16"/>
      <c r="M58" s="16"/>
      <c r="N58" s="16">
        <f t="shared" si="2"/>
        <v>0</v>
      </c>
      <c r="O58" s="16" t="e">
        <f t="shared" si="3"/>
        <v>#N/A</v>
      </c>
      <c r="P58" s="16">
        <v>6.9444444444444397E-3</v>
      </c>
      <c r="Q58" s="16"/>
      <c r="R58" s="16">
        <f t="shared" si="4"/>
        <v>-6.9444444444444397E-3</v>
      </c>
      <c r="S58" s="16"/>
      <c r="T58" s="16" t="e">
        <f>VLOOKUP(E58,'[2]21-3-2026'!E$3:T$35,16,FALSE)</f>
        <v>#N/A</v>
      </c>
      <c r="U58" s="16"/>
      <c r="V58" s="16" t="e">
        <f t="shared" si="5"/>
        <v>#N/A</v>
      </c>
      <c r="W58" s="16"/>
      <c r="X58" s="16"/>
      <c r="Y58" s="16"/>
      <c r="Z58" s="16">
        <f t="shared" si="6"/>
        <v>0</v>
      </c>
      <c r="AA58" s="16">
        <f t="shared" si="0"/>
        <v>0</v>
      </c>
      <c r="AB58" s="16"/>
      <c r="AC58" s="17"/>
      <c r="AD58" s="51"/>
    </row>
    <row r="59" spans="1:30" ht="19.5" thickBot="1" x14ac:dyDescent="0.3">
      <c r="A59" s="14">
        <v>24</v>
      </c>
      <c r="B59" s="15"/>
      <c r="C59" s="15" t="e">
        <f>VLOOKUP(B59,داتا!$B$3:$D$107,2,FALSE)</f>
        <v>#N/A</v>
      </c>
      <c r="D59" s="34" t="e">
        <f>VLOOKUP(B59,داتا!$B$3:$D$107,3,FALSE)</f>
        <v>#N/A</v>
      </c>
      <c r="E59" s="16"/>
      <c r="F59" s="15"/>
      <c r="G59" s="16">
        <v>0.25</v>
      </c>
      <c r="H59" s="16" t="e">
        <f t="shared" si="8"/>
        <v>#N/A</v>
      </c>
      <c r="I59" s="16" t="e">
        <f t="shared" si="1"/>
        <v>#N/A</v>
      </c>
      <c r="J59" s="16"/>
      <c r="K59" s="16"/>
      <c r="L59" s="15"/>
      <c r="M59" s="15"/>
      <c r="N59" s="16">
        <f t="shared" si="2"/>
        <v>0</v>
      </c>
      <c r="O59" s="16" t="e">
        <f t="shared" si="3"/>
        <v>#N/A</v>
      </c>
      <c r="P59" s="16">
        <v>6.9444444444444397E-3</v>
      </c>
      <c r="Q59" s="16"/>
      <c r="R59" s="16">
        <f t="shared" si="4"/>
        <v>-6.9444444444444397E-3</v>
      </c>
      <c r="S59" s="16"/>
      <c r="T59" s="16" t="e">
        <f>VLOOKUP(E59,'[2]21-3-2026'!E$3:T$35,16,FALSE)</f>
        <v>#N/A</v>
      </c>
      <c r="U59" s="16"/>
      <c r="V59" s="16" t="e">
        <f t="shared" si="5"/>
        <v>#N/A</v>
      </c>
      <c r="W59" s="16"/>
      <c r="X59" s="16"/>
      <c r="Y59" s="16"/>
      <c r="Z59" s="16">
        <f t="shared" si="6"/>
        <v>0</v>
      </c>
      <c r="AA59" s="16">
        <f t="shared" si="0"/>
        <v>0</v>
      </c>
      <c r="AB59" s="16"/>
      <c r="AC59" s="17"/>
      <c r="AD59" s="51"/>
    </row>
    <row r="60" spans="1:30" ht="19.5" thickBot="1" x14ac:dyDescent="0.3">
      <c r="A60" s="14">
        <v>25</v>
      </c>
      <c r="B60" s="15"/>
      <c r="C60" s="15" t="e">
        <f>VLOOKUP(B60,داتا!$B$3:$D$107,2,FALSE)</f>
        <v>#N/A</v>
      </c>
      <c r="D60" s="34" t="e">
        <f>VLOOKUP(B60,داتا!$B$3:$D$107,3,FALSE)</f>
        <v>#N/A</v>
      </c>
      <c r="E60" s="15"/>
      <c r="F60" s="15"/>
      <c r="G60" s="16">
        <v>0.25</v>
      </c>
      <c r="H60" s="16" t="e">
        <f t="shared" si="8"/>
        <v>#N/A</v>
      </c>
      <c r="I60" s="16" t="e">
        <f t="shared" si="1"/>
        <v>#N/A</v>
      </c>
      <c r="J60" s="16"/>
      <c r="K60" s="16"/>
      <c r="L60" s="16"/>
      <c r="M60" s="16"/>
      <c r="N60" s="16">
        <f t="shared" si="2"/>
        <v>0</v>
      </c>
      <c r="O60" s="16" t="e">
        <f t="shared" si="3"/>
        <v>#N/A</v>
      </c>
      <c r="P60" s="16">
        <v>6.9444444444444397E-3</v>
      </c>
      <c r="Q60" s="16"/>
      <c r="R60" s="16">
        <f t="shared" si="4"/>
        <v>-6.9444444444444397E-3</v>
      </c>
      <c r="S60" s="16"/>
      <c r="T60" s="16" t="e">
        <f>VLOOKUP(E60,'[2]21-3-2026'!E$3:T$35,16,FALSE)</f>
        <v>#N/A</v>
      </c>
      <c r="U60" s="16"/>
      <c r="V60" s="16" t="e">
        <f t="shared" si="5"/>
        <v>#N/A</v>
      </c>
      <c r="W60" s="16"/>
      <c r="X60" s="16"/>
      <c r="Y60" s="16"/>
      <c r="Z60" s="16">
        <f t="shared" si="6"/>
        <v>0</v>
      </c>
      <c r="AA60" s="16">
        <f t="shared" si="0"/>
        <v>0</v>
      </c>
      <c r="AB60" s="16"/>
      <c r="AC60" s="17"/>
      <c r="AD60" s="51"/>
    </row>
    <row r="61" spans="1:30" ht="19.5" thickBot="1" x14ac:dyDescent="0.3">
      <c r="A61" s="14">
        <v>26</v>
      </c>
      <c r="B61" s="15"/>
      <c r="C61" s="15" t="e">
        <f>VLOOKUP(B61,داتا!$B$3:$D$107,2,FALSE)</f>
        <v>#N/A</v>
      </c>
      <c r="D61" s="34" t="e">
        <f>VLOOKUP(B61,داتا!$B$3:$D$107,3,FALSE)</f>
        <v>#N/A</v>
      </c>
      <c r="E61" s="15"/>
      <c r="F61" s="15"/>
      <c r="G61" s="16">
        <v>0.25</v>
      </c>
      <c r="H61" s="16" t="e">
        <f t="shared" si="8"/>
        <v>#N/A</v>
      </c>
      <c r="I61" s="16" t="e">
        <f t="shared" si="1"/>
        <v>#N/A</v>
      </c>
      <c r="J61" s="16"/>
      <c r="K61" s="16"/>
      <c r="L61" s="16"/>
      <c r="M61" s="16"/>
      <c r="N61" s="16">
        <f t="shared" si="2"/>
        <v>0</v>
      </c>
      <c r="O61" s="16" t="e">
        <f t="shared" si="3"/>
        <v>#N/A</v>
      </c>
      <c r="P61" s="16">
        <v>6.9444444444444397E-3</v>
      </c>
      <c r="Q61" s="16"/>
      <c r="R61" s="16">
        <f t="shared" si="4"/>
        <v>-6.9444444444444397E-3</v>
      </c>
      <c r="S61" s="16"/>
      <c r="T61" s="16" t="e">
        <f>VLOOKUP(E61,'[2]21-3-2026'!E$3:T$35,16,FALSE)</f>
        <v>#N/A</v>
      </c>
      <c r="U61" s="16"/>
      <c r="V61" s="16" t="e">
        <f t="shared" si="5"/>
        <v>#N/A</v>
      </c>
      <c r="W61" s="16"/>
      <c r="X61" s="16"/>
      <c r="Y61" s="16"/>
      <c r="Z61" s="16">
        <f t="shared" si="6"/>
        <v>0</v>
      </c>
      <c r="AA61" s="16">
        <f t="shared" si="0"/>
        <v>0</v>
      </c>
      <c r="AB61" s="16"/>
      <c r="AC61" s="17"/>
      <c r="AD61" s="51"/>
    </row>
    <row r="62" spans="1:30" ht="19.5" thickBot="1" x14ac:dyDescent="0.3">
      <c r="A62" s="14">
        <v>27</v>
      </c>
      <c r="B62" s="15"/>
      <c r="C62" s="15" t="e">
        <f>VLOOKUP(B62,داتا!$B$3:$D$107,2,FALSE)</f>
        <v>#N/A</v>
      </c>
      <c r="D62" s="34" t="e">
        <f>VLOOKUP(B62,داتا!$B$3:$D$107,3,FALSE)</f>
        <v>#N/A</v>
      </c>
      <c r="E62" s="15"/>
      <c r="F62" s="15"/>
      <c r="G62" s="16">
        <v>0.25</v>
      </c>
      <c r="H62" s="16" t="e">
        <f t="shared" si="8"/>
        <v>#N/A</v>
      </c>
      <c r="I62" s="16" t="e">
        <f t="shared" si="1"/>
        <v>#N/A</v>
      </c>
      <c r="J62" s="16"/>
      <c r="K62" s="16"/>
      <c r="L62" s="16"/>
      <c r="M62" s="16"/>
      <c r="N62" s="16">
        <f t="shared" si="2"/>
        <v>0</v>
      </c>
      <c r="O62" s="16" t="e">
        <f t="shared" si="3"/>
        <v>#N/A</v>
      </c>
      <c r="P62" s="16">
        <v>6.9444444444444397E-3</v>
      </c>
      <c r="Q62" s="16"/>
      <c r="R62" s="16">
        <f t="shared" si="4"/>
        <v>-6.9444444444444397E-3</v>
      </c>
      <c r="S62" s="16"/>
      <c r="T62" s="16" t="e">
        <f>VLOOKUP(E62,'[2]21-3-2026'!E$3:T$35,16,FALSE)</f>
        <v>#N/A</v>
      </c>
      <c r="U62" s="16"/>
      <c r="V62" s="16" t="e">
        <f t="shared" si="5"/>
        <v>#N/A</v>
      </c>
      <c r="W62" s="16"/>
      <c r="X62" s="16"/>
      <c r="Y62" s="16"/>
      <c r="Z62" s="16">
        <f t="shared" si="6"/>
        <v>0</v>
      </c>
      <c r="AA62" s="16">
        <f t="shared" si="0"/>
        <v>0</v>
      </c>
      <c r="AB62" s="16"/>
      <c r="AC62" s="17"/>
      <c r="AD62" s="51"/>
    </row>
    <row r="63" spans="1:30" ht="19.5" thickBot="1" x14ac:dyDescent="0.3">
      <c r="A63" s="14">
        <v>28</v>
      </c>
      <c r="B63" s="15"/>
      <c r="C63" s="15" t="e">
        <f>VLOOKUP(B63,داتا!$B$3:$D$107,2,FALSE)</f>
        <v>#N/A</v>
      </c>
      <c r="D63" s="34" t="e">
        <f>VLOOKUP(B63,داتا!$B$3:$D$107,3,FALSE)</f>
        <v>#N/A</v>
      </c>
      <c r="E63" s="15"/>
      <c r="F63" s="15"/>
      <c r="G63" s="16">
        <v>0.25</v>
      </c>
      <c r="H63" s="16" t="e">
        <f t="shared" si="8"/>
        <v>#N/A</v>
      </c>
      <c r="I63" s="16" t="e">
        <f t="shared" si="1"/>
        <v>#N/A</v>
      </c>
      <c r="J63" s="16"/>
      <c r="K63" s="16"/>
      <c r="L63" s="16"/>
      <c r="M63" s="16"/>
      <c r="N63" s="16">
        <f t="shared" si="2"/>
        <v>0</v>
      </c>
      <c r="O63" s="16" t="e">
        <f t="shared" si="3"/>
        <v>#N/A</v>
      </c>
      <c r="P63" s="16">
        <v>6.9444444444444397E-3</v>
      </c>
      <c r="Q63" s="16"/>
      <c r="R63" s="16">
        <f t="shared" si="4"/>
        <v>-6.9444444444444397E-3</v>
      </c>
      <c r="S63" s="16"/>
      <c r="T63" s="16" t="e">
        <f>VLOOKUP(E63,'[2]21-3-2026'!E$3:T$35,16,FALSE)</f>
        <v>#N/A</v>
      </c>
      <c r="U63" s="16"/>
      <c r="V63" s="16" t="e">
        <f t="shared" si="5"/>
        <v>#N/A</v>
      </c>
      <c r="W63" s="16"/>
      <c r="X63" s="16"/>
      <c r="Y63" s="16"/>
      <c r="Z63" s="16">
        <f t="shared" si="6"/>
        <v>0</v>
      </c>
      <c r="AA63" s="16">
        <f t="shared" si="0"/>
        <v>0</v>
      </c>
      <c r="AB63" s="16"/>
      <c r="AC63" s="17"/>
      <c r="AD63" s="51"/>
    </row>
    <row r="64" spans="1:30" ht="19.5" thickBot="1" x14ac:dyDescent="0.3">
      <c r="A64" s="14">
        <v>29</v>
      </c>
      <c r="B64" s="15"/>
      <c r="C64" s="15" t="e">
        <f>VLOOKUP(B64,داتا!$B$3:$D$107,2,FALSE)</f>
        <v>#N/A</v>
      </c>
      <c r="D64" s="34" t="e">
        <f>VLOOKUP(B64,داتا!$B$3:$D$107,3,FALSE)</f>
        <v>#N/A</v>
      </c>
      <c r="E64" s="15"/>
      <c r="F64" s="15"/>
      <c r="G64" s="16">
        <v>0.25</v>
      </c>
      <c r="H64" s="16" t="e">
        <f t="shared" si="8"/>
        <v>#N/A</v>
      </c>
      <c r="I64" s="16" t="e">
        <f t="shared" si="1"/>
        <v>#N/A</v>
      </c>
      <c r="J64" s="16"/>
      <c r="K64" s="16"/>
      <c r="L64" s="16"/>
      <c r="M64" s="16"/>
      <c r="N64" s="16">
        <f t="shared" si="2"/>
        <v>0</v>
      </c>
      <c r="O64" s="16" t="e">
        <f t="shared" si="3"/>
        <v>#N/A</v>
      </c>
      <c r="P64" s="16">
        <v>6.9444444444444397E-3</v>
      </c>
      <c r="Q64" s="16"/>
      <c r="R64" s="16">
        <f t="shared" si="4"/>
        <v>-6.9444444444444397E-3</v>
      </c>
      <c r="S64" s="16"/>
      <c r="T64" s="16" t="e">
        <f>VLOOKUP(E64,'[2]21-3-2026'!E$3:T$35,16,FALSE)</f>
        <v>#N/A</v>
      </c>
      <c r="U64" s="16"/>
      <c r="V64" s="16" t="e">
        <f t="shared" si="5"/>
        <v>#N/A</v>
      </c>
      <c r="W64" s="16"/>
      <c r="X64" s="16"/>
      <c r="Y64" s="16"/>
      <c r="Z64" s="16">
        <f t="shared" si="6"/>
        <v>0</v>
      </c>
      <c r="AA64" s="16">
        <f t="shared" si="0"/>
        <v>0</v>
      </c>
      <c r="AB64" s="16"/>
      <c r="AC64" s="17"/>
      <c r="AD64" s="51"/>
    </row>
    <row r="65" spans="1:30" ht="19.5" thickBot="1" x14ac:dyDescent="0.3">
      <c r="A65" s="14">
        <v>30</v>
      </c>
      <c r="B65" s="15"/>
      <c r="C65" s="15" t="e">
        <f>VLOOKUP(B65,داتا!$B$3:$D$107,2,FALSE)</f>
        <v>#N/A</v>
      </c>
      <c r="D65" s="34" t="e">
        <f>VLOOKUP(B65,داتا!$B$3:$D$107,3,FALSE)</f>
        <v>#N/A</v>
      </c>
      <c r="E65" s="15"/>
      <c r="F65" s="15"/>
      <c r="G65" s="16">
        <v>0.25</v>
      </c>
      <c r="H65" s="16" t="e">
        <f t="shared" si="8"/>
        <v>#N/A</v>
      </c>
      <c r="I65" s="16" t="e">
        <f t="shared" si="1"/>
        <v>#N/A</v>
      </c>
      <c r="J65" s="16"/>
      <c r="K65" s="16"/>
      <c r="L65" s="16"/>
      <c r="M65" s="16"/>
      <c r="N65" s="16">
        <f t="shared" si="2"/>
        <v>0</v>
      </c>
      <c r="O65" s="16" t="e">
        <f t="shared" si="3"/>
        <v>#N/A</v>
      </c>
      <c r="P65" s="16">
        <v>6.9444444444444397E-3</v>
      </c>
      <c r="Q65" s="16"/>
      <c r="R65" s="16">
        <f t="shared" si="4"/>
        <v>-6.9444444444444397E-3</v>
      </c>
      <c r="S65" s="16"/>
      <c r="T65" s="16" t="e">
        <f>VLOOKUP(E65,'[2]21-3-2026'!E$3:T$35,16,FALSE)</f>
        <v>#N/A</v>
      </c>
      <c r="U65" s="16"/>
      <c r="V65" s="16" t="e">
        <f t="shared" si="5"/>
        <v>#N/A</v>
      </c>
      <c r="W65" s="16"/>
      <c r="X65" s="16"/>
      <c r="Y65" s="16"/>
      <c r="Z65" s="16">
        <f t="shared" si="6"/>
        <v>0</v>
      </c>
      <c r="AA65" s="16">
        <f t="shared" si="0"/>
        <v>0</v>
      </c>
      <c r="AB65" s="16"/>
      <c r="AC65" s="17"/>
      <c r="AD65" s="51"/>
    </row>
    <row r="66" spans="1:30" ht="20.25" customHeight="1" thickBot="1" x14ac:dyDescent="0.3">
      <c r="A66" s="14">
        <v>31</v>
      </c>
      <c r="B66" s="15"/>
      <c r="C66" s="15" t="e">
        <f>VLOOKUP(B66,داتا!$B$3:$D$107,2,FALSE)</f>
        <v>#N/A</v>
      </c>
      <c r="D66" s="34" t="e">
        <f>VLOOKUP(B66,داتا!$B$3:$D$107,3,FALSE)</f>
        <v>#N/A</v>
      </c>
      <c r="E66" s="15"/>
      <c r="F66" s="15"/>
      <c r="G66" s="16">
        <v>0.25</v>
      </c>
      <c r="H66" s="16" t="e">
        <f t="shared" si="8"/>
        <v>#N/A</v>
      </c>
      <c r="I66" s="16" t="e">
        <f t="shared" si="1"/>
        <v>#N/A</v>
      </c>
      <c r="J66" s="16"/>
      <c r="K66" s="16"/>
      <c r="L66" s="16"/>
      <c r="M66" s="16"/>
      <c r="N66" s="16">
        <f t="shared" si="2"/>
        <v>0</v>
      </c>
      <c r="O66" s="16" t="e">
        <f t="shared" si="3"/>
        <v>#N/A</v>
      </c>
      <c r="P66" s="16">
        <v>6.9444444444444397E-3</v>
      </c>
      <c r="Q66" s="16"/>
      <c r="R66" s="16">
        <f t="shared" si="4"/>
        <v>-6.9444444444444397E-3</v>
      </c>
      <c r="S66" s="16"/>
      <c r="T66" s="16" t="e">
        <f>VLOOKUP(E66,'[2]21-3-2026'!E$3:T$35,16,FALSE)</f>
        <v>#N/A</v>
      </c>
      <c r="U66" s="16"/>
      <c r="V66" s="16" t="e">
        <f t="shared" si="5"/>
        <v>#N/A</v>
      </c>
      <c r="W66" s="16"/>
      <c r="X66" s="16"/>
      <c r="Y66" s="16"/>
      <c r="Z66" s="16">
        <f t="shared" si="6"/>
        <v>0</v>
      </c>
      <c r="AA66" s="16">
        <f t="shared" si="0"/>
        <v>0</v>
      </c>
      <c r="AB66" s="16"/>
      <c r="AC66" s="19"/>
      <c r="AD66" s="51"/>
    </row>
    <row r="67" spans="1:30" ht="19.5" customHeight="1" thickBot="1" x14ac:dyDescent="0.3">
      <c r="A67" s="20">
        <v>32</v>
      </c>
      <c r="B67" s="21"/>
      <c r="C67" s="21" t="e">
        <f>VLOOKUP(B67,داتا!$B$3:$D$107,2,FALSE)</f>
        <v>#N/A</v>
      </c>
      <c r="D67" s="35" t="e">
        <f>VLOOKUP(B67,داتا!$B$3:$D$107,3,FALSE)</f>
        <v>#N/A</v>
      </c>
      <c r="E67" s="21"/>
      <c r="F67" s="21"/>
      <c r="G67" s="22">
        <v>0.25</v>
      </c>
      <c r="H67" s="22" t="e">
        <f t="shared" si="8"/>
        <v>#N/A</v>
      </c>
      <c r="I67" s="22" t="e">
        <f t="shared" si="1"/>
        <v>#N/A</v>
      </c>
      <c r="J67" s="22"/>
      <c r="K67" s="22"/>
      <c r="L67" s="22"/>
      <c r="M67" s="22"/>
      <c r="N67" s="22">
        <f t="shared" si="2"/>
        <v>0</v>
      </c>
      <c r="O67" s="22" t="e">
        <f t="shared" si="3"/>
        <v>#N/A</v>
      </c>
      <c r="P67" s="22">
        <v>6.9444444444444397E-3</v>
      </c>
      <c r="Q67" s="22"/>
      <c r="R67" s="22">
        <f t="shared" si="4"/>
        <v>-6.9444444444444397E-3</v>
      </c>
      <c r="S67" s="22"/>
      <c r="T67" s="22" t="e">
        <f>VLOOKUP(E67,'[2]21-3-2026'!E$3:T$35,16,FALSE)</f>
        <v>#N/A</v>
      </c>
      <c r="U67" s="22"/>
      <c r="V67" s="22" t="e">
        <f t="shared" si="5"/>
        <v>#N/A</v>
      </c>
      <c r="W67" s="22"/>
      <c r="X67" s="22"/>
      <c r="Y67" s="22"/>
      <c r="Z67" s="22">
        <f t="shared" si="6"/>
        <v>0</v>
      </c>
      <c r="AA67" s="22">
        <f t="shared" ref="AA67:AA99" si="9">Z67-W67</f>
        <v>0</v>
      </c>
      <c r="AB67" s="22"/>
      <c r="AC67" s="23"/>
      <c r="AD67" s="52"/>
    </row>
    <row r="68" spans="1:30" ht="20.25" thickTop="1" thickBot="1" x14ac:dyDescent="0.3">
      <c r="A68" s="10">
        <v>1</v>
      </c>
      <c r="B68" s="11"/>
      <c r="C68" s="11" t="e">
        <f>VLOOKUP(B68,داتا!$B$3:$D$107,2,FALSE)</f>
        <v>#N/A</v>
      </c>
      <c r="D68" s="33" t="e">
        <f>VLOOKUP(B68,داتا!$B$3:$D$107,3,FALSE)</f>
        <v>#N/A</v>
      </c>
      <c r="E68" s="11"/>
      <c r="F68" s="11"/>
      <c r="G68" s="12">
        <v>8.3333333333333329E-2</v>
      </c>
      <c r="H68" s="12" t="e">
        <f t="shared" si="8"/>
        <v>#N/A</v>
      </c>
      <c r="I68" s="12" t="e">
        <f t="shared" ref="I68:I99" si="10">H68-G68</f>
        <v>#N/A</v>
      </c>
      <c r="J68" s="12"/>
      <c r="K68" s="12"/>
      <c r="L68" s="12"/>
      <c r="M68" s="12"/>
      <c r="N68" s="12">
        <f t="shared" ref="N68:N99" si="11">K68-J68</f>
        <v>0</v>
      </c>
      <c r="O68" s="12" t="e">
        <f t="shared" ref="O68:O99" si="12">N68-D68</f>
        <v>#N/A</v>
      </c>
      <c r="P68" s="12">
        <v>6.9444444444444397E-3</v>
      </c>
      <c r="Q68" s="12"/>
      <c r="R68" s="12">
        <f t="shared" ref="R68:R99" si="13">Q68-P68-K68</f>
        <v>-6.9444444444444397E-3</v>
      </c>
      <c r="S68" s="12"/>
      <c r="T68" s="12" t="e">
        <f>VLOOKUP(E68,'[2]21-3-2026'!E$3:T$35,16,FALSE)</f>
        <v>#N/A</v>
      </c>
      <c r="U68" s="12"/>
      <c r="V68" s="12" t="e">
        <f t="shared" ref="V68:V99" si="14">U68-T68-S68</f>
        <v>#N/A</v>
      </c>
      <c r="W68" s="12"/>
      <c r="X68" s="12"/>
      <c r="Y68" s="12"/>
      <c r="Z68" s="12">
        <f t="shared" ref="Z68:Z99" si="15">Y68-X68</f>
        <v>0</v>
      </c>
      <c r="AA68" s="12">
        <f t="shared" si="9"/>
        <v>0</v>
      </c>
      <c r="AB68" s="12"/>
      <c r="AC68" s="13"/>
      <c r="AD68" s="53" t="s">
        <v>116</v>
      </c>
    </row>
    <row r="69" spans="1:30" ht="19.5" thickBot="1" x14ac:dyDescent="0.3">
      <c r="A69" s="14">
        <v>2</v>
      </c>
      <c r="B69" s="15"/>
      <c r="C69" s="15" t="e">
        <f>VLOOKUP(B69,داتا!$B$3:$D$107,2,FALSE)</f>
        <v>#N/A</v>
      </c>
      <c r="D69" s="34" t="e">
        <f>VLOOKUP(B69,داتا!$B$3:$D$107,3,FALSE)</f>
        <v>#N/A</v>
      </c>
      <c r="E69" s="15"/>
      <c r="F69" s="15"/>
      <c r="G69" s="16">
        <v>8.3333333333333329E-2</v>
      </c>
      <c r="H69" s="16" t="e">
        <f t="shared" ref="H69:H84" si="16">VLOOKUP(G69,$F$3:$I$35,2,FALSE)</f>
        <v>#N/A</v>
      </c>
      <c r="I69" s="16" t="e">
        <f t="shared" si="10"/>
        <v>#N/A</v>
      </c>
      <c r="J69" s="16"/>
      <c r="K69" s="16"/>
      <c r="L69" s="16"/>
      <c r="M69" s="16"/>
      <c r="N69" s="16">
        <f t="shared" si="11"/>
        <v>0</v>
      </c>
      <c r="O69" s="16" t="e">
        <f t="shared" si="12"/>
        <v>#N/A</v>
      </c>
      <c r="P69" s="16">
        <v>6.9444444444444397E-3</v>
      </c>
      <c r="Q69" s="16"/>
      <c r="R69" s="16">
        <f t="shared" si="13"/>
        <v>-6.9444444444444397E-3</v>
      </c>
      <c r="S69" s="16"/>
      <c r="T69" s="16" t="e">
        <f>VLOOKUP(E69,'[2]21-3-2026'!E$3:T$35,16,FALSE)</f>
        <v>#N/A</v>
      </c>
      <c r="U69" s="16"/>
      <c r="V69" s="16" t="e">
        <f t="shared" si="14"/>
        <v>#N/A</v>
      </c>
      <c r="W69" s="16"/>
      <c r="X69" s="16"/>
      <c r="Y69" s="16"/>
      <c r="Z69" s="16">
        <f t="shared" si="15"/>
        <v>0</v>
      </c>
      <c r="AA69" s="16">
        <f t="shared" si="9"/>
        <v>0</v>
      </c>
      <c r="AB69" s="16"/>
      <c r="AC69" s="17"/>
      <c r="AD69" s="51"/>
    </row>
    <row r="70" spans="1:30" ht="19.5" thickBot="1" x14ac:dyDescent="0.3">
      <c r="A70" s="14">
        <v>3</v>
      </c>
      <c r="B70" s="15"/>
      <c r="C70" s="15" t="e">
        <f>VLOOKUP(B70,داتا!$B$3:$D$107,2,FALSE)</f>
        <v>#N/A</v>
      </c>
      <c r="D70" s="34" t="e">
        <f>VLOOKUP(B70,داتا!$B$3:$D$107,3,FALSE)</f>
        <v>#N/A</v>
      </c>
      <c r="E70" s="15"/>
      <c r="F70" s="15"/>
      <c r="G70" s="16">
        <v>8.3333333333333329E-2</v>
      </c>
      <c r="H70" s="16" t="e">
        <f t="shared" si="16"/>
        <v>#N/A</v>
      </c>
      <c r="I70" s="16" t="e">
        <f t="shared" si="10"/>
        <v>#N/A</v>
      </c>
      <c r="J70" s="16"/>
      <c r="K70" s="16"/>
      <c r="L70" s="16"/>
      <c r="M70" s="16"/>
      <c r="N70" s="16">
        <f t="shared" si="11"/>
        <v>0</v>
      </c>
      <c r="O70" s="16" t="e">
        <f t="shared" si="12"/>
        <v>#N/A</v>
      </c>
      <c r="P70" s="16">
        <v>6.9444444444444397E-3</v>
      </c>
      <c r="Q70" s="16"/>
      <c r="R70" s="16">
        <f t="shared" si="13"/>
        <v>-6.9444444444444397E-3</v>
      </c>
      <c r="S70" s="16"/>
      <c r="T70" s="16" t="e">
        <f>VLOOKUP(E70,'[2]21-3-2026'!E$3:T$35,16,FALSE)</f>
        <v>#N/A</v>
      </c>
      <c r="U70" s="16"/>
      <c r="V70" s="16" t="e">
        <f t="shared" si="14"/>
        <v>#N/A</v>
      </c>
      <c r="W70" s="16"/>
      <c r="X70" s="16"/>
      <c r="Y70" s="16"/>
      <c r="Z70" s="16">
        <f t="shared" si="15"/>
        <v>0</v>
      </c>
      <c r="AA70" s="16">
        <f t="shared" si="9"/>
        <v>0</v>
      </c>
      <c r="AB70" s="16"/>
      <c r="AC70" s="17"/>
      <c r="AD70" s="51"/>
    </row>
    <row r="71" spans="1:30" ht="19.5" thickBot="1" x14ac:dyDescent="0.3">
      <c r="A71" s="14">
        <v>4</v>
      </c>
      <c r="B71" s="15"/>
      <c r="C71" s="15" t="e">
        <f>VLOOKUP(B71,داتا!$B$3:$D$107,2,FALSE)</f>
        <v>#N/A</v>
      </c>
      <c r="D71" s="34" t="e">
        <f>VLOOKUP(B71,داتا!$B$3:$D$107,3,FALSE)</f>
        <v>#N/A</v>
      </c>
      <c r="E71" s="15"/>
      <c r="F71" s="15"/>
      <c r="G71" s="16">
        <v>8.3333333333333329E-2</v>
      </c>
      <c r="H71" s="16" t="e">
        <f t="shared" si="16"/>
        <v>#N/A</v>
      </c>
      <c r="I71" s="16" t="e">
        <f t="shared" si="10"/>
        <v>#N/A</v>
      </c>
      <c r="J71" s="16"/>
      <c r="K71" s="16"/>
      <c r="L71" s="16"/>
      <c r="M71" s="16"/>
      <c r="N71" s="16">
        <f t="shared" si="11"/>
        <v>0</v>
      </c>
      <c r="O71" s="16" t="e">
        <f t="shared" si="12"/>
        <v>#N/A</v>
      </c>
      <c r="P71" s="16">
        <v>6.9444444444444397E-3</v>
      </c>
      <c r="Q71" s="16"/>
      <c r="R71" s="16">
        <f t="shared" si="13"/>
        <v>-6.9444444444444397E-3</v>
      </c>
      <c r="S71" s="16"/>
      <c r="T71" s="16" t="e">
        <f>VLOOKUP(E71,'[2]21-3-2026'!E$3:T$35,16,FALSE)</f>
        <v>#N/A</v>
      </c>
      <c r="U71" s="16"/>
      <c r="V71" s="16" t="e">
        <f t="shared" si="14"/>
        <v>#N/A</v>
      </c>
      <c r="W71" s="16"/>
      <c r="X71" s="16"/>
      <c r="Y71" s="16"/>
      <c r="Z71" s="16">
        <f t="shared" si="15"/>
        <v>0</v>
      </c>
      <c r="AA71" s="16">
        <f t="shared" si="9"/>
        <v>0</v>
      </c>
      <c r="AB71" s="16"/>
      <c r="AC71" s="17"/>
      <c r="AD71" s="51"/>
    </row>
    <row r="72" spans="1:30" ht="19.5" thickBot="1" x14ac:dyDescent="0.3">
      <c r="A72" s="14">
        <v>5</v>
      </c>
      <c r="B72" s="15"/>
      <c r="C72" s="15" t="e">
        <f>VLOOKUP(B72,داتا!$B$3:$D$107,2,FALSE)</f>
        <v>#N/A</v>
      </c>
      <c r="D72" s="34" t="e">
        <f>VLOOKUP(B72,داتا!$B$3:$D$107,3,FALSE)</f>
        <v>#N/A</v>
      </c>
      <c r="E72" s="15"/>
      <c r="F72" s="15"/>
      <c r="G72" s="16">
        <v>8.3333333333333329E-2</v>
      </c>
      <c r="H72" s="16" t="e">
        <f t="shared" si="16"/>
        <v>#N/A</v>
      </c>
      <c r="I72" s="16" t="e">
        <f t="shared" si="10"/>
        <v>#N/A</v>
      </c>
      <c r="J72" s="16"/>
      <c r="K72" s="16"/>
      <c r="L72" s="16"/>
      <c r="M72" s="16"/>
      <c r="N72" s="16">
        <f t="shared" si="11"/>
        <v>0</v>
      </c>
      <c r="O72" s="16" t="e">
        <f t="shared" si="12"/>
        <v>#N/A</v>
      </c>
      <c r="P72" s="16">
        <v>6.9444444444444397E-3</v>
      </c>
      <c r="Q72" s="16"/>
      <c r="R72" s="16">
        <f t="shared" si="13"/>
        <v>-6.9444444444444397E-3</v>
      </c>
      <c r="S72" s="16"/>
      <c r="T72" s="16" t="e">
        <f>VLOOKUP(E72,'[2]21-3-2026'!E$3:T$35,16,FALSE)</f>
        <v>#N/A</v>
      </c>
      <c r="U72" s="16"/>
      <c r="V72" s="16" t="e">
        <f t="shared" si="14"/>
        <v>#N/A</v>
      </c>
      <c r="W72" s="16"/>
      <c r="X72" s="16"/>
      <c r="Y72" s="16"/>
      <c r="Z72" s="16">
        <f t="shared" si="15"/>
        <v>0</v>
      </c>
      <c r="AA72" s="16">
        <f t="shared" si="9"/>
        <v>0</v>
      </c>
      <c r="AB72" s="16"/>
      <c r="AC72" s="17"/>
      <c r="AD72" s="51"/>
    </row>
    <row r="73" spans="1:30" ht="19.5" thickBot="1" x14ac:dyDescent="0.3">
      <c r="A73" s="14">
        <v>6</v>
      </c>
      <c r="B73" s="15"/>
      <c r="C73" s="15" t="e">
        <f>VLOOKUP(B73,داتا!$B$3:$D$107,2,FALSE)</f>
        <v>#N/A</v>
      </c>
      <c r="D73" s="34" t="e">
        <f>VLOOKUP(B73,داتا!$B$3:$D$107,3,FALSE)</f>
        <v>#N/A</v>
      </c>
      <c r="E73" s="15"/>
      <c r="F73" s="15"/>
      <c r="G73" s="16">
        <v>8.3333333333333329E-2</v>
      </c>
      <c r="H73" s="16" t="e">
        <f t="shared" si="16"/>
        <v>#N/A</v>
      </c>
      <c r="I73" s="16" t="e">
        <f t="shared" si="10"/>
        <v>#N/A</v>
      </c>
      <c r="J73" s="16"/>
      <c r="K73" s="16"/>
      <c r="L73" s="16"/>
      <c r="M73" s="16"/>
      <c r="N73" s="16">
        <f t="shared" si="11"/>
        <v>0</v>
      </c>
      <c r="O73" s="16" t="e">
        <f t="shared" si="12"/>
        <v>#N/A</v>
      </c>
      <c r="P73" s="16">
        <v>6.9444444444444397E-3</v>
      </c>
      <c r="Q73" s="16"/>
      <c r="R73" s="16">
        <f t="shared" si="13"/>
        <v>-6.9444444444444397E-3</v>
      </c>
      <c r="S73" s="16"/>
      <c r="T73" s="16" t="e">
        <f>VLOOKUP(E73,'[2]21-3-2026'!E$3:T$35,16,FALSE)</f>
        <v>#N/A</v>
      </c>
      <c r="U73" s="16"/>
      <c r="V73" s="16" t="e">
        <f t="shared" si="14"/>
        <v>#N/A</v>
      </c>
      <c r="W73" s="16"/>
      <c r="X73" s="16"/>
      <c r="Y73" s="16"/>
      <c r="Z73" s="16">
        <f t="shared" si="15"/>
        <v>0</v>
      </c>
      <c r="AA73" s="16">
        <f t="shared" si="9"/>
        <v>0</v>
      </c>
      <c r="AB73" s="16"/>
      <c r="AC73" s="17"/>
      <c r="AD73" s="51"/>
    </row>
    <row r="74" spans="1:30" ht="19.5" thickBot="1" x14ac:dyDescent="0.3">
      <c r="A74" s="14">
        <v>7</v>
      </c>
      <c r="B74" s="15"/>
      <c r="C74" s="15" t="e">
        <f>VLOOKUP(B74,داتا!$B$3:$D$107,2,FALSE)</f>
        <v>#N/A</v>
      </c>
      <c r="D74" s="34" t="e">
        <f>VLOOKUP(B74,داتا!$B$3:$D$107,3,FALSE)</f>
        <v>#N/A</v>
      </c>
      <c r="E74" s="15"/>
      <c r="F74" s="15"/>
      <c r="G74" s="16">
        <v>8.3333333333333329E-2</v>
      </c>
      <c r="H74" s="16" t="e">
        <f t="shared" si="16"/>
        <v>#N/A</v>
      </c>
      <c r="I74" s="16" t="e">
        <f t="shared" si="10"/>
        <v>#N/A</v>
      </c>
      <c r="J74" s="16"/>
      <c r="K74" s="16"/>
      <c r="L74" s="16"/>
      <c r="M74" s="16"/>
      <c r="N74" s="16">
        <f t="shared" si="11"/>
        <v>0</v>
      </c>
      <c r="O74" s="16" t="e">
        <f t="shared" si="12"/>
        <v>#N/A</v>
      </c>
      <c r="P74" s="16">
        <v>6.9444444444444397E-3</v>
      </c>
      <c r="Q74" s="16"/>
      <c r="R74" s="16">
        <f t="shared" si="13"/>
        <v>-6.9444444444444397E-3</v>
      </c>
      <c r="S74" s="16"/>
      <c r="T74" s="16" t="e">
        <f>VLOOKUP(E74,'[2]21-3-2026'!E$3:T$35,16,FALSE)</f>
        <v>#N/A</v>
      </c>
      <c r="U74" s="16"/>
      <c r="V74" s="16" t="e">
        <f t="shared" si="14"/>
        <v>#N/A</v>
      </c>
      <c r="W74" s="16"/>
      <c r="X74" s="16"/>
      <c r="Y74" s="16"/>
      <c r="Z74" s="16">
        <f t="shared" si="15"/>
        <v>0</v>
      </c>
      <c r="AA74" s="16">
        <f t="shared" si="9"/>
        <v>0</v>
      </c>
      <c r="AB74" s="16"/>
      <c r="AC74" s="17"/>
      <c r="AD74" s="51"/>
    </row>
    <row r="75" spans="1:30" ht="19.5" thickBot="1" x14ac:dyDescent="0.3">
      <c r="A75" s="14">
        <v>8</v>
      </c>
      <c r="B75" s="15"/>
      <c r="C75" s="15" t="e">
        <f>VLOOKUP(B75,داتا!$B$3:$D$107,2,FALSE)</f>
        <v>#N/A</v>
      </c>
      <c r="D75" s="34" t="e">
        <f>VLOOKUP(B75,داتا!$B$3:$D$107,3,FALSE)</f>
        <v>#N/A</v>
      </c>
      <c r="E75" s="15"/>
      <c r="F75" s="15"/>
      <c r="G75" s="16">
        <v>8.3333333333333329E-2</v>
      </c>
      <c r="H75" s="16" t="e">
        <f t="shared" si="16"/>
        <v>#N/A</v>
      </c>
      <c r="I75" s="16" t="e">
        <f t="shared" si="10"/>
        <v>#N/A</v>
      </c>
      <c r="J75" s="16"/>
      <c r="K75" s="16"/>
      <c r="L75" s="16"/>
      <c r="M75" s="16"/>
      <c r="N75" s="16">
        <f t="shared" si="11"/>
        <v>0</v>
      </c>
      <c r="O75" s="16" t="e">
        <f t="shared" si="12"/>
        <v>#N/A</v>
      </c>
      <c r="P75" s="16">
        <v>6.9444444444444397E-3</v>
      </c>
      <c r="Q75" s="16"/>
      <c r="R75" s="16">
        <f t="shared" si="13"/>
        <v>-6.9444444444444397E-3</v>
      </c>
      <c r="S75" s="16"/>
      <c r="T75" s="16" t="e">
        <f>VLOOKUP(E75,'[2]21-3-2026'!E$3:T$35,16,FALSE)</f>
        <v>#N/A</v>
      </c>
      <c r="U75" s="16"/>
      <c r="V75" s="16" t="e">
        <f t="shared" si="14"/>
        <v>#N/A</v>
      </c>
      <c r="W75" s="16"/>
      <c r="X75" s="16"/>
      <c r="Y75" s="16"/>
      <c r="Z75" s="16">
        <f t="shared" si="15"/>
        <v>0</v>
      </c>
      <c r="AA75" s="16">
        <f t="shared" si="9"/>
        <v>0</v>
      </c>
      <c r="AB75" s="16"/>
      <c r="AC75" s="17"/>
      <c r="AD75" s="51"/>
    </row>
    <row r="76" spans="1:30" ht="19.5" thickBot="1" x14ac:dyDescent="0.3">
      <c r="A76" s="14">
        <v>9</v>
      </c>
      <c r="B76" s="15"/>
      <c r="C76" s="15" t="e">
        <f>VLOOKUP(B76,داتا!$B$3:$D$107,2,FALSE)</f>
        <v>#N/A</v>
      </c>
      <c r="D76" s="34" t="e">
        <f>VLOOKUP(B76,داتا!$B$3:$D$107,3,FALSE)</f>
        <v>#N/A</v>
      </c>
      <c r="E76" s="16"/>
      <c r="F76" s="15"/>
      <c r="G76" s="16">
        <v>8.3333333333333329E-2</v>
      </c>
      <c r="H76" s="16" t="e">
        <f t="shared" si="16"/>
        <v>#N/A</v>
      </c>
      <c r="I76" s="16" t="e">
        <f t="shared" si="10"/>
        <v>#N/A</v>
      </c>
      <c r="J76" s="16"/>
      <c r="K76" s="16"/>
      <c r="L76" s="16"/>
      <c r="M76" s="16"/>
      <c r="N76" s="16">
        <f t="shared" si="11"/>
        <v>0</v>
      </c>
      <c r="O76" s="16" t="e">
        <f t="shared" si="12"/>
        <v>#N/A</v>
      </c>
      <c r="P76" s="16">
        <v>6.9444444444444397E-3</v>
      </c>
      <c r="Q76" s="16"/>
      <c r="R76" s="16">
        <f t="shared" si="13"/>
        <v>-6.9444444444444397E-3</v>
      </c>
      <c r="S76" s="16"/>
      <c r="T76" s="16" t="e">
        <f>VLOOKUP(E76,'[2]21-3-2026'!E$3:T$35,16,FALSE)</f>
        <v>#N/A</v>
      </c>
      <c r="U76" s="16"/>
      <c r="V76" s="16" t="e">
        <f t="shared" si="14"/>
        <v>#N/A</v>
      </c>
      <c r="W76" s="16"/>
      <c r="X76" s="16"/>
      <c r="Y76" s="16"/>
      <c r="Z76" s="16">
        <f t="shared" si="15"/>
        <v>0</v>
      </c>
      <c r="AA76" s="16">
        <f t="shared" si="9"/>
        <v>0</v>
      </c>
      <c r="AB76" s="16"/>
      <c r="AC76" s="17"/>
      <c r="AD76" s="51"/>
    </row>
    <row r="77" spans="1:30" ht="19.5" thickBot="1" x14ac:dyDescent="0.3">
      <c r="A77" s="14">
        <v>10</v>
      </c>
      <c r="B77" s="15"/>
      <c r="C77" s="15" t="e">
        <f>VLOOKUP(B77,داتا!$B$3:$D$107,2,FALSE)</f>
        <v>#N/A</v>
      </c>
      <c r="D77" s="34" t="e">
        <f>VLOOKUP(B77,داتا!$B$3:$D$107,3,FALSE)</f>
        <v>#N/A</v>
      </c>
      <c r="E77" s="15"/>
      <c r="F77" s="15"/>
      <c r="G77" s="16">
        <v>8.3333333333333329E-2</v>
      </c>
      <c r="H77" s="16" t="e">
        <f t="shared" si="16"/>
        <v>#N/A</v>
      </c>
      <c r="I77" s="16" t="e">
        <f t="shared" si="10"/>
        <v>#N/A</v>
      </c>
      <c r="J77" s="16"/>
      <c r="K77" s="16"/>
      <c r="L77" s="16"/>
      <c r="M77" s="16"/>
      <c r="N77" s="16">
        <f t="shared" si="11"/>
        <v>0</v>
      </c>
      <c r="O77" s="16" t="e">
        <f t="shared" si="12"/>
        <v>#N/A</v>
      </c>
      <c r="P77" s="16">
        <v>6.9444444444444397E-3</v>
      </c>
      <c r="Q77" s="16"/>
      <c r="R77" s="16">
        <f t="shared" si="13"/>
        <v>-6.9444444444444397E-3</v>
      </c>
      <c r="S77" s="16"/>
      <c r="T77" s="16" t="e">
        <f>VLOOKUP(E77,'[2]21-3-2026'!E$3:T$35,16,FALSE)</f>
        <v>#N/A</v>
      </c>
      <c r="U77" s="16"/>
      <c r="V77" s="16" t="e">
        <f t="shared" si="14"/>
        <v>#N/A</v>
      </c>
      <c r="W77" s="16"/>
      <c r="X77" s="16"/>
      <c r="Y77" s="16"/>
      <c r="Z77" s="16">
        <f t="shared" si="15"/>
        <v>0</v>
      </c>
      <c r="AA77" s="16">
        <f t="shared" si="9"/>
        <v>0</v>
      </c>
      <c r="AB77" s="16"/>
      <c r="AC77" s="17"/>
      <c r="AD77" s="51"/>
    </row>
    <row r="78" spans="1:30" ht="19.5" thickBot="1" x14ac:dyDescent="0.3">
      <c r="A78" s="14">
        <v>11</v>
      </c>
      <c r="B78" s="15"/>
      <c r="C78" s="15" t="e">
        <f>VLOOKUP(B78,داتا!$B$3:$D$107,2,FALSE)</f>
        <v>#N/A</v>
      </c>
      <c r="D78" s="34" t="e">
        <f>VLOOKUP(B78,داتا!$B$3:$D$107,3,FALSE)</f>
        <v>#N/A</v>
      </c>
      <c r="E78" s="15"/>
      <c r="F78" s="15"/>
      <c r="G78" s="16">
        <v>8.3333333333333329E-2</v>
      </c>
      <c r="H78" s="16" t="e">
        <f t="shared" si="16"/>
        <v>#N/A</v>
      </c>
      <c r="I78" s="16" t="e">
        <f t="shared" si="10"/>
        <v>#N/A</v>
      </c>
      <c r="J78" s="16"/>
      <c r="K78" s="16"/>
      <c r="L78" s="16"/>
      <c r="M78" s="16"/>
      <c r="N78" s="16">
        <f t="shared" si="11"/>
        <v>0</v>
      </c>
      <c r="O78" s="16" t="e">
        <f t="shared" si="12"/>
        <v>#N/A</v>
      </c>
      <c r="P78" s="16">
        <v>6.9444444444444397E-3</v>
      </c>
      <c r="Q78" s="16"/>
      <c r="R78" s="16">
        <f t="shared" si="13"/>
        <v>-6.9444444444444397E-3</v>
      </c>
      <c r="S78" s="16"/>
      <c r="T78" s="16" t="e">
        <f>VLOOKUP(E78,'[2]21-3-2026'!E$3:T$35,16,FALSE)</f>
        <v>#N/A</v>
      </c>
      <c r="U78" s="16"/>
      <c r="V78" s="16" t="e">
        <f t="shared" si="14"/>
        <v>#N/A</v>
      </c>
      <c r="W78" s="16"/>
      <c r="X78" s="16"/>
      <c r="Y78" s="16"/>
      <c r="Z78" s="16">
        <f t="shared" si="15"/>
        <v>0</v>
      </c>
      <c r="AA78" s="16">
        <f t="shared" si="9"/>
        <v>0</v>
      </c>
      <c r="AB78" s="16"/>
      <c r="AC78" s="17"/>
      <c r="AD78" s="51"/>
    </row>
    <row r="79" spans="1:30" ht="19.5" thickBot="1" x14ac:dyDescent="0.3">
      <c r="A79" s="14">
        <v>12</v>
      </c>
      <c r="B79" s="15"/>
      <c r="C79" s="15" t="e">
        <f>VLOOKUP(B79,داتا!$B$3:$D$107,2,FALSE)</f>
        <v>#N/A</v>
      </c>
      <c r="D79" s="34" t="e">
        <f>VLOOKUP(B79,داتا!$B$3:$D$107,3,FALSE)</f>
        <v>#N/A</v>
      </c>
      <c r="E79" s="15"/>
      <c r="F79" s="15"/>
      <c r="G79" s="16">
        <v>8.3333333333333329E-2</v>
      </c>
      <c r="H79" s="16" t="e">
        <f t="shared" si="16"/>
        <v>#N/A</v>
      </c>
      <c r="I79" s="16" t="e">
        <f t="shared" si="10"/>
        <v>#N/A</v>
      </c>
      <c r="J79" s="16"/>
      <c r="K79" s="16"/>
      <c r="L79" s="16"/>
      <c r="M79" s="16"/>
      <c r="N79" s="16">
        <f t="shared" si="11"/>
        <v>0</v>
      </c>
      <c r="O79" s="16" t="e">
        <f t="shared" si="12"/>
        <v>#N/A</v>
      </c>
      <c r="P79" s="16">
        <v>6.9444444444444397E-3</v>
      </c>
      <c r="Q79" s="16"/>
      <c r="R79" s="16">
        <f t="shared" si="13"/>
        <v>-6.9444444444444397E-3</v>
      </c>
      <c r="S79" s="16"/>
      <c r="T79" s="16" t="e">
        <f>VLOOKUP(E79,'[2]21-3-2026'!E$3:T$35,16,FALSE)</f>
        <v>#N/A</v>
      </c>
      <c r="U79" s="16"/>
      <c r="V79" s="16" t="e">
        <f t="shared" si="14"/>
        <v>#N/A</v>
      </c>
      <c r="W79" s="16"/>
      <c r="X79" s="16"/>
      <c r="Y79" s="16"/>
      <c r="Z79" s="16">
        <f t="shared" si="15"/>
        <v>0</v>
      </c>
      <c r="AA79" s="16">
        <f t="shared" si="9"/>
        <v>0</v>
      </c>
      <c r="AB79" s="16"/>
      <c r="AC79" s="17"/>
      <c r="AD79" s="51"/>
    </row>
    <row r="80" spans="1:30" ht="19.5" thickBot="1" x14ac:dyDescent="0.3">
      <c r="A80" s="14">
        <v>13</v>
      </c>
      <c r="B80" s="15"/>
      <c r="C80" s="15" t="e">
        <f>VLOOKUP(B80,داتا!$B$3:$D$107,2,FALSE)</f>
        <v>#N/A</v>
      </c>
      <c r="D80" s="34" t="e">
        <f>VLOOKUP(B80,داتا!$B$3:$D$107,3,FALSE)</f>
        <v>#N/A</v>
      </c>
      <c r="E80" s="15"/>
      <c r="F80" s="15"/>
      <c r="G80" s="16">
        <v>8.3333333333333329E-2</v>
      </c>
      <c r="H80" s="16" t="e">
        <f t="shared" si="16"/>
        <v>#N/A</v>
      </c>
      <c r="I80" s="16" t="e">
        <f t="shared" si="10"/>
        <v>#N/A</v>
      </c>
      <c r="J80" s="16"/>
      <c r="K80" s="16"/>
      <c r="L80" s="16"/>
      <c r="M80" s="16"/>
      <c r="N80" s="16">
        <f t="shared" si="11"/>
        <v>0</v>
      </c>
      <c r="O80" s="16" t="e">
        <f t="shared" si="12"/>
        <v>#N/A</v>
      </c>
      <c r="P80" s="16">
        <v>6.9444444444444397E-3</v>
      </c>
      <c r="Q80" s="16"/>
      <c r="R80" s="16">
        <f t="shared" si="13"/>
        <v>-6.9444444444444397E-3</v>
      </c>
      <c r="S80" s="16"/>
      <c r="T80" s="16" t="e">
        <f>VLOOKUP(E80,'[2]21-3-2026'!E$3:T$35,16,FALSE)</f>
        <v>#N/A</v>
      </c>
      <c r="U80" s="16"/>
      <c r="V80" s="16" t="e">
        <f t="shared" si="14"/>
        <v>#N/A</v>
      </c>
      <c r="W80" s="16"/>
      <c r="X80" s="16"/>
      <c r="Y80" s="16"/>
      <c r="Z80" s="16">
        <f t="shared" si="15"/>
        <v>0</v>
      </c>
      <c r="AA80" s="16">
        <f t="shared" si="9"/>
        <v>0</v>
      </c>
      <c r="AB80" s="16"/>
      <c r="AC80" s="17"/>
      <c r="AD80" s="51"/>
    </row>
    <row r="81" spans="1:30" ht="19.5" thickBot="1" x14ac:dyDescent="0.3">
      <c r="A81" s="14">
        <v>14</v>
      </c>
      <c r="B81" s="15"/>
      <c r="C81" s="15" t="e">
        <f>VLOOKUP(B81,داتا!$B$3:$D$107,2,FALSE)</f>
        <v>#N/A</v>
      </c>
      <c r="D81" s="34" t="e">
        <f>VLOOKUP(B81,داتا!$B$3:$D$107,3,FALSE)</f>
        <v>#N/A</v>
      </c>
      <c r="E81" s="15"/>
      <c r="F81" s="15"/>
      <c r="G81" s="16">
        <v>8.3333333333333329E-2</v>
      </c>
      <c r="H81" s="16" t="e">
        <f t="shared" si="16"/>
        <v>#N/A</v>
      </c>
      <c r="I81" s="16" t="e">
        <f t="shared" si="10"/>
        <v>#N/A</v>
      </c>
      <c r="J81" s="16"/>
      <c r="K81" s="16"/>
      <c r="L81" s="16"/>
      <c r="M81" s="16"/>
      <c r="N81" s="16">
        <f t="shared" si="11"/>
        <v>0</v>
      </c>
      <c r="O81" s="16" t="e">
        <f t="shared" si="12"/>
        <v>#N/A</v>
      </c>
      <c r="P81" s="16">
        <v>6.9444444444444397E-3</v>
      </c>
      <c r="Q81" s="16"/>
      <c r="R81" s="16">
        <f t="shared" si="13"/>
        <v>-6.9444444444444397E-3</v>
      </c>
      <c r="S81" s="16"/>
      <c r="T81" s="16" t="e">
        <f>VLOOKUP(E81,'[2]21-3-2026'!E$3:T$35,16,FALSE)</f>
        <v>#N/A</v>
      </c>
      <c r="U81" s="16"/>
      <c r="V81" s="16" t="e">
        <f t="shared" si="14"/>
        <v>#N/A</v>
      </c>
      <c r="W81" s="16"/>
      <c r="X81" s="16"/>
      <c r="Y81" s="16"/>
      <c r="Z81" s="16">
        <f t="shared" si="15"/>
        <v>0</v>
      </c>
      <c r="AA81" s="16">
        <f t="shared" si="9"/>
        <v>0</v>
      </c>
      <c r="AB81" s="16"/>
      <c r="AC81" s="17"/>
      <c r="AD81" s="51"/>
    </row>
    <row r="82" spans="1:30" ht="19.5" thickBot="1" x14ac:dyDescent="0.3">
      <c r="A82" s="14">
        <v>15</v>
      </c>
      <c r="B82" s="15"/>
      <c r="C82" s="15" t="e">
        <f>VLOOKUP(B82,داتا!$B$3:$D$107,2,FALSE)</f>
        <v>#N/A</v>
      </c>
      <c r="D82" s="34" t="e">
        <f>VLOOKUP(B82,داتا!$B$3:$D$107,3,FALSE)</f>
        <v>#N/A</v>
      </c>
      <c r="E82" s="15"/>
      <c r="F82" s="15"/>
      <c r="G82" s="16">
        <v>8.3333333333333329E-2</v>
      </c>
      <c r="H82" s="16" t="e">
        <f t="shared" si="16"/>
        <v>#N/A</v>
      </c>
      <c r="I82" s="16" t="e">
        <f t="shared" si="10"/>
        <v>#N/A</v>
      </c>
      <c r="J82" s="16"/>
      <c r="K82" s="16"/>
      <c r="L82" s="16"/>
      <c r="M82" s="16"/>
      <c r="N82" s="16">
        <f t="shared" si="11"/>
        <v>0</v>
      </c>
      <c r="O82" s="16" t="e">
        <f t="shared" si="12"/>
        <v>#N/A</v>
      </c>
      <c r="P82" s="16">
        <v>6.9444444444444397E-3</v>
      </c>
      <c r="Q82" s="16"/>
      <c r="R82" s="16">
        <f t="shared" si="13"/>
        <v>-6.9444444444444397E-3</v>
      </c>
      <c r="S82" s="16"/>
      <c r="T82" s="16" t="e">
        <f>VLOOKUP(E82,'[2]21-3-2026'!E$3:T$35,16,FALSE)</f>
        <v>#N/A</v>
      </c>
      <c r="U82" s="16"/>
      <c r="V82" s="16" t="e">
        <f t="shared" si="14"/>
        <v>#N/A</v>
      </c>
      <c r="W82" s="16"/>
      <c r="X82" s="16"/>
      <c r="Y82" s="16"/>
      <c r="Z82" s="16">
        <f t="shared" si="15"/>
        <v>0</v>
      </c>
      <c r="AA82" s="16">
        <f t="shared" si="9"/>
        <v>0</v>
      </c>
      <c r="AB82" s="16"/>
      <c r="AC82" s="17"/>
      <c r="AD82" s="51"/>
    </row>
    <row r="83" spans="1:30" ht="19.5" thickBot="1" x14ac:dyDescent="0.3">
      <c r="A83" s="14">
        <v>16</v>
      </c>
      <c r="B83" s="15"/>
      <c r="C83" s="15" t="e">
        <f>VLOOKUP(B83,داتا!$B$3:$D$107,2,FALSE)</f>
        <v>#N/A</v>
      </c>
      <c r="D83" s="34" t="e">
        <f>VLOOKUP(B83,داتا!$B$3:$D$107,3,FALSE)</f>
        <v>#N/A</v>
      </c>
      <c r="E83" s="15"/>
      <c r="F83" s="15"/>
      <c r="G83" s="16">
        <v>8.3333333333333329E-2</v>
      </c>
      <c r="H83" s="16" t="e">
        <f t="shared" si="16"/>
        <v>#N/A</v>
      </c>
      <c r="I83" s="16" t="e">
        <f t="shared" si="10"/>
        <v>#N/A</v>
      </c>
      <c r="J83" s="16"/>
      <c r="K83" s="16"/>
      <c r="L83" s="16"/>
      <c r="M83" s="16"/>
      <c r="N83" s="16">
        <f t="shared" si="11"/>
        <v>0</v>
      </c>
      <c r="O83" s="16" t="e">
        <f t="shared" si="12"/>
        <v>#N/A</v>
      </c>
      <c r="P83" s="16">
        <v>6.9444444444444397E-3</v>
      </c>
      <c r="Q83" s="16"/>
      <c r="R83" s="16">
        <f t="shared" si="13"/>
        <v>-6.9444444444444397E-3</v>
      </c>
      <c r="S83" s="16"/>
      <c r="T83" s="16" t="e">
        <f>VLOOKUP(E83,'[2]21-3-2026'!E$3:T$35,16,FALSE)</f>
        <v>#N/A</v>
      </c>
      <c r="U83" s="16"/>
      <c r="V83" s="16" t="e">
        <f t="shared" si="14"/>
        <v>#N/A</v>
      </c>
      <c r="W83" s="16"/>
      <c r="X83" s="16"/>
      <c r="Y83" s="16"/>
      <c r="Z83" s="16">
        <f t="shared" si="15"/>
        <v>0</v>
      </c>
      <c r="AA83" s="16">
        <f t="shared" si="9"/>
        <v>0</v>
      </c>
      <c r="AB83" s="16"/>
      <c r="AC83" s="17"/>
      <c r="AD83" s="51"/>
    </row>
    <row r="84" spans="1:30" ht="19.5" thickBot="1" x14ac:dyDescent="0.3">
      <c r="A84" s="14">
        <v>17</v>
      </c>
      <c r="B84" s="15"/>
      <c r="C84" s="15" t="e">
        <f>VLOOKUP(B84,داتا!$B$3:$D$107,2,FALSE)</f>
        <v>#N/A</v>
      </c>
      <c r="D84" s="34" t="e">
        <f>VLOOKUP(B84,داتا!$B$3:$D$107,3,FALSE)</f>
        <v>#N/A</v>
      </c>
      <c r="E84" s="15"/>
      <c r="F84" s="15"/>
      <c r="G84" s="16">
        <v>8.3333333333333329E-2</v>
      </c>
      <c r="H84" s="16" t="e">
        <f t="shared" si="16"/>
        <v>#N/A</v>
      </c>
      <c r="I84" s="16" t="e">
        <f t="shared" si="10"/>
        <v>#N/A</v>
      </c>
      <c r="J84" s="16"/>
      <c r="K84" s="16"/>
      <c r="L84" s="16"/>
      <c r="M84" s="16"/>
      <c r="N84" s="16">
        <f t="shared" si="11"/>
        <v>0</v>
      </c>
      <c r="O84" s="16" t="e">
        <f t="shared" si="12"/>
        <v>#N/A</v>
      </c>
      <c r="P84" s="16">
        <v>6.9444444444444397E-3</v>
      </c>
      <c r="Q84" s="16"/>
      <c r="R84" s="16">
        <f t="shared" si="13"/>
        <v>-6.9444444444444397E-3</v>
      </c>
      <c r="S84" s="16"/>
      <c r="T84" s="16" t="e">
        <f>VLOOKUP(E84,'[2]21-3-2026'!E$3:T$35,16,FALSE)</f>
        <v>#N/A</v>
      </c>
      <c r="U84" s="16"/>
      <c r="V84" s="16" t="e">
        <f t="shared" si="14"/>
        <v>#N/A</v>
      </c>
      <c r="W84" s="16"/>
      <c r="X84" s="16"/>
      <c r="Y84" s="16"/>
      <c r="Z84" s="16">
        <f t="shared" si="15"/>
        <v>0</v>
      </c>
      <c r="AA84" s="16">
        <f t="shared" si="9"/>
        <v>0</v>
      </c>
      <c r="AB84" s="16"/>
      <c r="AC84" s="17"/>
      <c r="AD84" s="51"/>
    </row>
    <row r="85" spans="1:30" ht="19.5" thickBot="1" x14ac:dyDescent="0.3">
      <c r="A85" s="14">
        <v>18</v>
      </c>
      <c r="B85" s="15"/>
      <c r="C85" s="15" t="e">
        <f>VLOOKUP(B85,داتا!$B$3:$D$107,2,FALSE)</f>
        <v>#N/A</v>
      </c>
      <c r="D85" s="34" t="e">
        <f>VLOOKUP(B85,داتا!$B$3:$D$107,3,FALSE)</f>
        <v>#N/A</v>
      </c>
      <c r="E85" s="15"/>
      <c r="F85" s="15"/>
      <c r="G85" s="16">
        <v>8.3333333333333329E-2</v>
      </c>
      <c r="H85" s="16" t="e">
        <f t="shared" ref="H85:H99" si="17">VLOOKUP(G85,$F$3:$I$35,2,FALSE)</f>
        <v>#N/A</v>
      </c>
      <c r="I85" s="16" t="e">
        <f t="shared" si="10"/>
        <v>#N/A</v>
      </c>
      <c r="J85" s="16"/>
      <c r="K85" s="16"/>
      <c r="L85" s="16"/>
      <c r="M85" s="16"/>
      <c r="N85" s="16">
        <f t="shared" si="11"/>
        <v>0</v>
      </c>
      <c r="O85" s="16" t="e">
        <f t="shared" si="12"/>
        <v>#N/A</v>
      </c>
      <c r="P85" s="16">
        <v>6.9444444444444397E-3</v>
      </c>
      <c r="Q85" s="16"/>
      <c r="R85" s="16">
        <f t="shared" si="13"/>
        <v>-6.9444444444444397E-3</v>
      </c>
      <c r="S85" s="16"/>
      <c r="T85" s="16" t="e">
        <f>VLOOKUP(E85,'[2]21-3-2026'!E$3:T$35,16,FALSE)</f>
        <v>#N/A</v>
      </c>
      <c r="U85" s="16"/>
      <c r="V85" s="16" t="e">
        <f t="shared" si="14"/>
        <v>#N/A</v>
      </c>
      <c r="W85" s="16"/>
      <c r="X85" s="16"/>
      <c r="Y85" s="16"/>
      <c r="Z85" s="16">
        <f t="shared" si="15"/>
        <v>0</v>
      </c>
      <c r="AA85" s="16">
        <f t="shared" si="9"/>
        <v>0</v>
      </c>
      <c r="AB85" s="16"/>
      <c r="AC85" s="17"/>
      <c r="AD85" s="51"/>
    </row>
    <row r="86" spans="1:30" ht="19.5" thickBot="1" x14ac:dyDescent="0.3">
      <c r="A86" s="14">
        <v>19</v>
      </c>
      <c r="B86" s="15"/>
      <c r="C86" s="15" t="e">
        <f>VLOOKUP(B86,داتا!$B$3:$D$107,2,FALSE)</f>
        <v>#N/A</v>
      </c>
      <c r="D86" s="34" t="e">
        <f>VLOOKUP(B86,داتا!$B$3:$D$107,3,FALSE)</f>
        <v>#N/A</v>
      </c>
      <c r="E86" s="15"/>
      <c r="F86" s="15"/>
      <c r="G86" s="16">
        <v>8.3333333333333329E-2</v>
      </c>
      <c r="H86" s="16" t="e">
        <f t="shared" si="17"/>
        <v>#N/A</v>
      </c>
      <c r="I86" s="16" t="e">
        <f t="shared" si="10"/>
        <v>#N/A</v>
      </c>
      <c r="J86" s="16"/>
      <c r="K86" s="16"/>
      <c r="L86" s="16"/>
      <c r="M86" s="16"/>
      <c r="N86" s="16">
        <f t="shared" si="11"/>
        <v>0</v>
      </c>
      <c r="O86" s="16" t="e">
        <f t="shared" si="12"/>
        <v>#N/A</v>
      </c>
      <c r="P86" s="16">
        <v>6.9444444444444397E-3</v>
      </c>
      <c r="Q86" s="16"/>
      <c r="R86" s="16">
        <f t="shared" si="13"/>
        <v>-6.9444444444444397E-3</v>
      </c>
      <c r="S86" s="16"/>
      <c r="T86" s="16" t="e">
        <f>VLOOKUP(E86,'[2]21-3-2026'!E$3:T$35,16,FALSE)</f>
        <v>#N/A</v>
      </c>
      <c r="U86" s="16"/>
      <c r="V86" s="16" t="e">
        <f t="shared" si="14"/>
        <v>#N/A</v>
      </c>
      <c r="W86" s="16"/>
      <c r="X86" s="16"/>
      <c r="Y86" s="16"/>
      <c r="Z86" s="16">
        <f t="shared" si="15"/>
        <v>0</v>
      </c>
      <c r="AA86" s="16">
        <f t="shared" si="9"/>
        <v>0</v>
      </c>
      <c r="AB86" s="16"/>
      <c r="AC86" s="17"/>
      <c r="AD86" s="51"/>
    </row>
    <row r="87" spans="1:30" ht="19.5" thickBot="1" x14ac:dyDescent="0.3">
      <c r="A87" s="14">
        <v>20</v>
      </c>
      <c r="B87" s="15"/>
      <c r="C87" s="15" t="e">
        <f>VLOOKUP(B87,داتا!$B$3:$D$107,2,FALSE)</f>
        <v>#N/A</v>
      </c>
      <c r="D87" s="34" t="e">
        <f>VLOOKUP(B87,داتا!$B$3:$D$107,3,FALSE)</f>
        <v>#N/A</v>
      </c>
      <c r="E87" s="15"/>
      <c r="F87" s="15"/>
      <c r="G87" s="16">
        <v>8.3333333333333329E-2</v>
      </c>
      <c r="H87" s="16" t="e">
        <f t="shared" si="17"/>
        <v>#N/A</v>
      </c>
      <c r="I87" s="16" t="e">
        <f t="shared" si="10"/>
        <v>#N/A</v>
      </c>
      <c r="J87" s="16"/>
      <c r="K87" s="16"/>
      <c r="L87" s="16"/>
      <c r="M87" s="16"/>
      <c r="N87" s="16">
        <f t="shared" si="11"/>
        <v>0</v>
      </c>
      <c r="O87" s="16" t="e">
        <f t="shared" si="12"/>
        <v>#N/A</v>
      </c>
      <c r="P87" s="16">
        <v>6.9444444444444397E-3</v>
      </c>
      <c r="Q87" s="16"/>
      <c r="R87" s="16">
        <f t="shared" si="13"/>
        <v>-6.9444444444444397E-3</v>
      </c>
      <c r="S87" s="16"/>
      <c r="T87" s="16" t="e">
        <f>VLOOKUP(E87,'[2]21-3-2026'!E$3:T$35,16,FALSE)</f>
        <v>#N/A</v>
      </c>
      <c r="U87" s="16"/>
      <c r="V87" s="16" t="e">
        <f t="shared" si="14"/>
        <v>#N/A</v>
      </c>
      <c r="W87" s="16"/>
      <c r="X87" s="16"/>
      <c r="Y87" s="16"/>
      <c r="Z87" s="16">
        <f t="shared" si="15"/>
        <v>0</v>
      </c>
      <c r="AA87" s="16">
        <f t="shared" si="9"/>
        <v>0</v>
      </c>
      <c r="AB87" s="16"/>
      <c r="AC87" s="17"/>
      <c r="AD87" s="51"/>
    </row>
    <row r="88" spans="1:30" ht="19.5" thickBot="1" x14ac:dyDescent="0.3">
      <c r="A88" s="14">
        <v>21</v>
      </c>
      <c r="B88" s="15"/>
      <c r="C88" s="15" t="e">
        <f>VLOOKUP(B88,داتا!$B$3:$D$107,2,FALSE)</f>
        <v>#N/A</v>
      </c>
      <c r="D88" s="34" t="e">
        <f>VLOOKUP(B88,داتا!$B$3:$D$107,3,FALSE)</f>
        <v>#N/A</v>
      </c>
      <c r="E88" s="15"/>
      <c r="F88" s="15"/>
      <c r="G88" s="16">
        <v>8.3333333333333329E-2</v>
      </c>
      <c r="H88" s="16" t="e">
        <f t="shared" si="17"/>
        <v>#N/A</v>
      </c>
      <c r="I88" s="16" t="e">
        <f t="shared" si="10"/>
        <v>#N/A</v>
      </c>
      <c r="J88" s="16"/>
      <c r="K88" s="16"/>
      <c r="L88" s="16"/>
      <c r="M88" s="16"/>
      <c r="N88" s="16">
        <f t="shared" si="11"/>
        <v>0</v>
      </c>
      <c r="O88" s="16" t="e">
        <f t="shared" si="12"/>
        <v>#N/A</v>
      </c>
      <c r="P88" s="16">
        <v>6.9444444444444397E-3</v>
      </c>
      <c r="Q88" s="16"/>
      <c r="R88" s="16">
        <f t="shared" si="13"/>
        <v>-6.9444444444444397E-3</v>
      </c>
      <c r="S88" s="16"/>
      <c r="T88" s="16" t="e">
        <f>VLOOKUP(E88,'[2]21-3-2026'!E$3:T$35,16,FALSE)</f>
        <v>#N/A</v>
      </c>
      <c r="U88" s="16"/>
      <c r="V88" s="16" t="e">
        <f t="shared" si="14"/>
        <v>#N/A</v>
      </c>
      <c r="W88" s="16"/>
      <c r="X88" s="16"/>
      <c r="Y88" s="16"/>
      <c r="Z88" s="16">
        <f t="shared" si="15"/>
        <v>0</v>
      </c>
      <c r="AA88" s="16">
        <f t="shared" si="9"/>
        <v>0</v>
      </c>
      <c r="AB88" s="16"/>
      <c r="AC88" s="19"/>
      <c r="AD88" s="51"/>
    </row>
    <row r="89" spans="1:30" ht="19.5" thickBot="1" x14ac:dyDescent="0.3">
      <c r="A89" s="14">
        <v>22</v>
      </c>
      <c r="B89" s="15"/>
      <c r="C89" s="15" t="e">
        <f>VLOOKUP(B89,داتا!$B$3:$D$107,2,FALSE)</f>
        <v>#N/A</v>
      </c>
      <c r="D89" s="34" t="e">
        <f>VLOOKUP(B89,داتا!$B$3:$D$107,3,FALSE)</f>
        <v>#N/A</v>
      </c>
      <c r="E89" s="15"/>
      <c r="F89" s="15"/>
      <c r="G89" s="16">
        <v>8.3333333333333329E-2</v>
      </c>
      <c r="H89" s="16" t="e">
        <f t="shared" si="17"/>
        <v>#N/A</v>
      </c>
      <c r="I89" s="16" t="e">
        <f t="shared" si="10"/>
        <v>#N/A</v>
      </c>
      <c r="J89" s="16"/>
      <c r="K89" s="16"/>
      <c r="L89" s="16"/>
      <c r="M89" s="16"/>
      <c r="N89" s="16">
        <f t="shared" si="11"/>
        <v>0</v>
      </c>
      <c r="O89" s="16" t="e">
        <f t="shared" si="12"/>
        <v>#N/A</v>
      </c>
      <c r="P89" s="16">
        <v>6.9444444444444397E-3</v>
      </c>
      <c r="Q89" s="16"/>
      <c r="R89" s="16">
        <f t="shared" si="13"/>
        <v>-6.9444444444444397E-3</v>
      </c>
      <c r="S89" s="16"/>
      <c r="T89" s="16" t="e">
        <f>VLOOKUP(E89,'[2]21-3-2026'!E$3:T$35,16,FALSE)</f>
        <v>#N/A</v>
      </c>
      <c r="U89" s="16"/>
      <c r="V89" s="16" t="e">
        <f t="shared" si="14"/>
        <v>#N/A</v>
      </c>
      <c r="W89" s="16"/>
      <c r="X89" s="16"/>
      <c r="Y89" s="16"/>
      <c r="Z89" s="16">
        <f t="shared" si="15"/>
        <v>0</v>
      </c>
      <c r="AA89" s="16">
        <f t="shared" si="9"/>
        <v>0</v>
      </c>
      <c r="AB89" s="16"/>
      <c r="AC89" s="19"/>
      <c r="AD89" s="51"/>
    </row>
    <row r="90" spans="1:30" ht="19.5" thickBot="1" x14ac:dyDescent="0.3">
      <c r="A90" s="14">
        <v>23</v>
      </c>
      <c r="B90" s="15"/>
      <c r="C90" s="15" t="e">
        <f>VLOOKUP(B90,داتا!$B$3:$D$107,2,FALSE)</f>
        <v>#N/A</v>
      </c>
      <c r="D90" s="34" t="e">
        <f>VLOOKUP(B90,داتا!$B$3:$D$107,3,FALSE)</f>
        <v>#N/A</v>
      </c>
      <c r="E90" s="15"/>
      <c r="F90" s="15"/>
      <c r="G90" s="16">
        <v>8.3333333333333329E-2</v>
      </c>
      <c r="H90" s="16" t="e">
        <f t="shared" si="17"/>
        <v>#N/A</v>
      </c>
      <c r="I90" s="16" t="e">
        <f t="shared" si="10"/>
        <v>#N/A</v>
      </c>
      <c r="J90" s="16"/>
      <c r="K90" s="16"/>
      <c r="L90" s="16"/>
      <c r="M90" s="16"/>
      <c r="N90" s="16">
        <f t="shared" si="11"/>
        <v>0</v>
      </c>
      <c r="O90" s="16" t="e">
        <f t="shared" si="12"/>
        <v>#N/A</v>
      </c>
      <c r="P90" s="16">
        <v>6.9444444444444397E-3</v>
      </c>
      <c r="Q90" s="16"/>
      <c r="R90" s="16">
        <f t="shared" si="13"/>
        <v>-6.9444444444444397E-3</v>
      </c>
      <c r="S90" s="16"/>
      <c r="T90" s="16" t="e">
        <f>VLOOKUP(E90,'[2]21-3-2026'!E$3:T$35,16,FALSE)</f>
        <v>#N/A</v>
      </c>
      <c r="U90" s="16"/>
      <c r="V90" s="16" t="e">
        <f t="shared" si="14"/>
        <v>#N/A</v>
      </c>
      <c r="W90" s="16"/>
      <c r="X90" s="16"/>
      <c r="Y90" s="16"/>
      <c r="Z90" s="16">
        <f t="shared" si="15"/>
        <v>0</v>
      </c>
      <c r="AA90" s="16">
        <f t="shared" si="9"/>
        <v>0</v>
      </c>
      <c r="AB90" s="16"/>
      <c r="AC90" s="19"/>
      <c r="AD90" s="51"/>
    </row>
    <row r="91" spans="1:30" ht="19.5" thickBot="1" x14ac:dyDescent="0.3">
      <c r="A91" s="14">
        <v>24</v>
      </c>
      <c r="B91" s="15"/>
      <c r="C91" s="15" t="e">
        <f>VLOOKUP(B91,داتا!$B$3:$D$107,2,FALSE)</f>
        <v>#N/A</v>
      </c>
      <c r="D91" s="34" t="e">
        <f>VLOOKUP(B91,داتا!$B$3:$D$107,3,FALSE)</f>
        <v>#N/A</v>
      </c>
      <c r="E91" s="15"/>
      <c r="F91" s="15"/>
      <c r="G91" s="16">
        <v>8.3333333333333329E-2</v>
      </c>
      <c r="H91" s="16" t="e">
        <f t="shared" si="17"/>
        <v>#N/A</v>
      </c>
      <c r="I91" s="16" t="e">
        <f t="shared" si="10"/>
        <v>#N/A</v>
      </c>
      <c r="J91" s="16"/>
      <c r="K91" s="16"/>
      <c r="L91" s="16"/>
      <c r="M91" s="16"/>
      <c r="N91" s="16">
        <f t="shared" si="11"/>
        <v>0</v>
      </c>
      <c r="O91" s="16" t="e">
        <f t="shared" si="12"/>
        <v>#N/A</v>
      </c>
      <c r="P91" s="16">
        <v>6.9444444444444397E-3</v>
      </c>
      <c r="Q91" s="16"/>
      <c r="R91" s="16">
        <f t="shared" si="13"/>
        <v>-6.9444444444444397E-3</v>
      </c>
      <c r="S91" s="16"/>
      <c r="T91" s="16" t="e">
        <f>VLOOKUP(E91,'[2]21-3-2026'!E$3:T$35,16,FALSE)</f>
        <v>#N/A</v>
      </c>
      <c r="U91" s="16"/>
      <c r="V91" s="16" t="e">
        <f t="shared" si="14"/>
        <v>#N/A</v>
      </c>
      <c r="W91" s="16"/>
      <c r="X91" s="16"/>
      <c r="Y91" s="16"/>
      <c r="Z91" s="16">
        <f t="shared" si="15"/>
        <v>0</v>
      </c>
      <c r="AA91" s="16">
        <f t="shared" si="9"/>
        <v>0</v>
      </c>
      <c r="AB91" s="16"/>
      <c r="AC91" s="19"/>
      <c r="AD91" s="51"/>
    </row>
    <row r="92" spans="1:30" ht="19.5" thickBot="1" x14ac:dyDescent="0.3">
      <c r="A92" s="14">
        <v>25</v>
      </c>
      <c r="B92" s="15"/>
      <c r="C92" s="15" t="e">
        <f>VLOOKUP(B92,داتا!$B$3:$D$107,2,FALSE)</f>
        <v>#N/A</v>
      </c>
      <c r="D92" s="34" t="e">
        <f>VLOOKUP(B92,داتا!$B$3:$D$107,3,FALSE)</f>
        <v>#N/A</v>
      </c>
      <c r="E92" s="15"/>
      <c r="F92" s="15"/>
      <c r="G92" s="16">
        <v>8.3333333333333329E-2</v>
      </c>
      <c r="H92" s="16" t="e">
        <f t="shared" si="17"/>
        <v>#N/A</v>
      </c>
      <c r="I92" s="16" t="e">
        <f t="shared" si="10"/>
        <v>#N/A</v>
      </c>
      <c r="J92" s="16"/>
      <c r="K92" s="16"/>
      <c r="L92" s="16"/>
      <c r="M92" s="16"/>
      <c r="N92" s="16">
        <f t="shared" si="11"/>
        <v>0</v>
      </c>
      <c r="O92" s="16" t="e">
        <f t="shared" si="12"/>
        <v>#N/A</v>
      </c>
      <c r="P92" s="16">
        <v>6.9444444444444397E-3</v>
      </c>
      <c r="Q92" s="16"/>
      <c r="R92" s="16">
        <f t="shared" si="13"/>
        <v>-6.9444444444444397E-3</v>
      </c>
      <c r="S92" s="16"/>
      <c r="T92" s="16" t="e">
        <f>VLOOKUP(E92,'[2]21-3-2026'!E$3:T$35,16,FALSE)</f>
        <v>#N/A</v>
      </c>
      <c r="U92" s="16"/>
      <c r="V92" s="16" t="e">
        <f t="shared" si="14"/>
        <v>#N/A</v>
      </c>
      <c r="W92" s="16"/>
      <c r="X92" s="16"/>
      <c r="Y92" s="16"/>
      <c r="Z92" s="16">
        <f t="shared" si="15"/>
        <v>0</v>
      </c>
      <c r="AA92" s="16">
        <f t="shared" si="9"/>
        <v>0</v>
      </c>
      <c r="AB92" s="16"/>
      <c r="AC92" s="19"/>
      <c r="AD92" s="51"/>
    </row>
    <row r="93" spans="1:30" ht="19.5" thickBot="1" x14ac:dyDescent="0.3">
      <c r="A93" s="14">
        <v>26</v>
      </c>
      <c r="B93" s="15"/>
      <c r="C93" s="15" t="e">
        <f>VLOOKUP(B93,داتا!$B$3:$D$107,2,FALSE)</f>
        <v>#N/A</v>
      </c>
      <c r="D93" s="34" t="e">
        <f>VLOOKUP(B93,داتا!$B$3:$D$107,3,FALSE)</f>
        <v>#N/A</v>
      </c>
      <c r="E93" s="15"/>
      <c r="F93" s="15"/>
      <c r="G93" s="16">
        <v>8.3333333333333329E-2</v>
      </c>
      <c r="H93" s="16" t="e">
        <f t="shared" si="17"/>
        <v>#N/A</v>
      </c>
      <c r="I93" s="16" t="e">
        <f t="shared" si="10"/>
        <v>#N/A</v>
      </c>
      <c r="J93" s="16"/>
      <c r="K93" s="16"/>
      <c r="L93" s="16"/>
      <c r="M93" s="16"/>
      <c r="N93" s="16">
        <f t="shared" si="11"/>
        <v>0</v>
      </c>
      <c r="O93" s="16" t="e">
        <f t="shared" si="12"/>
        <v>#N/A</v>
      </c>
      <c r="P93" s="16">
        <v>6.9444444444444397E-3</v>
      </c>
      <c r="Q93" s="16"/>
      <c r="R93" s="16">
        <f t="shared" si="13"/>
        <v>-6.9444444444444397E-3</v>
      </c>
      <c r="S93" s="16"/>
      <c r="T93" s="16" t="e">
        <f>VLOOKUP(E93,'[2]21-3-2026'!E$3:T$35,16,FALSE)</f>
        <v>#N/A</v>
      </c>
      <c r="U93" s="16"/>
      <c r="V93" s="16" t="e">
        <f t="shared" si="14"/>
        <v>#N/A</v>
      </c>
      <c r="W93" s="16"/>
      <c r="X93" s="16"/>
      <c r="Y93" s="16"/>
      <c r="Z93" s="16">
        <f t="shared" si="15"/>
        <v>0</v>
      </c>
      <c r="AA93" s="16">
        <f t="shared" si="9"/>
        <v>0</v>
      </c>
      <c r="AB93" s="16"/>
      <c r="AC93" s="19"/>
      <c r="AD93" s="51"/>
    </row>
    <row r="94" spans="1:30" ht="19.5" thickBot="1" x14ac:dyDescent="0.3">
      <c r="A94" s="14">
        <v>27</v>
      </c>
      <c r="B94" s="15"/>
      <c r="C94" s="15" t="e">
        <f>VLOOKUP(B94,داتا!$B$3:$D$107,2,FALSE)</f>
        <v>#N/A</v>
      </c>
      <c r="D94" s="34" t="e">
        <f>VLOOKUP(B94,داتا!$B$3:$D$107,3,FALSE)</f>
        <v>#N/A</v>
      </c>
      <c r="E94" s="15"/>
      <c r="F94" s="15"/>
      <c r="G94" s="16">
        <v>8.3333333333333329E-2</v>
      </c>
      <c r="H94" s="16" t="e">
        <f t="shared" si="17"/>
        <v>#N/A</v>
      </c>
      <c r="I94" s="16" t="e">
        <f t="shared" si="10"/>
        <v>#N/A</v>
      </c>
      <c r="J94" s="16"/>
      <c r="K94" s="16"/>
      <c r="L94" s="16"/>
      <c r="M94" s="16"/>
      <c r="N94" s="16">
        <f t="shared" si="11"/>
        <v>0</v>
      </c>
      <c r="O94" s="16" t="e">
        <f t="shared" si="12"/>
        <v>#N/A</v>
      </c>
      <c r="P94" s="16">
        <v>6.9444444444444397E-3</v>
      </c>
      <c r="Q94" s="16"/>
      <c r="R94" s="16">
        <f t="shared" si="13"/>
        <v>-6.9444444444444397E-3</v>
      </c>
      <c r="S94" s="16"/>
      <c r="T94" s="16" t="e">
        <f>VLOOKUP(E94,'[2]21-3-2026'!E$3:T$35,16,FALSE)</f>
        <v>#N/A</v>
      </c>
      <c r="U94" s="16"/>
      <c r="V94" s="16" t="e">
        <f t="shared" si="14"/>
        <v>#N/A</v>
      </c>
      <c r="W94" s="16"/>
      <c r="X94" s="16"/>
      <c r="Y94" s="16"/>
      <c r="Z94" s="16">
        <f t="shared" si="15"/>
        <v>0</v>
      </c>
      <c r="AA94" s="16">
        <f t="shared" si="9"/>
        <v>0</v>
      </c>
      <c r="AB94" s="16"/>
      <c r="AC94" s="19"/>
      <c r="AD94" s="51"/>
    </row>
    <row r="95" spans="1:30" ht="19.5" thickBot="1" x14ac:dyDescent="0.3">
      <c r="A95" s="14">
        <v>28</v>
      </c>
      <c r="B95" s="15"/>
      <c r="C95" s="15" t="e">
        <f>VLOOKUP(B95,داتا!$B$3:$D$107,2,FALSE)</f>
        <v>#N/A</v>
      </c>
      <c r="D95" s="34" t="e">
        <f>VLOOKUP(B95,داتا!$B$3:$D$107,3,FALSE)</f>
        <v>#N/A</v>
      </c>
      <c r="E95" s="15"/>
      <c r="F95" s="16"/>
      <c r="G95" s="16">
        <v>8.3333333333333329E-2</v>
      </c>
      <c r="H95" s="16" t="e">
        <f t="shared" si="17"/>
        <v>#N/A</v>
      </c>
      <c r="I95" s="16" t="e">
        <f t="shared" si="10"/>
        <v>#N/A</v>
      </c>
      <c r="J95" s="16"/>
      <c r="K95" s="16"/>
      <c r="L95" s="16"/>
      <c r="M95" s="16"/>
      <c r="N95" s="16">
        <f t="shared" si="11"/>
        <v>0</v>
      </c>
      <c r="O95" s="16" t="e">
        <f t="shared" si="12"/>
        <v>#N/A</v>
      </c>
      <c r="P95" s="16">
        <v>6.9444444444444397E-3</v>
      </c>
      <c r="Q95" s="16"/>
      <c r="R95" s="16">
        <f t="shared" si="13"/>
        <v>-6.9444444444444397E-3</v>
      </c>
      <c r="S95" s="16"/>
      <c r="T95" s="16" t="e">
        <f>VLOOKUP(E95,'[2]21-3-2026'!E$3:T$35,16,FALSE)</f>
        <v>#N/A</v>
      </c>
      <c r="U95" s="16"/>
      <c r="V95" s="16" t="e">
        <f t="shared" si="14"/>
        <v>#N/A</v>
      </c>
      <c r="W95" s="16"/>
      <c r="X95" s="16"/>
      <c r="Y95" s="16"/>
      <c r="Z95" s="16">
        <f t="shared" si="15"/>
        <v>0</v>
      </c>
      <c r="AA95" s="16">
        <f t="shared" si="9"/>
        <v>0</v>
      </c>
      <c r="AB95" s="16"/>
      <c r="AC95" s="19"/>
      <c r="AD95" s="51"/>
    </row>
    <row r="96" spans="1:30" ht="19.5" thickBot="1" x14ac:dyDescent="0.3">
      <c r="A96" s="14">
        <v>29</v>
      </c>
      <c r="B96" s="15"/>
      <c r="C96" s="15" t="e">
        <f>VLOOKUP(B96,داتا!$B$3:$D$107,2,FALSE)</f>
        <v>#N/A</v>
      </c>
      <c r="D96" s="34" t="e">
        <f>VLOOKUP(B96,داتا!$B$3:$D$107,3,FALSE)</f>
        <v>#N/A</v>
      </c>
      <c r="E96" s="15"/>
      <c r="F96" s="16"/>
      <c r="G96" s="16">
        <v>8.3333333333333329E-2</v>
      </c>
      <c r="H96" s="16" t="e">
        <f t="shared" si="17"/>
        <v>#N/A</v>
      </c>
      <c r="I96" s="16" t="e">
        <f t="shared" si="10"/>
        <v>#N/A</v>
      </c>
      <c r="J96" s="16"/>
      <c r="K96" s="16"/>
      <c r="L96" s="16"/>
      <c r="M96" s="16"/>
      <c r="N96" s="16">
        <f t="shared" si="11"/>
        <v>0</v>
      </c>
      <c r="O96" s="16" t="e">
        <f t="shared" si="12"/>
        <v>#N/A</v>
      </c>
      <c r="P96" s="16">
        <v>6.9444444444444397E-3</v>
      </c>
      <c r="Q96" s="16"/>
      <c r="R96" s="16">
        <f t="shared" si="13"/>
        <v>-6.9444444444444397E-3</v>
      </c>
      <c r="S96" s="16"/>
      <c r="T96" s="16" t="e">
        <f>VLOOKUP(E96,'[2]21-3-2026'!E$3:T$35,16,FALSE)</f>
        <v>#N/A</v>
      </c>
      <c r="U96" s="16"/>
      <c r="V96" s="16" t="e">
        <f t="shared" si="14"/>
        <v>#N/A</v>
      </c>
      <c r="W96" s="16"/>
      <c r="X96" s="16"/>
      <c r="Y96" s="16"/>
      <c r="Z96" s="16">
        <f t="shared" si="15"/>
        <v>0</v>
      </c>
      <c r="AA96" s="16">
        <f t="shared" si="9"/>
        <v>0</v>
      </c>
      <c r="AB96" s="16"/>
      <c r="AC96" s="19"/>
      <c r="AD96" s="54"/>
    </row>
    <row r="97" spans="1:29" ht="19.5" thickBot="1" x14ac:dyDescent="0.3">
      <c r="A97" s="14">
        <v>30</v>
      </c>
      <c r="B97" s="15"/>
      <c r="C97" s="15" t="e">
        <f>VLOOKUP(B97,داتا!$B$3:$D$107,2,FALSE)</f>
        <v>#N/A</v>
      </c>
      <c r="D97" s="34" t="e">
        <f>VLOOKUP(B97,داتا!$B$3:$D$107,3,FALSE)</f>
        <v>#N/A</v>
      </c>
      <c r="E97" s="15"/>
      <c r="F97" s="16"/>
      <c r="G97" s="16">
        <v>8.3333333333333329E-2</v>
      </c>
      <c r="H97" s="16" t="e">
        <f t="shared" si="17"/>
        <v>#N/A</v>
      </c>
      <c r="I97" s="16" t="e">
        <f t="shared" si="10"/>
        <v>#N/A</v>
      </c>
      <c r="J97" s="16"/>
      <c r="K97" s="16"/>
      <c r="L97" s="16"/>
      <c r="M97" s="16"/>
      <c r="N97" s="16">
        <f t="shared" si="11"/>
        <v>0</v>
      </c>
      <c r="O97" s="16" t="e">
        <f t="shared" si="12"/>
        <v>#N/A</v>
      </c>
      <c r="P97" s="16">
        <v>6.9444444444444397E-3</v>
      </c>
      <c r="Q97" s="16"/>
      <c r="R97" s="16">
        <f t="shared" si="13"/>
        <v>-6.9444444444444397E-3</v>
      </c>
      <c r="S97" s="16"/>
      <c r="T97" s="16" t="e">
        <f>VLOOKUP(E97,'[2]21-3-2026'!E$3:T$35,16,FALSE)</f>
        <v>#N/A</v>
      </c>
      <c r="U97" s="16"/>
      <c r="V97" s="16" t="e">
        <f t="shared" si="14"/>
        <v>#N/A</v>
      </c>
      <c r="W97" s="16"/>
      <c r="X97" s="16"/>
      <c r="Y97" s="16"/>
      <c r="Z97" s="16">
        <f t="shared" si="15"/>
        <v>0</v>
      </c>
      <c r="AA97" s="16">
        <f t="shared" si="9"/>
        <v>0</v>
      </c>
      <c r="AB97" s="16"/>
      <c r="AC97" s="19"/>
    </row>
    <row r="98" spans="1:29" ht="19.5" thickBot="1" x14ac:dyDescent="0.3">
      <c r="A98" s="14">
        <v>31</v>
      </c>
      <c r="B98" s="15"/>
      <c r="C98" s="15" t="e">
        <f>VLOOKUP(B98,داتا!$B$3:$D$107,2,FALSE)</f>
        <v>#N/A</v>
      </c>
      <c r="D98" s="34" t="e">
        <f>VLOOKUP(B98,داتا!$B$3:$D$107,3,FALSE)</f>
        <v>#N/A</v>
      </c>
      <c r="E98" s="15"/>
      <c r="F98" s="16"/>
      <c r="G98" s="16">
        <v>8.3333333333333329E-2</v>
      </c>
      <c r="H98" s="16" t="e">
        <f t="shared" si="17"/>
        <v>#N/A</v>
      </c>
      <c r="I98" s="16" t="e">
        <f t="shared" si="10"/>
        <v>#N/A</v>
      </c>
      <c r="J98" s="16"/>
      <c r="K98" s="16"/>
      <c r="L98" s="16"/>
      <c r="M98" s="16"/>
      <c r="N98" s="16">
        <f t="shared" si="11"/>
        <v>0</v>
      </c>
      <c r="O98" s="16" t="e">
        <f t="shared" si="12"/>
        <v>#N/A</v>
      </c>
      <c r="P98" s="16">
        <v>6.9444444444444397E-3</v>
      </c>
      <c r="Q98" s="16"/>
      <c r="R98" s="16">
        <f t="shared" si="13"/>
        <v>-6.9444444444444397E-3</v>
      </c>
      <c r="S98" s="16"/>
      <c r="T98" s="16" t="e">
        <f>VLOOKUP(E98,'[2]21-3-2026'!E$3:T$35,16,FALSE)</f>
        <v>#N/A</v>
      </c>
      <c r="U98" s="16"/>
      <c r="V98" s="16" t="e">
        <f t="shared" si="14"/>
        <v>#N/A</v>
      </c>
      <c r="W98" s="16"/>
      <c r="X98" s="16"/>
      <c r="Y98" s="16"/>
      <c r="Z98" s="16">
        <f t="shared" si="15"/>
        <v>0</v>
      </c>
      <c r="AA98" s="16">
        <f t="shared" si="9"/>
        <v>0</v>
      </c>
      <c r="AB98" s="16"/>
      <c r="AC98" s="19"/>
    </row>
    <row r="99" spans="1:29" ht="19.5" thickBot="1" x14ac:dyDescent="0.3">
      <c r="A99" s="20">
        <v>32</v>
      </c>
      <c r="B99" s="21"/>
      <c r="C99" s="21" t="e">
        <f>VLOOKUP(B99,داتا!$B$3:$D$107,2,FALSE)</f>
        <v>#N/A</v>
      </c>
      <c r="D99" s="35" t="e">
        <f>VLOOKUP(B99,داتا!$B$3:$D$107,3,FALSE)</f>
        <v>#N/A</v>
      </c>
      <c r="E99" s="21"/>
      <c r="F99" s="22"/>
      <c r="G99" s="22">
        <v>8.3333333333333329E-2</v>
      </c>
      <c r="H99" s="22" t="e">
        <f t="shared" si="17"/>
        <v>#N/A</v>
      </c>
      <c r="I99" s="22" t="e">
        <f t="shared" si="10"/>
        <v>#N/A</v>
      </c>
      <c r="J99" s="22"/>
      <c r="K99" s="22"/>
      <c r="L99" s="22"/>
      <c r="M99" s="22"/>
      <c r="N99" s="22">
        <f t="shared" si="11"/>
        <v>0</v>
      </c>
      <c r="O99" s="22" t="e">
        <f t="shared" si="12"/>
        <v>#N/A</v>
      </c>
      <c r="P99" s="22">
        <v>6.9444444444444397E-3</v>
      </c>
      <c r="Q99" s="22"/>
      <c r="R99" s="22">
        <f t="shared" si="13"/>
        <v>-6.9444444444444397E-3</v>
      </c>
      <c r="S99" s="22"/>
      <c r="T99" s="22" t="e">
        <f>VLOOKUP(E99,'[2]21-3-2026'!E$3:T$35,16,FALSE)</f>
        <v>#N/A</v>
      </c>
      <c r="U99" s="22"/>
      <c r="V99" s="22" t="e">
        <f t="shared" si="14"/>
        <v>#N/A</v>
      </c>
      <c r="W99" s="22"/>
      <c r="X99" s="22"/>
      <c r="Y99" s="22"/>
      <c r="Z99" s="22">
        <f t="shared" si="15"/>
        <v>0</v>
      </c>
      <c r="AA99" s="22">
        <f t="shared" si="9"/>
        <v>0</v>
      </c>
      <c r="AB99" s="22"/>
      <c r="AC99" s="30"/>
    </row>
    <row r="100" spans="1:29" ht="16.5" thickTop="1" x14ac:dyDescent="0.25"/>
  </sheetData>
  <mergeCells count="4">
    <mergeCell ref="A1:AC1"/>
    <mergeCell ref="AD3:AD35"/>
    <mergeCell ref="AD36:AD67"/>
    <mergeCell ref="AD68:AD96"/>
  </mergeCells>
  <conditionalFormatting sqref="AC1:AC96 AC100:AC1048576">
    <cfRule type="containsText" dxfId="224" priority="14" operator="containsText" text="ت">
      <formula>NOT(ISERROR(SEARCH("ت",AC1)))</formula>
    </cfRule>
  </conditionalFormatting>
  <conditionalFormatting sqref="AC4:AC96">
    <cfRule type="containsText" dxfId="223" priority="13" operator="containsText" text="ت">
      <formula>NOT(ISERROR(SEARCH("ت",AC4)))</formula>
    </cfRule>
  </conditionalFormatting>
  <conditionalFormatting sqref="O1:O2 I1:I2 R1:R2 V1:V2 AA100:AA1048576 V100:V1048576 R100:R1048576 O100:O1048576 I100:I1048576 AA1:AA2">
    <cfRule type="cellIs" dxfId="222" priority="15" operator="between">
      <formula>0.00277777777777778</formula>
      <formula>1</formula>
    </cfRule>
  </conditionalFormatting>
  <conditionalFormatting sqref="AC97:AC99">
    <cfRule type="containsText" dxfId="221" priority="12" operator="containsText" text="ت">
      <formula>NOT(ISERROR(SEARCH("ت",AC97)))</formula>
    </cfRule>
  </conditionalFormatting>
  <conditionalFormatting sqref="AC97:AC99">
    <cfRule type="containsText" dxfId="220" priority="11" operator="containsText" text="ت">
      <formula>NOT(ISERROR(SEARCH("ت",AC97)))</formula>
    </cfRule>
  </conditionalFormatting>
  <conditionalFormatting sqref="I3:I99">
    <cfRule type="cellIs" dxfId="219" priority="9" operator="between">
      <formula>0.00277777777777778</formula>
      <formula>1</formula>
    </cfRule>
  </conditionalFormatting>
  <conditionalFormatting sqref="I3:I99">
    <cfRule type="cellIs" dxfId="218" priority="10" operator="between">
      <formula>0.00277777777777778</formula>
      <formula>1</formula>
    </cfRule>
  </conditionalFormatting>
  <conditionalFormatting sqref="O3:O99">
    <cfRule type="cellIs" dxfId="217" priority="7" operator="between">
      <formula>0.00277777777777778</formula>
      <formula>1</formula>
    </cfRule>
  </conditionalFormatting>
  <conditionalFormatting sqref="O3:O99">
    <cfRule type="cellIs" dxfId="216" priority="8" operator="between">
      <formula>0.00277777777777778</formula>
      <formula>1</formula>
    </cfRule>
  </conditionalFormatting>
  <conditionalFormatting sqref="R3:R99">
    <cfRule type="cellIs" dxfId="215" priority="5" operator="between">
      <formula>0.00277777777777778</formula>
      <formula>1</formula>
    </cfRule>
  </conditionalFormatting>
  <conditionalFormatting sqref="R3:R99">
    <cfRule type="cellIs" dxfId="214" priority="6" operator="between">
      <formula>0.00277777777777778</formula>
      <formula>1</formula>
    </cfRule>
  </conditionalFormatting>
  <conditionalFormatting sqref="V3:V99">
    <cfRule type="cellIs" dxfId="213" priority="3" operator="between">
      <formula>0.00277777777777778</formula>
      <formula>1</formula>
    </cfRule>
  </conditionalFormatting>
  <conditionalFormatting sqref="V3:V99">
    <cfRule type="cellIs" dxfId="212" priority="4" operator="between">
      <formula>0.00277777777777778</formula>
      <formula>1</formula>
    </cfRule>
  </conditionalFormatting>
  <conditionalFormatting sqref="AA3:AA99">
    <cfRule type="cellIs" dxfId="211" priority="1" operator="between">
      <formula>0.00277777777777778</formula>
      <formula>1</formula>
    </cfRule>
  </conditionalFormatting>
  <conditionalFormatting sqref="AA3:AA99">
    <cfRule type="cellIs" dxfId="210" priority="2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"/>
  <sheetViews>
    <sheetView rightToLeft="1" workbookViewId="0">
      <pane xSplit="6" ySplit="2" topLeftCell="G68" activePane="bottomRight" state="frozen"/>
      <selection activeCell="A92" sqref="A92"/>
      <selection pane="topRight" activeCell="A92" sqref="A92"/>
      <selection pane="bottomLeft" activeCell="A92" sqref="A92"/>
      <selection pane="bottomRight" activeCell="B68" sqref="B68"/>
    </sheetView>
  </sheetViews>
  <sheetFormatPr defaultColWidth="9" defaultRowHeight="15.75" x14ac:dyDescent="0.25"/>
  <cols>
    <col min="1" max="1" width="5.42578125" customWidth="1"/>
    <col min="2" max="2" width="12.28515625" customWidth="1"/>
    <col min="3" max="3" width="12.5703125" customWidth="1"/>
    <col min="4" max="4" width="16.140625" style="36" customWidth="1"/>
    <col min="5" max="5" width="17.140625" customWidth="1"/>
    <col min="6" max="6" width="20.85546875" customWidth="1"/>
    <col min="7" max="7" width="12.7109375" customWidth="1"/>
    <col min="8" max="9" width="12.85546875" customWidth="1"/>
    <col min="10" max="10" width="12.5703125" customWidth="1"/>
    <col min="11" max="11" width="14.28515625" customWidth="1"/>
    <col min="12" max="12" width="22.7109375" customWidth="1"/>
    <col min="13" max="13" width="18.8554687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3.85546875" style="31" customWidth="1"/>
    <col min="30" max="30" width="11.140625" customWidth="1"/>
  </cols>
  <sheetData>
    <row r="1" spans="1:30" ht="33.75" customHeight="1" thickBot="1" x14ac:dyDescent="0.3">
      <c r="A1" s="46" t="s">
        <v>136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0" ht="49.5" customHeight="1" thickTop="1" thickBot="1" x14ac:dyDescent="0.3">
      <c r="A2" s="1" t="s">
        <v>1</v>
      </c>
      <c r="B2" s="2" t="s">
        <v>2</v>
      </c>
      <c r="C2" s="2" t="s">
        <v>3</v>
      </c>
      <c r="D2" s="3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8" t="s">
        <v>18</v>
      </c>
      <c r="S2" s="2" t="s">
        <v>19</v>
      </c>
      <c r="T2" s="8" t="s">
        <v>20</v>
      </c>
      <c r="U2" s="2" t="s">
        <v>21</v>
      </c>
      <c r="V2" s="8" t="s">
        <v>22</v>
      </c>
      <c r="W2" s="8" t="s">
        <v>23</v>
      </c>
      <c r="X2" s="2" t="s">
        <v>24</v>
      </c>
      <c r="Y2" s="2" t="s">
        <v>25</v>
      </c>
      <c r="Z2" s="2" t="s">
        <v>26</v>
      </c>
      <c r="AA2" s="8" t="s">
        <v>27</v>
      </c>
      <c r="AB2" s="2" t="s">
        <v>28</v>
      </c>
      <c r="AC2" s="9" t="s">
        <v>29</v>
      </c>
    </row>
    <row r="3" spans="1:30" ht="20.25" customHeight="1" thickTop="1" thickBot="1" x14ac:dyDescent="0.3">
      <c r="A3" s="10">
        <v>1</v>
      </c>
      <c r="B3" s="11"/>
      <c r="C3" s="11" t="e">
        <f>VLOOKUP(B3,داتا!$B$3:$D$107,2,FALSE)</f>
        <v>#N/A</v>
      </c>
      <c r="D3" s="33" t="e">
        <f>VLOOKUP(B3,داتا!$B$3:$D$107,3,FALSE)</f>
        <v>#N/A</v>
      </c>
      <c r="E3" s="11"/>
      <c r="F3" s="11"/>
      <c r="G3" s="12">
        <v>0.25</v>
      </c>
      <c r="H3" s="12"/>
      <c r="I3" s="12">
        <f>H3-G3</f>
        <v>-0.25</v>
      </c>
      <c r="J3" s="12"/>
      <c r="K3" s="12"/>
      <c r="L3" s="12"/>
      <c r="M3" s="12"/>
      <c r="N3" s="12">
        <f>K3-J3</f>
        <v>0</v>
      </c>
      <c r="O3" s="12" t="e">
        <f>N3-D3</f>
        <v>#N/A</v>
      </c>
      <c r="P3" s="12">
        <v>6.9444444444444397E-3</v>
      </c>
      <c r="Q3" s="12"/>
      <c r="R3" s="12">
        <f>Q3-P3-K3</f>
        <v>-6.9444444444444397E-3</v>
      </c>
      <c r="S3" s="12"/>
      <c r="T3" s="12" t="e">
        <f>VLOOKUP(E3,'[2]21-3-2026'!E$3:T$35,16,FALSE)</f>
        <v>#N/A</v>
      </c>
      <c r="U3" s="12"/>
      <c r="V3" s="12" t="e">
        <f>U3-T3-S3</f>
        <v>#N/A</v>
      </c>
      <c r="W3" s="12"/>
      <c r="X3" s="12"/>
      <c r="Y3" s="12"/>
      <c r="Z3" s="12">
        <f>Y3-X3</f>
        <v>0</v>
      </c>
      <c r="AA3" s="12">
        <f t="shared" ref="AA3:AA66" si="0">Z3-W3</f>
        <v>0</v>
      </c>
      <c r="AB3" s="12"/>
      <c r="AC3" s="13"/>
      <c r="AD3" s="47" t="s">
        <v>33</v>
      </c>
    </row>
    <row r="4" spans="1:30" ht="19.5" thickBot="1" x14ac:dyDescent="0.3">
      <c r="A4" s="14">
        <v>2</v>
      </c>
      <c r="B4" s="15"/>
      <c r="C4" s="15" t="e">
        <f>VLOOKUP(B4,داتا!$B$3:$D$107,2,FALSE)</f>
        <v>#N/A</v>
      </c>
      <c r="D4" s="34" t="e">
        <f>VLOOKUP(B4,داتا!$B$3:$D$107,3,FALSE)</f>
        <v>#N/A</v>
      </c>
      <c r="E4" s="15"/>
      <c r="F4" s="15"/>
      <c r="G4" s="16">
        <v>0.25</v>
      </c>
      <c r="H4" s="16"/>
      <c r="I4" s="16">
        <f t="shared" ref="I4:I67" si="1">H4-G4</f>
        <v>-0.25</v>
      </c>
      <c r="J4" s="16"/>
      <c r="K4" s="16"/>
      <c r="L4" s="16"/>
      <c r="M4" s="16"/>
      <c r="N4" s="16">
        <f t="shared" ref="N4:N67" si="2">K4-J4</f>
        <v>0</v>
      </c>
      <c r="O4" s="16" t="e">
        <f t="shared" ref="O4:O67" si="3">N4-D4</f>
        <v>#N/A</v>
      </c>
      <c r="P4" s="16">
        <v>6.9444444444444397E-3</v>
      </c>
      <c r="Q4" s="16"/>
      <c r="R4" s="16">
        <f t="shared" ref="R4:R67" si="4">Q4-P4-K4</f>
        <v>-6.9444444444444397E-3</v>
      </c>
      <c r="S4" s="16"/>
      <c r="T4" s="16" t="e">
        <f>VLOOKUP(E4,'[2]21-3-2026'!E$3:T$35,16,FALSE)</f>
        <v>#N/A</v>
      </c>
      <c r="U4" s="16"/>
      <c r="V4" s="16" t="e">
        <f t="shared" ref="V4:V67" si="5">U4-T4-S4</f>
        <v>#N/A</v>
      </c>
      <c r="W4" s="16"/>
      <c r="X4" s="16"/>
      <c r="Y4" s="16"/>
      <c r="Z4" s="16">
        <f t="shared" ref="Z4:Z67" si="6">Y4-X4</f>
        <v>0</v>
      </c>
      <c r="AA4" s="16">
        <f t="shared" si="0"/>
        <v>0</v>
      </c>
      <c r="AB4" s="16"/>
      <c r="AC4" s="17"/>
      <c r="AD4" s="48"/>
    </row>
    <row r="5" spans="1:30" ht="19.5" thickBot="1" x14ac:dyDescent="0.3">
      <c r="A5" s="14">
        <v>3</v>
      </c>
      <c r="B5" s="15"/>
      <c r="C5" s="15" t="e">
        <f>VLOOKUP(B5,داتا!$B$3:$D$107,2,FALSE)</f>
        <v>#N/A</v>
      </c>
      <c r="D5" s="34" t="e">
        <f>VLOOKUP(B5,داتا!$B$3:$D$107,3,FALSE)</f>
        <v>#N/A</v>
      </c>
      <c r="E5" s="15"/>
      <c r="F5" s="15"/>
      <c r="G5" s="16">
        <v>0.25</v>
      </c>
      <c r="H5" s="16"/>
      <c r="I5" s="16">
        <f t="shared" si="1"/>
        <v>-0.25</v>
      </c>
      <c r="J5" s="16"/>
      <c r="K5" s="16"/>
      <c r="L5" s="16"/>
      <c r="M5" s="16"/>
      <c r="N5" s="16">
        <f t="shared" si="2"/>
        <v>0</v>
      </c>
      <c r="O5" s="16" t="e">
        <f t="shared" si="3"/>
        <v>#N/A</v>
      </c>
      <c r="P5" s="16">
        <v>6.9444444444444397E-3</v>
      </c>
      <c r="Q5" s="16"/>
      <c r="R5" s="16">
        <f t="shared" si="4"/>
        <v>-6.9444444444444397E-3</v>
      </c>
      <c r="S5" s="16"/>
      <c r="T5" s="16" t="e">
        <f>VLOOKUP(E5,'[2]21-3-2026'!E$3:T$35,16,FALSE)</f>
        <v>#N/A</v>
      </c>
      <c r="U5" s="16"/>
      <c r="V5" s="16" t="e">
        <f t="shared" si="5"/>
        <v>#N/A</v>
      </c>
      <c r="W5" s="16"/>
      <c r="X5" s="16"/>
      <c r="Y5" s="16"/>
      <c r="Z5" s="16">
        <f t="shared" si="6"/>
        <v>0</v>
      </c>
      <c r="AA5" s="16">
        <f t="shared" si="0"/>
        <v>0</v>
      </c>
      <c r="AB5" s="16"/>
      <c r="AC5" s="17"/>
      <c r="AD5" s="48"/>
    </row>
    <row r="6" spans="1:30" ht="19.5" thickBot="1" x14ac:dyDescent="0.3">
      <c r="A6" s="14">
        <v>4</v>
      </c>
      <c r="B6" s="15"/>
      <c r="C6" s="15" t="e">
        <f>VLOOKUP(B6,داتا!$B$3:$D$107,2,FALSE)</f>
        <v>#N/A</v>
      </c>
      <c r="D6" s="34" t="e">
        <f>VLOOKUP(B6,داتا!$B$3:$D$107,3,FALSE)</f>
        <v>#N/A</v>
      </c>
      <c r="E6" s="15"/>
      <c r="F6" s="15"/>
      <c r="G6" s="16">
        <v>0.25</v>
      </c>
      <c r="H6" s="16"/>
      <c r="I6" s="16">
        <f t="shared" si="1"/>
        <v>-0.25</v>
      </c>
      <c r="J6" s="16"/>
      <c r="K6" s="16"/>
      <c r="L6" s="16"/>
      <c r="M6" s="16"/>
      <c r="N6" s="16">
        <f t="shared" si="2"/>
        <v>0</v>
      </c>
      <c r="O6" s="16" t="e">
        <f t="shared" si="3"/>
        <v>#N/A</v>
      </c>
      <c r="P6" s="16">
        <v>6.9444444444444397E-3</v>
      </c>
      <c r="Q6" s="16"/>
      <c r="R6" s="16">
        <f t="shared" si="4"/>
        <v>-6.9444444444444397E-3</v>
      </c>
      <c r="S6" s="16"/>
      <c r="T6" s="16" t="e">
        <f>VLOOKUP(E6,'[2]21-3-2026'!E$3:T$35,16,FALSE)</f>
        <v>#N/A</v>
      </c>
      <c r="U6" s="16"/>
      <c r="V6" s="16" t="e">
        <f t="shared" si="5"/>
        <v>#N/A</v>
      </c>
      <c r="W6" s="16"/>
      <c r="X6" s="16"/>
      <c r="Y6" s="16"/>
      <c r="Z6" s="16">
        <f t="shared" si="6"/>
        <v>0</v>
      </c>
      <c r="AA6" s="16">
        <f t="shared" si="0"/>
        <v>0</v>
      </c>
      <c r="AB6" s="16"/>
      <c r="AC6" s="17"/>
      <c r="AD6" s="48"/>
    </row>
    <row r="7" spans="1:30" ht="19.5" thickBot="1" x14ac:dyDescent="0.3">
      <c r="A7" s="14">
        <v>5</v>
      </c>
      <c r="B7" s="15"/>
      <c r="C7" s="15" t="e">
        <f>VLOOKUP(B7,داتا!$B$3:$D$107,2,FALSE)</f>
        <v>#N/A</v>
      </c>
      <c r="D7" s="34" t="e">
        <f>VLOOKUP(B7,داتا!$B$3:$D$107,3,FALSE)</f>
        <v>#N/A</v>
      </c>
      <c r="E7" s="15"/>
      <c r="F7" s="15"/>
      <c r="G7" s="16">
        <v>0.25</v>
      </c>
      <c r="H7" s="16"/>
      <c r="I7" s="16">
        <f t="shared" si="1"/>
        <v>-0.25</v>
      </c>
      <c r="J7" s="16"/>
      <c r="K7" s="16"/>
      <c r="L7" s="16"/>
      <c r="M7" s="16"/>
      <c r="N7" s="16">
        <f t="shared" si="2"/>
        <v>0</v>
      </c>
      <c r="O7" s="16" t="e">
        <f t="shared" si="3"/>
        <v>#N/A</v>
      </c>
      <c r="P7" s="16">
        <v>6.9444444444444397E-3</v>
      </c>
      <c r="Q7" s="16"/>
      <c r="R7" s="16">
        <f t="shared" si="4"/>
        <v>-6.9444444444444397E-3</v>
      </c>
      <c r="S7" s="16"/>
      <c r="T7" s="16" t="e">
        <f>VLOOKUP(E7,'[2]21-3-2026'!E$3:T$35,16,FALSE)</f>
        <v>#N/A</v>
      </c>
      <c r="U7" s="16"/>
      <c r="V7" s="16" t="e">
        <f t="shared" si="5"/>
        <v>#N/A</v>
      </c>
      <c r="W7" s="16"/>
      <c r="X7" s="16"/>
      <c r="Y7" s="16"/>
      <c r="Z7" s="16">
        <f t="shared" si="6"/>
        <v>0</v>
      </c>
      <c r="AA7" s="16">
        <f t="shared" si="0"/>
        <v>0</v>
      </c>
      <c r="AB7" s="16"/>
      <c r="AC7" s="17"/>
      <c r="AD7" s="48"/>
    </row>
    <row r="8" spans="1:30" ht="19.5" thickBot="1" x14ac:dyDescent="0.3">
      <c r="A8" s="14">
        <v>6</v>
      </c>
      <c r="B8" s="15"/>
      <c r="C8" s="15" t="e">
        <f>VLOOKUP(B8,داتا!$B$3:$D$107,2,FALSE)</f>
        <v>#N/A</v>
      </c>
      <c r="D8" s="34" t="e">
        <f>VLOOKUP(B8,داتا!$B$3:$D$107,3,FALSE)</f>
        <v>#N/A</v>
      </c>
      <c r="E8" s="15"/>
      <c r="F8" s="15"/>
      <c r="G8" s="16">
        <v>0.25</v>
      </c>
      <c r="H8" s="16"/>
      <c r="I8" s="16">
        <f t="shared" si="1"/>
        <v>-0.25</v>
      </c>
      <c r="J8" s="16"/>
      <c r="K8" s="16"/>
      <c r="L8" s="16"/>
      <c r="M8" s="16"/>
      <c r="N8" s="16">
        <f t="shared" si="2"/>
        <v>0</v>
      </c>
      <c r="O8" s="16" t="e">
        <f t="shared" si="3"/>
        <v>#N/A</v>
      </c>
      <c r="P8" s="16">
        <v>6.9444444444444397E-3</v>
      </c>
      <c r="Q8" s="16"/>
      <c r="R8" s="16">
        <f t="shared" si="4"/>
        <v>-6.9444444444444397E-3</v>
      </c>
      <c r="S8" s="16"/>
      <c r="T8" s="16" t="e">
        <f>VLOOKUP(E8,'[2]21-3-2026'!E$3:T$35,16,FALSE)</f>
        <v>#N/A</v>
      </c>
      <c r="U8" s="16"/>
      <c r="V8" s="16" t="e">
        <f t="shared" si="5"/>
        <v>#N/A</v>
      </c>
      <c r="W8" s="16"/>
      <c r="X8" s="16"/>
      <c r="Y8" s="16"/>
      <c r="Z8" s="16">
        <f t="shared" si="6"/>
        <v>0</v>
      </c>
      <c r="AA8" s="16">
        <f t="shared" si="0"/>
        <v>0</v>
      </c>
      <c r="AB8" s="16"/>
      <c r="AC8" s="18"/>
      <c r="AD8" s="48"/>
    </row>
    <row r="9" spans="1:30" ht="19.5" thickBot="1" x14ac:dyDescent="0.3">
      <c r="A9" s="14">
        <v>7</v>
      </c>
      <c r="B9" s="15"/>
      <c r="C9" s="15" t="e">
        <f>VLOOKUP(B9,داتا!$B$3:$D$107,2,FALSE)</f>
        <v>#N/A</v>
      </c>
      <c r="D9" s="34" t="e">
        <f>VLOOKUP(B9,داتا!$B$3:$D$107,3,FALSE)</f>
        <v>#N/A</v>
      </c>
      <c r="E9" s="15"/>
      <c r="F9" s="15"/>
      <c r="G9" s="16">
        <v>0.25</v>
      </c>
      <c r="H9" s="16"/>
      <c r="I9" s="16">
        <f t="shared" si="1"/>
        <v>-0.25</v>
      </c>
      <c r="J9" s="16"/>
      <c r="K9" s="16"/>
      <c r="L9" s="16"/>
      <c r="M9" s="16"/>
      <c r="N9" s="16">
        <f t="shared" si="2"/>
        <v>0</v>
      </c>
      <c r="O9" s="16" t="e">
        <f t="shared" si="3"/>
        <v>#N/A</v>
      </c>
      <c r="P9" s="16">
        <v>6.9444444444444397E-3</v>
      </c>
      <c r="Q9" s="16"/>
      <c r="R9" s="16">
        <f t="shared" si="4"/>
        <v>-6.9444444444444397E-3</v>
      </c>
      <c r="S9" s="16"/>
      <c r="T9" s="16" t="e">
        <f>VLOOKUP(E9,'[2]21-3-2026'!E$3:T$35,16,FALSE)</f>
        <v>#N/A</v>
      </c>
      <c r="U9" s="16"/>
      <c r="V9" s="16" t="e">
        <f t="shared" si="5"/>
        <v>#N/A</v>
      </c>
      <c r="W9" s="16"/>
      <c r="X9" s="16"/>
      <c r="Y9" s="16"/>
      <c r="Z9" s="16">
        <f t="shared" si="6"/>
        <v>0</v>
      </c>
      <c r="AA9" s="16">
        <f t="shared" si="0"/>
        <v>0</v>
      </c>
      <c r="AB9" s="16"/>
      <c r="AC9" s="17"/>
      <c r="AD9" s="48"/>
    </row>
    <row r="10" spans="1:30" ht="19.5" thickBot="1" x14ac:dyDescent="0.3">
      <c r="A10" s="14">
        <v>8</v>
      </c>
      <c r="B10" s="15"/>
      <c r="C10" s="15" t="e">
        <f>VLOOKUP(B10,داتا!$B$3:$D$107,2,FALSE)</f>
        <v>#N/A</v>
      </c>
      <c r="D10" s="34" t="e">
        <f>VLOOKUP(B10,داتا!$B$3:$D$107,3,FALSE)</f>
        <v>#N/A</v>
      </c>
      <c r="E10" s="15"/>
      <c r="F10" s="15"/>
      <c r="G10" s="16">
        <v>0.25</v>
      </c>
      <c r="H10" s="16"/>
      <c r="I10" s="16">
        <f t="shared" si="1"/>
        <v>-0.25</v>
      </c>
      <c r="J10" s="16"/>
      <c r="K10" s="16"/>
      <c r="L10" s="16"/>
      <c r="M10" s="16"/>
      <c r="N10" s="16">
        <f t="shared" si="2"/>
        <v>0</v>
      </c>
      <c r="O10" s="16" t="e">
        <f t="shared" si="3"/>
        <v>#N/A</v>
      </c>
      <c r="P10" s="16">
        <v>6.9444444444444397E-3</v>
      </c>
      <c r="Q10" s="16"/>
      <c r="R10" s="16">
        <f t="shared" si="4"/>
        <v>-6.9444444444444397E-3</v>
      </c>
      <c r="S10" s="16"/>
      <c r="T10" s="16" t="e">
        <f>VLOOKUP(E10,'[2]21-3-2026'!E$3:T$35,16,FALSE)</f>
        <v>#N/A</v>
      </c>
      <c r="U10" s="16"/>
      <c r="V10" s="16" t="e">
        <f t="shared" si="5"/>
        <v>#N/A</v>
      </c>
      <c r="W10" s="16"/>
      <c r="X10" s="16"/>
      <c r="Y10" s="16"/>
      <c r="Z10" s="16">
        <f t="shared" si="6"/>
        <v>0</v>
      </c>
      <c r="AA10" s="16">
        <f t="shared" si="0"/>
        <v>0</v>
      </c>
      <c r="AB10" s="16"/>
      <c r="AC10" s="17"/>
      <c r="AD10" s="48"/>
    </row>
    <row r="11" spans="1:30" ht="19.5" thickBot="1" x14ac:dyDescent="0.3">
      <c r="A11" s="14">
        <v>9</v>
      </c>
      <c r="B11" s="15"/>
      <c r="C11" s="15" t="e">
        <f>VLOOKUP(B11,داتا!$B$3:$D$107,2,FALSE)</f>
        <v>#N/A</v>
      </c>
      <c r="D11" s="34" t="e">
        <f>VLOOKUP(B11,داتا!$B$3:$D$107,3,FALSE)</f>
        <v>#N/A</v>
      </c>
      <c r="E11" s="15"/>
      <c r="F11" s="15"/>
      <c r="G11" s="16">
        <v>0.25</v>
      </c>
      <c r="H11" s="16"/>
      <c r="I11" s="16">
        <f t="shared" si="1"/>
        <v>-0.25</v>
      </c>
      <c r="J11" s="16"/>
      <c r="K11" s="16"/>
      <c r="L11" s="16"/>
      <c r="M11" s="16"/>
      <c r="N11" s="16">
        <f t="shared" si="2"/>
        <v>0</v>
      </c>
      <c r="O11" s="16" t="e">
        <f t="shared" si="3"/>
        <v>#N/A</v>
      </c>
      <c r="P11" s="16">
        <v>6.9444444444444397E-3</v>
      </c>
      <c r="Q11" s="16"/>
      <c r="R11" s="16">
        <f t="shared" si="4"/>
        <v>-6.9444444444444397E-3</v>
      </c>
      <c r="S11" s="16"/>
      <c r="T11" s="16" t="e">
        <f>VLOOKUP(E11,'[2]21-3-2026'!E$3:T$35,16,FALSE)</f>
        <v>#N/A</v>
      </c>
      <c r="U11" s="16"/>
      <c r="V11" s="16" t="e">
        <f t="shared" si="5"/>
        <v>#N/A</v>
      </c>
      <c r="W11" s="16"/>
      <c r="X11" s="16"/>
      <c r="Y11" s="16"/>
      <c r="Z11" s="16">
        <f t="shared" si="6"/>
        <v>0</v>
      </c>
      <c r="AA11" s="16">
        <f t="shared" si="0"/>
        <v>0</v>
      </c>
      <c r="AB11" s="16"/>
      <c r="AC11" s="17"/>
      <c r="AD11" s="48"/>
    </row>
    <row r="12" spans="1:30" ht="19.5" thickBot="1" x14ac:dyDescent="0.3">
      <c r="A12" s="14">
        <v>10</v>
      </c>
      <c r="B12" s="15"/>
      <c r="C12" s="15" t="e">
        <f>VLOOKUP(B12,داتا!$B$3:$D$107,2,FALSE)</f>
        <v>#N/A</v>
      </c>
      <c r="D12" s="34" t="e">
        <f>VLOOKUP(B12,داتا!$B$3:$D$107,3,FALSE)</f>
        <v>#N/A</v>
      </c>
      <c r="E12" s="15"/>
      <c r="F12" s="15"/>
      <c r="G12" s="16">
        <v>0.25</v>
      </c>
      <c r="H12" s="16"/>
      <c r="I12" s="16">
        <f t="shared" si="1"/>
        <v>-0.25</v>
      </c>
      <c r="J12" s="16"/>
      <c r="K12" s="16"/>
      <c r="L12" s="16"/>
      <c r="M12" s="16"/>
      <c r="N12" s="16">
        <f t="shared" si="2"/>
        <v>0</v>
      </c>
      <c r="O12" s="16" t="e">
        <f t="shared" si="3"/>
        <v>#N/A</v>
      </c>
      <c r="P12" s="16">
        <v>6.9444444444444397E-3</v>
      </c>
      <c r="Q12" s="16"/>
      <c r="R12" s="16">
        <f t="shared" si="4"/>
        <v>-6.9444444444444397E-3</v>
      </c>
      <c r="S12" s="16"/>
      <c r="T12" s="16" t="e">
        <f>VLOOKUP(E12,'[2]21-3-2026'!E$3:T$35,16,FALSE)</f>
        <v>#N/A</v>
      </c>
      <c r="U12" s="16"/>
      <c r="V12" s="16" t="e">
        <f t="shared" si="5"/>
        <v>#N/A</v>
      </c>
      <c r="W12" s="16"/>
      <c r="X12" s="16"/>
      <c r="Y12" s="16"/>
      <c r="Z12" s="16">
        <f t="shared" si="6"/>
        <v>0</v>
      </c>
      <c r="AA12" s="16">
        <f t="shared" si="0"/>
        <v>0</v>
      </c>
      <c r="AB12" s="16"/>
      <c r="AC12" s="17"/>
      <c r="AD12" s="48"/>
    </row>
    <row r="13" spans="1:30" ht="19.5" thickBot="1" x14ac:dyDescent="0.3">
      <c r="A13" s="14">
        <v>11</v>
      </c>
      <c r="B13" s="15"/>
      <c r="C13" s="15" t="e">
        <f>VLOOKUP(B13,داتا!$B$3:$D$107,2,FALSE)</f>
        <v>#N/A</v>
      </c>
      <c r="D13" s="34" t="e">
        <f>VLOOKUP(B13,داتا!$B$3:$D$107,3,FALSE)</f>
        <v>#N/A</v>
      </c>
      <c r="E13" s="15"/>
      <c r="F13" s="15"/>
      <c r="G13" s="16">
        <v>0.25</v>
      </c>
      <c r="H13" s="16"/>
      <c r="I13" s="16">
        <f t="shared" si="1"/>
        <v>-0.25</v>
      </c>
      <c r="J13" s="16"/>
      <c r="K13" s="16"/>
      <c r="L13" s="16"/>
      <c r="M13" s="16"/>
      <c r="N13" s="16">
        <f t="shared" si="2"/>
        <v>0</v>
      </c>
      <c r="O13" s="16" t="e">
        <f t="shared" si="3"/>
        <v>#N/A</v>
      </c>
      <c r="P13" s="16">
        <v>6.9444444444444397E-3</v>
      </c>
      <c r="Q13" s="16"/>
      <c r="R13" s="16">
        <f t="shared" si="4"/>
        <v>-6.9444444444444397E-3</v>
      </c>
      <c r="S13" s="16"/>
      <c r="T13" s="16" t="e">
        <f>VLOOKUP(E13,'[2]21-3-2026'!E$3:T$35,16,FALSE)</f>
        <v>#N/A</v>
      </c>
      <c r="U13" s="16"/>
      <c r="V13" s="16" t="e">
        <f t="shared" si="5"/>
        <v>#N/A</v>
      </c>
      <c r="W13" s="16"/>
      <c r="X13" s="16"/>
      <c r="Y13" s="16"/>
      <c r="Z13" s="16">
        <f t="shared" si="6"/>
        <v>0</v>
      </c>
      <c r="AA13" s="16">
        <f t="shared" si="0"/>
        <v>0</v>
      </c>
      <c r="AB13" s="16"/>
      <c r="AC13" s="18"/>
      <c r="AD13" s="48"/>
    </row>
    <row r="14" spans="1:30" ht="19.5" thickBot="1" x14ac:dyDescent="0.3">
      <c r="A14" s="14">
        <v>12</v>
      </c>
      <c r="B14" s="15"/>
      <c r="C14" s="15" t="e">
        <f>VLOOKUP(B14,داتا!$B$3:$D$107,2,FALSE)</f>
        <v>#N/A</v>
      </c>
      <c r="D14" s="34" t="e">
        <f>VLOOKUP(B14,داتا!$B$3:$D$107,3,FALSE)</f>
        <v>#N/A</v>
      </c>
      <c r="E14" s="15"/>
      <c r="F14" s="15"/>
      <c r="G14" s="16">
        <v>0.25</v>
      </c>
      <c r="H14" s="16"/>
      <c r="I14" s="16">
        <f t="shared" si="1"/>
        <v>-0.25</v>
      </c>
      <c r="J14" s="16"/>
      <c r="K14" s="16"/>
      <c r="L14" s="16"/>
      <c r="M14" s="16"/>
      <c r="N14" s="16">
        <f t="shared" si="2"/>
        <v>0</v>
      </c>
      <c r="O14" s="16" t="e">
        <f t="shared" si="3"/>
        <v>#N/A</v>
      </c>
      <c r="P14" s="16">
        <v>6.9444444444444397E-3</v>
      </c>
      <c r="Q14" s="16"/>
      <c r="R14" s="16">
        <f t="shared" si="4"/>
        <v>-6.9444444444444397E-3</v>
      </c>
      <c r="S14" s="16"/>
      <c r="T14" s="16" t="e">
        <f>VLOOKUP(E14,'[2]21-3-2026'!E$3:T$35,16,FALSE)</f>
        <v>#N/A</v>
      </c>
      <c r="U14" s="16"/>
      <c r="V14" s="16" t="e">
        <f t="shared" si="5"/>
        <v>#N/A</v>
      </c>
      <c r="W14" s="16"/>
      <c r="X14" s="16"/>
      <c r="Y14" s="16"/>
      <c r="Z14" s="16">
        <f t="shared" si="6"/>
        <v>0</v>
      </c>
      <c r="AA14" s="16">
        <f t="shared" si="0"/>
        <v>0</v>
      </c>
      <c r="AB14" s="16"/>
      <c r="AC14" s="17"/>
      <c r="AD14" s="48"/>
    </row>
    <row r="15" spans="1:30" ht="19.5" thickBot="1" x14ac:dyDescent="0.3">
      <c r="A15" s="14">
        <v>13</v>
      </c>
      <c r="B15" s="15"/>
      <c r="C15" s="15" t="e">
        <f>VLOOKUP(B15,داتا!$B$3:$D$107,2,FALSE)</f>
        <v>#N/A</v>
      </c>
      <c r="D15" s="34" t="e">
        <f>VLOOKUP(B15,داتا!$B$3:$D$107,3,FALSE)</f>
        <v>#N/A</v>
      </c>
      <c r="E15" s="15"/>
      <c r="F15" s="15"/>
      <c r="G15" s="16">
        <v>0.25</v>
      </c>
      <c r="H15" s="16"/>
      <c r="I15" s="16">
        <f t="shared" si="1"/>
        <v>-0.25</v>
      </c>
      <c r="J15" s="16"/>
      <c r="K15" s="16"/>
      <c r="L15" s="16"/>
      <c r="M15" s="16"/>
      <c r="N15" s="16">
        <f t="shared" si="2"/>
        <v>0</v>
      </c>
      <c r="O15" s="16" t="e">
        <f t="shared" si="3"/>
        <v>#N/A</v>
      </c>
      <c r="P15" s="16">
        <v>6.9444444444444397E-3</v>
      </c>
      <c r="Q15" s="16"/>
      <c r="R15" s="16">
        <f t="shared" si="4"/>
        <v>-6.9444444444444397E-3</v>
      </c>
      <c r="S15" s="16"/>
      <c r="T15" s="16" t="e">
        <f>VLOOKUP(E15,'[2]21-3-2026'!E$3:T$35,16,FALSE)</f>
        <v>#N/A</v>
      </c>
      <c r="U15" s="16"/>
      <c r="V15" s="16" t="e">
        <f t="shared" si="5"/>
        <v>#N/A</v>
      </c>
      <c r="W15" s="16"/>
      <c r="X15" s="16"/>
      <c r="Y15" s="16"/>
      <c r="Z15" s="16">
        <f t="shared" si="6"/>
        <v>0</v>
      </c>
      <c r="AA15" s="16">
        <f t="shared" si="0"/>
        <v>0</v>
      </c>
      <c r="AB15" s="16"/>
      <c r="AC15" s="17"/>
      <c r="AD15" s="48"/>
    </row>
    <row r="16" spans="1:30" ht="19.5" thickBot="1" x14ac:dyDescent="0.3">
      <c r="A16" s="14">
        <v>14</v>
      </c>
      <c r="B16" s="15"/>
      <c r="C16" s="15" t="e">
        <f>VLOOKUP(B16,داتا!$B$3:$D$107,2,FALSE)</f>
        <v>#N/A</v>
      </c>
      <c r="D16" s="34" t="e">
        <f>VLOOKUP(B16,داتا!$B$3:$D$107,3,FALSE)</f>
        <v>#N/A</v>
      </c>
      <c r="E16" s="15"/>
      <c r="F16" s="15"/>
      <c r="G16" s="16">
        <v>0.25</v>
      </c>
      <c r="H16" s="16"/>
      <c r="I16" s="16">
        <f t="shared" si="1"/>
        <v>-0.25</v>
      </c>
      <c r="J16" s="16"/>
      <c r="K16" s="16"/>
      <c r="L16" s="16"/>
      <c r="M16" s="16"/>
      <c r="N16" s="16">
        <f t="shared" si="2"/>
        <v>0</v>
      </c>
      <c r="O16" s="16" t="e">
        <f t="shared" si="3"/>
        <v>#N/A</v>
      </c>
      <c r="P16" s="16">
        <v>6.9444444444444397E-3</v>
      </c>
      <c r="Q16" s="16"/>
      <c r="R16" s="16">
        <f t="shared" si="4"/>
        <v>-6.9444444444444397E-3</v>
      </c>
      <c r="S16" s="16"/>
      <c r="T16" s="16" t="e">
        <f>VLOOKUP(E16,'[2]21-3-2026'!E$3:T$35,16,FALSE)</f>
        <v>#N/A</v>
      </c>
      <c r="U16" s="16"/>
      <c r="V16" s="16" t="e">
        <f t="shared" si="5"/>
        <v>#N/A</v>
      </c>
      <c r="W16" s="16"/>
      <c r="X16" s="16"/>
      <c r="Y16" s="16"/>
      <c r="Z16" s="16">
        <f t="shared" si="6"/>
        <v>0</v>
      </c>
      <c r="AA16" s="16">
        <f t="shared" si="0"/>
        <v>0</v>
      </c>
      <c r="AB16" s="16"/>
      <c r="AC16" s="17"/>
      <c r="AD16" s="48"/>
    </row>
    <row r="17" spans="1:30" ht="19.5" thickBot="1" x14ac:dyDescent="0.3">
      <c r="A17" s="14">
        <v>15</v>
      </c>
      <c r="B17" s="15"/>
      <c r="C17" s="15" t="e">
        <f>VLOOKUP(B17,داتا!$B$3:$D$107,2,FALSE)</f>
        <v>#N/A</v>
      </c>
      <c r="D17" s="34" t="e">
        <f>VLOOKUP(B17,داتا!$B$3:$D$107,3,FALSE)</f>
        <v>#N/A</v>
      </c>
      <c r="E17" s="15"/>
      <c r="F17" s="15"/>
      <c r="G17" s="16">
        <v>0.25</v>
      </c>
      <c r="H17" s="16"/>
      <c r="I17" s="16">
        <f t="shared" si="1"/>
        <v>-0.25</v>
      </c>
      <c r="J17" s="16"/>
      <c r="K17" s="16"/>
      <c r="L17" s="16"/>
      <c r="M17" s="16"/>
      <c r="N17" s="16">
        <f t="shared" si="2"/>
        <v>0</v>
      </c>
      <c r="O17" s="16" t="e">
        <f t="shared" si="3"/>
        <v>#N/A</v>
      </c>
      <c r="P17" s="16">
        <v>6.9444444444444397E-3</v>
      </c>
      <c r="Q17" s="16"/>
      <c r="R17" s="16">
        <f t="shared" si="4"/>
        <v>-6.9444444444444397E-3</v>
      </c>
      <c r="S17" s="16"/>
      <c r="T17" s="16" t="e">
        <f>VLOOKUP(E17,'[2]21-3-2026'!E$3:T$35,16,FALSE)</f>
        <v>#N/A</v>
      </c>
      <c r="U17" s="16"/>
      <c r="V17" s="16" t="e">
        <f t="shared" si="5"/>
        <v>#N/A</v>
      </c>
      <c r="W17" s="16"/>
      <c r="X17" s="16"/>
      <c r="Y17" s="16"/>
      <c r="Z17" s="16">
        <f t="shared" si="6"/>
        <v>0</v>
      </c>
      <c r="AA17" s="16">
        <f t="shared" si="0"/>
        <v>0</v>
      </c>
      <c r="AB17" s="16"/>
      <c r="AC17" s="17"/>
      <c r="AD17" s="48"/>
    </row>
    <row r="18" spans="1:30" ht="19.5" thickBot="1" x14ac:dyDescent="0.3">
      <c r="A18" s="14">
        <v>16</v>
      </c>
      <c r="B18" s="15"/>
      <c r="C18" s="15" t="e">
        <f>VLOOKUP(B18,داتا!$B$3:$D$107,2,FALSE)</f>
        <v>#N/A</v>
      </c>
      <c r="D18" s="34" t="e">
        <f>VLOOKUP(B18,داتا!$B$3:$D$107,3,FALSE)</f>
        <v>#N/A</v>
      </c>
      <c r="E18" s="16"/>
      <c r="F18" s="15"/>
      <c r="G18" s="16">
        <v>0.25</v>
      </c>
      <c r="H18" s="16"/>
      <c r="I18" s="16">
        <f t="shared" si="1"/>
        <v>-0.25</v>
      </c>
      <c r="J18" s="16"/>
      <c r="K18" s="16"/>
      <c r="L18" s="16"/>
      <c r="M18" s="16"/>
      <c r="N18" s="16">
        <f t="shared" si="2"/>
        <v>0</v>
      </c>
      <c r="O18" s="16" t="e">
        <f t="shared" si="3"/>
        <v>#N/A</v>
      </c>
      <c r="P18" s="16">
        <v>6.9444444444444397E-3</v>
      </c>
      <c r="Q18" s="16"/>
      <c r="R18" s="16">
        <f t="shared" si="4"/>
        <v>-6.9444444444444397E-3</v>
      </c>
      <c r="S18" s="16"/>
      <c r="T18" s="16" t="e">
        <f>VLOOKUP(E18,'[2]21-3-2026'!E$3:T$35,16,FALSE)</f>
        <v>#N/A</v>
      </c>
      <c r="U18" s="16"/>
      <c r="V18" s="16" t="e">
        <f t="shared" si="5"/>
        <v>#N/A</v>
      </c>
      <c r="W18" s="16"/>
      <c r="X18" s="16"/>
      <c r="Y18" s="16"/>
      <c r="Z18" s="16">
        <f t="shared" si="6"/>
        <v>0</v>
      </c>
      <c r="AA18" s="16">
        <f t="shared" si="0"/>
        <v>0</v>
      </c>
      <c r="AB18" s="16"/>
      <c r="AC18" s="17"/>
      <c r="AD18" s="48"/>
    </row>
    <row r="19" spans="1:30" ht="19.5" thickBot="1" x14ac:dyDescent="0.3">
      <c r="A19" s="14">
        <v>17</v>
      </c>
      <c r="B19" s="15"/>
      <c r="C19" s="15" t="e">
        <f>VLOOKUP(B19,داتا!$B$3:$D$107,2,FALSE)</f>
        <v>#N/A</v>
      </c>
      <c r="D19" s="34" t="e">
        <f>VLOOKUP(B19,داتا!$B$3:$D$107,3,FALSE)</f>
        <v>#N/A</v>
      </c>
      <c r="E19" s="15"/>
      <c r="F19" s="15"/>
      <c r="G19" s="16">
        <v>0.25</v>
      </c>
      <c r="H19" s="16"/>
      <c r="I19" s="16">
        <f t="shared" si="1"/>
        <v>-0.25</v>
      </c>
      <c r="J19" s="16"/>
      <c r="K19" s="16"/>
      <c r="L19" s="16"/>
      <c r="M19" s="16"/>
      <c r="N19" s="16">
        <f t="shared" si="2"/>
        <v>0</v>
      </c>
      <c r="O19" s="16" t="e">
        <f t="shared" si="3"/>
        <v>#N/A</v>
      </c>
      <c r="P19" s="16">
        <v>6.9444444444444397E-3</v>
      </c>
      <c r="Q19" s="16"/>
      <c r="R19" s="16">
        <f t="shared" si="4"/>
        <v>-6.9444444444444397E-3</v>
      </c>
      <c r="S19" s="16"/>
      <c r="T19" s="16" t="e">
        <f>VLOOKUP(E19,'[2]21-3-2026'!E$3:T$35,16,FALSE)</f>
        <v>#N/A</v>
      </c>
      <c r="U19" s="16"/>
      <c r="V19" s="16" t="e">
        <f t="shared" si="5"/>
        <v>#N/A</v>
      </c>
      <c r="W19" s="16"/>
      <c r="X19" s="16"/>
      <c r="Y19" s="16"/>
      <c r="Z19" s="16">
        <f t="shared" si="6"/>
        <v>0</v>
      </c>
      <c r="AA19" s="16">
        <f t="shared" si="0"/>
        <v>0</v>
      </c>
      <c r="AB19" s="16"/>
      <c r="AC19" s="17"/>
      <c r="AD19" s="48"/>
    </row>
    <row r="20" spans="1:30" ht="19.5" thickBot="1" x14ac:dyDescent="0.3">
      <c r="A20" s="14">
        <v>18</v>
      </c>
      <c r="B20" s="15"/>
      <c r="C20" s="15" t="e">
        <f>VLOOKUP(B20,داتا!$B$3:$D$107,2,FALSE)</f>
        <v>#N/A</v>
      </c>
      <c r="D20" s="34" t="e">
        <f>VLOOKUP(B20,داتا!$B$3:$D$107,3,FALSE)</f>
        <v>#N/A</v>
      </c>
      <c r="E20" s="15"/>
      <c r="F20" s="15"/>
      <c r="G20" s="16">
        <v>0.25</v>
      </c>
      <c r="H20" s="16"/>
      <c r="I20" s="16">
        <f t="shared" si="1"/>
        <v>-0.25</v>
      </c>
      <c r="J20" s="16"/>
      <c r="K20" s="16"/>
      <c r="L20" s="16"/>
      <c r="M20" s="16"/>
      <c r="N20" s="16">
        <f t="shared" si="2"/>
        <v>0</v>
      </c>
      <c r="O20" s="16" t="e">
        <f t="shared" si="3"/>
        <v>#N/A</v>
      </c>
      <c r="P20" s="16">
        <v>6.9444444444444397E-3</v>
      </c>
      <c r="Q20" s="16"/>
      <c r="R20" s="16">
        <f t="shared" si="4"/>
        <v>-6.9444444444444397E-3</v>
      </c>
      <c r="S20" s="16"/>
      <c r="T20" s="16" t="e">
        <f>VLOOKUP(E20,'[2]21-3-2026'!E$3:T$35,16,FALSE)</f>
        <v>#N/A</v>
      </c>
      <c r="U20" s="16"/>
      <c r="V20" s="16" t="e">
        <f t="shared" si="5"/>
        <v>#N/A</v>
      </c>
      <c r="W20" s="16"/>
      <c r="X20" s="16"/>
      <c r="Y20" s="16"/>
      <c r="Z20" s="16">
        <f t="shared" si="6"/>
        <v>0</v>
      </c>
      <c r="AA20" s="16">
        <f t="shared" si="0"/>
        <v>0</v>
      </c>
      <c r="AB20" s="16"/>
      <c r="AC20" s="17"/>
      <c r="AD20" s="48"/>
    </row>
    <row r="21" spans="1:30" ht="19.5" thickBot="1" x14ac:dyDescent="0.3">
      <c r="A21" s="14">
        <v>19</v>
      </c>
      <c r="B21" s="15"/>
      <c r="C21" s="15" t="e">
        <f>VLOOKUP(B21,داتا!$B$3:$D$107,2,FALSE)</f>
        <v>#N/A</v>
      </c>
      <c r="D21" s="34" t="e">
        <f>VLOOKUP(B21,داتا!$B$3:$D$107,3,FALSE)</f>
        <v>#N/A</v>
      </c>
      <c r="E21" s="15"/>
      <c r="F21" s="15"/>
      <c r="G21" s="16">
        <v>0.25</v>
      </c>
      <c r="H21" s="16"/>
      <c r="I21" s="16">
        <f t="shared" si="1"/>
        <v>-0.25</v>
      </c>
      <c r="J21" s="16"/>
      <c r="K21" s="16"/>
      <c r="L21" s="16"/>
      <c r="M21" s="16"/>
      <c r="N21" s="16">
        <f t="shared" si="2"/>
        <v>0</v>
      </c>
      <c r="O21" s="16" t="e">
        <f t="shared" si="3"/>
        <v>#N/A</v>
      </c>
      <c r="P21" s="16">
        <v>6.9444444444444397E-3</v>
      </c>
      <c r="Q21" s="16"/>
      <c r="R21" s="16">
        <f t="shared" si="4"/>
        <v>-6.9444444444444397E-3</v>
      </c>
      <c r="S21" s="16"/>
      <c r="T21" s="16" t="e">
        <f>VLOOKUP(E21,'[2]21-3-2026'!E$3:T$35,16,FALSE)</f>
        <v>#N/A</v>
      </c>
      <c r="U21" s="16"/>
      <c r="V21" s="16" t="e">
        <f t="shared" si="5"/>
        <v>#N/A</v>
      </c>
      <c r="W21" s="16"/>
      <c r="X21" s="16"/>
      <c r="Y21" s="16"/>
      <c r="Z21" s="16">
        <f t="shared" si="6"/>
        <v>0</v>
      </c>
      <c r="AA21" s="16">
        <f t="shared" si="0"/>
        <v>0</v>
      </c>
      <c r="AB21" s="16"/>
      <c r="AC21" s="17"/>
      <c r="AD21" s="48"/>
    </row>
    <row r="22" spans="1:30" ht="19.5" thickBot="1" x14ac:dyDescent="0.3">
      <c r="A22" s="14">
        <v>20</v>
      </c>
      <c r="B22" s="15"/>
      <c r="C22" s="15" t="e">
        <f>VLOOKUP(B22,داتا!$B$3:$D$107,2,FALSE)</f>
        <v>#N/A</v>
      </c>
      <c r="D22" s="34" t="e">
        <f>VLOOKUP(B22,داتا!$B$3:$D$107,3,FALSE)</f>
        <v>#N/A</v>
      </c>
      <c r="E22" s="15"/>
      <c r="F22" s="15"/>
      <c r="G22" s="16">
        <v>0.25</v>
      </c>
      <c r="H22" s="16"/>
      <c r="I22" s="16">
        <f t="shared" si="1"/>
        <v>-0.25</v>
      </c>
      <c r="J22" s="16"/>
      <c r="K22" s="16"/>
      <c r="L22" s="16"/>
      <c r="M22" s="16"/>
      <c r="N22" s="16">
        <f t="shared" si="2"/>
        <v>0</v>
      </c>
      <c r="O22" s="16" t="e">
        <f t="shared" si="3"/>
        <v>#N/A</v>
      </c>
      <c r="P22" s="16">
        <v>6.9444444444444397E-3</v>
      </c>
      <c r="Q22" s="16"/>
      <c r="R22" s="16">
        <f t="shared" si="4"/>
        <v>-6.9444444444444397E-3</v>
      </c>
      <c r="S22" s="16"/>
      <c r="T22" s="16" t="e">
        <f>VLOOKUP(E22,'[2]21-3-2026'!E$3:T$35,16,FALSE)</f>
        <v>#N/A</v>
      </c>
      <c r="U22" s="16"/>
      <c r="V22" s="16" t="e">
        <f t="shared" si="5"/>
        <v>#N/A</v>
      </c>
      <c r="W22" s="16"/>
      <c r="X22" s="16"/>
      <c r="Y22" s="16"/>
      <c r="Z22" s="16">
        <f t="shared" si="6"/>
        <v>0</v>
      </c>
      <c r="AA22" s="16">
        <f t="shared" si="0"/>
        <v>0</v>
      </c>
      <c r="AB22" s="16"/>
      <c r="AC22" s="17"/>
      <c r="AD22" s="48"/>
    </row>
    <row r="23" spans="1:30" ht="19.5" thickBot="1" x14ac:dyDescent="0.3">
      <c r="A23" s="14">
        <v>21</v>
      </c>
      <c r="B23" s="15"/>
      <c r="C23" s="15" t="e">
        <f>VLOOKUP(B23,داتا!$B$3:$D$107,2,FALSE)</f>
        <v>#N/A</v>
      </c>
      <c r="D23" s="34" t="e">
        <f>VLOOKUP(B23,داتا!$B$3:$D$107,3,FALSE)</f>
        <v>#N/A</v>
      </c>
      <c r="E23" s="15"/>
      <c r="F23" s="15"/>
      <c r="G23" s="16">
        <v>0.25</v>
      </c>
      <c r="H23" s="16"/>
      <c r="I23" s="16">
        <f t="shared" si="1"/>
        <v>-0.25</v>
      </c>
      <c r="J23" s="16"/>
      <c r="K23" s="16"/>
      <c r="L23" s="16"/>
      <c r="M23" s="16"/>
      <c r="N23" s="16">
        <f t="shared" si="2"/>
        <v>0</v>
      </c>
      <c r="O23" s="16" t="e">
        <f t="shared" si="3"/>
        <v>#N/A</v>
      </c>
      <c r="P23" s="16">
        <v>6.9444444444444397E-3</v>
      </c>
      <c r="Q23" s="16"/>
      <c r="R23" s="16">
        <f t="shared" si="4"/>
        <v>-6.9444444444444397E-3</v>
      </c>
      <c r="S23" s="16"/>
      <c r="T23" s="16" t="e">
        <f>VLOOKUP(E23,'[2]21-3-2026'!E$3:T$35,16,FALSE)</f>
        <v>#N/A</v>
      </c>
      <c r="U23" s="16"/>
      <c r="V23" s="16" t="e">
        <f t="shared" si="5"/>
        <v>#N/A</v>
      </c>
      <c r="W23" s="16"/>
      <c r="X23" s="16"/>
      <c r="Y23" s="16"/>
      <c r="Z23" s="16">
        <f t="shared" si="6"/>
        <v>0</v>
      </c>
      <c r="AA23" s="16">
        <f t="shared" si="0"/>
        <v>0</v>
      </c>
      <c r="AB23" s="16"/>
      <c r="AC23" s="17"/>
      <c r="AD23" s="48"/>
    </row>
    <row r="24" spans="1:30" ht="19.5" thickBot="1" x14ac:dyDescent="0.3">
      <c r="A24" s="14">
        <v>22</v>
      </c>
      <c r="B24" s="15"/>
      <c r="C24" s="15" t="e">
        <f>VLOOKUP(B24,داتا!$B$3:$D$107,2,FALSE)</f>
        <v>#N/A</v>
      </c>
      <c r="D24" s="34" t="e">
        <f>VLOOKUP(B24,داتا!$B$3:$D$107,3,FALSE)</f>
        <v>#N/A</v>
      </c>
      <c r="E24" s="15"/>
      <c r="F24" s="16"/>
      <c r="G24" s="16">
        <v>0.25</v>
      </c>
      <c r="H24" s="16"/>
      <c r="I24" s="16">
        <f t="shared" si="1"/>
        <v>-0.25</v>
      </c>
      <c r="J24" s="16"/>
      <c r="K24" s="16"/>
      <c r="L24" s="16"/>
      <c r="M24" s="16"/>
      <c r="N24" s="16">
        <f t="shared" si="2"/>
        <v>0</v>
      </c>
      <c r="O24" s="16" t="e">
        <f t="shared" si="3"/>
        <v>#N/A</v>
      </c>
      <c r="P24" s="16">
        <v>6.9444444444444397E-3</v>
      </c>
      <c r="Q24" s="16"/>
      <c r="R24" s="16">
        <f t="shared" si="4"/>
        <v>-6.9444444444444397E-3</v>
      </c>
      <c r="S24" s="16"/>
      <c r="T24" s="16" t="e">
        <f>VLOOKUP(E24,'[2]21-3-2026'!E$3:T$35,16,FALSE)</f>
        <v>#N/A</v>
      </c>
      <c r="U24" s="16"/>
      <c r="V24" s="16" t="e">
        <f t="shared" si="5"/>
        <v>#N/A</v>
      </c>
      <c r="W24" s="16"/>
      <c r="X24" s="16"/>
      <c r="Y24" s="16"/>
      <c r="Z24" s="16">
        <f t="shared" si="6"/>
        <v>0</v>
      </c>
      <c r="AA24" s="16">
        <f t="shared" si="0"/>
        <v>0</v>
      </c>
      <c r="AB24" s="16"/>
      <c r="AC24" s="17"/>
      <c r="AD24" s="48"/>
    </row>
    <row r="25" spans="1:30" ht="19.5" thickBot="1" x14ac:dyDescent="0.3">
      <c r="A25" s="14">
        <v>23</v>
      </c>
      <c r="B25" s="15"/>
      <c r="C25" s="15" t="e">
        <f>VLOOKUP(B25,داتا!$B$3:$D$107,2,FALSE)</f>
        <v>#N/A</v>
      </c>
      <c r="D25" s="34" t="e">
        <f>VLOOKUP(B25,داتا!$B$3:$D$107,3,FALSE)</f>
        <v>#N/A</v>
      </c>
      <c r="E25" s="15"/>
      <c r="F25" s="15"/>
      <c r="G25" s="16">
        <v>0.25</v>
      </c>
      <c r="H25" s="16"/>
      <c r="I25" s="16">
        <f t="shared" si="1"/>
        <v>-0.25</v>
      </c>
      <c r="J25" s="16"/>
      <c r="K25" s="16"/>
      <c r="L25" s="16"/>
      <c r="M25" s="16"/>
      <c r="N25" s="16">
        <f t="shared" si="2"/>
        <v>0</v>
      </c>
      <c r="O25" s="16" t="e">
        <f t="shared" si="3"/>
        <v>#N/A</v>
      </c>
      <c r="P25" s="16">
        <v>6.9444444444444397E-3</v>
      </c>
      <c r="Q25" s="16"/>
      <c r="R25" s="16">
        <f t="shared" si="4"/>
        <v>-6.9444444444444397E-3</v>
      </c>
      <c r="S25" s="16"/>
      <c r="T25" s="16" t="e">
        <f>VLOOKUP(E25,'[2]21-3-2026'!E$3:T$35,16,FALSE)</f>
        <v>#N/A</v>
      </c>
      <c r="U25" s="16"/>
      <c r="V25" s="16" t="e">
        <f t="shared" si="5"/>
        <v>#N/A</v>
      </c>
      <c r="W25" s="16"/>
      <c r="X25" s="16"/>
      <c r="Y25" s="16"/>
      <c r="Z25" s="16">
        <f t="shared" si="6"/>
        <v>0</v>
      </c>
      <c r="AA25" s="16">
        <f t="shared" si="0"/>
        <v>0</v>
      </c>
      <c r="AB25" s="16"/>
      <c r="AC25" s="19"/>
      <c r="AD25" s="48"/>
    </row>
    <row r="26" spans="1:30" ht="19.5" thickBot="1" x14ac:dyDescent="0.3">
      <c r="A26" s="14">
        <v>24</v>
      </c>
      <c r="B26" s="15"/>
      <c r="C26" s="15" t="e">
        <f>VLOOKUP(B26,داتا!$B$3:$D$107,2,FALSE)</f>
        <v>#N/A</v>
      </c>
      <c r="D26" s="34" t="e">
        <f>VLOOKUP(B26,داتا!$B$3:$D$107,3,FALSE)</f>
        <v>#N/A</v>
      </c>
      <c r="E26" s="15"/>
      <c r="F26" s="15"/>
      <c r="G26" s="16">
        <v>0.25</v>
      </c>
      <c r="H26" s="16"/>
      <c r="I26" s="16">
        <f t="shared" si="1"/>
        <v>-0.25</v>
      </c>
      <c r="J26" s="16"/>
      <c r="K26" s="16"/>
      <c r="L26" s="16"/>
      <c r="M26" s="16"/>
      <c r="N26" s="16">
        <f t="shared" si="2"/>
        <v>0</v>
      </c>
      <c r="O26" s="16" t="e">
        <f t="shared" si="3"/>
        <v>#N/A</v>
      </c>
      <c r="P26" s="16">
        <v>6.9444444444444397E-3</v>
      </c>
      <c r="Q26" s="16"/>
      <c r="R26" s="16">
        <f t="shared" si="4"/>
        <v>-6.9444444444444397E-3</v>
      </c>
      <c r="S26" s="16"/>
      <c r="T26" s="16" t="e">
        <f>VLOOKUP(E26,'[2]21-3-2026'!E$3:T$35,16,FALSE)</f>
        <v>#N/A</v>
      </c>
      <c r="U26" s="16"/>
      <c r="V26" s="16" t="e">
        <f t="shared" si="5"/>
        <v>#N/A</v>
      </c>
      <c r="W26" s="16"/>
      <c r="X26" s="16"/>
      <c r="Y26" s="16"/>
      <c r="Z26" s="16">
        <f t="shared" si="6"/>
        <v>0</v>
      </c>
      <c r="AA26" s="16">
        <f t="shared" si="0"/>
        <v>0</v>
      </c>
      <c r="AB26" s="16"/>
      <c r="AC26" s="19"/>
      <c r="AD26" s="48"/>
    </row>
    <row r="27" spans="1:30" ht="19.5" thickBot="1" x14ac:dyDescent="0.3">
      <c r="A27" s="14">
        <v>25</v>
      </c>
      <c r="B27" s="15"/>
      <c r="C27" s="15" t="e">
        <f>VLOOKUP(B27,داتا!$B$3:$D$107,2,FALSE)</f>
        <v>#N/A</v>
      </c>
      <c r="D27" s="34" t="e">
        <f>VLOOKUP(B27,داتا!$B$3:$D$107,3,FALSE)</f>
        <v>#N/A</v>
      </c>
      <c r="E27" s="15"/>
      <c r="F27" s="15"/>
      <c r="G27" s="16">
        <v>0.25</v>
      </c>
      <c r="H27" s="16"/>
      <c r="I27" s="16">
        <f t="shared" si="1"/>
        <v>-0.25</v>
      </c>
      <c r="J27" s="16"/>
      <c r="K27" s="16"/>
      <c r="L27" s="16"/>
      <c r="M27" s="16"/>
      <c r="N27" s="16">
        <f t="shared" si="2"/>
        <v>0</v>
      </c>
      <c r="O27" s="16" t="e">
        <f t="shared" si="3"/>
        <v>#N/A</v>
      </c>
      <c r="P27" s="16">
        <v>6.9444444444444397E-3</v>
      </c>
      <c r="Q27" s="16"/>
      <c r="R27" s="16">
        <f t="shared" si="4"/>
        <v>-6.9444444444444397E-3</v>
      </c>
      <c r="S27" s="16"/>
      <c r="T27" s="16" t="e">
        <f>VLOOKUP(E27,'[2]21-3-2026'!E$3:T$35,16,FALSE)</f>
        <v>#N/A</v>
      </c>
      <c r="U27" s="16"/>
      <c r="V27" s="16" t="e">
        <f t="shared" si="5"/>
        <v>#N/A</v>
      </c>
      <c r="W27" s="16"/>
      <c r="X27" s="16"/>
      <c r="Y27" s="16"/>
      <c r="Z27" s="16">
        <f t="shared" si="6"/>
        <v>0</v>
      </c>
      <c r="AA27" s="16">
        <f t="shared" si="0"/>
        <v>0</v>
      </c>
      <c r="AB27" s="16"/>
      <c r="AC27" s="19"/>
      <c r="AD27" s="48"/>
    </row>
    <row r="28" spans="1:30" ht="19.5" thickBot="1" x14ac:dyDescent="0.3">
      <c r="A28" s="14">
        <v>26</v>
      </c>
      <c r="B28" s="15"/>
      <c r="C28" s="15" t="e">
        <f>VLOOKUP(B28,داتا!$B$3:$D$107,2,FALSE)</f>
        <v>#N/A</v>
      </c>
      <c r="D28" s="34" t="e">
        <f>VLOOKUP(B28,داتا!$B$3:$D$107,3,FALSE)</f>
        <v>#N/A</v>
      </c>
      <c r="E28" s="15"/>
      <c r="F28" s="15"/>
      <c r="G28" s="16">
        <v>0.25</v>
      </c>
      <c r="H28" s="16"/>
      <c r="I28" s="16">
        <f t="shared" si="1"/>
        <v>-0.25</v>
      </c>
      <c r="J28" s="16"/>
      <c r="K28" s="16"/>
      <c r="L28" s="16"/>
      <c r="M28" s="16"/>
      <c r="N28" s="16">
        <f t="shared" si="2"/>
        <v>0</v>
      </c>
      <c r="O28" s="16" t="e">
        <f t="shared" si="3"/>
        <v>#N/A</v>
      </c>
      <c r="P28" s="16">
        <v>6.9444444444444397E-3</v>
      </c>
      <c r="Q28" s="16"/>
      <c r="R28" s="16">
        <f t="shared" si="4"/>
        <v>-6.9444444444444397E-3</v>
      </c>
      <c r="S28" s="16"/>
      <c r="T28" s="16" t="e">
        <f>VLOOKUP(E28,'[2]21-3-2026'!E$3:T$35,16,FALSE)</f>
        <v>#N/A</v>
      </c>
      <c r="U28" s="16"/>
      <c r="V28" s="16" t="e">
        <f t="shared" si="5"/>
        <v>#N/A</v>
      </c>
      <c r="W28" s="16"/>
      <c r="X28" s="16"/>
      <c r="Y28" s="16"/>
      <c r="Z28" s="16">
        <f t="shared" si="6"/>
        <v>0</v>
      </c>
      <c r="AA28" s="16">
        <f t="shared" si="0"/>
        <v>0</v>
      </c>
      <c r="AB28" s="16"/>
      <c r="AC28" s="17"/>
      <c r="AD28" s="48"/>
    </row>
    <row r="29" spans="1:30" ht="19.5" thickBot="1" x14ac:dyDescent="0.3">
      <c r="A29" s="14">
        <v>27</v>
      </c>
      <c r="B29" s="15"/>
      <c r="C29" s="15" t="e">
        <f>VLOOKUP(B29,داتا!$B$3:$D$107,2,FALSE)</f>
        <v>#N/A</v>
      </c>
      <c r="D29" s="34" t="e">
        <f>VLOOKUP(B29,داتا!$B$3:$D$107,3,FALSE)</f>
        <v>#N/A</v>
      </c>
      <c r="E29" s="15"/>
      <c r="F29" s="15"/>
      <c r="G29" s="16">
        <v>0.25</v>
      </c>
      <c r="H29" s="16"/>
      <c r="I29" s="16">
        <f t="shared" si="1"/>
        <v>-0.25</v>
      </c>
      <c r="J29" s="16"/>
      <c r="K29" s="16"/>
      <c r="L29" s="16"/>
      <c r="M29" s="16"/>
      <c r="N29" s="16">
        <f t="shared" si="2"/>
        <v>0</v>
      </c>
      <c r="O29" s="16" t="e">
        <f t="shared" si="3"/>
        <v>#N/A</v>
      </c>
      <c r="P29" s="16">
        <v>6.9444444444444397E-3</v>
      </c>
      <c r="Q29" s="16"/>
      <c r="R29" s="16">
        <f t="shared" si="4"/>
        <v>-6.9444444444444397E-3</v>
      </c>
      <c r="S29" s="16"/>
      <c r="T29" s="16" t="e">
        <f>VLOOKUP(E29,'[2]21-3-2026'!E$3:T$35,16,FALSE)</f>
        <v>#N/A</v>
      </c>
      <c r="U29" s="16"/>
      <c r="V29" s="16" t="e">
        <f t="shared" si="5"/>
        <v>#N/A</v>
      </c>
      <c r="W29" s="16"/>
      <c r="X29" s="16"/>
      <c r="Y29" s="16"/>
      <c r="Z29" s="16">
        <f t="shared" si="6"/>
        <v>0</v>
      </c>
      <c r="AA29" s="16">
        <f t="shared" si="0"/>
        <v>0</v>
      </c>
      <c r="AB29" s="16"/>
      <c r="AC29" s="18"/>
      <c r="AD29" s="48"/>
    </row>
    <row r="30" spans="1:30" ht="19.5" thickBot="1" x14ac:dyDescent="0.3">
      <c r="A30" s="14">
        <v>28</v>
      </c>
      <c r="B30" s="15"/>
      <c r="C30" s="15" t="e">
        <f>VLOOKUP(B30,داتا!$B$3:$D$107,2,FALSE)</f>
        <v>#N/A</v>
      </c>
      <c r="D30" s="34" t="e">
        <f>VLOOKUP(B30,داتا!$B$3:$D$107,3,FALSE)</f>
        <v>#N/A</v>
      </c>
      <c r="E30" s="15"/>
      <c r="F30" s="15"/>
      <c r="G30" s="16">
        <v>0.25</v>
      </c>
      <c r="H30" s="16"/>
      <c r="I30" s="16">
        <f t="shared" si="1"/>
        <v>-0.25</v>
      </c>
      <c r="J30" s="16"/>
      <c r="K30" s="16"/>
      <c r="L30" s="16"/>
      <c r="M30" s="16"/>
      <c r="N30" s="16">
        <f t="shared" si="2"/>
        <v>0</v>
      </c>
      <c r="O30" s="16" t="e">
        <f t="shared" si="3"/>
        <v>#N/A</v>
      </c>
      <c r="P30" s="16">
        <v>6.9444444444444397E-3</v>
      </c>
      <c r="Q30" s="16"/>
      <c r="R30" s="16">
        <f t="shared" si="4"/>
        <v>-6.9444444444444397E-3</v>
      </c>
      <c r="S30" s="16"/>
      <c r="T30" s="16" t="e">
        <f>VLOOKUP(E30,'[2]21-3-2026'!E$3:T$35,16,FALSE)</f>
        <v>#N/A</v>
      </c>
      <c r="U30" s="16"/>
      <c r="V30" s="16" t="e">
        <f t="shared" si="5"/>
        <v>#N/A</v>
      </c>
      <c r="W30" s="16"/>
      <c r="X30" s="16"/>
      <c r="Y30" s="16"/>
      <c r="Z30" s="16">
        <f t="shared" si="6"/>
        <v>0</v>
      </c>
      <c r="AA30" s="16">
        <f t="shared" si="0"/>
        <v>0</v>
      </c>
      <c r="AB30" s="16"/>
      <c r="AC30" s="17"/>
      <c r="AD30" s="48"/>
    </row>
    <row r="31" spans="1:30" ht="19.5" thickBot="1" x14ac:dyDescent="0.3">
      <c r="A31" s="14">
        <v>29</v>
      </c>
      <c r="B31" s="15"/>
      <c r="C31" s="15" t="e">
        <f>VLOOKUP(B31,داتا!$B$3:$D$107,2,FALSE)</f>
        <v>#N/A</v>
      </c>
      <c r="D31" s="34" t="e">
        <f>VLOOKUP(B31,داتا!$B$3:$D$107,3,FALSE)</f>
        <v>#N/A</v>
      </c>
      <c r="E31" s="15"/>
      <c r="F31" s="15"/>
      <c r="G31" s="16">
        <v>0.25</v>
      </c>
      <c r="H31" s="16"/>
      <c r="I31" s="16">
        <f t="shared" si="1"/>
        <v>-0.25</v>
      </c>
      <c r="J31" s="16"/>
      <c r="K31" s="16"/>
      <c r="L31" s="16"/>
      <c r="M31" s="16"/>
      <c r="N31" s="16">
        <f t="shared" si="2"/>
        <v>0</v>
      </c>
      <c r="O31" s="16" t="e">
        <f t="shared" si="3"/>
        <v>#N/A</v>
      </c>
      <c r="P31" s="16">
        <v>6.9444444444444397E-3</v>
      </c>
      <c r="Q31" s="16"/>
      <c r="R31" s="16">
        <f t="shared" si="4"/>
        <v>-6.9444444444444397E-3</v>
      </c>
      <c r="S31" s="16"/>
      <c r="T31" s="16" t="e">
        <f>VLOOKUP(E31,'[2]21-3-2026'!E$3:T$35,16,FALSE)</f>
        <v>#N/A</v>
      </c>
      <c r="U31" s="16"/>
      <c r="V31" s="16" t="e">
        <f t="shared" si="5"/>
        <v>#N/A</v>
      </c>
      <c r="W31" s="16"/>
      <c r="X31" s="16"/>
      <c r="Y31" s="16"/>
      <c r="Z31" s="16">
        <f t="shared" si="6"/>
        <v>0</v>
      </c>
      <c r="AA31" s="16">
        <f t="shared" si="0"/>
        <v>0</v>
      </c>
      <c r="AB31" s="16"/>
      <c r="AC31" s="17"/>
      <c r="AD31" s="48"/>
    </row>
    <row r="32" spans="1:30" ht="19.5" thickBot="1" x14ac:dyDescent="0.3">
      <c r="A32" s="14">
        <v>30</v>
      </c>
      <c r="B32" s="15"/>
      <c r="C32" s="15" t="e">
        <f>VLOOKUP(B32,داتا!$B$3:$D$107,2,FALSE)</f>
        <v>#N/A</v>
      </c>
      <c r="D32" s="34" t="e">
        <f>VLOOKUP(B32,داتا!$B$3:$D$107,3,FALSE)</f>
        <v>#N/A</v>
      </c>
      <c r="E32" s="15"/>
      <c r="F32" s="15"/>
      <c r="G32" s="16">
        <v>0.25</v>
      </c>
      <c r="H32" s="16"/>
      <c r="I32" s="16">
        <f t="shared" si="1"/>
        <v>-0.25</v>
      </c>
      <c r="J32" s="16"/>
      <c r="K32" s="16"/>
      <c r="L32" s="16"/>
      <c r="M32" s="16"/>
      <c r="N32" s="16">
        <f t="shared" si="2"/>
        <v>0</v>
      </c>
      <c r="O32" s="16" t="e">
        <f t="shared" si="3"/>
        <v>#N/A</v>
      </c>
      <c r="P32" s="16">
        <v>6.9444444444444397E-3</v>
      </c>
      <c r="Q32" s="16"/>
      <c r="R32" s="16">
        <f t="shared" si="4"/>
        <v>-6.9444444444444397E-3</v>
      </c>
      <c r="S32" s="16"/>
      <c r="T32" s="16" t="e">
        <f>VLOOKUP(E32,'[2]21-3-2026'!E$3:T$35,16,FALSE)</f>
        <v>#N/A</v>
      </c>
      <c r="U32" s="16"/>
      <c r="V32" s="16" t="e">
        <f t="shared" si="5"/>
        <v>#N/A</v>
      </c>
      <c r="W32" s="16"/>
      <c r="X32" s="16"/>
      <c r="Y32" s="16"/>
      <c r="Z32" s="16">
        <f t="shared" si="6"/>
        <v>0</v>
      </c>
      <c r="AA32" s="16">
        <f t="shared" si="0"/>
        <v>0</v>
      </c>
      <c r="AB32" s="16"/>
      <c r="AC32" s="17"/>
      <c r="AD32" s="48"/>
    </row>
    <row r="33" spans="1:30" ht="19.5" thickBot="1" x14ac:dyDescent="0.3">
      <c r="A33" s="14">
        <v>31</v>
      </c>
      <c r="B33" s="15"/>
      <c r="C33" s="15" t="e">
        <f>VLOOKUP(B33,داتا!$B$3:$D$107,2,FALSE)</f>
        <v>#N/A</v>
      </c>
      <c r="D33" s="34" t="e">
        <f>VLOOKUP(B33,داتا!$B$3:$D$107,3,FALSE)</f>
        <v>#N/A</v>
      </c>
      <c r="E33" s="15"/>
      <c r="F33" s="15"/>
      <c r="G33" s="16">
        <v>0.25</v>
      </c>
      <c r="H33" s="16"/>
      <c r="I33" s="16">
        <f t="shared" si="1"/>
        <v>-0.25</v>
      </c>
      <c r="J33" s="16"/>
      <c r="K33" s="16"/>
      <c r="L33" s="16"/>
      <c r="M33" s="16"/>
      <c r="N33" s="16">
        <f t="shared" si="2"/>
        <v>0</v>
      </c>
      <c r="O33" s="16" t="e">
        <f t="shared" si="3"/>
        <v>#N/A</v>
      </c>
      <c r="P33" s="16">
        <v>6.9444444444444397E-3</v>
      </c>
      <c r="Q33" s="16"/>
      <c r="R33" s="16">
        <f t="shared" si="4"/>
        <v>-6.9444444444444397E-3</v>
      </c>
      <c r="S33" s="16"/>
      <c r="T33" s="16" t="e">
        <f>VLOOKUP(E33,'[2]21-3-2026'!E$3:T$35,16,FALSE)</f>
        <v>#N/A</v>
      </c>
      <c r="U33" s="16"/>
      <c r="V33" s="16" t="e">
        <f t="shared" si="5"/>
        <v>#N/A</v>
      </c>
      <c r="W33" s="16"/>
      <c r="X33" s="16"/>
      <c r="Y33" s="16"/>
      <c r="Z33" s="16">
        <f t="shared" si="6"/>
        <v>0</v>
      </c>
      <c r="AA33" s="16">
        <f t="shared" si="0"/>
        <v>0</v>
      </c>
      <c r="AB33" s="16"/>
      <c r="AC33" s="17"/>
      <c r="AD33" s="48"/>
    </row>
    <row r="34" spans="1:30" ht="19.5" thickBot="1" x14ac:dyDescent="0.3">
      <c r="A34" s="14">
        <v>32</v>
      </c>
      <c r="B34" s="15"/>
      <c r="C34" s="15" t="e">
        <f>VLOOKUP(B34,داتا!$B$3:$D$107,2,FALSE)</f>
        <v>#N/A</v>
      </c>
      <c r="D34" s="34" t="e">
        <f>VLOOKUP(B34,داتا!$B$3:$D$107,3,FALSE)</f>
        <v>#N/A</v>
      </c>
      <c r="E34" s="15"/>
      <c r="F34" s="15"/>
      <c r="G34" s="16">
        <v>0.25</v>
      </c>
      <c r="H34" s="16"/>
      <c r="I34" s="16">
        <f t="shared" si="1"/>
        <v>-0.25</v>
      </c>
      <c r="J34" s="16"/>
      <c r="K34" s="16"/>
      <c r="L34" s="16"/>
      <c r="M34" s="16"/>
      <c r="N34" s="16">
        <f t="shared" si="2"/>
        <v>0</v>
      </c>
      <c r="O34" s="16" t="e">
        <f t="shared" si="3"/>
        <v>#N/A</v>
      </c>
      <c r="P34" s="16">
        <v>6.9444444444444397E-3</v>
      </c>
      <c r="Q34" s="16"/>
      <c r="R34" s="16">
        <f t="shared" si="4"/>
        <v>-6.9444444444444397E-3</v>
      </c>
      <c r="S34" s="16"/>
      <c r="T34" s="16" t="e">
        <f>VLOOKUP(E34,'[2]21-3-2026'!E$3:T$35,16,FALSE)</f>
        <v>#N/A</v>
      </c>
      <c r="U34" s="16"/>
      <c r="V34" s="16" t="e">
        <f t="shared" si="5"/>
        <v>#N/A</v>
      </c>
      <c r="W34" s="16"/>
      <c r="X34" s="16"/>
      <c r="Y34" s="16"/>
      <c r="Z34" s="16">
        <f t="shared" si="6"/>
        <v>0</v>
      </c>
      <c r="AA34" s="16">
        <f t="shared" si="0"/>
        <v>0</v>
      </c>
      <c r="AB34" s="16"/>
      <c r="AC34" s="17"/>
      <c r="AD34" s="48"/>
    </row>
    <row r="35" spans="1:30" ht="19.5" thickBot="1" x14ac:dyDescent="0.3">
      <c r="A35" s="20">
        <v>33</v>
      </c>
      <c r="B35" s="21"/>
      <c r="C35" s="21" t="e">
        <f>VLOOKUP(B35,داتا!$B$3:$D$107,2,FALSE)</f>
        <v>#N/A</v>
      </c>
      <c r="D35" s="35" t="e">
        <f>VLOOKUP(B35,داتا!$B$3:$D$107,3,FALSE)</f>
        <v>#N/A</v>
      </c>
      <c r="E35" s="21"/>
      <c r="F35" s="21"/>
      <c r="G35" s="22">
        <v>0.25</v>
      </c>
      <c r="H35" s="22"/>
      <c r="I35" s="22">
        <f t="shared" si="1"/>
        <v>-0.25</v>
      </c>
      <c r="J35" s="22"/>
      <c r="K35" s="22"/>
      <c r="L35" s="22"/>
      <c r="M35" s="22"/>
      <c r="N35" s="22">
        <f t="shared" si="2"/>
        <v>0</v>
      </c>
      <c r="O35" s="22" t="e">
        <f t="shared" si="3"/>
        <v>#N/A</v>
      </c>
      <c r="P35" s="22">
        <v>6.9444444444444397E-3</v>
      </c>
      <c r="Q35" s="22"/>
      <c r="R35" s="22">
        <f t="shared" si="4"/>
        <v>-6.9444444444444397E-3</v>
      </c>
      <c r="S35" s="22"/>
      <c r="T35" s="22" t="e">
        <f>VLOOKUP(E35,'[2]21-3-2026'!E$3:T$35,16,FALSE)</f>
        <v>#N/A</v>
      </c>
      <c r="U35" s="22"/>
      <c r="V35" s="22" t="e">
        <f t="shared" si="5"/>
        <v>#N/A</v>
      </c>
      <c r="W35" s="22"/>
      <c r="X35" s="22"/>
      <c r="Y35" s="22"/>
      <c r="Z35" s="22">
        <f t="shared" si="6"/>
        <v>0</v>
      </c>
      <c r="AA35" s="22">
        <f t="shared" si="0"/>
        <v>0</v>
      </c>
      <c r="AB35" s="22"/>
      <c r="AC35" s="23"/>
      <c r="AD35" s="49"/>
    </row>
    <row r="36" spans="1:30" ht="20.25" customHeight="1" thickTop="1" thickBot="1" x14ac:dyDescent="0.3">
      <c r="A36" s="10">
        <v>1</v>
      </c>
      <c r="B36" s="11"/>
      <c r="C36" s="11" t="e">
        <f>VLOOKUP(B36,داتا!$B$3:$D$107,2,FALSE)</f>
        <v>#N/A</v>
      </c>
      <c r="D36" s="33" t="e">
        <f>VLOOKUP(B36,داتا!$B$3:$D$107,3,FALSE)</f>
        <v>#N/A</v>
      </c>
      <c r="E36" s="11"/>
      <c r="F36" s="11"/>
      <c r="G36" s="12">
        <v>0.25</v>
      </c>
      <c r="H36" s="12" t="e">
        <f>VLOOKUP(G36,$F$3:$I$35,2,FALSE)</f>
        <v>#N/A</v>
      </c>
      <c r="I36" s="12" t="e">
        <f t="shared" si="1"/>
        <v>#N/A</v>
      </c>
      <c r="J36" s="12"/>
      <c r="K36" s="12"/>
      <c r="L36" s="12"/>
      <c r="M36" s="12"/>
      <c r="N36" s="12">
        <f t="shared" si="2"/>
        <v>0</v>
      </c>
      <c r="O36" s="12" t="e">
        <f t="shared" si="3"/>
        <v>#N/A</v>
      </c>
      <c r="P36" s="12">
        <v>6.9444444444444397E-3</v>
      </c>
      <c r="Q36" s="12"/>
      <c r="R36" s="12">
        <f t="shared" si="4"/>
        <v>-6.9444444444444397E-3</v>
      </c>
      <c r="S36" s="12"/>
      <c r="T36" s="12" t="e">
        <f>VLOOKUP(E36,'[2]21-3-2026'!E$3:T$35,16,FALSE)</f>
        <v>#N/A</v>
      </c>
      <c r="U36" s="12"/>
      <c r="V36" s="12" t="e">
        <f t="shared" si="5"/>
        <v>#N/A</v>
      </c>
      <c r="W36" s="12"/>
      <c r="X36" s="12"/>
      <c r="Y36" s="12"/>
      <c r="Z36" s="12">
        <f t="shared" si="6"/>
        <v>0</v>
      </c>
      <c r="AA36" s="12">
        <f t="shared" si="0"/>
        <v>0</v>
      </c>
      <c r="AB36" s="12"/>
      <c r="AC36" s="29"/>
      <c r="AD36" s="50" t="s">
        <v>104</v>
      </c>
    </row>
    <row r="37" spans="1:30" ht="19.5" thickBot="1" x14ac:dyDescent="0.3">
      <c r="A37" s="14">
        <v>2</v>
      </c>
      <c r="B37" s="15"/>
      <c r="C37" s="15" t="e">
        <f>VLOOKUP(B37,داتا!$B$3:$D$107,2,FALSE)</f>
        <v>#N/A</v>
      </c>
      <c r="D37" s="34" t="e">
        <f>VLOOKUP(B37,داتا!$B$3:$D$107,3,FALSE)</f>
        <v>#N/A</v>
      </c>
      <c r="E37" s="15"/>
      <c r="F37" s="15"/>
      <c r="G37" s="16">
        <v>0.25</v>
      </c>
      <c r="H37" s="16" t="e">
        <f t="shared" ref="H37:H52" si="7">VLOOKUP(G37,$F$3:$I$35,2,FALSE)</f>
        <v>#N/A</v>
      </c>
      <c r="I37" s="16" t="e">
        <f t="shared" si="1"/>
        <v>#N/A</v>
      </c>
      <c r="J37" s="16"/>
      <c r="K37" s="16"/>
      <c r="L37" s="16"/>
      <c r="M37" s="16"/>
      <c r="N37" s="16">
        <f t="shared" si="2"/>
        <v>0</v>
      </c>
      <c r="O37" s="16" t="e">
        <f t="shared" si="3"/>
        <v>#N/A</v>
      </c>
      <c r="P37" s="16">
        <v>6.9444444444444397E-3</v>
      </c>
      <c r="Q37" s="16"/>
      <c r="R37" s="16">
        <f t="shared" si="4"/>
        <v>-6.9444444444444397E-3</v>
      </c>
      <c r="S37" s="16"/>
      <c r="T37" s="16" t="e">
        <f>VLOOKUP(E37,'[2]21-3-2026'!E$3:T$35,16,FALSE)</f>
        <v>#N/A</v>
      </c>
      <c r="U37" s="16"/>
      <c r="V37" s="16" t="e">
        <f t="shared" si="5"/>
        <v>#N/A</v>
      </c>
      <c r="W37" s="16"/>
      <c r="X37" s="16"/>
      <c r="Y37" s="16"/>
      <c r="Z37" s="16">
        <f t="shared" si="6"/>
        <v>0</v>
      </c>
      <c r="AA37" s="16">
        <f t="shared" si="0"/>
        <v>0</v>
      </c>
      <c r="AB37" s="16"/>
      <c r="AC37" s="19"/>
      <c r="AD37" s="51"/>
    </row>
    <row r="38" spans="1:30" ht="19.5" thickBot="1" x14ac:dyDescent="0.3">
      <c r="A38" s="14">
        <v>3</v>
      </c>
      <c r="B38" s="15"/>
      <c r="C38" s="15" t="e">
        <f>VLOOKUP(B38,داتا!$B$3:$D$107,2,FALSE)</f>
        <v>#N/A</v>
      </c>
      <c r="D38" s="34" t="e">
        <f>VLOOKUP(B38,داتا!$B$3:$D$107,3,FALSE)</f>
        <v>#N/A</v>
      </c>
      <c r="E38" s="15"/>
      <c r="F38" s="15"/>
      <c r="G38" s="16">
        <v>0.25</v>
      </c>
      <c r="H38" s="16" t="e">
        <f t="shared" si="7"/>
        <v>#N/A</v>
      </c>
      <c r="I38" s="16" t="e">
        <f t="shared" si="1"/>
        <v>#N/A</v>
      </c>
      <c r="J38" s="16"/>
      <c r="K38" s="16"/>
      <c r="L38" s="16"/>
      <c r="M38" s="16"/>
      <c r="N38" s="16">
        <f t="shared" si="2"/>
        <v>0</v>
      </c>
      <c r="O38" s="16" t="e">
        <f t="shared" si="3"/>
        <v>#N/A</v>
      </c>
      <c r="P38" s="16">
        <v>6.9444444444444397E-3</v>
      </c>
      <c r="Q38" s="16"/>
      <c r="R38" s="16">
        <f t="shared" si="4"/>
        <v>-6.9444444444444397E-3</v>
      </c>
      <c r="S38" s="16"/>
      <c r="T38" s="16" t="e">
        <f>VLOOKUP(E38,'[2]21-3-2026'!E$3:T$35,16,FALSE)</f>
        <v>#N/A</v>
      </c>
      <c r="U38" s="16"/>
      <c r="V38" s="16" t="e">
        <f t="shared" si="5"/>
        <v>#N/A</v>
      </c>
      <c r="W38" s="16"/>
      <c r="X38" s="16"/>
      <c r="Y38" s="16"/>
      <c r="Z38" s="16">
        <f t="shared" si="6"/>
        <v>0</v>
      </c>
      <c r="AA38" s="16">
        <f t="shared" si="0"/>
        <v>0</v>
      </c>
      <c r="AB38" s="16"/>
      <c r="AC38" s="19"/>
      <c r="AD38" s="51"/>
    </row>
    <row r="39" spans="1:30" ht="19.5" thickBot="1" x14ac:dyDescent="0.3">
      <c r="A39" s="14">
        <v>4</v>
      </c>
      <c r="B39" s="15"/>
      <c r="C39" s="15" t="e">
        <f>VLOOKUP(B39,داتا!$B$3:$D$107,2,FALSE)</f>
        <v>#N/A</v>
      </c>
      <c r="D39" s="34" t="e">
        <f>VLOOKUP(B39,داتا!$B$3:$D$107,3,FALSE)</f>
        <v>#N/A</v>
      </c>
      <c r="E39" s="15"/>
      <c r="F39" s="15"/>
      <c r="G39" s="16">
        <v>0.25</v>
      </c>
      <c r="H39" s="16" t="e">
        <f t="shared" si="7"/>
        <v>#N/A</v>
      </c>
      <c r="I39" s="16" t="e">
        <f t="shared" si="1"/>
        <v>#N/A</v>
      </c>
      <c r="J39" s="16"/>
      <c r="K39" s="16"/>
      <c r="L39" s="16"/>
      <c r="M39" s="16"/>
      <c r="N39" s="16">
        <f t="shared" si="2"/>
        <v>0</v>
      </c>
      <c r="O39" s="16" t="e">
        <f t="shared" si="3"/>
        <v>#N/A</v>
      </c>
      <c r="P39" s="16">
        <v>6.9444444444444397E-3</v>
      </c>
      <c r="Q39" s="16"/>
      <c r="R39" s="16">
        <f t="shared" si="4"/>
        <v>-6.9444444444444397E-3</v>
      </c>
      <c r="S39" s="16"/>
      <c r="T39" s="16" t="e">
        <f>VLOOKUP(E39,'[2]21-3-2026'!E$3:T$35,16,FALSE)</f>
        <v>#N/A</v>
      </c>
      <c r="U39" s="16"/>
      <c r="V39" s="16" t="e">
        <f t="shared" si="5"/>
        <v>#N/A</v>
      </c>
      <c r="W39" s="16"/>
      <c r="X39" s="16"/>
      <c r="Y39" s="16"/>
      <c r="Z39" s="16">
        <f t="shared" si="6"/>
        <v>0</v>
      </c>
      <c r="AA39" s="16">
        <f t="shared" si="0"/>
        <v>0</v>
      </c>
      <c r="AB39" s="16"/>
      <c r="AC39" s="17"/>
      <c r="AD39" s="51"/>
    </row>
    <row r="40" spans="1:30" ht="19.5" thickBot="1" x14ac:dyDescent="0.3">
      <c r="A40" s="14">
        <v>5</v>
      </c>
      <c r="B40" s="15"/>
      <c r="C40" s="15" t="e">
        <f>VLOOKUP(B40,داتا!$B$3:$D$107,2,FALSE)</f>
        <v>#N/A</v>
      </c>
      <c r="D40" s="34" t="e">
        <f>VLOOKUP(B40,داتا!$B$3:$D$107,3,FALSE)</f>
        <v>#N/A</v>
      </c>
      <c r="E40" s="15"/>
      <c r="F40" s="15"/>
      <c r="G40" s="16">
        <v>0.25</v>
      </c>
      <c r="H40" s="16" t="e">
        <f t="shared" si="7"/>
        <v>#N/A</v>
      </c>
      <c r="I40" s="16" t="e">
        <f t="shared" si="1"/>
        <v>#N/A</v>
      </c>
      <c r="J40" s="16"/>
      <c r="K40" s="16"/>
      <c r="L40" s="16"/>
      <c r="M40" s="16"/>
      <c r="N40" s="16">
        <f t="shared" si="2"/>
        <v>0</v>
      </c>
      <c r="O40" s="16" t="e">
        <f t="shared" si="3"/>
        <v>#N/A</v>
      </c>
      <c r="P40" s="16">
        <v>6.9444444444444397E-3</v>
      </c>
      <c r="Q40" s="16"/>
      <c r="R40" s="16">
        <f t="shared" si="4"/>
        <v>-6.9444444444444397E-3</v>
      </c>
      <c r="S40" s="16"/>
      <c r="T40" s="16" t="e">
        <f>VLOOKUP(E40,'[2]21-3-2026'!E$3:T$35,16,FALSE)</f>
        <v>#N/A</v>
      </c>
      <c r="U40" s="16"/>
      <c r="V40" s="16" t="e">
        <f t="shared" si="5"/>
        <v>#N/A</v>
      </c>
      <c r="W40" s="16"/>
      <c r="X40" s="16"/>
      <c r="Y40" s="16"/>
      <c r="Z40" s="16">
        <f t="shared" si="6"/>
        <v>0</v>
      </c>
      <c r="AA40" s="16">
        <f t="shared" si="0"/>
        <v>0</v>
      </c>
      <c r="AB40" s="16"/>
      <c r="AC40" s="17"/>
      <c r="AD40" s="51"/>
    </row>
    <row r="41" spans="1:30" ht="19.5" thickBot="1" x14ac:dyDescent="0.3">
      <c r="A41" s="14">
        <v>6</v>
      </c>
      <c r="B41" s="15"/>
      <c r="C41" s="15" t="e">
        <f>VLOOKUP(B41,داتا!$B$3:$D$107,2,FALSE)</f>
        <v>#N/A</v>
      </c>
      <c r="D41" s="34" t="e">
        <f>VLOOKUP(B41,داتا!$B$3:$D$107,3,FALSE)</f>
        <v>#N/A</v>
      </c>
      <c r="E41" s="15"/>
      <c r="F41" s="15"/>
      <c r="G41" s="16">
        <v>0.25</v>
      </c>
      <c r="H41" s="16" t="e">
        <f t="shared" si="7"/>
        <v>#N/A</v>
      </c>
      <c r="I41" s="16" t="e">
        <f t="shared" si="1"/>
        <v>#N/A</v>
      </c>
      <c r="J41" s="16"/>
      <c r="K41" s="16"/>
      <c r="L41" s="16"/>
      <c r="M41" s="16"/>
      <c r="N41" s="16">
        <f t="shared" si="2"/>
        <v>0</v>
      </c>
      <c r="O41" s="16" t="e">
        <f t="shared" si="3"/>
        <v>#N/A</v>
      </c>
      <c r="P41" s="16">
        <v>6.9444444444444397E-3</v>
      </c>
      <c r="Q41" s="16"/>
      <c r="R41" s="16">
        <f t="shared" si="4"/>
        <v>-6.9444444444444397E-3</v>
      </c>
      <c r="S41" s="16"/>
      <c r="T41" s="16" t="e">
        <f>VLOOKUP(E41,'[2]21-3-2026'!E$3:T$35,16,FALSE)</f>
        <v>#N/A</v>
      </c>
      <c r="U41" s="16"/>
      <c r="V41" s="16" t="e">
        <f t="shared" si="5"/>
        <v>#N/A</v>
      </c>
      <c r="W41" s="16"/>
      <c r="X41" s="16"/>
      <c r="Y41" s="16"/>
      <c r="Z41" s="16">
        <f t="shared" si="6"/>
        <v>0</v>
      </c>
      <c r="AA41" s="16">
        <f t="shared" si="0"/>
        <v>0</v>
      </c>
      <c r="AB41" s="16"/>
      <c r="AC41" s="17"/>
      <c r="AD41" s="51"/>
    </row>
    <row r="42" spans="1:30" ht="19.5" thickBot="1" x14ac:dyDescent="0.3">
      <c r="A42" s="14">
        <v>7</v>
      </c>
      <c r="B42" s="15"/>
      <c r="C42" s="15" t="e">
        <f>VLOOKUP(B42,داتا!$B$3:$D$107,2,FALSE)</f>
        <v>#N/A</v>
      </c>
      <c r="D42" s="34" t="e">
        <f>VLOOKUP(B42,داتا!$B$3:$D$107,3,FALSE)</f>
        <v>#N/A</v>
      </c>
      <c r="E42" s="15"/>
      <c r="F42" s="15"/>
      <c r="G42" s="16">
        <v>0.25</v>
      </c>
      <c r="H42" s="16" t="e">
        <f t="shared" si="7"/>
        <v>#N/A</v>
      </c>
      <c r="I42" s="16" t="e">
        <f t="shared" si="1"/>
        <v>#N/A</v>
      </c>
      <c r="J42" s="16"/>
      <c r="K42" s="16"/>
      <c r="L42" s="16"/>
      <c r="M42" s="16"/>
      <c r="N42" s="16">
        <f t="shared" si="2"/>
        <v>0</v>
      </c>
      <c r="O42" s="16" t="e">
        <f t="shared" si="3"/>
        <v>#N/A</v>
      </c>
      <c r="P42" s="16">
        <v>6.9444444444444397E-3</v>
      </c>
      <c r="Q42" s="16"/>
      <c r="R42" s="16">
        <f t="shared" si="4"/>
        <v>-6.9444444444444397E-3</v>
      </c>
      <c r="S42" s="16"/>
      <c r="T42" s="16" t="e">
        <f>VLOOKUP(E42,'[2]21-3-2026'!E$3:T$35,16,FALSE)</f>
        <v>#N/A</v>
      </c>
      <c r="U42" s="16"/>
      <c r="V42" s="16" t="e">
        <f t="shared" si="5"/>
        <v>#N/A</v>
      </c>
      <c r="W42" s="16"/>
      <c r="X42" s="16"/>
      <c r="Y42" s="16"/>
      <c r="Z42" s="16">
        <f t="shared" si="6"/>
        <v>0</v>
      </c>
      <c r="AA42" s="16">
        <f t="shared" si="0"/>
        <v>0</v>
      </c>
      <c r="AB42" s="16"/>
      <c r="AC42" s="17"/>
      <c r="AD42" s="51"/>
    </row>
    <row r="43" spans="1:30" ht="19.5" thickBot="1" x14ac:dyDescent="0.3">
      <c r="A43" s="14">
        <v>8</v>
      </c>
      <c r="B43" s="15"/>
      <c r="C43" s="15" t="e">
        <f>VLOOKUP(B43,داتا!$B$3:$D$107,2,FALSE)</f>
        <v>#N/A</v>
      </c>
      <c r="D43" s="34" t="e">
        <f>VLOOKUP(B43,داتا!$B$3:$D$107,3,FALSE)</f>
        <v>#N/A</v>
      </c>
      <c r="E43" s="15"/>
      <c r="F43" s="15"/>
      <c r="G43" s="16">
        <v>0.25</v>
      </c>
      <c r="H43" s="16" t="e">
        <f t="shared" si="7"/>
        <v>#N/A</v>
      </c>
      <c r="I43" s="16" t="e">
        <f t="shared" si="1"/>
        <v>#N/A</v>
      </c>
      <c r="J43" s="16"/>
      <c r="K43" s="16"/>
      <c r="L43" s="16"/>
      <c r="M43" s="16"/>
      <c r="N43" s="16">
        <f t="shared" si="2"/>
        <v>0</v>
      </c>
      <c r="O43" s="16" t="e">
        <f t="shared" si="3"/>
        <v>#N/A</v>
      </c>
      <c r="P43" s="16">
        <v>6.9444444444444397E-3</v>
      </c>
      <c r="Q43" s="16"/>
      <c r="R43" s="16">
        <f t="shared" si="4"/>
        <v>-6.9444444444444397E-3</v>
      </c>
      <c r="S43" s="16"/>
      <c r="T43" s="16" t="e">
        <f>VLOOKUP(E43,'[2]21-3-2026'!E$3:T$35,16,FALSE)</f>
        <v>#N/A</v>
      </c>
      <c r="U43" s="16"/>
      <c r="V43" s="16" t="e">
        <f t="shared" si="5"/>
        <v>#N/A</v>
      </c>
      <c r="W43" s="16"/>
      <c r="X43" s="16"/>
      <c r="Y43" s="16"/>
      <c r="Z43" s="16">
        <f t="shared" si="6"/>
        <v>0</v>
      </c>
      <c r="AA43" s="16">
        <f t="shared" si="0"/>
        <v>0</v>
      </c>
      <c r="AB43" s="16"/>
      <c r="AC43" s="17"/>
      <c r="AD43" s="51"/>
    </row>
    <row r="44" spans="1:30" ht="19.5" thickBot="1" x14ac:dyDescent="0.3">
      <c r="A44" s="14">
        <v>9</v>
      </c>
      <c r="B44" s="15"/>
      <c r="C44" s="15" t="e">
        <f>VLOOKUP(B44,داتا!$B$3:$D$107,2,FALSE)</f>
        <v>#N/A</v>
      </c>
      <c r="D44" s="34" t="e">
        <f>VLOOKUP(B44,داتا!$B$3:$D$107,3,FALSE)</f>
        <v>#N/A</v>
      </c>
      <c r="E44" s="15"/>
      <c r="F44" s="15"/>
      <c r="G44" s="16">
        <v>0.25</v>
      </c>
      <c r="H44" s="16" t="e">
        <f t="shared" si="7"/>
        <v>#N/A</v>
      </c>
      <c r="I44" s="16" t="e">
        <f t="shared" si="1"/>
        <v>#N/A</v>
      </c>
      <c r="J44" s="16"/>
      <c r="K44" s="16"/>
      <c r="L44" s="16"/>
      <c r="M44" s="16"/>
      <c r="N44" s="16">
        <f t="shared" si="2"/>
        <v>0</v>
      </c>
      <c r="O44" s="16" t="e">
        <f t="shared" si="3"/>
        <v>#N/A</v>
      </c>
      <c r="P44" s="16">
        <v>6.9444444444444397E-3</v>
      </c>
      <c r="Q44" s="16"/>
      <c r="R44" s="16">
        <f t="shared" si="4"/>
        <v>-6.9444444444444397E-3</v>
      </c>
      <c r="S44" s="16"/>
      <c r="T44" s="16" t="e">
        <f>VLOOKUP(E44,'[2]21-3-2026'!E$3:T$35,16,FALSE)</f>
        <v>#N/A</v>
      </c>
      <c r="U44" s="16"/>
      <c r="V44" s="16" t="e">
        <f t="shared" si="5"/>
        <v>#N/A</v>
      </c>
      <c r="W44" s="16"/>
      <c r="X44" s="16"/>
      <c r="Y44" s="16"/>
      <c r="Z44" s="16">
        <f t="shared" si="6"/>
        <v>0</v>
      </c>
      <c r="AA44" s="16">
        <f t="shared" si="0"/>
        <v>0</v>
      </c>
      <c r="AB44" s="16"/>
      <c r="AC44" s="17"/>
      <c r="AD44" s="51"/>
    </row>
    <row r="45" spans="1:30" ht="19.5" thickBot="1" x14ac:dyDescent="0.3">
      <c r="A45" s="14">
        <v>10</v>
      </c>
      <c r="B45" s="15"/>
      <c r="C45" s="15" t="e">
        <f>VLOOKUP(B45,داتا!$B$3:$D$107,2,FALSE)</f>
        <v>#N/A</v>
      </c>
      <c r="D45" s="34" t="e">
        <f>VLOOKUP(B45,داتا!$B$3:$D$107,3,FALSE)</f>
        <v>#N/A</v>
      </c>
      <c r="E45" s="15"/>
      <c r="F45" s="15"/>
      <c r="G45" s="16">
        <v>0.25</v>
      </c>
      <c r="H45" s="16" t="e">
        <f t="shared" si="7"/>
        <v>#N/A</v>
      </c>
      <c r="I45" s="16" t="e">
        <f t="shared" si="1"/>
        <v>#N/A</v>
      </c>
      <c r="J45" s="16"/>
      <c r="K45" s="16"/>
      <c r="L45" s="16"/>
      <c r="M45" s="16"/>
      <c r="N45" s="16">
        <f t="shared" si="2"/>
        <v>0</v>
      </c>
      <c r="O45" s="16" t="e">
        <f t="shared" si="3"/>
        <v>#N/A</v>
      </c>
      <c r="P45" s="16">
        <v>6.9444444444444397E-3</v>
      </c>
      <c r="Q45" s="16"/>
      <c r="R45" s="16">
        <f t="shared" si="4"/>
        <v>-6.9444444444444397E-3</v>
      </c>
      <c r="S45" s="16"/>
      <c r="T45" s="16" t="e">
        <f>VLOOKUP(E45,'[2]21-3-2026'!E$3:T$35,16,FALSE)</f>
        <v>#N/A</v>
      </c>
      <c r="U45" s="16"/>
      <c r="V45" s="16" t="e">
        <f t="shared" si="5"/>
        <v>#N/A</v>
      </c>
      <c r="W45" s="16"/>
      <c r="X45" s="16"/>
      <c r="Y45" s="16"/>
      <c r="Z45" s="16">
        <f t="shared" si="6"/>
        <v>0</v>
      </c>
      <c r="AA45" s="16">
        <f t="shared" si="0"/>
        <v>0</v>
      </c>
      <c r="AB45" s="16"/>
      <c r="AC45" s="17"/>
      <c r="AD45" s="51"/>
    </row>
    <row r="46" spans="1:30" ht="19.5" thickBot="1" x14ac:dyDescent="0.3">
      <c r="A46" s="14">
        <v>11</v>
      </c>
      <c r="B46" s="15"/>
      <c r="C46" s="15" t="e">
        <f>VLOOKUP(B46,داتا!$B$3:$D$107,2,FALSE)</f>
        <v>#N/A</v>
      </c>
      <c r="D46" s="34" t="e">
        <f>VLOOKUP(B46,داتا!$B$3:$D$107,3,FALSE)</f>
        <v>#N/A</v>
      </c>
      <c r="E46" s="15"/>
      <c r="F46" s="15"/>
      <c r="G46" s="16">
        <v>0.25</v>
      </c>
      <c r="H46" s="16" t="e">
        <f t="shared" si="7"/>
        <v>#N/A</v>
      </c>
      <c r="I46" s="16" t="e">
        <f t="shared" si="1"/>
        <v>#N/A</v>
      </c>
      <c r="J46" s="16"/>
      <c r="K46" s="16"/>
      <c r="L46" s="16"/>
      <c r="M46" s="16"/>
      <c r="N46" s="16">
        <f t="shared" si="2"/>
        <v>0</v>
      </c>
      <c r="O46" s="16" t="e">
        <f t="shared" si="3"/>
        <v>#N/A</v>
      </c>
      <c r="P46" s="16">
        <v>6.9444444444444397E-3</v>
      </c>
      <c r="Q46" s="16"/>
      <c r="R46" s="16">
        <f t="shared" si="4"/>
        <v>-6.9444444444444397E-3</v>
      </c>
      <c r="S46" s="16"/>
      <c r="T46" s="16" t="e">
        <f>VLOOKUP(E46,'[2]21-3-2026'!E$3:T$35,16,FALSE)</f>
        <v>#N/A</v>
      </c>
      <c r="U46" s="16"/>
      <c r="V46" s="16" t="e">
        <f t="shared" si="5"/>
        <v>#N/A</v>
      </c>
      <c r="W46" s="16"/>
      <c r="X46" s="16"/>
      <c r="Y46" s="16"/>
      <c r="Z46" s="16">
        <f t="shared" si="6"/>
        <v>0</v>
      </c>
      <c r="AA46" s="16">
        <f t="shared" si="0"/>
        <v>0</v>
      </c>
      <c r="AB46" s="16"/>
      <c r="AC46" s="17"/>
      <c r="AD46" s="51"/>
    </row>
    <row r="47" spans="1:30" ht="19.5" thickBot="1" x14ac:dyDescent="0.3">
      <c r="A47" s="14">
        <v>12</v>
      </c>
      <c r="B47" s="15"/>
      <c r="C47" s="15" t="e">
        <f>VLOOKUP(B47,داتا!$B$3:$D$107,2,FALSE)</f>
        <v>#N/A</v>
      </c>
      <c r="D47" s="34" t="e">
        <f>VLOOKUP(B47,داتا!$B$3:$D$107,3,FALSE)</f>
        <v>#N/A</v>
      </c>
      <c r="E47" s="15"/>
      <c r="F47" s="15"/>
      <c r="G47" s="16">
        <v>0.25</v>
      </c>
      <c r="H47" s="16" t="e">
        <f t="shared" si="7"/>
        <v>#N/A</v>
      </c>
      <c r="I47" s="16" t="e">
        <f t="shared" si="1"/>
        <v>#N/A</v>
      </c>
      <c r="J47" s="16"/>
      <c r="K47" s="16"/>
      <c r="L47" s="16"/>
      <c r="M47" s="16"/>
      <c r="N47" s="16">
        <f t="shared" si="2"/>
        <v>0</v>
      </c>
      <c r="O47" s="16" t="e">
        <f t="shared" si="3"/>
        <v>#N/A</v>
      </c>
      <c r="P47" s="16">
        <v>6.9444444444444397E-3</v>
      </c>
      <c r="Q47" s="16"/>
      <c r="R47" s="16">
        <f t="shared" si="4"/>
        <v>-6.9444444444444397E-3</v>
      </c>
      <c r="S47" s="16"/>
      <c r="T47" s="16" t="e">
        <f>VLOOKUP(E47,'[2]21-3-2026'!E$3:T$35,16,FALSE)</f>
        <v>#N/A</v>
      </c>
      <c r="U47" s="16"/>
      <c r="V47" s="16" t="e">
        <f t="shared" si="5"/>
        <v>#N/A</v>
      </c>
      <c r="W47" s="16"/>
      <c r="X47" s="16"/>
      <c r="Y47" s="16"/>
      <c r="Z47" s="16">
        <f t="shared" si="6"/>
        <v>0</v>
      </c>
      <c r="AA47" s="16">
        <f t="shared" si="0"/>
        <v>0</v>
      </c>
      <c r="AB47" s="16"/>
      <c r="AC47" s="17"/>
      <c r="AD47" s="51"/>
    </row>
    <row r="48" spans="1:30" ht="19.5" thickBot="1" x14ac:dyDescent="0.3">
      <c r="A48" s="14">
        <v>13</v>
      </c>
      <c r="B48" s="15"/>
      <c r="C48" s="15" t="e">
        <f>VLOOKUP(B48,داتا!$B$3:$D$107,2,FALSE)</f>
        <v>#N/A</v>
      </c>
      <c r="D48" s="34" t="e">
        <f>VLOOKUP(B48,داتا!$B$3:$D$107,3,FALSE)</f>
        <v>#N/A</v>
      </c>
      <c r="E48" s="15"/>
      <c r="F48" s="15"/>
      <c r="G48" s="16">
        <v>0.25</v>
      </c>
      <c r="H48" s="16" t="e">
        <f t="shared" si="7"/>
        <v>#N/A</v>
      </c>
      <c r="I48" s="16" t="e">
        <f t="shared" si="1"/>
        <v>#N/A</v>
      </c>
      <c r="J48" s="16"/>
      <c r="K48" s="16"/>
      <c r="L48" s="16"/>
      <c r="M48" s="16"/>
      <c r="N48" s="16">
        <f t="shared" si="2"/>
        <v>0</v>
      </c>
      <c r="O48" s="16" t="e">
        <f t="shared" si="3"/>
        <v>#N/A</v>
      </c>
      <c r="P48" s="16">
        <v>6.9444444444444397E-3</v>
      </c>
      <c r="Q48" s="16"/>
      <c r="R48" s="16">
        <f t="shared" si="4"/>
        <v>-6.9444444444444397E-3</v>
      </c>
      <c r="S48" s="16"/>
      <c r="T48" s="16" t="e">
        <f>VLOOKUP(E48,'[2]21-3-2026'!E$3:T$35,16,FALSE)</f>
        <v>#N/A</v>
      </c>
      <c r="U48" s="16"/>
      <c r="V48" s="16" t="e">
        <f t="shared" si="5"/>
        <v>#N/A</v>
      </c>
      <c r="W48" s="16"/>
      <c r="X48" s="16"/>
      <c r="Y48" s="16"/>
      <c r="Z48" s="16">
        <f t="shared" si="6"/>
        <v>0</v>
      </c>
      <c r="AA48" s="16">
        <f t="shared" si="0"/>
        <v>0</v>
      </c>
      <c r="AB48" s="16"/>
      <c r="AC48" s="17"/>
      <c r="AD48" s="51"/>
    </row>
    <row r="49" spans="1:30" ht="19.5" thickBot="1" x14ac:dyDescent="0.3">
      <c r="A49" s="14">
        <v>14</v>
      </c>
      <c r="B49" s="15"/>
      <c r="C49" s="15" t="e">
        <f>VLOOKUP(B49,داتا!$B$3:$D$107,2,FALSE)</f>
        <v>#N/A</v>
      </c>
      <c r="D49" s="34" t="e">
        <f>VLOOKUP(B49,داتا!$B$3:$D$107,3,FALSE)</f>
        <v>#N/A</v>
      </c>
      <c r="E49" s="15"/>
      <c r="F49" s="15"/>
      <c r="G49" s="16">
        <v>0.25</v>
      </c>
      <c r="H49" s="16" t="e">
        <f t="shared" si="7"/>
        <v>#N/A</v>
      </c>
      <c r="I49" s="16" t="e">
        <f t="shared" si="1"/>
        <v>#N/A</v>
      </c>
      <c r="J49" s="16"/>
      <c r="K49" s="16"/>
      <c r="L49" s="16"/>
      <c r="M49" s="16"/>
      <c r="N49" s="16">
        <f t="shared" si="2"/>
        <v>0</v>
      </c>
      <c r="O49" s="16" t="e">
        <f t="shared" si="3"/>
        <v>#N/A</v>
      </c>
      <c r="P49" s="16">
        <v>6.9444444444444397E-3</v>
      </c>
      <c r="Q49" s="16"/>
      <c r="R49" s="16">
        <f t="shared" si="4"/>
        <v>-6.9444444444444397E-3</v>
      </c>
      <c r="S49" s="16"/>
      <c r="T49" s="16" t="e">
        <f>VLOOKUP(E49,'[2]21-3-2026'!E$3:T$35,16,FALSE)</f>
        <v>#N/A</v>
      </c>
      <c r="U49" s="16"/>
      <c r="V49" s="16" t="e">
        <f t="shared" si="5"/>
        <v>#N/A</v>
      </c>
      <c r="W49" s="16"/>
      <c r="X49" s="16"/>
      <c r="Y49" s="16"/>
      <c r="Z49" s="16">
        <f t="shared" si="6"/>
        <v>0</v>
      </c>
      <c r="AA49" s="16">
        <f t="shared" si="0"/>
        <v>0</v>
      </c>
      <c r="AB49" s="16"/>
      <c r="AC49" s="17"/>
      <c r="AD49" s="51"/>
    </row>
    <row r="50" spans="1:30" ht="19.5" thickBot="1" x14ac:dyDescent="0.3">
      <c r="A50" s="14">
        <v>15</v>
      </c>
      <c r="B50" s="15"/>
      <c r="C50" s="15" t="e">
        <f>VLOOKUP(B50,داتا!$B$3:$D$107,2,FALSE)</f>
        <v>#N/A</v>
      </c>
      <c r="D50" s="34" t="e">
        <f>VLOOKUP(B50,داتا!$B$3:$D$107,3,FALSE)</f>
        <v>#N/A</v>
      </c>
      <c r="E50" s="15"/>
      <c r="F50" s="15"/>
      <c r="G50" s="16">
        <v>0.25</v>
      </c>
      <c r="H50" s="16" t="e">
        <f t="shared" si="7"/>
        <v>#N/A</v>
      </c>
      <c r="I50" s="16" t="e">
        <f t="shared" si="1"/>
        <v>#N/A</v>
      </c>
      <c r="J50" s="16"/>
      <c r="K50" s="16"/>
      <c r="L50" s="16"/>
      <c r="M50" s="16"/>
      <c r="N50" s="16">
        <f t="shared" si="2"/>
        <v>0</v>
      </c>
      <c r="O50" s="16" t="e">
        <f t="shared" si="3"/>
        <v>#N/A</v>
      </c>
      <c r="P50" s="16">
        <v>6.9444444444444397E-3</v>
      </c>
      <c r="Q50" s="16"/>
      <c r="R50" s="16">
        <f t="shared" si="4"/>
        <v>-6.9444444444444397E-3</v>
      </c>
      <c r="S50" s="16"/>
      <c r="T50" s="16" t="e">
        <f>VLOOKUP(E50,'[2]21-3-2026'!E$3:T$35,16,FALSE)</f>
        <v>#N/A</v>
      </c>
      <c r="U50" s="16"/>
      <c r="V50" s="16" t="e">
        <f t="shared" si="5"/>
        <v>#N/A</v>
      </c>
      <c r="W50" s="16"/>
      <c r="X50" s="16"/>
      <c r="Y50" s="16"/>
      <c r="Z50" s="16">
        <f t="shared" si="6"/>
        <v>0</v>
      </c>
      <c r="AA50" s="16">
        <f t="shared" si="0"/>
        <v>0</v>
      </c>
      <c r="AB50" s="16"/>
      <c r="AC50" s="17"/>
      <c r="AD50" s="51"/>
    </row>
    <row r="51" spans="1:30" ht="19.5" thickBot="1" x14ac:dyDescent="0.3">
      <c r="A51" s="14">
        <v>16</v>
      </c>
      <c r="B51" s="15"/>
      <c r="C51" s="15" t="e">
        <f>VLOOKUP(B51,داتا!$B$3:$D$107,2,FALSE)</f>
        <v>#N/A</v>
      </c>
      <c r="D51" s="34" t="e">
        <f>VLOOKUP(B51,داتا!$B$3:$D$107,3,FALSE)</f>
        <v>#N/A</v>
      </c>
      <c r="E51" s="15"/>
      <c r="F51" s="15"/>
      <c r="G51" s="16">
        <v>0.25</v>
      </c>
      <c r="H51" s="16" t="e">
        <f t="shared" si="7"/>
        <v>#N/A</v>
      </c>
      <c r="I51" s="16" t="e">
        <f t="shared" si="1"/>
        <v>#N/A</v>
      </c>
      <c r="J51" s="16"/>
      <c r="K51" s="16"/>
      <c r="L51" s="16"/>
      <c r="M51" s="16"/>
      <c r="N51" s="16">
        <f t="shared" si="2"/>
        <v>0</v>
      </c>
      <c r="O51" s="16" t="e">
        <f t="shared" si="3"/>
        <v>#N/A</v>
      </c>
      <c r="P51" s="16">
        <v>6.9444444444444397E-3</v>
      </c>
      <c r="Q51" s="16"/>
      <c r="R51" s="16">
        <f t="shared" si="4"/>
        <v>-6.9444444444444397E-3</v>
      </c>
      <c r="S51" s="16"/>
      <c r="T51" s="16" t="e">
        <f>VLOOKUP(E51,'[2]21-3-2026'!E$3:T$35,16,FALSE)</f>
        <v>#N/A</v>
      </c>
      <c r="U51" s="16"/>
      <c r="V51" s="16" t="e">
        <f t="shared" si="5"/>
        <v>#N/A</v>
      </c>
      <c r="W51" s="16"/>
      <c r="X51" s="16"/>
      <c r="Y51" s="16"/>
      <c r="Z51" s="16">
        <f t="shared" si="6"/>
        <v>0</v>
      </c>
      <c r="AA51" s="16">
        <f t="shared" si="0"/>
        <v>0</v>
      </c>
      <c r="AB51" s="16"/>
      <c r="AC51" s="17"/>
      <c r="AD51" s="51"/>
    </row>
    <row r="52" spans="1:30" ht="19.5" thickBot="1" x14ac:dyDescent="0.3">
      <c r="A52" s="14">
        <v>17</v>
      </c>
      <c r="B52" s="15"/>
      <c r="C52" s="15" t="e">
        <f>VLOOKUP(B52,داتا!$B$3:$D$107,2,FALSE)</f>
        <v>#N/A</v>
      </c>
      <c r="D52" s="34" t="e">
        <f>VLOOKUP(B52,داتا!$B$3:$D$107,3,FALSE)</f>
        <v>#N/A</v>
      </c>
      <c r="E52" s="15"/>
      <c r="F52" s="15"/>
      <c r="G52" s="16">
        <v>0.25</v>
      </c>
      <c r="H52" s="16" t="e">
        <f t="shared" si="7"/>
        <v>#N/A</v>
      </c>
      <c r="I52" s="16" t="e">
        <f t="shared" si="1"/>
        <v>#N/A</v>
      </c>
      <c r="J52" s="16"/>
      <c r="K52" s="16"/>
      <c r="L52" s="16"/>
      <c r="M52" s="16"/>
      <c r="N52" s="16">
        <f t="shared" si="2"/>
        <v>0</v>
      </c>
      <c r="O52" s="16" t="e">
        <f t="shared" si="3"/>
        <v>#N/A</v>
      </c>
      <c r="P52" s="16">
        <v>6.9444444444444397E-3</v>
      </c>
      <c r="Q52" s="16"/>
      <c r="R52" s="16">
        <f t="shared" si="4"/>
        <v>-6.9444444444444397E-3</v>
      </c>
      <c r="S52" s="16"/>
      <c r="T52" s="16" t="e">
        <f>VLOOKUP(E52,'[2]21-3-2026'!E$3:T$35,16,FALSE)</f>
        <v>#N/A</v>
      </c>
      <c r="U52" s="16"/>
      <c r="V52" s="16" t="e">
        <f t="shared" si="5"/>
        <v>#N/A</v>
      </c>
      <c r="W52" s="16"/>
      <c r="X52" s="16"/>
      <c r="Y52" s="16"/>
      <c r="Z52" s="16">
        <f t="shared" si="6"/>
        <v>0</v>
      </c>
      <c r="AA52" s="16">
        <f t="shared" si="0"/>
        <v>0</v>
      </c>
      <c r="AB52" s="16"/>
      <c r="AC52" s="17"/>
      <c r="AD52" s="51"/>
    </row>
    <row r="53" spans="1:30" ht="19.5" thickBot="1" x14ac:dyDescent="0.3">
      <c r="A53" s="14">
        <v>18</v>
      </c>
      <c r="B53" s="15"/>
      <c r="C53" s="15" t="e">
        <f>VLOOKUP(B53,داتا!$B$3:$D$107,2,FALSE)</f>
        <v>#N/A</v>
      </c>
      <c r="D53" s="34" t="e">
        <f>VLOOKUP(B53,داتا!$B$3:$D$107,3,FALSE)</f>
        <v>#N/A</v>
      </c>
      <c r="E53" s="15"/>
      <c r="F53" s="15"/>
      <c r="G53" s="16">
        <v>0.25</v>
      </c>
      <c r="H53" s="16" t="e">
        <f t="shared" ref="H53:H68" si="8">VLOOKUP(G53,$F$3:$I$35,2,FALSE)</f>
        <v>#N/A</v>
      </c>
      <c r="I53" s="16" t="e">
        <f t="shared" si="1"/>
        <v>#N/A</v>
      </c>
      <c r="J53" s="16"/>
      <c r="K53" s="16"/>
      <c r="L53" s="16"/>
      <c r="M53" s="16"/>
      <c r="N53" s="16">
        <f t="shared" si="2"/>
        <v>0</v>
      </c>
      <c r="O53" s="16" t="e">
        <f t="shared" si="3"/>
        <v>#N/A</v>
      </c>
      <c r="P53" s="16">
        <v>6.9444444444444397E-3</v>
      </c>
      <c r="Q53" s="16"/>
      <c r="R53" s="16">
        <f t="shared" si="4"/>
        <v>-6.9444444444444397E-3</v>
      </c>
      <c r="S53" s="16"/>
      <c r="T53" s="16" t="e">
        <f>VLOOKUP(E53,'[2]21-3-2026'!E$3:T$35,16,FALSE)</f>
        <v>#N/A</v>
      </c>
      <c r="U53" s="16"/>
      <c r="V53" s="16" t="e">
        <f t="shared" si="5"/>
        <v>#N/A</v>
      </c>
      <c r="W53" s="16"/>
      <c r="X53" s="16"/>
      <c r="Y53" s="16"/>
      <c r="Z53" s="16">
        <f t="shared" si="6"/>
        <v>0</v>
      </c>
      <c r="AA53" s="16">
        <f t="shared" si="0"/>
        <v>0</v>
      </c>
      <c r="AB53" s="16"/>
      <c r="AC53" s="17"/>
      <c r="AD53" s="51"/>
    </row>
    <row r="54" spans="1:30" ht="19.5" thickBot="1" x14ac:dyDescent="0.3">
      <c r="A54" s="14">
        <v>19</v>
      </c>
      <c r="B54" s="15"/>
      <c r="C54" s="15" t="e">
        <f>VLOOKUP(B54,داتا!$B$3:$D$107,2,FALSE)</f>
        <v>#N/A</v>
      </c>
      <c r="D54" s="34" t="e">
        <f>VLOOKUP(B54,داتا!$B$3:$D$107,3,FALSE)</f>
        <v>#N/A</v>
      </c>
      <c r="E54" s="15"/>
      <c r="F54" s="15"/>
      <c r="G54" s="16">
        <v>0.25</v>
      </c>
      <c r="H54" s="16" t="e">
        <f t="shared" si="8"/>
        <v>#N/A</v>
      </c>
      <c r="I54" s="16" t="e">
        <f t="shared" si="1"/>
        <v>#N/A</v>
      </c>
      <c r="J54" s="16"/>
      <c r="K54" s="16"/>
      <c r="L54" s="16"/>
      <c r="M54" s="16"/>
      <c r="N54" s="16">
        <f t="shared" si="2"/>
        <v>0</v>
      </c>
      <c r="O54" s="16" t="e">
        <f t="shared" si="3"/>
        <v>#N/A</v>
      </c>
      <c r="P54" s="16">
        <v>6.9444444444444397E-3</v>
      </c>
      <c r="Q54" s="16"/>
      <c r="R54" s="16">
        <f t="shared" si="4"/>
        <v>-6.9444444444444397E-3</v>
      </c>
      <c r="S54" s="16"/>
      <c r="T54" s="16" t="e">
        <f>VLOOKUP(E54,'[2]21-3-2026'!E$3:T$35,16,FALSE)</f>
        <v>#N/A</v>
      </c>
      <c r="U54" s="16"/>
      <c r="V54" s="16" t="e">
        <f t="shared" si="5"/>
        <v>#N/A</v>
      </c>
      <c r="W54" s="16"/>
      <c r="X54" s="16"/>
      <c r="Y54" s="16"/>
      <c r="Z54" s="16">
        <f t="shared" si="6"/>
        <v>0</v>
      </c>
      <c r="AA54" s="16">
        <f t="shared" si="0"/>
        <v>0</v>
      </c>
      <c r="AB54" s="16"/>
      <c r="AC54" s="17"/>
      <c r="AD54" s="51"/>
    </row>
    <row r="55" spans="1:30" ht="19.5" thickBot="1" x14ac:dyDescent="0.3">
      <c r="A55" s="14">
        <v>20</v>
      </c>
      <c r="B55" s="15"/>
      <c r="C55" s="15" t="e">
        <f>VLOOKUP(B55,داتا!$B$3:$D$107,2,FALSE)</f>
        <v>#N/A</v>
      </c>
      <c r="D55" s="34" t="e">
        <f>VLOOKUP(B55,داتا!$B$3:$D$107,3,FALSE)</f>
        <v>#N/A</v>
      </c>
      <c r="E55" s="15"/>
      <c r="F55" s="15"/>
      <c r="G55" s="16">
        <v>0.25</v>
      </c>
      <c r="H55" s="16" t="e">
        <f t="shared" si="8"/>
        <v>#N/A</v>
      </c>
      <c r="I55" s="16" t="e">
        <f t="shared" si="1"/>
        <v>#N/A</v>
      </c>
      <c r="J55" s="16"/>
      <c r="K55" s="16"/>
      <c r="L55" s="16"/>
      <c r="M55" s="16"/>
      <c r="N55" s="16">
        <f t="shared" si="2"/>
        <v>0</v>
      </c>
      <c r="O55" s="16" t="e">
        <f t="shared" si="3"/>
        <v>#N/A</v>
      </c>
      <c r="P55" s="16">
        <v>6.9444444444444397E-3</v>
      </c>
      <c r="Q55" s="16"/>
      <c r="R55" s="16">
        <f t="shared" si="4"/>
        <v>-6.9444444444444397E-3</v>
      </c>
      <c r="S55" s="16"/>
      <c r="T55" s="16" t="e">
        <f>VLOOKUP(E55,'[2]21-3-2026'!E$3:T$35,16,FALSE)</f>
        <v>#N/A</v>
      </c>
      <c r="U55" s="16"/>
      <c r="V55" s="16" t="e">
        <f t="shared" si="5"/>
        <v>#N/A</v>
      </c>
      <c r="W55" s="16"/>
      <c r="X55" s="16"/>
      <c r="Y55" s="16"/>
      <c r="Z55" s="16">
        <f t="shared" si="6"/>
        <v>0</v>
      </c>
      <c r="AA55" s="16">
        <f t="shared" si="0"/>
        <v>0</v>
      </c>
      <c r="AB55" s="16"/>
      <c r="AC55" s="17"/>
      <c r="AD55" s="51"/>
    </row>
    <row r="56" spans="1:30" ht="19.5" thickBot="1" x14ac:dyDescent="0.3">
      <c r="A56" s="14">
        <v>21</v>
      </c>
      <c r="B56" s="15"/>
      <c r="C56" s="15" t="e">
        <f>VLOOKUP(B56,داتا!$B$3:$D$107,2,FALSE)</f>
        <v>#N/A</v>
      </c>
      <c r="D56" s="34" t="e">
        <f>VLOOKUP(B56,داتا!$B$3:$D$107,3,FALSE)</f>
        <v>#N/A</v>
      </c>
      <c r="E56" s="15"/>
      <c r="F56" s="15"/>
      <c r="G56" s="16">
        <v>0.25</v>
      </c>
      <c r="H56" s="16" t="e">
        <f t="shared" si="8"/>
        <v>#N/A</v>
      </c>
      <c r="I56" s="16" t="e">
        <f t="shared" si="1"/>
        <v>#N/A</v>
      </c>
      <c r="J56" s="16"/>
      <c r="K56" s="16"/>
      <c r="L56" s="15"/>
      <c r="M56" s="15"/>
      <c r="N56" s="16">
        <f t="shared" si="2"/>
        <v>0</v>
      </c>
      <c r="O56" s="16" t="e">
        <f t="shared" si="3"/>
        <v>#N/A</v>
      </c>
      <c r="P56" s="16">
        <v>6.9444444444444397E-3</v>
      </c>
      <c r="Q56" s="16"/>
      <c r="R56" s="16">
        <f t="shared" si="4"/>
        <v>-6.9444444444444397E-3</v>
      </c>
      <c r="S56" s="16"/>
      <c r="T56" s="16" t="e">
        <f>VLOOKUP(E56,'[2]21-3-2026'!E$3:T$35,16,FALSE)</f>
        <v>#N/A</v>
      </c>
      <c r="U56" s="16"/>
      <c r="V56" s="16" t="e">
        <f t="shared" si="5"/>
        <v>#N/A</v>
      </c>
      <c r="W56" s="16"/>
      <c r="X56" s="16"/>
      <c r="Y56" s="16"/>
      <c r="Z56" s="16">
        <f t="shared" si="6"/>
        <v>0</v>
      </c>
      <c r="AA56" s="16">
        <f t="shared" si="0"/>
        <v>0</v>
      </c>
      <c r="AB56" s="16"/>
      <c r="AC56" s="17"/>
      <c r="AD56" s="51"/>
    </row>
    <row r="57" spans="1:30" ht="19.5" thickBot="1" x14ac:dyDescent="0.3">
      <c r="A57" s="14">
        <v>22</v>
      </c>
      <c r="B57" s="15"/>
      <c r="C57" s="15" t="e">
        <f>VLOOKUP(B57,داتا!$B$3:$D$107,2,FALSE)</f>
        <v>#N/A</v>
      </c>
      <c r="D57" s="34" t="e">
        <f>VLOOKUP(B57,داتا!$B$3:$D$107,3,FALSE)</f>
        <v>#N/A</v>
      </c>
      <c r="E57" s="15"/>
      <c r="F57" s="15"/>
      <c r="G57" s="16">
        <v>0.25</v>
      </c>
      <c r="H57" s="16" t="e">
        <f t="shared" si="8"/>
        <v>#N/A</v>
      </c>
      <c r="I57" s="16" t="e">
        <f t="shared" si="1"/>
        <v>#N/A</v>
      </c>
      <c r="J57" s="16"/>
      <c r="K57" s="16"/>
      <c r="L57" s="15"/>
      <c r="M57" s="15"/>
      <c r="N57" s="16">
        <f t="shared" si="2"/>
        <v>0</v>
      </c>
      <c r="O57" s="16" t="e">
        <f t="shared" si="3"/>
        <v>#N/A</v>
      </c>
      <c r="P57" s="16">
        <v>6.9444444444444397E-3</v>
      </c>
      <c r="Q57" s="16"/>
      <c r="R57" s="16">
        <f t="shared" si="4"/>
        <v>-6.9444444444444397E-3</v>
      </c>
      <c r="S57" s="16"/>
      <c r="T57" s="16" t="e">
        <f>VLOOKUP(E57,'[2]21-3-2026'!E$3:T$35,16,FALSE)</f>
        <v>#N/A</v>
      </c>
      <c r="U57" s="16"/>
      <c r="V57" s="16" t="e">
        <f t="shared" si="5"/>
        <v>#N/A</v>
      </c>
      <c r="W57" s="16"/>
      <c r="X57" s="16"/>
      <c r="Y57" s="16"/>
      <c r="Z57" s="16">
        <f t="shared" si="6"/>
        <v>0</v>
      </c>
      <c r="AA57" s="16">
        <f t="shared" si="0"/>
        <v>0</v>
      </c>
      <c r="AB57" s="16"/>
      <c r="AC57" s="17"/>
      <c r="AD57" s="51"/>
    </row>
    <row r="58" spans="1:30" ht="19.5" thickBot="1" x14ac:dyDescent="0.3">
      <c r="A58" s="14">
        <v>23</v>
      </c>
      <c r="B58" s="15"/>
      <c r="C58" s="15" t="e">
        <f>VLOOKUP(B58,داتا!$B$3:$D$107,2,FALSE)</f>
        <v>#N/A</v>
      </c>
      <c r="D58" s="34" t="e">
        <f>VLOOKUP(B58,داتا!$B$3:$D$107,3,FALSE)</f>
        <v>#N/A</v>
      </c>
      <c r="E58" s="15"/>
      <c r="F58" s="15"/>
      <c r="G58" s="16">
        <v>0.25</v>
      </c>
      <c r="H58" s="16" t="e">
        <f t="shared" si="8"/>
        <v>#N/A</v>
      </c>
      <c r="I58" s="16" t="e">
        <f t="shared" si="1"/>
        <v>#N/A</v>
      </c>
      <c r="J58" s="16"/>
      <c r="K58" s="16"/>
      <c r="L58" s="16"/>
      <c r="M58" s="16"/>
      <c r="N58" s="16">
        <f t="shared" si="2"/>
        <v>0</v>
      </c>
      <c r="O58" s="16" t="e">
        <f t="shared" si="3"/>
        <v>#N/A</v>
      </c>
      <c r="P58" s="16">
        <v>6.9444444444444397E-3</v>
      </c>
      <c r="Q58" s="16"/>
      <c r="R58" s="16">
        <f t="shared" si="4"/>
        <v>-6.9444444444444397E-3</v>
      </c>
      <c r="S58" s="16"/>
      <c r="T58" s="16" t="e">
        <f>VLOOKUP(E58,'[2]21-3-2026'!E$3:T$35,16,FALSE)</f>
        <v>#N/A</v>
      </c>
      <c r="U58" s="16"/>
      <c r="V58" s="16" t="e">
        <f t="shared" si="5"/>
        <v>#N/A</v>
      </c>
      <c r="W58" s="16"/>
      <c r="X58" s="16"/>
      <c r="Y58" s="16"/>
      <c r="Z58" s="16">
        <f t="shared" si="6"/>
        <v>0</v>
      </c>
      <c r="AA58" s="16">
        <f t="shared" si="0"/>
        <v>0</v>
      </c>
      <c r="AB58" s="16"/>
      <c r="AC58" s="17"/>
      <c r="AD58" s="51"/>
    </row>
    <row r="59" spans="1:30" ht="19.5" thickBot="1" x14ac:dyDescent="0.3">
      <c r="A59" s="14">
        <v>24</v>
      </c>
      <c r="B59" s="15"/>
      <c r="C59" s="15" t="e">
        <f>VLOOKUP(B59,داتا!$B$3:$D$107,2,FALSE)</f>
        <v>#N/A</v>
      </c>
      <c r="D59" s="34" t="e">
        <f>VLOOKUP(B59,داتا!$B$3:$D$107,3,FALSE)</f>
        <v>#N/A</v>
      </c>
      <c r="E59" s="16"/>
      <c r="F59" s="15"/>
      <c r="G59" s="16">
        <v>0.25</v>
      </c>
      <c r="H59" s="16" t="e">
        <f t="shared" si="8"/>
        <v>#N/A</v>
      </c>
      <c r="I59" s="16" t="e">
        <f t="shared" si="1"/>
        <v>#N/A</v>
      </c>
      <c r="J59" s="16"/>
      <c r="K59" s="16"/>
      <c r="L59" s="15"/>
      <c r="M59" s="15"/>
      <c r="N59" s="16">
        <f t="shared" si="2"/>
        <v>0</v>
      </c>
      <c r="O59" s="16" t="e">
        <f t="shared" si="3"/>
        <v>#N/A</v>
      </c>
      <c r="P59" s="16">
        <v>6.9444444444444397E-3</v>
      </c>
      <c r="Q59" s="16"/>
      <c r="R59" s="16">
        <f t="shared" si="4"/>
        <v>-6.9444444444444397E-3</v>
      </c>
      <c r="S59" s="16"/>
      <c r="T59" s="16" t="e">
        <f>VLOOKUP(E59,'[2]21-3-2026'!E$3:T$35,16,FALSE)</f>
        <v>#N/A</v>
      </c>
      <c r="U59" s="16"/>
      <c r="V59" s="16" t="e">
        <f t="shared" si="5"/>
        <v>#N/A</v>
      </c>
      <c r="W59" s="16"/>
      <c r="X59" s="16"/>
      <c r="Y59" s="16"/>
      <c r="Z59" s="16">
        <f t="shared" si="6"/>
        <v>0</v>
      </c>
      <c r="AA59" s="16">
        <f t="shared" si="0"/>
        <v>0</v>
      </c>
      <c r="AB59" s="16"/>
      <c r="AC59" s="17"/>
      <c r="AD59" s="51"/>
    </row>
    <row r="60" spans="1:30" ht="19.5" thickBot="1" x14ac:dyDescent="0.3">
      <c r="A60" s="14">
        <v>25</v>
      </c>
      <c r="B60" s="15"/>
      <c r="C60" s="15" t="e">
        <f>VLOOKUP(B60,داتا!$B$3:$D$107,2,FALSE)</f>
        <v>#N/A</v>
      </c>
      <c r="D60" s="34" t="e">
        <f>VLOOKUP(B60,داتا!$B$3:$D$107,3,FALSE)</f>
        <v>#N/A</v>
      </c>
      <c r="E60" s="15"/>
      <c r="F60" s="15"/>
      <c r="G60" s="16">
        <v>0.25</v>
      </c>
      <c r="H60" s="16" t="e">
        <f t="shared" si="8"/>
        <v>#N/A</v>
      </c>
      <c r="I60" s="16" t="e">
        <f t="shared" si="1"/>
        <v>#N/A</v>
      </c>
      <c r="J60" s="16"/>
      <c r="K60" s="16"/>
      <c r="L60" s="16"/>
      <c r="M60" s="16"/>
      <c r="N60" s="16">
        <f t="shared" si="2"/>
        <v>0</v>
      </c>
      <c r="O60" s="16" t="e">
        <f t="shared" si="3"/>
        <v>#N/A</v>
      </c>
      <c r="P60" s="16">
        <v>6.9444444444444397E-3</v>
      </c>
      <c r="Q60" s="16"/>
      <c r="R60" s="16">
        <f t="shared" si="4"/>
        <v>-6.9444444444444397E-3</v>
      </c>
      <c r="S60" s="16"/>
      <c r="T60" s="16" t="e">
        <f>VLOOKUP(E60,'[2]21-3-2026'!E$3:T$35,16,FALSE)</f>
        <v>#N/A</v>
      </c>
      <c r="U60" s="16"/>
      <c r="V60" s="16" t="e">
        <f t="shared" si="5"/>
        <v>#N/A</v>
      </c>
      <c r="W60" s="16"/>
      <c r="X60" s="16"/>
      <c r="Y60" s="16"/>
      <c r="Z60" s="16">
        <f t="shared" si="6"/>
        <v>0</v>
      </c>
      <c r="AA60" s="16">
        <f t="shared" si="0"/>
        <v>0</v>
      </c>
      <c r="AB60" s="16"/>
      <c r="AC60" s="17"/>
      <c r="AD60" s="51"/>
    </row>
    <row r="61" spans="1:30" ht="19.5" thickBot="1" x14ac:dyDescent="0.3">
      <c r="A61" s="14">
        <v>26</v>
      </c>
      <c r="B61" s="15"/>
      <c r="C61" s="15" t="e">
        <f>VLOOKUP(B61,داتا!$B$3:$D$107,2,FALSE)</f>
        <v>#N/A</v>
      </c>
      <c r="D61" s="34" t="e">
        <f>VLOOKUP(B61,داتا!$B$3:$D$107,3,FALSE)</f>
        <v>#N/A</v>
      </c>
      <c r="E61" s="15"/>
      <c r="F61" s="15"/>
      <c r="G61" s="16">
        <v>0.25</v>
      </c>
      <c r="H61" s="16" t="e">
        <f t="shared" si="8"/>
        <v>#N/A</v>
      </c>
      <c r="I61" s="16" t="e">
        <f t="shared" si="1"/>
        <v>#N/A</v>
      </c>
      <c r="J61" s="16"/>
      <c r="K61" s="16"/>
      <c r="L61" s="16"/>
      <c r="M61" s="16"/>
      <c r="N61" s="16">
        <f t="shared" si="2"/>
        <v>0</v>
      </c>
      <c r="O61" s="16" t="e">
        <f t="shared" si="3"/>
        <v>#N/A</v>
      </c>
      <c r="P61" s="16">
        <v>6.9444444444444397E-3</v>
      </c>
      <c r="Q61" s="16"/>
      <c r="R61" s="16">
        <f t="shared" si="4"/>
        <v>-6.9444444444444397E-3</v>
      </c>
      <c r="S61" s="16"/>
      <c r="T61" s="16" t="e">
        <f>VLOOKUP(E61,'[2]21-3-2026'!E$3:T$35,16,FALSE)</f>
        <v>#N/A</v>
      </c>
      <c r="U61" s="16"/>
      <c r="V61" s="16" t="e">
        <f t="shared" si="5"/>
        <v>#N/A</v>
      </c>
      <c r="W61" s="16"/>
      <c r="X61" s="16"/>
      <c r="Y61" s="16"/>
      <c r="Z61" s="16">
        <f t="shared" si="6"/>
        <v>0</v>
      </c>
      <c r="AA61" s="16">
        <f t="shared" si="0"/>
        <v>0</v>
      </c>
      <c r="AB61" s="16"/>
      <c r="AC61" s="17"/>
      <c r="AD61" s="51"/>
    </row>
    <row r="62" spans="1:30" ht="19.5" thickBot="1" x14ac:dyDescent="0.3">
      <c r="A62" s="14">
        <v>27</v>
      </c>
      <c r="B62" s="15"/>
      <c r="C62" s="15" t="e">
        <f>VLOOKUP(B62,داتا!$B$3:$D$107,2,FALSE)</f>
        <v>#N/A</v>
      </c>
      <c r="D62" s="34" t="e">
        <f>VLOOKUP(B62,داتا!$B$3:$D$107,3,FALSE)</f>
        <v>#N/A</v>
      </c>
      <c r="E62" s="15"/>
      <c r="F62" s="15"/>
      <c r="G62" s="16">
        <v>0.25</v>
      </c>
      <c r="H62" s="16" t="e">
        <f t="shared" si="8"/>
        <v>#N/A</v>
      </c>
      <c r="I62" s="16" t="e">
        <f t="shared" si="1"/>
        <v>#N/A</v>
      </c>
      <c r="J62" s="16"/>
      <c r="K62" s="16"/>
      <c r="L62" s="16"/>
      <c r="M62" s="16"/>
      <c r="N62" s="16">
        <f t="shared" si="2"/>
        <v>0</v>
      </c>
      <c r="O62" s="16" t="e">
        <f t="shared" si="3"/>
        <v>#N/A</v>
      </c>
      <c r="P62" s="16">
        <v>6.9444444444444397E-3</v>
      </c>
      <c r="Q62" s="16"/>
      <c r="R62" s="16">
        <f t="shared" si="4"/>
        <v>-6.9444444444444397E-3</v>
      </c>
      <c r="S62" s="16"/>
      <c r="T62" s="16" t="e">
        <f>VLOOKUP(E62,'[2]21-3-2026'!E$3:T$35,16,FALSE)</f>
        <v>#N/A</v>
      </c>
      <c r="U62" s="16"/>
      <c r="V62" s="16" t="e">
        <f t="shared" si="5"/>
        <v>#N/A</v>
      </c>
      <c r="W62" s="16"/>
      <c r="X62" s="16"/>
      <c r="Y62" s="16"/>
      <c r="Z62" s="16">
        <f t="shared" si="6"/>
        <v>0</v>
      </c>
      <c r="AA62" s="16">
        <f t="shared" si="0"/>
        <v>0</v>
      </c>
      <c r="AB62" s="16"/>
      <c r="AC62" s="17"/>
      <c r="AD62" s="51"/>
    </row>
    <row r="63" spans="1:30" ht="19.5" thickBot="1" x14ac:dyDescent="0.3">
      <c r="A63" s="14">
        <v>28</v>
      </c>
      <c r="B63" s="15"/>
      <c r="C63" s="15" t="e">
        <f>VLOOKUP(B63,داتا!$B$3:$D$107,2,FALSE)</f>
        <v>#N/A</v>
      </c>
      <c r="D63" s="34" t="e">
        <f>VLOOKUP(B63,داتا!$B$3:$D$107,3,FALSE)</f>
        <v>#N/A</v>
      </c>
      <c r="E63" s="15"/>
      <c r="F63" s="15"/>
      <c r="G63" s="16">
        <v>0.25</v>
      </c>
      <c r="H63" s="16" t="e">
        <f t="shared" si="8"/>
        <v>#N/A</v>
      </c>
      <c r="I63" s="16" t="e">
        <f t="shared" si="1"/>
        <v>#N/A</v>
      </c>
      <c r="J63" s="16"/>
      <c r="K63" s="16"/>
      <c r="L63" s="16"/>
      <c r="M63" s="16"/>
      <c r="N63" s="16">
        <f t="shared" si="2"/>
        <v>0</v>
      </c>
      <c r="O63" s="16" t="e">
        <f t="shared" si="3"/>
        <v>#N/A</v>
      </c>
      <c r="P63" s="16">
        <v>6.9444444444444397E-3</v>
      </c>
      <c r="Q63" s="16"/>
      <c r="R63" s="16">
        <f t="shared" si="4"/>
        <v>-6.9444444444444397E-3</v>
      </c>
      <c r="S63" s="16"/>
      <c r="T63" s="16" t="e">
        <f>VLOOKUP(E63,'[2]21-3-2026'!E$3:T$35,16,FALSE)</f>
        <v>#N/A</v>
      </c>
      <c r="U63" s="16"/>
      <c r="V63" s="16" t="e">
        <f t="shared" si="5"/>
        <v>#N/A</v>
      </c>
      <c r="W63" s="16"/>
      <c r="X63" s="16"/>
      <c r="Y63" s="16"/>
      <c r="Z63" s="16">
        <f t="shared" si="6"/>
        <v>0</v>
      </c>
      <c r="AA63" s="16">
        <f t="shared" si="0"/>
        <v>0</v>
      </c>
      <c r="AB63" s="16"/>
      <c r="AC63" s="17"/>
      <c r="AD63" s="51"/>
    </row>
    <row r="64" spans="1:30" ht="19.5" thickBot="1" x14ac:dyDescent="0.3">
      <c r="A64" s="14">
        <v>29</v>
      </c>
      <c r="B64" s="15"/>
      <c r="C64" s="15" t="e">
        <f>VLOOKUP(B64,داتا!$B$3:$D$107,2,FALSE)</f>
        <v>#N/A</v>
      </c>
      <c r="D64" s="34" t="e">
        <f>VLOOKUP(B64,داتا!$B$3:$D$107,3,FALSE)</f>
        <v>#N/A</v>
      </c>
      <c r="E64" s="15"/>
      <c r="F64" s="15"/>
      <c r="G64" s="16">
        <v>0.25</v>
      </c>
      <c r="H64" s="16" t="e">
        <f t="shared" si="8"/>
        <v>#N/A</v>
      </c>
      <c r="I64" s="16" t="e">
        <f t="shared" si="1"/>
        <v>#N/A</v>
      </c>
      <c r="J64" s="16"/>
      <c r="K64" s="16"/>
      <c r="L64" s="16"/>
      <c r="M64" s="16"/>
      <c r="N64" s="16">
        <f t="shared" si="2"/>
        <v>0</v>
      </c>
      <c r="O64" s="16" t="e">
        <f t="shared" si="3"/>
        <v>#N/A</v>
      </c>
      <c r="P64" s="16">
        <v>6.9444444444444397E-3</v>
      </c>
      <c r="Q64" s="16"/>
      <c r="R64" s="16">
        <f t="shared" si="4"/>
        <v>-6.9444444444444397E-3</v>
      </c>
      <c r="S64" s="16"/>
      <c r="T64" s="16" t="e">
        <f>VLOOKUP(E64,'[2]21-3-2026'!E$3:T$35,16,FALSE)</f>
        <v>#N/A</v>
      </c>
      <c r="U64" s="16"/>
      <c r="V64" s="16" t="e">
        <f t="shared" si="5"/>
        <v>#N/A</v>
      </c>
      <c r="W64" s="16"/>
      <c r="X64" s="16"/>
      <c r="Y64" s="16"/>
      <c r="Z64" s="16">
        <f t="shared" si="6"/>
        <v>0</v>
      </c>
      <c r="AA64" s="16">
        <f t="shared" si="0"/>
        <v>0</v>
      </c>
      <c r="AB64" s="16"/>
      <c r="AC64" s="17"/>
      <c r="AD64" s="51"/>
    </row>
    <row r="65" spans="1:30" ht="19.5" thickBot="1" x14ac:dyDescent="0.3">
      <c r="A65" s="14">
        <v>30</v>
      </c>
      <c r="B65" s="15"/>
      <c r="C65" s="15" t="e">
        <f>VLOOKUP(B65,داتا!$B$3:$D$107,2,FALSE)</f>
        <v>#N/A</v>
      </c>
      <c r="D65" s="34" t="e">
        <f>VLOOKUP(B65,داتا!$B$3:$D$107,3,FALSE)</f>
        <v>#N/A</v>
      </c>
      <c r="E65" s="15"/>
      <c r="F65" s="15"/>
      <c r="G65" s="16">
        <v>0.25</v>
      </c>
      <c r="H65" s="16" t="e">
        <f t="shared" si="8"/>
        <v>#N/A</v>
      </c>
      <c r="I65" s="16" t="e">
        <f t="shared" si="1"/>
        <v>#N/A</v>
      </c>
      <c r="J65" s="16"/>
      <c r="K65" s="16"/>
      <c r="L65" s="16"/>
      <c r="M65" s="16"/>
      <c r="N65" s="16">
        <f t="shared" si="2"/>
        <v>0</v>
      </c>
      <c r="O65" s="16" t="e">
        <f t="shared" si="3"/>
        <v>#N/A</v>
      </c>
      <c r="P65" s="16">
        <v>6.9444444444444397E-3</v>
      </c>
      <c r="Q65" s="16"/>
      <c r="R65" s="16">
        <f t="shared" si="4"/>
        <v>-6.9444444444444397E-3</v>
      </c>
      <c r="S65" s="16"/>
      <c r="T65" s="16" t="e">
        <f>VLOOKUP(E65,'[2]21-3-2026'!E$3:T$35,16,FALSE)</f>
        <v>#N/A</v>
      </c>
      <c r="U65" s="16"/>
      <c r="V65" s="16" t="e">
        <f t="shared" si="5"/>
        <v>#N/A</v>
      </c>
      <c r="W65" s="16"/>
      <c r="X65" s="16"/>
      <c r="Y65" s="16"/>
      <c r="Z65" s="16">
        <f t="shared" si="6"/>
        <v>0</v>
      </c>
      <c r="AA65" s="16">
        <f t="shared" si="0"/>
        <v>0</v>
      </c>
      <c r="AB65" s="16"/>
      <c r="AC65" s="17"/>
      <c r="AD65" s="51"/>
    </row>
    <row r="66" spans="1:30" ht="20.25" customHeight="1" thickBot="1" x14ac:dyDescent="0.3">
      <c r="A66" s="14">
        <v>31</v>
      </c>
      <c r="B66" s="15"/>
      <c r="C66" s="15" t="e">
        <f>VLOOKUP(B66,داتا!$B$3:$D$107,2,FALSE)</f>
        <v>#N/A</v>
      </c>
      <c r="D66" s="34" t="e">
        <f>VLOOKUP(B66,داتا!$B$3:$D$107,3,FALSE)</f>
        <v>#N/A</v>
      </c>
      <c r="E66" s="15"/>
      <c r="F66" s="15"/>
      <c r="G66" s="16">
        <v>0.25</v>
      </c>
      <c r="H66" s="16" t="e">
        <f t="shared" si="8"/>
        <v>#N/A</v>
      </c>
      <c r="I66" s="16" t="e">
        <f t="shared" si="1"/>
        <v>#N/A</v>
      </c>
      <c r="J66" s="16"/>
      <c r="K66" s="16"/>
      <c r="L66" s="16"/>
      <c r="M66" s="16"/>
      <c r="N66" s="16">
        <f t="shared" si="2"/>
        <v>0</v>
      </c>
      <c r="O66" s="16" t="e">
        <f t="shared" si="3"/>
        <v>#N/A</v>
      </c>
      <c r="P66" s="16">
        <v>6.9444444444444397E-3</v>
      </c>
      <c r="Q66" s="16"/>
      <c r="R66" s="16">
        <f t="shared" si="4"/>
        <v>-6.9444444444444397E-3</v>
      </c>
      <c r="S66" s="16"/>
      <c r="T66" s="16" t="e">
        <f>VLOOKUP(E66,'[2]21-3-2026'!E$3:T$35,16,FALSE)</f>
        <v>#N/A</v>
      </c>
      <c r="U66" s="16"/>
      <c r="V66" s="16" t="e">
        <f t="shared" si="5"/>
        <v>#N/A</v>
      </c>
      <c r="W66" s="16"/>
      <c r="X66" s="16"/>
      <c r="Y66" s="16"/>
      <c r="Z66" s="16">
        <f t="shared" si="6"/>
        <v>0</v>
      </c>
      <c r="AA66" s="16">
        <f t="shared" si="0"/>
        <v>0</v>
      </c>
      <c r="AB66" s="16"/>
      <c r="AC66" s="19"/>
      <c r="AD66" s="51"/>
    </row>
    <row r="67" spans="1:30" ht="19.5" customHeight="1" thickBot="1" x14ac:dyDescent="0.3">
      <c r="A67" s="20">
        <v>32</v>
      </c>
      <c r="B67" s="21"/>
      <c r="C67" s="21" t="e">
        <f>VLOOKUP(B67,داتا!$B$3:$D$107,2,FALSE)</f>
        <v>#N/A</v>
      </c>
      <c r="D67" s="35" t="e">
        <f>VLOOKUP(B67,داتا!$B$3:$D$107,3,FALSE)</f>
        <v>#N/A</v>
      </c>
      <c r="E67" s="21"/>
      <c r="F67" s="21"/>
      <c r="G67" s="22">
        <v>0.25</v>
      </c>
      <c r="H67" s="22" t="e">
        <f t="shared" si="8"/>
        <v>#N/A</v>
      </c>
      <c r="I67" s="22" t="e">
        <f t="shared" si="1"/>
        <v>#N/A</v>
      </c>
      <c r="J67" s="22"/>
      <c r="K67" s="22"/>
      <c r="L67" s="22"/>
      <c r="M67" s="22"/>
      <c r="N67" s="22">
        <f t="shared" si="2"/>
        <v>0</v>
      </c>
      <c r="O67" s="22" t="e">
        <f t="shared" si="3"/>
        <v>#N/A</v>
      </c>
      <c r="P67" s="22">
        <v>6.9444444444444397E-3</v>
      </c>
      <c r="Q67" s="22"/>
      <c r="R67" s="22">
        <f t="shared" si="4"/>
        <v>-6.9444444444444397E-3</v>
      </c>
      <c r="S67" s="22"/>
      <c r="T67" s="22" t="e">
        <f>VLOOKUP(E67,'[2]21-3-2026'!E$3:T$35,16,FALSE)</f>
        <v>#N/A</v>
      </c>
      <c r="U67" s="22"/>
      <c r="V67" s="22" t="e">
        <f t="shared" si="5"/>
        <v>#N/A</v>
      </c>
      <c r="W67" s="22"/>
      <c r="X67" s="22"/>
      <c r="Y67" s="22"/>
      <c r="Z67" s="22">
        <f t="shared" si="6"/>
        <v>0</v>
      </c>
      <c r="AA67" s="22">
        <f t="shared" ref="AA67:AA99" si="9">Z67-W67</f>
        <v>0</v>
      </c>
      <c r="AB67" s="22"/>
      <c r="AC67" s="23"/>
      <c r="AD67" s="52"/>
    </row>
    <row r="68" spans="1:30" ht="20.25" thickTop="1" thickBot="1" x14ac:dyDescent="0.3">
      <c r="A68" s="10">
        <v>1</v>
      </c>
      <c r="B68" s="11"/>
      <c r="C68" s="11" t="e">
        <f>VLOOKUP(B68,داتا!$B$3:$D$107,2,FALSE)</f>
        <v>#N/A</v>
      </c>
      <c r="D68" s="33" t="e">
        <f>VLOOKUP(B68,داتا!$B$3:$D$107,3,FALSE)</f>
        <v>#N/A</v>
      </c>
      <c r="E68" s="11"/>
      <c r="F68" s="11"/>
      <c r="G68" s="12">
        <v>8.3333333333333329E-2</v>
      </c>
      <c r="H68" s="12" t="e">
        <f t="shared" si="8"/>
        <v>#N/A</v>
      </c>
      <c r="I68" s="12" t="e">
        <f t="shared" ref="I68:I99" si="10">H68-G68</f>
        <v>#N/A</v>
      </c>
      <c r="J68" s="12"/>
      <c r="K68" s="12"/>
      <c r="L68" s="12"/>
      <c r="M68" s="12"/>
      <c r="N68" s="12">
        <f t="shared" ref="N68:N99" si="11">K68-J68</f>
        <v>0</v>
      </c>
      <c r="O68" s="12" t="e">
        <f t="shared" ref="O68:O99" si="12">N68-D68</f>
        <v>#N/A</v>
      </c>
      <c r="P68" s="12">
        <v>6.9444444444444397E-3</v>
      </c>
      <c r="Q68" s="12"/>
      <c r="R68" s="12">
        <f t="shared" ref="R68:R99" si="13">Q68-P68-K68</f>
        <v>-6.9444444444444397E-3</v>
      </c>
      <c r="S68" s="12"/>
      <c r="T68" s="12" t="e">
        <f>VLOOKUP(E68,'[2]21-3-2026'!E$3:T$35,16,FALSE)</f>
        <v>#N/A</v>
      </c>
      <c r="U68" s="12"/>
      <c r="V68" s="12" t="e">
        <f t="shared" ref="V68:V99" si="14">U68-T68-S68</f>
        <v>#N/A</v>
      </c>
      <c r="W68" s="12"/>
      <c r="X68" s="12"/>
      <c r="Y68" s="12"/>
      <c r="Z68" s="12">
        <f t="shared" ref="Z68:Z99" si="15">Y68-X68</f>
        <v>0</v>
      </c>
      <c r="AA68" s="12">
        <f t="shared" si="9"/>
        <v>0</v>
      </c>
      <c r="AB68" s="12"/>
      <c r="AC68" s="13"/>
      <c r="AD68" s="53" t="s">
        <v>116</v>
      </c>
    </row>
    <row r="69" spans="1:30" ht="19.5" thickBot="1" x14ac:dyDescent="0.3">
      <c r="A69" s="14">
        <v>2</v>
      </c>
      <c r="B69" s="15"/>
      <c r="C69" s="15" t="e">
        <f>VLOOKUP(B69,داتا!$B$3:$D$107,2,FALSE)</f>
        <v>#N/A</v>
      </c>
      <c r="D69" s="34" t="e">
        <f>VLOOKUP(B69,داتا!$B$3:$D$107,3,FALSE)</f>
        <v>#N/A</v>
      </c>
      <c r="E69" s="15"/>
      <c r="F69" s="15"/>
      <c r="G69" s="16">
        <v>8.3333333333333329E-2</v>
      </c>
      <c r="H69" s="16" t="e">
        <f t="shared" ref="H69:H84" si="16">VLOOKUP(G69,$F$3:$I$35,2,FALSE)</f>
        <v>#N/A</v>
      </c>
      <c r="I69" s="16" t="e">
        <f t="shared" si="10"/>
        <v>#N/A</v>
      </c>
      <c r="J69" s="16"/>
      <c r="K69" s="16"/>
      <c r="L69" s="16"/>
      <c r="M69" s="16"/>
      <c r="N69" s="16">
        <f t="shared" si="11"/>
        <v>0</v>
      </c>
      <c r="O69" s="16" t="e">
        <f t="shared" si="12"/>
        <v>#N/A</v>
      </c>
      <c r="P69" s="16">
        <v>6.9444444444444397E-3</v>
      </c>
      <c r="Q69" s="16"/>
      <c r="R69" s="16">
        <f t="shared" si="13"/>
        <v>-6.9444444444444397E-3</v>
      </c>
      <c r="S69" s="16"/>
      <c r="T69" s="16" t="e">
        <f>VLOOKUP(E69,'[2]21-3-2026'!E$3:T$35,16,FALSE)</f>
        <v>#N/A</v>
      </c>
      <c r="U69" s="16"/>
      <c r="V69" s="16" t="e">
        <f t="shared" si="14"/>
        <v>#N/A</v>
      </c>
      <c r="W69" s="16"/>
      <c r="X69" s="16"/>
      <c r="Y69" s="16"/>
      <c r="Z69" s="16">
        <f t="shared" si="15"/>
        <v>0</v>
      </c>
      <c r="AA69" s="16">
        <f t="shared" si="9"/>
        <v>0</v>
      </c>
      <c r="AB69" s="16"/>
      <c r="AC69" s="17"/>
      <c r="AD69" s="51"/>
    </row>
    <row r="70" spans="1:30" ht="19.5" thickBot="1" x14ac:dyDescent="0.3">
      <c r="A70" s="14">
        <v>3</v>
      </c>
      <c r="B70" s="15"/>
      <c r="C70" s="15" t="e">
        <f>VLOOKUP(B70,داتا!$B$3:$D$107,2,FALSE)</f>
        <v>#N/A</v>
      </c>
      <c r="D70" s="34" t="e">
        <f>VLOOKUP(B70,داتا!$B$3:$D$107,3,FALSE)</f>
        <v>#N/A</v>
      </c>
      <c r="E70" s="15"/>
      <c r="F70" s="15"/>
      <c r="G70" s="16">
        <v>8.3333333333333329E-2</v>
      </c>
      <c r="H70" s="16" t="e">
        <f t="shared" si="16"/>
        <v>#N/A</v>
      </c>
      <c r="I70" s="16" t="e">
        <f t="shared" si="10"/>
        <v>#N/A</v>
      </c>
      <c r="J70" s="16"/>
      <c r="K70" s="16"/>
      <c r="L70" s="16"/>
      <c r="M70" s="16"/>
      <c r="N70" s="16">
        <f t="shared" si="11"/>
        <v>0</v>
      </c>
      <c r="O70" s="16" t="e">
        <f t="shared" si="12"/>
        <v>#N/A</v>
      </c>
      <c r="P70" s="16">
        <v>6.9444444444444397E-3</v>
      </c>
      <c r="Q70" s="16"/>
      <c r="R70" s="16">
        <f t="shared" si="13"/>
        <v>-6.9444444444444397E-3</v>
      </c>
      <c r="S70" s="16"/>
      <c r="T70" s="16" t="e">
        <f>VLOOKUP(E70,'[2]21-3-2026'!E$3:T$35,16,FALSE)</f>
        <v>#N/A</v>
      </c>
      <c r="U70" s="16"/>
      <c r="V70" s="16" t="e">
        <f t="shared" si="14"/>
        <v>#N/A</v>
      </c>
      <c r="W70" s="16"/>
      <c r="X70" s="16"/>
      <c r="Y70" s="16"/>
      <c r="Z70" s="16">
        <f t="shared" si="15"/>
        <v>0</v>
      </c>
      <c r="AA70" s="16">
        <f t="shared" si="9"/>
        <v>0</v>
      </c>
      <c r="AB70" s="16"/>
      <c r="AC70" s="17"/>
      <c r="AD70" s="51"/>
    </row>
    <row r="71" spans="1:30" ht="19.5" thickBot="1" x14ac:dyDescent="0.3">
      <c r="A71" s="14">
        <v>4</v>
      </c>
      <c r="B71" s="15"/>
      <c r="C71" s="15" t="e">
        <f>VLOOKUP(B71,داتا!$B$3:$D$107,2,FALSE)</f>
        <v>#N/A</v>
      </c>
      <c r="D71" s="34" t="e">
        <f>VLOOKUP(B71,داتا!$B$3:$D$107,3,FALSE)</f>
        <v>#N/A</v>
      </c>
      <c r="E71" s="15"/>
      <c r="F71" s="15"/>
      <c r="G71" s="16">
        <v>8.3333333333333329E-2</v>
      </c>
      <c r="H71" s="16" t="e">
        <f t="shared" si="16"/>
        <v>#N/A</v>
      </c>
      <c r="I71" s="16" t="e">
        <f t="shared" si="10"/>
        <v>#N/A</v>
      </c>
      <c r="J71" s="16"/>
      <c r="K71" s="16"/>
      <c r="L71" s="16"/>
      <c r="M71" s="16"/>
      <c r="N71" s="16">
        <f t="shared" si="11"/>
        <v>0</v>
      </c>
      <c r="O71" s="16" t="e">
        <f t="shared" si="12"/>
        <v>#N/A</v>
      </c>
      <c r="P71" s="16">
        <v>6.9444444444444397E-3</v>
      </c>
      <c r="Q71" s="16"/>
      <c r="R71" s="16">
        <f t="shared" si="13"/>
        <v>-6.9444444444444397E-3</v>
      </c>
      <c r="S71" s="16"/>
      <c r="T71" s="16" t="e">
        <f>VLOOKUP(E71,'[2]21-3-2026'!E$3:T$35,16,FALSE)</f>
        <v>#N/A</v>
      </c>
      <c r="U71" s="16"/>
      <c r="V71" s="16" t="e">
        <f t="shared" si="14"/>
        <v>#N/A</v>
      </c>
      <c r="W71" s="16"/>
      <c r="X71" s="16"/>
      <c r="Y71" s="16"/>
      <c r="Z71" s="16">
        <f t="shared" si="15"/>
        <v>0</v>
      </c>
      <c r="AA71" s="16">
        <f t="shared" si="9"/>
        <v>0</v>
      </c>
      <c r="AB71" s="16"/>
      <c r="AC71" s="17"/>
      <c r="AD71" s="51"/>
    </row>
    <row r="72" spans="1:30" ht="19.5" thickBot="1" x14ac:dyDescent="0.3">
      <c r="A72" s="14">
        <v>5</v>
      </c>
      <c r="B72" s="15"/>
      <c r="C72" s="15" t="e">
        <f>VLOOKUP(B72,داتا!$B$3:$D$107,2,FALSE)</f>
        <v>#N/A</v>
      </c>
      <c r="D72" s="34" t="e">
        <f>VLOOKUP(B72,داتا!$B$3:$D$107,3,FALSE)</f>
        <v>#N/A</v>
      </c>
      <c r="E72" s="15"/>
      <c r="F72" s="15"/>
      <c r="G72" s="16">
        <v>8.3333333333333329E-2</v>
      </c>
      <c r="H72" s="16" t="e">
        <f t="shared" si="16"/>
        <v>#N/A</v>
      </c>
      <c r="I72" s="16" t="e">
        <f t="shared" si="10"/>
        <v>#N/A</v>
      </c>
      <c r="J72" s="16"/>
      <c r="K72" s="16"/>
      <c r="L72" s="16"/>
      <c r="M72" s="16"/>
      <c r="N72" s="16">
        <f t="shared" si="11"/>
        <v>0</v>
      </c>
      <c r="O72" s="16" t="e">
        <f t="shared" si="12"/>
        <v>#N/A</v>
      </c>
      <c r="P72" s="16">
        <v>6.9444444444444397E-3</v>
      </c>
      <c r="Q72" s="16"/>
      <c r="R72" s="16">
        <f t="shared" si="13"/>
        <v>-6.9444444444444397E-3</v>
      </c>
      <c r="S72" s="16"/>
      <c r="T72" s="16" t="e">
        <f>VLOOKUP(E72,'[2]21-3-2026'!E$3:T$35,16,FALSE)</f>
        <v>#N/A</v>
      </c>
      <c r="U72" s="16"/>
      <c r="V72" s="16" t="e">
        <f t="shared" si="14"/>
        <v>#N/A</v>
      </c>
      <c r="W72" s="16"/>
      <c r="X72" s="16"/>
      <c r="Y72" s="16"/>
      <c r="Z72" s="16">
        <f t="shared" si="15"/>
        <v>0</v>
      </c>
      <c r="AA72" s="16">
        <f t="shared" si="9"/>
        <v>0</v>
      </c>
      <c r="AB72" s="16"/>
      <c r="AC72" s="17"/>
      <c r="AD72" s="51"/>
    </row>
    <row r="73" spans="1:30" ht="19.5" thickBot="1" x14ac:dyDescent="0.3">
      <c r="A73" s="14">
        <v>6</v>
      </c>
      <c r="B73" s="15"/>
      <c r="C73" s="15" t="e">
        <f>VLOOKUP(B73,داتا!$B$3:$D$107,2,FALSE)</f>
        <v>#N/A</v>
      </c>
      <c r="D73" s="34" t="e">
        <f>VLOOKUP(B73,داتا!$B$3:$D$107,3,FALSE)</f>
        <v>#N/A</v>
      </c>
      <c r="E73" s="15"/>
      <c r="F73" s="15"/>
      <c r="G73" s="16">
        <v>8.3333333333333329E-2</v>
      </c>
      <c r="H73" s="16" t="e">
        <f t="shared" si="16"/>
        <v>#N/A</v>
      </c>
      <c r="I73" s="16" t="e">
        <f t="shared" si="10"/>
        <v>#N/A</v>
      </c>
      <c r="J73" s="16"/>
      <c r="K73" s="16"/>
      <c r="L73" s="16"/>
      <c r="M73" s="16"/>
      <c r="N73" s="16">
        <f t="shared" si="11"/>
        <v>0</v>
      </c>
      <c r="O73" s="16" t="e">
        <f t="shared" si="12"/>
        <v>#N/A</v>
      </c>
      <c r="P73" s="16">
        <v>6.9444444444444397E-3</v>
      </c>
      <c r="Q73" s="16"/>
      <c r="R73" s="16">
        <f t="shared" si="13"/>
        <v>-6.9444444444444397E-3</v>
      </c>
      <c r="S73" s="16"/>
      <c r="T73" s="16" t="e">
        <f>VLOOKUP(E73,'[2]21-3-2026'!E$3:T$35,16,FALSE)</f>
        <v>#N/A</v>
      </c>
      <c r="U73" s="16"/>
      <c r="V73" s="16" t="e">
        <f t="shared" si="14"/>
        <v>#N/A</v>
      </c>
      <c r="W73" s="16"/>
      <c r="X73" s="16"/>
      <c r="Y73" s="16"/>
      <c r="Z73" s="16">
        <f t="shared" si="15"/>
        <v>0</v>
      </c>
      <c r="AA73" s="16">
        <f t="shared" si="9"/>
        <v>0</v>
      </c>
      <c r="AB73" s="16"/>
      <c r="AC73" s="17"/>
      <c r="AD73" s="51"/>
    </row>
    <row r="74" spans="1:30" ht="19.5" thickBot="1" x14ac:dyDescent="0.3">
      <c r="A74" s="14">
        <v>7</v>
      </c>
      <c r="B74" s="15"/>
      <c r="C74" s="15" t="e">
        <f>VLOOKUP(B74,داتا!$B$3:$D$107,2,FALSE)</f>
        <v>#N/A</v>
      </c>
      <c r="D74" s="34" t="e">
        <f>VLOOKUP(B74,داتا!$B$3:$D$107,3,FALSE)</f>
        <v>#N/A</v>
      </c>
      <c r="E74" s="15"/>
      <c r="F74" s="15"/>
      <c r="G74" s="16">
        <v>8.3333333333333329E-2</v>
      </c>
      <c r="H74" s="16" t="e">
        <f t="shared" si="16"/>
        <v>#N/A</v>
      </c>
      <c r="I74" s="16" t="e">
        <f t="shared" si="10"/>
        <v>#N/A</v>
      </c>
      <c r="J74" s="16"/>
      <c r="K74" s="16"/>
      <c r="L74" s="16"/>
      <c r="M74" s="16"/>
      <c r="N74" s="16">
        <f t="shared" si="11"/>
        <v>0</v>
      </c>
      <c r="O74" s="16" t="e">
        <f t="shared" si="12"/>
        <v>#N/A</v>
      </c>
      <c r="P74" s="16">
        <v>6.9444444444444397E-3</v>
      </c>
      <c r="Q74" s="16"/>
      <c r="R74" s="16">
        <f t="shared" si="13"/>
        <v>-6.9444444444444397E-3</v>
      </c>
      <c r="S74" s="16"/>
      <c r="T74" s="16" t="e">
        <f>VLOOKUP(E74,'[2]21-3-2026'!E$3:T$35,16,FALSE)</f>
        <v>#N/A</v>
      </c>
      <c r="U74" s="16"/>
      <c r="V74" s="16" t="e">
        <f t="shared" si="14"/>
        <v>#N/A</v>
      </c>
      <c r="W74" s="16"/>
      <c r="X74" s="16"/>
      <c r="Y74" s="16"/>
      <c r="Z74" s="16">
        <f t="shared" si="15"/>
        <v>0</v>
      </c>
      <c r="AA74" s="16">
        <f t="shared" si="9"/>
        <v>0</v>
      </c>
      <c r="AB74" s="16"/>
      <c r="AC74" s="17"/>
      <c r="AD74" s="51"/>
    </row>
    <row r="75" spans="1:30" ht="19.5" thickBot="1" x14ac:dyDescent="0.3">
      <c r="A75" s="14">
        <v>8</v>
      </c>
      <c r="B75" s="15"/>
      <c r="C75" s="15" t="e">
        <f>VLOOKUP(B75,داتا!$B$3:$D$107,2,FALSE)</f>
        <v>#N/A</v>
      </c>
      <c r="D75" s="34" t="e">
        <f>VLOOKUP(B75,داتا!$B$3:$D$107,3,FALSE)</f>
        <v>#N/A</v>
      </c>
      <c r="E75" s="15"/>
      <c r="F75" s="15"/>
      <c r="G75" s="16">
        <v>8.3333333333333329E-2</v>
      </c>
      <c r="H75" s="16" t="e">
        <f t="shared" si="16"/>
        <v>#N/A</v>
      </c>
      <c r="I75" s="16" t="e">
        <f t="shared" si="10"/>
        <v>#N/A</v>
      </c>
      <c r="J75" s="16"/>
      <c r="K75" s="16"/>
      <c r="L75" s="16"/>
      <c r="M75" s="16"/>
      <c r="N75" s="16">
        <f t="shared" si="11"/>
        <v>0</v>
      </c>
      <c r="O75" s="16" t="e">
        <f t="shared" si="12"/>
        <v>#N/A</v>
      </c>
      <c r="P75" s="16">
        <v>6.9444444444444397E-3</v>
      </c>
      <c r="Q75" s="16"/>
      <c r="R75" s="16">
        <f t="shared" si="13"/>
        <v>-6.9444444444444397E-3</v>
      </c>
      <c r="S75" s="16"/>
      <c r="T75" s="16" t="e">
        <f>VLOOKUP(E75,'[2]21-3-2026'!E$3:T$35,16,FALSE)</f>
        <v>#N/A</v>
      </c>
      <c r="U75" s="16"/>
      <c r="V75" s="16" t="e">
        <f t="shared" si="14"/>
        <v>#N/A</v>
      </c>
      <c r="W75" s="16"/>
      <c r="X75" s="16"/>
      <c r="Y75" s="16"/>
      <c r="Z75" s="16">
        <f t="shared" si="15"/>
        <v>0</v>
      </c>
      <c r="AA75" s="16">
        <f t="shared" si="9"/>
        <v>0</v>
      </c>
      <c r="AB75" s="16"/>
      <c r="AC75" s="17"/>
      <c r="AD75" s="51"/>
    </row>
    <row r="76" spans="1:30" ht="19.5" thickBot="1" x14ac:dyDescent="0.3">
      <c r="A76" s="14">
        <v>9</v>
      </c>
      <c r="B76" s="15"/>
      <c r="C76" s="15" t="e">
        <f>VLOOKUP(B76,داتا!$B$3:$D$107,2,FALSE)</f>
        <v>#N/A</v>
      </c>
      <c r="D76" s="34" t="e">
        <f>VLOOKUP(B76,داتا!$B$3:$D$107,3,FALSE)</f>
        <v>#N/A</v>
      </c>
      <c r="E76" s="16"/>
      <c r="F76" s="15"/>
      <c r="G76" s="16">
        <v>8.3333333333333329E-2</v>
      </c>
      <c r="H76" s="16" t="e">
        <f t="shared" si="16"/>
        <v>#N/A</v>
      </c>
      <c r="I76" s="16" t="e">
        <f t="shared" si="10"/>
        <v>#N/A</v>
      </c>
      <c r="J76" s="16"/>
      <c r="K76" s="16"/>
      <c r="L76" s="16"/>
      <c r="M76" s="16"/>
      <c r="N76" s="16">
        <f t="shared" si="11"/>
        <v>0</v>
      </c>
      <c r="O76" s="16" t="e">
        <f t="shared" si="12"/>
        <v>#N/A</v>
      </c>
      <c r="P76" s="16">
        <v>6.9444444444444397E-3</v>
      </c>
      <c r="Q76" s="16"/>
      <c r="R76" s="16">
        <f t="shared" si="13"/>
        <v>-6.9444444444444397E-3</v>
      </c>
      <c r="S76" s="16"/>
      <c r="T76" s="16" t="e">
        <f>VLOOKUP(E76,'[2]21-3-2026'!E$3:T$35,16,FALSE)</f>
        <v>#N/A</v>
      </c>
      <c r="U76" s="16"/>
      <c r="V76" s="16" t="e">
        <f t="shared" si="14"/>
        <v>#N/A</v>
      </c>
      <c r="W76" s="16"/>
      <c r="X76" s="16"/>
      <c r="Y76" s="16"/>
      <c r="Z76" s="16">
        <f t="shared" si="15"/>
        <v>0</v>
      </c>
      <c r="AA76" s="16">
        <f t="shared" si="9"/>
        <v>0</v>
      </c>
      <c r="AB76" s="16"/>
      <c r="AC76" s="17"/>
      <c r="AD76" s="51"/>
    </row>
    <row r="77" spans="1:30" ht="19.5" thickBot="1" x14ac:dyDescent="0.3">
      <c r="A77" s="14">
        <v>10</v>
      </c>
      <c r="B77" s="15"/>
      <c r="C77" s="15" t="e">
        <f>VLOOKUP(B77,داتا!$B$3:$D$107,2,FALSE)</f>
        <v>#N/A</v>
      </c>
      <c r="D77" s="34" t="e">
        <f>VLOOKUP(B77,داتا!$B$3:$D$107,3,FALSE)</f>
        <v>#N/A</v>
      </c>
      <c r="E77" s="15"/>
      <c r="F77" s="15"/>
      <c r="G77" s="16">
        <v>8.3333333333333329E-2</v>
      </c>
      <c r="H77" s="16" t="e">
        <f t="shared" si="16"/>
        <v>#N/A</v>
      </c>
      <c r="I77" s="16" t="e">
        <f t="shared" si="10"/>
        <v>#N/A</v>
      </c>
      <c r="J77" s="16"/>
      <c r="K77" s="16"/>
      <c r="L77" s="16"/>
      <c r="M77" s="16"/>
      <c r="N77" s="16">
        <f t="shared" si="11"/>
        <v>0</v>
      </c>
      <c r="O77" s="16" t="e">
        <f t="shared" si="12"/>
        <v>#N/A</v>
      </c>
      <c r="P77" s="16">
        <v>6.9444444444444397E-3</v>
      </c>
      <c r="Q77" s="16"/>
      <c r="R77" s="16">
        <f t="shared" si="13"/>
        <v>-6.9444444444444397E-3</v>
      </c>
      <c r="S77" s="16"/>
      <c r="T77" s="16" t="e">
        <f>VLOOKUP(E77,'[2]21-3-2026'!E$3:T$35,16,FALSE)</f>
        <v>#N/A</v>
      </c>
      <c r="U77" s="16"/>
      <c r="V77" s="16" t="e">
        <f t="shared" si="14"/>
        <v>#N/A</v>
      </c>
      <c r="W77" s="16"/>
      <c r="X77" s="16"/>
      <c r="Y77" s="16"/>
      <c r="Z77" s="16">
        <f t="shared" si="15"/>
        <v>0</v>
      </c>
      <c r="AA77" s="16">
        <f t="shared" si="9"/>
        <v>0</v>
      </c>
      <c r="AB77" s="16"/>
      <c r="AC77" s="17"/>
      <c r="AD77" s="51"/>
    </row>
    <row r="78" spans="1:30" ht="19.5" thickBot="1" x14ac:dyDescent="0.3">
      <c r="A78" s="14">
        <v>11</v>
      </c>
      <c r="B78" s="15"/>
      <c r="C78" s="15" t="e">
        <f>VLOOKUP(B78,داتا!$B$3:$D$107,2,FALSE)</f>
        <v>#N/A</v>
      </c>
      <c r="D78" s="34" t="e">
        <f>VLOOKUP(B78,داتا!$B$3:$D$107,3,FALSE)</f>
        <v>#N/A</v>
      </c>
      <c r="E78" s="15"/>
      <c r="F78" s="15"/>
      <c r="G78" s="16">
        <v>8.3333333333333329E-2</v>
      </c>
      <c r="H78" s="16" t="e">
        <f t="shared" si="16"/>
        <v>#N/A</v>
      </c>
      <c r="I78" s="16" t="e">
        <f t="shared" si="10"/>
        <v>#N/A</v>
      </c>
      <c r="J78" s="16"/>
      <c r="K78" s="16"/>
      <c r="L78" s="16"/>
      <c r="M78" s="16"/>
      <c r="N78" s="16">
        <f t="shared" si="11"/>
        <v>0</v>
      </c>
      <c r="O78" s="16" t="e">
        <f t="shared" si="12"/>
        <v>#N/A</v>
      </c>
      <c r="P78" s="16">
        <v>6.9444444444444397E-3</v>
      </c>
      <c r="Q78" s="16"/>
      <c r="R78" s="16">
        <f t="shared" si="13"/>
        <v>-6.9444444444444397E-3</v>
      </c>
      <c r="S78" s="16"/>
      <c r="T78" s="16" t="e">
        <f>VLOOKUP(E78,'[2]21-3-2026'!E$3:T$35,16,FALSE)</f>
        <v>#N/A</v>
      </c>
      <c r="U78" s="16"/>
      <c r="V78" s="16" t="e">
        <f t="shared" si="14"/>
        <v>#N/A</v>
      </c>
      <c r="W78" s="16"/>
      <c r="X78" s="16"/>
      <c r="Y78" s="16"/>
      <c r="Z78" s="16">
        <f t="shared" si="15"/>
        <v>0</v>
      </c>
      <c r="AA78" s="16">
        <f t="shared" si="9"/>
        <v>0</v>
      </c>
      <c r="AB78" s="16"/>
      <c r="AC78" s="17"/>
      <c r="AD78" s="51"/>
    </row>
    <row r="79" spans="1:30" ht="19.5" thickBot="1" x14ac:dyDescent="0.3">
      <c r="A79" s="14">
        <v>12</v>
      </c>
      <c r="B79" s="15"/>
      <c r="C79" s="15" t="e">
        <f>VLOOKUP(B79,داتا!$B$3:$D$107,2,FALSE)</f>
        <v>#N/A</v>
      </c>
      <c r="D79" s="34" t="e">
        <f>VLOOKUP(B79,داتا!$B$3:$D$107,3,FALSE)</f>
        <v>#N/A</v>
      </c>
      <c r="E79" s="15"/>
      <c r="F79" s="15"/>
      <c r="G79" s="16">
        <v>8.3333333333333329E-2</v>
      </c>
      <c r="H79" s="16" t="e">
        <f t="shared" si="16"/>
        <v>#N/A</v>
      </c>
      <c r="I79" s="16" t="e">
        <f t="shared" si="10"/>
        <v>#N/A</v>
      </c>
      <c r="J79" s="16"/>
      <c r="K79" s="16"/>
      <c r="L79" s="16"/>
      <c r="M79" s="16"/>
      <c r="N79" s="16">
        <f t="shared" si="11"/>
        <v>0</v>
      </c>
      <c r="O79" s="16" t="e">
        <f t="shared" si="12"/>
        <v>#N/A</v>
      </c>
      <c r="P79" s="16">
        <v>6.9444444444444397E-3</v>
      </c>
      <c r="Q79" s="16"/>
      <c r="R79" s="16">
        <f t="shared" si="13"/>
        <v>-6.9444444444444397E-3</v>
      </c>
      <c r="S79" s="16"/>
      <c r="T79" s="16" t="e">
        <f>VLOOKUP(E79,'[2]21-3-2026'!E$3:T$35,16,FALSE)</f>
        <v>#N/A</v>
      </c>
      <c r="U79" s="16"/>
      <c r="V79" s="16" t="e">
        <f t="shared" si="14"/>
        <v>#N/A</v>
      </c>
      <c r="W79" s="16"/>
      <c r="X79" s="16"/>
      <c r="Y79" s="16"/>
      <c r="Z79" s="16">
        <f t="shared" si="15"/>
        <v>0</v>
      </c>
      <c r="AA79" s="16">
        <f t="shared" si="9"/>
        <v>0</v>
      </c>
      <c r="AB79" s="16"/>
      <c r="AC79" s="17"/>
      <c r="AD79" s="51"/>
    </row>
    <row r="80" spans="1:30" ht="19.5" thickBot="1" x14ac:dyDescent="0.3">
      <c r="A80" s="14">
        <v>13</v>
      </c>
      <c r="B80" s="15"/>
      <c r="C80" s="15" t="e">
        <f>VLOOKUP(B80,داتا!$B$3:$D$107,2,FALSE)</f>
        <v>#N/A</v>
      </c>
      <c r="D80" s="34" t="e">
        <f>VLOOKUP(B80,داتا!$B$3:$D$107,3,FALSE)</f>
        <v>#N/A</v>
      </c>
      <c r="E80" s="15"/>
      <c r="F80" s="15"/>
      <c r="G80" s="16">
        <v>8.3333333333333329E-2</v>
      </c>
      <c r="H80" s="16" t="e">
        <f t="shared" si="16"/>
        <v>#N/A</v>
      </c>
      <c r="I80" s="16" t="e">
        <f t="shared" si="10"/>
        <v>#N/A</v>
      </c>
      <c r="J80" s="16"/>
      <c r="K80" s="16"/>
      <c r="L80" s="16"/>
      <c r="M80" s="16"/>
      <c r="N80" s="16">
        <f t="shared" si="11"/>
        <v>0</v>
      </c>
      <c r="O80" s="16" t="e">
        <f t="shared" si="12"/>
        <v>#N/A</v>
      </c>
      <c r="P80" s="16">
        <v>6.9444444444444397E-3</v>
      </c>
      <c r="Q80" s="16"/>
      <c r="R80" s="16">
        <f t="shared" si="13"/>
        <v>-6.9444444444444397E-3</v>
      </c>
      <c r="S80" s="16"/>
      <c r="T80" s="16" t="e">
        <f>VLOOKUP(E80,'[2]21-3-2026'!E$3:T$35,16,FALSE)</f>
        <v>#N/A</v>
      </c>
      <c r="U80" s="16"/>
      <c r="V80" s="16" t="e">
        <f t="shared" si="14"/>
        <v>#N/A</v>
      </c>
      <c r="W80" s="16"/>
      <c r="X80" s="16"/>
      <c r="Y80" s="16"/>
      <c r="Z80" s="16">
        <f t="shared" si="15"/>
        <v>0</v>
      </c>
      <c r="AA80" s="16">
        <f t="shared" si="9"/>
        <v>0</v>
      </c>
      <c r="AB80" s="16"/>
      <c r="AC80" s="17"/>
      <c r="AD80" s="51"/>
    </row>
    <row r="81" spans="1:30" ht="19.5" thickBot="1" x14ac:dyDescent="0.3">
      <c r="A81" s="14">
        <v>14</v>
      </c>
      <c r="B81" s="15"/>
      <c r="C81" s="15" t="e">
        <f>VLOOKUP(B81,داتا!$B$3:$D$107,2,FALSE)</f>
        <v>#N/A</v>
      </c>
      <c r="D81" s="34" t="e">
        <f>VLOOKUP(B81,داتا!$B$3:$D$107,3,FALSE)</f>
        <v>#N/A</v>
      </c>
      <c r="E81" s="15"/>
      <c r="F81" s="15"/>
      <c r="G81" s="16">
        <v>8.3333333333333329E-2</v>
      </c>
      <c r="H81" s="16" t="e">
        <f t="shared" si="16"/>
        <v>#N/A</v>
      </c>
      <c r="I81" s="16" t="e">
        <f t="shared" si="10"/>
        <v>#N/A</v>
      </c>
      <c r="J81" s="16"/>
      <c r="K81" s="16"/>
      <c r="L81" s="16"/>
      <c r="M81" s="16"/>
      <c r="N81" s="16">
        <f t="shared" si="11"/>
        <v>0</v>
      </c>
      <c r="O81" s="16" t="e">
        <f t="shared" si="12"/>
        <v>#N/A</v>
      </c>
      <c r="P81" s="16">
        <v>6.9444444444444397E-3</v>
      </c>
      <c r="Q81" s="16"/>
      <c r="R81" s="16">
        <f t="shared" si="13"/>
        <v>-6.9444444444444397E-3</v>
      </c>
      <c r="S81" s="16"/>
      <c r="T81" s="16" t="e">
        <f>VLOOKUP(E81,'[2]21-3-2026'!E$3:T$35,16,FALSE)</f>
        <v>#N/A</v>
      </c>
      <c r="U81" s="16"/>
      <c r="V81" s="16" t="e">
        <f t="shared" si="14"/>
        <v>#N/A</v>
      </c>
      <c r="W81" s="16"/>
      <c r="X81" s="16"/>
      <c r="Y81" s="16"/>
      <c r="Z81" s="16">
        <f t="shared" si="15"/>
        <v>0</v>
      </c>
      <c r="AA81" s="16">
        <f t="shared" si="9"/>
        <v>0</v>
      </c>
      <c r="AB81" s="16"/>
      <c r="AC81" s="17"/>
      <c r="AD81" s="51"/>
    </row>
    <row r="82" spans="1:30" ht="19.5" thickBot="1" x14ac:dyDescent="0.3">
      <c r="A82" s="14">
        <v>15</v>
      </c>
      <c r="B82" s="15"/>
      <c r="C82" s="15" t="e">
        <f>VLOOKUP(B82,داتا!$B$3:$D$107,2,FALSE)</f>
        <v>#N/A</v>
      </c>
      <c r="D82" s="34" t="e">
        <f>VLOOKUP(B82,داتا!$B$3:$D$107,3,FALSE)</f>
        <v>#N/A</v>
      </c>
      <c r="E82" s="15"/>
      <c r="F82" s="15"/>
      <c r="G82" s="16">
        <v>8.3333333333333329E-2</v>
      </c>
      <c r="H82" s="16" t="e">
        <f t="shared" si="16"/>
        <v>#N/A</v>
      </c>
      <c r="I82" s="16" t="e">
        <f t="shared" si="10"/>
        <v>#N/A</v>
      </c>
      <c r="J82" s="16"/>
      <c r="K82" s="16"/>
      <c r="L82" s="16"/>
      <c r="M82" s="16"/>
      <c r="N82" s="16">
        <f t="shared" si="11"/>
        <v>0</v>
      </c>
      <c r="O82" s="16" t="e">
        <f t="shared" si="12"/>
        <v>#N/A</v>
      </c>
      <c r="P82" s="16">
        <v>6.9444444444444397E-3</v>
      </c>
      <c r="Q82" s="16"/>
      <c r="R82" s="16">
        <f t="shared" si="13"/>
        <v>-6.9444444444444397E-3</v>
      </c>
      <c r="S82" s="16"/>
      <c r="T82" s="16" t="e">
        <f>VLOOKUP(E82,'[2]21-3-2026'!E$3:T$35,16,FALSE)</f>
        <v>#N/A</v>
      </c>
      <c r="U82" s="16"/>
      <c r="V82" s="16" t="e">
        <f t="shared" si="14"/>
        <v>#N/A</v>
      </c>
      <c r="W82" s="16"/>
      <c r="X82" s="16"/>
      <c r="Y82" s="16"/>
      <c r="Z82" s="16">
        <f t="shared" si="15"/>
        <v>0</v>
      </c>
      <c r="AA82" s="16">
        <f t="shared" si="9"/>
        <v>0</v>
      </c>
      <c r="AB82" s="16"/>
      <c r="AC82" s="17"/>
      <c r="AD82" s="51"/>
    </row>
    <row r="83" spans="1:30" ht="19.5" thickBot="1" x14ac:dyDescent="0.3">
      <c r="A83" s="14">
        <v>16</v>
      </c>
      <c r="B83" s="15"/>
      <c r="C83" s="15" t="e">
        <f>VLOOKUP(B83,داتا!$B$3:$D$107,2,FALSE)</f>
        <v>#N/A</v>
      </c>
      <c r="D83" s="34" t="e">
        <f>VLOOKUP(B83,داتا!$B$3:$D$107,3,FALSE)</f>
        <v>#N/A</v>
      </c>
      <c r="E83" s="15"/>
      <c r="F83" s="15"/>
      <c r="G83" s="16">
        <v>8.3333333333333329E-2</v>
      </c>
      <c r="H83" s="16" t="e">
        <f t="shared" si="16"/>
        <v>#N/A</v>
      </c>
      <c r="I83" s="16" t="e">
        <f t="shared" si="10"/>
        <v>#N/A</v>
      </c>
      <c r="J83" s="16"/>
      <c r="K83" s="16"/>
      <c r="L83" s="16"/>
      <c r="M83" s="16"/>
      <c r="N83" s="16">
        <f t="shared" si="11"/>
        <v>0</v>
      </c>
      <c r="O83" s="16" t="e">
        <f t="shared" si="12"/>
        <v>#N/A</v>
      </c>
      <c r="P83" s="16">
        <v>6.9444444444444397E-3</v>
      </c>
      <c r="Q83" s="16"/>
      <c r="R83" s="16">
        <f t="shared" si="13"/>
        <v>-6.9444444444444397E-3</v>
      </c>
      <c r="S83" s="16"/>
      <c r="T83" s="16" t="e">
        <f>VLOOKUP(E83,'[2]21-3-2026'!E$3:T$35,16,FALSE)</f>
        <v>#N/A</v>
      </c>
      <c r="U83" s="16"/>
      <c r="V83" s="16" t="e">
        <f t="shared" si="14"/>
        <v>#N/A</v>
      </c>
      <c r="W83" s="16"/>
      <c r="X83" s="16"/>
      <c r="Y83" s="16"/>
      <c r="Z83" s="16">
        <f t="shared" si="15"/>
        <v>0</v>
      </c>
      <c r="AA83" s="16">
        <f t="shared" si="9"/>
        <v>0</v>
      </c>
      <c r="AB83" s="16"/>
      <c r="AC83" s="17"/>
      <c r="AD83" s="51"/>
    </row>
    <row r="84" spans="1:30" ht="19.5" thickBot="1" x14ac:dyDescent="0.3">
      <c r="A84" s="14">
        <v>17</v>
      </c>
      <c r="B84" s="15"/>
      <c r="C84" s="15" t="e">
        <f>VLOOKUP(B84,داتا!$B$3:$D$107,2,FALSE)</f>
        <v>#N/A</v>
      </c>
      <c r="D84" s="34" t="e">
        <f>VLOOKUP(B84,داتا!$B$3:$D$107,3,FALSE)</f>
        <v>#N/A</v>
      </c>
      <c r="E84" s="15"/>
      <c r="F84" s="15"/>
      <c r="G84" s="16">
        <v>8.3333333333333329E-2</v>
      </c>
      <c r="H84" s="16" t="e">
        <f t="shared" si="16"/>
        <v>#N/A</v>
      </c>
      <c r="I84" s="16" t="e">
        <f t="shared" si="10"/>
        <v>#N/A</v>
      </c>
      <c r="J84" s="16"/>
      <c r="K84" s="16"/>
      <c r="L84" s="16"/>
      <c r="M84" s="16"/>
      <c r="N84" s="16">
        <f t="shared" si="11"/>
        <v>0</v>
      </c>
      <c r="O84" s="16" t="e">
        <f t="shared" si="12"/>
        <v>#N/A</v>
      </c>
      <c r="P84" s="16">
        <v>6.9444444444444397E-3</v>
      </c>
      <c r="Q84" s="16"/>
      <c r="R84" s="16">
        <f t="shared" si="13"/>
        <v>-6.9444444444444397E-3</v>
      </c>
      <c r="S84" s="16"/>
      <c r="T84" s="16" t="e">
        <f>VLOOKUP(E84,'[2]21-3-2026'!E$3:T$35,16,FALSE)</f>
        <v>#N/A</v>
      </c>
      <c r="U84" s="16"/>
      <c r="V84" s="16" t="e">
        <f t="shared" si="14"/>
        <v>#N/A</v>
      </c>
      <c r="W84" s="16"/>
      <c r="X84" s="16"/>
      <c r="Y84" s="16"/>
      <c r="Z84" s="16">
        <f t="shared" si="15"/>
        <v>0</v>
      </c>
      <c r="AA84" s="16">
        <f t="shared" si="9"/>
        <v>0</v>
      </c>
      <c r="AB84" s="16"/>
      <c r="AC84" s="17"/>
      <c r="AD84" s="51"/>
    </row>
    <row r="85" spans="1:30" ht="19.5" thickBot="1" x14ac:dyDescent="0.3">
      <c r="A85" s="14">
        <v>18</v>
      </c>
      <c r="B85" s="15"/>
      <c r="C85" s="15" t="e">
        <f>VLOOKUP(B85,داتا!$B$3:$D$107,2,FALSE)</f>
        <v>#N/A</v>
      </c>
      <c r="D85" s="34" t="e">
        <f>VLOOKUP(B85,داتا!$B$3:$D$107,3,FALSE)</f>
        <v>#N/A</v>
      </c>
      <c r="E85" s="15"/>
      <c r="F85" s="15"/>
      <c r="G85" s="16">
        <v>8.3333333333333329E-2</v>
      </c>
      <c r="H85" s="16" t="e">
        <f t="shared" ref="H85:H99" si="17">VLOOKUP(G85,$F$3:$I$35,2,FALSE)</f>
        <v>#N/A</v>
      </c>
      <c r="I85" s="16" t="e">
        <f t="shared" si="10"/>
        <v>#N/A</v>
      </c>
      <c r="J85" s="16"/>
      <c r="K85" s="16"/>
      <c r="L85" s="16"/>
      <c r="M85" s="16"/>
      <c r="N85" s="16">
        <f t="shared" si="11"/>
        <v>0</v>
      </c>
      <c r="O85" s="16" t="e">
        <f t="shared" si="12"/>
        <v>#N/A</v>
      </c>
      <c r="P85" s="16">
        <v>6.9444444444444397E-3</v>
      </c>
      <c r="Q85" s="16"/>
      <c r="R85" s="16">
        <f t="shared" si="13"/>
        <v>-6.9444444444444397E-3</v>
      </c>
      <c r="S85" s="16"/>
      <c r="T85" s="16" t="e">
        <f>VLOOKUP(E85,'[2]21-3-2026'!E$3:T$35,16,FALSE)</f>
        <v>#N/A</v>
      </c>
      <c r="U85" s="16"/>
      <c r="V85" s="16" t="e">
        <f t="shared" si="14"/>
        <v>#N/A</v>
      </c>
      <c r="W85" s="16"/>
      <c r="X85" s="16"/>
      <c r="Y85" s="16"/>
      <c r="Z85" s="16">
        <f t="shared" si="15"/>
        <v>0</v>
      </c>
      <c r="AA85" s="16">
        <f t="shared" si="9"/>
        <v>0</v>
      </c>
      <c r="AB85" s="16"/>
      <c r="AC85" s="17"/>
      <c r="AD85" s="51"/>
    </row>
    <row r="86" spans="1:30" ht="19.5" thickBot="1" x14ac:dyDescent="0.3">
      <c r="A86" s="14">
        <v>19</v>
      </c>
      <c r="B86" s="15"/>
      <c r="C86" s="15" t="e">
        <f>VLOOKUP(B86,داتا!$B$3:$D$107,2,FALSE)</f>
        <v>#N/A</v>
      </c>
      <c r="D86" s="34" t="e">
        <f>VLOOKUP(B86,داتا!$B$3:$D$107,3,FALSE)</f>
        <v>#N/A</v>
      </c>
      <c r="E86" s="15"/>
      <c r="F86" s="15"/>
      <c r="G86" s="16">
        <v>8.3333333333333329E-2</v>
      </c>
      <c r="H86" s="16" t="e">
        <f t="shared" si="17"/>
        <v>#N/A</v>
      </c>
      <c r="I86" s="16" t="e">
        <f t="shared" si="10"/>
        <v>#N/A</v>
      </c>
      <c r="J86" s="16"/>
      <c r="K86" s="16"/>
      <c r="L86" s="16"/>
      <c r="M86" s="16"/>
      <c r="N86" s="16">
        <f t="shared" si="11"/>
        <v>0</v>
      </c>
      <c r="O86" s="16" t="e">
        <f t="shared" si="12"/>
        <v>#N/A</v>
      </c>
      <c r="P86" s="16">
        <v>6.9444444444444397E-3</v>
      </c>
      <c r="Q86" s="16"/>
      <c r="R86" s="16">
        <f t="shared" si="13"/>
        <v>-6.9444444444444397E-3</v>
      </c>
      <c r="S86" s="16"/>
      <c r="T86" s="16" t="e">
        <f>VLOOKUP(E86,'[2]21-3-2026'!E$3:T$35,16,FALSE)</f>
        <v>#N/A</v>
      </c>
      <c r="U86" s="16"/>
      <c r="V86" s="16" t="e">
        <f t="shared" si="14"/>
        <v>#N/A</v>
      </c>
      <c r="W86" s="16"/>
      <c r="X86" s="16"/>
      <c r="Y86" s="16"/>
      <c r="Z86" s="16">
        <f t="shared" si="15"/>
        <v>0</v>
      </c>
      <c r="AA86" s="16">
        <f t="shared" si="9"/>
        <v>0</v>
      </c>
      <c r="AB86" s="16"/>
      <c r="AC86" s="17"/>
      <c r="AD86" s="51"/>
    </row>
    <row r="87" spans="1:30" ht="19.5" thickBot="1" x14ac:dyDescent="0.3">
      <c r="A87" s="14">
        <v>20</v>
      </c>
      <c r="B87" s="15"/>
      <c r="C87" s="15" t="e">
        <f>VLOOKUP(B87,داتا!$B$3:$D$107,2,FALSE)</f>
        <v>#N/A</v>
      </c>
      <c r="D87" s="34" t="e">
        <f>VLOOKUP(B87,داتا!$B$3:$D$107,3,FALSE)</f>
        <v>#N/A</v>
      </c>
      <c r="E87" s="15"/>
      <c r="F87" s="15"/>
      <c r="G87" s="16">
        <v>8.3333333333333329E-2</v>
      </c>
      <c r="H87" s="16" t="e">
        <f t="shared" si="17"/>
        <v>#N/A</v>
      </c>
      <c r="I87" s="16" t="e">
        <f t="shared" si="10"/>
        <v>#N/A</v>
      </c>
      <c r="J87" s="16"/>
      <c r="K87" s="16"/>
      <c r="L87" s="16"/>
      <c r="M87" s="16"/>
      <c r="N87" s="16">
        <f t="shared" si="11"/>
        <v>0</v>
      </c>
      <c r="O87" s="16" t="e">
        <f t="shared" si="12"/>
        <v>#N/A</v>
      </c>
      <c r="P87" s="16">
        <v>6.9444444444444397E-3</v>
      </c>
      <c r="Q87" s="16"/>
      <c r="R87" s="16">
        <f t="shared" si="13"/>
        <v>-6.9444444444444397E-3</v>
      </c>
      <c r="S87" s="16"/>
      <c r="T87" s="16" t="e">
        <f>VLOOKUP(E87,'[2]21-3-2026'!E$3:T$35,16,FALSE)</f>
        <v>#N/A</v>
      </c>
      <c r="U87" s="16"/>
      <c r="V87" s="16" t="e">
        <f t="shared" si="14"/>
        <v>#N/A</v>
      </c>
      <c r="W87" s="16"/>
      <c r="X87" s="16"/>
      <c r="Y87" s="16"/>
      <c r="Z87" s="16">
        <f t="shared" si="15"/>
        <v>0</v>
      </c>
      <c r="AA87" s="16">
        <f t="shared" si="9"/>
        <v>0</v>
      </c>
      <c r="AB87" s="16"/>
      <c r="AC87" s="17"/>
      <c r="AD87" s="51"/>
    </row>
    <row r="88" spans="1:30" ht="19.5" thickBot="1" x14ac:dyDescent="0.3">
      <c r="A88" s="14">
        <v>21</v>
      </c>
      <c r="B88" s="15"/>
      <c r="C88" s="15" t="e">
        <f>VLOOKUP(B88,داتا!$B$3:$D$107,2,FALSE)</f>
        <v>#N/A</v>
      </c>
      <c r="D88" s="34" t="e">
        <f>VLOOKUP(B88,داتا!$B$3:$D$107,3,FALSE)</f>
        <v>#N/A</v>
      </c>
      <c r="E88" s="15"/>
      <c r="F88" s="15"/>
      <c r="G88" s="16">
        <v>8.3333333333333329E-2</v>
      </c>
      <c r="H88" s="16" t="e">
        <f t="shared" si="17"/>
        <v>#N/A</v>
      </c>
      <c r="I88" s="16" t="e">
        <f t="shared" si="10"/>
        <v>#N/A</v>
      </c>
      <c r="J88" s="16"/>
      <c r="K88" s="16"/>
      <c r="L88" s="16"/>
      <c r="M88" s="16"/>
      <c r="N88" s="16">
        <f t="shared" si="11"/>
        <v>0</v>
      </c>
      <c r="O88" s="16" t="e">
        <f t="shared" si="12"/>
        <v>#N/A</v>
      </c>
      <c r="P88" s="16">
        <v>6.9444444444444397E-3</v>
      </c>
      <c r="Q88" s="16"/>
      <c r="R88" s="16">
        <f t="shared" si="13"/>
        <v>-6.9444444444444397E-3</v>
      </c>
      <c r="S88" s="16"/>
      <c r="T88" s="16" t="e">
        <f>VLOOKUP(E88,'[2]21-3-2026'!E$3:T$35,16,FALSE)</f>
        <v>#N/A</v>
      </c>
      <c r="U88" s="16"/>
      <c r="V88" s="16" t="e">
        <f t="shared" si="14"/>
        <v>#N/A</v>
      </c>
      <c r="W88" s="16"/>
      <c r="X88" s="16"/>
      <c r="Y88" s="16"/>
      <c r="Z88" s="16">
        <f t="shared" si="15"/>
        <v>0</v>
      </c>
      <c r="AA88" s="16">
        <f t="shared" si="9"/>
        <v>0</v>
      </c>
      <c r="AB88" s="16"/>
      <c r="AC88" s="19"/>
      <c r="AD88" s="51"/>
    </row>
    <row r="89" spans="1:30" ht="19.5" thickBot="1" x14ac:dyDescent="0.3">
      <c r="A89" s="14">
        <v>22</v>
      </c>
      <c r="B89" s="15"/>
      <c r="C89" s="15" t="e">
        <f>VLOOKUP(B89,داتا!$B$3:$D$107,2,FALSE)</f>
        <v>#N/A</v>
      </c>
      <c r="D89" s="34" t="e">
        <f>VLOOKUP(B89,داتا!$B$3:$D$107,3,FALSE)</f>
        <v>#N/A</v>
      </c>
      <c r="E89" s="15"/>
      <c r="F89" s="15"/>
      <c r="G89" s="16">
        <v>8.3333333333333329E-2</v>
      </c>
      <c r="H89" s="16" t="e">
        <f t="shared" si="17"/>
        <v>#N/A</v>
      </c>
      <c r="I89" s="16" t="e">
        <f t="shared" si="10"/>
        <v>#N/A</v>
      </c>
      <c r="J89" s="16"/>
      <c r="K89" s="16"/>
      <c r="L89" s="16"/>
      <c r="M89" s="16"/>
      <c r="N89" s="16">
        <f t="shared" si="11"/>
        <v>0</v>
      </c>
      <c r="O89" s="16" t="e">
        <f t="shared" si="12"/>
        <v>#N/A</v>
      </c>
      <c r="P89" s="16">
        <v>6.9444444444444397E-3</v>
      </c>
      <c r="Q89" s="16"/>
      <c r="R89" s="16">
        <f t="shared" si="13"/>
        <v>-6.9444444444444397E-3</v>
      </c>
      <c r="S89" s="16"/>
      <c r="T89" s="16" t="e">
        <f>VLOOKUP(E89,'[2]21-3-2026'!E$3:T$35,16,FALSE)</f>
        <v>#N/A</v>
      </c>
      <c r="U89" s="16"/>
      <c r="V89" s="16" t="e">
        <f t="shared" si="14"/>
        <v>#N/A</v>
      </c>
      <c r="W89" s="16"/>
      <c r="X89" s="16"/>
      <c r="Y89" s="16"/>
      <c r="Z89" s="16">
        <f t="shared" si="15"/>
        <v>0</v>
      </c>
      <c r="AA89" s="16">
        <f t="shared" si="9"/>
        <v>0</v>
      </c>
      <c r="AB89" s="16"/>
      <c r="AC89" s="19"/>
      <c r="AD89" s="51"/>
    </row>
    <row r="90" spans="1:30" ht="19.5" thickBot="1" x14ac:dyDescent="0.3">
      <c r="A90" s="14">
        <v>23</v>
      </c>
      <c r="B90" s="15"/>
      <c r="C90" s="15" t="e">
        <f>VLOOKUP(B90,داتا!$B$3:$D$107,2,FALSE)</f>
        <v>#N/A</v>
      </c>
      <c r="D90" s="34" t="e">
        <f>VLOOKUP(B90,داتا!$B$3:$D$107,3,FALSE)</f>
        <v>#N/A</v>
      </c>
      <c r="E90" s="15"/>
      <c r="F90" s="15"/>
      <c r="G90" s="16">
        <v>8.3333333333333329E-2</v>
      </c>
      <c r="H90" s="16" t="e">
        <f t="shared" si="17"/>
        <v>#N/A</v>
      </c>
      <c r="I90" s="16" t="e">
        <f t="shared" si="10"/>
        <v>#N/A</v>
      </c>
      <c r="J90" s="16"/>
      <c r="K90" s="16"/>
      <c r="L90" s="16"/>
      <c r="M90" s="16"/>
      <c r="N90" s="16">
        <f t="shared" si="11"/>
        <v>0</v>
      </c>
      <c r="O90" s="16" t="e">
        <f t="shared" si="12"/>
        <v>#N/A</v>
      </c>
      <c r="P90" s="16">
        <v>6.9444444444444397E-3</v>
      </c>
      <c r="Q90" s="16"/>
      <c r="R90" s="16">
        <f t="shared" si="13"/>
        <v>-6.9444444444444397E-3</v>
      </c>
      <c r="S90" s="16"/>
      <c r="T90" s="16" t="e">
        <f>VLOOKUP(E90,'[2]21-3-2026'!E$3:T$35,16,FALSE)</f>
        <v>#N/A</v>
      </c>
      <c r="U90" s="16"/>
      <c r="V90" s="16" t="e">
        <f t="shared" si="14"/>
        <v>#N/A</v>
      </c>
      <c r="W90" s="16"/>
      <c r="X90" s="16"/>
      <c r="Y90" s="16"/>
      <c r="Z90" s="16">
        <f t="shared" si="15"/>
        <v>0</v>
      </c>
      <c r="AA90" s="16">
        <f t="shared" si="9"/>
        <v>0</v>
      </c>
      <c r="AB90" s="16"/>
      <c r="AC90" s="19"/>
      <c r="AD90" s="51"/>
    </row>
    <row r="91" spans="1:30" ht="19.5" thickBot="1" x14ac:dyDescent="0.3">
      <c r="A91" s="14">
        <v>24</v>
      </c>
      <c r="B91" s="15"/>
      <c r="C91" s="15" t="e">
        <f>VLOOKUP(B91,داتا!$B$3:$D$107,2,FALSE)</f>
        <v>#N/A</v>
      </c>
      <c r="D91" s="34" t="e">
        <f>VLOOKUP(B91,داتا!$B$3:$D$107,3,FALSE)</f>
        <v>#N/A</v>
      </c>
      <c r="E91" s="15"/>
      <c r="F91" s="15"/>
      <c r="G91" s="16">
        <v>8.3333333333333329E-2</v>
      </c>
      <c r="H91" s="16" t="e">
        <f t="shared" si="17"/>
        <v>#N/A</v>
      </c>
      <c r="I91" s="16" t="e">
        <f t="shared" si="10"/>
        <v>#N/A</v>
      </c>
      <c r="J91" s="16"/>
      <c r="K91" s="16"/>
      <c r="L91" s="16"/>
      <c r="M91" s="16"/>
      <c r="N91" s="16">
        <f t="shared" si="11"/>
        <v>0</v>
      </c>
      <c r="O91" s="16" t="e">
        <f t="shared" si="12"/>
        <v>#N/A</v>
      </c>
      <c r="P91" s="16">
        <v>6.9444444444444397E-3</v>
      </c>
      <c r="Q91" s="16"/>
      <c r="R91" s="16">
        <f t="shared" si="13"/>
        <v>-6.9444444444444397E-3</v>
      </c>
      <c r="S91" s="16"/>
      <c r="T91" s="16" t="e">
        <f>VLOOKUP(E91,'[2]21-3-2026'!E$3:T$35,16,FALSE)</f>
        <v>#N/A</v>
      </c>
      <c r="U91" s="16"/>
      <c r="V91" s="16" t="e">
        <f t="shared" si="14"/>
        <v>#N/A</v>
      </c>
      <c r="W91" s="16"/>
      <c r="X91" s="16"/>
      <c r="Y91" s="16"/>
      <c r="Z91" s="16">
        <f t="shared" si="15"/>
        <v>0</v>
      </c>
      <c r="AA91" s="16">
        <f t="shared" si="9"/>
        <v>0</v>
      </c>
      <c r="AB91" s="16"/>
      <c r="AC91" s="19"/>
      <c r="AD91" s="51"/>
    </row>
    <row r="92" spans="1:30" ht="19.5" thickBot="1" x14ac:dyDescent="0.3">
      <c r="A92" s="14">
        <v>25</v>
      </c>
      <c r="B92" s="15"/>
      <c r="C92" s="15" t="e">
        <f>VLOOKUP(B92,داتا!$B$3:$D$107,2,FALSE)</f>
        <v>#N/A</v>
      </c>
      <c r="D92" s="34" t="e">
        <f>VLOOKUP(B92,داتا!$B$3:$D$107,3,FALSE)</f>
        <v>#N/A</v>
      </c>
      <c r="E92" s="15"/>
      <c r="F92" s="15"/>
      <c r="G92" s="16">
        <v>8.3333333333333329E-2</v>
      </c>
      <c r="H92" s="16" t="e">
        <f t="shared" si="17"/>
        <v>#N/A</v>
      </c>
      <c r="I92" s="16" t="e">
        <f t="shared" si="10"/>
        <v>#N/A</v>
      </c>
      <c r="J92" s="16"/>
      <c r="K92" s="16"/>
      <c r="L92" s="16"/>
      <c r="M92" s="16"/>
      <c r="N92" s="16">
        <f t="shared" si="11"/>
        <v>0</v>
      </c>
      <c r="O92" s="16" t="e">
        <f t="shared" si="12"/>
        <v>#N/A</v>
      </c>
      <c r="P92" s="16">
        <v>6.9444444444444397E-3</v>
      </c>
      <c r="Q92" s="16"/>
      <c r="R92" s="16">
        <f t="shared" si="13"/>
        <v>-6.9444444444444397E-3</v>
      </c>
      <c r="S92" s="16"/>
      <c r="T92" s="16" t="e">
        <f>VLOOKUP(E92,'[2]21-3-2026'!E$3:T$35,16,FALSE)</f>
        <v>#N/A</v>
      </c>
      <c r="U92" s="16"/>
      <c r="V92" s="16" t="e">
        <f t="shared" si="14"/>
        <v>#N/A</v>
      </c>
      <c r="W92" s="16"/>
      <c r="X92" s="16"/>
      <c r="Y92" s="16"/>
      <c r="Z92" s="16">
        <f t="shared" si="15"/>
        <v>0</v>
      </c>
      <c r="AA92" s="16">
        <f t="shared" si="9"/>
        <v>0</v>
      </c>
      <c r="AB92" s="16"/>
      <c r="AC92" s="19"/>
      <c r="AD92" s="51"/>
    </row>
    <row r="93" spans="1:30" ht="19.5" thickBot="1" x14ac:dyDescent="0.3">
      <c r="A93" s="14">
        <v>26</v>
      </c>
      <c r="B93" s="15"/>
      <c r="C93" s="15" t="e">
        <f>VLOOKUP(B93,داتا!$B$3:$D$107,2,FALSE)</f>
        <v>#N/A</v>
      </c>
      <c r="D93" s="34" t="e">
        <f>VLOOKUP(B93,داتا!$B$3:$D$107,3,FALSE)</f>
        <v>#N/A</v>
      </c>
      <c r="E93" s="15"/>
      <c r="F93" s="15"/>
      <c r="G93" s="16">
        <v>8.3333333333333329E-2</v>
      </c>
      <c r="H93" s="16" t="e">
        <f t="shared" si="17"/>
        <v>#N/A</v>
      </c>
      <c r="I93" s="16" t="e">
        <f t="shared" si="10"/>
        <v>#N/A</v>
      </c>
      <c r="J93" s="16"/>
      <c r="K93" s="16"/>
      <c r="L93" s="16"/>
      <c r="M93" s="16"/>
      <c r="N93" s="16">
        <f t="shared" si="11"/>
        <v>0</v>
      </c>
      <c r="O93" s="16" t="e">
        <f t="shared" si="12"/>
        <v>#N/A</v>
      </c>
      <c r="P93" s="16">
        <v>6.9444444444444397E-3</v>
      </c>
      <c r="Q93" s="16"/>
      <c r="R93" s="16">
        <f t="shared" si="13"/>
        <v>-6.9444444444444397E-3</v>
      </c>
      <c r="S93" s="16"/>
      <c r="T93" s="16" t="e">
        <f>VLOOKUP(E93,'[2]21-3-2026'!E$3:T$35,16,FALSE)</f>
        <v>#N/A</v>
      </c>
      <c r="U93" s="16"/>
      <c r="V93" s="16" t="e">
        <f t="shared" si="14"/>
        <v>#N/A</v>
      </c>
      <c r="W93" s="16"/>
      <c r="X93" s="16"/>
      <c r="Y93" s="16"/>
      <c r="Z93" s="16">
        <f t="shared" si="15"/>
        <v>0</v>
      </c>
      <c r="AA93" s="16">
        <f t="shared" si="9"/>
        <v>0</v>
      </c>
      <c r="AB93" s="16"/>
      <c r="AC93" s="19"/>
      <c r="AD93" s="51"/>
    </row>
    <row r="94" spans="1:30" ht="19.5" thickBot="1" x14ac:dyDescent="0.3">
      <c r="A94" s="14">
        <v>27</v>
      </c>
      <c r="B94" s="15"/>
      <c r="C94" s="15" t="e">
        <f>VLOOKUP(B94,داتا!$B$3:$D$107,2,FALSE)</f>
        <v>#N/A</v>
      </c>
      <c r="D94" s="34" t="e">
        <f>VLOOKUP(B94,داتا!$B$3:$D$107,3,FALSE)</f>
        <v>#N/A</v>
      </c>
      <c r="E94" s="15"/>
      <c r="F94" s="15"/>
      <c r="G94" s="16">
        <v>8.3333333333333329E-2</v>
      </c>
      <c r="H94" s="16" t="e">
        <f t="shared" si="17"/>
        <v>#N/A</v>
      </c>
      <c r="I94" s="16" t="e">
        <f t="shared" si="10"/>
        <v>#N/A</v>
      </c>
      <c r="J94" s="16"/>
      <c r="K94" s="16"/>
      <c r="L94" s="16"/>
      <c r="M94" s="16"/>
      <c r="N94" s="16">
        <f t="shared" si="11"/>
        <v>0</v>
      </c>
      <c r="O94" s="16" t="e">
        <f t="shared" si="12"/>
        <v>#N/A</v>
      </c>
      <c r="P94" s="16">
        <v>6.9444444444444397E-3</v>
      </c>
      <c r="Q94" s="16"/>
      <c r="R94" s="16">
        <f t="shared" si="13"/>
        <v>-6.9444444444444397E-3</v>
      </c>
      <c r="S94" s="16"/>
      <c r="T94" s="16" t="e">
        <f>VLOOKUP(E94,'[2]21-3-2026'!E$3:T$35,16,FALSE)</f>
        <v>#N/A</v>
      </c>
      <c r="U94" s="16"/>
      <c r="V94" s="16" t="e">
        <f t="shared" si="14"/>
        <v>#N/A</v>
      </c>
      <c r="W94" s="16"/>
      <c r="X94" s="16"/>
      <c r="Y94" s="16"/>
      <c r="Z94" s="16">
        <f t="shared" si="15"/>
        <v>0</v>
      </c>
      <c r="AA94" s="16">
        <f t="shared" si="9"/>
        <v>0</v>
      </c>
      <c r="AB94" s="16"/>
      <c r="AC94" s="19"/>
      <c r="AD94" s="51"/>
    </row>
    <row r="95" spans="1:30" ht="19.5" thickBot="1" x14ac:dyDescent="0.3">
      <c r="A95" s="14">
        <v>28</v>
      </c>
      <c r="B95" s="15"/>
      <c r="C95" s="15" t="e">
        <f>VLOOKUP(B95,داتا!$B$3:$D$107,2,FALSE)</f>
        <v>#N/A</v>
      </c>
      <c r="D95" s="34" t="e">
        <f>VLOOKUP(B95,داتا!$B$3:$D$107,3,FALSE)</f>
        <v>#N/A</v>
      </c>
      <c r="E95" s="15"/>
      <c r="F95" s="16"/>
      <c r="G95" s="16">
        <v>8.3333333333333329E-2</v>
      </c>
      <c r="H95" s="16" t="e">
        <f t="shared" si="17"/>
        <v>#N/A</v>
      </c>
      <c r="I95" s="16" t="e">
        <f t="shared" si="10"/>
        <v>#N/A</v>
      </c>
      <c r="J95" s="16"/>
      <c r="K95" s="16"/>
      <c r="L95" s="16"/>
      <c r="M95" s="16"/>
      <c r="N95" s="16">
        <f t="shared" si="11"/>
        <v>0</v>
      </c>
      <c r="O95" s="16" t="e">
        <f t="shared" si="12"/>
        <v>#N/A</v>
      </c>
      <c r="P95" s="16">
        <v>6.9444444444444397E-3</v>
      </c>
      <c r="Q95" s="16"/>
      <c r="R95" s="16">
        <f t="shared" si="13"/>
        <v>-6.9444444444444397E-3</v>
      </c>
      <c r="S95" s="16"/>
      <c r="T95" s="16" t="e">
        <f>VLOOKUP(E95,'[2]21-3-2026'!E$3:T$35,16,FALSE)</f>
        <v>#N/A</v>
      </c>
      <c r="U95" s="16"/>
      <c r="V95" s="16" t="e">
        <f t="shared" si="14"/>
        <v>#N/A</v>
      </c>
      <c r="W95" s="16"/>
      <c r="X95" s="16"/>
      <c r="Y95" s="16"/>
      <c r="Z95" s="16">
        <f t="shared" si="15"/>
        <v>0</v>
      </c>
      <c r="AA95" s="16">
        <f t="shared" si="9"/>
        <v>0</v>
      </c>
      <c r="AB95" s="16"/>
      <c r="AC95" s="19"/>
      <c r="AD95" s="51"/>
    </row>
    <row r="96" spans="1:30" ht="19.5" thickBot="1" x14ac:dyDescent="0.3">
      <c r="A96" s="14">
        <v>29</v>
      </c>
      <c r="B96" s="15"/>
      <c r="C96" s="15" t="e">
        <f>VLOOKUP(B96,داتا!$B$3:$D$107,2,FALSE)</f>
        <v>#N/A</v>
      </c>
      <c r="D96" s="34" t="e">
        <f>VLOOKUP(B96,داتا!$B$3:$D$107,3,FALSE)</f>
        <v>#N/A</v>
      </c>
      <c r="E96" s="15"/>
      <c r="F96" s="16"/>
      <c r="G96" s="16">
        <v>8.3333333333333329E-2</v>
      </c>
      <c r="H96" s="16" t="e">
        <f t="shared" si="17"/>
        <v>#N/A</v>
      </c>
      <c r="I96" s="16" t="e">
        <f t="shared" si="10"/>
        <v>#N/A</v>
      </c>
      <c r="J96" s="16"/>
      <c r="K96" s="16"/>
      <c r="L96" s="16"/>
      <c r="M96" s="16"/>
      <c r="N96" s="16">
        <f t="shared" si="11"/>
        <v>0</v>
      </c>
      <c r="O96" s="16" t="e">
        <f t="shared" si="12"/>
        <v>#N/A</v>
      </c>
      <c r="P96" s="16">
        <v>6.9444444444444397E-3</v>
      </c>
      <c r="Q96" s="16"/>
      <c r="R96" s="16">
        <f t="shared" si="13"/>
        <v>-6.9444444444444397E-3</v>
      </c>
      <c r="S96" s="16"/>
      <c r="T96" s="16" t="e">
        <f>VLOOKUP(E96,'[2]21-3-2026'!E$3:T$35,16,FALSE)</f>
        <v>#N/A</v>
      </c>
      <c r="U96" s="16"/>
      <c r="V96" s="16" t="e">
        <f t="shared" si="14"/>
        <v>#N/A</v>
      </c>
      <c r="W96" s="16"/>
      <c r="X96" s="16"/>
      <c r="Y96" s="16"/>
      <c r="Z96" s="16">
        <f t="shared" si="15"/>
        <v>0</v>
      </c>
      <c r="AA96" s="16">
        <f t="shared" si="9"/>
        <v>0</v>
      </c>
      <c r="AB96" s="16"/>
      <c r="AC96" s="19"/>
      <c r="AD96" s="54"/>
    </row>
    <row r="97" spans="1:29" ht="19.5" thickBot="1" x14ac:dyDescent="0.3">
      <c r="A97" s="14">
        <v>30</v>
      </c>
      <c r="B97" s="15"/>
      <c r="C97" s="15" t="e">
        <f>VLOOKUP(B97,داتا!$B$3:$D$107,2,FALSE)</f>
        <v>#N/A</v>
      </c>
      <c r="D97" s="34" t="e">
        <f>VLOOKUP(B97,داتا!$B$3:$D$107,3,FALSE)</f>
        <v>#N/A</v>
      </c>
      <c r="E97" s="15"/>
      <c r="F97" s="16"/>
      <c r="G97" s="16">
        <v>8.3333333333333329E-2</v>
      </c>
      <c r="H97" s="16" t="e">
        <f t="shared" si="17"/>
        <v>#N/A</v>
      </c>
      <c r="I97" s="16" t="e">
        <f t="shared" si="10"/>
        <v>#N/A</v>
      </c>
      <c r="J97" s="16"/>
      <c r="K97" s="16"/>
      <c r="L97" s="16"/>
      <c r="M97" s="16"/>
      <c r="N97" s="16">
        <f t="shared" si="11"/>
        <v>0</v>
      </c>
      <c r="O97" s="16" t="e">
        <f t="shared" si="12"/>
        <v>#N/A</v>
      </c>
      <c r="P97" s="16">
        <v>6.9444444444444397E-3</v>
      </c>
      <c r="Q97" s="16"/>
      <c r="R97" s="16">
        <f t="shared" si="13"/>
        <v>-6.9444444444444397E-3</v>
      </c>
      <c r="S97" s="16"/>
      <c r="T97" s="16" t="e">
        <f>VLOOKUP(E97,'[2]21-3-2026'!E$3:T$35,16,FALSE)</f>
        <v>#N/A</v>
      </c>
      <c r="U97" s="16"/>
      <c r="V97" s="16" t="e">
        <f t="shared" si="14"/>
        <v>#N/A</v>
      </c>
      <c r="W97" s="16"/>
      <c r="X97" s="16"/>
      <c r="Y97" s="16"/>
      <c r="Z97" s="16">
        <f t="shared" si="15"/>
        <v>0</v>
      </c>
      <c r="AA97" s="16">
        <f t="shared" si="9"/>
        <v>0</v>
      </c>
      <c r="AB97" s="16"/>
      <c r="AC97" s="19"/>
    </row>
    <row r="98" spans="1:29" ht="19.5" thickBot="1" x14ac:dyDescent="0.3">
      <c r="A98" s="14">
        <v>31</v>
      </c>
      <c r="B98" s="15"/>
      <c r="C98" s="15" t="e">
        <f>VLOOKUP(B98,داتا!$B$3:$D$107,2,FALSE)</f>
        <v>#N/A</v>
      </c>
      <c r="D98" s="34" t="e">
        <f>VLOOKUP(B98,داتا!$B$3:$D$107,3,FALSE)</f>
        <v>#N/A</v>
      </c>
      <c r="E98" s="15"/>
      <c r="F98" s="16"/>
      <c r="G98" s="16">
        <v>8.3333333333333329E-2</v>
      </c>
      <c r="H98" s="16" t="e">
        <f t="shared" si="17"/>
        <v>#N/A</v>
      </c>
      <c r="I98" s="16" t="e">
        <f t="shared" si="10"/>
        <v>#N/A</v>
      </c>
      <c r="J98" s="16"/>
      <c r="K98" s="16"/>
      <c r="L98" s="16"/>
      <c r="M98" s="16"/>
      <c r="N98" s="16">
        <f t="shared" si="11"/>
        <v>0</v>
      </c>
      <c r="O98" s="16" t="e">
        <f t="shared" si="12"/>
        <v>#N/A</v>
      </c>
      <c r="P98" s="16">
        <v>6.9444444444444397E-3</v>
      </c>
      <c r="Q98" s="16"/>
      <c r="R98" s="16">
        <f t="shared" si="13"/>
        <v>-6.9444444444444397E-3</v>
      </c>
      <c r="S98" s="16"/>
      <c r="T98" s="16" t="e">
        <f>VLOOKUP(E98,'[2]21-3-2026'!E$3:T$35,16,FALSE)</f>
        <v>#N/A</v>
      </c>
      <c r="U98" s="16"/>
      <c r="V98" s="16" t="e">
        <f t="shared" si="14"/>
        <v>#N/A</v>
      </c>
      <c r="W98" s="16"/>
      <c r="X98" s="16"/>
      <c r="Y98" s="16"/>
      <c r="Z98" s="16">
        <f t="shared" si="15"/>
        <v>0</v>
      </c>
      <c r="AA98" s="16">
        <f t="shared" si="9"/>
        <v>0</v>
      </c>
      <c r="AB98" s="16"/>
      <c r="AC98" s="19"/>
    </row>
    <row r="99" spans="1:29" ht="19.5" thickBot="1" x14ac:dyDescent="0.3">
      <c r="A99" s="20">
        <v>32</v>
      </c>
      <c r="B99" s="21"/>
      <c r="C99" s="21" t="e">
        <f>VLOOKUP(B99,داتا!$B$3:$D$107,2,FALSE)</f>
        <v>#N/A</v>
      </c>
      <c r="D99" s="35" t="e">
        <f>VLOOKUP(B99,داتا!$B$3:$D$107,3,FALSE)</f>
        <v>#N/A</v>
      </c>
      <c r="E99" s="21"/>
      <c r="F99" s="22"/>
      <c r="G99" s="22">
        <v>8.3333333333333329E-2</v>
      </c>
      <c r="H99" s="22" t="e">
        <f t="shared" si="17"/>
        <v>#N/A</v>
      </c>
      <c r="I99" s="22" t="e">
        <f t="shared" si="10"/>
        <v>#N/A</v>
      </c>
      <c r="J99" s="22"/>
      <c r="K99" s="22"/>
      <c r="L99" s="22"/>
      <c r="M99" s="22"/>
      <c r="N99" s="22">
        <f t="shared" si="11"/>
        <v>0</v>
      </c>
      <c r="O99" s="22" t="e">
        <f t="shared" si="12"/>
        <v>#N/A</v>
      </c>
      <c r="P99" s="22">
        <v>6.9444444444444397E-3</v>
      </c>
      <c r="Q99" s="22"/>
      <c r="R99" s="22">
        <f t="shared" si="13"/>
        <v>-6.9444444444444397E-3</v>
      </c>
      <c r="S99" s="22"/>
      <c r="T99" s="22" t="e">
        <f>VLOOKUP(E99,'[2]21-3-2026'!E$3:T$35,16,FALSE)</f>
        <v>#N/A</v>
      </c>
      <c r="U99" s="22"/>
      <c r="V99" s="22" t="e">
        <f t="shared" si="14"/>
        <v>#N/A</v>
      </c>
      <c r="W99" s="22"/>
      <c r="X99" s="22"/>
      <c r="Y99" s="22"/>
      <c r="Z99" s="22">
        <f t="shared" si="15"/>
        <v>0</v>
      </c>
      <c r="AA99" s="22">
        <f t="shared" si="9"/>
        <v>0</v>
      </c>
      <c r="AB99" s="22"/>
      <c r="AC99" s="30"/>
    </row>
    <row r="100" spans="1:29" ht="16.5" thickTop="1" x14ac:dyDescent="0.25"/>
  </sheetData>
  <mergeCells count="4">
    <mergeCell ref="A1:AC1"/>
    <mergeCell ref="AD3:AD35"/>
    <mergeCell ref="AD36:AD67"/>
    <mergeCell ref="AD68:AD96"/>
  </mergeCells>
  <conditionalFormatting sqref="AC1:AC96 AC100:AC1048576">
    <cfRule type="containsText" dxfId="209" priority="14" operator="containsText" text="ت">
      <formula>NOT(ISERROR(SEARCH("ت",AC1)))</formula>
    </cfRule>
  </conditionalFormatting>
  <conditionalFormatting sqref="AC4:AC96">
    <cfRule type="containsText" dxfId="208" priority="13" operator="containsText" text="ت">
      <formula>NOT(ISERROR(SEARCH("ت",AC4)))</formula>
    </cfRule>
  </conditionalFormatting>
  <conditionalFormatting sqref="O1:O2 I1:I2 R1:R2 V1:V2 AA100:AA1048576 V100:V1048576 R100:R1048576 O100:O1048576 I100:I1048576 AA1:AA2">
    <cfRule type="cellIs" dxfId="207" priority="15" operator="between">
      <formula>0.00277777777777778</formula>
      <formula>1</formula>
    </cfRule>
  </conditionalFormatting>
  <conditionalFormatting sqref="AC97:AC99">
    <cfRule type="containsText" dxfId="206" priority="12" operator="containsText" text="ت">
      <formula>NOT(ISERROR(SEARCH("ت",AC97)))</formula>
    </cfRule>
  </conditionalFormatting>
  <conditionalFormatting sqref="AC97:AC99">
    <cfRule type="containsText" dxfId="205" priority="11" operator="containsText" text="ت">
      <formula>NOT(ISERROR(SEARCH("ت",AC97)))</formula>
    </cfRule>
  </conditionalFormatting>
  <conditionalFormatting sqref="I3:I99">
    <cfRule type="cellIs" dxfId="204" priority="9" operator="between">
      <formula>0.00277777777777778</formula>
      <formula>1</formula>
    </cfRule>
  </conditionalFormatting>
  <conditionalFormatting sqref="I3:I99">
    <cfRule type="cellIs" dxfId="203" priority="10" operator="between">
      <formula>0.00277777777777778</formula>
      <formula>1</formula>
    </cfRule>
  </conditionalFormatting>
  <conditionalFormatting sqref="O3:O99">
    <cfRule type="cellIs" dxfId="202" priority="7" operator="between">
      <formula>0.00277777777777778</formula>
      <formula>1</formula>
    </cfRule>
  </conditionalFormatting>
  <conditionalFormatting sqref="O3:O99">
    <cfRule type="cellIs" dxfId="201" priority="8" operator="between">
      <formula>0.00277777777777778</formula>
      <formula>1</formula>
    </cfRule>
  </conditionalFormatting>
  <conditionalFormatting sqref="R3:R99">
    <cfRule type="cellIs" dxfId="200" priority="5" operator="between">
      <formula>0.00277777777777778</formula>
      <formula>1</formula>
    </cfRule>
  </conditionalFormatting>
  <conditionalFormatting sqref="R3:R99">
    <cfRule type="cellIs" dxfId="199" priority="6" operator="between">
      <formula>0.00277777777777778</formula>
      <formula>1</formula>
    </cfRule>
  </conditionalFormatting>
  <conditionalFormatting sqref="V3:V99">
    <cfRule type="cellIs" dxfId="198" priority="3" operator="between">
      <formula>0.00277777777777778</formula>
      <formula>1</formula>
    </cfRule>
  </conditionalFormatting>
  <conditionalFormatting sqref="V3:V99">
    <cfRule type="cellIs" dxfId="197" priority="4" operator="between">
      <formula>0.00277777777777778</formula>
      <formula>1</formula>
    </cfRule>
  </conditionalFormatting>
  <conditionalFormatting sqref="AA3:AA99">
    <cfRule type="cellIs" dxfId="196" priority="1" operator="between">
      <formula>0.00277777777777778</formula>
      <formula>1</formula>
    </cfRule>
  </conditionalFormatting>
  <conditionalFormatting sqref="AA3:AA99">
    <cfRule type="cellIs" dxfId="195" priority="2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"/>
  <sheetViews>
    <sheetView rightToLeft="1" workbookViewId="0">
      <pane xSplit="6" ySplit="2" topLeftCell="G68" activePane="bottomRight" state="frozen"/>
      <selection activeCell="A92" sqref="A92"/>
      <selection pane="topRight" activeCell="A92" sqref="A92"/>
      <selection pane="bottomLeft" activeCell="A92" sqref="A92"/>
      <selection pane="bottomRight" activeCell="A92" sqref="A92"/>
    </sheetView>
  </sheetViews>
  <sheetFormatPr defaultColWidth="9" defaultRowHeight="15.75" x14ac:dyDescent="0.25"/>
  <cols>
    <col min="1" max="1" width="5.42578125" customWidth="1"/>
    <col min="2" max="2" width="12.28515625" customWidth="1"/>
    <col min="3" max="3" width="12.5703125" customWidth="1"/>
    <col min="4" max="4" width="16.140625" style="36" customWidth="1"/>
    <col min="5" max="5" width="17.140625" customWidth="1"/>
    <col min="6" max="6" width="20.85546875" customWidth="1"/>
    <col min="7" max="7" width="12.7109375" customWidth="1"/>
    <col min="8" max="9" width="12.85546875" customWidth="1"/>
    <col min="10" max="10" width="12.5703125" customWidth="1"/>
    <col min="11" max="11" width="14.28515625" customWidth="1"/>
    <col min="12" max="12" width="22.7109375" customWidth="1"/>
    <col min="13" max="13" width="18.8554687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3.85546875" style="31" customWidth="1"/>
    <col min="30" max="30" width="11.140625" customWidth="1"/>
  </cols>
  <sheetData>
    <row r="1" spans="1:30" ht="33.75" customHeight="1" thickBot="1" x14ac:dyDescent="0.3">
      <c r="A1" s="46" t="s">
        <v>119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0" ht="49.5" customHeight="1" thickTop="1" thickBot="1" x14ac:dyDescent="0.3">
      <c r="A2" s="1" t="s">
        <v>1</v>
      </c>
      <c r="B2" s="2" t="s">
        <v>2</v>
      </c>
      <c r="C2" s="2" t="s">
        <v>3</v>
      </c>
      <c r="D2" s="3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8" t="s">
        <v>18</v>
      </c>
      <c r="S2" s="2" t="s">
        <v>19</v>
      </c>
      <c r="T2" s="8" t="s">
        <v>20</v>
      </c>
      <c r="U2" s="2" t="s">
        <v>21</v>
      </c>
      <c r="V2" s="8" t="s">
        <v>22</v>
      </c>
      <c r="W2" s="8" t="s">
        <v>23</v>
      </c>
      <c r="X2" s="2" t="s">
        <v>24</v>
      </c>
      <c r="Y2" s="2" t="s">
        <v>25</v>
      </c>
      <c r="Z2" s="2" t="s">
        <v>26</v>
      </c>
      <c r="AA2" s="8" t="s">
        <v>27</v>
      </c>
      <c r="AB2" s="2" t="s">
        <v>28</v>
      </c>
      <c r="AC2" s="9" t="s">
        <v>29</v>
      </c>
    </row>
    <row r="3" spans="1:30" ht="20.25" customHeight="1" thickTop="1" thickBot="1" x14ac:dyDescent="0.3">
      <c r="A3" s="10">
        <v>1</v>
      </c>
      <c r="B3" s="11"/>
      <c r="C3" s="11" t="e">
        <f>VLOOKUP(B3,داتا!$B$3:$D$107,2,FALSE)</f>
        <v>#N/A</v>
      </c>
      <c r="D3" s="33" t="e">
        <f>VLOOKUP(B3,داتا!$B$3:$D$107,3,FALSE)</f>
        <v>#N/A</v>
      </c>
      <c r="E3" s="11"/>
      <c r="F3" s="11"/>
      <c r="G3" s="12">
        <v>0.25</v>
      </c>
      <c r="H3" s="12"/>
      <c r="I3" s="12">
        <f>H3-G3</f>
        <v>-0.25</v>
      </c>
      <c r="J3" s="12"/>
      <c r="K3" s="12"/>
      <c r="L3" s="12"/>
      <c r="M3" s="12"/>
      <c r="N3" s="12">
        <f>K3-J3</f>
        <v>0</v>
      </c>
      <c r="O3" s="12" t="e">
        <f>N3-D3</f>
        <v>#N/A</v>
      </c>
      <c r="P3" s="12">
        <v>6.9444444444444397E-3</v>
      </c>
      <c r="Q3" s="12"/>
      <c r="R3" s="12">
        <f>Q3-P3-K3</f>
        <v>-6.9444444444444397E-3</v>
      </c>
      <c r="S3" s="12"/>
      <c r="T3" s="12" t="e">
        <f>VLOOKUP(E3,'[2]21-3-2026'!E$3:T$35,16,FALSE)</f>
        <v>#N/A</v>
      </c>
      <c r="U3" s="12"/>
      <c r="V3" s="12" t="e">
        <f>U3-T3-S3</f>
        <v>#N/A</v>
      </c>
      <c r="W3" s="12"/>
      <c r="X3" s="12"/>
      <c r="Y3" s="12"/>
      <c r="Z3" s="12">
        <f>Y3-X3</f>
        <v>0</v>
      </c>
      <c r="AA3" s="12">
        <f t="shared" ref="AA3:AA66" si="0">Z3-W3</f>
        <v>0</v>
      </c>
      <c r="AB3" s="12"/>
      <c r="AC3" s="13"/>
      <c r="AD3" s="47" t="s">
        <v>33</v>
      </c>
    </row>
    <row r="4" spans="1:30" ht="19.5" thickBot="1" x14ac:dyDescent="0.3">
      <c r="A4" s="14">
        <v>2</v>
      </c>
      <c r="B4" s="15"/>
      <c r="C4" s="15" t="e">
        <f>VLOOKUP(B4,داتا!$B$3:$D$107,2,FALSE)</f>
        <v>#N/A</v>
      </c>
      <c r="D4" s="34" t="e">
        <f>VLOOKUP(B4,داتا!$B$3:$D$107,3,FALSE)</f>
        <v>#N/A</v>
      </c>
      <c r="E4" s="15"/>
      <c r="F4" s="15"/>
      <c r="G4" s="16">
        <v>0.25</v>
      </c>
      <c r="H4" s="16"/>
      <c r="I4" s="16">
        <f t="shared" ref="I4:I67" si="1">H4-G4</f>
        <v>-0.25</v>
      </c>
      <c r="J4" s="16"/>
      <c r="K4" s="16"/>
      <c r="L4" s="16"/>
      <c r="M4" s="16"/>
      <c r="N4" s="16">
        <f t="shared" ref="N4:N67" si="2">K4-J4</f>
        <v>0</v>
      </c>
      <c r="O4" s="16" t="e">
        <f t="shared" ref="O4:O67" si="3">N4-D4</f>
        <v>#N/A</v>
      </c>
      <c r="P4" s="16">
        <v>6.9444444444444397E-3</v>
      </c>
      <c r="Q4" s="16"/>
      <c r="R4" s="16">
        <f t="shared" ref="R4:R67" si="4">Q4-P4-K4</f>
        <v>-6.9444444444444397E-3</v>
      </c>
      <c r="S4" s="16"/>
      <c r="T4" s="16" t="e">
        <f>VLOOKUP(E4,'[2]21-3-2026'!E$3:T$35,16,FALSE)</f>
        <v>#N/A</v>
      </c>
      <c r="U4" s="16"/>
      <c r="V4" s="16" t="e">
        <f t="shared" ref="V4:V67" si="5">U4-T4-S4</f>
        <v>#N/A</v>
      </c>
      <c r="W4" s="16"/>
      <c r="X4" s="16"/>
      <c r="Y4" s="16"/>
      <c r="Z4" s="16">
        <f t="shared" ref="Z4:Z67" si="6">Y4-X4</f>
        <v>0</v>
      </c>
      <c r="AA4" s="16">
        <f t="shared" si="0"/>
        <v>0</v>
      </c>
      <c r="AB4" s="16"/>
      <c r="AC4" s="17"/>
      <c r="AD4" s="48"/>
    </row>
    <row r="5" spans="1:30" ht="19.5" thickBot="1" x14ac:dyDescent="0.3">
      <c r="A5" s="14">
        <v>3</v>
      </c>
      <c r="B5" s="15"/>
      <c r="C5" s="15" t="e">
        <f>VLOOKUP(B5,داتا!$B$3:$D$107,2,FALSE)</f>
        <v>#N/A</v>
      </c>
      <c r="D5" s="34" t="e">
        <f>VLOOKUP(B5,داتا!$B$3:$D$107,3,FALSE)</f>
        <v>#N/A</v>
      </c>
      <c r="E5" s="15"/>
      <c r="F5" s="15"/>
      <c r="G5" s="16">
        <v>0.25</v>
      </c>
      <c r="H5" s="16"/>
      <c r="I5" s="16">
        <f t="shared" si="1"/>
        <v>-0.25</v>
      </c>
      <c r="J5" s="16"/>
      <c r="K5" s="16"/>
      <c r="L5" s="16"/>
      <c r="M5" s="16"/>
      <c r="N5" s="16">
        <f t="shared" si="2"/>
        <v>0</v>
      </c>
      <c r="O5" s="16" t="e">
        <f t="shared" si="3"/>
        <v>#N/A</v>
      </c>
      <c r="P5" s="16">
        <v>6.9444444444444397E-3</v>
      </c>
      <c r="Q5" s="16"/>
      <c r="R5" s="16">
        <f t="shared" si="4"/>
        <v>-6.9444444444444397E-3</v>
      </c>
      <c r="S5" s="16"/>
      <c r="T5" s="16" t="e">
        <f>VLOOKUP(E5,'[2]21-3-2026'!E$3:T$35,16,FALSE)</f>
        <v>#N/A</v>
      </c>
      <c r="U5" s="16"/>
      <c r="V5" s="16" t="e">
        <f t="shared" si="5"/>
        <v>#N/A</v>
      </c>
      <c r="W5" s="16"/>
      <c r="X5" s="16"/>
      <c r="Y5" s="16"/>
      <c r="Z5" s="16">
        <f t="shared" si="6"/>
        <v>0</v>
      </c>
      <c r="AA5" s="16">
        <f t="shared" si="0"/>
        <v>0</v>
      </c>
      <c r="AB5" s="16"/>
      <c r="AC5" s="17"/>
      <c r="AD5" s="48"/>
    </row>
    <row r="6" spans="1:30" ht="19.5" thickBot="1" x14ac:dyDescent="0.3">
      <c r="A6" s="14">
        <v>4</v>
      </c>
      <c r="B6" s="15"/>
      <c r="C6" s="15" t="e">
        <f>VLOOKUP(B6,داتا!$B$3:$D$107,2,FALSE)</f>
        <v>#N/A</v>
      </c>
      <c r="D6" s="34" t="e">
        <f>VLOOKUP(B6,داتا!$B$3:$D$107,3,FALSE)</f>
        <v>#N/A</v>
      </c>
      <c r="E6" s="15"/>
      <c r="F6" s="15"/>
      <c r="G6" s="16">
        <v>0.25</v>
      </c>
      <c r="H6" s="16"/>
      <c r="I6" s="16">
        <f t="shared" si="1"/>
        <v>-0.25</v>
      </c>
      <c r="J6" s="16"/>
      <c r="K6" s="16"/>
      <c r="L6" s="16"/>
      <c r="M6" s="16"/>
      <c r="N6" s="16">
        <f t="shared" si="2"/>
        <v>0</v>
      </c>
      <c r="O6" s="16" t="e">
        <f t="shared" si="3"/>
        <v>#N/A</v>
      </c>
      <c r="P6" s="16">
        <v>6.9444444444444397E-3</v>
      </c>
      <c r="Q6" s="16"/>
      <c r="R6" s="16">
        <f t="shared" si="4"/>
        <v>-6.9444444444444397E-3</v>
      </c>
      <c r="S6" s="16"/>
      <c r="T6" s="16" t="e">
        <f>VLOOKUP(E6,'[2]21-3-2026'!E$3:T$35,16,FALSE)</f>
        <v>#N/A</v>
      </c>
      <c r="U6" s="16"/>
      <c r="V6" s="16" t="e">
        <f t="shared" si="5"/>
        <v>#N/A</v>
      </c>
      <c r="W6" s="16"/>
      <c r="X6" s="16"/>
      <c r="Y6" s="16"/>
      <c r="Z6" s="16">
        <f t="shared" si="6"/>
        <v>0</v>
      </c>
      <c r="AA6" s="16">
        <f t="shared" si="0"/>
        <v>0</v>
      </c>
      <c r="AB6" s="16"/>
      <c r="AC6" s="17"/>
      <c r="AD6" s="48"/>
    </row>
    <row r="7" spans="1:30" ht="19.5" thickBot="1" x14ac:dyDescent="0.3">
      <c r="A7" s="14">
        <v>5</v>
      </c>
      <c r="B7" s="15"/>
      <c r="C7" s="15" t="e">
        <f>VLOOKUP(B7,داتا!$B$3:$D$107,2,FALSE)</f>
        <v>#N/A</v>
      </c>
      <c r="D7" s="34" t="e">
        <f>VLOOKUP(B7,داتا!$B$3:$D$107,3,FALSE)</f>
        <v>#N/A</v>
      </c>
      <c r="E7" s="15"/>
      <c r="F7" s="15"/>
      <c r="G7" s="16">
        <v>0.25</v>
      </c>
      <c r="H7" s="16"/>
      <c r="I7" s="16">
        <f t="shared" si="1"/>
        <v>-0.25</v>
      </c>
      <c r="J7" s="16"/>
      <c r="K7" s="16"/>
      <c r="L7" s="16"/>
      <c r="M7" s="16"/>
      <c r="N7" s="16">
        <f t="shared" si="2"/>
        <v>0</v>
      </c>
      <c r="O7" s="16" t="e">
        <f t="shared" si="3"/>
        <v>#N/A</v>
      </c>
      <c r="P7" s="16">
        <v>6.9444444444444397E-3</v>
      </c>
      <c r="Q7" s="16"/>
      <c r="R7" s="16">
        <f t="shared" si="4"/>
        <v>-6.9444444444444397E-3</v>
      </c>
      <c r="S7" s="16"/>
      <c r="T7" s="16" t="e">
        <f>VLOOKUP(E7,'[2]21-3-2026'!E$3:T$35,16,FALSE)</f>
        <v>#N/A</v>
      </c>
      <c r="U7" s="16"/>
      <c r="V7" s="16" t="e">
        <f t="shared" si="5"/>
        <v>#N/A</v>
      </c>
      <c r="W7" s="16"/>
      <c r="X7" s="16"/>
      <c r="Y7" s="16"/>
      <c r="Z7" s="16">
        <f t="shared" si="6"/>
        <v>0</v>
      </c>
      <c r="AA7" s="16">
        <f t="shared" si="0"/>
        <v>0</v>
      </c>
      <c r="AB7" s="16"/>
      <c r="AC7" s="17"/>
      <c r="AD7" s="48"/>
    </row>
    <row r="8" spans="1:30" ht="19.5" thickBot="1" x14ac:dyDescent="0.3">
      <c r="A8" s="14">
        <v>6</v>
      </c>
      <c r="B8" s="15"/>
      <c r="C8" s="15" t="e">
        <f>VLOOKUP(B8,داتا!$B$3:$D$107,2,FALSE)</f>
        <v>#N/A</v>
      </c>
      <c r="D8" s="34" t="e">
        <f>VLOOKUP(B8,داتا!$B$3:$D$107,3,FALSE)</f>
        <v>#N/A</v>
      </c>
      <c r="E8" s="15"/>
      <c r="F8" s="15"/>
      <c r="G8" s="16">
        <v>0.25</v>
      </c>
      <c r="H8" s="16"/>
      <c r="I8" s="16">
        <f t="shared" si="1"/>
        <v>-0.25</v>
      </c>
      <c r="J8" s="16"/>
      <c r="K8" s="16"/>
      <c r="L8" s="16"/>
      <c r="M8" s="16"/>
      <c r="N8" s="16">
        <f t="shared" si="2"/>
        <v>0</v>
      </c>
      <c r="O8" s="16" t="e">
        <f t="shared" si="3"/>
        <v>#N/A</v>
      </c>
      <c r="P8" s="16">
        <v>6.9444444444444397E-3</v>
      </c>
      <c r="Q8" s="16"/>
      <c r="R8" s="16">
        <f t="shared" si="4"/>
        <v>-6.9444444444444397E-3</v>
      </c>
      <c r="S8" s="16"/>
      <c r="T8" s="16" t="e">
        <f>VLOOKUP(E8,'[2]21-3-2026'!E$3:T$35,16,FALSE)</f>
        <v>#N/A</v>
      </c>
      <c r="U8" s="16"/>
      <c r="V8" s="16" t="e">
        <f t="shared" si="5"/>
        <v>#N/A</v>
      </c>
      <c r="W8" s="16"/>
      <c r="X8" s="16"/>
      <c r="Y8" s="16"/>
      <c r="Z8" s="16">
        <f t="shared" si="6"/>
        <v>0</v>
      </c>
      <c r="AA8" s="16">
        <f t="shared" si="0"/>
        <v>0</v>
      </c>
      <c r="AB8" s="16"/>
      <c r="AC8" s="18"/>
      <c r="AD8" s="48"/>
    </row>
    <row r="9" spans="1:30" ht="19.5" thickBot="1" x14ac:dyDescent="0.3">
      <c r="A9" s="14">
        <v>7</v>
      </c>
      <c r="B9" s="15"/>
      <c r="C9" s="15" t="e">
        <f>VLOOKUP(B9,داتا!$B$3:$D$107,2,FALSE)</f>
        <v>#N/A</v>
      </c>
      <c r="D9" s="34" t="e">
        <f>VLOOKUP(B9,داتا!$B$3:$D$107,3,FALSE)</f>
        <v>#N/A</v>
      </c>
      <c r="E9" s="15"/>
      <c r="F9" s="15"/>
      <c r="G9" s="16">
        <v>0.25</v>
      </c>
      <c r="H9" s="16"/>
      <c r="I9" s="16">
        <f t="shared" si="1"/>
        <v>-0.25</v>
      </c>
      <c r="J9" s="16"/>
      <c r="K9" s="16"/>
      <c r="L9" s="16"/>
      <c r="M9" s="16"/>
      <c r="N9" s="16">
        <f t="shared" si="2"/>
        <v>0</v>
      </c>
      <c r="O9" s="16" t="e">
        <f t="shared" si="3"/>
        <v>#N/A</v>
      </c>
      <c r="P9" s="16">
        <v>6.9444444444444397E-3</v>
      </c>
      <c r="Q9" s="16"/>
      <c r="R9" s="16">
        <f t="shared" si="4"/>
        <v>-6.9444444444444397E-3</v>
      </c>
      <c r="S9" s="16"/>
      <c r="T9" s="16" t="e">
        <f>VLOOKUP(E9,'[2]21-3-2026'!E$3:T$35,16,FALSE)</f>
        <v>#N/A</v>
      </c>
      <c r="U9" s="16"/>
      <c r="V9" s="16" t="e">
        <f t="shared" si="5"/>
        <v>#N/A</v>
      </c>
      <c r="W9" s="16"/>
      <c r="X9" s="16"/>
      <c r="Y9" s="16"/>
      <c r="Z9" s="16">
        <f t="shared" si="6"/>
        <v>0</v>
      </c>
      <c r="AA9" s="16">
        <f t="shared" si="0"/>
        <v>0</v>
      </c>
      <c r="AB9" s="16"/>
      <c r="AC9" s="17"/>
      <c r="AD9" s="48"/>
    </row>
    <row r="10" spans="1:30" ht="19.5" thickBot="1" x14ac:dyDescent="0.3">
      <c r="A10" s="14">
        <v>8</v>
      </c>
      <c r="B10" s="15"/>
      <c r="C10" s="15" t="e">
        <f>VLOOKUP(B10,داتا!$B$3:$D$107,2,FALSE)</f>
        <v>#N/A</v>
      </c>
      <c r="D10" s="34" t="e">
        <f>VLOOKUP(B10,داتا!$B$3:$D$107,3,FALSE)</f>
        <v>#N/A</v>
      </c>
      <c r="E10" s="15"/>
      <c r="F10" s="15"/>
      <c r="G10" s="16">
        <v>0.25</v>
      </c>
      <c r="H10" s="16"/>
      <c r="I10" s="16">
        <f t="shared" si="1"/>
        <v>-0.25</v>
      </c>
      <c r="J10" s="16"/>
      <c r="K10" s="16"/>
      <c r="L10" s="16"/>
      <c r="M10" s="16"/>
      <c r="N10" s="16">
        <f t="shared" si="2"/>
        <v>0</v>
      </c>
      <c r="O10" s="16" t="e">
        <f t="shared" si="3"/>
        <v>#N/A</v>
      </c>
      <c r="P10" s="16">
        <v>6.9444444444444397E-3</v>
      </c>
      <c r="Q10" s="16"/>
      <c r="R10" s="16">
        <f t="shared" si="4"/>
        <v>-6.9444444444444397E-3</v>
      </c>
      <c r="S10" s="16"/>
      <c r="T10" s="16" t="e">
        <f>VLOOKUP(E10,'[2]21-3-2026'!E$3:T$35,16,FALSE)</f>
        <v>#N/A</v>
      </c>
      <c r="U10" s="16"/>
      <c r="V10" s="16" t="e">
        <f t="shared" si="5"/>
        <v>#N/A</v>
      </c>
      <c r="W10" s="16"/>
      <c r="X10" s="16"/>
      <c r="Y10" s="16"/>
      <c r="Z10" s="16">
        <f t="shared" si="6"/>
        <v>0</v>
      </c>
      <c r="AA10" s="16">
        <f t="shared" si="0"/>
        <v>0</v>
      </c>
      <c r="AB10" s="16"/>
      <c r="AC10" s="17"/>
      <c r="AD10" s="48"/>
    </row>
    <row r="11" spans="1:30" ht="19.5" thickBot="1" x14ac:dyDescent="0.3">
      <c r="A11" s="14">
        <v>9</v>
      </c>
      <c r="B11" s="15"/>
      <c r="C11" s="15" t="e">
        <f>VLOOKUP(B11,داتا!$B$3:$D$107,2,FALSE)</f>
        <v>#N/A</v>
      </c>
      <c r="D11" s="34" t="e">
        <f>VLOOKUP(B11,داتا!$B$3:$D$107,3,FALSE)</f>
        <v>#N/A</v>
      </c>
      <c r="E11" s="15"/>
      <c r="F11" s="15"/>
      <c r="G11" s="16">
        <v>0.25</v>
      </c>
      <c r="H11" s="16"/>
      <c r="I11" s="16">
        <f t="shared" si="1"/>
        <v>-0.25</v>
      </c>
      <c r="J11" s="16"/>
      <c r="K11" s="16"/>
      <c r="L11" s="16"/>
      <c r="M11" s="16"/>
      <c r="N11" s="16">
        <f t="shared" si="2"/>
        <v>0</v>
      </c>
      <c r="O11" s="16" t="e">
        <f t="shared" si="3"/>
        <v>#N/A</v>
      </c>
      <c r="P11" s="16">
        <v>6.9444444444444397E-3</v>
      </c>
      <c r="Q11" s="16"/>
      <c r="R11" s="16">
        <f t="shared" si="4"/>
        <v>-6.9444444444444397E-3</v>
      </c>
      <c r="S11" s="16"/>
      <c r="T11" s="16" t="e">
        <f>VLOOKUP(E11,'[2]21-3-2026'!E$3:T$35,16,FALSE)</f>
        <v>#N/A</v>
      </c>
      <c r="U11" s="16"/>
      <c r="V11" s="16" t="e">
        <f t="shared" si="5"/>
        <v>#N/A</v>
      </c>
      <c r="W11" s="16"/>
      <c r="X11" s="16"/>
      <c r="Y11" s="16"/>
      <c r="Z11" s="16">
        <f t="shared" si="6"/>
        <v>0</v>
      </c>
      <c r="AA11" s="16">
        <f t="shared" si="0"/>
        <v>0</v>
      </c>
      <c r="AB11" s="16"/>
      <c r="AC11" s="17"/>
      <c r="AD11" s="48"/>
    </row>
    <row r="12" spans="1:30" ht="19.5" thickBot="1" x14ac:dyDescent="0.3">
      <c r="A12" s="14">
        <v>10</v>
      </c>
      <c r="B12" s="15"/>
      <c r="C12" s="15" t="e">
        <f>VLOOKUP(B12,داتا!$B$3:$D$107,2,FALSE)</f>
        <v>#N/A</v>
      </c>
      <c r="D12" s="34" t="e">
        <f>VLOOKUP(B12,داتا!$B$3:$D$107,3,FALSE)</f>
        <v>#N/A</v>
      </c>
      <c r="E12" s="15"/>
      <c r="F12" s="15"/>
      <c r="G12" s="16">
        <v>0.25</v>
      </c>
      <c r="H12" s="16"/>
      <c r="I12" s="16">
        <f t="shared" si="1"/>
        <v>-0.25</v>
      </c>
      <c r="J12" s="16"/>
      <c r="K12" s="16"/>
      <c r="L12" s="16"/>
      <c r="M12" s="16"/>
      <c r="N12" s="16">
        <f t="shared" si="2"/>
        <v>0</v>
      </c>
      <c r="O12" s="16" t="e">
        <f t="shared" si="3"/>
        <v>#N/A</v>
      </c>
      <c r="P12" s="16">
        <v>6.9444444444444397E-3</v>
      </c>
      <c r="Q12" s="16"/>
      <c r="R12" s="16">
        <f t="shared" si="4"/>
        <v>-6.9444444444444397E-3</v>
      </c>
      <c r="S12" s="16"/>
      <c r="T12" s="16" t="e">
        <f>VLOOKUP(E12,'[2]21-3-2026'!E$3:T$35,16,FALSE)</f>
        <v>#N/A</v>
      </c>
      <c r="U12" s="16"/>
      <c r="V12" s="16" t="e">
        <f t="shared" si="5"/>
        <v>#N/A</v>
      </c>
      <c r="W12" s="16"/>
      <c r="X12" s="16"/>
      <c r="Y12" s="16"/>
      <c r="Z12" s="16">
        <f t="shared" si="6"/>
        <v>0</v>
      </c>
      <c r="AA12" s="16">
        <f t="shared" si="0"/>
        <v>0</v>
      </c>
      <c r="AB12" s="16"/>
      <c r="AC12" s="17"/>
      <c r="AD12" s="48"/>
    </row>
    <row r="13" spans="1:30" ht="19.5" thickBot="1" x14ac:dyDescent="0.3">
      <c r="A13" s="14">
        <v>11</v>
      </c>
      <c r="B13" s="15"/>
      <c r="C13" s="15" t="e">
        <f>VLOOKUP(B13,داتا!$B$3:$D$107,2,FALSE)</f>
        <v>#N/A</v>
      </c>
      <c r="D13" s="34" t="e">
        <f>VLOOKUP(B13,داتا!$B$3:$D$107,3,FALSE)</f>
        <v>#N/A</v>
      </c>
      <c r="E13" s="15"/>
      <c r="F13" s="15"/>
      <c r="G13" s="16">
        <v>0.25</v>
      </c>
      <c r="H13" s="16"/>
      <c r="I13" s="16">
        <f t="shared" si="1"/>
        <v>-0.25</v>
      </c>
      <c r="J13" s="16"/>
      <c r="K13" s="16"/>
      <c r="L13" s="16"/>
      <c r="M13" s="16"/>
      <c r="N13" s="16">
        <f t="shared" si="2"/>
        <v>0</v>
      </c>
      <c r="O13" s="16" t="e">
        <f t="shared" si="3"/>
        <v>#N/A</v>
      </c>
      <c r="P13" s="16">
        <v>6.9444444444444397E-3</v>
      </c>
      <c r="Q13" s="16"/>
      <c r="R13" s="16">
        <f t="shared" si="4"/>
        <v>-6.9444444444444397E-3</v>
      </c>
      <c r="S13" s="16"/>
      <c r="T13" s="16" t="e">
        <f>VLOOKUP(E13,'[2]21-3-2026'!E$3:T$35,16,FALSE)</f>
        <v>#N/A</v>
      </c>
      <c r="U13" s="16"/>
      <c r="V13" s="16" t="e">
        <f t="shared" si="5"/>
        <v>#N/A</v>
      </c>
      <c r="W13" s="16"/>
      <c r="X13" s="16"/>
      <c r="Y13" s="16"/>
      <c r="Z13" s="16">
        <f t="shared" si="6"/>
        <v>0</v>
      </c>
      <c r="AA13" s="16">
        <f t="shared" si="0"/>
        <v>0</v>
      </c>
      <c r="AB13" s="16"/>
      <c r="AC13" s="18"/>
      <c r="AD13" s="48"/>
    </row>
    <row r="14" spans="1:30" ht="19.5" thickBot="1" x14ac:dyDescent="0.3">
      <c r="A14" s="14">
        <v>12</v>
      </c>
      <c r="B14" s="15"/>
      <c r="C14" s="15" t="e">
        <f>VLOOKUP(B14,داتا!$B$3:$D$107,2,FALSE)</f>
        <v>#N/A</v>
      </c>
      <c r="D14" s="34" t="e">
        <f>VLOOKUP(B14,داتا!$B$3:$D$107,3,FALSE)</f>
        <v>#N/A</v>
      </c>
      <c r="E14" s="15"/>
      <c r="F14" s="15"/>
      <c r="G14" s="16">
        <v>0.25</v>
      </c>
      <c r="H14" s="16"/>
      <c r="I14" s="16">
        <f t="shared" si="1"/>
        <v>-0.25</v>
      </c>
      <c r="J14" s="16"/>
      <c r="K14" s="16"/>
      <c r="L14" s="16"/>
      <c r="M14" s="16"/>
      <c r="N14" s="16">
        <f t="shared" si="2"/>
        <v>0</v>
      </c>
      <c r="O14" s="16" t="e">
        <f t="shared" si="3"/>
        <v>#N/A</v>
      </c>
      <c r="P14" s="16">
        <v>6.9444444444444397E-3</v>
      </c>
      <c r="Q14" s="16"/>
      <c r="R14" s="16">
        <f t="shared" si="4"/>
        <v>-6.9444444444444397E-3</v>
      </c>
      <c r="S14" s="16"/>
      <c r="T14" s="16" t="e">
        <f>VLOOKUP(E14,'[2]21-3-2026'!E$3:T$35,16,FALSE)</f>
        <v>#N/A</v>
      </c>
      <c r="U14" s="16"/>
      <c r="V14" s="16" t="e">
        <f t="shared" si="5"/>
        <v>#N/A</v>
      </c>
      <c r="W14" s="16"/>
      <c r="X14" s="16"/>
      <c r="Y14" s="16"/>
      <c r="Z14" s="16">
        <f t="shared" si="6"/>
        <v>0</v>
      </c>
      <c r="AA14" s="16">
        <f t="shared" si="0"/>
        <v>0</v>
      </c>
      <c r="AB14" s="16"/>
      <c r="AC14" s="17"/>
      <c r="AD14" s="48"/>
    </row>
    <row r="15" spans="1:30" ht="19.5" thickBot="1" x14ac:dyDescent="0.3">
      <c r="A15" s="14">
        <v>13</v>
      </c>
      <c r="B15" s="15"/>
      <c r="C15" s="15" t="e">
        <f>VLOOKUP(B15,داتا!$B$3:$D$107,2,FALSE)</f>
        <v>#N/A</v>
      </c>
      <c r="D15" s="34" t="e">
        <f>VLOOKUP(B15,داتا!$B$3:$D$107,3,FALSE)</f>
        <v>#N/A</v>
      </c>
      <c r="E15" s="15"/>
      <c r="F15" s="15"/>
      <c r="G15" s="16">
        <v>0.25</v>
      </c>
      <c r="H15" s="16"/>
      <c r="I15" s="16">
        <f t="shared" si="1"/>
        <v>-0.25</v>
      </c>
      <c r="J15" s="16"/>
      <c r="K15" s="16"/>
      <c r="L15" s="16"/>
      <c r="M15" s="16"/>
      <c r="N15" s="16">
        <f t="shared" si="2"/>
        <v>0</v>
      </c>
      <c r="O15" s="16" t="e">
        <f t="shared" si="3"/>
        <v>#N/A</v>
      </c>
      <c r="P15" s="16">
        <v>6.9444444444444397E-3</v>
      </c>
      <c r="Q15" s="16"/>
      <c r="R15" s="16">
        <f t="shared" si="4"/>
        <v>-6.9444444444444397E-3</v>
      </c>
      <c r="S15" s="16"/>
      <c r="T15" s="16" t="e">
        <f>VLOOKUP(E15,'[2]21-3-2026'!E$3:T$35,16,FALSE)</f>
        <v>#N/A</v>
      </c>
      <c r="U15" s="16"/>
      <c r="V15" s="16" t="e">
        <f t="shared" si="5"/>
        <v>#N/A</v>
      </c>
      <c r="W15" s="16"/>
      <c r="X15" s="16"/>
      <c r="Y15" s="16"/>
      <c r="Z15" s="16">
        <f t="shared" si="6"/>
        <v>0</v>
      </c>
      <c r="AA15" s="16">
        <f t="shared" si="0"/>
        <v>0</v>
      </c>
      <c r="AB15" s="16"/>
      <c r="AC15" s="17"/>
      <c r="AD15" s="48"/>
    </row>
    <row r="16" spans="1:30" ht="19.5" thickBot="1" x14ac:dyDescent="0.3">
      <c r="A16" s="14">
        <v>14</v>
      </c>
      <c r="B16" s="15"/>
      <c r="C16" s="15" t="e">
        <f>VLOOKUP(B16,داتا!$B$3:$D$107,2,FALSE)</f>
        <v>#N/A</v>
      </c>
      <c r="D16" s="34" t="e">
        <f>VLOOKUP(B16,داتا!$B$3:$D$107,3,FALSE)</f>
        <v>#N/A</v>
      </c>
      <c r="E16" s="15"/>
      <c r="F16" s="15"/>
      <c r="G16" s="16">
        <v>0.25</v>
      </c>
      <c r="H16" s="16"/>
      <c r="I16" s="16">
        <f t="shared" si="1"/>
        <v>-0.25</v>
      </c>
      <c r="J16" s="16"/>
      <c r="K16" s="16"/>
      <c r="L16" s="16"/>
      <c r="M16" s="16"/>
      <c r="N16" s="16">
        <f t="shared" si="2"/>
        <v>0</v>
      </c>
      <c r="O16" s="16" t="e">
        <f t="shared" si="3"/>
        <v>#N/A</v>
      </c>
      <c r="P16" s="16">
        <v>6.9444444444444397E-3</v>
      </c>
      <c r="Q16" s="16"/>
      <c r="R16" s="16">
        <f t="shared" si="4"/>
        <v>-6.9444444444444397E-3</v>
      </c>
      <c r="S16" s="16"/>
      <c r="T16" s="16" t="e">
        <f>VLOOKUP(E16,'[2]21-3-2026'!E$3:T$35,16,FALSE)</f>
        <v>#N/A</v>
      </c>
      <c r="U16" s="16"/>
      <c r="V16" s="16" t="e">
        <f t="shared" si="5"/>
        <v>#N/A</v>
      </c>
      <c r="W16" s="16"/>
      <c r="X16" s="16"/>
      <c r="Y16" s="16"/>
      <c r="Z16" s="16">
        <f t="shared" si="6"/>
        <v>0</v>
      </c>
      <c r="AA16" s="16">
        <f t="shared" si="0"/>
        <v>0</v>
      </c>
      <c r="AB16" s="16"/>
      <c r="AC16" s="17"/>
      <c r="AD16" s="48"/>
    </row>
    <row r="17" spans="1:30" ht="19.5" thickBot="1" x14ac:dyDescent="0.3">
      <c r="A17" s="14">
        <v>15</v>
      </c>
      <c r="B17" s="15"/>
      <c r="C17" s="15" t="e">
        <f>VLOOKUP(B17,داتا!$B$3:$D$107,2,FALSE)</f>
        <v>#N/A</v>
      </c>
      <c r="D17" s="34" t="e">
        <f>VLOOKUP(B17,داتا!$B$3:$D$107,3,FALSE)</f>
        <v>#N/A</v>
      </c>
      <c r="E17" s="15"/>
      <c r="F17" s="15"/>
      <c r="G17" s="16">
        <v>0.25</v>
      </c>
      <c r="H17" s="16"/>
      <c r="I17" s="16">
        <f t="shared" si="1"/>
        <v>-0.25</v>
      </c>
      <c r="J17" s="16"/>
      <c r="K17" s="16"/>
      <c r="L17" s="16"/>
      <c r="M17" s="16"/>
      <c r="N17" s="16">
        <f t="shared" si="2"/>
        <v>0</v>
      </c>
      <c r="O17" s="16" t="e">
        <f t="shared" si="3"/>
        <v>#N/A</v>
      </c>
      <c r="P17" s="16">
        <v>6.9444444444444397E-3</v>
      </c>
      <c r="Q17" s="16"/>
      <c r="R17" s="16">
        <f t="shared" si="4"/>
        <v>-6.9444444444444397E-3</v>
      </c>
      <c r="S17" s="16"/>
      <c r="T17" s="16" t="e">
        <f>VLOOKUP(E17,'[2]21-3-2026'!E$3:T$35,16,FALSE)</f>
        <v>#N/A</v>
      </c>
      <c r="U17" s="16"/>
      <c r="V17" s="16" t="e">
        <f t="shared" si="5"/>
        <v>#N/A</v>
      </c>
      <c r="W17" s="16"/>
      <c r="X17" s="16"/>
      <c r="Y17" s="16"/>
      <c r="Z17" s="16">
        <f t="shared" si="6"/>
        <v>0</v>
      </c>
      <c r="AA17" s="16">
        <f t="shared" si="0"/>
        <v>0</v>
      </c>
      <c r="AB17" s="16"/>
      <c r="AC17" s="17"/>
      <c r="AD17" s="48"/>
    </row>
    <row r="18" spans="1:30" ht="19.5" thickBot="1" x14ac:dyDescent="0.3">
      <c r="A18" s="14">
        <v>16</v>
      </c>
      <c r="B18" s="15"/>
      <c r="C18" s="15" t="e">
        <f>VLOOKUP(B18,داتا!$B$3:$D$107,2,FALSE)</f>
        <v>#N/A</v>
      </c>
      <c r="D18" s="34" t="e">
        <f>VLOOKUP(B18,داتا!$B$3:$D$107,3,FALSE)</f>
        <v>#N/A</v>
      </c>
      <c r="E18" s="16"/>
      <c r="F18" s="15"/>
      <c r="G18" s="16">
        <v>0.25</v>
      </c>
      <c r="H18" s="16"/>
      <c r="I18" s="16">
        <f t="shared" si="1"/>
        <v>-0.25</v>
      </c>
      <c r="J18" s="16"/>
      <c r="K18" s="16"/>
      <c r="L18" s="16"/>
      <c r="M18" s="16"/>
      <c r="N18" s="16">
        <f t="shared" si="2"/>
        <v>0</v>
      </c>
      <c r="O18" s="16" t="e">
        <f t="shared" si="3"/>
        <v>#N/A</v>
      </c>
      <c r="P18" s="16">
        <v>6.9444444444444397E-3</v>
      </c>
      <c r="Q18" s="16"/>
      <c r="R18" s="16">
        <f t="shared" si="4"/>
        <v>-6.9444444444444397E-3</v>
      </c>
      <c r="S18" s="16"/>
      <c r="T18" s="16" t="e">
        <f>VLOOKUP(E18,'[2]21-3-2026'!E$3:T$35,16,FALSE)</f>
        <v>#N/A</v>
      </c>
      <c r="U18" s="16"/>
      <c r="V18" s="16" t="e">
        <f t="shared" si="5"/>
        <v>#N/A</v>
      </c>
      <c r="W18" s="16"/>
      <c r="X18" s="16"/>
      <c r="Y18" s="16"/>
      <c r="Z18" s="16">
        <f t="shared" si="6"/>
        <v>0</v>
      </c>
      <c r="AA18" s="16">
        <f t="shared" si="0"/>
        <v>0</v>
      </c>
      <c r="AB18" s="16"/>
      <c r="AC18" s="17"/>
      <c r="AD18" s="48"/>
    </row>
    <row r="19" spans="1:30" ht="19.5" thickBot="1" x14ac:dyDescent="0.3">
      <c r="A19" s="14">
        <v>17</v>
      </c>
      <c r="B19" s="15"/>
      <c r="C19" s="15" t="e">
        <f>VLOOKUP(B19,داتا!$B$3:$D$107,2,FALSE)</f>
        <v>#N/A</v>
      </c>
      <c r="D19" s="34" t="e">
        <f>VLOOKUP(B19,داتا!$B$3:$D$107,3,FALSE)</f>
        <v>#N/A</v>
      </c>
      <c r="E19" s="15"/>
      <c r="F19" s="15"/>
      <c r="G19" s="16">
        <v>0.25</v>
      </c>
      <c r="H19" s="16"/>
      <c r="I19" s="16">
        <f t="shared" si="1"/>
        <v>-0.25</v>
      </c>
      <c r="J19" s="16"/>
      <c r="K19" s="16"/>
      <c r="L19" s="16"/>
      <c r="M19" s="16"/>
      <c r="N19" s="16">
        <f t="shared" si="2"/>
        <v>0</v>
      </c>
      <c r="O19" s="16" t="e">
        <f t="shared" si="3"/>
        <v>#N/A</v>
      </c>
      <c r="P19" s="16">
        <v>6.9444444444444397E-3</v>
      </c>
      <c r="Q19" s="16"/>
      <c r="R19" s="16">
        <f t="shared" si="4"/>
        <v>-6.9444444444444397E-3</v>
      </c>
      <c r="S19" s="16"/>
      <c r="T19" s="16" t="e">
        <f>VLOOKUP(E19,'[2]21-3-2026'!E$3:T$35,16,FALSE)</f>
        <v>#N/A</v>
      </c>
      <c r="U19" s="16"/>
      <c r="V19" s="16" t="e">
        <f t="shared" si="5"/>
        <v>#N/A</v>
      </c>
      <c r="W19" s="16"/>
      <c r="X19" s="16"/>
      <c r="Y19" s="16"/>
      <c r="Z19" s="16">
        <f t="shared" si="6"/>
        <v>0</v>
      </c>
      <c r="AA19" s="16">
        <f t="shared" si="0"/>
        <v>0</v>
      </c>
      <c r="AB19" s="16"/>
      <c r="AC19" s="17"/>
      <c r="AD19" s="48"/>
    </row>
    <row r="20" spans="1:30" ht="19.5" thickBot="1" x14ac:dyDescent="0.3">
      <c r="A20" s="14">
        <v>18</v>
      </c>
      <c r="B20" s="15"/>
      <c r="C20" s="15" t="e">
        <f>VLOOKUP(B20,داتا!$B$3:$D$107,2,FALSE)</f>
        <v>#N/A</v>
      </c>
      <c r="D20" s="34" t="e">
        <f>VLOOKUP(B20,داتا!$B$3:$D$107,3,FALSE)</f>
        <v>#N/A</v>
      </c>
      <c r="E20" s="15"/>
      <c r="F20" s="15"/>
      <c r="G20" s="16">
        <v>0.25</v>
      </c>
      <c r="H20" s="16"/>
      <c r="I20" s="16">
        <f t="shared" si="1"/>
        <v>-0.25</v>
      </c>
      <c r="J20" s="16"/>
      <c r="K20" s="16"/>
      <c r="L20" s="16"/>
      <c r="M20" s="16"/>
      <c r="N20" s="16">
        <f t="shared" si="2"/>
        <v>0</v>
      </c>
      <c r="O20" s="16" t="e">
        <f t="shared" si="3"/>
        <v>#N/A</v>
      </c>
      <c r="P20" s="16">
        <v>6.9444444444444397E-3</v>
      </c>
      <c r="Q20" s="16"/>
      <c r="R20" s="16">
        <f t="shared" si="4"/>
        <v>-6.9444444444444397E-3</v>
      </c>
      <c r="S20" s="16"/>
      <c r="T20" s="16" t="e">
        <f>VLOOKUP(E20,'[2]21-3-2026'!E$3:T$35,16,FALSE)</f>
        <v>#N/A</v>
      </c>
      <c r="U20" s="16"/>
      <c r="V20" s="16" t="e">
        <f t="shared" si="5"/>
        <v>#N/A</v>
      </c>
      <c r="W20" s="16"/>
      <c r="X20" s="16"/>
      <c r="Y20" s="16"/>
      <c r="Z20" s="16">
        <f t="shared" si="6"/>
        <v>0</v>
      </c>
      <c r="AA20" s="16">
        <f t="shared" si="0"/>
        <v>0</v>
      </c>
      <c r="AB20" s="16"/>
      <c r="AC20" s="17"/>
      <c r="AD20" s="48"/>
    </row>
    <row r="21" spans="1:30" ht="19.5" thickBot="1" x14ac:dyDescent="0.3">
      <c r="A21" s="14">
        <v>19</v>
      </c>
      <c r="B21" s="15"/>
      <c r="C21" s="15" t="e">
        <f>VLOOKUP(B21,داتا!$B$3:$D$107,2,FALSE)</f>
        <v>#N/A</v>
      </c>
      <c r="D21" s="34" t="e">
        <f>VLOOKUP(B21,داتا!$B$3:$D$107,3,FALSE)</f>
        <v>#N/A</v>
      </c>
      <c r="E21" s="15"/>
      <c r="F21" s="15"/>
      <c r="G21" s="16">
        <v>0.25</v>
      </c>
      <c r="H21" s="16"/>
      <c r="I21" s="16">
        <f t="shared" si="1"/>
        <v>-0.25</v>
      </c>
      <c r="J21" s="16"/>
      <c r="K21" s="16"/>
      <c r="L21" s="16"/>
      <c r="M21" s="16"/>
      <c r="N21" s="16">
        <f t="shared" si="2"/>
        <v>0</v>
      </c>
      <c r="O21" s="16" t="e">
        <f t="shared" si="3"/>
        <v>#N/A</v>
      </c>
      <c r="P21" s="16">
        <v>6.9444444444444397E-3</v>
      </c>
      <c r="Q21" s="16"/>
      <c r="R21" s="16">
        <f t="shared" si="4"/>
        <v>-6.9444444444444397E-3</v>
      </c>
      <c r="S21" s="16"/>
      <c r="T21" s="16" t="e">
        <f>VLOOKUP(E21,'[2]21-3-2026'!E$3:T$35,16,FALSE)</f>
        <v>#N/A</v>
      </c>
      <c r="U21" s="16"/>
      <c r="V21" s="16" t="e">
        <f t="shared" si="5"/>
        <v>#N/A</v>
      </c>
      <c r="W21" s="16"/>
      <c r="X21" s="16"/>
      <c r="Y21" s="16"/>
      <c r="Z21" s="16">
        <f t="shared" si="6"/>
        <v>0</v>
      </c>
      <c r="AA21" s="16">
        <f t="shared" si="0"/>
        <v>0</v>
      </c>
      <c r="AB21" s="16"/>
      <c r="AC21" s="17"/>
      <c r="AD21" s="48"/>
    </row>
    <row r="22" spans="1:30" ht="19.5" thickBot="1" x14ac:dyDescent="0.3">
      <c r="A22" s="14">
        <v>20</v>
      </c>
      <c r="B22" s="15"/>
      <c r="C22" s="15" t="e">
        <f>VLOOKUP(B22,داتا!$B$3:$D$107,2,FALSE)</f>
        <v>#N/A</v>
      </c>
      <c r="D22" s="34" t="e">
        <f>VLOOKUP(B22,داتا!$B$3:$D$107,3,FALSE)</f>
        <v>#N/A</v>
      </c>
      <c r="E22" s="15"/>
      <c r="F22" s="15"/>
      <c r="G22" s="16">
        <v>0.25</v>
      </c>
      <c r="H22" s="16"/>
      <c r="I22" s="16">
        <f t="shared" si="1"/>
        <v>-0.25</v>
      </c>
      <c r="J22" s="16"/>
      <c r="K22" s="16"/>
      <c r="L22" s="16"/>
      <c r="M22" s="16"/>
      <c r="N22" s="16">
        <f t="shared" si="2"/>
        <v>0</v>
      </c>
      <c r="O22" s="16" t="e">
        <f t="shared" si="3"/>
        <v>#N/A</v>
      </c>
      <c r="P22" s="16">
        <v>6.9444444444444397E-3</v>
      </c>
      <c r="Q22" s="16"/>
      <c r="R22" s="16">
        <f t="shared" si="4"/>
        <v>-6.9444444444444397E-3</v>
      </c>
      <c r="S22" s="16"/>
      <c r="T22" s="16" t="e">
        <f>VLOOKUP(E22,'[2]21-3-2026'!E$3:T$35,16,FALSE)</f>
        <v>#N/A</v>
      </c>
      <c r="U22" s="16"/>
      <c r="V22" s="16" t="e">
        <f t="shared" si="5"/>
        <v>#N/A</v>
      </c>
      <c r="W22" s="16"/>
      <c r="X22" s="16"/>
      <c r="Y22" s="16"/>
      <c r="Z22" s="16">
        <f t="shared" si="6"/>
        <v>0</v>
      </c>
      <c r="AA22" s="16">
        <f t="shared" si="0"/>
        <v>0</v>
      </c>
      <c r="AB22" s="16"/>
      <c r="AC22" s="17"/>
      <c r="AD22" s="48"/>
    </row>
    <row r="23" spans="1:30" ht="19.5" thickBot="1" x14ac:dyDescent="0.3">
      <c r="A23" s="14">
        <v>21</v>
      </c>
      <c r="B23" s="15"/>
      <c r="C23" s="15" t="e">
        <f>VLOOKUP(B23,داتا!$B$3:$D$107,2,FALSE)</f>
        <v>#N/A</v>
      </c>
      <c r="D23" s="34" t="e">
        <f>VLOOKUP(B23,داتا!$B$3:$D$107,3,FALSE)</f>
        <v>#N/A</v>
      </c>
      <c r="E23" s="15"/>
      <c r="F23" s="15"/>
      <c r="G23" s="16">
        <v>0.25</v>
      </c>
      <c r="H23" s="16"/>
      <c r="I23" s="16">
        <f t="shared" si="1"/>
        <v>-0.25</v>
      </c>
      <c r="J23" s="16"/>
      <c r="K23" s="16"/>
      <c r="L23" s="16"/>
      <c r="M23" s="16"/>
      <c r="N23" s="16">
        <f t="shared" si="2"/>
        <v>0</v>
      </c>
      <c r="O23" s="16" t="e">
        <f t="shared" si="3"/>
        <v>#N/A</v>
      </c>
      <c r="P23" s="16">
        <v>6.9444444444444397E-3</v>
      </c>
      <c r="Q23" s="16"/>
      <c r="R23" s="16">
        <f t="shared" si="4"/>
        <v>-6.9444444444444397E-3</v>
      </c>
      <c r="S23" s="16"/>
      <c r="T23" s="16" t="e">
        <f>VLOOKUP(E23,'[2]21-3-2026'!E$3:T$35,16,FALSE)</f>
        <v>#N/A</v>
      </c>
      <c r="U23" s="16"/>
      <c r="V23" s="16" t="e">
        <f t="shared" si="5"/>
        <v>#N/A</v>
      </c>
      <c r="W23" s="16"/>
      <c r="X23" s="16"/>
      <c r="Y23" s="16"/>
      <c r="Z23" s="16">
        <f t="shared" si="6"/>
        <v>0</v>
      </c>
      <c r="AA23" s="16">
        <f t="shared" si="0"/>
        <v>0</v>
      </c>
      <c r="AB23" s="16"/>
      <c r="AC23" s="17"/>
      <c r="AD23" s="48"/>
    </row>
    <row r="24" spans="1:30" ht="19.5" thickBot="1" x14ac:dyDescent="0.3">
      <c r="A24" s="14">
        <v>22</v>
      </c>
      <c r="B24" s="15"/>
      <c r="C24" s="15" t="e">
        <f>VLOOKUP(B24,داتا!$B$3:$D$107,2,FALSE)</f>
        <v>#N/A</v>
      </c>
      <c r="D24" s="34" t="e">
        <f>VLOOKUP(B24,داتا!$B$3:$D$107,3,FALSE)</f>
        <v>#N/A</v>
      </c>
      <c r="E24" s="15"/>
      <c r="F24" s="16"/>
      <c r="G24" s="16">
        <v>0.25</v>
      </c>
      <c r="H24" s="16"/>
      <c r="I24" s="16">
        <f t="shared" si="1"/>
        <v>-0.25</v>
      </c>
      <c r="J24" s="16"/>
      <c r="K24" s="16"/>
      <c r="L24" s="16"/>
      <c r="M24" s="16"/>
      <c r="N24" s="16">
        <f t="shared" si="2"/>
        <v>0</v>
      </c>
      <c r="O24" s="16" t="e">
        <f t="shared" si="3"/>
        <v>#N/A</v>
      </c>
      <c r="P24" s="16">
        <v>6.9444444444444397E-3</v>
      </c>
      <c r="Q24" s="16"/>
      <c r="R24" s="16">
        <f t="shared" si="4"/>
        <v>-6.9444444444444397E-3</v>
      </c>
      <c r="S24" s="16"/>
      <c r="T24" s="16" t="e">
        <f>VLOOKUP(E24,'[2]21-3-2026'!E$3:T$35,16,FALSE)</f>
        <v>#N/A</v>
      </c>
      <c r="U24" s="16"/>
      <c r="V24" s="16" t="e">
        <f t="shared" si="5"/>
        <v>#N/A</v>
      </c>
      <c r="W24" s="16"/>
      <c r="X24" s="16"/>
      <c r="Y24" s="16"/>
      <c r="Z24" s="16">
        <f t="shared" si="6"/>
        <v>0</v>
      </c>
      <c r="AA24" s="16">
        <f t="shared" si="0"/>
        <v>0</v>
      </c>
      <c r="AB24" s="16"/>
      <c r="AC24" s="17"/>
      <c r="AD24" s="48"/>
    </row>
    <row r="25" spans="1:30" ht="19.5" thickBot="1" x14ac:dyDescent="0.3">
      <c r="A25" s="14">
        <v>23</v>
      </c>
      <c r="B25" s="15"/>
      <c r="C25" s="15" t="e">
        <f>VLOOKUP(B25,داتا!$B$3:$D$107,2,FALSE)</f>
        <v>#N/A</v>
      </c>
      <c r="D25" s="34" t="e">
        <f>VLOOKUP(B25,داتا!$B$3:$D$107,3,FALSE)</f>
        <v>#N/A</v>
      </c>
      <c r="E25" s="15"/>
      <c r="F25" s="15"/>
      <c r="G25" s="16">
        <v>0.25</v>
      </c>
      <c r="H25" s="16"/>
      <c r="I25" s="16">
        <f t="shared" si="1"/>
        <v>-0.25</v>
      </c>
      <c r="J25" s="16"/>
      <c r="K25" s="16"/>
      <c r="L25" s="16"/>
      <c r="M25" s="16"/>
      <c r="N25" s="16">
        <f t="shared" si="2"/>
        <v>0</v>
      </c>
      <c r="O25" s="16" t="e">
        <f t="shared" si="3"/>
        <v>#N/A</v>
      </c>
      <c r="P25" s="16">
        <v>6.9444444444444397E-3</v>
      </c>
      <c r="Q25" s="16"/>
      <c r="R25" s="16">
        <f t="shared" si="4"/>
        <v>-6.9444444444444397E-3</v>
      </c>
      <c r="S25" s="16"/>
      <c r="T25" s="16" t="e">
        <f>VLOOKUP(E25,'[2]21-3-2026'!E$3:T$35,16,FALSE)</f>
        <v>#N/A</v>
      </c>
      <c r="U25" s="16"/>
      <c r="V25" s="16" t="e">
        <f t="shared" si="5"/>
        <v>#N/A</v>
      </c>
      <c r="W25" s="16"/>
      <c r="X25" s="16"/>
      <c r="Y25" s="16"/>
      <c r="Z25" s="16">
        <f t="shared" si="6"/>
        <v>0</v>
      </c>
      <c r="AA25" s="16">
        <f t="shared" si="0"/>
        <v>0</v>
      </c>
      <c r="AB25" s="16"/>
      <c r="AC25" s="19"/>
      <c r="AD25" s="48"/>
    </row>
    <row r="26" spans="1:30" ht="19.5" thickBot="1" x14ac:dyDescent="0.3">
      <c r="A26" s="14">
        <v>24</v>
      </c>
      <c r="B26" s="15"/>
      <c r="C26" s="15" t="e">
        <f>VLOOKUP(B26,داتا!$B$3:$D$107,2,FALSE)</f>
        <v>#N/A</v>
      </c>
      <c r="D26" s="34" t="e">
        <f>VLOOKUP(B26,داتا!$B$3:$D$107,3,FALSE)</f>
        <v>#N/A</v>
      </c>
      <c r="E26" s="15"/>
      <c r="F26" s="15"/>
      <c r="G26" s="16">
        <v>0.25</v>
      </c>
      <c r="H26" s="16"/>
      <c r="I26" s="16">
        <f t="shared" si="1"/>
        <v>-0.25</v>
      </c>
      <c r="J26" s="16"/>
      <c r="K26" s="16"/>
      <c r="L26" s="16"/>
      <c r="M26" s="16"/>
      <c r="N26" s="16">
        <f t="shared" si="2"/>
        <v>0</v>
      </c>
      <c r="O26" s="16" t="e">
        <f t="shared" si="3"/>
        <v>#N/A</v>
      </c>
      <c r="P26" s="16">
        <v>6.9444444444444397E-3</v>
      </c>
      <c r="Q26" s="16"/>
      <c r="R26" s="16">
        <f t="shared" si="4"/>
        <v>-6.9444444444444397E-3</v>
      </c>
      <c r="S26" s="16"/>
      <c r="T26" s="16" t="e">
        <f>VLOOKUP(E26,'[2]21-3-2026'!E$3:T$35,16,FALSE)</f>
        <v>#N/A</v>
      </c>
      <c r="U26" s="16"/>
      <c r="V26" s="16" t="e">
        <f t="shared" si="5"/>
        <v>#N/A</v>
      </c>
      <c r="W26" s="16"/>
      <c r="X26" s="16"/>
      <c r="Y26" s="16"/>
      <c r="Z26" s="16">
        <f t="shared" si="6"/>
        <v>0</v>
      </c>
      <c r="AA26" s="16">
        <f t="shared" si="0"/>
        <v>0</v>
      </c>
      <c r="AB26" s="16"/>
      <c r="AC26" s="19"/>
      <c r="AD26" s="48"/>
    </row>
    <row r="27" spans="1:30" ht="19.5" thickBot="1" x14ac:dyDescent="0.3">
      <c r="A27" s="14">
        <v>25</v>
      </c>
      <c r="B27" s="15"/>
      <c r="C27" s="15" t="e">
        <f>VLOOKUP(B27,داتا!$B$3:$D$107,2,FALSE)</f>
        <v>#N/A</v>
      </c>
      <c r="D27" s="34" t="e">
        <f>VLOOKUP(B27,داتا!$B$3:$D$107,3,FALSE)</f>
        <v>#N/A</v>
      </c>
      <c r="E27" s="15"/>
      <c r="F27" s="15"/>
      <c r="G27" s="16">
        <v>0.25</v>
      </c>
      <c r="H27" s="16"/>
      <c r="I27" s="16">
        <f t="shared" si="1"/>
        <v>-0.25</v>
      </c>
      <c r="J27" s="16"/>
      <c r="K27" s="16"/>
      <c r="L27" s="16"/>
      <c r="M27" s="16"/>
      <c r="N27" s="16">
        <f t="shared" si="2"/>
        <v>0</v>
      </c>
      <c r="O27" s="16" t="e">
        <f t="shared" si="3"/>
        <v>#N/A</v>
      </c>
      <c r="P27" s="16">
        <v>6.9444444444444397E-3</v>
      </c>
      <c r="Q27" s="16"/>
      <c r="R27" s="16">
        <f t="shared" si="4"/>
        <v>-6.9444444444444397E-3</v>
      </c>
      <c r="S27" s="16"/>
      <c r="T27" s="16" t="e">
        <f>VLOOKUP(E27,'[2]21-3-2026'!E$3:T$35,16,FALSE)</f>
        <v>#N/A</v>
      </c>
      <c r="U27" s="16"/>
      <c r="V27" s="16" t="e">
        <f t="shared" si="5"/>
        <v>#N/A</v>
      </c>
      <c r="W27" s="16"/>
      <c r="X27" s="16"/>
      <c r="Y27" s="16"/>
      <c r="Z27" s="16">
        <f t="shared" si="6"/>
        <v>0</v>
      </c>
      <c r="AA27" s="16">
        <f t="shared" si="0"/>
        <v>0</v>
      </c>
      <c r="AB27" s="16"/>
      <c r="AC27" s="19"/>
      <c r="AD27" s="48"/>
    </row>
    <row r="28" spans="1:30" ht="19.5" thickBot="1" x14ac:dyDescent="0.3">
      <c r="A28" s="14">
        <v>26</v>
      </c>
      <c r="B28" s="15"/>
      <c r="C28" s="15" t="e">
        <f>VLOOKUP(B28,داتا!$B$3:$D$107,2,FALSE)</f>
        <v>#N/A</v>
      </c>
      <c r="D28" s="34" t="e">
        <f>VLOOKUP(B28,داتا!$B$3:$D$107,3,FALSE)</f>
        <v>#N/A</v>
      </c>
      <c r="E28" s="15"/>
      <c r="F28" s="15"/>
      <c r="G28" s="16">
        <v>0.25</v>
      </c>
      <c r="H28" s="16"/>
      <c r="I28" s="16">
        <f t="shared" si="1"/>
        <v>-0.25</v>
      </c>
      <c r="J28" s="16"/>
      <c r="K28" s="16"/>
      <c r="L28" s="16"/>
      <c r="M28" s="16"/>
      <c r="N28" s="16">
        <f t="shared" si="2"/>
        <v>0</v>
      </c>
      <c r="O28" s="16" t="e">
        <f t="shared" si="3"/>
        <v>#N/A</v>
      </c>
      <c r="P28" s="16">
        <v>6.9444444444444397E-3</v>
      </c>
      <c r="Q28" s="16"/>
      <c r="R28" s="16">
        <f t="shared" si="4"/>
        <v>-6.9444444444444397E-3</v>
      </c>
      <c r="S28" s="16"/>
      <c r="T28" s="16" t="e">
        <f>VLOOKUP(E28,'[2]21-3-2026'!E$3:T$35,16,FALSE)</f>
        <v>#N/A</v>
      </c>
      <c r="U28" s="16"/>
      <c r="V28" s="16" t="e">
        <f t="shared" si="5"/>
        <v>#N/A</v>
      </c>
      <c r="W28" s="16"/>
      <c r="X28" s="16"/>
      <c r="Y28" s="16"/>
      <c r="Z28" s="16">
        <f t="shared" si="6"/>
        <v>0</v>
      </c>
      <c r="AA28" s="16">
        <f t="shared" si="0"/>
        <v>0</v>
      </c>
      <c r="AB28" s="16"/>
      <c r="AC28" s="17"/>
      <c r="AD28" s="48"/>
    </row>
    <row r="29" spans="1:30" ht="19.5" thickBot="1" x14ac:dyDescent="0.3">
      <c r="A29" s="14">
        <v>27</v>
      </c>
      <c r="B29" s="15"/>
      <c r="C29" s="15" t="e">
        <f>VLOOKUP(B29,داتا!$B$3:$D$107,2,FALSE)</f>
        <v>#N/A</v>
      </c>
      <c r="D29" s="34" t="e">
        <f>VLOOKUP(B29,داتا!$B$3:$D$107,3,FALSE)</f>
        <v>#N/A</v>
      </c>
      <c r="E29" s="15"/>
      <c r="F29" s="15"/>
      <c r="G29" s="16">
        <v>0.25</v>
      </c>
      <c r="H29" s="16"/>
      <c r="I29" s="16">
        <f t="shared" si="1"/>
        <v>-0.25</v>
      </c>
      <c r="J29" s="16"/>
      <c r="K29" s="16"/>
      <c r="L29" s="16"/>
      <c r="M29" s="16"/>
      <c r="N29" s="16">
        <f t="shared" si="2"/>
        <v>0</v>
      </c>
      <c r="O29" s="16" t="e">
        <f t="shared" si="3"/>
        <v>#N/A</v>
      </c>
      <c r="P29" s="16">
        <v>6.9444444444444397E-3</v>
      </c>
      <c r="Q29" s="16"/>
      <c r="R29" s="16">
        <f t="shared" si="4"/>
        <v>-6.9444444444444397E-3</v>
      </c>
      <c r="S29" s="16"/>
      <c r="T29" s="16" t="e">
        <f>VLOOKUP(E29,'[2]21-3-2026'!E$3:T$35,16,FALSE)</f>
        <v>#N/A</v>
      </c>
      <c r="U29" s="16"/>
      <c r="V29" s="16" t="e">
        <f t="shared" si="5"/>
        <v>#N/A</v>
      </c>
      <c r="W29" s="16"/>
      <c r="X29" s="16"/>
      <c r="Y29" s="16"/>
      <c r="Z29" s="16">
        <f t="shared" si="6"/>
        <v>0</v>
      </c>
      <c r="AA29" s="16">
        <f t="shared" si="0"/>
        <v>0</v>
      </c>
      <c r="AB29" s="16"/>
      <c r="AC29" s="18"/>
      <c r="AD29" s="48"/>
    </row>
    <row r="30" spans="1:30" ht="19.5" thickBot="1" x14ac:dyDescent="0.3">
      <c r="A30" s="14">
        <v>28</v>
      </c>
      <c r="B30" s="15"/>
      <c r="C30" s="15" t="e">
        <f>VLOOKUP(B30,داتا!$B$3:$D$107,2,FALSE)</f>
        <v>#N/A</v>
      </c>
      <c r="D30" s="34" t="e">
        <f>VLOOKUP(B30,داتا!$B$3:$D$107,3,FALSE)</f>
        <v>#N/A</v>
      </c>
      <c r="E30" s="15"/>
      <c r="F30" s="15"/>
      <c r="G30" s="16">
        <v>0.25</v>
      </c>
      <c r="H30" s="16"/>
      <c r="I30" s="16">
        <f t="shared" si="1"/>
        <v>-0.25</v>
      </c>
      <c r="J30" s="16"/>
      <c r="K30" s="16"/>
      <c r="L30" s="16"/>
      <c r="M30" s="16"/>
      <c r="N30" s="16">
        <f t="shared" si="2"/>
        <v>0</v>
      </c>
      <c r="O30" s="16" t="e">
        <f t="shared" si="3"/>
        <v>#N/A</v>
      </c>
      <c r="P30" s="16">
        <v>6.9444444444444397E-3</v>
      </c>
      <c r="Q30" s="16"/>
      <c r="R30" s="16">
        <f t="shared" si="4"/>
        <v>-6.9444444444444397E-3</v>
      </c>
      <c r="S30" s="16"/>
      <c r="T30" s="16" t="e">
        <f>VLOOKUP(E30,'[2]21-3-2026'!E$3:T$35,16,FALSE)</f>
        <v>#N/A</v>
      </c>
      <c r="U30" s="16"/>
      <c r="V30" s="16" t="e">
        <f t="shared" si="5"/>
        <v>#N/A</v>
      </c>
      <c r="W30" s="16"/>
      <c r="X30" s="16"/>
      <c r="Y30" s="16"/>
      <c r="Z30" s="16">
        <f t="shared" si="6"/>
        <v>0</v>
      </c>
      <c r="AA30" s="16">
        <f t="shared" si="0"/>
        <v>0</v>
      </c>
      <c r="AB30" s="16"/>
      <c r="AC30" s="17"/>
      <c r="AD30" s="48"/>
    </row>
    <row r="31" spans="1:30" ht="19.5" thickBot="1" x14ac:dyDescent="0.3">
      <c r="A31" s="14">
        <v>29</v>
      </c>
      <c r="B31" s="15"/>
      <c r="C31" s="15" t="e">
        <f>VLOOKUP(B31,داتا!$B$3:$D$107,2,FALSE)</f>
        <v>#N/A</v>
      </c>
      <c r="D31" s="34" t="e">
        <f>VLOOKUP(B31,داتا!$B$3:$D$107,3,FALSE)</f>
        <v>#N/A</v>
      </c>
      <c r="E31" s="15"/>
      <c r="F31" s="15"/>
      <c r="G31" s="16">
        <v>0.25</v>
      </c>
      <c r="H31" s="16"/>
      <c r="I31" s="16">
        <f t="shared" si="1"/>
        <v>-0.25</v>
      </c>
      <c r="J31" s="16"/>
      <c r="K31" s="16"/>
      <c r="L31" s="16"/>
      <c r="M31" s="16"/>
      <c r="N31" s="16">
        <f t="shared" si="2"/>
        <v>0</v>
      </c>
      <c r="O31" s="16" t="e">
        <f t="shared" si="3"/>
        <v>#N/A</v>
      </c>
      <c r="P31" s="16">
        <v>6.9444444444444397E-3</v>
      </c>
      <c r="Q31" s="16"/>
      <c r="R31" s="16">
        <f t="shared" si="4"/>
        <v>-6.9444444444444397E-3</v>
      </c>
      <c r="S31" s="16"/>
      <c r="T31" s="16" t="e">
        <f>VLOOKUP(E31,'[2]21-3-2026'!E$3:T$35,16,FALSE)</f>
        <v>#N/A</v>
      </c>
      <c r="U31" s="16"/>
      <c r="V31" s="16" t="e">
        <f t="shared" si="5"/>
        <v>#N/A</v>
      </c>
      <c r="W31" s="16"/>
      <c r="X31" s="16"/>
      <c r="Y31" s="16"/>
      <c r="Z31" s="16">
        <f t="shared" si="6"/>
        <v>0</v>
      </c>
      <c r="AA31" s="16">
        <f t="shared" si="0"/>
        <v>0</v>
      </c>
      <c r="AB31" s="16"/>
      <c r="AC31" s="17"/>
      <c r="AD31" s="48"/>
    </row>
    <row r="32" spans="1:30" ht="19.5" thickBot="1" x14ac:dyDescent="0.3">
      <c r="A32" s="14">
        <v>30</v>
      </c>
      <c r="B32" s="15"/>
      <c r="C32" s="15" t="e">
        <f>VLOOKUP(B32,داتا!$B$3:$D$107,2,FALSE)</f>
        <v>#N/A</v>
      </c>
      <c r="D32" s="34" t="e">
        <f>VLOOKUP(B32,داتا!$B$3:$D$107,3,FALSE)</f>
        <v>#N/A</v>
      </c>
      <c r="E32" s="15"/>
      <c r="F32" s="15"/>
      <c r="G32" s="16">
        <v>0.25</v>
      </c>
      <c r="H32" s="16"/>
      <c r="I32" s="16">
        <f t="shared" si="1"/>
        <v>-0.25</v>
      </c>
      <c r="J32" s="16"/>
      <c r="K32" s="16"/>
      <c r="L32" s="16"/>
      <c r="M32" s="16"/>
      <c r="N32" s="16">
        <f t="shared" si="2"/>
        <v>0</v>
      </c>
      <c r="O32" s="16" t="e">
        <f t="shared" si="3"/>
        <v>#N/A</v>
      </c>
      <c r="P32" s="16">
        <v>6.9444444444444397E-3</v>
      </c>
      <c r="Q32" s="16"/>
      <c r="R32" s="16">
        <f t="shared" si="4"/>
        <v>-6.9444444444444397E-3</v>
      </c>
      <c r="S32" s="16"/>
      <c r="T32" s="16" t="e">
        <f>VLOOKUP(E32,'[2]21-3-2026'!E$3:T$35,16,FALSE)</f>
        <v>#N/A</v>
      </c>
      <c r="U32" s="16"/>
      <c r="V32" s="16" t="e">
        <f t="shared" si="5"/>
        <v>#N/A</v>
      </c>
      <c r="W32" s="16"/>
      <c r="X32" s="16"/>
      <c r="Y32" s="16"/>
      <c r="Z32" s="16">
        <f t="shared" si="6"/>
        <v>0</v>
      </c>
      <c r="AA32" s="16">
        <f t="shared" si="0"/>
        <v>0</v>
      </c>
      <c r="AB32" s="16"/>
      <c r="AC32" s="17"/>
      <c r="AD32" s="48"/>
    </row>
    <row r="33" spans="1:30" ht="19.5" thickBot="1" x14ac:dyDescent="0.3">
      <c r="A33" s="14">
        <v>31</v>
      </c>
      <c r="B33" s="15"/>
      <c r="C33" s="15" t="e">
        <f>VLOOKUP(B33,داتا!$B$3:$D$107,2,FALSE)</f>
        <v>#N/A</v>
      </c>
      <c r="D33" s="34" t="e">
        <f>VLOOKUP(B33,داتا!$B$3:$D$107,3,FALSE)</f>
        <v>#N/A</v>
      </c>
      <c r="E33" s="15"/>
      <c r="F33" s="15"/>
      <c r="G33" s="16">
        <v>0.25</v>
      </c>
      <c r="H33" s="16"/>
      <c r="I33" s="16">
        <f t="shared" si="1"/>
        <v>-0.25</v>
      </c>
      <c r="J33" s="16"/>
      <c r="K33" s="16"/>
      <c r="L33" s="16"/>
      <c r="M33" s="16"/>
      <c r="N33" s="16">
        <f t="shared" si="2"/>
        <v>0</v>
      </c>
      <c r="O33" s="16" t="e">
        <f t="shared" si="3"/>
        <v>#N/A</v>
      </c>
      <c r="P33" s="16">
        <v>6.9444444444444397E-3</v>
      </c>
      <c r="Q33" s="16"/>
      <c r="R33" s="16">
        <f t="shared" si="4"/>
        <v>-6.9444444444444397E-3</v>
      </c>
      <c r="S33" s="16"/>
      <c r="T33" s="16" t="e">
        <f>VLOOKUP(E33,'[2]21-3-2026'!E$3:T$35,16,FALSE)</f>
        <v>#N/A</v>
      </c>
      <c r="U33" s="16"/>
      <c r="V33" s="16" t="e">
        <f t="shared" si="5"/>
        <v>#N/A</v>
      </c>
      <c r="W33" s="16"/>
      <c r="X33" s="16"/>
      <c r="Y33" s="16"/>
      <c r="Z33" s="16">
        <f t="shared" si="6"/>
        <v>0</v>
      </c>
      <c r="AA33" s="16">
        <f t="shared" si="0"/>
        <v>0</v>
      </c>
      <c r="AB33" s="16"/>
      <c r="AC33" s="17"/>
      <c r="AD33" s="48"/>
    </row>
    <row r="34" spans="1:30" ht="19.5" thickBot="1" x14ac:dyDescent="0.3">
      <c r="A34" s="14">
        <v>32</v>
      </c>
      <c r="B34" s="15"/>
      <c r="C34" s="15" t="e">
        <f>VLOOKUP(B34,داتا!$B$3:$D$107,2,FALSE)</f>
        <v>#N/A</v>
      </c>
      <c r="D34" s="34" t="e">
        <f>VLOOKUP(B34,داتا!$B$3:$D$107,3,FALSE)</f>
        <v>#N/A</v>
      </c>
      <c r="E34" s="15"/>
      <c r="F34" s="15"/>
      <c r="G34" s="16">
        <v>0.25</v>
      </c>
      <c r="H34" s="16"/>
      <c r="I34" s="16">
        <f t="shared" si="1"/>
        <v>-0.25</v>
      </c>
      <c r="J34" s="16"/>
      <c r="K34" s="16"/>
      <c r="L34" s="16"/>
      <c r="M34" s="16"/>
      <c r="N34" s="16">
        <f t="shared" si="2"/>
        <v>0</v>
      </c>
      <c r="O34" s="16" t="e">
        <f t="shared" si="3"/>
        <v>#N/A</v>
      </c>
      <c r="P34" s="16">
        <v>6.9444444444444397E-3</v>
      </c>
      <c r="Q34" s="16"/>
      <c r="R34" s="16">
        <f t="shared" si="4"/>
        <v>-6.9444444444444397E-3</v>
      </c>
      <c r="S34" s="16"/>
      <c r="T34" s="16" t="e">
        <f>VLOOKUP(E34,'[2]21-3-2026'!E$3:T$35,16,FALSE)</f>
        <v>#N/A</v>
      </c>
      <c r="U34" s="16"/>
      <c r="V34" s="16" t="e">
        <f t="shared" si="5"/>
        <v>#N/A</v>
      </c>
      <c r="W34" s="16"/>
      <c r="X34" s="16"/>
      <c r="Y34" s="16"/>
      <c r="Z34" s="16">
        <f t="shared" si="6"/>
        <v>0</v>
      </c>
      <c r="AA34" s="16">
        <f t="shared" si="0"/>
        <v>0</v>
      </c>
      <c r="AB34" s="16"/>
      <c r="AC34" s="17"/>
      <c r="AD34" s="48"/>
    </row>
    <row r="35" spans="1:30" ht="19.5" thickBot="1" x14ac:dyDescent="0.3">
      <c r="A35" s="20">
        <v>33</v>
      </c>
      <c r="B35" s="21"/>
      <c r="C35" s="21" t="e">
        <f>VLOOKUP(B35,داتا!$B$3:$D$107,2,FALSE)</f>
        <v>#N/A</v>
      </c>
      <c r="D35" s="35" t="e">
        <f>VLOOKUP(B35,داتا!$B$3:$D$107,3,FALSE)</f>
        <v>#N/A</v>
      </c>
      <c r="E35" s="21"/>
      <c r="F35" s="21"/>
      <c r="G35" s="22">
        <v>0.25</v>
      </c>
      <c r="H35" s="22"/>
      <c r="I35" s="22">
        <f t="shared" si="1"/>
        <v>-0.25</v>
      </c>
      <c r="J35" s="22"/>
      <c r="K35" s="22"/>
      <c r="L35" s="22"/>
      <c r="M35" s="22"/>
      <c r="N35" s="22">
        <f t="shared" si="2"/>
        <v>0</v>
      </c>
      <c r="O35" s="22" t="e">
        <f t="shared" si="3"/>
        <v>#N/A</v>
      </c>
      <c r="P35" s="22">
        <v>6.9444444444444397E-3</v>
      </c>
      <c r="Q35" s="22"/>
      <c r="R35" s="22">
        <f t="shared" si="4"/>
        <v>-6.9444444444444397E-3</v>
      </c>
      <c r="S35" s="22"/>
      <c r="T35" s="22" t="e">
        <f>VLOOKUP(E35,'[2]21-3-2026'!E$3:T$35,16,FALSE)</f>
        <v>#N/A</v>
      </c>
      <c r="U35" s="22"/>
      <c r="V35" s="22" t="e">
        <f t="shared" si="5"/>
        <v>#N/A</v>
      </c>
      <c r="W35" s="22"/>
      <c r="X35" s="22"/>
      <c r="Y35" s="22"/>
      <c r="Z35" s="22">
        <f t="shared" si="6"/>
        <v>0</v>
      </c>
      <c r="AA35" s="22">
        <f t="shared" si="0"/>
        <v>0</v>
      </c>
      <c r="AB35" s="22"/>
      <c r="AC35" s="23"/>
      <c r="AD35" s="49"/>
    </row>
    <row r="36" spans="1:30" ht="20.25" customHeight="1" thickTop="1" thickBot="1" x14ac:dyDescent="0.3">
      <c r="A36" s="10">
        <v>1</v>
      </c>
      <c r="B36" s="11"/>
      <c r="C36" s="11" t="e">
        <f>VLOOKUP(B36,داتا!$B$3:$D$107,2,FALSE)</f>
        <v>#N/A</v>
      </c>
      <c r="D36" s="33" t="e">
        <f>VLOOKUP(B36,داتا!$B$3:$D$107,3,FALSE)</f>
        <v>#N/A</v>
      </c>
      <c r="E36" s="11"/>
      <c r="F36" s="11"/>
      <c r="G36" s="12">
        <v>0.25</v>
      </c>
      <c r="H36" s="12" t="e">
        <f>VLOOKUP(G36,$F$3:$I$35,2,FALSE)</f>
        <v>#N/A</v>
      </c>
      <c r="I36" s="12" t="e">
        <f t="shared" si="1"/>
        <v>#N/A</v>
      </c>
      <c r="J36" s="12"/>
      <c r="K36" s="12"/>
      <c r="L36" s="12"/>
      <c r="M36" s="12"/>
      <c r="N36" s="12">
        <f t="shared" si="2"/>
        <v>0</v>
      </c>
      <c r="O36" s="12" t="e">
        <f t="shared" si="3"/>
        <v>#N/A</v>
      </c>
      <c r="P36" s="12">
        <v>6.9444444444444397E-3</v>
      </c>
      <c r="Q36" s="12"/>
      <c r="R36" s="12">
        <f t="shared" si="4"/>
        <v>-6.9444444444444397E-3</v>
      </c>
      <c r="S36" s="12"/>
      <c r="T36" s="12" t="e">
        <f>VLOOKUP(E36,'[2]21-3-2026'!E$3:T$35,16,FALSE)</f>
        <v>#N/A</v>
      </c>
      <c r="U36" s="12"/>
      <c r="V36" s="12" t="e">
        <f t="shared" si="5"/>
        <v>#N/A</v>
      </c>
      <c r="W36" s="12"/>
      <c r="X36" s="12"/>
      <c r="Y36" s="12"/>
      <c r="Z36" s="12">
        <f t="shared" si="6"/>
        <v>0</v>
      </c>
      <c r="AA36" s="12">
        <f t="shared" si="0"/>
        <v>0</v>
      </c>
      <c r="AB36" s="12"/>
      <c r="AC36" s="29"/>
      <c r="AD36" s="50" t="s">
        <v>104</v>
      </c>
    </row>
    <row r="37" spans="1:30" ht="19.5" thickBot="1" x14ac:dyDescent="0.3">
      <c r="A37" s="14">
        <v>2</v>
      </c>
      <c r="B37" s="15"/>
      <c r="C37" s="15" t="e">
        <f>VLOOKUP(B37,داتا!$B$3:$D$107,2,FALSE)</f>
        <v>#N/A</v>
      </c>
      <c r="D37" s="34" t="e">
        <f>VLOOKUP(B37,داتا!$B$3:$D$107,3,FALSE)</f>
        <v>#N/A</v>
      </c>
      <c r="E37" s="15"/>
      <c r="F37" s="15"/>
      <c r="G37" s="16">
        <v>0.25</v>
      </c>
      <c r="H37" s="16" t="e">
        <f t="shared" ref="H37:H52" si="7">VLOOKUP(G37,$F$3:$I$35,2,FALSE)</f>
        <v>#N/A</v>
      </c>
      <c r="I37" s="16" t="e">
        <f t="shared" si="1"/>
        <v>#N/A</v>
      </c>
      <c r="J37" s="16"/>
      <c r="K37" s="16"/>
      <c r="L37" s="16"/>
      <c r="M37" s="16"/>
      <c r="N37" s="16">
        <f t="shared" si="2"/>
        <v>0</v>
      </c>
      <c r="O37" s="16" t="e">
        <f t="shared" si="3"/>
        <v>#N/A</v>
      </c>
      <c r="P37" s="16">
        <v>6.9444444444444397E-3</v>
      </c>
      <c r="Q37" s="16"/>
      <c r="R37" s="16">
        <f t="shared" si="4"/>
        <v>-6.9444444444444397E-3</v>
      </c>
      <c r="S37" s="16"/>
      <c r="T37" s="16" t="e">
        <f>VLOOKUP(E37,'[2]21-3-2026'!E$3:T$35,16,FALSE)</f>
        <v>#N/A</v>
      </c>
      <c r="U37" s="16"/>
      <c r="V37" s="16" t="e">
        <f t="shared" si="5"/>
        <v>#N/A</v>
      </c>
      <c r="W37" s="16"/>
      <c r="X37" s="16"/>
      <c r="Y37" s="16"/>
      <c r="Z37" s="16">
        <f t="shared" si="6"/>
        <v>0</v>
      </c>
      <c r="AA37" s="16">
        <f t="shared" si="0"/>
        <v>0</v>
      </c>
      <c r="AB37" s="16"/>
      <c r="AC37" s="19"/>
      <c r="AD37" s="51"/>
    </row>
    <row r="38" spans="1:30" ht="19.5" thickBot="1" x14ac:dyDescent="0.3">
      <c r="A38" s="14">
        <v>3</v>
      </c>
      <c r="B38" s="15"/>
      <c r="C38" s="15" t="e">
        <f>VLOOKUP(B38,داتا!$B$3:$D$107,2,FALSE)</f>
        <v>#N/A</v>
      </c>
      <c r="D38" s="34" t="e">
        <f>VLOOKUP(B38,داتا!$B$3:$D$107,3,FALSE)</f>
        <v>#N/A</v>
      </c>
      <c r="E38" s="15"/>
      <c r="F38" s="15"/>
      <c r="G38" s="16">
        <v>0.25</v>
      </c>
      <c r="H38" s="16" t="e">
        <f t="shared" si="7"/>
        <v>#N/A</v>
      </c>
      <c r="I38" s="16" t="e">
        <f t="shared" si="1"/>
        <v>#N/A</v>
      </c>
      <c r="J38" s="16"/>
      <c r="K38" s="16"/>
      <c r="L38" s="16"/>
      <c r="M38" s="16"/>
      <c r="N38" s="16">
        <f t="shared" si="2"/>
        <v>0</v>
      </c>
      <c r="O38" s="16" t="e">
        <f t="shared" si="3"/>
        <v>#N/A</v>
      </c>
      <c r="P38" s="16">
        <v>6.9444444444444397E-3</v>
      </c>
      <c r="Q38" s="16"/>
      <c r="R38" s="16">
        <f t="shared" si="4"/>
        <v>-6.9444444444444397E-3</v>
      </c>
      <c r="S38" s="16"/>
      <c r="T38" s="16" t="e">
        <f>VLOOKUP(E38,'[2]21-3-2026'!E$3:T$35,16,FALSE)</f>
        <v>#N/A</v>
      </c>
      <c r="U38" s="16"/>
      <c r="V38" s="16" t="e">
        <f t="shared" si="5"/>
        <v>#N/A</v>
      </c>
      <c r="W38" s="16"/>
      <c r="X38" s="16"/>
      <c r="Y38" s="16"/>
      <c r="Z38" s="16">
        <f t="shared" si="6"/>
        <v>0</v>
      </c>
      <c r="AA38" s="16">
        <f t="shared" si="0"/>
        <v>0</v>
      </c>
      <c r="AB38" s="16"/>
      <c r="AC38" s="19"/>
      <c r="AD38" s="51"/>
    </row>
    <row r="39" spans="1:30" ht="19.5" thickBot="1" x14ac:dyDescent="0.3">
      <c r="A39" s="14">
        <v>4</v>
      </c>
      <c r="B39" s="15"/>
      <c r="C39" s="15" t="e">
        <f>VLOOKUP(B39,داتا!$B$3:$D$107,2,FALSE)</f>
        <v>#N/A</v>
      </c>
      <c r="D39" s="34" t="e">
        <f>VLOOKUP(B39,داتا!$B$3:$D$107,3,FALSE)</f>
        <v>#N/A</v>
      </c>
      <c r="E39" s="15"/>
      <c r="F39" s="15"/>
      <c r="G39" s="16">
        <v>0.25</v>
      </c>
      <c r="H39" s="16" t="e">
        <f t="shared" si="7"/>
        <v>#N/A</v>
      </c>
      <c r="I39" s="16" t="e">
        <f t="shared" si="1"/>
        <v>#N/A</v>
      </c>
      <c r="J39" s="16"/>
      <c r="K39" s="16"/>
      <c r="L39" s="16"/>
      <c r="M39" s="16"/>
      <c r="N39" s="16">
        <f t="shared" si="2"/>
        <v>0</v>
      </c>
      <c r="O39" s="16" t="e">
        <f t="shared" si="3"/>
        <v>#N/A</v>
      </c>
      <c r="P39" s="16">
        <v>6.9444444444444397E-3</v>
      </c>
      <c r="Q39" s="16"/>
      <c r="R39" s="16">
        <f t="shared" si="4"/>
        <v>-6.9444444444444397E-3</v>
      </c>
      <c r="S39" s="16"/>
      <c r="T39" s="16" t="e">
        <f>VLOOKUP(E39,'[2]21-3-2026'!E$3:T$35,16,FALSE)</f>
        <v>#N/A</v>
      </c>
      <c r="U39" s="16"/>
      <c r="V39" s="16" t="e">
        <f t="shared" si="5"/>
        <v>#N/A</v>
      </c>
      <c r="W39" s="16"/>
      <c r="X39" s="16"/>
      <c r="Y39" s="16"/>
      <c r="Z39" s="16">
        <f t="shared" si="6"/>
        <v>0</v>
      </c>
      <c r="AA39" s="16">
        <f t="shared" si="0"/>
        <v>0</v>
      </c>
      <c r="AB39" s="16"/>
      <c r="AC39" s="17"/>
      <c r="AD39" s="51"/>
    </row>
    <row r="40" spans="1:30" ht="19.5" thickBot="1" x14ac:dyDescent="0.3">
      <c r="A40" s="14">
        <v>5</v>
      </c>
      <c r="B40" s="15"/>
      <c r="C40" s="15" t="e">
        <f>VLOOKUP(B40,داتا!$B$3:$D$107,2,FALSE)</f>
        <v>#N/A</v>
      </c>
      <c r="D40" s="34" t="e">
        <f>VLOOKUP(B40,داتا!$B$3:$D$107,3,FALSE)</f>
        <v>#N/A</v>
      </c>
      <c r="E40" s="15"/>
      <c r="F40" s="15"/>
      <c r="G40" s="16">
        <v>0.25</v>
      </c>
      <c r="H40" s="16" t="e">
        <f t="shared" si="7"/>
        <v>#N/A</v>
      </c>
      <c r="I40" s="16" t="e">
        <f t="shared" si="1"/>
        <v>#N/A</v>
      </c>
      <c r="J40" s="16"/>
      <c r="K40" s="16"/>
      <c r="L40" s="16"/>
      <c r="M40" s="16"/>
      <c r="N40" s="16">
        <f t="shared" si="2"/>
        <v>0</v>
      </c>
      <c r="O40" s="16" t="e">
        <f t="shared" si="3"/>
        <v>#N/A</v>
      </c>
      <c r="P40" s="16">
        <v>6.9444444444444397E-3</v>
      </c>
      <c r="Q40" s="16"/>
      <c r="R40" s="16">
        <f t="shared" si="4"/>
        <v>-6.9444444444444397E-3</v>
      </c>
      <c r="S40" s="16"/>
      <c r="T40" s="16" t="e">
        <f>VLOOKUP(E40,'[2]21-3-2026'!E$3:T$35,16,FALSE)</f>
        <v>#N/A</v>
      </c>
      <c r="U40" s="16"/>
      <c r="V40" s="16" t="e">
        <f t="shared" si="5"/>
        <v>#N/A</v>
      </c>
      <c r="W40" s="16"/>
      <c r="X40" s="16"/>
      <c r="Y40" s="16"/>
      <c r="Z40" s="16">
        <f t="shared" si="6"/>
        <v>0</v>
      </c>
      <c r="AA40" s="16">
        <f t="shared" si="0"/>
        <v>0</v>
      </c>
      <c r="AB40" s="16"/>
      <c r="AC40" s="17"/>
      <c r="AD40" s="51"/>
    </row>
    <row r="41" spans="1:30" ht="19.5" thickBot="1" x14ac:dyDescent="0.3">
      <c r="A41" s="14">
        <v>6</v>
      </c>
      <c r="B41" s="15"/>
      <c r="C41" s="15" t="e">
        <f>VLOOKUP(B41,داتا!$B$3:$D$107,2,FALSE)</f>
        <v>#N/A</v>
      </c>
      <c r="D41" s="34" t="e">
        <f>VLOOKUP(B41,داتا!$B$3:$D$107,3,FALSE)</f>
        <v>#N/A</v>
      </c>
      <c r="E41" s="15"/>
      <c r="F41" s="15"/>
      <c r="G41" s="16">
        <v>0.25</v>
      </c>
      <c r="H41" s="16" t="e">
        <f t="shared" si="7"/>
        <v>#N/A</v>
      </c>
      <c r="I41" s="16" t="e">
        <f t="shared" si="1"/>
        <v>#N/A</v>
      </c>
      <c r="J41" s="16"/>
      <c r="K41" s="16"/>
      <c r="L41" s="16"/>
      <c r="M41" s="16"/>
      <c r="N41" s="16">
        <f t="shared" si="2"/>
        <v>0</v>
      </c>
      <c r="O41" s="16" t="e">
        <f t="shared" si="3"/>
        <v>#N/A</v>
      </c>
      <c r="P41" s="16">
        <v>6.9444444444444397E-3</v>
      </c>
      <c r="Q41" s="16"/>
      <c r="R41" s="16">
        <f t="shared" si="4"/>
        <v>-6.9444444444444397E-3</v>
      </c>
      <c r="S41" s="16"/>
      <c r="T41" s="16" t="e">
        <f>VLOOKUP(E41,'[2]21-3-2026'!E$3:T$35,16,FALSE)</f>
        <v>#N/A</v>
      </c>
      <c r="U41" s="16"/>
      <c r="V41" s="16" t="e">
        <f t="shared" si="5"/>
        <v>#N/A</v>
      </c>
      <c r="W41" s="16"/>
      <c r="X41" s="16"/>
      <c r="Y41" s="16"/>
      <c r="Z41" s="16">
        <f t="shared" si="6"/>
        <v>0</v>
      </c>
      <c r="AA41" s="16">
        <f t="shared" si="0"/>
        <v>0</v>
      </c>
      <c r="AB41" s="16"/>
      <c r="AC41" s="17"/>
      <c r="AD41" s="51"/>
    </row>
    <row r="42" spans="1:30" ht="19.5" thickBot="1" x14ac:dyDescent="0.3">
      <c r="A42" s="14">
        <v>7</v>
      </c>
      <c r="B42" s="15"/>
      <c r="C42" s="15" t="e">
        <f>VLOOKUP(B42,داتا!$B$3:$D$107,2,FALSE)</f>
        <v>#N/A</v>
      </c>
      <c r="D42" s="34" t="e">
        <f>VLOOKUP(B42,داتا!$B$3:$D$107,3,FALSE)</f>
        <v>#N/A</v>
      </c>
      <c r="E42" s="15"/>
      <c r="F42" s="15"/>
      <c r="G42" s="16">
        <v>0.25</v>
      </c>
      <c r="H42" s="16" t="e">
        <f t="shared" si="7"/>
        <v>#N/A</v>
      </c>
      <c r="I42" s="16" t="e">
        <f t="shared" si="1"/>
        <v>#N/A</v>
      </c>
      <c r="J42" s="16"/>
      <c r="K42" s="16"/>
      <c r="L42" s="16"/>
      <c r="M42" s="16"/>
      <c r="N42" s="16">
        <f t="shared" si="2"/>
        <v>0</v>
      </c>
      <c r="O42" s="16" t="e">
        <f t="shared" si="3"/>
        <v>#N/A</v>
      </c>
      <c r="P42" s="16">
        <v>6.9444444444444397E-3</v>
      </c>
      <c r="Q42" s="16"/>
      <c r="R42" s="16">
        <f t="shared" si="4"/>
        <v>-6.9444444444444397E-3</v>
      </c>
      <c r="S42" s="16"/>
      <c r="T42" s="16" t="e">
        <f>VLOOKUP(E42,'[2]21-3-2026'!E$3:T$35,16,FALSE)</f>
        <v>#N/A</v>
      </c>
      <c r="U42" s="16"/>
      <c r="V42" s="16" t="e">
        <f t="shared" si="5"/>
        <v>#N/A</v>
      </c>
      <c r="W42" s="16"/>
      <c r="X42" s="16"/>
      <c r="Y42" s="16"/>
      <c r="Z42" s="16">
        <f t="shared" si="6"/>
        <v>0</v>
      </c>
      <c r="AA42" s="16">
        <f t="shared" si="0"/>
        <v>0</v>
      </c>
      <c r="AB42" s="16"/>
      <c r="AC42" s="17"/>
      <c r="AD42" s="51"/>
    </row>
    <row r="43" spans="1:30" ht="19.5" thickBot="1" x14ac:dyDescent="0.3">
      <c r="A43" s="14">
        <v>8</v>
      </c>
      <c r="B43" s="15"/>
      <c r="C43" s="15" t="e">
        <f>VLOOKUP(B43,داتا!$B$3:$D$107,2,FALSE)</f>
        <v>#N/A</v>
      </c>
      <c r="D43" s="34" t="e">
        <f>VLOOKUP(B43,داتا!$B$3:$D$107,3,FALSE)</f>
        <v>#N/A</v>
      </c>
      <c r="E43" s="15"/>
      <c r="F43" s="15"/>
      <c r="G43" s="16">
        <v>0.25</v>
      </c>
      <c r="H43" s="16" t="e">
        <f t="shared" si="7"/>
        <v>#N/A</v>
      </c>
      <c r="I43" s="16" t="e">
        <f t="shared" si="1"/>
        <v>#N/A</v>
      </c>
      <c r="J43" s="16"/>
      <c r="K43" s="16"/>
      <c r="L43" s="16"/>
      <c r="M43" s="16"/>
      <c r="N43" s="16">
        <f t="shared" si="2"/>
        <v>0</v>
      </c>
      <c r="O43" s="16" t="e">
        <f t="shared" si="3"/>
        <v>#N/A</v>
      </c>
      <c r="P43" s="16">
        <v>6.9444444444444397E-3</v>
      </c>
      <c r="Q43" s="16"/>
      <c r="R43" s="16">
        <f t="shared" si="4"/>
        <v>-6.9444444444444397E-3</v>
      </c>
      <c r="S43" s="16"/>
      <c r="T43" s="16" t="e">
        <f>VLOOKUP(E43,'[2]21-3-2026'!E$3:T$35,16,FALSE)</f>
        <v>#N/A</v>
      </c>
      <c r="U43" s="16"/>
      <c r="V43" s="16" t="e">
        <f t="shared" si="5"/>
        <v>#N/A</v>
      </c>
      <c r="W43" s="16"/>
      <c r="X43" s="16"/>
      <c r="Y43" s="16"/>
      <c r="Z43" s="16">
        <f t="shared" si="6"/>
        <v>0</v>
      </c>
      <c r="AA43" s="16">
        <f t="shared" si="0"/>
        <v>0</v>
      </c>
      <c r="AB43" s="16"/>
      <c r="AC43" s="17"/>
      <c r="AD43" s="51"/>
    </row>
    <row r="44" spans="1:30" ht="19.5" thickBot="1" x14ac:dyDescent="0.3">
      <c r="A44" s="14">
        <v>9</v>
      </c>
      <c r="B44" s="15"/>
      <c r="C44" s="15" t="e">
        <f>VLOOKUP(B44,داتا!$B$3:$D$107,2,FALSE)</f>
        <v>#N/A</v>
      </c>
      <c r="D44" s="34" t="e">
        <f>VLOOKUP(B44,داتا!$B$3:$D$107,3,FALSE)</f>
        <v>#N/A</v>
      </c>
      <c r="E44" s="15"/>
      <c r="F44" s="15"/>
      <c r="G44" s="16">
        <v>0.25</v>
      </c>
      <c r="H44" s="16" t="e">
        <f t="shared" si="7"/>
        <v>#N/A</v>
      </c>
      <c r="I44" s="16" t="e">
        <f t="shared" si="1"/>
        <v>#N/A</v>
      </c>
      <c r="J44" s="16"/>
      <c r="K44" s="16"/>
      <c r="L44" s="16"/>
      <c r="M44" s="16"/>
      <c r="N44" s="16">
        <f t="shared" si="2"/>
        <v>0</v>
      </c>
      <c r="O44" s="16" t="e">
        <f t="shared" si="3"/>
        <v>#N/A</v>
      </c>
      <c r="P44" s="16">
        <v>6.9444444444444397E-3</v>
      </c>
      <c r="Q44" s="16"/>
      <c r="R44" s="16">
        <f t="shared" si="4"/>
        <v>-6.9444444444444397E-3</v>
      </c>
      <c r="S44" s="16"/>
      <c r="T44" s="16" t="e">
        <f>VLOOKUP(E44,'[2]21-3-2026'!E$3:T$35,16,FALSE)</f>
        <v>#N/A</v>
      </c>
      <c r="U44" s="16"/>
      <c r="V44" s="16" t="e">
        <f t="shared" si="5"/>
        <v>#N/A</v>
      </c>
      <c r="W44" s="16"/>
      <c r="X44" s="16"/>
      <c r="Y44" s="16"/>
      <c r="Z44" s="16">
        <f t="shared" si="6"/>
        <v>0</v>
      </c>
      <c r="AA44" s="16">
        <f t="shared" si="0"/>
        <v>0</v>
      </c>
      <c r="AB44" s="16"/>
      <c r="AC44" s="17"/>
      <c r="AD44" s="51"/>
    </row>
    <row r="45" spans="1:30" ht="19.5" thickBot="1" x14ac:dyDescent="0.3">
      <c r="A45" s="14">
        <v>10</v>
      </c>
      <c r="B45" s="15"/>
      <c r="C45" s="15" t="e">
        <f>VLOOKUP(B45,داتا!$B$3:$D$107,2,FALSE)</f>
        <v>#N/A</v>
      </c>
      <c r="D45" s="34" t="e">
        <f>VLOOKUP(B45,داتا!$B$3:$D$107,3,FALSE)</f>
        <v>#N/A</v>
      </c>
      <c r="E45" s="15"/>
      <c r="F45" s="15"/>
      <c r="G45" s="16">
        <v>0.25</v>
      </c>
      <c r="H45" s="16" t="e">
        <f t="shared" si="7"/>
        <v>#N/A</v>
      </c>
      <c r="I45" s="16" t="e">
        <f t="shared" si="1"/>
        <v>#N/A</v>
      </c>
      <c r="J45" s="16"/>
      <c r="K45" s="16"/>
      <c r="L45" s="16"/>
      <c r="M45" s="16"/>
      <c r="N45" s="16">
        <f t="shared" si="2"/>
        <v>0</v>
      </c>
      <c r="O45" s="16" t="e">
        <f t="shared" si="3"/>
        <v>#N/A</v>
      </c>
      <c r="P45" s="16">
        <v>6.9444444444444397E-3</v>
      </c>
      <c r="Q45" s="16"/>
      <c r="R45" s="16">
        <f t="shared" si="4"/>
        <v>-6.9444444444444397E-3</v>
      </c>
      <c r="S45" s="16"/>
      <c r="T45" s="16" t="e">
        <f>VLOOKUP(E45,'[2]21-3-2026'!E$3:T$35,16,FALSE)</f>
        <v>#N/A</v>
      </c>
      <c r="U45" s="16"/>
      <c r="V45" s="16" t="e">
        <f t="shared" si="5"/>
        <v>#N/A</v>
      </c>
      <c r="W45" s="16"/>
      <c r="X45" s="16"/>
      <c r="Y45" s="16"/>
      <c r="Z45" s="16">
        <f t="shared" si="6"/>
        <v>0</v>
      </c>
      <c r="AA45" s="16">
        <f t="shared" si="0"/>
        <v>0</v>
      </c>
      <c r="AB45" s="16"/>
      <c r="AC45" s="17"/>
      <c r="AD45" s="51"/>
    </row>
    <row r="46" spans="1:30" ht="19.5" thickBot="1" x14ac:dyDescent="0.3">
      <c r="A46" s="14">
        <v>11</v>
      </c>
      <c r="B46" s="15"/>
      <c r="C46" s="15" t="e">
        <f>VLOOKUP(B46,داتا!$B$3:$D$107,2,FALSE)</f>
        <v>#N/A</v>
      </c>
      <c r="D46" s="34" t="e">
        <f>VLOOKUP(B46,داتا!$B$3:$D$107,3,FALSE)</f>
        <v>#N/A</v>
      </c>
      <c r="E46" s="15"/>
      <c r="F46" s="15"/>
      <c r="G46" s="16">
        <v>0.25</v>
      </c>
      <c r="H46" s="16" t="e">
        <f t="shared" si="7"/>
        <v>#N/A</v>
      </c>
      <c r="I46" s="16" t="e">
        <f t="shared" si="1"/>
        <v>#N/A</v>
      </c>
      <c r="J46" s="16"/>
      <c r="K46" s="16"/>
      <c r="L46" s="16"/>
      <c r="M46" s="16"/>
      <c r="N46" s="16">
        <f t="shared" si="2"/>
        <v>0</v>
      </c>
      <c r="O46" s="16" t="e">
        <f t="shared" si="3"/>
        <v>#N/A</v>
      </c>
      <c r="P46" s="16">
        <v>6.9444444444444397E-3</v>
      </c>
      <c r="Q46" s="16"/>
      <c r="R46" s="16">
        <f t="shared" si="4"/>
        <v>-6.9444444444444397E-3</v>
      </c>
      <c r="S46" s="16"/>
      <c r="T46" s="16" t="e">
        <f>VLOOKUP(E46,'[2]21-3-2026'!E$3:T$35,16,FALSE)</f>
        <v>#N/A</v>
      </c>
      <c r="U46" s="16"/>
      <c r="V46" s="16" t="e">
        <f t="shared" si="5"/>
        <v>#N/A</v>
      </c>
      <c r="W46" s="16"/>
      <c r="X46" s="16"/>
      <c r="Y46" s="16"/>
      <c r="Z46" s="16">
        <f t="shared" si="6"/>
        <v>0</v>
      </c>
      <c r="AA46" s="16">
        <f t="shared" si="0"/>
        <v>0</v>
      </c>
      <c r="AB46" s="16"/>
      <c r="AC46" s="17"/>
      <c r="AD46" s="51"/>
    </row>
    <row r="47" spans="1:30" ht="19.5" thickBot="1" x14ac:dyDescent="0.3">
      <c r="A47" s="14">
        <v>12</v>
      </c>
      <c r="B47" s="15"/>
      <c r="C47" s="15" t="e">
        <f>VLOOKUP(B47,داتا!$B$3:$D$107,2,FALSE)</f>
        <v>#N/A</v>
      </c>
      <c r="D47" s="34" t="e">
        <f>VLOOKUP(B47,داتا!$B$3:$D$107,3,FALSE)</f>
        <v>#N/A</v>
      </c>
      <c r="E47" s="15"/>
      <c r="F47" s="15"/>
      <c r="G47" s="16">
        <v>0.25</v>
      </c>
      <c r="H47" s="16" t="e">
        <f t="shared" si="7"/>
        <v>#N/A</v>
      </c>
      <c r="I47" s="16" t="e">
        <f t="shared" si="1"/>
        <v>#N/A</v>
      </c>
      <c r="J47" s="16"/>
      <c r="K47" s="16"/>
      <c r="L47" s="16"/>
      <c r="M47" s="16"/>
      <c r="N47" s="16">
        <f t="shared" si="2"/>
        <v>0</v>
      </c>
      <c r="O47" s="16" t="e">
        <f t="shared" si="3"/>
        <v>#N/A</v>
      </c>
      <c r="P47" s="16">
        <v>6.9444444444444397E-3</v>
      </c>
      <c r="Q47" s="16"/>
      <c r="R47" s="16">
        <f t="shared" si="4"/>
        <v>-6.9444444444444397E-3</v>
      </c>
      <c r="S47" s="16"/>
      <c r="T47" s="16" t="e">
        <f>VLOOKUP(E47,'[2]21-3-2026'!E$3:T$35,16,FALSE)</f>
        <v>#N/A</v>
      </c>
      <c r="U47" s="16"/>
      <c r="V47" s="16" t="e">
        <f t="shared" si="5"/>
        <v>#N/A</v>
      </c>
      <c r="W47" s="16"/>
      <c r="X47" s="16"/>
      <c r="Y47" s="16"/>
      <c r="Z47" s="16">
        <f t="shared" si="6"/>
        <v>0</v>
      </c>
      <c r="AA47" s="16">
        <f t="shared" si="0"/>
        <v>0</v>
      </c>
      <c r="AB47" s="16"/>
      <c r="AC47" s="17"/>
      <c r="AD47" s="51"/>
    </row>
    <row r="48" spans="1:30" ht="19.5" thickBot="1" x14ac:dyDescent="0.3">
      <c r="A48" s="14">
        <v>13</v>
      </c>
      <c r="B48" s="15"/>
      <c r="C48" s="15" t="e">
        <f>VLOOKUP(B48,داتا!$B$3:$D$107,2,FALSE)</f>
        <v>#N/A</v>
      </c>
      <c r="D48" s="34" t="e">
        <f>VLOOKUP(B48,داتا!$B$3:$D$107,3,FALSE)</f>
        <v>#N/A</v>
      </c>
      <c r="E48" s="15"/>
      <c r="F48" s="15"/>
      <c r="G48" s="16">
        <v>0.25</v>
      </c>
      <c r="H48" s="16" t="e">
        <f t="shared" si="7"/>
        <v>#N/A</v>
      </c>
      <c r="I48" s="16" t="e">
        <f t="shared" si="1"/>
        <v>#N/A</v>
      </c>
      <c r="J48" s="16"/>
      <c r="K48" s="16"/>
      <c r="L48" s="16"/>
      <c r="M48" s="16"/>
      <c r="N48" s="16">
        <f t="shared" si="2"/>
        <v>0</v>
      </c>
      <c r="O48" s="16" t="e">
        <f t="shared" si="3"/>
        <v>#N/A</v>
      </c>
      <c r="P48" s="16">
        <v>6.9444444444444397E-3</v>
      </c>
      <c r="Q48" s="16"/>
      <c r="R48" s="16">
        <f t="shared" si="4"/>
        <v>-6.9444444444444397E-3</v>
      </c>
      <c r="S48" s="16"/>
      <c r="T48" s="16" t="e">
        <f>VLOOKUP(E48,'[2]21-3-2026'!E$3:T$35,16,FALSE)</f>
        <v>#N/A</v>
      </c>
      <c r="U48" s="16"/>
      <c r="V48" s="16" t="e">
        <f t="shared" si="5"/>
        <v>#N/A</v>
      </c>
      <c r="W48" s="16"/>
      <c r="X48" s="16"/>
      <c r="Y48" s="16"/>
      <c r="Z48" s="16">
        <f t="shared" si="6"/>
        <v>0</v>
      </c>
      <c r="AA48" s="16">
        <f t="shared" si="0"/>
        <v>0</v>
      </c>
      <c r="AB48" s="16"/>
      <c r="AC48" s="17"/>
      <c r="AD48" s="51"/>
    </row>
    <row r="49" spans="1:30" ht="19.5" thickBot="1" x14ac:dyDescent="0.3">
      <c r="A49" s="14">
        <v>14</v>
      </c>
      <c r="B49" s="15"/>
      <c r="C49" s="15" t="e">
        <f>VLOOKUP(B49,داتا!$B$3:$D$107,2,FALSE)</f>
        <v>#N/A</v>
      </c>
      <c r="D49" s="34" t="e">
        <f>VLOOKUP(B49,داتا!$B$3:$D$107,3,FALSE)</f>
        <v>#N/A</v>
      </c>
      <c r="E49" s="15"/>
      <c r="F49" s="15"/>
      <c r="G49" s="16">
        <v>0.25</v>
      </c>
      <c r="H49" s="16" t="e">
        <f t="shared" si="7"/>
        <v>#N/A</v>
      </c>
      <c r="I49" s="16" t="e">
        <f t="shared" si="1"/>
        <v>#N/A</v>
      </c>
      <c r="J49" s="16"/>
      <c r="K49" s="16"/>
      <c r="L49" s="16"/>
      <c r="M49" s="16"/>
      <c r="N49" s="16">
        <f t="shared" si="2"/>
        <v>0</v>
      </c>
      <c r="O49" s="16" t="e">
        <f t="shared" si="3"/>
        <v>#N/A</v>
      </c>
      <c r="P49" s="16">
        <v>6.9444444444444397E-3</v>
      </c>
      <c r="Q49" s="16"/>
      <c r="R49" s="16">
        <f t="shared" si="4"/>
        <v>-6.9444444444444397E-3</v>
      </c>
      <c r="S49" s="16"/>
      <c r="T49" s="16" t="e">
        <f>VLOOKUP(E49,'[2]21-3-2026'!E$3:T$35,16,FALSE)</f>
        <v>#N/A</v>
      </c>
      <c r="U49" s="16"/>
      <c r="V49" s="16" t="e">
        <f t="shared" si="5"/>
        <v>#N/A</v>
      </c>
      <c r="W49" s="16"/>
      <c r="X49" s="16"/>
      <c r="Y49" s="16"/>
      <c r="Z49" s="16">
        <f t="shared" si="6"/>
        <v>0</v>
      </c>
      <c r="AA49" s="16">
        <f t="shared" si="0"/>
        <v>0</v>
      </c>
      <c r="AB49" s="16"/>
      <c r="AC49" s="17"/>
      <c r="AD49" s="51"/>
    </row>
    <row r="50" spans="1:30" ht="19.5" thickBot="1" x14ac:dyDescent="0.3">
      <c r="A50" s="14">
        <v>15</v>
      </c>
      <c r="B50" s="15"/>
      <c r="C50" s="15" t="e">
        <f>VLOOKUP(B50,داتا!$B$3:$D$107,2,FALSE)</f>
        <v>#N/A</v>
      </c>
      <c r="D50" s="34" t="e">
        <f>VLOOKUP(B50,داتا!$B$3:$D$107,3,FALSE)</f>
        <v>#N/A</v>
      </c>
      <c r="E50" s="15"/>
      <c r="F50" s="15"/>
      <c r="G50" s="16">
        <v>0.25</v>
      </c>
      <c r="H50" s="16" t="e">
        <f t="shared" si="7"/>
        <v>#N/A</v>
      </c>
      <c r="I50" s="16" t="e">
        <f t="shared" si="1"/>
        <v>#N/A</v>
      </c>
      <c r="J50" s="16"/>
      <c r="K50" s="16"/>
      <c r="L50" s="16"/>
      <c r="M50" s="16"/>
      <c r="N50" s="16">
        <f t="shared" si="2"/>
        <v>0</v>
      </c>
      <c r="O50" s="16" t="e">
        <f t="shared" si="3"/>
        <v>#N/A</v>
      </c>
      <c r="P50" s="16">
        <v>6.9444444444444397E-3</v>
      </c>
      <c r="Q50" s="16"/>
      <c r="R50" s="16">
        <f t="shared" si="4"/>
        <v>-6.9444444444444397E-3</v>
      </c>
      <c r="S50" s="16"/>
      <c r="T50" s="16" t="e">
        <f>VLOOKUP(E50,'[2]21-3-2026'!E$3:T$35,16,FALSE)</f>
        <v>#N/A</v>
      </c>
      <c r="U50" s="16"/>
      <c r="V50" s="16" t="e">
        <f t="shared" si="5"/>
        <v>#N/A</v>
      </c>
      <c r="W50" s="16"/>
      <c r="X50" s="16"/>
      <c r="Y50" s="16"/>
      <c r="Z50" s="16">
        <f t="shared" si="6"/>
        <v>0</v>
      </c>
      <c r="AA50" s="16">
        <f t="shared" si="0"/>
        <v>0</v>
      </c>
      <c r="AB50" s="16"/>
      <c r="AC50" s="17"/>
      <c r="AD50" s="51"/>
    </row>
    <row r="51" spans="1:30" ht="19.5" thickBot="1" x14ac:dyDescent="0.3">
      <c r="A51" s="14">
        <v>16</v>
      </c>
      <c r="B51" s="15"/>
      <c r="C51" s="15" t="e">
        <f>VLOOKUP(B51,داتا!$B$3:$D$107,2,FALSE)</f>
        <v>#N/A</v>
      </c>
      <c r="D51" s="34" t="e">
        <f>VLOOKUP(B51,داتا!$B$3:$D$107,3,FALSE)</f>
        <v>#N/A</v>
      </c>
      <c r="E51" s="15"/>
      <c r="F51" s="15"/>
      <c r="G51" s="16">
        <v>0.25</v>
      </c>
      <c r="H51" s="16" t="e">
        <f t="shared" si="7"/>
        <v>#N/A</v>
      </c>
      <c r="I51" s="16" t="e">
        <f t="shared" si="1"/>
        <v>#N/A</v>
      </c>
      <c r="J51" s="16"/>
      <c r="K51" s="16"/>
      <c r="L51" s="16"/>
      <c r="M51" s="16"/>
      <c r="N51" s="16">
        <f t="shared" si="2"/>
        <v>0</v>
      </c>
      <c r="O51" s="16" t="e">
        <f t="shared" si="3"/>
        <v>#N/A</v>
      </c>
      <c r="P51" s="16">
        <v>6.9444444444444397E-3</v>
      </c>
      <c r="Q51" s="16"/>
      <c r="R51" s="16">
        <f t="shared" si="4"/>
        <v>-6.9444444444444397E-3</v>
      </c>
      <c r="S51" s="16"/>
      <c r="T51" s="16" t="e">
        <f>VLOOKUP(E51,'[2]21-3-2026'!E$3:T$35,16,FALSE)</f>
        <v>#N/A</v>
      </c>
      <c r="U51" s="16"/>
      <c r="V51" s="16" t="e">
        <f t="shared" si="5"/>
        <v>#N/A</v>
      </c>
      <c r="W51" s="16"/>
      <c r="X51" s="16"/>
      <c r="Y51" s="16"/>
      <c r="Z51" s="16">
        <f t="shared" si="6"/>
        <v>0</v>
      </c>
      <c r="AA51" s="16">
        <f t="shared" si="0"/>
        <v>0</v>
      </c>
      <c r="AB51" s="16"/>
      <c r="AC51" s="17"/>
      <c r="AD51" s="51"/>
    </row>
    <row r="52" spans="1:30" ht="19.5" thickBot="1" x14ac:dyDescent="0.3">
      <c r="A52" s="14">
        <v>17</v>
      </c>
      <c r="B52" s="15"/>
      <c r="C52" s="15" t="e">
        <f>VLOOKUP(B52,داتا!$B$3:$D$107,2,FALSE)</f>
        <v>#N/A</v>
      </c>
      <c r="D52" s="34" t="e">
        <f>VLOOKUP(B52,داتا!$B$3:$D$107,3,FALSE)</f>
        <v>#N/A</v>
      </c>
      <c r="E52" s="15"/>
      <c r="F52" s="15"/>
      <c r="G52" s="16">
        <v>0.25</v>
      </c>
      <c r="H52" s="16" t="e">
        <f t="shared" si="7"/>
        <v>#N/A</v>
      </c>
      <c r="I52" s="16" t="e">
        <f t="shared" si="1"/>
        <v>#N/A</v>
      </c>
      <c r="J52" s="16"/>
      <c r="K52" s="16"/>
      <c r="L52" s="16"/>
      <c r="M52" s="16"/>
      <c r="N52" s="16">
        <f t="shared" si="2"/>
        <v>0</v>
      </c>
      <c r="O52" s="16" t="e">
        <f t="shared" si="3"/>
        <v>#N/A</v>
      </c>
      <c r="P52" s="16">
        <v>6.9444444444444397E-3</v>
      </c>
      <c r="Q52" s="16"/>
      <c r="R52" s="16">
        <f t="shared" si="4"/>
        <v>-6.9444444444444397E-3</v>
      </c>
      <c r="S52" s="16"/>
      <c r="T52" s="16" t="e">
        <f>VLOOKUP(E52,'[2]21-3-2026'!E$3:T$35,16,FALSE)</f>
        <v>#N/A</v>
      </c>
      <c r="U52" s="16"/>
      <c r="V52" s="16" t="e">
        <f t="shared" si="5"/>
        <v>#N/A</v>
      </c>
      <c r="W52" s="16"/>
      <c r="X52" s="16"/>
      <c r="Y52" s="16"/>
      <c r="Z52" s="16">
        <f t="shared" si="6"/>
        <v>0</v>
      </c>
      <c r="AA52" s="16">
        <f t="shared" si="0"/>
        <v>0</v>
      </c>
      <c r="AB52" s="16"/>
      <c r="AC52" s="17"/>
      <c r="AD52" s="51"/>
    </row>
    <row r="53" spans="1:30" ht="19.5" thickBot="1" x14ac:dyDescent="0.3">
      <c r="A53" s="14">
        <v>18</v>
      </c>
      <c r="B53" s="15"/>
      <c r="C53" s="15" t="e">
        <f>VLOOKUP(B53,داتا!$B$3:$D$107,2,FALSE)</f>
        <v>#N/A</v>
      </c>
      <c r="D53" s="34" t="e">
        <f>VLOOKUP(B53,داتا!$B$3:$D$107,3,FALSE)</f>
        <v>#N/A</v>
      </c>
      <c r="E53" s="15"/>
      <c r="F53" s="15"/>
      <c r="G53" s="16">
        <v>0.25</v>
      </c>
      <c r="H53" s="16" t="e">
        <f t="shared" ref="H53:H68" si="8">VLOOKUP(G53,$F$3:$I$35,2,FALSE)</f>
        <v>#N/A</v>
      </c>
      <c r="I53" s="16" t="e">
        <f t="shared" si="1"/>
        <v>#N/A</v>
      </c>
      <c r="J53" s="16"/>
      <c r="K53" s="16"/>
      <c r="L53" s="16"/>
      <c r="M53" s="16"/>
      <c r="N53" s="16">
        <f t="shared" si="2"/>
        <v>0</v>
      </c>
      <c r="O53" s="16" t="e">
        <f t="shared" si="3"/>
        <v>#N/A</v>
      </c>
      <c r="P53" s="16">
        <v>6.9444444444444397E-3</v>
      </c>
      <c r="Q53" s="16"/>
      <c r="R53" s="16">
        <f t="shared" si="4"/>
        <v>-6.9444444444444397E-3</v>
      </c>
      <c r="S53" s="16"/>
      <c r="T53" s="16" t="e">
        <f>VLOOKUP(E53,'[2]21-3-2026'!E$3:T$35,16,FALSE)</f>
        <v>#N/A</v>
      </c>
      <c r="U53" s="16"/>
      <c r="V53" s="16" t="e">
        <f t="shared" si="5"/>
        <v>#N/A</v>
      </c>
      <c r="W53" s="16"/>
      <c r="X53" s="16"/>
      <c r="Y53" s="16"/>
      <c r="Z53" s="16">
        <f t="shared" si="6"/>
        <v>0</v>
      </c>
      <c r="AA53" s="16">
        <f t="shared" si="0"/>
        <v>0</v>
      </c>
      <c r="AB53" s="16"/>
      <c r="AC53" s="17"/>
      <c r="AD53" s="51"/>
    </row>
    <row r="54" spans="1:30" ht="19.5" thickBot="1" x14ac:dyDescent="0.3">
      <c r="A54" s="14">
        <v>19</v>
      </c>
      <c r="B54" s="15"/>
      <c r="C54" s="15" t="e">
        <f>VLOOKUP(B54,داتا!$B$3:$D$107,2,FALSE)</f>
        <v>#N/A</v>
      </c>
      <c r="D54" s="34" t="e">
        <f>VLOOKUP(B54,داتا!$B$3:$D$107,3,FALSE)</f>
        <v>#N/A</v>
      </c>
      <c r="E54" s="15"/>
      <c r="F54" s="15"/>
      <c r="G54" s="16">
        <v>0.25</v>
      </c>
      <c r="H54" s="16" t="e">
        <f t="shared" si="8"/>
        <v>#N/A</v>
      </c>
      <c r="I54" s="16" t="e">
        <f t="shared" si="1"/>
        <v>#N/A</v>
      </c>
      <c r="J54" s="16"/>
      <c r="K54" s="16"/>
      <c r="L54" s="16"/>
      <c r="M54" s="16"/>
      <c r="N54" s="16">
        <f t="shared" si="2"/>
        <v>0</v>
      </c>
      <c r="O54" s="16" t="e">
        <f t="shared" si="3"/>
        <v>#N/A</v>
      </c>
      <c r="P54" s="16">
        <v>6.9444444444444397E-3</v>
      </c>
      <c r="Q54" s="16"/>
      <c r="R54" s="16">
        <f t="shared" si="4"/>
        <v>-6.9444444444444397E-3</v>
      </c>
      <c r="S54" s="16"/>
      <c r="T54" s="16" t="e">
        <f>VLOOKUP(E54,'[2]21-3-2026'!E$3:T$35,16,FALSE)</f>
        <v>#N/A</v>
      </c>
      <c r="U54" s="16"/>
      <c r="V54" s="16" t="e">
        <f t="shared" si="5"/>
        <v>#N/A</v>
      </c>
      <c r="W54" s="16"/>
      <c r="X54" s="16"/>
      <c r="Y54" s="16"/>
      <c r="Z54" s="16">
        <f t="shared" si="6"/>
        <v>0</v>
      </c>
      <c r="AA54" s="16">
        <f t="shared" si="0"/>
        <v>0</v>
      </c>
      <c r="AB54" s="16"/>
      <c r="AC54" s="17"/>
      <c r="AD54" s="51"/>
    </row>
    <row r="55" spans="1:30" ht="19.5" thickBot="1" x14ac:dyDescent="0.3">
      <c r="A55" s="14">
        <v>20</v>
      </c>
      <c r="B55" s="15"/>
      <c r="C55" s="15" t="e">
        <f>VLOOKUP(B55,داتا!$B$3:$D$107,2,FALSE)</f>
        <v>#N/A</v>
      </c>
      <c r="D55" s="34" t="e">
        <f>VLOOKUP(B55,داتا!$B$3:$D$107,3,FALSE)</f>
        <v>#N/A</v>
      </c>
      <c r="E55" s="15"/>
      <c r="F55" s="15"/>
      <c r="G55" s="16">
        <v>0.25</v>
      </c>
      <c r="H55" s="16" t="e">
        <f t="shared" si="8"/>
        <v>#N/A</v>
      </c>
      <c r="I55" s="16" t="e">
        <f t="shared" si="1"/>
        <v>#N/A</v>
      </c>
      <c r="J55" s="16"/>
      <c r="K55" s="16"/>
      <c r="L55" s="16"/>
      <c r="M55" s="16"/>
      <c r="N55" s="16">
        <f t="shared" si="2"/>
        <v>0</v>
      </c>
      <c r="O55" s="16" t="e">
        <f t="shared" si="3"/>
        <v>#N/A</v>
      </c>
      <c r="P55" s="16">
        <v>6.9444444444444397E-3</v>
      </c>
      <c r="Q55" s="16"/>
      <c r="R55" s="16">
        <f t="shared" si="4"/>
        <v>-6.9444444444444397E-3</v>
      </c>
      <c r="S55" s="16"/>
      <c r="T55" s="16" t="e">
        <f>VLOOKUP(E55,'[2]21-3-2026'!E$3:T$35,16,FALSE)</f>
        <v>#N/A</v>
      </c>
      <c r="U55" s="16"/>
      <c r="V55" s="16" t="e">
        <f t="shared" si="5"/>
        <v>#N/A</v>
      </c>
      <c r="W55" s="16"/>
      <c r="X55" s="16"/>
      <c r="Y55" s="16"/>
      <c r="Z55" s="16">
        <f t="shared" si="6"/>
        <v>0</v>
      </c>
      <c r="AA55" s="16">
        <f t="shared" si="0"/>
        <v>0</v>
      </c>
      <c r="AB55" s="16"/>
      <c r="AC55" s="17"/>
      <c r="AD55" s="51"/>
    </row>
    <row r="56" spans="1:30" ht="19.5" thickBot="1" x14ac:dyDescent="0.3">
      <c r="A56" s="14">
        <v>21</v>
      </c>
      <c r="B56" s="15"/>
      <c r="C56" s="15" t="e">
        <f>VLOOKUP(B56,داتا!$B$3:$D$107,2,FALSE)</f>
        <v>#N/A</v>
      </c>
      <c r="D56" s="34" t="e">
        <f>VLOOKUP(B56,داتا!$B$3:$D$107,3,FALSE)</f>
        <v>#N/A</v>
      </c>
      <c r="E56" s="15"/>
      <c r="F56" s="15"/>
      <c r="G56" s="16">
        <v>0.25</v>
      </c>
      <c r="H56" s="16" t="e">
        <f t="shared" si="8"/>
        <v>#N/A</v>
      </c>
      <c r="I56" s="16" t="e">
        <f t="shared" si="1"/>
        <v>#N/A</v>
      </c>
      <c r="J56" s="16"/>
      <c r="K56" s="16"/>
      <c r="L56" s="15"/>
      <c r="M56" s="15"/>
      <c r="N56" s="16">
        <f t="shared" si="2"/>
        <v>0</v>
      </c>
      <c r="O56" s="16" t="e">
        <f t="shared" si="3"/>
        <v>#N/A</v>
      </c>
      <c r="P56" s="16">
        <v>6.9444444444444397E-3</v>
      </c>
      <c r="Q56" s="16"/>
      <c r="R56" s="16">
        <f t="shared" si="4"/>
        <v>-6.9444444444444397E-3</v>
      </c>
      <c r="S56" s="16"/>
      <c r="T56" s="16" t="e">
        <f>VLOOKUP(E56,'[2]21-3-2026'!E$3:T$35,16,FALSE)</f>
        <v>#N/A</v>
      </c>
      <c r="U56" s="16"/>
      <c r="V56" s="16" t="e">
        <f t="shared" si="5"/>
        <v>#N/A</v>
      </c>
      <c r="W56" s="16"/>
      <c r="X56" s="16"/>
      <c r="Y56" s="16"/>
      <c r="Z56" s="16">
        <f t="shared" si="6"/>
        <v>0</v>
      </c>
      <c r="AA56" s="16">
        <f t="shared" si="0"/>
        <v>0</v>
      </c>
      <c r="AB56" s="16"/>
      <c r="AC56" s="17"/>
      <c r="AD56" s="51"/>
    </row>
    <row r="57" spans="1:30" ht="19.5" thickBot="1" x14ac:dyDescent="0.3">
      <c r="A57" s="14">
        <v>22</v>
      </c>
      <c r="B57" s="15"/>
      <c r="C57" s="15" t="e">
        <f>VLOOKUP(B57,داتا!$B$3:$D$107,2,FALSE)</f>
        <v>#N/A</v>
      </c>
      <c r="D57" s="34" t="e">
        <f>VLOOKUP(B57,داتا!$B$3:$D$107,3,FALSE)</f>
        <v>#N/A</v>
      </c>
      <c r="E57" s="15"/>
      <c r="F57" s="15"/>
      <c r="G57" s="16">
        <v>0.25</v>
      </c>
      <c r="H57" s="16" t="e">
        <f t="shared" si="8"/>
        <v>#N/A</v>
      </c>
      <c r="I57" s="16" t="e">
        <f t="shared" si="1"/>
        <v>#N/A</v>
      </c>
      <c r="J57" s="16"/>
      <c r="K57" s="16"/>
      <c r="L57" s="15"/>
      <c r="M57" s="15"/>
      <c r="N57" s="16">
        <f t="shared" si="2"/>
        <v>0</v>
      </c>
      <c r="O57" s="16" t="e">
        <f t="shared" si="3"/>
        <v>#N/A</v>
      </c>
      <c r="P57" s="16">
        <v>6.9444444444444397E-3</v>
      </c>
      <c r="Q57" s="16"/>
      <c r="R57" s="16">
        <f t="shared" si="4"/>
        <v>-6.9444444444444397E-3</v>
      </c>
      <c r="S57" s="16"/>
      <c r="T57" s="16" t="e">
        <f>VLOOKUP(E57,'[2]21-3-2026'!E$3:T$35,16,FALSE)</f>
        <v>#N/A</v>
      </c>
      <c r="U57" s="16"/>
      <c r="V57" s="16" t="e">
        <f t="shared" si="5"/>
        <v>#N/A</v>
      </c>
      <c r="W57" s="16"/>
      <c r="X57" s="16"/>
      <c r="Y57" s="16"/>
      <c r="Z57" s="16">
        <f t="shared" si="6"/>
        <v>0</v>
      </c>
      <c r="AA57" s="16">
        <f t="shared" si="0"/>
        <v>0</v>
      </c>
      <c r="AB57" s="16"/>
      <c r="AC57" s="17"/>
      <c r="AD57" s="51"/>
    </row>
    <row r="58" spans="1:30" ht="19.5" thickBot="1" x14ac:dyDescent="0.3">
      <c r="A58" s="14">
        <v>23</v>
      </c>
      <c r="B58" s="15"/>
      <c r="C58" s="15" t="e">
        <f>VLOOKUP(B58,داتا!$B$3:$D$107,2,FALSE)</f>
        <v>#N/A</v>
      </c>
      <c r="D58" s="34" t="e">
        <f>VLOOKUP(B58,داتا!$B$3:$D$107,3,FALSE)</f>
        <v>#N/A</v>
      </c>
      <c r="E58" s="15"/>
      <c r="F58" s="15"/>
      <c r="G58" s="16">
        <v>0.25</v>
      </c>
      <c r="H58" s="16" t="e">
        <f t="shared" si="8"/>
        <v>#N/A</v>
      </c>
      <c r="I58" s="16" t="e">
        <f t="shared" si="1"/>
        <v>#N/A</v>
      </c>
      <c r="J58" s="16"/>
      <c r="K58" s="16"/>
      <c r="L58" s="16"/>
      <c r="M58" s="16"/>
      <c r="N58" s="16">
        <f t="shared" si="2"/>
        <v>0</v>
      </c>
      <c r="O58" s="16" t="e">
        <f t="shared" si="3"/>
        <v>#N/A</v>
      </c>
      <c r="P58" s="16">
        <v>6.9444444444444397E-3</v>
      </c>
      <c r="Q58" s="16"/>
      <c r="R58" s="16">
        <f t="shared" si="4"/>
        <v>-6.9444444444444397E-3</v>
      </c>
      <c r="S58" s="16"/>
      <c r="T58" s="16" t="e">
        <f>VLOOKUP(E58,'[2]21-3-2026'!E$3:T$35,16,FALSE)</f>
        <v>#N/A</v>
      </c>
      <c r="U58" s="16"/>
      <c r="V58" s="16" t="e">
        <f t="shared" si="5"/>
        <v>#N/A</v>
      </c>
      <c r="W58" s="16"/>
      <c r="X58" s="16"/>
      <c r="Y58" s="16"/>
      <c r="Z58" s="16">
        <f t="shared" si="6"/>
        <v>0</v>
      </c>
      <c r="AA58" s="16">
        <f t="shared" si="0"/>
        <v>0</v>
      </c>
      <c r="AB58" s="16"/>
      <c r="AC58" s="17"/>
      <c r="AD58" s="51"/>
    </row>
    <row r="59" spans="1:30" ht="19.5" thickBot="1" x14ac:dyDescent="0.3">
      <c r="A59" s="14">
        <v>24</v>
      </c>
      <c r="B59" s="15"/>
      <c r="C59" s="15" t="e">
        <f>VLOOKUP(B59,داتا!$B$3:$D$107,2,FALSE)</f>
        <v>#N/A</v>
      </c>
      <c r="D59" s="34" t="e">
        <f>VLOOKUP(B59,داتا!$B$3:$D$107,3,FALSE)</f>
        <v>#N/A</v>
      </c>
      <c r="E59" s="16"/>
      <c r="F59" s="15"/>
      <c r="G59" s="16">
        <v>0.25</v>
      </c>
      <c r="H59" s="16" t="e">
        <f t="shared" si="8"/>
        <v>#N/A</v>
      </c>
      <c r="I59" s="16" t="e">
        <f t="shared" si="1"/>
        <v>#N/A</v>
      </c>
      <c r="J59" s="16"/>
      <c r="K59" s="16"/>
      <c r="L59" s="15"/>
      <c r="M59" s="15"/>
      <c r="N59" s="16">
        <f t="shared" si="2"/>
        <v>0</v>
      </c>
      <c r="O59" s="16" t="e">
        <f t="shared" si="3"/>
        <v>#N/A</v>
      </c>
      <c r="P59" s="16">
        <v>6.9444444444444397E-3</v>
      </c>
      <c r="Q59" s="16"/>
      <c r="R59" s="16">
        <f t="shared" si="4"/>
        <v>-6.9444444444444397E-3</v>
      </c>
      <c r="S59" s="16"/>
      <c r="T59" s="16" t="e">
        <f>VLOOKUP(E59,'[2]21-3-2026'!E$3:T$35,16,FALSE)</f>
        <v>#N/A</v>
      </c>
      <c r="U59" s="16"/>
      <c r="V59" s="16" t="e">
        <f t="shared" si="5"/>
        <v>#N/A</v>
      </c>
      <c r="W59" s="16"/>
      <c r="X59" s="16"/>
      <c r="Y59" s="16"/>
      <c r="Z59" s="16">
        <f t="shared" si="6"/>
        <v>0</v>
      </c>
      <c r="AA59" s="16">
        <f t="shared" si="0"/>
        <v>0</v>
      </c>
      <c r="AB59" s="16"/>
      <c r="AC59" s="17"/>
      <c r="AD59" s="51"/>
    </row>
    <row r="60" spans="1:30" ht="19.5" thickBot="1" x14ac:dyDescent="0.3">
      <c r="A60" s="14">
        <v>25</v>
      </c>
      <c r="B60" s="15"/>
      <c r="C60" s="15" t="e">
        <f>VLOOKUP(B60,داتا!$B$3:$D$107,2,FALSE)</f>
        <v>#N/A</v>
      </c>
      <c r="D60" s="34" t="e">
        <f>VLOOKUP(B60,داتا!$B$3:$D$107,3,FALSE)</f>
        <v>#N/A</v>
      </c>
      <c r="E60" s="15"/>
      <c r="F60" s="15"/>
      <c r="G60" s="16">
        <v>0.25</v>
      </c>
      <c r="H60" s="16" t="e">
        <f t="shared" si="8"/>
        <v>#N/A</v>
      </c>
      <c r="I60" s="16" t="e">
        <f t="shared" si="1"/>
        <v>#N/A</v>
      </c>
      <c r="J60" s="16"/>
      <c r="K60" s="16"/>
      <c r="L60" s="16"/>
      <c r="M60" s="16"/>
      <c r="N60" s="16">
        <f t="shared" si="2"/>
        <v>0</v>
      </c>
      <c r="O60" s="16" t="e">
        <f t="shared" si="3"/>
        <v>#N/A</v>
      </c>
      <c r="P60" s="16">
        <v>6.9444444444444397E-3</v>
      </c>
      <c r="Q60" s="16"/>
      <c r="R60" s="16">
        <f t="shared" si="4"/>
        <v>-6.9444444444444397E-3</v>
      </c>
      <c r="S60" s="16"/>
      <c r="T60" s="16" t="e">
        <f>VLOOKUP(E60,'[2]21-3-2026'!E$3:T$35,16,FALSE)</f>
        <v>#N/A</v>
      </c>
      <c r="U60" s="16"/>
      <c r="V60" s="16" t="e">
        <f t="shared" si="5"/>
        <v>#N/A</v>
      </c>
      <c r="W60" s="16"/>
      <c r="X60" s="16"/>
      <c r="Y60" s="16"/>
      <c r="Z60" s="16">
        <f t="shared" si="6"/>
        <v>0</v>
      </c>
      <c r="AA60" s="16">
        <f t="shared" si="0"/>
        <v>0</v>
      </c>
      <c r="AB60" s="16"/>
      <c r="AC60" s="17"/>
      <c r="AD60" s="51"/>
    </row>
    <row r="61" spans="1:30" ht="19.5" thickBot="1" x14ac:dyDescent="0.3">
      <c r="A61" s="14">
        <v>26</v>
      </c>
      <c r="B61" s="15"/>
      <c r="C61" s="15" t="e">
        <f>VLOOKUP(B61,داتا!$B$3:$D$107,2,FALSE)</f>
        <v>#N/A</v>
      </c>
      <c r="D61" s="34" t="e">
        <f>VLOOKUP(B61,داتا!$B$3:$D$107,3,FALSE)</f>
        <v>#N/A</v>
      </c>
      <c r="E61" s="15"/>
      <c r="F61" s="15"/>
      <c r="G61" s="16">
        <v>0.25</v>
      </c>
      <c r="H61" s="16" t="e">
        <f t="shared" si="8"/>
        <v>#N/A</v>
      </c>
      <c r="I61" s="16" t="e">
        <f t="shared" si="1"/>
        <v>#N/A</v>
      </c>
      <c r="J61" s="16"/>
      <c r="K61" s="16"/>
      <c r="L61" s="16"/>
      <c r="M61" s="16"/>
      <c r="N61" s="16">
        <f t="shared" si="2"/>
        <v>0</v>
      </c>
      <c r="O61" s="16" t="e">
        <f t="shared" si="3"/>
        <v>#N/A</v>
      </c>
      <c r="P61" s="16">
        <v>6.9444444444444397E-3</v>
      </c>
      <c r="Q61" s="16"/>
      <c r="R61" s="16">
        <f t="shared" si="4"/>
        <v>-6.9444444444444397E-3</v>
      </c>
      <c r="S61" s="16"/>
      <c r="T61" s="16" t="e">
        <f>VLOOKUP(E61,'[2]21-3-2026'!E$3:T$35,16,FALSE)</f>
        <v>#N/A</v>
      </c>
      <c r="U61" s="16"/>
      <c r="V61" s="16" t="e">
        <f t="shared" si="5"/>
        <v>#N/A</v>
      </c>
      <c r="W61" s="16"/>
      <c r="X61" s="16"/>
      <c r="Y61" s="16"/>
      <c r="Z61" s="16">
        <f t="shared" si="6"/>
        <v>0</v>
      </c>
      <c r="AA61" s="16">
        <f t="shared" si="0"/>
        <v>0</v>
      </c>
      <c r="AB61" s="16"/>
      <c r="AC61" s="17"/>
      <c r="AD61" s="51"/>
    </row>
    <row r="62" spans="1:30" ht="19.5" thickBot="1" x14ac:dyDescent="0.3">
      <c r="A62" s="14">
        <v>27</v>
      </c>
      <c r="B62" s="15"/>
      <c r="C62" s="15" t="e">
        <f>VLOOKUP(B62,داتا!$B$3:$D$107,2,FALSE)</f>
        <v>#N/A</v>
      </c>
      <c r="D62" s="34" t="e">
        <f>VLOOKUP(B62,داتا!$B$3:$D$107,3,FALSE)</f>
        <v>#N/A</v>
      </c>
      <c r="E62" s="15"/>
      <c r="F62" s="15"/>
      <c r="G62" s="16">
        <v>0.25</v>
      </c>
      <c r="H62" s="16" t="e">
        <f t="shared" si="8"/>
        <v>#N/A</v>
      </c>
      <c r="I62" s="16" t="e">
        <f t="shared" si="1"/>
        <v>#N/A</v>
      </c>
      <c r="J62" s="16"/>
      <c r="K62" s="16"/>
      <c r="L62" s="16"/>
      <c r="M62" s="16"/>
      <c r="N62" s="16">
        <f t="shared" si="2"/>
        <v>0</v>
      </c>
      <c r="O62" s="16" t="e">
        <f t="shared" si="3"/>
        <v>#N/A</v>
      </c>
      <c r="P62" s="16">
        <v>6.9444444444444397E-3</v>
      </c>
      <c r="Q62" s="16"/>
      <c r="R62" s="16">
        <f t="shared" si="4"/>
        <v>-6.9444444444444397E-3</v>
      </c>
      <c r="S62" s="16"/>
      <c r="T62" s="16" t="e">
        <f>VLOOKUP(E62,'[2]21-3-2026'!E$3:T$35,16,FALSE)</f>
        <v>#N/A</v>
      </c>
      <c r="U62" s="16"/>
      <c r="V62" s="16" t="e">
        <f t="shared" si="5"/>
        <v>#N/A</v>
      </c>
      <c r="W62" s="16"/>
      <c r="X62" s="16"/>
      <c r="Y62" s="16"/>
      <c r="Z62" s="16">
        <f t="shared" si="6"/>
        <v>0</v>
      </c>
      <c r="AA62" s="16">
        <f t="shared" si="0"/>
        <v>0</v>
      </c>
      <c r="AB62" s="16"/>
      <c r="AC62" s="17"/>
      <c r="AD62" s="51"/>
    </row>
    <row r="63" spans="1:30" ht="19.5" thickBot="1" x14ac:dyDescent="0.3">
      <c r="A63" s="14">
        <v>28</v>
      </c>
      <c r="B63" s="15"/>
      <c r="C63" s="15" t="e">
        <f>VLOOKUP(B63,داتا!$B$3:$D$107,2,FALSE)</f>
        <v>#N/A</v>
      </c>
      <c r="D63" s="34" t="e">
        <f>VLOOKUP(B63,داتا!$B$3:$D$107,3,FALSE)</f>
        <v>#N/A</v>
      </c>
      <c r="E63" s="15"/>
      <c r="F63" s="15"/>
      <c r="G63" s="16">
        <v>0.25</v>
      </c>
      <c r="H63" s="16" t="e">
        <f t="shared" si="8"/>
        <v>#N/A</v>
      </c>
      <c r="I63" s="16" t="e">
        <f t="shared" si="1"/>
        <v>#N/A</v>
      </c>
      <c r="J63" s="16"/>
      <c r="K63" s="16"/>
      <c r="L63" s="16"/>
      <c r="M63" s="16"/>
      <c r="N63" s="16">
        <f t="shared" si="2"/>
        <v>0</v>
      </c>
      <c r="O63" s="16" t="e">
        <f t="shared" si="3"/>
        <v>#N/A</v>
      </c>
      <c r="P63" s="16">
        <v>6.9444444444444397E-3</v>
      </c>
      <c r="Q63" s="16"/>
      <c r="R63" s="16">
        <f t="shared" si="4"/>
        <v>-6.9444444444444397E-3</v>
      </c>
      <c r="S63" s="16"/>
      <c r="T63" s="16" t="e">
        <f>VLOOKUP(E63,'[2]21-3-2026'!E$3:T$35,16,FALSE)</f>
        <v>#N/A</v>
      </c>
      <c r="U63" s="16"/>
      <c r="V63" s="16" t="e">
        <f t="shared" si="5"/>
        <v>#N/A</v>
      </c>
      <c r="W63" s="16"/>
      <c r="X63" s="16"/>
      <c r="Y63" s="16"/>
      <c r="Z63" s="16">
        <f t="shared" si="6"/>
        <v>0</v>
      </c>
      <c r="AA63" s="16">
        <f t="shared" si="0"/>
        <v>0</v>
      </c>
      <c r="AB63" s="16"/>
      <c r="AC63" s="17"/>
      <c r="AD63" s="51"/>
    </row>
    <row r="64" spans="1:30" ht="19.5" thickBot="1" x14ac:dyDescent="0.3">
      <c r="A64" s="14">
        <v>29</v>
      </c>
      <c r="B64" s="15"/>
      <c r="C64" s="15" t="e">
        <f>VLOOKUP(B64,داتا!$B$3:$D$107,2,FALSE)</f>
        <v>#N/A</v>
      </c>
      <c r="D64" s="34" t="e">
        <f>VLOOKUP(B64,داتا!$B$3:$D$107,3,FALSE)</f>
        <v>#N/A</v>
      </c>
      <c r="E64" s="15"/>
      <c r="F64" s="15"/>
      <c r="G64" s="16">
        <v>0.25</v>
      </c>
      <c r="H64" s="16" t="e">
        <f t="shared" si="8"/>
        <v>#N/A</v>
      </c>
      <c r="I64" s="16" t="e">
        <f t="shared" si="1"/>
        <v>#N/A</v>
      </c>
      <c r="J64" s="16"/>
      <c r="K64" s="16"/>
      <c r="L64" s="16"/>
      <c r="M64" s="16"/>
      <c r="N64" s="16">
        <f t="shared" si="2"/>
        <v>0</v>
      </c>
      <c r="O64" s="16" t="e">
        <f t="shared" si="3"/>
        <v>#N/A</v>
      </c>
      <c r="P64" s="16">
        <v>6.9444444444444397E-3</v>
      </c>
      <c r="Q64" s="16"/>
      <c r="R64" s="16">
        <f t="shared" si="4"/>
        <v>-6.9444444444444397E-3</v>
      </c>
      <c r="S64" s="16"/>
      <c r="T64" s="16" t="e">
        <f>VLOOKUP(E64,'[2]21-3-2026'!E$3:T$35,16,FALSE)</f>
        <v>#N/A</v>
      </c>
      <c r="U64" s="16"/>
      <c r="V64" s="16" t="e">
        <f t="shared" si="5"/>
        <v>#N/A</v>
      </c>
      <c r="W64" s="16"/>
      <c r="X64" s="16"/>
      <c r="Y64" s="16"/>
      <c r="Z64" s="16">
        <f t="shared" si="6"/>
        <v>0</v>
      </c>
      <c r="AA64" s="16">
        <f t="shared" si="0"/>
        <v>0</v>
      </c>
      <c r="AB64" s="16"/>
      <c r="AC64" s="17"/>
      <c r="AD64" s="51"/>
    </row>
    <row r="65" spans="1:30" ht="19.5" thickBot="1" x14ac:dyDescent="0.3">
      <c r="A65" s="14">
        <v>30</v>
      </c>
      <c r="B65" s="15"/>
      <c r="C65" s="15" t="e">
        <f>VLOOKUP(B65,داتا!$B$3:$D$107,2,FALSE)</f>
        <v>#N/A</v>
      </c>
      <c r="D65" s="34" t="e">
        <f>VLOOKUP(B65,داتا!$B$3:$D$107,3,FALSE)</f>
        <v>#N/A</v>
      </c>
      <c r="E65" s="15"/>
      <c r="F65" s="15"/>
      <c r="G65" s="16">
        <v>0.25</v>
      </c>
      <c r="H65" s="16" t="e">
        <f t="shared" si="8"/>
        <v>#N/A</v>
      </c>
      <c r="I65" s="16" t="e">
        <f t="shared" si="1"/>
        <v>#N/A</v>
      </c>
      <c r="J65" s="16"/>
      <c r="K65" s="16"/>
      <c r="L65" s="16"/>
      <c r="M65" s="16"/>
      <c r="N65" s="16">
        <f t="shared" si="2"/>
        <v>0</v>
      </c>
      <c r="O65" s="16" t="e">
        <f t="shared" si="3"/>
        <v>#N/A</v>
      </c>
      <c r="P65" s="16">
        <v>6.9444444444444397E-3</v>
      </c>
      <c r="Q65" s="16"/>
      <c r="R65" s="16">
        <f t="shared" si="4"/>
        <v>-6.9444444444444397E-3</v>
      </c>
      <c r="S65" s="16"/>
      <c r="T65" s="16" t="e">
        <f>VLOOKUP(E65,'[2]21-3-2026'!E$3:T$35,16,FALSE)</f>
        <v>#N/A</v>
      </c>
      <c r="U65" s="16"/>
      <c r="V65" s="16" t="e">
        <f t="shared" si="5"/>
        <v>#N/A</v>
      </c>
      <c r="W65" s="16"/>
      <c r="X65" s="16"/>
      <c r="Y65" s="16"/>
      <c r="Z65" s="16">
        <f t="shared" si="6"/>
        <v>0</v>
      </c>
      <c r="AA65" s="16">
        <f t="shared" si="0"/>
        <v>0</v>
      </c>
      <c r="AB65" s="16"/>
      <c r="AC65" s="17"/>
      <c r="AD65" s="51"/>
    </row>
    <row r="66" spans="1:30" ht="20.25" customHeight="1" thickBot="1" x14ac:dyDescent="0.3">
      <c r="A66" s="14">
        <v>31</v>
      </c>
      <c r="B66" s="15"/>
      <c r="C66" s="15" t="e">
        <f>VLOOKUP(B66,داتا!$B$3:$D$107,2,FALSE)</f>
        <v>#N/A</v>
      </c>
      <c r="D66" s="34" t="e">
        <f>VLOOKUP(B66,داتا!$B$3:$D$107,3,FALSE)</f>
        <v>#N/A</v>
      </c>
      <c r="E66" s="15"/>
      <c r="F66" s="15"/>
      <c r="G66" s="16">
        <v>0.25</v>
      </c>
      <c r="H66" s="16" t="e">
        <f t="shared" si="8"/>
        <v>#N/A</v>
      </c>
      <c r="I66" s="16" t="e">
        <f t="shared" si="1"/>
        <v>#N/A</v>
      </c>
      <c r="J66" s="16"/>
      <c r="K66" s="16"/>
      <c r="L66" s="16"/>
      <c r="M66" s="16"/>
      <c r="N66" s="16">
        <f t="shared" si="2"/>
        <v>0</v>
      </c>
      <c r="O66" s="16" t="e">
        <f t="shared" si="3"/>
        <v>#N/A</v>
      </c>
      <c r="P66" s="16">
        <v>6.9444444444444397E-3</v>
      </c>
      <c r="Q66" s="16"/>
      <c r="R66" s="16">
        <f t="shared" si="4"/>
        <v>-6.9444444444444397E-3</v>
      </c>
      <c r="S66" s="16"/>
      <c r="T66" s="16" t="e">
        <f>VLOOKUP(E66,'[2]21-3-2026'!E$3:T$35,16,FALSE)</f>
        <v>#N/A</v>
      </c>
      <c r="U66" s="16"/>
      <c r="V66" s="16" t="e">
        <f t="shared" si="5"/>
        <v>#N/A</v>
      </c>
      <c r="W66" s="16"/>
      <c r="X66" s="16"/>
      <c r="Y66" s="16"/>
      <c r="Z66" s="16">
        <f t="shared" si="6"/>
        <v>0</v>
      </c>
      <c r="AA66" s="16">
        <f t="shared" si="0"/>
        <v>0</v>
      </c>
      <c r="AB66" s="16"/>
      <c r="AC66" s="19"/>
      <c r="AD66" s="51"/>
    </row>
    <row r="67" spans="1:30" ht="19.5" customHeight="1" thickBot="1" x14ac:dyDescent="0.3">
      <c r="A67" s="20">
        <v>32</v>
      </c>
      <c r="B67" s="21"/>
      <c r="C67" s="21" t="e">
        <f>VLOOKUP(B67,داتا!$B$3:$D$107,2,FALSE)</f>
        <v>#N/A</v>
      </c>
      <c r="D67" s="35" t="e">
        <f>VLOOKUP(B67,داتا!$B$3:$D$107,3,FALSE)</f>
        <v>#N/A</v>
      </c>
      <c r="E67" s="21"/>
      <c r="F67" s="21"/>
      <c r="G67" s="22">
        <v>0.25</v>
      </c>
      <c r="H67" s="22" t="e">
        <f t="shared" si="8"/>
        <v>#N/A</v>
      </c>
      <c r="I67" s="22" t="e">
        <f t="shared" si="1"/>
        <v>#N/A</v>
      </c>
      <c r="J67" s="22"/>
      <c r="K67" s="22"/>
      <c r="L67" s="22"/>
      <c r="M67" s="22"/>
      <c r="N67" s="22">
        <f t="shared" si="2"/>
        <v>0</v>
      </c>
      <c r="O67" s="22" t="e">
        <f t="shared" si="3"/>
        <v>#N/A</v>
      </c>
      <c r="P67" s="22">
        <v>6.9444444444444397E-3</v>
      </c>
      <c r="Q67" s="22"/>
      <c r="R67" s="22">
        <f t="shared" si="4"/>
        <v>-6.9444444444444397E-3</v>
      </c>
      <c r="S67" s="22"/>
      <c r="T67" s="22" t="e">
        <f>VLOOKUP(E67,'[2]21-3-2026'!E$3:T$35,16,FALSE)</f>
        <v>#N/A</v>
      </c>
      <c r="U67" s="22"/>
      <c r="V67" s="22" t="e">
        <f t="shared" si="5"/>
        <v>#N/A</v>
      </c>
      <c r="W67" s="22"/>
      <c r="X67" s="22"/>
      <c r="Y67" s="22"/>
      <c r="Z67" s="22">
        <f t="shared" si="6"/>
        <v>0</v>
      </c>
      <c r="AA67" s="22">
        <f t="shared" ref="AA67:AA99" si="9">Z67-W67</f>
        <v>0</v>
      </c>
      <c r="AB67" s="22"/>
      <c r="AC67" s="23"/>
      <c r="AD67" s="52"/>
    </row>
    <row r="68" spans="1:30" ht="20.25" thickTop="1" thickBot="1" x14ac:dyDescent="0.3">
      <c r="A68" s="10">
        <v>1</v>
      </c>
      <c r="B68" s="11"/>
      <c r="C68" s="11" t="e">
        <f>VLOOKUP(B68,داتا!$B$3:$D$107,2,FALSE)</f>
        <v>#N/A</v>
      </c>
      <c r="D68" s="33" t="e">
        <f>VLOOKUP(B68,داتا!$B$3:$D$107,3,FALSE)</f>
        <v>#N/A</v>
      </c>
      <c r="E68" s="11"/>
      <c r="F68" s="11"/>
      <c r="G68" s="12">
        <v>8.3333333333333329E-2</v>
      </c>
      <c r="H68" s="12" t="e">
        <f t="shared" si="8"/>
        <v>#N/A</v>
      </c>
      <c r="I68" s="12" t="e">
        <f t="shared" ref="I68:I99" si="10">H68-G68</f>
        <v>#N/A</v>
      </c>
      <c r="J68" s="12"/>
      <c r="K68" s="12"/>
      <c r="L68" s="12"/>
      <c r="M68" s="12"/>
      <c r="N68" s="12">
        <f t="shared" ref="N68:N99" si="11">K68-J68</f>
        <v>0</v>
      </c>
      <c r="O68" s="12" t="e">
        <f t="shared" ref="O68:O99" si="12">N68-D68</f>
        <v>#N/A</v>
      </c>
      <c r="P68" s="12">
        <v>6.9444444444444397E-3</v>
      </c>
      <c r="Q68" s="12"/>
      <c r="R68" s="12">
        <f t="shared" ref="R68:R99" si="13">Q68-P68-K68</f>
        <v>-6.9444444444444397E-3</v>
      </c>
      <c r="S68" s="12"/>
      <c r="T68" s="12" t="e">
        <f>VLOOKUP(E68,'[2]21-3-2026'!E$3:T$35,16,FALSE)</f>
        <v>#N/A</v>
      </c>
      <c r="U68" s="12"/>
      <c r="V68" s="12" t="e">
        <f t="shared" ref="V68:V99" si="14">U68-T68-S68</f>
        <v>#N/A</v>
      </c>
      <c r="W68" s="12"/>
      <c r="X68" s="12"/>
      <c r="Y68" s="12"/>
      <c r="Z68" s="12">
        <f t="shared" ref="Z68:Z99" si="15">Y68-X68</f>
        <v>0</v>
      </c>
      <c r="AA68" s="12">
        <f t="shared" si="9"/>
        <v>0</v>
      </c>
      <c r="AB68" s="12"/>
      <c r="AC68" s="13"/>
      <c r="AD68" s="53" t="s">
        <v>116</v>
      </c>
    </row>
    <row r="69" spans="1:30" ht="19.5" thickBot="1" x14ac:dyDescent="0.3">
      <c r="A69" s="14">
        <v>2</v>
      </c>
      <c r="B69" s="15"/>
      <c r="C69" s="15" t="e">
        <f>VLOOKUP(B69,داتا!$B$3:$D$107,2,FALSE)</f>
        <v>#N/A</v>
      </c>
      <c r="D69" s="34" t="e">
        <f>VLOOKUP(B69,داتا!$B$3:$D$107,3,FALSE)</f>
        <v>#N/A</v>
      </c>
      <c r="E69" s="15"/>
      <c r="F69" s="15"/>
      <c r="G69" s="16">
        <v>8.3333333333333329E-2</v>
      </c>
      <c r="H69" s="16" t="e">
        <f t="shared" ref="H69:H84" si="16">VLOOKUP(G69,$F$3:$I$35,2,FALSE)</f>
        <v>#N/A</v>
      </c>
      <c r="I69" s="16" t="e">
        <f t="shared" si="10"/>
        <v>#N/A</v>
      </c>
      <c r="J69" s="16"/>
      <c r="K69" s="16"/>
      <c r="L69" s="16"/>
      <c r="M69" s="16"/>
      <c r="N69" s="16">
        <f t="shared" si="11"/>
        <v>0</v>
      </c>
      <c r="O69" s="16" t="e">
        <f t="shared" si="12"/>
        <v>#N/A</v>
      </c>
      <c r="P69" s="16">
        <v>6.9444444444444397E-3</v>
      </c>
      <c r="Q69" s="16"/>
      <c r="R69" s="16">
        <f t="shared" si="13"/>
        <v>-6.9444444444444397E-3</v>
      </c>
      <c r="S69" s="16"/>
      <c r="T69" s="16" t="e">
        <f>VLOOKUP(E69,'[2]21-3-2026'!E$3:T$35,16,FALSE)</f>
        <v>#N/A</v>
      </c>
      <c r="U69" s="16"/>
      <c r="V69" s="16" t="e">
        <f t="shared" si="14"/>
        <v>#N/A</v>
      </c>
      <c r="W69" s="16"/>
      <c r="X69" s="16"/>
      <c r="Y69" s="16"/>
      <c r="Z69" s="16">
        <f t="shared" si="15"/>
        <v>0</v>
      </c>
      <c r="AA69" s="16">
        <f t="shared" si="9"/>
        <v>0</v>
      </c>
      <c r="AB69" s="16"/>
      <c r="AC69" s="17"/>
      <c r="AD69" s="51"/>
    </row>
    <row r="70" spans="1:30" ht="19.5" thickBot="1" x14ac:dyDescent="0.3">
      <c r="A70" s="14">
        <v>3</v>
      </c>
      <c r="B70" s="15"/>
      <c r="C70" s="15" t="e">
        <f>VLOOKUP(B70,داتا!$B$3:$D$107,2,FALSE)</f>
        <v>#N/A</v>
      </c>
      <c r="D70" s="34" t="e">
        <f>VLOOKUP(B70,داتا!$B$3:$D$107,3,FALSE)</f>
        <v>#N/A</v>
      </c>
      <c r="E70" s="15"/>
      <c r="F70" s="15"/>
      <c r="G70" s="16">
        <v>8.3333333333333329E-2</v>
      </c>
      <c r="H70" s="16" t="e">
        <f t="shared" si="16"/>
        <v>#N/A</v>
      </c>
      <c r="I70" s="16" t="e">
        <f t="shared" si="10"/>
        <v>#N/A</v>
      </c>
      <c r="J70" s="16"/>
      <c r="K70" s="16"/>
      <c r="L70" s="16"/>
      <c r="M70" s="16"/>
      <c r="N70" s="16">
        <f t="shared" si="11"/>
        <v>0</v>
      </c>
      <c r="O70" s="16" t="e">
        <f t="shared" si="12"/>
        <v>#N/A</v>
      </c>
      <c r="P70" s="16">
        <v>6.9444444444444397E-3</v>
      </c>
      <c r="Q70" s="16"/>
      <c r="R70" s="16">
        <f t="shared" si="13"/>
        <v>-6.9444444444444397E-3</v>
      </c>
      <c r="S70" s="16"/>
      <c r="T70" s="16" t="e">
        <f>VLOOKUP(E70,'[2]21-3-2026'!E$3:T$35,16,FALSE)</f>
        <v>#N/A</v>
      </c>
      <c r="U70" s="16"/>
      <c r="V70" s="16" t="e">
        <f t="shared" si="14"/>
        <v>#N/A</v>
      </c>
      <c r="W70" s="16"/>
      <c r="X70" s="16"/>
      <c r="Y70" s="16"/>
      <c r="Z70" s="16">
        <f t="shared" si="15"/>
        <v>0</v>
      </c>
      <c r="AA70" s="16">
        <f t="shared" si="9"/>
        <v>0</v>
      </c>
      <c r="AB70" s="16"/>
      <c r="AC70" s="17"/>
      <c r="AD70" s="51"/>
    </row>
    <row r="71" spans="1:30" ht="19.5" thickBot="1" x14ac:dyDescent="0.3">
      <c r="A71" s="14">
        <v>4</v>
      </c>
      <c r="B71" s="15"/>
      <c r="C71" s="15" t="e">
        <f>VLOOKUP(B71,داتا!$B$3:$D$107,2,FALSE)</f>
        <v>#N/A</v>
      </c>
      <c r="D71" s="34" t="e">
        <f>VLOOKUP(B71,داتا!$B$3:$D$107,3,FALSE)</f>
        <v>#N/A</v>
      </c>
      <c r="E71" s="15"/>
      <c r="F71" s="15"/>
      <c r="G71" s="16">
        <v>8.3333333333333329E-2</v>
      </c>
      <c r="H71" s="16" t="e">
        <f t="shared" si="16"/>
        <v>#N/A</v>
      </c>
      <c r="I71" s="16" t="e">
        <f t="shared" si="10"/>
        <v>#N/A</v>
      </c>
      <c r="J71" s="16"/>
      <c r="K71" s="16"/>
      <c r="L71" s="16"/>
      <c r="M71" s="16"/>
      <c r="N71" s="16">
        <f t="shared" si="11"/>
        <v>0</v>
      </c>
      <c r="O71" s="16" t="e">
        <f t="shared" si="12"/>
        <v>#N/A</v>
      </c>
      <c r="P71" s="16">
        <v>6.9444444444444397E-3</v>
      </c>
      <c r="Q71" s="16"/>
      <c r="R71" s="16">
        <f t="shared" si="13"/>
        <v>-6.9444444444444397E-3</v>
      </c>
      <c r="S71" s="16"/>
      <c r="T71" s="16" t="e">
        <f>VLOOKUP(E71,'[2]21-3-2026'!E$3:T$35,16,FALSE)</f>
        <v>#N/A</v>
      </c>
      <c r="U71" s="16"/>
      <c r="V71" s="16" t="e">
        <f t="shared" si="14"/>
        <v>#N/A</v>
      </c>
      <c r="W71" s="16"/>
      <c r="X71" s="16"/>
      <c r="Y71" s="16"/>
      <c r="Z71" s="16">
        <f t="shared" si="15"/>
        <v>0</v>
      </c>
      <c r="AA71" s="16">
        <f t="shared" si="9"/>
        <v>0</v>
      </c>
      <c r="AB71" s="16"/>
      <c r="AC71" s="17"/>
      <c r="AD71" s="51"/>
    </row>
    <row r="72" spans="1:30" ht="19.5" thickBot="1" x14ac:dyDescent="0.3">
      <c r="A72" s="14">
        <v>5</v>
      </c>
      <c r="B72" s="15"/>
      <c r="C72" s="15" t="e">
        <f>VLOOKUP(B72,داتا!$B$3:$D$107,2,FALSE)</f>
        <v>#N/A</v>
      </c>
      <c r="D72" s="34" t="e">
        <f>VLOOKUP(B72,داتا!$B$3:$D$107,3,FALSE)</f>
        <v>#N/A</v>
      </c>
      <c r="E72" s="15"/>
      <c r="F72" s="15"/>
      <c r="G72" s="16">
        <v>8.3333333333333329E-2</v>
      </c>
      <c r="H72" s="16" t="e">
        <f t="shared" si="16"/>
        <v>#N/A</v>
      </c>
      <c r="I72" s="16" t="e">
        <f t="shared" si="10"/>
        <v>#N/A</v>
      </c>
      <c r="J72" s="16"/>
      <c r="K72" s="16"/>
      <c r="L72" s="16"/>
      <c r="M72" s="16"/>
      <c r="N72" s="16">
        <f t="shared" si="11"/>
        <v>0</v>
      </c>
      <c r="O72" s="16" t="e">
        <f t="shared" si="12"/>
        <v>#N/A</v>
      </c>
      <c r="P72" s="16">
        <v>6.9444444444444397E-3</v>
      </c>
      <c r="Q72" s="16"/>
      <c r="R72" s="16">
        <f t="shared" si="13"/>
        <v>-6.9444444444444397E-3</v>
      </c>
      <c r="S72" s="16"/>
      <c r="T72" s="16" t="e">
        <f>VLOOKUP(E72,'[2]21-3-2026'!E$3:T$35,16,FALSE)</f>
        <v>#N/A</v>
      </c>
      <c r="U72" s="16"/>
      <c r="V72" s="16" t="e">
        <f t="shared" si="14"/>
        <v>#N/A</v>
      </c>
      <c r="W72" s="16"/>
      <c r="X72" s="16"/>
      <c r="Y72" s="16"/>
      <c r="Z72" s="16">
        <f t="shared" si="15"/>
        <v>0</v>
      </c>
      <c r="AA72" s="16">
        <f t="shared" si="9"/>
        <v>0</v>
      </c>
      <c r="AB72" s="16"/>
      <c r="AC72" s="17"/>
      <c r="AD72" s="51"/>
    </row>
    <row r="73" spans="1:30" ht="19.5" thickBot="1" x14ac:dyDescent="0.3">
      <c r="A73" s="14">
        <v>6</v>
      </c>
      <c r="B73" s="15"/>
      <c r="C73" s="15" t="e">
        <f>VLOOKUP(B73,داتا!$B$3:$D$107,2,FALSE)</f>
        <v>#N/A</v>
      </c>
      <c r="D73" s="34" t="e">
        <f>VLOOKUP(B73,داتا!$B$3:$D$107,3,FALSE)</f>
        <v>#N/A</v>
      </c>
      <c r="E73" s="15"/>
      <c r="F73" s="15"/>
      <c r="G73" s="16">
        <v>8.3333333333333329E-2</v>
      </c>
      <c r="H73" s="16" t="e">
        <f t="shared" si="16"/>
        <v>#N/A</v>
      </c>
      <c r="I73" s="16" t="e">
        <f t="shared" si="10"/>
        <v>#N/A</v>
      </c>
      <c r="J73" s="16"/>
      <c r="K73" s="16"/>
      <c r="L73" s="16"/>
      <c r="M73" s="16"/>
      <c r="N73" s="16">
        <f t="shared" si="11"/>
        <v>0</v>
      </c>
      <c r="O73" s="16" t="e">
        <f t="shared" si="12"/>
        <v>#N/A</v>
      </c>
      <c r="P73" s="16">
        <v>6.9444444444444397E-3</v>
      </c>
      <c r="Q73" s="16"/>
      <c r="R73" s="16">
        <f t="shared" si="13"/>
        <v>-6.9444444444444397E-3</v>
      </c>
      <c r="S73" s="16"/>
      <c r="T73" s="16" t="e">
        <f>VLOOKUP(E73,'[2]21-3-2026'!E$3:T$35,16,FALSE)</f>
        <v>#N/A</v>
      </c>
      <c r="U73" s="16"/>
      <c r="V73" s="16" t="e">
        <f t="shared" si="14"/>
        <v>#N/A</v>
      </c>
      <c r="W73" s="16"/>
      <c r="X73" s="16"/>
      <c r="Y73" s="16"/>
      <c r="Z73" s="16">
        <f t="shared" si="15"/>
        <v>0</v>
      </c>
      <c r="AA73" s="16">
        <f t="shared" si="9"/>
        <v>0</v>
      </c>
      <c r="AB73" s="16"/>
      <c r="AC73" s="17"/>
      <c r="AD73" s="51"/>
    </row>
    <row r="74" spans="1:30" ht="19.5" thickBot="1" x14ac:dyDescent="0.3">
      <c r="A74" s="14">
        <v>7</v>
      </c>
      <c r="B74" s="15"/>
      <c r="C74" s="15" t="e">
        <f>VLOOKUP(B74,داتا!$B$3:$D$107,2,FALSE)</f>
        <v>#N/A</v>
      </c>
      <c r="D74" s="34" t="e">
        <f>VLOOKUP(B74,داتا!$B$3:$D$107,3,FALSE)</f>
        <v>#N/A</v>
      </c>
      <c r="E74" s="15"/>
      <c r="F74" s="15"/>
      <c r="G74" s="16">
        <v>8.3333333333333329E-2</v>
      </c>
      <c r="H74" s="16" t="e">
        <f t="shared" si="16"/>
        <v>#N/A</v>
      </c>
      <c r="I74" s="16" t="e">
        <f t="shared" si="10"/>
        <v>#N/A</v>
      </c>
      <c r="J74" s="16"/>
      <c r="K74" s="16"/>
      <c r="L74" s="16"/>
      <c r="M74" s="16"/>
      <c r="N74" s="16">
        <f t="shared" si="11"/>
        <v>0</v>
      </c>
      <c r="O74" s="16" t="e">
        <f t="shared" si="12"/>
        <v>#N/A</v>
      </c>
      <c r="P74" s="16">
        <v>6.9444444444444397E-3</v>
      </c>
      <c r="Q74" s="16"/>
      <c r="R74" s="16">
        <f t="shared" si="13"/>
        <v>-6.9444444444444397E-3</v>
      </c>
      <c r="S74" s="16"/>
      <c r="T74" s="16" t="e">
        <f>VLOOKUP(E74,'[2]21-3-2026'!E$3:T$35,16,FALSE)</f>
        <v>#N/A</v>
      </c>
      <c r="U74" s="16"/>
      <c r="V74" s="16" t="e">
        <f t="shared" si="14"/>
        <v>#N/A</v>
      </c>
      <c r="W74" s="16"/>
      <c r="X74" s="16"/>
      <c r="Y74" s="16"/>
      <c r="Z74" s="16">
        <f t="shared" si="15"/>
        <v>0</v>
      </c>
      <c r="AA74" s="16">
        <f t="shared" si="9"/>
        <v>0</v>
      </c>
      <c r="AB74" s="16"/>
      <c r="AC74" s="17"/>
      <c r="AD74" s="51"/>
    </row>
    <row r="75" spans="1:30" ht="19.5" thickBot="1" x14ac:dyDescent="0.3">
      <c r="A75" s="14">
        <v>8</v>
      </c>
      <c r="B75" s="15"/>
      <c r="C75" s="15" t="e">
        <f>VLOOKUP(B75,داتا!$B$3:$D$107,2,FALSE)</f>
        <v>#N/A</v>
      </c>
      <c r="D75" s="34" t="e">
        <f>VLOOKUP(B75,داتا!$B$3:$D$107,3,FALSE)</f>
        <v>#N/A</v>
      </c>
      <c r="E75" s="15"/>
      <c r="F75" s="15"/>
      <c r="G75" s="16">
        <v>8.3333333333333329E-2</v>
      </c>
      <c r="H75" s="16" t="e">
        <f t="shared" si="16"/>
        <v>#N/A</v>
      </c>
      <c r="I75" s="16" t="e">
        <f t="shared" si="10"/>
        <v>#N/A</v>
      </c>
      <c r="J75" s="16"/>
      <c r="K75" s="16"/>
      <c r="L75" s="16"/>
      <c r="M75" s="16"/>
      <c r="N75" s="16">
        <f t="shared" si="11"/>
        <v>0</v>
      </c>
      <c r="O75" s="16" t="e">
        <f t="shared" si="12"/>
        <v>#N/A</v>
      </c>
      <c r="P75" s="16">
        <v>6.9444444444444397E-3</v>
      </c>
      <c r="Q75" s="16"/>
      <c r="R75" s="16">
        <f t="shared" si="13"/>
        <v>-6.9444444444444397E-3</v>
      </c>
      <c r="S75" s="16"/>
      <c r="T75" s="16" t="e">
        <f>VLOOKUP(E75,'[2]21-3-2026'!E$3:T$35,16,FALSE)</f>
        <v>#N/A</v>
      </c>
      <c r="U75" s="16"/>
      <c r="V75" s="16" t="e">
        <f t="shared" si="14"/>
        <v>#N/A</v>
      </c>
      <c r="W75" s="16"/>
      <c r="X75" s="16"/>
      <c r="Y75" s="16"/>
      <c r="Z75" s="16">
        <f t="shared" si="15"/>
        <v>0</v>
      </c>
      <c r="AA75" s="16">
        <f t="shared" si="9"/>
        <v>0</v>
      </c>
      <c r="AB75" s="16"/>
      <c r="AC75" s="17"/>
      <c r="AD75" s="51"/>
    </row>
    <row r="76" spans="1:30" ht="19.5" thickBot="1" x14ac:dyDescent="0.3">
      <c r="A76" s="14">
        <v>9</v>
      </c>
      <c r="B76" s="15"/>
      <c r="C76" s="15" t="e">
        <f>VLOOKUP(B76,داتا!$B$3:$D$107,2,FALSE)</f>
        <v>#N/A</v>
      </c>
      <c r="D76" s="34" t="e">
        <f>VLOOKUP(B76,داتا!$B$3:$D$107,3,FALSE)</f>
        <v>#N/A</v>
      </c>
      <c r="E76" s="16"/>
      <c r="F76" s="15"/>
      <c r="G76" s="16">
        <v>8.3333333333333329E-2</v>
      </c>
      <c r="H76" s="16" t="e">
        <f t="shared" si="16"/>
        <v>#N/A</v>
      </c>
      <c r="I76" s="16" t="e">
        <f t="shared" si="10"/>
        <v>#N/A</v>
      </c>
      <c r="J76" s="16"/>
      <c r="K76" s="16"/>
      <c r="L76" s="16"/>
      <c r="M76" s="16"/>
      <c r="N76" s="16">
        <f t="shared" si="11"/>
        <v>0</v>
      </c>
      <c r="O76" s="16" t="e">
        <f t="shared" si="12"/>
        <v>#N/A</v>
      </c>
      <c r="P76" s="16">
        <v>6.9444444444444397E-3</v>
      </c>
      <c r="Q76" s="16"/>
      <c r="R76" s="16">
        <f t="shared" si="13"/>
        <v>-6.9444444444444397E-3</v>
      </c>
      <c r="S76" s="16"/>
      <c r="T76" s="16" t="e">
        <f>VLOOKUP(E76,'[2]21-3-2026'!E$3:T$35,16,FALSE)</f>
        <v>#N/A</v>
      </c>
      <c r="U76" s="16"/>
      <c r="V76" s="16" t="e">
        <f t="shared" si="14"/>
        <v>#N/A</v>
      </c>
      <c r="W76" s="16"/>
      <c r="X76" s="16"/>
      <c r="Y76" s="16"/>
      <c r="Z76" s="16">
        <f t="shared" si="15"/>
        <v>0</v>
      </c>
      <c r="AA76" s="16">
        <f t="shared" si="9"/>
        <v>0</v>
      </c>
      <c r="AB76" s="16"/>
      <c r="AC76" s="17"/>
      <c r="AD76" s="51"/>
    </row>
    <row r="77" spans="1:30" ht="19.5" thickBot="1" x14ac:dyDescent="0.3">
      <c r="A77" s="14">
        <v>10</v>
      </c>
      <c r="B77" s="15"/>
      <c r="C77" s="15" t="e">
        <f>VLOOKUP(B77,داتا!$B$3:$D$107,2,FALSE)</f>
        <v>#N/A</v>
      </c>
      <c r="D77" s="34" t="e">
        <f>VLOOKUP(B77,داتا!$B$3:$D$107,3,FALSE)</f>
        <v>#N/A</v>
      </c>
      <c r="E77" s="15"/>
      <c r="F77" s="15"/>
      <c r="G77" s="16">
        <v>8.3333333333333329E-2</v>
      </c>
      <c r="H77" s="16" t="e">
        <f t="shared" si="16"/>
        <v>#N/A</v>
      </c>
      <c r="I77" s="16" t="e">
        <f t="shared" si="10"/>
        <v>#N/A</v>
      </c>
      <c r="J77" s="16"/>
      <c r="K77" s="16"/>
      <c r="L77" s="16"/>
      <c r="M77" s="16"/>
      <c r="N77" s="16">
        <f t="shared" si="11"/>
        <v>0</v>
      </c>
      <c r="O77" s="16" t="e">
        <f t="shared" si="12"/>
        <v>#N/A</v>
      </c>
      <c r="P77" s="16">
        <v>6.9444444444444397E-3</v>
      </c>
      <c r="Q77" s="16"/>
      <c r="R77" s="16">
        <f t="shared" si="13"/>
        <v>-6.9444444444444397E-3</v>
      </c>
      <c r="S77" s="16"/>
      <c r="T77" s="16" t="e">
        <f>VLOOKUP(E77,'[2]21-3-2026'!E$3:T$35,16,FALSE)</f>
        <v>#N/A</v>
      </c>
      <c r="U77" s="16"/>
      <c r="V77" s="16" t="e">
        <f t="shared" si="14"/>
        <v>#N/A</v>
      </c>
      <c r="W77" s="16"/>
      <c r="X77" s="16"/>
      <c r="Y77" s="16"/>
      <c r="Z77" s="16">
        <f t="shared" si="15"/>
        <v>0</v>
      </c>
      <c r="AA77" s="16">
        <f t="shared" si="9"/>
        <v>0</v>
      </c>
      <c r="AB77" s="16"/>
      <c r="AC77" s="17"/>
      <c r="AD77" s="51"/>
    </row>
    <row r="78" spans="1:30" ht="19.5" thickBot="1" x14ac:dyDescent="0.3">
      <c r="A78" s="14">
        <v>11</v>
      </c>
      <c r="B78" s="15"/>
      <c r="C78" s="15" t="e">
        <f>VLOOKUP(B78,داتا!$B$3:$D$107,2,FALSE)</f>
        <v>#N/A</v>
      </c>
      <c r="D78" s="34" t="e">
        <f>VLOOKUP(B78,داتا!$B$3:$D$107,3,FALSE)</f>
        <v>#N/A</v>
      </c>
      <c r="E78" s="15"/>
      <c r="F78" s="15"/>
      <c r="G78" s="16">
        <v>8.3333333333333329E-2</v>
      </c>
      <c r="H78" s="16" t="e">
        <f t="shared" si="16"/>
        <v>#N/A</v>
      </c>
      <c r="I78" s="16" t="e">
        <f t="shared" si="10"/>
        <v>#N/A</v>
      </c>
      <c r="J78" s="16"/>
      <c r="K78" s="16"/>
      <c r="L78" s="16"/>
      <c r="M78" s="16"/>
      <c r="N78" s="16">
        <f t="shared" si="11"/>
        <v>0</v>
      </c>
      <c r="O78" s="16" t="e">
        <f t="shared" si="12"/>
        <v>#N/A</v>
      </c>
      <c r="P78" s="16">
        <v>6.9444444444444397E-3</v>
      </c>
      <c r="Q78" s="16"/>
      <c r="R78" s="16">
        <f t="shared" si="13"/>
        <v>-6.9444444444444397E-3</v>
      </c>
      <c r="S78" s="16"/>
      <c r="T78" s="16" t="e">
        <f>VLOOKUP(E78,'[2]21-3-2026'!E$3:T$35,16,FALSE)</f>
        <v>#N/A</v>
      </c>
      <c r="U78" s="16"/>
      <c r="V78" s="16" t="e">
        <f t="shared" si="14"/>
        <v>#N/A</v>
      </c>
      <c r="W78" s="16"/>
      <c r="X78" s="16"/>
      <c r="Y78" s="16"/>
      <c r="Z78" s="16">
        <f t="shared" si="15"/>
        <v>0</v>
      </c>
      <c r="AA78" s="16">
        <f t="shared" si="9"/>
        <v>0</v>
      </c>
      <c r="AB78" s="16"/>
      <c r="AC78" s="17"/>
      <c r="AD78" s="51"/>
    </row>
    <row r="79" spans="1:30" ht="19.5" thickBot="1" x14ac:dyDescent="0.3">
      <c r="A79" s="14">
        <v>12</v>
      </c>
      <c r="B79" s="15"/>
      <c r="C79" s="15" t="e">
        <f>VLOOKUP(B79,داتا!$B$3:$D$107,2,FALSE)</f>
        <v>#N/A</v>
      </c>
      <c r="D79" s="34" t="e">
        <f>VLOOKUP(B79,داتا!$B$3:$D$107,3,FALSE)</f>
        <v>#N/A</v>
      </c>
      <c r="E79" s="15"/>
      <c r="F79" s="15"/>
      <c r="G79" s="16">
        <v>8.3333333333333329E-2</v>
      </c>
      <c r="H79" s="16" t="e">
        <f t="shared" si="16"/>
        <v>#N/A</v>
      </c>
      <c r="I79" s="16" t="e">
        <f t="shared" si="10"/>
        <v>#N/A</v>
      </c>
      <c r="J79" s="16"/>
      <c r="K79" s="16"/>
      <c r="L79" s="16"/>
      <c r="M79" s="16"/>
      <c r="N79" s="16">
        <f t="shared" si="11"/>
        <v>0</v>
      </c>
      <c r="O79" s="16" t="e">
        <f t="shared" si="12"/>
        <v>#N/A</v>
      </c>
      <c r="P79" s="16">
        <v>6.9444444444444397E-3</v>
      </c>
      <c r="Q79" s="16"/>
      <c r="R79" s="16">
        <f t="shared" si="13"/>
        <v>-6.9444444444444397E-3</v>
      </c>
      <c r="S79" s="16"/>
      <c r="T79" s="16" t="e">
        <f>VLOOKUP(E79,'[2]21-3-2026'!E$3:T$35,16,FALSE)</f>
        <v>#N/A</v>
      </c>
      <c r="U79" s="16"/>
      <c r="V79" s="16" t="e">
        <f t="shared" si="14"/>
        <v>#N/A</v>
      </c>
      <c r="W79" s="16"/>
      <c r="X79" s="16"/>
      <c r="Y79" s="16"/>
      <c r="Z79" s="16">
        <f t="shared" si="15"/>
        <v>0</v>
      </c>
      <c r="AA79" s="16">
        <f t="shared" si="9"/>
        <v>0</v>
      </c>
      <c r="AB79" s="16"/>
      <c r="AC79" s="17"/>
      <c r="AD79" s="51"/>
    </row>
    <row r="80" spans="1:30" ht="19.5" thickBot="1" x14ac:dyDescent="0.3">
      <c r="A80" s="14">
        <v>13</v>
      </c>
      <c r="B80" s="15"/>
      <c r="C80" s="15" t="e">
        <f>VLOOKUP(B80,داتا!$B$3:$D$107,2,FALSE)</f>
        <v>#N/A</v>
      </c>
      <c r="D80" s="34" t="e">
        <f>VLOOKUP(B80,داتا!$B$3:$D$107,3,FALSE)</f>
        <v>#N/A</v>
      </c>
      <c r="E80" s="15"/>
      <c r="F80" s="15"/>
      <c r="G80" s="16">
        <v>8.3333333333333329E-2</v>
      </c>
      <c r="H80" s="16" t="e">
        <f t="shared" si="16"/>
        <v>#N/A</v>
      </c>
      <c r="I80" s="16" t="e">
        <f t="shared" si="10"/>
        <v>#N/A</v>
      </c>
      <c r="J80" s="16"/>
      <c r="K80" s="16"/>
      <c r="L80" s="16"/>
      <c r="M80" s="16"/>
      <c r="N80" s="16">
        <f t="shared" si="11"/>
        <v>0</v>
      </c>
      <c r="O80" s="16" t="e">
        <f t="shared" si="12"/>
        <v>#N/A</v>
      </c>
      <c r="P80" s="16">
        <v>6.9444444444444397E-3</v>
      </c>
      <c r="Q80" s="16"/>
      <c r="R80" s="16">
        <f t="shared" si="13"/>
        <v>-6.9444444444444397E-3</v>
      </c>
      <c r="S80" s="16"/>
      <c r="T80" s="16" t="e">
        <f>VLOOKUP(E80,'[2]21-3-2026'!E$3:T$35,16,FALSE)</f>
        <v>#N/A</v>
      </c>
      <c r="U80" s="16"/>
      <c r="V80" s="16" t="e">
        <f t="shared" si="14"/>
        <v>#N/A</v>
      </c>
      <c r="W80" s="16"/>
      <c r="X80" s="16"/>
      <c r="Y80" s="16"/>
      <c r="Z80" s="16">
        <f t="shared" si="15"/>
        <v>0</v>
      </c>
      <c r="AA80" s="16">
        <f t="shared" si="9"/>
        <v>0</v>
      </c>
      <c r="AB80" s="16"/>
      <c r="AC80" s="17"/>
      <c r="AD80" s="51"/>
    </row>
    <row r="81" spans="1:30" ht="19.5" thickBot="1" x14ac:dyDescent="0.3">
      <c r="A81" s="14">
        <v>14</v>
      </c>
      <c r="B81" s="15"/>
      <c r="C81" s="15" t="e">
        <f>VLOOKUP(B81,داتا!$B$3:$D$107,2,FALSE)</f>
        <v>#N/A</v>
      </c>
      <c r="D81" s="34" t="e">
        <f>VLOOKUP(B81,داتا!$B$3:$D$107,3,FALSE)</f>
        <v>#N/A</v>
      </c>
      <c r="E81" s="15"/>
      <c r="F81" s="15"/>
      <c r="G81" s="16">
        <v>8.3333333333333329E-2</v>
      </c>
      <c r="H81" s="16" t="e">
        <f t="shared" si="16"/>
        <v>#N/A</v>
      </c>
      <c r="I81" s="16" t="e">
        <f t="shared" si="10"/>
        <v>#N/A</v>
      </c>
      <c r="J81" s="16"/>
      <c r="K81" s="16"/>
      <c r="L81" s="16"/>
      <c r="M81" s="16"/>
      <c r="N81" s="16">
        <f t="shared" si="11"/>
        <v>0</v>
      </c>
      <c r="O81" s="16" t="e">
        <f t="shared" si="12"/>
        <v>#N/A</v>
      </c>
      <c r="P81" s="16">
        <v>6.9444444444444397E-3</v>
      </c>
      <c r="Q81" s="16"/>
      <c r="R81" s="16">
        <f t="shared" si="13"/>
        <v>-6.9444444444444397E-3</v>
      </c>
      <c r="S81" s="16"/>
      <c r="T81" s="16" t="e">
        <f>VLOOKUP(E81,'[2]21-3-2026'!E$3:T$35,16,FALSE)</f>
        <v>#N/A</v>
      </c>
      <c r="U81" s="16"/>
      <c r="V81" s="16" t="e">
        <f t="shared" si="14"/>
        <v>#N/A</v>
      </c>
      <c r="W81" s="16"/>
      <c r="X81" s="16"/>
      <c r="Y81" s="16"/>
      <c r="Z81" s="16">
        <f t="shared" si="15"/>
        <v>0</v>
      </c>
      <c r="AA81" s="16">
        <f t="shared" si="9"/>
        <v>0</v>
      </c>
      <c r="AB81" s="16"/>
      <c r="AC81" s="17"/>
      <c r="AD81" s="51"/>
    </row>
    <row r="82" spans="1:30" ht="19.5" thickBot="1" x14ac:dyDescent="0.3">
      <c r="A82" s="14">
        <v>15</v>
      </c>
      <c r="B82" s="15"/>
      <c r="C82" s="15" t="e">
        <f>VLOOKUP(B82,داتا!$B$3:$D$107,2,FALSE)</f>
        <v>#N/A</v>
      </c>
      <c r="D82" s="34" t="e">
        <f>VLOOKUP(B82,داتا!$B$3:$D$107,3,FALSE)</f>
        <v>#N/A</v>
      </c>
      <c r="E82" s="15"/>
      <c r="F82" s="15"/>
      <c r="G82" s="16">
        <v>8.3333333333333329E-2</v>
      </c>
      <c r="H82" s="16" t="e">
        <f t="shared" si="16"/>
        <v>#N/A</v>
      </c>
      <c r="I82" s="16" t="e">
        <f t="shared" si="10"/>
        <v>#N/A</v>
      </c>
      <c r="J82" s="16"/>
      <c r="K82" s="16"/>
      <c r="L82" s="16"/>
      <c r="M82" s="16"/>
      <c r="N82" s="16">
        <f t="shared" si="11"/>
        <v>0</v>
      </c>
      <c r="O82" s="16" t="e">
        <f t="shared" si="12"/>
        <v>#N/A</v>
      </c>
      <c r="P82" s="16">
        <v>6.9444444444444397E-3</v>
      </c>
      <c r="Q82" s="16"/>
      <c r="R82" s="16">
        <f t="shared" si="13"/>
        <v>-6.9444444444444397E-3</v>
      </c>
      <c r="S82" s="16"/>
      <c r="T82" s="16" t="e">
        <f>VLOOKUP(E82,'[2]21-3-2026'!E$3:T$35,16,FALSE)</f>
        <v>#N/A</v>
      </c>
      <c r="U82" s="16"/>
      <c r="V82" s="16" t="e">
        <f t="shared" si="14"/>
        <v>#N/A</v>
      </c>
      <c r="W82" s="16"/>
      <c r="X82" s="16"/>
      <c r="Y82" s="16"/>
      <c r="Z82" s="16">
        <f t="shared" si="15"/>
        <v>0</v>
      </c>
      <c r="AA82" s="16">
        <f t="shared" si="9"/>
        <v>0</v>
      </c>
      <c r="AB82" s="16"/>
      <c r="AC82" s="17"/>
      <c r="AD82" s="51"/>
    </row>
    <row r="83" spans="1:30" ht="19.5" thickBot="1" x14ac:dyDescent="0.3">
      <c r="A83" s="14">
        <v>16</v>
      </c>
      <c r="B83" s="15"/>
      <c r="C83" s="15" t="e">
        <f>VLOOKUP(B83,داتا!$B$3:$D$107,2,FALSE)</f>
        <v>#N/A</v>
      </c>
      <c r="D83" s="34" t="e">
        <f>VLOOKUP(B83,داتا!$B$3:$D$107,3,FALSE)</f>
        <v>#N/A</v>
      </c>
      <c r="E83" s="15"/>
      <c r="F83" s="15"/>
      <c r="G83" s="16">
        <v>8.3333333333333329E-2</v>
      </c>
      <c r="H83" s="16" t="e">
        <f t="shared" si="16"/>
        <v>#N/A</v>
      </c>
      <c r="I83" s="16" t="e">
        <f t="shared" si="10"/>
        <v>#N/A</v>
      </c>
      <c r="J83" s="16"/>
      <c r="K83" s="16"/>
      <c r="L83" s="16"/>
      <c r="M83" s="16"/>
      <c r="N83" s="16">
        <f t="shared" si="11"/>
        <v>0</v>
      </c>
      <c r="O83" s="16" t="e">
        <f t="shared" si="12"/>
        <v>#N/A</v>
      </c>
      <c r="P83" s="16">
        <v>6.9444444444444397E-3</v>
      </c>
      <c r="Q83" s="16"/>
      <c r="R83" s="16">
        <f t="shared" si="13"/>
        <v>-6.9444444444444397E-3</v>
      </c>
      <c r="S83" s="16"/>
      <c r="T83" s="16" t="e">
        <f>VLOOKUP(E83,'[2]21-3-2026'!E$3:T$35,16,FALSE)</f>
        <v>#N/A</v>
      </c>
      <c r="U83" s="16"/>
      <c r="V83" s="16" t="e">
        <f t="shared" si="14"/>
        <v>#N/A</v>
      </c>
      <c r="W83" s="16"/>
      <c r="X83" s="16"/>
      <c r="Y83" s="16"/>
      <c r="Z83" s="16">
        <f t="shared" si="15"/>
        <v>0</v>
      </c>
      <c r="AA83" s="16">
        <f t="shared" si="9"/>
        <v>0</v>
      </c>
      <c r="AB83" s="16"/>
      <c r="AC83" s="17"/>
      <c r="AD83" s="51"/>
    </row>
    <row r="84" spans="1:30" ht="19.5" thickBot="1" x14ac:dyDescent="0.3">
      <c r="A84" s="14">
        <v>17</v>
      </c>
      <c r="B84" s="15"/>
      <c r="C84" s="15" t="e">
        <f>VLOOKUP(B84,داتا!$B$3:$D$107,2,FALSE)</f>
        <v>#N/A</v>
      </c>
      <c r="D84" s="34" t="e">
        <f>VLOOKUP(B84,داتا!$B$3:$D$107,3,FALSE)</f>
        <v>#N/A</v>
      </c>
      <c r="E84" s="15"/>
      <c r="F84" s="15"/>
      <c r="G84" s="16">
        <v>8.3333333333333329E-2</v>
      </c>
      <c r="H84" s="16" t="e">
        <f t="shared" si="16"/>
        <v>#N/A</v>
      </c>
      <c r="I84" s="16" t="e">
        <f t="shared" si="10"/>
        <v>#N/A</v>
      </c>
      <c r="J84" s="16"/>
      <c r="K84" s="16"/>
      <c r="L84" s="16"/>
      <c r="M84" s="16"/>
      <c r="N84" s="16">
        <f t="shared" si="11"/>
        <v>0</v>
      </c>
      <c r="O84" s="16" t="e">
        <f t="shared" si="12"/>
        <v>#N/A</v>
      </c>
      <c r="P84" s="16">
        <v>6.9444444444444397E-3</v>
      </c>
      <c r="Q84" s="16"/>
      <c r="R84" s="16">
        <f t="shared" si="13"/>
        <v>-6.9444444444444397E-3</v>
      </c>
      <c r="S84" s="16"/>
      <c r="T84" s="16" t="e">
        <f>VLOOKUP(E84,'[2]21-3-2026'!E$3:T$35,16,FALSE)</f>
        <v>#N/A</v>
      </c>
      <c r="U84" s="16"/>
      <c r="V84" s="16" t="e">
        <f t="shared" si="14"/>
        <v>#N/A</v>
      </c>
      <c r="W84" s="16"/>
      <c r="X84" s="16"/>
      <c r="Y84" s="16"/>
      <c r="Z84" s="16">
        <f t="shared" si="15"/>
        <v>0</v>
      </c>
      <c r="AA84" s="16">
        <f t="shared" si="9"/>
        <v>0</v>
      </c>
      <c r="AB84" s="16"/>
      <c r="AC84" s="17"/>
      <c r="AD84" s="51"/>
    </row>
    <row r="85" spans="1:30" ht="19.5" thickBot="1" x14ac:dyDescent="0.3">
      <c r="A85" s="14">
        <v>18</v>
      </c>
      <c r="B85" s="15"/>
      <c r="C85" s="15" t="e">
        <f>VLOOKUP(B85,داتا!$B$3:$D$107,2,FALSE)</f>
        <v>#N/A</v>
      </c>
      <c r="D85" s="34" t="e">
        <f>VLOOKUP(B85,داتا!$B$3:$D$107,3,FALSE)</f>
        <v>#N/A</v>
      </c>
      <c r="E85" s="15"/>
      <c r="F85" s="15"/>
      <c r="G85" s="16">
        <v>8.3333333333333329E-2</v>
      </c>
      <c r="H85" s="16" t="e">
        <f t="shared" ref="H85:H99" si="17">VLOOKUP(G85,$F$3:$I$35,2,FALSE)</f>
        <v>#N/A</v>
      </c>
      <c r="I85" s="16" t="e">
        <f t="shared" si="10"/>
        <v>#N/A</v>
      </c>
      <c r="J85" s="16"/>
      <c r="K85" s="16"/>
      <c r="L85" s="16"/>
      <c r="M85" s="16"/>
      <c r="N85" s="16">
        <f t="shared" si="11"/>
        <v>0</v>
      </c>
      <c r="O85" s="16" t="e">
        <f t="shared" si="12"/>
        <v>#N/A</v>
      </c>
      <c r="P85" s="16">
        <v>6.9444444444444397E-3</v>
      </c>
      <c r="Q85" s="16"/>
      <c r="R85" s="16">
        <f t="shared" si="13"/>
        <v>-6.9444444444444397E-3</v>
      </c>
      <c r="S85" s="16"/>
      <c r="T85" s="16" t="e">
        <f>VLOOKUP(E85,'[2]21-3-2026'!E$3:T$35,16,FALSE)</f>
        <v>#N/A</v>
      </c>
      <c r="U85" s="16"/>
      <c r="V85" s="16" t="e">
        <f t="shared" si="14"/>
        <v>#N/A</v>
      </c>
      <c r="W85" s="16"/>
      <c r="X85" s="16"/>
      <c r="Y85" s="16"/>
      <c r="Z85" s="16">
        <f t="shared" si="15"/>
        <v>0</v>
      </c>
      <c r="AA85" s="16">
        <f t="shared" si="9"/>
        <v>0</v>
      </c>
      <c r="AB85" s="16"/>
      <c r="AC85" s="17"/>
      <c r="AD85" s="51"/>
    </row>
    <row r="86" spans="1:30" ht="19.5" thickBot="1" x14ac:dyDescent="0.3">
      <c r="A86" s="14">
        <v>19</v>
      </c>
      <c r="B86" s="15"/>
      <c r="C86" s="15" t="e">
        <f>VLOOKUP(B86,داتا!$B$3:$D$107,2,FALSE)</f>
        <v>#N/A</v>
      </c>
      <c r="D86" s="34" t="e">
        <f>VLOOKUP(B86,داتا!$B$3:$D$107,3,FALSE)</f>
        <v>#N/A</v>
      </c>
      <c r="E86" s="15"/>
      <c r="F86" s="15"/>
      <c r="G86" s="16">
        <v>8.3333333333333329E-2</v>
      </c>
      <c r="H86" s="16" t="e">
        <f t="shared" si="17"/>
        <v>#N/A</v>
      </c>
      <c r="I86" s="16" t="e">
        <f t="shared" si="10"/>
        <v>#N/A</v>
      </c>
      <c r="J86" s="16"/>
      <c r="K86" s="16"/>
      <c r="L86" s="16"/>
      <c r="M86" s="16"/>
      <c r="N86" s="16">
        <f t="shared" si="11"/>
        <v>0</v>
      </c>
      <c r="O86" s="16" t="e">
        <f t="shared" si="12"/>
        <v>#N/A</v>
      </c>
      <c r="P86" s="16">
        <v>6.9444444444444397E-3</v>
      </c>
      <c r="Q86" s="16"/>
      <c r="R86" s="16">
        <f t="shared" si="13"/>
        <v>-6.9444444444444397E-3</v>
      </c>
      <c r="S86" s="16"/>
      <c r="T86" s="16" t="e">
        <f>VLOOKUP(E86,'[2]21-3-2026'!E$3:T$35,16,FALSE)</f>
        <v>#N/A</v>
      </c>
      <c r="U86" s="16"/>
      <c r="V86" s="16" t="e">
        <f t="shared" si="14"/>
        <v>#N/A</v>
      </c>
      <c r="W86" s="16"/>
      <c r="X86" s="16"/>
      <c r="Y86" s="16"/>
      <c r="Z86" s="16">
        <f t="shared" si="15"/>
        <v>0</v>
      </c>
      <c r="AA86" s="16">
        <f t="shared" si="9"/>
        <v>0</v>
      </c>
      <c r="AB86" s="16"/>
      <c r="AC86" s="17"/>
      <c r="AD86" s="51"/>
    </row>
    <row r="87" spans="1:30" ht="19.5" thickBot="1" x14ac:dyDescent="0.3">
      <c r="A87" s="14">
        <v>20</v>
      </c>
      <c r="B87" s="15"/>
      <c r="C87" s="15" t="e">
        <f>VLOOKUP(B87,داتا!$B$3:$D$107,2,FALSE)</f>
        <v>#N/A</v>
      </c>
      <c r="D87" s="34" t="e">
        <f>VLOOKUP(B87,داتا!$B$3:$D$107,3,FALSE)</f>
        <v>#N/A</v>
      </c>
      <c r="E87" s="15"/>
      <c r="F87" s="15"/>
      <c r="G87" s="16">
        <v>8.3333333333333329E-2</v>
      </c>
      <c r="H87" s="16" t="e">
        <f t="shared" si="17"/>
        <v>#N/A</v>
      </c>
      <c r="I87" s="16" t="e">
        <f t="shared" si="10"/>
        <v>#N/A</v>
      </c>
      <c r="J87" s="16"/>
      <c r="K87" s="16"/>
      <c r="L87" s="16"/>
      <c r="M87" s="16"/>
      <c r="N87" s="16">
        <f t="shared" si="11"/>
        <v>0</v>
      </c>
      <c r="O87" s="16" t="e">
        <f t="shared" si="12"/>
        <v>#N/A</v>
      </c>
      <c r="P87" s="16">
        <v>6.9444444444444397E-3</v>
      </c>
      <c r="Q87" s="16"/>
      <c r="R87" s="16">
        <f t="shared" si="13"/>
        <v>-6.9444444444444397E-3</v>
      </c>
      <c r="S87" s="16"/>
      <c r="T87" s="16" t="e">
        <f>VLOOKUP(E87,'[2]21-3-2026'!E$3:T$35,16,FALSE)</f>
        <v>#N/A</v>
      </c>
      <c r="U87" s="16"/>
      <c r="V87" s="16" t="e">
        <f t="shared" si="14"/>
        <v>#N/A</v>
      </c>
      <c r="W87" s="16"/>
      <c r="X87" s="16"/>
      <c r="Y87" s="16"/>
      <c r="Z87" s="16">
        <f t="shared" si="15"/>
        <v>0</v>
      </c>
      <c r="AA87" s="16">
        <f t="shared" si="9"/>
        <v>0</v>
      </c>
      <c r="AB87" s="16"/>
      <c r="AC87" s="17"/>
      <c r="AD87" s="51"/>
    </row>
    <row r="88" spans="1:30" ht="19.5" thickBot="1" x14ac:dyDescent="0.3">
      <c r="A88" s="14">
        <v>21</v>
      </c>
      <c r="B88" s="15"/>
      <c r="C88" s="15" t="e">
        <f>VLOOKUP(B88,داتا!$B$3:$D$107,2,FALSE)</f>
        <v>#N/A</v>
      </c>
      <c r="D88" s="34" t="e">
        <f>VLOOKUP(B88,داتا!$B$3:$D$107,3,FALSE)</f>
        <v>#N/A</v>
      </c>
      <c r="E88" s="15"/>
      <c r="F88" s="15"/>
      <c r="G88" s="16">
        <v>8.3333333333333329E-2</v>
      </c>
      <c r="H88" s="16" t="e">
        <f t="shared" si="17"/>
        <v>#N/A</v>
      </c>
      <c r="I88" s="16" t="e">
        <f t="shared" si="10"/>
        <v>#N/A</v>
      </c>
      <c r="J88" s="16"/>
      <c r="K88" s="16"/>
      <c r="L88" s="16"/>
      <c r="M88" s="16"/>
      <c r="N88" s="16">
        <f t="shared" si="11"/>
        <v>0</v>
      </c>
      <c r="O88" s="16" t="e">
        <f t="shared" si="12"/>
        <v>#N/A</v>
      </c>
      <c r="P88" s="16">
        <v>6.9444444444444397E-3</v>
      </c>
      <c r="Q88" s="16"/>
      <c r="R88" s="16">
        <f t="shared" si="13"/>
        <v>-6.9444444444444397E-3</v>
      </c>
      <c r="S88" s="16"/>
      <c r="T88" s="16" t="e">
        <f>VLOOKUP(E88,'[2]21-3-2026'!E$3:T$35,16,FALSE)</f>
        <v>#N/A</v>
      </c>
      <c r="U88" s="16"/>
      <c r="V88" s="16" t="e">
        <f t="shared" si="14"/>
        <v>#N/A</v>
      </c>
      <c r="W88" s="16"/>
      <c r="X88" s="16"/>
      <c r="Y88" s="16"/>
      <c r="Z88" s="16">
        <f t="shared" si="15"/>
        <v>0</v>
      </c>
      <c r="AA88" s="16">
        <f t="shared" si="9"/>
        <v>0</v>
      </c>
      <c r="AB88" s="16"/>
      <c r="AC88" s="19"/>
      <c r="AD88" s="51"/>
    </row>
    <row r="89" spans="1:30" ht="19.5" thickBot="1" x14ac:dyDescent="0.3">
      <c r="A89" s="14">
        <v>22</v>
      </c>
      <c r="B89" s="15"/>
      <c r="C89" s="15" t="e">
        <f>VLOOKUP(B89,داتا!$B$3:$D$107,2,FALSE)</f>
        <v>#N/A</v>
      </c>
      <c r="D89" s="34" t="e">
        <f>VLOOKUP(B89,داتا!$B$3:$D$107,3,FALSE)</f>
        <v>#N/A</v>
      </c>
      <c r="E89" s="15"/>
      <c r="F89" s="15"/>
      <c r="G89" s="16">
        <v>8.3333333333333329E-2</v>
      </c>
      <c r="H89" s="16" t="e">
        <f t="shared" si="17"/>
        <v>#N/A</v>
      </c>
      <c r="I89" s="16" t="e">
        <f t="shared" si="10"/>
        <v>#N/A</v>
      </c>
      <c r="J89" s="16"/>
      <c r="K89" s="16"/>
      <c r="L89" s="16"/>
      <c r="M89" s="16"/>
      <c r="N89" s="16">
        <f t="shared" si="11"/>
        <v>0</v>
      </c>
      <c r="O89" s="16" t="e">
        <f t="shared" si="12"/>
        <v>#N/A</v>
      </c>
      <c r="P89" s="16">
        <v>6.9444444444444397E-3</v>
      </c>
      <c r="Q89" s="16"/>
      <c r="R89" s="16">
        <f t="shared" si="13"/>
        <v>-6.9444444444444397E-3</v>
      </c>
      <c r="S89" s="16"/>
      <c r="T89" s="16" t="e">
        <f>VLOOKUP(E89,'[2]21-3-2026'!E$3:T$35,16,FALSE)</f>
        <v>#N/A</v>
      </c>
      <c r="U89" s="16"/>
      <c r="V89" s="16" t="e">
        <f t="shared" si="14"/>
        <v>#N/A</v>
      </c>
      <c r="W89" s="16"/>
      <c r="X89" s="16"/>
      <c r="Y89" s="16"/>
      <c r="Z89" s="16">
        <f t="shared" si="15"/>
        <v>0</v>
      </c>
      <c r="AA89" s="16">
        <f t="shared" si="9"/>
        <v>0</v>
      </c>
      <c r="AB89" s="16"/>
      <c r="AC89" s="19"/>
      <c r="AD89" s="51"/>
    </row>
    <row r="90" spans="1:30" ht="19.5" thickBot="1" x14ac:dyDescent="0.3">
      <c r="A90" s="14">
        <v>23</v>
      </c>
      <c r="B90" s="15"/>
      <c r="C90" s="15" t="e">
        <f>VLOOKUP(B90,داتا!$B$3:$D$107,2,FALSE)</f>
        <v>#N/A</v>
      </c>
      <c r="D90" s="34" t="e">
        <f>VLOOKUP(B90,داتا!$B$3:$D$107,3,FALSE)</f>
        <v>#N/A</v>
      </c>
      <c r="E90" s="15"/>
      <c r="F90" s="15"/>
      <c r="G90" s="16">
        <v>8.3333333333333329E-2</v>
      </c>
      <c r="H90" s="16" t="e">
        <f t="shared" si="17"/>
        <v>#N/A</v>
      </c>
      <c r="I90" s="16" t="e">
        <f t="shared" si="10"/>
        <v>#N/A</v>
      </c>
      <c r="J90" s="16"/>
      <c r="K90" s="16"/>
      <c r="L90" s="16"/>
      <c r="M90" s="16"/>
      <c r="N90" s="16">
        <f t="shared" si="11"/>
        <v>0</v>
      </c>
      <c r="O90" s="16" t="e">
        <f t="shared" si="12"/>
        <v>#N/A</v>
      </c>
      <c r="P90" s="16">
        <v>6.9444444444444397E-3</v>
      </c>
      <c r="Q90" s="16"/>
      <c r="R90" s="16">
        <f t="shared" si="13"/>
        <v>-6.9444444444444397E-3</v>
      </c>
      <c r="S90" s="16"/>
      <c r="T90" s="16" t="e">
        <f>VLOOKUP(E90,'[2]21-3-2026'!E$3:T$35,16,FALSE)</f>
        <v>#N/A</v>
      </c>
      <c r="U90" s="16"/>
      <c r="V90" s="16" t="e">
        <f t="shared" si="14"/>
        <v>#N/A</v>
      </c>
      <c r="W90" s="16"/>
      <c r="X90" s="16"/>
      <c r="Y90" s="16"/>
      <c r="Z90" s="16">
        <f t="shared" si="15"/>
        <v>0</v>
      </c>
      <c r="AA90" s="16">
        <f t="shared" si="9"/>
        <v>0</v>
      </c>
      <c r="AB90" s="16"/>
      <c r="AC90" s="19"/>
      <c r="AD90" s="51"/>
    </row>
    <row r="91" spans="1:30" ht="19.5" thickBot="1" x14ac:dyDescent="0.3">
      <c r="A91" s="14">
        <v>24</v>
      </c>
      <c r="B91" s="15"/>
      <c r="C91" s="15" t="e">
        <f>VLOOKUP(B91,داتا!$B$3:$D$107,2,FALSE)</f>
        <v>#N/A</v>
      </c>
      <c r="D91" s="34" t="e">
        <f>VLOOKUP(B91,داتا!$B$3:$D$107,3,FALSE)</f>
        <v>#N/A</v>
      </c>
      <c r="E91" s="15"/>
      <c r="F91" s="15"/>
      <c r="G91" s="16">
        <v>8.3333333333333329E-2</v>
      </c>
      <c r="H91" s="16" t="e">
        <f t="shared" si="17"/>
        <v>#N/A</v>
      </c>
      <c r="I91" s="16" t="e">
        <f t="shared" si="10"/>
        <v>#N/A</v>
      </c>
      <c r="J91" s="16"/>
      <c r="K91" s="16"/>
      <c r="L91" s="16"/>
      <c r="M91" s="16"/>
      <c r="N91" s="16">
        <f t="shared" si="11"/>
        <v>0</v>
      </c>
      <c r="O91" s="16" t="e">
        <f t="shared" si="12"/>
        <v>#N/A</v>
      </c>
      <c r="P91" s="16">
        <v>6.9444444444444397E-3</v>
      </c>
      <c r="Q91" s="16"/>
      <c r="R91" s="16">
        <f t="shared" si="13"/>
        <v>-6.9444444444444397E-3</v>
      </c>
      <c r="S91" s="16"/>
      <c r="T91" s="16" t="e">
        <f>VLOOKUP(E91,'[2]21-3-2026'!E$3:T$35,16,FALSE)</f>
        <v>#N/A</v>
      </c>
      <c r="U91" s="16"/>
      <c r="V91" s="16" t="e">
        <f t="shared" si="14"/>
        <v>#N/A</v>
      </c>
      <c r="W91" s="16"/>
      <c r="X91" s="16"/>
      <c r="Y91" s="16"/>
      <c r="Z91" s="16">
        <f t="shared" si="15"/>
        <v>0</v>
      </c>
      <c r="AA91" s="16">
        <f t="shared" si="9"/>
        <v>0</v>
      </c>
      <c r="AB91" s="16"/>
      <c r="AC91" s="19"/>
      <c r="AD91" s="51"/>
    </row>
    <row r="92" spans="1:30" ht="19.5" thickBot="1" x14ac:dyDescent="0.3">
      <c r="A92" s="14">
        <v>25</v>
      </c>
      <c r="B92" s="15"/>
      <c r="C92" s="15" t="e">
        <f>VLOOKUP(B92,داتا!$B$3:$D$107,2,FALSE)</f>
        <v>#N/A</v>
      </c>
      <c r="D92" s="34" t="e">
        <f>VLOOKUP(B92,داتا!$B$3:$D$107,3,FALSE)</f>
        <v>#N/A</v>
      </c>
      <c r="E92" s="15"/>
      <c r="F92" s="15"/>
      <c r="G92" s="16">
        <v>8.3333333333333329E-2</v>
      </c>
      <c r="H92" s="16" t="e">
        <f t="shared" si="17"/>
        <v>#N/A</v>
      </c>
      <c r="I92" s="16" t="e">
        <f t="shared" si="10"/>
        <v>#N/A</v>
      </c>
      <c r="J92" s="16"/>
      <c r="K92" s="16"/>
      <c r="L92" s="16"/>
      <c r="M92" s="16"/>
      <c r="N92" s="16">
        <f t="shared" si="11"/>
        <v>0</v>
      </c>
      <c r="O92" s="16" t="e">
        <f t="shared" si="12"/>
        <v>#N/A</v>
      </c>
      <c r="P92" s="16">
        <v>6.9444444444444397E-3</v>
      </c>
      <c r="Q92" s="16"/>
      <c r="R92" s="16">
        <f t="shared" si="13"/>
        <v>-6.9444444444444397E-3</v>
      </c>
      <c r="S92" s="16"/>
      <c r="T92" s="16" t="e">
        <f>VLOOKUP(E92,'[2]21-3-2026'!E$3:T$35,16,FALSE)</f>
        <v>#N/A</v>
      </c>
      <c r="U92" s="16"/>
      <c r="V92" s="16" t="e">
        <f t="shared" si="14"/>
        <v>#N/A</v>
      </c>
      <c r="W92" s="16"/>
      <c r="X92" s="16"/>
      <c r="Y92" s="16"/>
      <c r="Z92" s="16">
        <f t="shared" si="15"/>
        <v>0</v>
      </c>
      <c r="AA92" s="16">
        <f t="shared" si="9"/>
        <v>0</v>
      </c>
      <c r="AB92" s="16"/>
      <c r="AC92" s="19"/>
      <c r="AD92" s="51"/>
    </row>
    <row r="93" spans="1:30" ht="19.5" thickBot="1" x14ac:dyDescent="0.3">
      <c r="A93" s="14">
        <v>26</v>
      </c>
      <c r="B93" s="15"/>
      <c r="C93" s="15" t="e">
        <f>VLOOKUP(B93,داتا!$B$3:$D$107,2,FALSE)</f>
        <v>#N/A</v>
      </c>
      <c r="D93" s="34" t="e">
        <f>VLOOKUP(B93,داتا!$B$3:$D$107,3,FALSE)</f>
        <v>#N/A</v>
      </c>
      <c r="E93" s="15"/>
      <c r="F93" s="15"/>
      <c r="G93" s="16">
        <v>8.3333333333333329E-2</v>
      </c>
      <c r="H93" s="16" t="e">
        <f t="shared" si="17"/>
        <v>#N/A</v>
      </c>
      <c r="I93" s="16" t="e">
        <f t="shared" si="10"/>
        <v>#N/A</v>
      </c>
      <c r="J93" s="16"/>
      <c r="K93" s="16"/>
      <c r="L93" s="16"/>
      <c r="M93" s="16"/>
      <c r="N93" s="16">
        <f t="shared" si="11"/>
        <v>0</v>
      </c>
      <c r="O93" s="16" t="e">
        <f t="shared" si="12"/>
        <v>#N/A</v>
      </c>
      <c r="P93" s="16">
        <v>6.9444444444444397E-3</v>
      </c>
      <c r="Q93" s="16"/>
      <c r="R93" s="16">
        <f t="shared" si="13"/>
        <v>-6.9444444444444397E-3</v>
      </c>
      <c r="S93" s="16"/>
      <c r="T93" s="16" t="e">
        <f>VLOOKUP(E93,'[2]21-3-2026'!E$3:T$35,16,FALSE)</f>
        <v>#N/A</v>
      </c>
      <c r="U93" s="16"/>
      <c r="V93" s="16" t="e">
        <f t="shared" si="14"/>
        <v>#N/A</v>
      </c>
      <c r="W93" s="16"/>
      <c r="X93" s="16"/>
      <c r="Y93" s="16"/>
      <c r="Z93" s="16">
        <f t="shared" si="15"/>
        <v>0</v>
      </c>
      <c r="AA93" s="16">
        <f t="shared" si="9"/>
        <v>0</v>
      </c>
      <c r="AB93" s="16"/>
      <c r="AC93" s="19"/>
      <c r="AD93" s="51"/>
    </row>
    <row r="94" spans="1:30" ht="19.5" thickBot="1" x14ac:dyDescent="0.3">
      <c r="A94" s="14">
        <v>27</v>
      </c>
      <c r="B94" s="15"/>
      <c r="C94" s="15" t="e">
        <f>VLOOKUP(B94,داتا!$B$3:$D$107,2,FALSE)</f>
        <v>#N/A</v>
      </c>
      <c r="D94" s="34" t="e">
        <f>VLOOKUP(B94,داتا!$B$3:$D$107,3,FALSE)</f>
        <v>#N/A</v>
      </c>
      <c r="E94" s="15"/>
      <c r="F94" s="15"/>
      <c r="G94" s="16">
        <v>8.3333333333333329E-2</v>
      </c>
      <c r="H94" s="16" t="e">
        <f t="shared" si="17"/>
        <v>#N/A</v>
      </c>
      <c r="I94" s="16" t="e">
        <f t="shared" si="10"/>
        <v>#N/A</v>
      </c>
      <c r="J94" s="16"/>
      <c r="K94" s="16"/>
      <c r="L94" s="16"/>
      <c r="M94" s="16"/>
      <c r="N94" s="16">
        <f t="shared" si="11"/>
        <v>0</v>
      </c>
      <c r="O94" s="16" t="e">
        <f t="shared" si="12"/>
        <v>#N/A</v>
      </c>
      <c r="P94" s="16">
        <v>6.9444444444444397E-3</v>
      </c>
      <c r="Q94" s="16"/>
      <c r="R94" s="16">
        <f t="shared" si="13"/>
        <v>-6.9444444444444397E-3</v>
      </c>
      <c r="S94" s="16"/>
      <c r="T94" s="16" t="e">
        <f>VLOOKUP(E94,'[2]21-3-2026'!E$3:T$35,16,FALSE)</f>
        <v>#N/A</v>
      </c>
      <c r="U94" s="16"/>
      <c r="V94" s="16" t="e">
        <f t="shared" si="14"/>
        <v>#N/A</v>
      </c>
      <c r="W94" s="16"/>
      <c r="X94" s="16"/>
      <c r="Y94" s="16"/>
      <c r="Z94" s="16">
        <f t="shared" si="15"/>
        <v>0</v>
      </c>
      <c r="AA94" s="16">
        <f t="shared" si="9"/>
        <v>0</v>
      </c>
      <c r="AB94" s="16"/>
      <c r="AC94" s="19"/>
      <c r="AD94" s="51"/>
    </row>
    <row r="95" spans="1:30" ht="19.5" thickBot="1" x14ac:dyDescent="0.3">
      <c r="A95" s="14">
        <v>28</v>
      </c>
      <c r="B95" s="15"/>
      <c r="C95" s="15" t="e">
        <f>VLOOKUP(B95,داتا!$B$3:$D$107,2,FALSE)</f>
        <v>#N/A</v>
      </c>
      <c r="D95" s="34" t="e">
        <f>VLOOKUP(B95,داتا!$B$3:$D$107,3,FALSE)</f>
        <v>#N/A</v>
      </c>
      <c r="E95" s="15"/>
      <c r="F95" s="16"/>
      <c r="G95" s="16">
        <v>8.3333333333333329E-2</v>
      </c>
      <c r="H95" s="16" t="e">
        <f t="shared" si="17"/>
        <v>#N/A</v>
      </c>
      <c r="I95" s="16" t="e">
        <f t="shared" si="10"/>
        <v>#N/A</v>
      </c>
      <c r="J95" s="16"/>
      <c r="K95" s="16"/>
      <c r="L95" s="16"/>
      <c r="M95" s="16"/>
      <c r="N95" s="16">
        <f t="shared" si="11"/>
        <v>0</v>
      </c>
      <c r="O95" s="16" t="e">
        <f t="shared" si="12"/>
        <v>#N/A</v>
      </c>
      <c r="P95" s="16">
        <v>6.9444444444444397E-3</v>
      </c>
      <c r="Q95" s="16"/>
      <c r="R95" s="16">
        <f t="shared" si="13"/>
        <v>-6.9444444444444397E-3</v>
      </c>
      <c r="S95" s="16"/>
      <c r="T95" s="16" t="e">
        <f>VLOOKUP(E95,'[2]21-3-2026'!E$3:T$35,16,FALSE)</f>
        <v>#N/A</v>
      </c>
      <c r="U95" s="16"/>
      <c r="V95" s="16" t="e">
        <f t="shared" si="14"/>
        <v>#N/A</v>
      </c>
      <c r="W95" s="16"/>
      <c r="X95" s="16"/>
      <c r="Y95" s="16"/>
      <c r="Z95" s="16">
        <f t="shared" si="15"/>
        <v>0</v>
      </c>
      <c r="AA95" s="16">
        <f t="shared" si="9"/>
        <v>0</v>
      </c>
      <c r="AB95" s="16"/>
      <c r="AC95" s="19"/>
      <c r="AD95" s="51"/>
    </row>
    <row r="96" spans="1:30" ht="19.5" thickBot="1" x14ac:dyDescent="0.3">
      <c r="A96" s="14">
        <v>29</v>
      </c>
      <c r="B96" s="15"/>
      <c r="C96" s="15" t="e">
        <f>VLOOKUP(B96,داتا!$B$3:$D$107,2,FALSE)</f>
        <v>#N/A</v>
      </c>
      <c r="D96" s="34" t="e">
        <f>VLOOKUP(B96,داتا!$B$3:$D$107,3,FALSE)</f>
        <v>#N/A</v>
      </c>
      <c r="E96" s="15"/>
      <c r="F96" s="16"/>
      <c r="G96" s="16">
        <v>8.3333333333333329E-2</v>
      </c>
      <c r="H96" s="16" t="e">
        <f t="shared" si="17"/>
        <v>#N/A</v>
      </c>
      <c r="I96" s="16" t="e">
        <f t="shared" si="10"/>
        <v>#N/A</v>
      </c>
      <c r="J96" s="16"/>
      <c r="K96" s="16"/>
      <c r="L96" s="16"/>
      <c r="M96" s="16"/>
      <c r="N96" s="16">
        <f t="shared" si="11"/>
        <v>0</v>
      </c>
      <c r="O96" s="16" t="e">
        <f t="shared" si="12"/>
        <v>#N/A</v>
      </c>
      <c r="P96" s="16">
        <v>6.9444444444444397E-3</v>
      </c>
      <c r="Q96" s="16"/>
      <c r="R96" s="16">
        <f t="shared" si="13"/>
        <v>-6.9444444444444397E-3</v>
      </c>
      <c r="S96" s="16"/>
      <c r="T96" s="16" t="e">
        <f>VLOOKUP(E96,'[2]21-3-2026'!E$3:T$35,16,FALSE)</f>
        <v>#N/A</v>
      </c>
      <c r="U96" s="16"/>
      <c r="V96" s="16" t="e">
        <f t="shared" si="14"/>
        <v>#N/A</v>
      </c>
      <c r="W96" s="16"/>
      <c r="X96" s="16"/>
      <c r="Y96" s="16"/>
      <c r="Z96" s="16">
        <f t="shared" si="15"/>
        <v>0</v>
      </c>
      <c r="AA96" s="16">
        <f t="shared" si="9"/>
        <v>0</v>
      </c>
      <c r="AB96" s="16"/>
      <c r="AC96" s="19"/>
      <c r="AD96" s="54"/>
    </row>
    <row r="97" spans="1:29" ht="19.5" thickBot="1" x14ac:dyDescent="0.3">
      <c r="A97" s="14">
        <v>30</v>
      </c>
      <c r="B97" s="15"/>
      <c r="C97" s="15" t="e">
        <f>VLOOKUP(B97,داتا!$B$3:$D$107,2,FALSE)</f>
        <v>#N/A</v>
      </c>
      <c r="D97" s="34" t="e">
        <f>VLOOKUP(B97,داتا!$B$3:$D$107,3,FALSE)</f>
        <v>#N/A</v>
      </c>
      <c r="E97" s="15"/>
      <c r="F97" s="16"/>
      <c r="G97" s="16">
        <v>8.3333333333333329E-2</v>
      </c>
      <c r="H97" s="16" t="e">
        <f t="shared" si="17"/>
        <v>#N/A</v>
      </c>
      <c r="I97" s="16" t="e">
        <f t="shared" si="10"/>
        <v>#N/A</v>
      </c>
      <c r="J97" s="16"/>
      <c r="K97" s="16"/>
      <c r="L97" s="16"/>
      <c r="M97" s="16"/>
      <c r="N97" s="16">
        <f t="shared" si="11"/>
        <v>0</v>
      </c>
      <c r="O97" s="16" t="e">
        <f t="shared" si="12"/>
        <v>#N/A</v>
      </c>
      <c r="P97" s="16">
        <v>6.9444444444444397E-3</v>
      </c>
      <c r="Q97" s="16"/>
      <c r="R97" s="16">
        <f t="shared" si="13"/>
        <v>-6.9444444444444397E-3</v>
      </c>
      <c r="S97" s="16"/>
      <c r="T97" s="16" t="e">
        <f>VLOOKUP(E97,'[2]21-3-2026'!E$3:T$35,16,FALSE)</f>
        <v>#N/A</v>
      </c>
      <c r="U97" s="16"/>
      <c r="V97" s="16" t="e">
        <f t="shared" si="14"/>
        <v>#N/A</v>
      </c>
      <c r="W97" s="16"/>
      <c r="X97" s="16"/>
      <c r="Y97" s="16"/>
      <c r="Z97" s="16">
        <f t="shared" si="15"/>
        <v>0</v>
      </c>
      <c r="AA97" s="16">
        <f t="shared" si="9"/>
        <v>0</v>
      </c>
      <c r="AB97" s="16"/>
      <c r="AC97" s="19"/>
    </row>
    <row r="98" spans="1:29" ht="19.5" thickBot="1" x14ac:dyDescent="0.3">
      <c r="A98" s="14">
        <v>31</v>
      </c>
      <c r="B98" s="15"/>
      <c r="C98" s="15" t="e">
        <f>VLOOKUP(B98,داتا!$B$3:$D$107,2,FALSE)</f>
        <v>#N/A</v>
      </c>
      <c r="D98" s="34" t="e">
        <f>VLOOKUP(B98,داتا!$B$3:$D$107,3,FALSE)</f>
        <v>#N/A</v>
      </c>
      <c r="E98" s="15"/>
      <c r="F98" s="16"/>
      <c r="G98" s="16">
        <v>8.3333333333333329E-2</v>
      </c>
      <c r="H98" s="16" t="e">
        <f t="shared" si="17"/>
        <v>#N/A</v>
      </c>
      <c r="I98" s="16" t="e">
        <f t="shared" si="10"/>
        <v>#N/A</v>
      </c>
      <c r="J98" s="16"/>
      <c r="K98" s="16"/>
      <c r="L98" s="16"/>
      <c r="M98" s="16"/>
      <c r="N98" s="16">
        <f t="shared" si="11"/>
        <v>0</v>
      </c>
      <c r="O98" s="16" t="e">
        <f t="shared" si="12"/>
        <v>#N/A</v>
      </c>
      <c r="P98" s="16">
        <v>6.9444444444444397E-3</v>
      </c>
      <c r="Q98" s="16"/>
      <c r="R98" s="16">
        <f t="shared" si="13"/>
        <v>-6.9444444444444397E-3</v>
      </c>
      <c r="S98" s="16"/>
      <c r="T98" s="16" t="e">
        <f>VLOOKUP(E98,'[2]21-3-2026'!E$3:T$35,16,FALSE)</f>
        <v>#N/A</v>
      </c>
      <c r="U98" s="16"/>
      <c r="V98" s="16" t="e">
        <f t="shared" si="14"/>
        <v>#N/A</v>
      </c>
      <c r="W98" s="16"/>
      <c r="X98" s="16"/>
      <c r="Y98" s="16"/>
      <c r="Z98" s="16">
        <f t="shared" si="15"/>
        <v>0</v>
      </c>
      <c r="AA98" s="16">
        <f t="shared" si="9"/>
        <v>0</v>
      </c>
      <c r="AB98" s="16"/>
      <c r="AC98" s="19"/>
    </row>
    <row r="99" spans="1:29" ht="19.5" thickBot="1" x14ac:dyDescent="0.3">
      <c r="A99" s="20">
        <v>32</v>
      </c>
      <c r="B99" s="21"/>
      <c r="C99" s="21" t="e">
        <f>VLOOKUP(B99,داتا!$B$3:$D$107,2,FALSE)</f>
        <v>#N/A</v>
      </c>
      <c r="D99" s="35" t="e">
        <f>VLOOKUP(B99,داتا!$B$3:$D$107,3,FALSE)</f>
        <v>#N/A</v>
      </c>
      <c r="E99" s="21"/>
      <c r="F99" s="22"/>
      <c r="G99" s="22">
        <v>8.3333333333333329E-2</v>
      </c>
      <c r="H99" s="22" t="e">
        <f t="shared" si="17"/>
        <v>#N/A</v>
      </c>
      <c r="I99" s="22" t="e">
        <f t="shared" si="10"/>
        <v>#N/A</v>
      </c>
      <c r="J99" s="22"/>
      <c r="K99" s="22"/>
      <c r="L99" s="22"/>
      <c r="M99" s="22"/>
      <c r="N99" s="22">
        <f t="shared" si="11"/>
        <v>0</v>
      </c>
      <c r="O99" s="22" t="e">
        <f t="shared" si="12"/>
        <v>#N/A</v>
      </c>
      <c r="P99" s="22">
        <v>6.9444444444444397E-3</v>
      </c>
      <c r="Q99" s="22"/>
      <c r="R99" s="22">
        <f t="shared" si="13"/>
        <v>-6.9444444444444397E-3</v>
      </c>
      <c r="S99" s="22"/>
      <c r="T99" s="22" t="e">
        <f>VLOOKUP(E99,'[2]21-3-2026'!E$3:T$35,16,FALSE)</f>
        <v>#N/A</v>
      </c>
      <c r="U99" s="22"/>
      <c r="V99" s="22" t="e">
        <f t="shared" si="14"/>
        <v>#N/A</v>
      </c>
      <c r="W99" s="22"/>
      <c r="X99" s="22"/>
      <c r="Y99" s="22"/>
      <c r="Z99" s="22">
        <f t="shared" si="15"/>
        <v>0</v>
      </c>
      <c r="AA99" s="22">
        <f t="shared" si="9"/>
        <v>0</v>
      </c>
      <c r="AB99" s="22"/>
      <c r="AC99" s="30"/>
    </row>
    <row r="100" spans="1:29" ht="16.5" thickTop="1" x14ac:dyDescent="0.25"/>
  </sheetData>
  <mergeCells count="4">
    <mergeCell ref="A1:AC1"/>
    <mergeCell ref="AD3:AD35"/>
    <mergeCell ref="AD36:AD67"/>
    <mergeCell ref="AD68:AD96"/>
  </mergeCells>
  <conditionalFormatting sqref="AC1:AC96 AC100:AC1048576">
    <cfRule type="containsText" dxfId="194" priority="14" operator="containsText" text="ت">
      <formula>NOT(ISERROR(SEARCH("ت",AC1)))</formula>
    </cfRule>
  </conditionalFormatting>
  <conditionalFormatting sqref="AC4:AC96">
    <cfRule type="containsText" dxfId="193" priority="13" operator="containsText" text="ت">
      <formula>NOT(ISERROR(SEARCH("ت",AC4)))</formula>
    </cfRule>
  </conditionalFormatting>
  <conditionalFormatting sqref="O1:O2 I1:I2 R1:R2 V1:V2 AA100:AA1048576 V100:V1048576 R100:R1048576 O100:O1048576 I100:I1048576 AA1:AA2">
    <cfRule type="cellIs" dxfId="192" priority="15" operator="between">
      <formula>0.00277777777777778</formula>
      <formula>1</formula>
    </cfRule>
  </conditionalFormatting>
  <conditionalFormatting sqref="AC97:AC99">
    <cfRule type="containsText" dxfId="191" priority="12" operator="containsText" text="ت">
      <formula>NOT(ISERROR(SEARCH("ت",AC97)))</formula>
    </cfRule>
  </conditionalFormatting>
  <conditionalFormatting sqref="AC97:AC99">
    <cfRule type="containsText" dxfId="190" priority="11" operator="containsText" text="ت">
      <formula>NOT(ISERROR(SEARCH("ت",AC97)))</formula>
    </cfRule>
  </conditionalFormatting>
  <conditionalFormatting sqref="I3:I99">
    <cfRule type="cellIs" dxfId="189" priority="9" operator="between">
      <formula>0.00277777777777778</formula>
      <formula>1</formula>
    </cfRule>
  </conditionalFormatting>
  <conditionalFormatting sqref="I3:I99">
    <cfRule type="cellIs" dxfId="188" priority="10" operator="between">
      <formula>0.00277777777777778</formula>
      <formula>1</formula>
    </cfRule>
  </conditionalFormatting>
  <conditionalFormatting sqref="O3:O99">
    <cfRule type="cellIs" dxfId="187" priority="7" operator="between">
      <formula>0.00277777777777778</formula>
      <formula>1</formula>
    </cfRule>
  </conditionalFormatting>
  <conditionalFormatting sqref="O3:O99">
    <cfRule type="cellIs" dxfId="186" priority="8" operator="between">
      <formula>0.00277777777777778</formula>
      <formula>1</formula>
    </cfRule>
  </conditionalFormatting>
  <conditionalFormatting sqref="R3:R99">
    <cfRule type="cellIs" dxfId="185" priority="5" operator="between">
      <formula>0.00277777777777778</formula>
      <formula>1</formula>
    </cfRule>
  </conditionalFormatting>
  <conditionalFormatting sqref="R3:R99">
    <cfRule type="cellIs" dxfId="184" priority="6" operator="between">
      <formula>0.00277777777777778</formula>
      <formula>1</formula>
    </cfRule>
  </conditionalFormatting>
  <conditionalFormatting sqref="V3:V99">
    <cfRule type="cellIs" dxfId="183" priority="3" operator="between">
      <formula>0.00277777777777778</formula>
      <formula>1</formula>
    </cfRule>
  </conditionalFormatting>
  <conditionalFormatting sqref="V3:V99">
    <cfRule type="cellIs" dxfId="182" priority="4" operator="between">
      <formula>0.00277777777777778</formula>
      <formula>1</formula>
    </cfRule>
  </conditionalFormatting>
  <conditionalFormatting sqref="AA3:AA99">
    <cfRule type="cellIs" dxfId="181" priority="1" operator="between">
      <formula>0.00277777777777778</formula>
      <formula>1</formula>
    </cfRule>
  </conditionalFormatting>
  <conditionalFormatting sqref="AA3:AA99">
    <cfRule type="cellIs" dxfId="180" priority="2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"/>
  <sheetViews>
    <sheetView rightToLeft="1" workbookViewId="0">
      <pane xSplit="6" ySplit="2" topLeftCell="G68" activePane="bottomRight" state="frozen"/>
      <selection activeCell="A92" sqref="A92"/>
      <selection pane="topRight" activeCell="A92" sqref="A92"/>
      <selection pane="bottomLeft" activeCell="A92" sqref="A92"/>
      <selection pane="bottomRight" activeCell="A92" sqref="A92"/>
    </sheetView>
  </sheetViews>
  <sheetFormatPr defaultColWidth="9" defaultRowHeight="15.75" x14ac:dyDescent="0.25"/>
  <cols>
    <col min="1" max="1" width="5.42578125" customWidth="1"/>
    <col min="2" max="2" width="12.28515625" customWidth="1"/>
    <col min="3" max="3" width="12.5703125" customWidth="1"/>
    <col min="4" max="4" width="16.140625" style="36" customWidth="1"/>
    <col min="5" max="5" width="17.140625" customWidth="1"/>
    <col min="6" max="6" width="20.85546875" customWidth="1"/>
    <col min="7" max="7" width="12.7109375" customWidth="1"/>
    <col min="8" max="9" width="12.85546875" customWidth="1"/>
    <col min="10" max="10" width="12.5703125" customWidth="1"/>
    <col min="11" max="11" width="14.28515625" customWidth="1"/>
    <col min="12" max="12" width="22.7109375" customWidth="1"/>
    <col min="13" max="13" width="18.8554687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3.85546875" style="31" customWidth="1"/>
    <col min="30" max="30" width="11.140625" customWidth="1"/>
  </cols>
  <sheetData>
    <row r="1" spans="1:30" ht="33.75" customHeight="1" thickBot="1" x14ac:dyDescent="0.3">
      <c r="A1" s="46" t="s">
        <v>119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0" ht="49.5" customHeight="1" thickTop="1" thickBot="1" x14ac:dyDescent="0.3">
      <c r="A2" s="1" t="s">
        <v>1</v>
      </c>
      <c r="B2" s="2" t="s">
        <v>2</v>
      </c>
      <c r="C2" s="2" t="s">
        <v>3</v>
      </c>
      <c r="D2" s="3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8" t="s">
        <v>18</v>
      </c>
      <c r="S2" s="2" t="s">
        <v>19</v>
      </c>
      <c r="T2" s="8" t="s">
        <v>20</v>
      </c>
      <c r="U2" s="2" t="s">
        <v>21</v>
      </c>
      <c r="V2" s="8" t="s">
        <v>22</v>
      </c>
      <c r="W2" s="8" t="s">
        <v>23</v>
      </c>
      <c r="X2" s="2" t="s">
        <v>24</v>
      </c>
      <c r="Y2" s="2" t="s">
        <v>25</v>
      </c>
      <c r="Z2" s="2" t="s">
        <v>26</v>
      </c>
      <c r="AA2" s="8" t="s">
        <v>27</v>
      </c>
      <c r="AB2" s="2" t="s">
        <v>28</v>
      </c>
      <c r="AC2" s="9" t="s">
        <v>29</v>
      </c>
    </row>
    <row r="3" spans="1:30" ht="20.25" customHeight="1" thickTop="1" thickBot="1" x14ac:dyDescent="0.3">
      <c r="A3" s="10">
        <v>1</v>
      </c>
      <c r="B3" s="11"/>
      <c r="C3" s="11" t="e">
        <f>VLOOKUP(B3,داتا!$B$3:$D$107,2,FALSE)</f>
        <v>#N/A</v>
      </c>
      <c r="D3" s="33" t="e">
        <f>VLOOKUP(B3,داتا!$B$3:$D$107,3,FALSE)</f>
        <v>#N/A</v>
      </c>
      <c r="E3" s="11"/>
      <c r="F3" s="11"/>
      <c r="G3" s="12">
        <v>0.25</v>
      </c>
      <c r="H3" s="12"/>
      <c r="I3" s="12">
        <f>H3-G3</f>
        <v>-0.25</v>
      </c>
      <c r="J3" s="12"/>
      <c r="K3" s="12"/>
      <c r="L3" s="12"/>
      <c r="M3" s="12"/>
      <c r="N3" s="12">
        <f>K3-J3</f>
        <v>0</v>
      </c>
      <c r="O3" s="12" t="e">
        <f>N3-D3</f>
        <v>#N/A</v>
      </c>
      <c r="P3" s="12">
        <v>6.9444444444444397E-3</v>
      </c>
      <c r="Q3" s="12"/>
      <c r="R3" s="12">
        <f>Q3-P3-K3</f>
        <v>-6.9444444444444397E-3</v>
      </c>
      <c r="S3" s="12"/>
      <c r="T3" s="12" t="e">
        <f>VLOOKUP(E3,'[2]21-3-2026'!E$3:T$35,16,FALSE)</f>
        <v>#N/A</v>
      </c>
      <c r="U3" s="12"/>
      <c r="V3" s="12" t="e">
        <f>U3-T3-S3</f>
        <v>#N/A</v>
      </c>
      <c r="W3" s="12"/>
      <c r="X3" s="12"/>
      <c r="Y3" s="12"/>
      <c r="Z3" s="12">
        <f>Y3-X3</f>
        <v>0</v>
      </c>
      <c r="AA3" s="12">
        <f t="shared" ref="AA3:AA66" si="0">Z3-W3</f>
        <v>0</v>
      </c>
      <c r="AB3" s="12"/>
      <c r="AC3" s="13"/>
      <c r="AD3" s="47" t="s">
        <v>33</v>
      </c>
    </row>
    <row r="4" spans="1:30" ht="19.5" thickBot="1" x14ac:dyDescent="0.3">
      <c r="A4" s="14">
        <v>2</v>
      </c>
      <c r="B4" s="15"/>
      <c r="C4" s="15" t="e">
        <f>VLOOKUP(B4,داتا!$B$3:$D$107,2,FALSE)</f>
        <v>#N/A</v>
      </c>
      <c r="D4" s="34" t="e">
        <f>VLOOKUP(B4,داتا!$B$3:$D$107,3,FALSE)</f>
        <v>#N/A</v>
      </c>
      <c r="E4" s="15"/>
      <c r="F4" s="15"/>
      <c r="G4" s="16">
        <v>0.25</v>
      </c>
      <c r="H4" s="16"/>
      <c r="I4" s="16">
        <f t="shared" ref="I4:I67" si="1">H4-G4</f>
        <v>-0.25</v>
      </c>
      <c r="J4" s="16"/>
      <c r="K4" s="16"/>
      <c r="L4" s="16"/>
      <c r="M4" s="16"/>
      <c r="N4" s="16">
        <f t="shared" ref="N4:N67" si="2">K4-J4</f>
        <v>0</v>
      </c>
      <c r="O4" s="16" t="e">
        <f t="shared" ref="O4:O67" si="3">N4-D4</f>
        <v>#N/A</v>
      </c>
      <c r="P4" s="16">
        <v>6.9444444444444397E-3</v>
      </c>
      <c r="Q4" s="16"/>
      <c r="R4" s="16">
        <f t="shared" ref="R4:R67" si="4">Q4-P4-K4</f>
        <v>-6.9444444444444397E-3</v>
      </c>
      <c r="S4" s="16"/>
      <c r="T4" s="16" t="e">
        <f>VLOOKUP(E4,'[2]21-3-2026'!E$3:T$35,16,FALSE)</f>
        <v>#N/A</v>
      </c>
      <c r="U4" s="16"/>
      <c r="V4" s="16" t="e">
        <f t="shared" ref="V4:V67" si="5">U4-T4-S4</f>
        <v>#N/A</v>
      </c>
      <c r="W4" s="16"/>
      <c r="X4" s="16"/>
      <c r="Y4" s="16"/>
      <c r="Z4" s="16">
        <f t="shared" ref="Z4:Z67" si="6">Y4-X4</f>
        <v>0</v>
      </c>
      <c r="AA4" s="16">
        <f t="shared" si="0"/>
        <v>0</v>
      </c>
      <c r="AB4" s="16"/>
      <c r="AC4" s="17"/>
      <c r="AD4" s="48"/>
    </row>
    <row r="5" spans="1:30" ht="19.5" thickBot="1" x14ac:dyDescent="0.3">
      <c r="A5" s="14">
        <v>3</v>
      </c>
      <c r="B5" s="15"/>
      <c r="C5" s="15" t="e">
        <f>VLOOKUP(B5,داتا!$B$3:$D$107,2,FALSE)</f>
        <v>#N/A</v>
      </c>
      <c r="D5" s="34" t="e">
        <f>VLOOKUP(B5,داتا!$B$3:$D$107,3,FALSE)</f>
        <v>#N/A</v>
      </c>
      <c r="E5" s="15"/>
      <c r="F5" s="15"/>
      <c r="G5" s="16">
        <v>0.25</v>
      </c>
      <c r="H5" s="16"/>
      <c r="I5" s="16">
        <f t="shared" si="1"/>
        <v>-0.25</v>
      </c>
      <c r="J5" s="16"/>
      <c r="K5" s="16"/>
      <c r="L5" s="16"/>
      <c r="M5" s="16"/>
      <c r="N5" s="16">
        <f t="shared" si="2"/>
        <v>0</v>
      </c>
      <c r="O5" s="16" t="e">
        <f t="shared" si="3"/>
        <v>#N/A</v>
      </c>
      <c r="P5" s="16">
        <v>6.9444444444444397E-3</v>
      </c>
      <c r="Q5" s="16"/>
      <c r="R5" s="16">
        <f t="shared" si="4"/>
        <v>-6.9444444444444397E-3</v>
      </c>
      <c r="S5" s="16"/>
      <c r="T5" s="16" t="e">
        <f>VLOOKUP(E5,'[2]21-3-2026'!E$3:T$35,16,FALSE)</f>
        <v>#N/A</v>
      </c>
      <c r="U5" s="16"/>
      <c r="V5" s="16" t="e">
        <f t="shared" si="5"/>
        <v>#N/A</v>
      </c>
      <c r="W5" s="16"/>
      <c r="X5" s="16"/>
      <c r="Y5" s="16"/>
      <c r="Z5" s="16">
        <f t="shared" si="6"/>
        <v>0</v>
      </c>
      <c r="AA5" s="16">
        <f t="shared" si="0"/>
        <v>0</v>
      </c>
      <c r="AB5" s="16"/>
      <c r="AC5" s="17"/>
      <c r="AD5" s="48"/>
    </row>
    <row r="6" spans="1:30" ht="19.5" thickBot="1" x14ac:dyDescent="0.3">
      <c r="A6" s="14">
        <v>4</v>
      </c>
      <c r="B6" s="15"/>
      <c r="C6" s="15" t="e">
        <f>VLOOKUP(B6,داتا!$B$3:$D$107,2,FALSE)</f>
        <v>#N/A</v>
      </c>
      <c r="D6" s="34" t="e">
        <f>VLOOKUP(B6,داتا!$B$3:$D$107,3,FALSE)</f>
        <v>#N/A</v>
      </c>
      <c r="E6" s="15"/>
      <c r="F6" s="15"/>
      <c r="G6" s="16">
        <v>0.25</v>
      </c>
      <c r="H6" s="16"/>
      <c r="I6" s="16">
        <f t="shared" si="1"/>
        <v>-0.25</v>
      </c>
      <c r="J6" s="16"/>
      <c r="K6" s="16"/>
      <c r="L6" s="16"/>
      <c r="M6" s="16"/>
      <c r="N6" s="16">
        <f t="shared" si="2"/>
        <v>0</v>
      </c>
      <c r="O6" s="16" t="e">
        <f t="shared" si="3"/>
        <v>#N/A</v>
      </c>
      <c r="P6" s="16">
        <v>6.9444444444444397E-3</v>
      </c>
      <c r="Q6" s="16"/>
      <c r="R6" s="16">
        <f t="shared" si="4"/>
        <v>-6.9444444444444397E-3</v>
      </c>
      <c r="S6" s="16"/>
      <c r="T6" s="16" t="e">
        <f>VLOOKUP(E6,'[2]21-3-2026'!E$3:T$35,16,FALSE)</f>
        <v>#N/A</v>
      </c>
      <c r="U6" s="16"/>
      <c r="V6" s="16" t="e">
        <f t="shared" si="5"/>
        <v>#N/A</v>
      </c>
      <c r="W6" s="16"/>
      <c r="X6" s="16"/>
      <c r="Y6" s="16"/>
      <c r="Z6" s="16">
        <f t="shared" si="6"/>
        <v>0</v>
      </c>
      <c r="AA6" s="16">
        <f t="shared" si="0"/>
        <v>0</v>
      </c>
      <c r="AB6" s="16"/>
      <c r="AC6" s="17"/>
      <c r="AD6" s="48"/>
    </row>
    <row r="7" spans="1:30" ht="19.5" thickBot="1" x14ac:dyDescent="0.3">
      <c r="A7" s="14">
        <v>5</v>
      </c>
      <c r="B7" s="15"/>
      <c r="C7" s="15" t="e">
        <f>VLOOKUP(B7,داتا!$B$3:$D$107,2,FALSE)</f>
        <v>#N/A</v>
      </c>
      <c r="D7" s="34" t="e">
        <f>VLOOKUP(B7,داتا!$B$3:$D$107,3,FALSE)</f>
        <v>#N/A</v>
      </c>
      <c r="E7" s="15"/>
      <c r="F7" s="15"/>
      <c r="G7" s="16">
        <v>0.25</v>
      </c>
      <c r="H7" s="16"/>
      <c r="I7" s="16">
        <f t="shared" si="1"/>
        <v>-0.25</v>
      </c>
      <c r="J7" s="16"/>
      <c r="K7" s="16"/>
      <c r="L7" s="16"/>
      <c r="M7" s="16"/>
      <c r="N7" s="16">
        <f t="shared" si="2"/>
        <v>0</v>
      </c>
      <c r="O7" s="16" t="e">
        <f t="shared" si="3"/>
        <v>#N/A</v>
      </c>
      <c r="P7" s="16">
        <v>6.9444444444444397E-3</v>
      </c>
      <c r="Q7" s="16"/>
      <c r="R7" s="16">
        <f t="shared" si="4"/>
        <v>-6.9444444444444397E-3</v>
      </c>
      <c r="S7" s="16"/>
      <c r="T7" s="16" t="e">
        <f>VLOOKUP(E7,'[2]21-3-2026'!E$3:T$35,16,FALSE)</f>
        <v>#N/A</v>
      </c>
      <c r="U7" s="16"/>
      <c r="V7" s="16" t="e">
        <f t="shared" si="5"/>
        <v>#N/A</v>
      </c>
      <c r="W7" s="16"/>
      <c r="X7" s="16"/>
      <c r="Y7" s="16"/>
      <c r="Z7" s="16">
        <f t="shared" si="6"/>
        <v>0</v>
      </c>
      <c r="AA7" s="16">
        <f t="shared" si="0"/>
        <v>0</v>
      </c>
      <c r="AB7" s="16"/>
      <c r="AC7" s="17"/>
      <c r="AD7" s="48"/>
    </row>
    <row r="8" spans="1:30" ht="19.5" thickBot="1" x14ac:dyDescent="0.3">
      <c r="A8" s="14">
        <v>6</v>
      </c>
      <c r="B8" s="15"/>
      <c r="C8" s="15" t="e">
        <f>VLOOKUP(B8,داتا!$B$3:$D$107,2,FALSE)</f>
        <v>#N/A</v>
      </c>
      <c r="D8" s="34" t="e">
        <f>VLOOKUP(B8,داتا!$B$3:$D$107,3,FALSE)</f>
        <v>#N/A</v>
      </c>
      <c r="E8" s="15"/>
      <c r="F8" s="15"/>
      <c r="G8" s="16">
        <v>0.25</v>
      </c>
      <c r="H8" s="16"/>
      <c r="I8" s="16">
        <f t="shared" si="1"/>
        <v>-0.25</v>
      </c>
      <c r="J8" s="16"/>
      <c r="K8" s="16"/>
      <c r="L8" s="16"/>
      <c r="M8" s="16"/>
      <c r="N8" s="16">
        <f t="shared" si="2"/>
        <v>0</v>
      </c>
      <c r="O8" s="16" t="e">
        <f t="shared" si="3"/>
        <v>#N/A</v>
      </c>
      <c r="P8" s="16">
        <v>6.9444444444444397E-3</v>
      </c>
      <c r="Q8" s="16"/>
      <c r="R8" s="16">
        <f t="shared" si="4"/>
        <v>-6.9444444444444397E-3</v>
      </c>
      <c r="S8" s="16"/>
      <c r="T8" s="16" t="e">
        <f>VLOOKUP(E8,'[2]21-3-2026'!E$3:T$35,16,FALSE)</f>
        <v>#N/A</v>
      </c>
      <c r="U8" s="16"/>
      <c r="V8" s="16" t="e">
        <f t="shared" si="5"/>
        <v>#N/A</v>
      </c>
      <c r="W8" s="16"/>
      <c r="X8" s="16"/>
      <c r="Y8" s="16"/>
      <c r="Z8" s="16">
        <f t="shared" si="6"/>
        <v>0</v>
      </c>
      <c r="AA8" s="16">
        <f t="shared" si="0"/>
        <v>0</v>
      </c>
      <c r="AB8" s="16"/>
      <c r="AC8" s="18"/>
      <c r="AD8" s="48"/>
    </row>
    <row r="9" spans="1:30" ht="19.5" thickBot="1" x14ac:dyDescent="0.3">
      <c r="A9" s="14">
        <v>7</v>
      </c>
      <c r="B9" s="15"/>
      <c r="C9" s="15" t="e">
        <f>VLOOKUP(B9,داتا!$B$3:$D$107,2,FALSE)</f>
        <v>#N/A</v>
      </c>
      <c r="D9" s="34" t="e">
        <f>VLOOKUP(B9,داتا!$B$3:$D$107,3,FALSE)</f>
        <v>#N/A</v>
      </c>
      <c r="E9" s="15"/>
      <c r="F9" s="15"/>
      <c r="G9" s="16">
        <v>0.25</v>
      </c>
      <c r="H9" s="16"/>
      <c r="I9" s="16">
        <f t="shared" si="1"/>
        <v>-0.25</v>
      </c>
      <c r="J9" s="16"/>
      <c r="K9" s="16"/>
      <c r="L9" s="16"/>
      <c r="M9" s="16"/>
      <c r="N9" s="16">
        <f t="shared" si="2"/>
        <v>0</v>
      </c>
      <c r="O9" s="16" t="e">
        <f t="shared" si="3"/>
        <v>#N/A</v>
      </c>
      <c r="P9" s="16">
        <v>6.9444444444444397E-3</v>
      </c>
      <c r="Q9" s="16"/>
      <c r="R9" s="16">
        <f t="shared" si="4"/>
        <v>-6.9444444444444397E-3</v>
      </c>
      <c r="S9" s="16"/>
      <c r="T9" s="16" t="e">
        <f>VLOOKUP(E9,'[2]21-3-2026'!E$3:T$35,16,FALSE)</f>
        <v>#N/A</v>
      </c>
      <c r="U9" s="16"/>
      <c r="V9" s="16" t="e">
        <f t="shared" si="5"/>
        <v>#N/A</v>
      </c>
      <c r="W9" s="16"/>
      <c r="X9" s="16"/>
      <c r="Y9" s="16"/>
      <c r="Z9" s="16">
        <f t="shared" si="6"/>
        <v>0</v>
      </c>
      <c r="AA9" s="16">
        <f t="shared" si="0"/>
        <v>0</v>
      </c>
      <c r="AB9" s="16"/>
      <c r="AC9" s="17"/>
      <c r="AD9" s="48"/>
    </row>
    <row r="10" spans="1:30" ht="19.5" thickBot="1" x14ac:dyDescent="0.3">
      <c r="A10" s="14">
        <v>8</v>
      </c>
      <c r="B10" s="15"/>
      <c r="C10" s="15" t="e">
        <f>VLOOKUP(B10,داتا!$B$3:$D$107,2,FALSE)</f>
        <v>#N/A</v>
      </c>
      <c r="D10" s="34" t="e">
        <f>VLOOKUP(B10,داتا!$B$3:$D$107,3,FALSE)</f>
        <v>#N/A</v>
      </c>
      <c r="E10" s="15"/>
      <c r="F10" s="15"/>
      <c r="G10" s="16">
        <v>0.25</v>
      </c>
      <c r="H10" s="16"/>
      <c r="I10" s="16">
        <f t="shared" si="1"/>
        <v>-0.25</v>
      </c>
      <c r="J10" s="16"/>
      <c r="K10" s="16"/>
      <c r="L10" s="16"/>
      <c r="M10" s="16"/>
      <c r="N10" s="16">
        <f t="shared" si="2"/>
        <v>0</v>
      </c>
      <c r="O10" s="16" t="e">
        <f t="shared" si="3"/>
        <v>#N/A</v>
      </c>
      <c r="P10" s="16">
        <v>6.9444444444444397E-3</v>
      </c>
      <c r="Q10" s="16"/>
      <c r="R10" s="16">
        <f t="shared" si="4"/>
        <v>-6.9444444444444397E-3</v>
      </c>
      <c r="S10" s="16"/>
      <c r="T10" s="16" t="e">
        <f>VLOOKUP(E10,'[2]21-3-2026'!E$3:T$35,16,FALSE)</f>
        <v>#N/A</v>
      </c>
      <c r="U10" s="16"/>
      <c r="V10" s="16" t="e">
        <f t="shared" si="5"/>
        <v>#N/A</v>
      </c>
      <c r="W10" s="16"/>
      <c r="X10" s="16"/>
      <c r="Y10" s="16"/>
      <c r="Z10" s="16">
        <f t="shared" si="6"/>
        <v>0</v>
      </c>
      <c r="AA10" s="16">
        <f t="shared" si="0"/>
        <v>0</v>
      </c>
      <c r="AB10" s="16"/>
      <c r="AC10" s="17"/>
      <c r="AD10" s="48"/>
    </row>
    <row r="11" spans="1:30" ht="19.5" thickBot="1" x14ac:dyDescent="0.3">
      <c r="A11" s="14">
        <v>9</v>
      </c>
      <c r="B11" s="15"/>
      <c r="C11" s="15" t="e">
        <f>VLOOKUP(B11,داتا!$B$3:$D$107,2,FALSE)</f>
        <v>#N/A</v>
      </c>
      <c r="D11" s="34" t="e">
        <f>VLOOKUP(B11,داتا!$B$3:$D$107,3,FALSE)</f>
        <v>#N/A</v>
      </c>
      <c r="E11" s="15"/>
      <c r="F11" s="15"/>
      <c r="G11" s="16">
        <v>0.25</v>
      </c>
      <c r="H11" s="16"/>
      <c r="I11" s="16">
        <f t="shared" si="1"/>
        <v>-0.25</v>
      </c>
      <c r="J11" s="16"/>
      <c r="K11" s="16"/>
      <c r="L11" s="16"/>
      <c r="M11" s="16"/>
      <c r="N11" s="16">
        <f t="shared" si="2"/>
        <v>0</v>
      </c>
      <c r="O11" s="16" t="e">
        <f t="shared" si="3"/>
        <v>#N/A</v>
      </c>
      <c r="P11" s="16">
        <v>6.9444444444444397E-3</v>
      </c>
      <c r="Q11" s="16"/>
      <c r="R11" s="16">
        <f t="shared" si="4"/>
        <v>-6.9444444444444397E-3</v>
      </c>
      <c r="S11" s="16"/>
      <c r="T11" s="16" t="e">
        <f>VLOOKUP(E11,'[2]21-3-2026'!E$3:T$35,16,FALSE)</f>
        <v>#N/A</v>
      </c>
      <c r="U11" s="16"/>
      <c r="V11" s="16" t="e">
        <f t="shared" si="5"/>
        <v>#N/A</v>
      </c>
      <c r="W11" s="16"/>
      <c r="X11" s="16"/>
      <c r="Y11" s="16"/>
      <c r="Z11" s="16">
        <f t="shared" si="6"/>
        <v>0</v>
      </c>
      <c r="AA11" s="16">
        <f t="shared" si="0"/>
        <v>0</v>
      </c>
      <c r="AB11" s="16"/>
      <c r="AC11" s="17"/>
      <c r="AD11" s="48"/>
    </row>
    <row r="12" spans="1:30" ht="19.5" thickBot="1" x14ac:dyDescent="0.3">
      <c r="A12" s="14">
        <v>10</v>
      </c>
      <c r="B12" s="15"/>
      <c r="C12" s="15" t="e">
        <f>VLOOKUP(B12,داتا!$B$3:$D$107,2,FALSE)</f>
        <v>#N/A</v>
      </c>
      <c r="D12" s="34" t="e">
        <f>VLOOKUP(B12,داتا!$B$3:$D$107,3,FALSE)</f>
        <v>#N/A</v>
      </c>
      <c r="E12" s="15"/>
      <c r="F12" s="15"/>
      <c r="G12" s="16">
        <v>0.25</v>
      </c>
      <c r="H12" s="16"/>
      <c r="I12" s="16">
        <f t="shared" si="1"/>
        <v>-0.25</v>
      </c>
      <c r="J12" s="16"/>
      <c r="K12" s="16"/>
      <c r="L12" s="16"/>
      <c r="M12" s="16"/>
      <c r="N12" s="16">
        <f t="shared" si="2"/>
        <v>0</v>
      </c>
      <c r="O12" s="16" t="e">
        <f t="shared" si="3"/>
        <v>#N/A</v>
      </c>
      <c r="P12" s="16">
        <v>6.9444444444444397E-3</v>
      </c>
      <c r="Q12" s="16"/>
      <c r="R12" s="16">
        <f t="shared" si="4"/>
        <v>-6.9444444444444397E-3</v>
      </c>
      <c r="S12" s="16"/>
      <c r="T12" s="16" t="e">
        <f>VLOOKUP(E12,'[2]21-3-2026'!E$3:T$35,16,FALSE)</f>
        <v>#N/A</v>
      </c>
      <c r="U12" s="16"/>
      <c r="V12" s="16" t="e">
        <f t="shared" si="5"/>
        <v>#N/A</v>
      </c>
      <c r="W12" s="16"/>
      <c r="X12" s="16"/>
      <c r="Y12" s="16"/>
      <c r="Z12" s="16">
        <f t="shared" si="6"/>
        <v>0</v>
      </c>
      <c r="AA12" s="16">
        <f t="shared" si="0"/>
        <v>0</v>
      </c>
      <c r="AB12" s="16"/>
      <c r="AC12" s="17"/>
      <c r="AD12" s="48"/>
    </row>
    <row r="13" spans="1:30" ht="19.5" thickBot="1" x14ac:dyDescent="0.3">
      <c r="A13" s="14">
        <v>11</v>
      </c>
      <c r="B13" s="15"/>
      <c r="C13" s="15" t="e">
        <f>VLOOKUP(B13,داتا!$B$3:$D$107,2,FALSE)</f>
        <v>#N/A</v>
      </c>
      <c r="D13" s="34" t="e">
        <f>VLOOKUP(B13,داتا!$B$3:$D$107,3,FALSE)</f>
        <v>#N/A</v>
      </c>
      <c r="E13" s="15"/>
      <c r="F13" s="15"/>
      <c r="G13" s="16">
        <v>0.25</v>
      </c>
      <c r="H13" s="16"/>
      <c r="I13" s="16">
        <f t="shared" si="1"/>
        <v>-0.25</v>
      </c>
      <c r="J13" s="16"/>
      <c r="K13" s="16"/>
      <c r="L13" s="16"/>
      <c r="M13" s="16"/>
      <c r="N13" s="16">
        <f t="shared" si="2"/>
        <v>0</v>
      </c>
      <c r="O13" s="16" t="e">
        <f t="shared" si="3"/>
        <v>#N/A</v>
      </c>
      <c r="P13" s="16">
        <v>6.9444444444444397E-3</v>
      </c>
      <c r="Q13" s="16"/>
      <c r="R13" s="16">
        <f t="shared" si="4"/>
        <v>-6.9444444444444397E-3</v>
      </c>
      <c r="S13" s="16"/>
      <c r="T13" s="16" t="e">
        <f>VLOOKUP(E13,'[2]21-3-2026'!E$3:T$35,16,FALSE)</f>
        <v>#N/A</v>
      </c>
      <c r="U13" s="16"/>
      <c r="V13" s="16" t="e">
        <f t="shared" si="5"/>
        <v>#N/A</v>
      </c>
      <c r="W13" s="16"/>
      <c r="X13" s="16"/>
      <c r="Y13" s="16"/>
      <c r="Z13" s="16">
        <f t="shared" si="6"/>
        <v>0</v>
      </c>
      <c r="AA13" s="16">
        <f t="shared" si="0"/>
        <v>0</v>
      </c>
      <c r="AB13" s="16"/>
      <c r="AC13" s="18"/>
      <c r="AD13" s="48"/>
    </row>
    <row r="14" spans="1:30" ht="19.5" thickBot="1" x14ac:dyDescent="0.3">
      <c r="A14" s="14">
        <v>12</v>
      </c>
      <c r="B14" s="15"/>
      <c r="C14" s="15" t="e">
        <f>VLOOKUP(B14,داتا!$B$3:$D$107,2,FALSE)</f>
        <v>#N/A</v>
      </c>
      <c r="D14" s="34" t="e">
        <f>VLOOKUP(B14,داتا!$B$3:$D$107,3,FALSE)</f>
        <v>#N/A</v>
      </c>
      <c r="E14" s="15"/>
      <c r="F14" s="15"/>
      <c r="G14" s="16">
        <v>0.25</v>
      </c>
      <c r="H14" s="16"/>
      <c r="I14" s="16">
        <f t="shared" si="1"/>
        <v>-0.25</v>
      </c>
      <c r="J14" s="16"/>
      <c r="K14" s="16"/>
      <c r="L14" s="16"/>
      <c r="M14" s="16"/>
      <c r="N14" s="16">
        <f t="shared" si="2"/>
        <v>0</v>
      </c>
      <c r="O14" s="16" t="e">
        <f t="shared" si="3"/>
        <v>#N/A</v>
      </c>
      <c r="P14" s="16">
        <v>6.9444444444444397E-3</v>
      </c>
      <c r="Q14" s="16"/>
      <c r="R14" s="16">
        <f t="shared" si="4"/>
        <v>-6.9444444444444397E-3</v>
      </c>
      <c r="S14" s="16"/>
      <c r="T14" s="16" t="e">
        <f>VLOOKUP(E14,'[2]21-3-2026'!E$3:T$35,16,FALSE)</f>
        <v>#N/A</v>
      </c>
      <c r="U14" s="16"/>
      <c r="V14" s="16" t="e">
        <f t="shared" si="5"/>
        <v>#N/A</v>
      </c>
      <c r="W14" s="16"/>
      <c r="X14" s="16"/>
      <c r="Y14" s="16"/>
      <c r="Z14" s="16">
        <f t="shared" si="6"/>
        <v>0</v>
      </c>
      <c r="AA14" s="16">
        <f t="shared" si="0"/>
        <v>0</v>
      </c>
      <c r="AB14" s="16"/>
      <c r="AC14" s="17"/>
      <c r="AD14" s="48"/>
    </row>
    <row r="15" spans="1:30" ht="19.5" thickBot="1" x14ac:dyDescent="0.3">
      <c r="A15" s="14">
        <v>13</v>
      </c>
      <c r="B15" s="15"/>
      <c r="C15" s="15" t="e">
        <f>VLOOKUP(B15,داتا!$B$3:$D$107,2,FALSE)</f>
        <v>#N/A</v>
      </c>
      <c r="D15" s="34" t="e">
        <f>VLOOKUP(B15,داتا!$B$3:$D$107,3,FALSE)</f>
        <v>#N/A</v>
      </c>
      <c r="E15" s="15"/>
      <c r="F15" s="15"/>
      <c r="G15" s="16">
        <v>0.25</v>
      </c>
      <c r="H15" s="16"/>
      <c r="I15" s="16">
        <f t="shared" si="1"/>
        <v>-0.25</v>
      </c>
      <c r="J15" s="16"/>
      <c r="K15" s="16"/>
      <c r="L15" s="16"/>
      <c r="M15" s="16"/>
      <c r="N15" s="16">
        <f t="shared" si="2"/>
        <v>0</v>
      </c>
      <c r="O15" s="16" t="e">
        <f t="shared" si="3"/>
        <v>#N/A</v>
      </c>
      <c r="P15" s="16">
        <v>6.9444444444444397E-3</v>
      </c>
      <c r="Q15" s="16"/>
      <c r="R15" s="16">
        <f t="shared" si="4"/>
        <v>-6.9444444444444397E-3</v>
      </c>
      <c r="S15" s="16"/>
      <c r="T15" s="16" t="e">
        <f>VLOOKUP(E15,'[2]21-3-2026'!E$3:T$35,16,FALSE)</f>
        <v>#N/A</v>
      </c>
      <c r="U15" s="16"/>
      <c r="V15" s="16" t="e">
        <f t="shared" si="5"/>
        <v>#N/A</v>
      </c>
      <c r="W15" s="16"/>
      <c r="X15" s="16"/>
      <c r="Y15" s="16"/>
      <c r="Z15" s="16">
        <f t="shared" si="6"/>
        <v>0</v>
      </c>
      <c r="AA15" s="16">
        <f t="shared" si="0"/>
        <v>0</v>
      </c>
      <c r="AB15" s="16"/>
      <c r="AC15" s="17"/>
      <c r="AD15" s="48"/>
    </row>
    <row r="16" spans="1:30" ht="19.5" thickBot="1" x14ac:dyDescent="0.3">
      <c r="A16" s="14">
        <v>14</v>
      </c>
      <c r="B16" s="15"/>
      <c r="C16" s="15" t="e">
        <f>VLOOKUP(B16,داتا!$B$3:$D$107,2,FALSE)</f>
        <v>#N/A</v>
      </c>
      <c r="D16" s="34" t="e">
        <f>VLOOKUP(B16,داتا!$B$3:$D$107,3,FALSE)</f>
        <v>#N/A</v>
      </c>
      <c r="E16" s="15"/>
      <c r="F16" s="15"/>
      <c r="G16" s="16">
        <v>0.25</v>
      </c>
      <c r="H16" s="16"/>
      <c r="I16" s="16">
        <f t="shared" si="1"/>
        <v>-0.25</v>
      </c>
      <c r="J16" s="16"/>
      <c r="K16" s="16"/>
      <c r="L16" s="16"/>
      <c r="M16" s="16"/>
      <c r="N16" s="16">
        <f t="shared" si="2"/>
        <v>0</v>
      </c>
      <c r="O16" s="16" t="e">
        <f t="shared" si="3"/>
        <v>#N/A</v>
      </c>
      <c r="P16" s="16">
        <v>6.9444444444444397E-3</v>
      </c>
      <c r="Q16" s="16"/>
      <c r="R16" s="16">
        <f t="shared" si="4"/>
        <v>-6.9444444444444397E-3</v>
      </c>
      <c r="S16" s="16"/>
      <c r="T16" s="16" t="e">
        <f>VLOOKUP(E16,'[2]21-3-2026'!E$3:T$35,16,FALSE)</f>
        <v>#N/A</v>
      </c>
      <c r="U16" s="16"/>
      <c r="V16" s="16" t="e">
        <f t="shared" si="5"/>
        <v>#N/A</v>
      </c>
      <c r="W16" s="16"/>
      <c r="X16" s="16"/>
      <c r="Y16" s="16"/>
      <c r="Z16" s="16">
        <f t="shared" si="6"/>
        <v>0</v>
      </c>
      <c r="AA16" s="16">
        <f t="shared" si="0"/>
        <v>0</v>
      </c>
      <c r="AB16" s="16"/>
      <c r="AC16" s="17"/>
      <c r="AD16" s="48"/>
    </row>
    <row r="17" spans="1:30" ht="19.5" thickBot="1" x14ac:dyDescent="0.3">
      <c r="A17" s="14">
        <v>15</v>
      </c>
      <c r="B17" s="15"/>
      <c r="C17" s="15" t="e">
        <f>VLOOKUP(B17,داتا!$B$3:$D$107,2,FALSE)</f>
        <v>#N/A</v>
      </c>
      <c r="D17" s="34" t="e">
        <f>VLOOKUP(B17,داتا!$B$3:$D$107,3,FALSE)</f>
        <v>#N/A</v>
      </c>
      <c r="E17" s="15"/>
      <c r="F17" s="15"/>
      <c r="G17" s="16">
        <v>0.25</v>
      </c>
      <c r="H17" s="16"/>
      <c r="I17" s="16">
        <f t="shared" si="1"/>
        <v>-0.25</v>
      </c>
      <c r="J17" s="16"/>
      <c r="K17" s="16"/>
      <c r="L17" s="16"/>
      <c r="M17" s="16"/>
      <c r="N17" s="16">
        <f t="shared" si="2"/>
        <v>0</v>
      </c>
      <c r="O17" s="16" t="e">
        <f t="shared" si="3"/>
        <v>#N/A</v>
      </c>
      <c r="P17" s="16">
        <v>6.9444444444444397E-3</v>
      </c>
      <c r="Q17" s="16"/>
      <c r="R17" s="16">
        <f t="shared" si="4"/>
        <v>-6.9444444444444397E-3</v>
      </c>
      <c r="S17" s="16"/>
      <c r="T17" s="16" t="e">
        <f>VLOOKUP(E17,'[2]21-3-2026'!E$3:T$35,16,FALSE)</f>
        <v>#N/A</v>
      </c>
      <c r="U17" s="16"/>
      <c r="V17" s="16" t="e">
        <f t="shared" si="5"/>
        <v>#N/A</v>
      </c>
      <c r="W17" s="16"/>
      <c r="X17" s="16"/>
      <c r="Y17" s="16"/>
      <c r="Z17" s="16">
        <f t="shared" si="6"/>
        <v>0</v>
      </c>
      <c r="AA17" s="16">
        <f t="shared" si="0"/>
        <v>0</v>
      </c>
      <c r="AB17" s="16"/>
      <c r="AC17" s="17"/>
      <c r="AD17" s="48"/>
    </row>
    <row r="18" spans="1:30" ht="19.5" thickBot="1" x14ac:dyDescent="0.3">
      <c r="A18" s="14">
        <v>16</v>
      </c>
      <c r="B18" s="15"/>
      <c r="C18" s="15" t="e">
        <f>VLOOKUP(B18,داتا!$B$3:$D$107,2,FALSE)</f>
        <v>#N/A</v>
      </c>
      <c r="D18" s="34" t="e">
        <f>VLOOKUP(B18,داتا!$B$3:$D$107,3,FALSE)</f>
        <v>#N/A</v>
      </c>
      <c r="E18" s="16"/>
      <c r="F18" s="15"/>
      <c r="G18" s="16">
        <v>0.25</v>
      </c>
      <c r="H18" s="16"/>
      <c r="I18" s="16">
        <f t="shared" si="1"/>
        <v>-0.25</v>
      </c>
      <c r="J18" s="16"/>
      <c r="K18" s="16"/>
      <c r="L18" s="16"/>
      <c r="M18" s="16"/>
      <c r="N18" s="16">
        <f t="shared" si="2"/>
        <v>0</v>
      </c>
      <c r="O18" s="16" t="e">
        <f t="shared" si="3"/>
        <v>#N/A</v>
      </c>
      <c r="P18" s="16">
        <v>6.9444444444444397E-3</v>
      </c>
      <c r="Q18" s="16"/>
      <c r="R18" s="16">
        <f t="shared" si="4"/>
        <v>-6.9444444444444397E-3</v>
      </c>
      <c r="S18" s="16"/>
      <c r="T18" s="16" t="e">
        <f>VLOOKUP(E18,'[2]21-3-2026'!E$3:T$35,16,FALSE)</f>
        <v>#N/A</v>
      </c>
      <c r="U18" s="16"/>
      <c r="V18" s="16" t="e">
        <f t="shared" si="5"/>
        <v>#N/A</v>
      </c>
      <c r="W18" s="16"/>
      <c r="X18" s="16"/>
      <c r="Y18" s="16"/>
      <c r="Z18" s="16">
        <f t="shared" si="6"/>
        <v>0</v>
      </c>
      <c r="AA18" s="16">
        <f t="shared" si="0"/>
        <v>0</v>
      </c>
      <c r="AB18" s="16"/>
      <c r="AC18" s="17"/>
      <c r="AD18" s="48"/>
    </row>
    <row r="19" spans="1:30" ht="19.5" thickBot="1" x14ac:dyDescent="0.3">
      <c r="A19" s="14">
        <v>17</v>
      </c>
      <c r="B19" s="15"/>
      <c r="C19" s="15" t="e">
        <f>VLOOKUP(B19,داتا!$B$3:$D$107,2,FALSE)</f>
        <v>#N/A</v>
      </c>
      <c r="D19" s="34" t="e">
        <f>VLOOKUP(B19,داتا!$B$3:$D$107,3,FALSE)</f>
        <v>#N/A</v>
      </c>
      <c r="E19" s="15"/>
      <c r="F19" s="15"/>
      <c r="G19" s="16">
        <v>0.25</v>
      </c>
      <c r="H19" s="16"/>
      <c r="I19" s="16">
        <f t="shared" si="1"/>
        <v>-0.25</v>
      </c>
      <c r="J19" s="16"/>
      <c r="K19" s="16"/>
      <c r="L19" s="16"/>
      <c r="M19" s="16"/>
      <c r="N19" s="16">
        <f t="shared" si="2"/>
        <v>0</v>
      </c>
      <c r="O19" s="16" t="e">
        <f t="shared" si="3"/>
        <v>#N/A</v>
      </c>
      <c r="P19" s="16">
        <v>6.9444444444444397E-3</v>
      </c>
      <c r="Q19" s="16"/>
      <c r="R19" s="16">
        <f t="shared" si="4"/>
        <v>-6.9444444444444397E-3</v>
      </c>
      <c r="S19" s="16"/>
      <c r="T19" s="16" t="e">
        <f>VLOOKUP(E19,'[2]21-3-2026'!E$3:T$35,16,FALSE)</f>
        <v>#N/A</v>
      </c>
      <c r="U19" s="16"/>
      <c r="V19" s="16" t="e">
        <f t="shared" si="5"/>
        <v>#N/A</v>
      </c>
      <c r="W19" s="16"/>
      <c r="X19" s="16"/>
      <c r="Y19" s="16"/>
      <c r="Z19" s="16">
        <f t="shared" si="6"/>
        <v>0</v>
      </c>
      <c r="AA19" s="16">
        <f t="shared" si="0"/>
        <v>0</v>
      </c>
      <c r="AB19" s="16"/>
      <c r="AC19" s="17"/>
      <c r="AD19" s="48"/>
    </row>
    <row r="20" spans="1:30" ht="19.5" thickBot="1" x14ac:dyDescent="0.3">
      <c r="A20" s="14">
        <v>18</v>
      </c>
      <c r="B20" s="15"/>
      <c r="C20" s="15" t="e">
        <f>VLOOKUP(B20,داتا!$B$3:$D$107,2,FALSE)</f>
        <v>#N/A</v>
      </c>
      <c r="D20" s="34" t="e">
        <f>VLOOKUP(B20,داتا!$B$3:$D$107,3,FALSE)</f>
        <v>#N/A</v>
      </c>
      <c r="E20" s="15"/>
      <c r="F20" s="15"/>
      <c r="G20" s="16">
        <v>0.25</v>
      </c>
      <c r="H20" s="16"/>
      <c r="I20" s="16">
        <f t="shared" si="1"/>
        <v>-0.25</v>
      </c>
      <c r="J20" s="16"/>
      <c r="K20" s="16"/>
      <c r="L20" s="16"/>
      <c r="M20" s="16"/>
      <c r="N20" s="16">
        <f t="shared" si="2"/>
        <v>0</v>
      </c>
      <c r="O20" s="16" t="e">
        <f t="shared" si="3"/>
        <v>#N/A</v>
      </c>
      <c r="P20" s="16">
        <v>6.9444444444444397E-3</v>
      </c>
      <c r="Q20" s="16"/>
      <c r="R20" s="16">
        <f t="shared" si="4"/>
        <v>-6.9444444444444397E-3</v>
      </c>
      <c r="S20" s="16"/>
      <c r="T20" s="16" t="e">
        <f>VLOOKUP(E20,'[2]21-3-2026'!E$3:T$35,16,FALSE)</f>
        <v>#N/A</v>
      </c>
      <c r="U20" s="16"/>
      <c r="V20" s="16" t="e">
        <f t="shared" si="5"/>
        <v>#N/A</v>
      </c>
      <c r="W20" s="16"/>
      <c r="X20" s="16"/>
      <c r="Y20" s="16"/>
      <c r="Z20" s="16">
        <f t="shared" si="6"/>
        <v>0</v>
      </c>
      <c r="AA20" s="16">
        <f t="shared" si="0"/>
        <v>0</v>
      </c>
      <c r="AB20" s="16"/>
      <c r="AC20" s="17"/>
      <c r="AD20" s="48"/>
    </row>
    <row r="21" spans="1:30" ht="19.5" thickBot="1" x14ac:dyDescent="0.3">
      <c r="A21" s="14">
        <v>19</v>
      </c>
      <c r="B21" s="15"/>
      <c r="C21" s="15" t="e">
        <f>VLOOKUP(B21,داتا!$B$3:$D$107,2,FALSE)</f>
        <v>#N/A</v>
      </c>
      <c r="D21" s="34" t="e">
        <f>VLOOKUP(B21,داتا!$B$3:$D$107,3,FALSE)</f>
        <v>#N/A</v>
      </c>
      <c r="E21" s="15"/>
      <c r="F21" s="15"/>
      <c r="G21" s="16">
        <v>0.25</v>
      </c>
      <c r="H21" s="16"/>
      <c r="I21" s="16">
        <f t="shared" si="1"/>
        <v>-0.25</v>
      </c>
      <c r="J21" s="16"/>
      <c r="K21" s="16"/>
      <c r="L21" s="16"/>
      <c r="M21" s="16"/>
      <c r="N21" s="16">
        <f t="shared" si="2"/>
        <v>0</v>
      </c>
      <c r="O21" s="16" t="e">
        <f t="shared" si="3"/>
        <v>#N/A</v>
      </c>
      <c r="P21" s="16">
        <v>6.9444444444444397E-3</v>
      </c>
      <c r="Q21" s="16"/>
      <c r="R21" s="16">
        <f t="shared" si="4"/>
        <v>-6.9444444444444397E-3</v>
      </c>
      <c r="S21" s="16"/>
      <c r="T21" s="16" t="e">
        <f>VLOOKUP(E21,'[2]21-3-2026'!E$3:T$35,16,FALSE)</f>
        <v>#N/A</v>
      </c>
      <c r="U21" s="16"/>
      <c r="V21" s="16" t="e">
        <f t="shared" si="5"/>
        <v>#N/A</v>
      </c>
      <c r="W21" s="16"/>
      <c r="X21" s="16"/>
      <c r="Y21" s="16"/>
      <c r="Z21" s="16">
        <f t="shared" si="6"/>
        <v>0</v>
      </c>
      <c r="AA21" s="16">
        <f t="shared" si="0"/>
        <v>0</v>
      </c>
      <c r="AB21" s="16"/>
      <c r="AC21" s="17"/>
      <c r="AD21" s="48"/>
    </row>
    <row r="22" spans="1:30" ht="19.5" thickBot="1" x14ac:dyDescent="0.3">
      <c r="A22" s="14">
        <v>20</v>
      </c>
      <c r="B22" s="15"/>
      <c r="C22" s="15" t="e">
        <f>VLOOKUP(B22,داتا!$B$3:$D$107,2,FALSE)</f>
        <v>#N/A</v>
      </c>
      <c r="D22" s="34" t="e">
        <f>VLOOKUP(B22,داتا!$B$3:$D$107,3,FALSE)</f>
        <v>#N/A</v>
      </c>
      <c r="E22" s="15"/>
      <c r="F22" s="15"/>
      <c r="G22" s="16">
        <v>0.25</v>
      </c>
      <c r="H22" s="16"/>
      <c r="I22" s="16">
        <f t="shared" si="1"/>
        <v>-0.25</v>
      </c>
      <c r="J22" s="16"/>
      <c r="K22" s="16"/>
      <c r="L22" s="16"/>
      <c r="M22" s="16"/>
      <c r="N22" s="16">
        <f t="shared" si="2"/>
        <v>0</v>
      </c>
      <c r="O22" s="16" t="e">
        <f t="shared" si="3"/>
        <v>#N/A</v>
      </c>
      <c r="P22" s="16">
        <v>6.9444444444444397E-3</v>
      </c>
      <c r="Q22" s="16"/>
      <c r="R22" s="16">
        <f t="shared" si="4"/>
        <v>-6.9444444444444397E-3</v>
      </c>
      <c r="S22" s="16"/>
      <c r="T22" s="16" t="e">
        <f>VLOOKUP(E22,'[2]21-3-2026'!E$3:T$35,16,FALSE)</f>
        <v>#N/A</v>
      </c>
      <c r="U22" s="16"/>
      <c r="V22" s="16" t="e">
        <f t="shared" si="5"/>
        <v>#N/A</v>
      </c>
      <c r="W22" s="16"/>
      <c r="X22" s="16"/>
      <c r="Y22" s="16"/>
      <c r="Z22" s="16">
        <f t="shared" si="6"/>
        <v>0</v>
      </c>
      <c r="AA22" s="16">
        <f t="shared" si="0"/>
        <v>0</v>
      </c>
      <c r="AB22" s="16"/>
      <c r="AC22" s="17"/>
      <c r="AD22" s="48"/>
    </row>
    <row r="23" spans="1:30" ht="19.5" thickBot="1" x14ac:dyDescent="0.3">
      <c r="A23" s="14">
        <v>21</v>
      </c>
      <c r="B23" s="15"/>
      <c r="C23" s="15" t="e">
        <f>VLOOKUP(B23,داتا!$B$3:$D$107,2,FALSE)</f>
        <v>#N/A</v>
      </c>
      <c r="D23" s="34" t="e">
        <f>VLOOKUP(B23,داتا!$B$3:$D$107,3,FALSE)</f>
        <v>#N/A</v>
      </c>
      <c r="E23" s="15"/>
      <c r="F23" s="15"/>
      <c r="G23" s="16">
        <v>0.25</v>
      </c>
      <c r="H23" s="16"/>
      <c r="I23" s="16">
        <f t="shared" si="1"/>
        <v>-0.25</v>
      </c>
      <c r="J23" s="16"/>
      <c r="K23" s="16"/>
      <c r="L23" s="16"/>
      <c r="M23" s="16"/>
      <c r="N23" s="16">
        <f t="shared" si="2"/>
        <v>0</v>
      </c>
      <c r="O23" s="16" t="e">
        <f t="shared" si="3"/>
        <v>#N/A</v>
      </c>
      <c r="P23" s="16">
        <v>6.9444444444444397E-3</v>
      </c>
      <c r="Q23" s="16"/>
      <c r="R23" s="16">
        <f t="shared" si="4"/>
        <v>-6.9444444444444397E-3</v>
      </c>
      <c r="S23" s="16"/>
      <c r="T23" s="16" t="e">
        <f>VLOOKUP(E23,'[2]21-3-2026'!E$3:T$35,16,FALSE)</f>
        <v>#N/A</v>
      </c>
      <c r="U23" s="16"/>
      <c r="V23" s="16" t="e">
        <f t="shared" si="5"/>
        <v>#N/A</v>
      </c>
      <c r="W23" s="16"/>
      <c r="X23" s="16"/>
      <c r="Y23" s="16"/>
      <c r="Z23" s="16">
        <f t="shared" si="6"/>
        <v>0</v>
      </c>
      <c r="AA23" s="16">
        <f t="shared" si="0"/>
        <v>0</v>
      </c>
      <c r="AB23" s="16"/>
      <c r="AC23" s="17"/>
      <c r="AD23" s="48"/>
    </row>
    <row r="24" spans="1:30" ht="19.5" thickBot="1" x14ac:dyDescent="0.3">
      <c r="A24" s="14">
        <v>22</v>
      </c>
      <c r="B24" s="15"/>
      <c r="C24" s="15" t="e">
        <f>VLOOKUP(B24,داتا!$B$3:$D$107,2,FALSE)</f>
        <v>#N/A</v>
      </c>
      <c r="D24" s="34" t="e">
        <f>VLOOKUP(B24,داتا!$B$3:$D$107,3,FALSE)</f>
        <v>#N/A</v>
      </c>
      <c r="E24" s="15"/>
      <c r="F24" s="16"/>
      <c r="G24" s="16">
        <v>0.25</v>
      </c>
      <c r="H24" s="16"/>
      <c r="I24" s="16">
        <f t="shared" si="1"/>
        <v>-0.25</v>
      </c>
      <c r="J24" s="16"/>
      <c r="K24" s="16"/>
      <c r="L24" s="16"/>
      <c r="M24" s="16"/>
      <c r="N24" s="16">
        <f t="shared" si="2"/>
        <v>0</v>
      </c>
      <c r="O24" s="16" t="e">
        <f t="shared" si="3"/>
        <v>#N/A</v>
      </c>
      <c r="P24" s="16">
        <v>6.9444444444444397E-3</v>
      </c>
      <c r="Q24" s="16"/>
      <c r="R24" s="16">
        <f t="shared" si="4"/>
        <v>-6.9444444444444397E-3</v>
      </c>
      <c r="S24" s="16"/>
      <c r="T24" s="16" t="e">
        <f>VLOOKUP(E24,'[2]21-3-2026'!E$3:T$35,16,FALSE)</f>
        <v>#N/A</v>
      </c>
      <c r="U24" s="16"/>
      <c r="V24" s="16" t="e">
        <f t="shared" si="5"/>
        <v>#N/A</v>
      </c>
      <c r="W24" s="16"/>
      <c r="X24" s="16"/>
      <c r="Y24" s="16"/>
      <c r="Z24" s="16">
        <f t="shared" si="6"/>
        <v>0</v>
      </c>
      <c r="AA24" s="16">
        <f t="shared" si="0"/>
        <v>0</v>
      </c>
      <c r="AB24" s="16"/>
      <c r="AC24" s="17"/>
      <c r="AD24" s="48"/>
    </row>
    <row r="25" spans="1:30" ht="19.5" thickBot="1" x14ac:dyDescent="0.3">
      <c r="A25" s="14">
        <v>23</v>
      </c>
      <c r="B25" s="15"/>
      <c r="C25" s="15" t="e">
        <f>VLOOKUP(B25,داتا!$B$3:$D$107,2,FALSE)</f>
        <v>#N/A</v>
      </c>
      <c r="D25" s="34" t="e">
        <f>VLOOKUP(B25,داتا!$B$3:$D$107,3,FALSE)</f>
        <v>#N/A</v>
      </c>
      <c r="E25" s="15"/>
      <c r="F25" s="15"/>
      <c r="G25" s="16">
        <v>0.25</v>
      </c>
      <c r="H25" s="16"/>
      <c r="I25" s="16">
        <f t="shared" si="1"/>
        <v>-0.25</v>
      </c>
      <c r="J25" s="16"/>
      <c r="K25" s="16"/>
      <c r="L25" s="16"/>
      <c r="M25" s="16"/>
      <c r="N25" s="16">
        <f t="shared" si="2"/>
        <v>0</v>
      </c>
      <c r="O25" s="16" t="e">
        <f t="shared" si="3"/>
        <v>#N/A</v>
      </c>
      <c r="P25" s="16">
        <v>6.9444444444444397E-3</v>
      </c>
      <c r="Q25" s="16"/>
      <c r="R25" s="16">
        <f t="shared" si="4"/>
        <v>-6.9444444444444397E-3</v>
      </c>
      <c r="S25" s="16"/>
      <c r="T25" s="16" t="e">
        <f>VLOOKUP(E25,'[2]21-3-2026'!E$3:T$35,16,FALSE)</f>
        <v>#N/A</v>
      </c>
      <c r="U25" s="16"/>
      <c r="V25" s="16" t="e">
        <f t="shared" si="5"/>
        <v>#N/A</v>
      </c>
      <c r="W25" s="16"/>
      <c r="X25" s="16"/>
      <c r="Y25" s="16"/>
      <c r="Z25" s="16">
        <f t="shared" si="6"/>
        <v>0</v>
      </c>
      <c r="AA25" s="16">
        <f t="shared" si="0"/>
        <v>0</v>
      </c>
      <c r="AB25" s="16"/>
      <c r="AC25" s="19"/>
      <c r="AD25" s="48"/>
    </row>
    <row r="26" spans="1:30" ht="19.5" thickBot="1" x14ac:dyDescent="0.3">
      <c r="A26" s="14">
        <v>24</v>
      </c>
      <c r="B26" s="15"/>
      <c r="C26" s="15" t="e">
        <f>VLOOKUP(B26,داتا!$B$3:$D$107,2,FALSE)</f>
        <v>#N/A</v>
      </c>
      <c r="D26" s="34" t="e">
        <f>VLOOKUP(B26,داتا!$B$3:$D$107,3,FALSE)</f>
        <v>#N/A</v>
      </c>
      <c r="E26" s="15"/>
      <c r="F26" s="15"/>
      <c r="G26" s="16">
        <v>0.25</v>
      </c>
      <c r="H26" s="16"/>
      <c r="I26" s="16">
        <f t="shared" si="1"/>
        <v>-0.25</v>
      </c>
      <c r="J26" s="16"/>
      <c r="K26" s="16"/>
      <c r="L26" s="16"/>
      <c r="M26" s="16"/>
      <c r="N26" s="16">
        <f t="shared" si="2"/>
        <v>0</v>
      </c>
      <c r="O26" s="16" t="e">
        <f t="shared" si="3"/>
        <v>#N/A</v>
      </c>
      <c r="P26" s="16">
        <v>6.9444444444444397E-3</v>
      </c>
      <c r="Q26" s="16"/>
      <c r="R26" s="16">
        <f t="shared" si="4"/>
        <v>-6.9444444444444397E-3</v>
      </c>
      <c r="S26" s="16"/>
      <c r="T26" s="16" t="e">
        <f>VLOOKUP(E26,'[2]21-3-2026'!E$3:T$35,16,FALSE)</f>
        <v>#N/A</v>
      </c>
      <c r="U26" s="16"/>
      <c r="V26" s="16" t="e">
        <f t="shared" si="5"/>
        <v>#N/A</v>
      </c>
      <c r="W26" s="16"/>
      <c r="X26" s="16"/>
      <c r="Y26" s="16"/>
      <c r="Z26" s="16">
        <f t="shared" si="6"/>
        <v>0</v>
      </c>
      <c r="AA26" s="16">
        <f t="shared" si="0"/>
        <v>0</v>
      </c>
      <c r="AB26" s="16"/>
      <c r="AC26" s="19"/>
      <c r="AD26" s="48"/>
    </row>
    <row r="27" spans="1:30" ht="19.5" thickBot="1" x14ac:dyDescent="0.3">
      <c r="A27" s="14">
        <v>25</v>
      </c>
      <c r="B27" s="15"/>
      <c r="C27" s="15" t="e">
        <f>VLOOKUP(B27,داتا!$B$3:$D$107,2,FALSE)</f>
        <v>#N/A</v>
      </c>
      <c r="D27" s="34" t="e">
        <f>VLOOKUP(B27,داتا!$B$3:$D$107,3,FALSE)</f>
        <v>#N/A</v>
      </c>
      <c r="E27" s="15"/>
      <c r="F27" s="15"/>
      <c r="G27" s="16">
        <v>0.25</v>
      </c>
      <c r="H27" s="16"/>
      <c r="I27" s="16">
        <f t="shared" si="1"/>
        <v>-0.25</v>
      </c>
      <c r="J27" s="16"/>
      <c r="K27" s="16"/>
      <c r="L27" s="16"/>
      <c r="M27" s="16"/>
      <c r="N27" s="16">
        <f t="shared" si="2"/>
        <v>0</v>
      </c>
      <c r="O27" s="16" t="e">
        <f t="shared" si="3"/>
        <v>#N/A</v>
      </c>
      <c r="P27" s="16">
        <v>6.9444444444444397E-3</v>
      </c>
      <c r="Q27" s="16"/>
      <c r="R27" s="16">
        <f t="shared" si="4"/>
        <v>-6.9444444444444397E-3</v>
      </c>
      <c r="S27" s="16"/>
      <c r="T27" s="16" t="e">
        <f>VLOOKUP(E27,'[2]21-3-2026'!E$3:T$35,16,FALSE)</f>
        <v>#N/A</v>
      </c>
      <c r="U27" s="16"/>
      <c r="V27" s="16" t="e">
        <f t="shared" si="5"/>
        <v>#N/A</v>
      </c>
      <c r="W27" s="16"/>
      <c r="X27" s="16"/>
      <c r="Y27" s="16"/>
      <c r="Z27" s="16">
        <f t="shared" si="6"/>
        <v>0</v>
      </c>
      <c r="AA27" s="16">
        <f t="shared" si="0"/>
        <v>0</v>
      </c>
      <c r="AB27" s="16"/>
      <c r="AC27" s="19"/>
      <c r="AD27" s="48"/>
    </row>
    <row r="28" spans="1:30" ht="19.5" thickBot="1" x14ac:dyDescent="0.3">
      <c r="A28" s="14">
        <v>26</v>
      </c>
      <c r="B28" s="15"/>
      <c r="C28" s="15" t="e">
        <f>VLOOKUP(B28,داتا!$B$3:$D$107,2,FALSE)</f>
        <v>#N/A</v>
      </c>
      <c r="D28" s="34" t="e">
        <f>VLOOKUP(B28,داتا!$B$3:$D$107,3,FALSE)</f>
        <v>#N/A</v>
      </c>
      <c r="E28" s="15"/>
      <c r="F28" s="15"/>
      <c r="G28" s="16">
        <v>0.25</v>
      </c>
      <c r="H28" s="16"/>
      <c r="I28" s="16">
        <f t="shared" si="1"/>
        <v>-0.25</v>
      </c>
      <c r="J28" s="16"/>
      <c r="K28" s="16"/>
      <c r="L28" s="16"/>
      <c r="M28" s="16"/>
      <c r="N28" s="16">
        <f t="shared" si="2"/>
        <v>0</v>
      </c>
      <c r="O28" s="16" t="e">
        <f t="shared" si="3"/>
        <v>#N/A</v>
      </c>
      <c r="P28" s="16">
        <v>6.9444444444444397E-3</v>
      </c>
      <c r="Q28" s="16"/>
      <c r="R28" s="16">
        <f t="shared" si="4"/>
        <v>-6.9444444444444397E-3</v>
      </c>
      <c r="S28" s="16"/>
      <c r="T28" s="16" t="e">
        <f>VLOOKUP(E28,'[2]21-3-2026'!E$3:T$35,16,FALSE)</f>
        <v>#N/A</v>
      </c>
      <c r="U28" s="16"/>
      <c r="V28" s="16" t="e">
        <f t="shared" si="5"/>
        <v>#N/A</v>
      </c>
      <c r="W28" s="16"/>
      <c r="X28" s="16"/>
      <c r="Y28" s="16"/>
      <c r="Z28" s="16">
        <f t="shared" si="6"/>
        <v>0</v>
      </c>
      <c r="AA28" s="16">
        <f t="shared" si="0"/>
        <v>0</v>
      </c>
      <c r="AB28" s="16"/>
      <c r="AC28" s="17"/>
      <c r="AD28" s="48"/>
    </row>
    <row r="29" spans="1:30" ht="19.5" thickBot="1" x14ac:dyDescent="0.3">
      <c r="A29" s="14">
        <v>27</v>
      </c>
      <c r="B29" s="15"/>
      <c r="C29" s="15" t="e">
        <f>VLOOKUP(B29,داتا!$B$3:$D$107,2,FALSE)</f>
        <v>#N/A</v>
      </c>
      <c r="D29" s="34" t="e">
        <f>VLOOKUP(B29,داتا!$B$3:$D$107,3,FALSE)</f>
        <v>#N/A</v>
      </c>
      <c r="E29" s="15"/>
      <c r="F29" s="15"/>
      <c r="G29" s="16">
        <v>0.25</v>
      </c>
      <c r="H29" s="16"/>
      <c r="I29" s="16">
        <f t="shared" si="1"/>
        <v>-0.25</v>
      </c>
      <c r="J29" s="16"/>
      <c r="K29" s="16"/>
      <c r="L29" s="16"/>
      <c r="M29" s="16"/>
      <c r="N29" s="16">
        <f t="shared" si="2"/>
        <v>0</v>
      </c>
      <c r="O29" s="16" t="e">
        <f t="shared" si="3"/>
        <v>#N/A</v>
      </c>
      <c r="P29" s="16">
        <v>6.9444444444444397E-3</v>
      </c>
      <c r="Q29" s="16"/>
      <c r="R29" s="16">
        <f t="shared" si="4"/>
        <v>-6.9444444444444397E-3</v>
      </c>
      <c r="S29" s="16"/>
      <c r="T29" s="16" t="e">
        <f>VLOOKUP(E29,'[2]21-3-2026'!E$3:T$35,16,FALSE)</f>
        <v>#N/A</v>
      </c>
      <c r="U29" s="16"/>
      <c r="V29" s="16" t="e">
        <f t="shared" si="5"/>
        <v>#N/A</v>
      </c>
      <c r="W29" s="16"/>
      <c r="X29" s="16"/>
      <c r="Y29" s="16"/>
      <c r="Z29" s="16">
        <f t="shared" si="6"/>
        <v>0</v>
      </c>
      <c r="AA29" s="16">
        <f t="shared" si="0"/>
        <v>0</v>
      </c>
      <c r="AB29" s="16"/>
      <c r="AC29" s="18"/>
      <c r="AD29" s="48"/>
    </row>
    <row r="30" spans="1:30" ht="19.5" thickBot="1" x14ac:dyDescent="0.3">
      <c r="A30" s="14">
        <v>28</v>
      </c>
      <c r="B30" s="15"/>
      <c r="C30" s="15" t="e">
        <f>VLOOKUP(B30,داتا!$B$3:$D$107,2,FALSE)</f>
        <v>#N/A</v>
      </c>
      <c r="D30" s="34" t="e">
        <f>VLOOKUP(B30,داتا!$B$3:$D$107,3,FALSE)</f>
        <v>#N/A</v>
      </c>
      <c r="E30" s="15"/>
      <c r="F30" s="15"/>
      <c r="G30" s="16">
        <v>0.25</v>
      </c>
      <c r="H30" s="16"/>
      <c r="I30" s="16">
        <f t="shared" si="1"/>
        <v>-0.25</v>
      </c>
      <c r="J30" s="16"/>
      <c r="K30" s="16"/>
      <c r="L30" s="16"/>
      <c r="M30" s="16"/>
      <c r="N30" s="16">
        <f t="shared" si="2"/>
        <v>0</v>
      </c>
      <c r="O30" s="16" t="e">
        <f t="shared" si="3"/>
        <v>#N/A</v>
      </c>
      <c r="P30" s="16">
        <v>6.9444444444444397E-3</v>
      </c>
      <c r="Q30" s="16"/>
      <c r="R30" s="16">
        <f t="shared" si="4"/>
        <v>-6.9444444444444397E-3</v>
      </c>
      <c r="S30" s="16"/>
      <c r="T30" s="16" t="e">
        <f>VLOOKUP(E30,'[2]21-3-2026'!E$3:T$35,16,FALSE)</f>
        <v>#N/A</v>
      </c>
      <c r="U30" s="16"/>
      <c r="V30" s="16" t="e">
        <f t="shared" si="5"/>
        <v>#N/A</v>
      </c>
      <c r="W30" s="16"/>
      <c r="X30" s="16"/>
      <c r="Y30" s="16"/>
      <c r="Z30" s="16">
        <f t="shared" si="6"/>
        <v>0</v>
      </c>
      <c r="AA30" s="16">
        <f t="shared" si="0"/>
        <v>0</v>
      </c>
      <c r="AB30" s="16"/>
      <c r="AC30" s="17"/>
      <c r="AD30" s="48"/>
    </row>
    <row r="31" spans="1:30" ht="19.5" thickBot="1" x14ac:dyDescent="0.3">
      <c r="A31" s="14">
        <v>29</v>
      </c>
      <c r="B31" s="15"/>
      <c r="C31" s="15" t="e">
        <f>VLOOKUP(B31,داتا!$B$3:$D$107,2,FALSE)</f>
        <v>#N/A</v>
      </c>
      <c r="D31" s="34" t="e">
        <f>VLOOKUP(B31,داتا!$B$3:$D$107,3,FALSE)</f>
        <v>#N/A</v>
      </c>
      <c r="E31" s="15"/>
      <c r="F31" s="15"/>
      <c r="G31" s="16">
        <v>0.25</v>
      </c>
      <c r="H31" s="16"/>
      <c r="I31" s="16">
        <f t="shared" si="1"/>
        <v>-0.25</v>
      </c>
      <c r="J31" s="16"/>
      <c r="K31" s="16"/>
      <c r="L31" s="16"/>
      <c r="M31" s="16"/>
      <c r="N31" s="16">
        <f t="shared" si="2"/>
        <v>0</v>
      </c>
      <c r="O31" s="16" t="e">
        <f t="shared" si="3"/>
        <v>#N/A</v>
      </c>
      <c r="P31" s="16">
        <v>6.9444444444444397E-3</v>
      </c>
      <c r="Q31" s="16"/>
      <c r="R31" s="16">
        <f t="shared" si="4"/>
        <v>-6.9444444444444397E-3</v>
      </c>
      <c r="S31" s="16"/>
      <c r="T31" s="16" t="e">
        <f>VLOOKUP(E31,'[2]21-3-2026'!E$3:T$35,16,FALSE)</f>
        <v>#N/A</v>
      </c>
      <c r="U31" s="16"/>
      <c r="V31" s="16" t="e">
        <f t="shared" si="5"/>
        <v>#N/A</v>
      </c>
      <c r="W31" s="16"/>
      <c r="X31" s="16"/>
      <c r="Y31" s="16"/>
      <c r="Z31" s="16">
        <f t="shared" si="6"/>
        <v>0</v>
      </c>
      <c r="AA31" s="16">
        <f t="shared" si="0"/>
        <v>0</v>
      </c>
      <c r="AB31" s="16"/>
      <c r="AC31" s="17"/>
      <c r="AD31" s="48"/>
    </row>
    <row r="32" spans="1:30" ht="19.5" thickBot="1" x14ac:dyDescent="0.3">
      <c r="A32" s="14">
        <v>30</v>
      </c>
      <c r="B32" s="15"/>
      <c r="C32" s="15" t="e">
        <f>VLOOKUP(B32,داتا!$B$3:$D$107,2,FALSE)</f>
        <v>#N/A</v>
      </c>
      <c r="D32" s="34" t="e">
        <f>VLOOKUP(B32,داتا!$B$3:$D$107,3,FALSE)</f>
        <v>#N/A</v>
      </c>
      <c r="E32" s="15"/>
      <c r="F32" s="15"/>
      <c r="G32" s="16">
        <v>0.25</v>
      </c>
      <c r="H32" s="16"/>
      <c r="I32" s="16">
        <f t="shared" si="1"/>
        <v>-0.25</v>
      </c>
      <c r="J32" s="16"/>
      <c r="K32" s="16"/>
      <c r="L32" s="16"/>
      <c r="M32" s="16"/>
      <c r="N32" s="16">
        <f t="shared" si="2"/>
        <v>0</v>
      </c>
      <c r="O32" s="16" t="e">
        <f t="shared" si="3"/>
        <v>#N/A</v>
      </c>
      <c r="P32" s="16">
        <v>6.9444444444444397E-3</v>
      </c>
      <c r="Q32" s="16"/>
      <c r="R32" s="16">
        <f t="shared" si="4"/>
        <v>-6.9444444444444397E-3</v>
      </c>
      <c r="S32" s="16"/>
      <c r="T32" s="16" t="e">
        <f>VLOOKUP(E32,'[2]21-3-2026'!E$3:T$35,16,FALSE)</f>
        <v>#N/A</v>
      </c>
      <c r="U32" s="16"/>
      <c r="V32" s="16" t="e">
        <f t="shared" si="5"/>
        <v>#N/A</v>
      </c>
      <c r="W32" s="16"/>
      <c r="X32" s="16"/>
      <c r="Y32" s="16"/>
      <c r="Z32" s="16">
        <f t="shared" si="6"/>
        <v>0</v>
      </c>
      <c r="AA32" s="16">
        <f t="shared" si="0"/>
        <v>0</v>
      </c>
      <c r="AB32" s="16"/>
      <c r="AC32" s="17"/>
      <c r="AD32" s="48"/>
    </row>
    <row r="33" spans="1:30" ht="19.5" thickBot="1" x14ac:dyDescent="0.3">
      <c r="A33" s="14">
        <v>31</v>
      </c>
      <c r="B33" s="15"/>
      <c r="C33" s="15" t="e">
        <f>VLOOKUP(B33,داتا!$B$3:$D$107,2,FALSE)</f>
        <v>#N/A</v>
      </c>
      <c r="D33" s="34" t="e">
        <f>VLOOKUP(B33,داتا!$B$3:$D$107,3,FALSE)</f>
        <v>#N/A</v>
      </c>
      <c r="E33" s="15"/>
      <c r="F33" s="15"/>
      <c r="G33" s="16">
        <v>0.25</v>
      </c>
      <c r="H33" s="16"/>
      <c r="I33" s="16">
        <f t="shared" si="1"/>
        <v>-0.25</v>
      </c>
      <c r="J33" s="16"/>
      <c r="K33" s="16"/>
      <c r="L33" s="16"/>
      <c r="M33" s="16"/>
      <c r="N33" s="16">
        <f t="shared" si="2"/>
        <v>0</v>
      </c>
      <c r="O33" s="16" t="e">
        <f t="shared" si="3"/>
        <v>#N/A</v>
      </c>
      <c r="P33" s="16">
        <v>6.9444444444444397E-3</v>
      </c>
      <c r="Q33" s="16"/>
      <c r="R33" s="16">
        <f t="shared" si="4"/>
        <v>-6.9444444444444397E-3</v>
      </c>
      <c r="S33" s="16"/>
      <c r="T33" s="16" t="e">
        <f>VLOOKUP(E33,'[2]21-3-2026'!E$3:T$35,16,FALSE)</f>
        <v>#N/A</v>
      </c>
      <c r="U33" s="16"/>
      <c r="V33" s="16" t="e">
        <f t="shared" si="5"/>
        <v>#N/A</v>
      </c>
      <c r="W33" s="16"/>
      <c r="X33" s="16"/>
      <c r="Y33" s="16"/>
      <c r="Z33" s="16">
        <f t="shared" si="6"/>
        <v>0</v>
      </c>
      <c r="AA33" s="16">
        <f t="shared" si="0"/>
        <v>0</v>
      </c>
      <c r="AB33" s="16"/>
      <c r="AC33" s="17"/>
      <c r="AD33" s="48"/>
    </row>
    <row r="34" spans="1:30" ht="19.5" thickBot="1" x14ac:dyDescent="0.3">
      <c r="A34" s="14">
        <v>32</v>
      </c>
      <c r="B34" s="15"/>
      <c r="C34" s="15" t="e">
        <f>VLOOKUP(B34,داتا!$B$3:$D$107,2,FALSE)</f>
        <v>#N/A</v>
      </c>
      <c r="D34" s="34" t="e">
        <f>VLOOKUP(B34,داتا!$B$3:$D$107,3,FALSE)</f>
        <v>#N/A</v>
      </c>
      <c r="E34" s="15"/>
      <c r="F34" s="15"/>
      <c r="G34" s="16">
        <v>0.25</v>
      </c>
      <c r="H34" s="16"/>
      <c r="I34" s="16">
        <f t="shared" si="1"/>
        <v>-0.25</v>
      </c>
      <c r="J34" s="16"/>
      <c r="K34" s="16"/>
      <c r="L34" s="16"/>
      <c r="M34" s="16"/>
      <c r="N34" s="16">
        <f t="shared" si="2"/>
        <v>0</v>
      </c>
      <c r="O34" s="16" t="e">
        <f t="shared" si="3"/>
        <v>#N/A</v>
      </c>
      <c r="P34" s="16">
        <v>6.9444444444444397E-3</v>
      </c>
      <c r="Q34" s="16"/>
      <c r="R34" s="16">
        <f t="shared" si="4"/>
        <v>-6.9444444444444397E-3</v>
      </c>
      <c r="S34" s="16"/>
      <c r="T34" s="16" t="e">
        <f>VLOOKUP(E34,'[2]21-3-2026'!E$3:T$35,16,FALSE)</f>
        <v>#N/A</v>
      </c>
      <c r="U34" s="16"/>
      <c r="V34" s="16" t="e">
        <f t="shared" si="5"/>
        <v>#N/A</v>
      </c>
      <c r="W34" s="16"/>
      <c r="X34" s="16"/>
      <c r="Y34" s="16"/>
      <c r="Z34" s="16">
        <f t="shared" si="6"/>
        <v>0</v>
      </c>
      <c r="AA34" s="16">
        <f t="shared" si="0"/>
        <v>0</v>
      </c>
      <c r="AB34" s="16"/>
      <c r="AC34" s="17"/>
      <c r="AD34" s="48"/>
    </row>
    <row r="35" spans="1:30" ht="19.5" thickBot="1" x14ac:dyDescent="0.3">
      <c r="A35" s="20">
        <v>33</v>
      </c>
      <c r="B35" s="21"/>
      <c r="C35" s="21" t="e">
        <f>VLOOKUP(B35,داتا!$B$3:$D$107,2,FALSE)</f>
        <v>#N/A</v>
      </c>
      <c r="D35" s="35" t="e">
        <f>VLOOKUP(B35,داتا!$B$3:$D$107,3,FALSE)</f>
        <v>#N/A</v>
      </c>
      <c r="E35" s="21"/>
      <c r="F35" s="21"/>
      <c r="G35" s="22">
        <v>0.25</v>
      </c>
      <c r="H35" s="22"/>
      <c r="I35" s="22">
        <f t="shared" si="1"/>
        <v>-0.25</v>
      </c>
      <c r="J35" s="22"/>
      <c r="K35" s="22"/>
      <c r="L35" s="22"/>
      <c r="M35" s="22"/>
      <c r="N35" s="22">
        <f t="shared" si="2"/>
        <v>0</v>
      </c>
      <c r="O35" s="22" t="e">
        <f t="shared" si="3"/>
        <v>#N/A</v>
      </c>
      <c r="P35" s="22">
        <v>6.9444444444444397E-3</v>
      </c>
      <c r="Q35" s="22"/>
      <c r="R35" s="22">
        <f t="shared" si="4"/>
        <v>-6.9444444444444397E-3</v>
      </c>
      <c r="S35" s="22"/>
      <c r="T35" s="22" t="e">
        <f>VLOOKUP(E35,'[2]21-3-2026'!E$3:T$35,16,FALSE)</f>
        <v>#N/A</v>
      </c>
      <c r="U35" s="22"/>
      <c r="V35" s="22" t="e">
        <f t="shared" si="5"/>
        <v>#N/A</v>
      </c>
      <c r="W35" s="22"/>
      <c r="X35" s="22"/>
      <c r="Y35" s="22"/>
      <c r="Z35" s="22">
        <f t="shared" si="6"/>
        <v>0</v>
      </c>
      <c r="AA35" s="22">
        <f t="shared" si="0"/>
        <v>0</v>
      </c>
      <c r="AB35" s="22"/>
      <c r="AC35" s="23"/>
      <c r="AD35" s="49"/>
    </row>
    <row r="36" spans="1:30" ht="20.25" customHeight="1" thickTop="1" thickBot="1" x14ac:dyDescent="0.3">
      <c r="A36" s="10">
        <v>1</v>
      </c>
      <c r="B36" s="11"/>
      <c r="C36" s="11" t="e">
        <f>VLOOKUP(B36,داتا!$B$3:$D$107,2,FALSE)</f>
        <v>#N/A</v>
      </c>
      <c r="D36" s="33" t="e">
        <f>VLOOKUP(B36,داتا!$B$3:$D$107,3,FALSE)</f>
        <v>#N/A</v>
      </c>
      <c r="E36" s="11"/>
      <c r="F36" s="11"/>
      <c r="G36" s="12">
        <v>0.25</v>
      </c>
      <c r="H36" s="12" t="e">
        <f>VLOOKUP(G36,$F$3:$I$35,2,FALSE)</f>
        <v>#N/A</v>
      </c>
      <c r="I36" s="12" t="e">
        <f t="shared" si="1"/>
        <v>#N/A</v>
      </c>
      <c r="J36" s="12"/>
      <c r="K36" s="12"/>
      <c r="L36" s="12"/>
      <c r="M36" s="12"/>
      <c r="N36" s="12">
        <f t="shared" si="2"/>
        <v>0</v>
      </c>
      <c r="O36" s="12" t="e">
        <f t="shared" si="3"/>
        <v>#N/A</v>
      </c>
      <c r="P36" s="12">
        <v>6.9444444444444397E-3</v>
      </c>
      <c r="Q36" s="12"/>
      <c r="R36" s="12">
        <f t="shared" si="4"/>
        <v>-6.9444444444444397E-3</v>
      </c>
      <c r="S36" s="12"/>
      <c r="T36" s="12" t="e">
        <f>VLOOKUP(E36,'[2]21-3-2026'!E$3:T$35,16,FALSE)</f>
        <v>#N/A</v>
      </c>
      <c r="U36" s="12"/>
      <c r="V36" s="12" t="e">
        <f t="shared" si="5"/>
        <v>#N/A</v>
      </c>
      <c r="W36" s="12"/>
      <c r="X36" s="12"/>
      <c r="Y36" s="12"/>
      <c r="Z36" s="12">
        <f t="shared" si="6"/>
        <v>0</v>
      </c>
      <c r="AA36" s="12">
        <f t="shared" si="0"/>
        <v>0</v>
      </c>
      <c r="AB36" s="12"/>
      <c r="AC36" s="29"/>
      <c r="AD36" s="50" t="s">
        <v>104</v>
      </c>
    </row>
    <row r="37" spans="1:30" ht="19.5" thickBot="1" x14ac:dyDescent="0.3">
      <c r="A37" s="14">
        <v>2</v>
      </c>
      <c r="B37" s="15"/>
      <c r="C37" s="15" t="e">
        <f>VLOOKUP(B37,داتا!$B$3:$D$107,2,FALSE)</f>
        <v>#N/A</v>
      </c>
      <c r="D37" s="34" t="e">
        <f>VLOOKUP(B37,داتا!$B$3:$D$107,3,FALSE)</f>
        <v>#N/A</v>
      </c>
      <c r="E37" s="15"/>
      <c r="F37" s="15"/>
      <c r="G37" s="16">
        <v>0.25</v>
      </c>
      <c r="H37" s="16" t="e">
        <f t="shared" ref="H37:H52" si="7">VLOOKUP(G37,$F$3:$I$35,2,FALSE)</f>
        <v>#N/A</v>
      </c>
      <c r="I37" s="16" t="e">
        <f t="shared" si="1"/>
        <v>#N/A</v>
      </c>
      <c r="J37" s="16"/>
      <c r="K37" s="16"/>
      <c r="L37" s="16"/>
      <c r="M37" s="16"/>
      <c r="N37" s="16">
        <f t="shared" si="2"/>
        <v>0</v>
      </c>
      <c r="O37" s="16" t="e">
        <f t="shared" si="3"/>
        <v>#N/A</v>
      </c>
      <c r="P37" s="16">
        <v>6.9444444444444397E-3</v>
      </c>
      <c r="Q37" s="16"/>
      <c r="R37" s="16">
        <f t="shared" si="4"/>
        <v>-6.9444444444444397E-3</v>
      </c>
      <c r="S37" s="16"/>
      <c r="T37" s="16" t="e">
        <f>VLOOKUP(E37,'[2]21-3-2026'!E$3:T$35,16,FALSE)</f>
        <v>#N/A</v>
      </c>
      <c r="U37" s="16"/>
      <c r="V37" s="16" t="e">
        <f t="shared" si="5"/>
        <v>#N/A</v>
      </c>
      <c r="W37" s="16"/>
      <c r="X37" s="16"/>
      <c r="Y37" s="16"/>
      <c r="Z37" s="16">
        <f t="shared" si="6"/>
        <v>0</v>
      </c>
      <c r="AA37" s="16">
        <f t="shared" si="0"/>
        <v>0</v>
      </c>
      <c r="AB37" s="16"/>
      <c r="AC37" s="19"/>
      <c r="AD37" s="51"/>
    </row>
    <row r="38" spans="1:30" ht="19.5" thickBot="1" x14ac:dyDescent="0.3">
      <c r="A38" s="14">
        <v>3</v>
      </c>
      <c r="B38" s="15"/>
      <c r="C38" s="15" t="e">
        <f>VLOOKUP(B38,داتا!$B$3:$D$107,2,FALSE)</f>
        <v>#N/A</v>
      </c>
      <c r="D38" s="34" t="e">
        <f>VLOOKUP(B38,داتا!$B$3:$D$107,3,FALSE)</f>
        <v>#N/A</v>
      </c>
      <c r="E38" s="15"/>
      <c r="F38" s="15"/>
      <c r="G38" s="16">
        <v>0.25</v>
      </c>
      <c r="H38" s="16" t="e">
        <f t="shared" si="7"/>
        <v>#N/A</v>
      </c>
      <c r="I38" s="16" t="e">
        <f t="shared" si="1"/>
        <v>#N/A</v>
      </c>
      <c r="J38" s="16"/>
      <c r="K38" s="16"/>
      <c r="L38" s="16"/>
      <c r="M38" s="16"/>
      <c r="N38" s="16">
        <f t="shared" si="2"/>
        <v>0</v>
      </c>
      <c r="O38" s="16" t="e">
        <f t="shared" si="3"/>
        <v>#N/A</v>
      </c>
      <c r="P38" s="16">
        <v>6.9444444444444397E-3</v>
      </c>
      <c r="Q38" s="16"/>
      <c r="R38" s="16">
        <f t="shared" si="4"/>
        <v>-6.9444444444444397E-3</v>
      </c>
      <c r="S38" s="16"/>
      <c r="T38" s="16" t="e">
        <f>VLOOKUP(E38,'[2]21-3-2026'!E$3:T$35,16,FALSE)</f>
        <v>#N/A</v>
      </c>
      <c r="U38" s="16"/>
      <c r="V38" s="16" t="e">
        <f t="shared" si="5"/>
        <v>#N/A</v>
      </c>
      <c r="W38" s="16"/>
      <c r="X38" s="16"/>
      <c r="Y38" s="16"/>
      <c r="Z38" s="16">
        <f t="shared" si="6"/>
        <v>0</v>
      </c>
      <c r="AA38" s="16">
        <f t="shared" si="0"/>
        <v>0</v>
      </c>
      <c r="AB38" s="16"/>
      <c r="AC38" s="19"/>
      <c r="AD38" s="51"/>
    </row>
    <row r="39" spans="1:30" ht="19.5" thickBot="1" x14ac:dyDescent="0.3">
      <c r="A39" s="14">
        <v>4</v>
      </c>
      <c r="B39" s="15"/>
      <c r="C39" s="15" t="e">
        <f>VLOOKUP(B39,داتا!$B$3:$D$107,2,FALSE)</f>
        <v>#N/A</v>
      </c>
      <c r="D39" s="34" t="e">
        <f>VLOOKUP(B39,داتا!$B$3:$D$107,3,FALSE)</f>
        <v>#N/A</v>
      </c>
      <c r="E39" s="15"/>
      <c r="F39" s="15"/>
      <c r="G39" s="16">
        <v>0.25</v>
      </c>
      <c r="H39" s="16" t="e">
        <f t="shared" si="7"/>
        <v>#N/A</v>
      </c>
      <c r="I39" s="16" t="e">
        <f t="shared" si="1"/>
        <v>#N/A</v>
      </c>
      <c r="J39" s="16"/>
      <c r="K39" s="16"/>
      <c r="L39" s="16"/>
      <c r="M39" s="16"/>
      <c r="N39" s="16">
        <f t="shared" si="2"/>
        <v>0</v>
      </c>
      <c r="O39" s="16" t="e">
        <f t="shared" si="3"/>
        <v>#N/A</v>
      </c>
      <c r="P39" s="16">
        <v>6.9444444444444397E-3</v>
      </c>
      <c r="Q39" s="16"/>
      <c r="R39" s="16">
        <f t="shared" si="4"/>
        <v>-6.9444444444444397E-3</v>
      </c>
      <c r="S39" s="16"/>
      <c r="T39" s="16" t="e">
        <f>VLOOKUP(E39,'[2]21-3-2026'!E$3:T$35,16,FALSE)</f>
        <v>#N/A</v>
      </c>
      <c r="U39" s="16"/>
      <c r="V39" s="16" t="e">
        <f t="shared" si="5"/>
        <v>#N/A</v>
      </c>
      <c r="W39" s="16"/>
      <c r="X39" s="16"/>
      <c r="Y39" s="16"/>
      <c r="Z39" s="16">
        <f t="shared" si="6"/>
        <v>0</v>
      </c>
      <c r="AA39" s="16">
        <f t="shared" si="0"/>
        <v>0</v>
      </c>
      <c r="AB39" s="16"/>
      <c r="AC39" s="17"/>
      <c r="AD39" s="51"/>
    </row>
    <row r="40" spans="1:30" ht="19.5" thickBot="1" x14ac:dyDescent="0.3">
      <c r="A40" s="14">
        <v>5</v>
      </c>
      <c r="B40" s="15"/>
      <c r="C40" s="15" t="e">
        <f>VLOOKUP(B40,داتا!$B$3:$D$107,2,FALSE)</f>
        <v>#N/A</v>
      </c>
      <c r="D40" s="34" t="e">
        <f>VLOOKUP(B40,داتا!$B$3:$D$107,3,FALSE)</f>
        <v>#N/A</v>
      </c>
      <c r="E40" s="15"/>
      <c r="F40" s="15"/>
      <c r="G40" s="16">
        <v>0.25</v>
      </c>
      <c r="H40" s="16" t="e">
        <f t="shared" si="7"/>
        <v>#N/A</v>
      </c>
      <c r="I40" s="16" t="e">
        <f t="shared" si="1"/>
        <v>#N/A</v>
      </c>
      <c r="J40" s="16"/>
      <c r="K40" s="16"/>
      <c r="L40" s="16"/>
      <c r="M40" s="16"/>
      <c r="N40" s="16">
        <f t="shared" si="2"/>
        <v>0</v>
      </c>
      <c r="O40" s="16" t="e">
        <f t="shared" si="3"/>
        <v>#N/A</v>
      </c>
      <c r="P40" s="16">
        <v>6.9444444444444397E-3</v>
      </c>
      <c r="Q40" s="16"/>
      <c r="R40" s="16">
        <f t="shared" si="4"/>
        <v>-6.9444444444444397E-3</v>
      </c>
      <c r="S40" s="16"/>
      <c r="T40" s="16" t="e">
        <f>VLOOKUP(E40,'[2]21-3-2026'!E$3:T$35,16,FALSE)</f>
        <v>#N/A</v>
      </c>
      <c r="U40" s="16"/>
      <c r="V40" s="16" t="e">
        <f t="shared" si="5"/>
        <v>#N/A</v>
      </c>
      <c r="W40" s="16"/>
      <c r="X40" s="16"/>
      <c r="Y40" s="16"/>
      <c r="Z40" s="16">
        <f t="shared" si="6"/>
        <v>0</v>
      </c>
      <c r="AA40" s="16">
        <f t="shared" si="0"/>
        <v>0</v>
      </c>
      <c r="AB40" s="16"/>
      <c r="AC40" s="17"/>
      <c r="AD40" s="51"/>
    </row>
    <row r="41" spans="1:30" ht="19.5" thickBot="1" x14ac:dyDescent="0.3">
      <c r="A41" s="14">
        <v>6</v>
      </c>
      <c r="B41" s="15"/>
      <c r="C41" s="15" t="e">
        <f>VLOOKUP(B41,داتا!$B$3:$D$107,2,FALSE)</f>
        <v>#N/A</v>
      </c>
      <c r="D41" s="34" t="e">
        <f>VLOOKUP(B41,داتا!$B$3:$D$107,3,FALSE)</f>
        <v>#N/A</v>
      </c>
      <c r="E41" s="15"/>
      <c r="F41" s="15"/>
      <c r="G41" s="16">
        <v>0.25</v>
      </c>
      <c r="H41" s="16" t="e">
        <f t="shared" si="7"/>
        <v>#N/A</v>
      </c>
      <c r="I41" s="16" t="e">
        <f t="shared" si="1"/>
        <v>#N/A</v>
      </c>
      <c r="J41" s="16"/>
      <c r="K41" s="16"/>
      <c r="L41" s="16"/>
      <c r="M41" s="16"/>
      <c r="N41" s="16">
        <f t="shared" si="2"/>
        <v>0</v>
      </c>
      <c r="O41" s="16" t="e">
        <f t="shared" si="3"/>
        <v>#N/A</v>
      </c>
      <c r="P41" s="16">
        <v>6.9444444444444397E-3</v>
      </c>
      <c r="Q41" s="16"/>
      <c r="R41" s="16">
        <f t="shared" si="4"/>
        <v>-6.9444444444444397E-3</v>
      </c>
      <c r="S41" s="16"/>
      <c r="T41" s="16" t="e">
        <f>VLOOKUP(E41,'[2]21-3-2026'!E$3:T$35,16,FALSE)</f>
        <v>#N/A</v>
      </c>
      <c r="U41" s="16"/>
      <c r="V41" s="16" t="e">
        <f t="shared" si="5"/>
        <v>#N/A</v>
      </c>
      <c r="W41" s="16"/>
      <c r="X41" s="16"/>
      <c r="Y41" s="16"/>
      <c r="Z41" s="16">
        <f t="shared" si="6"/>
        <v>0</v>
      </c>
      <c r="AA41" s="16">
        <f t="shared" si="0"/>
        <v>0</v>
      </c>
      <c r="AB41" s="16"/>
      <c r="AC41" s="17"/>
      <c r="AD41" s="51"/>
    </row>
    <row r="42" spans="1:30" ht="19.5" thickBot="1" x14ac:dyDescent="0.3">
      <c r="A42" s="14">
        <v>7</v>
      </c>
      <c r="B42" s="15"/>
      <c r="C42" s="15" t="e">
        <f>VLOOKUP(B42,داتا!$B$3:$D$107,2,FALSE)</f>
        <v>#N/A</v>
      </c>
      <c r="D42" s="34" t="e">
        <f>VLOOKUP(B42,داتا!$B$3:$D$107,3,FALSE)</f>
        <v>#N/A</v>
      </c>
      <c r="E42" s="15"/>
      <c r="F42" s="15"/>
      <c r="G42" s="16">
        <v>0.25</v>
      </c>
      <c r="H42" s="16" t="e">
        <f t="shared" si="7"/>
        <v>#N/A</v>
      </c>
      <c r="I42" s="16" t="e">
        <f t="shared" si="1"/>
        <v>#N/A</v>
      </c>
      <c r="J42" s="16"/>
      <c r="K42" s="16"/>
      <c r="L42" s="16"/>
      <c r="M42" s="16"/>
      <c r="N42" s="16">
        <f t="shared" si="2"/>
        <v>0</v>
      </c>
      <c r="O42" s="16" t="e">
        <f t="shared" si="3"/>
        <v>#N/A</v>
      </c>
      <c r="P42" s="16">
        <v>6.9444444444444397E-3</v>
      </c>
      <c r="Q42" s="16"/>
      <c r="R42" s="16">
        <f t="shared" si="4"/>
        <v>-6.9444444444444397E-3</v>
      </c>
      <c r="S42" s="16"/>
      <c r="T42" s="16" t="e">
        <f>VLOOKUP(E42,'[2]21-3-2026'!E$3:T$35,16,FALSE)</f>
        <v>#N/A</v>
      </c>
      <c r="U42" s="16"/>
      <c r="V42" s="16" t="e">
        <f t="shared" si="5"/>
        <v>#N/A</v>
      </c>
      <c r="W42" s="16"/>
      <c r="X42" s="16"/>
      <c r="Y42" s="16"/>
      <c r="Z42" s="16">
        <f t="shared" si="6"/>
        <v>0</v>
      </c>
      <c r="AA42" s="16">
        <f t="shared" si="0"/>
        <v>0</v>
      </c>
      <c r="AB42" s="16"/>
      <c r="AC42" s="17"/>
      <c r="AD42" s="51"/>
    </row>
    <row r="43" spans="1:30" ht="19.5" thickBot="1" x14ac:dyDescent="0.3">
      <c r="A43" s="14">
        <v>8</v>
      </c>
      <c r="B43" s="15"/>
      <c r="C43" s="15" t="e">
        <f>VLOOKUP(B43,داتا!$B$3:$D$107,2,FALSE)</f>
        <v>#N/A</v>
      </c>
      <c r="D43" s="34" t="e">
        <f>VLOOKUP(B43,داتا!$B$3:$D$107,3,FALSE)</f>
        <v>#N/A</v>
      </c>
      <c r="E43" s="15"/>
      <c r="F43" s="15"/>
      <c r="G43" s="16">
        <v>0.25</v>
      </c>
      <c r="H43" s="16" t="e">
        <f t="shared" si="7"/>
        <v>#N/A</v>
      </c>
      <c r="I43" s="16" t="e">
        <f t="shared" si="1"/>
        <v>#N/A</v>
      </c>
      <c r="J43" s="16"/>
      <c r="K43" s="16"/>
      <c r="L43" s="16"/>
      <c r="M43" s="16"/>
      <c r="N43" s="16">
        <f t="shared" si="2"/>
        <v>0</v>
      </c>
      <c r="O43" s="16" t="e">
        <f t="shared" si="3"/>
        <v>#N/A</v>
      </c>
      <c r="P43" s="16">
        <v>6.9444444444444397E-3</v>
      </c>
      <c r="Q43" s="16"/>
      <c r="R43" s="16">
        <f t="shared" si="4"/>
        <v>-6.9444444444444397E-3</v>
      </c>
      <c r="S43" s="16"/>
      <c r="T43" s="16" t="e">
        <f>VLOOKUP(E43,'[2]21-3-2026'!E$3:T$35,16,FALSE)</f>
        <v>#N/A</v>
      </c>
      <c r="U43" s="16"/>
      <c r="V43" s="16" t="e">
        <f t="shared" si="5"/>
        <v>#N/A</v>
      </c>
      <c r="W43" s="16"/>
      <c r="X43" s="16"/>
      <c r="Y43" s="16"/>
      <c r="Z43" s="16">
        <f t="shared" si="6"/>
        <v>0</v>
      </c>
      <c r="AA43" s="16">
        <f t="shared" si="0"/>
        <v>0</v>
      </c>
      <c r="AB43" s="16"/>
      <c r="AC43" s="17"/>
      <c r="AD43" s="51"/>
    </row>
    <row r="44" spans="1:30" ht="19.5" thickBot="1" x14ac:dyDescent="0.3">
      <c r="A44" s="14">
        <v>9</v>
      </c>
      <c r="B44" s="15"/>
      <c r="C44" s="15" t="e">
        <f>VLOOKUP(B44,داتا!$B$3:$D$107,2,FALSE)</f>
        <v>#N/A</v>
      </c>
      <c r="D44" s="34" t="e">
        <f>VLOOKUP(B44,داتا!$B$3:$D$107,3,FALSE)</f>
        <v>#N/A</v>
      </c>
      <c r="E44" s="15"/>
      <c r="F44" s="15"/>
      <c r="G44" s="16">
        <v>0.25</v>
      </c>
      <c r="H44" s="16" t="e">
        <f t="shared" si="7"/>
        <v>#N/A</v>
      </c>
      <c r="I44" s="16" t="e">
        <f t="shared" si="1"/>
        <v>#N/A</v>
      </c>
      <c r="J44" s="16"/>
      <c r="K44" s="16"/>
      <c r="L44" s="16"/>
      <c r="M44" s="16"/>
      <c r="N44" s="16">
        <f t="shared" si="2"/>
        <v>0</v>
      </c>
      <c r="O44" s="16" t="e">
        <f t="shared" si="3"/>
        <v>#N/A</v>
      </c>
      <c r="P44" s="16">
        <v>6.9444444444444397E-3</v>
      </c>
      <c r="Q44" s="16"/>
      <c r="R44" s="16">
        <f t="shared" si="4"/>
        <v>-6.9444444444444397E-3</v>
      </c>
      <c r="S44" s="16"/>
      <c r="T44" s="16" t="e">
        <f>VLOOKUP(E44,'[2]21-3-2026'!E$3:T$35,16,FALSE)</f>
        <v>#N/A</v>
      </c>
      <c r="U44" s="16"/>
      <c r="V44" s="16" t="e">
        <f t="shared" si="5"/>
        <v>#N/A</v>
      </c>
      <c r="W44" s="16"/>
      <c r="X44" s="16"/>
      <c r="Y44" s="16"/>
      <c r="Z44" s="16">
        <f t="shared" si="6"/>
        <v>0</v>
      </c>
      <c r="AA44" s="16">
        <f t="shared" si="0"/>
        <v>0</v>
      </c>
      <c r="AB44" s="16"/>
      <c r="AC44" s="17"/>
      <c r="AD44" s="51"/>
    </row>
    <row r="45" spans="1:30" ht="19.5" thickBot="1" x14ac:dyDescent="0.3">
      <c r="A45" s="14">
        <v>10</v>
      </c>
      <c r="B45" s="15"/>
      <c r="C45" s="15" t="e">
        <f>VLOOKUP(B45,داتا!$B$3:$D$107,2,FALSE)</f>
        <v>#N/A</v>
      </c>
      <c r="D45" s="34" t="e">
        <f>VLOOKUP(B45,داتا!$B$3:$D$107,3,FALSE)</f>
        <v>#N/A</v>
      </c>
      <c r="E45" s="15"/>
      <c r="F45" s="15"/>
      <c r="G45" s="16">
        <v>0.25</v>
      </c>
      <c r="H45" s="16" t="e">
        <f t="shared" si="7"/>
        <v>#N/A</v>
      </c>
      <c r="I45" s="16" t="e">
        <f t="shared" si="1"/>
        <v>#N/A</v>
      </c>
      <c r="J45" s="16"/>
      <c r="K45" s="16"/>
      <c r="L45" s="16"/>
      <c r="M45" s="16"/>
      <c r="N45" s="16">
        <f t="shared" si="2"/>
        <v>0</v>
      </c>
      <c r="O45" s="16" t="e">
        <f t="shared" si="3"/>
        <v>#N/A</v>
      </c>
      <c r="P45" s="16">
        <v>6.9444444444444397E-3</v>
      </c>
      <c r="Q45" s="16"/>
      <c r="R45" s="16">
        <f t="shared" si="4"/>
        <v>-6.9444444444444397E-3</v>
      </c>
      <c r="S45" s="16"/>
      <c r="T45" s="16" t="e">
        <f>VLOOKUP(E45,'[2]21-3-2026'!E$3:T$35,16,FALSE)</f>
        <v>#N/A</v>
      </c>
      <c r="U45" s="16"/>
      <c r="V45" s="16" t="e">
        <f t="shared" si="5"/>
        <v>#N/A</v>
      </c>
      <c r="W45" s="16"/>
      <c r="X45" s="16"/>
      <c r="Y45" s="16"/>
      <c r="Z45" s="16">
        <f t="shared" si="6"/>
        <v>0</v>
      </c>
      <c r="AA45" s="16">
        <f t="shared" si="0"/>
        <v>0</v>
      </c>
      <c r="AB45" s="16"/>
      <c r="AC45" s="17"/>
      <c r="AD45" s="51"/>
    </row>
    <row r="46" spans="1:30" ht="19.5" thickBot="1" x14ac:dyDescent="0.3">
      <c r="A46" s="14">
        <v>11</v>
      </c>
      <c r="B46" s="15"/>
      <c r="C46" s="15" t="e">
        <f>VLOOKUP(B46,داتا!$B$3:$D$107,2,FALSE)</f>
        <v>#N/A</v>
      </c>
      <c r="D46" s="34" t="e">
        <f>VLOOKUP(B46,داتا!$B$3:$D$107,3,FALSE)</f>
        <v>#N/A</v>
      </c>
      <c r="E46" s="15"/>
      <c r="F46" s="15"/>
      <c r="G46" s="16">
        <v>0.25</v>
      </c>
      <c r="H46" s="16" t="e">
        <f t="shared" si="7"/>
        <v>#N/A</v>
      </c>
      <c r="I46" s="16" t="e">
        <f t="shared" si="1"/>
        <v>#N/A</v>
      </c>
      <c r="J46" s="16"/>
      <c r="K46" s="16"/>
      <c r="L46" s="16"/>
      <c r="M46" s="16"/>
      <c r="N46" s="16">
        <f t="shared" si="2"/>
        <v>0</v>
      </c>
      <c r="O46" s="16" t="e">
        <f t="shared" si="3"/>
        <v>#N/A</v>
      </c>
      <c r="P46" s="16">
        <v>6.9444444444444397E-3</v>
      </c>
      <c r="Q46" s="16"/>
      <c r="R46" s="16">
        <f t="shared" si="4"/>
        <v>-6.9444444444444397E-3</v>
      </c>
      <c r="S46" s="16"/>
      <c r="T46" s="16" t="e">
        <f>VLOOKUP(E46,'[2]21-3-2026'!E$3:T$35,16,FALSE)</f>
        <v>#N/A</v>
      </c>
      <c r="U46" s="16"/>
      <c r="V46" s="16" t="e">
        <f t="shared" si="5"/>
        <v>#N/A</v>
      </c>
      <c r="W46" s="16"/>
      <c r="X46" s="16"/>
      <c r="Y46" s="16"/>
      <c r="Z46" s="16">
        <f t="shared" si="6"/>
        <v>0</v>
      </c>
      <c r="AA46" s="16">
        <f t="shared" si="0"/>
        <v>0</v>
      </c>
      <c r="AB46" s="16"/>
      <c r="AC46" s="17"/>
      <c r="AD46" s="51"/>
    </row>
    <row r="47" spans="1:30" ht="19.5" thickBot="1" x14ac:dyDescent="0.3">
      <c r="A47" s="14">
        <v>12</v>
      </c>
      <c r="B47" s="15"/>
      <c r="C47" s="15" t="e">
        <f>VLOOKUP(B47,داتا!$B$3:$D$107,2,FALSE)</f>
        <v>#N/A</v>
      </c>
      <c r="D47" s="34" t="e">
        <f>VLOOKUP(B47,داتا!$B$3:$D$107,3,FALSE)</f>
        <v>#N/A</v>
      </c>
      <c r="E47" s="15"/>
      <c r="F47" s="15"/>
      <c r="G47" s="16">
        <v>0.25</v>
      </c>
      <c r="H47" s="16" t="e">
        <f t="shared" si="7"/>
        <v>#N/A</v>
      </c>
      <c r="I47" s="16" t="e">
        <f t="shared" si="1"/>
        <v>#N/A</v>
      </c>
      <c r="J47" s="16"/>
      <c r="K47" s="16"/>
      <c r="L47" s="16"/>
      <c r="M47" s="16"/>
      <c r="N47" s="16">
        <f t="shared" si="2"/>
        <v>0</v>
      </c>
      <c r="O47" s="16" t="e">
        <f t="shared" si="3"/>
        <v>#N/A</v>
      </c>
      <c r="P47" s="16">
        <v>6.9444444444444397E-3</v>
      </c>
      <c r="Q47" s="16"/>
      <c r="R47" s="16">
        <f t="shared" si="4"/>
        <v>-6.9444444444444397E-3</v>
      </c>
      <c r="S47" s="16"/>
      <c r="T47" s="16" t="e">
        <f>VLOOKUP(E47,'[2]21-3-2026'!E$3:T$35,16,FALSE)</f>
        <v>#N/A</v>
      </c>
      <c r="U47" s="16"/>
      <c r="V47" s="16" t="e">
        <f t="shared" si="5"/>
        <v>#N/A</v>
      </c>
      <c r="W47" s="16"/>
      <c r="X47" s="16"/>
      <c r="Y47" s="16"/>
      <c r="Z47" s="16">
        <f t="shared" si="6"/>
        <v>0</v>
      </c>
      <c r="AA47" s="16">
        <f t="shared" si="0"/>
        <v>0</v>
      </c>
      <c r="AB47" s="16"/>
      <c r="AC47" s="17"/>
      <c r="AD47" s="51"/>
    </row>
    <row r="48" spans="1:30" ht="19.5" thickBot="1" x14ac:dyDescent="0.3">
      <c r="A48" s="14">
        <v>13</v>
      </c>
      <c r="B48" s="15"/>
      <c r="C48" s="15" t="e">
        <f>VLOOKUP(B48,داتا!$B$3:$D$107,2,FALSE)</f>
        <v>#N/A</v>
      </c>
      <c r="D48" s="34" t="e">
        <f>VLOOKUP(B48,داتا!$B$3:$D$107,3,FALSE)</f>
        <v>#N/A</v>
      </c>
      <c r="E48" s="15"/>
      <c r="F48" s="15"/>
      <c r="G48" s="16">
        <v>0.25</v>
      </c>
      <c r="H48" s="16" t="e">
        <f t="shared" si="7"/>
        <v>#N/A</v>
      </c>
      <c r="I48" s="16" t="e">
        <f t="shared" si="1"/>
        <v>#N/A</v>
      </c>
      <c r="J48" s="16"/>
      <c r="K48" s="16"/>
      <c r="L48" s="16"/>
      <c r="M48" s="16"/>
      <c r="N48" s="16">
        <f t="shared" si="2"/>
        <v>0</v>
      </c>
      <c r="O48" s="16" t="e">
        <f t="shared" si="3"/>
        <v>#N/A</v>
      </c>
      <c r="P48" s="16">
        <v>6.9444444444444397E-3</v>
      </c>
      <c r="Q48" s="16"/>
      <c r="R48" s="16">
        <f t="shared" si="4"/>
        <v>-6.9444444444444397E-3</v>
      </c>
      <c r="S48" s="16"/>
      <c r="T48" s="16" t="e">
        <f>VLOOKUP(E48,'[2]21-3-2026'!E$3:T$35,16,FALSE)</f>
        <v>#N/A</v>
      </c>
      <c r="U48" s="16"/>
      <c r="V48" s="16" t="e">
        <f t="shared" si="5"/>
        <v>#N/A</v>
      </c>
      <c r="W48" s="16"/>
      <c r="X48" s="16"/>
      <c r="Y48" s="16"/>
      <c r="Z48" s="16">
        <f t="shared" si="6"/>
        <v>0</v>
      </c>
      <c r="AA48" s="16">
        <f t="shared" si="0"/>
        <v>0</v>
      </c>
      <c r="AB48" s="16"/>
      <c r="AC48" s="17"/>
      <c r="AD48" s="51"/>
    </row>
    <row r="49" spans="1:30" ht="19.5" thickBot="1" x14ac:dyDescent="0.3">
      <c r="A49" s="14">
        <v>14</v>
      </c>
      <c r="B49" s="15"/>
      <c r="C49" s="15" t="e">
        <f>VLOOKUP(B49,داتا!$B$3:$D$107,2,FALSE)</f>
        <v>#N/A</v>
      </c>
      <c r="D49" s="34" t="e">
        <f>VLOOKUP(B49,داتا!$B$3:$D$107,3,FALSE)</f>
        <v>#N/A</v>
      </c>
      <c r="E49" s="15"/>
      <c r="F49" s="15"/>
      <c r="G49" s="16">
        <v>0.25</v>
      </c>
      <c r="H49" s="16" t="e">
        <f t="shared" si="7"/>
        <v>#N/A</v>
      </c>
      <c r="I49" s="16" t="e">
        <f t="shared" si="1"/>
        <v>#N/A</v>
      </c>
      <c r="J49" s="16"/>
      <c r="K49" s="16"/>
      <c r="L49" s="16"/>
      <c r="M49" s="16"/>
      <c r="N49" s="16">
        <f t="shared" si="2"/>
        <v>0</v>
      </c>
      <c r="O49" s="16" t="e">
        <f t="shared" si="3"/>
        <v>#N/A</v>
      </c>
      <c r="P49" s="16">
        <v>6.9444444444444397E-3</v>
      </c>
      <c r="Q49" s="16"/>
      <c r="R49" s="16">
        <f t="shared" si="4"/>
        <v>-6.9444444444444397E-3</v>
      </c>
      <c r="S49" s="16"/>
      <c r="T49" s="16" t="e">
        <f>VLOOKUP(E49,'[2]21-3-2026'!E$3:T$35,16,FALSE)</f>
        <v>#N/A</v>
      </c>
      <c r="U49" s="16"/>
      <c r="V49" s="16" t="e">
        <f t="shared" si="5"/>
        <v>#N/A</v>
      </c>
      <c r="W49" s="16"/>
      <c r="X49" s="16"/>
      <c r="Y49" s="16"/>
      <c r="Z49" s="16">
        <f t="shared" si="6"/>
        <v>0</v>
      </c>
      <c r="AA49" s="16">
        <f t="shared" si="0"/>
        <v>0</v>
      </c>
      <c r="AB49" s="16"/>
      <c r="AC49" s="17"/>
      <c r="AD49" s="51"/>
    </row>
    <row r="50" spans="1:30" ht="19.5" thickBot="1" x14ac:dyDescent="0.3">
      <c r="A50" s="14">
        <v>15</v>
      </c>
      <c r="B50" s="15"/>
      <c r="C50" s="15" t="e">
        <f>VLOOKUP(B50,داتا!$B$3:$D$107,2,FALSE)</f>
        <v>#N/A</v>
      </c>
      <c r="D50" s="34" t="e">
        <f>VLOOKUP(B50,داتا!$B$3:$D$107,3,FALSE)</f>
        <v>#N/A</v>
      </c>
      <c r="E50" s="15"/>
      <c r="F50" s="15"/>
      <c r="G50" s="16">
        <v>0.25</v>
      </c>
      <c r="H50" s="16" t="e">
        <f t="shared" si="7"/>
        <v>#N/A</v>
      </c>
      <c r="I50" s="16" t="e">
        <f t="shared" si="1"/>
        <v>#N/A</v>
      </c>
      <c r="J50" s="16"/>
      <c r="K50" s="16"/>
      <c r="L50" s="16"/>
      <c r="M50" s="16"/>
      <c r="N50" s="16">
        <f t="shared" si="2"/>
        <v>0</v>
      </c>
      <c r="O50" s="16" t="e">
        <f t="shared" si="3"/>
        <v>#N/A</v>
      </c>
      <c r="P50" s="16">
        <v>6.9444444444444397E-3</v>
      </c>
      <c r="Q50" s="16"/>
      <c r="R50" s="16">
        <f t="shared" si="4"/>
        <v>-6.9444444444444397E-3</v>
      </c>
      <c r="S50" s="16"/>
      <c r="T50" s="16" t="e">
        <f>VLOOKUP(E50,'[2]21-3-2026'!E$3:T$35,16,FALSE)</f>
        <v>#N/A</v>
      </c>
      <c r="U50" s="16"/>
      <c r="V50" s="16" t="e">
        <f t="shared" si="5"/>
        <v>#N/A</v>
      </c>
      <c r="W50" s="16"/>
      <c r="X50" s="16"/>
      <c r="Y50" s="16"/>
      <c r="Z50" s="16">
        <f t="shared" si="6"/>
        <v>0</v>
      </c>
      <c r="AA50" s="16">
        <f t="shared" si="0"/>
        <v>0</v>
      </c>
      <c r="AB50" s="16"/>
      <c r="AC50" s="17"/>
      <c r="AD50" s="51"/>
    </row>
    <row r="51" spans="1:30" ht="19.5" thickBot="1" x14ac:dyDescent="0.3">
      <c r="A51" s="14">
        <v>16</v>
      </c>
      <c r="B51" s="15"/>
      <c r="C51" s="15" t="e">
        <f>VLOOKUP(B51,داتا!$B$3:$D$107,2,FALSE)</f>
        <v>#N/A</v>
      </c>
      <c r="D51" s="34" t="e">
        <f>VLOOKUP(B51,داتا!$B$3:$D$107,3,FALSE)</f>
        <v>#N/A</v>
      </c>
      <c r="E51" s="15"/>
      <c r="F51" s="15"/>
      <c r="G51" s="16">
        <v>0.25</v>
      </c>
      <c r="H51" s="16" t="e">
        <f t="shared" si="7"/>
        <v>#N/A</v>
      </c>
      <c r="I51" s="16" t="e">
        <f t="shared" si="1"/>
        <v>#N/A</v>
      </c>
      <c r="J51" s="16"/>
      <c r="K51" s="16"/>
      <c r="L51" s="16"/>
      <c r="M51" s="16"/>
      <c r="N51" s="16">
        <f t="shared" si="2"/>
        <v>0</v>
      </c>
      <c r="O51" s="16" t="e">
        <f t="shared" si="3"/>
        <v>#N/A</v>
      </c>
      <c r="P51" s="16">
        <v>6.9444444444444397E-3</v>
      </c>
      <c r="Q51" s="16"/>
      <c r="R51" s="16">
        <f t="shared" si="4"/>
        <v>-6.9444444444444397E-3</v>
      </c>
      <c r="S51" s="16"/>
      <c r="T51" s="16" t="e">
        <f>VLOOKUP(E51,'[2]21-3-2026'!E$3:T$35,16,FALSE)</f>
        <v>#N/A</v>
      </c>
      <c r="U51" s="16"/>
      <c r="V51" s="16" t="e">
        <f t="shared" si="5"/>
        <v>#N/A</v>
      </c>
      <c r="W51" s="16"/>
      <c r="X51" s="16"/>
      <c r="Y51" s="16"/>
      <c r="Z51" s="16">
        <f t="shared" si="6"/>
        <v>0</v>
      </c>
      <c r="AA51" s="16">
        <f t="shared" si="0"/>
        <v>0</v>
      </c>
      <c r="AB51" s="16"/>
      <c r="AC51" s="17"/>
      <c r="AD51" s="51"/>
    </row>
    <row r="52" spans="1:30" ht="19.5" thickBot="1" x14ac:dyDescent="0.3">
      <c r="A52" s="14">
        <v>17</v>
      </c>
      <c r="B52" s="15"/>
      <c r="C52" s="15" t="e">
        <f>VLOOKUP(B52,داتا!$B$3:$D$107,2,FALSE)</f>
        <v>#N/A</v>
      </c>
      <c r="D52" s="34" t="e">
        <f>VLOOKUP(B52,داتا!$B$3:$D$107,3,FALSE)</f>
        <v>#N/A</v>
      </c>
      <c r="E52" s="15"/>
      <c r="F52" s="15"/>
      <c r="G52" s="16">
        <v>0.25</v>
      </c>
      <c r="H52" s="16" t="e">
        <f t="shared" si="7"/>
        <v>#N/A</v>
      </c>
      <c r="I52" s="16" t="e">
        <f t="shared" si="1"/>
        <v>#N/A</v>
      </c>
      <c r="J52" s="16"/>
      <c r="K52" s="16"/>
      <c r="L52" s="16"/>
      <c r="M52" s="16"/>
      <c r="N52" s="16">
        <f t="shared" si="2"/>
        <v>0</v>
      </c>
      <c r="O52" s="16" t="e">
        <f t="shared" si="3"/>
        <v>#N/A</v>
      </c>
      <c r="P52" s="16">
        <v>6.9444444444444397E-3</v>
      </c>
      <c r="Q52" s="16"/>
      <c r="R52" s="16">
        <f t="shared" si="4"/>
        <v>-6.9444444444444397E-3</v>
      </c>
      <c r="S52" s="16"/>
      <c r="T52" s="16" t="e">
        <f>VLOOKUP(E52,'[2]21-3-2026'!E$3:T$35,16,FALSE)</f>
        <v>#N/A</v>
      </c>
      <c r="U52" s="16"/>
      <c r="V52" s="16" t="e">
        <f t="shared" si="5"/>
        <v>#N/A</v>
      </c>
      <c r="W52" s="16"/>
      <c r="X52" s="16"/>
      <c r="Y52" s="16"/>
      <c r="Z52" s="16">
        <f t="shared" si="6"/>
        <v>0</v>
      </c>
      <c r="AA52" s="16">
        <f t="shared" si="0"/>
        <v>0</v>
      </c>
      <c r="AB52" s="16"/>
      <c r="AC52" s="17"/>
      <c r="AD52" s="51"/>
    </row>
    <row r="53" spans="1:30" ht="19.5" thickBot="1" x14ac:dyDescent="0.3">
      <c r="A53" s="14">
        <v>18</v>
      </c>
      <c r="B53" s="15"/>
      <c r="C53" s="15" t="e">
        <f>VLOOKUP(B53,داتا!$B$3:$D$107,2,FALSE)</f>
        <v>#N/A</v>
      </c>
      <c r="D53" s="34" t="e">
        <f>VLOOKUP(B53,داتا!$B$3:$D$107,3,FALSE)</f>
        <v>#N/A</v>
      </c>
      <c r="E53" s="15"/>
      <c r="F53" s="15"/>
      <c r="G53" s="16">
        <v>0.25</v>
      </c>
      <c r="H53" s="16" t="e">
        <f t="shared" ref="H53:H68" si="8">VLOOKUP(G53,$F$3:$I$35,2,FALSE)</f>
        <v>#N/A</v>
      </c>
      <c r="I53" s="16" t="e">
        <f t="shared" si="1"/>
        <v>#N/A</v>
      </c>
      <c r="J53" s="16"/>
      <c r="K53" s="16"/>
      <c r="L53" s="16"/>
      <c r="M53" s="16"/>
      <c r="N53" s="16">
        <f t="shared" si="2"/>
        <v>0</v>
      </c>
      <c r="O53" s="16" t="e">
        <f t="shared" si="3"/>
        <v>#N/A</v>
      </c>
      <c r="P53" s="16">
        <v>6.9444444444444397E-3</v>
      </c>
      <c r="Q53" s="16"/>
      <c r="R53" s="16">
        <f t="shared" si="4"/>
        <v>-6.9444444444444397E-3</v>
      </c>
      <c r="S53" s="16"/>
      <c r="T53" s="16" t="e">
        <f>VLOOKUP(E53,'[2]21-3-2026'!E$3:T$35,16,FALSE)</f>
        <v>#N/A</v>
      </c>
      <c r="U53" s="16"/>
      <c r="V53" s="16" t="e">
        <f t="shared" si="5"/>
        <v>#N/A</v>
      </c>
      <c r="W53" s="16"/>
      <c r="X53" s="16"/>
      <c r="Y53" s="16"/>
      <c r="Z53" s="16">
        <f t="shared" si="6"/>
        <v>0</v>
      </c>
      <c r="AA53" s="16">
        <f t="shared" si="0"/>
        <v>0</v>
      </c>
      <c r="AB53" s="16"/>
      <c r="AC53" s="17"/>
      <c r="AD53" s="51"/>
    </row>
    <row r="54" spans="1:30" ht="19.5" thickBot="1" x14ac:dyDescent="0.3">
      <c r="A54" s="14">
        <v>19</v>
      </c>
      <c r="B54" s="15"/>
      <c r="C54" s="15" t="e">
        <f>VLOOKUP(B54,داتا!$B$3:$D$107,2,FALSE)</f>
        <v>#N/A</v>
      </c>
      <c r="D54" s="34" t="e">
        <f>VLOOKUP(B54,داتا!$B$3:$D$107,3,FALSE)</f>
        <v>#N/A</v>
      </c>
      <c r="E54" s="15"/>
      <c r="F54" s="15"/>
      <c r="G54" s="16">
        <v>0.25</v>
      </c>
      <c r="H54" s="16" t="e">
        <f t="shared" si="8"/>
        <v>#N/A</v>
      </c>
      <c r="I54" s="16" t="e">
        <f t="shared" si="1"/>
        <v>#N/A</v>
      </c>
      <c r="J54" s="16"/>
      <c r="K54" s="16"/>
      <c r="L54" s="16"/>
      <c r="M54" s="16"/>
      <c r="N54" s="16">
        <f t="shared" si="2"/>
        <v>0</v>
      </c>
      <c r="O54" s="16" t="e">
        <f t="shared" si="3"/>
        <v>#N/A</v>
      </c>
      <c r="P54" s="16">
        <v>6.9444444444444397E-3</v>
      </c>
      <c r="Q54" s="16"/>
      <c r="R54" s="16">
        <f t="shared" si="4"/>
        <v>-6.9444444444444397E-3</v>
      </c>
      <c r="S54" s="16"/>
      <c r="T54" s="16" t="e">
        <f>VLOOKUP(E54,'[2]21-3-2026'!E$3:T$35,16,FALSE)</f>
        <v>#N/A</v>
      </c>
      <c r="U54" s="16"/>
      <c r="V54" s="16" t="e">
        <f t="shared" si="5"/>
        <v>#N/A</v>
      </c>
      <c r="W54" s="16"/>
      <c r="X54" s="16"/>
      <c r="Y54" s="16"/>
      <c r="Z54" s="16">
        <f t="shared" si="6"/>
        <v>0</v>
      </c>
      <c r="AA54" s="16">
        <f t="shared" si="0"/>
        <v>0</v>
      </c>
      <c r="AB54" s="16"/>
      <c r="AC54" s="17"/>
      <c r="AD54" s="51"/>
    </row>
    <row r="55" spans="1:30" ht="19.5" thickBot="1" x14ac:dyDescent="0.3">
      <c r="A55" s="14">
        <v>20</v>
      </c>
      <c r="B55" s="15"/>
      <c r="C55" s="15" t="e">
        <f>VLOOKUP(B55,داتا!$B$3:$D$107,2,FALSE)</f>
        <v>#N/A</v>
      </c>
      <c r="D55" s="34" t="e">
        <f>VLOOKUP(B55,داتا!$B$3:$D$107,3,FALSE)</f>
        <v>#N/A</v>
      </c>
      <c r="E55" s="15"/>
      <c r="F55" s="15"/>
      <c r="G55" s="16">
        <v>0.25</v>
      </c>
      <c r="H55" s="16" t="e">
        <f t="shared" si="8"/>
        <v>#N/A</v>
      </c>
      <c r="I55" s="16" t="e">
        <f t="shared" si="1"/>
        <v>#N/A</v>
      </c>
      <c r="J55" s="16"/>
      <c r="K55" s="16"/>
      <c r="L55" s="16"/>
      <c r="M55" s="16"/>
      <c r="N55" s="16">
        <f t="shared" si="2"/>
        <v>0</v>
      </c>
      <c r="O55" s="16" t="e">
        <f t="shared" si="3"/>
        <v>#N/A</v>
      </c>
      <c r="P55" s="16">
        <v>6.9444444444444397E-3</v>
      </c>
      <c r="Q55" s="16"/>
      <c r="R55" s="16">
        <f t="shared" si="4"/>
        <v>-6.9444444444444397E-3</v>
      </c>
      <c r="S55" s="16"/>
      <c r="T55" s="16" t="e">
        <f>VLOOKUP(E55,'[2]21-3-2026'!E$3:T$35,16,FALSE)</f>
        <v>#N/A</v>
      </c>
      <c r="U55" s="16"/>
      <c r="V55" s="16" t="e">
        <f t="shared" si="5"/>
        <v>#N/A</v>
      </c>
      <c r="W55" s="16"/>
      <c r="X55" s="16"/>
      <c r="Y55" s="16"/>
      <c r="Z55" s="16">
        <f t="shared" si="6"/>
        <v>0</v>
      </c>
      <c r="AA55" s="16">
        <f t="shared" si="0"/>
        <v>0</v>
      </c>
      <c r="AB55" s="16"/>
      <c r="AC55" s="17"/>
      <c r="AD55" s="51"/>
    </row>
    <row r="56" spans="1:30" ht="19.5" thickBot="1" x14ac:dyDescent="0.3">
      <c r="A56" s="14">
        <v>21</v>
      </c>
      <c r="B56" s="15"/>
      <c r="C56" s="15" t="e">
        <f>VLOOKUP(B56,داتا!$B$3:$D$107,2,FALSE)</f>
        <v>#N/A</v>
      </c>
      <c r="D56" s="34" t="e">
        <f>VLOOKUP(B56,داتا!$B$3:$D$107,3,FALSE)</f>
        <v>#N/A</v>
      </c>
      <c r="E56" s="15"/>
      <c r="F56" s="15"/>
      <c r="G56" s="16">
        <v>0.25</v>
      </c>
      <c r="H56" s="16" t="e">
        <f t="shared" si="8"/>
        <v>#N/A</v>
      </c>
      <c r="I56" s="16" t="e">
        <f t="shared" si="1"/>
        <v>#N/A</v>
      </c>
      <c r="J56" s="16"/>
      <c r="K56" s="16"/>
      <c r="L56" s="15"/>
      <c r="M56" s="15"/>
      <c r="N56" s="16">
        <f t="shared" si="2"/>
        <v>0</v>
      </c>
      <c r="O56" s="16" t="e">
        <f t="shared" si="3"/>
        <v>#N/A</v>
      </c>
      <c r="P56" s="16">
        <v>6.9444444444444397E-3</v>
      </c>
      <c r="Q56" s="16"/>
      <c r="R56" s="16">
        <f t="shared" si="4"/>
        <v>-6.9444444444444397E-3</v>
      </c>
      <c r="S56" s="16"/>
      <c r="T56" s="16" t="e">
        <f>VLOOKUP(E56,'[2]21-3-2026'!E$3:T$35,16,FALSE)</f>
        <v>#N/A</v>
      </c>
      <c r="U56" s="16"/>
      <c r="V56" s="16" t="e">
        <f t="shared" si="5"/>
        <v>#N/A</v>
      </c>
      <c r="W56" s="16"/>
      <c r="X56" s="16"/>
      <c r="Y56" s="16"/>
      <c r="Z56" s="16">
        <f t="shared" si="6"/>
        <v>0</v>
      </c>
      <c r="AA56" s="16">
        <f t="shared" si="0"/>
        <v>0</v>
      </c>
      <c r="AB56" s="16"/>
      <c r="AC56" s="17"/>
      <c r="AD56" s="51"/>
    </row>
    <row r="57" spans="1:30" ht="19.5" thickBot="1" x14ac:dyDescent="0.3">
      <c r="A57" s="14">
        <v>22</v>
      </c>
      <c r="B57" s="15"/>
      <c r="C57" s="15" t="e">
        <f>VLOOKUP(B57,داتا!$B$3:$D$107,2,FALSE)</f>
        <v>#N/A</v>
      </c>
      <c r="D57" s="34" t="e">
        <f>VLOOKUP(B57,داتا!$B$3:$D$107,3,FALSE)</f>
        <v>#N/A</v>
      </c>
      <c r="E57" s="15"/>
      <c r="F57" s="15"/>
      <c r="G57" s="16">
        <v>0.25</v>
      </c>
      <c r="H57" s="16" t="e">
        <f t="shared" si="8"/>
        <v>#N/A</v>
      </c>
      <c r="I57" s="16" t="e">
        <f t="shared" si="1"/>
        <v>#N/A</v>
      </c>
      <c r="J57" s="16"/>
      <c r="K57" s="16"/>
      <c r="L57" s="15"/>
      <c r="M57" s="15"/>
      <c r="N57" s="16">
        <f t="shared" si="2"/>
        <v>0</v>
      </c>
      <c r="O57" s="16" t="e">
        <f t="shared" si="3"/>
        <v>#N/A</v>
      </c>
      <c r="P57" s="16">
        <v>6.9444444444444397E-3</v>
      </c>
      <c r="Q57" s="16"/>
      <c r="R57" s="16">
        <f t="shared" si="4"/>
        <v>-6.9444444444444397E-3</v>
      </c>
      <c r="S57" s="16"/>
      <c r="T57" s="16" t="e">
        <f>VLOOKUP(E57,'[2]21-3-2026'!E$3:T$35,16,FALSE)</f>
        <v>#N/A</v>
      </c>
      <c r="U57" s="16"/>
      <c r="V57" s="16" t="e">
        <f t="shared" si="5"/>
        <v>#N/A</v>
      </c>
      <c r="W57" s="16"/>
      <c r="X57" s="16"/>
      <c r="Y57" s="16"/>
      <c r="Z57" s="16">
        <f t="shared" si="6"/>
        <v>0</v>
      </c>
      <c r="AA57" s="16">
        <f t="shared" si="0"/>
        <v>0</v>
      </c>
      <c r="AB57" s="16"/>
      <c r="AC57" s="17"/>
      <c r="AD57" s="51"/>
    </row>
    <row r="58" spans="1:30" ht="19.5" thickBot="1" x14ac:dyDescent="0.3">
      <c r="A58" s="14">
        <v>23</v>
      </c>
      <c r="B58" s="15"/>
      <c r="C58" s="15" t="e">
        <f>VLOOKUP(B58,داتا!$B$3:$D$107,2,FALSE)</f>
        <v>#N/A</v>
      </c>
      <c r="D58" s="34" t="e">
        <f>VLOOKUP(B58,داتا!$B$3:$D$107,3,FALSE)</f>
        <v>#N/A</v>
      </c>
      <c r="E58" s="15"/>
      <c r="F58" s="15"/>
      <c r="G58" s="16">
        <v>0.25</v>
      </c>
      <c r="H58" s="16" t="e">
        <f t="shared" si="8"/>
        <v>#N/A</v>
      </c>
      <c r="I58" s="16" t="e">
        <f t="shared" si="1"/>
        <v>#N/A</v>
      </c>
      <c r="J58" s="16"/>
      <c r="K58" s="16"/>
      <c r="L58" s="16"/>
      <c r="M58" s="16"/>
      <c r="N58" s="16">
        <f t="shared" si="2"/>
        <v>0</v>
      </c>
      <c r="O58" s="16" t="e">
        <f t="shared" si="3"/>
        <v>#N/A</v>
      </c>
      <c r="P58" s="16">
        <v>6.9444444444444397E-3</v>
      </c>
      <c r="Q58" s="16"/>
      <c r="R58" s="16">
        <f t="shared" si="4"/>
        <v>-6.9444444444444397E-3</v>
      </c>
      <c r="S58" s="16"/>
      <c r="T58" s="16" t="e">
        <f>VLOOKUP(E58,'[2]21-3-2026'!E$3:T$35,16,FALSE)</f>
        <v>#N/A</v>
      </c>
      <c r="U58" s="16"/>
      <c r="V58" s="16" t="e">
        <f t="shared" si="5"/>
        <v>#N/A</v>
      </c>
      <c r="W58" s="16"/>
      <c r="X58" s="16"/>
      <c r="Y58" s="16"/>
      <c r="Z58" s="16">
        <f t="shared" si="6"/>
        <v>0</v>
      </c>
      <c r="AA58" s="16">
        <f t="shared" si="0"/>
        <v>0</v>
      </c>
      <c r="AB58" s="16"/>
      <c r="AC58" s="17"/>
      <c r="AD58" s="51"/>
    </row>
    <row r="59" spans="1:30" ht="19.5" thickBot="1" x14ac:dyDescent="0.3">
      <c r="A59" s="14">
        <v>24</v>
      </c>
      <c r="B59" s="15"/>
      <c r="C59" s="15" t="e">
        <f>VLOOKUP(B59,داتا!$B$3:$D$107,2,FALSE)</f>
        <v>#N/A</v>
      </c>
      <c r="D59" s="34" t="e">
        <f>VLOOKUP(B59,داتا!$B$3:$D$107,3,FALSE)</f>
        <v>#N/A</v>
      </c>
      <c r="E59" s="16"/>
      <c r="F59" s="15"/>
      <c r="G59" s="16">
        <v>0.25</v>
      </c>
      <c r="H59" s="16" t="e">
        <f t="shared" si="8"/>
        <v>#N/A</v>
      </c>
      <c r="I59" s="16" t="e">
        <f t="shared" si="1"/>
        <v>#N/A</v>
      </c>
      <c r="J59" s="16"/>
      <c r="K59" s="16"/>
      <c r="L59" s="15"/>
      <c r="M59" s="15"/>
      <c r="N59" s="16">
        <f t="shared" si="2"/>
        <v>0</v>
      </c>
      <c r="O59" s="16" t="e">
        <f t="shared" si="3"/>
        <v>#N/A</v>
      </c>
      <c r="P59" s="16">
        <v>6.9444444444444397E-3</v>
      </c>
      <c r="Q59" s="16"/>
      <c r="R59" s="16">
        <f t="shared" si="4"/>
        <v>-6.9444444444444397E-3</v>
      </c>
      <c r="S59" s="16"/>
      <c r="T59" s="16" t="e">
        <f>VLOOKUP(E59,'[2]21-3-2026'!E$3:T$35,16,FALSE)</f>
        <v>#N/A</v>
      </c>
      <c r="U59" s="16"/>
      <c r="V59" s="16" t="e">
        <f t="shared" si="5"/>
        <v>#N/A</v>
      </c>
      <c r="W59" s="16"/>
      <c r="X59" s="16"/>
      <c r="Y59" s="16"/>
      <c r="Z59" s="16">
        <f t="shared" si="6"/>
        <v>0</v>
      </c>
      <c r="AA59" s="16">
        <f t="shared" si="0"/>
        <v>0</v>
      </c>
      <c r="AB59" s="16"/>
      <c r="AC59" s="17"/>
      <c r="AD59" s="51"/>
    </row>
    <row r="60" spans="1:30" ht="19.5" thickBot="1" x14ac:dyDescent="0.3">
      <c r="A60" s="14">
        <v>25</v>
      </c>
      <c r="B60" s="15"/>
      <c r="C60" s="15" t="e">
        <f>VLOOKUP(B60,داتا!$B$3:$D$107,2,FALSE)</f>
        <v>#N/A</v>
      </c>
      <c r="D60" s="34" t="e">
        <f>VLOOKUP(B60,داتا!$B$3:$D$107,3,FALSE)</f>
        <v>#N/A</v>
      </c>
      <c r="E60" s="15"/>
      <c r="F60" s="15"/>
      <c r="G60" s="16">
        <v>0.25</v>
      </c>
      <c r="H60" s="16" t="e">
        <f t="shared" si="8"/>
        <v>#N/A</v>
      </c>
      <c r="I60" s="16" t="e">
        <f t="shared" si="1"/>
        <v>#N/A</v>
      </c>
      <c r="J60" s="16"/>
      <c r="K60" s="16"/>
      <c r="L60" s="16"/>
      <c r="M60" s="16"/>
      <c r="N60" s="16">
        <f t="shared" si="2"/>
        <v>0</v>
      </c>
      <c r="O60" s="16" t="e">
        <f t="shared" si="3"/>
        <v>#N/A</v>
      </c>
      <c r="P60" s="16">
        <v>6.9444444444444397E-3</v>
      </c>
      <c r="Q60" s="16"/>
      <c r="R60" s="16">
        <f t="shared" si="4"/>
        <v>-6.9444444444444397E-3</v>
      </c>
      <c r="S60" s="16"/>
      <c r="T60" s="16" t="e">
        <f>VLOOKUP(E60,'[2]21-3-2026'!E$3:T$35,16,FALSE)</f>
        <v>#N/A</v>
      </c>
      <c r="U60" s="16"/>
      <c r="V60" s="16" t="e">
        <f t="shared" si="5"/>
        <v>#N/A</v>
      </c>
      <c r="W60" s="16"/>
      <c r="X60" s="16"/>
      <c r="Y60" s="16"/>
      <c r="Z60" s="16">
        <f t="shared" si="6"/>
        <v>0</v>
      </c>
      <c r="AA60" s="16">
        <f t="shared" si="0"/>
        <v>0</v>
      </c>
      <c r="AB60" s="16"/>
      <c r="AC60" s="17"/>
      <c r="AD60" s="51"/>
    </row>
    <row r="61" spans="1:30" ht="19.5" thickBot="1" x14ac:dyDescent="0.3">
      <c r="A61" s="14">
        <v>26</v>
      </c>
      <c r="B61" s="15"/>
      <c r="C61" s="15" t="e">
        <f>VLOOKUP(B61,داتا!$B$3:$D$107,2,FALSE)</f>
        <v>#N/A</v>
      </c>
      <c r="D61" s="34" t="e">
        <f>VLOOKUP(B61,داتا!$B$3:$D$107,3,FALSE)</f>
        <v>#N/A</v>
      </c>
      <c r="E61" s="15"/>
      <c r="F61" s="15"/>
      <c r="G61" s="16">
        <v>0.25</v>
      </c>
      <c r="H61" s="16" t="e">
        <f t="shared" si="8"/>
        <v>#N/A</v>
      </c>
      <c r="I61" s="16" t="e">
        <f t="shared" si="1"/>
        <v>#N/A</v>
      </c>
      <c r="J61" s="16"/>
      <c r="K61" s="16"/>
      <c r="L61" s="16"/>
      <c r="M61" s="16"/>
      <c r="N61" s="16">
        <f t="shared" si="2"/>
        <v>0</v>
      </c>
      <c r="O61" s="16" t="e">
        <f t="shared" si="3"/>
        <v>#N/A</v>
      </c>
      <c r="P61" s="16">
        <v>6.9444444444444397E-3</v>
      </c>
      <c r="Q61" s="16"/>
      <c r="R61" s="16">
        <f t="shared" si="4"/>
        <v>-6.9444444444444397E-3</v>
      </c>
      <c r="S61" s="16"/>
      <c r="T61" s="16" t="e">
        <f>VLOOKUP(E61,'[2]21-3-2026'!E$3:T$35,16,FALSE)</f>
        <v>#N/A</v>
      </c>
      <c r="U61" s="16"/>
      <c r="V61" s="16" t="e">
        <f t="shared" si="5"/>
        <v>#N/A</v>
      </c>
      <c r="W61" s="16"/>
      <c r="X61" s="16"/>
      <c r="Y61" s="16"/>
      <c r="Z61" s="16">
        <f t="shared" si="6"/>
        <v>0</v>
      </c>
      <c r="AA61" s="16">
        <f t="shared" si="0"/>
        <v>0</v>
      </c>
      <c r="AB61" s="16"/>
      <c r="AC61" s="17"/>
      <c r="AD61" s="51"/>
    </row>
    <row r="62" spans="1:30" ht="19.5" thickBot="1" x14ac:dyDescent="0.3">
      <c r="A62" s="14">
        <v>27</v>
      </c>
      <c r="B62" s="15"/>
      <c r="C62" s="15" t="e">
        <f>VLOOKUP(B62,داتا!$B$3:$D$107,2,FALSE)</f>
        <v>#N/A</v>
      </c>
      <c r="D62" s="34" t="e">
        <f>VLOOKUP(B62,داتا!$B$3:$D$107,3,FALSE)</f>
        <v>#N/A</v>
      </c>
      <c r="E62" s="15"/>
      <c r="F62" s="15"/>
      <c r="G62" s="16">
        <v>0.25</v>
      </c>
      <c r="H62" s="16" t="e">
        <f t="shared" si="8"/>
        <v>#N/A</v>
      </c>
      <c r="I62" s="16" t="e">
        <f t="shared" si="1"/>
        <v>#N/A</v>
      </c>
      <c r="J62" s="16"/>
      <c r="K62" s="16"/>
      <c r="L62" s="16"/>
      <c r="M62" s="16"/>
      <c r="N62" s="16">
        <f t="shared" si="2"/>
        <v>0</v>
      </c>
      <c r="O62" s="16" t="e">
        <f t="shared" si="3"/>
        <v>#N/A</v>
      </c>
      <c r="P62" s="16">
        <v>6.9444444444444397E-3</v>
      </c>
      <c r="Q62" s="16"/>
      <c r="R62" s="16">
        <f t="shared" si="4"/>
        <v>-6.9444444444444397E-3</v>
      </c>
      <c r="S62" s="16"/>
      <c r="T62" s="16" t="e">
        <f>VLOOKUP(E62,'[2]21-3-2026'!E$3:T$35,16,FALSE)</f>
        <v>#N/A</v>
      </c>
      <c r="U62" s="16"/>
      <c r="V62" s="16" t="e">
        <f t="shared" si="5"/>
        <v>#N/A</v>
      </c>
      <c r="W62" s="16"/>
      <c r="X62" s="16"/>
      <c r="Y62" s="16"/>
      <c r="Z62" s="16">
        <f t="shared" si="6"/>
        <v>0</v>
      </c>
      <c r="AA62" s="16">
        <f t="shared" si="0"/>
        <v>0</v>
      </c>
      <c r="AB62" s="16"/>
      <c r="AC62" s="17"/>
      <c r="AD62" s="51"/>
    </row>
    <row r="63" spans="1:30" ht="19.5" thickBot="1" x14ac:dyDescent="0.3">
      <c r="A63" s="14">
        <v>28</v>
      </c>
      <c r="B63" s="15"/>
      <c r="C63" s="15" t="e">
        <f>VLOOKUP(B63,داتا!$B$3:$D$107,2,FALSE)</f>
        <v>#N/A</v>
      </c>
      <c r="D63" s="34" t="e">
        <f>VLOOKUP(B63,داتا!$B$3:$D$107,3,FALSE)</f>
        <v>#N/A</v>
      </c>
      <c r="E63" s="15"/>
      <c r="F63" s="15"/>
      <c r="G63" s="16">
        <v>0.25</v>
      </c>
      <c r="H63" s="16" t="e">
        <f t="shared" si="8"/>
        <v>#N/A</v>
      </c>
      <c r="I63" s="16" t="e">
        <f t="shared" si="1"/>
        <v>#N/A</v>
      </c>
      <c r="J63" s="16"/>
      <c r="K63" s="16"/>
      <c r="L63" s="16"/>
      <c r="M63" s="16"/>
      <c r="N63" s="16">
        <f t="shared" si="2"/>
        <v>0</v>
      </c>
      <c r="O63" s="16" t="e">
        <f t="shared" si="3"/>
        <v>#N/A</v>
      </c>
      <c r="P63" s="16">
        <v>6.9444444444444397E-3</v>
      </c>
      <c r="Q63" s="16"/>
      <c r="R63" s="16">
        <f t="shared" si="4"/>
        <v>-6.9444444444444397E-3</v>
      </c>
      <c r="S63" s="16"/>
      <c r="T63" s="16" t="e">
        <f>VLOOKUP(E63,'[2]21-3-2026'!E$3:T$35,16,FALSE)</f>
        <v>#N/A</v>
      </c>
      <c r="U63" s="16"/>
      <c r="V63" s="16" t="e">
        <f t="shared" si="5"/>
        <v>#N/A</v>
      </c>
      <c r="W63" s="16"/>
      <c r="X63" s="16"/>
      <c r="Y63" s="16"/>
      <c r="Z63" s="16">
        <f t="shared" si="6"/>
        <v>0</v>
      </c>
      <c r="AA63" s="16">
        <f t="shared" si="0"/>
        <v>0</v>
      </c>
      <c r="AB63" s="16"/>
      <c r="AC63" s="17"/>
      <c r="AD63" s="51"/>
    </row>
    <row r="64" spans="1:30" ht="19.5" thickBot="1" x14ac:dyDescent="0.3">
      <c r="A64" s="14">
        <v>29</v>
      </c>
      <c r="B64" s="15"/>
      <c r="C64" s="15" t="e">
        <f>VLOOKUP(B64,داتا!$B$3:$D$107,2,FALSE)</f>
        <v>#N/A</v>
      </c>
      <c r="D64" s="34" t="e">
        <f>VLOOKUP(B64,داتا!$B$3:$D$107,3,FALSE)</f>
        <v>#N/A</v>
      </c>
      <c r="E64" s="15"/>
      <c r="F64" s="15"/>
      <c r="G64" s="16">
        <v>0.25</v>
      </c>
      <c r="H64" s="16" t="e">
        <f t="shared" si="8"/>
        <v>#N/A</v>
      </c>
      <c r="I64" s="16" t="e">
        <f t="shared" si="1"/>
        <v>#N/A</v>
      </c>
      <c r="J64" s="16"/>
      <c r="K64" s="16"/>
      <c r="L64" s="16"/>
      <c r="M64" s="16"/>
      <c r="N64" s="16">
        <f t="shared" si="2"/>
        <v>0</v>
      </c>
      <c r="O64" s="16" t="e">
        <f t="shared" si="3"/>
        <v>#N/A</v>
      </c>
      <c r="P64" s="16">
        <v>6.9444444444444397E-3</v>
      </c>
      <c r="Q64" s="16"/>
      <c r="R64" s="16">
        <f t="shared" si="4"/>
        <v>-6.9444444444444397E-3</v>
      </c>
      <c r="S64" s="16"/>
      <c r="T64" s="16" t="e">
        <f>VLOOKUP(E64,'[2]21-3-2026'!E$3:T$35,16,FALSE)</f>
        <v>#N/A</v>
      </c>
      <c r="U64" s="16"/>
      <c r="V64" s="16" t="e">
        <f t="shared" si="5"/>
        <v>#N/A</v>
      </c>
      <c r="W64" s="16"/>
      <c r="X64" s="16"/>
      <c r="Y64" s="16"/>
      <c r="Z64" s="16">
        <f t="shared" si="6"/>
        <v>0</v>
      </c>
      <c r="AA64" s="16">
        <f t="shared" si="0"/>
        <v>0</v>
      </c>
      <c r="AB64" s="16"/>
      <c r="AC64" s="17"/>
      <c r="AD64" s="51"/>
    </row>
    <row r="65" spans="1:30" ht="19.5" thickBot="1" x14ac:dyDescent="0.3">
      <c r="A65" s="14">
        <v>30</v>
      </c>
      <c r="B65" s="15"/>
      <c r="C65" s="15" t="e">
        <f>VLOOKUP(B65,داتا!$B$3:$D$107,2,FALSE)</f>
        <v>#N/A</v>
      </c>
      <c r="D65" s="34" t="e">
        <f>VLOOKUP(B65,داتا!$B$3:$D$107,3,FALSE)</f>
        <v>#N/A</v>
      </c>
      <c r="E65" s="15"/>
      <c r="F65" s="15"/>
      <c r="G65" s="16">
        <v>0.25</v>
      </c>
      <c r="H65" s="16" t="e">
        <f t="shared" si="8"/>
        <v>#N/A</v>
      </c>
      <c r="I65" s="16" t="e">
        <f t="shared" si="1"/>
        <v>#N/A</v>
      </c>
      <c r="J65" s="16"/>
      <c r="K65" s="16"/>
      <c r="L65" s="16"/>
      <c r="M65" s="16"/>
      <c r="N65" s="16">
        <f t="shared" si="2"/>
        <v>0</v>
      </c>
      <c r="O65" s="16" t="e">
        <f t="shared" si="3"/>
        <v>#N/A</v>
      </c>
      <c r="P65" s="16">
        <v>6.9444444444444397E-3</v>
      </c>
      <c r="Q65" s="16"/>
      <c r="R65" s="16">
        <f t="shared" si="4"/>
        <v>-6.9444444444444397E-3</v>
      </c>
      <c r="S65" s="16"/>
      <c r="T65" s="16" t="e">
        <f>VLOOKUP(E65,'[2]21-3-2026'!E$3:T$35,16,FALSE)</f>
        <v>#N/A</v>
      </c>
      <c r="U65" s="16"/>
      <c r="V65" s="16" t="e">
        <f t="shared" si="5"/>
        <v>#N/A</v>
      </c>
      <c r="W65" s="16"/>
      <c r="X65" s="16"/>
      <c r="Y65" s="16"/>
      <c r="Z65" s="16">
        <f t="shared" si="6"/>
        <v>0</v>
      </c>
      <c r="AA65" s="16">
        <f t="shared" si="0"/>
        <v>0</v>
      </c>
      <c r="AB65" s="16"/>
      <c r="AC65" s="17"/>
      <c r="AD65" s="51"/>
    </row>
    <row r="66" spans="1:30" ht="20.25" customHeight="1" thickBot="1" x14ac:dyDescent="0.3">
      <c r="A66" s="14">
        <v>31</v>
      </c>
      <c r="B66" s="15"/>
      <c r="C66" s="15" t="e">
        <f>VLOOKUP(B66,داتا!$B$3:$D$107,2,FALSE)</f>
        <v>#N/A</v>
      </c>
      <c r="D66" s="34" t="e">
        <f>VLOOKUP(B66,داتا!$B$3:$D$107,3,FALSE)</f>
        <v>#N/A</v>
      </c>
      <c r="E66" s="15"/>
      <c r="F66" s="15"/>
      <c r="G66" s="16">
        <v>0.25</v>
      </c>
      <c r="H66" s="16" t="e">
        <f t="shared" si="8"/>
        <v>#N/A</v>
      </c>
      <c r="I66" s="16" t="e">
        <f t="shared" si="1"/>
        <v>#N/A</v>
      </c>
      <c r="J66" s="16"/>
      <c r="K66" s="16"/>
      <c r="L66" s="16"/>
      <c r="M66" s="16"/>
      <c r="N66" s="16">
        <f t="shared" si="2"/>
        <v>0</v>
      </c>
      <c r="O66" s="16" t="e">
        <f t="shared" si="3"/>
        <v>#N/A</v>
      </c>
      <c r="P66" s="16">
        <v>6.9444444444444397E-3</v>
      </c>
      <c r="Q66" s="16"/>
      <c r="R66" s="16">
        <f t="shared" si="4"/>
        <v>-6.9444444444444397E-3</v>
      </c>
      <c r="S66" s="16"/>
      <c r="T66" s="16" t="e">
        <f>VLOOKUP(E66,'[2]21-3-2026'!E$3:T$35,16,FALSE)</f>
        <v>#N/A</v>
      </c>
      <c r="U66" s="16"/>
      <c r="V66" s="16" t="e">
        <f t="shared" si="5"/>
        <v>#N/A</v>
      </c>
      <c r="W66" s="16"/>
      <c r="X66" s="16"/>
      <c r="Y66" s="16"/>
      <c r="Z66" s="16">
        <f t="shared" si="6"/>
        <v>0</v>
      </c>
      <c r="AA66" s="16">
        <f t="shared" si="0"/>
        <v>0</v>
      </c>
      <c r="AB66" s="16"/>
      <c r="AC66" s="19"/>
      <c r="AD66" s="51"/>
    </row>
    <row r="67" spans="1:30" ht="19.5" customHeight="1" thickBot="1" x14ac:dyDescent="0.3">
      <c r="A67" s="20">
        <v>32</v>
      </c>
      <c r="B67" s="21"/>
      <c r="C67" s="21" t="e">
        <f>VLOOKUP(B67,داتا!$B$3:$D$107,2,FALSE)</f>
        <v>#N/A</v>
      </c>
      <c r="D67" s="35" t="e">
        <f>VLOOKUP(B67,داتا!$B$3:$D$107,3,FALSE)</f>
        <v>#N/A</v>
      </c>
      <c r="E67" s="21"/>
      <c r="F67" s="21"/>
      <c r="G67" s="22">
        <v>0.25</v>
      </c>
      <c r="H67" s="22" t="e">
        <f t="shared" si="8"/>
        <v>#N/A</v>
      </c>
      <c r="I67" s="22" t="e">
        <f t="shared" si="1"/>
        <v>#N/A</v>
      </c>
      <c r="J67" s="22"/>
      <c r="K67" s="22"/>
      <c r="L67" s="22"/>
      <c r="M67" s="22"/>
      <c r="N67" s="22">
        <f t="shared" si="2"/>
        <v>0</v>
      </c>
      <c r="O67" s="22" t="e">
        <f t="shared" si="3"/>
        <v>#N/A</v>
      </c>
      <c r="P67" s="22">
        <v>6.9444444444444397E-3</v>
      </c>
      <c r="Q67" s="22"/>
      <c r="R67" s="22">
        <f t="shared" si="4"/>
        <v>-6.9444444444444397E-3</v>
      </c>
      <c r="S67" s="22"/>
      <c r="T67" s="22" t="e">
        <f>VLOOKUP(E67,'[2]21-3-2026'!E$3:T$35,16,FALSE)</f>
        <v>#N/A</v>
      </c>
      <c r="U67" s="22"/>
      <c r="V67" s="22" t="e">
        <f t="shared" si="5"/>
        <v>#N/A</v>
      </c>
      <c r="W67" s="22"/>
      <c r="X67" s="22"/>
      <c r="Y67" s="22"/>
      <c r="Z67" s="22">
        <f t="shared" si="6"/>
        <v>0</v>
      </c>
      <c r="AA67" s="22">
        <f t="shared" ref="AA67:AA99" si="9">Z67-W67</f>
        <v>0</v>
      </c>
      <c r="AB67" s="22"/>
      <c r="AC67" s="23"/>
      <c r="AD67" s="52"/>
    </row>
    <row r="68" spans="1:30" ht="20.25" thickTop="1" thickBot="1" x14ac:dyDescent="0.3">
      <c r="A68" s="10">
        <v>1</v>
      </c>
      <c r="B68" s="11"/>
      <c r="C68" s="11" t="e">
        <f>VLOOKUP(B68,داتا!$B$3:$D$107,2,FALSE)</f>
        <v>#N/A</v>
      </c>
      <c r="D68" s="33" t="e">
        <f>VLOOKUP(B68,داتا!$B$3:$D$107,3,FALSE)</f>
        <v>#N/A</v>
      </c>
      <c r="E68" s="11"/>
      <c r="F68" s="11"/>
      <c r="G68" s="12">
        <v>8.3333333333333329E-2</v>
      </c>
      <c r="H68" s="12" t="e">
        <f t="shared" si="8"/>
        <v>#N/A</v>
      </c>
      <c r="I68" s="12" t="e">
        <f t="shared" ref="I68:I99" si="10">H68-G68</f>
        <v>#N/A</v>
      </c>
      <c r="J68" s="12"/>
      <c r="K68" s="12"/>
      <c r="L68" s="12"/>
      <c r="M68" s="12"/>
      <c r="N68" s="12">
        <f t="shared" ref="N68:N99" si="11">K68-J68</f>
        <v>0</v>
      </c>
      <c r="O68" s="12" t="e">
        <f t="shared" ref="O68:O99" si="12">N68-D68</f>
        <v>#N/A</v>
      </c>
      <c r="P68" s="12">
        <v>6.9444444444444397E-3</v>
      </c>
      <c r="Q68" s="12"/>
      <c r="R68" s="12">
        <f t="shared" ref="R68:R99" si="13">Q68-P68-K68</f>
        <v>-6.9444444444444397E-3</v>
      </c>
      <c r="S68" s="12"/>
      <c r="T68" s="12" t="e">
        <f>VLOOKUP(E68,'[2]21-3-2026'!E$3:T$35,16,FALSE)</f>
        <v>#N/A</v>
      </c>
      <c r="U68" s="12"/>
      <c r="V68" s="12" t="e">
        <f t="shared" ref="V68:V99" si="14">U68-T68-S68</f>
        <v>#N/A</v>
      </c>
      <c r="W68" s="12"/>
      <c r="X68" s="12"/>
      <c r="Y68" s="12"/>
      <c r="Z68" s="12">
        <f t="shared" ref="Z68:Z99" si="15">Y68-X68</f>
        <v>0</v>
      </c>
      <c r="AA68" s="12">
        <f t="shared" si="9"/>
        <v>0</v>
      </c>
      <c r="AB68" s="12"/>
      <c r="AC68" s="13"/>
      <c r="AD68" s="53" t="s">
        <v>116</v>
      </c>
    </row>
    <row r="69" spans="1:30" ht="19.5" thickBot="1" x14ac:dyDescent="0.3">
      <c r="A69" s="14">
        <v>2</v>
      </c>
      <c r="B69" s="15"/>
      <c r="C69" s="15" t="e">
        <f>VLOOKUP(B69,داتا!$B$3:$D$107,2,FALSE)</f>
        <v>#N/A</v>
      </c>
      <c r="D69" s="34" t="e">
        <f>VLOOKUP(B69,داتا!$B$3:$D$107,3,FALSE)</f>
        <v>#N/A</v>
      </c>
      <c r="E69" s="15"/>
      <c r="F69" s="15"/>
      <c r="G69" s="16">
        <v>8.3333333333333329E-2</v>
      </c>
      <c r="H69" s="16" t="e">
        <f t="shared" ref="H69:H84" si="16">VLOOKUP(G69,$F$3:$I$35,2,FALSE)</f>
        <v>#N/A</v>
      </c>
      <c r="I69" s="16" t="e">
        <f t="shared" si="10"/>
        <v>#N/A</v>
      </c>
      <c r="J69" s="16"/>
      <c r="K69" s="16"/>
      <c r="L69" s="16"/>
      <c r="M69" s="16"/>
      <c r="N69" s="16">
        <f t="shared" si="11"/>
        <v>0</v>
      </c>
      <c r="O69" s="16" t="e">
        <f t="shared" si="12"/>
        <v>#N/A</v>
      </c>
      <c r="P69" s="16">
        <v>6.9444444444444397E-3</v>
      </c>
      <c r="Q69" s="16"/>
      <c r="R69" s="16">
        <f t="shared" si="13"/>
        <v>-6.9444444444444397E-3</v>
      </c>
      <c r="S69" s="16"/>
      <c r="T69" s="16" t="e">
        <f>VLOOKUP(E69,'[2]21-3-2026'!E$3:T$35,16,FALSE)</f>
        <v>#N/A</v>
      </c>
      <c r="U69" s="16"/>
      <c r="V69" s="16" t="e">
        <f t="shared" si="14"/>
        <v>#N/A</v>
      </c>
      <c r="W69" s="16"/>
      <c r="X69" s="16"/>
      <c r="Y69" s="16"/>
      <c r="Z69" s="16">
        <f t="shared" si="15"/>
        <v>0</v>
      </c>
      <c r="AA69" s="16">
        <f t="shared" si="9"/>
        <v>0</v>
      </c>
      <c r="AB69" s="16"/>
      <c r="AC69" s="17"/>
      <c r="AD69" s="51"/>
    </row>
    <row r="70" spans="1:30" ht="19.5" thickBot="1" x14ac:dyDescent="0.3">
      <c r="A70" s="14">
        <v>3</v>
      </c>
      <c r="B70" s="15"/>
      <c r="C70" s="15" t="e">
        <f>VLOOKUP(B70,داتا!$B$3:$D$107,2,FALSE)</f>
        <v>#N/A</v>
      </c>
      <c r="D70" s="34" t="e">
        <f>VLOOKUP(B70,داتا!$B$3:$D$107,3,FALSE)</f>
        <v>#N/A</v>
      </c>
      <c r="E70" s="15"/>
      <c r="F70" s="15"/>
      <c r="G70" s="16">
        <v>8.3333333333333329E-2</v>
      </c>
      <c r="H70" s="16" t="e">
        <f t="shared" si="16"/>
        <v>#N/A</v>
      </c>
      <c r="I70" s="16" t="e">
        <f t="shared" si="10"/>
        <v>#N/A</v>
      </c>
      <c r="J70" s="16"/>
      <c r="K70" s="16"/>
      <c r="L70" s="16"/>
      <c r="M70" s="16"/>
      <c r="N70" s="16">
        <f t="shared" si="11"/>
        <v>0</v>
      </c>
      <c r="O70" s="16" t="e">
        <f t="shared" si="12"/>
        <v>#N/A</v>
      </c>
      <c r="P70" s="16">
        <v>6.9444444444444397E-3</v>
      </c>
      <c r="Q70" s="16"/>
      <c r="R70" s="16">
        <f t="shared" si="13"/>
        <v>-6.9444444444444397E-3</v>
      </c>
      <c r="S70" s="16"/>
      <c r="T70" s="16" t="e">
        <f>VLOOKUP(E70,'[2]21-3-2026'!E$3:T$35,16,FALSE)</f>
        <v>#N/A</v>
      </c>
      <c r="U70" s="16"/>
      <c r="V70" s="16" t="e">
        <f t="shared" si="14"/>
        <v>#N/A</v>
      </c>
      <c r="W70" s="16"/>
      <c r="X70" s="16"/>
      <c r="Y70" s="16"/>
      <c r="Z70" s="16">
        <f t="shared" si="15"/>
        <v>0</v>
      </c>
      <c r="AA70" s="16">
        <f t="shared" si="9"/>
        <v>0</v>
      </c>
      <c r="AB70" s="16"/>
      <c r="AC70" s="17"/>
      <c r="AD70" s="51"/>
    </row>
    <row r="71" spans="1:30" ht="19.5" thickBot="1" x14ac:dyDescent="0.3">
      <c r="A71" s="14">
        <v>4</v>
      </c>
      <c r="B71" s="15"/>
      <c r="C71" s="15" t="e">
        <f>VLOOKUP(B71,داتا!$B$3:$D$107,2,FALSE)</f>
        <v>#N/A</v>
      </c>
      <c r="D71" s="34" t="e">
        <f>VLOOKUP(B71,داتا!$B$3:$D$107,3,FALSE)</f>
        <v>#N/A</v>
      </c>
      <c r="E71" s="15"/>
      <c r="F71" s="15"/>
      <c r="G71" s="16">
        <v>8.3333333333333329E-2</v>
      </c>
      <c r="H71" s="16" t="e">
        <f t="shared" si="16"/>
        <v>#N/A</v>
      </c>
      <c r="I71" s="16" t="e">
        <f t="shared" si="10"/>
        <v>#N/A</v>
      </c>
      <c r="J71" s="16"/>
      <c r="K71" s="16"/>
      <c r="L71" s="16"/>
      <c r="M71" s="16"/>
      <c r="N71" s="16">
        <f t="shared" si="11"/>
        <v>0</v>
      </c>
      <c r="O71" s="16" t="e">
        <f t="shared" si="12"/>
        <v>#N/A</v>
      </c>
      <c r="P71" s="16">
        <v>6.9444444444444397E-3</v>
      </c>
      <c r="Q71" s="16"/>
      <c r="R71" s="16">
        <f t="shared" si="13"/>
        <v>-6.9444444444444397E-3</v>
      </c>
      <c r="S71" s="16"/>
      <c r="T71" s="16" t="e">
        <f>VLOOKUP(E71,'[2]21-3-2026'!E$3:T$35,16,FALSE)</f>
        <v>#N/A</v>
      </c>
      <c r="U71" s="16"/>
      <c r="V71" s="16" t="e">
        <f t="shared" si="14"/>
        <v>#N/A</v>
      </c>
      <c r="W71" s="16"/>
      <c r="X71" s="16"/>
      <c r="Y71" s="16"/>
      <c r="Z71" s="16">
        <f t="shared" si="15"/>
        <v>0</v>
      </c>
      <c r="AA71" s="16">
        <f t="shared" si="9"/>
        <v>0</v>
      </c>
      <c r="AB71" s="16"/>
      <c r="AC71" s="17"/>
      <c r="AD71" s="51"/>
    </row>
    <row r="72" spans="1:30" ht="19.5" thickBot="1" x14ac:dyDescent="0.3">
      <c r="A72" s="14">
        <v>5</v>
      </c>
      <c r="B72" s="15"/>
      <c r="C72" s="15" t="e">
        <f>VLOOKUP(B72,داتا!$B$3:$D$107,2,FALSE)</f>
        <v>#N/A</v>
      </c>
      <c r="D72" s="34" t="e">
        <f>VLOOKUP(B72,داتا!$B$3:$D$107,3,FALSE)</f>
        <v>#N/A</v>
      </c>
      <c r="E72" s="15"/>
      <c r="F72" s="15"/>
      <c r="G72" s="16">
        <v>8.3333333333333329E-2</v>
      </c>
      <c r="H72" s="16" t="e">
        <f t="shared" si="16"/>
        <v>#N/A</v>
      </c>
      <c r="I72" s="16" t="e">
        <f t="shared" si="10"/>
        <v>#N/A</v>
      </c>
      <c r="J72" s="16"/>
      <c r="K72" s="16"/>
      <c r="L72" s="16"/>
      <c r="M72" s="16"/>
      <c r="N72" s="16">
        <f t="shared" si="11"/>
        <v>0</v>
      </c>
      <c r="O72" s="16" t="e">
        <f t="shared" si="12"/>
        <v>#N/A</v>
      </c>
      <c r="P72" s="16">
        <v>6.9444444444444397E-3</v>
      </c>
      <c r="Q72" s="16"/>
      <c r="R72" s="16">
        <f t="shared" si="13"/>
        <v>-6.9444444444444397E-3</v>
      </c>
      <c r="S72" s="16"/>
      <c r="T72" s="16" t="e">
        <f>VLOOKUP(E72,'[2]21-3-2026'!E$3:T$35,16,FALSE)</f>
        <v>#N/A</v>
      </c>
      <c r="U72" s="16"/>
      <c r="V72" s="16" t="e">
        <f t="shared" si="14"/>
        <v>#N/A</v>
      </c>
      <c r="W72" s="16"/>
      <c r="X72" s="16"/>
      <c r="Y72" s="16"/>
      <c r="Z72" s="16">
        <f t="shared" si="15"/>
        <v>0</v>
      </c>
      <c r="AA72" s="16">
        <f t="shared" si="9"/>
        <v>0</v>
      </c>
      <c r="AB72" s="16"/>
      <c r="AC72" s="17"/>
      <c r="AD72" s="51"/>
    </row>
    <row r="73" spans="1:30" ht="19.5" thickBot="1" x14ac:dyDescent="0.3">
      <c r="A73" s="14">
        <v>6</v>
      </c>
      <c r="B73" s="15"/>
      <c r="C73" s="15" t="e">
        <f>VLOOKUP(B73,داتا!$B$3:$D$107,2,FALSE)</f>
        <v>#N/A</v>
      </c>
      <c r="D73" s="34" t="e">
        <f>VLOOKUP(B73,داتا!$B$3:$D$107,3,FALSE)</f>
        <v>#N/A</v>
      </c>
      <c r="E73" s="15"/>
      <c r="F73" s="15"/>
      <c r="G73" s="16">
        <v>8.3333333333333329E-2</v>
      </c>
      <c r="H73" s="16" t="e">
        <f t="shared" si="16"/>
        <v>#N/A</v>
      </c>
      <c r="I73" s="16" t="e">
        <f t="shared" si="10"/>
        <v>#N/A</v>
      </c>
      <c r="J73" s="16"/>
      <c r="K73" s="16"/>
      <c r="L73" s="16"/>
      <c r="M73" s="16"/>
      <c r="N73" s="16">
        <f t="shared" si="11"/>
        <v>0</v>
      </c>
      <c r="O73" s="16" t="e">
        <f t="shared" si="12"/>
        <v>#N/A</v>
      </c>
      <c r="P73" s="16">
        <v>6.9444444444444397E-3</v>
      </c>
      <c r="Q73" s="16"/>
      <c r="R73" s="16">
        <f t="shared" si="13"/>
        <v>-6.9444444444444397E-3</v>
      </c>
      <c r="S73" s="16"/>
      <c r="T73" s="16" t="e">
        <f>VLOOKUP(E73,'[2]21-3-2026'!E$3:T$35,16,FALSE)</f>
        <v>#N/A</v>
      </c>
      <c r="U73" s="16"/>
      <c r="V73" s="16" t="e">
        <f t="shared" si="14"/>
        <v>#N/A</v>
      </c>
      <c r="W73" s="16"/>
      <c r="X73" s="16"/>
      <c r="Y73" s="16"/>
      <c r="Z73" s="16">
        <f t="shared" si="15"/>
        <v>0</v>
      </c>
      <c r="AA73" s="16">
        <f t="shared" si="9"/>
        <v>0</v>
      </c>
      <c r="AB73" s="16"/>
      <c r="AC73" s="17"/>
      <c r="AD73" s="51"/>
    </row>
    <row r="74" spans="1:30" ht="19.5" thickBot="1" x14ac:dyDescent="0.3">
      <c r="A74" s="14">
        <v>7</v>
      </c>
      <c r="B74" s="15"/>
      <c r="C74" s="15" t="e">
        <f>VLOOKUP(B74,داتا!$B$3:$D$107,2,FALSE)</f>
        <v>#N/A</v>
      </c>
      <c r="D74" s="34" t="e">
        <f>VLOOKUP(B74,داتا!$B$3:$D$107,3,FALSE)</f>
        <v>#N/A</v>
      </c>
      <c r="E74" s="15"/>
      <c r="F74" s="15"/>
      <c r="G74" s="16">
        <v>8.3333333333333329E-2</v>
      </c>
      <c r="H74" s="16" t="e">
        <f t="shared" si="16"/>
        <v>#N/A</v>
      </c>
      <c r="I74" s="16" t="e">
        <f t="shared" si="10"/>
        <v>#N/A</v>
      </c>
      <c r="J74" s="16"/>
      <c r="K74" s="16"/>
      <c r="L74" s="16"/>
      <c r="M74" s="16"/>
      <c r="N74" s="16">
        <f t="shared" si="11"/>
        <v>0</v>
      </c>
      <c r="O74" s="16" t="e">
        <f t="shared" si="12"/>
        <v>#N/A</v>
      </c>
      <c r="P74" s="16">
        <v>6.9444444444444397E-3</v>
      </c>
      <c r="Q74" s="16"/>
      <c r="R74" s="16">
        <f t="shared" si="13"/>
        <v>-6.9444444444444397E-3</v>
      </c>
      <c r="S74" s="16"/>
      <c r="T74" s="16" t="e">
        <f>VLOOKUP(E74,'[2]21-3-2026'!E$3:T$35,16,FALSE)</f>
        <v>#N/A</v>
      </c>
      <c r="U74" s="16"/>
      <c r="V74" s="16" t="e">
        <f t="shared" si="14"/>
        <v>#N/A</v>
      </c>
      <c r="W74" s="16"/>
      <c r="X74" s="16"/>
      <c r="Y74" s="16"/>
      <c r="Z74" s="16">
        <f t="shared" si="15"/>
        <v>0</v>
      </c>
      <c r="AA74" s="16">
        <f t="shared" si="9"/>
        <v>0</v>
      </c>
      <c r="AB74" s="16"/>
      <c r="AC74" s="17"/>
      <c r="AD74" s="51"/>
    </row>
    <row r="75" spans="1:30" ht="19.5" thickBot="1" x14ac:dyDescent="0.3">
      <c r="A75" s="14">
        <v>8</v>
      </c>
      <c r="B75" s="15"/>
      <c r="C75" s="15" t="e">
        <f>VLOOKUP(B75,داتا!$B$3:$D$107,2,FALSE)</f>
        <v>#N/A</v>
      </c>
      <c r="D75" s="34" t="e">
        <f>VLOOKUP(B75,داتا!$B$3:$D$107,3,FALSE)</f>
        <v>#N/A</v>
      </c>
      <c r="E75" s="15"/>
      <c r="F75" s="15"/>
      <c r="G75" s="16">
        <v>8.3333333333333329E-2</v>
      </c>
      <c r="H75" s="16" t="e">
        <f t="shared" si="16"/>
        <v>#N/A</v>
      </c>
      <c r="I75" s="16" t="e">
        <f t="shared" si="10"/>
        <v>#N/A</v>
      </c>
      <c r="J75" s="16"/>
      <c r="K75" s="16"/>
      <c r="L75" s="16"/>
      <c r="M75" s="16"/>
      <c r="N75" s="16">
        <f t="shared" si="11"/>
        <v>0</v>
      </c>
      <c r="O75" s="16" t="e">
        <f t="shared" si="12"/>
        <v>#N/A</v>
      </c>
      <c r="P75" s="16">
        <v>6.9444444444444397E-3</v>
      </c>
      <c r="Q75" s="16"/>
      <c r="R75" s="16">
        <f t="shared" si="13"/>
        <v>-6.9444444444444397E-3</v>
      </c>
      <c r="S75" s="16"/>
      <c r="T75" s="16" t="e">
        <f>VLOOKUP(E75,'[2]21-3-2026'!E$3:T$35,16,FALSE)</f>
        <v>#N/A</v>
      </c>
      <c r="U75" s="16"/>
      <c r="V75" s="16" t="e">
        <f t="shared" si="14"/>
        <v>#N/A</v>
      </c>
      <c r="W75" s="16"/>
      <c r="X75" s="16"/>
      <c r="Y75" s="16"/>
      <c r="Z75" s="16">
        <f t="shared" si="15"/>
        <v>0</v>
      </c>
      <c r="AA75" s="16">
        <f t="shared" si="9"/>
        <v>0</v>
      </c>
      <c r="AB75" s="16"/>
      <c r="AC75" s="17"/>
      <c r="AD75" s="51"/>
    </row>
    <row r="76" spans="1:30" ht="19.5" thickBot="1" x14ac:dyDescent="0.3">
      <c r="A76" s="14">
        <v>9</v>
      </c>
      <c r="B76" s="15"/>
      <c r="C76" s="15" t="e">
        <f>VLOOKUP(B76,داتا!$B$3:$D$107,2,FALSE)</f>
        <v>#N/A</v>
      </c>
      <c r="D76" s="34" t="e">
        <f>VLOOKUP(B76,داتا!$B$3:$D$107,3,FALSE)</f>
        <v>#N/A</v>
      </c>
      <c r="E76" s="16"/>
      <c r="F76" s="15"/>
      <c r="G76" s="16">
        <v>8.3333333333333329E-2</v>
      </c>
      <c r="H76" s="16" t="e">
        <f t="shared" si="16"/>
        <v>#N/A</v>
      </c>
      <c r="I76" s="16" t="e">
        <f t="shared" si="10"/>
        <v>#N/A</v>
      </c>
      <c r="J76" s="16"/>
      <c r="K76" s="16"/>
      <c r="L76" s="16"/>
      <c r="M76" s="16"/>
      <c r="N76" s="16">
        <f t="shared" si="11"/>
        <v>0</v>
      </c>
      <c r="O76" s="16" t="e">
        <f t="shared" si="12"/>
        <v>#N/A</v>
      </c>
      <c r="P76" s="16">
        <v>6.9444444444444397E-3</v>
      </c>
      <c r="Q76" s="16"/>
      <c r="R76" s="16">
        <f t="shared" si="13"/>
        <v>-6.9444444444444397E-3</v>
      </c>
      <c r="S76" s="16"/>
      <c r="T76" s="16" t="e">
        <f>VLOOKUP(E76,'[2]21-3-2026'!E$3:T$35,16,FALSE)</f>
        <v>#N/A</v>
      </c>
      <c r="U76" s="16"/>
      <c r="V76" s="16" t="e">
        <f t="shared" si="14"/>
        <v>#N/A</v>
      </c>
      <c r="W76" s="16"/>
      <c r="X76" s="16"/>
      <c r="Y76" s="16"/>
      <c r="Z76" s="16">
        <f t="shared" si="15"/>
        <v>0</v>
      </c>
      <c r="AA76" s="16">
        <f t="shared" si="9"/>
        <v>0</v>
      </c>
      <c r="AB76" s="16"/>
      <c r="AC76" s="17"/>
      <c r="AD76" s="51"/>
    </row>
    <row r="77" spans="1:30" ht="19.5" thickBot="1" x14ac:dyDescent="0.3">
      <c r="A77" s="14">
        <v>10</v>
      </c>
      <c r="B77" s="15"/>
      <c r="C77" s="15" t="e">
        <f>VLOOKUP(B77,داتا!$B$3:$D$107,2,FALSE)</f>
        <v>#N/A</v>
      </c>
      <c r="D77" s="34" t="e">
        <f>VLOOKUP(B77,داتا!$B$3:$D$107,3,FALSE)</f>
        <v>#N/A</v>
      </c>
      <c r="E77" s="15"/>
      <c r="F77" s="15"/>
      <c r="G77" s="16">
        <v>8.3333333333333329E-2</v>
      </c>
      <c r="H77" s="16" t="e">
        <f t="shared" si="16"/>
        <v>#N/A</v>
      </c>
      <c r="I77" s="16" t="e">
        <f t="shared" si="10"/>
        <v>#N/A</v>
      </c>
      <c r="J77" s="16"/>
      <c r="K77" s="16"/>
      <c r="L77" s="16"/>
      <c r="M77" s="16"/>
      <c r="N77" s="16">
        <f t="shared" si="11"/>
        <v>0</v>
      </c>
      <c r="O77" s="16" t="e">
        <f t="shared" si="12"/>
        <v>#N/A</v>
      </c>
      <c r="P77" s="16">
        <v>6.9444444444444397E-3</v>
      </c>
      <c r="Q77" s="16"/>
      <c r="R77" s="16">
        <f t="shared" si="13"/>
        <v>-6.9444444444444397E-3</v>
      </c>
      <c r="S77" s="16"/>
      <c r="T77" s="16" t="e">
        <f>VLOOKUP(E77,'[2]21-3-2026'!E$3:T$35,16,FALSE)</f>
        <v>#N/A</v>
      </c>
      <c r="U77" s="16"/>
      <c r="V77" s="16" t="e">
        <f t="shared" si="14"/>
        <v>#N/A</v>
      </c>
      <c r="W77" s="16"/>
      <c r="X77" s="16"/>
      <c r="Y77" s="16"/>
      <c r="Z77" s="16">
        <f t="shared" si="15"/>
        <v>0</v>
      </c>
      <c r="AA77" s="16">
        <f t="shared" si="9"/>
        <v>0</v>
      </c>
      <c r="AB77" s="16"/>
      <c r="AC77" s="17"/>
      <c r="AD77" s="51"/>
    </row>
    <row r="78" spans="1:30" ht="19.5" thickBot="1" x14ac:dyDescent="0.3">
      <c r="A78" s="14">
        <v>11</v>
      </c>
      <c r="B78" s="15"/>
      <c r="C78" s="15" t="e">
        <f>VLOOKUP(B78,داتا!$B$3:$D$107,2,FALSE)</f>
        <v>#N/A</v>
      </c>
      <c r="D78" s="34" t="e">
        <f>VLOOKUP(B78,داتا!$B$3:$D$107,3,FALSE)</f>
        <v>#N/A</v>
      </c>
      <c r="E78" s="15"/>
      <c r="F78" s="15"/>
      <c r="G78" s="16">
        <v>8.3333333333333329E-2</v>
      </c>
      <c r="H78" s="16" t="e">
        <f t="shared" si="16"/>
        <v>#N/A</v>
      </c>
      <c r="I78" s="16" t="e">
        <f t="shared" si="10"/>
        <v>#N/A</v>
      </c>
      <c r="J78" s="16"/>
      <c r="K78" s="16"/>
      <c r="L78" s="16"/>
      <c r="M78" s="16"/>
      <c r="N78" s="16">
        <f t="shared" si="11"/>
        <v>0</v>
      </c>
      <c r="O78" s="16" t="e">
        <f t="shared" si="12"/>
        <v>#N/A</v>
      </c>
      <c r="P78" s="16">
        <v>6.9444444444444397E-3</v>
      </c>
      <c r="Q78" s="16"/>
      <c r="R78" s="16">
        <f t="shared" si="13"/>
        <v>-6.9444444444444397E-3</v>
      </c>
      <c r="S78" s="16"/>
      <c r="T78" s="16" t="e">
        <f>VLOOKUP(E78,'[2]21-3-2026'!E$3:T$35,16,FALSE)</f>
        <v>#N/A</v>
      </c>
      <c r="U78" s="16"/>
      <c r="V78" s="16" t="e">
        <f t="shared" si="14"/>
        <v>#N/A</v>
      </c>
      <c r="W78" s="16"/>
      <c r="X78" s="16"/>
      <c r="Y78" s="16"/>
      <c r="Z78" s="16">
        <f t="shared" si="15"/>
        <v>0</v>
      </c>
      <c r="AA78" s="16">
        <f t="shared" si="9"/>
        <v>0</v>
      </c>
      <c r="AB78" s="16"/>
      <c r="AC78" s="17"/>
      <c r="AD78" s="51"/>
    </row>
    <row r="79" spans="1:30" ht="19.5" thickBot="1" x14ac:dyDescent="0.3">
      <c r="A79" s="14">
        <v>12</v>
      </c>
      <c r="B79" s="15"/>
      <c r="C79" s="15" t="e">
        <f>VLOOKUP(B79,داتا!$B$3:$D$107,2,FALSE)</f>
        <v>#N/A</v>
      </c>
      <c r="D79" s="34" t="e">
        <f>VLOOKUP(B79,داتا!$B$3:$D$107,3,FALSE)</f>
        <v>#N/A</v>
      </c>
      <c r="E79" s="15"/>
      <c r="F79" s="15"/>
      <c r="G79" s="16">
        <v>8.3333333333333329E-2</v>
      </c>
      <c r="H79" s="16" t="e">
        <f t="shared" si="16"/>
        <v>#N/A</v>
      </c>
      <c r="I79" s="16" t="e">
        <f t="shared" si="10"/>
        <v>#N/A</v>
      </c>
      <c r="J79" s="16"/>
      <c r="K79" s="16"/>
      <c r="L79" s="16"/>
      <c r="M79" s="16"/>
      <c r="N79" s="16">
        <f t="shared" si="11"/>
        <v>0</v>
      </c>
      <c r="O79" s="16" t="e">
        <f t="shared" si="12"/>
        <v>#N/A</v>
      </c>
      <c r="P79" s="16">
        <v>6.9444444444444397E-3</v>
      </c>
      <c r="Q79" s="16"/>
      <c r="R79" s="16">
        <f t="shared" si="13"/>
        <v>-6.9444444444444397E-3</v>
      </c>
      <c r="S79" s="16"/>
      <c r="T79" s="16" t="e">
        <f>VLOOKUP(E79,'[2]21-3-2026'!E$3:T$35,16,FALSE)</f>
        <v>#N/A</v>
      </c>
      <c r="U79" s="16"/>
      <c r="V79" s="16" t="e">
        <f t="shared" si="14"/>
        <v>#N/A</v>
      </c>
      <c r="W79" s="16"/>
      <c r="X79" s="16"/>
      <c r="Y79" s="16"/>
      <c r="Z79" s="16">
        <f t="shared" si="15"/>
        <v>0</v>
      </c>
      <c r="AA79" s="16">
        <f t="shared" si="9"/>
        <v>0</v>
      </c>
      <c r="AB79" s="16"/>
      <c r="AC79" s="17"/>
      <c r="AD79" s="51"/>
    </row>
    <row r="80" spans="1:30" ht="19.5" thickBot="1" x14ac:dyDescent="0.3">
      <c r="A80" s="14">
        <v>13</v>
      </c>
      <c r="B80" s="15"/>
      <c r="C80" s="15" t="e">
        <f>VLOOKUP(B80,داتا!$B$3:$D$107,2,FALSE)</f>
        <v>#N/A</v>
      </c>
      <c r="D80" s="34" t="e">
        <f>VLOOKUP(B80,داتا!$B$3:$D$107,3,FALSE)</f>
        <v>#N/A</v>
      </c>
      <c r="E80" s="15"/>
      <c r="F80" s="15"/>
      <c r="G80" s="16">
        <v>8.3333333333333329E-2</v>
      </c>
      <c r="H80" s="16" t="e">
        <f t="shared" si="16"/>
        <v>#N/A</v>
      </c>
      <c r="I80" s="16" t="e">
        <f t="shared" si="10"/>
        <v>#N/A</v>
      </c>
      <c r="J80" s="16"/>
      <c r="K80" s="16"/>
      <c r="L80" s="16"/>
      <c r="M80" s="16"/>
      <c r="N80" s="16">
        <f t="shared" si="11"/>
        <v>0</v>
      </c>
      <c r="O80" s="16" t="e">
        <f t="shared" si="12"/>
        <v>#N/A</v>
      </c>
      <c r="P80" s="16">
        <v>6.9444444444444397E-3</v>
      </c>
      <c r="Q80" s="16"/>
      <c r="R80" s="16">
        <f t="shared" si="13"/>
        <v>-6.9444444444444397E-3</v>
      </c>
      <c r="S80" s="16"/>
      <c r="T80" s="16" t="e">
        <f>VLOOKUP(E80,'[2]21-3-2026'!E$3:T$35,16,FALSE)</f>
        <v>#N/A</v>
      </c>
      <c r="U80" s="16"/>
      <c r="V80" s="16" t="e">
        <f t="shared" si="14"/>
        <v>#N/A</v>
      </c>
      <c r="W80" s="16"/>
      <c r="X80" s="16"/>
      <c r="Y80" s="16"/>
      <c r="Z80" s="16">
        <f t="shared" si="15"/>
        <v>0</v>
      </c>
      <c r="AA80" s="16">
        <f t="shared" si="9"/>
        <v>0</v>
      </c>
      <c r="AB80" s="16"/>
      <c r="AC80" s="17"/>
      <c r="AD80" s="51"/>
    </row>
    <row r="81" spans="1:30" ht="19.5" thickBot="1" x14ac:dyDescent="0.3">
      <c r="A81" s="14">
        <v>14</v>
      </c>
      <c r="B81" s="15"/>
      <c r="C81" s="15" t="e">
        <f>VLOOKUP(B81,داتا!$B$3:$D$107,2,FALSE)</f>
        <v>#N/A</v>
      </c>
      <c r="D81" s="34" t="e">
        <f>VLOOKUP(B81,داتا!$B$3:$D$107,3,FALSE)</f>
        <v>#N/A</v>
      </c>
      <c r="E81" s="15"/>
      <c r="F81" s="15"/>
      <c r="G81" s="16">
        <v>8.3333333333333329E-2</v>
      </c>
      <c r="H81" s="16" t="e">
        <f t="shared" si="16"/>
        <v>#N/A</v>
      </c>
      <c r="I81" s="16" t="e">
        <f t="shared" si="10"/>
        <v>#N/A</v>
      </c>
      <c r="J81" s="16"/>
      <c r="K81" s="16"/>
      <c r="L81" s="16"/>
      <c r="M81" s="16"/>
      <c r="N81" s="16">
        <f t="shared" si="11"/>
        <v>0</v>
      </c>
      <c r="O81" s="16" t="e">
        <f t="shared" si="12"/>
        <v>#N/A</v>
      </c>
      <c r="P81" s="16">
        <v>6.9444444444444397E-3</v>
      </c>
      <c r="Q81" s="16"/>
      <c r="R81" s="16">
        <f t="shared" si="13"/>
        <v>-6.9444444444444397E-3</v>
      </c>
      <c r="S81" s="16"/>
      <c r="T81" s="16" t="e">
        <f>VLOOKUP(E81,'[2]21-3-2026'!E$3:T$35,16,FALSE)</f>
        <v>#N/A</v>
      </c>
      <c r="U81" s="16"/>
      <c r="V81" s="16" t="e">
        <f t="shared" si="14"/>
        <v>#N/A</v>
      </c>
      <c r="W81" s="16"/>
      <c r="X81" s="16"/>
      <c r="Y81" s="16"/>
      <c r="Z81" s="16">
        <f t="shared" si="15"/>
        <v>0</v>
      </c>
      <c r="AA81" s="16">
        <f t="shared" si="9"/>
        <v>0</v>
      </c>
      <c r="AB81" s="16"/>
      <c r="AC81" s="17"/>
      <c r="AD81" s="51"/>
    </row>
    <row r="82" spans="1:30" ht="19.5" thickBot="1" x14ac:dyDescent="0.3">
      <c r="A82" s="14">
        <v>15</v>
      </c>
      <c r="B82" s="15"/>
      <c r="C82" s="15" t="e">
        <f>VLOOKUP(B82,داتا!$B$3:$D$107,2,FALSE)</f>
        <v>#N/A</v>
      </c>
      <c r="D82" s="34" t="e">
        <f>VLOOKUP(B82,داتا!$B$3:$D$107,3,FALSE)</f>
        <v>#N/A</v>
      </c>
      <c r="E82" s="15"/>
      <c r="F82" s="15"/>
      <c r="G82" s="16">
        <v>8.3333333333333329E-2</v>
      </c>
      <c r="H82" s="16" t="e">
        <f t="shared" si="16"/>
        <v>#N/A</v>
      </c>
      <c r="I82" s="16" t="e">
        <f t="shared" si="10"/>
        <v>#N/A</v>
      </c>
      <c r="J82" s="16"/>
      <c r="K82" s="16"/>
      <c r="L82" s="16"/>
      <c r="M82" s="16"/>
      <c r="N82" s="16">
        <f t="shared" si="11"/>
        <v>0</v>
      </c>
      <c r="O82" s="16" t="e">
        <f t="shared" si="12"/>
        <v>#N/A</v>
      </c>
      <c r="P82" s="16">
        <v>6.9444444444444397E-3</v>
      </c>
      <c r="Q82" s="16"/>
      <c r="R82" s="16">
        <f t="shared" si="13"/>
        <v>-6.9444444444444397E-3</v>
      </c>
      <c r="S82" s="16"/>
      <c r="T82" s="16" t="e">
        <f>VLOOKUP(E82,'[2]21-3-2026'!E$3:T$35,16,FALSE)</f>
        <v>#N/A</v>
      </c>
      <c r="U82" s="16"/>
      <c r="V82" s="16" t="e">
        <f t="shared" si="14"/>
        <v>#N/A</v>
      </c>
      <c r="W82" s="16"/>
      <c r="X82" s="16"/>
      <c r="Y82" s="16"/>
      <c r="Z82" s="16">
        <f t="shared" si="15"/>
        <v>0</v>
      </c>
      <c r="AA82" s="16">
        <f t="shared" si="9"/>
        <v>0</v>
      </c>
      <c r="AB82" s="16"/>
      <c r="AC82" s="17"/>
      <c r="AD82" s="51"/>
    </row>
    <row r="83" spans="1:30" ht="19.5" thickBot="1" x14ac:dyDescent="0.3">
      <c r="A83" s="14">
        <v>16</v>
      </c>
      <c r="B83" s="15"/>
      <c r="C83" s="15" t="e">
        <f>VLOOKUP(B83,داتا!$B$3:$D$107,2,FALSE)</f>
        <v>#N/A</v>
      </c>
      <c r="D83" s="34" t="e">
        <f>VLOOKUP(B83,داتا!$B$3:$D$107,3,FALSE)</f>
        <v>#N/A</v>
      </c>
      <c r="E83" s="15"/>
      <c r="F83" s="15"/>
      <c r="G83" s="16">
        <v>8.3333333333333329E-2</v>
      </c>
      <c r="H83" s="16" t="e">
        <f t="shared" si="16"/>
        <v>#N/A</v>
      </c>
      <c r="I83" s="16" t="e">
        <f t="shared" si="10"/>
        <v>#N/A</v>
      </c>
      <c r="J83" s="16"/>
      <c r="K83" s="16"/>
      <c r="L83" s="16"/>
      <c r="M83" s="16"/>
      <c r="N83" s="16">
        <f t="shared" si="11"/>
        <v>0</v>
      </c>
      <c r="O83" s="16" t="e">
        <f t="shared" si="12"/>
        <v>#N/A</v>
      </c>
      <c r="P83" s="16">
        <v>6.9444444444444397E-3</v>
      </c>
      <c r="Q83" s="16"/>
      <c r="R83" s="16">
        <f t="shared" si="13"/>
        <v>-6.9444444444444397E-3</v>
      </c>
      <c r="S83" s="16"/>
      <c r="T83" s="16" t="e">
        <f>VLOOKUP(E83,'[2]21-3-2026'!E$3:T$35,16,FALSE)</f>
        <v>#N/A</v>
      </c>
      <c r="U83" s="16"/>
      <c r="V83" s="16" t="e">
        <f t="shared" si="14"/>
        <v>#N/A</v>
      </c>
      <c r="W83" s="16"/>
      <c r="X83" s="16"/>
      <c r="Y83" s="16"/>
      <c r="Z83" s="16">
        <f t="shared" si="15"/>
        <v>0</v>
      </c>
      <c r="AA83" s="16">
        <f t="shared" si="9"/>
        <v>0</v>
      </c>
      <c r="AB83" s="16"/>
      <c r="AC83" s="17"/>
      <c r="AD83" s="51"/>
    </row>
    <row r="84" spans="1:30" ht="19.5" thickBot="1" x14ac:dyDescent="0.3">
      <c r="A84" s="14">
        <v>17</v>
      </c>
      <c r="B84" s="15"/>
      <c r="C84" s="15" t="e">
        <f>VLOOKUP(B84,داتا!$B$3:$D$107,2,FALSE)</f>
        <v>#N/A</v>
      </c>
      <c r="D84" s="34" t="e">
        <f>VLOOKUP(B84,داتا!$B$3:$D$107,3,FALSE)</f>
        <v>#N/A</v>
      </c>
      <c r="E84" s="15"/>
      <c r="F84" s="15"/>
      <c r="G84" s="16">
        <v>8.3333333333333329E-2</v>
      </c>
      <c r="H84" s="16" t="e">
        <f t="shared" si="16"/>
        <v>#N/A</v>
      </c>
      <c r="I84" s="16" t="e">
        <f t="shared" si="10"/>
        <v>#N/A</v>
      </c>
      <c r="J84" s="16"/>
      <c r="K84" s="16"/>
      <c r="L84" s="16"/>
      <c r="M84" s="16"/>
      <c r="N84" s="16">
        <f t="shared" si="11"/>
        <v>0</v>
      </c>
      <c r="O84" s="16" t="e">
        <f t="shared" si="12"/>
        <v>#N/A</v>
      </c>
      <c r="P84" s="16">
        <v>6.9444444444444397E-3</v>
      </c>
      <c r="Q84" s="16"/>
      <c r="R84" s="16">
        <f t="shared" si="13"/>
        <v>-6.9444444444444397E-3</v>
      </c>
      <c r="S84" s="16"/>
      <c r="T84" s="16" t="e">
        <f>VLOOKUP(E84,'[2]21-3-2026'!E$3:T$35,16,FALSE)</f>
        <v>#N/A</v>
      </c>
      <c r="U84" s="16"/>
      <c r="V84" s="16" t="e">
        <f t="shared" si="14"/>
        <v>#N/A</v>
      </c>
      <c r="W84" s="16"/>
      <c r="X84" s="16"/>
      <c r="Y84" s="16"/>
      <c r="Z84" s="16">
        <f t="shared" si="15"/>
        <v>0</v>
      </c>
      <c r="AA84" s="16">
        <f t="shared" si="9"/>
        <v>0</v>
      </c>
      <c r="AB84" s="16"/>
      <c r="AC84" s="17"/>
      <c r="AD84" s="51"/>
    </row>
    <row r="85" spans="1:30" ht="19.5" thickBot="1" x14ac:dyDescent="0.3">
      <c r="A85" s="14">
        <v>18</v>
      </c>
      <c r="B85" s="15"/>
      <c r="C85" s="15" t="e">
        <f>VLOOKUP(B85,داتا!$B$3:$D$107,2,FALSE)</f>
        <v>#N/A</v>
      </c>
      <c r="D85" s="34" t="e">
        <f>VLOOKUP(B85,داتا!$B$3:$D$107,3,FALSE)</f>
        <v>#N/A</v>
      </c>
      <c r="E85" s="15"/>
      <c r="F85" s="15"/>
      <c r="G85" s="16">
        <v>8.3333333333333329E-2</v>
      </c>
      <c r="H85" s="16" t="e">
        <f t="shared" ref="H85:H99" si="17">VLOOKUP(G85,$F$3:$I$35,2,FALSE)</f>
        <v>#N/A</v>
      </c>
      <c r="I85" s="16" t="e">
        <f t="shared" si="10"/>
        <v>#N/A</v>
      </c>
      <c r="J85" s="16"/>
      <c r="K85" s="16"/>
      <c r="L85" s="16"/>
      <c r="M85" s="16"/>
      <c r="N85" s="16">
        <f t="shared" si="11"/>
        <v>0</v>
      </c>
      <c r="O85" s="16" t="e">
        <f t="shared" si="12"/>
        <v>#N/A</v>
      </c>
      <c r="P85" s="16">
        <v>6.9444444444444397E-3</v>
      </c>
      <c r="Q85" s="16"/>
      <c r="R85" s="16">
        <f t="shared" si="13"/>
        <v>-6.9444444444444397E-3</v>
      </c>
      <c r="S85" s="16"/>
      <c r="T85" s="16" t="e">
        <f>VLOOKUP(E85,'[2]21-3-2026'!E$3:T$35,16,FALSE)</f>
        <v>#N/A</v>
      </c>
      <c r="U85" s="16"/>
      <c r="V85" s="16" t="e">
        <f t="shared" si="14"/>
        <v>#N/A</v>
      </c>
      <c r="W85" s="16"/>
      <c r="X85" s="16"/>
      <c r="Y85" s="16"/>
      <c r="Z85" s="16">
        <f t="shared" si="15"/>
        <v>0</v>
      </c>
      <c r="AA85" s="16">
        <f t="shared" si="9"/>
        <v>0</v>
      </c>
      <c r="AB85" s="16"/>
      <c r="AC85" s="17"/>
      <c r="AD85" s="51"/>
    </row>
    <row r="86" spans="1:30" ht="19.5" thickBot="1" x14ac:dyDescent="0.3">
      <c r="A86" s="14">
        <v>19</v>
      </c>
      <c r="B86" s="15"/>
      <c r="C86" s="15" t="e">
        <f>VLOOKUP(B86,داتا!$B$3:$D$107,2,FALSE)</f>
        <v>#N/A</v>
      </c>
      <c r="D86" s="34" t="e">
        <f>VLOOKUP(B86,داتا!$B$3:$D$107,3,FALSE)</f>
        <v>#N/A</v>
      </c>
      <c r="E86" s="15"/>
      <c r="F86" s="15"/>
      <c r="G86" s="16">
        <v>8.3333333333333329E-2</v>
      </c>
      <c r="H86" s="16" t="e">
        <f t="shared" si="17"/>
        <v>#N/A</v>
      </c>
      <c r="I86" s="16" t="e">
        <f t="shared" si="10"/>
        <v>#N/A</v>
      </c>
      <c r="J86" s="16"/>
      <c r="K86" s="16"/>
      <c r="L86" s="16"/>
      <c r="M86" s="16"/>
      <c r="N86" s="16">
        <f t="shared" si="11"/>
        <v>0</v>
      </c>
      <c r="O86" s="16" t="e">
        <f t="shared" si="12"/>
        <v>#N/A</v>
      </c>
      <c r="P86" s="16">
        <v>6.9444444444444397E-3</v>
      </c>
      <c r="Q86" s="16"/>
      <c r="R86" s="16">
        <f t="shared" si="13"/>
        <v>-6.9444444444444397E-3</v>
      </c>
      <c r="S86" s="16"/>
      <c r="T86" s="16" t="e">
        <f>VLOOKUP(E86,'[2]21-3-2026'!E$3:T$35,16,FALSE)</f>
        <v>#N/A</v>
      </c>
      <c r="U86" s="16"/>
      <c r="V86" s="16" t="e">
        <f t="shared" si="14"/>
        <v>#N/A</v>
      </c>
      <c r="W86" s="16"/>
      <c r="X86" s="16"/>
      <c r="Y86" s="16"/>
      <c r="Z86" s="16">
        <f t="shared" si="15"/>
        <v>0</v>
      </c>
      <c r="AA86" s="16">
        <f t="shared" si="9"/>
        <v>0</v>
      </c>
      <c r="AB86" s="16"/>
      <c r="AC86" s="17"/>
      <c r="AD86" s="51"/>
    </row>
    <row r="87" spans="1:30" ht="19.5" thickBot="1" x14ac:dyDescent="0.3">
      <c r="A87" s="14">
        <v>20</v>
      </c>
      <c r="B87" s="15"/>
      <c r="C87" s="15" t="e">
        <f>VLOOKUP(B87,داتا!$B$3:$D$107,2,FALSE)</f>
        <v>#N/A</v>
      </c>
      <c r="D87" s="34" t="e">
        <f>VLOOKUP(B87,داتا!$B$3:$D$107,3,FALSE)</f>
        <v>#N/A</v>
      </c>
      <c r="E87" s="15"/>
      <c r="F87" s="15"/>
      <c r="G87" s="16">
        <v>8.3333333333333329E-2</v>
      </c>
      <c r="H87" s="16" t="e">
        <f t="shared" si="17"/>
        <v>#N/A</v>
      </c>
      <c r="I87" s="16" t="e">
        <f t="shared" si="10"/>
        <v>#N/A</v>
      </c>
      <c r="J87" s="16"/>
      <c r="K87" s="16"/>
      <c r="L87" s="16"/>
      <c r="M87" s="16"/>
      <c r="N87" s="16">
        <f t="shared" si="11"/>
        <v>0</v>
      </c>
      <c r="O87" s="16" t="e">
        <f t="shared" si="12"/>
        <v>#N/A</v>
      </c>
      <c r="P87" s="16">
        <v>6.9444444444444397E-3</v>
      </c>
      <c r="Q87" s="16"/>
      <c r="R87" s="16">
        <f t="shared" si="13"/>
        <v>-6.9444444444444397E-3</v>
      </c>
      <c r="S87" s="16"/>
      <c r="T87" s="16" t="e">
        <f>VLOOKUP(E87,'[2]21-3-2026'!E$3:T$35,16,FALSE)</f>
        <v>#N/A</v>
      </c>
      <c r="U87" s="16"/>
      <c r="V87" s="16" t="e">
        <f t="shared" si="14"/>
        <v>#N/A</v>
      </c>
      <c r="W87" s="16"/>
      <c r="X87" s="16"/>
      <c r="Y87" s="16"/>
      <c r="Z87" s="16">
        <f t="shared" si="15"/>
        <v>0</v>
      </c>
      <c r="AA87" s="16">
        <f t="shared" si="9"/>
        <v>0</v>
      </c>
      <c r="AB87" s="16"/>
      <c r="AC87" s="17"/>
      <c r="AD87" s="51"/>
    </row>
    <row r="88" spans="1:30" ht="19.5" thickBot="1" x14ac:dyDescent="0.3">
      <c r="A88" s="14">
        <v>21</v>
      </c>
      <c r="B88" s="15"/>
      <c r="C88" s="15" t="e">
        <f>VLOOKUP(B88,داتا!$B$3:$D$107,2,FALSE)</f>
        <v>#N/A</v>
      </c>
      <c r="D88" s="34" t="e">
        <f>VLOOKUP(B88,داتا!$B$3:$D$107,3,FALSE)</f>
        <v>#N/A</v>
      </c>
      <c r="E88" s="15"/>
      <c r="F88" s="15"/>
      <c r="G88" s="16">
        <v>8.3333333333333329E-2</v>
      </c>
      <c r="H88" s="16" t="e">
        <f t="shared" si="17"/>
        <v>#N/A</v>
      </c>
      <c r="I88" s="16" t="e">
        <f t="shared" si="10"/>
        <v>#N/A</v>
      </c>
      <c r="J88" s="16"/>
      <c r="K88" s="16"/>
      <c r="L88" s="16"/>
      <c r="M88" s="16"/>
      <c r="N88" s="16">
        <f t="shared" si="11"/>
        <v>0</v>
      </c>
      <c r="O88" s="16" t="e">
        <f t="shared" si="12"/>
        <v>#N/A</v>
      </c>
      <c r="P88" s="16">
        <v>6.9444444444444397E-3</v>
      </c>
      <c r="Q88" s="16"/>
      <c r="R88" s="16">
        <f t="shared" si="13"/>
        <v>-6.9444444444444397E-3</v>
      </c>
      <c r="S88" s="16"/>
      <c r="T88" s="16" t="e">
        <f>VLOOKUP(E88,'[2]21-3-2026'!E$3:T$35,16,FALSE)</f>
        <v>#N/A</v>
      </c>
      <c r="U88" s="16"/>
      <c r="V88" s="16" t="e">
        <f t="shared" si="14"/>
        <v>#N/A</v>
      </c>
      <c r="W88" s="16"/>
      <c r="X88" s="16"/>
      <c r="Y88" s="16"/>
      <c r="Z88" s="16">
        <f t="shared" si="15"/>
        <v>0</v>
      </c>
      <c r="AA88" s="16">
        <f t="shared" si="9"/>
        <v>0</v>
      </c>
      <c r="AB88" s="16"/>
      <c r="AC88" s="19"/>
      <c r="AD88" s="51"/>
    </row>
    <row r="89" spans="1:30" ht="19.5" thickBot="1" x14ac:dyDescent="0.3">
      <c r="A89" s="14">
        <v>22</v>
      </c>
      <c r="B89" s="15"/>
      <c r="C89" s="15" t="e">
        <f>VLOOKUP(B89,داتا!$B$3:$D$107,2,FALSE)</f>
        <v>#N/A</v>
      </c>
      <c r="D89" s="34" t="e">
        <f>VLOOKUP(B89,داتا!$B$3:$D$107,3,FALSE)</f>
        <v>#N/A</v>
      </c>
      <c r="E89" s="15"/>
      <c r="F89" s="15"/>
      <c r="G89" s="16">
        <v>8.3333333333333329E-2</v>
      </c>
      <c r="H89" s="16" t="e">
        <f t="shared" si="17"/>
        <v>#N/A</v>
      </c>
      <c r="I89" s="16" t="e">
        <f t="shared" si="10"/>
        <v>#N/A</v>
      </c>
      <c r="J89" s="16"/>
      <c r="K89" s="16"/>
      <c r="L89" s="16"/>
      <c r="M89" s="16"/>
      <c r="N89" s="16">
        <f t="shared" si="11"/>
        <v>0</v>
      </c>
      <c r="O89" s="16" t="e">
        <f t="shared" si="12"/>
        <v>#N/A</v>
      </c>
      <c r="P89" s="16">
        <v>6.9444444444444397E-3</v>
      </c>
      <c r="Q89" s="16"/>
      <c r="R89" s="16">
        <f t="shared" si="13"/>
        <v>-6.9444444444444397E-3</v>
      </c>
      <c r="S89" s="16"/>
      <c r="T89" s="16" t="e">
        <f>VLOOKUP(E89,'[2]21-3-2026'!E$3:T$35,16,FALSE)</f>
        <v>#N/A</v>
      </c>
      <c r="U89" s="16"/>
      <c r="V89" s="16" t="e">
        <f t="shared" si="14"/>
        <v>#N/A</v>
      </c>
      <c r="W89" s="16"/>
      <c r="X89" s="16"/>
      <c r="Y89" s="16"/>
      <c r="Z89" s="16">
        <f t="shared" si="15"/>
        <v>0</v>
      </c>
      <c r="AA89" s="16">
        <f t="shared" si="9"/>
        <v>0</v>
      </c>
      <c r="AB89" s="16"/>
      <c r="AC89" s="19"/>
      <c r="AD89" s="51"/>
    </row>
    <row r="90" spans="1:30" ht="19.5" thickBot="1" x14ac:dyDescent="0.3">
      <c r="A90" s="14">
        <v>23</v>
      </c>
      <c r="B90" s="15"/>
      <c r="C90" s="15" t="e">
        <f>VLOOKUP(B90,داتا!$B$3:$D$107,2,FALSE)</f>
        <v>#N/A</v>
      </c>
      <c r="D90" s="34" t="e">
        <f>VLOOKUP(B90,داتا!$B$3:$D$107,3,FALSE)</f>
        <v>#N/A</v>
      </c>
      <c r="E90" s="15"/>
      <c r="F90" s="15"/>
      <c r="G90" s="16">
        <v>8.3333333333333329E-2</v>
      </c>
      <c r="H90" s="16" t="e">
        <f t="shared" si="17"/>
        <v>#N/A</v>
      </c>
      <c r="I90" s="16" t="e">
        <f t="shared" si="10"/>
        <v>#N/A</v>
      </c>
      <c r="J90" s="16"/>
      <c r="K90" s="16"/>
      <c r="L90" s="16"/>
      <c r="M90" s="16"/>
      <c r="N90" s="16">
        <f t="shared" si="11"/>
        <v>0</v>
      </c>
      <c r="O90" s="16" t="e">
        <f t="shared" si="12"/>
        <v>#N/A</v>
      </c>
      <c r="P90" s="16">
        <v>6.9444444444444397E-3</v>
      </c>
      <c r="Q90" s="16"/>
      <c r="R90" s="16">
        <f t="shared" si="13"/>
        <v>-6.9444444444444397E-3</v>
      </c>
      <c r="S90" s="16"/>
      <c r="T90" s="16" t="e">
        <f>VLOOKUP(E90,'[2]21-3-2026'!E$3:T$35,16,FALSE)</f>
        <v>#N/A</v>
      </c>
      <c r="U90" s="16"/>
      <c r="V90" s="16" t="e">
        <f t="shared" si="14"/>
        <v>#N/A</v>
      </c>
      <c r="W90" s="16"/>
      <c r="X90" s="16"/>
      <c r="Y90" s="16"/>
      <c r="Z90" s="16">
        <f t="shared" si="15"/>
        <v>0</v>
      </c>
      <c r="AA90" s="16">
        <f t="shared" si="9"/>
        <v>0</v>
      </c>
      <c r="AB90" s="16"/>
      <c r="AC90" s="19"/>
      <c r="AD90" s="51"/>
    </row>
    <row r="91" spans="1:30" ht="19.5" thickBot="1" x14ac:dyDescent="0.3">
      <c r="A91" s="14">
        <v>24</v>
      </c>
      <c r="B91" s="15"/>
      <c r="C91" s="15" t="e">
        <f>VLOOKUP(B91,داتا!$B$3:$D$107,2,FALSE)</f>
        <v>#N/A</v>
      </c>
      <c r="D91" s="34" t="e">
        <f>VLOOKUP(B91,داتا!$B$3:$D$107,3,FALSE)</f>
        <v>#N/A</v>
      </c>
      <c r="E91" s="15"/>
      <c r="F91" s="15"/>
      <c r="G91" s="16">
        <v>8.3333333333333329E-2</v>
      </c>
      <c r="H91" s="16" t="e">
        <f t="shared" si="17"/>
        <v>#N/A</v>
      </c>
      <c r="I91" s="16" t="e">
        <f t="shared" si="10"/>
        <v>#N/A</v>
      </c>
      <c r="J91" s="16"/>
      <c r="K91" s="16"/>
      <c r="L91" s="16"/>
      <c r="M91" s="16"/>
      <c r="N91" s="16">
        <f t="shared" si="11"/>
        <v>0</v>
      </c>
      <c r="O91" s="16" t="e">
        <f t="shared" si="12"/>
        <v>#N/A</v>
      </c>
      <c r="P91" s="16">
        <v>6.9444444444444397E-3</v>
      </c>
      <c r="Q91" s="16"/>
      <c r="R91" s="16">
        <f t="shared" si="13"/>
        <v>-6.9444444444444397E-3</v>
      </c>
      <c r="S91" s="16"/>
      <c r="T91" s="16" t="e">
        <f>VLOOKUP(E91,'[2]21-3-2026'!E$3:T$35,16,FALSE)</f>
        <v>#N/A</v>
      </c>
      <c r="U91" s="16"/>
      <c r="V91" s="16" t="e">
        <f t="shared" si="14"/>
        <v>#N/A</v>
      </c>
      <c r="W91" s="16"/>
      <c r="X91" s="16"/>
      <c r="Y91" s="16"/>
      <c r="Z91" s="16">
        <f t="shared" si="15"/>
        <v>0</v>
      </c>
      <c r="AA91" s="16">
        <f t="shared" si="9"/>
        <v>0</v>
      </c>
      <c r="AB91" s="16"/>
      <c r="AC91" s="19"/>
      <c r="AD91" s="51"/>
    </row>
    <row r="92" spans="1:30" ht="19.5" thickBot="1" x14ac:dyDescent="0.3">
      <c r="A92" s="14">
        <v>25</v>
      </c>
      <c r="B92" s="15"/>
      <c r="C92" s="15" t="e">
        <f>VLOOKUP(B92,داتا!$B$3:$D$107,2,FALSE)</f>
        <v>#N/A</v>
      </c>
      <c r="D92" s="34" t="e">
        <f>VLOOKUP(B92,داتا!$B$3:$D$107,3,FALSE)</f>
        <v>#N/A</v>
      </c>
      <c r="E92" s="15"/>
      <c r="F92" s="15"/>
      <c r="G92" s="16">
        <v>8.3333333333333329E-2</v>
      </c>
      <c r="H92" s="16" t="e">
        <f t="shared" si="17"/>
        <v>#N/A</v>
      </c>
      <c r="I92" s="16" t="e">
        <f t="shared" si="10"/>
        <v>#N/A</v>
      </c>
      <c r="J92" s="16"/>
      <c r="K92" s="16"/>
      <c r="L92" s="16"/>
      <c r="M92" s="16"/>
      <c r="N92" s="16">
        <f t="shared" si="11"/>
        <v>0</v>
      </c>
      <c r="O92" s="16" t="e">
        <f t="shared" si="12"/>
        <v>#N/A</v>
      </c>
      <c r="P92" s="16">
        <v>6.9444444444444397E-3</v>
      </c>
      <c r="Q92" s="16"/>
      <c r="R92" s="16">
        <f t="shared" si="13"/>
        <v>-6.9444444444444397E-3</v>
      </c>
      <c r="S92" s="16"/>
      <c r="T92" s="16" t="e">
        <f>VLOOKUP(E92,'[2]21-3-2026'!E$3:T$35,16,FALSE)</f>
        <v>#N/A</v>
      </c>
      <c r="U92" s="16"/>
      <c r="V92" s="16" t="e">
        <f t="shared" si="14"/>
        <v>#N/A</v>
      </c>
      <c r="W92" s="16"/>
      <c r="X92" s="16"/>
      <c r="Y92" s="16"/>
      <c r="Z92" s="16">
        <f t="shared" si="15"/>
        <v>0</v>
      </c>
      <c r="AA92" s="16">
        <f t="shared" si="9"/>
        <v>0</v>
      </c>
      <c r="AB92" s="16"/>
      <c r="AC92" s="19"/>
      <c r="AD92" s="51"/>
    </row>
    <row r="93" spans="1:30" ht="19.5" thickBot="1" x14ac:dyDescent="0.3">
      <c r="A93" s="14">
        <v>26</v>
      </c>
      <c r="B93" s="15"/>
      <c r="C93" s="15" t="e">
        <f>VLOOKUP(B93,داتا!$B$3:$D$107,2,FALSE)</f>
        <v>#N/A</v>
      </c>
      <c r="D93" s="34" t="e">
        <f>VLOOKUP(B93,داتا!$B$3:$D$107,3,FALSE)</f>
        <v>#N/A</v>
      </c>
      <c r="E93" s="15"/>
      <c r="F93" s="15"/>
      <c r="G93" s="16">
        <v>8.3333333333333329E-2</v>
      </c>
      <c r="H93" s="16" t="e">
        <f t="shared" si="17"/>
        <v>#N/A</v>
      </c>
      <c r="I93" s="16" t="e">
        <f t="shared" si="10"/>
        <v>#N/A</v>
      </c>
      <c r="J93" s="16"/>
      <c r="K93" s="16"/>
      <c r="L93" s="16"/>
      <c r="M93" s="16"/>
      <c r="N93" s="16">
        <f t="shared" si="11"/>
        <v>0</v>
      </c>
      <c r="O93" s="16" t="e">
        <f t="shared" si="12"/>
        <v>#N/A</v>
      </c>
      <c r="P93" s="16">
        <v>6.9444444444444397E-3</v>
      </c>
      <c r="Q93" s="16"/>
      <c r="R93" s="16">
        <f t="shared" si="13"/>
        <v>-6.9444444444444397E-3</v>
      </c>
      <c r="S93" s="16"/>
      <c r="T93" s="16" t="e">
        <f>VLOOKUP(E93,'[2]21-3-2026'!E$3:T$35,16,FALSE)</f>
        <v>#N/A</v>
      </c>
      <c r="U93" s="16"/>
      <c r="V93" s="16" t="e">
        <f t="shared" si="14"/>
        <v>#N/A</v>
      </c>
      <c r="W93" s="16"/>
      <c r="X93" s="16"/>
      <c r="Y93" s="16"/>
      <c r="Z93" s="16">
        <f t="shared" si="15"/>
        <v>0</v>
      </c>
      <c r="AA93" s="16">
        <f t="shared" si="9"/>
        <v>0</v>
      </c>
      <c r="AB93" s="16"/>
      <c r="AC93" s="19"/>
      <c r="AD93" s="51"/>
    </row>
    <row r="94" spans="1:30" ht="19.5" thickBot="1" x14ac:dyDescent="0.3">
      <c r="A94" s="14">
        <v>27</v>
      </c>
      <c r="B94" s="15"/>
      <c r="C94" s="15" t="e">
        <f>VLOOKUP(B94,داتا!$B$3:$D$107,2,FALSE)</f>
        <v>#N/A</v>
      </c>
      <c r="D94" s="34" t="e">
        <f>VLOOKUP(B94,داتا!$B$3:$D$107,3,FALSE)</f>
        <v>#N/A</v>
      </c>
      <c r="E94" s="15"/>
      <c r="F94" s="15"/>
      <c r="G94" s="16">
        <v>8.3333333333333329E-2</v>
      </c>
      <c r="H94" s="16" t="e">
        <f t="shared" si="17"/>
        <v>#N/A</v>
      </c>
      <c r="I94" s="16" t="e">
        <f t="shared" si="10"/>
        <v>#N/A</v>
      </c>
      <c r="J94" s="16"/>
      <c r="K94" s="16"/>
      <c r="L94" s="16"/>
      <c r="M94" s="16"/>
      <c r="N94" s="16">
        <f t="shared" si="11"/>
        <v>0</v>
      </c>
      <c r="O94" s="16" t="e">
        <f t="shared" si="12"/>
        <v>#N/A</v>
      </c>
      <c r="P94" s="16">
        <v>6.9444444444444397E-3</v>
      </c>
      <c r="Q94" s="16"/>
      <c r="R94" s="16">
        <f t="shared" si="13"/>
        <v>-6.9444444444444397E-3</v>
      </c>
      <c r="S94" s="16"/>
      <c r="T94" s="16" t="e">
        <f>VLOOKUP(E94,'[2]21-3-2026'!E$3:T$35,16,FALSE)</f>
        <v>#N/A</v>
      </c>
      <c r="U94" s="16"/>
      <c r="V94" s="16" t="e">
        <f t="shared" si="14"/>
        <v>#N/A</v>
      </c>
      <c r="W94" s="16"/>
      <c r="X94" s="16"/>
      <c r="Y94" s="16"/>
      <c r="Z94" s="16">
        <f t="shared" si="15"/>
        <v>0</v>
      </c>
      <c r="AA94" s="16">
        <f t="shared" si="9"/>
        <v>0</v>
      </c>
      <c r="AB94" s="16"/>
      <c r="AC94" s="19"/>
      <c r="AD94" s="51"/>
    </row>
    <row r="95" spans="1:30" ht="19.5" thickBot="1" x14ac:dyDescent="0.3">
      <c r="A95" s="14">
        <v>28</v>
      </c>
      <c r="B95" s="15"/>
      <c r="C95" s="15" t="e">
        <f>VLOOKUP(B95,داتا!$B$3:$D$107,2,FALSE)</f>
        <v>#N/A</v>
      </c>
      <c r="D95" s="34" t="e">
        <f>VLOOKUP(B95,داتا!$B$3:$D$107,3,FALSE)</f>
        <v>#N/A</v>
      </c>
      <c r="E95" s="15"/>
      <c r="F95" s="16"/>
      <c r="G95" s="16">
        <v>8.3333333333333329E-2</v>
      </c>
      <c r="H95" s="16" t="e">
        <f t="shared" si="17"/>
        <v>#N/A</v>
      </c>
      <c r="I95" s="16" t="e">
        <f t="shared" si="10"/>
        <v>#N/A</v>
      </c>
      <c r="J95" s="16"/>
      <c r="K95" s="16"/>
      <c r="L95" s="16"/>
      <c r="M95" s="16"/>
      <c r="N95" s="16">
        <f t="shared" si="11"/>
        <v>0</v>
      </c>
      <c r="O95" s="16" t="e">
        <f t="shared" si="12"/>
        <v>#N/A</v>
      </c>
      <c r="P95" s="16">
        <v>6.9444444444444397E-3</v>
      </c>
      <c r="Q95" s="16"/>
      <c r="R95" s="16">
        <f t="shared" si="13"/>
        <v>-6.9444444444444397E-3</v>
      </c>
      <c r="S95" s="16"/>
      <c r="T95" s="16" t="e">
        <f>VLOOKUP(E95,'[2]21-3-2026'!E$3:T$35,16,FALSE)</f>
        <v>#N/A</v>
      </c>
      <c r="U95" s="16"/>
      <c r="V95" s="16" t="e">
        <f t="shared" si="14"/>
        <v>#N/A</v>
      </c>
      <c r="W95" s="16"/>
      <c r="X95" s="16"/>
      <c r="Y95" s="16"/>
      <c r="Z95" s="16">
        <f t="shared" si="15"/>
        <v>0</v>
      </c>
      <c r="AA95" s="16">
        <f t="shared" si="9"/>
        <v>0</v>
      </c>
      <c r="AB95" s="16"/>
      <c r="AC95" s="19"/>
      <c r="AD95" s="51"/>
    </row>
    <row r="96" spans="1:30" ht="19.5" thickBot="1" x14ac:dyDescent="0.3">
      <c r="A96" s="14">
        <v>29</v>
      </c>
      <c r="B96" s="15"/>
      <c r="C96" s="15" t="e">
        <f>VLOOKUP(B96,داتا!$B$3:$D$107,2,FALSE)</f>
        <v>#N/A</v>
      </c>
      <c r="D96" s="34" t="e">
        <f>VLOOKUP(B96,داتا!$B$3:$D$107,3,FALSE)</f>
        <v>#N/A</v>
      </c>
      <c r="E96" s="15"/>
      <c r="F96" s="16"/>
      <c r="G96" s="16">
        <v>8.3333333333333329E-2</v>
      </c>
      <c r="H96" s="16" t="e">
        <f t="shared" si="17"/>
        <v>#N/A</v>
      </c>
      <c r="I96" s="16" t="e">
        <f t="shared" si="10"/>
        <v>#N/A</v>
      </c>
      <c r="J96" s="16"/>
      <c r="K96" s="16"/>
      <c r="L96" s="16"/>
      <c r="M96" s="16"/>
      <c r="N96" s="16">
        <f t="shared" si="11"/>
        <v>0</v>
      </c>
      <c r="O96" s="16" t="e">
        <f t="shared" si="12"/>
        <v>#N/A</v>
      </c>
      <c r="P96" s="16">
        <v>6.9444444444444397E-3</v>
      </c>
      <c r="Q96" s="16"/>
      <c r="R96" s="16">
        <f t="shared" si="13"/>
        <v>-6.9444444444444397E-3</v>
      </c>
      <c r="S96" s="16"/>
      <c r="T96" s="16" t="e">
        <f>VLOOKUP(E96,'[2]21-3-2026'!E$3:T$35,16,FALSE)</f>
        <v>#N/A</v>
      </c>
      <c r="U96" s="16"/>
      <c r="V96" s="16" t="e">
        <f t="shared" si="14"/>
        <v>#N/A</v>
      </c>
      <c r="W96" s="16"/>
      <c r="X96" s="16"/>
      <c r="Y96" s="16"/>
      <c r="Z96" s="16">
        <f t="shared" si="15"/>
        <v>0</v>
      </c>
      <c r="AA96" s="16">
        <f t="shared" si="9"/>
        <v>0</v>
      </c>
      <c r="AB96" s="16"/>
      <c r="AC96" s="19"/>
      <c r="AD96" s="54"/>
    </row>
    <row r="97" spans="1:29" ht="19.5" thickBot="1" x14ac:dyDescent="0.3">
      <c r="A97" s="14">
        <v>30</v>
      </c>
      <c r="B97" s="15"/>
      <c r="C97" s="15" t="e">
        <f>VLOOKUP(B97,داتا!$B$3:$D$107,2,FALSE)</f>
        <v>#N/A</v>
      </c>
      <c r="D97" s="34" t="e">
        <f>VLOOKUP(B97,داتا!$B$3:$D$107,3,FALSE)</f>
        <v>#N/A</v>
      </c>
      <c r="E97" s="15"/>
      <c r="F97" s="16"/>
      <c r="G97" s="16">
        <v>8.3333333333333329E-2</v>
      </c>
      <c r="H97" s="16" t="e">
        <f t="shared" si="17"/>
        <v>#N/A</v>
      </c>
      <c r="I97" s="16" t="e">
        <f t="shared" si="10"/>
        <v>#N/A</v>
      </c>
      <c r="J97" s="16"/>
      <c r="K97" s="16"/>
      <c r="L97" s="16"/>
      <c r="M97" s="16"/>
      <c r="N97" s="16">
        <f t="shared" si="11"/>
        <v>0</v>
      </c>
      <c r="O97" s="16" t="e">
        <f t="shared" si="12"/>
        <v>#N/A</v>
      </c>
      <c r="P97" s="16">
        <v>6.9444444444444397E-3</v>
      </c>
      <c r="Q97" s="16"/>
      <c r="R97" s="16">
        <f t="shared" si="13"/>
        <v>-6.9444444444444397E-3</v>
      </c>
      <c r="S97" s="16"/>
      <c r="T97" s="16" t="e">
        <f>VLOOKUP(E97,'[2]21-3-2026'!E$3:T$35,16,FALSE)</f>
        <v>#N/A</v>
      </c>
      <c r="U97" s="16"/>
      <c r="V97" s="16" t="e">
        <f t="shared" si="14"/>
        <v>#N/A</v>
      </c>
      <c r="W97" s="16"/>
      <c r="X97" s="16"/>
      <c r="Y97" s="16"/>
      <c r="Z97" s="16">
        <f t="shared" si="15"/>
        <v>0</v>
      </c>
      <c r="AA97" s="16">
        <f t="shared" si="9"/>
        <v>0</v>
      </c>
      <c r="AB97" s="16"/>
      <c r="AC97" s="19"/>
    </row>
    <row r="98" spans="1:29" ht="19.5" thickBot="1" x14ac:dyDescent="0.3">
      <c r="A98" s="14">
        <v>31</v>
      </c>
      <c r="B98" s="15"/>
      <c r="C98" s="15" t="e">
        <f>VLOOKUP(B98,داتا!$B$3:$D$107,2,FALSE)</f>
        <v>#N/A</v>
      </c>
      <c r="D98" s="34" t="e">
        <f>VLOOKUP(B98,داتا!$B$3:$D$107,3,FALSE)</f>
        <v>#N/A</v>
      </c>
      <c r="E98" s="15"/>
      <c r="F98" s="16"/>
      <c r="G98" s="16">
        <v>8.3333333333333329E-2</v>
      </c>
      <c r="H98" s="16" t="e">
        <f t="shared" si="17"/>
        <v>#N/A</v>
      </c>
      <c r="I98" s="16" t="e">
        <f t="shared" si="10"/>
        <v>#N/A</v>
      </c>
      <c r="J98" s="16"/>
      <c r="K98" s="16"/>
      <c r="L98" s="16"/>
      <c r="M98" s="16"/>
      <c r="N98" s="16">
        <f t="shared" si="11"/>
        <v>0</v>
      </c>
      <c r="O98" s="16" t="e">
        <f t="shared" si="12"/>
        <v>#N/A</v>
      </c>
      <c r="P98" s="16">
        <v>6.9444444444444397E-3</v>
      </c>
      <c r="Q98" s="16"/>
      <c r="R98" s="16">
        <f t="shared" si="13"/>
        <v>-6.9444444444444397E-3</v>
      </c>
      <c r="S98" s="16"/>
      <c r="T98" s="16" t="e">
        <f>VLOOKUP(E98,'[2]21-3-2026'!E$3:T$35,16,FALSE)</f>
        <v>#N/A</v>
      </c>
      <c r="U98" s="16"/>
      <c r="V98" s="16" t="e">
        <f t="shared" si="14"/>
        <v>#N/A</v>
      </c>
      <c r="W98" s="16"/>
      <c r="X98" s="16"/>
      <c r="Y98" s="16"/>
      <c r="Z98" s="16">
        <f t="shared" si="15"/>
        <v>0</v>
      </c>
      <c r="AA98" s="16">
        <f t="shared" si="9"/>
        <v>0</v>
      </c>
      <c r="AB98" s="16"/>
      <c r="AC98" s="19"/>
    </row>
    <row r="99" spans="1:29" ht="19.5" thickBot="1" x14ac:dyDescent="0.3">
      <c r="A99" s="20">
        <v>32</v>
      </c>
      <c r="B99" s="21"/>
      <c r="C99" s="21" t="e">
        <f>VLOOKUP(B99,داتا!$B$3:$D$107,2,FALSE)</f>
        <v>#N/A</v>
      </c>
      <c r="D99" s="35" t="e">
        <f>VLOOKUP(B99,داتا!$B$3:$D$107,3,FALSE)</f>
        <v>#N/A</v>
      </c>
      <c r="E99" s="21"/>
      <c r="F99" s="22"/>
      <c r="G99" s="22">
        <v>8.3333333333333329E-2</v>
      </c>
      <c r="H99" s="22" t="e">
        <f t="shared" si="17"/>
        <v>#N/A</v>
      </c>
      <c r="I99" s="22" t="e">
        <f t="shared" si="10"/>
        <v>#N/A</v>
      </c>
      <c r="J99" s="22"/>
      <c r="K99" s="22"/>
      <c r="L99" s="22"/>
      <c r="M99" s="22"/>
      <c r="N99" s="22">
        <f t="shared" si="11"/>
        <v>0</v>
      </c>
      <c r="O99" s="22" t="e">
        <f t="shared" si="12"/>
        <v>#N/A</v>
      </c>
      <c r="P99" s="22">
        <v>6.9444444444444397E-3</v>
      </c>
      <c r="Q99" s="22"/>
      <c r="R99" s="22">
        <f t="shared" si="13"/>
        <v>-6.9444444444444397E-3</v>
      </c>
      <c r="S99" s="22"/>
      <c r="T99" s="22" t="e">
        <f>VLOOKUP(E99,'[2]21-3-2026'!E$3:T$35,16,FALSE)</f>
        <v>#N/A</v>
      </c>
      <c r="U99" s="22"/>
      <c r="V99" s="22" t="e">
        <f t="shared" si="14"/>
        <v>#N/A</v>
      </c>
      <c r="W99" s="22"/>
      <c r="X99" s="22"/>
      <c r="Y99" s="22"/>
      <c r="Z99" s="22">
        <f t="shared" si="15"/>
        <v>0</v>
      </c>
      <c r="AA99" s="22">
        <f t="shared" si="9"/>
        <v>0</v>
      </c>
      <c r="AB99" s="22"/>
      <c r="AC99" s="30"/>
    </row>
    <row r="100" spans="1:29" ht="16.5" thickTop="1" x14ac:dyDescent="0.25"/>
  </sheetData>
  <mergeCells count="4">
    <mergeCell ref="A1:AC1"/>
    <mergeCell ref="AD3:AD35"/>
    <mergeCell ref="AD36:AD67"/>
    <mergeCell ref="AD68:AD96"/>
  </mergeCells>
  <conditionalFormatting sqref="AC1:AC96 AC100:AC1048576">
    <cfRule type="containsText" dxfId="179" priority="14" operator="containsText" text="ت">
      <formula>NOT(ISERROR(SEARCH("ت",AC1)))</formula>
    </cfRule>
  </conditionalFormatting>
  <conditionalFormatting sqref="AC4:AC96">
    <cfRule type="containsText" dxfId="178" priority="13" operator="containsText" text="ت">
      <formula>NOT(ISERROR(SEARCH("ت",AC4)))</formula>
    </cfRule>
  </conditionalFormatting>
  <conditionalFormatting sqref="O1:O2 I1:I2 R1:R2 V1:V2 AA100:AA1048576 V100:V1048576 R100:R1048576 O100:O1048576 I100:I1048576 AA1:AA2">
    <cfRule type="cellIs" dxfId="177" priority="15" operator="between">
      <formula>0.00277777777777778</formula>
      <formula>1</formula>
    </cfRule>
  </conditionalFormatting>
  <conditionalFormatting sqref="AC97:AC99">
    <cfRule type="containsText" dxfId="176" priority="12" operator="containsText" text="ت">
      <formula>NOT(ISERROR(SEARCH("ت",AC97)))</formula>
    </cfRule>
  </conditionalFormatting>
  <conditionalFormatting sqref="AC97:AC99">
    <cfRule type="containsText" dxfId="175" priority="11" operator="containsText" text="ت">
      <formula>NOT(ISERROR(SEARCH("ت",AC97)))</formula>
    </cfRule>
  </conditionalFormatting>
  <conditionalFormatting sqref="I3:I99">
    <cfRule type="cellIs" dxfId="174" priority="9" operator="between">
      <formula>0.00277777777777778</formula>
      <formula>1</formula>
    </cfRule>
  </conditionalFormatting>
  <conditionalFormatting sqref="I3:I99">
    <cfRule type="cellIs" dxfId="173" priority="10" operator="between">
      <formula>0.00277777777777778</formula>
      <formula>1</formula>
    </cfRule>
  </conditionalFormatting>
  <conditionalFormatting sqref="O3:O99">
    <cfRule type="cellIs" dxfId="172" priority="7" operator="between">
      <formula>0.00277777777777778</formula>
      <formula>1</formula>
    </cfRule>
  </conditionalFormatting>
  <conditionalFormatting sqref="O3:O99">
    <cfRule type="cellIs" dxfId="171" priority="8" operator="between">
      <formula>0.00277777777777778</formula>
      <formula>1</formula>
    </cfRule>
  </conditionalFormatting>
  <conditionalFormatting sqref="R3:R99">
    <cfRule type="cellIs" dxfId="170" priority="5" operator="between">
      <formula>0.00277777777777778</formula>
      <formula>1</formula>
    </cfRule>
  </conditionalFormatting>
  <conditionalFormatting sqref="R3:R99">
    <cfRule type="cellIs" dxfId="169" priority="6" operator="between">
      <formula>0.00277777777777778</formula>
      <formula>1</formula>
    </cfRule>
  </conditionalFormatting>
  <conditionalFormatting sqref="V3:V99">
    <cfRule type="cellIs" dxfId="168" priority="3" operator="between">
      <formula>0.00277777777777778</formula>
      <formula>1</formula>
    </cfRule>
  </conditionalFormatting>
  <conditionalFormatting sqref="V3:V99">
    <cfRule type="cellIs" dxfId="167" priority="4" operator="between">
      <formula>0.00277777777777778</formula>
      <formula>1</formula>
    </cfRule>
  </conditionalFormatting>
  <conditionalFormatting sqref="AA3:AA99">
    <cfRule type="cellIs" dxfId="166" priority="1" operator="between">
      <formula>0.00277777777777778</formula>
      <formula>1</formula>
    </cfRule>
  </conditionalFormatting>
  <conditionalFormatting sqref="AA3:AA99">
    <cfRule type="cellIs" dxfId="165" priority="2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"/>
  <sheetViews>
    <sheetView rightToLeft="1" workbookViewId="0">
      <pane xSplit="6" ySplit="2" topLeftCell="G68" activePane="bottomRight" state="frozen"/>
      <selection activeCell="A92" sqref="A92"/>
      <selection pane="topRight" activeCell="A92" sqref="A92"/>
      <selection pane="bottomLeft" activeCell="A92" sqref="A92"/>
      <selection pane="bottomRight" activeCell="B92" sqref="B92"/>
    </sheetView>
  </sheetViews>
  <sheetFormatPr defaultColWidth="9" defaultRowHeight="15.75" x14ac:dyDescent="0.25"/>
  <cols>
    <col min="1" max="1" width="5.42578125" customWidth="1"/>
    <col min="2" max="2" width="12.28515625" customWidth="1"/>
    <col min="3" max="3" width="12.5703125" customWidth="1"/>
    <col min="4" max="4" width="16.140625" style="36" customWidth="1"/>
    <col min="5" max="5" width="17.140625" customWidth="1"/>
    <col min="6" max="6" width="20.85546875" customWidth="1"/>
    <col min="7" max="7" width="12.7109375" customWidth="1"/>
    <col min="8" max="9" width="12.85546875" customWidth="1"/>
    <col min="10" max="10" width="12.5703125" customWidth="1"/>
    <col min="11" max="11" width="14.28515625" customWidth="1"/>
    <col min="12" max="12" width="22.7109375" customWidth="1"/>
    <col min="13" max="13" width="18.8554687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3.85546875" style="31" customWidth="1"/>
    <col min="30" max="30" width="11.140625" customWidth="1"/>
  </cols>
  <sheetData>
    <row r="1" spans="1:30" ht="33.75" customHeight="1" thickBot="1" x14ac:dyDescent="0.3">
      <c r="A1" s="46" t="s">
        <v>119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0" ht="49.5" customHeight="1" thickTop="1" thickBot="1" x14ac:dyDescent="0.3">
      <c r="A2" s="1" t="s">
        <v>1</v>
      </c>
      <c r="B2" s="2" t="s">
        <v>2</v>
      </c>
      <c r="C2" s="2" t="s">
        <v>3</v>
      </c>
      <c r="D2" s="3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8" t="s">
        <v>18</v>
      </c>
      <c r="S2" s="2" t="s">
        <v>19</v>
      </c>
      <c r="T2" s="8" t="s">
        <v>20</v>
      </c>
      <c r="U2" s="2" t="s">
        <v>21</v>
      </c>
      <c r="V2" s="8" t="s">
        <v>22</v>
      </c>
      <c r="W2" s="8" t="s">
        <v>23</v>
      </c>
      <c r="X2" s="2" t="s">
        <v>24</v>
      </c>
      <c r="Y2" s="2" t="s">
        <v>25</v>
      </c>
      <c r="Z2" s="2" t="s">
        <v>26</v>
      </c>
      <c r="AA2" s="8" t="s">
        <v>27</v>
      </c>
      <c r="AB2" s="2" t="s">
        <v>28</v>
      </c>
      <c r="AC2" s="9" t="s">
        <v>29</v>
      </c>
    </row>
    <row r="3" spans="1:30" ht="20.25" customHeight="1" thickTop="1" thickBot="1" x14ac:dyDescent="0.3">
      <c r="A3" s="10">
        <v>1</v>
      </c>
      <c r="B3" s="11"/>
      <c r="C3" s="11" t="e">
        <f>VLOOKUP(B3,داتا!$B$3:$D$107,2,FALSE)</f>
        <v>#N/A</v>
      </c>
      <c r="D3" s="33" t="e">
        <f>VLOOKUP(B3,داتا!$B$3:$D$107,3,FALSE)</f>
        <v>#N/A</v>
      </c>
      <c r="E3" s="11"/>
      <c r="F3" s="11"/>
      <c r="G3" s="12">
        <v>0.25</v>
      </c>
      <c r="H3" s="12"/>
      <c r="I3" s="12">
        <f>H3-G3</f>
        <v>-0.25</v>
      </c>
      <c r="J3" s="12"/>
      <c r="K3" s="12"/>
      <c r="L3" s="12"/>
      <c r="M3" s="12"/>
      <c r="N3" s="12">
        <f>K3-J3</f>
        <v>0</v>
      </c>
      <c r="O3" s="12" t="e">
        <f>N3-D3</f>
        <v>#N/A</v>
      </c>
      <c r="P3" s="12">
        <v>6.9444444444444397E-3</v>
      </c>
      <c r="Q3" s="12"/>
      <c r="R3" s="12">
        <f>Q3-P3-K3</f>
        <v>-6.9444444444444397E-3</v>
      </c>
      <c r="S3" s="12"/>
      <c r="T3" s="12" t="e">
        <f>VLOOKUP(E3,'[2]21-3-2026'!E$3:T$35,16,FALSE)</f>
        <v>#N/A</v>
      </c>
      <c r="U3" s="12"/>
      <c r="V3" s="12" t="e">
        <f>U3-T3-S3</f>
        <v>#N/A</v>
      </c>
      <c r="W3" s="12"/>
      <c r="X3" s="12"/>
      <c r="Y3" s="12"/>
      <c r="Z3" s="12">
        <f>Y3-X3</f>
        <v>0</v>
      </c>
      <c r="AA3" s="12">
        <f t="shared" ref="AA3:AA66" si="0">Z3-W3</f>
        <v>0</v>
      </c>
      <c r="AB3" s="12"/>
      <c r="AC3" s="13"/>
      <c r="AD3" s="47" t="s">
        <v>33</v>
      </c>
    </row>
    <row r="4" spans="1:30" ht="19.5" thickBot="1" x14ac:dyDescent="0.3">
      <c r="A4" s="14">
        <v>2</v>
      </c>
      <c r="B4" s="15"/>
      <c r="C4" s="15" t="e">
        <f>VLOOKUP(B4,داتا!$B$3:$D$107,2,FALSE)</f>
        <v>#N/A</v>
      </c>
      <c r="D4" s="34" t="e">
        <f>VLOOKUP(B4,داتا!$B$3:$D$107,3,FALSE)</f>
        <v>#N/A</v>
      </c>
      <c r="E4" s="15"/>
      <c r="F4" s="15"/>
      <c r="G4" s="16">
        <v>0.25</v>
      </c>
      <c r="H4" s="16"/>
      <c r="I4" s="16">
        <f t="shared" ref="I4:I67" si="1">H4-G4</f>
        <v>-0.25</v>
      </c>
      <c r="J4" s="16"/>
      <c r="K4" s="16"/>
      <c r="L4" s="16"/>
      <c r="M4" s="16"/>
      <c r="N4" s="16">
        <f t="shared" ref="N4:N67" si="2">K4-J4</f>
        <v>0</v>
      </c>
      <c r="O4" s="16" t="e">
        <f t="shared" ref="O4:O67" si="3">N4-D4</f>
        <v>#N/A</v>
      </c>
      <c r="P4" s="16">
        <v>6.9444444444444397E-3</v>
      </c>
      <c r="Q4" s="16"/>
      <c r="R4" s="16">
        <f t="shared" ref="R4:R67" si="4">Q4-P4-K4</f>
        <v>-6.9444444444444397E-3</v>
      </c>
      <c r="S4" s="16"/>
      <c r="T4" s="16" t="e">
        <f>VLOOKUP(E4,'[2]21-3-2026'!E$3:T$35,16,FALSE)</f>
        <v>#N/A</v>
      </c>
      <c r="U4" s="16"/>
      <c r="V4" s="16" t="e">
        <f t="shared" ref="V4:V67" si="5">U4-T4-S4</f>
        <v>#N/A</v>
      </c>
      <c r="W4" s="16"/>
      <c r="X4" s="16"/>
      <c r="Y4" s="16"/>
      <c r="Z4" s="16">
        <f t="shared" ref="Z4:Z67" si="6">Y4-X4</f>
        <v>0</v>
      </c>
      <c r="AA4" s="16">
        <f t="shared" si="0"/>
        <v>0</v>
      </c>
      <c r="AB4" s="16"/>
      <c r="AC4" s="17"/>
      <c r="AD4" s="48"/>
    </row>
    <row r="5" spans="1:30" ht="19.5" thickBot="1" x14ac:dyDescent="0.3">
      <c r="A5" s="14">
        <v>3</v>
      </c>
      <c r="B5" s="15"/>
      <c r="C5" s="15" t="e">
        <f>VLOOKUP(B5,داتا!$B$3:$D$107,2,FALSE)</f>
        <v>#N/A</v>
      </c>
      <c r="D5" s="34" t="e">
        <f>VLOOKUP(B5,داتا!$B$3:$D$107,3,FALSE)</f>
        <v>#N/A</v>
      </c>
      <c r="E5" s="15"/>
      <c r="F5" s="15"/>
      <c r="G5" s="16">
        <v>0.25</v>
      </c>
      <c r="H5" s="16"/>
      <c r="I5" s="16">
        <f t="shared" si="1"/>
        <v>-0.25</v>
      </c>
      <c r="J5" s="16"/>
      <c r="K5" s="16"/>
      <c r="L5" s="16"/>
      <c r="M5" s="16"/>
      <c r="N5" s="16">
        <f t="shared" si="2"/>
        <v>0</v>
      </c>
      <c r="O5" s="16" t="e">
        <f t="shared" si="3"/>
        <v>#N/A</v>
      </c>
      <c r="P5" s="16">
        <v>6.9444444444444397E-3</v>
      </c>
      <c r="Q5" s="16"/>
      <c r="R5" s="16">
        <f t="shared" si="4"/>
        <v>-6.9444444444444397E-3</v>
      </c>
      <c r="S5" s="16"/>
      <c r="T5" s="16" t="e">
        <f>VLOOKUP(E5,'[2]21-3-2026'!E$3:T$35,16,FALSE)</f>
        <v>#N/A</v>
      </c>
      <c r="U5" s="16"/>
      <c r="V5" s="16" t="e">
        <f t="shared" si="5"/>
        <v>#N/A</v>
      </c>
      <c r="W5" s="16"/>
      <c r="X5" s="16"/>
      <c r="Y5" s="16"/>
      <c r="Z5" s="16">
        <f t="shared" si="6"/>
        <v>0</v>
      </c>
      <c r="AA5" s="16">
        <f t="shared" si="0"/>
        <v>0</v>
      </c>
      <c r="AB5" s="16"/>
      <c r="AC5" s="17"/>
      <c r="AD5" s="48"/>
    </row>
    <row r="6" spans="1:30" ht="19.5" thickBot="1" x14ac:dyDescent="0.3">
      <c r="A6" s="14">
        <v>4</v>
      </c>
      <c r="B6" s="15"/>
      <c r="C6" s="15" t="e">
        <f>VLOOKUP(B6,داتا!$B$3:$D$107,2,FALSE)</f>
        <v>#N/A</v>
      </c>
      <c r="D6" s="34" t="e">
        <f>VLOOKUP(B6,داتا!$B$3:$D$107,3,FALSE)</f>
        <v>#N/A</v>
      </c>
      <c r="E6" s="15"/>
      <c r="F6" s="15"/>
      <c r="G6" s="16">
        <v>0.25</v>
      </c>
      <c r="H6" s="16"/>
      <c r="I6" s="16">
        <f t="shared" si="1"/>
        <v>-0.25</v>
      </c>
      <c r="J6" s="16"/>
      <c r="K6" s="16"/>
      <c r="L6" s="16"/>
      <c r="M6" s="16"/>
      <c r="N6" s="16">
        <f t="shared" si="2"/>
        <v>0</v>
      </c>
      <c r="O6" s="16" t="e">
        <f t="shared" si="3"/>
        <v>#N/A</v>
      </c>
      <c r="P6" s="16">
        <v>6.9444444444444397E-3</v>
      </c>
      <c r="Q6" s="16"/>
      <c r="R6" s="16">
        <f t="shared" si="4"/>
        <v>-6.9444444444444397E-3</v>
      </c>
      <c r="S6" s="16"/>
      <c r="T6" s="16" t="e">
        <f>VLOOKUP(E6,'[2]21-3-2026'!E$3:T$35,16,FALSE)</f>
        <v>#N/A</v>
      </c>
      <c r="U6" s="16"/>
      <c r="V6" s="16" t="e">
        <f t="shared" si="5"/>
        <v>#N/A</v>
      </c>
      <c r="W6" s="16"/>
      <c r="X6" s="16"/>
      <c r="Y6" s="16"/>
      <c r="Z6" s="16">
        <f t="shared" si="6"/>
        <v>0</v>
      </c>
      <c r="AA6" s="16">
        <f t="shared" si="0"/>
        <v>0</v>
      </c>
      <c r="AB6" s="16"/>
      <c r="AC6" s="17"/>
      <c r="AD6" s="48"/>
    </row>
    <row r="7" spans="1:30" ht="19.5" thickBot="1" x14ac:dyDescent="0.3">
      <c r="A7" s="14">
        <v>5</v>
      </c>
      <c r="B7" s="15"/>
      <c r="C7" s="15" t="e">
        <f>VLOOKUP(B7,داتا!$B$3:$D$107,2,FALSE)</f>
        <v>#N/A</v>
      </c>
      <c r="D7" s="34" t="e">
        <f>VLOOKUP(B7,داتا!$B$3:$D$107,3,FALSE)</f>
        <v>#N/A</v>
      </c>
      <c r="E7" s="15"/>
      <c r="F7" s="15"/>
      <c r="G7" s="16">
        <v>0.25</v>
      </c>
      <c r="H7" s="16"/>
      <c r="I7" s="16">
        <f t="shared" si="1"/>
        <v>-0.25</v>
      </c>
      <c r="J7" s="16"/>
      <c r="K7" s="16"/>
      <c r="L7" s="16"/>
      <c r="M7" s="16"/>
      <c r="N7" s="16">
        <f t="shared" si="2"/>
        <v>0</v>
      </c>
      <c r="O7" s="16" t="e">
        <f t="shared" si="3"/>
        <v>#N/A</v>
      </c>
      <c r="P7" s="16">
        <v>6.9444444444444397E-3</v>
      </c>
      <c r="Q7" s="16"/>
      <c r="R7" s="16">
        <f t="shared" si="4"/>
        <v>-6.9444444444444397E-3</v>
      </c>
      <c r="S7" s="16"/>
      <c r="T7" s="16" t="e">
        <f>VLOOKUP(E7,'[2]21-3-2026'!E$3:T$35,16,FALSE)</f>
        <v>#N/A</v>
      </c>
      <c r="U7" s="16"/>
      <c r="V7" s="16" t="e">
        <f t="shared" si="5"/>
        <v>#N/A</v>
      </c>
      <c r="W7" s="16"/>
      <c r="X7" s="16"/>
      <c r="Y7" s="16"/>
      <c r="Z7" s="16">
        <f t="shared" si="6"/>
        <v>0</v>
      </c>
      <c r="AA7" s="16">
        <f t="shared" si="0"/>
        <v>0</v>
      </c>
      <c r="AB7" s="16"/>
      <c r="AC7" s="17"/>
      <c r="AD7" s="48"/>
    </row>
    <row r="8" spans="1:30" ht="19.5" thickBot="1" x14ac:dyDescent="0.3">
      <c r="A8" s="14">
        <v>6</v>
      </c>
      <c r="B8" s="15"/>
      <c r="C8" s="15" t="e">
        <f>VLOOKUP(B8,داتا!$B$3:$D$107,2,FALSE)</f>
        <v>#N/A</v>
      </c>
      <c r="D8" s="34" t="e">
        <f>VLOOKUP(B8,داتا!$B$3:$D$107,3,FALSE)</f>
        <v>#N/A</v>
      </c>
      <c r="E8" s="15"/>
      <c r="F8" s="15"/>
      <c r="G8" s="16">
        <v>0.25</v>
      </c>
      <c r="H8" s="16"/>
      <c r="I8" s="16">
        <f t="shared" si="1"/>
        <v>-0.25</v>
      </c>
      <c r="J8" s="16"/>
      <c r="K8" s="16"/>
      <c r="L8" s="16"/>
      <c r="M8" s="16"/>
      <c r="N8" s="16">
        <f t="shared" si="2"/>
        <v>0</v>
      </c>
      <c r="O8" s="16" t="e">
        <f t="shared" si="3"/>
        <v>#N/A</v>
      </c>
      <c r="P8" s="16">
        <v>6.9444444444444397E-3</v>
      </c>
      <c r="Q8" s="16"/>
      <c r="R8" s="16">
        <f t="shared" si="4"/>
        <v>-6.9444444444444397E-3</v>
      </c>
      <c r="S8" s="16"/>
      <c r="T8" s="16" t="e">
        <f>VLOOKUP(E8,'[2]21-3-2026'!E$3:T$35,16,FALSE)</f>
        <v>#N/A</v>
      </c>
      <c r="U8" s="16"/>
      <c r="V8" s="16" t="e">
        <f t="shared" si="5"/>
        <v>#N/A</v>
      </c>
      <c r="W8" s="16"/>
      <c r="X8" s="16"/>
      <c r="Y8" s="16"/>
      <c r="Z8" s="16">
        <f t="shared" si="6"/>
        <v>0</v>
      </c>
      <c r="AA8" s="16">
        <f t="shared" si="0"/>
        <v>0</v>
      </c>
      <c r="AB8" s="16"/>
      <c r="AC8" s="18"/>
      <c r="AD8" s="48"/>
    </row>
    <row r="9" spans="1:30" ht="19.5" thickBot="1" x14ac:dyDescent="0.3">
      <c r="A9" s="14">
        <v>7</v>
      </c>
      <c r="B9" s="15"/>
      <c r="C9" s="15" t="e">
        <f>VLOOKUP(B9,داتا!$B$3:$D$107,2,FALSE)</f>
        <v>#N/A</v>
      </c>
      <c r="D9" s="34" t="e">
        <f>VLOOKUP(B9,داتا!$B$3:$D$107,3,FALSE)</f>
        <v>#N/A</v>
      </c>
      <c r="E9" s="15"/>
      <c r="F9" s="15"/>
      <c r="G9" s="16">
        <v>0.25</v>
      </c>
      <c r="H9" s="16"/>
      <c r="I9" s="16">
        <f t="shared" si="1"/>
        <v>-0.25</v>
      </c>
      <c r="J9" s="16"/>
      <c r="K9" s="16"/>
      <c r="L9" s="16"/>
      <c r="M9" s="16"/>
      <c r="N9" s="16">
        <f t="shared" si="2"/>
        <v>0</v>
      </c>
      <c r="O9" s="16" t="e">
        <f t="shared" si="3"/>
        <v>#N/A</v>
      </c>
      <c r="P9" s="16">
        <v>6.9444444444444397E-3</v>
      </c>
      <c r="Q9" s="16"/>
      <c r="R9" s="16">
        <f t="shared" si="4"/>
        <v>-6.9444444444444397E-3</v>
      </c>
      <c r="S9" s="16"/>
      <c r="T9" s="16" t="e">
        <f>VLOOKUP(E9,'[2]21-3-2026'!E$3:T$35,16,FALSE)</f>
        <v>#N/A</v>
      </c>
      <c r="U9" s="16"/>
      <c r="V9" s="16" t="e">
        <f t="shared" si="5"/>
        <v>#N/A</v>
      </c>
      <c r="W9" s="16"/>
      <c r="X9" s="16"/>
      <c r="Y9" s="16"/>
      <c r="Z9" s="16">
        <f t="shared" si="6"/>
        <v>0</v>
      </c>
      <c r="AA9" s="16">
        <f t="shared" si="0"/>
        <v>0</v>
      </c>
      <c r="AB9" s="16"/>
      <c r="AC9" s="17"/>
      <c r="AD9" s="48"/>
    </row>
    <row r="10" spans="1:30" ht="19.5" thickBot="1" x14ac:dyDescent="0.3">
      <c r="A10" s="14">
        <v>8</v>
      </c>
      <c r="B10" s="15"/>
      <c r="C10" s="15" t="e">
        <f>VLOOKUP(B10,داتا!$B$3:$D$107,2,FALSE)</f>
        <v>#N/A</v>
      </c>
      <c r="D10" s="34" t="e">
        <f>VLOOKUP(B10,داتا!$B$3:$D$107,3,FALSE)</f>
        <v>#N/A</v>
      </c>
      <c r="E10" s="15"/>
      <c r="F10" s="15"/>
      <c r="G10" s="16">
        <v>0.25</v>
      </c>
      <c r="H10" s="16"/>
      <c r="I10" s="16">
        <f t="shared" si="1"/>
        <v>-0.25</v>
      </c>
      <c r="J10" s="16"/>
      <c r="K10" s="16"/>
      <c r="L10" s="16"/>
      <c r="M10" s="16"/>
      <c r="N10" s="16">
        <f t="shared" si="2"/>
        <v>0</v>
      </c>
      <c r="O10" s="16" t="e">
        <f t="shared" si="3"/>
        <v>#N/A</v>
      </c>
      <c r="P10" s="16">
        <v>6.9444444444444397E-3</v>
      </c>
      <c r="Q10" s="16"/>
      <c r="R10" s="16">
        <f t="shared" si="4"/>
        <v>-6.9444444444444397E-3</v>
      </c>
      <c r="S10" s="16"/>
      <c r="T10" s="16" t="e">
        <f>VLOOKUP(E10,'[2]21-3-2026'!E$3:T$35,16,FALSE)</f>
        <v>#N/A</v>
      </c>
      <c r="U10" s="16"/>
      <c r="V10" s="16" t="e">
        <f t="shared" si="5"/>
        <v>#N/A</v>
      </c>
      <c r="W10" s="16"/>
      <c r="X10" s="16"/>
      <c r="Y10" s="16"/>
      <c r="Z10" s="16">
        <f t="shared" si="6"/>
        <v>0</v>
      </c>
      <c r="AA10" s="16">
        <f t="shared" si="0"/>
        <v>0</v>
      </c>
      <c r="AB10" s="16"/>
      <c r="AC10" s="17"/>
      <c r="AD10" s="48"/>
    </row>
    <row r="11" spans="1:30" ht="19.5" thickBot="1" x14ac:dyDescent="0.3">
      <c r="A11" s="14">
        <v>9</v>
      </c>
      <c r="B11" s="15"/>
      <c r="C11" s="15" t="e">
        <f>VLOOKUP(B11,داتا!$B$3:$D$107,2,FALSE)</f>
        <v>#N/A</v>
      </c>
      <c r="D11" s="34" t="e">
        <f>VLOOKUP(B11,داتا!$B$3:$D$107,3,FALSE)</f>
        <v>#N/A</v>
      </c>
      <c r="E11" s="15"/>
      <c r="F11" s="15"/>
      <c r="G11" s="16">
        <v>0.25</v>
      </c>
      <c r="H11" s="16"/>
      <c r="I11" s="16">
        <f t="shared" si="1"/>
        <v>-0.25</v>
      </c>
      <c r="J11" s="16"/>
      <c r="K11" s="16"/>
      <c r="L11" s="16"/>
      <c r="M11" s="16"/>
      <c r="N11" s="16">
        <f t="shared" si="2"/>
        <v>0</v>
      </c>
      <c r="O11" s="16" t="e">
        <f t="shared" si="3"/>
        <v>#N/A</v>
      </c>
      <c r="P11" s="16">
        <v>6.9444444444444397E-3</v>
      </c>
      <c r="Q11" s="16"/>
      <c r="R11" s="16">
        <f t="shared" si="4"/>
        <v>-6.9444444444444397E-3</v>
      </c>
      <c r="S11" s="16"/>
      <c r="T11" s="16" t="e">
        <f>VLOOKUP(E11,'[2]21-3-2026'!E$3:T$35,16,FALSE)</f>
        <v>#N/A</v>
      </c>
      <c r="U11" s="16"/>
      <c r="V11" s="16" t="e">
        <f t="shared" si="5"/>
        <v>#N/A</v>
      </c>
      <c r="W11" s="16"/>
      <c r="X11" s="16"/>
      <c r="Y11" s="16"/>
      <c r="Z11" s="16">
        <f t="shared" si="6"/>
        <v>0</v>
      </c>
      <c r="AA11" s="16">
        <f t="shared" si="0"/>
        <v>0</v>
      </c>
      <c r="AB11" s="16"/>
      <c r="AC11" s="17"/>
      <c r="AD11" s="48"/>
    </row>
    <row r="12" spans="1:30" ht="19.5" thickBot="1" x14ac:dyDescent="0.3">
      <c r="A12" s="14">
        <v>10</v>
      </c>
      <c r="B12" s="15"/>
      <c r="C12" s="15" t="e">
        <f>VLOOKUP(B12,داتا!$B$3:$D$107,2,FALSE)</f>
        <v>#N/A</v>
      </c>
      <c r="D12" s="34" t="e">
        <f>VLOOKUP(B12,داتا!$B$3:$D$107,3,FALSE)</f>
        <v>#N/A</v>
      </c>
      <c r="E12" s="15"/>
      <c r="F12" s="15"/>
      <c r="G12" s="16">
        <v>0.25</v>
      </c>
      <c r="H12" s="16"/>
      <c r="I12" s="16">
        <f t="shared" si="1"/>
        <v>-0.25</v>
      </c>
      <c r="J12" s="16"/>
      <c r="K12" s="16"/>
      <c r="L12" s="16"/>
      <c r="M12" s="16"/>
      <c r="N12" s="16">
        <f t="shared" si="2"/>
        <v>0</v>
      </c>
      <c r="O12" s="16" t="e">
        <f t="shared" si="3"/>
        <v>#N/A</v>
      </c>
      <c r="P12" s="16">
        <v>6.9444444444444397E-3</v>
      </c>
      <c r="Q12" s="16"/>
      <c r="R12" s="16">
        <f t="shared" si="4"/>
        <v>-6.9444444444444397E-3</v>
      </c>
      <c r="S12" s="16"/>
      <c r="T12" s="16" t="e">
        <f>VLOOKUP(E12,'[2]21-3-2026'!E$3:T$35,16,FALSE)</f>
        <v>#N/A</v>
      </c>
      <c r="U12" s="16"/>
      <c r="V12" s="16" t="e">
        <f t="shared" si="5"/>
        <v>#N/A</v>
      </c>
      <c r="W12" s="16"/>
      <c r="X12" s="16"/>
      <c r="Y12" s="16"/>
      <c r="Z12" s="16">
        <f t="shared" si="6"/>
        <v>0</v>
      </c>
      <c r="AA12" s="16">
        <f t="shared" si="0"/>
        <v>0</v>
      </c>
      <c r="AB12" s="16"/>
      <c r="AC12" s="17"/>
      <c r="AD12" s="48"/>
    </row>
    <row r="13" spans="1:30" ht="19.5" thickBot="1" x14ac:dyDescent="0.3">
      <c r="A13" s="14">
        <v>11</v>
      </c>
      <c r="B13" s="15"/>
      <c r="C13" s="15" t="e">
        <f>VLOOKUP(B13,داتا!$B$3:$D$107,2,FALSE)</f>
        <v>#N/A</v>
      </c>
      <c r="D13" s="34" t="e">
        <f>VLOOKUP(B13,داتا!$B$3:$D$107,3,FALSE)</f>
        <v>#N/A</v>
      </c>
      <c r="E13" s="15"/>
      <c r="F13" s="15"/>
      <c r="G13" s="16">
        <v>0.25</v>
      </c>
      <c r="H13" s="16"/>
      <c r="I13" s="16">
        <f t="shared" si="1"/>
        <v>-0.25</v>
      </c>
      <c r="J13" s="16"/>
      <c r="K13" s="16"/>
      <c r="L13" s="16"/>
      <c r="M13" s="16"/>
      <c r="N13" s="16">
        <f t="shared" si="2"/>
        <v>0</v>
      </c>
      <c r="O13" s="16" t="e">
        <f t="shared" si="3"/>
        <v>#N/A</v>
      </c>
      <c r="P13" s="16">
        <v>6.9444444444444397E-3</v>
      </c>
      <c r="Q13" s="16"/>
      <c r="R13" s="16">
        <f t="shared" si="4"/>
        <v>-6.9444444444444397E-3</v>
      </c>
      <c r="S13" s="16"/>
      <c r="T13" s="16" t="e">
        <f>VLOOKUP(E13,'[2]21-3-2026'!E$3:T$35,16,FALSE)</f>
        <v>#N/A</v>
      </c>
      <c r="U13" s="16"/>
      <c r="V13" s="16" t="e">
        <f t="shared" si="5"/>
        <v>#N/A</v>
      </c>
      <c r="W13" s="16"/>
      <c r="X13" s="16"/>
      <c r="Y13" s="16"/>
      <c r="Z13" s="16">
        <f t="shared" si="6"/>
        <v>0</v>
      </c>
      <c r="AA13" s="16">
        <f t="shared" si="0"/>
        <v>0</v>
      </c>
      <c r="AB13" s="16"/>
      <c r="AC13" s="18"/>
      <c r="AD13" s="48"/>
    </row>
    <row r="14" spans="1:30" ht="19.5" thickBot="1" x14ac:dyDescent="0.3">
      <c r="A14" s="14">
        <v>12</v>
      </c>
      <c r="B14" s="15"/>
      <c r="C14" s="15" t="e">
        <f>VLOOKUP(B14,داتا!$B$3:$D$107,2,FALSE)</f>
        <v>#N/A</v>
      </c>
      <c r="D14" s="34" t="e">
        <f>VLOOKUP(B14,داتا!$B$3:$D$107,3,FALSE)</f>
        <v>#N/A</v>
      </c>
      <c r="E14" s="15"/>
      <c r="F14" s="15"/>
      <c r="G14" s="16">
        <v>0.25</v>
      </c>
      <c r="H14" s="16"/>
      <c r="I14" s="16">
        <f t="shared" si="1"/>
        <v>-0.25</v>
      </c>
      <c r="J14" s="16"/>
      <c r="K14" s="16"/>
      <c r="L14" s="16"/>
      <c r="M14" s="16"/>
      <c r="N14" s="16">
        <f t="shared" si="2"/>
        <v>0</v>
      </c>
      <c r="O14" s="16" t="e">
        <f t="shared" si="3"/>
        <v>#N/A</v>
      </c>
      <c r="P14" s="16">
        <v>6.9444444444444397E-3</v>
      </c>
      <c r="Q14" s="16"/>
      <c r="R14" s="16">
        <f t="shared" si="4"/>
        <v>-6.9444444444444397E-3</v>
      </c>
      <c r="S14" s="16"/>
      <c r="T14" s="16" t="e">
        <f>VLOOKUP(E14,'[2]21-3-2026'!E$3:T$35,16,FALSE)</f>
        <v>#N/A</v>
      </c>
      <c r="U14" s="16"/>
      <c r="V14" s="16" t="e">
        <f t="shared" si="5"/>
        <v>#N/A</v>
      </c>
      <c r="W14" s="16"/>
      <c r="X14" s="16"/>
      <c r="Y14" s="16"/>
      <c r="Z14" s="16">
        <f t="shared" si="6"/>
        <v>0</v>
      </c>
      <c r="AA14" s="16">
        <f t="shared" si="0"/>
        <v>0</v>
      </c>
      <c r="AB14" s="16"/>
      <c r="AC14" s="17"/>
      <c r="AD14" s="48"/>
    </row>
    <row r="15" spans="1:30" ht="19.5" thickBot="1" x14ac:dyDescent="0.3">
      <c r="A15" s="14">
        <v>13</v>
      </c>
      <c r="B15" s="15"/>
      <c r="C15" s="15" t="e">
        <f>VLOOKUP(B15,داتا!$B$3:$D$107,2,FALSE)</f>
        <v>#N/A</v>
      </c>
      <c r="D15" s="34" t="e">
        <f>VLOOKUP(B15,داتا!$B$3:$D$107,3,FALSE)</f>
        <v>#N/A</v>
      </c>
      <c r="E15" s="15"/>
      <c r="F15" s="15"/>
      <c r="G15" s="16">
        <v>0.25</v>
      </c>
      <c r="H15" s="16"/>
      <c r="I15" s="16">
        <f t="shared" si="1"/>
        <v>-0.25</v>
      </c>
      <c r="J15" s="16"/>
      <c r="K15" s="16"/>
      <c r="L15" s="16"/>
      <c r="M15" s="16"/>
      <c r="N15" s="16">
        <f t="shared" si="2"/>
        <v>0</v>
      </c>
      <c r="O15" s="16" t="e">
        <f t="shared" si="3"/>
        <v>#N/A</v>
      </c>
      <c r="P15" s="16">
        <v>6.9444444444444397E-3</v>
      </c>
      <c r="Q15" s="16"/>
      <c r="R15" s="16">
        <f t="shared" si="4"/>
        <v>-6.9444444444444397E-3</v>
      </c>
      <c r="S15" s="16"/>
      <c r="T15" s="16" t="e">
        <f>VLOOKUP(E15,'[2]21-3-2026'!E$3:T$35,16,FALSE)</f>
        <v>#N/A</v>
      </c>
      <c r="U15" s="16"/>
      <c r="V15" s="16" t="e">
        <f t="shared" si="5"/>
        <v>#N/A</v>
      </c>
      <c r="W15" s="16"/>
      <c r="X15" s="16"/>
      <c r="Y15" s="16"/>
      <c r="Z15" s="16">
        <f t="shared" si="6"/>
        <v>0</v>
      </c>
      <c r="AA15" s="16">
        <f t="shared" si="0"/>
        <v>0</v>
      </c>
      <c r="AB15" s="16"/>
      <c r="AC15" s="17"/>
      <c r="AD15" s="48"/>
    </row>
    <row r="16" spans="1:30" ht="19.5" thickBot="1" x14ac:dyDescent="0.3">
      <c r="A16" s="14">
        <v>14</v>
      </c>
      <c r="B16" s="15"/>
      <c r="C16" s="15" t="e">
        <f>VLOOKUP(B16,داتا!$B$3:$D$107,2,FALSE)</f>
        <v>#N/A</v>
      </c>
      <c r="D16" s="34" t="e">
        <f>VLOOKUP(B16,داتا!$B$3:$D$107,3,FALSE)</f>
        <v>#N/A</v>
      </c>
      <c r="E16" s="15"/>
      <c r="F16" s="15"/>
      <c r="G16" s="16">
        <v>0.25</v>
      </c>
      <c r="H16" s="16"/>
      <c r="I16" s="16">
        <f t="shared" si="1"/>
        <v>-0.25</v>
      </c>
      <c r="J16" s="16"/>
      <c r="K16" s="16"/>
      <c r="L16" s="16"/>
      <c r="M16" s="16"/>
      <c r="N16" s="16">
        <f t="shared" si="2"/>
        <v>0</v>
      </c>
      <c r="O16" s="16" t="e">
        <f t="shared" si="3"/>
        <v>#N/A</v>
      </c>
      <c r="P16" s="16">
        <v>6.9444444444444397E-3</v>
      </c>
      <c r="Q16" s="16"/>
      <c r="R16" s="16">
        <f t="shared" si="4"/>
        <v>-6.9444444444444397E-3</v>
      </c>
      <c r="S16" s="16"/>
      <c r="T16" s="16" t="e">
        <f>VLOOKUP(E16,'[2]21-3-2026'!E$3:T$35,16,FALSE)</f>
        <v>#N/A</v>
      </c>
      <c r="U16" s="16"/>
      <c r="V16" s="16" t="e">
        <f t="shared" si="5"/>
        <v>#N/A</v>
      </c>
      <c r="W16" s="16"/>
      <c r="X16" s="16"/>
      <c r="Y16" s="16"/>
      <c r="Z16" s="16">
        <f t="shared" si="6"/>
        <v>0</v>
      </c>
      <c r="AA16" s="16">
        <f t="shared" si="0"/>
        <v>0</v>
      </c>
      <c r="AB16" s="16"/>
      <c r="AC16" s="17"/>
      <c r="AD16" s="48"/>
    </row>
    <row r="17" spans="1:30" ht="19.5" thickBot="1" x14ac:dyDescent="0.3">
      <c r="A17" s="14">
        <v>15</v>
      </c>
      <c r="B17" s="15"/>
      <c r="C17" s="15" t="e">
        <f>VLOOKUP(B17,داتا!$B$3:$D$107,2,FALSE)</f>
        <v>#N/A</v>
      </c>
      <c r="D17" s="34" t="e">
        <f>VLOOKUP(B17,داتا!$B$3:$D$107,3,FALSE)</f>
        <v>#N/A</v>
      </c>
      <c r="E17" s="15"/>
      <c r="F17" s="15"/>
      <c r="G17" s="16">
        <v>0.25</v>
      </c>
      <c r="H17" s="16"/>
      <c r="I17" s="16">
        <f t="shared" si="1"/>
        <v>-0.25</v>
      </c>
      <c r="J17" s="16"/>
      <c r="K17" s="16"/>
      <c r="L17" s="16"/>
      <c r="M17" s="16"/>
      <c r="N17" s="16">
        <f t="shared" si="2"/>
        <v>0</v>
      </c>
      <c r="O17" s="16" t="e">
        <f t="shared" si="3"/>
        <v>#N/A</v>
      </c>
      <c r="P17" s="16">
        <v>6.9444444444444397E-3</v>
      </c>
      <c r="Q17" s="16"/>
      <c r="R17" s="16">
        <f t="shared" si="4"/>
        <v>-6.9444444444444397E-3</v>
      </c>
      <c r="S17" s="16"/>
      <c r="T17" s="16" t="e">
        <f>VLOOKUP(E17,'[2]21-3-2026'!E$3:T$35,16,FALSE)</f>
        <v>#N/A</v>
      </c>
      <c r="U17" s="16"/>
      <c r="V17" s="16" t="e">
        <f t="shared" si="5"/>
        <v>#N/A</v>
      </c>
      <c r="W17" s="16"/>
      <c r="X17" s="16"/>
      <c r="Y17" s="16"/>
      <c r="Z17" s="16">
        <f t="shared" si="6"/>
        <v>0</v>
      </c>
      <c r="AA17" s="16">
        <f t="shared" si="0"/>
        <v>0</v>
      </c>
      <c r="AB17" s="16"/>
      <c r="AC17" s="17"/>
      <c r="AD17" s="48"/>
    </row>
    <row r="18" spans="1:30" ht="19.5" thickBot="1" x14ac:dyDescent="0.3">
      <c r="A18" s="14">
        <v>16</v>
      </c>
      <c r="B18" s="15"/>
      <c r="C18" s="15" t="e">
        <f>VLOOKUP(B18,داتا!$B$3:$D$107,2,FALSE)</f>
        <v>#N/A</v>
      </c>
      <c r="D18" s="34" t="e">
        <f>VLOOKUP(B18,داتا!$B$3:$D$107,3,FALSE)</f>
        <v>#N/A</v>
      </c>
      <c r="E18" s="16"/>
      <c r="F18" s="15"/>
      <c r="G18" s="16">
        <v>0.25</v>
      </c>
      <c r="H18" s="16"/>
      <c r="I18" s="16">
        <f t="shared" si="1"/>
        <v>-0.25</v>
      </c>
      <c r="J18" s="16"/>
      <c r="K18" s="16"/>
      <c r="L18" s="16"/>
      <c r="M18" s="16"/>
      <c r="N18" s="16">
        <f t="shared" si="2"/>
        <v>0</v>
      </c>
      <c r="O18" s="16" t="e">
        <f t="shared" si="3"/>
        <v>#N/A</v>
      </c>
      <c r="P18" s="16">
        <v>6.9444444444444397E-3</v>
      </c>
      <c r="Q18" s="16"/>
      <c r="R18" s="16">
        <f t="shared" si="4"/>
        <v>-6.9444444444444397E-3</v>
      </c>
      <c r="S18" s="16"/>
      <c r="T18" s="16" t="e">
        <f>VLOOKUP(E18,'[2]21-3-2026'!E$3:T$35,16,FALSE)</f>
        <v>#N/A</v>
      </c>
      <c r="U18" s="16"/>
      <c r="V18" s="16" t="e">
        <f t="shared" si="5"/>
        <v>#N/A</v>
      </c>
      <c r="W18" s="16"/>
      <c r="X18" s="16"/>
      <c r="Y18" s="16"/>
      <c r="Z18" s="16">
        <f t="shared" si="6"/>
        <v>0</v>
      </c>
      <c r="AA18" s="16">
        <f t="shared" si="0"/>
        <v>0</v>
      </c>
      <c r="AB18" s="16"/>
      <c r="AC18" s="17"/>
      <c r="AD18" s="48"/>
    </row>
    <row r="19" spans="1:30" ht="19.5" thickBot="1" x14ac:dyDescent="0.3">
      <c r="A19" s="14">
        <v>17</v>
      </c>
      <c r="B19" s="15"/>
      <c r="C19" s="15" t="e">
        <f>VLOOKUP(B19,داتا!$B$3:$D$107,2,FALSE)</f>
        <v>#N/A</v>
      </c>
      <c r="D19" s="34" t="e">
        <f>VLOOKUP(B19,داتا!$B$3:$D$107,3,FALSE)</f>
        <v>#N/A</v>
      </c>
      <c r="E19" s="15"/>
      <c r="F19" s="15"/>
      <c r="G19" s="16">
        <v>0.25</v>
      </c>
      <c r="H19" s="16"/>
      <c r="I19" s="16">
        <f t="shared" si="1"/>
        <v>-0.25</v>
      </c>
      <c r="J19" s="16"/>
      <c r="K19" s="16"/>
      <c r="L19" s="16"/>
      <c r="M19" s="16"/>
      <c r="N19" s="16">
        <f t="shared" si="2"/>
        <v>0</v>
      </c>
      <c r="O19" s="16" t="e">
        <f t="shared" si="3"/>
        <v>#N/A</v>
      </c>
      <c r="P19" s="16">
        <v>6.9444444444444397E-3</v>
      </c>
      <c r="Q19" s="16"/>
      <c r="R19" s="16">
        <f t="shared" si="4"/>
        <v>-6.9444444444444397E-3</v>
      </c>
      <c r="S19" s="16"/>
      <c r="T19" s="16" t="e">
        <f>VLOOKUP(E19,'[2]21-3-2026'!E$3:T$35,16,FALSE)</f>
        <v>#N/A</v>
      </c>
      <c r="U19" s="16"/>
      <c r="V19" s="16" t="e">
        <f t="shared" si="5"/>
        <v>#N/A</v>
      </c>
      <c r="W19" s="16"/>
      <c r="X19" s="16"/>
      <c r="Y19" s="16"/>
      <c r="Z19" s="16">
        <f t="shared" si="6"/>
        <v>0</v>
      </c>
      <c r="AA19" s="16">
        <f t="shared" si="0"/>
        <v>0</v>
      </c>
      <c r="AB19" s="16"/>
      <c r="AC19" s="17"/>
      <c r="AD19" s="48"/>
    </row>
    <row r="20" spans="1:30" ht="19.5" thickBot="1" x14ac:dyDescent="0.3">
      <c r="A20" s="14">
        <v>18</v>
      </c>
      <c r="B20" s="15"/>
      <c r="C20" s="15" t="e">
        <f>VLOOKUP(B20,داتا!$B$3:$D$107,2,FALSE)</f>
        <v>#N/A</v>
      </c>
      <c r="D20" s="34" t="e">
        <f>VLOOKUP(B20,داتا!$B$3:$D$107,3,FALSE)</f>
        <v>#N/A</v>
      </c>
      <c r="E20" s="15"/>
      <c r="F20" s="15"/>
      <c r="G20" s="16">
        <v>0.25</v>
      </c>
      <c r="H20" s="16"/>
      <c r="I20" s="16">
        <f t="shared" si="1"/>
        <v>-0.25</v>
      </c>
      <c r="J20" s="16"/>
      <c r="K20" s="16"/>
      <c r="L20" s="16"/>
      <c r="M20" s="16"/>
      <c r="N20" s="16">
        <f t="shared" si="2"/>
        <v>0</v>
      </c>
      <c r="O20" s="16" t="e">
        <f t="shared" si="3"/>
        <v>#N/A</v>
      </c>
      <c r="P20" s="16">
        <v>6.9444444444444397E-3</v>
      </c>
      <c r="Q20" s="16"/>
      <c r="R20" s="16">
        <f t="shared" si="4"/>
        <v>-6.9444444444444397E-3</v>
      </c>
      <c r="S20" s="16"/>
      <c r="T20" s="16" t="e">
        <f>VLOOKUP(E20,'[2]21-3-2026'!E$3:T$35,16,FALSE)</f>
        <v>#N/A</v>
      </c>
      <c r="U20" s="16"/>
      <c r="V20" s="16" t="e">
        <f t="shared" si="5"/>
        <v>#N/A</v>
      </c>
      <c r="W20" s="16"/>
      <c r="X20" s="16"/>
      <c r="Y20" s="16"/>
      <c r="Z20" s="16">
        <f t="shared" si="6"/>
        <v>0</v>
      </c>
      <c r="AA20" s="16">
        <f t="shared" si="0"/>
        <v>0</v>
      </c>
      <c r="AB20" s="16"/>
      <c r="AC20" s="17"/>
      <c r="AD20" s="48"/>
    </row>
    <row r="21" spans="1:30" ht="19.5" thickBot="1" x14ac:dyDescent="0.3">
      <c r="A21" s="14">
        <v>19</v>
      </c>
      <c r="B21" s="15"/>
      <c r="C21" s="15" t="e">
        <f>VLOOKUP(B21,داتا!$B$3:$D$107,2,FALSE)</f>
        <v>#N/A</v>
      </c>
      <c r="D21" s="34" t="e">
        <f>VLOOKUP(B21,داتا!$B$3:$D$107,3,FALSE)</f>
        <v>#N/A</v>
      </c>
      <c r="E21" s="15"/>
      <c r="F21" s="15"/>
      <c r="G21" s="16">
        <v>0.25</v>
      </c>
      <c r="H21" s="16"/>
      <c r="I21" s="16">
        <f t="shared" si="1"/>
        <v>-0.25</v>
      </c>
      <c r="J21" s="16"/>
      <c r="K21" s="16"/>
      <c r="L21" s="16"/>
      <c r="M21" s="16"/>
      <c r="N21" s="16">
        <f t="shared" si="2"/>
        <v>0</v>
      </c>
      <c r="O21" s="16" t="e">
        <f t="shared" si="3"/>
        <v>#N/A</v>
      </c>
      <c r="P21" s="16">
        <v>6.9444444444444397E-3</v>
      </c>
      <c r="Q21" s="16"/>
      <c r="R21" s="16">
        <f t="shared" si="4"/>
        <v>-6.9444444444444397E-3</v>
      </c>
      <c r="S21" s="16"/>
      <c r="T21" s="16" t="e">
        <f>VLOOKUP(E21,'[2]21-3-2026'!E$3:T$35,16,FALSE)</f>
        <v>#N/A</v>
      </c>
      <c r="U21" s="16"/>
      <c r="V21" s="16" t="e">
        <f t="shared" si="5"/>
        <v>#N/A</v>
      </c>
      <c r="W21" s="16"/>
      <c r="X21" s="16"/>
      <c r="Y21" s="16"/>
      <c r="Z21" s="16">
        <f t="shared" si="6"/>
        <v>0</v>
      </c>
      <c r="AA21" s="16">
        <f t="shared" si="0"/>
        <v>0</v>
      </c>
      <c r="AB21" s="16"/>
      <c r="AC21" s="17"/>
      <c r="AD21" s="48"/>
    </row>
    <row r="22" spans="1:30" ht="19.5" thickBot="1" x14ac:dyDescent="0.3">
      <c r="A22" s="14">
        <v>20</v>
      </c>
      <c r="B22" s="15"/>
      <c r="C22" s="15" t="e">
        <f>VLOOKUP(B22,داتا!$B$3:$D$107,2,FALSE)</f>
        <v>#N/A</v>
      </c>
      <c r="D22" s="34" t="e">
        <f>VLOOKUP(B22,داتا!$B$3:$D$107,3,FALSE)</f>
        <v>#N/A</v>
      </c>
      <c r="E22" s="15"/>
      <c r="F22" s="15"/>
      <c r="G22" s="16">
        <v>0.25</v>
      </c>
      <c r="H22" s="16"/>
      <c r="I22" s="16">
        <f t="shared" si="1"/>
        <v>-0.25</v>
      </c>
      <c r="J22" s="16"/>
      <c r="K22" s="16"/>
      <c r="L22" s="16"/>
      <c r="M22" s="16"/>
      <c r="N22" s="16">
        <f t="shared" si="2"/>
        <v>0</v>
      </c>
      <c r="O22" s="16" t="e">
        <f t="shared" si="3"/>
        <v>#N/A</v>
      </c>
      <c r="P22" s="16">
        <v>6.9444444444444397E-3</v>
      </c>
      <c r="Q22" s="16"/>
      <c r="R22" s="16">
        <f t="shared" si="4"/>
        <v>-6.9444444444444397E-3</v>
      </c>
      <c r="S22" s="16"/>
      <c r="T22" s="16" t="e">
        <f>VLOOKUP(E22,'[2]21-3-2026'!E$3:T$35,16,FALSE)</f>
        <v>#N/A</v>
      </c>
      <c r="U22" s="16"/>
      <c r="V22" s="16" t="e">
        <f t="shared" si="5"/>
        <v>#N/A</v>
      </c>
      <c r="W22" s="16"/>
      <c r="X22" s="16"/>
      <c r="Y22" s="16"/>
      <c r="Z22" s="16">
        <f t="shared" si="6"/>
        <v>0</v>
      </c>
      <c r="AA22" s="16">
        <f t="shared" si="0"/>
        <v>0</v>
      </c>
      <c r="AB22" s="16"/>
      <c r="AC22" s="17"/>
      <c r="AD22" s="48"/>
    </row>
    <row r="23" spans="1:30" ht="19.5" thickBot="1" x14ac:dyDescent="0.3">
      <c r="A23" s="14">
        <v>21</v>
      </c>
      <c r="B23" s="15"/>
      <c r="C23" s="15" t="e">
        <f>VLOOKUP(B23,داتا!$B$3:$D$107,2,FALSE)</f>
        <v>#N/A</v>
      </c>
      <c r="D23" s="34" t="e">
        <f>VLOOKUP(B23,داتا!$B$3:$D$107,3,FALSE)</f>
        <v>#N/A</v>
      </c>
      <c r="E23" s="15"/>
      <c r="F23" s="15"/>
      <c r="G23" s="16">
        <v>0.25</v>
      </c>
      <c r="H23" s="16"/>
      <c r="I23" s="16">
        <f t="shared" si="1"/>
        <v>-0.25</v>
      </c>
      <c r="J23" s="16"/>
      <c r="K23" s="16"/>
      <c r="L23" s="16"/>
      <c r="M23" s="16"/>
      <c r="N23" s="16">
        <f t="shared" si="2"/>
        <v>0</v>
      </c>
      <c r="O23" s="16" t="e">
        <f t="shared" si="3"/>
        <v>#N/A</v>
      </c>
      <c r="P23" s="16">
        <v>6.9444444444444397E-3</v>
      </c>
      <c r="Q23" s="16"/>
      <c r="R23" s="16">
        <f t="shared" si="4"/>
        <v>-6.9444444444444397E-3</v>
      </c>
      <c r="S23" s="16"/>
      <c r="T23" s="16" t="e">
        <f>VLOOKUP(E23,'[2]21-3-2026'!E$3:T$35,16,FALSE)</f>
        <v>#N/A</v>
      </c>
      <c r="U23" s="16"/>
      <c r="V23" s="16" t="e">
        <f t="shared" si="5"/>
        <v>#N/A</v>
      </c>
      <c r="W23" s="16"/>
      <c r="X23" s="16"/>
      <c r="Y23" s="16"/>
      <c r="Z23" s="16">
        <f t="shared" si="6"/>
        <v>0</v>
      </c>
      <c r="AA23" s="16">
        <f t="shared" si="0"/>
        <v>0</v>
      </c>
      <c r="AB23" s="16"/>
      <c r="AC23" s="17"/>
      <c r="AD23" s="48"/>
    </row>
    <row r="24" spans="1:30" ht="19.5" thickBot="1" x14ac:dyDescent="0.3">
      <c r="A24" s="14">
        <v>22</v>
      </c>
      <c r="B24" s="15"/>
      <c r="C24" s="15" t="e">
        <f>VLOOKUP(B24,داتا!$B$3:$D$107,2,FALSE)</f>
        <v>#N/A</v>
      </c>
      <c r="D24" s="34" t="e">
        <f>VLOOKUP(B24,داتا!$B$3:$D$107,3,FALSE)</f>
        <v>#N/A</v>
      </c>
      <c r="E24" s="15"/>
      <c r="F24" s="16"/>
      <c r="G24" s="16">
        <v>0.25</v>
      </c>
      <c r="H24" s="16"/>
      <c r="I24" s="16">
        <f t="shared" si="1"/>
        <v>-0.25</v>
      </c>
      <c r="J24" s="16"/>
      <c r="K24" s="16"/>
      <c r="L24" s="16"/>
      <c r="M24" s="16"/>
      <c r="N24" s="16">
        <f t="shared" si="2"/>
        <v>0</v>
      </c>
      <c r="O24" s="16" t="e">
        <f t="shared" si="3"/>
        <v>#N/A</v>
      </c>
      <c r="P24" s="16">
        <v>6.9444444444444397E-3</v>
      </c>
      <c r="Q24" s="16"/>
      <c r="R24" s="16">
        <f t="shared" si="4"/>
        <v>-6.9444444444444397E-3</v>
      </c>
      <c r="S24" s="16"/>
      <c r="T24" s="16" t="e">
        <f>VLOOKUP(E24,'[2]21-3-2026'!E$3:T$35,16,FALSE)</f>
        <v>#N/A</v>
      </c>
      <c r="U24" s="16"/>
      <c r="V24" s="16" t="e">
        <f t="shared" si="5"/>
        <v>#N/A</v>
      </c>
      <c r="W24" s="16"/>
      <c r="X24" s="16"/>
      <c r="Y24" s="16"/>
      <c r="Z24" s="16">
        <f t="shared" si="6"/>
        <v>0</v>
      </c>
      <c r="AA24" s="16">
        <f t="shared" si="0"/>
        <v>0</v>
      </c>
      <c r="AB24" s="16"/>
      <c r="AC24" s="17"/>
      <c r="AD24" s="48"/>
    </row>
    <row r="25" spans="1:30" ht="19.5" thickBot="1" x14ac:dyDescent="0.3">
      <c r="A25" s="14">
        <v>23</v>
      </c>
      <c r="B25" s="15"/>
      <c r="C25" s="15" t="e">
        <f>VLOOKUP(B25,داتا!$B$3:$D$107,2,FALSE)</f>
        <v>#N/A</v>
      </c>
      <c r="D25" s="34" t="e">
        <f>VLOOKUP(B25,داتا!$B$3:$D$107,3,FALSE)</f>
        <v>#N/A</v>
      </c>
      <c r="E25" s="15"/>
      <c r="F25" s="15"/>
      <c r="G25" s="16">
        <v>0.25</v>
      </c>
      <c r="H25" s="16"/>
      <c r="I25" s="16">
        <f t="shared" si="1"/>
        <v>-0.25</v>
      </c>
      <c r="J25" s="16"/>
      <c r="K25" s="16"/>
      <c r="L25" s="16"/>
      <c r="M25" s="16"/>
      <c r="N25" s="16">
        <f t="shared" si="2"/>
        <v>0</v>
      </c>
      <c r="O25" s="16" t="e">
        <f t="shared" si="3"/>
        <v>#N/A</v>
      </c>
      <c r="P25" s="16">
        <v>6.9444444444444397E-3</v>
      </c>
      <c r="Q25" s="16"/>
      <c r="R25" s="16">
        <f t="shared" si="4"/>
        <v>-6.9444444444444397E-3</v>
      </c>
      <c r="S25" s="16"/>
      <c r="T25" s="16" t="e">
        <f>VLOOKUP(E25,'[2]21-3-2026'!E$3:T$35,16,FALSE)</f>
        <v>#N/A</v>
      </c>
      <c r="U25" s="16"/>
      <c r="V25" s="16" t="e">
        <f t="shared" si="5"/>
        <v>#N/A</v>
      </c>
      <c r="W25" s="16"/>
      <c r="X25" s="16"/>
      <c r="Y25" s="16"/>
      <c r="Z25" s="16">
        <f t="shared" si="6"/>
        <v>0</v>
      </c>
      <c r="AA25" s="16">
        <f t="shared" si="0"/>
        <v>0</v>
      </c>
      <c r="AB25" s="16"/>
      <c r="AC25" s="19"/>
      <c r="AD25" s="48"/>
    </row>
    <row r="26" spans="1:30" ht="19.5" thickBot="1" x14ac:dyDescent="0.3">
      <c r="A26" s="14">
        <v>24</v>
      </c>
      <c r="B26" s="15"/>
      <c r="C26" s="15" t="e">
        <f>VLOOKUP(B26,داتا!$B$3:$D$107,2,FALSE)</f>
        <v>#N/A</v>
      </c>
      <c r="D26" s="34" t="e">
        <f>VLOOKUP(B26,داتا!$B$3:$D$107,3,FALSE)</f>
        <v>#N/A</v>
      </c>
      <c r="E26" s="15"/>
      <c r="F26" s="15"/>
      <c r="G26" s="16">
        <v>0.25</v>
      </c>
      <c r="H26" s="16"/>
      <c r="I26" s="16">
        <f t="shared" si="1"/>
        <v>-0.25</v>
      </c>
      <c r="J26" s="16"/>
      <c r="K26" s="16"/>
      <c r="L26" s="16"/>
      <c r="M26" s="16"/>
      <c r="N26" s="16">
        <f t="shared" si="2"/>
        <v>0</v>
      </c>
      <c r="O26" s="16" t="e">
        <f t="shared" si="3"/>
        <v>#N/A</v>
      </c>
      <c r="P26" s="16">
        <v>6.9444444444444397E-3</v>
      </c>
      <c r="Q26" s="16"/>
      <c r="R26" s="16">
        <f t="shared" si="4"/>
        <v>-6.9444444444444397E-3</v>
      </c>
      <c r="S26" s="16"/>
      <c r="T26" s="16" t="e">
        <f>VLOOKUP(E26,'[2]21-3-2026'!E$3:T$35,16,FALSE)</f>
        <v>#N/A</v>
      </c>
      <c r="U26" s="16"/>
      <c r="V26" s="16" t="e">
        <f t="shared" si="5"/>
        <v>#N/A</v>
      </c>
      <c r="W26" s="16"/>
      <c r="X26" s="16"/>
      <c r="Y26" s="16"/>
      <c r="Z26" s="16">
        <f t="shared" si="6"/>
        <v>0</v>
      </c>
      <c r="AA26" s="16">
        <f t="shared" si="0"/>
        <v>0</v>
      </c>
      <c r="AB26" s="16"/>
      <c r="AC26" s="19"/>
      <c r="AD26" s="48"/>
    </row>
    <row r="27" spans="1:30" ht="19.5" thickBot="1" x14ac:dyDescent="0.3">
      <c r="A27" s="14">
        <v>25</v>
      </c>
      <c r="B27" s="15"/>
      <c r="C27" s="15" t="e">
        <f>VLOOKUP(B27,داتا!$B$3:$D$107,2,FALSE)</f>
        <v>#N/A</v>
      </c>
      <c r="D27" s="34" t="e">
        <f>VLOOKUP(B27,داتا!$B$3:$D$107,3,FALSE)</f>
        <v>#N/A</v>
      </c>
      <c r="E27" s="15"/>
      <c r="F27" s="15"/>
      <c r="G27" s="16">
        <v>0.25</v>
      </c>
      <c r="H27" s="16"/>
      <c r="I27" s="16">
        <f t="shared" si="1"/>
        <v>-0.25</v>
      </c>
      <c r="J27" s="16"/>
      <c r="K27" s="16"/>
      <c r="L27" s="16"/>
      <c r="M27" s="16"/>
      <c r="N27" s="16">
        <f t="shared" si="2"/>
        <v>0</v>
      </c>
      <c r="O27" s="16" t="e">
        <f t="shared" si="3"/>
        <v>#N/A</v>
      </c>
      <c r="P27" s="16">
        <v>6.9444444444444397E-3</v>
      </c>
      <c r="Q27" s="16"/>
      <c r="R27" s="16">
        <f t="shared" si="4"/>
        <v>-6.9444444444444397E-3</v>
      </c>
      <c r="S27" s="16"/>
      <c r="T27" s="16" t="e">
        <f>VLOOKUP(E27,'[2]21-3-2026'!E$3:T$35,16,FALSE)</f>
        <v>#N/A</v>
      </c>
      <c r="U27" s="16"/>
      <c r="V27" s="16" t="e">
        <f t="shared" si="5"/>
        <v>#N/A</v>
      </c>
      <c r="W27" s="16"/>
      <c r="X27" s="16"/>
      <c r="Y27" s="16"/>
      <c r="Z27" s="16">
        <f t="shared" si="6"/>
        <v>0</v>
      </c>
      <c r="AA27" s="16">
        <f t="shared" si="0"/>
        <v>0</v>
      </c>
      <c r="AB27" s="16"/>
      <c r="AC27" s="19"/>
      <c r="AD27" s="48"/>
    </row>
    <row r="28" spans="1:30" ht="19.5" thickBot="1" x14ac:dyDescent="0.3">
      <c r="A28" s="14">
        <v>26</v>
      </c>
      <c r="B28" s="15"/>
      <c r="C28" s="15" t="e">
        <f>VLOOKUP(B28,داتا!$B$3:$D$107,2,FALSE)</f>
        <v>#N/A</v>
      </c>
      <c r="D28" s="34" t="e">
        <f>VLOOKUP(B28,داتا!$B$3:$D$107,3,FALSE)</f>
        <v>#N/A</v>
      </c>
      <c r="E28" s="15"/>
      <c r="F28" s="15"/>
      <c r="G28" s="16">
        <v>0.25</v>
      </c>
      <c r="H28" s="16"/>
      <c r="I28" s="16">
        <f t="shared" si="1"/>
        <v>-0.25</v>
      </c>
      <c r="J28" s="16"/>
      <c r="K28" s="16"/>
      <c r="L28" s="16"/>
      <c r="M28" s="16"/>
      <c r="N28" s="16">
        <f t="shared" si="2"/>
        <v>0</v>
      </c>
      <c r="O28" s="16" t="e">
        <f t="shared" si="3"/>
        <v>#N/A</v>
      </c>
      <c r="P28" s="16">
        <v>6.9444444444444397E-3</v>
      </c>
      <c r="Q28" s="16"/>
      <c r="R28" s="16">
        <f t="shared" si="4"/>
        <v>-6.9444444444444397E-3</v>
      </c>
      <c r="S28" s="16"/>
      <c r="T28" s="16" t="e">
        <f>VLOOKUP(E28,'[2]21-3-2026'!E$3:T$35,16,FALSE)</f>
        <v>#N/A</v>
      </c>
      <c r="U28" s="16"/>
      <c r="V28" s="16" t="e">
        <f t="shared" si="5"/>
        <v>#N/A</v>
      </c>
      <c r="W28" s="16"/>
      <c r="X28" s="16"/>
      <c r="Y28" s="16"/>
      <c r="Z28" s="16">
        <f t="shared" si="6"/>
        <v>0</v>
      </c>
      <c r="AA28" s="16">
        <f t="shared" si="0"/>
        <v>0</v>
      </c>
      <c r="AB28" s="16"/>
      <c r="AC28" s="17"/>
      <c r="AD28" s="48"/>
    </row>
    <row r="29" spans="1:30" ht="19.5" thickBot="1" x14ac:dyDescent="0.3">
      <c r="A29" s="14">
        <v>27</v>
      </c>
      <c r="B29" s="15"/>
      <c r="C29" s="15" t="e">
        <f>VLOOKUP(B29,داتا!$B$3:$D$107,2,FALSE)</f>
        <v>#N/A</v>
      </c>
      <c r="D29" s="34" t="e">
        <f>VLOOKUP(B29,داتا!$B$3:$D$107,3,FALSE)</f>
        <v>#N/A</v>
      </c>
      <c r="E29" s="15"/>
      <c r="F29" s="15"/>
      <c r="G29" s="16">
        <v>0.25</v>
      </c>
      <c r="H29" s="16"/>
      <c r="I29" s="16">
        <f t="shared" si="1"/>
        <v>-0.25</v>
      </c>
      <c r="J29" s="16"/>
      <c r="K29" s="16"/>
      <c r="L29" s="16"/>
      <c r="M29" s="16"/>
      <c r="N29" s="16">
        <f t="shared" si="2"/>
        <v>0</v>
      </c>
      <c r="O29" s="16" t="e">
        <f t="shared" si="3"/>
        <v>#N/A</v>
      </c>
      <c r="P29" s="16">
        <v>6.9444444444444397E-3</v>
      </c>
      <c r="Q29" s="16"/>
      <c r="R29" s="16">
        <f t="shared" si="4"/>
        <v>-6.9444444444444397E-3</v>
      </c>
      <c r="S29" s="16"/>
      <c r="T29" s="16" t="e">
        <f>VLOOKUP(E29,'[2]21-3-2026'!E$3:T$35,16,FALSE)</f>
        <v>#N/A</v>
      </c>
      <c r="U29" s="16"/>
      <c r="V29" s="16" t="e">
        <f t="shared" si="5"/>
        <v>#N/A</v>
      </c>
      <c r="W29" s="16"/>
      <c r="X29" s="16"/>
      <c r="Y29" s="16"/>
      <c r="Z29" s="16">
        <f t="shared" si="6"/>
        <v>0</v>
      </c>
      <c r="AA29" s="16">
        <f t="shared" si="0"/>
        <v>0</v>
      </c>
      <c r="AB29" s="16"/>
      <c r="AC29" s="18"/>
      <c r="AD29" s="48"/>
    </row>
    <row r="30" spans="1:30" ht="19.5" thickBot="1" x14ac:dyDescent="0.3">
      <c r="A30" s="14">
        <v>28</v>
      </c>
      <c r="B30" s="15"/>
      <c r="C30" s="15" t="e">
        <f>VLOOKUP(B30,داتا!$B$3:$D$107,2,FALSE)</f>
        <v>#N/A</v>
      </c>
      <c r="D30" s="34" t="e">
        <f>VLOOKUP(B30,داتا!$B$3:$D$107,3,FALSE)</f>
        <v>#N/A</v>
      </c>
      <c r="E30" s="15"/>
      <c r="F30" s="15"/>
      <c r="G30" s="16">
        <v>0.25</v>
      </c>
      <c r="H30" s="16"/>
      <c r="I30" s="16">
        <f t="shared" si="1"/>
        <v>-0.25</v>
      </c>
      <c r="J30" s="16"/>
      <c r="K30" s="16"/>
      <c r="L30" s="16"/>
      <c r="M30" s="16"/>
      <c r="N30" s="16">
        <f t="shared" si="2"/>
        <v>0</v>
      </c>
      <c r="O30" s="16" t="e">
        <f t="shared" si="3"/>
        <v>#N/A</v>
      </c>
      <c r="P30" s="16">
        <v>6.9444444444444397E-3</v>
      </c>
      <c r="Q30" s="16"/>
      <c r="R30" s="16">
        <f t="shared" si="4"/>
        <v>-6.9444444444444397E-3</v>
      </c>
      <c r="S30" s="16"/>
      <c r="T30" s="16" t="e">
        <f>VLOOKUP(E30,'[2]21-3-2026'!E$3:T$35,16,FALSE)</f>
        <v>#N/A</v>
      </c>
      <c r="U30" s="16"/>
      <c r="V30" s="16" t="e">
        <f t="shared" si="5"/>
        <v>#N/A</v>
      </c>
      <c r="W30" s="16"/>
      <c r="X30" s="16"/>
      <c r="Y30" s="16"/>
      <c r="Z30" s="16">
        <f t="shared" si="6"/>
        <v>0</v>
      </c>
      <c r="AA30" s="16">
        <f t="shared" si="0"/>
        <v>0</v>
      </c>
      <c r="AB30" s="16"/>
      <c r="AC30" s="17"/>
      <c r="AD30" s="48"/>
    </row>
    <row r="31" spans="1:30" ht="19.5" thickBot="1" x14ac:dyDescent="0.3">
      <c r="A31" s="14">
        <v>29</v>
      </c>
      <c r="B31" s="15"/>
      <c r="C31" s="15" t="e">
        <f>VLOOKUP(B31,داتا!$B$3:$D$107,2,FALSE)</f>
        <v>#N/A</v>
      </c>
      <c r="D31" s="34" t="e">
        <f>VLOOKUP(B31,داتا!$B$3:$D$107,3,FALSE)</f>
        <v>#N/A</v>
      </c>
      <c r="E31" s="15"/>
      <c r="F31" s="15"/>
      <c r="G31" s="16">
        <v>0.25</v>
      </c>
      <c r="H31" s="16"/>
      <c r="I31" s="16">
        <f t="shared" si="1"/>
        <v>-0.25</v>
      </c>
      <c r="J31" s="16"/>
      <c r="K31" s="16"/>
      <c r="L31" s="16"/>
      <c r="M31" s="16"/>
      <c r="N31" s="16">
        <f t="shared" si="2"/>
        <v>0</v>
      </c>
      <c r="O31" s="16" t="e">
        <f t="shared" si="3"/>
        <v>#N/A</v>
      </c>
      <c r="P31" s="16">
        <v>6.9444444444444397E-3</v>
      </c>
      <c r="Q31" s="16"/>
      <c r="R31" s="16">
        <f t="shared" si="4"/>
        <v>-6.9444444444444397E-3</v>
      </c>
      <c r="S31" s="16"/>
      <c r="T31" s="16" t="e">
        <f>VLOOKUP(E31,'[2]21-3-2026'!E$3:T$35,16,FALSE)</f>
        <v>#N/A</v>
      </c>
      <c r="U31" s="16"/>
      <c r="V31" s="16" t="e">
        <f t="shared" si="5"/>
        <v>#N/A</v>
      </c>
      <c r="W31" s="16"/>
      <c r="X31" s="16"/>
      <c r="Y31" s="16"/>
      <c r="Z31" s="16">
        <f t="shared" si="6"/>
        <v>0</v>
      </c>
      <c r="AA31" s="16">
        <f t="shared" si="0"/>
        <v>0</v>
      </c>
      <c r="AB31" s="16"/>
      <c r="AC31" s="17"/>
      <c r="AD31" s="48"/>
    </row>
    <row r="32" spans="1:30" ht="19.5" thickBot="1" x14ac:dyDescent="0.3">
      <c r="A32" s="14">
        <v>30</v>
      </c>
      <c r="B32" s="15"/>
      <c r="C32" s="15" t="e">
        <f>VLOOKUP(B32,داتا!$B$3:$D$107,2,FALSE)</f>
        <v>#N/A</v>
      </c>
      <c r="D32" s="34" t="e">
        <f>VLOOKUP(B32,داتا!$B$3:$D$107,3,FALSE)</f>
        <v>#N/A</v>
      </c>
      <c r="E32" s="15"/>
      <c r="F32" s="15"/>
      <c r="G32" s="16">
        <v>0.25</v>
      </c>
      <c r="H32" s="16"/>
      <c r="I32" s="16">
        <f t="shared" si="1"/>
        <v>-0.25</v>
      </c>
      <c r="J32" s="16"/>
      <c r="K32" s="16"/>
      <c r="L32" s="16"/>
      <c r="M32" s="16"/>
      <c r="N32" s="16">
        <f t="shared" si="2"/>
        <v>0</v>
      </c>
      <c r="O32" s="16" t="e">
        <f t="shared" si="3"/>
        <v>#N/A</v>
      </c>
      <c r="P32" s="16">
        <v>6.9444444444444397E-3</v>
      </c>
      <c r="Q32" s="16"/>
      <c r="R32" s="16">
        <f t="shared" si="4"/>
        <v>-6.9444444444444397E-3</v>
      </c>
      <c r="S32" s="16"/>
      <c r="T32" s="16" t="e">
        <f>VLOOKUP(E32,'[2]21-3-2026'!E$3:T$35,16,FALSE)</f>
        <v>#N/A</v>
      </c>
      <c r="U32" s="16"/>
      <c r="V32" s="16" t="e">
        <f t="shared" si="5"/>
        <v>#N/A</v>
      </c>
      <c r="W32" s="16"/>
      <c r="X32" s="16"/>
      <c r="Y32" s="16"/>
      <c r="Z32" s="16">
        <f t="shared" si="6"/>
        <v>0</v>
      </c>
      <c r="AA32" s="16">
        <f t="shared" si="0"/>
        <v>0</v>
      </c>
      <c r="AB32" s="16"/>
      <c r="AC32" s="17"/>
      <c r="AD32" s="48"/>
    </row>
    <row r="33" spans="1:30" ht="19.5" thickBot="1" x14ac:dyDescent="0.3">
      <c r="A33" s="14">
        <v>31</v>
      </c>
      <c r="B33" s="15"/>
      <c r="C33" s="15" t="e">
        <f>VLOOKUP(B33,داتا!$B$3:$D$107,2,FALSE)</f>
        <v>#N/A</v>
      </c>
      <c r="D33" s="34" t="e">
        <f>VLOOKUP(B33,داتا!$B$3:$D$107,3,FALSE)</f>
        <v>#N/A</v>
      </c>
      <c r="E33" s="15"/>
      <c r="F33" s="15"/>
      <c r="G33" s="16">
        <v>0.25</v>
      </c>
      <c r="H33" s="16"/>
      <c r="I33" s="16">
        <f t="shared" si="1"/>
        <v>-0.25</v>
      </c>
      <c r="J33" s="16"/>
      <c r="K33" s="16"/>
      <c r="L33" s="16"/>
      <c r="M33" s="16"/>
      <c r="N33" s="16">
        <f t="shared" si="2"/>
        <v>0</v>
      </c>
      <c r="O33" s="16" t="e">
        <f t="shared" si="3"/>
        <v>#N/A</v>
      </c>
      <c r="P33" s="16">
        <v>6.9444444444444397E-3</v>
      </c>
      <c r="Q33" s="16"/>
      <c r="R33" s="16">
        <f t="shared" si="4"/>
        <v>-6.9444444444444397E-3</v>
      </c>
      <c r="S33" s="16"/>
      <c r="T33" s="16" t="e">
        <f>VLOOKUP(E33,'[2]21-3-2026'!E$3:T$35,16,FALSE)</f>
        <v>#N/A</v>
      </c>
      <c r="U33" s="16"/>
      <c r="V33" s="16" t="e">
        <f t="shared" si="5"/>
        <v>#N/A</v>
      </c>
      <c r="W33" s="16"/>
      <c r="X33" s="16"/>
      <c r="Y33" s="16"/>
      <c r="Z33" s="16">
        <f t="shared" si="6"/>
        <v>0</v>
      </c>
      <c r="AA33" s="16">
        <f t="shared" si="0"/>
        <v>0</v>
      </c>
      <c r="AB33" s="16"/>
      <c r="AC33" s="17"/>
      <c r="AD33" s="48"/>
    </row>
    <row r="34" spans="1:30" ht="19.5" thickBot="1" x14ac:dyDescent="0.3">
      <c r="A34" s="14">
        <v>32</v>
      </c>
      <c r="B34" s="15"/>
      <c r="C34" s="15" t="e">
        <f>VLOOKUP(B34,داتا!$B$3:$D$107,2,FALSE)</f>
        <v>#N/A</v>
      </c>
      <c r="D34" s="34" t="e">
        <f>VLOOKUP(B34,داتا!$B$3:$D$107,3,FALSE)</f>
        <v>#N/A</v>
      </c>
      <c r="E34" s="15"/>
      <c r="F34" s="15"/>
      <c r="G34" s="16">
        <v>0.25</v>
      </c>
      <c r="H34" s="16"/>
      <c r="I34" s="16">
        <f t="shared" si="1"/>
        <v>-0.25</v>
      </c>
      <c r="J34" s="16"/>
      <c r="K34" s="16"/>
      <c r="L34" s="16"/>
      <c r="M34" s="16"/>
      <c r="N34" s="16">
        <f t="shared" si="2"/>
        <v>0</v>
      </c>
      <c r="O34" s="16" t="e">
        <f t="shared" si="3"/>
        <v>#N/A</v>
      </c>
      <c r="P34" s="16">
        <v>6.9444444444444397E-3</v>
      </c>
      <c r="Q34" s="16"/>
      <c r="R34" s="16">
        <f t="shared" si="4"/>
        <v>-6.9444444444444397E-3</v>
      </c>
      <c r="S34" s="16"/>
      <c r="T34" s="16" t="e">
        <f>VLOOKUP(E34,'[2]21-3-2026'!E$3:T$35,16,FALSE)</f>
        <v>#N/A</v>
      </c>
      <c r="U34" s="16"/>
      <c r="V34" s="16" t="e">
        <f t="shared" si="5"/>
        <v>#N/A</v>
      </c>
      <c r="W34" s="16"/>
      <c r="X34" s="16"/>
      <c r="Y34" s="16"/>
      <c r="Z34" s="16">
        <f t="shared" si="6"/>
        <v>0</v>
      </c>
      <c r="AA34" s="16">
        <f t="shared" si="0"/>
        <v>0</v>
      </c>
      <c r="AB34" s="16"/>
      <c r="AC34" s="17"/>
      <c r="AD34" s="48"/>
    </row>
    <row r="35" spans="1:30" ht="19.5" thickBot="1" x14ac:dyDescent="0.3">
      <c r="A35" s="20">
        <v>33</v>
      </c>
      <c r="B35" s="21"/>
      <c r="C35" s="21" t="e">
        <f>VLOOKUP(B35,داتا!$B$3:$D$107,2,FALSE)</f>
        <v>#N/A</v>
      </c>
      <c r="D35" s="35" t="e">
        <f>VLOOKUP(B35,داتا!$B$3:$D$107,3,FALSE)</f>
        <v>#N/A</v>
      </c>
      <c r="E35" s="21"/>
      <c r="F35" s="21"/>
      <c r="G35" s="22">
        <v>0.25</v>
      </c>
      <c r="H35" s="22"/>
      <c r="I35" s="22">
        <f t="shared" si="1"/>
        <v>-0.25</v>
      </c>
      <c r="J35" s="22"/>
      <c r="K35" s="22"/>
      <c r="L35" s="22"/>
      <c r="M35" s="22"/>
      <c r="N35" s="22">
        <f t="shared" si="2"/>
        <v>0</v>
      </c>
      <c r="O35" s="22" t="e">
        <f t="shared" si="3"/>
        <v>#N/A</v>
      </c>
      <c r="P35" s="22">
        <v>6.9444444444444397E-3</v>
      </c>
      <c r="Q35" s="22"/>
      <c r="R35" s="22">
        <f t="shared" si="4"/>
        <v>-6.9444444444444397E-3</v>
      </c>
      <c r="S35" s="22"/>
      <c r="T35" s="22" t="e">
        <f>VLOOKUP(E35,'[2]21-3-2026'!E$3:T$35,16,FALSE)</f>
        <v>#N/A</v>
      </c>
      <c r="U35" s="22"/>
      <c r="V35" s="22" t="e">
        <f t="shared" si="5"/>
        <v>#N/A</v>
      </c>
      <c r="W35" s="22"/>
      <c r="X35" s="22"/>
      <c r="Y35" s="22"/>
      <c r="Z35" s="22">
        <f t="shared" si="6"/>
        <v>0</v>
      </c>
      <c r="AA35" s="22">
        <f t="shared" si="0"/>
        <v>0</v>
      </c>
      <c r="AB35" s="22"/>
      <c r="AC35" s="23"/>
      <c r="AD35" s="49"/>
    </row>
    <row r="36" spans="1:30" ht="20.25" customHeight="1" thickTop="1" thickBot="1" x14ac:dyDescent="0.3">
      <c r="A36" s="10">
        <v>1</v>
      </c>
      <c r="B36" s="11"/>
      <c r="C36" s="11" t="e">
        <f>VLOOKUP(B36,داتا!$B$3:$D$107,2,FALSE)</f>
        <v>#N/A</v>
      </c>
      <c r="D36" s="33" t="e">
        <f>VLOOKUP(B36,داتا!$B$3:$D$107,3,FALSE)</f>
        <v>#N/A</v>
      </c>
      <c r="E36" s="11"/>
      <c r="F36" s="11"/>
      <c r="G36" s="12">
        <v>0.25</v>
      </c>
      <c r="H36" s="12" t="e">
        <f>VLOOKUP(G36,$F$3:$I$35,2,FALSE)</f>
        <v>#N/A</v>
      </c>
      <c r="I36" s="12" t="e">
        <f t="shared" si="1"/>
        <v>#N/A</v>
      </c>
      <c r="J36" s="12"/>
      <c r="K36" s="12"/>
      <c r="L36" s="12"/>
      <c r="M36" s="12"/>
      <c r="N36" s="12">
        <f t="shared" si="2"/>
        <v>0</v>
      </c>
      <c r="O36" s="12" t="e">
        <f t="shared" si="3"/>
        <v>#N/A</v>
      </c>
      <c r="P36" s="12">
        <v>6.9444444444444397E-3</v>
      </c>
      <c r="Q36" s="12"/>
      <c r="R36" s="12">
        <f t="shared" si="4"/>
        <v>-6.9444444444444397E-3</v>
      </c>
      <c r="S36" s="12"/>
      <c r="T36" s="12" t="e">
        <f>VLOOKUP(E36,'[2]21-3-2026'!E$3:T$35,16,FALSE)</f>
        <v>#N/A</v>
      </c>
      <c r="U36" s="12"/>
      <c r="V36" s="12" t="e">
        <f t="shared" si="5"/>
        <v>#N/A</v>
      </c>
      <c r="W36" s="12"/>
      <c r="X36" s="12"/>
      <c r="Y36" s="12"/>
      <c r="Z36" s="12">
        <f t="shared" si="6"/>
        <v>0</v>
      </c>
      <c r="AA36" s="12">
        <f t="shared" si="0"/>
        <v>0</v>
      </c>
      <c r="AB36" s="12"/>
      <c r="AC36" s="29"/>
      <c r="AD36" s="50" t="s">
        <v>104</v>
      </c>
    </row>
    <row r="37" spans="1:30" ht="19.5" thickBot="1" x14ac:dyDescent="0.3">
      <c r="A37" s="14">
        <v>2</v>
      </c>
      <c r="B37" s="15"/>
      <c r="C37" s="15" t="e">
        <f>VLOOKUP(B37,داتا!$B$3:$D$107,2,FALSE)</f>
        <v>#N/A</v>
      </c>
      <c r="D37" s="34" t="e">
        <f>VLOOKUP(B37,داتا!$B$3:$D$107,3,FALSE)</f>
        <v>#N/A</v>
      </c>
      <c r="E37" s="15"/>
      <c r="F37" s="15"/>
      <c r="G37" s="16">
        <v>0.25</v>
      </c>
      <c r="H37" s="16" t="e">
        <f t="shared" ref="H37:H52" si="7">VLOOKUP(G37,$F$3:$I$35,2,FALSE)</f>
        <v>#N/A</v>
      </c>
      <c r="I37" s="16" t="e">
        <f t="shared" si="1"/>
        <v>#N/A</v>
      </c>
      <c r="J37" s="16"/>
      <c r="K37" s="16"/>
      <c r="L37" s="16"/>
      <c r="M37" s="16"/>
      <c r="N37" s="16">
        <f t="shared" si="2"/>
        <v>0</v>
      </c>
      <c r="O37" s="16" t="e">
        <f t="shared" si="3"/>
        <v>#N/A</v>
      </c>
      <c r="P37" s="16">
        <v>6.9444444444444397E-3</v>
      </c>
      <c r="Q37" s="16"/>
      <c r="R37" s="16">
        <f t="shared" si="4"/>
        <v>-6.9444444444444397E-3</v>
      </c>
      <c r="S37" s="16"/>
      <c r="T37" s="16" t="e">
        <f>VLOOKUP(E37,'[2]21-3-2026'!E$3:T$35,16,FALSE)</f>
        <v>#N/A</v>
      </c>
      <c r="U37" s="16"/>
      <c r="V37" s="16" t="e">
        <f t="shared" si="5"/>
        <v>#N/A</v>
      </c>
      <c r="W37" s="16"/>
      <c r="X37" s="16"/>
      <c r="Y37" s="16"/>
      <c r="Z37" s="16">
        <f t="shared" si="6"/>
        <v>0</v>
      </c>
      <c r="AA37" s="16">
        <f t="shared" si="0"/>
        <v>0</v>
      </c>
      <c r="AB37" s="16"/>
      <c r="AC37" s="19"/>
      <c r="AD37" s="51"/>
    </row>
    <row r="38" spans="1:30" ht="19.5" thickBot="1" x14ac:dyDescent="0.3">
      <c r="A38" s="14">
        <v>3</v>
      </c>
      <c r="B38" s="15"/>
      <c r="C38" s="15" t="e">
        <f>VLOOKUP(B38,داتا!$B$3:$D$107,2,FALSE)</f>
        <v>#N/A</v>
      </c>
      <c r="D38" s="34" t="e">
        <f>VLOOKUP(B38,داتا!$B$3:$D$107,3,FALSE)</f>
        <v>#N/A</v>
      </c>
      <c r="E38" s="15"/>
      <c r="F38" s="15"/>
      <c r="G38" s="16">
        <v>0.25</v>
      </c>
      <c r="H38" s="16" t="e">
        <f t="shared" si="7"/>
        <v>#N/A</v>
      </c>
      <c r="I38" s="16" t="e">
        <f t="shared" si="1"/>
        <v>#N/A</v>
      </c>
      <c r="J38" s="16"/>
      <c r="K38" s="16"/>
      <c r="L38" s="16"/>
      <c r="M38" s="16"/>
      <c r="N38" s="16">
        <f t="shared" si="2"/>
        <v>0</v>
      </c>
      <c r="O38" s="16" t="e">
        <f t="shared" si="3"/>
        <v>#N/A</v>
      </c>
      <c r="P38" s="16">
        <v>6.9444444444444397E-3</v>
      </c>
      <c r="Q38" s="16"/>
      <c r="R38" s="16">
        <f t="shared" si="4"/>
        <v>-6.9444444444444397E-3</v>
      </c>
      <c r="S38" s="16"/>
      <c r="T38" s="16" t="e">
        <f>VLOOKUP(E38,'[2]21-3-2026'!E$3:T$35,16,FALSE)</f>
        <v>#N/A</v>
      </c>
      <c r="U38" s="16"/>
      <c r="V38" s="16" t="e">
        <f t="shared" si="5"/>
        <v>#N/A</v>
      </c>
      <c r="W38" s="16"/>
      <c r="X38" s="16"/>
      <c r="Y38" s="16"/>
      <c r="Z38" s="16">
        <f t="shared" si="6"/>
        <v>0</v>
      </c>
      <c r="AA38" s="16">
        <f t="shared" si="0"/>
        <v>0</v>
      </c>
      <c r="AB38" s="16"/>
      <c r="AC38" s="19"/>
      <c r="AD38" s="51"/>
    </row>
    <row r="39" spans="1:30" ht="19.5" thickBot="1" x14ac:dyDescent="0.3">
      <c r="A39" s="14">
        <v>4</v>
      </c>
      <c r="B39" s="15"/>
      <c r="C39" s="15" t="e">
        <f>VLOOKUP(B39,داتا!$B$3:$D$107,2,FALSE)</f>
        <v>#N/A</v>
      </c>
      <c r="D39" s="34" t="e">
        <f>VLOOKUP(B39,داتا!$B$3:$D$107,3,FALSE)</f>
        <v>#N/A</v>
      </c>
      <c r="E39" s="15"/>
      <c r="F39" s="15"/>
      <c r="G39" s="16">
        <v>0.25</v>
      </c>
      <c r="H39" s="16" t="e">
        <f t="shared" si="7"/>
        <v>#N/A</v>
      </c>
      <c r="I39" s="16" t="e">
        <f t="shared" si="1"/>
        <v>#N/A</v>
      </c>
      <c r="J39" s="16"/>
      <c r="K39" s="16"/>
      <c r="L39" s="16"/>
      <c r="M39" s="16"/>
      <c r="N39" s="16">
        <f t="shared" si="2"/>
        <v>0</v>
      </c>
      <c r="O39" s="16" t="e">
        <f t="shared" si="3"/>
        <v>#N/A</v>
      </c>
      <c r="P39" s="16">
        <v>6.9444444444444397E-3</v>
      </c>
      <c r="Q39" s="16"/>
      <c r="R39" s="16">
        <f t="shared" si="4"/>
        <v>-6.9444444444444397E-3</v>
      </c>
      <c r="S39" s="16"/>
      <c r="T39" s="16" t="e">
        <f>VLOOKUP(E39,'[2]21-3-2026'!E$3:T$35,16,FALSE)</f>
        <v>#N/A</v>
      </c>
      <c r="U39" s="16"/>
      <c r="V39" s="16" t="e">
        <f t="shared" si="5"/>
        <v>#N/A</v>
      </c>
      <c r="W39" s="16"/>
      <c r="X39" s="16"/>
      <c r="Y39" s="16"/>
      <c r="Z39" s="16">
        <f t="shared" si="6"/>
        <v>0</v>
      </c>
      <c r="AA39" s="16">
        <f t="shared" si="0"/>
        <v>0</v>
      </c>
      <c r="AB39" s="16"/>
      <c r="AC39" s="17"/>
      <c r="AD39" s="51"/>
    </row>
    <row r="40" spans="1:30" ht="19.5" thickBot="1" x14ac:dyDescent="0.3">
      <c r="A40" s="14">
        <v>5</v>
      </c>
      <c r="B40" s="15"/>
      <c r="C40" s="15" t="e">
        <f>VLOOKUP(B40,داتا!$B$3:$D$107,2,FALSE)</f>
        <v>#N/A</v>
      </c>
      <c r="D40" s="34" t="e">
        <f>VLOOKUP(B40,داتا!$B$3:$D$107,3,FALSE)</f>
        <v>#N/A</v>
      </c>
      <c r="E40" s="15"/>
      <c r="F40" s="15"/>
      <c r="G40" s="16">
        <v>0.25</v>
      </c>
      <c r="H40" s="16" t="e">
        <f t="shared" si="7"/>
        <v>#N/A</v>
      </c>
      <c r="I40" s="16" t="e">
        <f t="shared" si="1"/>
        <v>#N/A</v>
      </c>
      <c r="J40" s="16"/>
      <c r="K40" s="16"/>
      <c r="L40" s="16"/>
      <c r="M40" s="16"/>
      <c r="N40" s="16">
        <f t="shared" si="2"/>
        <v>0</v>
      </c>
      <c r="O40" s="16" t="e">
        <f t="shared" si="3"/>
        <v>#N/A</v>
      </c>
      <c r="P40" s="16">
        <v>6.9444444444444397E-3</v>
      </c>
      <c r="Q40" s="16"/>
      <c r="R40" s="16">
        <f t="shared" si="4"/>
        <v>-6.9444444444444397E-3</v>
      </c>
      <c r="S40" s="16"/>
      <c r="T40" s="16" t="e">
        <f>VLOOKUP(E40,'[2]21-3-2026'!E$3:T$35,16,FALSE)</f>
        <v>#N/A</v>
      </c>
      <c r="U40" s="16"/>
      <c r="V40" s="16" t="e">
        <f t="shared" si="5"/>
        <v>#N/A</v>
      </c>
      <c r="W40" s="16"/>
      <c r="X40" s="16"/>
      <c r="Y40" s="16"/>
      <c r="Z40" s="16">
        <f t="shared" si="6"/>
        <v>0</v>
      </c>
      <c r="AA40" s="16">
        <f t="shared" si="0"/>
        <v>0</v>
      </c>
      <c r="AB40" s="16"/>
      <c r="AC40" s="17"/>
      <c r="AD40" s="51"/>
    </row>
    <row r="41" spans="1:30" ht="19.5" thickBot="1" x14ac:dyDescent="0.3">
      <c r="A41" s="14">
        <v>6</v>
      </c>
      <c r="B41" s="15"/>
      <c r="C41" s="15" t="e">
        <f>VLOOKUP(B41,داتا!$B$3:$D$107,2,FALSE)</f>
        <v>#N/A</v>
      </c>
      <c r="D41" s="34" t="e">
        <f>VLOOKUP(B41,داتا!$B$3:$D$107,3,FALSE)</f>
        <v>#N/A</v>
      </c>
      <c r="E41" s="15"/>
      <c r="F41" s="15"/>
      <c r="G41" s="16">
        <v>0.25</v>
      </c>
      <c r="H41" s="16" t="e">
        <f t="shared" si="7"/>
        <v>#N/A</v>
      </c>
      <c r="I41" s="16" t="e">
        <f t="shared" si="1"/>
        <v>#N/A</v>
      </c>
      <c r="J41" s="16"/>
      <c r="K41" s="16"/>
      <c r="L41" s="16"/>
      <c r="M41" s="16"/>
      <c r="N41" s="16">
        <f t="shared" si="2"/>
        <v>0</v>
      </c>
      <c r="O41" s="16" t="e">
        <f t="shared" si="3"/>
        <v>#N/A</v>
      </c>
      <c r="P41" s="16">
        <v>6.9444444444444397E-3</v>
      </c>
      <c r="Q41" s="16"/>
      <c r="R41" s="16">
        <f t="shared" si="4"/>
        <v>-6.9444444444444397E-3</v>
      </c>
      <c r="S41" s="16"/>
      <c r="T41" s="16" t="e">
        <f>VLOOKUP(E41,'[2]21-3-2026'!E$3:T$35,16,FALSE)</f>
        <v>#N/A</v>
      </c>
      <c r="U41" s="16"/>
      <c r="V41" s="16" t="e">
        <f t="shared" si="5"/>
        <v>#N/A</v>
      </c>
      <c r="W41" s="16"/>
      <c r="X41" s="16"/>
      <c r="Y41" s="16"/>
      <c r="Z41" s="16">
        <f t="shared" si="6"/>
        <v>0</v>
      </c>
      <c r="AA41" s="16">
        <f t="shared" si="0"/>
        <v>0</v>
      </c>
      <c r="AB41" s="16"/>
      <c r="AC41" s="17"/>
      <c r="AD41" s="51"/>
    </row>
    <row r="42" spans="1:30" ht="19.5" thickBot="1" x14ac:dyDescent="0.3">
      <c r="A42" s="14">
        <v>7</v>
      </c>
      <c r="B42" s="15"/>
      <c r="C42" s="15" t="e">
        <f>VLOOKUP(B42,داتا!$B$3:$D$107,2,FALSE)</f>
        <v>#N/A</v>
      </c>
      <c r="D42" s="34" t="e">
        <f>VLOOKUP(B42,داتا!$B$3:$D$107,3,FALSE)</f>
        <v>#N/A</v>
      </c>
      <c r="E42" s="15"/>
      <c r="F42" s="15"/>
      <c r="G42" s="16">
        <v>0.25</v>
      </c>
      <c r="H42" s="16" t="e">
        <f t="shared" si="7"/>
        <v>#N/A</v>
      </c>
      <c r="I42" s="16" t="e">
        <f t="shared" si="1"/>
        <v>#N/A</v>
      </c>
      <c r="J42" s="16"/>
      <c r="K42" s="16"/>
      <c r="L42" s="16"/>
      <c r="M42" s="16"/>
      <c r="N42" s="16">
        <f t="shared" si="2"/>
        <v>0</v>
      </c>
      <c r="O42" s="16" t="e">
        <f t="shared" si="3"/>
        <v>#N/A</v>
      </c>
      <c r="P42" s="16">
        <v>6.9444444444444397E-3</v>
      </c>
      <c r="Q42" s="16"/>
      <c r="R42" s="16">
        <f t="shared" si="4"/>
        <v>-6.9444444444444397E-3</v>
      </c>
      <c r="S42" s="16"/>
      <c r="T42" s="16" t="e">
        <f>VLOOKUP(E42,'[2]21-3-2026'!E$3:T$35,16,FALSE)</f>
        <v>#N/A</v>
      </c>
      <c r="U42" s="16"/>
      <c r="V42" s="16" t="e">
        <f t="shared" si="5"/>
        <v>#N/A</v>
      </c>
      <c r="W42" s="16"/>
      <c r="X42" s="16"/>
      <c r="Y42" s="16"/>
      <c r="Z42" s="16">
        <f t="shared" si="6"/>
        <v>0</v>
      </c>
      <c r="AA42" s="16">
        <f t="shared" si="0"/>
        <v>0</v>
      </c>
      <c r="AB42" s="16"/>
      <c r="AC42" s="17"/>
      <c r="AD42" s="51"/>
    </row>
    <row r="43" spans="1:30" ht="19.5" thickBot="1" x14ac:dyDescent="0.3">
      <c r="A43" s="14">
        <v>8</v>
      </c>
      <c r="B43" s="15"/>
      <c r="C43" s="15" t="e">
        <f>VLOOKUP(B43,داتا!$B$3:$D$107,2,FALSE)</f>
        <v>#N/A</v>
      </c>
      <c r="D43" s="34" t="e">
        <f>VLOOKUP(B43,داتا!$B$3:$D$107,3,FALSE)</f>
        <v>#N/A</v>
      </c>
      <c r="E43" s="15"/>
      <c r="F43" s="15"/>
      <c r="G43" s="16">
        <v>0.25</v>
      </c>
      <c r="H43" s="16" t="e">
        <f t="shared" si="7"/>
        <v>#N/A</v>
      </c>
      <c r="I43" s="16" t="e">
        <f t="shared" si="1"/>
        <v>#N/A</v>
      </c>
      <c r="J43" s="16"/>
      <c r="K43" s="16"/>
      <c r="L43" s="16"/>
      <c r="M43" s="16"/>
      <c r="N43" s="16">
        <f t="shared" si="2"/>
        <v>0</v>
      </c>
      <c r="O43" s="16" t="e">
        <f t="shared" si="3"/>
        <v>#N/A</v>
      </c>
      <c r="P43" s="16">
        <v>6.9444444444444397E-3</v>
      </c>
      <c r="Q43" s="16"/>
      <c r="R43" s="16">
        <f t="shared" si="4"/>
        <v>-6.9444444444444397E-3</v>
      </c>
      <c r="S43" s="16"/>
      <c r="T43" s="16" t="e">
        <f>VLOOKUP(E43,'[2]21-3-2026'!E$3:T$35,16,FALSE)</f>
        <v>#N/A</v>
      </c>
      <c r="U43" s="16"/>
      <c r="V43" s="16" t="e">
        <f t="shared" si="5"/>
        <v>#N/A</v>
      </c>
      <c r="W43" s="16"/>
      <c r="X43" s="16"/>
      <c r="Y43" s="16"/>
      <c r="Z43" s="16">
        <f t="shared" si="6"/>
        <v>0</v>
      </c>
      <c r="AA43" s="16">
        <f t="shared" si="0"/>
        <v>0</v>
      </c>
      <c r="AB43" s="16"/>
      <c r="AC43" s="17"/>
      <c r="AD43" s="51"/>
    </row>
    <row r="44" spans="1:30" ht="19.5" thickBot="1" x14ac:dyDescent="0.3">
      <c r="A44" s="14">
        <v>9</v>
      </c>
      <c r="B44" s="15"/>
      <c r="C44" s="15" t="e">
        <f>VLOOKUP(B44,داتا!$B$3:$D$107,2,FALSE)</f>
        <v>#N/A</v>
      </c>
      <c r="D44" s="34" t="e">
        <f>VLOOKUP(B44,داتا!$B$3:$D$107,3,FALSE)</f>
        <v>#N/A</v>
      </c>
      <c r="E44" s="15"/>
      <c r="F44" s="15"/>
      <c r="G44" s="16">
        <v>0.25</v>
      </c>
      <c r="H44" s="16" t="e">
        <f t="shared" si="7"/>
        <v>#N/A</v>
      </c>
      <c r="I44" s="16" t="e">
        <f t="shared" si="1"/>
        <v>#N/A</v>
      </c>
      <c r="J44" s="16"/>
      <c r="K44" s="16"/>
      <c r="L44" s="16"/>
      <c r="M44" s="16"/>
      <c r="N44" s="16">
        <f t="shared" si="2"/>
        <v>0</v>
      </c>
      <c r="O44" s="16" t="e">
        <f t="shared" si="3"/>
        <v>#N/A</v>
      </c>
      <c r="P44" s="16">
        <v>6.9444444444444397E-3</v>
      </c>
      <c r="Q44" s="16"/>
      <c r="R44" s="16">
        <f t="shared" si="4"/>
        <v>-6.9444444444444397E-3</v>
      </c>
      <c r="S44" s="16"/>
      <c r="T44" s="16" t="e">
        <f>VLOOKUP(E44,'[2]21-3-2026'!E$3:T$35,16,FALSE)</f>
        <v>#N/A</v>
      </c>
      <c r="U44" s="16"/>
      <c r="V44" s="16" t="e">
        <f t="shared" si="5"/>
        <v>#N/A</v>
      </c>
      <c r="W44" s="16"/>
      <c r="X44" s="16"/>
      <c r="Y44" s="16"/>
      <c r="Z44" s="16">
        <f t="shared" si="6"/>
        <v>0</v>
      </c>
      <c r="AA44" s="16">
        <f t="shared" si="0"/>
        <v>0</v>
      </c>
      <c r="AB44" s="16"/>
      <c r="AC44" s="17"/>
      <c r="AD44" s="51"/>
    </row>
    <row r="45" spans="1:30" ht="19.5" thickBot="1" x14ac:dyDescent="0.3">
      <c r="A45" s="14">
        <v>10</v>
      </c>
      <c r="B45" s="15"/>
      <c r="C45" s="15" t="e">
        <f>VLOOKUP(B45,داتا!$B$3:$D$107,2,FALSE)</f>
        <v>#N/A</v>
      </c>
      <c r="D45" s="34" t="e">
        <f>VLOOKUP(B45,داتا!$B$3:$D$107,3,FALSE)</f>
        <v>#N/A</v>
      </c>
      <c r="E45" s="15"/>
      <c r="F45" s="15"/>
      <c r="G45" s="16">
        <v>0.25</v>
      </c>
      <c r="H45" s="16" t="e">
        <f t="shared" si="7"/>
        <v>#N/A</v>
      </c>
      <c r="I45" s="16" t="e">
        <f t="shared" si="1"/>
        <v>#N/A</v>
      </c>
      <c r="J45" s="16"/>
      <c r="K45" s="16"/>
      <c r="L45" s="16"/>
      <c r="M45" s="16"/>
      <c r="N45" s="16">
        <f t="shared" si="2"/>
        <v>0</v>
      </c>
      <c r="O45" s="16" t="e">
        <f t="shared" si="3"/>
        <v>#N/A</v>
      </c>
      <c r="P45" s="16">
        <v>6.9444444444444397E-3</v>
      </c>
      <c r="Q45" s="16"/>
      <c r="R45" s="16">
        <f t="shared" si="4"/>
        <v>-6.9444444444444397E-3</v>
      </c>
      <c r="S45" s="16"/>
      <c r="T45" s="16" t="e">
        <f>VLOOKUP(E45,'[2]21-3-2026'!E$3:T$35,16,FALSE)</f>
        <v>#N/A</v>
      </c>
      <c r="U45" s="16"/>
      <c r="V45" s="16" t="e">
        <f t="shared" si="5"/>
        <v>#N/A</v>
      </c>
      <c r="W45" s="16"/>
      <c r="X45" s="16"/>
      <c r="Y45" s="16"/>
      <c r="Z45" s="16">
        <f t="shared" si="6"/>
        <v>0</v>
      </c>
      <c r="AA45" s="16">
        <f t="shared" si="0"/>
        <v>0</v>
      </c>
      <c r="AB45" s="16"/>
      <c r="AC45" s="17"/>
      <c r="AD45" s="51"/>
    </row>
    <row r="46" spans="1:30" ht="19.5" thickBot="1" x14ac:dyDescent="0.3">
      <c r="A46" s="14">
        <v>11</v>
      </c>
      <c r="B46" s="15"/>
      <c r="C46" s="15" t="e">
        <f>VLOOKUP(B46,داتا!$B$3:$D$107,2,FALSE)</f>
        <v>#N/A</v>
      </c>
      <c r="D46" s="34" t="e">
        <f>VLOOKUP(B46,داتا!$B$3:$D$107,3,FALSE)</f>
        <v>#N/A</v>
      </c>
      <c r="E46" s="15"/>
      <c r="F46" s="15"/>
      <c r="G46" s="16">
        <v>0.25</v>
      </c>
      <c r="H46" s="16" t="e">
        <f t="shared" si="7"/>
        <v>#N/A</v>
      </c>
      <c r="I46" s="16" t="e">
        <f t="shared" si="1"/>
        <v>#N/A</v>
      </c>
      <c r="J46" s="16"/>
      <c r="K46" s="16"/>
      <c r="L46" s="16"/>
      <c r="M46" s="16"/>
      <c r="N46" s="16">
        <f t="shared" si="2"/>
        <v>0</v>
      </c>
      <c r="O46" s="16" t="e">
        <f t="shared" si="3"/>
        <v>#N/A</v>
      </c>
      <c r="P46" s="16">
        <v>6.9444444444444397E-3</v>
      </c>
      <c r="Q46" s="16"/>
      <c r="R46" s="16">
        <f t="shared" si="4"/>
        <v>-6.9444444444444397E-3</v>
      </c>
      <c r="S46" s="16"/>
      <c r="T46" s="16" t="e">
        <f>VLOOKUP(E46,'[2]21-3-2026'!E$3:T$35,16,FALSE)</f>
        <v>#N/A</v>
      </c>
      <c r="U46" s="16"/>
      <c r="V46" s="16" t="e">
        <f t="shared" si="5"/>
        <v>#N/A</v>
      </c>
      <c r="W46" s="16"/>
      <c r="X46" s="16"/>
      <c r="Y46" s="16"/>
      <c r="Z46" s="16">
        <f t="shared" si="6"/>
        <v>0</v>
      </c>
      <c r="AA46" s="16">
        <f t="shared" si="0"/>
        <v>0</v>
      </c>
      <c r="AB46" s="16"/>
      <c r="AC46" s="17"/>
      <c r="AD46" s="51"/>
    </row>
    <row r="47" spans="1:30" ht="19.5" thickBot="1" x14ac:dyDescent="0.3">
      <c r="A47" s="14">
        <v>12</v>
      </c>
      <c r="B47" s="15"/>
      <c r="C47" s="15" t="e">
        <f>VLOOKUP(B47,داتا!$B$3:$D$107,2,FALSE)</f>
        <v>#N/A</v>
      </c>
      <c r="D47" s="34" t="e">
        <f>VLOOKUP(B47,داتا!$B$3:$D$107,3,FALSE)</f>
        <v>#N/A</v>
      </c>
      <c r="E47" s="15"/>
      <c r="F47" s="15"/>
      <c r="G47" s="16">
        <v>0.25</v>
      </c>
      <c r="H47" s="16" t="e">
        <f t="shared" si="7"/>
        <v>#N/A</v>
      </c>
      <c r="I47" s="16" t="e">
        <f t="shared" si="1"/>
        <v>#N/A</v>
      </c>
      <c r="J47" s="16"/>
      <c r="K47" s="16"/>
      <c r="L47" s="16"/>
      <c r="M47" s="16"/>
      <c r="N47" s="16">
        <f t="shared" si="2"/>
        <v>0</v>
      </c>
      <c r="O47" s="16" t="e">
        <f t="shared" si="3"/>
        <v>#N/A</v>
      </c>
      <c r="P47" s="16">
        <v>6.9444444444444397E-3</v>
      </c>
      <c r="Q47" s="16"/>
      <c r="R47" s="16">
        <f t="shared" si="4"/>
        <v>-6.9444444444444397E-3</v>
      </c>
      <c r="S47" s="16"/>
      <c r="T47" s="16" t="e">
        <f>VLOOKUP(E47,'[2]21-3-2026'!E$3:T$35,16,FALSE)</f>
        <v>#N/A</v>
      </c>
      <c r="U47" s="16"/>
      <c r="V47" s="16" t="e">
        <f t="shared" si="5"/>
        <v>#N/A</v>
      </c>
      <c r="W47" s="16"/>
      <c r="X47" s="16"/>
      <c r="Y47" s="16"/>
      <c r="Z47" s="16">
        <f t="shared" si="6"/>
        <v>0</v>
      </c>
      <c r="AA47" s="16">
        <f t="shared" si="0"/>
        <v>0</v>
      </c>
      <c r="AB47" s="16"/>
      <c r="AC47" s="17"/>
      <c r="AD47" s="51"/>
    </row>
    <row r="48" spans="1:30" ht="19.5" thickBot="1" x14ac:dyDescent="0.3">
      <c r="A48" s="14">
        <v>13</v>
      </c>
      <c r="B48" s="15"/>
      <c r="C48" s="15" t="e">
        <f>VLOOKUP(B48,داتا!$B$3:$D$107,2,FALSE)</f>
        <v>#N/A</v>
      </c>
      <c r="D48" s="34" t="e">
        <f>VLOOKUP(B48,داتا!$B$3:$D$107,3,FALSE)</f>
        <v>#N/A</v>
      </c>
      <c r="E48" s="15"/>
      <c r="F48" s="15"/>
      <c r="G48" s="16">
        <v>0.25</v>
      </c>
      <c r="H48" s="16" t="e">
        <f t="shared" si="7"/>
        <v>#N/A</v>
      </c>
      <c r="I48" s="16" t="e">
        <f t="shared" si="1"/>
        <v>#N/A</v>
      </c>
      <c r="J48" s="16"/>
      <c r="K48" s="16"/>
      <c r="L48" s="16"/>
      <c r="M48" s="16"/>
      <c r="N48" s="16">
        <f t="shared" si="2"/>
        <v>0</v>
      </c>
      <c r="O48" s="16" t="e">
        <f t="shared" si="3"/>
        <v>#N/A</v>
      </c>
      <c r="P48" s="16">
        <v>6.9444444444444397E-3</v>
      </c>
      <c r="Q48" s="16"/>
      <c r="R48" s="16">
        <f t="shared" si="4"/>
        <v>-6.9444444444444397E-3</v>
      </c>
      <c r="S48" s="16"/>
      <c r="T48" s="16" t="e">
        <f>VLOOKUP(E48,'[2]21-3-2026'!E$3:T$35,16,FALSE)</f>
        <v>#N/A</v>
      </c>
      <c r="U48" s="16"/>
      <c r="V48" s="16" t="e">
        <f t="shared" si="5"/>
        <v>#N/A</v>
      </c>
      <c r="W48" s="16"/>
      <c r="X48" s="16"/>
      <c r="Y48" s="16"/>
      <c r="Z48" s="16">
        <f t="shared" si="6"/>
        <v>0</v>
      </c>
      <c r="AA48" s="16">
        <f t="shared" si="0"/>
        <v>0</v>
      </c>
      <c r="AB48" s="16"/>
      <c r="AC48" s="17"/>
      <c r="AD48" s="51"/>
    </row>
    <row r="49" spans="1:30" ht="19.5" thickBot="1" x14ac:dyDescent="0.3">
      <c r="A49" s="14">
        <v>14</v>
      </c>
      <c r="B49" s="15"/>
      <c r="C49" s="15" t="e">
        <f>VLOOKUP(B49,داتا!$B$3:$D$107,2,FALSE)</f>
        <v>#N/A</v>
      </c>
      <c r="D49" s="34" t="e">
        <f>VLOOKUP(B49,داتا!$B$3:$D$107,3,FALSE)</f>
        <v>#N/A</v>
      </c>
      <c r="E49" s="15"/>
      <c r="F49" s="15"/>
      <c r="G49" s="16">
        <v>0.25</v>
      </c>
      <c r="H49" s="16" t="e">
        <f t="shared" si="7"/>
        <v>#N/A</v>
      </c>
      <c r="I49" s="16" t="e">
        <f t="shared" si="1"/>
        <v>#N/A</v>
      </c>
      <c r="J49" s="16"/>
      <c r="K49" s="16"/>
      <c r="L49" s="16"/>
      <c r="M49" s="16"/>
      <c r="N49" s="16">
        <f t="shared" si="2"/>
        <v>0</v>
      </c>
      <c r="O49" s="16" t="e">
        <f t="shared" si="3"/>
        <v>#N/A</v>
      </c>
      <c r="P49" s="16">
        <v>6.9444444444444397E-3</v>
      </c>
      <c r="Q49" s="16"/>
      <c r="R49" s="16">
        <f t="shared" si="4"/>
        <v>-6.9444444444444397E-3</v>
      </c>
      <c r="S49" s="16"/>
      <c r="T49" s="16" t="e">
        <f>VLOOKUP(E49,'[2]21-3-2026'!E$3:T$35,16,FALSE)</f>
        <v>#N/A</v>
      </c>
      <c r="U49" s="16"/>
      <c r="V49" s="16" t="e">
        <f t="shared" si="5"/>
        <v>#N/A</v>
      </c>
      <c r="W49" s="16"/>
      <c r="X49" s="16"/>
      <c r="Y49" s="16"/>
      <c r="Z49" s="16">
        <f t="shared" si="6"/>
        <v>0</v>
      </c>
      <c r="AA49" s="16">
        <f t="shared" si="0"/>
        <v>0</v>
      </c>
      <c r="AB49" s="16"/>
      <c r="AC49" s="17"/>
      <c r="AD49" s="51"/>
    </row>
    <row r="50" spans="1:30" ht="19.5" thickBot="1" x14ac:dyDescent="0.3">
      <c r="A50" s="14">
        <v>15</v>
      </c>
      <c r="B50" s="15"/>
      <c r="C50" s="15" t="e">
        <f>VLOOKUP(B50,داتا!$B$3:$D$107,2,FALSE)</f>
        <v>#N/A</v>
      </c>
      <c r="D50" s="34" t="e">
        <f>VLOOKUP(B50,داتا!$B$3:$D$107,3,FALSE)</f>
        <v>#N/A</v>
      </c>
      <c r="E50" s="15"/>
      <c r="F50" s="15"/>
      <c r="G50" s="16">
        <v>0.25</v>
      </c>
      <c r="H50" s="16" t="e">
        <f t="shared" si="7"/>
        <v>#N/A</v>
      </c>
      <c r="I50" s="16" t="e">
        <f t="shared" si="1"/>
        <v>#N/A</v>
      </c>
      <c r="J50" s="16"/>
      <c r="K50" s="16"/>
      <c r="L50" s="16"/>
      <c r="M50" s="16"/>
      <c r="N50" s="16">
        <f t="shared" si="2"/>
        <v>0</v>
      </c>
      <c r="O50" s="16" t="e">
        <f t="shared" si="3"/>
        <v>#N/A</v>
      </c>
      <c r="P50" s="16">
        <v>6.9444444444444397E-3</v>
      </c>
      <c r="Q50" s="16"/>
      <c r="R50" s="16">
        <f t="shared" si="4"/>
        <v>-6.9444444444444397E-3</v>
      </c>
      <c r="S50" s="16"/>
      <c r="T50" s="16" t="e">
        <f>VLOOKUP(E50,'[2]21-3-2026'!E$3:T$35,16,FALSE)</f>
        <v>#N/A</v>
      </c>
      <c r="U50" s="16"/>
      <c r="V50" s="16" t="e">
        <f t="shared" si="5"/>
        <v>#N/A</v>
      </c>
      <c r="W50" s="16"/>
      <c r="X50" s="16"/>
      <c r="Y50" s="16"/>
      <c r="Z50" s="16">
        <f t="shared" si="6"/>
        <v>0</v>
      </c>
      <c r="AA50" s="16">
        <f t="shared" si="0"/>
        <v>0</v>
      </c>
      <c r="AB50" s="16"/>
      <c r="AC50" s="17"/>
      <c r="AD50" s="51"/>
    </row>
    <row r="51" spans="1:30" ht="19.5" thickBot="1" x14ac:dyDescent="0.3">
      <c r="A51" s="14">
        <v>16</v>
      </c>
      <c r="B51" s="15"/>
      <c r="C51" s="15" t="e">
        <f>VLOOKUP(B51,داتا!$B$3:$D$107,2,FALSE)</f>
        <v>#N/A</v>
      </c>
      <c r="D51" s="34" t="e">
        <f>VLOOKUP(B51,داتا!$B$3:$D$107,3,FALSE)</f>
        <v>#N/A</v>
      </c>
      <c r="E51" s="15"/>
      <c r="F51" s="15"/>
      <c r="G51" s="16">
        <v>0.25</v>
      </c>
      <c r="H51" s="16" t="e">
        <f t="shared" si="7"/>
        <v>#N/A</v>
      </c>
      <c r="I51" s="16" t="e">
        <f t="shared" si="1"/>
        <v>#N/A</v>
      </c>
      <c r="J51" s="16"/>
      <c r="K51" s="16"/>
      <c r="L51" s="16"/>
      <c r="M51" s="16"/>
      <c r="N51" s="16">
        <f t="shared" si="2"/>
        <v>0</v>
      </c>
      <c r="O51" s="16" t="e">
        <f t="shared" si="3"/>
        <v>#N/A</v>
      </c>
      <c r="P51" s="16">
        <v>6.9444444444444397E-3</v>
      </c>
      <c r="Q51" s="16"/>
      <c r="R51" s="16">
        <f t="shared" si="4"/>
        <v>-6.9444444444444397E-3</v>
      </c>
      <c r="S51" s="16"/>
      <c r="T51" s="16" t="e">
        <f>VLOOKUP(E51,'[2]21-3-2026'!E$3:T$35,16,FALSE)</f>
        <v>#N/A</v>
      </c>
      <c r="U51" s="16"/>
      <c r="V51" s="16" t="e">
        <f t="shared" si="5"/>
        <v>#N/A</v>
      </c>
      <c r="W51" s="16"/>
      <c r="X51" s="16"/>
      <c r="Y51" s="16"/>
      <c r="Z51" s="16">
        <f t="shared" si="6"/>
        <v>0</v>
      </c>
      <c r="AA51" s="16">
        <f t="shared" si="0"/>
        <v>0</v>
      </c>
      <c r="AB51" s="16"/>
      <c r="AC51" s="17"/>
      <c r="AD51" s="51"/>
    </row>
    <row r="52" spans="1:30" ht="19.5" thickBot="1" x14ac:dyDescent="0.3">
      <c r="A52" s="14">
        <v>17</v>
      </c>
      <c r="B52" s="15"/>
      <c r="C52" s="15" t="e">
        <f>VLOOKUP(B52,داتا!$B$3:$D$107,2,FALSE)</f>
        <v>#N/A</v>
      </c>
      <c r="D52" s="34" t="e">
        <f>VLOOKUP(B52,داتا!$B$3:$D$107,3,FALSE)</f>
        <v>#N/A</v>
      </c>
      <c r="E52" s="15"/>
      <c r="F52" s="15"/>
      <c r="G52" s="16">
        <v>0.25</v>
      </c>
      <c r="H52" s="16" t="e">
        <f t="shared" si="7"/>
        <v>#N/A</v>
      </c>
      <c r="I52" s="16" t="e">
        <f t="shared" si="1"/>
        <v>#N/A</v>
      </c>
      <c r="J52" s="16"/>
      <c r="K52" s="16"/>
      <c r="L52" s="16"/>
      <c r="M52" s="16"/>
      <c r="N52" s="16">
        <f t="shared" si="2"/>
        <v>0</v>
      </c>
      <c r="O52" s="16" t="e">
        <f t="shared" si="3"/>
        <v>#N/A</v>
      </c>
      <c r="P52" s="16">
        <v>6.9444444444444397E-3</v>
      </c>
      <c r="Q52" s="16"/>
      <c r="R52" s="16">
        <f t="shared" si="4"/>
        <v>-6.9444444444444397E-3</v>
      </c>
      <c r="S52" s="16"/>
      <c r="T52" s="16" t="e">
        <f>VLOOKUP(E52,'[2]21-3-2026'!E$3:T$35,16,FALSE)</f>
        <v>#N/A</v>
      </c>
      <c r="U52" s="16"/>
      <c r="V52" s="16" t="e">
        <f t="shared" si="5"/>
        <v>#N/A</v>
      </c>
      <c r="W52" s="16"/>
      <c r="X52" s="16"/>
      <c r="Y52" s="16"/>
      <c r="Z52" s="16">
        <f t="shared" si="6"/>
        <v>0</v>
      </c>
      <c r="AA52" s="16">
        <f t="shared" si="0"/>
        <v>0</v>
      </c>
      <c r="AB52" s="16"/>
      <c r="AC52" s="17"/>
      <c r="AD52" s="51"/>
    </row>
    <row r="53" spans="1:30" ht="19.5" thickBot="1" x14ac:dyDescent="0.3">
      <c r="A53" s="14">
        <v>18</v>
      </c>
      <c r="B53" s="15"/>
      <c r="C53" s="15" t="e">
        <f>VLOOKUP(B53,داتا!$B$3:$D$107,2,FALSE)</f>
        <v>#N/A</v>
      </c>
      <c r="D53" s="34" t="e">
        <f>VLOOKUP(B53,داتا!$B$3:$D$107,3,FALSE)</f>
        <v>#N/A</v>
      </c>
      <c r="E53" s="15"/>
      <c r="F53" s="15"/>
      <c r="G53" s="16">
        <v>0.25</v>
      </c>
      <c r="H53" s="16" t="e">
        <f t="shared" ref="H53:H68" si="8">VLOOKUP(G53,$F$3:$I$35,2,FALSE)</f>
        <v>#N/A</v>
      </c>
      <c r="I53" s="16" t="e">
        <f t="shared" si="1"/>
        <v>#N/A</v>
      </c>
      <c r="J53" s="16"/>
      <c r="K53" s="16"/>
      <c r="L53" s="16"/>
      <c r="M53" s="16"/>
      <c r="N53" s="16">
        <f t="shared" si="2"/>
        <v>0</v>
      </c>
      <c r="O53" s="16" t="e">
        <f t="shared" si="3"/>
        <v>#N/A</v>
      </c>
      <c r="P53" s="16">
        <v>6.9444444444444397E-3</v>
      </c>
      <c r="Q53" s="16"/>
      <c r="R53" s="16">
        <f t="shared" si="4"/>
        <v>-6.9444444444444397E-3</v>
      </c>
      <c r="S53" s="16"/>
      <c r="T53" s="16" t="e">
        <f>VLOOKUP(E53,'[2]21-3-2026'!E$3:T$35,16,FALSE)</f>
        <v>#N/A</v>
      </c>
      <c r="U53" s="16"/>
      <c r="V53" s="16" t="e">
        <f t="shared" si="5"/>
        <v>#N/A</v>
      </c>
      <c r="W53" s="16"/>
      <c r="X53" s="16"/>
      <c r="Y53" s="16"/>
      <c r="Z53" s="16">
        <f t="shared" si="6"/>
        <v>0</v>
      </c>
      <c r="AA53" s="16">
        <f t="shared" si="0"/>
        <v>0</v>
      </c>
      <c r="AB53" s="16"/>
      <c r="AC53" s="17"/>
      <c r="AD53" s="51"/>
    </row>
    <row r="54" spans="1:30" ht="19.5" thickBot="1" x14ac:dyDescent="0.3">
      <c r="A54" s="14">
        <v>19</v>
      </c>
      <c r="B54" s="15"/>
      <c r="C54" s="15" t="e">
        <f>VLOOKUP(B54,داتا!$B$3:$D$107,2,FALSE)</f>
        <v>#N/A</v>
      </c>
      <c r="D54" s="34" t="e">
        <f>VLOOKUP(B54,داتا!$B$3:$D$107,3,FALSE)</f>
        <v>#N/A</v>
      </c>
      <c r="E54" s="15"/>
      <c r="F54" s="15"/>
      <c r="G54" s="16">
        <v>0.25</v>
      </c>
      <c r="H54" s="16" t="e">
        <f t="shared" si="8"/>
        <v>#N/A</v>
      </c>
      <c r="I54" s="16" t="e">
        <f t="shared" si="1"/>
        <v>#N/A</v>
      </c>
      <c r="J54" s="16"/>
      <c r="K54" s="16"/>
      <c r="L54" s="16"/>
      <c r="M54" s="16"/>
      <c r="N54" s="16">
        <f t="shared" si="2"/>
        <v>0</v>
      </c>
      <c r="O54" s="16" t="e">
        <f t="shared" si="3"/>
        <v>#N/A</v>
      </c>
      <c r="P54" s="16">
        <v>6.9444444444444397E-3</v>
      </c>
      <c r="Q54" s="16"/>
      <c r="R54" s="16">
        <f t="shared" si="4"/>
        <v>-6.9444444444444397E-3</v>
      </c>
      <c r="S54" s="16"/>
      <c r="T54" s="16" t="e">
        <f>VLOOKUP(E54,'[2]21-3-2026'!E$3:T$35,16,FALSE)</f>
        <v>#N/A</v>
      </c>
      <c r="U54" s="16"/>
      <c r="V54" s="16" t="e">
        <f t="shared" si="5"/>
        <v>#N/A</v>
      </c>
      <c r="W54" s="16"/>
      <c r="X54" s="16"/>
      <c r="Y54" s="16"/>
      <c r="Z54" s="16">
        <f t="shared" si="6"/>
        <v>0</v>
      </c>
      <c r="AA54" s="16">
        <f t="shared" si="0"/>
        <v>0</v>
      </c>
      <c r="AB54" s="16"/>
      <c r="AC54" s="17"/>
      <c r="AD54" s="51"/>
    </row>
    <row r="55" spans="1:30" ht="19.5" thickBot="1" x14ac:dyDescent="0.3">
      <c r="A55" s="14">
        <v>20</v>
      </c>
      <c r="B55" s="15"/>
      <c r="C55" s="15" t="e">
        <f>VLOOKUP(B55,داتا!$B$3:$D$107,2,FALSE)</f>
        <v>#N/A</v>
      </c>
      <c r="D55" s="34" t="e">
        <f>VLOOKUP(B55,داتا!$B$3:$D$107,3,FALSE)</f>
        <v>#N/A</v>
      </c>
      <c r="E55" s="15"/>
      <c r="F55" s="15"/>
      <c r="G55" s="16">
        <v>0.25</v>
      </c>
      <c r="H55" s="16" t="e">
        <f t="shared" si="8"/>
        <v>#N/A</v>
      </c>
      <c r="I55" s="16" t="e">
        <f t="shared" si="1"/>
        <v>#N/A</v>
      </c>
      <c r="J55" s="16"/>
      <c r="K55" s="16"/>
      <c r="L55" s="16"/>
      <c r="M55" s="16"/>
      <c r="N55" s="16">
        <f t="shared" si="2"/>
        <v>0</v>
      </c>
      <c r="O55" s="16" t="e">
        <f t="shared" si="3"/>
        <v>#N/A</v>
      </c>
      <c r="P55" s="16">
        <v>6.9444444444444397E-3</v>
      </c>
      <c r="Q55" s="16"/>
      <c r="R55" s="16">
        <f t="shared" si="4"/>
        <v>-6.9444444444444397E-3</v>
      </c>
      <c r="S55" s="16"/>
      <c r="T55" s="16" t="e">
        <f>VLOOKUP(E55,'[2]21-3-2026'!E$3:T$35,16,FALSE)</f>
        <v>#N/A</v>
      </c>
      <c r="U55" s="16"/>
      <c r="V55" s="16" t="e">
        <f t="shared" si="5"/>
        <v>#N/A</v>
      </c>
      <c r="W55" s="16"/>
      <c r="X55" s="16"/>
      <c r="Y55" s="16"/>
      <c r="Z55" s="16">
        <f t="shared" si="6"/>
        <v>0</v>
      </c>
      <c r="AA55" s="16">
        <f t="shared" si="0"/>
        <v>0</v>
      </c>
      <c r="AB55" s="16"/>
      <c r="AC55" s="17"/>
      <c r="AD55" s="51"/>
    </row>
    <row r="56" spans="1:30" ht="19.5" thickBot="1" x14ac:dyDescent="0.3">
      <c r="A56" s="14">
        <v>21</v>
      </c>
      <c r="B56" s="15"/>
      <c r="C56" s="15" t="e">
        <f>VLOOKUP(B56,داتا!$B$3:$D$107,2,FALSE)</f>
        <v>#N/A</v>
      </c>
      <c r="D56" s="34" t="e">
        <f>VLOOKUP(B56,داتا!$B$3:$D$107,3,FALSE)</f>
        <v>#N/A</v>
      </c>
      <c r="E56" s="15"/>
      <c r="F56" s="15"/>
      <c r="G56" s="16">
        <v>0.25</v>
      </c>
      <c r="H56" s="16" t="e">
        <f t="shared" si="8"/>
        <v>#N/A</v>
      </c>
      <c r="I56" s="16" t="e">
        <f t="shared" si="1"/>
        <v>#N/A</v>
      </c>
      <c r="J56" s="16"/>
      <c r="K56" s="16"/>
      <c r="L56" s="15"/>
      <c r="M56" s="15"/>
      <c r="N56" s="16">
        <f t="shared" si="2"/>
        <v>0</v>
      </c>
      <c r="O56" s="16" t="e">
        <f t="shared" si="3"/>
        <v>#N/A</v>
      </c>
      <c r="P56" s="16">
        <v>6.9444444444444397E-3</v>
      </c>
      <c r="Q56" s="16"/>
      <c r="R56" s="16">
        <f t="shared" si="4"/>
        <v>-6.9444444444444397E-3</v>
      </c>
      <c r="S56" s="16"/>
      <c r="T56" s="16" t="e">
        <f>VLOOKUP(E56,'[2]21-3-2026'!E$3:T$35,16,FALSE)</f>
        <v>#N/A</v>
      </c>
      <c r="U56" s="16"/>
      <c r="V56" s="16" t="e">
        <f t="shared" si="5"/>
        <v>#N/A</v>
      </c>
      <c r="W56" s="16"/>
      <c r="X56" s="16"/>
      <c r="Y56" s="16"/>
      <c r="Z56" s="16">
        <f t="shared" si="6"/>
        <v>0</v>
      </c>
      <c r="AA56" s="16">
        <f t="shared" si="0"/>
        <v>0</v>
      </c>
      <c r="AB56" s="16"/>
      <c r="AC56" s="17"/>
      <c r="AD56" s="51"/>
    </row>
    <row r="57" spans="1:30" ht="19.5" thickBot="1" x14ac:dyDescent="0.3">
      <c r="A57" s="14">
        <v>22</v>
      </c>
      <c r="B57" s="15"/>
      <c r="C57" s="15" t="e">
        <f>VLOOKUP(B57,داتا!$B$3:$D$107,2,FALSE)</f>
        <v>#N/A</v>
      </c>
      <c r="D57" s="34" t="e">
        <f>VLOOKUP(B57,داتا!$B$3:$D$107,3,FALSE)</f>
        <v>#N/A</v>
      </c>
      <c r="E57" s="15"/>
      <c r="F57" s="15"/>
      <c r="G57" s="16">
        <v>0.25</v>
      </c>
      <c r="H57" s="16" t="e">
        <f t="shared" si="8"/>
        <v>#N/A</v>
      </c>
      <c r="I57" s="16" t="e">
        <f t="shared" si="1"/>
        <v>#N/A</v>
      </c>
      <c r="J57" s="16"/>
      <c r="K57" s="16"/>
      <c r="L57" s="15"/>
      <c r="M57" s="15"/>
      <c r="N57" s="16">
        <f t="shared" si="2"/>
        <v>0</v>
      </c>
      <c r="O57" s="16" t="e">
        <f t="shared" si="3"/>
        <v>#N/A</v>
      </c>
      <c r="P57" s="16">
        <v>6.9444444444444397E-3</v>
      </c>
      <c r="Q57" s="16"/>
      <c r="R57" s="16">
        <f t="shared" si="4"/>
        <v>-6.9444444444444397E-3</v>
      </c>
      <c r="S57" s="16"/>
      <c r="T57" s="16" t="e">
        <f>VLOOKUP(E57,'[2]21-3-2026'!E$3:T$35,16,FALSE)</f>
        <v>#N/A</v>
      </c>
      <c r="U57" s="16"/>
      <c r="V57" s="16" t="e">
        <f t="shared" si="5"/>
        <v>#N/A</v>
      </c>
      <c r="W57" s="16"/>
      <c r="X57" s="16"/>
      <c r="Y57" s="16"/>
      <c r="Z57" s="16">
        <f t="shared" si="6"/>
        <v>0</v>
      </c>
      <c r="AA57" s="16">
        <f t="shared" si="0"/>
        <v>0</v>
      </c>
      <c r="AB57" s="16"/>
      <c r="AC57" s="17"/>
      <c r="AD57" s="51"/>
    </row>
    <row r="58" spans="1:30" ht="19.5" thickBot="1" x14ac:dyDescent="0.3">
      <c r="A58" s="14">
        <v>23</v>
      </c>
      <c r="B58" s="15"/>
      <c r="C58" s="15" t="e">
        <f>VLOOKUP(B58,داتا!$B$3:$D$107,2,FALSE)</f>
        <v>#N/A</v>
      </c>
      <c r="D58" s="34" t="e">
        <f>VLOOKUP(B58,داتا!$B$3:$D$107,3,FALSE)</f>
        <v>#N/A</v>
      </c>
      <c r="E58" s="15"/>
      <c r="F58" s="15"/>
      <c r="G58" s="16">
        <v>0.25</v>
      </c>
      <c r="H58" s="16" t="e">
        <f t="shared" si="8"/>
        <v>#N/A</v>
      </c>
      <c r="I58" s="16" t="e">
        <f t="shared" si="1"/>
        <v>#N/A</v>
      </c>
      <c r="J58" s="16"/>
      <c r="K58" s="16"/>
      <c r="L58" s="16"/>
      <c r="M58" s="16"/>
      <c r="N58" s="16">
        <f t="shared" si="2"/>
        <v>0</v>
      </c>
      <c r="O58" s="16" t="e">
        <f t="shared" si="3"/>
        <v>#N/A</v>
      </c>
      <c r="P58" s="16">
        <v>6.9444444444444397E-3</v>
      </c>
      <c r="Q58" s="16"/>
      <c r="R58" s="16">
        <f t="shared" si="4"/>
        <v>-6.9444444444444397E-3</v>
      </c>
      <c r="S58" s="16"/>
      <c r="T58" s="16" t="e">
        <f>VLOOKUP(E58,'[2]21-3-2026'!E$3:T$35,16,FALSE)</f>
        <v>#N/A</v>
      </c>
      <c r="U58" s="16"/>
      <c r="V58" s="16" t="e">
        <f t="shared" si="5"/>
        <v>#N/A</v>
      </c>
      <c r="W58" s="16"/>
      <c r="X58" s="16"/>
      <c r="Y58" s="16"/>
      <c r="Z58" s="16">
        <f t="shared" si="6"/>
        <v>0</v>
      </c>
      <c r="AA58" s="16">
        <f t="shared" si="0"/>
        <v>0</v>
      </c>
      <c r="AB58" s="16"/>
      <c r="AC58" s="17"/>
      <c r="AD58" s="51"/>
    </row>
    <row r="59" spans="1:30" ht="19.5" thickBot="1" x14ac:dyDescent="0.3">
      <c r="A59" s="14">
        <v>24</v>
      </c>
      <c r="B59" s="15"/>
      <c r="C59" s="15" t="e">
        <f>VLOOKUP(B59,داتا!$B$3:$D$107,2,FALSE)</f>
        <v>#N/A</v>
      </c>
      <c r="D59" s="34" t="e">
        <f>VLOOKUP(B59,داتا!$B$3:$D$107,3,FALSE)</f>
        <v>#N/A</v>
      </c>
      <c r="E59" s="16"/>
      <c r="F59" s="15"/>
      <c r="G59" s="16">
        <v>0.25</v>
      </c>
      <c r="H59" s="16" t="e">
        <f t="shared" si="8"/>
        <v>#N/A</v>
      </c>
      <c r="I59" s="16" t="e">
        <f t="shared" si="1"/>
        <v>#N/A</v>
      </c>
      <c r="J59" s="16"/>
      <c r="K59" s="16"/>
      <c r="L59" s="15"/>
      <c r="M59" s="15"/>
      <c r="N59" s="16">
        <f t="shared" si="2"/>
        <v>0</v>
      </c>
      <c r="O59" s="16" t="e">
        <f t="shared" si="3"/>
        <v>#N/A</v>
      </c>
      <c r="P59" s="16">
        <v>6.9444444444444397E-3</v>
      </c>
      <c r="Q59" s="16"/>
      <c r="R59" s="16">
        <f t="shared" si="4"/>
        <v>-6.9444444444444397E-3</v>
      </c>
      <c r="S59" s="16"/>
      <c r="T59" s="16" t="e">
        <f>VLOOKUP(E59,'[2]21-3-2026'!E$3:T$35,16,FALSE)</f>
        <v>#N/A</v>
      </c>
      <c r="U59" s="16"/>
      <c r="V59" s="16" t="e">
        <f t="shared" si="5"/>
        <v>#N/A</v>
      </c>
      <c r="W59" s="16"/>
      <c r="X59" s="16"/>
      <c r="Y59" s="16"/>
      <c r="Z59" s="16">
        <f t="shared" si="6"/>
        <v>0</v>
      </c>
      <c r="AA59" s="16">
        <f t="shared" si="0"/>
        <v>0</v>
      </c>
      <c r="AB59" s="16"/>
      <c r="AC59" s="17"/>
      <c r="AD59" s="51"/>
    </row>
    <row r="60" spans="1:30" ht="19.5" thickBot="1" x14ac:dyDescent="0.3">
      <c r="A60" s="14">
        <v>25</v>
      </c>
      <c r="B60" s="15"/>
      <c r="C60" s="15" t="e">
        <f>VLOOKUP(B60,داتا!$B$3:$D$107,2,FALSE)</f>
        <v>#N/A</v>
      </c>
      <c r="D60" s="34" t="e">
        <f>VLOOKUP(B60,داتا!$B$3:$D$107,3,FALSE)</f>
        <v>#N/A</v>
      </c>
      <c r="E60" s="15"/>
      <c r="F60" s="15"/>
      <c r="G60" s="16">
        <v>0.25</v>
      </c>
      <c r="H60" s="16" t="e">
        <f t="shared" si="8"/>
        <v>#N/A</v>
      </c>
      <c r="I60" s="16" t="e">
        <f t="shared" si="1"/>
        <v>#N/A</v>
      </c>
      <c r="J60" s="16"/>
      <c r="K60" s="16"/>
      <c r="L60" s="16"/>
      <c r="M60" s="16"/>
      <c r="N60" s="16">
        <f t="shared" si="2"/>
        <v>0</v>
      </c>
      <c r="O60" s="16" t="e">
        <f t="shared" si="3"/>
        <v>#N/A</v>
      </c>
      <c r="P60" s="16">
        <v>6.9444444444444397E-3</v>
      </c>
      <c r="Q60" s="16"/>
      <c r="R60" s="16">
        <f t="shared" si="4"/>
        <v>-6.9444444444444397E-3</v>
      </c>
      <c r="S60" s="16"/>
      <c r="T60" s="16" t="e">
        <f>VLOOKUP(E60,'[2]21-3-2026'!E$3:T$35,16,FALSE)</f>
        <v>#N/A</v>
      </c>
      <c r="U60" s="16"/>
      <c r="V60" s="16" t="e">
        <f t="shared" si="5"/>
        <v>#N/A</v>
      </c>
      <c r="W60" s="16"/>
      <c r="X60" s="16"/>
      <c r="Y60" s="16"/>
      <c r="Z60" s="16">
        <f t="shared" si="6"/>
        <v>0</v>
      </c>
      <c r="AA60" s="16">
        <f t="shared" si="0"/>
        <v>0</v>
      </c>
      <c r="AB60" s="16"/>
      <c r="AC60" s="17"/>
      <c r="AD60" s="51"/>
    </row>
    <row r="61" spans="1:30" ht="19.5" thickBot="1" x14ac:dyDescent="0.3">
      <c r="A61" s="14">
        <v>26</v>
      </c>
      <c r="B61" s="15"/>
      <c r="C61" s="15" t="e">
        <f>VLOOKUP(B61,داتا!$B$3:$D$107,2,FALSE)</f>
        <v>#N/A</v>
      </c>
      <c r="D61" s="34" t="e">
        <f>VLOOKUP(B61,داتا!$B$3:$D$107,3,FALSE)</f>
        <v>#N/A</v>
      </c>
      <c r="E61" s="15"/>
      <c r="F61" s="15"/>
      <c r="G61" s="16">
        <v>0.25</v>
      </c>
      <c r="H61" s="16" t="e">
        <f t="shared" si="8"/>
        <v>#N/A</v>
      </c>
      <c r="I61" s="16" t="e">
        <f t="shared" si="1"/>
        <v>#N/A</v>
      </c>
      <c r="J61" s="16"/>
      <c r="K61" s="16"/>
      <c r="L61" s="16"/>
      <c r="M61" s="16"/>
      <c r="N61" s="16">
        <f t="shared" si="2"/>
        <v>0</v>
      </c>
      <c r="O61" s="16" t="e">
        <f t="shared" si="3"/>
        <v>#N/A</v>
      </c>
      <c r="P61" s="16">
        <v>6.9444444444444397E-3</v>
      </c>
      <c r="Q61" s="16"/>
      <c r="R61" s="16">
        <f t="shared" si="4"/>
        <v>-6.9444444444444397E-3</v>
      </c>
      <c r="S61" s="16"/>
      <c r="T61" s="16" t="e">
        <f>VLOOKUP(E61,'[2]21-3-2026'!E$3:T$35,16,FALSE)</f>
        <v>#N/A</v>
      </c>
      <c r="U61" s="16"/>
      <c r="V61" s="16" t="e">
        <f t="shared" si="5"/>
        <v>#N/A</v>
      </c>
      <c r="W61" s="16"/>
      <c r="X61" s="16"/>
      <c r="Y61" s="16"/>
      <c r="Z61" s="16">
        <f t="shared" si="6"/>
        <v>0</v>
      </c>
      <c r="AA61" s="16">
        <f t="shared" si="0"/>
        <v>0</v>
      </c>
      <c r="AB61" s="16"/>
      <c r="AC61" s="17"/>
      <c r="AD61" s="51"/>
    </row>
    <row r="62" spans="1:30" ht="19.5" thickBot="1" x14ac:dyDescent="0.3">
      <c r="A62" s="14">
        <v>27</v>
      </c>
      <c r="B62" s="15"/>
      <c r="C62" s="15" t="e">
        <f>VLOOKUP(B62,داتا!$B$3:$D$107,2,FALSE)</f>
        <v>#N/A</v>
      </c>
      <c r="D62" s="34" t="e">
        <f>VLOOKUP(B62,داتا!$B$3:$D$107,3,FALSE)</f>
        <v>#N/A</v>
      </c>
      <c r="E62" s="15"/>
      <c r="F62" s="15"/>
      <c r="G62" s="16">
        <v>0.25</v>
      </c>
      <c r="H62" s="16" t="e">
        <f t="shared" si="8"/>
        <v>#N/A</v>
      </c>
      <c r="I62" s="16" t="e">
        <f t="shared" si="1"/>
        <v>#N/A</v>
      </c>
      <c r="J62" s="16"/>
      <c r="K62" s="16"/>
      <c r="L62" s="16"/>
      <c r="M62" s="16"/>
      <c r="N62" s="16">
        <f t="shared" si="2"/>
        <v>0</v>
      </c>
      <c r="O62" s="16" t="e">
        <f t="shared" si="3"/>
        <v>#N/A</v>
      </c>
      <c r="P62" s="16">
        <v>6.9444444444444397E-3</v>
      </c>
      <c r="Q62" s="16"/>
      <c r="R62" s="16">
        <f t="shared" si="4"/>
        <v>-6.9444444444444397E-3</v>
      </c>
      <c r="S62" s="16"/>
      <c r="T62" s="16" t="e">
        <f>VLOOKUP(E62,'[2]21-3-2026'!E$3:T$35,16,FALSE)</f>
        <v>#N/A</v>
      </c>
      <c r="U62" s="16"/>
      <c r="V62" s="16" t="e">
        <f t="shared" si="5"/>
        <v>#N/A</v>
      </c>
      <c r="W62" s="16"/>
      <c r="X62" s="16"/>
      <c r="Y62" s="16"/>
      <c r="Z62" s="16">
        <f t="shared" si="6"/>
        <v>0</v>
      </c>
      <c r="AA62" s="16">
        <f t="shared" si="0"/>
        <v>0</v>
      </c>
      <c r="AB62" s="16"/>
      <c r="AC62" s="17"/>
      <c r="AD62" s="51"/>
    </row>
    <row r="63" spans="1:30" ht="19.5" thickBot="1" x14ac:dyDescent="0.3">
      <c r="A63" s="14">
        <v>28</v>
      </c>
      <c r="B63" s="15"/>
      <c r="C63" s="15" t="e">
        <f>VLOOKUP(B63,داتا!$B$3:$D$107,2,FALSE)</f>
        <v>#N/A</v>
      </c>
      <c r="D63" s="34" t="e">
        <f>VLOOKUP(B63,داتا!$B$3:$D$107,3,FALSE)</f>
        <v>#N/A</v>
      </c>
      <c r="E63" s="15"/>
      <c r="F63" s="15"/>
      <c r="G63" s="16">
        <v>0.25</v>
      </c>
      <c r="H63" s="16" t="e">
        <f t="shared" si="8"/>
        <v>#N/A</v>
      </c>
      <c r="I63" s="16" t="e">
        <f t="shared" si="1"/>
        <v>#N/A</v>
      </c>
      <c r="J63" s="16"/>
      <c r="K63" s="16"/>
      <c r="L63" s="16"/>
      <c r="M63" s="16"/>
      <c r="N63" s="16">
        <f t="shared" si="2"/>
        <v>0</v>
      </c>
      <c r="O63" s="16" t="e">
        <f t="shared" si="3"/>
        <v>#N/A</v>
      </c>
      <c r="P63" s="16">
        <v>6.9444444444444397E-3</v>
      </c>
      <c r="Q63" s="16"/>
      <c r="R63" s="16">
        <f t="shared" si="4"/>
        <v>-6.9444444444444397E-3</v>
      </c>
      <c r="S63" s="16"/>
      <c r="T63" s="16" t="e">
        <f>VLOOKUP(E63,'[2]21-3-2026'!E$3:T$35,16,FALSE)</f>
        <v>#N/A</v>
      </c>
      <c r="U63" s="16"/>
      <c r="V63" s="16" t="e">
        <f t="shared" si="5"/>
        <v>#N/A</v>
      </c>
      <c r="W63" s="16"/>
      <c r="X63" s="16"/>
      <c r="Y63" s="16"/>
      <c r="Z63" s="16">
        <f t="shared" si="6"/>
        <v>0</v>
      </c>
      <c r="AA63" s="16">
        <f t="shared" si="0"/>
        <v>0</v>
      </c>
      <c r="AB63" s="16"/>
      <c r="AC63" s="17"/>
      <c r="AD63" s="51"/>
    </row>
    <row r="64" spans="1:30" ht="19.5" thickBot="1" x14ac:dyDescent="0.3">
      <c r="A64" s="14">
        <v>29</v>
      </c>
      <c r="B64" s="15"/>
      <c r="C64" s="15" t="e">
        <f>VLOOKUP(B64,داتا!$B$3:$D$107,2,FALSE)</f>
        <v>#N/A</v>
      </c>
      <c r="D64" s="34" t="e">
        <f>VLOOKUP(B64,داتا!$B$3:$D$107,3,FALSE)</f>
        <v>#N/A</v>
      </c>
      <c r="E64" s="15"/>
      <c r="F64" s="15"/>
      <c r="G64" s="16">
        <v>0.25</v>
      </c>
      <c r="H64" s="16" t="e">
        <f t="shared" si="8"/>
        <v>#N/A</v>
      </c>
      <c r="I64" s="16" t="e">
        <f t="shared" si="1"/>
        <v>#N/A</v>
      </c>
      <c r="J64" s="16"/>
      <c r="K64" s="16"/>
      <c r="L64" s="16"/>
      <c r="M64" s="16"/>
      <c r="N64" s="16">
        <f t="shared" si="2"/>
        <v>0</v>
      </c>
      <c r="O64" s="16" t="e">
        <f t="shared" si="3"/>
        <v>#N/A</v>
      </c>
      <c r="P64" s="16">
        <v>6.9444444444444397E-3</v>
      </c>
      <c r="Q64" s="16"/>
      <c r="R64" s="16">
        <f t="shared" si="4"/>
        <v>-6.9444444444444397E-3</v>
      </c>
      <c r="S64" s="16"/>
      <c r="T64" s="16" t="e">
        <f>VLOOKUP(E64,'[2]21-3-2026'!E$3:T$35,16,FALSE)</f>
        <v>#N/A</v>
      </c>
      <c r="U64" s="16"/>
      <c r="V64" s="16" t="e">
        <f t="shared" si="5"/>
        <v>#N/A</v>
      </c>
      <c r="W64" s="16"/>
      <c r="X64" s="16"/>
      <c r="Y64" s="16"/>
      <c r="Z64" s="16">
        <f t="shared" si="6"/>
        <v>0</v>
      </c>
      <c r="AA64" s="16">
        <f t="shared" si="0"/>
        <v>0</v>
      </c>
      <c r="AB64" s="16"/>
      <c r="AC64" s="17"/>
      <c r="AD64" s="51"/>
    </row>
    <row r="65" spans="1:30" ht="19.5" thickBot="1" x14ac:dyDescent="0.3">
      <c r="A65" s="14">
        <v>30</v>
      </c>
      <c r="B65" s="15"/>
      <c r="C65" s="15" t="e">
        <f>VLOOKUP(B65,داتا!$B$3:$D$107,2,FALSE)</f>
        <v>#N/A</v>
      </c>
      <c r="D65" s="34" t="e">
        <f>VLOOKUP(B65,داتا!$B$3:$D$107,3,FALSE)</f>
        <v>#N/A</v>
      </c>
      <c r="E65" s="15"/>
      <c r="F65" s="15"/>
      <c r="G65" s="16">
        <v>0.25</v>
      </c>
      <c r="H65" s="16" t="e">
        <f t="shared" si="8"/>
        <v>#N/A</v>
      </c>
      <c r="I65" s="16" t="e">
        <f t="shared" si="1"/>
        <v>#N/A</v>
      </c>
      <c r="J65" s="16"/>
      <c r="K65" s="16"/>
      <c r="L65" s="16"/>
      <c r="M65" s="16"/>
      <c r="N65" s="16">
        <f t="shared" si="2"/>
        <v>0</v>
      </c>
      <c r="O65" s="16" t="e">
        <f t="shared" si="3"/>
        <v>#N/A</v>
      </c>
      <c r="P65" s="16">
        <v>6.9444444444444397E-3</v>
      </c>
      <c r="Q65" s="16"/>
      <c r="R65" s="16">
        <f t="shared" si="4"/>
        <v>-6.9444444444444397E-3</v>
      </c>
      <c r="S65" s="16"/>
      <c r="T65" s="16" t="e">
        <f>VLOOKUP(E65,'[2]21-3-2026'!E$3:T$35,16,FALSE)</f>
        <v>#N/A</v>
      </c>
      <c r="U65" s="16"/>
      <c r="V65" s="16" t="e">
        <f t="shared" si="5"/>
        <v>#N/A</v>
      </c>
      <c r="W65" s="16"/>
      <c r="X65" s="16"/>
      <c r="Y65" s="16"/>
      <c r="Z65" s="16">
        <f t="shared" si="6"/>
        <v>0</v>
      </c>
      <c r="AA65" s="16">
        <f t="shared" si="0"/>
        <v>0</v>
      </c>
      <c r="AB65" s="16"/>
      <c r="AC65" s="17"/>
      <c r="AD65" s="51"/>
    </row>
    <row r="66" spans="1:30" ht="20.25" customHeight="1" thickBot="1" x14ac:dyDescent="0.3">
      <c r="A66" s="14">
        <v>31</v>
      </c>
      <c r="B66" s="15"/>
      <c r="C66" s="15" t="e">
        <f>VLOOKUP(B66,داتا!$B$3:$D$107,2,FALSE)</f>
        <v>#N/A</v>
      </c>
      <c r="D66" s="34" t="e">
        <f>VLOOKUP(B66,داتا!$B$3:$D$107,3,FALSE)</f>
        <v>#N/A</v>
      </c>
      <c r="E66" s="15"/>
      <c r="F66" s="15"/>
      <c r="G66" s="16">
        <v>0.25</v>
      </c>
      <c r="H66" s="16" t="e">
        <f t="shared" si="8"/>
        <v>#N/A</v>
      </c>
      <c r="I66" s="16" t="e">
        <f t="shared" si="1"/>
        <v>#N/A</v>
      </c>
      <c r="J66" s="16"/>
      <c r="K66" s="16"/>
      <c r="L66" s="16"/>
      <c r="M66" s="16"/>
      <c r="N66" s="16">
        <f t="shared" si="2"/>
        <v>0</v>
      </c>
      <c r="O66" s="16" t="e">
        <f t="shared" si="3"/>
        <v>#N/A</v>
      </c>
      <c r="P66" s="16">
        <v>6.9444444444444397E-3</v>
      </c>
      <c r="Q66" s="16"/>
      <c r="R66" s="16">
        <f t="shared" si="4"/>
        <v>-6.9444444444444397E-3</v>
      </c>
      <c r="S66" s="16"/>
      <c r="T66" s="16" t="e">
        <f>VLOOKUP(E66,'[2]21-3-2026'!E$3:T$35,16,FALSE)</f>
        <v>#N/A</v>
      </c>
      <c r="U66" s="16"/>
      <c r="V66" s="16" t="e">
        <f t="shared" si="5"/>
        <v>#N/A</v>
      </c>
      <c r="W66" s="16"/>
      <c r="X66" s="16"/>
      <c r="Y66" s="16"/>
      <c r="Z66" s="16">
        <f t="shared" si="6"/>
        <v>0</v>
      </c>
      <c r="AA66" s="16">
        <f t="shared" si="0"/>
        <v>0</v>
      </c>
      <c r="AB66" s="16"/>
      <c r="AC66" s="19"/>
      <c r="AD66" s="51"/>
    </row>
    <row r="67" spans="1:30" ht="19.5" customHeight="1" thickBot="1" x14ac:dyDescent="0.3">
      <c r="A67" s="20">
        <v>32</v>
      </c>
      <c r="B67" s="21"/>
      <c r="C67" s="21" t="e">
        <f>VLOOKUP(B67,داتا!$B$3:$D$107,2,FALSE)</f>
        <v>#N/A</v>
      </c>
      <c r="D67" s="35" t="e">
        <f>VLOOKUP(B67,داتا!$B$3:$D$107,3,FALSE)</f>
        <v>#N/A</v>
      </c>
      <c r="E67" s="21"/>
      <c r="F67" s="21"/>
      <c r="G67" s="22">
        <v>0.25</v>
      </c>
      <c r="H67" s="22" t="e">
        <f t="shared" si="8"/>
        <v>#N/A</v>
      </c>
      <c r="I67" s="22" t="e">
        <f t="shared" si="1"/>
        <v>#N/A</v>
      </c>
      <c r="J67" s="22"/>
      <c r="K67" s="22"/>
      <c r="L67" s="22"/>
      <c r="M67" s="22"/>
      <c r="N67" s="22">
        <f t="shared" si="2"/>
        <v>0</v>
      </c>
      <c r="O67" s="22" t="e">
        <f t="shared" si="3"/>
        <v>#N/A</v>
      </c>
      <c r="P67" s="22">
        <v>6.9444444444444397E-3</v>
      </c>
      <c r="Q67" s="22"/>
      <c r="R67" s="22">
        <f t="shared" si="4"/>
        <v>-6.9444444444444397E-3</v>
      </c>
      <c r="S67" s="22"/>
      <c r="T67" s="22" t="e">
        <f>VLOOKUP(E67,'[2]21-3-2026'!E$3:T$35,16,FALSE)</f>
        <v>#N/A</v>
      </c>
      <c r="U67" s="22"/>
      <c r="V67" s="22" t="e">
        <f t="shared" si="5"/>
        <v>#N/A</v>
      </c>
      <c r="W67" s="22"/>
      <c r="X67" s="22"/>
      <c r="Y67" s="22"/>
      <c r="Z67" s="22">
        <f t="shared" si="6"/>
        <v>0</v>
      </c>
      <c r="AA67" s="22">
        <f t="shared" ref="AA67:AA99" si="9">Z67-W67</f>
        <v>0</v>
      </c>
      <c r="AB67" s="22"/>
      <c r="AC67" s="23"/>
      <c r="AD67" s="52"/>
    </row>
    <row r="68" spans="1:30" ht="20.25" thickTop="1" thickBot="1" x14ac:dyDescent="0.3">
      <c r="A68" s="10">
        <v>1</v>
      </c>
      <c r="B68" s="11"/>
      <c r="C68" s="11" t="e">
        <f>VLOOKUP(B68,داتا!$B$3:$D$107,2,FALSE)</f>
        <v>#N/A</v>
      </c>
      <c r="D68" s="33" t="e">
        <f>VLOOKUP(B68,داتا!$B$3:$D$107,3,FALSE)</f>
        <v>#N/A</v>
      </c>
      <c r="E68" s="11"/>
      <c r="F68" s="11"/>
      <c r="G68" s="12">
        <v>8.3333333333333329E-2</v>
      </c>
      <c r="H68" s="12" t="e">
        <f t="shared" si="8"/>
        <v>#N/A</v>
      </c>
      <c r="I68" s="12" t="e">
        <f t="shared" ref="I68:I99" si="10">H68-G68</f>
        <v>#N/A</v>
      </c>
      <c r="J68" s="12"/>
      <c r="K68" s="12"/>
      <c r="L68" s="12"/>
      <c r="M68" s="12"/>
      <c r="N68" s="12">
        <f t="shared" ref="N68:N99" si="11">K68-J68</f>
        <v>0</v>
      </c>
      <c r="O68" s="12" t="e">
        <f t="shared" ref="O68:O99" si="12">N68-D68</f>
        <v>#N/A</v>
      </c>
      <c r="P68" s="12">
        <v>6.9444444444444397E-3</v>
      </c>
      <c r="Q68" s="12"/>
      <c r="R68" s="12">
        <f t="shared" ref="R68:R99" si="13">Q68-P68-K68</f>
        <v>-6.9444444444444397E-3</v>
      </c>
      <c r="S68" s="12"/>
      <c r="T68" s="12" t="e">
        <f>VLOOKUP(E68,'[2]21-3-2026'!E$3:T$35,16,FALSE)</f>
        <v>#N/A</v>
      </c>
      <c r="U68" s="12"/>
      <c r="V68" s="12" t="e">
        <f t="shared" ref="V68:V99" si="14">U68-T68-S68</f>
        <v>#N/A</v>
      </c>
      <c r="W68" s="12"/>
      <c r="X68" s="12"/>
      <c r="Y68" s="12"/>
      <c r="Z68" s="12">
        <f t="shared" ref="Z68:Z99" si="15">Y68-X68</f>
        <v>0</v>
      </c>
      <c r="AA68" s="12">
        <f t="shared" si="9"/>
        <v>0</v>
      </c>
      <c r="AB68" s="12"/>
      <c r="AC68" s="13"/>
      <c r="AD68" s="53" t="s">
        <v>116</v>
      </c>
    </row>
    <row r="69" spans="1:30" ht="19.5" thickBot="1" x14ac:dyDescent="0.3">
      <c r="A69" s="14">
        <v>2</v>
      </c>
      <c r="B69" s="15"/>
      <c r="C69" s="15" t="e">
        <f>VLOOKUP(B69,داتا!$B$3:$D$107,2,FALSE)</f>
        <v>#N/A</v>
      </c>
      <c r="D69" s="34" t="e">
        <f>VLOOKUP(B69,داتا!$B$3:$D$107,3,FALSE)</f>
        <v>#N/A</v>
      </c>
      <c r="E69" s="15"/>
      <c r="F69" s="15"/>
      <c r="G69" s="16">
        <v>8.3333333333333329E-2</v>
      </c>
      <c r="H69" s="16" t="e">
        <f t="shared" ref="H69:H84" si="16">VLOOKUP(G69,$F$3:$I$35,2,FALSE)</f>
        <v>#N/A</v>
      </c>
      <c r="I69" s="16" t="e">
        <f t="shared" si="10"/>
        <v>#N/A</v>
      </c>
      <c r="J69" s="16"/>
      <c r="K69" s="16"/>
      <c r="L69" s="16"/>
      <c r="M69" s="16"/>
      <c r="N69" s="16">
        <f t="shared" si="11"/>
        <v>0</v>
      </c>
      <c r="O69" s="16" t="e">
        <f t="shared" si="12"/>
        <v>#N/A</v>
      </c>
      <c r="P69" s="16">
        <v>6.9444444444444397E-3</v>
      </c>
      <c r="Q69" s="16"/>
      <c r="R69" s="16">
        <f t="shared" si="13"/>
        <v>-6.9444444444444397E-3</v>
      </c>
      <c r="S69" s="16"/>
      <c r="T69" s="16" t="e">
        <f>VLOOKUP(E69,'[2]21-3-2026'!E$3:T$35,16,FALSE)</f>
        <v>#N/A</v>
      </c>
      <c r="U69" s="16"/>
      <c r="V69" s="16" t="e">
        <f t="shared" si="14"/>
        <v>#N/A</v>
      </c>
      <c r="W69" s="16"/>
      <c r="X69" s="16"/>
      <c r="Y69" s="16"/>
      <c r="Z69" s="16">
        <f t="shared" si="15"/>
        <v>0</v>
      </c>
      <c r="AA69" s="16">
        <f t="shared" si="9"/>
        <v>0</v>
      </c>
      <c r="AB69" s="16"/>
      <c r="AC69" s="17"/>
      <c r="AD69" s="51"/>
    </row>
    <row r="70" spans="1:30" ht="19.5" thickBot="1" x14ac:dyDescent="0.3">
      <c r="A70" s="14">
        <v>3</v>
      </c>
      <c r="B70" s="15"/>
      <c r="C70" s="15" t="e">
        <f>VLOOKUP(B70,داتا!$B$3:$D$107,2,FALSE)</f>
        <v>#N/A</v>
      </c>
      <c r="D70" s="34" t="e">
        <f>VLOOKUP(B70,داتا!$B$3:$D$107,3,FALSE)</f>
        <v>#N/A</v>
      </c>
      <c r="E70" s="15"/>
      <c r="F70" s="15"/>
      <c r="G70" s="16">
        <v>8.3333333333333329E-2</v>
      </c>
      <c r="H70" s="16" t="e">
        <f t="shared" si="16"/>
        <v>#N/A</v>
      </c>
      <c r="I70" s="16" t="e">
        <f t="shared" si="10"/>
        <v>#N/A</v>
      </c>
      <c r="J70" s="16"/>
      <c r="K70" s="16"/>
      <c r="L70" s="16"/>
      <c r="M70" s="16"/>
      <c r="N70" s="16">
        <f t="shared" si="11"/>
        <v>0</v>
      </c>
      <c r="O70" s="16" t="e">
        <f t="shared" si="12"/>
        <v>#N/A</v>
      </c>
      <c r="P70" s="16">
        <v>6.9444444444444397E-3</v>
      </c>
      <c r="Q70" s="16"/>
      <c r="R70" s="16">
        <f t="shared" si="13"/>
        <v>-6.9444444444444397E-3</v>
      </c>
      <c r="S70" s="16"/>
      <c r="T70" s="16" t="e">
        <f>VLOOKUP(E70,'[2]21-3-2026'!E$3:T$35,16,FALSE)</f>
        <v>#N/A</v>
      </c>
      <c r="U70" s="16"/>
      <c r="V70" s="16" t="e">
        <f t="shared" si="14"/>
        <v>#N/A</v>
      </c>
      <c r="W70" s="16"/>
      <c r="X70" s="16"/>
      <c r="Y70" s="16"/>
      <c r="Z70" s="16">
        <f t="shared" si="15"/>
        <v>0</v>
      </c>
      <c r="AA70" s="16">
        <f t="shared" si="9"/>
        <v>0</v>
      </c>
      <c r="AB70" s="16"/>
      <c r="AC70" s="17"/>
      <c r="AD70" s="51"/>
    </row>
    <row r="71" spans="1:30" ht="19.5" thickBot="1" x14ac:dyDescent="0.3">
      <c r="A71" s="14">
        <v>4</v>
      </c>
      <c r="B71" s="15"/>
      <c r="C71" s="15" t="e">
        <f>VLOOKUP(B71,داتا!$B$3:$D$107,2,FALSE)</f>
        <v>#N/A</v>
      </c>
      <c r="D71" s="34" t="e">
        <f>VLOOKUP(B71,داتا!$B$3:$D$107,3,FALSE)</f>
        <v>#N/A</v>
      </c>
      <c r="E71" s="15"/>
      <c r="F71" s="15"/>
      <c r="G71" s="16">
        <v>8.3333333333333329E-2</v>
      </c>
      <c r="H71" s="16" t="e">
        <f t="shared" si="16"/>
        <v>#N/A</v>
      </c>
      <c r="I71" s="16" t="e">
        <f t="shared" si="10"/>
        <v>#N/A</v>
      </c>
      <c r="J71" s="16"/>
      <c r="K71" s="16"/>
      <c r="L71" s="16"/>
      <c r="M71" s="16"/>
      <c r="N71" s="16">
        <f t="shared" si="11"/>
        <v>0</v>
      </c>
      <c r="O71" s="16" t="e">
        <f t="shared" si="12"/>
        <v>#N/A</v>
      </c>
      <c r="P71" s="16">
        <v>6.9444444444444397E-3</v>
      </c>
      <c r="Q71" s="16"/>
      <c r="R71" s="16">
        <f t="shared" si="13"/>
        <v>-6.9444444444444397E-3</v>
      </c>
      <c r="S71" s="16"/>
      <c r="T71" s="16" t="e">
        <f>VLOOKUP(E71,'[2]21-3-2026'!E$3:T$35,16,FALSE)</f>
        <v>#N/A</v>
      </c>
      <c r="U71" s="16"/>
      <c r="V71" s="16" t="e">
        <f t="shared" si="14"/>
        <v>#N/A</v>
      </c>
      <c r="W71" s="16"/>
      <c r="X71" s="16"/>
      <c r="Y71" s="16"/>
      <c r="Z71" s="16">
        <f t="shared" si="15"/>
        <v>0</v>
      </c>
      <c r="AA71" s="16">
        <f t="shared" si="9"/>
        <v>0</v>
      </c>
      <c r="AB71" s="16"/>
      <c r="AC71" s="17"/>
      <c r="AD71" s="51"/>
    </row>
    <row r="72" spans="1:30" ht="19.5" thickBot="1" x14ac:dyDescent="0.3">
      <c r="A72" s="14">
        <v>5</v>
      </c>
      <c r="B72" s="15"/>
      <c r="C72" s="15" t="e">
        <f>VLOOKUP(B72,داتا!$B$3:$D$107,2,FALSE)</f>
        <v>#N/A</v>
      </c>
      <c r="D72" s="34" t="e">
        <f>VLOOKUP(B72,داتا!$B$3:$D$107,3,FALSE)</f>
        <v>#N/A</v>
      </c>
      <c r="E72" s="15"/>
      <c r="F72" s="15"/>
      <c r="G72" s="16">
        <v>8.3333333333333329E-2</v>
      </c>
      <c r="H72" s="16" t="e">
        <f t="shared" si="16"/>
        <v>#N/A</v>
      </c>
      <c r="I72" s="16" t="e">
        <f t="shared" si="10"/>
        <v>#N/A</v>
      </c>
      <c r="J72" s="16"/>
      <c r="K72" s="16"/>
      <c r="L72" s="16"/>
      <c r="M72" s="16"/>
      <c r="N72" s="16">
        <f t="shared" si="11"/>
        <v>0</v>
      </c>
      <c r="O72" s="16" t="e">
        <f t="shared" si="12"/>
        <v>#N/A</v>
      </c>
      <c r="P72" s="16">
        <v>6.9444444444444397E-3</v>
      </c>
      <c r="Q72" s="16"/>
      <c r="R72" s="16">
        <f t="shared" si="13"/>
        <v>-6.9444444444444397E-3</v>
      </c>
      <c r="S72" s="16"/>
      <c r="T72" s="16" t="e">
        <f>VLOOKUP(E72,'[2]21-3-2026'!E$3:T$35,16,FALSE)</f>
        <v>#N/A</v>
      </c>
      <c r="U72" s="16"/>
      <c r="V72" s="16" t="e">
        <f t="shared" si="14"/>
        <v>#N/A</v>
      </c>
      <c r="W72" s="16"/>
      <c r="X72" s="16"/>
      <c r="Y72" s="16"/>
      <c r="Z72" s="16">
        <f t="shared" si="15"/>
        <v>0</v>
      </c>
      <c r="AA72" s="16">
        <f t="shared" si="9"/>
        <v>0</v>
      </c>
      <c r="AB72" s="16"/>
      <c r="AC72" s="17"/>
      <c r="AD72" s="51"/>
    </row>
    <row r="73" spans="1:30" ht="19.5" thickBot="1" x14ac:dyDescent="0.3">
      <c r="A73" s="14">
        <v>6</v>
      </c>
      <c r="B73" s="15"/>
      <c r="C73" s="15" t="e">
        <f>VLOOKUP(B73,داتا!$B$3:$D$107,2,FALSE)</f>
        <v>#N/A</v>
      </c>
      <c r="D73" s="34" t="e">
        <f>VLOOKUP(B73,داتا!$B$3:$D$107,3,FALSE)</f>
        <v>#N/A</v>
      </c>
      <c r="E73" s="15"/>
      <c r="F73" s="15"/>
      <c r="G73" s="16">
        <v>8.3333333333333329E-2</v>
      </c>
      <c r="H73" s="16" t="e">
        <f t="shared" si="16"/>
        <v>#N/A</v>
      </c>
      <c r="I73" s="16" t="e">
        <f t="shared" si="10"/>
        <v>#N/A</v>
      </c>
      <c r="J73" s="16"/>
      <c r="K73" s="16"/>
      <c r="L73" s="16"/>
      <c r="M73" s="16"/>
      <c r="N73" s="16">
        <f t="shared" si="11"/>
        <v>0</v>
      </c>
      <c r="O73" s="16" t="e">
        <f t="shared" si="12"/>
        <v>#N/A</v>
      </c>
      <c r="P73" s="16">
        <v>6.9444444444444397E-3</v>
      </c>
      <c r="Q73" s="16"/>
      <c r="R73" s="16">
        <f t="shared" si="13"/>
        <v>-6.9444444444444397E-3</v>
      </c>
      <c r="S73" s="16"/>
      <c r="T73" s="16" t="e">
        <f>VLOOKUP(E73,'[2]21-3-2026'!E$3:T$35,16,FALSE)</f>
        <v>#N/A</v>
      </c>
      <c r="U73" s="16"/>
      <c r="V73" s="16" t="e">
        <f t="shared" si="14"/>
        <v>#N/A</v>
      </c>
      <c r="W73" s="16"/>
      <c r="X73" s="16"/>
      <c r="Y73" s="16"/>
      <c r="Z73" s="16">
        <f t="shared" si="15"/>
        <v>0</v>
      </c>
      <c r="AA73" s="16">
        <f t="shared" si="9"/>
        <v>0</v>
      </c>
      <c r="AB73" s="16"/>
      <c r="AC73" s="17"/>
      <c r="AD73" s="51"/>
    </row>
    <row r="74" spans="1:30" ht="19.5" thickBot="1" x14ac:dyDescent="0.3">
      <c r="A74" s="14">
        <v>7</v>
      </c>
      <c r="B74" s="15"/>
      <c r="C74" s="15" t="e">
        <f>VLOOKUP(B74,داتا!$B$3:$D$107,2,FALSE)</f>
        <v>#N/A</v>
      </c>
      <c r="D74" s="34" t="e">
        <f>VLOOKUP(B74,داتا!$B$3:$D$107,3,FALSE)</f>
        <v>#N/A</v>
      </c>
      <c r="E74" s="15"/>
      <c r="F74" s="15"/>
      <c r="G74" s="16">
        <v>8.3333333333333329E-2</v>
      </c>
      <c r="H74" s="16" t="e">
        <f t="shared" si="16"/>
        <v>#N/A</v>
      </c>
      <c r="I74" s="16" t="e">
        <f t="shared" si="10"/>
        <v>#N/A</v>
      </c>
      <c r="J74" s="16"/>
      <c r="K74" s="16"/>
      <c r="L74" s="16"/>
      <c r="M74" s="16"/>
      <c r="N74" s="16">
        <f t="shared" si="11"/>
        <v>0</v>
      </c>
      <c r="O74" s="16" t="e">
        <f t="shared" si="12"/>
        <v>#N/A</v>
      </c>
      <c r="P74" s="16">
        <v>6.9444444444444397E-3</v>
      </c>
      <c r="Q74" s="16"/>
      <c r="R74" s="16">
        <f t="shared" si="13"/>
        <v>-6.9444444444444397E-3</v>
      </c>
      <c r="S74" s="16"/>
      <c r="T74" s="16" t="e">
        <f>VLOOKUP(E74,'[2]21-3-2026'!E$3:T$35,16,FALSE)</f>
        <v>#N/A</v>
      </c>
      <c r="U74" s="16"/>
      <c r="V74" s="16" t="e">
        <f t="shared" si="14"/>
        <v>#N/A</v>
      </c>
      <c r="W74" s="16"/>
      <c r="X74" s="16"/>
      <c r="Y74" s="16"/>
      <c r="Z74" s="16">
        <f t="shared" si="15"/>
        <v>0</v>
      </c>
      <c r="AA74" s="16">
        <f t="shared" si="9"/>
        <v>0</v>
      </c>
      <c r="AB74" s="16"/>
      <c r="AC74" s="17"/>
      <c r="AD74" s="51"/>
    </row>
    <row r="75" spans="1:30" ht="19.5" thickBot="1" x14ac:dyDescent="0.3">
      <c r="A75" s="14">
        <v>8</v>
      </c>
      <c r="B75" s="15"/>
      <c r="C75" s="15" t="e">
        <f>VLOOKUP(B75,داتا!$B$3:$D$107,2,FALSE)</f>
        <v>#N/A</v>
      </c>
      <c r="D75" s="34" t="e">
        <f>VLOOKUP(B75,داتا!$B$3:$D$107,3,FALSE)</f>
        <v>#N/A</v>
      </c>
      <c r="E75" s="15"/>
      <c r="F75" s="15"/>
      <c r="G75" s="16">
        <v>8.3333333333333329E-2</v>
      </c>
      <c r="H75" s="16" t="e">
        <f t="shared" si="16"/>
        <v>#N/A</v>
      </c>
      <c r="I75" s="16" t="e">
        <f t="shared" si="10"/>
        <v>#N/A</v>
      </c>
      <c r="J75" s="16"/>
      <c r="K75" s="16"/>
      <c r="L75" s="16"/>
      <c r="M75" s="16"/>
      <c r="N75" s="16">
        <f t="shared" si="11"/>
        <v>0</v>
      </c>
      <c r="O75" s="16" t="e">
        <f t="shared" si="12"/>
        <v>#N/A</v>
      </c>
      <c r="P75" s="16">
        <v>6.9444444444444397E-3</v>
      </c>
      <c r="Q75" s="16"/>
      <c r="R75" s="16">
        <f t="shared" si="13"/>
        <v>-6.9444444444444397E-3</v>
      </c>
      <c r="S75" s="16"/>
      <c r="T75" s="16" t="e">
        <f>VLOOKUP(E75,'[2]21-3-2026'!E$3:T$35,16,FALSE)</f>
        <v>#N/A</v>
      </c>
      <c r="U75" s="16"/>
      <c r="V75" s="16" t="e">
        <f t="shared" si="14"/>
        <v>#N/A</v>
      </c>
      <c r="W75" s="16"/>
      <c r="X75" s="16"/>
      <c r="Y75" s="16"/>
      <c r="Z75" s="16">
        <f t="shared" si="15"/>
        <v>0</v>
      </c>
      <c r="AA75" s="16">
        <f t="shared" si="9"/>
        <v>0</v>
      </c>
      <c r="AB75" s="16"/>
      <c r="AC75" s="17"/>
      <c r="AD75" s="51"/>
    </row>
    <row r="76" spans="1:30" ht="19.5" thickBot="1" x14ac:dyDescent="0.3">
      <c r="A76" s="14">
        <v>9</v>
      </c>
      <c r="B76" s="15"/>
      <c r="C76" s="15" t="e">
        <f>VLOOKUP(B76,داتا!$B$3:$D$107,2,FALSE)</f>
        <v>#N/A</v>
      </c>
      <c r="D76" s="34" t="e">
        <f>VLOOKUP(B76,داتا!$B$3:$D$107,3,FALSE)</f>
        <v>#N/A</v>
      </c>
      <c r="E76" s="16"/>
      <c r="F76" s="15"/>
      <c r="G76" s="16">
        <v>8.3333333333333329E-2</v>
      </c>
      <c r="H76" s="16" t="e">
        <f t="shared" si="16"/>
        <v>#N/A</v>
      </c>
      <c r="I76" s="16" t="e">
        <f t="shared" si="10"/>
        <v>#N/A</v>
      </c>
      <c r="J76" s="16"/>
      <c r="K76" s="16"/>
      <c r="L76" s="16"/>
      <c r="M76" s="16"/>
      <c r="N76" s="16">
        <f t="shared" si="11"/>
        <v>0</v>
      </c>
      <c r="O76" s="16" t="e">
        <f t="shared" si="12"/>
        <v>#N/A</v>
      </c>
      <c r="P76" s="16">
        <v>6.9444444444444397E-3</v>
      </c>
      <c r="Q76" s="16"/>
      <c r="R76" s="16">
        <f t="shared" si="13"/>
        <v>-6.9444444444444397E-3</v>
      </c>
      <c r="S76" s="16"/>
      <c r="T76" s="16" t="e">
        <f>VLOOKUP(E76,'[2]21-3-2026'!E$3:T$35,16,FALSE)</f>
        <v>#N/A</v>
      </c>
      <c r="U76" s="16"/>
      <c r="V76" s="16" t="e">
        <f t="shared" si="14"/>
        <v>#N/A</v>
      </c>
      <c r="W76" s="16"/>
      <c r="X76" s="16"/>
      <c r="Y76" s="16"/>
      <c r="Z76" s="16">
        <f t="shared" si="15"/>
        <v>0</v>
      </c>
      <c r="AA76" s="16">
        <f t="shared" si="9"/>
        <v>0</v>
      </c>
      <c r="AB76" s="16"/>
      <c r="AC76" s="17"/>
      <c r="AD76" s="51"/>
    </row>
    <row r="77" spans="1:30" ht="19.5" thickBot="1" x14ac:dyDescent="0.3">
      <c r="A77" s="14">
        <v>10</v>
      </c>
      <c r="B77" s="15"/>
      <c r="C77" s="15" t="e">
        <f>VLOOKUP(B77,داتا!$B$3:$D$107,2,FALSE)</f>
        <v>#N/A</v>
      </c>
      <c r="D77" s="34" t="e">
        <f>VLOOKUP(B77,داتا!$B$3:$D$107,3,FALSE)</f>
        <v>#N/A</v>
      </c>
      <c r="E77" s="15"/>
      <c r="F77" s="15"/>
      <c r="G77" s="16">
        <v>8.3333333333333329E-2</v>
      </c>
      <c r="H77" s="16" t="e">
        <f t="shared" si="16"/>
        <v>#N/A</v>
      </c>
      <c r="I77" s="16" t="e">
        <f t="shared" si="10"/>
        <v>#N/A</v>
      </c>
      <c r="J77" s="16"/>
      <c r="K77" s="16"/>
      <c r="L77" s="16"/>
      <c r="M77" s="16"/>
      <c r="N77" s="16">
        <f t="shared" si="11"/>
        <v>0</v>
      </c>
      <c r="O77" s="16" t="e">
        <f t="shared" si="12"/>
        <v>#N/A</v>
      </c>
      <c r="P77" s="16">
        <v>6.9444444444444397E-3</v>
      </c>
      <c r="Q77" s="16"/>
      <c r="R77" s="16">
        <f t="shared" si="13"/>
        <v>-6.9444444444444397E-3</v>
      </c>
      <c r="S77" s="16"/>
      <c r="T77" s="16" t="e">
        <f>VLOOKUP(E77,'[2]21-3-2026'!E$3:T$35,16,FALSE)</f>
        <v>#N/A</v>
      </c>
      <c r="U77" s="16"/>
      <c r="V77" s="16" t="e">
        <f t="shared" si="14"/>
        <v>#N/A</v>
      </c>
      <c r="W77" s="16"/>
      <c r="X77" s="16"/>
      <c r="Y77" s="16"/>
      <c r="Z77" s="16">
        <f t="shared" si="15"/>
        <v>0</v>
      </c>
      <c r="AA77" s="16">
        <f t="shared" si="9"/>
        <v>0</v>
      </c>
      <c r="AB77" s="16"/>
      <c r="AC77" s="17"/>
      <c r="AD77" s="51"/>
    </row>
    <row r="78" spans="1:30" ht="19.5" thickBot="1" x14ac:dyDescent="0.3">
      <c r="A78" s="14">
        <v>11</v>
      </c>
      <c r="B78" s="15"/>
      <c r="C78" s="15" t="e">
        <f>VLOOKUP(B78,داتا!$B$3:$D$107,2,FALSE)</f>
        <v>#N/A</v>
      </c>
      <c r="D78" s="34" t="e">
        <f>VLOOKUP(B78,داتا!$B$3:$D$107,3,FALSE)</f>
        <v>#N/A</v>
      </c>
      <c r="E78" s="15"/>
      <c r="F78" s="15"/>
      <c r="G78" s="16">
        <v>8.3333333333333329E-2</v>
      </c>
      <c r="H78" s="16" t="e">
        <f t="shared" si="16"/>
        <v>#N/A</v>
      </c>
      <c r="I78" s="16" t="e">
        <f t="shared" si="10"/>
        <v>#N/A</v>
      </c>
      <c r="J78" s="16"/>
      <c r="K78" s="16"/>
      <c r="L78" s="16"/>
      <c r="M78" s="16"/>
      <c r="N78" s="16">
        <f t="shared" si="11"/>
        <v>0</v>
      </c>
      <c r="O78" s="16" t="e">
        <f t="shared" si="12"/>
        <v>#N/A</v>
      </c>
      <c r="P78" s="16">
        <v>6.9444444444444397E-3</v>
      </c>
      <c r="Q78" s="16"/>
      <c r="R78" s="16">
        <f t="shared" si="13"/>
        <v>-6.9444444444444397E-3</v>
      </c>
      <c r="S78" s="16"/>
      <c r="T78" s="16" t="e">
        <f>VLOOKUP(E78,'[2]21-3-2026'!E$3:T$35,16,FALSE)</f>
        <v>#N/A</v>
      </c>
      <c r="U78" s="16"/>
      <c r="V78" s="16" t="e">
        <f t="shared" si="14"/>
        <v>#N/A</v>
      </c>
      <c r="W78" s="16"/>
      <c r="X78" s="16"/>
      <c r="Y78" s="16"/>
      <c r="Z78" s="16">
        <f t="shared" si="15"/>
        <v>0</v>
      </c>
      <c r="AA78" s="16">
        <f t="shared" si="9"/>
        <v>0</v>
      </c>
      <c r="AB78" s="16"/>
      <c r="AC78" s="17"/>
      <c r="AD78" s="51"/>
    </row>
    <row r="79" spans="1:30" ht="19.5" thickBot="1" x14ac:dyDescent="0.3">
      <c r="A79" s="14">
        <v>12</v>
      </c>
      <c r="B79" s="15"/>
      <c r="C79" s="15" t="e">
        <f>VLOOKUP(B79,داتا!$B$3:$D$107,2,FALSE)</f>
        <v>#N/A</v>
      </c>
      <c r="D79" s="34" t="e">
        <f>VLOOKUP(B79,داتا!$B$3:$D$107,3,FALSE)</f>
        <v>#N/A</v>
      </c>
      <c r="E79" s="15"/>
      <c r="F79" s="15"/>
      <c r="G79" s="16">
        <v>8.3333333333333329E-2</v>
      </c>
      <c r="H79" s="16" t="e">
        <f t="shared" si="16"/>
        <v>#N/A</v>
      </c>
      <c r="I79" s="16" t="e">
        <f t="shared" si="10"/>
        <v>#N/A</v>
      </c>
      <c r="J79" s="16"/>
      <c r="K79" s="16"/>
      <c r="L79" s="16"/>
      <c r="M79" s="16"/>
      <c r="N79" s="16">
        <f t="shared" si="11"/>
        <v>0</v>
      </c>
      <c r="O79" s="16" t="e">
        <f t="shared" si="12"/>
        <v>#N/A</v>
      </c>
      <c r="P79" s="16">
        <v>6.9444444444444397E-3</v>
      </c>
      <c r="Q79" s="16"/>
      <c r="R79" s="16">
        <f t="shared" si="13"/>
        <v>-6.9444444444444397E-3</v>
      </c>
      <c r="S79" s="16"/>
      <c r="T79" s="16" t="e">
        <f>VLOOKUP(E79,'[2]21-3-2026'!E$3:T$35,16,FALSE)</f>
        <v>#N/A</v>
      </c>
      <c r="U79" s="16"/>
      <c r="V79" s="16" t="e">
        <f t="shared" si="14"/>
        <v>#N/A</v>
      </c>
      <c r="W79" s="16"/>
      <c r="X79" s="16"/>
      <c r="Y79" s="16"/>
      <c r="Z79" s="16">
        <f t="shared" si="15"/>
        <v>0</v>
      </c>
      <c r="AA79" s="16">
        <f t="shared" si="9"/>
        <v>0</v>
      </c>
      <c r="AB79" s="16"/>
      <c r="AC79" s="17"/>
      <c r="AD79" s="51"/>
    </row>
    <row r="80" spans="1:30" ht="19.5" thickBot="1" x14ac:dyDescent="0.3">
      <c r="A80" s="14">
        <v>13</v>
      </c>
      <c r="B80" s="15"/>
      <c r="C80" s="15" t="e">
        <f>VLOOKUP(B80,داتا!$B$3:$D$107,2,FALSE)</f>
        <v>#N/A</v>
      </c>
      <c r="D80" s="34" t="e">
        <f>VLOOKUP(B80,داتا!$B$3:$D$107,3,FALSE)</f>
        <v>#N/A</v>
      </c>
      <c r="E80" s="15"/>
      <c r="F80" s="15"/>
      <c r="G80" s="16">
        <v>8.3333333333333329E-2</v>
      </c>
      <c r="H80" s="16" t="e">
        <f t="shared" si="16"/>
        <v>#N/A</v>
      </c>
      <c r="I80" s="16" t="e">
        <f t="shared" si="10"/>
        <v>#N/A</v>
      </c>
      <c r="J80" s="16"/>
      <c r="K80" s="16"/>
      <c r="L80" s="16"/>
      <c r="M80" s="16"/>
      <c r="N80" s="16">
        <f t="shared" si="11"/>
        <v>0</v>
      </c>
      <c r="O80" s="16" t="e">
        <f t="shared" si="12"/>
        <v>#N/A</v>
      </c>
      <c r="P80" s="16">
        <v>6.9444444444444397E-3</v>
      </c>
      <c r="Q80" s="16"/>
      <c r="R80" s="16">
        <f t="shared" si="13"/>
        <v>-6.9444444444444397E-3</v>
      </c>
      <c r="S80" s="16"/>
      <c r="T80" s="16" t="e">
        <f>VLOOKUP(E80,'[2]21-3-2026'!E$3:T$35,16,FALSE)</f>
        <v>#N/A</v>
      </c>
      <c r="U80" s="16"/>
      <c r="V80" s="16" t="e">
        <f t="shared" si="14"/>
        <v>#N/A</v>
      </c>
      <c r="W80" s="16"/>
      <c r="X80" s="16"/>
      <c r="Y80" s="16"/>
      <c r="Z80" s="16">
        <f t="shared" si="15"/>
        <v>0</v>
      </c>
      <c r="AA80" s="16">
        <f t="shared" si="9"/>
        <v>0</v>
      </c>
      <c r="AB80" s="16"/>
      <c r="AC80" s="17"/>
      <c r="AD80" s="51"/>
    </row>
    <row r="81" spans="1:30" ht="19.5" thickBot="1" x14ac:dyDescent="0.3">
      <c r="A81" s="14">
        <v>14</v>
      </c>
      <c r="B81" s="15"/>
      <c r="C81" s="15" t="e">
        <f>VLOOKUP(B81,داتا!$B$3:$D$107,2,FALSE)</f>
        <v>#N/A</v>
      </c>
      <c r="D81" s="34" t="e">
        <f>VLOOKUP(B81,داتا!$B$3:$D$107,3,FALSE)</f>
        <v>#N/A</v>
      </c>
      <c r="E81" s="15"/>
      <c r="F81" s="15"/>
      <c r="G81" s="16">
        <v>8.3333333333333329E-2</v>
      </c>
      <c r="H81" s="16" t="e">
        <f t="shared" si="16"/>
        <v>#N/A</v>
      </c>
      <c r="I81" s="16" t="e">
        <f t="shared" si="10"/>
        <v>#N/A</v>
      </c>
      <c r="J81" s="16"/>
      <c r="K81" s="16"/>
      <c r="L81" s="16"/>
      <c r="M81" s="16"/>
      <c r="N81" s="16">
        <f t="shared" si="11"/>
        <v>0</v>
      </c>
      <c r="O81" s="16" t="e">
        <f t="shared" si="12"/>
        <v>#N/A</v>
      </c>
      <c r="P81" s="16">
        <v>6.9444444444444397E-3</v>
      </c>
      <c r="Q81" s="16"/>
      <c r="R81" s="16">
        <f t="shared" si="13"/>
        <v>-6.9444444444444397E-3</v>
      </c>
      <c r="S81" s="16"/>
      <c r="T81" s="16" t="e">
        <f>VLOOKUP(E81,'[2]21-3-2026'!E$3:T$35,16,FALSE)</f>
        <v>#N/A</v>
      </c>
      <c r="U81" s="16"/>
      <c r="V81" s="16" t="e">
        <f t="shared" si="14"/>
        <v>#N/A</v>
      </c>
      <c r="W81" s="16"/>
      <c r="X81" s="16"/>
      <c r="Y81" s="16"/>
      <c r="Z81" s="16">
        <f t="shared" si="15"/>
        <v>0</v>
      </c>
      <c r="AA81" s="16">
        <f t="shared" si="9"/>
        <v>0</v>
      </c>
      <c r="AB81" s="16"/>
      <c r="AC81" s="17"/>
      <c r="AD81" s="51"/>
    </row>
    <row r="82" spans="1:30" ht="19.5" thickBot="1" x14ac:dyDescent="0.3">
      <c r="A82" s="14">
        <v>15</v>
      </c>
      <c r="B82" s="15"/>
      <c r="C82" s="15" t="e">
        <f>VLOOKUP(B82,داتا!$B$3:$D$107,2,FALSE)</f>
        <v>#N/A</v>
      </c>
      <c r="D82" s="34" t="e">
        <f>VLOOKUP(B82,داتا!$B$3:$D$107,3,FALSE)</f>
        <v>#N/A</v>
      </c>
      <c r="E82" s="15"/>
      <c r="F82" s="15"/>
      <c r="G82" s="16">
        <v>8.3333333333333329E-2</v>
      </c>
      <c r="H82" s="16" t="e">
        <f t="shared" si="16"/>
        <v>#N/A</v>
      </c>
      <c r="I82" s="16" t="e">
        <f t="shared" si="10"/>
        <v>#N/A</v>
      </c>
      <c r="J82" s="16"/>
      <c r="K82" s="16"/>
      <c r="L82" s="16"/>
      <c r="M82" s="16"/>
      <c r="N82" s="16">
        <f t="shared" si="11"/>
        <v>0</v>
      </c>
      <c r="O82" s="16" t="e">
        <f t="shared" si="12"/>
        <v>#N/A</v>
      </c>
      <c r="P82" s="16">
        <v>6.9444444444444397E-3</v>
      </c>
      <c r="Q82" s="16"/>
      <c r="R82" s="16">
        <f t="shared" si="13"/>
        <v>-6.9444444444444397E-3</v>
      </c>
      <c r="S82" s="16"/>
      <c r="T82" s="16" t="e">
        <f>VLOOKUP(E82,'[2]21-3-2026'!E$3:T$35,16,FALSE)</f>
        <v>#N/A</v>
      </c>
      <c r="U82" s="16"/>
      <c r="V82" s="16" t="e">
        <f t="shared" si="14"/>
        <v>#N/A</v>
      </c>
      <c r="W82" s="16"/>
      <c r="X82" s="16"/>
      <c r="Y82" s="16"/>
      <c r="Z82" s="16">
        <f t="shared" si="15"/>
        <v>0</v>
      </c>
      <c r="AA82" s="16">
        <f t="shared" si="9"/>
        <v>0</v>
      </c>
      <c r="AB82" s="16"/>
      <c r="AC82" s="17"/>
      <c r="AD82" s="51"/>
    </row>
    <row r="83" spans="1:30" ht="19.5" thickBot="1" x14ac:dyDescent="0.3">
      <c r="A83" s="14">
        <v>16</v>
      </c>
      <c r="B83" s="15"/>
      <c r="C83" s="15" t="e">
        <f>VLOOKUP(B83,داتا!$B$3:$D$107,2,FALSE)</f>
        <v>#N/A</v>
      </c>
      <c r="D83" s="34" t="e">
        <f>VLOOKUP(B83,داتا!$B$3:$D$107,3,FALSE)</f>
        <v>#N/A</v>
      </c>
      <c r="E83" s="15"/>
      <c r="F83" s="15"/>
      <c r="G83" s="16">
        <v>8.3333333333333329E-2</v>
      </c>
      <c r="H83" s="16" t="e">
        <f t="shared" si="16"/>
        <v>#N/A</v>
      </c>
      <c r="I83" s="16" t="e">
        <f t="shared" si="10"/>
        <v>#N/A</v>
      </c>
      <c r="J83" s="16"/>
      <c r="K83" s="16"/>
      <c r="L83" s="16"/>
      <c r="M83" s="16"/>
      <c r="N83" s="16">
        <f t="shared" si="11"/>
        <v>0</v>
      </c>
      <c r="O83" s="16" t="e">
        <f t="shared" si="12"/>
        <v>#N/A</v>
      </c>
      <c r="P83" s="16">
        <v>6.9444444444444397E-3</v>
      </c>
      <c r="Q83" s="16"/>
      <c r="R83" s="16">
        <f t="shared" si="13"/>
        <v>-6.9444444444444397E-3</v>
      </c>
      <c r="S83" s="16"/>
      <c r="T83" s="16" t="e">
        <f>VLOOKUP(E83,'[2]21-3-2026'!E$3:T$35,16,FALSE)</f>
        <v>#N/A</v>
      </c>
      <c r="U83" s="16"/>
      <c r="V83" s="16" t="e">
        <f t="shared" si="14"/>
        <v>#N/A</v>
      </c>
      <c r="W83" s="16"/>
      <c r="X83" s="16"/>
      <c r="Y83" s="16"/>
      <c r="Z83" s="16">
        <f t="shared" si="15"/>
        <v>0</v>
      </c>
      <c r="AA83" s="16">
        <f t="shared" si="9"/>
        <v>0</v>
      </c>
      <c r="AB83" s="16"/>
      <c r="AC83" s="17"/>
      <c r="AD83" s="51"/>
    </row>
    <row r="84" spans="1:30" ht="19.5" thickBot="1" x14ac:dyDescent="0.3">
      <c r="A84" s="14">
        <v>17</v>
      </c>
      <c r="B84" s="15"/>
      <c r="C84" s="15" t="e">
        <f>VLOOKUP(B84,داتا!$B$3:$D$107,2,FALSE)</f>
        <v>#N/A</v>
      </c>
      <c r="D84" s="34" t="e">
        <f>VLOOKUP(B84,داتا!$B$3:$D$107,3,FALSE)</f>
        <v>#N/A</v>
      </c>
      <c r="E84" s="15"/>
      <c r="F84" s="15"/>
      <c r="G84" s="16">
        <v>8.3333333333333329E-2</v>
      </c>
      <c r="H84" s="16" t="e">
        <f t="shared" si="16"/>
        <v>#N/A</v>
      </c>
      <c r="I84" s="16" t="e">
        <f t="shared" si="10"/>
        <v>#N/A</v>
      </c>
      <c r="J84" s="16"/>
      <c r="K84" s="16"/>
      <c r="L84" s="16"/>
      <c r="M84" s="16"/>
      <c r="N84" s="16">
        <f t="shared" si="11"/>
        <v>0</v>
      </c>
      <c r="O84" s="16" t="e">
        <f t="shared" si="12"/>
        <v>#N/A</v>
      </c>
      <c r="P84" s="16">
        <v>6.9444444444444397E-3</v>
      </c>
      <c r="Q84" s="16"/>
      <c r="R84" s="16">
        <f t="shared" si="13"/>
        <v>-6.9444444444444397E-3</v>
      </c>
      <c r="S84" s="16"/>
      <c r="T84" s="16" t="e">
        <f>VLOOKUP(E84,'[2]21-3-2026'!E$3:T$35,16,FALSE)</f>
        <v>#N/A</v>
      </c>
      <c r="U84" s="16"/>
      <c r="V84" s="16" t="e">
        <f t="shared" si="14"/>
        <v>#N/A</v>
      </c>
      <c r="W84" s="16"/>
      <c r="X84" s="16"/>
      <c r="Y84" s="16"/>
      <c r="Z84" s="16">
        <f t="shared" si="15"/>
        <v>0</v>
      </c>
      <c r="AA84" s="16">
        <f t="shared" si="9"/>
        <v>0</v>
      </c>
      <c r="AB84" s="16"/>
      <c r="AC84" s="17"/>
      <c r="AD84" s="51"/>
    </row>
    <row r="85" spans="1:30" ht="19.5" thickBot="1" x14ac:dyDescent="0.3">
      <c r="A85" s="14">
        <v>18</v>
      </c>
      <c r="B85" s="15"/>
      <c r="C85" s="15" t="e">
        <f>VLOOKUP(B85,داتا!$B$3:$D$107,2,FALSE)</f>
        <v>#N/A</v>
      </c>
      <c r="D85" s="34" t="e">
        <f>VLOOKUP(B85,داتا!$B$3:$D$107,3,FALSE)</f>
        <v>#N/A</v>
      </c>
      <c r="E85" s="15"/>
      <c r="F85" s="15"/>
      <c r="G85" s="16">
        <v>8.3333333333333329E-2</v>
      </c>
      <c r="H85" s="16" t="e">
        <f t="shared" ref="H85:H99" si="17">VLOOKUP(G85,$F$3:$I$35,2,FALSE)</f>
        <v>#N/A</v>
      </c>
      <c r="I85" s="16" t="e">
        <f t="shared" si="10"/>
        <v>#N/A</v>
      </c>
      <c r="J85" s="16"/>
      <c r="K85" s="16"/>
      <c r="L85" s="16"/>
      <c r="M85" s="16"/>
      <c r="N85" s="16">
        <f t="shared" si="11"/>
        <v>0</v>
      </c>
      <c r="O85" s="16" t="e">
        <f t="shared" si="12"/>
        <v>#N/A</v>
      </c>
      <c r="P85" s="16">
        <v>6.9444444444444397E-3</v>
      </c>
      <c r="Q85" s="16"/>
      <c r="R85" s="16">
        <f t="shared" si="13"/>
        <v>-6.9444444444444397E-3</v>
      </c>
      <c r="S85" s="16"/>
      <c r="T85" s="16" t="e">
        <f>VLOOKUP(E85,'[2]21-3-2026'!E$3:T$35,16,FALSE)</f>
        <v>#N/A</v>
      </c>
      <c r="U85" s="16"/>
      <c r="V85" s="16" t="e">
        <f t="shared" si="14"/>
        <v>#N/A</v>
      </c>
      <c r="W85" s="16"/>
      <c r="X85" s="16"/>
      <c r="Y85" s="16"/>
      <c r="Z85" s="16">
        <f t="shared" si="15"/>
        <v>0</v>
      </c>
      <c r="AA85" s="16">
        <f t="shared" si="9"/>
        <v>0</v>
      </c>
      <c r="AB85" s="16"/>
      <c r="AC85" s="17"/>
      <c r="AD85" s="51"/>
    </row>
    <row r="86" spans="1:30" ht="19.5" thickBot="1" x14ac:dyDescent="0.3">
      <c r="A86" s="14">
        <v>19</v>
      </c>
      <c r="B86" s="15"/>
      <c r="C86" s="15" t="e">
        <f>VLOOKUP(B86,داتا!$B$3:$D$107,2,FALSE)</f>
        <v>#N/A</v>
      </c>
      <c r="D86" s="34" t="e">
        <f>VLOOKUP(B86,داتا!$B$3:$D$107,3,FALSE)</f>
        <v>#N/A</v>
      </c>
      <c r="E86" s="15"/>
      <c r="F86" s="15"/>
      <c r="G86" s="16">
        <v>8.3333333333333329E-2</v>
      </c>
      <c r="H86" s="16" t="e">
        <f t="shared" si="17"/>
        <v>#N/A</v>
      </c>
      <c r="I86" s="16" t="e">
        <f t="shared" si="10"/>
        <v>#N/A</v>
      </c>
      <c r="J86" s="16"/>
      <c r="K86" s="16"/>
      <c r="L86" s="16"/>
      <c r="M86" s="16"/>
      <c r="N86" s="16">
        <f t="shared" si="11"/>
        <v>0</v>
      </c>
      <c r="O86" s="16" t="e">
        <f t="shared" si="12"/>
        <v>#N/A</v>
      </c>
      <c r="P86" s="16">
        <v>6.9444444444444397E-3</v>
      </c>
      <c r="Q86" s="16"/>
      <c r="R86" s="16">
        <f t="shared" si="13"/>
        <v>-6.9444444444444397E-3</v>
      </c>
      <c r="S86" s="16"/>
      <c r="T86" s="16" t="e">
        <f>VLOOKUP(E86,'[2]21-3-2026'!E$3:T$35,16,FALSE)</f>
        <v>#N/A</v>
      </c>
      <c r="U86" s="16"/>
      <c r="V86" s="16" t="e">
        <f t="shared" si="14"/>
        <v>#N/A</v>
      </c>
      <c r="W86" s="16"/>
      <c r="X86" s="16"/>
      <c r="Y86" s="16"/>
      <c r="Z86" s="16">
        <f t="shared" si="15"/>
        <v>0</v>
      </c>
      <c r="AA86" s="16">
        <f t="shared" si="9"/>
        <v>0</v>
      </c>
      <c r="AB86" s="16"/>
      <c r="AC86" s="17"/>
      <c r="AD86" s="51"/>
    </row>
    <row r="87" spans="1:30" ht="19.5" thickBot="1" x14ac:dyDescent="0.3">
      <c r="A87" s="14">
        <v>20</v>
      </c>
      <c r="B87" s="15"/>
      <c r="C87" s="15" t="e">
        <f>VLOOKUP(B87,داتا!$B$3:$D$107,2,FALSE)</f>
        <v>#N/A</v>
      </c>
      <c r="D87" s="34" t="e">
        <f>VLOOKUP(B87,داتا!$B$3:$D$107,3,FALSE)</f>
        <v>#N/A</v>
      </c>
      <c r="E87" s="15"/>
      <c r="F87" s="15"/>
      <c r="G87" s="16">
        <v>8.3333333333333329E-2</v>
      </c>
      <c r="H87" s="16" t="e">
        <f t="shared" si="17"/>
        <v>#N/A</v>
      </c>
      <c r="I87" s="16" t="e">
        <f t="shared" si="10"/>
        <v>#N/A</v>
      </c>
      <c r="J87" s="16"/>
      <c r="K87" s="16"/>
      <c r="L87" s="16"/>
      <c r="M87" s="16"/>
      <c r="N87" s="16">
        <f t="shared" si="11"/>
        <v>0</v>
      </c>
      <c r="O87" s="16" t="e">
        <f t="shared" si="12"/>
        <v>#N/A</v>
      </c>
      <c r="P87" s="16">
        <v>6.9444444444444397E-3</v>
      </c>
      <c r="Q87" s="16"/>
      <c r="R87" s="16">
        <f t="shared" si="13"/>
        <v>-6.9444444444444397E-3</v>
      </c>
      <c r="S87" s="16"/>
      <c r="T87" s="16" t="e">
        <f>VLOOKUP(E87,'[2]21-3-2026'!E$3:T$35,16,FALSE)</f>
        <v>#N/A</v>
      </c>
      <c r="U87" s="16"/>
      <c r="V87" s="16" t="e">
        <f t="shared" si="14"/>
        <v>#N/A</v>
      </c>
      <c r="W87" s="16"/>
      <c r="X87" s="16"/>
      <c r="Y87" s="16"/>
      <c r="Z87" s="16">
        <f t="shared" si="15"/>
        <v>0</v>
      </c>
      <c r="AA87" s="16">
        <f t="shared" si="9"/>
        <v>0</v>
      </c>
      <c r="AB87" s="16"/>
      <c r="AC87" s="17"/>
      <c r="AD87" s="51"/>
    </row>
    <row r="88" spans="1:30" ht="19.5" thickBot="1" x14ac:dyDescent="0.3">
      <c r="A88" s="14">
        <v>21</v>
      </c>
      <c r="B88" s="15"/>
      <c r="C88" s="15" t="e">
        <f>VLOOKUP(B88,داتا!$B$3:$D$107,2,FALSE)</f>
        <v>#N/A</v>
      </c>
      <c r="D88" s="34" t="e">
        <f>VLOOKUP(B88,داتا!$B$3:$D$107,3,FALSE)</f>
        <v>#N/A</v>
      </c>
      <c r="E88" s="15"/>
      <c r="F88" s="15"/>
      <c r="G88" s="16">
        <v>8.3333333333333329E-2</v>
      </c>
      <c r="H88" s="16" t="e">
        <f t="shared" si="17"/>
        <v>#N/A</v>
      </c>
      <c r="I88" s="16" t="e">
        <f t="shared" si="10"/>
        <v>#N/A</v>
      </c>
      <c r="J88" s="16"/>
      <c r="K88" s="16"/>
      <c r="L88" s="16"/>
      <c r="M88" s="16"/>
      <c r="N88" s="16">
        <f t="shared" si="11"/>
        <v>0</v>
      </c>
      <c r="O88" s="16" t="e">
        <f t="shared" si="12"/>
        <v>#N/A</v>
      </c>
      <c r="P88" s="16">
        <v>6.9444444444444397E-3</v>
      </c>
      <c r="Q88" s="16"/>
      <c r="R88" s="16">
        <f t="shared" si="13"/>
        <v>-6.9444444444444397E-3</v>
      </c>
      <c r="S88" s="16"/>
      <c r="T88" s="16" t="e">
        <f>VLOOKUP(E88,'[2]21-3-2026'!E$3:T$35,16,FALSE)</f>
        <v>#N/A</v>
      </c>
      <c r="U88" s="16"/>
      <c r="V88" s="16" t="e">
        <f t="shared" si="14"/>
        <v>#N/A</v>
      </c>
      <c r="W88" s="16"/>
      <c r="X88" s="16"/>
      <c r="Y88" s="16"/>
      <c r="Z88" s="16">
        <f t="shared" si="15"/>
        <v>0</v>
      </c>
      <c r="AA88" s="16">
        <f t="shared" si="9"/>
        <v>0</v>
      </c>
      <c r="AB88" s="16"/>
      <c r="AC88" s="19"/>
      <c r="AD88" s="51"/>
    </row>
    <row r="89" spans="1:30" ht="19.5" thickBot="1" x14ac:dyDescent="0.3">
      <c r="A89" s="14">
        <v>22</v>
      </c>
      <c r="B89" s="15"/>
      <c r="C89" s="15" t="e">
        <f>VLOOKUP(B89,داتا!$B$3:$D$107,2,FALSE)</f>
        <v>#N/A</v>
      </c>
      <c r="D89" s="34" t="e">
        <f>VLOOKUP(B89,داتا!$B$3:$D$107,3,FALSE)</f>
        <v>#N/A</v>
      </c>
      <c r="E89" s="15"/>
      <c r="F89" s="15"/>
      <c r="G89" s="16">
        <v>8.3333333333333329E-2</v>
      </c>
      <c r="H89" s="16" t="e">
        <f t="shared" si="17"/>
        <v>#N/A</v>
      </c>
      <c r="I89" s="16" t="e">
        <f t="shared" si="10"/>
        <v>#N/A</v>
      </c>
      <c r="J89" s="16"/>
      <c r="K89" s="16"/>
      <c r="L89" s="16"/>
      <c r="M89" s="16"/>
      <c r="N89" s="16">
        <f t="shared" si="11"/>
        <v>0</v>
      </c>
      <c r="O89" s="16" t="e">
        <f t="shared" si="12"/>
        <v>#N/A</v>
      </c>
      <c r="P89" s="16">
        <v>6.9444444444444397E-3</v>
      </c>
      <c r="Q89" s="16"/>
      <c r="R89" s="16">
        <f t="shared" si="13"/>
        <v>-6.9444444444444397E-3</v>
      </c>
      <c r="S89" s="16"/>
      <c r="T89" s="16" t="e">
        <f>VLOOKUP(E89,'[2]21-3-2026'!E$3:T$35,16,FALSE)</f>
        <v>#N/A</v>
      </c>
      <c r="U89" s="16"/>
      <c r="V89" s="16" t="e">
        <f t="shared" si="14"/>
        <v>#N/A</v>
      </c>
      <c r="W89" s="16"/>
      <c r="X89" s="16"/>
      <c r="Y89" s="16"/>
      <c r="Z89" s="16">
        <f t="shared" si="15"/>
        <v>0</v>
      </c>
      <c r="AA89" s="16">
        <f t="shared" si="9"/>
        <v>0</v>
      </c>
      <c r="AB89" s="16"/>
      <c r="AC89" s="19"/>
      <c r="AD89" s="51"/>
    </row>
    <row r="90" spans="1:30" ht="19.5" thickBot="1" x14ac:dyDescent="0.3">
      <c r="A90" s="14">
        <v>23</v>
      </c>
      <c r="B90" s="15"/>
      <c r="C90" s="15" t="e">
        <f>VLOOKUP(B90,داتا!$B$3:$D$107,2,FALSE)</f>
        <v>#N/A</v>
      </c>
      <c r="D90" s="34" t="e">
        <f>VLOOKUP(B90,داتا!$B$3:$D$107,3,FALSE)</f>
        <v>#N/A</v>
      </c>
      <c r="E90" s="15"/>
      <c r="F90" s="15"/>
      <c r="G90" s="16">
        <v>8.3333333333333329E-2</v>
      </c>
      <c r="H90" s="16" t="e">
        <f t="shared" si="17"/>
        <v>#N/A</v>
      </c>
      <c r="I90" s="16" t="e">
        <f t="shared" si="10"/>
        <v>#N/A</v>
      </c>
      <c r="J90" s="16"/>
      <c r="K90" s="16"/>
      <c r="L90" s="16"/>
      <c r="M90" s="16"/>
      <c r="N90" s="16">
        <f t="shared" si="11"/>
        <v>0</v>
      </c>
      <c r="O90" s="16" t="e">
        <f t="shared" si="12"/>
        <v>#N/A</v>
      </c>
      <c r="P90" s="16">
        <v>6.9444444444444397E-3</v>
      </c>
      <c r="Q90" s="16"/>
      <c r="R90" s="16">
        <f t="shared" si="13"/>
        <v>-6.9444444444444397E-3</v>
      </c>
      <c r="S90" s="16"/>
      <c r="T90" s="16" t="e">
        <f>VLOOKUP(E90,'[2]21-3-2026'!E$3:T$35,16,FALSE)</f>
        <v>#N/A</v>
      </c>
      <c r="U90" s="16"/>
      <c r="V90" s="16" t="e">
        <f t="shared" si="14"/>
        <v>#N/A</v>
      </c>
      <c r="W90" s="16"/>
      <c r="X90" s="16"/>
      <c r="Y90" s="16"/>
      <c r="Z90" s="16">
        <f t="shared" si="15"/>
        <v>0</v>
      </c>
      <c r="AA90" s="16">
        <f t="shared" si="9"/>
        <v>0</v>
      </c>
      <c r="AB90" s="16"/>
      <c r="AC90" s="19"/>
      <c r="AD90" s="51"/>
    </row>
    <row r="91" spans="1:30" ht="19.5" thickBot="1" x14ac:dyDescent="0.3">
      <c r="A91" s="14">
        <v>24</v>
      </c>
      <c r="B91" s="15"/>
      <c r="C91" s="15" t="e">
        <f>VLOOKUP(B91,داتا!$B$3:$D$107,2,FALSE)</f>
        <v>#N/A</v>
      </c>
      <c r="D91" s="34" t="e">
        <f>VLOOKUP(B91,داتا!$B$3:$D$107,3,FALSE)</f>
        <v>#N/A</v>
      </c>
      <c r="E91" s="15"/>
      <c r="F91" s="15"/>
      <c r="G91" s="16">
        <v>8.3333333333333329E-2</v>
      </c>
      <c r="H91" s="16" t="e">
        <f t="shared" si="17"/>
        <v>#N/A</v>
      </c>
      <c r="I91" s="16" t="e">
        <f t="shared" si="10"/>
        <v>#N/A</v>
      </c>
      <c r="J91" s="16"/>
      <c r="K91" s="16"/>
      <c r="L91" s="16"/>
      <c r="M91" s="16"/>
      <c r="N91" s="16">
        <f t="shared" si="11"/>
        <v>0</v>
      </c>
      <c r="O91" s="16" t="e">
        <f t="shared" si="12"/>
        <v>#N/A</v>
      </c>
      <c r="P91" s="16">
        <v>6.9444444444444397E-3</v>
      </c>
      <c r="Q91" s="16"/>
      <c r="R91" s="16">
        <f t="shared" si="13"/>
        <v>-6.9444444444444397E-3</v>
      </c>
      <c r="S91" s="16"/>
      <c r="T91" s="16" t="e">
        <f>VLOOKUP(E91,'[2]21-3-2026'!E$3:T$35,16,FALSE)</f>
        <v>#N/A</v>
      </c>
      <c r="U91" s="16"/>
      <c r="V91" s="16" t="e">
        <f t="shared" si="14"/>
        <v>#N/A</v>
      </c>
      <c r="W91" s="16"/>
      <c r="X91" s="16"/>
      <c r="Y91" s="16"/>
      <c r="Z91" s="16">
        <f t="shared" si="15"/>
        <v>0</v>
      </c>
      <c r="AA91" s="16">
        <f t="shared" si="9"/>
        <v>0</v>
      </c>
      <c r="AB91" s="16"/>
      <c r="AC91" s="19"/>
      <c r="AD91" s="51"/>
    </row>
    <row r="92" spans="1:30" ht="19.5" thickBot="1" x14ac:dyDescent="0.3">
      <c r="A92" s="14">
        <v>25</v>
      </c>
      <c r="B92" s="15"/>
      <c r="C92" s="15" t="e">
        <f>VLOOKUP(B92,داتا!$B$3:$D$107,2,FALSE)</f>
        <v>#N/A</v>
      </c>
      <c r="D92" s="34" t="e">
        <f>VLOOKUP(B92,داتا!$B$3:$D$107,3,FALSE)</f>
        <v>#N/A</v>
      </c>
      <c r="E92" s="15"/>
      <c r="F92" s="15"/>
      <c r="G92" s="16">
        <v>8.3333333333333329E-2</v>
      </c>
      <c r="H92" s="16" t="e">
        <f t="shared" si="17"/>
        <v>#N/A</v>
      </c>
      <c r="I92" s="16" t="e">
        <f t="shared" si="10"/>
        <v>#N/A</v>
      </c>
      <c r="J92" s="16"/>
      <c r="K92" s="16"/>
      <c r="L92" s="16"/>
      <c r="M92" s="16"/>
      <c r="N92" s="16">
        <f t="shared" si="11"/>
        <v>0</v>
      </c>
      <c r="O92" s="16" t="e">
        <f t="shared" si="12"/>
        <v>#N/A</v>
      </c>
      <c r="P92" s="16">
        <v>6.9444444444444397E-3</v>
      </c>
      <c r="Q92" s="16"/>
      <c r="R92" s="16">
        <f t="shared" si="13"/>
        <v>-6.9444444444444397E-3</v>
      </c>
      <c r="S92" s="16"/>
      <c r="T92" s="16" t="e">
        <f>VLOOKUP(E92,'[2]21-3-2026'!E$3:T$35,16,FALSE)</f>
        <v>#N/A</v>
      </c>
      <c r="U92" s="16"/>
      <c r="V92" s="16" t="e">
        <f t="shared" si="14"/>
        <v>#N/A</v>
      </c>
      <c r="W92" s="16"/>
      <c r="X92" s="16"/>
      <c r="Y92" s="16"/>
      <c r="Z92" s="16">
        <f t="shared" si="15"/>
        <v>0</v>
      </c>
      <c r="AA92" s="16">
        <f t="shared" si="9"/>
        <v>0</v>
      </c>
      <c r="AB92" s="16"/>
      <c r="AC92" s="19"/>
      <c r="AD92" s="51"/>
    </row>
    <row r="93" spans="1:30" ht="19.5" thickBot="1" x14ac:dyDescent="0.3">
      <c r="A93" s="14">
        <v>26</v>
      </c>
      <c r="B93" s="15"/>
      <c r="C93" s="15" t="e">
        <f>VLOOKUP(B93,داتا!$B$3:$D$107,2,FALSE)</f>
        <v>#N/A</v>
      </c>
      <c r="D93" s="34" t="e">
        <f>VLOOKUP(B93,داتا!$B$3:$D$107,3,FALSE)</f>
        <v>#N/A</v>
      </c>
      <c r="E93" s="15"/>
      <c r="F93" s="15"/>
      <c r="G93" s="16">
        <v>8.3333333333333329E-2</v>
      </c>
      <c r="H93" s="16" t="e">
        <f t="shared" si="17"/>
        <v>#N/A</v>
      </c>
      <c r="I93" s="16" t="e">
        <f t="shared" si="10"/>
        <v>#N/A</v>
      </c>
      <c r="J93" s="16"/>
      <c r="K93" s="16"/>
      <c r="L93" s="16"/>
      <c r="M93" s="16"/>
      <c r="N93" s="16">
        <f t="shared" si="11"/>
        <v>0</v>
      </c>
      <c r="O93" s="16" t="e">
        <f t="shared" si="12"/>
        <v>#N/A</v>
      </c>
      <c r="P93" s="16">
        <v>6.9444444444444397E-3</v>
      </c>
      <c r="Q93" s="16"/>
      <c r="R93" s="16">
        <f t="shared" si="13"/>
        <v>-6.9444444444444397E-3</v>
      </c>
      <c r="S93" s="16"/>
      <c r="T93" s="16" t="e">
        <f>VLOOKUP(E93,'[2]21-3-2026'!E$3:T$35,16,FALSE)</f>
        <v>#N/A</v>
      </c>
      <c r="U93" s="16"/>
      <c r="V93" s="16" t="e">
        <f t="shared" si="14"/>
        <v>#N/A</v>
      </c>
      <c r="W93" s="16"/>
      <c r="X93" s="16"/>
      <c r="Y93" s="16"/>
      <c r="Z93" s="16">
        <f t="shared" si="15"/>
        <v>0</v>
      </c>
      <c r="AA93" s="16">
        <f t="shared" si="9"/>
        <v>0</v>
      </c>
      <c r="AB93" s="16"/>
      <c r="AC93" s="19"/>
      <c r="AD93" s="51"/>
    </row>
    <row r="94" spans="1:30" ht="19.5" thickBot="1" x14ac:dyDescent="0.3">
      <c r="A94" s="14">
        <v>27</v>
      </c>
      <c r="B94" s="15"/>
      <c r="C94" s="15" t="e">
        <f>VLOOKUP(B94,داتا!$B$3:$D$107,2,FALSE)</f>
        <v>#N/A</v>
      </c>
      <c r="D94" s="34" t="e">
        <f>VLOOKUP(B94,داتا!$B$3:$D$107,3,FALSE)</f>
        <v>#N/A</v>
      </c>
      <c r="E94" s="15"/>
      <c r="F94" s="15"/>
      <c r="G94" s="16">
        <v>8.3333333333333329E-2</v>
      </c>
      <c r="H94" s="16" t="e">
        <f t="shared" si="17"/>
        <v>#N/A</v>
      </c>
      <c r="I94" s="16" t="e">
        <f t="shared" si="10"/>
        <v>#N/A</v>
      </c>
      <c r="J94" s="16"/>
      <c r="K94" s="16"/>
      <c r="L94" s="16"/>
      <c r="M94" s="16"/>
      <c r="N94" s="16">
        <f t="shared" si="11"/>
        <v>0</v>
      </c>
      <c r="O94" s="16" t="e">
        <f t="shared" si="12"/>
        <v>#N/A</v>
      </c>
      <c r="P94" s="16">
        <v>6.9444444444444397E-3</v>
      </c>
      <c r="Q94" s="16"/>
      <c r="R94" s="16">
        <f t="shared" si="13"/>
        <v>-6.9444444444444397E-3</v>
      </c>
      <c r="S94" s="16"/>
      <c r="T94" s="16" t="e">
        <f>VLOOKUP(E94,'[2]21-3-2026'!E$3:T$35,16,FALSE)</f>
        <v>#N/A</v>
      </c>
      <c r="U94" s="16"/>
      <c r="V94" s="16" t="e">
        <f t="shared" si="14"/>
        <v>#N/A</v>
      </c>
      <c r="W94" s="16"/>
      <c r="X94" s="16"/>
      <c r="Y94" s="16"/>
      <c r="Z94" s="16">
        <f t="shared" si="15"/>
        <v>0</v>
      </c>
      <c r="AA94" s="16">
        <f t="shared" si="9"/>
        <v>0</v>
      </c>
      <c r="AB94" s="16"/>
      <c r="AC94" s="19"/>
      <c r="AD94" s="51"/>
    </row>
    <row r="95" spans="1:30" ht="19.5" thickBot="1" x14ac:dyDescent="0.3">
      <c r="A95" s="14">
        <v>28</v>
      </c>
      <c r="B95" s="15"/>
      <c r="C95" s="15" t="e">
        <f>VLOOKUP(B95,داتا!$B$3:$D$107,2,FALSE)</f>
        <v>#N/A</v>
      </c>
      <c r="D95" s="34" t="e">
        <f>VLOOKUP(B95,داتا!$B$3:$D$107,3,FALSE)</f>
        <v>#N/A</v>
      </c>
      <c r="E95" s="15"/>
      <c r="F95" s="16"/>
      <c r="G95" s="16">
        <v>8.3333333333333329E-2</v>
      </c>
      <c r="H95" s="16" t="e">
        <f t="shared" si="17"/>
        <v>#N/A</v>
      </c>
      <c r="I95" s="16" t="e">
        <f t="shared" si="10"/>
        <v>#N/A</v>
      </c>
      <c r="J95" s="16"/>
      <c r="K95" s="16"/>
      <c r="L95" s="16"/>
      <c r="M95" s="16"/>
      <c r="N95" s="16">
        <f t="shared" si="11"/>
        <v>0</v>
      </c>
      <c r="O95" s="16" t="e">
        <f t="shared" si="12"/>
        <v>#N/A</v>
      </c>
      <c r="P95" s="16">
        <v>6.9444444444444397E-3</v>
      </c>
      <c r="Q95" s="16"/>
      <c r="R95" s="16">
        <f t="shared" si="13"/>
        <v>-6.9444444444444397E-3</v>
      </c>
      <c r="S95" s="16"/>
      <c r="T95" s="16" t="e">
        <f>VLOOKUP(E95,'[2]21-3-2026'!E$3:T$35,16,FALSE)</f>
        <v>#N/A</v>
      </c>
      <c r="U95" s="16"/>
      <c r="V95" s="16" t="e">
        <f t="shared" si="14"/>
        <v>#N/A</v>
      </c>
      <c r="W95" s="16"/>
      <c r="X95" s="16"/>
      <c r="Y95" s="16"/>
      <c r="Z95" s="16">
        <f t="shared" si="15"/>
        <v>0</v>
      </c>
      <c r="AA95" s="16">
        <f t="shared" si="9"/>
        <v>0</v>
      </c>
      <c r="AB95" s="16"/>
      <c r="AC95" s="19"/>
      <c r="AD95" s="51"/>
    </row>
    <row r="96" spans="1:30" ht="19.5" thickBot="1" x14ac:dyDescent="0.3">
      <c r="A96" s="14">
        <v>29</v>
      </c>
      <c r="B96" s="15"/>
      <c r="C96" s="15" t="e">
        <f>VLOOKUP(B96,داتا!$B$3:$D$107,2,FALSE)</f>
        <v>#N/A</v>
      </c>
      <c r="D96" s="34" t="e">
        <f>VLOOKUP(B96,داتا!$B$3:$D$107,3,FALSE)</f>
        <v>#N/A</v>
      </c>
      <c r="E96" s="15"/>
      <c r="F96" s="16"/>
      <c r="G96" s="16">
        <v>8.3333333333333329E-2</v>
      </c>
      <c r="H96" s="16" t="e">
        <f t="shared" si="17"/>
        <v>#N/A</v>
      </c>
      <c r="I96" s="16" t="e">
        <f t="shared" si="10"/>
        <v>#N/A</v>
      </c>
      <c r="J96" s="16"/>
      <c r="K96" s="16"/>
      <c r="L96" s="16"/>
      <c r="M96" s="16"/>
      <c r="N96" s="16">
        <f t="shared" si="11"/>
        <v>0</v>
      </c>
      <c r="O96" s="16" t="e">
        <f t="shared" si="12"/>
        <v>#N/A</v>
      </c>
      <c r="P96" s="16">
        <v>6.9444444444444397E-3</v>
      </c>
      <c r="Q96" s="16"/>
      <c r="R96" s="16">
        <f t="shared" si="13"/>
        <v>-6.9444444444444397E-3</v>
      </c>
      <c r="S96" s="16"/>
      <c r="T96" s="16" t="e">
        <f>VLOOKUP(E96,'[2]21-3-2026'!E$3:T$35,16,FALSE)</f>
        <v>#N/A</v>
      </c>
      <c r="U96" s="16"/>
      <c r="V96" s="16" t="e">
        <f t="shared" si="14"/>
        <v>#N/A</v>
      </c>
      <c r="W96" s="16"/>
      <c r="X96" s="16"/>
      <c r="Y96" s="16"/>
      <c r="Z96" s="16">
        <f t="shared" si="15"/>
        <v>0</v>
      </c>
      <c r="AA96" s="16">
        <f t="shared" si="9"/>
        <v>0</v>
      </c>
      <c r="AB96" s="16"/>
      <c r="AC96" s="19"/>
      <c r="AD96" s="54"/>
    </row>
    <row r="97" spans="1:29" ht="19.5" thickBot="1" x14ac:dyDescent="0.3">
      <c r="A97" s="14">
        <v>30</v>
      </c>
      <c r="B97" s="15"/>
      <c r="C97" s="15" t="e">
        <f>VLOOKUP(B97,داتا!$B$3:$D$107,2,FALSE)</f>
        <v>#N/A</v>
      </c>
      <c r="D97" s="34" t="e">
        <f>VLOOKUP(B97,داتا!$B$3:$D$107,3,FALSE)</f>
        <v>#N/A</v>
      </c>
      <c r="E97" s="15"/>
      <c r="F97" s="16"/>
      <c r="G97" s="16">
        <v>8.3333333333333329E-2</v>
      </c>
      <c r="H97" s="16" t="e">
        <f t="shared" si="17"/>
        <v>#N/A</v>
      </c>
      <c r="I97" s="16" t="e">
        <f t="shared" si="10"/>
        <v>#N/A</v>
      </c>
      <c r="J97" s="16"/>
      <c r="K97" s="16"/>
      <c r="L97" s="16"/>
      <c r="M97" s="16"/>
      <c r="N97" s="16">
        <f t="shared" si="11"/>
        <v>0</v>
      </c>
      <c r="O97" s="16" t="e">
        <f t="shared" si="12"/>
        <v>#N/A</v>
      </c>
      <c r="P97" s="16">
        <v>6.9444444444444397E-3</v>
      </c>
      <c r="Q97" s="16"/>
      <c r="R97" s="16">
        <f t="shared" si="13"/>
        <v>-6.9444444444444397E-3</v>
      </c>
      <c r="S97" s="16"/>
      <c r="T97" s="16" t="e">
        <f>VLOOKUP(E97,'[2]21-3-2026'!E$3:T$35,16,FALSE)</f>
        <v>#N/A</v>
      </c>
      <c r="U97" s="16"/>
      <c r="V97" s="16" t="e">
        <f t="shared" si="14"/>
        <v>#N/A</v>
      </c>
      <c r="W97" s="16"/>
      <c r="X97" s="16"/>
      <c r="Y97" s="16"/>
      <c r="Z97" s="16">
        <f t="shared" si="15"/>
        <v>0</v>
      </c>
      <c r="AA97" s="16">
        <f t="shared" si="9"/>
        <v>0</v>
      </c>
      <c r="AB97" s="16"/>
      <c r="AC97" s="19"/>
    </row>
    <row r="98" spans="1:29" ht="19.5" thickBot="1" x14ac:dyDescent="0.3">
      <c r="A98" s="14">
        <v>31</v>
      </c>
      <c r="B98" s="15"/>
      <c r="C98" s="15" t="e">
        <f>VLOOKUP(B98,داتا!$B$3:$D$107,2,FALSE)</f>
        <v>#N/A</v>
      </c>
      <c r="D98" s="34" t="e">
        <f>VLOOKUP(B98,داتا!$B$3:$D$107,3,FALSE)</f>
        <v>#N/A</v>
      </c>
      <c r="E98" s="15"/>
      <c r="F98" s="16"/>
      <c r="G98" s="16">
        <v>8.3333333333333329E-2</v>
      </c>
      <c r="H98" s="16" t="e">
        <f t="shared" si="17"/>
        <v>#N/A</v>
      </c>
      <c r="I98" s="16" t="e">
        <f t="shared" si="10"/>
        <v>#N/A</v>
      </c>
      <c r="J98" s="16"/>
      <c r="K98" s="16"/>
      <c r="L98" s="16"/>
      <c r="M98" s="16"/>
      <c r="N98" s="16">
        <f t="shared" si="11"/>
        <v>0</v>
      </c>
      <c r="O98" s="16" t="e">
        <f t="shared" si="12"/>
        <v>#N/A</v>
      </c>
      <c r="P98" s="16">
        <v>6.9444444444444397E-3</v>
      </c>
      <c r="Q98" s="16"/>
      <c r="R98" s="16">
        <f t="shared" si="13"/>
        <v>-6.9444444444444397E-3</v>
      </c>
      <c r="S98" s="16"/>
      <c r="T98" s="16" t="e">
        <f>VLOOKUP(E98,'[2]21-3-2026'!E$3:T$35,16,FALSE)</f>
        <v>#N/A</v>
      </c>
      <c r="U98" s="16"/>
      <c r="V98" s="16" t="e">
        <f t="shared" si="14"/>
        <v>#N/A</v>
      </c>
      <c r="W98" s="16"/>
      <c r="X98" s="16"/>
      <c r="Y98" s="16"/>
      <c r="Z98" s="16">
        <f t="shared" si="15"/>
        <v>0</v>
      </c>
      <c r="AA98" s="16">
        <f t="shared" si="9"/>
        <v>0</v>
      </c>
      <c r="AB98" s="16"/>
      <c r="AC98" s="19"/>
    </row>
    <row r="99" spans="1:29" ht="19.5" thickBot="1" x14ac:dyDescent="0.3">
      <c r="A99" s="20">
        <v>32</v>
      </c>
      <c r="B99" s="21"/>
      <c r="C99" s="21" t="e">
        <f>VLOOKUP(B99,داتا!$B$3:$D$107,2,FALSE)</f>
        <v>#N/A</v>
      </c>
      <c r="D99" s="35" t="e">
        <f>VLOOKUP(B99,داتا!$B$3:$D$107,3,FALSE)</f>
        <v>#N/A</v>
      </c>
      <c r="E99" s="21"/>
      <c r="F99" s="22"/>
      <c r="G99" s="22">
        <v>8.3333333333333329E-2</v>
      </c>
      <c r="H99" s="22" t="e">
        <f t="shared" si="17"/>
        <v>#N/A</v>
      </c>
      <c r="I99" s="22" t="e">
        <f t="shared" si="10"/>
        <v>#N/A</v>
      </c>
      <c r="J99" s="22"/>
      <c r="K99" s="22"/>
      <c r="L99" s="22"/>
      <c r="M99" s="22"/>
      <c r="N99" s="22">
        <f t="shared" si="11"/>
        <v>0</v>
      </c>
      <c r="O99" s="22" t="e">
        <f t="shared" si="12"/>
        <v>#N/A</v>
      </c>
      <c r="P99" s="22">
        <v>6.9444444444444397E-3</v>
      </c>
      <c r="Q99" s="22"/>
      <c r="R99" s="22">
        <f t="shared" si="13"/>
        <v>-6.9444444444444397E-3</v>
      </c>
      <c r="S99" s="22"/>
      <c r="T99" s="22" t="e">
        <f>VLOOKUP(E99,'[2]21-3-2026'!E$3:T$35,16,FALSE)</f>
        <v>#N/A</v>
      </c>
      <c r="U99" s="22"/>
      <c r="V99" s="22" t="e">
        <f t="shared" si="14"/>
        <v>#N/A</v>
      </c>
      <c r="W99" s="22"/>
      <c r="X99" s="22"/>
      <c r="Y99" s="22"/>
      <c r="Z99" s="22">
        <f t="shared" si="15"/>
        <v>0</v>
      </c>
      <c r="AA99" s="22">
        <f t="shared" si="9"/>
        <v>0</v>
      </c>
      <c r="AB99" s="22"/>
      <c r="AC99" s="30"/>
    </row>
    <row r="100" spans="1:29" ht="16.5" thickTop="1" x14ac:dyDescent="0.25"/>
  </sheetData>
  <mergeCells count="4">
    <mergeCell ref="A1:AC1"/>
    <mergeCell ref="AD3:AD35"/>
    <mergeCell ref="AD36:AD67"/>
    <mergeCell ref="AD68:AD96"/>
  </mergeCells>
  <conditionalFormatting sqref="AC1:AC96 AC100:AC1048576">
    <cfRule type="containsText" dxfId="164" priority="14" operator="containsText" text="ت">
      <formula>NOT(ISERROR(SEARCH("ت",AC1)))</formula>
    </cfRule>
  </conditionalFormatting>
  <conditionalFormatting sqref="AC4:AC96">
    <cfRule type="containsText" dxfId="163" priority="13" operator="containsText" text="ت">
      <formula>NOT(ISERROR(SEARCH("ت",AC4)))</formula>
    </cfRule>
  </conditionalFormatting>
  <conditionalFormatting sqref="O1:O2 I1:I2 R1:R2 V1:V2 AA100:AA1048576 V100:V1048576 R100:R1048576 O100:O1048576 I100:I1048576 AA1:AA2">
    <cfRule type="cellIs" dxfId="162" priority="15" operator="between">
      <formula>0.00277777777777778</formula>
      <formula>1</formula>
    </cfRule>
  </conditionalFormatting>
  <conditionalFormatting sqref="AC97:AC99">
    <cfRule type="containsText" dxfId="161" priority="12" operator="containsText" text="ت">
      <formula>NOT(ISERROR(SEARCH("ت",AC97)))</formula>
    </cfRule>
  </conditionalFormatting>
  <conditionalFormatting sqref="AC97:AC99">
    <cfRule type="containsText" dxfId="160" priority="11" operator="containsText" text="ت">
      <formula>NOT(ISERROR(SEARCH("ت",AC97)))</formula>
    </cfRule>
  </conditionalFormatting>
  <conditionalFormatting sqref="I3:I99">
    <cfRule type="cellIs" dxfId="159" priority="9" operator="between">
      <formula>0.00277777777777778</formula>
      <formula>1</formula>
    </cfRule>
  </conditionalFormatting>
  <conditionalFormatting sqref="I3:I99">
    <cfRule type="cellIs" dxfId="158" priority="10" operator="between">
      <formula>0.00277777777777778</formula>
      <formula>1</formula>
    </cfRule>
  </conditionalFormatting>
  <conditionalFormatting sqref="O3:O99">
    <cfRule type="cellIs" dxfId="157" priority="7" operator="between">
      <formula>0.00277777777777778</formula>
      <formula>1</formula>
    </cfRule>
  </conditionalFormatting>
  <conditionalFormatting sqref="O3:O99">
    <cfRule type="cellIs" dxfId="156" priority="8" operator="between">
      <formula>0.00277777777777778</formula>
      <formula>1</formula>
    </cfRule>
  </conditionalFormatting>
  <conditionalFormatting sqref="R3:R99">
    <cfRule type="cellIs" dxfId="155" priority="5" operator="between">
      <formula>0.00277777777777778</formula>
      <formula>1</formula>
    </cfRule>
  </conditionalFormatting>
  <conditionalFormatting sqref="R3:R99">
    <cfRule type="cellIs" dxfId="154" priority="6" operator="between">
      <formula>0.00277777777777778</formula>
      <formula>1</formula>
    </cfRule>
  </conditionalFormatting>
  <conditionalFormatting sqref="V3:V99">
    <cfRule type="cellIs" dxfId="153" priority="3" operator="between">
      <formula>0.00277777777777778</formula>
      <formula>1</formula>
    </cfRule>
  </conditionalFormatting>
  <conditionalFormatting sqref="V3:V99">
    <cfRule type="cellIs" dxfId="152" priority="4" operator="between">
      <formula>0.00277777777777778</formula>
      <formula>1</formula>
    </cfRule>
  </conditionalFormatting>
  <conditionalFormatting sqref="AA3:AA99">
    <cfRule type="cellIs" dxfId="151" priority="1" operator="between">
      <formula>0.00277777777777778</formula>
      <formula>1</formula>
    </cfRule>
  </conditionalFormatting>
  <conditionalFormatting sqref="AA3:AA99">
    <cfRule type="cellIs" dxfId="150" priority="2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"/>
  <sheetViews>
    <sheetView rightToLeft="1" workbookViewId="0">
      <pane xSplit="6" ySplit="2" topLeftCell="G68" activePane="bottomRight" state="frozen"/>
      <selection activeCell="A92" sqref="A92"/>
      <selection pane="topRight" activeCell="A92" sqref="A92"/>
      <selection pane="bottomLeft" activeCell="A92" sqref="A92"/>
      <selection pane="bottomRight" activeCell="A92" sqref="A92"/>
    </sheetView>
  </sheetViews>
  <sheetFormatPr defaultColWidth="9" defaultRowHeight="15.75" x14ac:dyDescent="0.25"/>
  <cols>
    <col min="1" max="1" width="5.42578125" customWidth="1"/>
    <col min="2" max="2" width="12.28515625" customWidth="1"/>
    <col min="3" max="3" width="12.5703125" customWidth="1"/>
    <col min="4" max="4" width="16.140625" style="36" customWidth="1"/>
    <col min="5" max="5" width="17.140625" customWidth="1"/>
    <col min="6" max="6" width="20.85546875" customWidth="1"/>
    <col min="7" max="7" width="12.7109375" customWidth="1"/>
    <col min="8" max="9" width="12.85546875" customWidth="1"/>
    <col min="10" max="10" width="12.5703125" customWidth="1"/>
    <col min="11" max="11" width="14.28515625" customWidth="1"/>
    <col min="12" max="12" width="22.7109375" customWidth="1"/>
    <col min="13" max="13" width="18.8554687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3.85546875" style="31" customWidth="1"/>
    <col min="30" max="30" width="11.140625" customWidth="1"/>
  </cols>
  <sheetData>
    <row r="1" spans="1:30" ht="33.75" customHeight="1" thickBot="1" x14ac:dyDescent="0.3">
      <c r="A1" s="46" t="s">
        <v>119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0" ht="49.5" customHeight="1" thickTop="1" thickBot="1" x14ac:dyDescent="0.3">
      <c r="A2" s="1" t="s">
        <v>1</v>
      </c>
      <c r="B2" s="2" t="s">
        <v>2</v>
      </c>
      <c r="C2" s="2" t="s">
        <v>3</v>
      </c>
      <c r="D2" s="3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8" t="s">
        <v>18</v>
      </c>
      <c r="S2" s="2" t="s">
        <v>19</v>
      </c>
      <c r="T2" s="8" t="s">
        <v>20</v>
      </c>
      <c r="U2" s="2" t="s">
        <v>21</v>
      </c>
      <c r="V2" s="8" t="s">
        <v>22</v>
      </c>
      <c r="W2" s="8" t="s">
        <v>23</v>
      </c>
      <c r="X2" s="2" t="s">
        <v>24</v>
      </c>
      <c r="Y2" s="2" t="s">
        <v>25</v>
      </c>
      <c r="Z2" s="2" t="s">
        <v>26</v>
      </c>
      <c r="AA2" s="8" t="s">
        <v>27</v>
      </c>
      <c r="AB2" s="2" t="s">
        <v>28</v>
      </c>
      <c r="AC2" s="9" t="s">
        <v>29</v>
      </c>
    </row>
    <row r="3" spans="1:30" ht="20.25" customHeight="1" thickTop="1" thickBot="1" x14ac:dyDescent="0.3">
      <c r="A3" s="10">
        <v>1</v>
      </c>
      <c r="B3" s="11"/>
      <c r="C3" s="11" t="e">
        <f>VLOOKUP(B3,داتا!$B$3:$D$107,2,FALSE)</f>
        <v>#N/A</v>
      </c>
      <c r="D3" s="33" t="e">
        <f>VLOOKUP(B3,داتا!$B$3:$D$107,3,FALSE)</f>
        <v>#N/A</v>
      </c>
      <c r="E3" s="11"/>
      <c r="F3" s="11"/>
      <c r="G3" s="12">
        <v>0.25</v>
      </c>
      <c r="H3" s="12"/>
      <c r="I3" s="12">
        <f>H3-G3</f>
        <v>-0.25</v>
      </c>
      <c r="J3" s="12"/>
      <c r="K3" s="12"/>
      <c r="L3" s="12"/>
      <c r="M3" s="12"/>
      <c r="N3" s="12">
        <f>K3-J3</f>
        <v>0</v>
      </c>
      <c r="O3" s="12" t="e">
        <f>N3-D3</f>
        <v>#N/A</v>
      </c>
      <c r="P3" s="12">
        <v>6.9444444444444397E-3</v>
      </c>
      <c r="Q3" s="12"/>
      <c r="R3" s="12">
        <f>Q3-P3-K3</f>
        <v>-6.9444444444444397E-3</v>
      </c>
      <c r="S3" s="12"/>
      <c r="T3" s="12" t="e">
        <f>VLOOKUP(E3,'[2]21-3-2026'!E$3:T$35,16,FALSE)</f>
        <v>#N/A</v>
      </c>
      <c r="U3" s="12"/>
      <c r="V3" s="12" t="e">
        <f>U3-T3-S3</f>
        <v>#N/A</v>
      </c>
      <c r="W3" s="12"/>
      <c r="X3" s="12"/>
      <c r="Y3" s="12"/>
      <c r="Z3" s="12">
        <f>Y3-X3</f>
        <v>0</v>
      </c>
      <c r="AA3" s="12">
        <f t="shared" ref="AA3:AA66" si="0">Z3-W3</f>
        <v>0</v>
      </c>
      <c r="AB3" s="12"/>
      <c r="AC3" s="13"/>
      <c r="AD3" s="47" t="s">
        <v>33</v>
      </c>
    </row>
    <row r="4" spans="1:30" ht="19.5" thickBot="1" x14ac:dyDescent="0.3">
      <c r="A4" s="14">
        <v>2</v>
      </c>
      <c r="B4" s="15"/>
      <c r="C4" s="15" t="e">
        <f>VLOOKUP(B4,داتا!$B$3:$D$107,2,FALSE)</f>
        <v>#N/A</v>
      </c>
      <c r="D4" s="34" t="e">
        <f>VLOOKUP(B4,داتا!$B$3:$D$107,3,FALSE)</f>
        <v>#N/A</v>
      </c>
      <c r="E4" s="15"/>
      <c r="F4" s="15"/>
      <c r="G4" s="16">
        <v>0.25</v>
      </c>
      <c r="H4" s="16"/>
      <c r="I4" s="16">
        <f t="shared" ref="I4:I67" si="1">H4-G4</f>
        <v>-0.25</v>
      </c>
      <c r="J4" s="16"/>
      <c r="K4" s="16"/>
      <c r="L4" s="16"/>
      <c r="M4" s="16"/>
      <c r="N4" s="16">
        <f t="shared" ref="N4:N67" si="2">K4-J4</f>
        <v>0</v>
      </c>
      <c r="O4" s="16" t="e">
        <f t="shared" ref="O4:O67" si="3">N4-D4</f>
        <v>#N/A</v>
      </c>
      <c r="P4" s="16">
        <v>6.9444444444444397E-3</v>
      </c>
      <c r="Q4" s="16"/>
      <c r="R4" s="16">
        <f t="shared" ref="R4:R67" si="4">Q4-P4-K4</f>
        <v>-6.9444444444444397E-3</v>
      </c>
      <c r="S4" s="16"/>
      <c r="T4" s="16" t="e">
        <f>VLOOKUP(E4,'[2]21-3-2026'!E$3:T$35,16,FALSE)</f>
        <v>#N/A</v>
      </c>
      <c r="U4" s="16"/>
      <c r="V4" s="16" t="e">
        <f t="shared" ref="V4:V67" si="5">U4-T4-S4</f>
        <v>#N/A</v>
      </c>
      <c r="W4" s="16"/>
      <c r="X4" s="16"/>
      <c r="Y4" s="16"/>
      <c r="Z4" s="16">
        <f t="shared" ref="Z4:Z67" si="6">Y4-X4</f>
        <v>0</v>
      </c>
      <c r="AA4" s="16">
        <f t="shared" si="0"/>
        <v>0</v>
      </c>
      <c r="AB4" s="16"/>
      <c r="AC4" s="17"/>
      <c r="AD4" s="48"/>
    </row>
    <row r="5" spans="1:30" ht="19.5" thickBot="1" x14ac:dyDescent="0.3">
      <c r="A5" s="14">
        <v>3</v>
      </c>
      <c r="B5" s="15"/>
      <c r="C5" s="15" t="e">
        <f>VLOOKUP(B5,داتا!$B$3:$D$107,2,FALSE)</f>
        <v>#N/A</v>
      </c>
      <c r="D5" s="34" t="e">
        <f>VLOOKUP(B5,داتا!$B$3:$D$107,3,FALSE)</f>
        <v>#N/A</v>
      </c>
      <c r="E5" s="15"/>
      <c r="F5" s="15"/>
      <c r="G5" s="16">
        <v>0.25</v>
      </c>
      <c r="H5" s="16"/>
      <c r="I5" s="16">
        <f t="shared" si="1"/>
        <v>-0.25</v>
      </c>
      <c r="J5" s="16"/>
      <c r="K5" s="16"/>
      <c r="L5" s="16"/>
      <c r="M5" s="16"/>
      <c r="N5" s="16">
        <f t="shared" si="2"/>
        <v>0</v>
      </c>
      <c r="O5" s="16" t="e">
        <f t="shared" si="3"/>
        <v>#N/A</v>
      </c>
      <c r="P5" s="16">
        <v>6.9444444444444397E-3</v>
      </c>
      <c r="Q5" s="16"/>
      <c r="R5" s="16">
        <f t="shared" si="4"/>
        <v>-6.9444444444444397E-3</v>
      </c>
      <c r="S5" s="16"/>
      <c r="T5" s="16" t="e">
        <f>VLOOKUP(E5,'[2]21-3-2026'!E$3:T$35,16,FALSE)</f>
        <v>#N/A</v>
      </c>
      <c r="U5" s="16"/>
      <c r="V5" s="16" t="e">
        <f t="shared" si="5"/>
        <v>#N/A</v>
      </c>
      <c r="W5" s="16"/>
      <c r="X5" s="16"/>
      <c r="Y5" s="16"/>
      <c r="Z5" s="16">
        <f t="shared" si="6"/>
        <v>0</v>
      </c>
      <c r="AA5" s="16">
        <f t="shared" si="0"/>
        <v>0</v>
      </c>
      <c r="AB5" s="16"/>
      <c r="AC5" s="17"/>
      <c r="AD5" s="48"/>
    </row>
    <row r="6" spans="1:30" ht="19.5" thickBot="1" x14ac:dyDescent="0.3">
      <c r="A6" s="14">
        <v>4</v>
      </c>
      <c r="B6" s="15"/>
      <c r="C6" s="15" t="e">
        <f>VLOOKUP(B6,داتا!$B$3:$D$107,2,FALSE)</f>
        <v>#N/A</v>
      </c>
      <c r="D6" s="34" t="e">
        <f>VLOOKUP(B6,داتا!$B$3:$D$107,3,FALSE)</f>
        <v>#N/A</v>
      </c>
      <c r="E6" s="15"/>
      <c r="F6" s="15"/>
      <c r="G6" s="16">
        <v>0.25</v>
      </c>
      <c r="H6" s="16"/>
      <c r="I6" s="16">
        <f t="shared" si="1"/>
        <v>-0.25</v>
      </c>
      <c r="J6" s="16"/>
      <c r="K6" s="16"/>
      <c r="L6" s="16"/>
      <c r="M6" s="16"/>
      <c r="N6" s="16">
        <f t="shared" si="2"/>
        <v>0</v>
      </c>
      <c r="O6" s="16" t="e">
        <f t="shared" si="3"/>
        <v>#N/A</v>
      </c>
      <c r="P6" s="16">
        <v>6.9444444444444397E-3</v>
      </c>
      <c r="Q6" s="16"/>
      <c r="R6" s="16">
        <f t="shared" si="4"/>
        <v>-6.9444444444444397E-3</v>
      </c>
      <c r="S6" s="16"/>
      <c r="T6" s="16" t="e">
        <f>VLOOKUP(E6,'[2]21-3-2026'!E$3:T$35,16,FALSE)</f>
        <v>#N/A</v>
      </c>
      <c r="U6" s="16"/>
      <c r="V6" s="16" t="e">
        <f t="shared" si="5"/>
        <v>#N/A</v>
      </c>
      <c r="W6" s="16"/>
      <c r="X6" s="16"/>
      <c r="Y6" s="16"/>
      <c r="Z6" s="16">
        <f t="shared" si="6"/>
        <v>0</v>
      </c>
      <c r="AA6" s="16">
        <f t="shared" si="0"/>
        <v>0</v>
      </c>
      <c r="AB6" s="16"/>
      <c r="AC6" s="17"/>
      <c r="AD6" s="48"/>
    </row>
    <row r="7" spans="1:30" ht="19.5" thickBot="1" x14ac:dyDescent="0.3">
      <c r="A7" s="14">
        <v>5</v>
      </c>
      <c r="B7" s="15"/>
      <c r="C7" s="15" t="e">
        <f>VLOOKUP(B7,داتا!$B$3:$D$107,2,FALSE)</f>
        <v>#N/A</v>
      </c>
      <c r="D7" s="34" t="e">
        <f>VLOOKUP(B7,داتا!$B$3:$D$107,3,FALSE)</f>
        <v>#N/A</v>
      </c>
      <c r="E7" s="15"/>
      <c r="F7" s="15"/>
      <c r="G7" s="16">
        <v>0.25</v>
      </c>
      <c r="H7" s="16"/>
      <c r="I7" s="16">
        <f t="shared" si="1"/>
        <v>-0.25</v>
      </c>
      <c r="J7" s="16"/>
      <c r="K7" s="16"/>
      <c r="L7" s="16"/>
      <c r="M7" s="16"/>
      <c r="N7" s="16">
        <f t="shared" si="2"/>
        <v>0</v>
      </c>
      <c r="O7" s="16" t="e">
        <f t="shared" si="3"/>
        <v>#N/A</v>
      </c>
      <c r="P7" s="16">
        <v>6.9444444444444397E-3</v>
      </c>
      <c r="Q7" s="16"/>
      <c r="R7" s="16">
        <f t="shared" si="4"/>
        <v>-6.9444444444444397E-3</v>
      </c>
      <c r="S7" s="16"/>
      <c r="T7" s="16" t="e">
        <f>VLOOKUP(E7,'[2]21-3-2026'!E$3:T$35,16,FALSE)</f>
        <v>#N/A</v>
      </c>
      <c r="U7" s="16"/>
      <c r="V7" s="16" t="e">
        <f t="shared" si="5"/>
        <v>#N/A</v>
      </c>
      <c r="W7" s="16"/>
      <c r="X7" s="16"/>
      <c r="Y7" s="16"/>
      <c r="Z7" s="16">
        <f t="shared" si="6"/>
        <v>0</v>
      </c>
      <c r="AA7" s="16">
        <f t="shared" si="0"/>
        <v>0</v>
      </c>
      <c r="AB7" s="16"/>
      <c r="AC7" s="17"/>
      <c r="AD7" s="48"/>
    </row>
    <row r="8" spans="1:30" ht="19.5" thickBot="1" x14ac:dyDescent="0.3">
      <c r="A8" s="14">
        <v>6</v>
      </c>
      <c r="B8" s="15"/>
      <c r="C8" s="15" t="e">
        <f>VLOOKUP(B8,داتا!$B$3:$D$107,2,FALSE)</f>
        <v>#N/A</v>
      </c>
      <c r="D8" s="34" t="e">
        <f>VLOOKUP(B8,داتا!$B$3:$D$107,3,FALSE)</f>
        <v>#N/A</v>
      </c>
      <c r="E8" s="15"/>
      <c r="F8" s="15"/>
      <c r="G8" s="16">
        <v>0.25</v>
      </c>
      <c r="H8" s="16"/>
      <c r="I8" s="16">
        <f t="shared" si="1"/>
        <v>-0.25</v>
      </c>
      <c r="J8" s="16"/>
      <c r="K8" s="16"/>
      <c r="L8" s="16"/>
      <c r="M8" s="16"/>
      <c r="N8" s="16">
        <f t="shared" si="2"/>
        <v>0</v>
      </c>
      <c r="O8" s="16" t="e">
        <f t="shared" si="3"/>
        <v>#N/A</v>
      </c>
      <c r="P8" s="16">
        <v>6.9444444444444397E-3</v>
      </c>
      <c r="Q8" s="16"/>
      <c r="R8" s="16">
        <f t="shared" si="4"/>
        <v>-6.9444444444444397E-3</v>
      </c>
      <c r="S8" s="16"/>
      <c r="T8" s="16" t="e">
        <f>VLOOKUP(E8,'[2]21-3-2026'!E$3:T$35,16,FALSE)</f>
        <v>#N/A</v>
      </c>
      <c r="U8" s="16"/>
      <c r="V8" s="16" t="e">
        <f t="shared" si="5"/>
        <v>#N/A</v>
      </c>
      <c r="W8" s="16"/>
      <c r="X8" s="16"/>
      <c r="Y8" s="16"/>
      <c r="Z8" s="16">
        <f t="shared" si="6"/>
        <v>0</v>
      </c>
      <c r="AA8" s="16">
        <f t="shared" si="0"/>
        <v>0</v>
      </c>
      <c r="AB8" s="16"/>
      <c r="AC8" s="18"/>
      <c r="AD8" s="48"/>
    </row>
    <row r="9" spans="1:30" ht="19.5" thickBot="1" x14ac:dyDescent="0.3">
      <c r="A9" s="14">
        <v>7</v>
      </c>
      <c r="B9" s="15"/>
      <c r="C9" s="15" t="e">
        <f>VLOOKUP(B9,داتا!$B$3:$D$107,2,FALSE)</f>
        <v>#N/A</v>
      </c>
      <c r="D9" s="34" t="e">
        <f>VLOOKUP(B9,داتا!$B$3:$D$107,3,FALSE)</f>
        <v>#N/A</v>
      </c>
      <c r="E9" s="15"/>
      <c r="F9" s="15"/>
      <c r="G9" s="16">
        <v>0.25</v>
      </c>
      <c r="H9" s="16"/>
      <c r="I9" s="16">
        <f t="shared" si="1"/>
        <v>-0.25</v>
      </c>
      <c r="J9" s="16"/>
      <c r="K9" s="16"/>
      <c r="L9" s="16"/>
      <c r="M9" s="16"/>
      <c r="N9" s="16">
        <f t="shared" si="2"/>
        <v>0</v>
      </c>
      <c r="O9" s="16" t="e">
        <f t="shared" si="3"/>
        <v>#N/A</v>
      </c>
      <c r="P9" s="16">
        <v>6.9444444444444397E-3</v>
      </c>
      <c r="Q9" s="16"/>
      <c r="R9" s="16">
        <f t="shared" si="4"/>
        <v>-6.9444444444444397E-3</v>
      </c>
      <c r="S9" s="16"/>
      <c r="T9" s="16" t="e">
        <f>VLOOKUP(E9,'[2]21-3-2026'!E$3:T$35,16,FALSE)</f>
        <v>#N/A</v>
      </c>
      <c r="U9" s="16"/>
      <c r="V9" s="16" t="e">
        <f t="shared" si="5"/>
        <v>#N/A</v>
      </c>
      <c r="W9" s="16"/>
      <c r="X9" s="16"/>
      <c r="Y9" s="16"/>
      <c r="Z9" s="16">
        <f t="shared" si="6"/>
        <v>0</v>
      </c>
      <c r="AA9" s="16">
        <f t="shared" si="0"/>
        <v>0</v>
      </c>
      <c r="AB9" s="16"/>
      <c r="AC9" s="17"/>
      <c r="AD9" s="48"/>
    </row>
    <row r="10" spans="1:30" ht="19.5" thickBot="1" x14ac:dyDescent="0.3">
      <c r="A10" s="14">
        <v>8</v>
      </c>
      <c r="B10" s="15"/>
      <c r="C10" s="15" t="e">
        <f>VLOOKUP(B10,داتا!$B$3:$D$107,2,FALSE)</f>
        <v>#N/A</v>
      </c>
      <c r="D10" s="34" t="e">
        <f>VLOOKUP(B10,داتا!$B$3:$D$107,3,FALSE)</f>
        <v>#N/A</v>
      </c>
      <c r="E10" s="15"/>
      <c r="F10" s="15"/>
      <c r="G10" s="16">
        <v>0.25</v>
      </c>
      <c r="H10" s="16"/>
      <c r="I10" s="16">
        <f t="shared" si="1"/>
        <v>-0.25</v>
      </c>
      <c r="J10" s="16"/>
      <c r="K10" s="16"/>
      <c r="L10" s="16"/>
      <c r="M10" s="16"/>
      <c r="N10" s="16">
        <f t="shared" si="2"/>
        <v>0</v>
      </c>
      <c r="O10" s="16" t="e">
        <f t="shared" si="3"/>
        <v>#N/A</v>
      </c>
      <c r="P10" s="16">
        <v>6.9444444444444397E-3</v>
      </c>
      <c r="Q10" s="16"/>
      <c r="R10" s="16">
        <f t="shared" si="4"/>
        <v>-6.9444444444444397E-3</v>
      </c>
      <c r="S10" s="16"/>
      <c r="T10" s="16" t="e">
        <f>VLOOKUP(E10,'[2]21-3-2026'!E$3:T$35,16,FALSE)</f>
        <v>#N/A</v>
      </c>
      <c r="U10" s="16"/>
      <c r="V10" s="16" t="e">
        <f t="shared" si="5"/>
        <v>#N/A</v>
      </c>
      <c r="W10" s="16"/>
      <c r="X10" s="16"/>
      <c r="Y10" s="16"/>
      <c r="Z10" s="16">
        <f t="shared" si="6"/>
        <v>0</v>
      </c>
      <c r="AA10" s="16">
        <f t="shared" si="0"/>
        <v>0</v>
      </c>
      <c r="AB10" s="16"/>
      <c r="AC10" s="17"/>
      <c r="AD10" s="48"/>
    </row>
    <row r="11" spans="1:30" ht="19.5" thickBot="1" x14ac:dyDescent="0.3">
      <c r="A11" s="14">
        <v>9</v>
      </c>
      <c r="B11" s="15"/>
      <c r="C11" s="15" t="e">
        <f>VLOOKUP(B11,داتا!$B$3:$D$107,2,FALSE)</f>
        <v>#N/A</v>
      </c>
      <c r="D11" s="34" t="e">
        <f>VLOOKUP(B11,داتا!$B$3:$D$107,3,FALSE)</f>
        <v>#N/A</v>
      </c>
      <c r="E11" s="15"/>
      <c r="F11" s="15"/>
      <c r="G11" s="16">
        <v>0.25</v>
      </c>
      <c r="H11" s="16"/>
      <c r="I11" s="16">
        <f t="shared" si="1"/>
        <v>-0.25</v>
      </c>
      <c r="J11" s="16"/>
      <c r="K11" s="16"/>
      <c r="L11" s="16"/>
      <c r="M11" s="16"/>
      <c r="N11" s="16">
        <f t="shared" si="2"/>
        <v>0</v>
      </c>
      <c r="O11" s="16" t="e">
        <f t="shared" si="3"/>
        <v>#N/A</v>
      </c>
      <c r="P11" s="16">
        <v>6.9444444444444397E-3</v>
      </c>
      <c r="Q11" s="16"/>
      <c r="R11" s="16">
        <f t="shared" si="4"/>
        <v>-6.9444444444444397E-3</v>
      </c>
      <c r="S11" s="16"/>
      <c r="T11" s="16" t="e">
        <f>VLOOKUP(E11,'[2]21-3-2026'!E$3:T$35,16,FALSE)</f>
        <v>#N/A</v>
      </c>
      <c r="U11" s="16"/>
      <c r="V11" s="16" t="e">
        <f t="shared" si="5"/>
        <v>#N/A</v>
      </c>
      <c r="W11" s="16"/>
      <c r="X11" s="16"/>
      <c r="Y11" s="16"/>
      <c r="Z11" s="16">
        <f t="shared" si="6"/>
        <v>0</v>
      </c>
      <c r="AA11" s="16">
        <f t="shared" si="0"/>
        <v>0</v>
      </c>
      <c r="AB11" s="16"/>
      <c r="AC11" s="17"/>
      <c r="AD11" s="48"/>
    </row>
    <row r="12" spans="1:30" ht="19.5" thickBot="1" x14ac:dyDescent="0.3">
      <c r="A12" s="14">
        <v>10</v>
      </c>
      <c r="B12" s="15"/>
      <c r="C12" s="15" t="e">
        <f>VLOOKUP(B12,داتا!$B$3:$D$107,2,FALSE)</f>
        <v>#N/A</v>
      </c>
      <c r="D12" s="34" t="e">
        <f>VLOOKUP(B12,داتا!$B$3:$D$107,3,FALSE)</f>
        <v>#N/A</v>
      </c>
      <c r="E12" s="15"/>
      <c r="F12" s="15"/>
      <c r="G12" s="16">
        <v>0.25</v>
      </c>
      <c r="H12" s="16"/>
      <c r="I12" s="16">
        <f t="shared" si="1"/>
        <v>-0.25</v>
      </c>
      <c r="J12" s="16"/>
      <c r="K12" s="16"/>
      <c r="L12" s="16"/>
      <c r="M12" s="16"/>
      <c r="N12" s="16">
        <f t="shared" si="2"/>
        <v>0</v>
      </c>
      <c r="O12" s="16" t="e">
        <f t="shared" si="3"/>
        <v>#N/A</v>
      </c>
      <c r="P12" s="16">
        <v>6.9444444444444397E-3</v>
      </c>
      <c r="Q12" s="16"/>
      <c r="R12" s="16">
        <f t="shared" si="4"/>
        <v>-6.9444444444444397E-3</v>
      </c>
      <c r="S12" s="16"/>
      <c r="T12" s="16" t="e">
        <f>VLOOKUP(E12,'[2]21-3-2026'!E$3:T$35,16,FALSE)</f>
        <v>#N/A</v>
      </c>
      <c r="U12" s="16"/>
      <c r="V12" s="16" t="e">
        <f t="shared" si="5"/>
        <v>#N/A</v>
      </c>
      <c r="W12" s="16"/>
      <c r="X12" s="16"/>
      <c r="Y12" s="16"/>
      <c r="Z12" s="16">
        <f t="shared" si="6"/>
        <v>0</v>
      </c>
      <c r="AA12" s="16">
        <f t="shared" si="0"/>
        <v>0</v>
      </c>
      <c r="AB12" s="16"/>
      <c r="AC12" s="17"/>
      <c r="AD12" s="48"/>
    </row>
    <row r="13" spans="1:30" ht="19.5" thickBot="1" x14ac:dyDescent="0.3">
      <c r="A13" s="14">
        <v>11</v>
      </c>
      <c r="B13" s="15"/>
      <c r="C13" s="15" t="e">
        <f>VLOOKUP(B13,داتا!$B$3:$D$107,2,FALSE)</f>
        <v>#N/A</v>
      </c>
      <c r="D13" s="34" t="e">
        <f>VLOOKUP(B13,داتا!$B$3:$D$107,3,FALSE)</f>
        <v>#N/A</v>
      </c>
      <c r="E13" s="15"/>
      <c r="F13" s="15"/>
      <c r="G13" s="16">
        <v>0.25</v>
      </c>
      <c r="H13" s="16"/>
      <c r="I13" s="16">
        <f t="shared" si="1"/>
        <v>-0.25</v>
      </c>
      <c r="J13" s="16"/>
      <c r="K13" s="16"/>
      <c r="L13" s="16"/>
      <c r="M13" s="16"/>
      <c r="N13" s="16">
        <f t="shared" si="2"/>
        <v>0</v>
      </c>
      <c r="O13" s="16" t="e">
        <f t="shared" si="3"/>
        <v>#N/A</v>
      </c>
      <c r="P13" s="16">
        <v>6.9444444444444397E-3</v>
      </c>
      <c r="Q13" s="16"/>
      <c r="R13" s="16">
        <f t="shared" si="4"/>
        <v>-6.9444444444444397E-3</v>
      </c>
      <c r="S13" s="16"/>
      <c r="T13" s="16" t="e">
        <f>VLOOKUP(E13,'[2]21-3-2026'!E$3:T$35,16,FALSE)</f>
        <v>#N/A</v>
      </c>
      <c r="U13" s="16"/>
      <c r="V13" s="16" t="e">
        <f t="shared" si="5"/>
        <v>#N/A</v>
      </c>
      <c r="W13" s="16"/>
      <c r="X13" s="16"/>
      <c r="Y13" s="16"/>
      <c r="Z13" s="16">
        <f t="shared" si="6"/>
        <v>0</v>
      </c>
      <c r="AA13" s="16">
        <f t="shared" si="0"/>
        <v>0</v>
      </c>
      <c r="AB13" s="16"/>
      <c r="AC13" s="18"/>
      <c r="AD13" s="48"/>
    </row>
    <row r="14" spans="1:30" ht="19.5" thickBot="1" x14ac:dyDescent="0.3">
      <c r="A14" s="14">
        <v>12</v>
      </c>
      <c r="B14" s="15"/>
      <c r="C14" s="15" t="e">
        <f>VLOOKUP(B14,داتا!$B$3:$D$107,2,FALSE)</f>
        <v>#N/A</v>
      </c>
      <c r="D14" s="34" t="e">
        <f>VLOOKUP(B14,داتا!$B$3:$D$107,3,FALSE)</f>
        <v>#N/A</v>
      </c>
      <c r="E14" s="15"/>
      <c r="F14" s="15"/>
      <c r="G14" s="16">
        <v>0.25</v>
      </c>
      <c r="H14" s="16"/>
      <c r="I14" s="16">
        <f t="shared" si="1"/>
        <v>-0.25</v>
      </c>
      <c r="J14" s="16"/>
      <c r="K14" s="16"/>
      <c r="L14" s="16"/>
      <c r="M14" s="16"/>
      <c r="N14" s="16">
        <f t="shared" si="2"/>
        <v>0</v>
      </c>
      <c r="O14" s="16" t="e">
        <f t="shared" si="3"/>
        <v>#N/A</v>
      </c>
      <c r="P14" s="16">
        <v>6.9444444444444397E-3</v>
      </c>
      <c r="Q14" s="16"/>
      <c r="R14" s="16">
        <f t="shared" si="4"/>
        <v>-6.9444444444444397E-3</v>
      </c>
      <c r="S14" s="16"/>
      <c r="T14" s="16" t="e">
        <f>VLOOKUP(E14,'[2]21-3-2026'!E$3:T$35,16,FALSE)</f>
        <v>#N/A</v>
      </c>
      <c r="U14" s="16"/>
      <c r="V14" s="16" t="e">
        <f t="shared" si="5"/>
        <v>#N/A</v>
      </c>
      <c r="W14" s="16"/>
      <c r="X14" s="16"/>
      <c r="Y14" s="16"/>
      <c r="Z14" s="16">
        <f t="shared" si="6"/>
        <v>0</v>
      </c>
      <c r="AA14" s="16">
        <f t="shared" si="0"/>
        <v>0</v>
      </c>
      <c r="AB14" s="16"/>
      <c r="AC14" s="17"/>
      <c r="AD14" s="48"/>
    </row>
    <row r="15" spans="1:30" ht="19.5" thickBot="1" x14ac:dyDescent="0.3">
      <c r="A15" s="14">
        <v>13</v>
      </c>
      <c r="B15" s="15"/>
      <c r="C15" s="15" t="e">
        <f>VLOOKUP(B15,داتا!$B$3:$D$107,2,FALSE)</f>
        <v>#N/A</v>
      </c>
      <c r="D15" s="34" t="e">
        <f>VLOOKUP(B15,داتا!$B$3:$D$107,3,FALSE)</f>
        <v>#N/A</v>
      </c>
      <c r="E15" s="15"/>
      <c r="F15" s="15"/>
      <c r="G15" s="16">
        <v>0.25</v>
      </c>
      <c r="H15" s="16"/>
      <c r="I15" s="16">
        <f t="shared" si="1"/>
        <v>-0.25</v>
      </c>
      <c r="J15" s="16"/>
      <c r="K15" s="16"/>
      <c r="L15" s="16"/>
      <c r="M15" s="16"/>
      <c r="N15" s="16">
        <f t="shared" si="2"/>
        <v>0</v>
      </c>
      <c r="O15" s="16" t="e">
        <f t="shared" si="3"/>
        <v>#N/A</v>
      </c>
      <c r="P15" s="16">
        <v>6.9444444444444397E-3</v>
      </c>
      <c r="Q15" s="16"/>
      <c r="R15" s="16">
        <f t="shared" si="4"/>
        <v>-6.9444444444444397E-3</v>
      </c>
      <c r="S15" s="16"/>
      <c r="T15" s="16" t="e">
        <f>VLOOKUP(E15,'[2]21-3-2026'!E$3:T$35,16,FALSE)</f>
        <v>#N/A</v>
      </c>
      <c r="U15" s="16"/>
      <c r="V15" s="16" t="e">
        <f t="shared" si="5"/>
        <v>#N/A</v>
      </c>
      <c r="W15" s="16"/>
      <c r="X15" s="16"/>
      <c r="Y15" s="16"/>
      <c r="Z15" s="16">
        <f t="shared" si="6"/>
        <v>0</v>
      </c>
      <c r="AA15" s="16">
        <f t="shared" si="0"/>
        <v>0</v>
      </c>
      <c r="AB15" s="16"/>
      <c r="AC15" s="17"/>
      <c r="AD15" s="48"/>
    </row>
    <row r="16" spans="1:30" ht="19.5" thickBot="1" x14ac:dyDescent="0.3">
      <c r="A16" s="14">
        <v>14</v>
      </c>
      <c r="B16" s="15"/>
      <c r="C16" s="15" t="e">
        <f>VLOOKUP(B16,داتا!$B$3:$D$107,2,FALSE)</f>
        <v>#N/A</v>
      </c>
      <c r="D16" s="34" t="e">
        <f>VLOOKUP(B16,داتا!$B$3:$D$107,3,FALSE)</f>
        <v>#N/A</v>
      </c>
      <c r="E16" s="15"/>
      <c r="F16" s="15"/>
      <c r="G16" s="16">
        <v>0.25</v>
      </c>
      <c r="H16" s="16"/>
      <c r="I16" s="16">
        <f t="shared" si="1"/>
        <v>-0.25</v>
      </c>
      <c r="J16" s="16"/>
      <c r="K16" s="16"/>
      <c r="L16" s="16"/>
      <c r="M16" s="16"/>
      <c r="N16" s="16">
        <f t="shared" si="2"/>
        <v>0</v>
      </c>
      <c r="O16" s="16" t="e">
        <f t="shared" si="3"/>
        <v>#N/A</v>
      </c>
      <c r="P16" s="16">
        <v>6.9444444444444397E-3</v>
      </c>
      <c r="Q16" s="16"/>
      <c r="R16" s="16">
        <f t="shared" si="4"/>
        <v>-6.9444444444444397E-3</v>
      </c>
      <c r="S16" s="16"/>
      <c r="T16" s="16" t="e">
        <f>VLOOKUP(E16,'[2]21-3-2026'!E$3:T$35,16,FALSE)</f>
        <v>#N/A</v>
      </c>
      <c r="U16" s="16"/>
      <c r="V16" s="16" t="e">
        <f t="shared" si="5"/>
        <v>#N/A</v>
      </c>
      <c r="W16" s="16"/>
      <c r="X16" s="16"/>
      <c r="Y16" s="16"/>
      <c r="Z16" s="16">
        <f t="shared" si="6"/>
        <v>0</v>
      </c>
      <c r="AA16" s="16">
        <f t="shared" si="0"/>
        <v>0</v>
      </c>
      <c r="AB16" s="16"/>
      <c r="AC16" s="17"/>
      <c r="AD16" s="48"/>
    </row>
    <row r="17" spans="1:30" ht="19.5" thickBot="1" x14ac:dyDescent="0.3">
      <c r="A17" s="14">
        <v>15</v>
      </c>
      <c r="B17" s="15"/>
      <c r="C17" s="15" t="e">
        <f>VLOOKUP(B17,داتا!$B$3:$D$107,2,FALSE)</f>
        <v>#N/A</v>
      </c>
      <c r="D17" s="34" t="e">
        <f>VLOOKUP(B17,داتا!$B$3:$D$107,3,FALSE)</f>
        <v>#N/A</v>
      </c>
      <c r="E17" s="15"/>
      <c r="F17" s="15"/>
      <c r="G17" s="16">
        <v>0.25</v>
      </c>
      <c r="H17" s="16"/>
      <c r="I17" s="16">
        <f t="shared" si="1"/>
        <v>-0.25</v>
      </c>
      <c r="J17" s="16"/>
      <c r="K17" s="16"/>
      <c r="L17" s="16"/>
      <c r="M17" s="16"/>
      <c r="N17" s="16">
        <f t="shared" si="2"/>
        <v>0</v>
      </c>
      <c r="O17" s="16" t="e">
        <f t="shared" si="3"/>
        <v>#N/A</v>
      </c>
      <c r="P17" s="16">
        <v>6.9444444444444397E-3</v>
      </c>
      <c r="Q17" s="16"/>
      <c r="R17" s="16">
        <f t="shared" si="4"/>
        <v>-6.9444444444444397E-3</v>
      </c>
      <c r="S17" s="16"/>
      <c r="T17" s="16" t="e">
        <f>VLOOKUP(E17,'[2]21-3-2026'!E$3:T$35,16,FALSE)</f>
        <v>#N/A</v>
      </c>
      <c r="U17" s="16"/>
      <c r="V17" s="16" t="e">
        <f t="shared" si="5"/>
        <v>#N/A</v>
      </c>
      <c r="W17" s="16"/>
      <c r="X17" s="16"/>
      <c r="Y17" s="16"/>
      <c r="Z17" s="16">
        <f t="shared" si="6"/>
        <v>0</v>
      </c>
      <c r="AA17" s="16">
        <f t="shared" si="0"/>
        <v>0</v>
      </c>
      <c r="AB17" s="16"/>
      <c r="AC17" s="17"/>
      <c r="AD17" s="48"/>
    </row>
    <row r="18" spans="1:30" ht="19.5" thickBot="1" x14ac:dyDescent="0.3">
      <c r="A18" s="14">
        <v>16</v>
      </c>
      <c r="B18" s="15"/>
      <c r="C18" s="15" t="e">
        <f>VLOOKUP(B18,داتا!$B$3:$D$107,2,FALSE)</f>
        <v>#N/A</v>
      </c>
      <c r="D18" s="34" t="e">
        <f>VLOOKUP(B18,داتا!$B$3:$D$107,3,FALSE)</f>
        <v>#N/A</v>
      </c>
      <c r="E18" s="16"/>
      <c r="F18" s="15"/>
      <c r="G18" s="16">
        <v>0.25</v>
      </c>
      <c r="H18" s="16"/>
      <c r="I18" s="16">
        <f t="shared" si="1"/>
        <v>-0.25</v>
      </c>
      <c r="J18" s="16"/>
      <c r="K18" s="16"/>
      <c r="L18" s="16"/>
      <c r="M18" s="16"/>
      <c r="N18" s="16">
        <f t="shared" si="2"/>
        <v>0</v>
      </c>
      <c r="O18" s="16" t="e">
        <f t="shared" si="3"/>
        <v>#N/A</v>
      </c>
      <c r="P18" s="16">
        <v>6.9444444444444397E-3</v>
      </c>
      <c r="Q18" s="16"/>
      <c r="R18" s="16">
        <f t="shared" si="4"/>
        <v>-6.9444444444444397E-3</v>
      </c>
      <c r="S18" s="16"/>
      <c r="T18" s="16" t="e">
        <f>VLOOKUP(E18,'[2]21-3-2026'!E$3:T$35,16,FALSE)</f>
        <v>#N/A</v>
      </c>
      <c r="U18" s="16"/>
      <c r="V18" s="16" t="e">
        <f t="shared" si="5"/>
        <v>#N/A</v>
      </c>
      <c r="W18" s="16"/>
      <c r="X18" s="16"/>
      <c r="Y18" s="16"/>
      <c r="Z18" s="16">
        <f t="shared" si="6"/>
        <v>0</v>
      </c>
      <c r="AA18" s="16">
        <f t="shared" si="0"/>
        <v>0</v>
      </c>
      <c r="AB18" s="16"/>
      <c r="AC18" s="17"/>
      <c r="AD18" s="48"/>
    </row>
    <row r="19" spans="1:30" ht="19.5" thickBot="1" x14ac:dyDescent="0.3">
      <c r="A19" s="14">
        <v>17</v>
      </c>
      <c r="B19" s="15"/>
      <c r="C19" s="15" t="e">
        <f>VLOOKUP(B19,داتا!$B$3:$D$107,2,FALSE)</f>
        <v>#N/A</v>
      </c>
      <c r="D19" s="34" t="e">
        <f>VLOOKUP(B19,داتا!$B$3:$D$107,3,FALSE)</f>
        <v>#N/A</v>
      </c>
      <c r="E19" s="15"/>
      <c r="F19" s="15"/>
      <c r="G19" s="16">
        <v>0.25</v>
      </c>
      <c r="H19" s="16"/>
      <c r="I19" s="16">
        <f t="shared" si="1"/>
        <v>-0.25</v>
      </c>
      <c r="J19" s="16"/>
      <c r="K19" s="16"/>
      <c r="L19" s="16"/>
      <c r="M19" s="16"/>
      <c r="N19" s="16">
        <f t="shared" si="2"/>
        <v>0</v>
      </c>
      <c r="O19" s="16" t="e">
        <f t="shared" si="3"/>
        <v>#N/A</v>
      </c>
      <c r="P19" s="16">
        <v>6.9444444444444397E-3</v>
      </c>
      <c r="Q19" s="16"/>
      <c r="R19" s="16">
        <f t="shared" si="4"/>
        <v>-6.9444444444444397E-3</v>
      </c>
      <c r="S19" s="16"/>
      <c r="T19" s="16" t="e">
        <f>VLOOKUP(E19,'[2]21-3-2026'!E$3:T$35,16,FALSE)</f>
        <v>#N/A</v>
      </c>
      <c r="U19" s="16"/>
      <c r="V19" s="16" t="e">
        <f t="shared" si="5"/>
        <v>#N/A</v>
      </c>
      <c r="W19" s="16"/>
      <c r="X19" s="16"/>
      <c r="Y19" s="16"/>
      <c r="Z19" s="16">
        <f t="shared" si="6"/>
        <v>0</v>
      </c>
      <c r="AA19" s="16">
        <f t="shared" si="0"/>
        <v>0</v>
      </c>
      <c r="AB19" s="16"/>
      <c r="AC19" s="17"/>
      <c r="AD19" s="48"/>
    </row>
    <row r="20" spans="1:30" ht="19.5" thickBot="1" x14ac:dyDescent="0.3">
      <c r="A20" s="14">
        <v>18</v>
      </c>
      <c r="B20" s="15"/>
      <c r="C20" s="15" t="e">
        <f>VLOOKUP(B20,داتا!$B$3:$D$107,2,FALSE)</f>
        <v>#N/A</v>
      </c>
      <c r="D20" s="34" t="e">
        <f>VLOOKUP(B20,داتا!$B$3:$D$107,3,FALSE)</f>
        <v>#N/A</v>
      </c>
      <c r="E20" s="15"/>
      <c r="F20" s="15"/>
      <c r="G20" s="16">
        <v>0.25</v>
      </c>
      <c r="H20" s="16"/>
      <c r="I20" s="16">
        <f t="shared" si="1"/>
        <v>-0.25</v>
      </c>
      <c r="J20" s="16"/>
      <c r="K20" s="16"/>
      <c r="L20" s="16"/>
      <c r="M20" s="16"/>
      <c r="N20" s="16">
        <f t="shared" si="2"/>
        <v>0</v>
      </c>
      <c r="O20" s="16" t="e">
        <f t="shared" si="3"/>
        <v>#N/A</v>
      </c>
      <c r="P20" s="16">
        <v>6.9444444444444397E-3</v>
      </c>
      <c r="Q20" s="16"/>
      <c r="R20" s="16">
        <f t="shared" si="4"/>
        <v>-6.9444444444444397E-3</v>
      </c>
      <c r="S20" s="16"/>
      <c r="T20" s="16" t="e">
        <f>VLOOKUP(E20,'[2]21-3-2026'!E$3:T$35,16,FALSE)</f>
        <v>#N/A</v>
      </c>
      <c r="U20" s="16"/>
      <c r="V20" s="16" t="e">
        <f t="shared" si="5"/>
        <v>#N/A</v>
      </c>
      <c r="W20" s="16"/>
      <c r="X20" s="16"/>
      <c r="Y20" s="16"/>
      <c r="Z20" s="16">
        <f t="shared" si="6"/>
        <v>0</v>
      </c>
      <c r="AA20" s="16">
        <f t="shared" si="0"/>
        <v>0</v>
      </c>
      <c r="AB20" s="16"/>
      <c r="AC20" s="17"/>
      <c r="AD20" s="48"/>
    </row>
    <row r="21" spans="1:30" ht="19.5" thickBot="1" x14ac:dyDescent="0.3">
      <c r="A21" s="14">
        <v>19</v>
      </c>
      <c r="B21" s="15"/>
      <c r="C21" s="15" t="e">
        <f>VLOOKUP(B21,داتا!$B$3:$D$107,2,FALSE)</f>
        <v>#N/A</v>
      </c>
      <c r="D21" s="34" t="e">
        <f>VLOOKUP(B21,داتا!$B$3:$D$107,3,FALSE)</f>
        <v>#N/A</v>
      </c>
      <c r="E21" s="15"/>
      <c r="F21" s="15"/>
      <c r="G21" s="16">
        <v>0.25</v>
      </c>
      <c r="H21" s="16"/>
      <c r="I21" s="16">
        <f t="shared" si="1"/>
        <v>-0.25</v>
      </c>
      <c r="J21" s="16"/>
      <c r="K21" s="16"/>
      <c r="L21" s="16"/>
      <c r="M21" s="16"/>
      <c r="N21" s="16">
        <f t="shared" si="2"/>
        <v>0</v>
      </c>
      <c r="O21" s="16" t="e">
        <f t="shared" si="3"/>
        <v>#N/A</v>
      </c>
      <c r="P21" s="16">
        <v>6.9444444444444397E-3</v>
      </c>
      <c r="Q21" s="16"/>
      <c r="R21" s="16">
        <f t="shared" si="4"/>
        <v>-6.9444444444444397E-3</v>
      </c>
      <c r="S21" s="16"/>
      <c r="T21" s="16" t="e">
        <f>VLOOKUP(E21,'[2]21-3-2026'!E$3:T$35,16,FALSE)</f>
        <v>#N/A</v>
      </c>
      <c r="U21" s="16"/>
      <c r="V21" s="16" t="e">
        <f t="shared" si="5"/>
        <v>#N/A</v>
      </c>
      <c r="W21" s="16"/>
      <c r="X21" s="16"/>
      <c r="Y21" s="16"/>
      <c r="Z21" s="16">
        <f t="shared" si="6"/>
        <v>0</v>
      </c>
      <c r="AA21" s="16">
        <f t="shared" si="0"/>
        <v>0</v>
      </c>
      <c r="AB21" s="16"/>
      <c r="AC21" s="17"/>
      <c r="AD21" s="48"/>
    </row>
    <row r="22" spans="1:30" ht="19.5" thickBot="1" x14ac:dyDescent="0.3">
      <c r="A22" s="14">
        <v>20</v>
      </c>
      <c r="B22" s="15"/>
      <c r="C22" s="15" t="e">
        <f>VLOOKUP(B22,داتا!$B$3:$D$107,2,FALSE)</f>
        <v>#N/A</v>
      </c>
      <c r="D22" s="34" t="e">
        <f>VLOOKUP(B22,داتا!$B$3:$D$107,3,FALSE)</f>
        <v>#N/A</v>
      </c>
      <c r="E22" s="15"/>
      <c r="F22" s="15"/>
      <c r="G22" s="16">
        <v>0.25</v>
      </c>
      <c r="H22" s="16"/>
      <c r="I22" s="16">
        <f t="shared" si="1"/>
        <v>-0.25</v>
      </c>
      <c r="J22" s="16"/>
      <c r="K22" s="16"/>
      <c r="L22" s="16"/>
      <c r="M22" s="16"/>
      <c r="N22" s="16">
        <f t="shared" si="2"/>
        <v>0</v>
      </c>
      <c r="O22" s="16" t="e">
        <f t="shared" si="3"/>
        <v>#N/A</v>
      </c>
      <c r="P22" s="16">
        <v>6.9444444444444397E-3</v>
      </c>
      <c r="Q22" s="16"/>
      <c r="R22" s="16">
        <f t="shared" si="4"/>
        <v>-6.9444444444444397E-3</v>
      </c>
      <c r="S22" s="16"/>
      <c r="T22" s="16" t="e">
        <f>VLOOKUP(E22,'[2]21-3-2026'!E$3:T$35,16,FALSE)</f>
        <v>#N/A</v>
      </c>
      <c r="U22" s="16"/>
      <c r="V22" s="16" t="e">
        <f t="shared" si="5"/>
        <v>#N/A</v>
      </c>
      <c r="W22" s="16"/>
      <c r="X22" s="16"/>
      <c r="Y22" s="16"/>
      <c r="Z22" s="16">
        <f t="shared" si="6"/>
        <v>0</v>
      </c>
      <c r="AA22" s="16">
        <f t="shared" si="0"/>
        <v>0</v>
      </c>
      <c r="AB22" s="16"/>
      <c r="AC22" s="17"/>
      <c r="AD22" s="48"/>
    </row>
    <row r="23" spans="1:30" ht="19.5" thickBot="1" x14ac:dyDescent="0.3">
      <c r="A23" s="14">
        <v>21</v>
      </c>
      <c r="B23" s="15"/>
      <c r="C23" s="15" t="e">
        <f>VLOOKUP(B23,داتا!$B$3:$D$107,2,FALSE)</f>
        <v>#N/A</v>
      </c>
      <c r="D23" s="34" t="e">
        <f>VLOOKUP(B23,داتا!$B$3:$D$107,3,FALSE)</f>
        <v>#N/A</v>
      </c>
      <c r="E23" s="15"/>
      <c r="F23" s="15"/>
      <c r="G23" s="16">
        <v>0.25</v>
      </c>
      <c r="H23" s="16"/>
      <c r="I23" s="16">
        <f t="shared" si="1"/>
        <v>-0.25</v>
      </c>
      <c r="J23" s="16"/>
      <c r="K23" s="16"/>
      <c r="L23" s="16"/>
      <c r="M23" s="16"/>
      <c r="N23" s="16">
        <f t="shared" si="2"/>
        <v>0</v>
      </c>
      <c r="O23" s="16" t="e">
        <f t="shared" si="3"/>
        <v>#N/A</v>
      </c>
      <c r="P23" s="16">
        <v>6.9444444444444397E-3</v>
      </c>
      <c r="Q23" s="16"/>
      <c r="R23" s="16">
        <f t="shared" si="4"/>
        <v>-6.9444444444444397E-3</v>
      </c>
      <c r="S23" s="16"/>
      <c r="T23" s="16" t="e">
        <f>VLOOKUP(E23,'[2]21-3-2026'!E$3:T$35,16,FALSE)</f>
        <v>#N/A</v>
      </c>
      <c r="U23" s="16"/>
      <c r="V23" s="16" t="e">
        <f t="shared" si="5"/>
        <v>#N/A</v>
      </c>
      <c r="W23" s="16"/>
      <c r="X23" s="16"/>
      <c r="Y23" s="16"/>
      <c r="Z23" s="16">
        <f t="shared" si="6"/>
        <v>0</v>
      </c>
      <c r="AA23" s="16">
        <f t="shared" si="0"/>
        <v>0</v>
      </c>
      <c r="AB23" s="16"/>
      <c r="AC23" s="17"/>
      <c r="AD23" s="48"/>
    </row>
    <row r="24" spans="1:30" ht="19.5" thickBot="1" x14ac:dyDescent="0.3">
      <c r="A24" s="14">
        <v>22</v>
      </c>
      <c r="B24" s="15"/>
      <c r="C24" s="15" t="e">
        <f>VLOOKUP(B24,داتا!$B$3:$D$107,2,FALSE)</f>
        <v>#N/A</v>
      </c>
      <c r="D24" s="34" t="e">
        <f>VLOOKUP(B24,داتا!$B$3:$D$107,3,FALSE)</f>
        <v>#N/A</v>
      </c>
      <c r="E24" s="15"/>
      <c r="F24" s="16"/>
      <c r="G24" s="16">
        <v>0.25</v>
      </c>
      <c r="H24" s="16"/>
      <c r="I24" s="16">
        <f t="shared" si="1"/>
        <v>-0.25</v>
      </c>
      <c r="J24" s="16"/>
      <c r="K24" s="16"/>
      <c r="L24" s="16"/>
      <c r="M24" s="16"/>
      <c r="N24" s="16">
        <f t="shared" si="2"/>
        <v>0</v>
      </c>
      <c r="O24" s="16" t="e">
        <f t="shared" si="3"/>
        <v>#N/A</v>
      </c>
      <c r="P24" s="16">
        <v>6.9444444444444397E-3</v>
      </c>
      <c r="Q24" s="16"/>
      <c r="R24" s="16">
        <f t="shared" si="4"/>
        <v>-6.9444444444444397E-3</v>
      </c>
      <c r="S24" s="16"/>
      <c r="T24" s="16" t="e">
        <f>VLOOKUP(E24,'[2]21-3-2026'!E$3:T$35,16,FALSE)</f>
        <v>#N/A</v>
      </c>
      <c r="U24" s="16"/>
      <c r="V24" s="16" t="e">
        <f t="shared" si="5"/>
        <v>#N/A</v>
      </c>
      <c r="W24" s="16"/>
      <c r="X24" s="16"/>
      <c r="Y24" s="16"/>
      <c r="Z24" s="16">
        <f t="shared" si="6"/>
        <v>0</v>
      </c>
      <c r="AA24" s="16">
        <f t="shared" si="0"/>
        <v>0</v>
      </c>
      <c r="AB24" s="16"/>
      <c r="AC24" s="17"/>
      <c r="AD24" s="48"/>
    </row>
    <row r="25" spans="1:30" ht="19.5" thickBot="1" x14ac:dyDescent="0.3">
      <c r="A25" s="14">
        <v>23</v>
      </c>
      <c r="B25" s="15"/>
      <c r="C25" s="15" t="e">
        <f>VLOOKUP(B25,داتا!$B$3:$D$107,2,FALSE)</f>
        <v>#N/A</v>
      </c>
      <c r="D25" s="34" t="e">
        <f>VLOOKUP(B25,داتا!$B$3:$D$107,3,FALSE)</f>
        <v>#N/A</v>
      </c>
      <c r="E25" s="15"/>
      <c r="F25" s="15"/>
      <c r="G25" s="16">
        <v>0.25</v>
      </c>
      <c r="H25" s="16"/>
      <c r="I25" s="16">
        <f t="shared" si="1"/>
        <v>-0.25</v>
      </c>
      <c r="J25" s="16"/>
      <c r="K25" s="16"/>
      <c r="L25" s="16"/>
      <c r="M25" s="16"/>
      <c r="N25" s="16">
        <f t="shared" si="2"/>
        <v>0</v>
      </c>
      <c r="O25" s="16" t="e">
        <f t="shared" si="3"/>
        <v>#N/A</v>
      </c>
      <c r="P25" s="16">
        <v>6.9444444444444397E-3</v>
      </c>
      <c r="Q25" s="16"/>
      <c r="R25" s="16">
        <f t="shared" si="4"/>
        <v>-6.9444444444444397E-3</v>
      </c>
      <c r="S25" s="16"/>
      <c r="T25" s="16" t="e">
        <f>VLOOKUP(E25,'[2]21-3-2026'!E$3:T$35,16,FALSE)</f>
        <v>#N/A</v>
      </c>
      <c r="U25" s="16"/>
      <c r="V25" s="16" t="e">
        <f t="shared" si="5"/>
        <v>#N/A</v>
      </c>
      <c r="W25" s="16"/>
      <c r="X25" s="16"/>
      <c r="Y25" s="16"/>
      <c r="Z25" s="16">
        <f t="shared" si="6"/>
        <v>0</v>
      </c>
      <c r="AA25" s="16">
        <f t="shared" si="0"/>
        <v>0</v>
      </c>
      <c r="AB25" s="16"/>
      <c r="AC25" s="19"/>
      <c r="AD25" s="48"/>
    </row>
    <row r="26" spans="1:30" ht="19.5" thickBot="1" x14ac:dyDescent="0.3">
      <c r="A26" s="14">
        <v>24</v>
      </c>
      <c r="B26" s="15"/>
      <c r="C26" s="15" t="e">
        <f>VLOOKUP(B26,داتا!$B$3:$D$107,2,FALSE)</f>
        <v>#N/A</v>
      </c>
      <c r="D26" s="34" t="e">
        <f>VLOOKUP(B26,داتا!$B$3:$D$107,3,FALSE)</f>
        <v>#N/A</v>
      </c>
      <c r="E26" s="15"/>
      <c r="F26" s="15"/>
      <c r="G26" s="16">
        <v>0.25</v>
      </c>
      <c r="H26" s="16"/>
      <c r="I26" s="16">
        <f t="shared" si="1"/>
        <v>-0.25</v>
      </c>
      <c r="J26" s="16"/>
      <c r="K26" s="16"/>
      <c r="L26" s="16"/>
      <c r="M26" s="16"/>
      <c r="N26" s="16">
        <f t="shared" si="2"/>
        <v>0</v>
      </c>
      <c r="O26" s="16" t="e">
        <f t="shared" si="3"/>
        <v>#N/A</v>
      </c>
      <c r="P26" s="16">
        <v>6.9444444444444397E-3</v>
      </c>
      <c r="Q26" s="16"/>
      <c r="R26" s="16">
        <f t="shared" si="4"/>
        <v>-6.9444444444444397E-3</v>
      </c>
      <c r="S26" s="16"/>
      <c r="T26" s="16" t="e">
        <f>VLOOKUP(E26,'[2]21-3-2026'!E$3:T$35,16,FALSE)</f>
        <v>#N/A</v>
      </c>
      <c r="U26" s="16"/>
      <c r="V26" s="16" t="e">
        <f t="shared" si="5"/>
        <v>#N/A</v>
      </c>
      <c r="W26" s="16"/>
      <c r="X26" s="16"/>
      <c r="Y26" s="16"/>
      <c r="Z26" s="16">
        <f t="shared" si="6"/>
        <v>0</v>
      </c>
      <c r="AA26" s="16">
        <f t="shared" si="0"/>
        <v>0</v>
      </c>
      <c r="AB26" s="16"/>
      <c r="AC26" s="19"/>
      <c r="AD26" s="48"/>
    </row>
    <row r="27" spans="1:30" ht="19.5" thickBot="1" x14ac:dyDescent="0.3">
      <c r="A27" s="14">
        <v>25</v>
      </c>
      <c r="B27" s="15"/>
      <c r="C27" s="15" t="e">
        <f>VLOOKUP(B27,داتا!$B$3:$D$107,2,FALSE)</f>
        <v>#N/A</v>
      </c>
      <c r="D27" s="34" t="e">
        <f>VLOOKUP(B27,داتا!$B$3:$D$107,3,FALSE)</f>
        <v>#N/A</v>
      </c>
      <c r="E27" s="15"/>
      <c r="F27" s="15"/>
      <c r="G27" s="16">
        <v>0.25</v>
      </c>
      <c r="H27" s="16"/>
      <c r="I27" s="16">
        <f t="shared" si="1"/>
        <v>-0.25</v>
      </c>
      <c r="J27" s="16"/>
      <c r="K27" s="16"/>
      <c r="L27" s="16"/>
      <c r="M27" s="16"/>
      <c r="N27" s="16">
        <f t="shared" si="2"/>
        <v>0</v>
      </c>
      <c r="O27" s="16" t="e">
        <f t="shared" si="3"/>
        <v>#N/A</v>
      </c>
      <c r="P27" s="16">
        <v>6.9444444444444397E-3</v>
      </c>
      <c r="Q27" s="16"/>
      <c r="R27" s="16">
        <f t="shared" si="4"/>
        <v>-6.9444444444444397E-3</v>
      </c>
      <c r="S27" s="16"/>
      <c r="T27" s="16" t="e">
        <f>VLOOKUP(E27,'[2]21-3-2026'!E$3:T$35,16,FALSE)</f>
        <v>#N/A</v>
      </c>
      <c r="U27" s="16"/>
      <c r="V27" s="16" t="e">
        <f t="shared" si="5"/>
        <v>#N/A</v>
      </c>
      <c r="W27" s="16"/>
      <c r="X27" s="16"/>
      <c r="Y27" s="16"/>
      <c r="Z27" s="16">
        <f t="shared" si="6"/>
        <v>0</v>
      </c>
      <c r="AA27" s="16">
        <f t="shared" si="0"/>
        <v>0</v>
      </c>
      <c r="AB27" s="16"/>
      <c r="AC27" s="19"/>
      <c r="AD27" s="48"/>
    </row>
    <row r="28" spans="1:30" ht="19.5" thickBot="1" x14ac:dyDescent="0.3">
      <c r="A28" s="14">
        <v>26</v>
      </c>
      <c r="B28" s="15"/>
      <c r="C28" s="15" t="e">
        <f>VLOOKUP(B28,داتا!$B$3:$D$107,2,FALSE)</f>
        <v>#N/A</v>
      </c>
      <c r="D28" s="34" t="e">
        <f>VLOOKUP(B28,داتا!$B$3:$D$107,3,FALSE)</f>
        <v>#N/A</v>
      </c>
      <c r="E28" s="15"/>
      <c r="F28" s="15"/>
      <c r="G28" s="16">
        <v>0.25</v>
      </c>
      <c r="H28" s="16"/>
      <c r="I28" s="16">
        <f t="shared" si="1"/>
        <v>-0.25</v>
      </c>
      <c r="J28" s="16"/>
      <c r="K28" s="16"/>
      <c r="L28" s="16"/>
      <c r="M28" s="16"/>
      <c r="N28" s="16">
        <f t="shared" si="2"/>
        <v>0</v>
      </c>
      <c r="O28" s="16" t="e">
        <f t="shared" si="3"/>
        <v>#N/A</v>
      </c>
      <c r="P28" s="16">
        <v>6.9444444444444397E-3</v>
      </c>
      <c r="Q28" s="16"/>
      <c r="R28" s="16">
        <f t="shared" si="4"/>
        <v>-6.9444444444444397E-3</v>
      </c>
      <c r="S28" s="16"/>
      <c r="T28" s="16" t="e">
        <f>VLOOKUP(E28,'[2]21-3-2026'!E$3:T$35,16,FALSE)</f>
        <v>#N/A</v>
      </c>
      <c r="U28" s="16"/>
      <c r="V28" s="16" t="e">
        <f t="shared" si="5"/>
        <v>#N/A</v>
      </c>
      <c r="W28" s="16"/>
      <c r="X28" s="16"/>
      <c r="Y28" s="16"/>
      <c r="Z28" s="16">
        <f t="shared" si="6"/>
        <v>0</v>
      </c>
      <c r="AA28" s="16">
        <f t="shared" si="0"/>
        <v>0</v>
      </c>
      <c r="AB28" s="16"/>
      <c r="AC28" s="17"/>
      <c r="AD28" s="48"/>
    </row>
    <row r="29" spans="1:30" ht="19.5" thickBot="1" x14ac:dyDescent="0.3">
      <c r="A29" s="14">
        <v>27</v>
      </c>
      <c r="B29" s="15"/>
      <c r="C29" s="15" t="e">
        <f>VLOOKUP(B29,داتا!$B$3:$D$107,2,FALSE)</f>
        <v>#N/A</v>
      </c>
      <c r="D29" s="34" t="e">
        <f>VLOOKUP(B29,داتا!$B$3:$D$107,3,FALSE)</f>
        <v>#N/A</v>
      </c>
      <c r="E29" s="15"/>
      <c r="F29" s="15"/>
      <c r="G29" s="16">
        <v>0.25</v>
      </c>
      <c r="H29" s="16"/>
      <c r="I29" s="16">
        <f t="shared" si="1"/>
        <v>-0.25</v>
      </c>
      <c r="J29" s="16"/>
      <c r="K29" s="16"/>
      <c r="L29" s="16"/>
      <c r="M29" s="16"/>
      <c r="N29" s="16">
        <f t="shared" si="2"/>
        <v>0</v>
      </c>
      <c r="O29" s="16" t="e">
        <f t="shared" si="3"/>
        <v>#N/A</v>
      </c>
      <c r="P29" s="16">
        <v>6.9444444444444397E-3</v>
      </c>
      <c r="Q29" s="16"/>
      <c r="R29" s="16">
        <f t="shared" si="4"/>
        <v>-6.9444444444444397E-3</v>
      </c>
      <c r="S29" s="16"/>
      <c r="T29" s="16" t="e">
        <f>VLOOKUP(E29,'[2]21-3-2026'!E$3:T$35,16,FALSE)</f>
        <v>#N/A</v>
      </c>
      <c r="U29" s="16"/>
      <c r="V29" s="16" t="e">
        <f t="shared" si="5"/>
        <v>#N/A</v>
      </c>
      <c r="W29" s="16"/>
      <c r="X29" s="16"/>
      <c r="Y29" s="16"/>
      <c r="Z29" s="16">
        <f t="shared" si="6"/>
        <v>0</v>
      </c>
      <c r="AA29" s="16">
        <f t="shared" si="0"/>
        <v>0</v>
      </c>
      <c r="AB29" s="16"/>
      <c r="AC29" s="18"/>
      <c r="AD29" s="48"/>
    </row>
    <row r="30" spans="1:30" ht="19.5" thickBot="1" x14ac:dyDescent="0.3">
      <c r="A30" s="14">
        <v>28</v>
      </c>
      <c r="B30" s="15"/>
      <c r="C30" s="15" t="e">
        <f>VLOOKUP(B30,داتا!$B$3:$D$107,2,FALSE)</f>
        <v>#N/A</v>
      </c>
      <c r="D30" s="34" t="e">
        <f>VLOOKUP(B30,داتا!$B$3:$D$107,3,FALSE)</f>
        <v>#N/A</v>
      </c>
      <c r="E30" s="15"/>
      <c r="F30" s="15"/>
      <c r="G30" s="16">
        <v>0.25</v>
      </c>
      <c r="H30" s="16"/>
      <c r="I30" s="16">
        <f t="shared" si="1"/>
        <v>-0.25</v>
      </c>
      <c r="J30" s="16"/>
      <c r="K30" s="16"/>
      <c r="L30" s="16"/>
      <c r="M30" s="16"/>
      <c r="N30" s="16">
        <f t="shared" si="2"/>
        <v>0</v>
      </c>
      <c r="O30" s="16" t="e">
        <f t="shared" si="3"/>
        <v>#N/A</v>
      </c>
      <c r="P30" s="16">
        <v>6.9444444444444397E-3</v>
      </c>
      <c r="Q30" s="16"/>
      <c r="R30" s="16">
        <f t="shared" si="4"/>
        <v>-6.9444444444444397E-3</v>
      </c>
      <c r="S30" s="16"/>
      <c r="T30" s="16" t="e">
        <f>VLOOKUP(E30,'[2]21-3-2026'!E$3:T$35,16,FALSE)</f>
        <v>#N/A</v>
      </c>
      <c r="U30" s="16"/>
      <c r="V30" s="16" t="e">
        <f t="shared" si="5"/>
        <v>#N/A</v>
      </c>
      <c r="W30" s="16"/>
      <c r="X30" s="16"/>
      <c r="Y30" s="16"/>
      <c r="Z30" s="16">
        <f t="shared" si="6"/>
        <v>0</v>
      </c>
      <c r="AA30" s="16">
        <f t="shared" si="0"/>
        <v>0</v>
      </c>
      <c r="AB30" s="16"/>
      <c r="AC30" s="17"/>
      <c r="AD30" s="48"/>
    </row>
    <row r="31" spans="1:30" ht="19.5" thickBot="1" x14ac:dyDescent="0.3">
      <c r="A31" s="14">
        <v>29</v>
      </c>
      <c r="B31" s="15"/>
      <c r="C31" s="15" t="e">
        <f>VLOOKUP(B31,داتا!$B$3:$D$107,2,FALSE)</f>
        <v>#N/A</v>
      </c>
      <c r="D31" s="34" t="e">
        <f>VLOOKUP(B31,داتا!$B$3:$D$107,3,FALSE)</f>
        <v>#N/A</v>
      </c>
      <c r="E31" s="15"/>
      <c r="F31" s="15"/>
      <c r="G31" s="16">
        <v>0.25</v>
      </c>
      <c r="H31" s="16"/>
      <c r="I31" s="16">
        <f t="shared" si="1"/>
        <v>-0.25</v>
      </c>
      <c r="J31" s="16"/>
      <c r="K31" s="16"/>
      <c r="L31" s="16"/>
      <c r="M31" s="16"/>
      <c r="N31" s="16">
        <f t="shared" si="2"/>
        <v>0</v>
      </c>
      <c r="O31" s="16" t="e">
        <f t="shared" si="3"/>
        <v>#N/A</v>
      </c>
      <c r="P31" s="16">
        <v>6.9444444444444397E-3</v>
      </c>
      <c r="Q31" s="16"/>
      <c r="R31" s="16">
        <f t="shared" si="4"/>
        <v>-6.9444444444444397E-3</v>
      </c>
      <c r="S31" s="16"/>
      <c r="T31" s="16" t="e">
        <f>VLOOKUP(E31,'[2]21-3-2026'!E$3:T$35,16,FALSE)</f>
        <v>#N/A</v>
      </c>
      <c r="U31" s="16"/>
      <c r="V31" s="16" t="e">
        <f t="shared" si="5"/>
        <v>#N/A</v>
      </c>
      <c r="W31" s="16"/>
      <c r="X31" s="16"/>
      <c r="Y31" s="16"/>
      <c r="Z31" s="16">
        <f t="shared" si="6"/>
        <v>0</v>
      </c>
      <c r="AA31" s="16">
        <f t="shared" si="0"/>
        <v>0</v>
      </c>
      <c r="AB31" s="16"/>
      <c r="AC31" s="17"/>
      <c r="AD31" s="48"/>
    </row>
    <row r="32" spans="1:30" ht="19.5" thickBot="1" x14ac:dyDescent="0.3">
      <c r="A32" s="14">
        <v>30</v>
      </c>
      <c r="B32" s="15"/>
      <c r="C32" s="15" t="e">
        <f>VLOOKUP(B32,داتا!$B$3:$D$107,2,FALSE)</f>
        <v>#N/A</v>
      </c>
      <c r="D32" s="34" t="e">
        <f>VLOOKUP(B32,داتا!$B$3:$D$107,3,FALSE)</f>
        <v>#N/A</v>
      </c>
      <c r="E32" s="15"/>
      <c r="F32" s="15"/>
      <c r="G32" s="16">
        <v>0.25</v>
      </c>
      <c r="H32" s="16"/>
      <c r="I32" s="16">
        <f t="shared" si="1"/>
        <v>-0.25</v>
      </c>
      <c r="J32" s="16"/>
      <c r="K32" s="16"/>
      <c r="L32" s="16"/>
      <c r="M32" s="16"/>
      <c r="N32" s="16">
        <f t="shared" si="2"/>
        <v>0</v>
      </c>
      <c r="O32" s="16" t="e">
        <f t="shared" si="3"/>
        <v>#N/A</v>
      </c>
      <c r="P32" s="16">
        <v>6.9444444444444397E-3</v>
      </c>
      <c r="Q32" s="16"/>
      <c r="R32" s="16">
        <f t="shared" si="4"/>
        <v>-6.9444444444444397E-3</v>
      </c>
      <c r="S32" s="16"/>
      <c r="T32" s="16" t="e">
        <f>VLOOKUP(E32,'[2]21-3-2026'!E$3:T$35,16,FALSE)</f>
        <v>#N/A</v>
      </c>
      <c r="U32" s="16"/>
      <c r="V32" s="16" t="e">
        <f t="shared" si="5"/>
        <v>#N/A</v>
      </c>
      <c r="W32" s="16"/>
      <c r="X32" s="16"/>
      <c r="Y32" s="16"/>
      <c r="Z32" s="16">
        <f t="shared" si="6"/>
        <v>0</v>
      </c>
      <c r="AA32" s="16">
        <f t="shared" si="0"/>
        <v>0</v>
      </c>
      <c r="AB32" s="16"/>
      <c r="AC32" s="17"/>
      <c r="AD32" s="48"/>
    </row>
    <row r="33" spans="1:30" ht="19.5" thickBot="1" x14ac:dyDescent="0.3">
      <c r="A33" s="14">
        <v>31</v>
      </c>
      <c r="B33" s="15"/>
      <c r="C33" s="15" t="e">
        <f>VLOOKUP(B33,داتا!$B$3:$D$107,2,FALSE)</f>
        <v>#N/A</v>
      </c>
      <c r="D33" s="34" t="e">
        <f>VLOOKUP(B33,داتا!$B$3:$D$107,3,FALSE)</f>
        <v>#N/A</v>
      </c>
      <c r="E33" s="15"/>
      <c r="F33" s="15"/>
      <c r="G33" s="16">
        <v>0.25</v>
      </c>
      <c r="H33" s="16"/>
      <c r="I33" s="16">
        <f t="shared" si="1"/>
        <v>-0.25</v>
      </c>
      <c r="J33" s="16"/>
      <c r="K33" s="16"/>
      <c r="L33" s="16"/>
      <c r="M33" s="16"/>
      <c r="N33" s="16">
        <f t="shared" si="2"/>
        <v>0</v>
      </c>
      <c r="O33" s="16" t="e">
        <f t="shared" si="3"/>
        <v>#N/A</v>
      </c>
      <c r="P33" s="16">
        <v>6.9444444444444397E-3</v>
      </c>
      <c r="Q33" s="16"/>
      <c r="R33" s="16">
        <f t="shared" si="4"/>
        <v>-6.9444444444444397E-3</v>
      </c>
      <c r="S33" s="16"/>
      <c r="T33" s="16" t="e">
        <f>VLOOKUP(E33,'[2]21-3-2026'!E$3:T$35,16,FALSE)</f>
        <v>#N/A</v>
      </c>
      <c r="U33" s="16"/>
      <c r="V33" s="16" t="e">
        <f t="shared" si="5"/>
        <v>#N/A</v>
      </c>
      <c r="W33" s="16"/>
      <c r="X33" s="16"/>
      <c r="Y33" s="16"/>
      <c r="Z33" s="16">
        <f t="shared" si="6"/>
        <v>0</v>
      </c>
      <c r="AA33" s="16">
        <f t="shared" si="0"/>
        <v>0</v>
      </c>
      <c r="AB33" s="16"/>
      <c r="AC33" s="17"/>
      <c r="AD33" s="48"/>
    </row>
    <row r="34" spans="1:30" ht="19.5" thickBot="1" x14ac:dyDescent="0.3">
      <c r="A34" s="14">
        <v>32</v>
      </c>
      <c r="B34" s="15"/>
      <c r="C34" s="15" t="e">
        <f>VLOOKUP(B34,داتا!$B$3:$D$107,2,FALSE)</f>
        <v>#N/A</v>
      </c>
      <c r="D34" s="34" t="e">
        <f>VLOOKUP(B34,داتا!$B$3:$D$107,3,FALSE)</f>
        <v>#N/A</v>
      </c>
      <c r="E34" s="15"/>
      <c r="F34" s="15"/>
      <c r="G34" s="16">
        <v>0.25</v>
      </c>
      <c r="H34" s="16"/>
      <c r="I34" s="16">
        <f t="shared" si="1"/>
        <v>-0.25</v>
      </c>
      <c r="J34" s="16"/>
      <c r="K34" s="16"/>
      <c r="L34" s="16"/>
      <c r="M34" s="16"/>
      <c r="N34" s="16">
        <f t="shared" si="2"/>
        <v>0</v>
      </c>
      <c r="O34" s="16" t="e">
        <f t="shared" si="3"/>
        <v>#N/A</v>
      </c>
      <c r="P34" s="16">
        <v>6.9444444444444397E-3</v>
      </c>
      <c r="Q34" s="16"/>
      <c r="R34" s="16">
        <f t="shared" si="4"/>
        <v>-6.9444444444444397E-3</v>
      </c>
      <c r="S34" s="16"/>
      <c r="T34" s="16" t="e">
        <f>VLOOKUP(E34,'[2]21-3-2026'!E$3:T$35,16,FALSE)</f>
        <v>#N/A</v>
      </c>
      <c r="U34" s="16"/>
      <c r="V34" s="16" t="e">
        <f t="shared" si="5"/>
        <v>#N/A</v>
      </c>
      <c r="W34" s="16"/>
      <c r="X34" s="16"/>
      <c r="Y34" s="16"/>
      <c r="Z34" s="16">
        <f t="shared" si="6"/>
        <v>0</v>
      </c>
      <c r="AA34" s="16">
        <f t="shared" si="0"/>
        <v>0</v>
      </c>
      <c r="AB34" s="16"/>
      <c r="AC34" s="17"/>
      <c r="AD34" s="48"/>
    </row>
    <row r="35" spans="1:30" ht="19.5" thickBot="1" x14ac:dyDescent="0.3">
      <c r="A35" s="20">
        <v>33</v>
      </c>
      <c r="B35" s="21"/>
      <c r="C35" s="21" t="e">
        <f>VLOOKUP(B35,داتا!$B$3:$D$107,2,FALSE)</f>
        <v>#N/A</v>
      </c>
      <c r="D35" s="35" t="e">
        <f>VLOOKUP(B35,داتا!$B$3:$D$107,3,FALSE)</f>
        <v>#N/A</v>
      </c>
      <c r="E35" s="21"/>
      <c r="F35" s="21"/>
      <c r="G35" s="22">
        <v>0.25</v>
      </c>
      <c r="H35" s="22"/>
      <c r="I35" s="22">
        <f t="shared" si="1"/>
        <v>-0.25</v>
      </c>
      <c r="J35" s="22"/>
      <c r="K35" s="22"/>
      <c r="L35" s="22"/>
      <c r="M35" s="22"/>
      <c r="N35" s="22">
        <f t="shared" si="2"/>
        <v>0</v>
      </c>
      <c r="O35" s="22" t="e">
        <f t="shared" si="3"/>
        <v>#N/A</v>
      </c>
      <c r="P35" s="22">
        <v>6.9444444444444397E-3</v>
      </c>
      <c r="Q35" s="22"/>
      <c r="R35" s="22">
        <f t="shared" si="4"/>
        <v>-6.9444444444444397E-3</v>
      </c>
      <c r="S35" s="22"/>
      <c r="T35" s="22" t="e">
        <f>VLOOKUP(E35,'[2]21-3-2026'!E$3:T$35,16,FALSE)</f>
        <v>#N/A</v>
      </c>
      <c r="U35" s="22"/>
      <c r="V35" s="22" t="e">
        <f t="shared" si="5"/>
        <v>#N/A</v>
      </c>
      <c r="W35" s="22"/>
      <c r="X35" s="22"/>
      <c r="Y35" s="22"/>
      <c r="Z35" s="22">
        <f t="shared" si="6"/>
        <v>0</v>
      </c>
      <c r="AA35" s="22">
        <f t="shared" si="0"/>
        <v>0</v>
      </c>
      <c r="AB35" s="22"/>
      <c r="AC35" s="23"/>
      <c r="AD35" s="49"/>
    </row>
    <row r="36" spans="1:30" ht="20.25" customHeight="1" thickTop="1" thickBot="1" x14ac:dyDescent="0.3">
      <c r="A36" s="10">
        <v>1</v>
      </c>
      <c r="B36" s="11"/>
      <c r="C36" s="11" t="e">
        <f>VLOOKUP(B36,داتا!$B$3:$D$107,2,FALSE)</f>
        <v>#N/A</v>
      </c>
      <c r="D36" s="33" t="e">
        <f>VLOOKUP(B36,داتا!$B$3:$D$107,3,FALSE)</f>
        <v>#N/A</v>
      </c>
      <c r="E36" s="11"/>
      <c r="F36" s="11"/>
      <c r="G36" s="12">
        <v>0.25</v>
      </c>
      <c r="H36" s="12" t="e">
        <f>VLOOKUP(G36,$F$3:$I$35,2,FALSE)</f>
        <v>#N/A</v>
      </c>
      <c r="I36" s="12" t="e">
        <f t="shared" si="1"/>
        <v>#N/A</v>
      </c>
      <c r="J36" s="12"/>
      <c r="K36" s="12"/>
      <c r="L36" s="12"/>
      <c r="M36" s="12"/>
      <c r="N36" s="12">
        <f t="shared" si="2"/>
        <v>0</v>
      </c>
      <c r="O36" s="12" t="e">
        <f t="shared" si="3"/>
        <v>#N/A</v>
      </c>
      <c r="P36" s="12">
        <v>6.9444444444444397E-3</v>
      </c>
      <c r="Q36" s="12"/>
      <c r="R36" s="12">
        <f t="shared" si="4"/>
        <v>-6.9444444444444397E-3</v>
      </c>
      <c r="S36" s="12"/>
      <c r="T36" s="12" t="e">
        <f>VLOOKUP(E36,'[2]21-3-2026'!E$3:T$35,16,FALSE)</f>
        <v>#N/A</v>
      </c>
      <c r="U36" s="12"/>
      <c r="V36" s="12" t="e">
        <f t="shared" si="5"/>
        <v>#N/A</v>
      </c>
      <c r="W36" s="12"/>
      <c r="X36" s="12"/>
      <c r="Y36" s="12"/>
      <c r="Z36" s="12">
        <f t="shared" si="6"/>
        <v>0</v>
      </c>
      <c r="AA36" s="12">
        <f t="shared" si="0"/>
        <v>0</v>
      </c>
      <c r="AB36" s="12"/>
      <c r="AC36" s="29"/>
      <c r="AD36" s="50" t="s">
        <v>104</v>
      </c>
    </row>
    <row r="37" spans="1:30" ht="19.5" thickBot="1" x14ac:dyDescent="0.3">
      <c r="A37" s="14">
        <v>2</v>
      </c>
      <c r="B37" s="15"/>
      <c r="C37" s="15" t="e">
        <f>VLOOKUP(B37,داتا!$B$3:$D$107,2,FALSE)</f>
        <v>#N/A</v>
      </c>
      <c r="D37" s="34" t="e">
        <f>VLOOKUP(B37,داتا!$B$3:$D$107,3,FALSE)</f>
        <v>#N/A</v>
      </c>
      <c r="E37" s="15"/>
      <c r="F37" s="15"/>
      <c r="G37" s="16">
        <v>0.25</v>
      </c>
      <c r="H37" s="16" t="e">
        <f t="shared" ref="H37:H52" si="7">VLOOKUP(G37,$F$3:$I$35,2,FALSE)</f>
        <v>#N/A</v>
      </c>
      <c r="I37" s="16" t="e">
        <f t="shared" si="1"/>
        <v>#N/A</v>
      </c>
      <c r="J37" s="16"/>
      <c r="K37" s="16"/>
      <c r="L37" s="16"/>
      <c r="M37" s="16"/>
      <c r="N37" s="16">
        <f t="shared" si="2"/>
        <v>0</v>
      </c>
      <c r="O37" s="16" t="e">
        <f t="shared" si="3"/>
        <v>#N/A</v>
      </c>
      <c r="P37" s="16">
        <v>6.9444444444444397E-3</v>
      </c>
      <c r="Q37" s="16"/>
      <c r="R37" s="16">
        <f t="shared" si="4"/>
        <v>-6.9444444444444397E-3</v>
      </c>
      <c r="S37" s="16"/>
      <c r="T37" s="16" t="e">
        <f>VLOOKUP(E37,'[2]21-3-2026'!E$3:T$35,16,FALSE)</f>
        <v>#N/A</v>
      </c>
      <c r="U37" s="16"/>
      <c r="V37" s="16" t="e">
        <f t="shared" si="5"/>
        <v>#N/A</v>
      </c>
      <c r="W37" s="16"/>
      <c r="X37" s="16"/>
      <c r="Y37" s="16"/>
      <c r="Z37" s="16">
        <f t="shared" si="6"/>
        <v>0</v>
      </c>
      <c r="AA37" s="16">
        <f t="shared" si="0"/>
        <v>0</v>
      </c>
      <c r="AB37" s="16"/>
      <c r="AC37" s="19"/>
      <c r="AD37" s="51"/>
    </row>
    <row r="38" spans="1:30" ht="19.5" thickBot="1" x14ac:dyDescent="0.3">
      <c r="A38" s="14">
        <v>3</v>
      </c>
      <c r="B38" s="15"/>
      <c r="C38" s="15" t="e">
        <f>VLOOKUP(B38,داتا!$B$3:$D$107,2,FALSE)</f>
        <v>#N/A</v>
      </c>
      <c r="D38" s="34" t="e">
        <f>VLOOKUP(B38,داتا!$B$3:$D$107,3,FALSE)</f>
        <v>#N/A</v>
      </c>
      <c r="E38" s="15"/>
      <c r="F38" s="15"/>
      <c r="G38" s="16">
        <v>0.25</v>
      </c>
      <c r="H38" s="16" t="e">
        <f t="shared" si="7"/>
        <v>#N/A</v>
      </c>
      <c r="I38" s="16" t="e">
        <f t="shared" si="1"/>
        <v>#N/A</v>
      </c>
      <c r="J38" s="16"/>
      <c r="K38" s="16"/>
      <c r="L38" s="16"/>
      <c r="M38" s="16"/>
      <c r="N38" s="16">
        <f t="shared" si="2"/>
        <v>0</v>
      </c>
      <c r="O38" s="16" t="e">
        <f t="shared" si="3"/>
        <v>#N/A</v>
      </c>
      <c r="P38" s="16">
        <v>6.9444444444444397E-3</v>
      </c>
      <c r="Q38" s="16"/>
      <c r="R38" s="16">
        <f t="shared" si="4"/>
        <v>-6.9444444444444397E-3</v>
      </c>
      <c r="S38" s="16"/>
      <c r="T38" s="16" t="e">
        <f>VLOOKUP(E38,'[2]21-3-2026'!E$3:T$35,16,FALSE)</f>
        <v>#N/A</v>
      </c>
      <c r="U38" s="16"/>
      <c r="V38" s="16" t="e">
        <f t="shared" si="5"/>
        <v>#N/A</v>
      </c>
      <c r="W38" s="16"/>
      <c r="X38" s="16"/>
      <c r="Y38" s="16"/>
      <c r="Z38" s="16">
        <f t="shared" si="6"/>
        <v>0</v>
      </c>
      <c r="AA38" s="16">
        <f t="shared" si="0"/>
        <v>0</v>
      </c>
      <c r="AB38" s="16"/>
      <c r="AC38" s="19"/>
      <c r="AD38" s="51"/>
    </row>
    <row r="39" spans="1:30" ht="19.5" thickBot="1" x14ac:dyDescent="0.3">
      <c r="A39" s="14">
        <v>4</v>
      </c>
      <c r="B39" s="15"/>
      <c r="C39" s="15" t="e">
        <f>VLOOKUP(B39,داتا!$B$3:$D$107,2,FALSE)</f>
        <v>#N/A</v>
      </c>
      <c r="D39" s="34" t="e">
        <f>VLOOKUP(B39,داتا!$B$3:$D$107,3,FALSE)</f>
        <v>#N/A</v>
      </c>
      <c r="E39" s="15"/>
      <c r="F39" s="15"/>
      <c r="G39" s="16">
        <v>0.25</v>
      </c>
      <c r="H39" s="16" t="e">
        <f t="shared" si="7"/>
        <v>#N/A</v>
      </c>
      <c r="I39" s="16" t="e">
        <f t="shared" si="1"/>
        <v>#N/A</v>
      </c>
      <c r="J39" s="16"/>
      <c r="K39" s="16"/>
      <c r="L39" s="16"/>
      <c r="M39" s="16"/>
      <c r="N39" s="16">
        <f t="shared" si="2"/>
        <v>0</v>
      </c>
      <c r="O39" s="16" t="e">
        <f t="shared" si="3"/>
        <v>#N/A</v>
      </c>
      <c r="P39" s="16">
        <v>6.9444444444444397E-3</v>
      </c>
      <c r="Q39" s="16"/>
      <c r="R39" s="16">
        <f t="shared" si="4"/>
        <v>-6.9444444444444397E-3</v>
      </c>
      <c r="S39" s="16"/>
      <c r="T39" s="16" t="e">
        <f>VLOOKUP(E39,'[2]21-3-2026'!E$3:T$35,16,FALSE)</f>
        <v>#N/A</v>
      </c>
      <c r="U39" s="16"/>
      <c r="V39" s="16" t="e">
        <f t="shared" si="5"/>
        <v>#N/A</v>
      </c>
      <c r="W39" s="16"/>
      <c r="X39" s="16"/>
      <c r="Y39" s="16"/>
      <c r="Z39" s="16">
        <f t="shared" si="6"/>
        <v>0</v>
      </c>
      <c r="AA39" s="16">
        <f t="shared" si="0"/>
        <v>0</v>
      </c>
      <c r="AB39" s="16"/>
      <c r="AC39" s="17"/>
      <c r="AD39" s="51"/>
    </row>
    <row r="40" spans="1:30" ht="19.5" thickBot="1" x14ac:dyDescent="0.3">
      <c r="A40" s="14">
        <v>5</v>
      </c>
      <c r="B40" s="15"/>
      <c r="C40" s="15" t="e">
        <f>VLOOKUP(B40,داتا!$B$3:$D$107,2,FALSE)</f>
        <v>#N/A</v>
      </c>
      <c r="D40" s="34" t="e">
        <f>VLOOKUP(B40,داتا!$B$3:$D$107,3,FALSE)</f>
        <v>#N/A</v>
      </c>
      <c r="E40" s="15"/>
      <c r="F40" s="15"/>
      <c r="G40" s="16">
        <v>0.25</v>
      </c>
      <c r="H40" s="16" t="e">
        <f t="shared" si="7"/>
        <v>#N/A</v>
      </c>
      <c r="I40" s="16" t="e">
        <f t="shared" si="1"/>
        <v>#N/A</v>
      </c>
      <c r="J40" s="16"/>
      <c r="K40" s="16"/>
      <c r="L40" s="16"/>
      <c r="M40" s="16"/>
      <c r="N40" s="16">
        <f t="shared" si="2"/>
        <v>0</v>
      </c>
      <c r="O40" s="16" t="e">
        <f t="shared" si="3"/>
        <v>#N/A</v>
      </c>
      <c r="P40" s="16">
        <v>6.9444444444444397E-3</v>
      </c>
      <c r="Q40" s="16"/>
      <c r="R40" s="16">
        <f t="shared" si="4"/>
        <v>-6.9444444444444397E-3</v>
      </c>
      <c r="S40" s="16"/>
      <c r="T40" s="16" t="e">
        <f>VLOOKUP(E40,'[2]21-3-2026'!E$3:T$35,16,FALSE)</f>
        <v>#N/A</v>
      </c>
      <c r="U40" s="16"/>
      <c r="V40" s="16" t="e">
        <f t="shared" si="5"/>
        <v>#N/A</v>
      </c>
      <c r="W40" s="16"/>
      <c r="X40" s="16"/>
      <c r="Y40" s="16"/>
      <c r="Z40" s="16">
        <f t="shared" si="6"/>
        <v>0</v>
      </c>
      <c r="AA40" s="16">
        <f t="shared" si="0"/>
        <v>0</v>
      </c>
      <c r="AB40" s="16"/>
      <c r="AC40" s="17"/>
      <c r="AD40" s="51"/>
    </row>
    <row r="41" spans="1:30" ht="19.5" thickBot="1" x14ac:dyDescent="0.3">
      <c r="A41" s="14">
        <v>6</v>
      </c>
      <c r="B41" s="15"/>
      <c r="C41" s="15" t="e">
        <f>VLOOKUP(B41,داتا!$B$3:$D$107,2,FALSE)</f>
        <v>#N/A</v>
      </c>
      <c r="D41" s="34" t="e">
        <f>VLOOKUP(B41,داتا!$B$3:$D$107,3,FALSE)</f>
        <v>#N/A</v>
      </c>
      <c r="E41" s="15"/>
      <c r="F41" s="15"/>
      <c r="G41" s="16">
        <v>0.25</v>
      </c>
      <c r="H41" s="16" t="e">
        <f t="shared" si="7"/>
        <v>#N/A</v>
      </c>
      <c r="I41" s="16" t="e">
        <f t="shared" si="1"/>
        <v>#N/A</v>
      </c>
      <c r="J41" s="16"/>
      <c r="K41" s="16"/>
      <c r="L41" s="16"/>
      <c r="M41" s="16"/>
      <c r="N41" s="16">
        <f t="shared" si="2"/>
        <v>0</v>
      </c>
      <c r="O41" s="16" t="e">
        <f t="shared" si="3"/>
        <v>#N/A</v>
      </c>
      <c r="P41" s="16">
        <v>6.9444444444444397E-3</v>
      </c>
      <c r="Q41" s="16"/>
      <c r="R41" s="16">
        <f t="shared" si="4"/>
        <v>-6.9444444444444397E-3</v>
      </c>
      <c r="S41" s="16"/>
      <c r="T41" s="16" t="e">
        <f>VLOOKUP(E41,'[2]21-3-2026'!E$3:T$35,16,FALSE)</f>
        <v>#N/A</v>
      </c>
      <c r="U41" s="16"/>
      <c r="V41" s="16" t="e">
        <f t="shared" si="5"/>
        <v>#N/A</v>
      </c>
      <c r="W41" s="16"/>
      <c r="X41" s="16"/>
      <c r="Y41" s="16"/>
      <c r="Z41" s="16">
        <f t="shared" si="6"/>
        <v>0</v>
      </c>
      <c r="AA41" s="16">
        <f t="shared" si="0"/>
        <v>0</v>
      </c>
      <c r="AB41" s="16"/>
      <c r="AC41" s="17"/>
      <c r="AD41" s="51"/>
    </row>
    <row r="42" spans="1:30" ht="19.5" thickBot="1" x14ac:dyDescent="0.3">
      <c r="A42" s="14">
        <v>7</v>
      </c>
      <c r="B42" s="15"/>
      <c r="C42" s="15" t="e">
        <f>VLOOKUP(B42,داتا!$B$3:$D$107,2,FALSE)</f>
        <v>#N/A</v>
      </c>
      <c r="D42" s="34" t="e">
        <f>VLOOKUP(B42,داتا!$B$3:$D$107,3,FALSE)</f>
        <v>#N/A</v>
      </c>
      <c r="E42" s="15"/>
      <c r="F42" s="15"/>
      <c r="G42" s="16">
        <v>0.25</v>
      </c>
      <c r="H42" s="16" t="e">
        <f t="shared" si="7"/>
        <v>#N/A</v>
      </c>
      <c r="I42" s="16" t="e">
        <f t="shared" si="1"/>
        <v>#N/A</v>
      </c>
      <c r="J42" s="16"/>
      <c r="K42" s="16"/>
      <c r="L42" s="16"/>
      <c r="M42" s="16"/>
      <c r="N42" s="16">
        <f t="shared" si="2"/>
        <v>0</v>
      </c>
      <c r="O42" s="16" t="e">
        <f t="shared" si="3"/>
        <v>#N/A</v>
      </c>
      <c r="P42" s="16">
        <v>6.9444444444444397E-3</v>
      </c>
      <c r="Q42" s="16"/>
      <c r="R42" s="16">
        <f t="shared" si="4"/>
        <v>-6.9444444444444397E-3</v>
      </c>
      <c r="S42" s="16"/>
      <c r="T42" s="16" t="e">
        <f>VLOOKUP(E42,'[2]21-3-2026'!E$3:T$35,16,FALSE)</f>
        <v>#N/A</v>
      </c>
      <c r="U42" s="16"/>
      <c r="V42" s="16" t="e">
        <f t="shared" si="5"/>
        <v>#N/A</v>
      </c>
      <c r="W42" s="16"/>
      <c r="X42" s="16"/>
      <c r="Y42" s="16"/>
      <c r="Z42" s="16">
        <f t="shared" si="6"/>
        <v>0</v>
      </c>
      <c r="AA42" s="16">
        <f t="shared" si="0"/>
        <v>0</v>
      </c>
      <c r="AB42" s="16"/>
      <c r="AC42" s="17"/>
      <c r="AD42" s="51"/>
    </row>
    <row r="43" spans="1:30" ht="19.5" thickBot="1" x14ac:dyDescent="0.3">
      <c r="A43" s="14">
        <v>8</v>
      </c>
      <c r="B43" s="15"/>
      <c r="C43" s="15" t="e">
        <f>VLOOKUP(B43,داتا!$B$3:$D$107,2,FALSE)</f>
        <v>#N/A</v>
      </c>
      <c r="D43" s="34" t="e">
        <f>VLOOKUP(B43,داتا!$B$3:$D$107,3,FALSE)</f>
        <v>#N/A</v>
      </c>
      <c r="E43" s="15"/>
      <c r="F43" s="15"/>
      <c r="G43" s="16">
        <v>0.25</v>
      </c>
      <c r="H43" s="16" t="e">
        <f t="shared" si="7"/>
        <v>#N/A</v>
      </c>
      <c r="I43" s="16" t="e">
        <f t="shared" si="1"/>
        <v>#N/A</v>
      </c>
      <c r="J43" s="16"/>
      <c r="K43" s="16"/>
      <c r="L43" s="16"/>
      <c r="M43" s="16"/>
      <c r="N43" s="16">
        <f t="shared" si="2"/>
        <v>0</v>
      </c>
      <c r="O43" s="16" t="e">
        <f t="shared" si="3"/>
        <v>#N/A</v>
      </c>
      <c r="P43" s="16">
        <v>6.9444444444444397E-3</v>
      </c>
      <c r="Q43" s="16"/>
      <c r="R43" s="16">
        <f t="shared" si="4"/>
        <v>-6.9444444444444397E-3</v>
      </c>
      <c r="S43" s="16"/>
      <c r="T43" s="16" t="e">
        <f>VLOOKUP(E43,'[2]21-3-2026'!E$3:T$35,16,FALSE)</f>
        <v>#N/A</v>
      </c>
      <c r="U43" s="16"/>
      <c r="V43" s="16" t="e">
        <f t="shared" si="5"/>
        <v>#N/A</v>
      </c>
      <c r="W43" s="16"/>
      <c r="X43" s="16"/>
      <c r="Y43" s="16"/>
      <c r="Z43" s="16">
        <f t="shared" si="6"/>
        <v>0</v>
      </c>
      <c r="AA43" s="16">
        <f t="shared" si="0"/>
        <v>0</v>
      </c>
      <c r="AB43" s="16"/>
      <c r="AC43" s="17"/>
      <c r="AD43" s="51"/>
    </row>
    <row r="44" spans="1:30" ht="19.5" thickBot="1" x14ac:dyDescent="0.3">
      <c r="A44" s="14">
        <v>9</v>
      </c>
      <c r="B44" s="15"/>
      <c r="C44" s="15" t="e">
        <f>VLOOKUP(B44,داتا!$B$3:$D$107,2,FALSE)</f>
        <v>#N/A</v>
      </c>
      <c r="D44" s="34" t="e">
        <f>VLOOKUP(B44,داتا!$B$3:$D$107,3,FALSE)</f>
        <v>#N/A</v>
      </c>
      <c r="E44" s="15"/>
      <c r="F44" s="15"/>
      <c r="G44" s="16">
        <v>0.25</v>
      </c>
      <c r="H44" s="16" t="e">
        <f t="shared" si="7"/>
        <v>#N/A</v>
      </c>
      <c r="I44" s="16" t="e">
        <f t="shared" si="1"/>
        <v>#N/A</v>
      </c>
      <c r="J44" s="16"/>
      <c r="K44" s="16"/>
      <c r="L44" s="16"/>
      <c r="M44" s="16"/>
      <c r="N44" s="16">
        <f t="shared" si="2"/>
        <v>0</v>
      </c>
      <c r="O44" s="16" t="e">
        <f t="shared" si="3"/>
        <v>#N/A</v>
      </c>
      <c r="P44" s="16">
        <v>6.9444444444444397E-3</v>
      </c>
      <c r="Q44" s="16"/>
      <c r="R44" s="16">
        <f t="shared" si="4"/>
        <v>-6.9444444444444397E-3</v>
      </c>
      <c r="S44" s="16"/>
      <c r="T44" s="16" t="e">
        <f>VLOOKUP(E44,'[2]21-3-2026'!E$3:T$35,16,FALSE)</f>
        <v>#N/A</v>
      </c>
      <c r="U44" s="16"/>
      <c r="V44" s="16" t="e">
        <f t="shared" si="5"/>
        <v>#N/A</v>
      </c>
      <c r="W44" s="16"/>
      <c r="X44" s="16"/>
      <c r="Y44" s="16"/>
      <c r="Z44" s="16">
        <f t="shared" si="6"/>
        <v>0</v>
      </c>
      <c r="AA44" s="16">
        <f t="shared" si="0"/>
        <v>0</v>
      </c>
      <c r="AB44" s="16"/>
      <c r="AC44" s="17"/>
      <c r="AD44" s="51"/>
    </row>
    <row r="45" spans="1:30" ht="19.5" thickBot="1" x14ac:dyDescent="0.3">
      <c r="A45" s="14">
        <v>10</v>
      </c>
      <c r="B45" s="15"/>
      <c r="C45" s="15" t="e">
        <f>VLOOKUP(B45,داتا!$B$3:$D$107,2,FALSE)</f>
        <v>#N/A</v>
      </c>
      <c r="D45" s="34" t="e">
        <f>VLOOKUP(B45,داتا!$B$3:$D$107,3,FALSE)</f>
        <v>#N/A</v>
      </c>
      <c r="E45" s="15"/>
      <c r="F45" s="15"/>
      <c r="G45" s="16">
        <v>0.25</v>
      </c>
      <c r="H45" s="16" t="e">
        <f t="shared" si="7"/>
        <v>#N/A</v>
      </c>
      <c r="I45" s="16" t="e">
        <f t="shared" si="1"/>
        <v>#N/A</v>
      </c>
      <c r="J45" s="16"/>
      <c r="K45" s="16"/>
      <c r="L45" s="16"/>
      <c r="M45" s="16"/>
      <c r="N45" s="16">
        <f t="shared" si="2"/>
        <v>0</v>
      </c>
      <c r="O45" s="16" t="e">
        <f t="shared" si="3"/>
        <v>#N/A</v>
      </c>
      <c r="P45" s="16">
        <v>6.9444444444444397E-3</v>
      </c>
      <c r="Q45" s="16"/>
      <c r="R45" s="16">
        <f t="shared" si="4"/>
        <v>-6.9444444444444397E-3</v>
      </c>
      <c r="S45" s="16"/>
      <c r="T45" s="16" t="e">
        <f>VLOOKUP(E45,'[2]21-3-2026'!E$3:T$35,16,FALSE)</f>
        <v>#N/A</v>
      </c>
      <c r="U45" s="16"/>
      <c r="V45" s="16" t="e">
        <f t="shared" si="5"/>
        <v>#N/A</v>
      </c>
      <c r="W45" s="16"/>
      <c r="X45" s="16"/>
      <c r="Y45" s="16"/>
      <c r="Z45" s="16">
        <f t="shared" si="6"/>
        <v>0</v>
      </c>
      <c r="AA45" s="16">
        <f t="shared" si="0"/>
        <v>0</v>
      </c>
      <c r="AB45" s="16"/>
      <c r="AC45" s="17"/>
      <c r="AD45" s="51"/>
    </row>
    <row r="46" spans="1:30" ht="19.5" thickBot="1" x14ac:dyDescent="0.3">
      <c r="A46" s="14">
        <v>11</v>
      </c>
      <c r="B46" s="15"/>
      <c r="C46" s="15" t="e">
        <f>VLOOKUP(B46,داتا!$B$3:$D$107,2,FALSE)</f>
        <v>#N/A</v>
      </c>
      <c r="D46" s="34" t="e">
        <f>VLOOKUP(B46,داتا!$B$3:$D$107,3,FALSE)</f>
        <v>#N/A</v>
      </c>
      <c r="E46" s="15"/>
      <c r="F46" s="15"/>
      <c r="G46" s="16">
        <v>0.25</v>
      </c>
      <c r="H46" s="16" t="e">
        <f t="shared" si="7"/>
        <v>#N/A</v>
      </c>
      <c r="I46" s="16" t="e">
        <f t="shared" si="1"/>
        <v>#N/A</v>
      </c>
      <c r="J46" s="16"/>
      <c r="K46" s="16"/>
      <c r="L46" s="16"/>
      <c r="M46" s="16"/>
      <c r="N46" s="16">
        <f t="shared" si="2"/>
        <v>0</v>
      </c>
      <c r="O46" s="16" t="e">
        <f t="shared" si="3"/>
        <v>#N/A</v>
      </c>
      <c r="P46" s="16">
        <v>6.9444444444444397E-3</v>
      </c>
      <c r="Q46" s="16"/>
      <c r="R46" s="16">
        <f t="shared" si="4"/>
        <v>-6.9444444444444397E-3</v>
      </c>
      <c r="S46" s="16"/>
      <c r="T46" s="16" t="e">
        <f>VLOOKUP(E46,'[2]21-3-2026'!E$3:T$35,16,FALSE)</f>
        <v>#N/A</v>
      </c>
      <c r="U46" s="16"/>
      <c r="V46" s="16" t="e">
        <f t="shared" si="5"/>
        <v>#N/A</v>
      </c>
      <c r="W46" s="16"/>
      <c r="X46" s="16"/>
      <c r="Y46" s="16"/>
      <c r="Z46" s="16">
        <f t="shared" si="6"/>
        <v>0</v>
      </c>
      <c r="AA46" s="16">
        <f t="shared" si="0"/>
        <v>0</v>
      </c>
      <c r="AB46" s="16"/>
      <c r="AC46" s="17"/>
      <c r="AD46" s="51"/>
    </row>
    <row r="47" spans="1:30" ht="19.5" thickBot="1" x14ac:dyDescent="0.3">
      <c r="A47" s="14">
        <v>12</v>
      </c>
      <c r="B47" s="15"/>
      <c r="C47" s="15" t="e">
        <f>VLOOKUP(B47,داتا!$B$3:$D$107,2,FALSE)</f>
        <v>#N/A</v>
      </c>
      <c r="D47" s="34" t="e">
        <f>VLOOKUP(B47,داتا!$B$3:$D$107,3,FALSE)</f>
        <v>#N/A</v>
      </c>
      <c r="E47" s="15"/>
      <c r="F47" s="15"/>
      <c r="G47" s="16">
        <v>0.25</v>
      </c>
      <c r="H47" s="16" t="e">
        <f t="shared" si="7"/>
        <v>#N/A</v>
      </c>
      <c r="I47" s="16" t="e">
        <f t="shared" si="1"/>
        <v>#N/A</v>
      </c>
      <c r="J47" s="16"/>
      <c r="K47" s="16"/>
      <c r="L47" s="16"/>
      <c r="M47" s="16"/>
      <c r="N47" s="16">
        <f t="shared" si="2"/>
        <v>0</v>
      </c>
      <c r="O47" s="16" t="e">
        <f t="shared" si="3"/>
        <v>#N/A</v>
      </c>
      <c r="P47" s="16">
        <v>6.9444444444444397E-3</v>
      </c>
      <c r="Q47" s="16"/>
      <c r="R47" s="16">
        <f t="shared" si="4"/>
        <v>-6.9444444444444397E-3</v>
      </c>
      <c r="S47" s="16"/>
      <c r="T47" s="16" t="e">
        <f>VLOOKUP(E47,'[2]21-3-2026'!E$3:T$35,16,FALSE)</f>
        <v>#N/A</v>
      </c>
      <c r="U47" s="16"/>
      <c r="V47" s="16" t="e">
        <f t="shared" si="5"/>
        <v>#N/A</v>
      </c>
      <c r="W47" s="16"/>
      <c r="X47" s="16"/>
      <c r="Y47" s="16"/>
      <c r="Z47" s="16">
        <f t="shared" si="6"/>
        <v>0</v>
      </c>
      <c r="AA47" s="16">
        <f t="shared" si="0"/>
        <v>0</v>
      </c>
      <c r="AB47" s="16"/>
      <c r="AC47" s="17"/>
      <c r="AD47" s="51"/>
    </row>
    <row r="48" spans="1:30" ht="19.5" thickBot="1" x14ac:dyDescent="0.3">
      <c r="A48" s="14">
        <v>13</v>
      </c>
      <c r="B48" s="15"/>
      <c r="C48" s="15" t="e">
        <f>VLOOKUP(B48,داتا!$B$3:$D$107,2,FALSE)</f>
        <v>#N/A</v>
      </c>
      <c r="D48" s="34" t="e">
        <f>VLOOKUP(B48,داتا!$B$3:$D$107,3,FALSE)</f>
        <v>#N/A</v>
      </c>
      <c r="E48" s="15"/>
      <c r="F48" s="15"/>
      <c r="G48" s="16">
        <v>0.25</v>
      </c>
      <c r="H48" s="16" t="e">
        <f t="shared" si="7"/>
        <v>#N/A</v>
      </c>
      <c r="I48" s="16" t="e">
        <f t="shared" si="1"/>
        <v>#N/A</v>
      </c>
      <c r="J48" s="16"/>
      <c r="K48" s="16"/>
      <c r="L48" s="16"/>
      <c r="M48" s="16"/>
      <c r="N48" s="16">
        <f t="shared" si="2"/>
        <v>0</v>
      </c>
      <c r="O48" s="16" t="e">
        <f t="shared" si="3"/>
        <v>#N/A</v>
      </c>
      <c r="P48" s="16">
        <v>6.9444444444444397E-3</v>
      </c>
      <c r="Q48" s="16"/>
      <c r="R48" s="16">
        <f t="shared" si="4"/>
        <v>-6.9444444444444397E-3</v>
      </c>
      <c r="S48" s="16"/>
      <c r="T48" s="16" t="e">
        <f>VLOOKUP(E48,'[2]21-3-2026'!E$3:T$35,16,FALSE)</f>
        <v>#N/A</v>
      </c>
      <c r="U48" s="16"/>
      <c r="V48" s="16" t="e">
        <f t="shared" si="5"/>
        <v>#N/A</v>
      </c>
      <c r="W48" s="16"/>
      <c r="X48" s="16"/>
      <c r="Y48" s="16"/>
      <c r="Z48" s="16">
        <f t="shared" si="6"/>
        <v>0</v>
      </c>
      <c r="AA48" s="16">
        <f t="shared" si="0"/>
        <v>0</v>
      </c>
      <c r="AB48" s="16"/>
      <c r="AC48" s="17"/>
      <c r="AD48" s="51"/>
    </row>
    <row r="49" spans="1:30" ht="19.5" thickBot="1" x14ac:dyDescent="0.3">
      <c r="A49" s="14">
        <v>14</v>
      </c>
      <c r="B49" s="15"/>
      <c r="C49" s="15" t="e">
        <f>VLOOKUP(B49,داتا!$B$3:$D$107,2,FALSE)</f>
        <v>#N/A</v>
      </c>
      <c r="D49" s="34" t="e">
        <f>VLOOKUP(B49,داتا!$B$3:$D$107,3,FALSE)</f>
        <v>#N/A</v>
      </c>
      <c r="E49" s="15"/>
      <c r="F49" s="15"/>
      <c r="G49" s="16">
        <v>0.25</v>
      </c>
      <c r="H49" s="16" t="e">
        <f t="shared" si="7"/>
        <v>#N/A</v>
      </c>
      <c r="I49" s="16" t="e">
        <f t="shared" si="1"/>
        <v>#N/A</v>
      </c>
      <c r="J49" s="16"/>
      <c r="K49" s="16"/>
      <c r="L49" s="16"/>
      <c r="M49" s="16"/>
      <c r="N49" s="16">
        <f t="shared" si="2"/>
        <v>0</v>
      </c>
      <c r="O49" s="16" t="e">
        <f t="shared" si="3"/>
        <v>#N/A</v>
      </c>
      <c r="P49" s="16">
        <v>6.9444444444444397E-3</v>
      </c>
      <c r="Q49" s="16"/>
      <c r="R49" s="16">
        <f t="shared" si="4"/>
        <v>-6.9444444444444397E-3</v>
      </c>
      <c r="S49" s="16"/>
      <c r="T49" s="16" t="e">
        <f>VLOOKUP(E49,'[2]21-3-2026'!E$3:T$35,16,FALSE)</f>
        <v>#N/A</v>
      </c>
      <c r="U49" s="16"/>
      <c r="V49" s="16" t="e">
        <f t="shared" si="5"/>
        <v>#N/A</v>
      </c>
      <c r="W49" s="16"/>
      <c r="X49" s="16"/>
      <c r="Y49" s="16"/>
      <c r="Z49" s="16">
        <f t="shared" si="6"/>
        <v>0</v>
      </c>
      <c r="AA49" s="16">
        <f t="shared" si="0"/>
        <v>0</v>
      </c>
      <c r="AB49" s="16"/>
      <c r="AC49" s="17"/>
      <c r="AD49" s="51"/>
    </row>
    <row r="50" spans="1:30" ht="19.5" thickBot="1" x14ac:dyDescent="0.3">
      <c r="A50" s="14">
        <v>15</v>
      </c>
      <c r="B50" s="15"/>
      <c r="C50" s="15" t="e">
        <f>VLOOKUP(B50,داتا!$B$3:$D$107,2,FALSE)</f>
        <v>#N/A</v>
      </c>
      <c r="D50" s="34" t="e">
        <f>VLOOKUP(B50,داتا!$B$3:$D$107,3,FALSE)</f>
        <v>#N/A</v>
      </c>
      <c r="E50" s="15"/>
      <c r="F50" s="15"/>
      <c r="G50" s="16">
        <v>0.25</v>
      </c>
      <c r="H50" s="16" t="e">
        <f t="shared" si="7"/>
        <v>#N/A</v>
      </c>
      <c r="I50" s="16" t="e">
        <f t="shared" si="1"/>
        <v>#N/A</v>
      </c>
      <c r="J50" s="16"/>
      <c r="K50" s="16"/>
      <c r="L50" s="16"/>
      <c r="M50" s="16"/>
      <c r="N50" s="16">
        <f t="shared" si="2"/>
        <v>0</v>
      </c>
      <c r="O50" s="16" t="e">
        <f t="shared" si="3"/>
        <v>#N/A</v>
      </c>
      <c r="P50" s="16">
        <v>6.9444444444444397E-3</v>
      </c>
      <c r="Q50" s="16"/>
      <c r="R50" s="16">
        <f t="shared" si="4"/>
        <v>-6.9444444444444397E-3</v>
      </c>
      <c r="S50" s="16"/>
      <c r="T50" s="16" t="e">
        <f>VLOOKUP(E50,'[2]21-3-2026'!E$3:T$35,16,FALSE)</f>
        <v>#N/A</v>
      </c>
      <c r="U50" s="16"/>
      <c r="V50" s="16" t="e">
        <f t="shared" si="5"/>
        <v>#N/A</v>
      </c>
      <c r="W50" s="16"/>
      <c r="X50" s="16"/>
      <c r="Y50" s="16"/>
      <c r="Z50" s="16">
        <f t="shared" si="6"/>
        <v>0</v>
      </c>
      <c r="AA50" s="16">
        <f t="shared" si="0"/>
        <v>0</v>
      </c>
      <c r="AB50" s="16"/>
      <c r="AC50" s="17"/>
      <c r="AD50" s="51"/>
    </row>
    <row r="51" spans="1:30" ht="19.5" thickBot="1" x14ac:dyDescent="0.3">
      <c r="A51" s="14">
        <v>16</v>
      </c>
      <c r="B51" s="15"/>
      <c r="C51" s="15" t="e">
        <f>VLOOKUP(B51,داتا!$B$3:$D$107,2,FALSE)</f>
        <v>#N/A</v>
      </c>
      <c r="D51" s="34" t="e">
        <f>VLOOKUP(B51,داتا!$B$3:$D$107,3,FALSE)</f>
        <v>#N/A</v>
      </c>
      <c r="E51" s="15"/>
      <c r="F51" s="15"/>
      <c r="G51" s="16">
        <v>0.25</v>
      </c>
      <c r="H51" s="16" t="e">
        <f t="shared" si="7"/>
        <v>#N/A</v>
      </c>
      <c r="I51" s="16" t="e">
        <f t="shared" si="1"/>
        <v>#N/A</v>
      </c>
      <c r="J51" s="16"/>
      <c r="K51" s="16"/>
      <c r="L51" s="16"/>
      <c r="M51" s="16"/>
      <c r="N51" s="16">
        <f t="shared" si="2"/>
        <v>0</v>
      </c>
      <c r="O51" s="16" t="e">
        <f t="shared" si="3"/>
        <v>#N/A</v>
      </c>
      <c r="P51" s="16">
        <v>6.9444444444444397E-3</v>
      </c>
      <c r="Q51" s="16"/>
      <c r="R51" s="16">
        <f t="shared" si="4"/>
        <v>-6.9444444444444397E-3</v>
      </c>
      <c r="S51" s="16"/>
      <c r="T51" s="16" t="e">
        <f>VLOOKUP(E51,'[2]21-3-2026'!E$3:T$35,16,FALSE)</f>
        <v>#N/A</v>
      </c>
      <c r="U51" s="16"/>
      <c r="V51" s="16" t="e">
        <f t="shared" si="5"/>
        <v>#N/A</v>
      </c>
      <c r="W51" s="16"/>
      <c r="X51" s="16"/>
      <c r="Y51" s="16"/>
      <c r="Z51" s="16">
        <f t="shared" si="6"/>
        <v>0</v>
      </c>
      <c r="AA51" s="16">
        <f t="shared" si="0"/>
        <v>0</v>
      </c>
      <c r="AB51" s="16"/>
      <c r="AC51" s="17"/>
      <c r="AD51" s="51"/>
    </row>
    <row r="52" spans="1:30" ht="19.5" thickBot="1" x14ac:dyDescent="0.3">
      <c r="A52" s="14">
        <v>17</v>
      </c>
      <c r="B52" s="15"/>
      <c r="C52" s="15" t="e">
        <f>VLOOKUP(B52,داتا!$B$3:$D$107,2,FALSE)</f>
        <v>#N/A</v>
      </c>
      <c r="D52" s="34" t="e">
        <f>VLOOKUP(B52,داتا!$B$3:$D$107,3,FALSE)</f>
        <v>#N/A</v>
      </c>
      <c r="E52" s="15"/>
      <c r="F52" s="15"/>
      <c r="G52" s="16">
        <v>0.25</v>
      </c>
      <c r="H52" s="16" t="e">
        <f t="shared" si="7"/>
        <v>#N/A</v>
      </c>
      <c r="I52" s="16" t="e">
        <f t="shared" si="1"/>
        <v>#N/A</v>
      </c>
      <c r="J52" s="16"/>
      <c r="K52" s="16"/>
      <c r="L52" s="16"/>
      <c r="M52" s="16"/>
      <c r="N52" s="16">
        <f t="shared" si="2"/>
        <v>0</v>
      </c>
      <c r="O52" s="16" t="e">
        <f t="shared" si="3"/>
        <v>#N/A</v>
      </c>
      <c r="P52" s="16">
        <v>6.9444444444444397E-3</v>
      </c>
      <c r="Q52" s="16"/>
      <c r="R52" s="16">
        <f t="shared" si="4"/>
        <v>-6.9444444444444397E-3</v>
      </c>
      <c r="S52" s="16"/>
      <c r="T52" s="16" t="e">
        <f>VLOOKUP(E52,'[2]21-3-2026'!E$3:T$35,16,FALSE)</f>
        <v>#N/A</v>
      </c>
      <c r="U52" s="16"/>
      <c r="V52" s="16" t="e">
        <f t="shared" si="5"/>
        <v>#N/A</v>
      </c>
      <c r="W52" s="16"/>
      <c r="X52" s="16"/>
      <c r="Y52" s="16"/>
      <c r="Z52" s="16">
        <f t="shared" si="6"/>
        <v>0</v>
      </c>
      <c r="AA52" s="16">
        <f t="shared" si="0"/>
        <v>0</v>
      </c>
      <c r="AB52" s="16"/>
      <c r="AC52" s="17"/>
      <c r="AD52" s="51"/>
    </row>
    <row r="53" spans="1:30" ht="19.5" thickBot="1" x14ac:dyDescent="0.3">
      <c r="A53" s="14">
        <v>18</v>
      </c>
      <c r="B53" s="15"/>
      <c r="C53" s="15" t="e">
        <f>VLOOKUP(B53,داتا!$B$3:$D$107,2,FALSE)</f>
        <v>#N/A</v>
      </c>
      <c r="D53" s="34" t="e">
        <f>VLOOKUP(B53,داتا!$B$3:$D$107,3,FALSE)</f>
        <v>#N/A</v>
      </c>
      <c r="E53" s="15"/>
      <c r="F53" s="15"/>
      <c r="G53" s="16">
        <v>0.25</v>
      </c>
      <c r="H53" s="16" t="e">
        <f t="shared" ref="H53:H68" si="8">VLOOKUP(G53,$F$3:$I$35,2,FALSE)</f>
        <v>#N/A</v>
      </c>
      <c r="I53" s="16" t="e">
        <f t="shared" si="1"/>
        <v>#N/A</v>
      </c>
      <c r="J53" s="16"/>
      <c r="K53" s="16"/>
      <c r="L53" s="16"/>
      <c r="M53" s="16"/>
      <c r="N53" s="16">
        <f t="shared" si="2"/>
        <v>0</v>
      </c>
      <c r="O53" s="16" t="e">
        <f t="shared" si="3"/>
        <v>#N/A</v>
      </c>
      <c r="P53" s="16">
        <v>6.9444444444444397E-3</v>
      </c>
      <c r="Q53" s="16"/>
      <c r="R53" s="16">
        <f t="shared" si="4"/>
        <v>-6.9444444444444397E-3</v>
      </c>
      <c r="S53" s="16"/>
      <c r="T53" s="16" t="e">
        <f>VLOOKUP(E53,'[2]21-3-2026'!E$3:T$35,16,FALSE)</f>
        <v>#N/A</v>
      </c>
      <c r="U53" s="16"/>
      <c r="V53" s="16" t="e">
        <f t="shared" si="5"/>
        <v>#N/A</v>
      </c>
      <c r="W53" s="16"/>
      <c r="X53" s="16"/>
      <c r="Y53" s="16"/>
      <c r="Z53" s="16">
        <f t="shared" si="6"/>
        <v>0</v>
      </c>
      <c r="AA53" s="16">
        <f t="shared" si="0"/>
        <v>0</v>
      </c>
      <c r="AB53" s="16"/>
      <c r="AC53" s="17"/>
      <c r="AD53" s="51"/>
    </row>
    <row r="54" spans="1:30" ht="19.5" thickBot="1" x14ac:dyDescent="0.3">
      <c r="A54" s="14">
        <v>19</v>
      </c>
      <c r="B54" s="15"/>
      <c r="C54" s="15" t="e">
        <f>VLOOKUP(B54,داتا!$B$3:$D$107,2,FALSE)</f>
        <v>#N/A</v>
      </c>
      <c r="D54" s="34" t="e">
        <f>VLOOKUP(B54,داتا!$B$3:$D$107,3,FALSE)</f>
        <v>#N/A</v>
      </c>
      <c r="E54" s="15"/>
      <c r="F54" s="15"/>
      <c r="G54" s="16">
        <v>0.25</v>
      </c>
      <c r="H54" s="16" t="e">
        <f t="shared" si="8"/>
        <v>#N/A</v>
      </c>
      <c r="I54" s="16" t="e">
        <f t="shared" si="1"/>
        <v>#N/A</v>
      </c>
      <c r="J54" s="16"/>
      <c r="K54" s="16"/>
      <c r="L54" s="16"/>
      <c r="M54" s="16"/>
      <c r="N54" s="16">
        <f t="shared" si="2"/>
        <v>0</v>
      </c>
      <c r="O54" s="16" t="e">
        <f t="shared" si="3"/>
        <v>#N/A</v>
      </c>
      <c r="P54" s="16">
        <v>6.9444444444444397E-3</v>
      </c>
      <c r="Q54" s="16"/>
      <c r="R54" s="16">
        <f t="shared" si="4"/>
        <v>-6.9444444444444397E-3</v>
      </c>
      <c r="S54" s="16"/>
      <c r="T54" s="16" t="e">
        <f>VLOOKUP(E54,'[2]21-3-2026'!E$3:T$35,16,FALSE)</f>
        <v>#N/A</v>
      </c>
      <c r="U54" s="16"/>
      <c r="V54" s="16" t="e">
        <f t="shared" si="5"/>
        <v>#N/A</v>
      </c>
      <c r="W54" s="16"/>
      <c r="X54" s="16"/>
      <c r="Y54" s="16"/>
      <c r="Z54" s="16">
        <f t="shared" si="6"/>
        <v>0</v>
      </c>
      <c r="AA54" s="16">
        <f t="shared" si="0"/>
        <v>0</v>
      </c>
      <c r="AB54" s="16"/>
      <c r="AC54" s="17"/>
      <c r="AD54" s="51"/>
    </row>
    <row r="55" spans="1:30" ht="19.5" thickBot="1" x14ac:dyDescent="0.3">
      <c r="A55" s="14">
        <v>20</v>
      </c>
      <c r="B55" s="15"/>
      <c r="C55" s="15" t="e">
        <f>VLOOKUP(B55,داتا!$B$3:$D$107,2,FALSE)</f>
        <v>#N/A</v>
      </c>
      <c r="D55" s="34" t="e">
        <f>VLOOKUP(B55,داتا!$B$3:$D$107,3,FALSE)</f>
        <v>#N/A</v>
      </c>
      <c r="E55" s="15"/>
      <c r="F55" s="15"/>
      <c r="G55" s="16">
        <v>0.25</v>
      </c>
      <c r="H55" s="16" t="e">
        <f t="shared" si="8"/>
        <v>#N/A</v>
      </c>
      <c r="I55" s="16" t="e">
        <f t="shared" si="1"/>
        <v>#N/A</v>
      </c>
      <c r="J55" s="16"/>
      <c r="K55" s="16"/>
      <c r="L55" s="16"/>
      <c r="M55" s="16"/>
      <c r="N55" s="16">
        <f t="shared" si="2"/>
        <v>0</v>
      </c>
      <c r="O55" s="16" t="e">
        <f t="shared" si="3"/>
        <v>#N/A</v>
      </c>
      <c r="P55" s="16">
        <v>6.9444444444444397E-3</v>
      </c>
      <c r="Q55" s="16"/>
      <c r="R55" s="16">
        <f t="shared" si="4"/>
        <v>-6.9444444444444397E-3</v>
      </c>
      <c r="S55" s="16"/>
      <c r="T55" s="16" t="e">
        <f>VLOOKUP(E55,'[2]21-3-2026'!E$3:T$35,16,FALSE)</f>
        <v>#N/A</v>
      </c>
      <c r="U55" s="16"/>
      <c r="V55" s="16" t="e">
        <f t="shared" si="5"/>
        <v>#N/A</v>
      </c>
      <c r="W55" s="16"/>
      <c r="X55" s="16"/>
      <c r="Y55" s="16"/>
      <c r="Z55" s="16">
        <f t="shared" si="6"/>
        <v>0</v>
      </c>
      <c r="AA55" s="16">
        <f t="shared" si="0"/>
        <v>0</v>
      </c>
      <c r="AB55" s="16"/>
      <c r="AC55" s="17"/>
      <c r="AD55" s="51"/>
    </row>
    <row r="56" spans="1:30" ht="19.5" thickBot="1" x14ac:dyDescent="0.3">
      <c r="A56" s="14">
        <v>21</v>
      </c>
      <c r="B56" s="15"/>
      <c r="C56" s="15" t="e">
        <f>VLOOKUP(B56,داتا!$B$3:$D$107,2,FALSE)</f>
        <v>#N/A</v>
      </c>
      <c r="D56" s="34" t="e">
        <f>VLOOKUP(B56,داتا!$B$3:$D$107,3,FALSE)</f>
        <v>#N/A</v>
      </c>
      <c r="E56" s="15"/>
      <c r="F56" s="15"/>
      <c r="G56" s="16">
        <v>0.25</v>
      </c>
      <c r="H56" s="16" t="e">
        <f t="shared" si="8"/>
        <v>#N/A</v>
      </c>
      <c r="I56" s="16" t="e">
        <f t="shared" si="1"/>
        <v>#N/A</v>
      </c>
      <c r="J56" s="16"/>
      <c r="K56" s="16"/>
      <c r="L56" s="15"/>
      <c r="M56" s="15"/>
      <c r="N56" s="16">
        <f t="shared" si="2"/>
        <v>0</v>
      </c>
      <c r="O56" s="16" t="e">
        <f t="shared" si="3"/>
        <v>#N/A</v>
      </c>
      <c r="P56" s="16">
        <v>6.9444444444444397E-3</v>
      </c>
      <c r="Q56" s="16"/>
      <c r="R56" s="16">
        <f t="shared" si="4"/>
        <v>-6.9444444444444397E-3</v>
      </c>
      <c r="S56" s="16"/>
      <c r="T56" s="16" t="e">
        <f>VLOOKUP(E56,'[2]21-3-2026'!E$3:T$35,16,FALSE)</f>
        <v>#N/A</v>
      </c>
      <c r="U56" s="16"/>
      <c r="V56" s="16" t="e">
        <f t="shared" si="5"/>
        <v>#N/A</v>
      </c>
      <c r="W56" s="16"/>
      <c r="X56" s="16"/>
      <c r="Y56" s="16"/>
      <c r="Z56" s="16">
        <f t="shared" si="6"/>
        <v>0</v>
      </c>
      <c r="AA56" s="16">
        <f t="shared" si="0"/>
        <v>0</v>
      </c>
      <c r="AB56" s="16"/>
      <c r="AC56" s="17"/>
      <c r="AD56" s="51"/>
    </row>
    <row r="57" spans="1:30" ht="19.5" thickBot="1" x14ac:dyDescent="0.3">
      <c r="A57" s="14">
        <v>22</v>
      </c>
      <c r="B57" s="15"/>
      <c r="C57" s="15" t="e">
        <f>VLOOKUP(B57,داتا!$B$3:$D$107,2,FALSE)</f>
        <v>#N/A</v>
      </c>
      <c r="D57" s="34" t="e">
        <f>VLOOKUP(B57,داتا!$B$3:$D$107,3,FALSE)</f>
        <v>#N/A</v>
      </c>
      <c r="E57" s="15"/>
      <c r="F57" s="15"/>
      <c r="G57" s="16">
        <v>0.25</v>
      </c>
      <c r="H57" s="16" t="e">
        <f t="shared" si="8"/>
        <v>#N/A</v>
      </c>
      <c r="I57" s="16" t="e">
        <f t="shared" si="1"/>
        <v>#N/A</v>
      </c>
      <c r="J57" s="16"/>
      <c r="K57" s="16"/>
      <c r="L57" s="15"/>
      <c r="M57" s="15"/>
      <c r="N57" s="16">
        <f t="shared" si="2"/>
        <v>0</v>
      </c>
      <c r="O57" s="16" t="e">
        <f t="shared" si="3"/>
        <v>#N/A</v>
      </c>
      <c r="P57" s="16">
        <v>6.9444444444444397E-3</v>
      </c>
      <c r="Q57" s="16"/>
      <c r="R57" s="16">
        <f t="shared" si="4"/>
        <v>-6.9444444444444397E-3</v>
      </c>
      <c r="S57" s="16"/>
      <c r="T57" s="16" t="e">
        <f>VLOOKUP(E57,'[2]21-3-2026'!E$3:T$35,16,FALSE)</f>
        <v>#N/A</v>
      </c>
      <c r="U57" s="16"/>
      <c r="V57" s="16" t="e">
        <f t="shared" si="5"/>
        <v>#N/A</v>
      </c>
      <c r="W57" s="16"/>
      <c r="X57" s="16"/>
      <c r="Y57" s="16"/>
      <c r="Z57" s="16">
        <f t="shared" si="6"/>
        <v>0</v>
      </c>
      <c r="AA57" s="16">
        <f t="shared" si="0"/>
        <v>0</v>
      </c>
      <c r="AB57" s="16"/>
      <c r="AC57" s="17"/>
      <c r="AD57" s="51"/>
    </row>
    <row r="58" spans="1:30" ht="19.5" thickBot="1" x14ac:dyDescent="0.3">
      <c r="A58" s="14">
        <v>23</v>
      </c>
      <c r="B58" s="15"/>
      <c r="C58" s="15" t="e">
        <f>VLOOKUP(B58,داتا!$B$3:$D$107,2,FALSE)</f>
        <v>#N/A</v>
      </c>
      <c r="D58" s="34" t="e">
        <f>VLOOKUP(B58,داتا!$B$3:$D$107,3,FALSE)</f>
        <v>#N/A</v>
      </c>
      <c r="E58" s="15"/>
      <c r="F58" s="15"/>
      <c r="G58" s="16">
        <v>0.25</v>
      </c>
      <c r="H58" s="16" t="e">
        <f t="shared" si="8"/>
        <v>#N/A</v>
      </c>
      <c r="I58" s="16" t="e">
        <f t="shared" si="1"/>
        <v>#N/A</v>
      </c>
      <c r="J58" s="16"/>
      <c r="K58" s="16"/>
      <c r="L58" s="16"/>
      <c r="M58" s="16"/>
      <c r="N58" s="16">
        <f t="shared" si="2"/>
        <v>0</v>
      </c>
      <c r="O58" s="16" t="e">
        <f t="shared" si="3"/>
        <v>#N/A</v>
      </c>
      <c r="P58" s="16">
        <v>6.9444444444444397E-3</v>
      </c>
      <c r="Q58" s="16"/>
      <c r="R58" s="16">
        <f t="shared" si="4"/>
        <v>-6.9444444444444397E-3</v>
      </c>
      <c r="S58" s="16"/>
      <c r="T58" s="16" t="e">
        <f>VLOOKUP(E58,'[2]21-3-2026'!E$3:T$35,16,FALSE)</f>
        <v>#N/A</v>
      </c>
      <c r="U58" s="16"/>
      <c r="V58" s="16" t="e">
        <f t="shared" si="5"/>
        <v>#N/A</v>
      </c>
      <c r="W58" s="16"/>
      <c r="X58" s="16"/>
      <c r="Y58" s="16"/>
      <c r="Z58" s="16">
        <f t="shared" si="6"/>
        <v>0</v>
      </c>
      <c r="AA58" s="16">
        <f t="shared" si="0"/>
        <v>0</v>
      </c>
      <c r="AB58" s="16"/>
      <c r="AC58" s="17"/>
      <c r="AD58" s="51"/>
    </row>
    <row r="59" spans="1:30" ht="19.5" thickBot="1" x14ac:dyDescent="0.3">
      <c r="A59" s="14">
        <v>24</v>
      </c>
      <c r="B59" s="15"/>
      <c r="C59" s="15" t="e">
        <f>VLOOKUP(B59,داتا!$B$3:$D$107,2,FALSE)</f>
        <v>#N/A</v>
      </c>
      <c r="D59" s="34" t="e">
        <f>VLOOKUP(B59,داتا!$B$3:$D$107,3,FALSE)</f>
        <v>#N/A</v>
      </c>
      <c r="E59" s="16"/>
      <c r="F59" s="15"/>
      <c r="G59" s="16">
        <v>0.25</v>
      </c>
      <c r="H59" s="16" t="e">
        <f t="shared" si="8"/>
        <v>#N/A</v>
      </c>
      <c r="I59" s="16" t="e">
        <f t="shared" si="1"/>
        <v>#N/A</v>
      </c>
      <c r="J59" s="16"/>
      <c r="K59" s="16"/>
      <c r="L59" s="15"/>
      <c r="M59" s="15"/>
      <c r="N59" s="16">
        <f t="shared" si="2"/>
        <v>0</v>
      </c>
      <c r="O59" s="16" t="e">
        <f t="shared" si="3"/>
        <v>#N/A</v>
      </c>
      <c r="P59" s="16">
        <v>6.9444444444444397E-3</v>
      </c>
      <c r="Q59" s="16"/>
      <c r="R59" s="16">
        <f t="shared" si="4"/>
        <v>-6.9444444444444397E-3</v>
      </c>
      <c r="S59" s="16"/>
      <c r="T59" s="16" t="e">
        <f>VLOOKUP(E59,'[2]21-3-2026'!E$3:T$35,16,FALSE)</f>
        <v>#N/A</v>
      </c>
      <c r="U59" s="16"/>
      <c r="V59" s="16" t="e">
        <f t="shared" si="5"/>
        <v>#N/A</v>
      </c>
      <c r="W59" s="16"/>
      <c r="X59" s="16"/>
      <c r="Y59" s="16"/>
      <c r="Z59" s="16">
        <f t="shared" si="6"/>
        <v>0</v>
      </c>
      <c r="AA59" s="16">
        <f t="shared" si="0"/>
        <v>0</v>
      </c>
      <c r="AB59" s="16"/>
      <c r="AC59" s="17"/>
      <c r="AD59" s="51"/>
    </row>
    <row r="60" spans="1:30" ht="19.5" thickBot="1" x14ac:dyDescent="0.3">
      <c r="A60" s="14">
        <v>25</v>
      </c>
      <c r="B60" s="15"/>
      <c r="C60" s="15" t="e">
        <f>VLOOKUP(B60,داتا!$B$3:$D$107,2,FALSE)</f>
        <v>#N/A</v>
      </c>
      <c r="D60" s="34" t="e">
        <f>VLOOKUP(B60,داتا!$B$3:$D$107,3,FALSE)</f>
        <v>#N/A</v>
      </c>
      <c r="E60" s="15"/>
      <c r="F60" s="15"/>
      <c r="G60" s="16">
        <v>0.25</v>
      </c>
      <c r="H60" s="16" t="e">
        <f t="shared" si="8"/>
        <v>#N/A</v>
      </c>
      <c r="I60" s="16" t="e">
        <f t="shared" si="1"/>
        <v>#N/A</v>
      </c>
      <c r="J60" s="16"/>
      <c r="K60" s="16"/>
      <c r="L60" s="16"/>
      <c r="M60" s="16"/>
      <c r="N60" s="16">
        <f t="shared" si="2"/>
        <v>0</v>
      </c>
      <c r="O60" s="16" t="e">
        <f t="shared" si="3"/>
        <v>#N/A</v>
      </c>
      <c r="P60" s="16">
        <v>6.9444444444444397E-3</v>
      </c>
      <c r="Q60" s="16"/>
      <c r="R60" s="16">
        <f t="shared" si="4"/>
        <v>-6.9444444444444397E-3</v>
      </c>
      <c r="S60" s="16"/>
      <c r="T60" s="16" t="e">
        <f>VLOOKUP(E60,'[2]21-3-2026'!E$3:T$35,16,FALSE)</f>
        <v>#N/A</v>
      </c>
      <c r="U60" s="16"/>
      <c r="V60" s="16" t="e">
        <f t="shared" si="5"/>
        <v>#N/A</v>
      </c>
      <c r="W60" s="16"/>
      <c r="X60" s="16"/>
      <c r="Y60" s="16"/>
      <c r="Z60" s="16">
        <f t="shared" si="6"/>
        <v>0</v>
      </c>
      <c r="AA60" s="16">
        <f t="shared" si="0"/>
        <v>0</v>
      </c>
      <c r="AB60" s="16"/>
      <c r="AC60" s="17"/>
      <c r="AD60" s="51"/>
    </row>
    <row r="61" spans="1:30" ht="19.5" thickBot="1" x14ac:dyDescent="0.3">
      <c r="A61" s="14">
        <v>26</v>
      </c>
      <c r="B61" s="15"/>
      <c r="C61" s="15" t="e">
        <f>VLOOKUP(B61,داتا!$B$3:$D$107,2,FALSE)</f>
        <v>#N/A</v>
      </c>
      <c r="D61" s="34" t="e">
        <f>VLOOKUP(B61,داتا!$B$3:$D$107,3,FALSE)</f>
        <v>#N/A</v>
      </c>
      <c r="E61" s="15"/>
      <c r="F61" s="15"/>
      <c r="G61" s="16">
        <v>0.25</v>
      </c>
      <c r="H61" s="16" t="e">
        <f t="shared" si="8"/>
        <v>#N/A</v>
      </c>
      <c r="I61" s="16" t="e">
        <f t="shared" si="1"/>
        <v>#N/A</v>
      </c>
      <c r="J61" s="16"/>
      <c r="K61" s="16"/>
      <c r="L61" s="16"/>
      <c r="M61" s="16"/>
      <c r="N61" s="16">
        <f t="shared" si="2"/>
        <v>0</v>
      </c>
      <c r="O61" s="16" t="e">
        <f t="shared" si="3"/>
        <v>#N/A</v>
      </c>
      <c r="P61" s="16">
        <v>6.9444444444444397E-3</v>
      </c>
      <c r="Q61" s="16"/>
      <c r="R61" s="16">
        <f t="shared" si="4"/>
        <v>-6.9444444444444397E-3</v>
      </c>
      <c r="S61" s="16"/>
      <c r="T61" s="16" t="e">
        <f>VLOOKUP(E61,'[2]21-3-2026'!E$3:T$35,16,FALSE)</f>
        <v>#N/A</v>
      </c>
      <c r="U61" s="16"/>
      <c r="V61" s="16" t="e">
        <f t="shared" si="5"/>
        <v>#N/A</v>
      </c>
      <c r="W61" s="16"/>
      <c r="X61" s="16"/>
      <c r="Y61" s="16"/>
      <c r="Z61" s="16">
        <f t="shared" si="6"/>
        <v>0</v>
      </c>
      <c r="AA61" s="16">
        <f t="shared" si="0"/>
        <v>0</v>
      </c>
      <c r="AB61" s="16"/>
      <c r="AC61" s="17"/>
      <c r="AD61" s="51"/>
    </row>
    <row r="62" spans="1:30" ht="19.5" thickBot="1" x14ac:dyDescent="0.3">
      <c r="A62" s="14">
        <v>27</v>
      </c>
      <c r="B62" s="15"/>
      <c r="C62" s="15" t="e">
        <f>VLOOKUP(B62,داتا!$B$3:$D$107,2,FALSE)</f>
        <v>#N/A</v>
      </c>
      <c r="D62" s="34" t="e">
        <f>VLOOKUP(B62,داتا!$B$3:$D$107,3,FALSE)</f>
        <v>#N/A</v>
      </c>
      <c r="E62" s="15"/>
      <c r="F62" s="15"/>
      <c r="G62" s="16">
        <v>0.25</v>
      </c>
      <c r="H62" s="16" t="e">
        <f t="shared" si="8"/>
        <v>#N/A</v>
      </c>
      <c r="I62" s="16" t="e">
        <f t="shared" si="1"/>
        <v>#N/A</v>
      </c>
      <c r="J62" s="16"/>
      <c r="K62" s="16"/>
      <c r="L62" s="16"/>
      <c r="M62" s="16"/>
      <c r="N62" s="16">
        <f t="shared" si="2"/>
        <v>0</v>
      </c>
      <c r="O62" s="16" t="e">
        <f t="shared" si="3"/>
        <v>#N/A</v>
      </c>
      <c r="P62" s="16">
        <v>6.9444444444444397E-3</v>
      </c>
      <c r="Q62" s="16"/>
      <c r="R62" s="16">
        <f t="shared" si="4"/>
        <v>-6.9444444444444397E-3</v>
      </c>
      <c r="S62" s="16"/>
      <c r="T62" s="16" t="e">
        <f>VLOOKUP(E62,'[2]21-3-2026'!E$3:T$35,16,FALSE)</f>
        <v>#N/A</v>
      </c>
      <c r="U62" s="16"/>
      <c r="V62" s="16" t="e">
        <f t="shared" si="5"/>
        <v>#N/A</v>
      </c>
      <c r="W62" s="16"/>
      <c r="X62" s="16"/>
      <c r="Y62" s="16"/>
      <c r="Z62" s="16">
        <f t="shared" si="6"/>
        <v>0</v>
      </c>
      <c r="AA62" s="16">
        <f t="shared" si="0"/>
        <v>0</v>
      </c>
      <c r="AB62" s="16"/>
      <c r="AC62" s="17"/>
      <c r="AD62" s="51"/>
    </row>
    <row r="63" spans="1:30" ht="19.5" thickBot="1" x14ac:dyDescent="0.3">
      <c r="A63" s="14">
        <v>28</v>
      </c>
      <c r="B63" s="15"/>
      <c r="C63" s="15" t="e">
        <f>VLOOKUP(B63,داتا!$B$3:$D$107,2,FALSE)</f>
        <v>#N/A</v>
      </c>
      <c r="D63" s="34" t="e">
        <f>VLOOKUP(B63,داتا!$B$3:$D$107,3,FALSE)</f>
        <v>#N/A</v>
      </c>
      <c r="E63" s="15"/>
      <c r="F63" s="15"/>
      <c r="G63" s="16">
        <v>0.25</v>
      </c>
      <c r="H63" s="16" t="e">
        <f t="shared" si="8"/>
        <v>#N/A</v>
      </c>
      <c r="I63" s="16" t="e">
        <f t="shared" si="1"/>
        <v>#N/A</v>
      </c>
      <c r="J63" s="16"/>
      <c r="K63" s="16"/>
      <c r="L63" s="16"/>
      <c r="M63" s="16"/>
      <c r="N63" s="16">
        <f t="shared" si="2"/>
        <v>0</v>
      </c>
      <c r="O63" s="16" t="e">
        <f t="shared" si="3"/>
        <v>#N/A</v>
      </c>
      <c r="P63" s="16">
        <v>6.9444444444444397E-3</v>
      </c>
      <c r="Q63" s="16"/>
      <c r="R63" s="16">
        <f t="shared" si="4"/>
        <v>-6.9444444444444397E-3</v>
      </c>
      <c r="S63" s="16"/>
      <c r="T63" s="16" t="e">
        <f>VLOOKUP(E63,'[2]21-3-2026'!E$3:T$35,16,FALSE)</f>
        <v>#N/A</v>
      </c>
      <c r="U63" s="16"/>
      <c r="V63" s="16" t="e">
        <f t="shared" si="5"/>
        <v>#N/A</v>
      </c>
      <c r="W63" s="16"/>
      <c r="X63" s="16"/>
      <c r="Y63" s="16"/>
      <c r="Z63" s="16">
        <f t="shared" si="6"/>
        <v>0</v>
      </c>
      <c r="AA63" s="16">
        <f t="shared" si="0"/>
        <v>0</v>
      </c>
      <c r="AB63" s="16"/>
      <c r="AC63" s="17"/>
      <c r="AD63" s="51"/>
    </row>
    <row r="64" spans="1:30" ht="19.5" thickBot="1" x14ac:dyDescent="0.3">
      <c r="A64" s="14">
        <v>29</v>
      </c>
      <c r="B64" s="15"/>
      <c r="C64" s="15" t="e">
        <f>VLOOKUP(B64,داتا!$B$3:$D$107,2,FALSE)</f>
        <v>#N/A</v>
      </c>
      <c r="D64" s="34" t="e">
        <f>VLOOKUP(B64,داتا!$B$3:$D$107,3,FALSE)</f>
        <v>#N/A</v>
      </c>
      <c r="E64" s="15"/>
      <c r="F64" s="15"/>
      <c r="G64" s="16">
        <v>0.25</v>
      </c>
      <c r="H64" s="16" t="e">
        <f t="shared" si="8"/>
        <v>#N/A</v>
      </c>
      <c r="I64" s="16" t="e">
        <f t="shared" si="1"/>
        <v>#N/A</v>
      </c>
      <c r="J64" s="16"/>
      <c r="K64" s="16"/>
      <c r="L64" s="16"/>
      <c r="M64" s="16"/>
      <c r="N64" s="16">
        <f t="shared" si="2"/>
        <v>0</v>
      </c>
      <c r="O64" s="16" t="e">
        <f t="shared" si="3"/>
        <v>#N/A</v>
      </c>
      <c r="P64" s="16">
        <v>6.9444444444444397E-3</v>
      </c>
      <c r="Q64" s="16"/>
      <c r="R64" s="16">
        <f t="shared" si="4"/>
        <v>-6.9444444444444397E-3</v>
      </c>
      <c r="S64" s="16"/>
      <c r="T64" s="16" t="e">
        <f>VLOOKUP(E64,'[2]21-3-2026'!E$3:T$35,16,FALSE)</f>
        <v>#N/A</v>
      </c>
      <c r="U64" s="16"/>
      <c r="V64" s="16" t="e">
        <f t="shared" si="5"/>
        <v>#N/A</v>
      </c>
      <c r="W64" s="16"/>
      <c r="X64" s="16"/>
      <c r="Y64" s="16"/>
      <c r="Z64" s="16">
        <f t="shared" si="6"/>
        <v>0</v>
      </c>
      <c r="AA64" s="16">
        <f t="shared" si="0"/>
        <v>0</v>
      </c>
      <c r="AB64" s="16"/>
      <c r="AC64" s="17"/>
      <c r="AD64" s="51"/>
    </row>
    <row r="65" spans="1:30" ht="19.5" thickBot="1" x14ac:dyDescent="0.3">
      <c r="A65" s="14">
        <v>30</v>
      </c>
      <c r="B65" s="15"/>
      <c r="C65" s="15" t="e">
        <f>VLOOKUP(B65,داتا!$B$3:$D$107,2,FALSE)</f>
        <v>#N/A</v>
      </c>
      <c r="D65" s="34" t="e">
        <f>VLOOKUP(B65,داتا!$B$3:$D$107,3,FALSE)</f>
        <v>#N/A</v>
      </c>
      <c r="E65" s="15"/>
      <c r="F65" s="15"/>
      <c r="G65" s="16">
        <v>0.25</v>
      </c>
      <c r="H65" s="16" t="e">
        <f t="shared" si="8"/>
        <v>#N/A</v>
      </c>
      <c r="I65" s="16" t="e">
        <f t="shared" si="1"/>
        <v>#N/A</v>
      </c>
      <c r="J65" s="16"/>
      <c r="K65" s="16"/>
      <c r="L65" s="16"/>
      <c r="M65" s="16"/>
      <c r="N65" s="16">
        <f t="shared" si="2"/>
        <v>0</v>
      </c>
      <c r="O65" s="16" t="e">
        <f t="shared" si="3"/>
        <v>#N/A</v>
      </c>
      <c r="P65" s="16">
        <v>6.9444444444444397E-3</v>
      </c>
      <c r="Q65" s="16"/>
      <c r="R65" s="16">
        <f t="shared" si="4"/>
        <v>-6.9444444444444397E-3</v>
      </c>
      <c r="S65" s="16"/>
      <c r="T65" s="16" t="e">
        <f>VLOOKUP(E65,'[2]21-3-2026'!E$3:T$35,16,FALSE)</f>
        <v>#N/A</v>
      </c>
      <c r="U65" s="16"/>
      <c r="V65" s="16" t="e">
        <f t="shared" si="5"/>
        <v>#N/A</v>
      </c>
      <c r="W65" s="16"/>
      <c r="X65" s="16"/>
      <c r="Y65" s="16"/>
      <c r="Z65" s="16">
        <f t="shared" si="6"/>
        <v>0</v>
      </c>
      <c r="AA65" s="16">
        <f t="shared" si="0"/>
        <v>0</v>
      </c>
      <c r="AB65" s="16"/>
      <c r="AC65" s="17"/>
      <c r="AD65" s="51"/>
    </row>
    <row r="66" spans="1:30" ht="20.25" customHeight="1" thickBot="1" x14ac:dyDescent="0.3">
      <c r="A66" s="14">
        <v>31</v>
      </c>
      <c r="B66" s="15"/>
      <c r="C66" s="15" t="e">
        <f>VLOOKUP(B66,داتا!$B$3:$D$107,2,FALSE)</f>
        <v>#N/A</v>
      </c>
      <c r="D66" s="34" t="e">
        <f>VLOOKUP(B66,داتا!$B$3:$D$107,3,FALSE)</f>
        <v>#N/A</v>
      </c>
      <c r="E66" s="15"/>
      <c r="F66" s="15"/>
      <c r="G66" s="16">
        <v>0.25</v>
      </c>
      <c r="H66" s="16" t="e">
        <f t="shared" si="8"/>
        <v>#N/A</v>
      </c>
      <c r="I66" s="16" t="e">
        <f t="shared" si="1"/>
        <v>#N/A</v>
      </c>
      <c r="J66" s="16"/>
      <c r="K66" s="16"/>
      <c r="L66" s="16"/>
      <c r="M66" s="16"/>
      <c r="N66" s="16">
        <f t="shared" si="2"/>
        <v>0</v>
      </c>
      <c r="O66" s="16" t="e">
        <f t="shared" si="3"/>
        <v>#N/A</v>
      </c>
      <c r="P66" s="16">
        <v>6.9444444444444397E-3</v>
      </c>
      <c r="Q66" s="16"/>
      <c r="R66" s="16">
        <f t="shared" si="4"/>
        <v>-6.9444444444444397E-3</v>
      </c>
      <c r="S66" s="16"/>
      <c r="T66" s="16" t="e">
        <f>VLOOKUP(E66,'[2]21-3-2026'!E$3:T$35,16,FALSE)</f>
        <v>#N/A</v>
      </c>
      <c r="U66" s="16"/>
      <c r="V66" s="16" t="e">
        <f t="shared" si="5"/>
        <v>#N/A</v>
      </c>
      <c r="W66" s="16"/>
      <c r="X66" s="16"/>
      <c r="Y66" s="16"/>
      <c r="Z66" s="16">
        <f t="shared" si="6"/>
        <v>0</v>
      </c>
      <c r="AA66" s="16">
        <f t="shared" si="0"/>
        <v>0</v>
      </c>
      <c r="AB66" s="16"/>
      <c r="AC66" s="19"/>
      <c r="AD66" s="51"/>
    </row>
    <row r="67" spans="1:30" ht="19.5" customHeight="1" thickBot="1" x14ac:dyDescent="0.3">
      <c r="A67" s="20">
        <v>32</v>
      </c>
      <c r="B67" s="21"/>
      <c r="C67" s="21" t="e">
        <f>VLOOKUP(B67,داتا!$B$3:$D$107,2,FALSE)</f>
        <v>#N/A</v>
      </c>
      <c r="D67" s="35" t="e">
        <f>VLOOKUP(B67,داتا!$B$3:$D$107,3,FALSE)</f>
        <v>#N/A</v>
      </c>
      <c r="E67" s="21"/>
      <c r="F67" s="21"/>
      <c r="G67" s="22">
        <v>0.25</v>
      </c>
      <c r="H67" s="22" t="e">
        <f t="shared" si="8"/>
        <v>#N/A</v>
      </c>
      <c r="I67" s="22" t="e">
        <f t="shared" si="1"/>
        <v>#N/A</v>
      </c>
      <c r="J67" s="22"/>
      <c r="K67" s="22"/>
      <c r="L67" s="22"/>
      <c r="M67" s="22"/>
      <c r="N67" s="22">
        <f t="shared" si="2"/>
        <v>0</v>
      </c>
      <c r="O67" s="22" t="e">
        <f t="shared" si="3"/>
        <v>#N/A</v>
      </c>
      <c r="P67" s="22">
        <v>6.9444444444444397E-3</v>
      </c>
      <c r="Q67" s="22"/>
      <c r="R67" s="22">
        <f t="shared" si="4"/>
        <v>-6.9444444444444397E-3</v>
      </c>
      <c r="S67" s="22"/>
      <c r="T67" s="22" t="e">
        <f>VLOOKUP(E67,'[2]21-3-2026'!E$3:T$35,16,FALSE)</f>
        <v>#N/A</v>
      </c>
      <c r="U67" s="22"/>
      <c r="V67" s="22" t="e">
        <f t="shared" si="5"/>
        <v>#N/A</v>
      </c>
      <c r="W67" s="22"/>
      <c r="X67" s="22"/>
      <c r="Y67" s="22"/>
      <c r="Z67" s="22">
        <f t="shared" si="6"/>
        <v>0</v>
      </c>
      <c r="AA67" s="22">
        <f t="shared" ref="AA67:AA99" si="9">Z67-W67</f>
        <v>0</v>
      </c>
      <c r="AB67" s="22"/>
      <c r="AC67" s="23"/>
      <c r="AD67" s="52"/>
    </row>
    <row r="68" spans="1:30" ht="20.25" thickTop="1" thickBot="1" x14ac:dyDescent="0.3">
      <c r="A68" s="10">
        <v>1</v>
      </c>
      <c r="B68" s="11"/>
      <c r="C68" s="11" t="e">
        <f>VLOOKUP(B68,داتا!$B$3:$D$107,2,FALSE)</f>
        <v>#N/A</v>
      </c>
      <c r="D68" s="33" t="e">
        <f>VLOOKUP(B68,داتا!$B$3:$D$107,3,FALSE)</f>
        <v>#N/A</v>
      </c>
      <c r="E68" s="11"/>
      <c r="F68" s="11"/>
      <c r="G68" s="12">
        <v>8.3333333333333329E-2</v>
      </c>
      <c r="H68" s="12" t="e">
        <f t="shared" si="8"/>
        <v>#N/A</v>
      </c>
      <c r="I68" s="12" t="e">
        <f t="shared" ref="I68:I99" si="10">H68-G68</f>
        <v>#N/A</v>
      </c>
      <c r="J68" s="12"/>
      <c r="K68" s="12"/>
      <c r="L68" s="12"/>
      <c r="M68" s="12"/>
      <c r="N68" s="12">
        <f t="shared" ref="N68:N99" si="11">K68-J68</f>
        <v>0</v>
      </c>
      <c r="O68" s="12" t="e">
        <f t="shared" ref="O68:O99" si="12">N68-D68</f>
        <v>#N/A</v>
      </c>
      <c r="P68" s="12">
        <v>6.9444444444444397E-3</v>
      </c>
      <c r="Q68" s="12"/>
      <c r="R68" s="12">
        <f t="shared" ref="R68:R99" si="13">Q68-P68-K68</f>
        <v>-6.9444444444444397E-3</v>
      </c>
      <c r="S68" s="12"/>
      <c r="T68" s="12" t="e">
        <f>VLOOKUP(E68,'[2]21-3-2026'!E$3:T$35,16,FALSE)</f>
        <v>#N/A</v>
      </c>
      <c r="U68" s="12"/>
      <c r="V68" s="12" t="e">
        <f t="shared" ref="V68:V99" si="14">U68-T68-S68</f>
        <v>#N/A</v>
      </c>
      <c r="W68" s="12"/>
      <c r="X68" s="12"/>
      <c r="Y68" s="12"/>
      <c r="Z68" s="12">
        <f t="shared" ref="Z68:Z99" si="15">Y68-X68</f>
        <v>0</v>
      </c>
      <c r="AA68" s="12">
        <f t="shared" si="9"/>
        <v>0</v>
      </c>
      <c r="AB68" s="12"/>
      <c r="AC68" s="13"/>
      <c r="AD68" s="53" t="s">
        <v>116</v>
      </c>
    </row>
    <row r="69" spans="1:30" ht="19.5" thickBot="1" x14ac:dyDescent="0.3">
      <c r="A69" s="14">
        <v>2</v>
      </c>
      <c r="B69" s="15"/>
      <c r="C69" s="15" t="e">
        <f>VLOOKUP(B69,داتا!$B$3:$D$107,2,FALSE)</f>
        <v>#N/A</v>
      </c>
      <c r="D69" s="34" t="e">
        <f>VLOOKUP(B69,داتا!$B$3:$D$107,3,FALSE)</f>
        <v>#N/A</v>
      </c>
      <c r="E69" s="15"/>
      <c r="F69" s="15"/>
      <c r="G69" s="16">
        <v>8.3333333333333329E-2</v>
      </c>
      <c r="H69" s="16" t="e">
        <f t="shared" ref="H69:H84" si="16">VLOOKUP(G69,$F$3:$I$35,2,FALSE)</f>
        <v>#N/A</v>
      </c>
      <c r="I69" s="16" t="e">
        <f t="shared" si="10"/>
        <v>#N/A</v>
      </c>
      <c r="J69" s="16"/>
      <c r="K69" s="16"/>
      <c r="L69" s="16"/>
      <c r="M69" s="16"/>
      <c r="N69" s="16">
        <f t="shared" si="11"/>
        <v>0</v>
      </c>
      <c r="O69" s="16" t="e">
        <f t="shared" si="12"/>
        <v>#N/A</v>
      </c>
      <c r="P69" s="16">
        <v>6.9444444444444397E-3</v>
      </c>
      <c r="Q69" s="16"/>
      <c r="R69" s="16">
        <f t="shared" si="13"/>
        <v>-6.9444444444444397E-3</v>
      </c>
      <c r="S69" s="16"/>
      <c r="T69" s="16" t="e">
        <f>VLOOKUP(E69,'[2]21-3-2026'!E$3:T$35,16,FALSE)</f>
        <v>#N/A</v>
      </c>
      <c r="U69" s="16"/>
      <c r="V69" s="16" t="e">
        <f t="shared" si="14"/>
        <v>#N/A</v>
      </c>
      <c r="W69" s="16"/>
      <c r="X69" s="16"/>
      <c r="Y69" s="16"/>
      <c r="Z69" s="16">
        <f t="shared" si="15"/>
        <v>0</v>
      </c>
      <c r="AA69" s="16">
        <f t="shared" si="9"/>
        <v>0</v>
      </c>
      <c r="AB69" s="16"/>
      <c r="AC69" s="17"/>
      <c r="AD69" s="51"/>
    </row>
    <row r="70" spans="1:30" ht="19.5" thickBot="1" x14ac:dyDescent="0.3">
      <c r="A70" s="14">
        <v>3</v>
      </c>
      <c r="B70" s="15"/>
      <c r="C70" s="15" t="e">
        <f>VLOOKUP(B70,داتا!$B$3:$D$107,2,FALSE)</f>
        <v>#N/A</v>
      </c>
      <c r="D70" s="34" t="e">
        <f>VLOOKUP(B70,داتا!$B$3:$D$107,3,FALSE)</f>
        <v>#N/A</v>
      </c>
      <c r="E70" s="15"/>
      <c r="F70" s="15"/>
      <c r="G70" s="16">
        <v>8.3333333333333329E-2</v>
      </c>
      <c r="H70" s="16" t="e">
        <f t="shared" si="16"/>
        <v>#N/A</v>
      </c>
      <c r="I70" s="16" t="e">
        <f t="shared" si="10"/>
        <v>#N/A</v>
      </c>
      <c r="J70" s="16"/>
      <c r="K70" s="16"/>
      <c r="L70" s="16"/>
      <c r="M70" s="16"/>
      <c r="N70" s="16">
        <f t="shared" si="11"/>
        <v>0</v>
      </c>
      <c r="O70" s="16" t="e">
        <f t="shared" si="12"/>
        <v>#N/A</v>
      </c>
      <c r="P70" s="16">
        <v>6.9444444444444397E-3</v>
      </c>
      <c r="Q70" s="16"/>
      <c r="R70" s="16">
        <f t="shared" si="13"/>
        <v>-6.9444444444444397E-3</v>
      </c>
      <c r="S70" s="16"/>
      <c r="T70" s="16" t="e">
        <f>VLOOKUP(E70,'[2]21-3-2026'!E$3:T$35,16,FALSE)</f>
        <v>#N/A</v>
      </c>
      <c r="U70" s="16"/>
      <c r="V70" s="16" t="e">
        <f t="shared" si="14"/>
        <v>#N/A</v>
      </c>
      <c r="W70" s="16"/>
      <c r="X70" s="16"/>
      <c r="Y70" s="16"/>
      <c r="Z70" s="16">
        <f t="shared" si="15"/>
        <v>0</v>
      </c>
      <c r="AA70" s="16">
        <f t="shared" si="9"/>
        <v>0</v>
      </c>
      <c r="AB70" s="16"/>
      <c r="AC70" s="17"/>
      <c r="AD70" s="51"/>
    </row>
    <row r="71" spans="1:30" ht="19.5" thickBot="1" x14ac:dyDescent="0.3">
      <c r="A71" s="14">
        <v>4</v>
      </c>
      <c r="B71" s="15"/>
      <c r="C71" s="15" t="e">
        <f>VLOOKUP(B71,داتا!$B$3:$D$107,2,FALSE)</f>
        <v>#N/A</v>
      </c>
      <c r="D71" s="34" t="e">
        <f>VLOOKUP(B71,داتا!$B$3:$D$107,3,FALSE)</f>
        <v>#N/A</v>
      </c>
      <c r="E71" s="15"/>
      <c r="F71" s="15"/>
      <c r="G71" s="16">
        <v>8.3333333333333329E-2</v>
      </c>
      <c r="H71" s="16" t="e">
        <f t="shared" si="16"/>
        <v>#N/A</v>
      </c>
      <c r="I71" s="16" t="e">
        <f t="shared" si="10"/>
        <v>#N/A</v>
      </c>
      <c r="J71" s="16"/>
      <c r="K71" s="16"/>
      <c r="L71" s="16"/>
      <c r="M71" s="16"/>
      <c r="N71" s="16">
        <f t="shared" si="11"/>
        <v>0</v>
      </c>
      <c r="O71" s="16" t="e">
        <f t="shared" si="12"/>
        <v>#N/A</v>
      </c>
      <c r="P71" s="16">
        <v>6.9444444444444397E-3</v>
      </c>
      <c r="Q71" s="16"/>
      <c r="R71" s="16">
        <f t="shared" si="13"/>
        <v>-6.9444444444444397E-3</v>
      </c>
      <c r="S71" s="16"/>
      <c r="T71" s="16" t="e">
        <f>VLOOKUP(E71,'[2]21-3-2026'!E$3:T$35,16,FALSE)</f>
        <v>#N/A</v>
      </c>
      <c r="U71" s="16"/>
      <c r="V71" s="16" t="e">
        <f t="shared" si="14"/>
        <v>#N/A</v>
      </c>
      <c r="W71" s="16"/>
      <c r="X71" s="16"/>
      <c r="Y71" s="16"/>
      <c r="Z71" s="16">
        <f t="shared" si="15"/>
        <v>0</v>
      </c>
      <c r="AA71" s="16">
        <f t="shared" si="9"/>
        <v>0</v>
      </c>
      <c r="AB71" s="16"/>
      <c r="AC71" s="17"/>
      <c r="AD71" s="51"/>
    </row>
    <row r="72" spans="1:30" ht="19.5" thickBot="1" x14ac:dyDescent="0.3">
      <c r="A72" s="14">
        <v>5</v>
      </c>
      <c r="B72" s="15"/>
      <c r="C72" s="15" t="e">
        <f>VLOOKUP(B72,داتا!$B$3:$D$107,2,FALSE)</f>
        <v>#N/A</v>
      </c>
      <c r="D72" s="34" t="e">
        <f>VLOOKUP(B72,داتا!$B$3:$D$107,3,FALSE)</f>
        <v>#N/A</v>
      </c>
      <c r="E72" s="15"/>
      <c r="F72" s="15"/>
      <c r="G72" s="16">
        <v>8.3333333333333329E-2</v>
      </c>
      <c r="H72" s="16" t="e">
        <f t="shared" si="16"/>
        <v>#N/A</v>
      </c>
      <c r="I72" s="16" t="e">
        <f t="shared" si="10"/>
        <v>#N/A</v>
      </c>
      <c r="J72" s="16"/>
      <c r="K72" s="16"/>
      <c r="L72" s="16"/>
      <c r="M72" s="16"/>
      <c r="N72" s="16">
        <f t="shared" si="11"/>
        <v>0</v>
      </c>
      <c r="O72" s="16" t="e">
        <f t="shared" si="12"/>
        <v>#N/A</v>
      </c>
      <c r="P72" s="16">
        <v>6.9444444444444397E-3</v>
      </c>
      <c r="Q72" s="16"/>
      <c r="R72" s="16">
        <f t="shared" si="13"/>
        <v>-6.9444444444444397E-3</v>
      </c>
      <c r="S72" s="16"/>
      <c r="T72" s="16" t="e">
        <f>VLOOKUP(E72,'[2]21-3-2026'!E$3:T$35,16,FALSE)</f>
        <v>#N/A</v>
      </c>
      <c r="U72" s="16"/>
      <c r="V72" s="16" t="e">
        <f t="shared" si="14"/>
        <v>#N/A</v>
      </c>
      <c r="W72" s="16"/>
      <c r="X72" s="16"/>
      <c r="Y72" s="16"/>
      <c r="Z72" s="16">
        <f t="shared" si="15"/>
        <v>0</v>
      </c>
      <c r="AA72" s="16">
        <f t="shared" si="9"/>
        <v>0</v>
      </c>
      <c r="AB72" s="16"/>
      <c r="AC72" s="17"/>
      <c r="AD72" s="51"/>
    </row>
    <row r="73" spans="1:30" ht="19.5" thickBot="1" x14ac:dyDescent="0.3">
      <c r="A73" s="14">
        <v>6</v>
      </c>
      <c r="B73" s="15"/>
      <c r="C73" s="15" t="e">
        <f>VLOOKUP(B73,داتا!$B$3:$D$107,2,FALSE)</f>
        <v>#N/A</v>
      </c>
      <c r="D73" s="34" t="e">
        <f>VLOOKUP(B73,داتا!$B$3:$D$107,3,FALSE)</f>
        <v>#N/A</v>
      </c>
      <c r="E73" s="15"/>
      <c r="F73" s="15"/>
      <c r="G73" s="16">
        <v>8.3333333333333329E-2</v>
      </c>
      <c r="H73" s="16" t="e">
        <f t="shared" si="16"/>
        <v>#N/A</v>
      </c>
      <c r="I73" s="16" t="e">
        <f t="shared" si="10"/>
        <v>#N/A</v>
      </c>
      <c r="J73" s="16"/>
      <c r="K73" s="16"/>
      <c r="L73" s="16"/>
      <c r="M73" s="16"/>
      <c r="N73" s="16">
        <f t="shared" si="11"/>
        <v>0</v>
      </c>
      <c r="O73" s="16" t="e">
        <f t="shared" si="12"/>
        <v>#N/A</v>
      </c>
      <c r="P73" s="16">
        <v>6.9444444444444397E-3</v>
      </c>
      <c r="Q73" s="16"/>
      <c r="R73" s="16">
        <f t="shared" si="13"/>
        <v>-6.9444444444444397E-3</v>
      </c>
      <c r="S73" s="16"/>
      <c r="T73" s="16" t="e">
        <f>VLOOKUP(E73,'[2]21-3-2026'!E$3:T$35,16,FALSE)</f>
        <v>#N/A</v>
      </c>
      <c r="U73" s="16"/>
      <c r="V73" s="16" t="e">
        <f t="shared" si="14"/>
        <v>#N/A</v>
      </c>
      <c r="W73" s="16"/>
      <c r="X73" s="16"/>
      <c r="Y73" s="16"/>
      <c r="Z73" s="16">
        <f t="shared" si="15"/>
        <v>0</v>
      </c>
      <c r="AA73" s="16">
        <f t="shared" si="9"/>
        <v>0</v>
      </c>
      <c r="AB73" s="16"/>
      <c r="AC73" s="17"/>
      <c r="AD73" s="51"/>
    </row>
    <row r="74" spans="1:30" ht="19.5" thickBot="1" x14ac:dyDescent="0.3">
      <c r="A74" s="14">
        <v>7</v>
      </c>
      <c r="B74" s="15"/>
      <c r="C74" s="15" t="e">
        <f>VLOOKUP(B74,داتا!$B$3:$D$107,2,FALSE)</f>
        <v>#N/A</v>
      </c>
      <c r="D74" s="34" t="e">
        <f>VLOOKUP(B74,داتا!$B$3:$D$107,3,FALSE)</f>
        <v>#N/A</v>
      </c>
      <c r="E74" s="15"/>
      <c r="F74" s="15"/>
      <c r="G74" s="16">
        <v>8.3333333333333329E-2</v>
      </c>
      <c r="H74" s="16" t="e">
        <f t="shared" si="16"/>
        <v>#N/A</v>
      </c>
      <c r="I74" s="16" t="e">
        <f t="shared" si="10"/>
        <v>#N/A</v>
      </c>
      <c r="J74" s="16"/>
      <c r="K74" s="16"/>
      <c r="L74" s="16"/>
      <c r="M74" s="16"/>
      <c r="N74" s="16">
        <f t="shared" si="11"/>
        <v>0</v>
      </c>
      <c r="O74" s="16" t="e">
        <f t="shared" si="12"/>
        <v>#N/A</v>
      </c>
      <c r="P74" s="16">
        <v>6.9444444444444397E-3</v>
      </c>
      <c r="Q74" s="16"/>
      <c r="R74" s="16">
        <f t="shared" si="13"/>
        <v>-6.9444444444444397E-3</v>
      </c>
      <c r="S74" s="16"/>
      <c r="T74" s="16" t="e">
        <f>VLOOKUP(E74,'[2]21-3-2026'!E$3:T$35,16,FALSE)</f>
        <v>#N/A</v>
      </c>
      <c r="U74" s="16"/>
      <c r="V74" s="16" t="e">
        <f t="shared" si="14"/>
        <v>#N/A</v>
      </c>
      <c r="W74" s="16"/>
      <c r="X74" s="16"/>
      <c r="Y74" s="16"/>
      <c r="Z74" s="16">
        <f t="shared" si="15"/>
        <v>0</v>
      </c>
      <c r="AA74" s="16">
        <f t="shared" si="9"/>
        <v>0</v>
      </c>
      <c r="AB74" s="16"/>
      <c r="AC74" s="17"/>
      <c r="AD74" s="51"/>
    </row>
    <row r="75" spans="1:30" ht="19.5" thickBot="1" x14ac:dyDescent="0.3">
      <c r="A75" s="14">
        <v>8</v>
      </c>
      <c r="B75" s="15"/>
      <c r="C75" s="15" t="e">
        <f>VLOOKUP(B75,داتا!$B$3:$D$107,2,FALSE)</f>
        <v>#N/A</v>
      </c>
      <c r="D75" s="34" t="e">
        <f>VLOOKUP(B75,داتا!$B$3:$D$107,3,FALSE)</f>
        <v>#N/A</v>
      </c>
      <c r="E75" s="15"/>
      <c r="F75" s="15"/>
      <c r="G75" s="16">
        <v>8.3333333333333329E-2</v>
      </c>
      <c r="H75" s="16" t="e">
        <f t="shared" si="16"/>
        <v>#N/A</v>
      </c>
      <c r="I75" s="16" t="e">
        <f t="shared" si="10"/>
        <v>#N/A</v>
      </c>
      <c r="J75" s="16"/>
      <c r="K75" s="16"/>
      <c r="L75" s="16"/>
      <c r="M75" s="16"/>
      <c r="N75" s="16">
        <f t="shared" si="11"/>
        <v>0</v>
      </c>
      <c r="O75" s="16" t="e">
        <f t="shared" si="12"/>
        <v>#N/A</v>
      </c>
      <c r="P75" s="16">
        <v>6.9444444444444397E-3</v>
      </c>
      <c r="Q75" s="16"/>
      <c r="R75" s="16">
        <f t="shared" si="13"/>
        <v>-6.9444444444444397E-3</v>
      </c>
      <c r="S75" s="16"/>
      <c r="T75" s="16" t="e">
        <f>VLOOKUP(E75,'[2]21-3-2026'!E$3:T$35,16,FALSE)</f>
        <v>#N/A</v>
      </c>
      <c r="U75" s="16"/>
      <c r="V75" s="16" t="e">
        <f t="shared" si="14"/>
        <v>#N/A</v>
      </c>
      <c r="W75" s="16"/>
      <c r="X75" s="16"/>
      <c r="Y75" s="16"/>
      <c r="Z75" s="16">
        <f t="shared" si="15"/>
        <v>0</v>
      </c>
      <c r="AA75" s="16">
        <f t="shared" si="9"/>
        <v>0</v>
      </c>
      <c r="AB75" s="16"/>
      <c r="AC75" s="17"/>
      <c r="AD75" s="51"/>
    </row>
    <row r="76" spans="1:30" ht="19.5" thickBot="1" x14ac:dyDescent="0.3">
      <c r="A76" s="14">
        <v>9</v>
      </c>
      <c r="B76" s="15"/>
      <c r="C76" s="15" t="e">
        <f>VLOOKUP(B76,داتا!$B$3:$D$107,2,FALSE)</f>
        <v>#N/A</v>
      </c>
      <c r="D76" s="34" t="e">
        <f>VLOOKUP(B76,داتا!$B$3:$D$107,3,FALSE)</f>
        <v>#N/A</v>
      </c>
      <c r="E76" s="16"/>
      <c r="F76" s="15"/>
      <c r="G76" s="16">
        <v>8.3333333333333329E-2</v>
      </c>
      <c r="H76" s="16" t="e">
        <f t="shared" si="16"/>
        <v>#N/A</v>
      </c>
      <c r="I76" s="16" t="e">
        <f t="shared" si="10"/>
        <v>#N/A</v>
      </c>
      <c r="J76" s="16"/>
      <c r="K76" s="16"/>
      <c r="L76" s="16"/>
      <c r="M76" s="16"/>
      <c r="N76" s="16">
        <f t="shared" si="11"/>
        <v>0</v>
      </c>
      <c r="O76" s="16" t="e">
        <f t="shared" si="12"/>
        <v>#N/A</v>
      </c>
      <c r="P76" s="16">
        <v>6.9444444444444397E-3</v>
      </c>
      <c r="Q76" s="16"/>
      <c r="R76" s="16">
        <f t="shared" si="13"/>
        <v>-6.9444444444444397E-3</v>
      </c>
      <c r="S76" s="16"/>
      <c r="T76" s="16" t="e">
        <f>VLOOKUP(E76,'[2]21-3-2026'!E$3:T$35,16,FALSE)</f>
        <v>#N/A</v>
      </c>
      <c r="U76" s="16"/>
      <c r="V76" s="16" t="e">
        <f t="shared" si="14"/>
        <v>#N/A</v>
      </c>
      <c r="W76" s="16"/>
      <c r="X76" s="16"/>
      <c r="Y76" s="16"/>
      <c r="Z76" s="16">
        <f t="shared" si="15"/>
        <v>0</v>
      </c>
      <c r="AA76" s="16">
        <f t="shared" si="9"/>
        <v>0</v>
      </c>
      <c r="AB76" s="16"/>
      <c r="AC76" s="17"/>
      <c r="AD76" s="51"/>
    </row>
    <row r="77" spans="1:30" ht="19.5" thickBot="1" x14ac:dyDescent="0.3">
      <c r="A77" s="14">
        <v>10</v>
      </c>
      <c r="B77" s="15"/>
      <c r="C77" s="15" t="e">
        <f>VLOOKUP(B77,داتا!$B$3:$D$107,2,FALSE)</f>
        <v>#N/A</v>
      </c>
      <c r="D77" s="34" t="e">
        <f>VLOOKUP(B77,داتا!$B$3:$D$107,3,FALSE)</f>
        <v>#N/A</v>
      </c>
      <c r="E77" s="15"/>
      <c r="F77" s="15"/>
      <c r="G77" s="16">
        <v>8.3333333333333329E-2</v>
      </c>
      <c r="H77" s="16" t="e">
        <f t="shared" si="16"/>
        <v>#N/A</v>
      </c>
      <c r="I77" s="16" t="e">
        <f t="shared" si="10"/>
        <v>#N/A</v>
      </c>
      <c r="J77" s="16"/>
      <c r="K77" s="16"/>
      <c r="L77" s="16"/>
      <c r="M77" s="16"/>
      <c r="N77" s="16">
        <f t="shared" si="11"/>
        <v>0</v>
      </c>
      <c r="O77" s="16" t="e">
        <f t="shared" si="12"/>
        <v>#N/A</v>
      </c>
      <c r="P77" s="16">
        <v>6.9444444444444397E-3</v>
      </c>
      <c r="Q77" s="16"/>
      <c r="R77" s="16">
        <f t="shared" si="13"/>
        <v>-6.9444444444444397E-3</v>
      </c>
      <c r="S77" s="16"/>
      <c r="T77" s="16" t="e">
        <f>VLOOKUP(E77,'[2]21-3-2026'!E$3:T$35,16,FALSE)</f>
        <v>#N/A</v>
      </c>
      <c r="U77" s="16"/>
      <c r="V77" s="16" t="e">
        <f t="shared" si="14"/>
        <v>#N/A</v>
      </c>
      <c r="W77" s="16"/>
      <c r="X77" s="16"/>
      <c r="Y77" s="16"/>
      <c r="Z77" s="16">
        <f t="shared" si="15"/>
        <v>0</v>
      </c>
      <c r="AA77" s="16">
        <f t="shared" si="9"/>
        <v>0</v>
      </c>
      <c r="AB77" s="16"/>
      <c r="AC77" s="17"/>
      <c r="AD77" s="51"/>
    </row>
    <row r="78" spans="1:30" ht="19.5" thickBot="1" x14ac:dyDescent="0.3">
      <c r="A78" s="14">
        <v>11</v>
      </c>
      <c r="B78" s="15"/>
      <c r="C78" s="15" t="e">
        <f>VLOOKUP(B78,داتا!$B$3:$D$107,2,FALSE)</f>
        <v>#N/A</v>
      </c>
      <c r="D78" s="34" t="e">
        <f>VLOOKUP(B78,داتا!$B$3:$D$107,3,FALSE)</f>
        <v>#N/A</v>
      </c>
      <c r="E78" s="15"/>
      <c r="F78" s="15"/>
      <c r="G78" s="16">
        <v>8.3333333333333329E-2</v>
      </c>
      <c r="H78" s="16" t="e">
        <f t="shared" si="16"/>
        <v>#N/A</v>
      </c>
      <c r="I78" s="16" t="e">
        <f t="shared" si="10"/>
        <v>#N/A</v>
      </c>
      <c r="J78" s="16"/>
      <c r="K78" s="16"/>
      <c r="L78" s="16"/>
      <c r="M78" s="16"/>
      <c r="N78" s="16">
        <f t="shared" si="11"/>
        <v>0</v>
      </c>
      <c r="O78" s="16" t="e">
        <f t="shared" si="12"/>
        <v>#N/A</v>
      </c>
      <c r="P78" s="16">
        <v>6.9444444444444397E-3</v>
      </c>
      <c r="Q78" s="16"/>
      <c r="R78" s="16">
        <f t="shared" si="13"/>
        <v>-6.9444444444444397E-3</v>
      </c>
      <c r="S78" s="16"/>
      <c r="T78" s="16" t="e">
        <f>VLOOKUP(E78,'[2]21-3-2026'!E$3:T$35,16,FALSE)</f>
        <v>#N/A</v>
      </c>
      <c r="U78" s="16"/>
      <c r="V78" s="16" t="e">
        <f t="shared" si="14"/>
        <v>#N/A</v>
      </c>
      <c r="W78" s="16"/>
      <c r="X78" s="16"/>
      <c r="Y78" s="16"/>
      <c r="Z78" s="16">
        <f t="shared" si="15"/>
        <v>0</v>
      </c>
      <c r="AA78" s="16">
        <f t="shared" si="9"/>
        <v>0</v>
      </c>
      <c r="AB78" s="16"/>
      <c r="AC78" s="17"/>
      <c r="AD78" s="51"/>
    </row>
    <row r="79" spans="1:30" ht="19.5" thickBot="1" x14ac:dyDescent="0.3">
      <c r="A79" s="14">
        <v>12</v>
      </c>
      <c r="B79" s="15"/>
      <c r="C79" s="15" t="e">
        <f>VLOOKUP(B79,داتا!$B$3:$D$107,2,FALSE)</f>
        <v>#N/A</v>
      </c>
      <c r="D79" s="34" t="e">
        <f>VLOOKUP(B79,داتا!$B$3:$D$107,3,FALSE)</f>
        <v>#N/A</v>
      </c>
      <c r="E79" s="15"/>
      <c r="F79" s="15"/>
      <c r="G79" s="16">
        <v>8.3333333333333329E-2</v>
      </c>
      <c r="H79" s="16" t="e">
        <f t="shared" si="16"/>
        <v>#N/A</v>
      </c>
      <c r="I79" s="16" t="e">
        <f t="shared" si="10"/>
        <v>#N/A</v>
      </c>
      <c r="J79" s="16"/>
      <c r="K79" s="16"/>
      <c r="L79" s="16"/>
      <c r="M79" s="16"/>
      <c r="N79" s="16">
        <f t="shared" si="11"/>
        <v>0</v>
      </c>
      <c r="O79" s="16" t="e">
        <f t="shared" si="12"/>
        <v>#N/A</v>
      </c>
      <c r="P79" s="16">
        <v>6.9444444444444397E-3</v>
      </c>
      <c r="Q79" s="16"/>
      <c r="R79" s="16">
        <f t="shared" si="13"/>
        <v>-6.9444444444444397E-3</v>
      </c>
      <c r="S79" s="16"/>
      <c r="T79" s="16" t="e">
        <f>VLOOKUP(E79,'[2]21-3-2026'!E$3:T$35,16,FALSE)</f>
        <v>#N/A</v>
      </c>
      <c r="U79" s="16"/>
      <c r="V79" s="16" t="e">
        <f t="shared" si="14"/>
        <v>#N/A</v>
      </c>
      <c r="W79" s="16"/>
      <c r="X79" s="16"/>
      <c r="Y79" s="16"/>
      <c r="Z79" s="16">
        <f t="shared" si="15"/>
        <v>0</v>
      </c>
      <c r="AA79" s="16">
        <f t="shared" si="9"/>
        <v>0</v>
      </c>
      <c r="AB79" s="16"/>
      <c r="AC79" s="17"/>
      <c r="AD79" s="51"/>
    </row>
    <row r="80" spans="1:30" ht="19.5" thickBot="1" x14ac:dyDescent="0.3">
      <c r="A80" s="14">
        <v>13</v>
      </c>
      <c r="B80" s="15"/>
      <c r="C80" s="15" t="e">
        <f>VLOOKUP(B80,داتا!$B$3:$D$107,2,FALSE)</f>
        <v>#N/A</v>
      </c>
      <c r="D80" s="34" t="e">
        <f>VLOOKUP(B80,داتا!$B$3:$D$107,3,FALSE)</f>
        <v>#N/A</v>
      </c>
      <c r="E80" s="15"/>
      <c r="F80" s="15"/>
      <c r="G80" s="16">
        <v>8.3333333333333329E-2</v>
      </c>
      <c r="H80" s="16" t="e">
        <f t="shared" si="16"/>
        <v>#N/A</v>
      </c>
      <c r="I80" s="16" t="e">
        <f t="shared" si="10"/>
        <v>#N/A</v>
      </c>
      <c r="J80" s="16"/>
      <c r="K80" s="16"/>
      <c r="L80" s="16"/>
      <c r="M80" s="16"/>
      <c r="N80" s="16">
        <f t="shared" si="11"/>
        <v>0</v>
      </c>
      <c r="O80" s="16" t="e">
        <f t="shared" si="12"/>
        <v>#N/A</v>
      </c>
      <c r="P80" s="16">
        <v>6.9444444444444397E-3</v>
      </c>
      <c r="Q80" s="16"/>
      <c r="R80" s="16">
        <f t="shared" si="13"/>
        <v>-6.9444444444444397E-3</v>
      </c>
      <c r="S80" s="16"/>
      <c r="T80" s="16" t="e">
        <f>VLOOKUP(E80,'[2]21-3-2026'!E$3:T$35,16,FALSE)</f>
        <v>#N/A</v>
      </c>
      <c r="U80" s="16"/>
      <c r="V80" s="16" t="e">
        <f t="shared" si="14"/>
        <v>#N/A</v>
      </c>
      <c r="W80" s="16"/>
      <c r="X80" s="16"/>
      <c r="Y80" s="16"/>
      <c r="Z80" s="16">
        <f t="shared" si="15"/>
        <v>0</v>
      </c>
      <c r="AA80" s="16">
        <f t="shared" si="9"/>
        <v>0</v>
      </c>
      <c r="AB80" s="16"/>
      <c r="AC80" s="17"/>
      <c r="AD80" s="51"/>
    </row>
    <row r="81" spans="1:30" ht="19.5" thickBot="1" x14ac:dyDescent="0.3">
      <c r="A81" s="14">
        <v>14</v>
      </c>
      <c r="B81" s="15"/>
      <c r="C81" s="15" t="e">
        <f>VLOOKUP(B81,داتا!$B$3:$D$107,2,FALSE)</f>
        <v>#N/A</v>
      </c>
      <c r="D81" s="34" t="e">
        <f>VLOOKUP(B81,داتا!$B$3:$D$107,3,FALSE)</f>
        <v>#N/A</v>
      </c>
      <c r="E81" s="15"/>
      <c r="F81" s="15"/>
      <c r="G81" s="16">
        <v>8.3333333333333329E-2</v>
      </c>
      <c r="H81" s="16" t="e">
        <f t="shared" si="16"/>
        <v>#N/A</v>
      </c>
      <c r="I81" s="16" t="e">
        <f t="shared" si="10"/>
        <v>#N/A</v>
      </c>
      <c r="J81" s="16"/>
      <c r="K81" s="16"/>
      <c r="L81" s="16"/>
      <c r="M81" s="16"/>
      <c r="N81" s="16">
        <f t="shared" si="11"/>
        <v>0</v>
      </c>
      <c r="O81" s="16" t="e">
        <f t="shared" si="12"/>
        <v>#N/A</v>
      </c>
      <c r="P81" s="16">
        <v>6.9444444444444397E-3</v>
      </c>
      <c r="Q81" s="16"/>
      <c r="R81" s="16">
        <f t="shared" si="13"/>
        <v>-6.9444444444444397E-3</v>
      </c>
      <c r="S81" s="16"/>
      <c r="T81" s="16" t="e">
        <f>VLOOKUP(E81,'[2]21-3-2026'!E$3:T$35,16,FALSE)</f>
        <v>#N/A</v>
      </c>
      <c r="U81" s="16"/>
      <c r="V81" s="16" t="e">
        <f t="shared" si="14"/>
        <v>#N/A</v>
      </c>
      <c r="W81" s="16"/>
      <c r="X81" s="16"/>
      <c r="Y81" s="16"/>
      <c r="Z81" s="16">
        <f t="shared" si="15"/>
        <v>0</v>
      </c>
      <c r="AA81" s="16">
        <f t="shared" si="9"/>
        <v>0</v>
      </c>
      <c r="AB81" s="16"/>
      <c r="AC81" s="17"/>
      <c r="AD81" s="51"/>
    </row>
    <row r="82" spans="1:30" ht="19.5" thickBot="1" x14ac:dyDescent="0.3">
      <c r="A82" s="14">
        <v>15</v>
      </c>
      <c r="B82" s="15"/>
      <c r="C82" s="15" t="e">
        <f>VLOOKUP(B82,داتا!$B$3:$D$107,2,FALSE)</f>
        <v>#N/A</v>
      </c>
      <c r="D82" s="34" t="e">
        <f>VLOOKUP(B82,داتا!$B$3:$D$107,3,FALSE)</f>
        <v>#N/A</v>
      </c>
      <c r="E82" s="15"/>
      <c r="F82" s="15"/>
      <c r="G82" s="16">
        <v>8.3333333333333329E-2</v>
      </c>
      <c r="H82" s="16" t="e">
        <f t="shared" si="16"/>
        <v>#N/A</v>
      </c>
      <c r="I82" s="16" t="e">
        <f t="shared" si="10"/>
        <v>#N/A</v>
      </c>
      <c r="J82" s="16"/>
      <c r="K82" s="16"/>
      <c r="L82" s="16"/>
      <c r="M82" s="16"/>
      <c r="N82" s="16">
        <f t="shared" si="11"/>
        <v>0</v>
      </c>
      <c r="O82" s="16" t="e">
        <f t="shared" si="12"/>
        <v>#N/A</v>
      </c>
      <c r="P82" s="16">
        <v>6.9444444444444397E-3</v>
      </c>
      <c r="Q82" s="16"/>
      <c r="R82" s="16">
        <f t="shared" si="13"/>
        <v>-6.9444444444444397E-3</v>
      </c>
      <c r="S82" s="16"/>
      <c r="T82" s="16" t="e">
        <f>VLOOKUP(E82,'[2]21-3-2026'!E$3:T$35,16,FALSE)</f>
        <v>#N/A</v>
      </c>
      <c r="U82" s="16"/>
      <c r="V82" s="16" t="e">
        <f t="shared" si="14"/>
        <v>#N/A</v>
      </c>
      <c r="W82" s="16"/>
      <c r="X82" s="16"/>
      <c r="Y82" s="16"/>
      <c r="Z82" s="16">
        <f t="shared" si="15"/>
        <v>0</v>
      </c>
      <c r="AA82" s="16">
        <f t="shared" si="9"/>
        <v>0</v>
      </c>
      <c r="AB82" s="16"/>
      <c r="AC82" s="17"/>
      <c r="AD82" s="51"/>
    </row>
    <row r="83" spans="1:30" ht="19.5" thickBot="1" x14ac:dyDescent="0.3">
      <c r="A83" s="14">
        <v>16</v>
      </c>
      <c r="B83" s="15"/>
      <c r="C83" s="15" t="e">
        <f>VLOOKUP(B83,داتا!$B$3:$D$107,2,FALSE)</f>
        <v>#N/A</v>
      </c>
      <c r="D83" s="34" t="e">
        <f>VLOOKUP(B83,داتا!$B$3:$D$107,3,FALSE)</f>
        <v>#N/A</v>
      </c>
      <c r="E83" s="15"/>
      <c r="F83" s="15"/>
      <c r="G83" s="16">
        <v>8.3333333333333329E-2</v>
      </c>
      <c r="H83" s="16" t="e">
        <f t="shared" si="16"/>
        <v>#N/A</v>
      </c>
      <c r="I83" s="16" t="e">
        <f t="shared" si="10"/>
        <v>#N/A</v>
      </c>
      <c r="J83" s="16"/>
      <c r="K83" s="16"/>
      <c r="L83" s="16"/>
      <c r="M83" s="16"/>
      <c r="N83" s="16">
        <f t="shared" si="11"/>
        <v>0</v>
      </c>
      <c r="O83" s="16" t="e">
        <f t="shared" si="12"/>
        <v>#N/A</v>
      </c>
      <c r="P83" s="16">
        <v>6.9444444444444397E-3</v>
      </c>
      <c r="Q83" s="16"/>
      <c r="R83" s="16">
        <f t="shared" si="13"/>
        <v>-6.9444444444444397E-3</v>
      </c>
      <c r="S83" s="16"/>
      <c r="T83" s="16" t="e">
        <f>VLOOKUP(E83,'[2]21-3-2026'!E$3:T$35,16,FALSE)</f>
        <v>#N/A</v>
      </c>
      <c r="U83" s="16"/>
      <c r="V83" s="16" t="e">
        <f t="shared" si="14"/>
        <v>#N/A</v>
      </c>
      <c r="W83" s="16"/>
      <c r="X83" s="16"/>
      <c r="Y83" s="16"/>
      <c r="Z83" s="16">
        <f t="shared" si="15"/>
        <v>0</v>
      </c>
      <c r="AA83" s="16">
        <f t="shared" si="9"/>
        <v>0</v>
      </c>
      <c r="AB83" s="16"/>
      <c r="AC83" s="17"/>
      <c r="AD83" s="51"/>
    </row>
    <row r="84" spans="1:30" ht="19.5" thickBot="1" x14ac:dyDescent="0.3">
      <c r="A84" s="14">
        <v>17</v>
      </c>
      <c r="B84" s="15"/>
      <c r="C84" s="15" t="e">
        <f>VLOOKUP(B84,داتا!$B$3:$D$107,2,FALSE)</f>
        <v>#N/A</v>
      </c>
      <c r="D84" s="34" t="e">
        <f>VLOOKUP(B84,داتا!$B$3:$D$107,3,FALSE)</f>
        <v>#N/A</v>
      </c>
      <c r="E84" s="15"/>
      <c r="F84" s="15"/>
      <c r="G84" s="16">
        <v>8.3333333333333329E-2</v>
      </c>
      <c r="H84" s="16" t="e">
        <f t="shared" si="16"/>
        <v>#N/A</v>
      </c>
      <c r="I84" s="16" t="e">
        <f t="shared" si="10"/>
        <v>#N/A</v>
      </c>
      <c r="J84" s="16"/>
      <c r="K84" s="16"/>
      <c r="L84" s="16"/>
      <c r="M84" s="16"/>
      <c r="N84" s="16">
        <f t="shared" si="11"/>
        <v>0</v>
      </c>
      <c r="O84" s="16" t="e">
        <f t="shared" si="12"/>
        <v>#N/A</v>
      </c>
      <c r="P84" s="16">
        <v>6.9444444444444397E-3</v>
      </c>
      <c r="Q84" s="16"/>
      <c r="R84" s="16">
        <f t="shared" si="13"/>
        <v>-6.9444444444444397E-3</v>
      </c>
      <c r="S84" s="16"/>
      <c r="T84" s="16" t="e">
        <f>VLOOKUP(E84,'[2]21-3-2026'!E$3:T$35,16,FALSE)</f>
        <v>#N/A</v>
      </c>
      <c r="U84" s="16"/>
      <c r="V84" s="16" t="e">
        <f t="shared" si="14"/>
        <v>#N/A</v>
      </c>
      <c r="W84" s="16"/>
      <c r="X84" s="16"/>
      <c r="Y84" s="16"/>
      <c r="Z84" s="16">
        <f t="shared" si="15"/>
        <v>0</v>
      </c>
      <c r="AA84" s="16">
        <f t="shared" si="9"/>
        <v>0</v>
      </c>
      <c r="AB84" s="16"/>
      <c r="AC84" s="17"/>
      <c r="AD84" s="51"/>
    </row>
    <row r="85" spans="1:30" ht="19.5" thickBot="1" x14ac:dyDescent="0.3">
      <c r="A85" s="14">
        <v>18</v>
      </c>
      <c r="B85" s="15"/>
      <c r="C85" s="15" t="e">
        <f>VLOOKUP(B85,داتا!$B$3:$D$107,2,FALSE)</f>
        <v>#N/A</v>
      </c>
      <c r="D85" s="34" t="e">
        <f>VLOOKUP(B85,داتا!$B$3:$D$107,3,FALSE)</f>
        <v>#N/A</v>
      </c>
      <c r="E85" s="15"/>
      <c r="F85" s="15"/>
      <c r="G85" s="16">
        <v>8.3333333333333329E-2</v>
      </c>
      <c r="H85" s="16" t="e">
        <f t="shared" ref="H85:H99" si="17">VLOOKUP(G85,$F$3:$I$35,2,FALSE)</f>
        <v>#N/A</v>
      </c>
      <c r="I85" s="16" t="e">
        <f t="shared" si="10"/>
        <v>#N/A</v>
      </c>
      <c r="J85" s="16"/>
      <c r="K85" s="16"/>
      <c r="L85" s="16"/>
      <c r="M85" s="16"/>
      <c r="N85" s="16">
        <f t="shared" si="11"/>
        <v>0</v>
      </c>
      <c r="O85" s="16" t="e">
        <f t="shared" si="12"/>
        <v>#N/A</v>
      </c>
      <c r="P85" s="16">
        <v>6.9444444444444397E-3</v>
      </c>
      <c r="Q85" s="16"/>
      <c r="R85" s="16">
        <f t="shared" si="13"/>
        <v>-6.9444444444444397E-3</v>
      </c>
      <c r="S85" s="16"/>
      <c r="T85" s="16" t="e">
        <f>VLOOKUP(E85,'[2]21-3-2026'!E$3:T$35,16,FALSE)</f>
        <v>#N/A</v>
      </c>
      <c r="U85" s="16"/>
      <c r="V85" s="16" t="e">
        <f t="shared" si="14"/>
        <v>#N/A</v>
      </c>
      <c r="W85" s="16"/>
      <c r="X85" s="16"/>
      <c r="Y85" s="16"/>
      <c r="Z85" s="16">
        <f t="shared" si="15"/>
        <v>0</v>
      </c>
      <c r="AA85" s="16">
        <f t="shared" si="9"/>
        <v>0</v>
      </c>
      <c r="AB85" s="16"/>
      <c r="AC85" s="17"/>
      <c r="AD85" s="51"/>
    </row>
    <row r="86" spans="1:30" ht="19.5" thickBot="1" x14ac:dyDescent="0.3">
      <c r="A86" s="14">
        <v>19</v>
      </c>
      <c r="B86" s="15"/>
      <c r="C86" s="15" t="e">
        <f>VLOOKUP(B86,داتا!$B$3:$D$107,2,FALSE)</f>
        <v>#N/A</v>
      </c>
      <c r="D86" s="34" t="e">
        <f>VLOOKUP(B86,داتا!$B$3:$D$107,3,FALSE)</f>
        <v>#N/A</v>
      </c>
      <c r="E86" s="15"/>
      <c r="F86" s="15"/>
      <c r="G86" s="16">
        <v>8.3333333333333329E-2</v>
      </c>
      <c r="H86" s="16" t="e">
        <f t="shared" si="17"/>
        <v>#N/A</v>
      </c>
      <c r="I86" s="16" t="e">
        <f t="shared" si="10"/>
        <v>#N/A</v>
      </c>
      <c r="J86" s="16"/>
      <c r="K86" s="16"/>
      <c r="L86" s="16"/>
      <c r="M86" s="16"/>
      <c r="N86" s="16">
        <f t="shared" si="11"/>
        <v>0</v>
      </c>
      <c r="O86" s="16" t="e">
        <f t="shared" si="12"/>
        <v>#N/A</v>
      </c>
      <c r="P86" s="16">
        <v>6.9444444444444397E-3</v>
      </c>
      <c r="Q86" s="16"/>
      <c r="R86" s="16">
        <f t="shared" si="13"/>
        <v>-6.9444444444444397E-3</v>
      </c>
      <c r="S86" s="16"/>
      <c r="T86" s="16" t="e">
        <f>VLOOKUP(E86,'[2]21-3-2026'!E$3:T$35,16,FALSE)</f>
        <v>#N/A</v>
      </c>
      <c r="U86" s="16"/>
      <c r="V86" s="16" t="e">
        <f t="shared" si="14"/>
        <v>#N/A</v>
      </c>
      <c r="W86" s="16"/>
      <c r="X86" s="16"/>
      <c r="Y86" s="16"/>
      <c r="Z86" s="16">
        <f t="shared" si="15"/>
        <v>0</v>
      </c>
      <c r="AA86" s="16">
        <f t="shared" si="9"/>
        <v>0</v>
      </c>
      <c r="AB86" s="16"/>
      <c r="AC86" s="17"/>
      <c r="AD86" s="51"/>
    </row>
    <row r="87" spans="1:30" ht="19.5" thickBot="1" x14ac:dyDescent="0.3">
      <c r="A87" s="14">
        <v>20</v>
      </c>
      <c r="B87" s="15"/>
      <c r="C87" s="15" t="e">
        <f>VLOOKUP(B87,داتا!$B$3:$D$107,2,FALSE)</f>
        <v>#N/A</v>
      </c>
      <c r="D87" s="34" t="e">
        <f>VLOOKUP(B87,داتا!$B$3:$D$107,3,FALSE)</f>
        <v>#N/A</v>
      </c>
      <c r="E87" s="15"/>
      <c r="F87" s="15"/>
      <c r="G87" s="16">
        <v>8.3333333333333329E-2</v>
      </c>
      <c r="H87" s="16" t="e">
        <f t="shared" si="17"/>
        <v>#N/A</v>
      </c>
      <c r="I87" s="16" t="e">
        <f t="shared" si="10"/>
        <v>#N/A</v>
      </c>
      <c r="J87" s="16"/>
      <c r="K87" s="16"/>
      <c r="L87" s="16"/>
      <c r="M87" s="16"/>
      <c r="N87" s="16">
        <f t="shared" si="11"/>
        <v>0</v>
      </c>
      <c r="O87" s="16" t="e">
        <f t="shared" si="12"/>
        <v>#N/A</v>
      </c>
      <c r="P87" s="16">
        <v>6.9444444444444397E-3</v>
      </c>
      <c r="Q87" s="16"/>
      <c r="R87" s="16">
        <f t="shared" si="13"/>
        <v>-6.9444444444444397E-3</v>
      </c>
      <c r="S87" s="16"/>
      <c r="T87" s="16" t="e">
        <f>VLOOKUP(E87,'[2]21-3-2026'!E$3:T$35,16,FALSE)</f>
        <v>#N/A</v>
      </c>
      <c r="U87" s="16"/>
      <c r="V87" s="16" t="e">
        <f t="shared" si="14"/>
        <v>#N/A</v>
      </c>
      <c r="W87" s="16"/>
      <c r="X87" s="16"/>
      <c r="Y87" s="16"/>
      <c r="Z87" s="16">
        <f t="shared" si="15"/>
        <v>0</v>
      </c>
      <c r="AA87" s="16">
        <f t="shared" si="9"/>
        <v>0</v>
      </c>
      <c r="AB87" s="16"/>
      <c r="AC87" s="17"/>
      <c r="AD87" s="51"/>
    </row>
    <row r="88" spans="1:30" ht="19.5" thickBot="1" x14ac:dyDescent="0.3">
      <c r="A88" s="14">
        <v>21</v>
      </c>
      <c r="B88" s="15"/>
      <c r="C88" s="15" t="e">
        <f>VLOOKUP(B88,داتا!$B$3:$D$107,2,FALSE)</f>
        <v>#N/A</v>
      </c>
      <c r="D88" s="34" t="e">
        <f>VLOOKUP(B88,داتا!$B$3:$D$107,3,FALSE)</f>
        <v>#N/A</v>
      </c>
      <c r="E88" s="15"/>
      <c r="F88" s="15"/>
      <c r="G88" s="16">
        <v>8.3333333333333329E-2</v>
      </c>
      <c r="H88" s="16" t="e">
        <f t="shared" si="17"/>
        <v>#N/A</v>
      </c>
      <c r="I88" s="16" t="e">
        <f t="shared" si="10"/>
        <v>#N/A</v>
      </c>
      <c r="J88" s="16"/>
      <c r="K88" s="16"/>
      <c r="L88" s="16"/>
      <c r="M88" s="16"/>
      <c r="N88" s="16">
        <f t="shared" si="11"/>
        <v>0</v>
      </c>
      <c r="O88" s="16" t="e">
        <f t="shared" si="12"/>
        <v>#N/A</v>
      </c>
      <c r="P88" s="16">
        <v>6.9444444444444397E-3</v>
      </c>
      <c r="Q88" s="16"/>
      <c r="R88" s="16">
        <f t="shared" si="13"/>
        <v>-6.9444444444444397E-3</v>
      </c>
      <c r="S88" s="16"/>
      <c r="T88" s="16" t="e">
        <f>VLOOKUP(E88,'[2]21-3-2026'!E$3:T$35,16,FALSE)</f>
        <v>#N/A</v>
      </c>
      <c r="U88" s="16"/>
      <c r="V88" s="16" t="e">
        <f t="shared" si="14"/>
        <v>#N/A</v>
      </c>
      <c r="W88" s="16"/>
      <c r="X88" s="16"/>
      <c r="Y88" s="16"/>
      <c r="Z88" s="16">
        <f t="shared" si="15"/>
        <v>0</v>
      </c>
      <c r="AA88" s="16">
        <f t="shared" si="9"/>
        <v>0</v>
      </c>
      <c r="AB88" s="16"/>
      <c r="AC88" s="19"/>
      <c r="AD88" s="51"/>
    </row>
    <row r="89" spans="1:30" ht="19.5" thickBot="1" x14ac:dyDescent="0.3">
      <c r="A89" s="14">
        <v>22</v>
      </c>
      <c r="B89" s="15"/>
      <c r="C89" s="15" t="e">
        <f>VLOOKUP(B89,داتا!$B$3:$D$107,2,FALSE)</f>
        <v>#N/A</v>
      </c>
      <c r="D89" s="34" t="e">
        <f>VLOOKUP(B89,داتا!$B$3:$D$107,3,FALSE)</f>
        <v>#N/A</v>
      </c>
      <c r="E89" s="15"/>
      <c r="F89" s="15"/>
      <c r="G89" s="16">
        <v>8.3333333333333329E-2</v>
      </c>
      <c r="H89" s="16" t="e">
        <f t="shared" si="17"/>
        <v>#N/A</v>
      </c>
      <c r="I89" s="16" t="e">
        <f t="shared" si="10"/>
        <v>#N/A</v>
      </c>
      <c r="J89" s="16"/>
      <c r="K89" s="16"/>
      <c r="L89" s="16"/>
      <c r="M89" s="16"/>
      <c r="N89" s="16">
        <f t="shared" si="11"/>
        <v>0</v>
      </c>
      <c r="O89" s="16" t="e">
        <f t="shared" si="12"/>
        <v>#N/A</v>
      </c>
      <c r="P89" s="16">
        <v>6.9444444444444397E-3</v>
      </c>
      <c r="Q89" s="16"/>
      <c r="R89" s="16">
        <f t="shared" si="13"/>
        <v>-6.9444444444444397E-3</v>
      </c>
      <c r="S89" s="16"/>
      <c r="T89" s="16" t="e">
        <f>VLOOKUP(E89,'[2]21-3-2026'!E$3:T$35,16,FALSE)</f>
        <v>#N/A</v>
      </c>
      <c r="U89" s="16"/>
      <c r="V89" s="16" t="e">
        <f t="shared" si="14"/>
        <v>#N/A</v>
      </c>
      <c r="W89" s="16"/>
      <c r="X89" s="16"/>
      <c r="Y89" s="16"/>
      <c r="Z89" s="16">
        <f t="shared" si="15"/>
        <v>0</v>
      </c>
      <c r="AA89" s="16">
        <f t="shared" si="9"/>
        <v>0</v>
      </c>
      <c r="AB89" s="16"/>
      <c r="AC89" s="19"/>
      <c r="AD89" s="51"/>
    </row>
    <row r="90" spans="1:30" ht="19.5" thickBot="1" x14ac:dyDescent="0.3">
      <c r="A90" s="14">
        <v>23</v>
      </c>
      <c r="B90" s="15"/>
      <c r="C90" s="15" t="e">
        <f>VLOOKUP(B90,داتا!$B$3:$D$107,2,FALSE)</f>
        <v>#N/A</v>
      </c>
      <c r="D90" s="34" t="e">
        <f>VLOOKUP(B90,داتا!$B$3:$D$107,3,FALSE)</f>
        <v>#N/A</v>
      </c>
      <c r="E90" s="15"/>
      <c r="F90" s="15"/>
      <c r="G90" s="16">
        <v>8.3333333333333329E-2</v>
      </c>
      <c r="H90" s="16" t="e">
        <f t="shared" si="17"/>
        <v>#N/A</v>
      </c>
      <c r="I90" s="16" t="e">
        <f t="shared" si="10"/>
        <v>#N/A</v>
      </c>
      <c r="J90" s="16"/>
      <c r="K90" s="16"/>
      <c r="L90" s="16"/>
      <c r="M90" s="16"/>
      <c r="N90" s="16">
        <f t="shared" si="11"/>
        <v>0</v>
      </c>
      <c r="O90" s="16" t="e">
        <f t="shared" si="12"/>
        <v>#N/A</v>
      </c>
      <c r="P90" s="16">
        <v>6.9444444444444397E-3</v>
      </c>
      <c r="Q90" s="16"/>
      <c r="R90" s="16">
        <f t="shared" si="13"/>
        <v>-6.9444444444444397E-3</v>
      </c>
      <c r="S90" s="16"/>
      <c r="T90" s="16" t="e">
        <f>VLOOKUP(E90,'[2]21-3-2026'!E$3:T$35,16,FALSE)</f>
        <v>#N/A</v>
      </c>
      <c r="U90" s="16"/>
      <c r="V90" s="16" t="e">
        <f t="shared" si="14"/>
        <v>#N/A</v>
      </c>
      <c r="W90" s="16"/>
      <c r="X90" s="16"/>
      <c r="Y90" s="16"/>
      <c r="Z90" s="16">
        <f t="shared" si="15"/>
        <v>0</v>
      </c>
      <c r="AA90" s="16">
        <f t="shared" si="9"/>
        <v>0</v>
      </c>
      <c r="AB90" s="16"/>
      <c r="AC90" s="19"/>
      <c r="AD90" s="51"/>
    </row>
    <row r="91" spans="1:30" ht="19.5" thickBot="1" x14ac:dyDescent="0.3">
      <c r="A91" s="14">
        <v>24</v>
      </c>
      <c r="B91" s="15"/>
      <c r="C91" s="15" t="e">
        <f>VLOOKUP(B91,داتا!$B$3:$D$107,2,FALSE)</f>
        <v>#N/A</v>
      </c>
      <c r="D91" s="34" t="e">
        <f>VLOOKUP(B91,داتا!$B$3:$D$107,3,FALSE)</f>
        <v>#N/A</v>
      </c>
      <c r="E91" s="15"/>
      <c r="F91" s="15"/>
      <c r="G91" s="16">
        <v>8.3333333333333329E-2</v>
      </c>
      <c r="H91" s="16" t="e">
        <f t="shared" si="17"/>
        <v>#N/A</v>
      </c>
      <c r="I91" s="16" t="e">
        <f t="shared" si="10"/>
        <v>#N/A</v>
      </c>
      <c r="J91" s="16"/>
      <c r="K91" s="16"/>
      <c r="L91" s="16"/>
      <c r="M91" s="16"/>
      <c r="N91" s="16">
        <f t="shared" si="11"/>
        <v>0</v>
      </c>
      <c r="O91" s="16" t="e">
        <f t="shared" si="12"/>
        <v>#N/A</v>
      </c>
      <c r="P91" s="16">
        <v>6.9444444444444397E-3</v>
      </c>
      <c r="Q91" s="16"/>
      <c r="R91" s="16">
        <f t="shared" si="13"/>
        <v>-6.9444444444444397E-3</v>
      </c>
      <c r="S91" s="16"/>
      <c r="T91" s="16" t="e">
        <f>VLOOKUP(E91,'[2]21-3-2026'!E$3:T$35,16,FALSE)</f>
        <v>#N/A</v>
      </c>
      <c r="U91" s="16"/>
      <c r="V91" s="16" t="e">
        <f t="shared" si="14"/>
        <v>#N/A</v>
      </c>
      <c r="W91" s="16"/>
      <c r="X91" s="16"/>
      <c r="Y91" s="16"/>
      <c r="Z91" s="16">
        <f t="shared" si="15"/>
        <v>0</v>
      </c>
      <c r="AA91" s="16">
        <f t="shared" si="9"/>
        <v>0</v>
      </c>
      <c r="AB91" s="16"/>
      <c r="AC91" s="19"/>
      <c r="AD91" s="51"/>
    </row>
    <row r="92" spans="1:30" ht="19.5" thickBot="1" x14ac:dyDescent="0.3">
      <c r="A92" s="14">
        <v>25</v>
      </c>
      <c r="B92" s="15"/>
      <c r="C92" s="15" t="e">
        <f>VLOOKUP(B92,داتا!$B$3:$D$107,2,FALSE)</f>
        <v>#N/A</v>
      </c>
      <c r="D92" s="34" t="e">
        <f>VLOOKUP(B92,داتا!$B$3:$D$107,3,FALSE)</f>
        <v>#N/A</v>
      </c>
      <c r="E92" s="15"/>
      <c r="F92" s="15"/>
      <c r="G92" s="16">
        <v>8.3333333333333329E-2</v>
      </c>
      <c r="H92" s="16" t="e">
        <f t="shared" si="17"/>
        <v>#N/A</v>
      </c>
      <c r="I92" s="16" t="e">
        <f t="shared" si="10"/>
        <v>#N/A</v>
      </c>
      <c r="J92" s="16"/>
      <c r="K92" s="16"/>
      <c r="L92" s="16"/>
      <c r="M92" s="16"/>
      <c r="N92" s="16">
        <f t="shared" si="11"/>
        <v>0</v>
      </c>
      <c r="O92" s="16" t="e">
        <f t="shared" si="12"/>
        <v>#N/A</v>
      </c>
      <c r="P92" s="16">
        <v>6.9444444444444397E-3</v>
      </c>
      <c r="Q92" s="16"/>
      <c r="R92" s="16">
        <f t="shared" si="13"/>
        <v>-6.9444444444444397E-3</v>
      </c>
      <c r="S92" s="16"/>
      <c r="T92" s="16" t="e">
        <f>VLOOKUP(E92,'[2]21-3-2026'!E$3:T$35,16,FALSE)</f>
        <v>#N/A</v>
      </c>
      <c r="U92" s="16"/>
      <c r="V92" s="16" t="e">
        <f t="shared" si="14"/>
        <v>#N/A</v>
      </c>
      <c r="W92" s="16"/>
      <c r="X92" s="16"/>
      <c r="Y92" s="16"/>
      <c r="Z92" s="16">
        <f t="shared" si="15"/>
        <v>0</v>
      </c>
      <c r="AA92" s="16">
        <f t="shared" si="9"/>
        <v>0</v>
      </c>
      <c r="AB92" s="16"/>
      <c r="AC92" s="19"/>
      <c r="AD92" s="51"/>
    </row>
    <row r="93" spans="1:30" ht="19.5" thickBot="1" x14ac:dyDescent="0.3">
      <c r="A93" s="14">
        <v>26</v>
      </c>
      <c r="B93" s="15"/>
      <c r="C93" s="15" t="e">
        <f>VLOOKUP(B93,داتا!$B$3:$D$107,2,FALSE)</f>
        <v>#N/A</v>
      </c>
      <c r="D93" s="34" t="e">
        <f>VLOOKUP(B93,داتا!$B$3:$D$107,3,FALSE)</f>
        <v>#N/A</v>
      </c>
      <c r="E93" s="15"/>
      <c r="F93" s="15"/>
      <c r="G93" s="16">
        <v>8.3333333333333329E-2</v>
      </c>
      <c r="H93" s="16" t="e">
        <f t="shared" si="17"/>
        <v>#N/A</v>
      </c>
      <c r="I93" s="16" t="e">
        <f t="shared" si="10"/>
        <v>#N/A</v>
      </c>
      <c r="J93" s="16"/>
      <c r="K93" s="16"/>
      <c r="L93" s="16"/>
      <c r="M93" s="16"/>
      <c r="N93" s="16">
        <f t="shared" si="11"/>
        <v>0</v>
      </c>
      <c r="O93" s="16" t="e">
        <f t="shared" si="12"/>
        <v>#N/A</v>
      </c>
      <c r="P93" s="16">
        <v>6.9444444444444397E-3</v>
      </c>
      <c r="Q93" s="16"/>
      <c r="R93" s="16">
        <f t="shared" si="13"/>
        <v>-6.9444444444444397E-3</v>
      </c>
      <c r="S93" s="16"/>
      <c r="T93" s="16" t="e">
        <f>VLOOKUP(E93,'[2]21-3-2026'!E$3:T$35,16,FALSE)</f>
        <v>#N/A</v>
      </c>
      <c r="U93" s="16"/>
      <c r="V93" s="16" t="e">
        <f t="shared" si="14"/>
        <v>#N/A</v>
      </c>
      <c r="W93" s="16"/>
      <c r="X93" s="16"/>
      <c r="Y93" s="16"/>
      <c r="Z93" s="16">
        <f t="shared" si="15"/>
        <v>0</v>
      </c>
      <c r="AA93" s="16">
        <f t="shared" si="9"/>
        <v>0</v>
      </c>
      <c r="AB93" s="16"/>
      <c r="AC93" s="19"/>
      <c r="AD93" s="51"/>
    </row>
    <row r="94" spans="1:30" ht="19.5" thickBot="1" x14ac:dyDescent="0.3">
      <c r="A94" s="14">
        <v>27</v>
      </c>
      <c r="B94" s="15"/>
      <c r="C94" s="15" t="e">
        <f>VLOOKUP(B94,داتا!$B$3:$D$107,2,FALSE)</f>
        <v>#N/A</v>
      </c>
      <c r="D94" s="34" t="e">
        <f>VLOOKUP(B94,داتا!$B$3:$D$107,3,FALSE)</f>
        <v>#N/A</v>
      </c>
      <c r="E94" s="15"/>
      <c r="F94" s="15"/>
      <c r="G94" s="16">
        <v>8.3333333333333329E-2</v>
      </c>
      <c r="H94" s="16" t="e">
        <f t="shared" si="17"/>
        <v>#N/A</v>
      </c>
      <c r="I94" s="16" t="e">
        <f t="shared" si="10"/>
        <v>#N/A</v>
      </c>
      <c r="J94" s="16"/>
      <c r="K94" s="16"/>
      <c r="L94" s="16"/>
      <c r="M94" s="16"/>
      <c r="N94" s="16">
        <f t="shared" si="11"/>
        <v>0</v>
      </c>
      <c r="O94" s="16" t="e">
        <f t="shared" si="12"/>
        <v>#N/A</v>
      </c>
      <c r="P94" s="16">
        <v>6.9444444444444397E-3</v>
      </c>
      <c r="Q94" s="16"/>
      <c r="R94" s="16">
        <f t="shared" si="13"/>
        <v>-6.9444444444444397E-3</v>
      </c>
      <c r="S94" s="16"/>
      <c r="T94" s="16" t="e">
        <f>VLOOKUP(E94,'[2]21-3-2026'!E$3:T$35,16,FALSE)</f>
        <v>#N/A</v>
      </c>
      <c r="U94" s="16"/>
      <c r="V94" s="16" t="e">
        <f t="shared" si="14"/>
        <v>#N/A</v>
      </c>
      <c r="W94" s="16"/>
      <c r="X94" s="16"/>
      <c r="Y94" s="16"/>
      <c r="Z94" s="16">
        <f t="shared" si="15"/>
        <v>0</v>
      </c>
      <c r="AA94" s="16">
        <f t="shared" si="9"/>
        <v>0</v>
      </c>
      <c r="AB94" s="16"/>
      <c r="AC94" s="19"/>
      <c r="AD94" s="51"/>
    </row>
    <row r="95" spans="1:30" ht="19.5" thickBot="1" x14ac:dyDescent="0.3">
      <c r="A95" s="14">
        <v>28</v>
      </c>
      <c r="B95" s="15"/>
      <c r="C95" s="15" t="e">
        <f>VLOOKUP(B95,داتا!$B$3:$D$107,2,FALSE)</f>
        <v>#N/A</v>
      </c>
      <c r="D95" s="34" t="e">
        <f>VLOOKUP(B95,داتا!$B$3:$D$107,3,FALSE)</f>
        <v>#N/A</v>
      </c>
      <c r="E95" s="15"/>
      <c r="F95" s="16"/>
      <c r="G95" s="16">
        <v>8.3333333333333329E-2</v>
      </c>
      <c r="H95" s="16" t="e">
        <f t="shared" si="17"/>
        <v>#N/A</v>
      </c>
      <c r="I95" s="16" t="e">
        <f t="shared" si="10"/>
        <v>#N/A</v>
      </c>
      <c r="J95" s="16"/>
      <c r="K95" s="16"/>
      <c r="L95" s="16"/>
      <c r="M95" s="16"/>
      <c r="N95" s="16">
        <f t="shared" si="11"/>
        <v>0</v>
      </c>
      <c r="O95" s="16" t="e">
        <f t="shared" si="12"/>
        <v>#N/A</v>
      </c>
      <c r="P95" s="16">
        <v>6.9444444444444397E-3</v>
      </c>
      <c r="Q95" s="16"/>
      <c r="R95" s="16">
        <f t="shared" si="13"/>
        <v>-6.9444444444444397E-3</v>
      </c>
      <c r="S95" s="16"/>
      <c r="T95" s="16" t="e">
        <f>VLOOKUP(E95,'[2]21-3-2026'!E$3:T$35,16,FALSE)</f>
        <v>#N/A</v>
      </c>
      <c r="U95" s="16"/>
      <c r="V95" s="16" t="e">
        <f t="shared" si="14"/>
        <v>#N/A</v>
      </c>
      <c r="W95" s="16"/>
      <c r="X95" s="16"/>
      <c r="Y95" s="16"/>
      <c r="Z95" s="16">
        <f t="shared" si="15"/>
        <v>0</v>
      </c>
      <c r="AA95" s="16">
        <f t="shared" si="9"/>
        <v>0</v>
      </c>
      <c r="AB95" s="16"/>
      <c r="AC95" s="19"/>
      <c r="AD95" s="51"/>
    </row>
    <row r="96" spans="1:30" ht="19.5" thickBot="1" x14ac:dyDescent="0.3">
      <c r="A96" s="14">
        <v>29</v>
      </c>
      <c r="B96" s="15"/>
      <c r="C96" s="15" t="e">
        <f>VLOOKUP(B96,داتا!$B$3:$D$107,2,FALSE)</f>
        <v>#N/A</v>
      </c>
      <c r="D96" s="34" t="e">
        <f>VLOOKUP(B96,داتا!$B$3:$D$107,3,FALSE)</f>
        <v>#N/A</v>
      </c>
      <c r="E96" s="15"/>
      <c r="F96" s="16"/>
      <c r="G96" s="16">
        <v>8.3333333333333329E-2</v>
      </c>
      <c r="H96" s="16" t="e">
        <f t="shared" si="17"/>
        <v>#N/A</v>
      </c>
      <c r="I96" s="16" t="e">
        <f t="shared" si="10"/>
        <v>#N/A</v>
      </c>
      <c r="J96" s="16"/>
      <c r="K96" s="16"/>
      <c r="L96" s="16"/>
      <c r="M96" s="16"/>
      <c r="N96" s="16">
        <f t="shared" si="11"/>
        <v>0</v>
      </c>
      <c r="O96" s="16" t="e">
        <f t="shared" si="12"/>
        <v>#N/A</v>
      </c>
      <c r="P96" s="16">
        <v>6.9444444444444397E-3</v>
      </c>
      <c r="Q96" s="16"/>
      <c r="R96" s="16">
        <f t="shared" si="13"/>
        <v>-6.9444444444444397E-3</v>
      </c>
      <c r="S96" s="16"/>
      <c r="T96" s="16" t="e">
        <f>VLOOKUP(E96,'[2]21-3-2026'!E$3:T$35,16,FALSE)</f>
        <v>#N/A</v>
      </c>
      <c r="U96" s="16"/>
      <c r="V96" s="16" t="e">
        <f t="shared" si="14"/>
        <v>#N/A</v>
      </c>
      <c r="W96" s="16"/>
      <c r="X96" s="16"/>
      <c r="Y96" s="16"/>
      <c r="Z96" s="16">
        <f t="shared" si="15"/>
        <v>0</v>
      </c>
      <c r="AA96" s="16">
        <f t="shared" si="9"/>
        <v>0</v>
      </c>
      <c r="AB96" s="16"/>
      <c r="AC96" s="19"/>
      <c r="AD96" s="54"/>
    </row>
    <row r="97" spans="1:29" ht="19.5" thickBot="1" x14ac:dyDescent="0.3">
      <c r="A97" s="14">
        <v>30</v>
      </c>
      <c r="B97" s="15"/>
      <c r="C97" s="15" t="e">
        <f>VLOOKUP(B97,داتا!$B$3:$D$107,2,FALSE)</f>
        <v>#N/A</v>
      </c>
      <c r="D97" s="34" t="e">
        <f>VLOOKUP(B97,داتا!$B$3:$D$107,3,FALSE)</f>
        <v>#N/A</v>
      </c>
      <c r="E97" s="15"/>
      <c r="F97" s="16"/>
      <c r="G97" s="16">
        <v>8.3333333333333329E-2</v>
      </c>
      <c r="H97" s="16" t="e">
        <f t="shared" si="17"/>
        <v>#N/A</v>
      </c>
      <c r="I97" s="16" t="e">
        <f t="shared" si="10"/>
        <v>#N/A</v>
      </c>
      <c r="J97" s="16"/>
      <c r="K97" s="16"/>
      <c r="L97" s="16"/>
      <c r="M97" s="16"/>
      <c r="N97" s="16">
        <f t="shared" si="11"/>
        <v>0</v>
      </c>
      <c r="O97" s="16" t="e">
        <f t="shared" si="12"/>
        <v>#N/A</v>
      </c>
      <c r="P97" s="16">
        <v>6.9444444444444397E-3</v>
      </c>
      <c r="Q97" s="16"/>
      <c r="R97" s="16">
        <f t="shared" si="13"/>
        <v>-6.9444444444444397E-3</v>
      </c>
      <c r="S97" s="16"/>
      <c r="T97" s="16" t="e">
        <f>VLOOKUP(E97,'[2]21-3-2026'!E$3:T$35,16,FALSE)</f>
        <v>#N/A</v>
      </c>
      <c r="U97" s="16"/>
      <c r="V97" s="16" t="e">
        <f t="shared" si="14"/>
        <v>#N/A</v>
      </c>
      <c r="W97" s="16"/>
      <c r="X97" s="16"/>
      <c r="Y97" s="16"/>
      <c r="Z97" s="16">
        <f t="shared" si="15"/>
        <v>0</v>
      </c>
      <c r="AA97" s="16">
        <f t="shared" si="9"/>
        <v>0</v>
      </c>
      <c r="AB97" s="16"/>
      <c r="AC97" s="19"/>
    </row>
    <row r="98" spans="1:29" ht="19.5" thickBot="1" x14ac:dyDescent="0.3">
      <c r="A98" s="14">
        <v>31</v>
      </c>
      <c r="B98" s="15"/>
      <c r="C98" s="15" t="e">
        <f>VLOOKUP(B98,داتا!$B$3:$D$107,2,FALSE)</f>
        <v>#N/A</v>
      </c>
      <c r="D98" s="34" t="e">
        <f>VLOOKUP(B98,داتا!$B$3:$D$107,3,FALSE)</f>
        <v>#N/A</v>
      </c>
      <c r="E98" s="15"/>
      <c r="F98" s="16"/>
      <c r="G98" s="16">
        <v>8.3333333333333329E-2</v>
      </c>
      <c r="H98" s="16" t="e">
        <f t="shared" si="17"/>
        <v>#N/A</v>
      </c>
      <c r="I98" s="16" t="e">
        <f t="shared" si="10"/>
        <v>#N/A</v>
      </c>
      <c r="J98" s="16"/>
      <c r="K98" s="16"/>
      <c r="L98" s="16"/>
      <c r="M98" s="16"/>
      <c r="N98" s="16">
        <f t="shared" si="11"/>
        <v>0</v>
      </c>
      <c r="O98" s="16" t="e">
        <f t="shared" si="12"/>
        <v>#N/A</v>
      </c>
      <c r="P98" s="16">
        <v>6.9444444444444397E-3</v>
      </c>
      <c r="Q98" s="16"/>
      <c r="R98" s="16">
        <f t="shared" si="13"/>
        <v>-6.9444444444444397E-3</v>
      </c>
      <c r="S98" s="16"/>
      <c r="T98" s="16" t="e">
        <f>VLOOKUP(E98,'[2]21-3-2026'!E$3:T$35,16,FALSE)</f>
        <v>#N/A</v>
      </c>
      <c r="U98" s="16"/>
      <c r="V98" s="16" t="e">
        <f t="shared" si="14"/>
        <v>#N/A</v>
      </c>
      <c r="W98" s="16"/>
      <c r="X98" s="16"/>
      <c r="Y98" s="16"/>
      <c r="Z98" s="16">
        <f t="shared" si="15"/>
        <v>0</v>
      </c>
      <c r="AA98" s="16">
        <f t="shared" si="9"/>
        <v>0</v>
      </c>
      <c r="AB98" s="16"/>
      <c r="AC98" s="19"/>
    </row>
    <row r="99" spans="1:29" ht="19.5" thickBot="1" x14ac:dyDescent="0.3">
      <c r="A99" s="20">
        <v>32</v>
      </c>
      <c r="B99" s="21"/>
      <c r="C99" s="21" t="e">
        <f>VLOOKUP(B99,داتا!$B$3:$D$107,2,FALSE)</f>
        <v>#N/A</v>
      </c>
      <c r="D99" s="35" t="e">
        <f>VLOOKUP(B99,داتا!$B$3:$D$107,3,FALSE)</f>
        <v>#N/A</v>
      </c>
      <c r="E99" s="21"/>
      <c r="F99" s="22"/>
      <c r="G99" s="22">
        <v>8.3333333333333329E-2</v>
      </c>
      <c r="H99" s="22" t="e">
        <f t="shared" si="17"/>
        <v>#N/A</v>
      </c>
      <c r="I99" s="22" t="e">
        <f t="shared" si="10"/>
        <v>#N/A</v>
      </c>
      <c r="J99" s="22"/>
      <c r="K99" s="22"/>
      <c r="L99" s="22"/>
      <c r="M99" s="22"/>
      <c r="N99" s="22">
        <f t="shared" si="11"/>
        <v>0</v>
      </c>
      <c r="O99" s="22" t="e">
        <f t="shared" si="12"/>
        <v>#N/A</v>
      </c>
      <c r="P99" s="22">
        <v>6.9444444444444397E-3</v>
      </c>
      <c r="Q99" s="22"/>
      <c r="R99" s="22">
        <f t="shared" si="13"/>
        <v>-6.9444444444444397E-3</v>
      </c>
      <c r="S99" s="22"/>
      <c r="T99" s="22" t="e">
        <f>VLOOKUP(E99,'[2]21-3-2026'!E$3:T$35,16,FALSE)</f>
        <v>#N/A</v>
      </c>
      <c r="U99" s="22"/>
      <c r="V99" s="22" t="e">
        <f t="shared" si="14"/>
        <v>#N/A</v>
      </c>
      <c r="W99" s="22"/>
      <c r="X99" s="22"/>
      <c r="Y99" s="22"/>
      <c r="Z99" s="22">
        <f t="shared" si="15"/>
        <v>0</v>
      </c>
      <c r="AA99" s="22">
        <f t="shared" si="9"/>
        <v>0</v>
      </c>
      <c r="AB99" s="22"/>
      <c r="AC99" s="30"/>
    </row>
    <row r="100" spans="1:29" ht="16.5" thickTop="1" x14ac:dyDescent="0.25"/>
  </sheetData>
  <mergeCells count="4">
    <mergeCell ref="A1:AC1"/>
    <mergeCell ref="AD3:AD35"/>
    <mergeCell ref="AD36:AD67"/>
    <mergeCell ref="AD68:AD96"/>
  </mergeCells>
  <conditionalFormatting sqref="AC1:AC96 AC100:AC1048576">
    <cfRule type="containsText" dxfId="149" priority="14" operator="containsText" text="ت">
      <formula>NOT(ISERROR(SEARCH("ت",AC1)))</formula>
    </cfRule>
  </conditionalFormatting>
  <conditionalFormatting sqref="AC4:AC96">
    <cfRule type="containsText" dxfId="148" priority="13" operator="containsText" text="ت">
      <formula>NOT(ISERROR(SEARCH("ت",AC4)))</formula>
    </cfRule>
  </conditionalFormatting>
  <conditionalFormatting sqref="O1:O2 I1:I2 R1:R2 V1:V2 AA100:AA1048576 V100:V1048576 R100:R1048576 O100:O1048576 I100:I1048576 AA1:AA2">
    <cfRule type="cellIs" dxfId="147" priority="15" operator="between">
      <formula>0.00277777777777778</formula>
      <formula>1</formula>
    </cfRule>
  </conditionalFormatting>
  <conditionalFormatting sqref="AC97:AC99">
    <cfRule type="containsText" dxfId="146" priority="12" operator="containsText" text="ت">
      <formula>NOT(ISERROR(SEARCH("ت",AC97)))</formula>
    </cfRule>
  </conditionalFormatting>
  <conditionalFormatting sqref="AC97:AC99">
    <cfRule type="containsText" dxfId="145" priority="11" operator="containsText" text="ت">
      <formula>NOT(ISERROR(SEARCH("ت",AC97)))</formula>
    </cfRule>
  </conditionalFormatting>
  <conditionalFormatting sqref="I3:I99">
    <cfRule type="cellIs" dxfId="144" priority="9" operator="between">
      <formula>0.00277777777777778</formula>
      <formula>1</formula>
    </cfRule>
  </conditionalFormatting>
  <conditionalFormatting sqref="I3:I99">
    <cfRule type="cellIs" dxfId="143" priority="10" operator="between">
      <formula>0.00277777777777778</formula>
      <formula>1</formula>
    </cfRule>
  </conditionalFormatting>
  <conditionalFormatting sqref="O3:O99">
    <cfRule type="cellIs" dxfId="142" priority="7" operator="between">
      <formula>0.00277777777777778</formula>
      <formula>1</formula>
    </cfRule>
  </conditionalFormatting>
  <conditionalFormatting sqref="O3:O99">
    <cfRule type="cellIs" dxfId="141" priority="8" operator="between">
      <formula>0.00277777777777778</formula>
      <formula>1</formula>
    </cfRule>
  </conditionalFormatting>
  <conditionalFormatting sqref="R3:R99">
    <cfRule type="cellIs" dxfId="140" priority="5" operator="between">
      <formula>0.00277777777777778</formula>
      <formula>1</formula>
    </cfRule>
  </conditionalFormatting>
  <conditionalFormatting sqref="R3:R99">
    <cfRule type="cellIs" dxfId="139" priority="6" operator="between">
      <formula>0.00277777777777778</formula>
      <formula>1</formula>
    </cfRule>
  </conditionalFormatting>
  <conditionalFormatting sqref="V3:V99">
    <cfRule type="cellIs" dxfId="138" priority="3" operator="between">
      <formula>0.00277777777777778</formula>
      <formula>1</formula>
    </cfRule>
  </conditionalFormatting>
  <conditionalFormatting sqref="V3:V99">
    <cfRule type="cellIs" dxfId="137" priority="4" operator="between">
      <formula>0.00277777777777778</formula>
      <formula>1</formula>
    </cfRule>
  </conditionalFormatting>
  <conditionalFormatting sqref="AA3:AA99">
    <cfRule type="cellIs" dxfId="136" priority="1" operator="between">
      <formula>0.00277777777777778</formula>
      <formula>1</formula>
    </cfRule>
  </conditionalFormatting>
  <conditionalFormatting sqref="AA3:AA99">
    <cfRule type="cellIs" dxfId="135" priority="2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"/>
  <sheetViews>
    <sheetView rightToLeft="1" workbookViewId="0">
      <pane xSplit="6" ySplit="2" topLeftCell="G68" activePane="bottomRight" state="frozen"/>
      <selection activeCell="A92" sqref="A92"/>
      <selection pane="topRight" activeCell="A92" sqref="A92"/>
      <selection pane="bottomLeft" activeCell="A92" sqref="A92"/>
      <selection pane="bottomRight" activeCell="A92" sqref="A92"/>
    </sheetView>
  </sheetViews>
  <sheetFormatPr defaultColWidth="9" defaultRowHeight="15.75" x14ac:dyDescent="0.25"/>
  <cols>
    <col min="1" max="1" width="5.42578125" customWidth="1"/>
    <col min="2" max="2" width="12.28515625" customWidth="1"/>
    <col min="3" max="3" width="12.5703125" customWidth="1"/>
    <col min="4" max="4" width="16.140625" style="36" customWidth="1"/>
    <col min="5" max="5" width="17.140625" customWidth="1"/>
    <col min="6" max="6" width="20.85546875" customWidth="1"/>
    <col min="7" max="7" width="12.7109375" customWidth="1"/>
    <col min="8" max="9" width="12.85546875" customWidth="1"/>
    <col min="10" max="10" width="12.5703125" customWidth="1"/>
    <col min="11" max="11" width="14.28515625" customWidth="1"/>
    <col min="12" max="12" width="22.7109375" customWidth="1"/>
    <col min="13" max="13" width="18.8554687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3.85546875" style="31" customWidth="1"/>
    <col min="30" max="30" width="11.140625" customWidth="1"/>
  </cols>
  <sheetData>
    <row r="1" spans="1:30" ht="33.75" customHeight="1" thickBot="1" x14ac:dyDescent="0.3">
      <c r="A1" s="46" t="s">
        <v>119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0" ht="49.5" customHeight="1" thickTop="1" thickBot="1" x14ac:dyDescent="0.3">
      <c r="A2" s="1" t="s">
        <v>1</v>
      </c>
      <c r="B2" s="2" t="s">
        <v>2</v>
      </c>
      <c r="C2" s="2" t="s">
        <v>3</v>
      </c>
      <c r="D2" s="3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8" t="s">
        <v>18</v>
      </c>
      <c r="S2" s="2" t="s">
        <v>19</v>
      </c>
      <c r="T2" s="8" t="s">
        <v>20</v>
      </c>
      <c r="U2" s="2" t="s">
        <v>21</v>
      </c>
      <c r="V2" s="8" t="s">
        <v>22</v>
      </c>
      <c r="W2" s="8" t="s">
        <v>23</v>
      </c>
      <c r="X2" s="2" t="s">
        <v>24</v>
      </c>
      <c r="Y2" s="2" t="s">
        <v>25</v>
      </c>
      <c r="Z2" s="2" t="s">
        <v>26</v>
      </c>
      <c r="AA2" s="8" t="s">
        <v>27</v>
      </c>
      <c r="AB2" s="2" t="s">
        <v>28</v>
      </c>
      <c r="AC2" s="9" t="s">
        <v>29</v>
      </c>
    </row>
    <row r="3" spans="1:30" ht="20.25" customHeight="1" thickTop="1" thickBot="1" x14ac:dyDescent="0.3">
      <c r="A3" s="10">
        <v>1</v>
      </c>
      <c r="B3" s="11"/>
      <c r="C3" s="11" t="e">
        <f>VLOOKUP(B3,داتا!$B$3:$D$107,2,FALSE)</f>
        <v>#N/A</v>
      </c>
      <c r="D3" s="33" t="e">
        <f>VLOOKUP(B3,داتا!$B$3:$D$107,3,FALSE)</f>
        <v>#N/A</v>
      </c>
      <c r="E3" s="11"/>
      <c r="F3" s="11"/>
      <c r="G3" s="12">
        <v>0.25</v>
      </c>
      <c r="H3" s="12"/>
      <c r="I3" s="12">
        <f>H3-G3</f>
        <v>-0.25</v>
      </c>
      <c r="J3" s="12"/>
      <c r="K3" s="12"/>
      <c r="L3" s="12"/>
      <c r="M3" s="12"/>
      <c r="N3" s="12">
        <f>K3-J3</f>
        <v>0</v>
      </c>
      <c r="O3" s="12" t="e">
        <f>N3-D3</f>
        <v>#N/A</v>
      </c>
      <c r="P3" s="12">
        <v>6.9444444444444397E-3</v>
      </c>
      <c r="Q3" s="12"/>
      <c r="R3" s="12">
        <f>Q3-P3-K3</f>
        <v>-6.9444444444444397E-3</v>
      </c>
      <c r="S3" s="12"/>
      <c r="T3" s="12" t="e">
        <f>VLOOKUP(E3,'[2]21-3-2026'!E$3:T$35,16,FALSE)</f>
        <v>#N/A</v>
      </c>
      <c r="U3" s="12"/>
      <c r="V3" s="12" t="e">
        <f>U3-T3-S3</f>
        <v>#N/A</v>
      </c>
      <c r="W3" s="12"/>
      <c r="X3" s="12"/>
      <c r="Y3" s="12"/>
      <c r="Z3" s="12">
        <f>Y3-X3</f>
        <v>0</v>
      </c>
      <c r="AA3" s="12">
        <f t="shared" ref="AA3:AA66" si="0">Z3-W3</f>
        <v>0</v>
      </c>
      <c r="AB3" s="12"/>
      <c r="AC3" s="13"/>
      <c r="AD3" s="47" t="s">
        <v>33</v>
      </c>
    </row>
    <row r="4" spans="1:30" ht="19.5" thickBot="1" x14ac:dyDescent="0.3">
      <c r="A4" s="14">
        <v>2</v>
      </c>
      <c r="B4" s="15"/>
      <c r="C4" s="15" t="e">
        <f>VLOOKUP(B4,داتا!$B$3:$D$107,2,FALSE)</f>
        <v>#N/A</v>
      </c>
      <c r="D4" s="34" t="e">
        <f>VLOOKUP(B4,داتا!$B$3:$D$107,3,FALSE)</f>
        <v>#N/A</v>
      </c>
      <c r="E4" s="15"/>
      <c r="F4" s="15"/>
      <c r="G4" s="16">
        <v>0.25</v>
      </c>
      <c r="H4" s="16"/>
      <c r="I4" s="16">
        <f t="shared" ref="I4:I67" si="1">H4-G4</f>
        <v>-0.25</v>
      </c>
      <c r="J4" s="16"/>
      <c r="K4" s="16"/>
      <c r="L4" s="16"/>
      <c r="M4" s="16"/>
      <c r="N4" s="16">
        <f t="shared" ref="N4:N67" si="2">K4-J4</f>
        <v>0</v>
      </c>
      <c r="O4" s="16" t="e">
        <f t="shared" ref="O4:O67" si="3">N4-D4</f>
        <v>#N/A</v>
      </c>
      <c r="P4" s="16">
        <v>6.9444444444444397E-3</v>
      </c>
      <c r="Q4" s="16"/>
      <c r="R4" s="16">
        <f t="shared" ref="R4:R67" si="4">Q4-P4-K4</f>
        <v>-6.9444444444444397E-3</v>
      </c>
      <c r="S4" s="16"/>
      <c r="T4" s="16" t="e">
        <f>VLOOKUP(E4,'[2]21-3-2026'!E$3:T$35,16,FALSE)</f>
        <v>#N/A</v>
      </c>
      <c r="U4" s="16"/>
      <c r="V4" s="16" t="e">
        <f t="shared" ref="V4:V67" si="5">U4-T4-S4</f>
        <v>#N/A</v>
      </c>
      <c r="W4" s="16"/>
      <c r="X4" s="16"/>
      <c r="Y4" s="16"/>
      <c r="Z4" s="16">
        <f t="shared" ref="Z4:Z67" si="6">Y4-X4</f>
        <v>0</v>
      </c>
      <c r="AA4" s="16">
        <f t="shared" si="0"/>
        <v>0</v>
      </c>
      <c r="AB4" s="16"/>
      <c r="AC4" s="17"/>
      <c r="AD4" s="48"/>
    </row>
    <row r="5" spans="1:30" ht="19.5" thickBot="1" x14ac:dyDescent="0.3">
      <c r="A5" s="14">
        <v>3</v>
      </c>
      <c r="B5" s="15"/>
      <c r="C5" s="15" t="e">
        <f>VLOOKUP(B5,داتا!$B$3:$D$107,2,FALSE)</f>
        <v>#N/A</v>
      </c>
      <c r="D5" s="34" t="e">
        <f>VLOOKUP(B5,داتا!$B$3:$D$107,3,FALSE)</f>
        <v>#N/A</v>
      </c>
      <c r="E5" s="15"/>
      <c r="F5" s="15"/>
      <c r="G5" s="16">
        <v>0.25</v>
      </c>
      <c r="H5" s="16"/>
      <c r="I5" s="16">
        <f t="shared" si="1"/>
        <v>-0.25</v>
      </c>
      <c r="J5" s="16"/>
      <c r="K5" s="16"/>
      <c r="L5" s="16"/>
      <c r="M5" s="16"/>
      <c r="N5" s="16">
        <f t="shared" si="2"/>
        <v>0</v>
      </c>
      <c r="O5" s="16" t="e">
        <f t="shared" si="3"/>
        <v>#N/A</v>
      </c>
      <c r="P5" s="16">
        <v>6.9444444444444397E-3</v>
      </c>
      <c r="Q5" s="16"/>
      <c r="R5" s="16">
        <f t="shared" si="4"/>
        <v>-6.9444444444444397E-3</v>
      </c>
      <c r="S5" s="16"/>
      <c r="T5" s="16" t="e">
        <f>VLOOKUP(E5,'[2]21-3-2026'!E$3:T$35,16,FALSE)</f>
        <v>#N/A</v>
      </c>
      <c r="U5" s="16"/>
      <c r="V5" s="16" t="e">
        <f t="shared" si="5"/>
        <v>#N/A</v>
      </c>
      <c r="W5" s="16"/>
      <c r="X5" s="16"/>
      <c r="Y5" s="16"/>
      <c r="Z5" s="16">
        <f t="shared" si="6"/>
        <v>0</v>
      </c>
      <c r="AA5" s="16">
        <f t="shared" si="0"/>
        <v>0</v>
      </c>
      <c r="AB5" s="16"/>
      <c r="AC5" s="17"/>
      <c r="AD5" s="48"/>
    </row>
    <row r="6" spans="1:30" ht="19.5" thickBot="1" x14ac:dyDescent="0.3">
      <c r="A6" s="14">
        <v>4</v>
      </c>
      <c r="B6" s="15"/>
      <c r="C6" s="15" t="e">
        <f>VLOOKUP(B6,داتا!$B$3:$D$107,2,FALSE)</f>
        <v>#N/A</v>
      </c>
      <c r="D6" s="34" t="e">
        <f>VLOOKUP(B6,داتا!$B$3:$D$107,3,FALSE)</f>
        <v>#N/A</v>
      </c>
      <c r="E6" s="15"/>
      <c r="F6" s="15"/>
      <c r="G6" s="16">
        <v>0.25</v>
      </c>
      <c r="H6" s="16"/>
      <c r="I6" s="16">
        <f t="shared" si="1"/>
        <v>-0.25</v>
      </c>
      <c r="J6" s="16"/>
      <c r="K6" s="16"/>
      <c r="L6" s="16"/>
      <c r="M6" s="16"/>
      <c r="N6" s="16">
        <f t="shared" si="2"/>
        <v>0</v>
      </c>
      <c r="O6" s="16" t="e">
        <f t="shared" si="3"/>
        <v>#N/A</v>
      </c>
      <c r="P6" s="16">
        <v>6.9444444444444397E-3</v>
      </c>
      <c r="Q6" s="16"/>
      <c r="R6" s="16">
        <f t="shared" si="4"/>
        <v>-6.9444444444444397E-3</v>
      </c>
      <c r="S6" s="16"/>
      <c r="T6" s="16" t="e">
        <f>VLOOKUP(E6,'[2]21-3-2026'!E$3:T$35,16,FALSE)</f>
        <v>#N/A</v>
      </c>
      <c r="U6" s="16"/>
      <c r="V6" s="16" t="e">
        <f t="shared" si="5"/>
        <v>#N/A</v>
      </c>
      <c r="W6" s="16"/>
      <c r="X6" s="16"/>
      <c r="Y6" s="16"/>
      <c r="Z6" s="16">
        <f t="shared" si="6"/>
        <v>0</v>
      </c>
      <c r="AA6" s="16">
        <f t="shared" si="0"/>
        <v>0</v>
      </c>
      <c r="AB6" s="16"/>
      <c r="AC6" s="17"/>
      <c r="AD6" s="48"/>
    </row>
    <row r="7" spans="1:30" ht="19.5" thickBot="1" x14ac:dyDescent="0.3">
      <c r="A7" s="14">
        <v>5</v>
      </c>
      <c r="B7" s="15"/>
      <c r="C7" s="15" t="e">
        <f>VLOOKUP(B7,داتا!$B$3:$D$107,2,FALSE)</f>
        <v>#N/A</v>
      </c>
      <c r="D7" s="34" t="e">
        <f>VLOOKUP(B7,داتا!$B$3:$D$107,3,FALSE)</f>
        <v>#N/A</v>
      </c>
      <c r="E7" s="15"/>
      <c r="F7" s="15"/>
      <c r="G7" s="16">
        <v>0.25</v>
      </c>
      <c r="H7" s="16"/>
      <c r="I7" s="16">
        <f t="shared" si="1"/>
        <v>-0.25</v>
      </c>
      <c r="J7" s="16"/>
      <c r="K7" s="16"/>
      <c r="L7" s="16"/>
      <c r="M7" s="16"/>
      <c r="N7" s="16">
        <f t="shared" si="2"/>
        <v>0</v>
      </c>
      <c r="O7" s="16" t="e">
        <f t="shared" si="3"/>
        <v>#N/A</v>
      </c>
      <c r="P7" s="16">
        <v>6.9444444444444397E-3</v>
      </c>
      <c r="Q7" s="16"/>
      <c r="R7" s="16">
        <f t="shared" si="4"/>
        <v>-6.9444444444444397E-3</v>
      </c>
      <c r="S7" s="16"/>
      <c r="T7" s="16" t="e">
        <f>VLOOKUP(E7,'[2]21-3-2026'!E$3:T$35,16,FALSE)</f>
        <v>#N/A</v>
      </c>
      <c r="U7" s="16"/>
      <c r="V7" s="16" t="e">
        <f t="shared" si="5"/>
        <v>#N/A</v>
      </c>
      <c r="W7" s="16"/>
      <c r="X7" s="16"/>
      <c r="Y7" s="16"/>
      <c r="Z7" s="16">
        <f t="shared" si="6"/>
        <v>0</v>
      </c>
      <c r="AA7" s="16">
        <f t="shared" si="0"/>
        <v>0</v>
      </c>
      <c r="AB7" s="16"/>
      <c r="AC7" s="17"/>
      <c r="AD7" s="48"/>
    </row>
    <row r="8" spans="1:30" ht="19.5" thickBot="1" x14ac:dyDescent="0.3">
      <c r="A8" s="14">
        <v>6</v>
      </c>
      <c r="B8" s="15"/>
      <c r="C8" s="15" t="e">
        <f>VLOOKUP(B8,داتا!$B$3:$D$107,2,FALSE)</f>
        <v>#N/A</v>
      </c>
      <c r="D8" s="34" t="e">
        <f>VLOOKUP(B8,داتا!$B$3:$D$107,3,FALSE)</f>
        <v>#N/A</v>
      </c>
      <c r="E8" s="15"/>
      <c r="F8" s="15"/>
      <c r="G8" s="16">
        <v>0.25</v>
      </c>
      <c r="H8" s="16"/>
      <c r="I8" s="16">
        <f t="shared" si="1"/>
        <v>-0.25</v>
      </c>
      <c r="J8" s="16"/>
      <c r="K8" s="16"/>
      <c r="L8" s="16"/>
      <c r="M8" s="16"/>
      <c r="N8" s="16">
        <f t="shared" si="2"/>
        <v>0</v>
      </c>
      <c r="O8" s="16" t="e">
        <f t="shared" si="3"/>
        <v>#N/A</v>
      </c>
      <c r="P8" s="16">
        <v>6.9444444444444397E-3</v>
      </c>
      <c r="Q8" s="16"/>
      <c r="R8" s="16">
        <f t="shared" si="4"/>
        <v>-6.9444444444444397E-3</v>
      </c>
      <c r="S8" s="16"/>
      <c r="T8" s="16" t="e">
        <f>VLOOKUP(E8,'[2]21-3-2026'!E$3:T$35,16,FALSE)</f>
        <v>#N/A</v>
      </c>
      <c r="U8" s="16"/>
      <c r="V8" s="16" t="e">
        <f t="shared" si="5"/>
        <v>#N/A</v>
      </c>
      <c r="W8" s="16"/>
      <c r="X8" s="16"/>
      <c r="Y8" s="16"/>
      <c r="Z8" s="16">
        <f t="shared" si="6"/>
        <v>0</v>
      </c>
      <c r="AA8" s="16">
        <f t="shared" si="0"/>
        <v>0</v>
      </c>
      <c r="AB8" s="16"/>
      <c r="AC8" s="18"/>
      <c r="AD8" s="48"/>
    </row>
    <row r="9" spans="1:30" ht="19.5" thickBot="1" x14ac:dyDescent="0.3">
      <c r="A9" s="14">
        <v>7</v>
      </c>
      <c r="B9" s="15"/>
      <c r="C9" s="15" t="e">
        <f>VLOOKUP(B9,داتا!$B$3:$D$107,2,FALSE)</f>
        <v>#N/A</v>
      </c>
      <c r="D9" s="34" t="e">
        <f>VLOOKUP(B9,داتا!$B$3:$D$107,3,FALSE)</f>
        <v>#N/A</v>
      </c>
      <c r="E9" s="15"/>
      <c r="F9" s="15"/>
      <c r="G9" s="16">
        <v>0.25</v>
      </c>
      <c r="H9" s="16"/>
      <c r="I9" s="16">
        <f t="shared" si="1"/>
        <v>-0.25</v>
      </c>
      <c r="J9" s="16"/>
      <c r="K9" s="16"/>
      <c r="L9" s="16"/>
      <c r="M9" s="16"/>
      <c r="N9" s="16">
        <f t="shared" si="2"/>
        <v>0</v>
      </c>
      <c r="O9" s="16" t="e">
        <f t="shared" si="3"/>
        <v>#N/A</v>
      </c>
      <c r="P9" s="16">
        <v>6.9444444444444397E-3</v>
      </c>
      <c r="Q9" s="16"/>
      <c r="R9" s="16">
        <f t="shared" si="4"/>
        <v>-6.9444444444444397E-3</v>
      </c>
      <c r="S9" s="16"/>
      <c r="T9" s="16" t="e">
        <f>VLOOKUP(E9,'[2]21-3-2026'!E$3:T$35,16,FALSE)</f>
        <v>#N/A</v>
      </c>
      <c r="U9" s="16"/>
      <c r="V9" s="16" t="e">
        <f t="shared" si="5"/>
        <v>#N/A</v>
      </c>
      <c r="W9" s="16"/>
      <c r="X9" s="16"/>
      <c r="Y9" s="16"/>
      <c r="Z9" s="16">
        <f t="shared" si="6"/>
        <v>0</v>
      </c>
      <c r="AA9" s="16">
        <f t="shared" si="0"/>
        <v>0</v>
      </c>
      <c r="AB9" s="16"/>
      <c r="AC9" s="17"/>
      <c r="AD9" s="48"/>
    </row>
    <row r="10" spans="1:30" ht="19.5" thickBot="1" x14ac:dyDescent="0.3">
      <c r="A10" s="14">
        <v>8</v>
      </c>
      <c r="B10" s="15"/>
      <c r="C10" s="15" t="e">
        <f>VLOOKUP(B10,داتا!$B$3:$D$107,2,FALSE)</f>
        <v>#N/A</v>
      </c>
      <c r="D10" s="34" t="e">
        <f>VLOOKUP(B10,داتا!$B$3:$D$107,3,FALSE)</f>
        <v>#N/A</v>
      </c>
      <c r="E10" s="15"/>
      <c r="F10" s="15"/>
      <c r="G10" s="16">
        <v>0.25</v>
      </c>
      <c r="H10" s="16"/>
      <c r="I10" s="16">
        <f t="shared" si="1"/>
        <v>-0.25</v>
      </c>
      <c r="J10" s="16"/>
      <c r="K10" s="16"/>
      <c r="L10" s="16"/>
      <c r="M10" s="16"/>
      <c r="N10" s="16">
        <f t="shared" si="2"/>
        <v>0</v>
      </c>
      <c r="O10" s="16" t="e">
        <f t="shared" si="3"/>
        <v>#N/A</v>
      </c>
      <c r="P10" s="16">
        <v>6.9444444444444397E-3</v>
      </c>
      <c r="Q10" s="16"/>
      <c r="R10" s="16">
        <f t="shared" si="4"/>
        <v>-6.9444444444444397E-3</v>
      </c>
      <c r="S10" s="16"/>
      <c r="T10" s="16" t="e">
        <f>VLOOKUP(E10,'[2]21-3-2026'!E$3:T$35,16,FALSE)</f>
        <v>#N/A</v>
      </c>
      <c r="U10" s="16"/>
      <c r="V10" s="16" t="e">
        <f t="shared" si="5"/>
        <v>#N/A</v>
      </c>
      <c r="W10" s="16"/>
      <c r="X10" s="16"/>
      <c r="Y10" s="16"/>
      <c r="Z10" s="16">
        <f t="shared" si="6"/>
        <v>0</v>
      </c>
      <c r="AA10" s="16">
        <f t="shared" si="0"/>
        <v>0</v>
      </c>
      <c r="AB10" s="16"/>
      <c r="AC10" s="17"/>
      <c r="AD10" s="48"/>
    </row>
    <row r="11" spans="1:30" ht="19.5" thickBot="1" x14ac:dyDescent="0.3">
      <c r="A11" s="14">
        <v>9</v>
      </c>
      <c r="B11" s="15"/>
      <c r="C11" s="15" t="e">
        <f>VLOOKUP(B11,داتا!$B$3:$D$107,2,FALSE)</f>
        <v>#N/A</v>
      </c>
      <c r="D11" s="34" t="e">
        <f>VLOOKUP(B11,داتا!$B$3:$D$107,3,FALSE)</f>
        <v>#N/A</v>
      </c>
      <c r="E11" s="15"/>
      <c r="F11" s="15"/>
      <c r="G11" s="16">
        <v>0.25</v>
      </c>
      <c r="H11" s="16"/>
      <c r="I11" s="16">
        <f t="shared" si="1"/>
        <v>-0.25</v>
      </c>
      <c r="J11" s="16"/>
      <c r="K11" s="16"/>
      <c r="L11" s="16"/>
      <c r="M11" s="16"/>
      <c r="N11" s="16">
        <f t="shared" si="2"/>
        <v>0</v>
      </c>
      <c r="O11" s="16" t="e">
        <f t="shared" si="3"/>
        <v>#N/A</v>
      </c>
      <c r="P11" s="16">
        <v>6.9444444444444397E-3</v>
      </c>
      <c r="Q11" s="16"/>
      <c r="R11" s="16">
        <f t="shared" si="4"/>
        <v>-6.9444444444444397E-3</v>
      </c>
      <c r="S11" s="16"/>
      <c r="T11" s="16" t="e">
        <f>VLOOKUP(E11,'[2]21-3-2026'!E$3:T$35,16,FALSE)</f>
        <v>#N/A</v>
      </c>
      <c r="U11" s="16"/>
      <c r="V11" s="16" t="e">
        <f t="shared" si="5"/>
        <v>#N/A</v>
      </c>
      <c r="W11" s="16"/>
      <c r="X11" s="16"/>
      <c r="Y11" s="16"/>
      <c r="Z11" s="16">
        <f t="shared" si="6"/>
        <v>0</v>
      </c>
      <c r="AA11" s="16">
        <f t="shared" si="0"/>
        <v>0</v>
      </c>
      <c r="AB11" s="16"/>
      <c r="AC11" s="17"/>
      <c r="AD11" s="48"/>
    </row>
    <row r="12" spans="1:30" ht="19.5" thickBot="1" x14ac:dyDescent="0.3">
      <c r="A12" s="14">
        <v>10</v>
      </c>
      <c r="B12" s="15"/>
      <c r="C12" s="15" t="e">
        <f>VLOOKUP(B12,داتا!$B$3:$D$107,2,FALSE)</f>
        <v>#N/A</v>
      </c>
      <c r="D12" s="34" t="e">
        <f>VLOOKUP(B12,داتا!$B$3:$D$107,3,FALSE)</f>
        <v>#N/A</v>
      </c>
      <c r="E12" s="15"/>
      <c r="F12" s="15"/>
      <c r="G12" s="16">
        <v>0.25</v>
      </c>
      <c r="H12" s="16"/>
      <c r="I12" s="16">
        <f t="shared" si="1"/>
        <v>-0.25</v>
      </c>
      <c r="J12" s="16"/>
      <c r="K12" s="16"/>
      <c r="L12" s="16"/>
      <c r="M12" s="16"/>
      <c r="N12" s="16">
        <f t="shared" si="2"/>
        <v>0</v>
      </c>
      <c r="O12" s="16" t="e">
        <f t="shared" si="3"/>
        <v>#N/A</v>
      </c>
      <c r="P12" s="16">
        <v>6.9444444444444397E-3</v>
      </c>
      <c r="Q12" s="16"/>
      <c r="R12" s="16">
        <f t="shared" si="4"/>
        <v>-6.9444444444444397E-3</v>
      </c>
      <c r="S12" s="16"/>
      <c r="T12" s="16" t="e">
        <f>VLOOKUP(E12,'[2]21-3-2026'!E$3:T$35,16,FALSE)</f>
        <v>#N/A</v>
      </c>
      <c r="U12" s="16"/>
      <c r="V12" s="16" t="e">
        <f t="shared" si="5"/>
        <v>#N/A</v>
      </c>
      <c r="W12" s="16"/>
      <c r="X12" s="16"/>
      <c r="Y12" s="16"/>
      <c r="Z12" s="16">
        <f t="shared" si="6"/>
        <v>0</v>
      </c>
      <c r="AA12" s="16">
        <f t="shared" si="0"/>
        <v>0</v>
      </c>
      <c r="AB12" s="16"/>
      <c r="AC12" s="17"/>
      <c r="AD12" s="48"/>
    </row>
    <row r="13" spans="1:30" ht="19.5" thickBot="1" x14ac:dyDescent="0.3">
      <c r="A13" s="14">
        <v>11</v>
      </c>
      <c r="B13" s="15"/>
      <c r="C13" s="15" t="e">
        <f>VLOOKUP(B13,داتا!$B$3:$D$107,2,FALSE)</f>
        <v>#N/A</v>
      </c>
      <c r="D13" s="34" t="e">
        <f>VLOOKUP(B13,داتا!$B$3:$D$107,3,FALSE)</f>
        <v>#N/A</v>
      </c>
      <c r="E13" s="15"/>
      <c r="F13" s="15"/>
      <c r="G13" s="16">
        <v>0.25</v>
      </c>
      <c r="H13" s="16"/>
      <c r="I13" s="16">
        <f t="shared" si="1"/>
        <v>-0.25</v>
      </c>
      <c r="J13" s="16"/>
      <c r="K13" s="16"/>
      <c r="L13" s="16"/>
      <c r="M13" s="16"/>
      <c r="N13" s="16">
        <f t="shared" si="2"/>
        <v>0</v>
      </c>
      <c r="O13" s="16" t="e">
        <f t="shared" si="3"/>
        <v>#N/A</v>
      </c>
      <c r="P13" s="16">
        <v>6.9444444444444397E-3</v>
      </c>
      <c r="Q13" s="16"/>
      <c r="R13" s="16">
        <f t="shared" si="4"/>
        <v>-6.9444444444444397E-3</v>
      </c>
      <c r="S13" s="16"/>
      <c r="T13" s="16" t="e">
        <f>VLOOKUP(E13,'[2]21-3-2026'!E$3:T$35,16,FALSE)</f>
        <v>#N/A</v>
      </c>
      <c r="U13" s="16"/>
      <c r="V13" s="16" t="e">
        <f t="shared" si="5"/>
        <v>#N/A</v>
      </c>
      <c r="W13" s="16"/>
      <c r="X13" s="16"/>
      <c r="Y13" s="16"/>
      <c r="Z13" s="16">
        <f t="shared" si="6"/>
        <v>0</v>
      </c>
      <c r="AA13" s="16">
        <f t="shared" si="0"/>
        <v>0</v>
      </c>
      <c r="AB13" s="16"/>
      <c r="AC13" s="18"/>
      <c r="AD13" s="48"/>
    </row>
    <row r="14" spans="1:30" ht="19.5" thickBot="1" x14ac:dyDescent="0.3">
      <c r="A14" s="14">
        <v>12</v>
      </c>
      <c r="B14" s="15"/>
      <c r="C14" s="15" t="e">
        <f>VLOOKUP(B14,داتا!$B$3:$D$107,2,FALSE)</f>
        <v>#N/A</v>
      </c>
      <c r="D14" s="34" t="e">
        <f>VLOOKUP(B14,داتا!$B$3:$D$107,3,FALSE)</f>
        <v>#N/A</v>
      </c>
      <c r="E14" s="15"/>
      <c r="F14" s="15"/>
      <c r="G14" s="16">
        <v>0.25</v>
      </c>
      <c r="H14" s="16"/>
      <c r="I14" s="16">
        <f t="shared" si="1"/>
        <v>-0.25</v>
      </c>
      <c r="J14" s="16"/>
      <c r="K14" s="16"/>
      <c r="L14" s="16"/>
      <c r="M14" s="16"/>
      <c r="N14" s="16">
        <f t="shared" si="2"/>
        <v>0</v>
      </c>
      <c r="O14" s="16" t="e">
        <f t="shared" si="3"/>
        <v>#N/A</v>
      </c>
      <c r="P14" s="16">
        <v>6.9444444444444397E-3</v>
      </c>
      <c r="Q14" s="16"/>
      <c r="R14" s="16">
        <f t="shared" si="4"/>
        <v>-6.9444444444444397E-3</v>
      </c>
      <c r="S14" s="16"/>
      <c r="T14" s="16" t="e">
        <f>VLOOKUP(E14,'[2]21-3-2026'!E$3:T$35,16,FALSE)</f>
        <v>#N/A</v>
      </c>
      <c r="U14" s="16"/>
      <c r="V14" s="16" t="e">
        <f t="shared" si="5"/>
        <v>#N/A</v>
      </c>
      <c r="W14" s="16"/>
      <c r="X14" s="16"/>
      <c r="Y14" s="16"/>
      <c r="Z14" s="16">
        <f t="shared" si="6"/>
        <v>0</v>
      </c>
      <c r="AA14" s="16">
        <f t="shared" si="0"/>
        <v>0</v>
      </c>
      <c r="AB14" s="16"/>
      <c r="AC14" s="17"/>
      <c r="AD14" s="48"/>
    </row>
    <row r="15" spans="1:30" ht="19.5" thickBot="1" x14ac:dyDescent="0.3">
      <c r="A15" s="14">
        <v>13</v>
      </c>
      <c r="B15" s="15"/>
      <c r="C15" s="15" t="e">
        <f>VLOOKUP(B15,داتا!$B$3:$D$107,2,FALSE)</f>
        <v>#N/A</v>
      </c>
      <c r="D15" s="34" t="e">
        <f>VLOOKUP(B15,داتا!$B$3:$D$107,3,FALSE)</f>
        <v>#N/A</v>
      </c>
      <c r="E15" s="15"/>
      <c r="F15" s="15"/>
      <c r="G15" s="16">
        <v>0.25</v>
      </c>
      <c r="H15" s="16"/>
      <c r="I15" s="16">
        <f t="shared" si="1"/>
        <v>-0.25</v>
      </c>
      <c r="J15" s="16"/>
      <c r="K15" s="16"/>
      <c r="L15" s="16"/>
      <c r="M15" s="16"/>
      <c r="N15" s="16">
        <f t="shared" si="2"/>
        <v>0</v>
      </c>
      <c r="O15" s="16" t="e">
        <f t="shared" si="3"/>
        <v>#N/A</v>
      </c>
      <c r="P15" s="16">
        <v>6.9444444444444397E-3</v>
      </c>
      <c r="Q15" s="16"/>
      <c r="R15" s="16">
        <f t="shared" si="4"/>
        <v>-6.9444444444444397E-3</v>
      </c>
      <c r="S15" s="16"/>
      <c r="T15" s="16" t="e">
        <f>VLOOKUP(E15,'[2]21-3-2026'!E$3:T$35,16,FALSE)</f>
        <v>#N/A</v>
      </c>
      <c r="U15" s="16"/>
      <c r="V15" s="16" t="e">
        <f t="shared" si="5"/>
        <v>#N/A</v>
      </c>
      <c r="W15" s="16"/>
      <c r="X15" s="16"/>
      <c r="Y15" s="16"/>
      <c r="Z15" s="16">
        <f t="shared" si="6"/>
        <v>0</v>
      </c>
      <c r="AA15" s="16">
        <f t="shared" si="0"/>
        <v>0</v>
      </c>
      <c r="AB15" s="16"/>
      <c r="AC15" s="17"/>
      <c r="AD15" s="48"/>
    </row>
    <row r="16" spans="1:30" ht="19.5" thickBot="1" x14ac:dyDescent="0.3">
      <c r="A16" s="14">
        <v>14</v>
      </c>
      <c r="B16" s="15"/>
      <c r="C16" s="15" t="e">
        <f>VLOOKUP(B16,داتا!$B$3:$D$107,2,FALSE)</f>
        <v>#N/A</v>
      </c>
      <c r="D16" s="34" t="e">
        <f>VLOOKUP(B16,داتا!$B$3:$D$107,3,FALSE)</f>
        <v>#N/A</v>
      </c>
      <c r="E16" s="15"/>
      <c r="F16" s="15"/>
      <c r="G16" s="16">
        <v>0.25</v>
      </c>
      <c r="H16" s="16"/>
      <c r="I16" s="16">
        <f t="shared" si="1"/>
        <v>-0.25</v>
      </c>
      <c r="J16" s="16"/>
      <c r="K16" s="16"/>
      <c r="L16" s="16"/>
      <c r="M16" s="16"/>
      <c r="N16" s="16">
        <f t="shared" si="2"/>
        <v>0</v>
      </c>
      <c r="O16" s="16" t="e">
        <f t="shared" si="3"/>
        <v>#N/A</v>
      </c>
      <c r="P16" s="16">
        <v>6.9444444444444397E-3</v>
      </c>
      <c r="Q16" s="16"/>
      <c r="R16" s="16">
        <f t="shared" si="4"/>
        <v>-6.9444444444444397E-3</v>
      </c>
      <c r="S16" s="16"/>
      <c r="T16" s="16" t="e">
        <f>VLOOKUP(E16,'[2]21-3-2026'!E$3:T$35,16,FALSE)</f>
        <v>#N/A</v>
      </c>
      <c r="U16" s="16"/>
      <c r="V16" s="16" t="e">
        <f t="shared" si="5"/>
        <v>#N/A</v>
      </c>
      <c r="W16" s="16"/>
      <c r="X16" s="16"/>
      <c r="Y16" s="16"/>
      <c r="Z16" s="16">
        <f t="shared" si="6"/>
        <v>0</v>
      </c>
      <c r="AA16" s="16">
        <f t="shared" si="0"/>
        <v>0</v>
      </c>
      <c r="AB16" s="16"/>
      <c r="AC16" s="17"/>
      <c r="AD16" s="48"/>
    </row>
    <row r="17" spans="1:30" ht="19.5" thickBot="1" x14ac:dyDescent="0.3">
      <c r="A17" s="14">
        <v>15</v>
      </c>
      <c r="B17" s="15"/>
      <c r="C17" s="15" t="e">
        <f>VLOOKUP(B17,داتا!$B$3:$D$107,2,FALSE)</f>
        <v>#N/A</v>
      </c>
      <c r="D17" s="34" t="e">
        <f>VLOOKUP(B17,داتا!$B$3:$D$107,3,FALSE)</f>
        <v>#N/A</v>
      </c>
      <c r="E17" s="15"/>
      <c r="F17" s="15"/>
      <c r="G17" s="16">
        <v>0.25</v>
      </c>
      <c r="H17" s="16"/>
      <c r="I17" s="16">
        <f t="shared" si="1"/>
        <v>-0.25</v>
      </c>
      <c r="J17" s="16"/>
      <c r="K17" s="16"/>
      <c r="L17" s="16"/>
      <c r="M17" s="16"/>
      <c r="N17" s="16">
        <f t="shared" si="2"/>
        <v>0</v>
      </c>
      <c r="O17" s="16" t="e">
        <f t="shared" si="3"/>
        <v>#N/A</v>
      </c>
      <c r="P17" s="16">
        <v>6.9444444444444397E-3</v>
      </c>
      <c r="Q17" s="16"/>
      <c r="R17" s="16">
        <f t="shared" si="4"/>
        <v>-6.9444444444444397E-3</v>
      </c>
      <c r="S17" s="16"/>
      <c r="T17" s="16" t="e">
        <f>VLOOKUP(E17,'[2]21-3-2026'!E$3:T$35,16,FALSE)</f>
        <v>#N/A</v>
      </c>
      <c r="U17" s="16"/>
      <c r="V17" s="16" t="e">
        <f t="shared" si="5"/>
        <v>#N/A</v>
      </c>
      <c r="W17" s="16"/>
      <c r="X17" s="16"/>
      <c r="Y17" s="16"/>
      <c r="Z17" s="16">
        <f t="shared" si="6"/>
        <v>0</v>
      </c>
      <c r="AA17" s="16">
        <f t="shared" si="0"/>
        <v>0</v>
      </c>
      <c r="AB17" s="16"/>
      <c r="AC17" s="17"/>
      <c r="AD17" s="48"/>
    </row>
    <row r="18" spans="1:30" ht="19.5" thickBot="1" x14ac:dyDescent="0.3">
      <c r="A18" s="14">
        <v>16</v>
      </c>
      <c r="B18" s="15"/>
      <c r="C18" s="15" t="e">
        <f>VLOOKUP(B18,داتا!$B$3:$D$107,2,FALSE)</f>
        <v>#N/A</v>
      </c>
      <c r="D18" s="34" t="e">
        <f>VLOOKUP(B18,داتا!$B$3:$D$107,3,FALSE)</f>
        <v>#N/A</v>
      </c>
      <c r="E18" s="16"/>
      <c r="F18" s="15"/>
      <c r="G18" s="16">
        <v>0.25</v>
      </c>
      <c r="H18" s="16"/>
      <c r="I18" s="16">
        <f t="shared" si="1"/>
        <v>-0.25</v>
      </c>
      <c r="J18" s="16"/>
      <c r="K18" s="16"/>
      <c r="L18" s="16"/>
      <c r="M18" s="16"/>
      <c r="N18" s="16">
        <f t="shared" si="2"/>
        <v>0</v>
      </c>
      <c r="O18" s="16" t="e">
        <f t="shared" si="3"/>
        <v>#N/A</v>
      </c>
      <c r="P18" s="16">
        <v>6.9444444444444397E-3</v>
      </c>
      <c r="Q18" s="16"/>
      <c r="R18" s="16">
        <f t="shared" si="4"/>
        <v>-6.9444444444444397E-3</v>
      </c>
      <c r="S18" s="16"/>
      <c r="T18" s="16" t="e">
        <f>VLOOKUP(E18,'[2]21-3-2026'!E$3:T$35,16,FALSE)</f>
        <v>#N/A</v>
      </c>
      <c r="U18" s="16"/>
      <c r="V18" s="16" t="e">
        <f t="shared" si="5"/>
        <v>#N/A</v>
      </c>
      <c r="W18" s="16"/>
      <c r="X18" s="16"/>
      <c r="Y18" s="16"/>
      <c r="Z18" s="16">
        <f t="shared" si="6"/>
        <v>0</v>
      </c>
      <c r="AA18" s="16">
        <f t="shared" si="0"/>
        <v>0</v>
      </c>
      <c r="AB18" s="16"/>
      <c r="AC18" s="17"/>
      <c r="AD18" s="48"/>
    </row>
    <row r="19" spans="1:30" ht="19.5" thickBot="1" x14ac:dyDescent="0.3">
      <c r="A19" s="14">
        <v>17</v>
      </c>
      <c r="B19" s="15"/>
      <c r="C19" s="15" t="e">
        <f>VLOOKUP(B19,داتا!$B$3:$D$107,2,FALSE)</f>
        <v>#N/A</v>
      </c>
      <c r="D19" s="34" t="e">
        <f>VLOOKUP(B19,داتا!$B$3:$D$107,3,FALSE)</f>
        <v>#N/A</v>
      </c>
      <c r="E19" s="15"/>
      <c r="F19" s="15"/>
      <c r="G19" s="16">
        <v>0.25</v>
      </c>
      <c r="H19" s="16"/>
      <c r="I19" s="16">
        <f t="shared" si="1"/>
        <v>-0.25</v>
      </c>
      <c r="J19" s="16"/>
      <c r="K19" s="16"/>
      <c r="L19" s="16"/>
      <c r="M19" s="16"/>
      <c r="N19" s="16">
        <f t="shared" si="2"/>
        <v>0</v>
      </c>
      <c r="O19" s="16" t="e">
        <f t="shared" si="3"/>
        <v>#N/A</v>
      </c>
      <c r="P19" s="16">
        <v>6.9444444444444397E-3</v>
      </c>
      <c r="Q19" s="16"/>
      <c r="R19" s="16">
        <f t="shared" si="4"/>
        <v>-6.9444444444444397E-3</v>
      </c>
      <c r="S19" s="16"/>
      <c r="T19" s="16" t="e">
        <f>VLOOKUP(E19,'[2]21-3-2026'!E$3:T$35,16,FALSE)</f>
        <v>#N/A</v>
      </c>
      <c r="U19" s="16"/>
      <c r="V19" s="16" t="e">
        <f t="shared" si="5"/>
        <v>#N/A</v>
      </c>
      <c r="W19" s="16"/>
      <c r="X19" s="16"/>
      <c r="Y19" s="16"/>
      <c r="Z19" s="16">
        <f t="shared" si="6"/>
        <v>0</v>
      </c>
      <c r="AA19" s="16">
        <f t="shared" si="0"/>
        <v>0</v>
      </c>
      <c r="AB19" s="16"/>
      <c r="AC19" s="17"/>
      <c r="AD19" s="48"/>
    </row>
    <row r="20" spans="1:30" ht="19.5" thickBot="1" x14ac:dyDescent="0.3">
      <c r="A20" s="14">
        <v>18</v>
      </c>
      <c r="B20" s="15"/>
      <c r="C20" s="15" t="e">
        <f>VLOOKUP(B20,داتا!$B$3:$D$107,2,FALSE)</f>
        <v>#N/A</v>
      </c>
      <c r="D20" s="34" t="e">
        <f>VLOOKUP(B20,داتا!$B$3:$D$107,3,FALSE)</f>
        <v>#N/A</v>
      </c>
      <c r="E20" s="15"/>
      <c r="F20" s="15"/>
      <c r="G20" s="16">
        <v>0.25</v>
      </c>
      <c r="H20" s="16"/>
      <c r="I20" s="16">
        <f t="shared" si="1"/>
        <v>-0.25</v>
      </c>
      <c r="J20" s="16"/>
      <c r="K20" s="16"/>
      <c r="L20" s="16"/>
      <c r="M20" s="16"/>
      <c r="N20" s="16">
        <f t="shared" si="2"/>
        <v>0</v>
      </c>
      <c r="O20" s="16" t="e">
        <f t="shared" si="3"/>
        <v>#N/A</v>
      </c>
      <c r="P20" s="16">
        <v>6.9444444444444397E-3</v>
      </c>
      <c r="Q20" s="16"/>
      <c r="R20" s="16">
        <f t="shared" si="4"/>
        <v>-6.9444444444444397E-3</v>
      </c>
      <c r="S20" s="16"/>
      <c r="T20" s="16" t="e">
        <f>VLOOKUP(E20,'[2]21-3-2026'!E$3:T$35,16,FALSE)</f>
        <v>#N/A</v>
      </c>
      <c r="U20" s="16"/>
      <c r="V20" s="16" t="e">
        <f t="shared" si="5"/>
        <v>#N/A</v>
      </c>
      <c r="W20" s="16"/>
      <c r="X20" s="16"/>
      <c r="Y20" s="16"/>
      <c r="Z20" s="16">
        <f t="shared" si="6"/>
        <v>0</v>
      </c>
      <c r="AA20" s="16">
        <f t="shared" si="0"/>
        <v>0</v>
      </c>
      <c r="AB20" s="16"/>
      <c r="AC20" s="17"/>
      <c r="AD20" s="48"/>
    </row>
    <row r="21" spans="1:30" ht="19.5" thickBot="1" x14ac:dyDescent="0.3">
      <c r="A21" s="14">
        <v>19</v>
      </c>
      <c r="B21" s="15"/>
      <c r="C21" s="15" t="e">
        <f>VLOOKUP(B21,داتا!$B$3:$D$107,2,FALSE)</f>
        <v>#N/A</v>
      </c>
      <c r="D21" s="34" t="e">
        <f>VLOOKUP(B21,داتا!$B$3:$D$107,3,FALSE)</f>
        <v>#N/A</v>
      </c>
      <c r="E21" s="15"/>
      <c r="F21" s="15"/>
      <c r="G21" s="16">
        <v>0.25</v>
      </c>
      <c r="H21" s="16"/>
      <c r="I21" s="16">
        <f t="shared" si="1"/>
        <v>-0.25</v>
      </c>
      <c r="J21" s="16"/>
      <c r="K21" s="16"/>
      <c r="L21" s="16"/>
      <c r="M21" s="16"/>
      <c r="N21" s="16">
        <f t="shared" si="2"/>
        <v>0</v>
      </c>
      <c r="O21" s="16" t="e">
        <f t="shared" si="3"/>
        <v>#N/A</v>
      </c>
      <c r="P21" s="16">
        <v>6.9444444444444397E-3</v>
      </c>
      <c r="Q21" s="16"/>
      <c r="R21" s="16">
        <f t="shared" si="4"/>
        <v>-6.9444444444444397E-3</v>
      </c>
      <c r="S21" s="16"/>
      <c r="T21" s="16" t="e">
        <f>VLOOKUP(E21,'[2]21-3-2026'!E$3:T$35,16,FALSE)</f>
        <v>#N/A</v>
      </c>
      <c r="U21" s="16"/>
      <c r="V21" s="16" t="e">
        <f t="shared" si="5"/>
        <v>#N/A</v>
      </c>
      <c r="W21" s="16"/>
      <c r="X21" s="16"/>
      <c r="Y21" s="16"/>
      <c r="Z21" s="16">
        <f t="shared" si="6"/>
        <v>0</v>
      </c>
      <c r="AA21" s="16">
        <f t="shared" si="0"/>
        <v>0</v>
      </c>
      <c r="AB21" s="16"/>
      <c r="AC21" s="17"/>
      <c r="AD21" s="48"/>
    </row>
    <row r="22" spans="1:30" ht="19.5" thickBot="1" x14ac:dyDescent="0.3">
      <c r="A22" s="14">
        <v>20</v>
      </c>
      <c r="B22" s="15"/>
      <c r="C22" s="15" t="e">
        <f>VLOOKUP(B22,داتا!$B$3:$D$107,2,FALSE)</f>
        <v>#N/A</v>
      </c>
      <c r="D22" s="34" t="e">
        <f>VLOOKUP(B22,داتا!$B$3:$D$107,3,FALSE)</f>
        <v>#N/A</v>
      </c>
      <c r="E22" s="15"/>
      <c r="F22" s="15"/>
      <c r="G22" s="16">
        <v>0.25</v>
      </c>
      <c r="H22" s="16"/>
      <c r="I22" s="16">
        <f t="shared" si="1"/>
        <v>-0.25</v>
      </c>
      <c r="J22" s="16"/>
      <c r="K22" s="16"/>
      <c r="L22" s="16"/>
      <c r="M22" s="16"/>
      <c r="N22" s="16">
        <f t="shared" si="2"/>
        <v>0</v>
      </c>
      <c r="O22" s="16" t="e">
        <f t="shared" si="3"/>
        <v>#N/A</v>
      </c>
      <c r="P22" s="16">
        <v>6.9444444444444397E-3</v>
      </c>
      <c r="Q22" s="16"/>
      <c r="R22" s="16">
        <f t="shared" si="4"/>
        <v>-6.9444444444444397E-3</v>
      </c>
      <c r="S22" s="16"/>
      <c r="T22" s="16" t="e">
        <f>VLOOKUP(E22,'[2]21-3-2026'!E$3:T$35,16,FALSE)</f>
        <v>#N/A</v>
      </c>
      <c r="U22" s="16"/>
      <c r="V22" s="16" t="e">
        <f t="shared" si="5"/>
        <v>#N/A</v>
      </c>
      <c r="W22" s="16"/>
      <c r="X22" s="16"/>
      <c r="Y22" s="16"/>
      <c r="Z22" s="16">
        <f t="shared" si="6"/>
        <v>0</v>
      </c>
      <c r="AA22" s="16">
        <f t="shared" si="0"/>
        <v>0</v>
      </c>
      <c r="AB22" s="16"/>
      <c r="AC22" s="17"/>
      <c r="AD22" s="48"/>
    </row>
    <row r="23" spans="1:30" ht="19.5" thickBot="1" x14ac:dyDescent="0.3">
      <c r="A23" s="14">
        <v>21</v>
      </c>
      <c r="B23" s="15"/>
      <c r="C23" s="15" t="e">
        <f>VLOOKUP(B23,داتا!$B$3:$D$107,2,FALSE)</f>
        <v>#N/A</v>
      </c>
      <c r="D23" s="34" t="e">
        <f>VLOOKUP(B23,داتا!$B$3:$D$107,3,FALSE)</f>
        <v>#N/A</v>
      </c>
      <c r="E23" s="15"/>
      <c r="F23" s="15"/>
      <c r="G23" s="16">
        <v>0.25</v>
      </c>
      <c r="H23" s="16"/>
      <c r="I23" s="16">
        <f t="shared" si="1"/>
        <v>-0.25</v>
      </c>
      <c r="J23" s="16"/>
      <c r="K23" s="16"/>
      <c r="L23" s="16"/>
      <c r="M23" s="16"/>
      <c r="N23" s="16">
        <f t="shared" si="2"/>
        <v>0</v>
      </c>
      <c r="O23" s="16" t="e">
        <f t="shared" si="3"/>
        <v>#N/A</v>
      </c>
      <c r="P23" s="16">
        <v>6.9444444444444397E-3</v>
      </c>
      <c r="Q23" s="16"/>
      <c r="R23" s="16">
        <f t="shared" si="4"/>
        <v>-6.9444444444444397E-3</v>
      </c>
      <c r="S23" s="16"/>
      <c r="T23" s="16" t="e">
        <f>VLOOKUP(E23,'[2]21-3-2026'!E$3:T$35,16,FALSE)</f>
        <v>#N/A</v>
      </c>
      <c r="U23" s="16"/>
      <c r="V23" s="16" t="e">
        <f t="shared" si="5"/>
        <v>#N/A</v>
      </c>
      <c r="W23" s="16"/>
      <c r="X23" s="16"/>
      <c r="Y23" s="16"/>
      <c r="Z23" s="16">
        <f t="shared" si="6"/>
        <v>0</v>
      </c>
      <c r="AA23" s="16">
        <f t="shared" si="0"/>
        <v>0</v>
      </c>
      <c r="AB23" s="16"/>
      <c r="AC23" s="17"/>
      <c r="AD23" s="48"/>
    </row>
    <row r="24" spans="1:30" ht="19.5" thickBot="1" x14ac:dyDescent="0.3">
      <c r="A24" s="14">
        <v>22</v>
      </c>
      <c r="B24" s="15"/>
      <c r="C24" s="15" t="e">
        <f>VLOOKUP(B24,داتا!$B$3:$D$107,2,FALSE)</f>
        <v>#N/A</v>
      </c>
      <c r="D24" s="34" t="e">
        <f>VLOOKUP(B24,داتا!$B$3:$D$107,3,FALSE)</f>
        <v>#N/A</v>
      </c>
      <c r="E24" s="15"/>
      <c r="F24" s="16"/>
      <c r="G24" s="16">
        <v>0.25</v>
      </c>
      <c r="H24" s="16"/>
      <c r="I24" s="16">
        <f t="shared" si="1"/>
        <v>-0.25</v>
      </c>
      <c r="J24" s="16"/>
      <c r="K24" s="16"/>
      <c r="L24" s="16"/>
      <c r="M24" s="16"/>
      <c r="N24" s="16">
        <f t="shared" si="2"/>
        <v>0</v>
      </c>
      <c r="O24" s="16" t="e">
        <f t="shared" si="3"/>
        <v>#N/A</v>
      </c>
      <c r="P24" s="16">
        <v>6.9444444444444397E-3</v>
      </c>
      <c r="Q24" s="16"/>
      <c r="R24" s="16">
        <f t="shared" si="4"/>
        <v>-6.9444444444444397E-3</v>
      </c>
      <c r="S24" s="16"/>
      <c r="T24" s="16" t="e">
        <f>VLOOKUP(E24,'[2]21-3-2026'!E$3:T$35,16,FALSE)</f>
        <v>#N/A</v>
      </c>
      <c r="U24" s="16"/>
      <c r="V24" s="16" t="e">
        <f t="shared" si="5"/>
        <v>#N/A</v>
      </c>
      <c r="W24" s="16"/>
      <c r="X24" s="16"/>
      <c r="Y24" s="16"/>
      <c r="Z24" s="16">
        <f t="shared" si="6"/>
        <v>0</v>
      </c>
      <c r="AA24" s="16">
        <f t="shared" si="0"/>
        <v>0</v>
      </c>
      <c r="AB24" s="16"/>
      <c r="AC24" s="17"/>
      <c r="AD24" s="48"/>
    </row>
    <row r="25" spans="1:30" ht="19.5" thickBot="1" x14ac:dyDescent="0.3">
      <c r="A25" s="14">
        <v>23</v>
      </c>
      <c r="B25" s="15"/>
      <c r="C25" s="15" t="e">
        <f>VLOOKUP(B25,داتا!$B$3:$D$107,2,FALSE)</f>
        <v>#N/A</v>
      </c>
      <c r="D25" s="34" t="e">
        <f>VLOOKUP(B25,داتا!$B$3:$D$107,3,FALSE)</f>
        <v>#N/A</v>
      </c>
      <c r="E25" s="15"/>
      <c r="F25" s="15"/>
      <c r="G25" s="16">
        <v>0.25</v>
      </c>
      <c r="H25" s="16"/>
      <c r="I25" s="16">
        <f t="shared" si="1"/>
        <v>-0.25</v>
      </c>
      <c r="J25" s="16"/>
      <c r="K25" s="16"/>
      <c r="L25" s="16"/>
      <c r="M25" s="16"/>
      <c r="N25" s="16">
        <f t="shared" si="2"/>
        <v>0</v>
      </c>
      <c r="O25" s="16" t="e">
        <f t="shared" si="3"/>
        <v>#N/A</v>
      </c>
      <c r="P25" s="16">
        <v>6.9444444444444397E-3</v>
      </c>
      <c r="Q25" s="16"/>
      <c r="R25" s="16">
        <f t="shared" si="4"/>
        <v>-6.9444444444444397E-3</v>
      </c>
      <c r="S25" s="16"/>
      <c r="T25" s="16" t="e">
        <f>VLOOKUP(E25,'[2]21-3-2026'!E$3:T$35,16,FALSE)</f>
        <v>#N/A</v>
      </c>
      <c r="U25" s="16"/>
      <c r="V25" s="16" t="e">
        <f t="shared" si="5"/>
        <v>#N/A</v>
      </c>
      <c r="W25" s="16"/>
      <c r="X25" s="16"/>
      <c r="Y25" s="16"/>
      <c r="Z25" s="16">
        <f t="shared" si="6"/>
        <v>0</v>
      </c>
      <c r="AA25" s="16">
        <f t="shared" si="0"/>
        <v>0</v>
      </c>
      <c r="AB25" s="16"/>
      <c r="AC25" s="19"/>
      <c r="AD25" s="48"/>
    </row>
    <row r="26" spans="1:30" ht="19.5" thickBot="1" x14ac:dyDescent="0.3">
      <c r="A26" s="14">
        <v>24</v>
      </c>
      <c r="B26" s="15"/>
      <c r="C26" s="15" t="e">
        <f>VLOOKUP(B26,داتا!$B$3:$D$107,2,FALSE)</f>
        <v>#N/A</v>
      </c>
      <c r="D26" s="34" t="e">
        <f>VLOOKUP(B26,داتا!$B$3:$D$107,3,FALSE)</f>
        <v>#N/A</v>
      </c>
      <c r="E26" s="15"/>
      <c r="F26" s="15"/>
      <c r="G26" s="16">
        <v>0.25</v>
      </c>
      <c r="H26" s="16"/>
      <c r="I26" s="16">
        <f t="shared" si="1"/>
        <v>-0.25</v>
      </c>
      <c r="J26" s="16"/>
      <c r="K26" s="16"/>
      <c r="L26" s="16"/>
      <c r="M26" s="16"/>
      <c r="N26" s="16">
        <f t="shared" si="2"/>
        <v>0</v>
      </c>
      <c r="O26" s="16" t="e">
        <f t="shared" si="3"/>
        <v>#N/A</v>
      </c>
      <c r="P26" s="16">
        <v>6.9444444444444397E-3</v>
      </c>
      <c r="Q26" s="16"/>
      <c r="R26" s="16">
        <f t="shared" si="4"/>
        <v>-6.9444444444444397E-3</v>
      </c>
      <c r="S26" s="16"/>
      <c r="T26" s="16" t="e">
        <f>VLOOKUP(E26,'[2]21-3-2026'!E$3:T$35,16,FALSE)</f>
        <v>#N/A</v>
      </c>
      <c r="U26" s="16"/>
      <c r="V26" s="16" t="e">
        <f t="shared" si="5"/>
        <v>#N/A</v>
      </c>
      <c r="W26" s="16"/>
      <c r="X26" s="16"/>
      <c r="Y26" s="16"/>
      <c r="Z26" s="16">
        <f t="shared" si="6"/>
        <v>0</v>
      </c>
      <c r="AA26" s="16">
        <f t="shared" si="0"/>
        <v>0</v>
      </c>
      <c r="AB26" s="16"/>
      <c r="AC26" s="19"/>
      <c r="AD26" s="48"/>
    </row>
    <row r="27" spans="1:30" ht="19.5" thickBot="1" x14ac:dyDescent="0.3">
      <c r="A27" s="14">
        <v>25</v>
      </c>
      <c r="B27" s="15"/>
      <c r="C27" s="15" t="e">
        <f>VLOOKUP(B27,داتا!$B$3:$D$107,2,FALSE)</f>
        <v>#N/A</v>
      </c>
      <c r="D27" s="34" t="e">
        <f>VLOOKUP(B27,داتا!$B$3:$D$107,3,FALSE)</f>
        <v>#N/A</v>
      </c>
      <c r="E27" s="15"/>
      <c r="F27" s="15"/>
      <c r="G27" s="16">
        <v>0.25</v>
      </c>
      <c r="H27" s="16"/>
      <c r="I27" s="16">
        <f t="shared" si="1"/>
        <v>-0.25</v>
      </c>
      <c r="J27" s="16"/>
      <c r="K27" s="16"/>
      <c r="L27" s="16"/>
      <c r="M27" s="16"/>
      <c r="N27" s="16">
        <f t="shared" si="2"/>
        <v>0</v>
      </c>
      <c r="O27" s="16" t="e">
        <f t="shared" si="3"/>
        <v>#N/A</v>
      </c>
      <c r="P27" s="16">
        <v>6.9444444444444397E-3</v>
      </c>
      <c r="Q27" s="16"/>
      <c r="R27" s="16">
        <f t="shared" si="4"/>
        <v>-6.9444444444444397E-3</v>
      </c>
      <c r="S27" s="16"/>
      <c r="T27" s="16" t="e">
        <f>VLOOKUP(E27,'[2]21-3-2026'!E$3:T$35,16,FALSE)</f>
        <v>#N/A</v>
      </c>
      <c r="U27" s="16"/>
      <c r="V27" s="16" t="e">
        <f t="shared" si="5"/>
        <v>#N/A</v>
      </c>
      <c r="W27" s="16"/>
      <c r="X27" s="16"/>
      <c r="Y27" s="16"/>
      <c r="Z27" s="16">
        <f t="shared" si="6"/>
        <v>0</v>
      </c>
      <c r="AA27" s="16">
        <f t="shared" si="0"/>
        <v>0</v>
      </c>
      <c r="AB27" s="16"/>
      <c r="AC27" s="19"/>
      <c r="AD27" s="48"/>
    </row>
    <row r="28" spans="1:30" ht="19.5" thickBot="1" x14ac:dyDescent="0.3">
      <c r="A28" s="14">
        <v>26</v>
      </c>
      <c r="B28" s="15"/>
      <c r="C28" s="15" t="e">
        <f>VLOOKUP(B28,داتا!$B$3:$D$107,2,FALSE)</f>
        <v>#N/A</v>
      </c>
      <c r="D28" s="34" t="e">
        <f>VLOOKUP(B28,داتا!$B$3:$D$107,3,FALSE)</f>
        <v>#N/A</v>
      </c>
      <c r="E28" s="15"/>
      <c r="F28" s="15"/>
      <c r="G28" s="16">
        <v>0.25</v>
      </c>
      <c r="H28" s="16"/>
      <c r="I28" s="16">
        <f t="shared" si="1"/>
        <v>-0.25</v>
      </c>
      <c r="J28" s="16"/>
      <c r="K28" s="16"/>
      <c r="L28" s="16"/>
      <c r="M28" s="16"/>
      <c r="N28" s="16">
        <f t="shared" si="2"/>
        <v>0</v>
      </c>
      <c r="O28" s="16" t="e">
        <f t="shared" si="3"/>
        <v>#N/A</v>
      </c>
      <c r="P28" s="16">
        <v>6.9444444444444397E-3</v>
      </c>
      <c r="Q28" s="16"/>
      <c r="R28" s="16">
        <f t="shared" si="4"/>
        <v>-6.9444444444444397E-3</v>
      </c>
      <c r="S28" s="16"/>
      <c r="T28" s="16" t="e">
        <f>VLOOKUP(E28,'[2]21-3-2026'!E$3:T$35,16,FALSE)</f>
        <v>#N/A</v>
      </c>
      <c r="U28" s="16"/>
      <c r="V28" s="16" t="e">
        <f t="shared" si="5"/>
        <v>#N/A</v>
      </c>
      <c r="W28" s="16"/>
      <c r="X28" s="16"/>
      <c r="Y28" s="16"/>
      <c r="Z28" s="16">
        <f t="shared" si="6"/>
        <v>0</v>
      </c>
      <c r="AA28" s="16">
        <f t="shared" si="0"/>
        <v>0</v>
      </c>
      <c r="AB28" s="16"/>
      <c r="AC28" s="17"/>
      <c r="AD28" s="48"/>
    </row>
    <row r="29" spans="1:30" ht="19.5" thickBot="1" x14ac:dyDescent="0.3">
      <c r="A29" s="14">
        <v>27</v>
      </c>
      <c r="B29" s="15"/>
      <c r="C29" s="15" t="e">
        <f>VLOOKUP(B29,داتا!$B$3:$D$107,2,FALSE)</f>
        <v>#N/A</v>
      </c>
      <c r="D29" s="34" t="e">
        <f>VLOOKUP(B29,داتا!$B$3:$D$107,3,FALSE)</f>
        <v>#N/A</v>
      </c>
      <c r="E29" s="15"/>
      <c r="F29" s="15"/>
      <c r="G29" s="16">
        <v>0.25</v>
      </c>
      <c r="H29" s="16"/>
      <c r="I29" s="16">
        <f t="shared" si="1"/>
        <v>-0.25</v>
      </c>
      <c r="J29" s="16"/>
      <c r="K29" s="16"/>
      <c r="L29" s="16"/>
      <c r="M29" s="16"/>
      <c r="N29" s="16">
        <f t="shared" si="2"/>
        <v>0</v>
      </c>
      <c r="O29" s="16" t="e">
        <f t="shared" si="3"/>
        <v>#N/A</v>
      </c>
      <c r="P29" s="16">
        <v>6.9444444444444397E-3</v>
      </c>
      <c r="Q29" s="16"/>
      <c r="R29" s="16">
        <f t="shared" si="4"/>
        <v>-6.9444444444444397E-3</v>
      </c>
      <c r="S29" s="16"/>
      <c r="T29" s="16" t="e">
        <f>VLOOKUP(E29,'[2]21-3-2026'!E$3:T$35,16,FALSE)</f>
        <v>#N/A</v>
      </c>
      <c r="U29" s="16"/>
      <c r="V29" s="16" t="e">
        <f t="shared" si="5"/>
        <v>#N/A</v>
      </c>
      <c r="W29" s="16"/>
      <c r="X29" s="16"/>
      <c r="Y29" s="16"/>
      <c r="Z29" s="16">
        <f t="shared" si="6"/>
        <v>0</v>
      </c>
      <c r="AA29" s="16">
        <f t="shared" si="0"/>
        <v>0</v>
      </c>
      <c r="AB29" s="16"/>
      <c r="AC29" s="18"/>
      <c r="AD29" s="48"/>
    </row>
    <row r="30" spans="1:30" ht="19.5" thickBot="1" x14ac:dyDescent="0.3">
      <c r="A30" s="14">
        <v>28</v>
      </c>
      <c r="B30" s="15"/>
      <c r="C30" s="15" t="e">
        <f>VLOOKUP(B30,داتا!$B$3:$D$107,2,FALSE)</f>
        <v>#N/A</v>
      </c>
      <c r="D30" s="34" t="e">
        <f>VLOOKUP(B30,داتا!$B$3:$D$107,3,FALSE)</f>
        <v>#N/A</v>
      </c>
      <c r="E30" s="15"/>
      <c r="F30" s="15"/>
      <c r="G30" s="16">
        <v>0.25</v>
      </c>
      <c r="H30" s="16"/>
      <c r="I30" s="16">
        <f t="shared" si="1"/>
        <v>-0.25</v>
      </c>
      <c r="J30" s="16"/>
      <c r="K30" s="16"/>
      <c r="L30" s="16"/>
      <c r="M30" s="16"/>
      <c r="N30" s="16">
        <f t="shared" si="2"/>
        <v>0</v>
      </c>
      <c r="O30" s="16" t="e">
        <f t="shared" si="3"/>
        <v>#N/A</v>
      </c>
      <c r="P30" s="16">
        <v>6.9444444444444397E-3</v>
      </c>
      <c r="Q30" s="16"/>
      <c r="R30" s="16">
        <f t="shared" si="4"/>
        <v>-6.9444444444444397E-3</v>
      </c>
      <c r="S30" s="16"/>
      <c r="T30" s="16" t="e">
        <f>VLOOKUP(E30,'[2]21-3-2026'!E$3:T$35,16,FALSE)</f>
        <v>#N/A</v>
      </c>
      <c r="U30" s="16"/>
      <c r="V30" s="16" t="e">
        <f t="shared" si="5"/>
        <v>#N/A</v>
      </c>
      <c r="W30" s="16"/>
      <c r="X30" s="16"/>
      <c r="Y30" s="16"/>
      <c r="Z30" s="16">
        <f t="shared" si="6"/>
        <v>0</v>
      </c>
      <c r="AA30" s="16">
        <f t="shared" si="0"/>
        <v>0</v>
      </c>
      <c r="AB30" s="16"/>
      <c r="AC30" s="17"/>
      <c r="AD30" s="48"/>
    </row>
    <row r="31" spans="1:30" ht="19.5" thickBot="1" x14ac:dyDescent="0.3">
      <c r="A31" s="14">
        <v>29</v>
      </c>
      <c r="B31" s="15"/>
      <c r="C31" s="15" t="e">
        <f>VLOOKUP(B31,داتا!$B$3:$D$107,2,FALSE)</f>
        <v>#N/A</v>
      </c>
      <c r="D31" s="34" t="e">
        <f>VLOOKUP(B31,داتا!$B$3:$D$107,3,FALSE)</f>
        <v>#N/A</v>
      </c>
      <c r="E31" s="15"/>
      <c r="F31" s="15"/>
      <c r="G31" s="16">
        <v>0.25</v>
      </c>
      <c r="H31" s="16"/>
      <c r="I31" s="16">
        <f t="shared" si="1"/>
        <v>-0.25</v>
      </c>
      <c r="J31" s="16"/>
      <c r="K31" s="16"/>
      <c r="L31" s="16"/>
      <c r="M31" s="16"/>
      <c r="N31" s="16">
        <f t="shared" si="2"/>
        <v>0</v>
      </c>
      <c r="O31" s="16" t="e">
        <f t="shared" si="3"/>
        <v>#N/A</v>
      </c>
      <c r="P31" s="16">
        <v>6.9444444444444397E-3</v>
      </c>
      <c r="Q31" s="16"/>
      <c r="R31" s="16">
        <f t="shared" si="4"/>
        <v>-6.9444444444444397E-3</v>
      </c>
      <c r="S31" s="16"/>
      <c r="T31" s="16" t="e">
        <f>VLOOKUP(E31,'[2]21-3-2026'!E$3:T$35,16,FALSE)</f>
        <v>#N/A</v>
      </c>
      <c r="U31" s="16"/>
      <c r="V31" s="16" t="e">
        <f t="shared" si="5"/>
        <v>#N/A</v>
      </c>
      <c r="W31" s="16"/>
      <c r="X31" s="16"/>
      <c r="Y31" s="16"/>
      <c r="Z31" s="16">
        <f t="shared" si="6"/>
        <v>0</v>
      </c>
      <c r="AA31" s="16">
        <f t="shared" si="0"/>
        <v>0</v>
      </c>
      <c r="AB31" s="16"/>
      <c r="AC31" s="17"/>
      <c r="AD31" s="48"/>
    </row>
    <row r="32" spans="1:30" ht="19.5" thickBot="1" x14ac:dyDescent="0.3">
      <c r="A32" s="14">
        <v>30</v>
      </c>
      <c r="B32" s="15"/>
      <c r="C32" s="15" t="e">
        <f>VLOOKUP(B32,داتا!$B$3:$D$107,2,FALSE)</f>
        <v>#N/A</v>
      </c>
      <c r="D32" s="34" t="e">
        <f>VLOOKUP(B32,داتا!$B$3:$D$107,3,FALSE)</f>
        <v>#N/A</v>
      </c>
      <c r="E32" s="15"/>
      <c r="F32" s="15"/>
      <c r="G32" s="16">
        <v>0.25</v>
      </c>
      <c r="H32" s="16"/>
      <c r="I32" s="16">
        <f t="shared" si="1"/>
        <v>-0.25</v>
      </c>
      <c r="J32" s="16"/>
      <c r="K32" s="16"/>
      <c r="L32" s="16"/>
      <c r="M32" s="16"/>
      <c r="N32" s="16">
        <f t="shared" si="2"/>
        <v>0</v>
      </c>
      <c r="O32" s="16" t="e">
        <f t="shared" si="3"/>
        <v>#N/A</v>
      </c>
      <c r="P32" s="16">
        <v>6.9444444444444397E-3</v>
      </c>
      <c r="Q32" s="16"/>
      <c r="R32" s="16">
        <f t="shared" si="4"/>
        <v>-6.9444444444444397E-3</v>
      </c>
      <c r="S32" s="16"/>
      <c r="T32" s="16" t="e">
        <f>VLOOKUP(E32,'[2]21-3-2026'!E$3:T$35,16,FALSE)</f>
        <v>#N/A</v>
      </c>
      <c r="U32" s="16"/>
      <c r="V32" s="16" t="e">
        <f t="shared" si="5"/>
        <v>#N/A</v>
      </c>
      <c r="W32" s="16"/>
      <c r="X32" s="16"/>
      <c r="Y32" s="16"/>
      <c r="Z32" s="16">
        <f t="shared" si="6"/>
        <v>0</v>
      </c>
      <c r="AA32" s="16">
        <f t="shared" si="0"/>
        <v>0</v>
      </c>
      <c r="AB32" s="16"/>
      <c r="AC32" s="17"/>
      <c r="AD32" s="48"/>
    </row>
    <row r="33" spans="1:30" ht="19.5" thickBot="1" x14ac:dyDescent="0.3">
      <c r="A33" s="14">
        <v>31</v>
      </c>
      <c r="B33" s="15"/>
      <c r="C33" s="15" t="e">
        <f>VLOOKUP(B33,داتا!$B$3:$D$107,2,FALSE)</f>
        <v>#N/A</v>
      </c>
      <c r="D33" s="34" t="e">
        <f>VLOOKUP(B33,داتا!$B$3:$D$107,3,FALSE)</f>
        <v>#N/A</v>
      </c>
      <c r="E33" s="15"/>
      <c r="F33" s="15"/>
      <c r="G33" s="16">
        <v>0.25</v>
      </c>
      <c r="H33" s="16"/>
      <c r="I33" s="16">
        <f t="shared" si="1"/>
        <v>-0.25</v>
      </c>
      <c r="J33" s="16"/>
      <c r="K33" s="16"/>
      <c r="L33" s="16"/>
      <c r="M33" s="16"/>
      <c r="N33" s="16">
        <f t="shared" si="2"/>
        <v>0</v>
      </c>
      <c r="O33" s="16" t="e">
        <f t="shared" si="3"/>
        <v>#N/A</v>
      </c>
      <c r="P33" s="16">
        <v>6.9444444444444397E-3</v>
      </c>
      <c r="Q33" s="16"/>
      <c r="R33" s="16">
        <f t="shared" si="4"/>
        <v>-6.9444444444444397E-3</v>
      </c>
      <c r="S33" s="16"/>
      <c r="T33" s="16" t="e">
        <f>VLOOKUP(E33,'[2]21-3-2026'!E$3:T$35,16,FALSE)</f>
        <v>#N/A</v>
      </c>
      <c r="U33" s="16"/>
      <c r="V33" s="16" t="e">
        <f t="shared" si="5"/>
        <v>#N/A</v>
      </c>
      <c r="W33" s="16"/>
      <c r="X33" s="16"/>
      <c r="Y33" s="16"/>
      <c r="Z33" s="16">
        <f t="shared" si="6"/>
        <v>0</v>
      </c>
      <c r="AA33" s="16">
        <f t="shared" si="0"/>
        <v>0</v>
      </c>
      <c r="AB33" s="16"/>
      <c r="AC33" s="17"/>
      <c r="AD33" s="48"/>
    </row>
    <row r="34" spans="1:30" ht="19.5" thickBot="1" x14ac:dyDescent="0.3">
      <c r="A34" s="14">
        <v>32</v>
      </c>
      <c r="B34" s="15"/>
      <c r="C34" s="15" t="e">
        <f>VLOOKUP(B34,داتا!$B$3:$D$107,2,FALSE)</f>
        <v>#N/A</v>
      </c>
      <c r="D34" s="34" t="e">
        <f>VLOOKUP(B34,داتا!$B$3:$D$107,3,FALSE)</f>
        <v>#N/A</v>
      </c>
      <c r="E34" s="15"/>
      <c r="F34" s="15"/>
      <c r="G34" s="16">
        <v>0.25</v>
      </c>
      <c r="H34" s="16"/>
      <c r="I34" s="16">
        <f t="shared" si="1"/>
        <v>-0.25</v>
      </c>
      <c r="J34" s="16"/>
      <c r="K34" s="16"/>
      <c r="L34" s="16"/>
      <c r="M34" s="16"/>
      <c r="N34" s="16">
        <f t="shared" si="2"/>
        <v>0</v>
      </c>
      <c r="O34" s="16" t="e">
        <f t="shared" si="3"/>
        <v>#N/A</v>
      </c>
      <c r="P34" s="16">
        <v>6.9444444444444397E-3</v>
      </c>
      <c r="Q34" s="16"/>
      <c r="R34" s="16">
        <f t="shared" si="4"/>
        <v>-6.9444444444444397E-3</v>
      </c>
      <c r="S34" s="16"/>
      <c r="T34" s="16" t="e">
        <f>VLOOKUP(E34,'[2]21-3-2026'!E$3:T$35,16,FALSE)</f>
        <v>#N/A</v>
      </c>
      <c r="U34" s="16"/>
      <c r="V34" s="16" t="e">
        <f t="shared" si="5"/>
        <v>#N/A</v>
      </c>
      <c r="W34" s="16"/>
      <c r="X34" s="16"/>
      <c r="Y34" s="16"/>
      <c r="Z34" s="16">
        <f t="shared" si="6"/>
        <v>0</v>
      </c>
      <c r="AA34" s="16">
        <f t="shared" si="0"/>
        <v>0</v>
      </c>
      <c r="AB34" s="16"/>
      <c r="AC34" s="17"/>
      <c r="AD34" s="48"/>
    </row>
    <row r="35" spans="1:30" ht="19.5" thickBot="1" x14ac:dyDescent="0.3">
      <c r="A35" s="20">
        <v>33</v>
      </c>
      <c r="B35" s="21"/>
      <c r="C35" s="21" t="e">
        <f>VLOOKUP(B35,داتا!$B$3:$D$107,2,FALSE)</f>
        <v>#N/A</v>
      </c>
      <c r="D35" s="35" t="e">
        <f>VLOOKUP(B35,داتا!$B$3:$D$107,3,FALSE)</f>
        <v>#N/A</v>
      </c>
      <c r="E35" s="21"/>
      <c r="F35" s="21"/>
      <c r="G35" s="22">
        <v>0.25</v>
      </c>
      <c r="H35" s="22"/>
      <c r="I35" s="22">
        <f t="shared" si="1"/>
        <v>-0.25</v>
      </c>
      <c r="J35" s="22"/>
      <c r="K35" s="22"/>
      <c r="L35" s="22"/>
      <c r="M35" s="22"/>
      <c r="N35" s="22">
        <f t="shared" si="2"/>
        <v>0</v>
      </c>
      <c r="O35" s="22" t="e">
        <f t="shared" si="3"/>
        <v>#N/A</v>
      </c>
      <c r="P35" s="22">
        <v>6.9444444444444397E-3</v>
      </c>
      <c r="Q35" s="22"/>
      <c r="R35" s="22">
        <f t="shared" si="4"/>
        <v>-6.9444444444444397E-3</v>
      </c>
      <c r="S35" s="22"/>
      <c r="T35" s="22" t="e">
        <f>VLOOKUP(E35,'[2]21-3-2026'!E$3:T$35,16,FALSE)</f>
        <v>#N/A</v>
      </c>
      <c r="U35" s="22"/>
      <c r="V35" s="22" t="e">
        <f t="shared" si="5"/>
        <v>#N/A</v>
      </c>
      <c r="W35" s="22"/>
      <c r="X35" s="22"/>
      <c r="Y35" s="22"/>
      <c r="Z35" s="22">
        <f t="shared" si="6"/>
        <v>0</v>
      </c>
      <c r="AA35" s="22">
        <f t="shared" si="0"/>
        <v>0</v>
      </c>
      <c r="AB35" s="22"/>
      <c r="AC35" s="23"/>
      <c r="AD35" s="49"/>
    </row>
    <row r="36" spans="1:30" ht="20.25" customHeight="1" thickTop="1" thickBot="1" x14ac:dyDescent="0.3">
      <c r="A36" s="10">
        <v>1</v>
      </c>
      <c r="B36" s="11"/>
      <c r="C36" s="11" t="e">
        <f>VLOOKUP(B36,داتا!$B$3:$D$107,2,FALSE)</f>
        <v>#N/A</v>
      </c>
      <c r="D36" s="33" t="e">
        <f>VLOOKUP(B36,داتا!$B$3:$D$107,3,FALSE)</f>
        <v>#N/A</v>
      </c>
      <c r="E36" s="11"/>
      <c r="F36" s="11"/>
      <c r="G36" s="12">
        <v>0.25</v>
      </c>
      <c r="H36" s="12" t="e">
        <f>VLOOKUP(G36,$F$3:$I$35,2,FALSE)</f>
        <v>#N/A</v>
      </c>
      <c r="I36" s="12" t="e">
        <f t="shared" si="1"/>
        <v>#N/A</v>
      </c>
      <c r="J36" s="12"/>
      <c r="K36" s="12"/>
      <c r="L36" s="12"/>
      <c r="M36" s="12"/>
      <c r="N36" s="12">
        <f t="shared" si="2"/>
        <v>0</v>
      </c>
      <c r="O36" s="12" t="e">
        <f t="shared" si="3"/>
        <v>#N/A</v>
      </c>
      <c r="P36" s="12">
        <v>6.9444444444444397E-3</v>
      </c>
      <c r="Q36" s="12"/>
      <c r="R36" s="12">
        <f t="shared" si="4"/>
        <v>-6.9444444444444397E-3</v>
      </c>
      <c r="S36" s="12"/>
      <c r="T36" s="12" t="e">
        <f>VLOOKUP(E36,'[2]21-3-2026'!E$3:T$35,16,FALSE)</f>
        <v>#N/A</v>
      </c>
      <c r="U36" s="12"/>
      <c r="V36" s="12" t="e">
        <f t="shared" si="5"/>
        <v>#N/A</v>
      </c>
      <c r="W36" s="12"/>
      <c r="X36" s="12"/>
      <c r="Y36" s="12"/>
      <c r="Z36" s="12">
        <f t="shared" si="6"/>
        <v>0</v>
      </c>
      <c r="AA36" s="12">
        <f t="shared" si="0"/>
        <v>0</v>
      </c>
      <c r="AB36" s="12"/>
      <c r="AC36" s="29"/>
      <c r="AD36" s="50" t="s">
        <v>104</v>
      </c>
    </row>
    <row r="37" spans="1:30" ht="19.5" thickBot="1" x14ac:dyDescent="0.3">
      <c r="A37" s="14">
        <v>2</v>
      </c>
      <c r="B37" s="15"/>
      <c r="C37" s="15" t="e">
        <f>VLOOKUP(B37,داتا!$B$3:$D$107,2,FALSE)</f>
        <v>#N/A</v>
      </c>
      <c r="D37" s="34" t="e">
        <f>VLOOKUP(B37,داتا!$B$3:$D$107,3,FALSE)</f>
        <v>#N/A</v>
      </c>
      <c r="E37" s="15"/>
      <c r="F37" s="15"/>
      <c r="G37" s="16">
        <v>0.25</v>
      </c>
      <c r="H37" s="16" t="e">
        <f t="shared" ref="H37:H52" si="7">VLOOKUP(G37,$F$3:$I$35,2,FALSE)</f>
        <v>#N/A</v>
      </c>
      <c r="I37" s="16" t="e">
        <f t="shared" si="1"/>
        <v>#N/A</v>
      </c>
      <c r="J37" s="16"/>
      <c r="K37" s="16"/>
      <c r="L37" s="16"/>
      <c r="M37" s="16"/>
      <c r="N37" s="16">
        <f t="shared" si="2"/>
        <v>0</v>
      </c>
      <c r="O37" s="16" t="e">
        <f t="shared" si="3"/>
        <v>#N/A</v>
      </c>
      <c r="P37" s="16">
        <v>6.9444444444444397E-3</v>
      </c>
      <c r="Q37" s="16"/>
      <c r="R37" s="16">
        <f t="shared" si="4"/>
        <v>-6.9444444444444397E-3</v>
      </c>
      <c r="S37" s="16"/>
      <c r="T37" s="16" t="e">
        <f>VLOOKUP(E37,'[2]21-3-2026'!E$3:T$35,16,FALSE)</f>
        <v>#N/A</v>
      </c>
      <c r="U37" s="16"/>
      <c r="V37" s="16" t="e">
        <f t="shared" si="5"/>
        <v>#N/A</v>
      </c>
      <c r="W37" s="16"/>
      <c r="X37" s="16"/>
      <c r="Y37" s="16"/>
      <c r="Z37" s="16">
        <f t="shared" si="6"/>
        <v>0</v>
      </c>
      <c r="AA37" s="16">
        <f t="shared" si="0"/>
        <v>0</v>
      </c>
      <c r="AB37" s="16"/>
      <c r="AC37" s="19"/>
      <c r="AD37" s="51"/>
    </row>
    <row r="38" spans="1:30" ht="19.5" thickBot="1" x14ac:dyDescent="0.3">
      <c r="A38" s="14">
        <v>3</v>
      </c>
      <c r="B38" s="15"/>
      <c r="C38" s="15" t="e">
        <f>VLOOKUP(B38,داتا!$B$3:$D$107,2,FALSE)</f>
        <v>#N/A</v>
      </c>
      <c r="D38" s="34" t="e">
        <f>VLOOKUP(B38,داتا!$B$3:$D$107,3,FALSE)</f>
        <v>#N/A</v>
      </c>
      <c r="E38" s="15"/>
      <c r="F38" s="15"/>
      <c r="G38" s="16">
        <v>0.25</v>
      </c>
      <c r="H38" s="16" t="e">
        <f t="shared" si="7"/>
        <v>#N/A</v>
      </c>
      <c r="I38" s="16" t="e">
        <f t="shared" si="1"/>
        <v>#N/A</v>
      </c>
      <c r="J38" s="16"/>
      <c r="K38" s="16"/>
      <c r="L38" s="16"/>
      <c r="M38" s="16"/>
      <c r="N38" s="16">
        <f t="shared" si="2"/>
        <v>0</v>
      </c>
      <c r="O38" s="16" t="e">
        <f t="shared" si="3"/>
        <v>#N/A</v>
      </c>
      <c r="P38" s="16">
        <v>6.9444444444444397E-3</v>
      </c>
      <c r="Q38" s="16"/>
      <c r="R38" s="16">
        <f t="shared" si="4"/>
        <v>-6.9444444444444397E-3</v>
      </c>
      <c r="S38" s="16"/>
      <c r="T38" s="16" t="e">
        <f>VLOOKUP(E38,'[2]21-3-2026'!E$3:T$35,16,FALSE)</f>
        <v>#N/A</v>
      </c>
      <c r="U38" s="16"/>
      <c r="V38" s="16" t="e">
        <f t="shared" si="5"/>
        <v>#N/A</v>
      </c>
      <c r="W38" s="16"/>
      <c r="X38" s="16"/>
      <c r="Y38" s="16"/>
      <c r="Z38" s="16">
        <f t="shared" si="6"/>
        <v>0</v>
      </c>
      <c r="AA38" s="16">
        <f t="shared" si="0"/>
        <v>0</v>
      </c>
      <c r="AB38" s="16"/>
      <c r="AC38" s="19"/>
      <c r="AD38" s="51"/>
    </row>
    <row r="39" spans="1:30" ht="19.5" thickBot="1" x14ac:dyDescent="0.3">
      <c r="A39" s="14">
        <v>4</v>
      </c>
      <c r="B39" s="15"/>
      <c r="C39" s="15" t="e">
        <f>VLOOKUP(B39,داتا!$B$3:$D$107,2,FALSE)</f>
        <v>#N/A</v>
      </c>
      <c r="D39" s="34" t="e">
        <f>VLOOKUP(B39,داتا!$B$3:$D$107,3,FALSE)</f>
        <v>#N/A</v>
      </c>
      <c r="E39" s="15"/>
      <c r="F39" s="15"/>
      <c r="G39" s="16">
        <v>0.25</v>
      </c>
      <c r="H39" s="16" t="e">
        <f t="shared" si="7"/>
        <v>#N/A</v>
      </c>
      <c r="I39" s="16" t="e">
        <f t="shared" si="1"/>
        <v>#N/A</v>
      </c>
      <c r="J39" s="16"/>
      <c r="K39" s="16"/>
      <c r="L39" s="16"/>
      <c r="M39" s="16"/>
      <c r="N39" s="16">
        <f t="shared" si="2"/>
        <v>0</v>
      </c>
      <c r="O39" s="16" t="e">
        <f t="shared" si="3"/>
        <v>#N/A</v>
      </c>
      <c r="P39" s="16">
        <v>6.9444444444444397E-3</v>
      </c>
      <c r="Q39" s="16"/>
      <c r="R39" s="16">
        <f t="shared" si="4"/>
        <v>-6.9444444444444397E-3</v>
      </c>
      <c r="S39" s="16"/>
      <c r="T39" s="16" t="e">
        <f>VLOOKUP(E39,'[2]21-3-2026'!E$3:T$35,16,FALSE)</f>
        <v>#N/A</v>
      </c>
      <c r="U39" s="16"/>
      <c r="V39" s="16" t="e">
        <f t="shared" si="5"/>
        <v>#N/A</v>
      </c>
      <c r="W39" s="16"/>
      <c r="X39" s="16"/>
      <c r="Y39" s="16"/>
      <c r="Z39" s="16">
        <f t="shared" si="6"/>
        <v>0</v>
      </c>
      <c r="AA39" s="16">
        <f t="shared" si="0"/>
        <v>0</v>
      </c>
      <c r="AB39" s="16"/>
      <c r="AC39" s="17"/>
      <c r="AD39" s="51"/>
    </row>
    <row r="40" spans="1:30" ht="19.5" thickBot="1" x14ac:dyDescent="0.3">
      <c r="A40" s="14">
        <v>5</v>
      </c>
      <c r="B40" s="15"/>
      <c r="C40" s="15" t="e">
        <f>VLOOKUP(B40,داتا!$B$3:$D$107,2,FALSE)</f>
        <v>#N/A</v>
      </c>
      <c r="D40" s="34" t="e">
        <f>VLOOKUP(B40,داتا!$B$3:$D$107,3,FALSE)</f>
        <v>#N/A</v>
      </c>
      <c r="E40" s="15"/>
      <c r="F40" s="15"/>
      <c r="G40" s="16">
        <v>0.25</v>
      </c>
      <c r="H40" s="16" t="e">
        <f t="shared" si="7"/>
        <v>#N/A</v>
      </c>
      <c r="I40" s="16" t="e">
        <f t="shared" si="1"/>
        <v>#N/A</v>
      </c>
      <c r="J40" s="16"/>
      <c r="K40" s="16"/>
      <c r="L40" s="16"/>
      <c r="M40" s="16"/>
      <c r="N40" s="16">
        <f t="shared" si="2"/>
        <v>0</v>
      </c>
      <c r="O40" s="16" t="e">
        <f t="shared" si="3"/>
        <v>#N/A</v>
      </c>
      <c r="P40" s="16">
        <v>6.9444444444444397E-3</v>
      </c>
      <c r="Q40" s="16"/>
      <c r="R40" s="16">
        <f t="shared" si="4"/>
        <v>-6.9444444444444397E-3</v>
      </c>
      <c r="S40" s="16"/>
      <c r="T40" s="16" t="e">
        <f>VLOOKUP(E40,'[2]21-3-2026'!E$3:T$35,16,FALSE)</f>
        <v>#N/A</v>
      </c>
      <c r="U40" s="16"/>
      <c r="V40" s="16" t="e">
        <f t="shared" si="5"/>
        <v>#N/A</v>
      </c>
      <c r="W40" s="16"/>
      <c r="X40" s="16"/>
      <c r="Y40" s="16"/>
      <c r="Z40" s="16">
        <f t="shared" si="6"/>
        <v>0</v>
      </c>
      <c r="AA40" s="16">
        <f t="shared" si="0"/>
        <v>0</v>
      </c>
      <c r="AB40" s="16"/>
      <c r="AC40" s="17"/>
      <c r="AD40" s="51"/>
    </row>
    <row r="41" spans="1:30" ht="19.5" thickBot="1" x14ac:dyDescent="0.3">
      <c r="A41" s="14">
        <v>6</v>
      </c>
      <c r="B41" s="15"/>
      <c r="C41" s="15" t="e">
        <f>VLOOKUP(B41,داتا!$B$3:$D$107,2,FALSE)</f>
        <v>#N/A</v>
      </c>
      <c r="D41" s="34" t="e">
        <f>VLOOKUP(B41,داتا!$B$3:$D$107,3,FALSE)</f>
        <v>#N/A</v>
      </c>
      <c r="E41" s="15"/>
      <c r="F41" s="15"/>
      <c r="G41" s="16">
        <v>0.25</v>
      </c>
      <c r="H41" s="16" t="e">
        <f t="shared" si="7"/>
        <v>#N/A</v>
      </c>
      <c r="I41" s="16" t="e">
        <f t="shared" si="1"/>
        <v>#N/A</v>
      </c>
      <c r="J41" s="16"/>
      <c r="K41" s="16"/>
      <c r="L41" s="16"/>
      <c r="M41" s="16"/>
      <c r="N41" s="16">
        <f t="shared" si="2"/>
        <v>0</v>
      </c>
      <c r="O41" s="16" t="e">
        <f t="shared" si="3"/>
        <v>#N/A</v>
      </c>
      <c r="P41" s="16">
        <v>6.9444444444444397E-3</v>
      </c>
      <c r="Q41" s="16"/>
      <c r="R41" s="16">
        <f t="shared" si="4"/>
        <v>-6.9444444444444397E-3</v>
      </c>
      <c r="S41" s="16"/>
      <c r="T41" s="16" t="e">
        <f>VLOOKUP(E41,'[2]21-3-2026'!E$3:T$35,16,FALSE)</f>
        <v>#N/A</v>
      </c>
      <c r="U41" s="16"/>
      <c r="V41" s="16" t="e">
        <f t="shared" si="5"/>
        <v>#N/A</v>
      </c>
      <c r="W41" s="16"/>
      <c r="X41" s="16"/>
      <c r="Y41" s="16"/>
      <c r="Z41" s="16">
        <f t="shared" si="6"/>
        <v>0</v>
      </c>
      <c r="AA41" s="16">
        <f t="shared" si="0"/>
        <v>0</v>
      </c>
      <c r="AB41" s="16"/>
      <c r="AC41" s="17"/>
      <c r="AD41" s="51"/>
    </row>
    <row r="42" spans="1:30" ht="19.5" thickBot="1" x14ac:dyDescent="0.3">
      <c r="A42" s="14">
        <v>7</v>
      </c>
      <c r="B42" s="15"/>
      <c r="C42" s="15" t="e">
        <f>VLOOKUP(B42,داتا!$B$3:$D$107,2,FALSE)</f>
        <v>#N/A</v>
      </c>
      <c r="D42" s="34" t="e">
        <f>VLOOKUP(B42,داتا!$B$3:$D$107,3,FALSE)</f>
        <v>#N/A</v>
      </c>
      <c r="E42" s="15"/>
      <c r="F42" s="15"/>
      <c r="G42" s="16">
        <v>0.25</v>
      </c>
      <c r="H42" s="16" t="e">
        <f t="shared" si="7"/>
        <v>#N/A</v>
      </c>
      <c r="I42" s="16" t="e">
        <f t="shared" si="1"/>
        <v>#N/A</v>
      </c>
      <c r="J42" s="16"/>
      <c r="K42" s="16"/>
      <c r="L42" s="16"/>
      <c r="M42" s="16"/>
      <c r="N42" s="16">
        <f t="shared" si="2"/>
        <v>0</v>
      </c>
      <c r="O42" s="16" t="e">
        <f t="shared" si="3"/>
        <v>#N/A</v>
      </c>
      <c r="P42" s="16">
        <v>6.9444444444444397E-3</v>
      </c>
      <c r="Q42" s="16"/>
      <c r="R42" s="16">
        <f t="shared" si="4"/>
        <v>-6.9444444444444397E-3</v>
      </c>
      <c r="S42" s="16"/>
      <c r="T42" s="16" t="e">
        <f>VLOOKUP(E42,'[2]21-3-2026'!E$3:T$35,16,FALSE)</f>
        <v>#N/A</v>
      </c>
      <c r="U42" s="16"/>
      <c r="V42" s="16" t="e">
        <f t="shared" si="5"/>
        <v>#N/A</v>
      </c>
      <c r="W42" s="16"/>
      <c r="X42" s="16"/>
      <c r="Y42" s="16"/>
      <c r="Z42" s="16">
        <f t="shared" si="6"/>
        <v>0</v>
      </c>
      <c r="AA42" s="16">
        <f t="shared" si="0"/>
        <v>0</v>
      </c>
      <c r="AB42" s="16"/>
      <c r="AC42" s="17"/>
      <c r="AD42" s="51"/>
    </row>
    <row r="43" spans="1:30" ht="19.5" thickBot="1" x14ac:dyDescent="0.3">
      <c r="A43" s="14">
        <v>8</v>
      </c>
      <c r="B43" s="15"/>
      <c r="C43" s="15" t="e">
        <f>VLOOKUP(B43,داتا!$B$3:$D$107,2,FALSE)</f>
        <v>#N/A</v>
      </c>
      <c r="D43" s="34" t="e">
        <f>VLOOKUP(B43,داتا!$B$3:$D$107,3,FALSE)</f>
        <v>#N/A</v>
      </c>
      <c r="E43" s="15"/>
      <c r="F43" s="15"/>
      <c r="G43" s="16">
        <v>0.25</v>
      </c>
      <c r="H43" s="16" t="e">
        <f t="shared" si="7"/>
        <v>#N/A</v>
      </c>
      <c r="I43" s="16" t="e">
        <f t="shared" si="1"/>
        <v>#N/A</v>
      </c>
      <c r="J43" s="16"/>
      <c r="K43" s="16"/>
      <c r="L43" s="16"/>
      <c r="M43" s="16"/>
      <c r="N43" s="16">
        <f t="shared" si="2"/>
        <v>0</v>
      </c>
      <c r="O43" s="16" t="e">
        <f t="shared" si="3"/>
        <v>#N/A</v>
      </c>
      <c r="P43" s="16">
        <v>6.9444444444444397E-3</v>
      </c>
      <c r="Q43" s="16"/>
      <c r="R43" s="16">
        <f t="shared" si="4"/>
        <v>-6.9444444444444397E-3</v>
      </c>
      <c r="S43" s="16"/>
      <c r="T43" s="16" t="e">
        <f>VLOOKUP(E43,'[2]21-3-2026'!E$3:T$35,16,FALSE)</f>
        <v>#N/A</v>
      </c>
      <c r="U43" s="16"/>
      <c r="V43" s="16" t="e">
        <f t="shared" si="5"/>
        <v>#N/A</v>
      </c>
      <c r="W43" s="16"/>
      <c r="X43" s="16"/>
      <c r="Y43" s="16"/>
      <c r="Z43" s="16">
        <f t="shared" si="6"/>
        <v>0</v>
      </c>
      <c r="AA43" s="16">
        <f t="shared" si="0"/>
        <v>0</v>
      </c>
      <c r="AB43" s="16"/>
      <c r="AC43" s="17"/>
      <c r="AD43" s="51"/>
    </row>
    <row r="44" spans="1:30" ht="19.5" thickBot="1" x14ac:dyDescent="0.3">
      <c r="A44" s="14">
        <v>9</v>
      </c>
      <c r="B44" s="15"/>
      <c r="C44" s="15" t="e">
        <f>VLOOKUP(B44,داتا!$B$3:$D$107,2,FALSE)</f>
        <v>#N/A</v>
      </c>
      <c r="D44" s="34" t="e">
        <f>VLOOKUP(B44,داتا!$B$3:$D$107,3,FALSE)</f>
        <v>#N/A</v>
      </c>
      <c r="E44" s="15"/>
      <c r="F44" s="15"/>
      <c r="G44" s="16">
        <v>0.25</v>
      </c>
      <c r="H44" s="16" t="e">
        <f t="shared" si="7"/>
        <v>#N/A</v>
      </c>
      <c r="I44" s="16" t="e">
        <f t="shared" si="1"/>
        <v>#N/A</v>
      </c>
      <c r="J44" s="16"/>
      <c r="K44" s="16"/>
      <c r="L44" s="16"/>
      <c r="M44" s="16"/>
      <c r="N44" s="16">
        <f t="shared" si="2"/>
        <v>0</v>
      </c>
      <c r="O44" s="16" t="e">
        <f t="shared" si="3"/>
        <v>#N/A</v>
      </c>
      <c r="P44" s="16">
        <v>6.9444444444444397E-3</v>
      </c>
      <c r="Q44" s="16"/>
      <c r="R44" s="16">
        <f t="shared" si="4"/>
        <v>-6.9444444444444397E-3</v>
      </c>
      <c r="S44" s="16"/>
      <c r="T44" s="16" t="e">
        <f>VLOOKUP(E44,'[2]21-3-2026'!E$3:T$35,16,FALSE)</f>
        <v>#N/A</v>
      </c>
      <c r="U44" s="16"/>
      <c r="V44" s="16" t="e">
        <f t="shared" si="5"/>
        <v>#N/A</v>
      </c>
      <c r="W44" s="16"/>
      <c r="X44" s="16"/>
      <c r="Y44" s="16"/>
      <c r="Z44" s="16">
        <f t="shared" si="6"/>
        <v>0</v>
      </c>
      <c r="AA44" s="16">
        <f t="shared" si="0"/>
        <v>0</v>
      </c>
      <c r="AB44" s="16"/>
      <c r="AC44" s="17"/>
      <c r="AD44" s="51"/>
    </row>
    <row r="45" spans="1:30" ht="19.5" thickBot="1" x14ac:dyDescent="0.3">
      <c r="A45" s="14">
        <v>10</v>
      </c>
      <c r="B45" s="15"/>
      <c r="C45" s="15" t="e">
        <f>VLOOKUP(B45,داتا!$B$3:$D$107,2,FALSE)</f>
        <v>#N/A</v>
      </c>
      <c r="D45" s="34" t="e">
        <f>VLOOKUP(B45,داتا!$B$3:$D$107,3,FALSE)</f>
        <v>#N/A</v>
      </c>
      <c r="E45" s="15"/>
      <c r="F45" s="15"/>
      <c r="G45" s="16">
        <v>0.25</v>
      </c>
      <c r="H45" s="16" t="e">
        <f t="shared" si="7"/>
        <v>#N/A</v>
      </c>
      <c r="I45" s="16" t="e">
        <f t="shared" si="1"/>
        <v>#N/A</v>
      </c>
      <c r="J45" s="16"/>
      <c r="K45" s="16"/>
      <c r="L45" s="16"/>
      <c r="M45" s="16"/>
      <c r="N45" s="16">
        <f t="shared" si="2"/>
        <v>0</v>
      </c>
      <c r="O45" s="16" t="e">
        <f t="shared" si="3"/>
        <v>#N/A</v>
      </c>
      <c r="P45" s="16">
        <v>6.9444444444444397E-3</v>
      </c>
      <c r="Q45" s="16"/>
      <c r="R45" s="16">
        <f t="shared" si="4"/>
        <v>-6.9444444444444397E-3</v>
      </c>
      <c r="S45" s="16"/>
      <c r="T45" s="16" t="e">
        <f>VLOOKUP(E45,'[2]21-3-2026'!E$3:T$35,16,FALSE)</f>
        <v>#N/A</v>
      </c>
      <c r="U45" s="16"/>
      <c r="V45" s="16" t="e">
        <f t="shared" si="5"/>
        <v>#N/A</v>
      </c>
      <c r="W45" s="16"/>
      <c r="X45" s="16"/>
      <c r="Y45" s="16"/>
      <c r="Z45" s="16">
        <f t="shared" si="6"/>
        <v>0</v>
      </c>
      <c r="AA45" s="16">
        <f t="shared" si="0"/>
        <v>0</v>
      </c>
      <c r="AB45" s="16"/>
      <c r="AC45" s="17"/>
      <c r="AD45" s="51"/>
    </row>
    <row r="46" spans="1:30" ht="19.5" thickBot="1" x14ac:dyDescent="0.3">
      <c r="A46" s="14">
        <v>11</v>
      </c>
      <c r="B46" s="15"/>
      <c r="C46" s="15" t="e">
        <f>VLOOKUP(B46,داتا!$B$3:$D$107,2,FALSE)</f>
        <v>#N/A</v>
      </c>
      <c r="D46" s="34" t="e">
        <f>VLOOKUP(B46,داتا!$B$3:$D$107,3,FALSE)</f>
        <v>#N/A</v>
      </c>
      <c r="E46" s="15"/>
      <c r="F46" s="15"/>
      <c r="G46" s="16">
        <v>0.25</v>
      </c>
      <c r="H46" s="16" t="e">
        <f t="shared" si="7"/>
        <v>#N/A</v>
      </c>
      <c r="I46" s="16" t="e">
        <f t="shared" si="1"/>
        <v>#N/A</v>
      </c>
      <c r="J46" s="16"/>
      <c r="K46" s="16"/>
      <c r="L46" s="16"/>
      <c r="M46" s="16"/>
      <c r="N46" s="16">
        <f t="shared" si="2"/>
        <v>0</v>
      </c>
      <c r="O46" s="16" t="e">
        <f t="shared" si="3"/>
        <v>#N/A</v>
      </c>
      <c r="P46" s="16">
        <v>6.9444444444444397E-3</v>
      </c>
      <c r="Q46" s="16"/>
      <c r="R46" s="16">
        <f t="shared" si="4"/>
        <v>-6.9444444444444397E-3</v>
      </c>
      <c r="S46" s="16"/>
      <c r="T46" s="16" t="e">
        <f>VLOOKUP(E46,'[2]21-3-2026'!E$3:T$35,16,FALSE)</f>
        <v>#N/A</v>
      </c>
      <c r="U46" s="16"/>
      <c r="V46" s="16" t="e">
        <f t="shared" si="5"/>
        <v>#N/A</v>
      </c>
      <c r="W46" s="16"/>
      <c r="X46" s="16"/>
      <c r="Y46" s="16"/>
      <c r="Z46" s="16">
        <f t="shared" si="6"/>
        <v>0</v>
      </c>
      <c r="AA46" s="16">
        <f t="shared" si="0"/>
        <v>0</v>
      </c>
      <c r="AB46" s="16"/>
      <c r="AC46" s="17"/>
      <c r="AD46" s="51"/>
    </row>
    <row r="47" spans="1:30" ht="19.5" thickBot="1" x14ac:dyDescent="0.3">
      <c r="A47" s="14">
        <v>12</v>
      </c>
      <c r="B47" s="15"/>
      <c r="C47" s="15" t="e">
        <f>VLOOKUP(B47,داتا!$B$3:$D$107,2,FALSE)</f>
        <v>#N/A</v>
      </c>
      <c r="D47" s="34" t="e">
        <f>VLOOKUP(B47,داتا!$B$3:$D$107,3,FALSE)</f>
        <v>#N/A</v>
      </c>
      <c r="E47" s="15"/>
      <c r="F47" s="15"/>
      <c r="G47" s="16">
        <v>0.25</v>
      </c>
      <c r="H47" s="16" t="e">
        <f t="shared" si="7"/>
        <v>#N/A</v>
      </c>
      <c r="I47" s="16" t="e">
        <f t="shared" si="1"/>
        <v>#N/A</v>
      </c>
      <c r="J47" s="16"/>
      <c r="K47" s="16"/>
      <c r="L47" s="16"/>
      <c r="M47" s="16"/>
      <c r="N47" s="16">
        <f t="shared" si="2"/>
        <v>0</v>
      </c>
      <c r="O47" s="16" t="e">
        <f t="shared" si="3"/>
        <v>#N/A</v>
      </c>
      <c r="P47" s="16">
        <v>6.9444444444444397E-3</v>
      </c>
      <c r="Q47" s="16"/>
      <c r="R47" s="16">
        <f t="shared" si="4"/>
        <v>-6.9444444444444397E-3</v>
      </c>
      <c r="S47" s="16"/>
      <c r="T47" s="16" t="e">
        <f>VLOOKUP(E47,'[2]21-3-2026'!E$3:T$35,16,FALSE)</f>
        <v>#N/A</v>
      </c>
      <c r="U47" s="16"/>
      <c r="V47" s="16" t="e">
        <f t="shared" si="5"/>
        <v>#N/A</v>
      </c>
      <c r="W47" s="16"/>
      <c r="X47" s="16"/>
      <c r="Y47" s="16"/>
      <c r="Z47" s="16">
        <f t="shared" si="6"/>
        <v>0</v>
      </c>
      <c r="AA47" s="16">
        <f t="shared" si="0"/>
        <v>0</v>
      </c>
      <c r="AB47" s="16"/>
      <c r="AC47" s="17"/>
      <c r="AD47" s="51"/>
    </row>
    <row r="48" spans="1:30" ht="19.5" thickBot="1" x14ac:dyDescent="0.3">
      <c r="A48" s="14">
        <v>13</v>
      </c>
      <c r="B48" s="15"/>
      <c r="C48" s="15" t="e">
        <f>VLOOKUP(B48,داتا!$B$3:$D$107,2,FALSE)</f>
        <v>#N/A</v>
      </c>
      <c r="D48" s="34" t="e">
        <f>VLOOKUP(B48,داتا!$B$3:$D$107,3,FALSE)</f>
        <v>#N/A</v>
      </c>
      <c r="E48" s="15"/>
      <c r="F48" s="15"/>
      <c r="G48" s="16">
        <v>0.25</v>
      </c>
      <c r="H48" s="16" t="e">
        <f t="shared" si="7"/>
        <v>#N/A</v>
      </c>
      <c r="I48" s="16" t="e">
        <f t="shared" si="1"/>
        <v>#N/A</v>
      </c>
      <c r="J48" s="16"/>
      <c r="K48" s="16"/>
      <c r="L48" s="16"/>
      <c r="M48" s="16"/>
      <c r="N48" s="16">
        <f t="shared" si="2"/>
        <v>0</v>
      </c>
      <c r="O48" s="16" t="e">
        <f t="shared" si="3"/>
        <v>#N/A</v>
      </c>
      <c r="P48" s="16">
        <v>6.9444444444444397E-3</v>
      </c>
      <c r="Q48" s="16"/>
      <c r="R48" s="16">
        <f t="shared" si="4"/>
        <v>-6.9444444444444397E-3</v>
      </c>
      <c r="S48" s="16"/>
      <c r="T48" s="16" t="e">
        <f>VLOOKUP(E48,'[2]21-3-2026'!E$3:T$35,16,FALSE)</f>
        <v>#N/A</v>
      </c>
      <c r="U48" s="16"/>
      <c r="V48" s="16" t="e">
        <f t="shared" si="5"/>
        <v>#N/A</v>
      </c>
      <c r="W48" s="16"/>
      <c r="X48" s="16"/>
      <c r="Y48" s="16"/>
      <c r="Z48" s="16">
        <f t="shared" si="6"/>
        <v>0</v>
      </c>
      <c r="AA48" s="16">
        <f t="shared" si="0"/>
        <v>0</v>
      </c>
      <c r="AB48" s="16"/>
      <c r="AC48" s="17"/>
      <c r="AD48" s="51"/>
    </row>
    <row r="49" spans="1:30" ht="19.5" thickBot="1" x14ac:dyDescent="0.3">
      <c r="A49" s="14">
        <v>14</v>
      </c>
      <c r="B49" s="15"/>
      <c r="C49" s="15" t="e">
        <f>VLOOKUP(B49,داتا!$B$3:$D$107,2,FALSE)</f>
        <v>#N/A</v>
      </c>
      <c r="D49" s="34" t="e">
        <f>VLOOKUP(B49,داتا!$B$3:$D$107,3,FALSE)</f>
        <v>#N/A</v>
      </c>
      <c r="E49" s="15"/>
      <c r="F49" s="15"/>
      <c r="G49" s="16">
        <v>0.25</v>
      </c>
      <c r="H49" s="16" t="e">
        <f t="shared" si="7"/>
        <v>#N/A</v>
      </c>
      <c r="I49" s="16" t="e">
        <f t="shared" si="1"/>
        <v>#N/A</v>
      </c>
      <c r="J49" s="16"/>
      <c r="K49" s="16"/>
      <c r="L49" s="16"/>
      <c r="M49" s="16"/>
      <c r="N49" s="16">
        <f t="shared" si="2"/>
        <v>0</v>
      </c>
      <c r="O49" s="16" t="e">
        <f t="shared" si="3"/>
        <v>#N/A</v>
      </c>
      <c r="P49" s="16">
        <v>6.9444444444444397E-3</v>
      </c>
      <c r="Q49" s="16"/>
      <c r="R49" s="16">
        <f t="shared" si="4"/>
        <v>-6.9444444444444397E-3</v>
      </c>
      <c r="S49" s="16"/>
      <c r="T49" s="16" t="e">
        <f>VLOOKUP(E49,'[2]21-3-2026'!E$3:T$35,16,FALSE)</f>
        <v>#N/A</v>
      </c>
      <c r="U49" s="16"/>
      <c r="V49" s="16" t="e">
        <f t="shared" si="5"/>
        <v>#N/A</v>
      </c>
      <c r="W49" s="16"/>
      <c r="X49" s="16"/>
      <c r="Y49" s="16"/>
      <c r="Z49" s="16">
        <f t="shared" si="6"/>
        <v>0</v>
      </c>
      <c r="AA49" s="16">
        <f t="shared" si="0"/>
        <v>0</v>
      </c>
      <c r="AB49" s="16"/>
      <c r="AC49" s="17"/>
      <c r="AD49" s="51"/>
    </row>
    <row r="50" spans="1:30" ht="19.5" thickBot="1" x14ac:dyDescent="0.3">
      <c r="A50" s="14">
        <v>15</v>
      </c>
      <c r="B50" s="15"/>
      <c r="C50" s="15" t="e">
        <f>VLOOKUP(B50,داتا!$B$3:$D$107,2,FALSE)</f>
        <v>#N/A</v>
      </c>
      <c r="D50" s="34" t="e">
        <f>VLOOKUP(B50,داتا!$B$3:$D$107,3,FALSE)</f>
        <v>#N/A</v>
      </c>
      <c r="E50" s="15"/>
      <c r="F50" s="15"/>
      <c r="G50" s="16">
        <v>0.25</v>
      </c>
      <c r="H50" s="16" t="e">
        <f t="shared" si="7"/>
        <v>#N/A</v>
      </c>
      <c r="I50" s="16" t="e">
        <f t="shared" si="1"/>
        <v>#N/A</v>
      </c>
      <c r="J50" s="16"/>
      <c r="K50" s="16"/>
      <c r="L50" s="16"/>
      <c r="M50" s="16"/>
      <c r="N50" s="16">
        <f t="shared" si="2"/>
        <v>0</v>
      </c>
      <c r="O50" s="16" t="e">
        <f t="shared" si="3"/>
        <v>#N/A</v>
      </c>
      <c r="P50" s="16">
        <v>6.9444444444444397E-3</v>
      </c>
      <c r="Q50" s="16"/>
      <c r="R50" s="16">
        <f t="shared" si="4"/>
        <v>-6.9444444444444397E-3</v>
      </c>
      <c r="S50" s="16"/>
      <c r="T50" s="16" t="e">
        <f>VLOOKUP(E50,'[2]21-3-2026'!E$3:T$35,16,FALSE)</f>
        <v>#N/A</v>
      </c>
      <c r="U50" s="16"/>
      <c r="V50" s="16" t="e">
        <f t="shared" si="5"/>
        <v>#N/A</v>
      </c>
      <c r="W50" s="16"/>
      <c r="X50" s="16"/>
      <c r="Y50" s="16"/>
      <c r="Z50" s="16">
        <f t="shared" si="6"/>
        <v>0</v>
      </c>
      <c r="AA50" s="16">
        <f t="shared" si="0"/>
        <v>0</v>
      </c>
      <c r="AB50" s="16"/>
      <c r="AC50" s="17"/>
      <c r="AD50" s="51"/>
    </row>
    <row r="51" spans="1:30" ht="19.5" thickBot="1" x14ac:dyDescent="0.3">
      <c r="A51" s="14">
        <v>16</v>
      </c>
      <c r="B51" s="15"/>
      <c r="C51" s="15" t="e">
        <f>VLOOKUP(B51,داتا!$B$3:$D$107,2,FALSE)</f>
        <v>#N/A</v>
      </c>
      <c r="D51" s="34" t="e">
        <f>VLOOKUP(B51,داتا!$B$3:$D$107,3,FALSE)</f>
        <v>#N/A</v>
      </c>
      <c r="E51" s="15"/>
      <c r="F51" s="15"/>
      <c r="G51" s="16">
        <v>0.25</v>
      </c>
      <c r="H51" s="16" t="e">
        <f t="shared" si="7"/>
        <v>#N/A</v>
      </c>
      <c r="I51" s="16" t="e">
        <f t="shared" si="1"/>
        <v>#N/A</v>
      </c>
      <c r="J51" s="16"/>
      <c r="K51" s="16"/>
      <c r="L51" s="16"/>
      <c r="M51" s="16"/>
      <c r="N51" s="16">
        <f t="shared" si="2"/>
        <v>0</v>
      </c>
      <c r="O51" s="16" t="e">
        <f t="shared" si="3"/>
        <v>#N/A</v>
      </c>
      <c r="P51" s="16">
        <v>6.9444444444444397E-3</v>
      </c>
      <c r="Q51" s="16"/>
      <c r="R51" s="16">
        <f t="shared" si="4"/>
        <v>-6.9444444444444397E-3</v>
      </c>
      <c r="S51" s="16"/>
      <c r="T51" s="16" t="e">
        <f>VLOOKUP(E51,'[2]21-3-2026'!E$3:T$35,16,FALSE)</f>
        <v>#N/A</v>
      </c>
      <c r="U51" s="16"/>
      <c r="V51" s="16" t="e">
        <f t="shared" si="5"/>
        <v>#N/A</v>
      </c>
      <c r="W51" s="16"/>
      <c r="X51" s="16"/>
      <c r="Y51" s="16"/>
      <c r="Z51" s="16">
        <f t="shared" si="6"/>
        <v>0</v>
      </c>
      <c r="AA51" s="16">
        <f t="shared" si="0"/>
        <v>0</v>
      </c>
      <c r="AB51" s="16"/>
      <c r="AC51" s="17"/>
      <c r="AD51" s="51"/>
    </row>
    <row r="52" spans="1:30" ht="19.5" thickBot="1" x14ac:dyDescent="0.3">
      <c r="A52" s="14">
        <v>17</v>
      </c>
      <c r="B52" s="15"/>
      <c r="C52" s="15" t="e">
        <f>VLOOKUP(B52,داتا!$B$3:$D$107,2,FALSE)</f>
        <v>#N/A</v>
      </c>
      <c r="D52" s="34" t="e">
        <f>VLOOKUP(B52,داتا!$B$3:$D$107,3,FALSE)</f>
        <v>#N/A</v>
      </c>
      <c r="E52" s="15"/>
      <c r="F52" s="15"/>
      <c r="G52" s="16">
        <v>0.25</v>
      </c>
      <c r="H52" s="16" t="e">
        <f t="shared" si="7"/>
        <v>#N/A</v>
      </c>
      <c r="I52" s="16" t="e">
        <f t="shared" si="1"/>
        <v>#N/A</v>
      </c>
      <c r="J52" s="16"/>
      <c r="K52" s="16"/>
      <c r="L52" s="16"/>
      <c r="M52" s="16"/>
      <c r="N52" s="16">
        <f t="shared" si="2"/>
        <v>0</v>
      </c>
      <c r="O52" s="16" t="e">
        <f t="shared" si="3"/>
        <v>#N/A</v>
      </c>
      <c r="P52" s="16">
        <v>6.9444444444444397E-3</v>
      </c>
      <c r="Q52" s="16"/>
      <c r="R52" s="16">
        <f t="shared" si="4"/>
        <v>-6.9444444444444397E-3</v>
      </c>
      <c r="S52" s="16"/>
      <c r="T52" s="16" t="e">
        <f>VLOOKUP(E52,'[2]21-3-2026'!E$3:T$35,16,FALSE)</f>
        <v>#N/A</v>
      </c>
      <c r="U52" s="16"/>
      <c r="V52" s="16" t="e">
        <f t="shared" si="5"/>
        <v>#N/A</v>
      </c>
      <c r="W52" s="16"/>
      <c r="X52" s="16"/>
      <c r="Y52" s="16"/>
      <c r="Z52" s="16">
        <f t="shared" si="6"/>
        <v>0</v>
      </c>
      <c r="AA52" s="16">
        <f t="shared" si="0"/>
        <v>0</v>
      </c>
      <c r="AB52" s="16"/>
      <c r="AC52" s="17"/>
      <c r="AD52" s="51"/>
    </row>
    <row r="53" spans="1:30" ht="19.5" thickBot="1" x14ac:dyDescent="0.3">
      <c r="A53" s="14">
        <v>18</v>
      </c>
      <c r="B53" s="15"/>
      <c r="C53" s="15" t="e">
        <f>VLOOKUP(B53,داتا!$B$3:$D$107,2,FALSE)</f>
        <v>#N/A</v>
      </c>
      <c r="D53" s="34" t="e">
        <f>VLOOKUP(B53,داتا!$B$3:$D$107,3,FALSE)</f>
        <v>#N/A</v>
      </c>
      <c r="E53" s="15"/>
      <c r="F53" s="15"/>
      <c r="G53" s="16">
        <v>0.25</v>
      </c>
      <c r="H53" s="16" t="e">
        <f t="shared" ref="H53:H68" si="8">VLOOKUP(G53,$F$3:$I$35,2,FALSE)</f>
        <v>#N/A</v>
      </c>
      <c r="I53" s="16" t="e">
        <f t="shared" si="1"/>
        <v>#N/A</v>
      </c>
      <c r="J53" s="16"/>
      <c r="K53" s="16"/>
      <c r="L53" s="16"/>
      <c r="M53" s="16"/>
      <c r="N53" s="16">
        <f t="shared" si="2"/>
        <v>0</v>
      </c>
      <c r="O53" s="16" t="e">
        <f t="shared" si="3"/>
        <v>#N/A</v>
      </c>
      <c r="P53" s="16">
        <v>6.9444444444444397E-3</v>
      </c>
      <c r="Q53" s="16"/>
      <c r="R53" s="16">
        <f t="shared" si="4"/>
        <v>-6.9444444444444397E-3</v>
      </c>
      <c r="S53" s="16"/>
      <c r="T53" s="16" t="e">
        <f>VLOOKUP(E53,'[2]21-3-2026'!E$3:T$35,16,FALSE)</f>
        <v>#N/A</v>
      </c>
      <c r="U53" s="16"/>
      <c r="V53" s="16" t="e">
        <f t="shared" si="5"/>
        <v>#N/A</v>
      </c>
      <c r="W53" s="16"/>
      <c r="X53" s="16"/>
      <c r="Y53" s="16"/>
      <c r="Z53" s="16">
        <f t="shared" si="6"/>
        <v>0</v>
      </c>
      <c r="AA53" s="16">
        <f t="shared" si="0"/>
        <v>0</v>
      </c>
      <c r="AB53" s="16"/>
      <c r="AC53" s="17"/>
      <c r="AD53" s="51"/>
    </row>
    <row r="54" spans="1:30" ht="19.5" thickBot="1" x14ac:dyDescent="0.3">
      <c r="A54" s="14">
        <v>19</v>
      </c>
      <c r="B54" s="15"/>
      <c r="C54" s="15" t="e">
        <f>VLOOKUP(B54,داتا!$B$3:$D$107,2,FALSE)</f>
        <v>#N/A</v>
      </c>
      <c r="D54" s="34" t="e">
        <f>VLOOKUP(B54,داتا!$B$3:$D$107,3,FALSE)</f>
        <v>#N/A</v>
      </c>
      <c r="E54" s="15"/>
      <c r="F54" s="15"/>
      <c r="G54" s="16">
        <v>0.25</v>
      </c>
      <c r="H54" s="16" t="e">
        <f t="shared" si="8"/>
        <v>#N/A</v>
      </c>
      <c r="I54" s="16" t="e">
        <f t="shared" si="1"/>
        <v>#N/A</v>
      </c>
      <c r="J54" s="16"/>
      <c r="K54" s="16"/>
      <c r="L54" s="16"/>
      <c r="M54" s="16"/>
      <c r="N54" s="16">
        <f t="shared" si="2"/>
        <v>0</v>
      </c>
      <c r="O54" s="16" t="e">
        <f t="shared" si="3"/>
        <v>#N/A</v>
      </c>
      <c r="P54" s="16">
        <v>6.9444444444444397E-3</v>
      </c>
      <c r="Q54" s="16"/>
      <c r="R54" s="16">
        <f t="shared" si="4"/>
        <v>-6.9444444444444397E-3</v>
      </c>
      <c r="S54" s="16"/>
      <c r="T54" s="16" t="e">
        <f>VLOOKUP(E54,'[2]21-3-2026'!E$3:T$35,16,FALSE)</f>
        <v>#N/A</v>
      </c>
      <c r="U54" s="16"/>
      <c r="V54" s="16" t="e">
        <f t="shared" si="5"/>
        <v>#N/A</v>
      </c>
      <c r="W54" s="16"/>
      <c r="X54" s="16"/>
      <c r="Y54" s="16"/>
      <c r="Z54" s="16">
        <f t="shared" si="6"/>
        <v>0</v>
      </c>
      <c r="AA54" s="16">
        <f t="shared" si="0"/>
        <v>0</v>
      </c>
      <c r="AB54" s="16"/>
      <c r="AC54" s="17"/>
      <c r="AD54" s="51"/>
    </row>
    <row r="55" spans="1:30" ht="19.5" thickBot="1" x14ac:dyDescent="0.3">
      <c r="A55" s="14">
        <v>20</v>
      </c>
      <c r="B55" s="15"/>
      <c r="C55" s="15" t="e">
        <f>VLOOKUP(B55,داتا!$B$3:$D$107,2,FALSE)</f>
        <v>#N/A</v>
      </c>
      <c r="D55" s="34" t="e">
        <f>VLOOKUP(B55,داتا!$B$3:$D$107,3,FALSE)</f>
        <v>#N/A</v>
      </c>
      <c r="E55" s="15"/>
      <c r="F55" s="15"/>
      <c r="G55" s="16">
        <v>0.25</v>
      </c>
      <c r="H55" s="16" t="e">
        <f t="shared" si="8"/>
        <v>#N/A</v>
      </c>
      <c r="I55" s="16" t="e">
        <f t="shared" si="1"/>
        <v>#N/A</v>
      </c>
      <c r="J55" s="16"/>
      <c r="K55" s="16"/>
      <c r="L55" s="16"/>
      <c r="M55" s="16"/>
      <c r="N55" s="16">
        <f t="shared" si="2"/>
        <v>0</v>
      </c>
      <c r="O55" s="16" t="e">
        <f t="shared" si="3"/>
        <v>#N/A</v>
      </c>
      <c r="P55" s="16">
        <v>6.9444444444444397E-3</v>
      </c>
      <c r="Q55" s="16"/>
      <c r="R55" s="16">
        <f t="shared" si="4"/>
        <v>-6.9444444444444397E-3</v>
      </c>
      <c r="S55" s="16"/>
      <c r="T55" s="16" t="e">
        <f>VLOOKUP(E55,'[2]21-3-2026'!E$3:T$35,16,FALSE)</f>
        <v>#N/A</v>
      </c>
      <c r="U55" s="16"/>
      <c r="V55" s="16" t="e">
        <f t="shared" si="5"/>
        <v>#N/A</v>
      </c>
      <c r="W55" s="16"/>
      <c r="X55" s="16"/>
      <c r="Y55" s="16"/>
      <c r="Z55" s="16">
        <f t="shared" si="6"/>
        <v>0</v>
      </c>
      <c r="AA55" s="16">
        <f t="shared" si="0"/>
        <v>0</v>
      </c>
      <c r="AB55" s="16"/>
      <c r="AC55" s="17"/>
      <c r="AD55" s="51"/>
    </row>
    <row r="56" spans="1:30" ht="19.5" thickBot="1" x14ac:dyDescent="0.3">
      <c r="A56" s="14">
        <v>21</v>
      </c>
      <c r="B56" s="15"/>
      <c r="C56" s="15" t="e">
        <f>VLOOKUP(B56,داتا!$B$3:$D$107,2,FALSE)</f>
        <v>#N/A</v>
      </c>
      <c r="D56" s="34" t="e">
        <f>VLOOKUP(B56,داتا!$B$3:$D$107,3,FALSE)</f>
        <v>#N/A</v>
      </c>
      <c r="E56" s="15"/>
      <c r="F56" s="15"/>
      <c r="G56" s="16">
        <v>0.25</v>
      </c>
      <c r="H56" s="16" t="e">
        <f t="shared" si="8"/>
        <v>#N/A</v>
      </c>
      <c r="I56" s="16" t="e">
        <f t="shared" si="1"/>
        <v>#N/A</v>
      </c>
      <c r="J56" s="16"/>
      <c r="K56" s="16"/>
      <c r="L56" s="15"/>
      <c r="M56" s="15"/>
      <c r="N56" s="16">
        <f t="shared" si="2"/>
        <v>0</v>
      </c>
      <c r="O56" s="16" t="e">
        <f t="shared" si="3"/>
        <v>#N/A</v>
      </c>
      <c r="P56" s="16">
        <v>6.9444444444444397E-3</v>
      </c>
      <c r="Q56" s="16"/>
      <c r="R56" s="16">
        <f t="shared" si="4"/>
        <v>-6.9444444444444397E-3</v>
      </c>
      <c r="S56" s="16"/>
      <c r="T56" s="16" t="e">
        <f>VLOOKUP(E56,'[2]21-3-2026'!E$3:T$35,16,FALSE)</f>
        <v>#N/A</v>
      </c>
      <c r="U56" s="16"/>
      <c r="V56" s="16" t="e">
        <f t="shared" si="5"/>
        <v>#N/A</v>
      </c>
      <c r="W56" s="16"/>
      <c r="X56" s="16"/>
      <c r="Y56" s="16"/>
      <c r="Z56" s="16">
        <f t="shared" si="6"/>
        <v>0</v>
      </c>
      <c r="AA56" s="16">
        <f t="shared" si="0"/>
        <v>0</v>
      </c>
      <c r="AB56" s="16"/>
      <c r="AC56" s="17"/>
      <c r="AD56" s="51"/>
    </row>
    <row r="57" spans="1:30" ht="19.5" thickBot="1" x14ac:dyDescent="0.3">
      <c r="A57" s="14">
        <v>22</v>
      </c>
      <c r="B57" s="15"/>
      <c r="C57" s="15" t="e">
        <f>VLOOKUP(B57,داتا!$B$3:$D$107,2,FALSE)</f>
        <v>#N/A</v>
      </c>
      <c r="D57" s="34" t="e">
        <f>VLOOKUP(B57,داتا!$B$3:$D$107,3,FALSE)</f>
        <v>#N/A</v>
      </c>
      <c r="E57" s="15"/>
      <c r="F57" s="15"/>
      <c r="G57" s="16">
        <v>0.25</v>
      </c>
      <c r="H57" s="16" t="e">
        <f t="shared" si="8"/>
        <v>#N/A</v>
      </c>
      <c r="I57" s="16" t="e">
        <f t="shared" si="1"/>
        <v>#N/A</v>
      </c>
      <c r="J57" s="16"/>
      <c r="K57" s="16"/>
      <c r="L57" s="15"/>
      <c r="M57" s="15"/>
      <c r="N57" s="16">
        <f t="shared" si="2"/>
        <v>0</v>
      </c>
      <c r="O57" s="16" t="e">
        <f t="shared" si="3"/>
        <v>#N/A</v>
      </c>
      <c r="P57" s="16">
        <v>6.9444444444444397E-3</v>
      </c>
      <c r="Q57" s="16"/>
      <c r="R57" s="16">
        <f t="shared" si="4"/>
        <v>-6.9444444444444397E-3</v>
      </c>
      <c r="S57" s="16"/>
      <c r="T57" s="16" t="e">
        <f>VLOOKUP(E57,'[2]21-3-2026'!E$3:T$35,16,FALSE)</f>
        <v>#N/A</v>
      </c>
      <c r="U57" s="16"/>
      <c r="V57" s="16" t="e">
        <f t="shared" si="5"/>
        <v>#N/A</v>
      </c>
      <c r="W57" s="16"/>
      <c r="X57" s="16"/>
      <c r="Y57" s="16"/>
      <c r="Z57" s="16">
        <f t="shared" si="6"/>
        <v>0</v>
      </c>
      <c r="AA57" s="16">
        <f t="shared" si="0"/>
        <v>0</v>
      </c>
      <c r="AB57" s="16"/>
      <c r="AC57" s="17"/>
      <c r="AD57" s="51"/>
    </row>
    <row r="58" spans="1:30" ht="19.5" thickBot="1" x14ac:dyDescent="0.3">
      <c r="A58" s="14">
        <v>23</v>
      </c>
      <c r="B58" s="15"/>
      <c r="C58" s="15" t="e">
        <f>VLOOKUP(B58,داتا!$B$3:$D$107,2,FALSE)</f>
        <v>#N/A</v>
      </c>
      <c r="D58" s="34" t="e">
        <f>VLOOKUP(B58,داتا!$B$3:$D$107,3,FALSE)</f>
        <v>#N/A</v>
      </c>
      <c r="E58" s="15"/>
      <c r="F58" s="15"/>
      <c r="G58" s="16">
        <v>0.25</v>
      </c>
      <c r="H58" s="16" t="e">
        <f t="shared" si="8"/>
        <v>#N/A</v>
      </c>
      <c r="I58" s="16" t="e">
        <f t="shared" si="1"/>
        <v>#N/A</v>
      </c>
      <c r="J58" s="16"/>
      <c r="K58" s="16"/>
      <c r="L58" s="16"/>
      <c r="M58" s="16"/>
      <c r="N58" s="16">
        <f t="shared" si="2"/>
        <v>0</v>
      </c>
      <c r="O58" s="16" t="e">
        <f t="shared" si="3"/>
        <v>#N/A</v>
      </c>
      <c r="P58" s="16">
        <v>6.9444444444444397E-3</v>
      </c>
      <c r="Q58" s="16"/>
      <c r="R58" s="16">
        <f t="shared" si="4"/>
        <v>-6.9444444444444397E-3</v>
      </c>
      <c r="S58" s="16"/>
      <c r="T58" s="16" t="e">
        <f>VLOOKUP(E58,'[2]21-3-2026'!E$3:T$35,16,FALSE)</f>
        <v>#N/A</v>
      </c>
      <c r="U58" s="16"/>
      <c r="V58" s="16" t="e">
        <f t="shared" si="5"/>
        <v>#N/A</v>
      </c>
      <c r="W58" s="16"/>
      <c r="X58" s="16"/>
      <c r="Y58" s="16"/>
      <c r="Z58" s="16">
        <f t="shared" si="6"/>
        <v>0</v>
      </c>
      <c r="AA58" s="16">
        <f t="shared" si="0"/>
        <v>0</v>
      </c>
      <c r="AB58" s="16"/>
      <c r="AC58" s="17"/>
      <c r="AD58" s="51"/>
    </row>
    <row r="59" spans="1:30" ht="19.5" thickBot="1" x14ac:dyDescent="0.3">
      <c r="A59" s="14">
        <v>24</v>
      </c>
      <c r="B59" s="15"/>
      <c r="C59" s="15" t="e">
        <f>VLOOKUP(B59,داتا!$B$3:$D$107,2,FALSE)</f>
        <v>#N/A</v>
      </c>
      <c r="D59" s="34" t="e">
        <f>VLOOKUP(B59,داتا!$B$3:$D$107,3,FALSE)</f>
        <v>#N/A</v>
      </c>
      <c r="E59" s="16"/>
      <c r="F59" s="15"/>
      <c r="G59" s="16">
        <v>0.25</v>
      </c>
      <c r="H59" s="16" t="e">
        <f t="shared" si="8"/>
        <v>#N/A</v>
      </c>
      <c r="I59" s="16" t="e">
        <f t="shared" si="1"/>
        <v>#N/A</v>
      </c>
      <c r="J59" s="16"/>
      <c r="K59" s="16"/>
      <c r="L59" s="15"/>
      <c r="M59" s="15"/>
      <c r="N59" s="16">
        <f t="shared" si="2"/>
        <v>0</v>
      </c>
      <c r="O59" s="16" t="e">
        <f t="shared" si="3"/>
        <v>#N/A</v>
      </c>
      <c r="P59" s="16">
        <v>6.9444444444444397E-3</v>
      </c>
      <c r="Q59" s="16"/>
      <c r="R59" s="16">
        <f t="shared" si="4"/>
        <v>-6.9444444444444397E-3</v>
      </c>
      <c r="S59" s="16"/>
      <c r="T59" s="16" t="e">
        <f>VLOOKUP(E59,'[2]21-3-2026'!E$3:T$35,16,FALSE)</f>
        <v>#N/A</v>
      </c>
      <c r="U59" s="16"/>
      <c r="V59" s="16" t="e">
        <f t="shared" si="5"/>
        <v>#N/A</v>
      </c>
      <c r="W59" s="16"/>
      <c r="X59" s="16"/>
      <c r="Y59" s="16"/>
      <c r="Z59" s="16">
        <f t="shared" si="6"/>
        <v>0</v>
      </c>
      <c r="AA59" s="16">
        <f t="shared" si="0"/>
        <v>0</v>
      </c>
      <c r="AB59" s="16"/>
      <c r="AC59" s="17"/>
      <c r="AD59" s="51"/>
    </row>
    <row r="60" spans="1:30" ht="19.5" thickBot="1" x14ac:dyDescent="0.3">
      <c r="A60" s="14">
        <v>25</v>
      </c>
      <c r="B60" s="15"/>
      <c r="C60" s="15" t="e">
        <f>VLOOKUP(B60,داتا!$B$3:$D$107,2,FALSE)</f>
        <v>#N/A</v>
      </c>
      <c r="D60" s="34" t="e">
        <f>VLOOKUP(B60,داتا!$B$3:$D$107,3,FALSE)</f>
        <v>#N/A</v>
      </c>
      <c r="E60" s="15"/>
      <c r="F60" s="15"/>
      <c r="G60" s="16">
        <v>0.25</v>
      </c>
      <c r="H60" s="16" t="e">
        <f t="shared" si="8"/>
        <v>#N/A</v>
      </c>
      <c r="I60" s="16" t="e">
        <f t="shared" si="1"/>
        <v>#N/A</v>
      </c>
      <c r="J60" s="16"/>
      <c r="K60" s="16"/>
      <c r="L60" s="16"/>
      <c r="M60" s="16"/>
      <c r="N60" s="16">
        <f t="shared" si="2"/>
        <v>0</v>
      </c>
      <c r="O60" s="16" t="e">
        <f t="shared" si="3"/>
        <v>#N/A</v>
      </c>
      <c r="P60" s="16">
        <v>6.9444444444444397E-3</v>
      </c>
      <c r="Q60" s="16"/>
      <c r="R60" s="16">
        <f t="shared" si="4"/>
        <v>-6.9444444444444397E-3</v>
      </c>
      <c r="S60" s="16"/>
      <c r="T60" s="16" t="e">
        <f>VLOOKUP(E60,'[2]21-3-2026'!E$3:T$35,16,FALSE)</f>
        <v>#N/A</v>
      </c>
      <c r="U60" s="16"/>
      <c r="V60" s="16" t="e">
        <f t="shared" si="5"/>
        <v>#N/A</v>
      </c>
      <c r="W60" s="16"/>
      <c r="X60" s="16"/>
      <c r="Y60" s="16"/>
      <c r="Z60" s="16">
        <f t="shared" si="6"/>
        <v>0</v>
      </c>
      <c r="AA60" s="16">
        <f t="shared" si="0"/>
        <v>0</v>
      </c>
      <c r="AB60" s="16"/>
      <c r="AC60" s="17"/>
      <c r="AD60" s="51"/>
    </row>
    <row r="61" spans="1:30" ht="19.5" thickBot="1" x14ac:dyDescent="0.3">
      <c r="A61" s="14">
        <v>26</v>
      </c>
      <c r="B61" s="15"/>
      <c r="C61" s="15" t="e">
        <f>VLOOKUP(B61,داتا!$B$3:$D$107,2,FALSE)</f>
        <v>#N/A</v>
      </c>
      <c r="D61" s="34" t="e">
        <f>VLOOKUP(B61,داتا!$B$3:$D$107,3,FALSE)</f>
        <v>#N/A</v>
      </c>
      <c r="E61" s="15"/>
      <c r="F61" s="15"/>
      <c r="G61" s="16">
        <v>0.25</v>
      </c>
      <c r="H61" s="16" t="e">
        <f t="shared" si="8"/>
        <v>#N/A</v>
      </c>
      <c r="I61" s="16" t="e">
        <f t="shared" si="1"/>
        <v>#N/A</v>
      </c>
      <c r="J61" s="16"/>
      <c r="K61" s="16"/>
      <c r="L61" s="16"/>
      <c r="M61" s="16"/>
      <c r="N61" s="16">
        <f t="shared" si="2"/>
        <v>0</v>
      </c>
      <c r="O61" s="16" t="e">
        <f t="shared" si="3"/>
        <v>#N/A</v>
      </c>
      <c r="P61" s="16">
        <v>6.9444444444444397E-3</v>
      </c>
      <c r="Q61" s="16"/>
      <c r="R61" s="16">
        <f t="shared" si="4"/>
        <v>-6.9444444444444397E-3</v>
      </c>
      <c r="S61" s="16"/>
      <c r="T61" s="16" t="e">
        <f>VLOOKUP(E61,'[2]21-3-2026'!E$3:T$35,16,FALSE)</f>
        <v>#N/A</v>
      </c>
      <c r="U61" s="16"/>
      <c r="V61" s="16" t="e">
        <f t="shared" si="5"/>
        <v>#N/A</v>
      </c>
      <c r="W61" s="16"/>
      <c r="X61" s="16"/>
      <c r="Y61" s="16"/>
      <c r="Z61" s="16">
        <f t="shared" si="6"/>
        <v>0</v>
      </c>
      <c r="AA61" s="16">
        <f t="shared" si="0"/>
        <v>0</v>
      </c>
      <c r="AB61" s="16"/>
      <c r="AC61" s="17"/>
      <c r="AD61" s="51"/>
    </row>
    <row r="62" spans="1:30" ht="19.5" thickBot="1" x14ac:dyDescent="0.3">
      <c r="A62" s="14">
        <v>27</v>
      </c>
      <c r="B62" s="15"/>
      <c r="C62" s="15" t="e">
        <f>VLOOKUP(B62,داتا!$B$3:$D$107,2,FALSE)</f>
        <v>#N/A</v>
      </c>
      <c r="D62" s="34" t="e">
        <f>VLOOKUP(B62,داتا!$B$3:$D$107,3,FALSE)</f>
        <v>#N/A</v>
      </c>
      <c r="E62" s="15"/>
      <c r="F62" s="15"/>
      <c r="G62" s="16">
        <v>0.25</v>
      </c>
      <c r="H62" s="16" t="e">
        <f t="shared" si="8"/>
        <v>#N/A</v>
      </c>
      <c r="I62" s="16" t="e">
        <f t="shared" si="1"/>
        <v>#N/A</v>
      </c>
      <c r="J62" s="16"/>
      <c r="K62" s="16"/>
      <c r="L62" s="16"/>
      <c r="M62" s="16"/>
      <c r="N62" s="16">
        <f t="shared" si="2"/>
        <v>0</v>
      </c>
      <c r="O62" s="16" t="e">
        <f t="shared" si="3"/>
        <v>#N/A</v>
      </c>
      <c r="P62" s="16">
        <v>6.9444444444444397E-3</v>
      </c>
      <c r="Q62" s="16"/>
      <c r="R62" s="16">
        <f t="shared" si="4"/>
        <v>-6.9444444444444397E-3</v>
      </c>
      <c r="S62" s="16"/>
      <c r="T62" s="16" t="e">
        <f>VLOOKUP(E62,'[2]21-3-2026'!E$3:T$35,16,FALSE)</f>
        <v>#N/A</v>
      </c>
      <c r="U62" s="16"/>
      <c r="V62" s="16" t="e">
        <f t="shared" si="5"/>
        <v>#N/A</v>
      </c>
      <c r="W62" s="16"/>
      <c r="X62" s="16"/>
      <c r="Y62" s="16"/>
      <c r="Z62" s="16">
        <f t="shared" si="6"/>
        <v>0</v>
      </c>
      <c r="AA62" s="16">
        <f t="shared" si="0"/>
        <v>0</v>
      </c>
      <c r="AB62" s="16"/>
      <c r="AC62" s="17"/>
      <c r="AD62" s="51"/>
    </row>
    <row r="63" spans="1:30" ht="19.5" thickBot="1" x14ac:dyDescent="0.3">
      <c r="A63" s="14">
        <v>28</v>
      </c>
      <c r="B63" s="15"/>
      <c r="C63" s="15" t="e">
        <f>VLOOKUP(B63,داتا!$B$3:$D$107,2,FALSE)</f>
        <v>#N/A</v>
      </c>
      <c r="D63" s="34" t="e">
        <f>VLOOKUP(B63,داتا!$B$3:$D$107,3,FALSE)</f>
        <v>#N/A</v>
      </c>
      <c r="E63" s="15"/>
      <c r="F63" s="15"/>
      <c r="G63" s="16">
        <v>0.25</v>
      </c>
      <c r="H63" s="16" t="e">
        <f t="shared" si="8"/>
        <v>#N/A</v>
      </c>
      <c r="I63" s="16" t="e">
        <f t="shared" si="1"/>
        <v>#N/A</v>
      </c>
      <c r="J63" s="16"/>
      <c r="K63" s="16"/>
      <c r="L63" s="16"/>
      <c r="M63" s="16"/>
      <c r="N63" s="16">
        <f t="shared" si="2"/>
        <v>0</v>
      </c>
      <c r="O63" s="16" t="e">
        <f t="shared" si="3"/>
        <v>#N/A</v>
      </c>
      <c r="P63" s="16">
        <v>6.9444444444444397E-3</v>
      </c>
      <c r="Q63" s="16"/>
      <c r="R63" s="16">
        <f t="shared" si="4"/>
        <v>-6.9444444444444397E-3</v>
      </c>
      <c r="S63" s="16"/>
      <c r="T63" s="16" t="e">
        <f>VLOOKUP(E63,'[2]21-3-2026'!E$3:T$35,16,FALSE)</f>
        <v>#N/A</v>
      </c>
      <c r="U63" s="16"/>
      <c r="V63" s="16" t="e">
        <f t="shared" si="5"/>
        <v>#N/A</v>
      </c>
      <c r="W63" s="16"/>
      <c r="X63" s="16"/>
      <c r="Y63" s="16"/>
      <c r="Z63" s="16">
        <f t="shared" si="6"/>
        <v>0</v>
      </c>
      <c r="AA63" s="16">
        <f t="shared" si="0"/>
        <v>0</v>
      </c>
      <c r="AB63" s="16"/>
      <c r="AC63" s="17"/>
      <c r="AD63" s="51"/>
    </row>
    <row r="64" spans="1:30" ht="19.5" thickBot="1" x14ac:dyDescent="0.3">
      <c r="A64" s="14">
        <v>29</v>
      </c>
      <c r="B64" s="15"/>
      <c r="C64" s="15" t="e">
        <f>VLOOKUP(B64,داتا!$B$3:$D$107,2,FALSE)</f>
        <v>#N/A</v>
      </c>
      <c r="D64" s="34" t="e">
        <f>VLOOKUP(B64,داتا!$B$3:$D$107,3,FALSE)</f>
        <v>#N/A</v>
      </c>
      <c r="E64" s="15"/>
      <c r="F64" s="15"/>
      <c r="G64" s="16">
        <v>0.25</v>
      </c>
      <c r="H64" s="16" t="e">
        <f t="shared" si="8"/>
        <v>#N/A</v>
      </c>
      <c r="I64" s="16" t="e">
        <f t="shared" si="1"/>
        <v>#N/A</v>
      </c>
      <c r="J64" s="16"/>
      <c r="K64" s="16"/>
      <c r="L64" s="16"/>
      <c r="M64" s="16"/>
      <c r="N64" s="16">
        <f t="shared" si="2"/>
        <v>0</v>
      </c>
      <c r="O64" s="16" t="e">
        <f t="shared" si="3"/>
        <v>#N/A</v>
      </c>
      <c r="P64" s="16">
        <v>6.9444444444444397E-3</v>
      </c>
      <c r="Q64" s="16"/>
      <c r="R64" s="16">
        <f t="shared" si="4"/>
        <v>-6.9444444444444397E-3</v>
      </c>
      <c r="S64" s="16"/>
      <c r="T64" s="16" t="e">
        <f>VLOOKUP(E64,'[2]21-3-2026'!E$3:T$35,16,FALSE)</f>
        <v>#N/A</v>
      </c>
      <c r="U64" s="16"/>
      <c r="V64" s="16" t="e">
        <f t="shared" si="5"/>
        <v>#N/A</v>
      </c>
      <c r="W64" s="16"/>
      <c r="X64" s="16"/>
      <c r="Y64" s="16"/>
      <c r="Z64" s="16">
        <f t="shared" si="6"/>
        <v>0</v>
      </c>
      <c r="AA64" s="16">
        <f t="shared" si="0"/>
        <v>0</v>
      </c>
      <c r="AB64" s="16"/>
      <c r="AC64" s="17"/>
      <c r="AD64" s="51"/>
    </row>
    <row r="65" spans="1:30" ht="19.5" thickBot="1" x14ac:dyDescent="0.3">
      <c r="A65" s="14">
        <v>30</v>
      </c>
      <c r="B65" s="15"/>
      <c r="C65" s="15" t="e">
        <f>VLOOKUP(B65,داتا!$B$3:$D$107,2,FALSE)</f>
        <v>#N/A</v>
      </c>
      <c r="D65" s="34" t="e">
        <f>VLOOKUP(B65,داتا!$B$3:$D$107,3,FALSE)</f>
        <v>#N/A</v>
      </c>
      <c r="E65" s="15"/>
      <c r="F65" s="15"/>
      <c r="G65" s="16">
        <v>0.25</v>
      </c>
      <c r="H65" s="16" t="e">
        <f t="shared" si="8"/>
        <v>#N/A</v>
      </c>
      <c r="I65" s="16" t="e">
        <f t="shared" si="1"/>
        <v>#N/A</v>
      </c>
      <c r="J65" s="16"/>
      <c r="K65" s="16"/>
      <c r="L65" s="16"/>
      <c r="M65" s="16"/>
      <c r="N65" s="16">
        <f t="shared" si="2"/>
        <v>0</v>
      </c>
      <c r="O65" s="16" t="e">
        <f t="shared" si="3"/>
        <v>#N/A</v>
      </c>
      <c r="P65" s="16">
        <v>6.9444444444444397E-3</v>
      </c>
      <c r="Q65" s="16"/>
      <c r="R65" s="16">
        <f t="shared" si="4"/>
        <v>-6.9444444444444397E-3</v>
      </c>
      <c r="S65" s="16"/>
      <c r="T65" s="16" t="e">
        <f>VLOOKUP(E65,'[2]21-3-2026'!E$3:T$35,16,FALSE)</f>
        <v>#N/A</v>
      </c>
      <c r="U65" s="16"/>
      <c r="V65" s="16" t="e">
        <f t="shared" si="5"/>
        <v>#N/A</v>
      </c>
      <c r="W65" s="16"/>
      <c r="X65" s="16"/>
      <c r="Y65" s="16"/>
      <c r="Z65" s="16">
        <f t="shared" si="6"/>
        <v>0</v>
      </c>
      <c r="AA65" s="16">
        <f t="shared" si="0"/>
        <v>0</v>
      </c>
      <c r="AB65" s="16"/>
      <c r="AC65" s="17"/>
      <c r="AD65" s="51"/>
    </row>
    <row r="66" spans="1:30" ht="20.25" customHeight="1" thickBot="1" x14ac:dyDescent="0.3">
      <c r="A66" s="14">
        <v>31</v>
      </c>
      <c r="B66" s="15"/>
      <c r="C66" s="15" t="e">
        <f>VLOOKUP(B66,داتا!$B$3:$D$107,2,FALSE)</f>
        <v>#N/A</v>
      </c>
      <c r="D66" s="34" t="e">
        <f>VLOOKUP(B66,داتا!$B$3:$D$107,3,FALSE)</f>
        <v>#N/A</v>
      </c>
      <c r="E66" s="15"/>
      <c r="F66" s="15"/>
      <c r="G66" s="16">
        <v>0.25</v>
      </c>
      <c r="H66" s="16" t="e">
        <f t="shared" si="8"/>
        <v>#N/A</v>
      </c>
      <c r="I66" s="16" t="e">
        <f t="shared" si="1"/>
        <v>#N/A</v>
      </c>
      <c r="J66" s="16"/>
      <c r="K66" s="16"/>
      <c r="L66" s="16"/>
      <c r="M66" s="16"/>
      <c r="N66" s="16">
        <f t="shared" si="2"/>
        <v>0</v>
      </c>
      <c r="O66" s="16" t="e">
        <f t="shared" si="3"/>
        <v>#N/A</v>
      </c>
      <c r="P66" s="16">
        <v>6.9444444444444397E-3</v>
      </c>
      <c r="Q66" s="16"/>
      <c r="R66" s="16">
        <f t="shared" si="4"/>
        <v>-6.9444444444444397E-3</v>
      </c>
      <c r="S66" s="16"/>
      <c r="T66" s="16" t="e">
        <f>VLOOKUP(E66,'[2]21-3-2026'!E$3:T$35,16,FALSE)</f>
        <v>#N/A</v>
      </c>
      <c r="U66" s="16"/>
      <c r="V66" s="16" t="e">
        <f t="shared" si="5"/>
        <v>#N/A</v>
      </c>
      <c r="W66" s="16"/>
      <c r="X66" s="16"/>
      <c r="Y66" s="16"/>
      <c r="Z66" s="16">
        <f t="shared" si="6"/>
        <v>0</v>
      </c>
      <c r="AA66" s="16">
        <f t="shared" si="0"/>
        <v>0</v>
      </c>
      <c r="AB66" s="16"/>
      <c r="AC66" s="19"/>
      <c r="AD66" s="51"/>
    </row>
    <row r="67" spans="1:30" ht="19.5" customHeight="1" thickBot="1" x14ac:dyDescent="0.3">
      <c r="A67" s="20">
        <v>32</v>
      </c>
      <c r="B67" s="21"/>
      <c r="C67" s="21" t="e">
        <f>VLOOKUP(B67,داتا!$B$3:$D$107,2,FALSE)</f>
        <v>#N/A</v>
      </c>
      <c r="D67" s="35" t="e">
        <f>VLOOKUP(B67,داتا!$B$3:$D$107,3,FALSE)</f>
        <v>#N/A</v>
      </c>
      <c r="E67" s="21"/>
      <c r="F67" s="21"/>
      <c r="G67" s="22">
        <v>0.25</v>
      </c>
      <c r="H67" s="22" t="e">
        <f t="shared" si="8"/>
        <v>#N/A</v>
      </c>
      <c r="I67" s="22" t="e">
        <f t="shared" si="1"/>
        <v>#N/A</v>
      </c>
      <c r="J67" s="22"/>
      <c r="K67" s="22"/>
      <c r="L67" s="22"/>
      <c r="M67" s="22"/>
      <c r="N67" s="22">
        <f t="shared" si="2"/>
        <v>0</v>
      </c>
      <c r="O67" s="22" t="e">
        <f t="shared" si="3"/>
        <v>#N/A</v>
      </c>
      <c r="P67" s="22">
        <v>6.9444444444444397E-3</v>
      </c>
      <c r="Q67" s="22"/>
      <c r="R67" s="22">
        <f t="shared" si="4"/>
        <v>-6.9444444444444397E-3</v>
      </c>
      <c r="S67" s="22"/>
      <c r="T67" s="22" t="e">
        <f>VLOOKUP(E67,'[2]21-3-2026'!E$3:T$35,16,FALSE)</f>
        <v>#N/A</v>
      </c>
      <c r="U67" s="22"/>
      <c r="V67" s="22" t="e">
        <f t="shared" si="5"/>
        <v>#N/A</v>
      </c>
      <c r="W67" s="22"/>
      <c r="X67" s="22"/>
      <c r="Y67" s="22"/>
      <c r="Z67" s="22">
        <f t="shared" si="6"/>
        <v>0</v>
      </c>
      <c r="AA67" s="22">
        <f t="shared" ref="AA67:AA99" si="9">Z67-W67</f>
        <v>0</v>
      </c>
      <c r="AB67" s="22"/>
      <c r="AC67" s="23"/>
      <c r="AD67" s="52"/>
    </row>
    <row r="68" spans="1:30" ht="20.25" thickTop="1" thickBot="1" x14ac:dyDescent="0.3">
      <c r="A68" s="10">
        <v>1</v>
      </c>
      <c r="B68" s="11"/>
      <c r="C68" s="11" t="e">
        <f>VLOOKUP(B68,داتا!$B$3:$D$107,2,FALSE)</f>
        <v>#N/A</v>
      </c>
      <c r="D68" s="33" t="e">
        <f>VLOOKUP(B68,داتا!$B$3:$D$107,3,FALSE)</f>
        <v>#N/A</v>
      </c>
      <c r="E68" s="11"/>
      <c r="F68" s="11"/>
      <c r="G68" s="12">
        <v>8.3333333333333329E-2</v>
      </c>
      <c r="H68" s="12" t="e">
        <f t="shared" si="8"/>
        <v>#N/A</v>
      </c>
      <c r="I68" s="12" t="e">
        <f t="shared" ref="I68:I99" si="10">H68-G68</f>
        <v>#N/A</v>
      </c>
      <c r="J68" s="12"/>
      <c r="K68" s="12"/>
      <c r="L68" s="12"/>
      <c r="M68" s="12"/>
      <c r="N68" s="12">
        <f t="shared" ref="N68:N99" si="11">K68-J68</f>
        <v>0</v>
      </c>
      <c r="O68" s="12" t="e">
        <f t="shared" ref="O68:O99" si="12">N68-D68</f>
        <v>#N/A</v>
      </c>
      <c r="P68" s="12">
        <v>6.9444444444444397E-3</v>
      </c>
      <c r="Q68" s="12"/>
      <c r="R68" s="12">
        <f t="shared" ref="R68:R99" si="13">Q68-P68-K68</f>
        <v>-6.9444444444444397E-3</v>
      </c>
      <c r="S68" s="12"/>
      <c r="T68" s="12" t="e">
        <f>VLOOKUP(E68,'[2]21-3-2026'!E$3:T$35,16,FALSE)</f>
        <v>#N/A</v>
      </c>
      <c r="U68" s="12"/>
      <c r="V68" s="12" t="e">
        <f t="shared" ref="V68:V99" si="14">U68-T68-S68</f>
        <v>#N/A</v>
      </c>
      <c r="W68" s="12"/>
      <c r="X68" s="12"/>
      <c r="Y68" s="12"/>
      <c r="Z68" s="12">
        <f t="shared" ref="Z68:Z99" si="15">Y68-X68</f>
        <v>0</v>
      </c>
      <c r="AA68" s="12">
        <f t="shared" si="9"/>
        <v>0</v>
      </c>
      <c r="AB68" s="12"/>
      <c r="AC68" s="13"/>
      <c r="AD68" s="53" t="s">
        <v>116</v>
      </c>
    </row>
    <row r="69" spans="1:30" ht="19.5" thickBot="1" x14ac:dyDescent="0.3">
      <c r="A69" s="14">
        <v>2</v>
      </c>
      <c r="B69" s="15"/>
      <c r="C69" s="15" t="e">
        <f>VLOOKUP(B69,داتا!$B$3:$D$107,2,FALSE)</f>
        <v>#N/A</v>
      </c>
      <c r="D69" s="34" t="e">
        <f>VLOOKUP(B69,داتا!$B$3:$D$107,3,FALSE)</f>
        <v>#N/A</v>
      </c>
      <c r="E69" s="15"/>
      <c r="F69" s="15"/>
      <c r="G69" s="16">
        <v>8.3333333333333329E-2</v>
      </c>
      <c r="H69" s="16" t="e">
        <f t="shared" ref="H69:H84" si="16">VLOOKUP(G69,$F$3:$I$35,2,FALSE)</f>
        <v>#N/A</v>
      </c>
      <c r="I69" s="16" t="e">
        <f t="shared" si="10"/>
        <v>#N/A</v>
      </c>
      <c r="J69" s="16"/>
      <c r="K69" s="16"/>
      <c r="L69" s="16"/>
      <c r="M69" s="16"/>
      <c r="N69" s="16">
        <f t="shared" si="11"/>
        <v>0</v>
      </c>
      <c r="O69" s="16" t="e">
        <f t="shared" si="12"/>
        <v>#N/A</v>
      </c>
      <c r="P69" s="16">
        <v>6.9444444444444397E-3</v>
      </c>
      <c r="Q69" s="16"/>
      <c r="R69" s="16">
        <f t="shared" si="13"/>
        <v>-6.9444444444444397E-3</v>
      </c>
      <c r="S69" s="16"/>
      <c r="T69" s="16" t="e">
        <f>VLOOKUP(E69,'[2]21-3-2026'!E$3:T$35,16,FALSE)</f>
        <v>#N/A</v>
      </c>
      <c r="U69" s="16"/>
      <c r="V69" s="16" t="e">
        <f t="shared" si="14"/>
        <v>#N/A</v>
      </c>
      <c r="W69" s="16"/>
      <c r="X69" s="16"/>
      <c r="Y69" s="16"/>
      <c r="Z69" s="16">
        <f t="shared" si="15"/>
        <v>0</v>
      </c>
      <c r="AA69" s="16">
        <f t="shared" si="9"/>
        <v>0</v>
      </c>
      <c r="AB69" s="16"/>
      <c r="AC69" s="17"/>
      <c r="AD69" s="51"/>
    </row>
    <row r="70" spans="1:30" ht="19.5" thickBot="1" x14ac:dyDescent="0.3">
      <c r="A70" s="14">
        <v>3</v>
      </c>
      <c r="B70" s="15"/>
      <c r="C70" s="15" t="e">
        <f>VLOOKUP(B70,داتا!$B$3:$D$107,2,FALSE)</f>
        <v>#N/A</v>
      </c>
      <c r="D70" s="34" t="e">
        <f>VLOOKUP(B70,داتا!$B$3:$D$107,3,FALSE)</f>
        <v>#N/A</v>
      </c>
      <c r="E70" s="15"/>
      <c r="F70" s="15"/>
      <c r="G70" s="16">
        <v>8.3333333333333329E-2</v>
      </c>
      <c r="H70" s="16" t="e">
        <f t="shared" si="16"/>
        <v>#N/A</v>
      </c>
      <c r="I70" s="16" t="e">
        <f t="shared" si="10"/>
        <v>#N/A</v>
      </c>
      <c r="J70" s="16"/>
      <c r="K70" s="16"/>
      <c r="L70" s="16"/>
      <c r="M70" s="16"/>
      <c r="N70" s="16">
        <f t="shared" si="11"/>
        <v>0</v>
      </c>
      <c r="O70" s="16" t="e">
        <f t="shared" si="12"/>
        <v>#N/A</v>
      </c>
      <c r="P70" s="16">
        <v>6.9444444444444397E-3</v>
      </c>
      <c r="Q70" s="16"/>
      <c r="R70" s="16">
        <f t="shared" si="13"/>
        <v>-6.9444444444444397E-3</v>
      </c>
      <c r="S70" s="16"/>
      <c r="T70" s="16" t="e">
        <f>VLOOKUP(E70,'[2]21-3-2026'!E$3:T$35,16,FALSE)</f>
        <v>#N/A</v>
      </c>
      <c r="U70" s="16"/>
      <c r="V70" s="16" t="e">
        <f t="shared" si="14"/>
        <v>#N/A</v>
      </c>
      <c r="W70" s="16"/>
      <c r="X70" s="16"/>
      <c r="Y70" s="16"/>
      <c r="Z70" s="16">
        <f t="shared" si="15"/>
        <v>0</v>
      </c>
      <c r="AA70" s="16">
        <f t="shared" si="9"/>
        <v>0</v>
      </c>
      <c r="AB70" s="16"/>
      <c r="AC70" s="17"/>
      <c r="AD70" s="51"/>
    </row>
    <row r="71" spans="1:30" ht="19.5" thickBot="1" x14ac:dyDescent="0.3">
      <c r="A71" s="14">
        <v>4</v>
      </c>
      <c r="B71" s="15"/>
      <c r="C71" s="15" t="e">
        <f>VLOOKUP(B71,داتا!$B$3:$D$107,2,FALSE)</f>
        <v>#N/A</v>
      </c>
      <c r="D71" s="34" t="e">
        <f>VLOOKUP(B71,داتا!$B$3:$D$107,3,FALSE)</f>
        <v>#N/A</v>
      </c>
      <c r="E71" s="15"/>
      <c r="F71" s="15"/>
      <c r="G71" s="16">
        <v>8.3333333333333329E-2</v>
      </c>
      <c r="H71" s="16" t="e">
        <f t="shared" si="16"/>
        <v>#N/A</v>
      </c>
      <c r="I71" s="16" t="e">
        <f t="shared" si="10"/>
        <v>#N/A</v>
      </c>
      <c r="J71" s="16"/>
      <c r="K71" s="16"/>
      <c r="L71" s="16"/>
      <c r="M71" s="16"/>
      <c r="N71" s="16">
        <f t="shared" si="11"/>
        <v>0</v>
      </c>
      <c r="O71" s="16" t="e">
        <f t="shared" si="12"/>
        <v>#N/A</v>
      </c>
      <c r="P71" s="16">
        <v>6.9444444444444397E-3</v>
      </c>
      <c r="Q71" s="16"/>
      <c r="R71" s="16">
        <f t="shared" si="13"/>
        <v>-6.9444444444444397E-3</v>
      </c>
      <c r="S71" s="16"/>
      <c r="T71" s="16" t="e">
        <f>VLOOKUP(E71,'[2]21-3-2026'!E$3:T$35,16,FALSE)</f>
        <v>#N/A</v>
      </c>
      <c r="U71" s="16"/>
      <c r="V71" s="16" t="e">
        <f t="shared" si="14"/>
        <v>#N/A</v>
      </c>
      <c r="W71" s="16"/>
      <c r="X71" s="16"/>
      <c r="Y71" s="16"/>
      <c r="Z71" s="16">
        <f t="shared" si="15"/>
        <v>0</v>
      </c>
      <c r="AA71" s="16">
        <f t="shared" si="9"/>
        <v>0</v>
      </c>
      <c r="AB71" s="16"/>
      <c r="AC71" s="17"/>
      <c r="AD71" s="51"/>
    </row>
    <row r="72" spans="1:30" ht="19.5" thickBot="1" x14ac:dyDescent="0.3">
      <c r="A72" s="14">
        <v>5</v>
      </c>
      <c r="B72" s="15"/>
      <c r="C72" s="15" t="e">
        <f>VLOOKUP(B72,داتا!$B$3:$D$107,2,FALSE)</f>
        <v>#N/A</v>
      </c>
      <c r="D72" s="34" t="e">
        <f>VLOOKUP(B72,داتا!$B$3:$D$107,3,FALSE)</f>
        <v>#N/A</v>
      </c>
      <c r="E72" s="15"/>
      <c r="F72" s="15"/>
      <c r="G72" s="16">
        <v>8.3333333333333329E-2</v>
      </c>
      <c r="H72" s="16" t="e">
        <f t="shared" si="16"/>
        <v>#N/A</v>
      </c>
      <c r="I72" s="16" t="e">
        <f t="shared" si="10"/>
        <v>#N/A</v>
      </c>
      <c r="J72" s="16"/>
      <c r="K72" s="16"/>
      <c r="L72" s="16"/>
      <c r="M72" s="16"/>
      <c r="N72" s="16">
        <f t="shared" si="11"/>
        <v>0</v>
      </c>
      <c r="O72" s="16" t="e">
        <f t="shared" si="12"/>
        <v>#N/A</v>
      </c>
      <c r="P72" s="16">
        <v>6.9444444444444397E-3</v>
      </c>
      <c r="Q72" s="16"/>
      <c r="R72" s="16">
        <f t="shared" si="13"/>
        <v>-6.9444444444444397E-3</v>
      </c>
      <c r="S72" s="16"/>
      <c r="T72" s="16" t="e">
        <f>VLOOKUP(E72,'[2]21-3-2026'!E$3:T$35,16,FALSE)</f>
        <v>#N/A</v>
      </c>
      <c r="U72" s="16"/>
      <c r="V72" s="16" t="e">
        <f t="shared" si="14"/>
        <v>#N/A</v>
      </c>
      <c r="W72" s="16"/>
      <c r="X72" s="16"/>
      <c r="Y72" s="16"/>
      <c r="Z72" s="16">
        <f t="shared" si="15"/>
        <v>0</v>
      </c>
      <c r="AA72" s="16">
        <f t="shared" si="9"/>
        <v>0</v>
      </c>
      <c r="AB72" s="16"/>
      <c r="AC72" s="17"/>
      <c r="AD72" s="51"/>
    </row>
    <row r="73" spans="1:30" ht="19.5" thickBot="1" x14ac:dyDescent="0.3">
      <c r="A73" s="14">
        <v>6</v>
      </c>
      <c r="B73" s="15"/>
      <c r="C73" s="15" t="e">
        <f>VLOOKUP(B73,داتا!$B$3:$D$107,2,FALSE)</f>
        <v>#N/A</v>
      </c>
      <c r="D73" s="34" t="e">
        <f>VLOOKUP(B73,داتا!$B$3:$D$107,3,FALSE)</f>
        <v>#N/A</v>
      </c>
      <c r="E73" s="15"/>
      <c r="F73" s="15"/>
      <c r="G73" s="16">
        <v>8.3333333333333329E-2</v>
      </c>
      <c r="H73" s="16" t="e">
        <f t="shared" si="16"/>
        <v>#N/A</v>
      </c>
      <c r="I73" s="16" t="e">
        <f t="shared" si="10"/>
        <v>#N/A</v>
      </c>
      <c r="J73" s="16"/>
      <c r="K73" s="16"/>
      <c r="L73" s="16"/>
      <c r="M73" s="16"/>
      <c r="N73" s="16">
        <f t="shared" si="11"/>
        <v>0</v>
      </c>
      <c r="O73" s="16" t="e">
        <f t="shared" si="12"/>
        <v>#N/A</v>
      </c>
      <c r="P73" s="16">
        <v>6.9444444444444397E-3</v>
      </c>
      <c r="Q73" s="16"/>
      <c r="R73" s="16">
        <f t="shared" si="13"/>
        <v>-6.9444444444444397E-3</v>
      </c>
      <c r="S73" s="16"/>
      <c r="T73" s="16" t="e">
        <f>VLOOKUP(E73,'[2]21-3-2026'!E$3:T$35,16,FALSE)</f>
        <v>#N/A</v>
      </c>
      <c r="U73" s="16"/>
      <c r="V73" s="16" t="e">
        <f t="shared" si="14"/>
        <v>#N/A</v>
      </c>
      <c r="W73" s="16"/>
      <c r="X73" s="16"/>
      <c r="Y73" s="16"/>
      <c r="Z73" s="16">
        <f t="shared" si="15"/>
        <v>0</v>
      </c>
      <c r="AA73" s="16">
        <f t="shared" si="9"/>
        <v>0</v>
      </c>
      <c r="AB73" s="16"/>
      <c r="AC73" s="17"/>
      <c r="AD73" s="51"/>
    </row>
    <row r="74" spans="1:30" ht="19.5" thickBot="1" x14ac:dyDescent="0.3">
      <c r="A74" s="14">
        <v>7</v>
      </c>
      <c r="B74" s="15"/>
      <c r="C74" s="15" t="e">
        <f>VLOOKUP(B74,داتا!$B$3:$D$107,2,FALSE)</f>
        <v>#N/A</v>
      </c>
      <c r="D74" s="34" t="e">
        <f>VLOOKUP(B74,داتا!$B$3:$D$107,3,FALSE)</f>
        <v>#N/A</v>
      </c>
      <c r="E74" s="15"/>
      <c r="F74" s="15"/>
      <c r="G74" s="16">
        <v>8.3333333333333329E-2</v>
      </c>
      <c r="H74" s="16" t="e">
        <f t="shared" si="16"/>
        <v>#N/A</v>
      </c>
      <c r="I74" s="16" t="e">
        <f t="shared" si="10"/>
        <v>#N/A</v>
      </c>
      <c r="J74" s="16"/>
      <c r="K74" s="16"/>
      <c r="L74" s="16"/>
      <c r="M74" s="16"/>
      <c r="N74" s="16">
        <f t="shared" si="11"/>
        <v>0</v>
      </c>
      <c r="O74" s="16" t="e">
        <f t="shared" si="12"/>
        <v>#N/A</v>
      </c>
      <c r="P74" s="16">
        <v>6.9444444444444397E-3</v>
      </c>
      <c r="Q74" s="16"/>
      <c r="R74" s="16">
        <f t="shared" si="13"/>
        <v>-6.9444444444444397E-3</v>
      </c>
      <c r="S74" s="16"/>
      <c r="T74" s="16" t="e">
        <f>VLOOKUP(E74,'[2]21-3-2026'!E$3:T$35,16,FALSE)</f>
        <v>#N/A</v>
      </c>
      <c r="U74" s="16"/>
      <c r="V74" s="16" t="e">
        <f t="shared" si="14"/>
        <v>#N/A</v>
      </c>
      <c r="W74" s="16"/>
      <c r="X74" s="16"/>
      <c r="Y74" s="16"/>
      <c r="Z74" s="16">
        <f t="shared" si="15"/>
        <v>0</v>
      </c>
      <c r="AA74" s="16">
        <f t="shared" si="9"/>
        <v>0</v>
      </c>
      <c r="AB74" s="16"/>
      <c r="AC74" s="17"/>
      <c r="AD74" s="51"/>
    </row>
    <row r="75" spans="1:30" ht="19.5" thickBot="1" x14ac:dyDescent="0.3">
      <c r="A75" s="14">
        <v>8</v>
      </c>
      <c r="B75" s="15"/>
      <c r="C75" s="15" t="e">
        <f>VLOOKUP(B75,داتا!$B$3:$D$107,2,FALSE)</f>
        <v>#N/A</v>
      </c>
      <c r="D75" s="34" t="e">
        <f>VLOOKUP(B75,داتا!$B$3:$D$107,3,FALSE)</f>
        <v>#N/A</v>
      </c>
      <c r="E75" s="15"/>
      <c r="F75" s="15"/>
      <c r="G75" s="16">
        <v>8.3333333333333329E-2</v>
      </c>
      <c r="H75" s="16" t="e">
        <f t="shared" si="16"/>
        <v>#N/A</v>
      </c>
      <c r="I75" s="16" t="e">
        <f t="shared" si="10"/>
        <v>#N/A</v>
      </c>
      <c r="J75" s="16"/>
      <c r="K75" s="16"/>
      <c r="L75" s="16"/>
      <c r="M75" s="16"/>
      <c r="N75" s="16">
        <f t="shared" si="11"/>
        <v>0</v>
      </c>
      <c r="O75" s="16" t="e">
        <f t="shared" si="12"/>
        <v>#N/A</v>
      </c>
      <c r="P75" s="16">
        <v>6.9444444444444397E-3</v>
      </c>
      <c r="Q75" s="16"/>
      <c r="R75" s="16">
        <f t="shared" si="13"/>
        <v>-6.9444444444444397E-3</v>
      </c>
      <c r="S75" s="16"/>
      <c r="T75" s="16" t="e">
        <f>VLOOKUP(E75,'[2]21-3-2026'!E$3:T$35,16,FALSE)</f>
        <v>#N/A</v>
      </c>
      <c r="U75" s="16"/>
      <c r="V75" s="16" t="e">
        <f t="shared" si="14"/>
        <v>#N/A</v>
      </c>
      <c r="W75" s="16"/>
      <c r="X75" s="16"/>
      <c r="Y75" s="16"/>
      <c r="Z75" s="16">
        <f t="shared" si="15"/>
        <v>0</v>
      </c>
      <c r="AA75" s="16">
        <f t="shared" si="9"/>
        <v>0</v>
      </c>
      <c r="AB75" s="16"/>
      <c r="AC75" s="17"/>
      <c r="AD75" s="51"/>
    </row>
    <row r="76" spans="1:30" ht="19.5" thickBot="1" x14ac:dyDescent="0.3">
      <c r="A76" s="14">
        <v>9</v>
      </c>
      <c r="B76" s="15"/>
      <c r="C76" s="15" t="e">
        <f>VLOOKUP(B76,داتا!$B$3:$D$107,2,FALSE)</f>
        <v>#N/A</v>
      </c>
      <c r="D76" s="34" t="e">
        <f>VLOOKUP(B76,داتا!$B$3:$D$107,3,FALSE)</f>
        <v>#N/A</v>
      </c>
      <c r="E76" s="16"/>
      <c r="F76" s="15"/>
      <c r="G76" s="16">
        <v>8.3333333333333329E-2</v>
      </c>
      <c r="H76" s="16" t="e">
        <f t="shared" si="16"/>
        <v>#N/A</v>
      </c>
      <c r="I76" s="16" t="e">
        <f t="shared" si="10"/>
        <v>#N/A</v>
      </c>
      <c r="J76" s="16"/>
      <c r="K76" s="16"/>
      <c r="L76" s="16"/>
      <c r="M76" s="16"/>
      <c r="N76" s="16">
        <f t="shared" si="11"/>
        <v>0</v>
      </c>
      <c r="O76" s="16" t="e">
        <f t="shared" si="12"/>
        <v>#N/A</v>
      </c>
      <c r="P76" s="16">
        <v>6.9444444444444397E-3</v>
      </c>
      <c r="Q76" s="16"/>
      <c r="R76" s="16">
        <f t="shared" si="13"/>
        <v>-6.9444444444444397E-3</v>
      </c>
      <c r="S76" s="16"/>
      <c r="T76" s="16" t="e">
        <f>VLOOKUP(E76,'[2]21-3-2026'!E$3:T$35,16,FALSE)</f>
        <v>#N/A</v>
      </c>
      <c r="U76" s="16"/>
      <c r="V76" s="16" t="e">
        <f t="shared" si="14"/>
        <v>#N/A</v>
      </c>
      <c r="W76" s="16"/>
      <c r="X76" s="16"/>
      <c r="Y76" s="16"/>
      <c r="Z76" s="16">
        <f t="shared" si="15"/>
        <v>0</v>
      </c>
      <c r="AA76" s="16">
        <f t="shared" si="9"/>
        <v>0</v>
      </c>
      <c r="AB76" s="16"/>
      <c r="AC76" s="17"/>
      <c r="AD76" s="51"/>
    </row>
    <row r="77" spans="1:30" ht="19.5" thickBot="1" x14ac:dyDescent="0.3">
      <c r="A77" s="14">
        <v>10</v>
      </c>
      <c r="B77" s="15"/>
      <c r="C77" s="15" t="e">
        <f>VLOOKUP(B77,داتا!$B$3:$D$107,2,FALSE)</f>
        <v>#N/A</v>
      </c>
      <c r="D77" s="34" t="e">
        <f>VLOOKUP(B77,داتا!$B$3:$D$107,3,FALSE)</f>
        <v>#N/A</v>
      </c>
      <c r="E77" s="15"/>
      <c r="F77" s="15"/>
      <c r="G77" s="16">
        <v>8.3333333333333329E-2</v>
      </c>
      <c r="H77" s="16" t="e">
        <f t="shared" si="16"/>
        <v>#N/A</v>
      </c>
      <c r="I77" s="16" t="e">
        <f t="shared" si="10"/>
        <v>#N/A</v>
      </c>
      <c r="J77" s="16"/>
      <c r="K77" s="16"/>
      <c r="L77" s="16"/>
      <c r="M77" s="16"/>
      <c r="N77" s="16">
        <f t="shared" si="11"/>
        <v>0</v>
      </c>
      <c r="O77" s="16" t="e">
        <f t="shared" si="12"/>
        <v>#N/A</v>
      </c>
      <c r="P77" s="16">
        <v>6.9444444444444397E-3</v>
      </c>
      <c r="Q77" s="16"/>
      <c r="R77" s="16">
        <f t="shared" si="13"/>
        <v>-6.9444444444444397E-3</v>
      </c>
      <c r="S77" s="16"/>
      <c r="T77" s="16" t="e">
        <f>VLOOKUP(E77,'[2]21-3-2026'!E$3:T$35,16,FALSE)</f>
        <v>#N/A</v>
      </c>
      <c r="U77" s="16"/>
      <c r="V77" s="16" t="e">
        <f t="shared" si="14"/>
        <v>#N/A</v>
      </c>
      <c r="W77" s="16"/>
      <c r="X77" s="16"/>
      <c r="Y77" s="16"/>
      <c r="Z77" s="16">
        <f t="shared" si="15"/>
        <v>0</v>
      </c>
      <c r="AA77" s="16">
        <f t="shared" si="9"/>
        <v>0</v>
      </c>
      <c r="AB77" s="16"/>
      <c r="AC77" s="17"/>
      <c r="AD77" s="51"/>
    </row>
    <row r="78" spans="1:30" ht="19.5" thickBot="1" x14ac:dyDescent="0.3">
      <c r="A78" s="14">
        <v>11</v>
      </c>
      <c r="B78" s="15"/>
      <c r="C78" s="15" t="e">
        <f>VLOOKUP(B78,داتا!$B$3:$D$107,2,FALSE)</f>
        <v>#N/A</v>
      </c>
      <c r="D78" s="34" t="e">
        <f>VLOOKUP(B78,داتا!$B$3:$D$107,3,FALSE)</f>
        <v>#N/A</v>
      </c>
      <c r="E78" s="15"/>
      <c r="F78" s="15"/>
      <c r="G78" s="16">
        <v>8.3333333333333329E-2</v>
      </c>
      <c r="H78" s="16" t="e">
        <f t="shared" si="16"/>
        <v>#N/A</v>
      </c>
      <c r="I78" s="16" t="e">
        <f t="shared" si="10"/>
        <v>#N/A</v>
      </c>
      <c r="J78" s="16"/>
      <c r="K78" s="16"/>
      <c r="L78" s="16"/>
      <c r="M78" s="16"/>
      <c r="N78" s="16">
        <f t="shared" si="11"/>
        <v>0</v>
      </c>
      <c r="O78" s="16" t="e">
        <f t="shared" si="12"/>
        <v>#N/A</v>
      </c>
      <c r="P78" s="16">
        <v>6.9444444444444397E-3</v>
      </c>
      <c r="Q78" s="16"/>
      <c r="R78" s="16">
        <f t="shared" si="13"/>
        <v>-6.9444444444444397E-3</v>
      </c>
      <c r="S78" s="16"/>
      <c r="T78" s="16" t="e">
        <f>VLOOKUP(E78,'[2]21-3-2026'!E$3:T$35,16,FALSE)</f>
        <v>#N/A</v>
      </c>
      <c r="U78" s="16"/>
      <c r="V78" s="16" t="e">
        <f t="shared" si="14"/>
        <v>#N/A</v>
      </c>
      <c r="W78" s="16"/>
      <c r="X78" s="16"/>
      <c r="Y78" s="16"/>
      <c r="Z78" s="16">
        <f t="shared" si="15"/>
        <v>0</v>
      </c>
      <c r="AA78" s="16">
        <f t="shared" si="9"/>
        <v>0</v>
      </c>
      <c r="AB78" s="16"/>
      <c r="AC78" s="17"/>
      <c r="AD78" s="51"/>
    </row>
    <row r="79" spans="1:30" ht="19.5" thickBot="1" x14ac:dyDescent="0.3">
      <c r="A79" s="14">
        <v>12</v>
      </c>
      <c r="B79" s="15"/>
      <c r="C79" s="15" t="e">
        <f>VLOOKUP(B79,داتا!$B$3:$D$107,2,FALSE)</f>
        <v>#N/A</v>
      </c>
      <c r="D79" s="34" t="e">
        <f>VLOOKUP(B79,داتا!$B$3:$D$107,3,FALSE)</f>
        <v>#N/A</v>
      </c>
      <c r="E79" s="15"/>
      <c r="F79" s="15"/>
      <c r="G79" s="16">
        <v>8.3333333333333329E-2</v>
      </c>
      <c r="H79" s="16" t="e">
        <f t="shared" si="16"/>
        <v>#N/A</v>
      </c>
      <c r="I79" s="16" t="e">
        <f t="shared" si="10"/>
        <v>#N/A</v>
      </c>
      <c r="J79" s="16"/>
      <c r="K79" s="16"/>
      <c r="L79" s="16"/>
      <c r="M79" s="16"/>
      <c r="N79" s="16">
        <f t="shared" si="11"/>
        <v>0</v>
      </c>
      <c r="O79" s="16" t="e">
        <f t="shared" si="12"/>
        <v>#N/A</v>
      </c>
      <c r="P79" s="16">
        <v>6.9444444444444397E-3</v>
      </c>
      <c r="Q79" s="16"/>
      <c r="R79" s="16">
        <f t="shared" si="13"/>
        <v>-6.9444444444444397E-3</v>
      </c>
      <c r="S79" s="16"/>
      <c r="T79" s="16" t="e">
        <f>VLOOKUP(E79,'[2]21-3-2026'!E$3:T$35,16,FALSE)</f>
        <v>#N/A</v>
      </c>
      <c r="U79" s="16"/>
      <c r="V79" s="16" t="e">
        <f t="shared" si="14"/>
        <v>#N/A</v>
      </c>
      <c r="W79" s="16"/>
      <c r="X79" s="16"/>
      <c r="Y79" s="16"/>
      <c r="Z79" s="16">
        <f t="shared" si="15"/>
        <v>0</v>
      </c>
      <c r="AA79" s="16">
        <f t="shared" si="9"/>
        <v>0</v>
      </c>
      <c r="AB79" s="16"/>
      <c r="AC79" s="17"/>
      <c r="AD79" s="51"/>
    </row>
    <row r="80" spans="1:30" ht="19.5" thickBot="1" x14ac:dyDescent="0.3">
      <c r="A80" s="14">
        <v>13</v>
      </c>
      <c r="B80" s="15"/>
      <c r="C80" s="15" t="e">
        <f>VLOOKUP(B80,داتا!$B$3:$D$107,2,FALSE)</f>
        <v>#N/A</v>
      </c>
      <c r="D80" s="34" t="e">
        <f>VLOOKUP(B80,داتا!$B$3:$D$107,3,FALSE)</f>
        <v>#N/A</v>
      </c>
      <c r="E80" s="15"/>
      <c r="F80" s="15"/>
      <c r="G80" s="16">
        <v>8.3333333333333329E-2</v>
      </c>
      <c r="H80" s="16" t="e">
        <f t="shared" si="16"/>
        <v>#N/A</v>
      </c>
      <c r="I80" s="16" t="e">
        <f t="shared" si="10"/>
        <v>#N/A</v>
      </c>
      <c r="J80" s="16"/>
      <c r="K80" s="16"/>
      <c r="L80" s="16"/>
      <c r="M80" s="16"/>
      <c r="N80" s="16">
        <f t="shared" si="11"/>
        <v>0</v>
      </c>
      <c r="O80" s="16" t="e">
        <f t="shared" si="12"/>
        <v>#N/A</v>
      </c>
      <c r="P80" s="16">
        <v>6.9444444444444397E-3</v>
      </c>
      <c r="Q80" s="16"/>
      <c r="R80" s="16">
        <f t="shared" si="13"/>
        <v>-6.9444444444444397E-3</v>
      </c>
      <c r="S80" s="16"/>
      <c r="T80" s="16" t="e">
        <f>VLOOKUP(E80,'[2]21-3-2026'!E$3:T$35,16,FALSE)</f>
        <v>#N/A</v>
      </c>
      <c r="U80" s="16"/>
      <c r="V80" s="16" t="e">
        <f t="shared" si="14"/>
        <v>#N/A</v>
      </c>
      <c r="W80" s="16"/>
      <c r="X80" s="16"/>
      <c r="Y80" s="16"/>
      <c r="Z80" s="16">
        <f t="shared" si="15"/>
        <v>0</v>
      </c>
      <c r="AA80" s="16">
        <f t="shared" si="9"/>
        <v>0</v>
      </c>
      <c r="AB80" s="16"/>
      <c r="AC80" s="17"/>
      <c r="AD80" s="51"/>
    </row>
    <row r="81" spans="1:30" ht="19.5" thickBot="1" x14ac:dyDescent="0.3">
      <c r="A81" s="14">
        <v>14</v>
      </c>
      <c r="B81" s="15"/>
      <c r="C81" s="15" t="e">
        <f>VLOOKUP(B81,داتا!$B$3:$D$107,2,FALSE)</f>
        <v>#N/A</v>
      </c>
      <c r="D81" s="34" t="e">
        <f>VLOOKUP(B81,داتا!$B$3:$D$107,3,FALSE)</f>
        <v>#N/A</v>
      </c>
      <c r="E81" s="15"/>
      <c r="F81" s="15"/>
      <c r="G81" s="16">
        <v>8.3333333333333329E-2</v>
      </c>
      <c r="H81" s="16" t="e">
        <f t="shared" si="16"/>
        <v>#N/A</v>
      </c>
      <c r="I81" s="16" t="e">
        <f t="shared" si="10"/>
        <v>#N/A</v>
      </c>
      <c r="J81" s="16"/>
      <c r="K81" s="16"/>
      <c r="L81" s="16"/>
      <c r="M81" s="16"/>
      <c r="N81" s="16">
        <f t="shared" si="11"/>
        <v>0</v>
      </c>
      <c r="O81" s="16" t="e">
        <f t="shared" si="12"/>
        <v>#N/A</v>
      </c>
      <c r="P81" s="16">
        <v>6.9444444444444397E-3</v>
      </c>
      <c r="Q81" s="16"/>
      <c r="R81" s="16">
        <f t="shared" si="13"/>
        <v>-6.9444444444444397E-3</v>
      </c>
      <c r="S81" s="16"/>
      <c r="T81" s="16" t="e">
        <f>VLOOKUP(E81,'[2]21-3-2026'!E$3:T$35,16,FALSE)</f>
        <v>#N/A</v>
      </c>
      <c r="U81" s="16"/>
      <c r="V81" s="16" t="e">
        <f t="shared" si="14"/>
        <v>#N/A</v>
      </c>
      <c r="W81" s="16"/>
      <c r="X81" s="16"/>
      <c r="Y81" s="16"/>
      <c r="Z81" s="16">
        <f t="shared" si="15"/>
        <v>0</v>
      </c>
      <c r="AA81" s="16">
        <f t="shared" si="9"/>
        <v>0</v>
      </c>
      <c r="AB81" s="16"/>
      <c r="AC81" s="17"/>
      <c r="AD81" s="51"/>
    </row>
    <row r="82" spans="1:30" ht="19.5" thickBot="1" x14ac:dyDescent="0.3">
      <c r="A82" s="14">
        <v>15</v>
      </c>
      <c r="B82" s="15"/>
      <c r="C82" s="15" t="e">
        <f>VLOOKUP(B82,داتا!$B$3:$D$107,2,FALSE)</f>
        <v>#N/A</v>
      </c>
      <c r="D82" s="34" t="e">
        <f>VLOOKUP(B82,داتا!$B$3:$D$107,3,FALSE)</f>
        <v>#N/A</v>
      </c>
      <c r="E82" s="15"/>
      <c r="F82" s="15"/>
      <c r="G82" s="16">
        <v>8.3333333333333329E-2</v>
      </c>
      <c r="H82" s="16" t="e">
        <f t="shared" si="16"/>
        <v>#N/A</v>
      </c>
      <c r="I82" s="16" t="e">
        <f t="shared" si="10"/>
        <v>#N/A</v>
      </c>
      <c r="J82" s="16"/>
      <c r="K82" s="16"/>
      <c r="L82" s="16"/>
      <c r="M82" s="16"/>
      <c r="N82" s="16">
        <f t="shared" si="11"/>
        <v>0</v>
      </c>
      <c r="O82" s="16" t="e">
        <f t="shared" si="12"/>
        <v>#N/A</v>
      </c>
      <c r="P82" s="16">
        <v>6.9444444444444397E-3</v>
      </c>
      <c r="Q82" s="16"/>
      <c r="R82" s="16">
        <f t="shared" si="13"/>
        <v>-6.9444444444444397E-3</v>
      </c>
      <c r="S82" s="16"/>
      <c r="T82" s="16" t="e">
        <f>VLOOKUP(E82,'[2]21-3-2026'!E$3:T$35,16,FALSE)</f>
        <v>#N/A</v>
      </c>
      <c r="U82" s="16"/>
      <c r="V82" s="16" t="e">
        <f t="shared" si="14"/>
        <v>#N/A</v>
      </c>
      <c r="W82" s="16"/>
      <c r="X82" s="16"/>
      <c r="Y82" s="16"/>
      <c r="Z82" s="16">
        <f t="shared" si="15"/>
        <v>0</v>
      </c>
      <c r="AA82" s="16">
        <f t="shared" si="9"/>
        <v>0</v>
      </c>
      <c r="AB82" s="16"/>
      <c r="AC82" s="17"/>
      <c r="AD82" s="51"/>
    </row>
    <row r="83" spans="1:30" ht="19.5" thickBot="1" x14ac:dyDescent="0.3">
      <c r="A83" s="14">
        <v>16</v>
      </c>
      <c r="B83" s="15"/>
      <c r="C83" s="15" t="e">
        <f>VLOOKUP(B83,داتا!$B$3:$D$107,2,FALSE)</f>
        <v>#N/A</v>
      </c>
      <c r="D83" s="34" t="e">
        <f>VLOOKUP(B83,داتا!$B$3:$D$107,3,FALSE)</f>
        <v>#N/A</v>
      </c>
      <c r="E83" s="15"/>
      <c r="F83" s="15"/>
      <c r="G83" s="16">
        <v>8.3333333333333329E-2</v>
      </c>
      <c r="H83" s="16" t="e">
        <f t="shared" si="16"/>
        <v>#N/A</v>
      </c>
      <c r="I83" s="16" t="e">
        <f t="shared" si="10"/>
        <v>#N/A</v>
      </c>
      <c r="J83" s="16"/>
      <c r="K83" s="16"/>
      <c r="L83" s="16"/>
      <c r="M83" s="16"/>
      <c r="N83" s="16">
        <f t="shared" si="11"/>
        <v>0</v>
      </c>
      <c r="O83" s="16" t="e">
        <f t="shared" si="12"/>
        <v>#N/A</v>
      </c>
      <c r="P83" s="16">
        <v>6.9444444444444397E-3</v>
      </c>
      <c r="Q83" s="16"/>
      <c r="R83" s="16">
        <f t="shared" si="13"/>
        <v>-6.9444444444444397E-3</v>
      </c>
      <c r="S83" s="16"/>
      <c r="T83" s="16" t="e">
        <f>VLOOKUP(E83,'[2]21-3-2026'!E$3:T$35,16,FALSE)</f>
        <v>#N/A</v>
      </c>
      <c r="U83" s="16"/>
      <c r="V83" s="16" t="e">
        <f t="shared" si="14"/>
        <v>#N/A</v>
      </c>
      <c r="W83" s="16"/>
      <c r="X83" s="16"/>
      <c r="Y83" s="16"/>
      <c r="Z83" s="16">
        <f t="shared" si="15"/>
        <v>0</v>
      </c>
      <c r="AA83" s="16">
        <f t="shared" si="9"/>
        <v>0</v>
      </c>
      <c r="AB83" s="16"/>
      <c r="AC83" s="17"/>
      <c r="AD83" s="51"/>
    </row>
    <row r="84" spans="1:30" ht="19.5" thickBot="1" x14ac:dyDescent="0.3">
      <c r="A84" s="14">
        <v>17</v>
      </c>
      <c r="B84" s="15"/>
      <c r="C84" s="15" t="e">
        <f>VLOOKUP(B84,داتا!$B$3:$D$107,2,FALSE)</f>
        <v>#N/A</v>
      </c>
      <c r="D84" s="34" t="e">
        <f>VLOOKUP(B84,داتا!$B$3:$D$107,3,FALSE)</f>
        <v>#N/A</v>
      </c>
      <c r="E84" s="15"/>
      <c r="F84" s="15"/>
      <c r="G84" s="16">
        <v>8.3333333333333329E-2</v>
      </c>
      <c r="H84" s="16" t="e">
        <f t="shared" si="16"/>
        <v>#N/A</v>
      </c>
      <c r="I84" s="16" t="e">
        <f t="shared" si="10"/>
        <v>#N/A</v>
      </c>
      <c r="J84" s="16"/>
      <c r="K84" s="16"/>
      <c r="L84" s="16"/>
      <c r="M84" s="16"/>
      <c r="N84" s="16">
        <f t="shared" si="11"/>
        <v>0</v>
      </c>
      <c r="O84" s="16" t="e">
        <f t="shared" si="12"/>
        <v>#N/A</v>
      </c>
      <c r="P84" s="16">
        <v>6.9444444444444397E-3</v>
      </c>
      <c r="Q84" s="16"/>
      <c r="R84" s="16">
        <f t="shared" si="13"/>
        <v>-6.9444444444444397E-3</v>
      </c>
      <c r="S84" s="16"/>
      <c r="T84" s="16" t="e">
        <f>VLOOKUP(E84,'[2]21-3-2026'!E$3:T$35,16,FALSE)</f>
        <v>#N/A</v>
      </c>
      <c r="U84" s="16"/>
      <c r="V84" s="16" t="e">
        <f t="shared" si="14"/>
        <v>#N/A</v>
      </c>
      <c r="W84" s="16"/>
      <c r="X84" s="16"/>
      <c r="Y84" s="16"/>
      <c r="Z84" s="16">
        <f t="shared" si="15"/>
        <v>0</v>
      </c>
      <c r="AA84" s="16">
        <f t="shared" si="9"/>
        <v>0</v>
      </c>
      <c r="AB84" s="16"/>
      <c r="AC84" s="17"/>
      <c r="AD84" s="51"/>
    </row>
    <row r="85" spans="1:30" ht="19.5" thickBot="1" x14ac:dyDescent="0.3">
      <c r="A85" s="14">
        <v>18</v>
      </c>
      <c r="B85" s="15"/>
      <c r="C85" s="15" t="e">
        <f>VLOOKUP(B85,داتا!$B$3:$D$107,2,FALSE)</f>
        <v>#N/A</v>
      </c>
      <c r="D85" s="34" t="e">
        <f>VLOOKUP(B85,داتا!$B$3:$D$107,3,FALSE)</f>
        <v>#N/A</v>
      </c>
      <c r="E85" s="15"/>
      <c r="F85" s="15"/>
      <c r="G85" s="16">
        <v>8.3333333333333329E-2</v>
      </c>
      <c r="H85" s="16" t="e">
        <f t="shared" ref="H85:H99" si="17">VLOOKUP(G85,$F$3:$I$35,2,FALSE)</f>
        <v>#N/A</v>
      </c>
      <c r="I85" s="16" t="e">
        <f t="shared" si="10"/>
        <v>#N/A</v>
      </c>
      <c r="J85" s="16"/>
      <c r="K85" s="16"/>
      <c r="L85" s="16"/>
      <c r="M85" s="16"/>
      <c r="N85" s="16">
        <f t="shared" si="11"/>
        <v>0</v>
      </c>
      <c r="O85" s="16" t="e">
        <f t="shared" si="12"/>
        <v>#N/A</v>
      </c>
      <c r="P85" s="16">
        <v>6.9444444444444397E-3</v>
      </c>
      <c r="Q85" s="16"/>
      <c r="R85" s="16">
        <f t="shared" si="13"/>
        <v>-6.9444444444444397E-3</v>
      </c>
      <c r="S85" s="16"/>
      <c r="T85" s="16" t="e">
        <f>VLOOKUP(E85,'[2]21-3-2026'!E$3:T$35,16,FALSE)</f>
        <v>#N/A</v>
      </c>
      <c r="U85" s="16"/>
      <c r="V85" s="16" t="e">
        <f t="shared" si="14"/>
        <v>#N/A</v>
      </c>
      <c r="W85" s="16"/>
      <c r="X85" s="16"/>
      <c r="Y85" s="16"/>
      <c r="Z85" s="16">
        <f t="shared" si="15"/>
        <v>0</v>
      </c>
      <c r="AA85" s="16">
        <f t="shared" si="9"/>
        <v>0</v>
      </c>
      <c r="AB85" s="16"/>
      <c r="AC85" s="17"/>
      <c r="AD85" s="51"/>
    </row>
    <row r="86" spans="1:30" ht="19.5" thickBot="1" x14ac:dyDescent="0.3">
      <c r="A86" s="14">
        <v>19</v>
      </c>
      <c r="B86" s="15"/>
      <c r="C86" s="15" t="e">
        <f>VLOOKUP(B86,داتا!$B$3:$D$107,2,FALSE)</f>
        <v>#N/A</v>
      </c>
      <c r="D86" s="34" t="e">
        <f>VLOOKUP(B86,داتا!$B$3:$D$107,3,FALSE)</f>
        <v>#N/A</v>
      </c>
      <c r="E86" s="15"/>
      <c r="F86" s="15"/>
      <c r="G86" s="16">
        <v>8.3333333333333329E-2</v>
      </c>
      <c r="H86" s="16" t="e">
        <f t="shared" si="17"/>
        <v>#N/A</v>
      </c>
      <c r="I86" s="16" t="e">
        <f t="shared" si="10"/>
        <v>#N/A</v>
      </c>
      <c r="J86" s="16"/>
      <c r="K86" s="16"/>
      <c r="L86" s="16"/>
      <c r="M86" s="16"/>
      <c r="N86" s="16">
        <f t="shared" si="11"/>
        <v>0</v>
      </c>
      <c r="O86" s="16" t="e">
        <f t="shared" si="12"/>
        <v>#N/A</v>
      </c>
      <c r="P86" s="16">
        <v>6.9444444444444397E-3</v>
      </c>
      <c r="Q86" s="16"/>
      <c r="R86" s="16">
        <f t="shared" si="13"/>
        <v>-6.9444444444444397E-3</v>
      </c>
      <c r="S86" s="16"/>
      <c r="T86" s="16" t="e">
        <f>VLOOKUP(E86,'[2]21-3-2026'!E$3:T$35,16,FALSE)</f>
        <v>#N/A</v>
      </c>
      <c r="U86" s="16"/>
      <c r="V86" s="16" t="e">
        <f t="shared" si="14"/>
        <v>#N/A</v>
      </c>
      <c r="W86" s="16"/>
      <c r="X86" s="16"/>
      <c r="Y86" s="16"/>
      <c r="Z86" s="16">
        <f t="shared" si="15"/>
        <v>0</v>
      </c>
      <c r="AA86" s="16">
        <f t="shared" si="9"/>
        <v>0</v>
      </c>
      <c r="AB86" s="16"/>
      <c r="AC86" s="17"/>
      <c r="AD86" s="51"/>
    </row>
    <row r="87" spans="1:30" ht="19.5" thickBot="1" x14ac:dyDescent="0.3">
      <c r="A87" s="14">
        <v>20</v>
      </c>
      <c r="B87" s="15"/>
      <c r="C87" s="15" t="e">
        <f>VLOOKUP(B87,داتا!$B$3:$D$107,2,FALSE)</f>
        <v>#N/A</v>
      </c>
      <c r="D87" s="34" t="e">
        <f>VLOOKUP(B87,داتا!$B$3:$D$107,3,FALSE)</f>
        <v>#N/A</v>
      </c>
      <c r="E87" s="15"/>
      <c r="F87" s="15"/>
      <c r="G87" s="16">
        <v>8.3333333333333329E-2</v>
      </c>
      <c r="H87" s="16" t="e">
        <f t="shared" si="17"/>
        <v>#N/A</v>
      </c>
      <c r="I87" s="16" t="e">
        <f t="shared" si="10"/>
        <v>#N/A</v>
      </c>
      <c r="J87" s="16"/>
      <c r="K87" s="16"/>
      <c r="L87" s="16"/>
      <c r="M87" s="16"/>
      <c r="N87" s="16">
        <f t="shared" si="11"/>
        <v>0</v>
      </c>
      <c r="O87" s="16" t="e">
        <f t="shared" si="12"/>
        <v>#N/A</v>
      </c>
      <c r="P87" s="16">
        <v>6.9444444444444397E-3</v>
      </c>
      <c r="Q87" s="16"/>
      <c r="R87" s="16">
        <f t="shared" si="13"/>
        <v>-6.9444444444444397E-3</v>
      </c>
      <c r="S87" s="16"/>
      <c r="T87" s="16" t="e">
        <f>VLOOKUP(E87,'[2]21-3-2026'!E$3:T$35,16,FALSE)</f>
        <v>#N/A</v>
      </c>
      <c r="U87" s="16"/>
      <c r="V87" s="16" t="e">
        <f t="shared" si="14"/>
        <v>#N/A</v>
      </c>
      <c r="W87" s="16"/>
      <c r="X87" s="16"/>
      <c r="Y87" s="16"/>
      <c r="Z87" s="16">
        <f t="shared" si="15"/>
        <v>0</v>
      </c>
      <c r="AA87" s="16">
        <f t="shared" si="9"/>
        <v>0</v>
      </c>
      <c r="AB87" s="16"/>
      <c r="AC87" s="17"/>
      <c r="AD87" s="51"/>
    </row>
    <row r="88" spans="1:30" ht="19.5" thickBot="1" x14ac:dyDescent="0.3">
      <c r="A88" s="14">
        <v>21</v>
      </c>
      <c r="B88" s="15"/>
      <c r="C88" s="15" t="e">
        <f>VLOOKUP(B88,داتا!$B$3:$D$107,2,FALSE)</f>
        <v>#N/A</v>
      </c>
      <c r="D88" s="34" t="e">
        <f>VLOOKUP(B88,داتا!$B$3:$D$107,3,FALSE)</f>
        <v>#N/A</v>
      </c>
      <c r="E88" s="15"/>
      <c r="F88" s="15"/>
      <c r="G88" s="16">
        <v>8.3333333333333329E-2</v>
      </c>
      <c r="H88" s="16" t="e">
        <f t="shared" si="17"/>
        <v>#N/A</v>
      </c>
      <c r="I88" s="16" t="e">
        <f t="shared" si="10"/>
        <v>#N/A</v>
      </c>
      <c r="J88" s="16"/>
      <c r="K88" s="16"/>
      <c r="L88" s="16"/>
      <c r="M88" s="16"/>
      <c r="N88" s="16">
        <f t="shared" si="11"/>
        <v>0</v>
      </c>
      <c r="O88" s="16" t="e">
        <f t="shared" si="12"/>
        <v>#N/A</v>
      </c>
      <c r="P88" s="16">
        <v>6.9444444444444397E-3</v>
      </c>
      <c r="Q88" s="16"/>
      <c r="R88" s="16">
        <f t="shared" si="13"/>
        <v>-6.9444444444444397E-3</v>
      </c>
      <c r="S88" s="16"/>
      <c r="T88" s="16" t="e">
        <f>VLOOKUP(E88,'[2]21-3-2026'!E$3:T$35,16,FALSE)</f>
        <v>#N/A</v>
      </c>
      <c r="U88" s="16"/>
      <c r="V88" s="16" t="e">
        <f t="shared" si="14"/>
        <v>#N/A</v>
      </c>
      <c r="W88" s="16"/>
      <c r="X88" s="16"/>
      <c r="Y88" s="16"/>
      <c r="Z88" s="16">
        <f t="shared" si="15"/>
        <v>0</v>
      </c>
      <c r="AA88" s="16">
        <f t="shared" si="9"/>
        <v>0</v>
      </c>
      <c r="AB88" s="16"/>
      <c r="AC88" s="19"/>
      <c r="AD88" s="51"/>
    </row>
    <row r="89" spans="1:30" ht="19.5" thickBot="1" x14ac:dyDescent="0.3">
      <c r="A89" s="14">
        <v>22</v>
      </c>
      <c r="B89" s="15"/>
      <c r="C89" s="15" t="e">
        <f>VLOOKUP(B89,داتا!$B$3:$D$107,2,FALSE)</f>
        <v>#N/A</v>
      </c>
      <c r="D89" s="34" t="e">
        <f>VLOOKUP(B89,داتا!$B$3:$D$107,3,FALSE)</f>
        <v>#N/A</v>
      </c>
      <c r="E89" s="15"/>
      <c r="F89" s="15"/>
      <c r="G89" s="16">
        <v>8.3333333333333329E-2</v>
      </c>
      <c r="H89" s="16" t="e">
        <f t="shared" si="17"/>
        <v>#N/A</v>
      </c>
      <c r="I89" s="16" t="e">
        <f t="shared" si="10"/>
        <v>#N/A</v>
      </c>
      <c r="J89" s="16"/>
      <c r="K89" s="16"/>
      <c r="L89" s="16"/>
      <c r="M89" s="16"/>
      <c r="N89" s="16">
        <f t="shared" si="11"/>
        <v>0</v>
      </c>
      <c r="O89" s="16" t="e">
        <f t="shared" si="12"/>
        <v>#N/A</v>
      </c>
      <c r="P89" s="16">
        <v>6.9444444444444397E-3</v>
      </c>
      <c r="Q89" s="16"/>
      <c r="R89" s="16">
        <f t="shared" si="13"/>
        <v>-6.9444444444444397E-3</v>
      </c>
      <c r="S89" s="16"/>
      <c r="T89" s="16" t="e">
        <f>VLOOKUP(E89,'[2]21-3-2026'!E$3:T$35,16,FALSE)</f>
        <v>#N/A</v>
      </c>
      <c r="U89" s="16"/>
      <c r="V89" s="16" t="e">
        <f t="shared" si="14"/>
        <v>#N/A</v>
      </c>
      <c r="W89" s="16"/>
      <c r="X89" s="16"/>
      <c r="Y89" s="16"/>
      <c r="Z89" s="16">
        <f t="shared" si="15"/>
        <v>0</v>
      </c>
      <c r="AA89" s="16">
        <f t="shared" si="9"/>
        <v>0</v>
      </c>
      <c r="AB89" s="16"/>
      <c r="AC89" s="19"/>
      <c r="AD89" s="51"/>
    </row>
    <row r="90" spans="1:30" ht="19.5" thickBot="1" x14ac:dyDescent="0.3">
      <c r="A90" s="14">
        <v>23</v>
      </c>
      <c r="B90" s="15"/>
      <c r="C90" s="15" t="e">
        <f>VLOOKUP(B90,داتا!$B$3:$D$107,2,FALSE)</f>
        <v>#N/A</v>
      </c>
      <c r="D90" s="34" t="e">
        <f>VLOOKUP(B90,داتا!$B$3:$D$107,3,FALSE)</f>
        <v>#N/A</v>
      </c>
      <c r="E90" s="15"/>
      <c r="F90" s="15"/>
      <c r="G90" s="16">
        <v>8.3333333333333329E-2</v>
      </c>
      <c r="H90" s="16" t="e">
        <f t="shared" si="17"/>
        <v>#N/A</v>
      </c>
      <c r="I90" s="16" t="e">
        <f t="shared" si="10"/>
        <v>#N/A</v>
      </c>
      <c r="J90" s="16"/>
      <c r="K90" s="16"/>
      <c r="L90" s="16"/>
      <c r="M90" s="16"/>
      <c r="N90" s="16">
        <f t="shared" si="11"/>
        <v>0</v>
      </c>
      <c r="O90" s="16" t="e">
        <f t="shared" si="12"/>
        <v>#N/A</v>
      </c>
      <c r="P90" s="16">
        <v>6.9444444444444397E-3</v>
      </c>
      <c r="Q90" s="16"/>
      <c r="R90" s="16">
        <f t="shared" si="13"/>
        <v>-6.9444444444444397E-3</v>
      </c>
      <c r="S90" s="16"/>
      <c r="T90" s="16" t="e">
        <f>VLOOKUP(E90,'[2]21-3-2026'!E$3:T$35,16,FALSE)</f>
        <v>#N/A</v>
      </c>
      <c r="U90" s="16"/>
      <c r="V90" s="16" t="e">
        <f t="shared" si="14"/>
        <v>#N/A</v>
      </c>
      <c r="W90" s="16"/>
      <c r="X90" s="16"/>
      <c r="Y90" s="16"/>
      <c r="Z90" s="16">
        <f t="shared" si="15"/>
        <v>0</v>
      </c>
      <c r="AA90" s="16">
        <f t="shared" si="9"/>
        <v>0</v>
      </c>
      <c r="AB90" s="16"/>
      <c r="AC90" s="19"/>
      <c r="AD90" s="51"/>
    </row>
    <row r="91" spans="1:30" ht="19.5" thickBot="1" x14ac:dyDescent="0.3">
      <c r="A91" s="14">
        <v>24</v>
      </c>
      <c r="B91" s="15"/>
      <c r="C91" s="15" t="e">
        <f>VLOOKUP(B91,داتا!$B$3:$D$107,2,FALSE)</f>
        <v>#N/A</v>
      </c>
      <c r="D91" s="34" t="e">
        <f>VLOOKUP(B91,داتا!$B$3:$D$107,3,FALSE)</f>
        <v>#N/A</v>
      </c>
      <c r="E91" s="15"/>
      <c r="F91" s="15"/>
      <c r="G91" s="16">
        <v>8.3333333333333329E-2</v>
      </c>
      <c r="H91" s="16" t="e">
        <f t="shared" si="17"/>
        <v>#N/A</v>
      </c>
      <c r="I91" s="16" t="e">
        <f t="shared" si="10"/>
        <v>#N/A</v>
      </c>
      <c r="J91" s="16"/>
      <c r="K91" s="16"/>
      <c r="L91" s="16"/>
      <c r="M91" s="16"/>
      <c r="N91" s="16">
        <f t="shared" si="11"/>
        <v>0</v>
      </c>
      <c r="O91" s="16" t="e">
        <f t="shared" si="12"/>
        <v>#N/A</v>
      </c>
      <c r="P91" s="16">
        <v>6.9444444444444397E-3</v>
      </c>
      <c r="Q91" s="16"/>
      <c r="R91" s="16">
        <f t="shared" si="13"/>
        <v>-6.9444444444444397E-3</v>
      </c>
      <c r="S91" s="16"/>
      <c r="T91" s="16" t="e">
        <f>VLOOKUP(E91,'[2]21-3-2026'!E$3:T$35,16,FALSE)</f>
        <v>#N/A</v>
      </c>
      <c r="U91" s="16"/>
      <c r="V91" s="16" t="e">
        <f t="shared" si="14"/>
        <v>#N/A</v>
      </c>
      <c r="W91" s="16"/>
      <c r="X91" s="16"/>
      <c r="Y91" s="16"/>
      <c r="Z91" s="16">
        <f t="shared" si="15"/>
        <v>0</v>
      </c>
      <c r="AA91" s="16">
        <f t="shared" si="9"/>
        <v>0</v>
      </c>
      <c r="AB91" s="16"/>
      <c r="AC91" s="19"/>
      <c r="AD91" s="51"/>
    </row>
    <row r="92" spans="1:30" ht="19.5" thickBot="1" x14ac:dyDescent="0.3">
      <c r="A92" s="14">
        <v>25</v>
      </c>
      <c r="B92" s="15"/>
      <c r="C92" s="15" t="e">
        <f>VLOOKUP(B92,داتا!$B$3:$D$107,2,FALSE)</f>
        <v>#N/A</v>
      </c>
      <c r="D92" s="34" t="e">
        <f>VLOOKUP(B92,داتا!$B$3:$D$107,3,FALSE)</f>
        <v>#N/A</v>
      </c>
      <c r="E92" s="15"/>
      <c r="F92" s="15"/>
      <c r="G92" s="16">
        <v>8.3333333333333329E-2</v>
      </c>
      <c r="H92" s="16" t="e">
        <f t="shared" si="17"/>
        <v>#N/A</v>
      </c>
      <c r="I92" s="16" t="e">
        <f t="shared" si="10"/>
        <v>#N/A</v>
      </c>
      <c r="J92" s="16"/>
      <c r="K92" s="16"/>
      <c r="L92" s="16"/>
      <c r="M92" s="16"/>
      <c r="N92" s="16">
        <f t="shared" si="11"/>
        <v>0</v>
      </c>
      <c r="O92" s="16" t="e">
        <f t="shared" si="12"/>
        <v>#N/A</v>
      </c>
      <c r="P92" s="16">
        <v>6.9444444444444397E-3</v>
      </c>
      <c r="Q92" s="16"/>
      <c r="R92" s="16">
        <f t="shared" si="13"/>
        <v>-6.9444444444444397E-3</v>
      </c>
      <c r="S92" s="16"/>
      <c r="T92" s="16" t="e">
        <f>VLOOKUP(E92,'[2]21-3-2026'!E$3:T$35,16,FALSE)</f>
        <v>#N/A</v>
      </c>
      <c r="U92" s="16"/>
      <c r="V92" s="16" t="e">
        <f t="shared" si="14"/>
        <v>#N/A</v>
      </c>
      <c r="W92" s="16"/>
      <c r="X92" s="16"/>
      <c r="Y92" s="16"/>
      <c r="Z92" s="16">
        <f t="shared" si="15"/>
        <v>0</v>
      </c>
      <c r="AA92" s="16">
        <f t="shared" si="9"/>
        <v>0</v>
      </c>
      <c r="AB92" s="16"/>
      <c r="AC92" s="19"/>
      <c r="AD92" s="51"/>
    </row>
    <row r="93" spans="1:30" ht="19.5" thickBot="1" x14ac:dyDescent="0.3">
      <c r="A93" s="14">
        <v>26</v>
      </c>
      <c r="B93" s="15"/>
      <c r="C93" s="15" t="e">
        <f>VLOOKUP(B93,داتا!$B$3:$D$107,2,FALSE)</f>
        <v>#N/A</v>
      </c>
      <c r="D93" s="34" t="e">
        <f>VLOOKUP(B93,داتا!$B$3:$D$107,3,FALSE)</f>
        <v>#N/A</v>
      </c>
      <c r="E93" s="15"/>
      <c r="F93" s="15"/>
      <c r="G93" s="16">
        <v>8.3333333333333329E-2</v>
      </c>
      <c r="H93" s="16" t="e">
        <f t="shared" si="17"/>
        <v>#N/A</v>
      </c>
      <c r="I93" s="16" t="e">
        <f t="shared" si="10"/>
        <v>#N/A</v>
      </c>
      <c r="J93" s="16"/>
      <c r="K93" s="16"/>
      <c r="L93" s="16"/>
      <c r="M93" s="16"/>
      <c r="N93" s="16">
        <f t="shared" si="11"/>
        <v>0</v>
      </c>
      <c r="O93" s="16" t="e">
        <f t="shared" si="12"/>
        <v>#N/A</v>
      </c>
      <c r="P93" s="16">
        <v>6.9444444444444397E-3</v>
      </c>
      <c r="Q93" s="16"/>
      <c r="R93" s="16">
        <f t="shared" si="13"/>
        <v>-6.9444444444444397E-3</v>
      </c>
      <c r="S93" s="16"/>
      <c r="T93" s="16" t="e">
        <f>VLOOKUP(E93,'[2]21-3-2026'!E$3:T$35,16,FALSE)</f>
        <v>#N/A</v>
      </c>
      <c r="U93" s="16"/>
      <c r="V93" s="16" t="e">
        <f t="shared" si="14"/>
        <v>#N/A</v>
      </c>
      <c r="W93" s="16"/>
      <c r="X93" s="16"/>
      <c r="Y93" s="16"/>
      <c r="Z93" s="16">
        <f t="shared" si="15"/>
        <v>0</v>
      </c>
      <c r="AA93" s="16">
        <f t="shared" si="9"/>
        <v>0</v>
      </c>
      <c r="AB93" s="16"/>
      <c r="AC93" s="19"/>
      <c r="AD93" s="51"/>
    </row>
    <row r="94" spans="1:30" ht="19.5" thickBot="1" x14ac:dyDescent="0.3">
      <c r="A94" s="14">
        <v>27</v>
      </c>
      <c r="B94" s="15"/>
      <c r="C94" s="15" t="e">
        <f>VLOOKUP(B94,داتا!$B$3:$D$107,2,FALSE)</f>
        <v>#N/A</v>
      </c>
      <c r="D94" s="34" t="e">
        <f>VLOOKUP(B94,داتا!$B$3:$D$107,3,FALSE)</f>
        <v>#N/A</v>
      </c>
      <c r="E94" s="15"/>
      <c r="F94" s="15"/>
      <c r="G94" s="16">
        <v>8.3333333333333329E-2</v>
      </c>
      <c r="H94" s="16" t="e">
        <f t="shared" si="17"/>
        <v>#N/A</v>
      </c>
      <c r="I94" s="16" t="e">
        <f t="shared" si="10"/>
        <v>#N/A</v>
      </c>
      <c r="J94" s="16"/>
      <c r="K94" s="16"/>
      <c r="L94" s="16"/>
      <c r="M94" s="16"/>
      <c r="N94" s="16">
        <f t="shared" si="11"/>
        <v>0</v>
      </c>
      <c r="O94" s="16" t="e">
        <f t="shared" si="12"/>
        <v>#N/A</v>
      </c>
      <c r="P94" s="16">
        <v>6.9444444444444397E-3</v>
      </c>
      <c r="Q94" s="16"/>
      <c r="R94" s="16">
        <f t="shared" si="13"/>
        <v>-6.9444444444444397E-3</v>
      </c>
      <c r="S94" s="16"/>
      <c r="T94" s="16" t="e">
        <f>VLOOKUP(E94,'[2]21-3-2026'!E$3:T$35,16,FALSE)</f>
        <v>#N/A</v>
      </c>
      <c r="U94" s="16"/>
      <c r="V94" s="16" t="e">
        <f t="shared" si="14"/>
        <v>#N/A</v>
      </c>
      <c r="W94" s="16"/>
      <c r="X94" s="16"/>
      <c r="Y94" s="16"/>
      <c r="Z94" s="16">
        <f t="shared" si="15"/>
        <v>0</v>
      </c>
      <c r="AA94" s="16">
        <f t="shared" si="9"/>
        <v>0</v>
      </c>
      <c r="AB94" s="16"/>
      <c r="AC94" s="19"/>
      <c r="AD94" s="51"/>
    </row>
    <row r="95" spans="1:30" ht="19.5" thickBot="1" x14ac:dyDescent="0.3">
      <c r="A95" s="14">
        <v>28</v>
      </c>
      <c r="B95" s="15"/>
      <c r="C95" s="15" t="e">
        <f>VLOOKUP(B95,داتا!$B$3:$D$107,2,FALSE)</f>
        <v>#N/A</v>
      </c>
      <c r="D95" s="34" t="e">
        <f>VLOOKUP(B95,داتا!$B$3:$D$107,3,FALSE)</f>
        <v>#N/A</v>
      </c>
      <c r="E95" s="15"/>
      <c r="F95" s="16"/>
      <c r="G95" s="16">
        <v>8.3333333333333329E-2</v>
      </c>
      <c r="H95" s="16" t="e">
        <f t="shared" si="17"/>
        <v>#N/A</v>
      </c>
      <c r="I95" s="16" t="e">
        <f t="shared" si="10"/>
        <v>#N/A</v>
      </c>
      <c r="J95" s="16"/>
      <c r="K95" s="16"/>
      <c r="L95" s="16"/>
      <c r="M95" s="16"/>
      <c r="N95" s="16">
        <f t="shared" si="11"/>
        <v>0</v>
      </c>
      <c r="O95" s="16" t="e">
        <f t="shared" si="12"/>
        <v>#N/A</v>
      </c>
      <c r="P95" s="16">
        <v>6.9444444444444397E-3</v>
      </c>
      <c r="Q95" s="16"/>
      <c r="R95" s="16">
        <f t="shared" si="13"/>
        <v>-6.9444444444444397E-3</v>
      </c>
      <c r="S95" s="16"/>
      <c r="T95" s="16" t="e">
        <f>VLOOKUP(E95,'[2]21-3-2026'!E$3:T$35,16,FALSE)</f>
        <v>#N/A</v>
      </c>
      <c r="U95" s="16"/>
      <c r="V95" s="16" t="e">
        <f t="shared" si="14"/>
        <v>#N/A</v>
      </c>
      <c r="W95" s="16"/>
      <c r="X95" s="16"/>
      <c r="Y95" s="16"/>
      <c r="Z95" s="16">
        <f t="shared" si="15"/>
        <v>0</v>
      </c>
      <c r="AA95" s="16">
        <f t="shared" si="9"/>
        <v>0</v>
      </c>
      <c r="AB95" s="16"/>
      <c r="AC95" s="19"/>
      <c r="AD95" s="51"/>
    </row>
    <row r="96" spans="1:30" ht="19.5" thickBot="1" x14ac:dyDescent="0.3">
      <c r="A96" s="14">
        <v>29</v>
      </c>
      <c r="B96" s="15"/>
      <c r="C96" s="15" t="e">
        <f>VLOOKUP(B96,داتا!$B$3:$D$107,2,FALSE)</f>
        <v>#N/A</v>
      </c>
      <c r="D96" s="34" t="e">
        <f>VLOOKUP(B96,داتا!$B$3:$D$107,3,FALSE)</f>
        <v>#N/A</v>
      </c>
      <c r="E96" s="15"/>
      <c r="F96" s="16"/>
      <c r="G96" s="16">
        <v>8.3333333333333329E-2</v>
      </c>
      <c r="H96" s="16" t="e">
        <f t="shared" si="17"/>
        <v>#N/A</v>
      </c>
      <c r="I96" s="16" t="e">
        <f t="shared" si="10"/>
        <v>#N/A</v>
      </c>
      <c r="J96" s="16"/>
      <c r="K96" s="16"/>
      <c r="L96" s="16"/>
      <c r="M96" s="16"/>
      <c r="N96" s="16">
        <f t="shared" si="11"/>
        <v>0</v>
      </c>
      <c r="O96" s="16" t="e">
        <f t="shared" si="12"/>
        <v>#N/A</v>
      </c>
      <c r="P96" s="16">
        <v>6.9444444444444397E-3</v>
      </c>
      <c r="Q96" s="16"/>
      <c r="R96" s="16">
        <f t="shared" si="13"/>
        <v>-6.9444444444444397E-3</v>
      </c>
      <c r="S96" s="16"/>
      <c r="T96" s="16" t="e">
        <f>VLOOKUP(E96,'[2]21-3-2026'!E$3:T$35,16,FALSE)</f>
        <v>#N/A</v>
      </c>
      <c r="U96" s="16"/>
      <c r="V96" s="16" t="e">
        <f t="shared" si="14"/>
        <v>#N/A</v>
      </c>
      <c r="W96" s="16"/>
      <c r="X96" s="16"/>
      <c r="Y96" s="16"/>
      <c r="Z96" s="16">
        <f t="shared" si="15"/>
        <v>0</v>
      </c>
      <c r="AA96" s="16">
        <f t="shared" si="9"/>
        <v>0</v>
      </c>
      <c r="AB96" s="16"/>
      <c r="AC96" s="19"/>
      <c r="AD96" s="54"/>
    </row>
    <row r="97" spans="1:29" ht="19.5" thickBot="1" x14ac:dyDescent="0.3">
      <c r="A97" s="14">
        <v>30</v>
      </c>
      <c r="B97" s="15"/>
      <c r="C97" s="15" t="e">
        <f>VLOOKUP(B97,داتا!$B$3:$D$107,2,FALSE)</f>
        <v>#N/A</v>
      </c>
      <c r="D97" s="34" t="e">
        <f>VLOOKUP(B97,داتا!$B$3:$D$107,3,FALSE)</f>
        <v>#N/A</v>
      </c>
      <c r="E97" s="15"/>
      <c r="F97" s="16"/>
      <c r="G97" s="16">
        <v>8.3333333333333329E-2</v>
      </c>
      <c r="H97" s="16" t="e">
        <f t="shared" si="17"/>
        <v>#N/A</v>
      </c>
      <c r="I97" s="16" t="e">
        <f t="shared" si="10"/>
        <v>#N/A</v>
      </c>
      <c r="J97" s="16"/>
      <c r="K97" s="16"/>
      <c r="L97" s="16"/>
      <c r="M97" s="16"/>
      <c r="N97" s="16">
        <f t="shared" si="11"/>
        <v>0</v>
      </c>
      <c r="O97" s="16" t="e">
        <f t="shared" si="12"/>
        <v>#N/A</v>
      </c>
      <c r="P97" s="16">
        <v>6.9444444444444397E-3</v>
      </c>
      <c r="Q97" s="16"/>
      <c r="R97" s="16">
        <f t="shared" si="13"/>
        <v>-6.9444444444444397E-3</v>
      </c>
      <c r="S97" s="16"/>
      <c r="T97" s="16" t="e">
        <f>VLOOKUP(E97,'[2]21-3-2026'!E$3:T$35,16,FALSE)</f>
        <v>#N/A</v>
      </c>
      <c r="U97" s="16"/>
      <c r="V97" s="16" t="e">
        <f t="shared" si="14"/>
        <v>#N/A</v>
      </c>
      <c r="W97" s="16"/>
      <c r="X97" s="16"/>
      <c r="Y97" s="16"/>
      <c r="Z97" s="16">
        <f t="shared" si="15"/>
        <v>0</v>
      </c>
      <c r="AA97" s="16">
        <f t="shared" si="9"/>
        <v>0</v>
      </c>
      <c r="AB97" s="16"/>
      <c r="AC97" s="19"/>
    </row>
    <row r="98" spans="1:29" ht="19.5" thickBot="1" x14ac:dyDescent="0.3">
      <c r="A98" s="14">
        <v>31</v>
      </c>
      <c r="B98" s="15"/>
      <c r="C98" s="15" t="e">
        <f>VLOOKUP(B98,داتا!$B$3:$D$107,2,FALSE)</f>
        <v>#N/A</v>
      </c>
      <c r="D98" s="34" t="e">
        <f>VLOOKUP(B98,داتا!$B$3:$D$107,3,FALSE)</f>
        <v>#N/A</v>
      </c>
      <c r="E98" s="15"/>
      <c r="F98" s="16"/>
      <c r="G98" s="16">
        <v>8.3333333333333329E-2</v>
      </c>
      <c r="H98" s="16" t="e">
        <f t="shared" si="17"/>
        <v>#N/A</v>
      </c>
      <c r="I98" s="16" t="e">
        <f t="shared" si="10"/>
        <v>#N/A</v>
      </c>
      <c r="J98" s="16"/>
      <c r="K98" s="16"/>
      <c r="L98" s="16"/>
      <c r="M98" s="16"/>
      <c r="N98" s="16">
        <f t="shared" si="11"/>
        <v>0</v>
      </c>
      <c r="O98" s="16" t="e">
        <f t="shared" si="12"/>
        <v>#N/A</v>
      </c>
      <c r="P98" s="16">
        <v>6.9444444444444397E-3</v>
      </c>
      <c r="Q98" s="16"/>
      <c r="R98" s="16">
        <f t="shared" si="13"/>
        <v>-6.9444444444444397E-3</v>
      </c>
      <c r="S98" s="16"/>
      <c r="T98" s="16" t="e">
        <f>VLOOKUP(E98,'[2]21-3-2026'!E$3:T$35,16,FALSE)</f>
        <v>#N/A</v>
      </c>
      <c r="U98" s="16"/>
      <c r="V98" s="16" t="e">
        <f t="shared" si="14"/>
        <v>#N/A</v>
      </c>
      <c r="W98" s="16"/>
      <c r="X98" s="16"/>
      <c r="Y98" s="16"/>
      <c r="Z98" s="16">
        <f t="shared" si="15"/>
        <v>0</v>
      </c>
      <c r="AA98" s="16">
        <f t="shared" si="9"/>
        <v>0</v>
      </c>
      <c r="AB98" s="16"/>
      <c r="AC98" s="19"/>
    </row>
    <row r="99" spans="1:29" ht="19.5" thickBot="1" x14ac:dyDescent="0.3">
      <c r="A99" s="20">
        <v>32</v>
      </c>
      <c r="B99" s="21"/>
      <c r="C99" s="21" t="e">
        <f>VLOOKUP(B99,داتا!$B$3:$D$107,2,FALSE)</f>
        <v>#N/A</v>
      </c>
      <c r="D99" s="35" t="e">
        <f>VLOOKUP(B99,داتا!$B$3:$D$107,3,FALSE)</f>
        <v>#N/A</v>
      </c>
      <c r="E99" s="21"/>
      <c r="F99" s="22"/>
      <c r="G99" s="22">
        <v>8.3333333333333329E-2</v>
      </c>
      <c r="H99" s="22" t="e">
        <f t="shared" si="17"/>
        <v>#N/A</v>
      </c>
      <c r="I99" s="22" t="e">
        <f t="shared" si="10"/>
        <v>#N/A</v>
      </c>
      <c r="J99" s="22"/>
      <c r="K99" s="22"/>
      <c r="L99" s="22"/>
      <c r="M99" s="22"/>
      <c r="N99" s="22">
        <f t="shared" si="11"/>
        <v>0</v>
      </c>
      <c r="O99" s="22" t="e">
        <f t="shared" si="12"/>
        <v>#N/A</v>
      </c>
      <c r="P99" s="22">
        <v>6.9444444444444397E-3</v>
      </c>
      <c r="Q99" s="22"/>
      <c r="R99" s="22">
        <f t="shared" si="13"/>
        <v>-6.9444444444444397E-3</v>
      </c>
      <c r="S99" s="22"/>
      <c r="T99" s="22" t="e">
        <f>VLOOKUP(E99,'[2]21-3-2026'!E$3:T$35,16,FALSE)</f>
        <v>#N/A</v>
      </c>
      <c r="U99" s="22"/>
      <c r="V99" s="22" t="e">
        <f t="shared" si="14"/>
        <v>#N/A</v>
      </c>
      <c r="W99" s="22"/>
      <c r="X99" s="22"/>
      <c r="Y99" s="22"/>
      <c r="Z99" s="22">
        <f t="shared" si="15"/>
        <v>0</v>
      </c>
      <c r="AA99" s="22">
        <f t="shared" si="9"/>
        <v>0</v>
      </c>
      <c r="AB99" s="22"/>
      <c r="AC99" s="30"/>
    </row>
    <row r="100" spans="1:29" ht="16.5" thickTop="1" x14ac:dyDescent="0.25"/>
  </sheetData>
  <mergeCells count="4">
    <mergeCell ref="A1:AC1"/>
    <mergeCell ref="AD3:AD35"/>
    <mergeCell ref="AD36:AD67"/>
    <mergeCell ref="AD68:AD96"/>
  </mergeCells>
  <conditionalFormatting sqref="AC1:AC96 AC100:AC1048576">
    <cfRule type="containsText" dxfId="134" priority="14" operator="containsText" text="ت">
      <formula>NOT(ISERROR(SEARCH("ت",AC1)))</formula>
    </cfRule>
  </conditionalFormatting>
  <conditionalFormatting sqref="AC4:AC96">
    <cfRule type="containsText" dxfId="133" priority="13" operator="containsText" text="ت">
      <formula>NOT(ISERROR(SEARCH("ت",AC4)))</formula>
    </cfRule>
  </conditionalFormatting>
  <conditionalFormatting sqref="O1:O2 I1:I2 R1:R2 V1:V2 AA100:AA1048576 V100:V1048576 R100:R1048576 O100:O1048576 I100:I1048576 AA1:AA2">
    <cfRule type="cellIs" dxfId="132" priority="15" operator="between">
      <formula>0.00277777777777778</formula>
      <formula>1</formula>
    </cfRule>
  </conditionalFormatting>
  <conditionalFormatting sqref="AC97:AC99">
    <cfRule type="containsText" dxfId="131" priority="12" operator="containsText" text="ت">
      <formula>NOT(ISERROR(SEARCH("ت",AC97)))</formula>
    </cfRule>
  </conditionalFormatting>
  <conditionalFormatting sqref="AC97:AC99">
    <cfRule type="containsText" dxfId="130" priority="11" operator="containsText" text="ت">
      <formula>NOT(ISERROR(SEARCH("ت",AC97)))</formula>
    </cfRule>
  </conditionalFormatting>
  <conditionalFormatting sqref="I3:I99">
    <cfRule type="cellIs" dxfId="129" priority="9" operator="between">
      <formula>0.00277777777777778</formula>
      <formula>1</formula>
    </cfRule>
  </conditionalFormatting>
  <conditionalFormatting sqref="I3:I99">
    <cfRule type="cellIs" dxfId="128" priority="10" operator="between">
      <formula>0.00277777777777778</formula>
      <formula>1</formula>
    </cfRule>
  </conditionalFormatting>
  <conditionalFormatting sqref="O3:O99">
    <cfRule type="cellIs" dxfId="127" priority="7" operator="between">
      <formula>0.00277777777777778</formula>
      <formula>1</formula>
    </cfRule>
  </conditionalFormatting>
  <conditionalFormatting sqref="O3:O99">
    <cfRule type="cellIs" dxfId="126" priority="8" operator="between">
      <formula>0.00277777777777778</formula>
      <formula>1</formula>
    </cfRule>
  </conditionalFormatting>
  <conditionalFormatting sqref="R3:R99">
    <cfRule type="cellIs" dxfId="125" priority="5" operator="between">
      <formula>0.00277777777777778</formula>
      <formula>1</formula>
    </cfRule>
  </conditionalFormatting>
  <conditionalFormatting sqref="R3:R99">
    <cfRule type="cellIs" dxfId="124" priority="6" operator="between">
      <formula>0.00277777777777778</formula>
      <formula>1</formula>
    </cfRule>
  </conditionalFormatting>
  <conditionalFormatting sqref="V3:V99">
    <cfRule type="cellIs" dxfId="123" priority="3" operator="between">
      <formula>0.00277777777777778</formula>
      <formula>1</formula>
    </cfRule>
  </conditionalFormatting>
  <conditionalFormatting sqref="V3:V99">
    <cfRule type="cellIs" dxfId="122" priority="4" operator="between">
      <formula>0.00277777777777778</formula>
      <formula>1</formula>
    </cfRule>
  </conditionalFormatting>
  <conditionalFormatting sqref="AA3:AA99">
    <cfRule type="cellIs" dxfId="121" priority="1" operator="between">
      <formula>0.00277777777777778</formula>
      <formula>1</formula>
    </cfRule>
  </conditionalFormatting>
  <conditionalFormatting sqref="AA3:AA99">
    <cfRule type="cellIs" dxfId="120" priority="2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"/>
  <sheetViews>
    <sheetView rightToLeft="1" workbookViewId="0">
      <pane xSplit="6" ySplit="2" topLeftCell="G68" activePane="bottomRight" state="frozen"/>
      <selection activeCell="A92" sqref="A92"/>
      <selection pane="topRight" activeCell="A92" sqref="A92"/>
      <selection pane="bottomLeft" activeCell="A92" sqref="A92"/>
      <selection pane="bottomRight" activeCell="A92" sqref="A92"/>
    </sheetView>
  </sheetViews>
  <sheetFormatPr defaultColWidth="9" defaultRowHeight="15.75" x14ac:dyDescent="0.25"/>
  <cols>
    <col min="1" max="1" width="5.42578125" customWidth="1"/>
    <col min="2" max="2" width="12.28515625" customWidth="1"/>
    <col min="3" max="3" width="12.5703125" customWidth="1"/>
    <col min="4" max="4" width="16.140625" style="36" customWidth="1"/>
    <col min="5" max="5" width="17.140625" customWidth="1"/>
    <col min="6" max="6" width="20.85546875" customWidth="1"/>
    <col min="7" max="7" width="12.7109375" customWidth="1"/>
    <col min="8" max="9" width="12.85546875" customWidth="1"/>
    <col min="10" max="10" width="12.5703125" customWidth="1"/>
    <col min="11" max="11" width="14.28515625" customWidth="1"/>
    <col min="12" max="12" width="22.7109375" customWidth="1"/>
    <col min="13" max="13" width="18.8554687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3.85546875" style="31" customWidth="1"/>
    <col min="30" max="30" width="11.140625" customWidth="1"/>
  </cols>
  <sheetData>
    <row r="1" spans="1:30" ht="33.75" customHeight="1" thickBot="1" x14ac:dyDescent="0.3">
      <c r="A1" s="46" t="s">
        <v>119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0" ht="49.5" customHeight="1" thickTop="1" thickBot="1" x14ac:dyDescent="0.3">
      <c r="A2" s="1" t="s">
        <v>1</v>
      </c>
      <c r="B2" s="2" t="s">
        <v>2</v>
      </c>
      <c r="C2" s="2" t="s">
        <v>3</v>
      </c>
      <c r="D2" s="3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8" t="s">
        <v>18</v>
      </c>
      <c r="S2" s="2" t="s">
        <v>19</v>
      </c>
      <c r="T2" s="8" t="s">
        <v>20</v>
      </c>
      <c r="U2" s="2" t="s">
        <v>21</v>
      </c>
      <c r="V2" s="8" t="s">
        <v>22</v>
      </c>
      <c r="W2" s="8" t="s">
        <v>23</v>
      </c>
      <c r="X2" s="2" t="s">
        <v>24</v>
      </c>
      <c r="Y2" s="2" t="s">
        <v>25</v>
      </c>
      <c r="Z2" s="2" t="s">
        <v>26</v>
      </c>
      <c r="AA2" s="8" t="s">
        <v>27</v>
      </c>
      <c r="AB2" s="2" t="s">
        <v>28</v>
      </c>
      <c r="AC2" s="9" t="s">
        <v>29</v>
      </c>
    </row>
    <row r="3" spans="1:30" ht="20.25" customHeight="1" thickTop="1" thickBot="1" x14ac:dyDescent="0.3">
      <c r="A3" s="10">
        <v>1</v>
      </c>
      <c r="B3" s="11"/>
      <c r="C3" s="11" t="e">
        <f>VLOOKUP(B3,داتا!$B$3:$D$107,2,FALSE)</f>
        <v>#N/A</v>
      </c>
      <c r="D3" s="33" t="e">
        <f>VLOOKUP(B3,داتا!$B$3:$D$107,3,FALSE)</f>
        <v>#N/A</v>
      </c>
      <c r="E3" s="11"/>
      <c r="F3" s="11"/>
      <c r="G3" s="12">
        <v>0.25</v>
      </c>
      <c r="H3" s="12"/>
      <c r="I3" s="12">
        <f>H3-G3</f>
        <v>-0.25</v>
      </c>
      <c r="J3" s="12"/>
      <c r="K3" s="12"/>
      <c r="L3" s="12"/>
      <c r="M3" s="12"/>
      <c r="N3" s="12">
        <f>K3-J3</f>
        <v>0</v>
      </c>
      <c r="O3" s="12" t="e">
        <f>N3-D3</f>
        <v>#N/A</v>
      </c>
      <c r="P3" s="12">
        <v>6.9444444444444397E-3</v>
      </c>
      <c r="Q3" s="12"/>
      <c r="R3" s="12">
        <f>Q3-P3-K3</f>
        <v>-6.9444444444444397E-3</v>
      </c>
      <c r="S3" s="12"/>
      <c r="T3" s="12" t="e">
        <f>VLOOKUP(E3,'[2]21-3-2026'!E$3:T$35,16,FALSE)</f>
        <v>#N/A</v>
      </c>
      <c r="U3" s="12"/>
      <c r="V3" s="12" t="e">
        <f>U3-T3-S3</f>
        <v>#N/A</v>
      </c>
      <c r="W3" s="12"/>
      <c r="X3" s="12"/>
      <c r="Y3" s="12"/>
      <c r="Z3" s="12">
        <f>Y3-X3</f>
        <v>0</v>
      </c>
      <c r="AA3" s="12">
        <f t="shared" ref="AA3:AA66" si="0">Z3-W3</f>
        <v>0</v>
      </c>
      <c r="AB3" s="12"/>
      <c r="AC3" s="13"/>
      <c r="AD3" s="47" t="s">
        <v>33</v>
      </c>
    </row>
    <row r="4" spans="1:30" ht="19.5" thickBot="1" x14ac:dyDescent="0.3">
      <c r="A4" s="14">
        <v>2</v>
      </c>
      <c r="B4" s="15"/>
      <c r="C4" s="15" t="e">
        <f>VLOOKUP(B4,داتا!$B$3:$D$107,2,FALSE)</f>
        <v>#N/A</v>
      </c>
      <c r="D4" s="34" t="e">
        <f>VLOOKUP(B4,داتا!$B$3:$D$107,3,FALSE)</f>
        <v>#N/A</v>
      </c>
      <c r="E4" s="15"/>
      <c r="F4" s="15"/>
      <c r="G4" s="16">
        <v>0.25</v>
      </c>
      <c r="H4" s="16"/>
      <c r="I4" s="16">
        <f t="shared" ref="I4:I67" si="1">H4-G4</f>
        <v>-0.25</v>
      </c>
      <c r="J4" s="16"/>
      <c r="K4" s="16"/>
      <c r="L4" s="16"/>
      <c r="M4" s="16"/>
      <c r="N4" s="16">
        <f t="shared" ref="N4:N67" si="2">K4-J4</f>
        <v>0</v>
      </c>
      <c r="O4" s="16" t="e">
        <f t="shared" ref="O4:O67" si="3">N4-D4</f>
        <v>#N/A</v>
      </c>
      <c r="P4" s="16">
        <v>6.9444444444444397E-3</v>
      </c>
      <c r="Q4" s="16"/>
      <c r="R4" s="16">
        <f t="shared" ref="R4:R67" si="4">Q4-P4-K4</f>
        <v>-6.9444444444444397E-3</v>
      </c>
      <c r="S4" s="16"/>
      <c r="T4" s="16" t="e">
        <f>VLOOKUP(E4,'[2]21-3-2026'!E$3:T$35,16,FALSE)</f>
        <v>#N/A</v>
      </c>
      <c r="U4" s="16"/>
      <c r="V4" s="16" t="e">
        <f t="shared" ref="V4:V67" si="5">U4-T4-S4</f>
        <v>#N/A</v>
      </c>
      <c r="W4" s="16"/>
      <c r="X4" s="16"/>
      <c r="Y4" s="16"/>
      <c r="Z4" s="16">
        <f t="shared" ref="Z4:Z67" si="6">Y4-X4</f>
        <v>0</v>
      </c>
      <c r="AA4" s="16">
        <f t="shared" si="0"/>
        <v>0</v>
      </c>
      <c r="AB4" s="16"/>
      <c r="AC4" s="17"/>
      <c r="AD4" s="48"/>
    </row>
    <row r="5" spans="1:30" ht="19.5" thickBot="1" x14ac:dyDescent="0.3">
      <c r="A5" s="14">
        <v>3</v>
      </c>
      <c r="B5" s="15"/>
      <c r="C5" s="15" t="e">
        <f>VLOOKUP(B5,داتا!$B$3:$D$107,2,FALSE)</f>
        <v>#N/A</v>
      </c>
      <c r="D5" s="34" t="e">
        <f>VLOOKUP(B5,داتا!$B$3:$D$107,3,FALSE)</f>
        <v>#N/A</v>
      </c>
      <c r="E5" s="15"/>
      <c r="F5" s="15"/>
      <c r="G5" s="16">
        <v>0.25</v>
      </c>
      <c r="H5" s="16"/>
      <c r="I5" s="16">
        <f t="shared" si="1"/>
        <v>-0.25</v>
      </c>
      <c r="J5" s="16"/>
      <c r="K5" s="16"/>
      <c r="L5" s="16"/>
      <c r="M5" s="16"/>
      <c r="N5" s="16">
        <f t="shared" si="2"/>
        <v>0</v>
      </c>
      <c r="O5" s="16" t="e">
        <f t="shared" si="3"/>
        <v>#N/A</v>
      </c>
      <c r="P5" s="16">
        <v>6.9444444444444397E-3</v>
      </c>
      <c r="Q5" s="16"/>
      <c r="R5" s="16">
        <f t="shared" si="4"/>
        <v>-6.9444444444444397E-3</v>
      </c>
      <c r="S5" s="16"/>
      <c r="T5" s="16" t="e">
        <f>VLOOKUP(E5,'[2]21-3-2026'!E$3:T$35,16,FALSE)</f>
        <v>#N/A</v>
      </c>
      <c r="U5" s="16"/>
      <c r="V5" s="16" t="e">
        <f t="shared" si="5"/>
        <v>#N/A</v>
      </c>
      <c r="W5" s="16"/>
      <c r="X5" s="16"/>
      <c r="Y5" s="16"/>
      <c r="Z5" s="16">
        <f t="shared" si="6"/>
        <v>0</v>
      </c>
      <c r="AA5" s="16">
        <f t="shared" si="0"/>
        <v>0</v>
      </c>
      <c r="AB5" s="16"/>
      <c r="AC5" s="17"/>
      <c r="AD5" s="48"/>
    </row>
    <row r="6" spans="1:30" ht="19.5" thickBot="1" x14ac:dyDescent="0.3">
      <c r="A6" s="14">
        <v>4</v>
      </c>
      <c r="B6" s="15"/>
      <c r="C6" s="15" t="e">
        <f>VLOOKUP(B6,داتا!$B$3:$D$107,2,FALSE)</f>
        <v>#N/A</v>
      </c>
      <c r="D6" s="34" t="e">
        <f>VLOOKUP(B6,داتا!$B$3:$D$107,3,FALSE)</f>
        <v>#N/A</v>
      </c>
      <c r="E6" s="15"/>
      <c r="F6" s="15"/>
      <c r="G6" s="16">
        <v>0.25</v>
      </c>
      <c r="H6" s="16"/>
      <c r="I6" s="16">
        <f t="shared" si="1"/>
        <v>-0.25</v>
      </c>
      <c r="J6" s="16"/>
      <c r="K6" s="16"/>
      <c r="L6" s="16"/>
      <c r="M6" s="16"/>
      <c r="N6" s="16">
        <f t="shared" si="2"/>
        <v>0</v>
      </c>
      <c r="O6" s="16" t="e">
        <f t="shared" si="3"/>
        <v>#N/A</v>
      </c>
      <c r="P6" s="16">
        <v>6.9444444444444397E-3</v>
      </c>
      <c r="Q6" s="16"/>
      <c r="R6" s="16">
        <f t="shared" si="4"/>
        <v>-6.9444444444444397E-3</v>
      </c>
      <c r="S6" s="16"/>
      <c r="T6" s="16" t="e">
        <f>VLOOKUP(E6,'[2]21-3-2026'!E$3:T$35,16,FALSE)</f>
        <v>#N/A</v>
      </c>
      <c r="U6" s="16"/>
      <c r="V6" s="16" t="e">
        <f t="shared" si="5"/>
        <v>#N/A</v>
      </c>
      <c r="W6" s="16"/>
      <c r="X6" s="16"/>
      <c r="Y6" s="16"/>
      <c r="Z6" s="16">
        <f t="shared" si="6"/>
        <v>0</v>
      </c>
      <c r="AA6" s="16">
        <f t="shared" si="0"/>
        <v>0</v>
      </c>
      <c r="AB6" s="16"/>
      <c r="AC6" s="17"/>
      <c r="AD6" s="48"/>
    </row>
    <row r="7" spans="1:30" ht="19.5" thickBot="1" x14ac:dyDescent="0.3">
      <c r="A7" s="14">
        <v>5</v>
      </c>
      <c r="B7" s="15"/>
      <c r="C7" s="15" t="e">
        <f>VLOOKUP(B7,داتا!$B$3:$D$107,2,FALSE)</f>
        <v>#N/A</v>
      </c>
      <c r="D7" s="34" t="e">
        <f>VLOOKUP(B7,داتا!$B$3:$D$107,3,FALSE)</f>
        <v>#N/A</v>
      </c>
      <c r="E7" s="15"/>
      <c r="F7" s="15"/>
      <c r="G7" s="16">
        <v>0.25</v>
      </c>
      <c r="H7" s="16"/>
      <c r="I7" s="16">
        <f t="shared" si="1"/>
        <v>-0.25</v>
      </c>
      <c r="J7" s="16"/>
      <c r="K7" s="16"/>
      <c r="L7" s="16"/>
      <c r="M7" s="16"/>
      <c r="N7" s="16">
        <f t="shared" si="2"/>
        <v>0</v>
      </c>
      <c r="O7" s="16" t="e">
        <f t="shared" si="3"/>
        <v>#N/A</v>
      </c>
      <c r="P7" s="16">
        <v>6.9444444444444397E-3</v>
      </c>
      <c r="Q7" s="16"/>
      <c r="R7" s="16">
        <f t="shared" si="4"/>
        <v>-6.9444444444444397E-3</v>
      </c>
      <c r="S7" s="16"/>
      <c r="T7" s="16" t="e">
        <f>VLOOKUP(E7,'[2]21-3-2026'!E$3:T$35,16,FALSE)</f>
        <v>#N/A</v>
      </c>
      <c r="U7" s="16"/>
      <c r="V7" s="16" t="e">
        <f t="shared" si="5"/>
        <v>#N/A</v>
      </c>
      <c r="W7" s="16"/>
      <c r="X7" s="16"/>
      <c r="Y7" s="16"/>
      <c r="Z7" s="16">
        <f t="shared" si="6"/>
        <v>0</v>
      </c>
      <c r="AA7" s="16">
        <f t="shared" si="0"/>
        <v>0</v>
      </c>
      <c r="AB7" s="16"/>
      <c r="AC7" s="17"/>
      <c r="AD7" s="48"/>
    </row>
    <row r="8" spans="1:30" ht="19.5" thickBot="1" x14ac:dyDescent="0.3">
      <c r="A8" s="14">
        <v>6</v>
      </c>
      <c r="B8" s="15"/>
      <c r="C8" s="15" t="e">
        <f>VLOOKUP(B8,داتا!$B$3:$D$107,2,FALSE)</f>
        <v>#N/A</v>
      </c>
      <c r="D8" s="34" t="e">
        <f>VLOOKUP(B8,داتا!$B$3:$D$107,3,FALSE)</f>
        <v>#N/A</v>
      </c>
      <c r="E8" s="15"/>
      <c r="F8" s="15"/>
      <c r="G8" s="16">
        <v>0.25</v>
      </c>
      <c r="H8" s="16"/>
      <c r="I8" s="16">
        <f t="shared" si="1"/>
        <v>-0.25</v>
      </c>
      <c r="J8" s="16"/>
      <c r="K8" s="16"/>
      <c r="L8" s="16"/>
      <c r="M8" s="16"/>
      <c r="N8" s="16">
        <f t="shared" si="2"/>
        <v>0</v>
      </c>
      <c r="O8" s="16" t="e">
        <f t="shared" si="3"/>
        <v>#N/A</v>
      </c>
      <c r="P8" s="16">
        <v>6.9444444444444397E-3</v>
      </c>
      <c r="Q8" s="16"/>
      <c r="R8" s="16">
        <f t="shared" si="4"/>
        <v>-6.9444444444444397E-3</v>
      </c>
      <c r="S8" s="16"/>
      <c r="T8" s="16" t="e">
        <f>VLOOKUP(E8,'[2]21-3-2026'!E$3:T$35,16,FALSE)</f>
        <v>#N/A</v>
      </c>
      <c r="U8" s="16"/>
      <c r="V8" s="16" t="e">
        <f t="shared" si="5"/>
        <v>#N/A</v>
      </c>
      <c r="W8" s="16"/>
      <c r="X8" s="16"/>
      <c r="Y8" s="16"/>
      <c r="Z8" s="16">
        <f t="shared" si="6"/>
        <v>0</v>
      </c>
      <c r="AA8" s="16">
        <f t="shared" si="0"/>
        <v>0</v>
      </c>
      <c r="AB8" s="16"/>
      <c r="AC8" s="18"/>
      <c r="AD8" s="48"/>
    </row>
    <row r="9" spans="1:30" ht="19.5" thickBot="1" x14ac:dyDescent="0.3">
      <c r="A9" s="14">
        <v>7</v>
      </c>
      <c r="B9" s="15"/>
      <c r="C9" s="15" t="e">
        <f>VLOOKUP(B9,داتا!$B$3:$D$107,2,FALSE)</f>
        <v>#N/A</v>
      </c>
      <c r="D9" s="34" t="e">
        <f>VLOOKUP(B9,داتا!$B$3:$D$107,3,FALSE)</f>
        <v>#N/A</v>
      </c>
      <c r="E9" s="15"/>
      <c r="F9" s="15"/>
      <c r="G9" s="16">
        <v>0.25</v>
      </c>
      <c r="H9" s="16"/>
      <c r="I9" s="16">
        <f t="shared" si="1"/>
        <v>-0.25</v>
      </c>
      <c r="J9" s="16"/>
      <c r="K9" s="16"/>
      <c r="L9" s="16"/>
      <c r="M9" s="16"/>
      <c r="N9" s="16">
        <f t="shared" si="2"/>
        <v>0</v>
      </c>
      <c r="O9" s="16" t="e">
        <f t="shared" si="3"/>
        <v>#N/A</v>
      </c>
      <c r="P9" s="16">
        <v>6.9444444444444397E-3</v>
      </c>
      <c r="Q9" s="16"/>
      <c r="R9" s="16">
        <f t="shared" si="4"/>
        <v>-6.9444444444444397E-3</v>
      </c>
      <c r="S9" s="16"/>
      <c r="T9" s="16" t="e">
        <f>VLOOKUP(E9,'[2]21-3-2026'!E$3:T$35,16,FALSE)</f>
        <v>#N/A</v>
      </c>
      <c r="U9" s="16"/>
      <c r="V9" s="16" t="e">
        <f t="shared" si="5"/>
        <v>#N/A</v>
      </c>
      <c r="W9" s="16"/>
      <c r="X9" s="16"/>
      <c r="Y9" s="16"/>
      <c r="Z9" s="16">
        <f t="shared" si="6"/>
        <v>0</v>
      </c>
      <c r="AA9" s="16">
        <f t="shared" si="0"/>
        <v>0</v>
      </c>
      <c r="AB9" s="16"/>
      <c r="AC9" s="17"/>
      <c r="AD9" s="48"/>
    </row>
    <row r="10" spans="1:30" ht="19.5" thickBot="1" x14ac:dyDescent="0.3">
      <c r="A10" s="14">
        <v>8</v>
      </c>
      <c r="B10" s="15"/>
      <c r="C10" s="15" t="e">
        <f>VLOOKUP(B10,داتا!$B$3:$D$107,2,FALSE)</f>
        <v>#N/A</v>
      </c>
      <c r="D10" s="34" t="e">
        <f>VLOOKUP(B10,داتا!$B$3:$D$107,3,FALSE)</f>
        <v>#N/A</v>
      </c>
      <c r="E10" s="15"/>
      <c r="F10" s="15"/>
      <c r="G10" s="16">
        <v>0.25</v>
      </c>
      <c r="H10" s="16"/>
      <c r="I10" s="16">
        <f t="shared" si="1"/>
        <v>-0.25</v>
      </c>
      <c r="J10" s="16"/>
      <c r="K10" s="16"/>
      <c r="L10" s="16"/>
      <c r="M10" s="16"/>
      <c r="N10" s="16">
        <f t="shared" si="2"/>
        <v>0</v>
      </c>
      <c r="O10" s="16" t="e">
        <f t="shared" si="3"/>
        <v>#N/A</v>
      </c>
      <c r="P10" s="16">
        <v>6.9444444444444397E-3</v>
      </c>
      <c r="Q10" s="16"/>
      <c r="R10" s="16">
        <f t="shared" si="4"/>
        <v>-6.9444444444444397E-3</v>
      </c>
      <c r="S10" s="16"/>
      <c r="T10" s="16" t="e">
        <f>VLOOKUP(E10,'[2]21-3-2026'!E$3:T$35,16,FALSE)</f>
        <v>#N/A</v>
      </c>
      <c r="U10" s="16"/>
      <c r="V10" s="16" t="e">
        <f t="shared" si="5"/>
        <v>#N/A</v>
      </c>
      <c r="W10" s="16"/>
      <c r="X10" s="16"/>
      <c r="Y10" s="16"/>
      <c r="Z10" s="16">
        <f t="shared" si="6"/>
        <v>0</v>
      </c>
      <c r="AA10" s="16">
        <f t="shared" si="0"/>
        <v>0</v>
      </c>
      <c r="AB10" s="16"/>
      <c r="AC10" s="17"/>
      <c r="AD10" s="48"/>
    </row>
    <row r="11" spans="1:30" ht="19.5" thickBot="1" x14ac:dyDescent="0.3">
      <c r="A11" s="14">
        <v>9</v>
      </c>
      <c r="B11" s="15"/>
      <c r="C11" s="15" t="e">
        <f>VLOOKUP(B11,داتا!$B$3:$D$107,2,FALSE)</f>
        <v>#N/A</v>
      </c>
      <c r="D11" s="34" t="e">
        <f>VLOOKUP(B11,داتا!$B$3:$D$107,3,FALSE)</f>
        <v>#N/A</v>
      </c>
      <c r="E11" s="15"/>
      <c r="F11" s="15"/>
      <c r="G11" s="16">
        <v>0.25</v>
      </c>
      <c r="H11" s="16"/>
      <c r="I11" s="16">
        <f t="shared" si="1"/>
        <v>-0.25</v>
      </c>
      <c r="J11" s="16"/>
      <c r="K11" s="16"/>
      <c r="L11" s="16"/>
      <c r="M11" s="16"/>
      <c r="N11" s="16">
        <f t="shared" si="2"/>
        <v>0</v>
      </c>
      <c r="O11" s="16" t="e">
        <f t="shared" si="3"/>
        <v>#N/A</v>
      </c>
      <c r="P11" s="16">
        <v>6.9444444444444397E-3</v>
      </c>
      <c r="Q11" s="16"/>
      <c r="R11" s="16">
        <f t="shared" si="4"/>
        <v>-6.9444444444444397E-3</v>
      </c>
      <c r="S11" s="16"/>
      <c r="T11" s="16" t="e">
        <f>VLOOKUP(E11,'[2]21-3-2026'!E$3:T$35,16,FALSE)</f>
        <v>#N/A</v>
      </c>
      <c r="U11" s="16"/>
      <c r="V11" s="16" t="e">
        <f t="shared" si="5"/>
        <v>#N/A</v>
      </c>
      <c r="W11" s="16"/>
      <c r="X11" s="16"/>
      <c r="Y11" s="16"/>
      <c r="Z11" s="16">
        <f t="shared" si="6"/>
        <v>0</v>
      </c>
      <c r="AA11" s="16">
        <f t="shared" si="0"/>
        <v>0</v>
      </c>
      <c r="AB11" s="16"/>
      <c r="AC11" s="17"/>
      <c r="AD11" s="48"/>
    </row>
    <row r="12" spans="1:30" ht="19.5" thickBot="1" x14ac:dyDescent="0.3">
      <c r="A12" s="14">
        <v>10</v>
      </c>
      <c r="B12" s="15"/>
      <c r="C12" s="15" t="e">
        <f>VLOOKUP(B12,داتا!$B$3:$D$107,2,FALSE)</f>
        <v>#N/A</v>
      </c>
      <c r="D12" s="34" t="e">
        <f>VLOOKUP(B12,داتا!$B$3:$D$107,3,FALSE)</f>
        <v>#N/A</v>
      </c>
      <c r="E12" s="15"/>
      <c r="F12" s="15"/>
      <c r="G12" s="16">
        <v>0.25</v>
      </c>
      <c r="H12" s="16"/>
      <c r="I12" s="16">
        <f t="shared" si="1"/>
        <v>-0.25</v>
      </c>
      <c r="J12" s="16"/>
      <c r="K12" s="16"/>
      <c r="L12" s="16"/>
      <c r="M12" s="16"/>
      <c r="N12" s="16">
        <f t="shared" si="2"/>
        <v>0</v>
      </c>
      <c r="O12" s="16" t="e">
        <f t="shared" si="3"/>
        <v>#N/A</v>
      </c>
      <c r="P12" s="16">
        <v>6.9444444444444397E-3</v>
      </c>
      <c r="Q12" s="16"/>
      <c r="R12" s="16">
        <f t="shared" si="4"/>
        <v>-6.9444444444444397E-3</v>
      </c>
      <c r="S12" s="16"/>
      <c r="T12" s="16" t="e">
        <f>VLOOKUP(E12,'[2]21-3-2026'!E$3:T$35,16,FALSE)</f>
        <v>#N/A</v>
      </c>
      <c r="U12" s="16"/>
      <c r="V12" s="16" t="e">
        <f t="shared" si="5"/>
        <v>#N/A</v>
      </c>
      <c r="W12" s="16"/>
      <c r="X12" s="16"/>
      <c r="Y12" s="16"/>
      <c r="Z12" s="16">
        <f t="shared" si="6"/>
        <v>0</v>
      </c>
      <c r="AA12" s="16">
        <f t="shared" si="0"/>
        <v>0</v>
      </c>
      <c r="AB12" s="16"/>
      <c r="AC12" s="17"/>
      <c r="AD12" s="48"/>
    </row>
    <row r="13" spans="1:30" ht="19.5" thickBot="1" x14ac:dyDescent="0.3">
      <c r="A13" s="14">
        <v>11</v>
      </c>
      <c r="B13" s="15"/>
      <c r="C13" s="15" t="e">
        <f>VLOOKUP(B13,داتا!$B$3:$D$107,2,FALSE)</f>
        <v>#N/A</v>
      </c>
      <c r="D13" s="34" t="e">
        <f>VLOOKUP(B13,داتا!$B$3:$D$107,3,FALSE)</f>
        <v>#N/A</v>
      </c>
      <c r="E13" s="15"/>
      <c r="F13" s="15"/>
      <c r="G13" s="16">
        <v>0.25</v>
      </c>
      <c r="H13" s="16"/>
      <c r="I13" s="16">
        <f t="shared" si="1"/>
        <v>-0.25</v>
      </c>
      <c r="J13" s="16"/>
      <c r="K13" s="16"/>
      <c r="L13" s="16"/>
      <c r="M13" s="16"/>
      <c r="N13" s="16">
        <f t="shared" si="2"/>
        <v>0</v>
      </c>
      <c r="O13" s="16" t="e">
        <f t="shared" si="3"/>
        <v>#N/A</v>
      </c>
      <c r="P13" s="16">
        <v>6.9444444444444397E-3</v>
      </c>
      <c r="Q13" s="16"/>
      <c r="R13" s="16">
        <f t="shared" si="4"/>
        <v>-6.9444444444444397E-3</v>
      </c>
      <c r="S13" s="16"/>
      <c r="T13" s="16" t="e">
        <f>VLOOKUP(E13,'[2]21-3-2026'!E$3:T$35,16,FALSE)</f>
        <v>#N/A</v>
      </c>
      <c r="U13" s="16"/>
      <c r="V13" s="16" t="e">
        <f t="shared" si="5"/>
        <v>#N/A</v>
      </c>
      <c r="W13" s="16"/>
      <c r="X13" s="16"/>
      <c r="Y13" s="16"/>
      <c r="Z13" s="16">
        <f t="shared" si="6"/>
        <v>0</v>
      </c>
      <c r="AA13" s="16">
        <f t="shared" si="0"/>
        <v>0</v>
      </c>
      <c r="AB13" s="16"/>
      <c r="AC13" s="18"/>
      <c r="AD13" s="48"/>
    </row>
    <row r="14" spans="1:30" ht="19.5" thickBot="1" x14ac:dyDescent="0.3">
      <c r="A14" s="14">
        <v>12</v>
      </c>
      <c r="B14" s="15"/>
      <c r="C14" s="15" t="e">
        <f>VLOOKUP(B14,داتا!$B$3:$D$107,2,FALSE)</f>
        <v>#N/A</v>
      </c>
      <c r="D14" s="34" t="e">
        <f>VLOOKUP(B14,داتا!$B$3:$D$107,3,FALSE)</f>
        <v>#N/A</v>
      </c>
      <c r="E14" s="15"/>
      <c r="F14" s="15"/>
      <c r="G14" s="16">
        <v>0.25</v>
      </c>
      <c r="H14" s="16"/>
      <c r="I14" s="16">
        <f t="shared" si="1"/>
        <v>-0.25</v>
      </c>
      <c r="J14" s="16"/>
      <c r="K14" s="16"/>
      <c r="L14" s="16"/>
      <c r="M14" s="16"/>
      <c r="N14" s="16">
        <f t="shared" si="2"/>
        <v>0</v>
      </c>
      <c r="O14" s="16" t="e">
        <f t="shared" si="3"/>
        <v>#N/A</v>
      </c>
      <c r="P14" s="16">
        <v>6.9444444444444397E-3</v>
      </c>
      <c r="Q14" s="16"/>
      <c r="R14" s="16">
        <f t="shared" si="4"/>
        <v>-6.9444444444444397E-3</v>
      </c>
      <c r="S14" s="16"/>
      <c r="T14" s="16" t="e">
        <f>VLOOKUP(E14,'[2]21-3-2026'!E$3:T$35,16,FALSE)</f>
        <v>#N/A</v>
      </c>
      <c r="U14" s="16"/>
      <c r="V14" s="16" t="e">
        <f t="shared" si="5"/>
        <v>#N/A</v>
      </c>
      <c r="W14" s="16"/>
      <c r="X14" s="16"/>
      <c r="Y14" s="16"/>
      <c r="Z14" s="16">
        <f t="shared" si="6"/>
        <v>0</v>
      </c>
      <c r="AA14" s="16">
        <f t="shared" si="0"/>
        <v>0</v>
      </c>
      <c r="AB14" s="16"/>
      <c r="AC14" s="17"/>
      <c r="AD14" s="48"/>
    </row>
    <row r="15" spans="1:30" ht="19.5" thickBot="1" x14ac:dyDescent="0.3">
      <c r="A15" s="14">
        <v>13</v>
      </c>
      <c r="B15" s="15"/>
      <c r="C15" s="15" t="e">
        <f>VLOOKUP(B15,داتا!$B$3:$D$107,2,FALSE)</f>
        <v>#N/A</v>
      </c>
      <c r="D15" s="34" t="e">
        <f>VLOOKUP(B15,داتا!$B$3:$D$107,3,FALSE)</f>
        <v>#N/A</v>
      </c>
      <c r="E15" s="15"/>
      <c r="F15" s="15"/>
      <c r="G15" s="16">
        <v>0.25</v>
      </c>
      <c r="H15" s="16"/>
      <c r="I15" s="16">
        <f t="shared" si="1"/>
        <v>-0.25</v>
      </c>
      <c r="J15" s="16"/>
      <c r="K15" s="16"/>
      <c r="L15" s="16"/>
      <c r="M15" s="16"/>
      <c r="N15" s="16">
        <f t="shared" si="2"/>
        <v>0</v>
      </c>
      <c r="O15" s="16" t="e">
        <f t="shared" si="3"/>
        <v>#N/A</v>
      </c>
      <c r="P15" s="16">
        <v>6.9444444444444397E-3</v>
      </c>
      <c r="Q15" s="16"/>
      <c r="R15" s="16">
        <f t="shared" si="4"/>
        <v>-6.9444444444444397E-3</v>
      </c>
      <c r="S15" s="16"/>
      <c r="T15" s="16" t="e">
        <f>VLOOKUP(E15,'[2]21-3-2026'!E$3:T$35,16,FALSE)</f>
        <v>#N/A</v>
      </c>
      <c r="U15" s="16"/>
      <c r="V15" s="16" t="e">
        <f t="shared" si="5"/>
        <v>#N/A</v>
      </c>
      <c r="W15" s="16"/>
      <c r="X15" s="16"/>
      <c r="Y15" s="16"/>
      <c r="Z15" s="16">
        <f t="shared" si="6"/>
        <v>0</v>
      </c>
      <c r="AA15" s="16">
        <f t="shared" si="0"/>
        <v>0</v>
      </c>
      <c r="AB15" s="16"/>
      <c r="AC15" s="17"/>
      <c r="AD15" s="48"/>
    </row>
    <row r="16" spans="1:30" ht="19.5" thickBot="1" x14ac:dyDescent="0.3">
      <c r="A16" s="14">
        <v>14</v>
      </c>
      <c r="B16" s="15"/>
      <c r="C16" s="15" t="e">
        <f>VLOOKUP(B16,داتا!$B$3:$D$107,2,FALSE)</f>
        <v>#N/A</v>
      </c>
      <c r="D16" s="34" t="e">
        <f>VLOOKUP(B16,داتا!$B$3:$D$107,3,FALSE)</f>
        <v>#N/A</v>
      </c>
      <c r="E16" s="15"/>
      <c r="F16" s="15"/>
      <c r="G16" s="16">
        <v>0.25</v>
      </c>
      <c r="H16" s="16"/>
      <c r="I16" s="16">
        <f t="shared" si="1"/>
        <v>-0.25</v>
      </c>
      <c r="J16" s="16"/>
      <c r="K16" s="16"/>
      <c r="L16" s="16"/>
      <c r="M16" s="16"/>
      <c r="N16" s="16">
        <f t="shared" si="2"/>
        <v>0</v>
      </c>
      <c r="O16" s="16" t="e">
        <f t="shared" si="3"/>
        <v>#N/A</v>
      </c>
      <c r="P16" s="16">
        <v>6.9444444444444397E-3</v>
      </c>
      <c r="Q16" s="16"/>
      <c r="R16" s="16">
        <f t="shared" si="4"/>
        <v>-6.9444444444444397E-3</v>
      </c>
      <c r="S16" s="16"/>
      <c r="T16" s="16" t="e">
        <f>VLOOKUP(E16,'[2]21-3-2026'!E$3:T$35,16,FALSE)</f>
        <v>#N/A</v>
      </c>
      <c r="U16" s="16"/>
      <c r="V16" s="16" t="e">
        <f t="shared" si="5"/>
        <v>#N/A</v>
      </c>
      <c r="W16" s="16"/>
      <c r="X16" s="16"/>
      <c r="Y16" s="16"/>
      <c r="Z16" s="16">
        <f t="shared" si="6"/>
        <v>0</v>
      </c>
      <c r="AA16" s="16">
        <f t="shared" si="0"/>
        <v>0</v>
      </c>
      <c r="AB16" s="16"/>
      <c r="AC16" s="17"/>
      <c r="AD16" s="48"/>
    </row>
    <row r="17" spans="1:30" ht="19.5" thickBot="1" x14ac:dyDescent="0.3">
      <c r="A17" s="14">
        <v>15</v>
      </c>
      <c r="B17" s="15"/>
      <c r="C17" s="15" t="e">
        <f>VLOOKUP(B17,داتا!$B$3:$D$107,2,FALSE)</f>
        <v>#N/A</v>
      </c>
      <c r="D17" s="34" t="e">
        <f>VLOOKUP(B17,داتا!$B$3:$D$107,3,FALSE)</f>
        <v>#N/A</v>
      </c>
      <c r="E17" s="15"/>
      <c r="F17" s="15"/>
      <c r="G17" s="16">
        <v>0.25</v>
      </c>
      <c r="H17" s="16"/>
      <c r="I17" s="16">
        <f t="shared" si="1"/>
        <v>-0.25</v>
      </c>
      <c r="J17" s="16"/>
      <c r="K17" s="16"/>
      <c r="L17" s="16"/>
      <c r="M17" s="16"/>
      <c r="N17" s="16">
        <f t="shared" si="2"/>
        <v>0</v>
      </c>
      <c r="O17" s="16" t="e">
        <f t="shared" si="3"/>
        <v>#N/A</v>
      </c>
      <c r="P17" s="16">
        <v>6.9444444444444397E-3</v>
      </c>
      <c r="Q17" s="16"/>
      <c r="R17" s="16">
        <f t="shared" si="4"/>
        <v>-6.9444444444444397E-3</v>
      </c>
      <c r="S17" s="16"/>
      <c r="T17" s="16" t="e">
        <f>VLOOKUP(E17,'[2]21-3-2026'!E$3:T$35,16,FALSE)</f>
        <v>#N/A</v>
      </c>
      <c r="U17" s="16"/>
      <c r="V17" s="16" t="e">
        <f t="shared" si="5"/>
        <v>#N/A</v>
      </c>
      <c r="W17" s="16"/>
      <c r="X17" s="16"/>
      <c r="Y17" s="16"/>
      <c r="Z17" s="16">
        <f t="shared" si="6"/>
        <v>0</v>
      </c>
      <c r="AA17" s="16">
        <f t="shared" si="0"/>
        <v>0</v>
      </c>
      <c r="AB17" s="16"/>
      <c r="AC17" s="17"/>
      <c r="AD17" s="48"/>
    </row>
    <row r="18" spans="1:30" ht="19.5" thickBot="1" x14ac:dyDescent="0.3">
      <c r="A18" s="14">
        <v>16</v>
      </c>
      <c r="B18" s="15"/>
      <c r="C18" s="15" t="e">
        <f>VLOOKUP(B18,داتا!$B$3:$D$107,2,FALSE)</f>
        <v>#N/A</v>
      </c>
      <c r="D18" s="34" t="e">
        <f>VLOOKUP(B18,داتا!$B$3:$D$107,3,FALSE)</f>
        <v>#N/A</v>
      </c>
      <c r="E18" s="16"/>
      <c r="F18" s="15"/>
      <c r="G18" s="16">
        <v>0.25</v>
      </c>
      <c r="H18" s="16"/>
      <c r="I18" s="16">
        <f t="shared" si="1"/>
        <v>-0.25</v>
      </c>
      <c r="J18" s="16"/>
      <c r="K18" s="16"/>
      <c r="L18" s="16"/>
      <c r="M18" s="16"/>
      <c r="N18" s="16">
        <f t="shared" si="2"/>
        <v>0</v>
      </c>
      <c r="O18" s="16" t="e">
        <f t="shared" si="3"/>
        <v>#N/A</v>
      </c>
      <c r="P18" s="16">
        <v>6.9444444444444397E-3</v>
      </c>
      <c r="Q18" s="16"/>
      <c r="R18" s="16">
        <f t="shared" si="4"/>
        <v>-6.9444444444444397E-3</v>
      </c>
      <c r="S18" s="16"/>
      <c r="T18" s="16" t="e">
        <f>VLOOKUP(E18,'[2]21-3-2026'!E$3:T$35,16,FALSE)</f>
        <v>#N/A</v>
      </c>
      <c r="U18" s="16"/>
      <c r="V18" s="16" t="e">
        <f t="shared" si="5"/>
        <v>#N/A</v>
      </c>
      <c r="W18" s="16"/>
      <c r="X18" s="16"/>
      <c r="Y18" s="16"/>
      <c r="Z18" s="16">
        <f t="shared" si="6"/>
        <v>0</v>
      </c>
      <c r="AA18" s="16">
        <f t="shared" si="0"/>
        <v>0</v>
      </c>
      <c r="AB18" s="16"/>
      <c r="AC18" s="17"/>
      <c r="AD18" s="48"/>
    </row>
    <row r="19" spans="1:30" ht="19.5" thickBot="1" x14ac:dyDescent="0.3">
      <c r="A19" s="14">
        <v>17</v>
      </c>
      <c r="B19" s="15"/>
      <c r="C19" s="15" t="e">
        <f>VLOOKUP(B19,داتا!$B$3:$D$107,2,FALSE)</f>
        <v>#N/A</v>
      </c>
      <c r="D19" s="34" t="e">
        <f>VLOOKUP(B19,داتا!$B$3:$D$107,3,FALSE)</f>
        <v>#N/A</v>
      </c>
      <c r="E19" s="15"/>
      <c r="F19" s="15"/>
      <c r="G19" s="16">
        <v>0.25</v>
      </c>
      <c r="H19" s="16"/>
      <c r="I19" s="16">
        <f t="shared" si="1"/>
        <v>-0.25</v>
      </c>
      <c r="J19" s="16"/>
      <c r="K19" s="16"/>
      <c r="L19" s="16"/>
      <c r="M19" s="16"/>
      <c r="N19" s="16">
        <f t="shared" si="2"/>
        <v>0</v>
      </c>
      <c r="O19" s="16" t="e">
        <f t="shared" si="3"/>
        <v>#N/A</v>
      </c>
      <c r="P19" s="16">
        <v>6.9444444444444397E-3</v>
      </c>
      <c r="Q19" s="16"/>
      <c r="R19" s="16">
        <f t="shared" si="4"/>
        <v>-6.9444444444444397E-3</v>
      </c>
      <c r="S19" s="16"/>
      <c r="T19" s="16" t="e">
        <f>VLOOKUP(E19,'[2]21-3-2026'!E$3:T$35,16,FALSE)</f>
        <v>#N/A</v>
      </c>
      <c r="U19" s="16"/>
      <c r="V19" s="16" t="e">
        <f t="shared" si="5"/>
        <v>#N/A</v>
      </c>
      <c r="W19" s="16"/>
      <c r="X19" s="16"/>
      <c r="Y19" s="16"/>
      <c r="Z19" s="16">
        <f t="shared" si="6"/>
        <v>0</v>
      </c>
      <c r="AA19" s="16">
        <f t="shared" si="0"/>
        <v>0</v>
      </c>
      <c r="AB19" s="16"/>
      <c r="AC19" s="17"/>
      <c r="AD19" s="48"/>
    </row>
    <row r="20" spans="1:30" ht="19.5" thickBot="1" x14ac:dyDescent="0.3">
      <c r="A20" s="14">
        <v>18</v>
      </c>
      <c r="B20" s="15"/>
      <c r="C20" s="15" t="e">
        <f>VLOOKUP(B20,داتا!$B$3:$D$107,2,FALSE)</f>
        <v>#N/A</v>
      </c>
      <c r="D20" s="34" t="e">
        <f>VLOOKUP(B20,داتا!$B$3:$D$107,3,FALSE)</f>
        <v>#N/A</v>
      </c>
      <c r="E20" s="15"/>
      <c r="F20" s="15"/>
      <c r="G20" s="16">
        <v>0.25</v>
      </c>
      <c r="H20" s="16"/>
      <c r="I20" s="16">
        <f t="shared" si="1"/>
        <v>-0.25</v>
      </c>
      <c r="J20" s="16"/>
      <c r="K20" s="16"/>
      <c r="L20" s="16"/>
      <c r="M20" s="16"/>
      <c r="N20" s="16">
        <f t="shared" si="2"/>
        <v>0</v>
      </c>
      <c r="O20" s="16" t="e">
        <f t="shared" si="3"/>
        <v>#N/A</v>
      </c>
      <c r="P20" s="16">
        <v>6.9444444444444397E-3</v>
      </c>
      <c r="Q20" s="16"/>
      <c r="R20" s="16">
        <f t="shared" si="4"/>
        <v>-6.9444444444444397E-3</v>
      </c>
      <c r="S20" s="16"/>
      <c r="T20" s="16" t="e">
        <f>VLOOKUP(E20,'[2]21-3-2026'!E$3:T$35,16,FALSE)</f>
        <v>#N/A</v>
      </c>
      <c r="U20" s="16"/>
      <c r="V20" s="16" t="e">
        <f t="shared" si="5"/>
        <v>#N/A</v>
      </c>
      <c r="W20" s="16"/>
      <c r="X20" s="16"/>
      <c r="Y20" s="16"/>
      <c r="Z20" s="16">
        <f t="shared" si="6"/>
        <v>0</v>
      </c>
      <c r="AA20" s="16">
        <f t="shared" si="0"/>
        <v>0</v>
      </c>
      <c r="AB20" s="16"/>
      <c r="AC20" s="17"/>
      <c r="AD20" s="48"/>
    </row>
    <row r="21" spans="1:30" ht="19.5" thickBot="1" x14ac:dyDescent="0.3">
      <c r="A21" s="14">
        <v>19</v>
      </c>
      <c r="B21" s="15"/>
      <c r="C21" s="15" t="e">
        <f>VLOOKUP(B21,داتا!$B$3:$D$107,2,FALSE)</f>
        <v>#N/A</v>
      </c>
      <c r="D21" s="34" t="e">
        <f>VLOOKUP(B21,داتا!$B$3:$D$107,3,FALSE)</f>
        <v>#N/A</v>
      </c>
      <c r="E21" s="15"/>
      <c r="F21" s="15"/>
      <c r="G21" s="16">
        <v>0.25</v>
      </c>
      <c r="H21" s="16"/>
      <c r="I21" s="16">
        <f t="shared" si="1"/>
        <v>-0.25</v>
      </c>
      <c r="J21" s="16"/>
      <c r="K21" s="16"/>
      <c r="L21" s="16"/>
      <c r="M21" s="16"/>
      <c r="N21" s="16">
        <f t="shared" si="2"/>
        <v>0</v>
      </c>
      <c r="O21" s="16" t="e">
        <f t="shared" si="3"/>
        <v>#N/A</v>
      </c>
      <c r="P21" s="16">
        <v>6.9444444444444397E-3</v>
      </c>
      <c r="Q21" s="16"/>
      <c r="R21" s="16">
        <f t="shared" si="4"/>
        <v>-6.9444444444444397E-3</v>
      </c>
      <c r="S21" s="16"/>
      <c r="T21" s="16" t="e">
        <f>VLOOKUP(E21,'[2]21-3-2026'!E$3:T$35,16,FALSE)</f>
        <v>#N/A</v>
      </c>
      <c r="U21" s="16"/>
      <c r="V21" s="16" t="e">
        <f t="shared" si="5"/>
        <v>#N/A</v>
      </c>
      <c r="W21" s="16"/>
      <c r="X21" s="16"/>
      <c r="Y21" s="16"/>
      <c r="Z21" s="16">
        <f t="shared" si="6"/>
        <v>0</v>
      </c>
      <c r="AA21" s="16">
        <f t="shared" si="0"/>
        <v>0</v>
      </c>
      <c r="AB21" s="16"/>
      <c r="AC21" s="17"/>
      <c r="AD21" s="48"/>
    </row>
    <row r="22" spans="1:30" ht="19.5" thickBot="1" x14ac:dyDescent="0.3">
      <c r="A22" s="14">
        <v>20</v>
      </c>
      <c r="B22" s="15"/>
      <c r="C22" s="15" t="e">
        <f>VLOOKUP(B22,داتا!$B$3:$D$107,2,FALSE)</f>
        <v>#N/A</v>
      </c>
      <c r="D22" s="34" t="e">
        <f>VLOOKUP(B22,داتا!$B$3:$D$107,3,FALSE)</f>
        <v>#N/A</v>
      </c>
      <c r="E22" s="15"/>
      <c r="F22" s="15"/>
      <c r="G22" s="16">
        <v>0.25</v>
      </c>
      <c r="H22" s="16"/>
      <c r="I22" s="16">
        <f t="shared" si="1"/>
        <v>-0.25</v>
      </c>
      <c r="J22" s="16"/>
      <c r="K22" s="16"/>
      <c r="L22" s="16"/>
      <c r="M22" s="16"/>
      <c r="N22" s="16">
        <f t="shared" si="2"/>
        <v>0</v>
      </c>
      <c r="O22" s="16" t="e">
        <f t="shared" si="3"/>
        <v>#N/A</v>
      </c>
      <c r="P22" s="16">
        <v>6.9444444444444397E-3</v>
      </c>
      <c r="Q22" s="16"/>
      <c r="R22" s="16">
        <f t="shared" si="4"/>
        <v>-6.9444444444444397E-3</v>
      </c>
      <c r="S22" s="16"/>
      <c r="T22" s="16" t="e">
        <f>VLOOKUP(E22,'[2]21-3-2026'!E$3:T$35,16,FALSE)</f>
        <v>#N/A</v>
      </c>
      <c r="U22" s="16"/>
      <c r="V22" s="16" t="e">
        <f t="shared" si="5"/>
        <v>#N/A</v>
      </c>
      <c r="W22" s="16"/>
      <c r="X22" s="16"/>
      <c r="Y22" s="16"/>
      <c r="Z22" s="16">
        <f t="shared" si="6"/>
        <v>0</v>
      </c>
      <c r="AA22" s="16">
        <f t="shared" si="0"/>
        <v>0</v>
      </c>
      <c r="AB22" s="16"/>
      <c r="AC22" s="17"/>
      <c r="AD22" s="48"/>
    </row>
    <row r="23" spans="1:30" ht="19.5" thickBot="1" x14ac:dyDescent="0.3">
      <c r="A23" s="14">
        <v>21</v>
      </c>
      <c r="B23" s="15"/>
      <c r="C23" s="15" t="e">
        <f>VLOOKUP(B23,داتا!$B$3:$D$107,2,FALSE)</f>
        <v>#N/A</v>
      </c>
      <c r="D23" s="34" t="e">
        <f>VLOOKUP(B23,داتا!$B$3:$D$107,3,FALSE)</f>
        <v>#N/A</v>
      </c>
      <c r="E23" s="15"/>
      <c r="F23" s="15"/>
      <c r="G23" s="16">
        <v>0.25</v>
      </c>
      <c r="H23" s="16"/>
      <c r="I23" s="16">
        <f t="shared" si="1"/>
        <v>-0.25</v>
      </c>
      <c r="J23" s="16"/>
      <c r="K23" s="16"/>
      <c r="L23" s="16"/>
      <c r="M23" s="16"/>
      <c r="N23" s="16">
        <f t="shared" si="2"/>
        <v>0</v>
      </c>
      <c r="O23" s="16" t="e">
        <f t="shared" si="3"/>
        <v>#N/A</v>
      </c>
      <c r="P23" s="16">
        <v>6.9444444444444397E-3</v>
      </c>
      <c r="Q23" s="16"/>
      <c r="R23" s="16">
        <f t="shared" si="4"/>
        <v>-6.9444444444444397E-3</v>
      </c>
      <c r="S23" s="16"/>
      <c r="T23" s="16" t="e">
        <f>VLOOKUP(E23,'[2]21-3-2026'!E$3:T$35,16,FALSE)</f>
        <v>#N/A</v>
      </c>
      <c r="U23" s="16"/>
      <c r="V23" s="16" t="e">
        <f t="shared" si="5"/>
        <v>#N/A</v>
      </c>
      <c r="W23" s="16"/>
      <c r="X23" s="16"/>
      <c r="Y23" s="16"/>
      <c r="Z23" s="16">
        <f t="shared" si="6"/>
        <v>0</v>
      </c>
      <c r="AA23" s="16">
        <f t="shared" si="0"/>
        <v>0</v>
      </c>
      <c r="AB23" s="16"/>
      <c r="AC23" s="17"/>
      <c r="AD23" s="48"/>
    </row>
    <row r="24" spans="1:30" ht="19.5" thickBot="1" x14ac:dyDescent="0.3">
      <c r="A24" s="14">
        <v>22</v>
      </c>
      <c r="B24" s="15"/>
      <c r="C24" s="15" t="e">
        <f>VLOOKUP(B24,داتا!$B$3:$D$107,2,FALSE)</f>
        <v>#N/A</v>
      </c>
      <c r="D24" s="34" t="e">
        <f>VLOOKUP(B24,داتا!$B$3:$D$107,3,FALSE)</f>
        <v>#N/A</v>
      </c>
      <c r="E24" s="15"/>
      <c r="F24" s="16"/>
      <c r="G24" s="16">
        <v>0.25</v>
      </c>
      <c r="H24" s="16"/>
      <c r="I24" s="16">
        <f t="shared" si="1"/>
        <v>-0.25</v>
      </c>
      <c r="J24" s="16"/>
      <c r="K24" s="16"/>
      <c r="L24" s="16"/>
      <c r="M24" s="16"/>
      <c r="N24" s="16">
        <f t="shared" si="2"/>
        <v>0</v>
      </c>
      <c r="O24" s="16" t="e">
        <f t="shared" si="3"/>
        <v>#N/A</v>
      </c>
      <c r="P24" s="16">
        <v>6.9444444444444397E-3</v>
      </c>
      <c r="Q24" s="16"/>
      <c r="R24" s="16">
        <f t="shared" si="4"/>
        <v>-6.9444444444444397E-3</v>
      </c>
      <c r="S24" s="16"/>
      <c r="T24" s="16" t="e">
        <f>VLOOKUP(E24,'[2]21-3-2026'!E$3:T$35,16,FALSE)</f>
        <v>#N/A</v>
      </c>
      <c r="U24" s="16"/>
      <c r="V24" s="16" t="e">
        <f t="shared" si="5"/>
        <v>#N/A</v>
      </c>
      <c r="W24" s="16"/>
      <c r="X24" s="16"/>
      <c r="Y24" s="16"/>
      <c r="Z24" s="16">
        <f t="shared" si="6"/>
        <v>0</v>
      </c>
      <c r="AA24" s="16">
        <f t="shared" si="0"/>
        <v>0</v>
      </c>
      <c r="AB24" s="16"/>
      <c r="AC24" s="17"/>
      <c r="AD24" s="48"/>
    </row>
    <row r="25" spans="1:30" ht="19.5" thickBot="1" x14ac:dyDescent="0.3">
      <c r="A25" s="14">
        <v>23</v>
      </c>
      <c r="B25" s="15"/>
      <c r="C25" s="15" t="e">
        <f>VLOOKUP(B25,داتا!$B$3:$D$107,2,FALSE)</f>
        <v>#N/A</v>
      </c>
      <c r="D25" s="34" t="e">
        <f>VLOOKUP(B25,داتا!$B$3:$D$107,3,FALSE)</f>
        <v>#N/A</v>
      </c>
      <c r="E25" s="15"/>
      <c r="F25" s="15"/>
      <c r="G25" s="16">
        <v>0.25</v>
      </c>
      <c r="H25" s="16"/>
      <c r="I25" s="16">
        <f t="shared" si="1"/>
        <v>-0.25</v>
      </c>
      <c r="J25" s="16"/>
      <c r="K25" s="16"/>
      <c r="L25" s="16"/>
      <c r="M25" s="16"/>
      <c r="N25" s="16">
        <f t="shared" si="2"/>
        <v>0</v>
      </c>
      <c r="O25" s="16" t="e">
        <f t="shared" si="3"/>
        <v>#N/A</v>
      </c>
      <c r="P25" s="16">
        <v>6.9444444444444397E-3</v>
      </c>
      <c r="Q25" s="16"/>
      <c r="R25" s="16">
        <f t="shared" si="4"/>
        <v>-6.9444444444444397E-3</v>
      </c>
      <c r="S25" s="16"/>
      <c r="T25" s="16" t="e">
        <f>VLOOKUP(E25,'[2]21-3-2026'!E$3:T$35,16,FALSE)</f>
        <v>#N/A</v>
      </c>
      <c r="U25" s="16"/>
      <c r="V25" s="16" t="e">
        <f t="shared" si="5"/>
        <v>#N/A</v>
      </c>
      <c r="W25" s="16"/>
      <c r="X25" s="16"/>
      <c r="Y25" s="16"/>
      <c r="Z25" s="16">
        <f t="shared" si="6"/>
        <v>0</v>
      </c>
      <c r="AA25" s="16">
        <f t="shared" si="0"/>
        <v>0</v>
      </c>
      <c r="AB25" s="16"/>
      <c r="AC25" s="19"/>
      <c r="AD25" s="48"/>
    </row>
    <row r="26" spans="1:30" ht="19.5" thickBot="1" x14ac:dyDescent="0.3">
      <c r="A26" s="14">
        <v>24</v>
      </c>
      <c r="B26" s="15"/>
      <c r="C26" s="15" t="e">
        <f>VLOOKUP(B26,داتا!$B$3:$D$107,2,FALSE)</f>
        <v>#N/A</v>
      </c>
      <c r="D26" s="34" t="e">
        <f>VLOOKUP(B26,داتا!$B$3:$D$107,3,FALSE)</f>
        <v>#N/A</v>
      </c>
      <c r="E26" s="15"/>
      <c r="F26" s="15"/>
      <c r="G26" s="16">
        <v>0.25</v>
      </c>
      <c r="H26" s="16"/>
      <c r="I26" s="16">
        <f t="shared" si="1"/>
        <v>-0.25</v>
      </c>
      <c r="J26" s="16"/>
      <c r="K26" s="16"/>
      <c r="L26" s="16"/>
      <c r="M26" s="16"/>
      <c r="N26" s="16">
        <f t="shared" si="2"/>
        <v>0</v>
      </c>
      <c r="O26" s="16" t="e">
        <f t="shared" si="3"/>
        <v>#N/A</v>
      </c>
      <c r="P26" s="16">
        <v>6.9444444444444397E-3</v>
      </c>
      <c r="Q26" s="16"/>
      <c r="R26" s="16">
        <f t="shared" si="4"/>
        <v>-6.9444444444444397E-3</v>
      </c>
      <c r="S26" s="16"/>
      <c r="T26" s="16" t="e">
        <f>VLOOKUP(E26,'[2]21-3-2026'!E$3:T$35,16,FALSE)</f>
        <v>#N/A</v>
      </c>
      <c r="U26" s="16"/>
      <c r="V26" s="16" t="e">
        <f t="shared" si="5"/>
        <v>#N/A</v>
      </c>
      <c r="W26" s="16"/>
      <c r="X26" s="16"/>
      <c r="Y26" s="16"/>
      <c r="Z26" s="16">
        <f t="shared" si="6"/>
        <v>0</v>
      </c>
      <c r="AA26" s="16">
        <f t="shared" si="0"/>
        <v>0</v>
      </c>
      <c r="AB26" s="16"/>
      <c r="AC26" s="19"/>
      <c r="AD26" s="48"/>
    </row>
    <row r="27" spans="1:30" ht="19.5" thickBot="1" x14ac:dyDescent="0.3">
      <c r="A27" s="14">
        <v>25</v>
      </c>
      <c r="B27" s="15"/>
      <c r="C27" s="15" t="e">
        <f>VLOOKUP(B27,داتا!$B$3:$D$107,2,FALSE)</f>
        <v>#N/A</v>
      </c>
      <c r="D27" s="34" t="e">
        <f>VLOOKUP(B27,داتا!$B$3:$D$107,3,FALSE)</f>
        <v>#N/A</v>
      </c>
      <c r="E27" s="15"/>
      <c r="F27" s="15"/>
      <c r="G27" s="16">
        <v>0.25</v>
      </c>
      <c r="H27" s="16"/>
      <c r="I27" s="16">
        <f t="shared" si="1"/>
        <v>-0.25</v>
      </c>
      <c r="J27" s="16"/>
      <c r="K27" s="16"/>
      <c r="L27" s="16"/>
      <c r="M27" s="16"/>
      <c r="N27" s="16">
        <f t="shared" si="2"/>
        <v>0</v>
      </c>
      <c r="O27" s="16" t="e">
        <f t="shared" si="3"/>
        <v>#N/A</v>
      </c>
      <c r="P27" s="16">
        <v>6.9444444444444397E-3</v>
      </c>
      <c r="Q27" s="16"/>
      <c r="R27" s="16">
        <f t="shared" si="4"/>
        <v>-6.9444444444444397E-3</v>
      </c>
      <c r="S27" s="16"/>
      <c r="T27" s="16" t="e">
        <f>VLOOKUP(E27,'[2]21-3-2026'!E$3:T$35,16,FALSE)</f>
        <v>#N/A</v>
      </c>
      <c r="U27" s="16"/>
      <c r="V27" s="16" t="e">
        <f t="shared" si="5"/>
        <v>#N/A</v>
      </c>
      <c r="W27" s="16"/>
      <c r="X27" s="16"/>
      <c r="Y27" s="16"/>
      <c r="Z27" s="16">
        <f t="shared" si="6"/>
        <v>0</v>
      </c>
      <c r="AA27" s="16">
        <f t="shared" si="0"/>
        <v>0</v>
      </c>
      <c r="AB27" s="16"/>
      <c r="AC27" s="19"/>
      <c r="AD27" s="48"/>
    </row>
    <row r="28" spans="1:30" ht="19.5" thickBot="1" x14ac:dyDescent="0.3">
      <c r="A28" s="14">
        <v>26</v>
      </c>
      <c r="B28" s="15"/>
      <c r="C28" s="15" t="e">
        <f>VLOOKUP(B28,داتا!$B$3:$D$107,2,FALSE)</f>
        <v>#N/A</v>
      </c>
      <c r="D28" s="34" t="e">
        <f>VLOOKUP(B28,داتا!$B$3:$D$107,3,FALSE)</f>
        <v>#N/A</v>
      </c>
      <c r="E28" s="15"/>
      <c r="F28" s="15"/>
      <c r="G28" s="16">
        <v>0.25</v>
      </c>
      <c r="H28" s="16"/>
      <c r="I28" s="16">
        <f t="shared" si="1"/>
        <v>-0.25</v>
      </c>
      <c r="J28" s="16"/>
      <c r="K28" s="16"/>
      <c r="L28" s="16"/>
      <c r="M28" s="16"/>
      <c r="N28" s="16">
        <f t="shared" si="2"/>
        <v>0</v>
      </c>
      <c r="O28" s="16" t="e">
        <f t="shared" si="3"/>
        <v>#N/A</v>
      </c>
      <c r="P28" s="16">
        <v>6.9444444444444397E-3</v>
      </c>
      <c r="Q28" s="16"/>
      <c r="R28" s="16">
        <f t="shared" si="4"/>
        <v>-6.9444444444444397E-3</v>
      </c>
      <c r="S28" s="16"/>
      <c r="T28" s="16" t="e">
        <f>VLOOKUP(E28,'[2]21-3-2026'!E$3:T$35,16,FALSE)</f>
        <v>#N/A</v>
      </c>
      <c r="U28" s="16"/>
      <c r="V28" s="16" t="e">
        <f t="shared" si="5"/>
        <v>#N/A</v>
      </c>
      <c r="W28" s="16"/>
      <c r="X28" s="16"/>
      <c r="Y28" s="16"/>
      <c r="Z28" s="16">
        <f t="shared" si="6"/>
        <v>0</v>
      </c>
      <c r="AA28" s="16">
        <f t="shared" si="0"/>
        <v>0</v>
      </c>
      <c r="AB28" s="16"/>
      <c r="AC28" s="17"/>
      <c r="AD28" s="48"/>
    </row>
    <row r="29" spans="1:30" ht="19.5" thickBot="1" x14ac:dyDescent="0.3">
      <c r="A29" s="14">
        <v>27</v>
      </c>
      <c r="B29" s="15"/>
      <c r="C29" s="15" t="e">
        <f>VLOOKUP(B29,داتا!$B$3:$D$107,2,FALSE)</f>
        <v>#N/A</v>
      </c>
      <c r="D29" s="34" t="e">
        <f>VLOOKUP(B29,داتا!$B$3:$D$107,3,FALSE)</f>
        <v>#N/A</v>
      </c>
      <c r="E29" s="15"/>
      <c r="F29" s="15"/>
      <c r="G29" s="16">
        <v>0.25</v>
      </c>
      <c r="H29" s="16"/>
      <c r="I29" s="16">
        <f t="shared" si="1"/>
        <v>-0.25</v>
      </c>
      <c r="J29" s="16"/>
      <c r="K29" s="16"/>
      <c r="L29" s="16"/>
      <c r="M29" s="16"/>
      <c r="N29" s="16">
        <f t="shared" si="2"/>
        <v>0</v>
      </c>
      <c r="O29" s="16" t="e">
        <f t="shared" si="3"/>
        <v>#N/A</v>
      </c>
      <c r="P29" s="16">
        <v>6.9444444444444397E-3</v>
      </c>
      <c r="Q29" s="16"/>
      <c r="R29" s="16">
        <f t="shared" si="4"/>
        <v>-6.9444444444444397E-3</v>
      </c>
      <c r="S29" s="16"/>
      <c r="T29" s="16" t="e">
        <f>VLOOKUP(E29,'[2]21-3-2026'!E$3:T$35,16,FALSE)</f>
        <v>#N/A</v>
      </c>
      <c r="U29" s="16"/>
      <c r="V29" s="16" t="e">
        <f t="shared" si="5"/>
        <v>#N/A</v>
      </c>
      <c r="W29" s="16"/>
      <c r="X29" s="16"/>
      <c r="Y29" s="16"/>
      <c r="Z29" s="16">
        <f t="shared" si="6"/>
        <v>0</v>
      </c>
      <c r="AA29" s="16">
        <f t="shared" si="0"/>
        <v>0</v>
      </c>
      <c r="AB29" s="16"/>
      <c r="AC29" s="18"/>
      <c r="AD29" s="48"/>
    </row>
    <row r="30" spans="1:30" ht="19.5" thickBot="1" x14ac:dyDescent="0.3">
      <c r="A30" s="14">
        <v>28</v>
      </c>
      <c r="B30" s="15"/>
      <c r="C30" s="15" t="e">
        <f>VLOOKUP(B30,داتا!$B$3:$D$107,2,FALSE)</f>
        <v>#N/A</v>
      </c>
      <c r="D30" s="34" t="e">
        <f>VLOOKUP(B30,داتا!$B$3:$D$107,3,FALSE)</f>
        <v>#N/A</v>
      </c>
      <c r="E30" s="15"/>
      <c r="F30" s="15"/>
      <c r="G30" s="16">
        <v>0.25</v>
      </c>
      <c r="H30" s="16"/>
      <c r="I30" s="16">
        <f t="shared" si="1"/>
        <v>-0.25</v>
      </c>
      <c r="J30" s="16"/>
      <c r="K30" s="16"/>
      <c r="L30" s="16"/>
      <c r="M30" s="16"/>
      <c r="N30" s="16">
        <f t="shared" si="2"/>
        <v>0</v>
      </c>
      <c r="O30" s="16" t="e">
        <f t="shared" si="3"/>
        <v>#N/A</v>
      </c>
      <c r="P30" s="16">
        <v>6.9444444444444397E-3</v>
      </c>
      <c r="Q30" s="16"/>
      <c r="R30" s="16">
        <f t="shared" si="4"/>
        <v>-6.9444444444444397E-3</v>
      </c>
      <c r="S30" s="16"/>
      <c r="T30" s="16" t="e">
        <f>VLOOKUP(E30,'[2]21-3-2026'!E$3:T$35,16,FALSE)</f>
        <v>#N/A</v>
      </c>
      <c r="U30" s="16"/>
      <c r="V30" s="16" t="e">
        <f t="shared" si="5"/>
        <v>#N/A</v>
      </c>
      <c r="W30" s="16"/>
      <c r="X30" s="16"/>
      <c r="Y30" s="16"/>
      <c r="Z30" s="16">
        <f t="shared" si="6"/>
        <v>0</v>
      </c>
      <c r="AA30" s="16">
        <f t="shared" si="0"/>
        <v>0</v>
      </c>
      <c r="AB30" s="16"/>
      <c r="AC30" s="17"/>
      <c r="AD30" s="48"/>
    </row>
    <row r="31" spans="1:30" ht="19.5" thickBot="1" x14ac:dyDescent="0.3">
      <c r="A31" s="14">
        <v>29</v>
      </c>
      <c r="B31" s="15"/>
      <c r="C31" s="15" t="e">
        <f>VLOOKUP(B31,داتا!$B$3:$D$107,2,FALSE)</f>
        <v>#N/A</v>
      </c>
      <c r="D31" s="34" t="e">
        <f>VLOOKUP(B31,داتا!$B$3:$D$107,3,FALSE)</f>
        <v>#N/A</v>
      </c>
      <c r="E31" s="15"/>
      <c r="F31" s="15"/>
      <c r="G31" s="16">
        <v>0.25</v>
      </c>
      <c r="H31" s="16"/>
      <c r="I31" s="16">
        <f t="shared" si="1"/>
        <v>-0.25</v>
      </c>
      <c r="J31" s="16"/>
      <c r="K31" s="16"/>
      <c r="L31" s="16"/>
      <c r="M31" s="16"/>
      <c r="N31" s="16">
        <f t="shared" si="2"/>
        <v>0</v>
      </c>
      <c r="O31" s="16" t="e">
        <f t="shared" si="3"/>
        <v>#N/A</v>
      </c>
      <c r="P31" s="16">
        <v>6.9444444444444397E-3</v>
      </c>
      <c r="Q31" s="16"/>
      <c r="R31" s="16">
        <f t="shared" si="4"/>
        <v>-6.9444444444444397E-3</v>
      </c>
      <c r="S31" s="16"/>
      <c r="T31" s="16" t="e">
        <f>VLOOKUP(E31,'[2]21-3-2026'!E$3:T$35,16,FALSE)</f>
        <v>#N/A</v>
      </c>
      <c r="U31" s="16"/>
      <c r="V31" s="16" t="e">
        <f t="shared" si="5"/>
        <v>#N/A</v>
      </c>
      <c r="W31" s="16"/>
      <c r="X31" s="16"/>
      <c r="Y31" s="16"/>
      <c r="Z31" s="16">
        <f t="shared" si="6"/>
        <v>0</v>
      </c>
      <c r="AA31" s="16">
        <f t="shared" si="0"/>
        <v>0</v>
      </c>
      <c r="AB31" s="16"/>
      <c r="AC31" s="17"/>
      <c r="AD31" s="48"/>
    </row>
    <row r="32" spans="1:30" ht="19.5" thickBot="1" x14ac:dyDescent="0.3">
      <c r="A32" s="14">
        <v>30</v>
      </c>
      <c r="B32" s="15"/>
      <c r="C32" s="15" t="e">
        <f>VLOOKUP(B32,داتا!$B$3:$D$107,2,FALSE)</f>
        <v>#N/A</v>
      </c>
      <c r="D32" s="34" t="e">
        <f>VLOOKUP(B32,داتا!$B$3:$D$107,3,FALSE)</f>
        <v>#N/A</v>
      </c>
      <c r="E32" s="15"/>
      <c r="F32" s="15"/>
      <c r="G32" s="16">
        <v>0.25</v>
      </c>
      <c r="H32" s="16"/>
      <c r="I32" s="16">
        <f t="shared" si="1"/>
        <v>-0.25</v>
      </c>
      <c r="J32" s="16"/>
      <c r="K32" s="16"/>
      <c r="L32" s="16"/>
      <c r="M32" s="16"/>
      <c r="N32" s="16">
        <f t="shared" si="2"/>
        <v>0</v>
      </c>
      <c r="O32" s="16" t="e">
        <f t="shared" si="3"/>
        <v>#N/A</v>
      </c>
      <c r="P32" s="16">
        <v>6.9444444444444397E-3</v>
      </c>
      <c r="Q32" s="16"/>
      <c r="R32" s="16">
        <f t="shared" si="4"/>
        <v>-6.9444444444444397E-3</v>
      </c>
      <c r="S32" s="16"/>
      <c r="T32" s="16" t="e">
        <f>VLOOKUP(E32,'[2]21-3-2026'!E$3:T$35,16,FALSE)</f>
        <v>#N/A</v>
      </c>
      <c r="U32" s="16"/>
      <c r="V32" s="16" t="e">
        <f t="shared" si="5"/>
        <v>#N/A</v>
      </c>
      <c r="W32" s="16"/>
      <c r="X32" s="16"/>
      <c r="Y32" s="16"/>
      <c r="Z32" s="16">
        <f t="shared" si="6"/>
        <v>0</v>
      </c>
      <c r="AA32" s="16">
        <f t="shared" si="0"/>
        <v>0</v>
      </c>
      <c r="AB32" s="16"/>
      <c r="AC32" s="17"/>
      <c r="AD32" s="48"/>
    </row>
    <row r="33" spans="1:30" ht="19.5" thickBot="1" x14ac:dyDescent="0.3">
      <c r="A33" s="14">
        <v>31</v>
      </c>
      <c r="B33" s="15"/>
      <c r="C33" s="15" t="e">
        <f>VLOOKUP(B33,داتا!$B$3:$D$107,2,FALSE)</f>
        <v>#N/A</v>
      </c>
      <c r="D33" s="34" t="e">
        <f>VLOOKUP(B33,داتا!$B$3:$D$107,3,FALSE)</f>
        <v>#N/A</v>
      </c>
      <c r="E33" s="15"/>
      <c r="F33" s="15"/>
      <c r="G33" s="16">
        <v>0.25</v>
      </c>
      <c r="H33" s="16"/>
      <c r="I33" s="16">
        <f t="shared" si="1"/>
        <v>-0.25</v>
      </c>
      <c r="J33" s="16"/>
      <c r="K33" s="16"/>
      <c r="L33" s="16"/>
      <c r="M33" s="16"/>
      <c r="N33" s="16">
        <f t="shared" si="2"/>
        <v>0</v>
      </c>
      <c r="O33" s="16" t="e">
        <f t="shared" si="3"/>
        <v>#N/A</v>
      </c>
      <c r="P33" s="16">
        <v>6.9444444444444397E-3</v>
      </c>
      <c r="Q33" s="16"/>
      <c r="R33" s="16">
        <f t="shared" si="4"/>
        <v>-6.9444444444444397E-3</v>
      </c>
      <c r="S33" s="16"/>
      <c r="T33" s="16" t="e">
        <f>VLOOKUP(E33,'[2]21-3-2026'!E$3:T$35,16,FALSE)</f>
        <v>#N/A</v>
      </c>
      <c r="U33" s="16"/>
      <c r="V33" s="16" t="e">
        <f t="shared" si="5"/>
        <v>#N/A</v>
      </c>
      <c r="W33" s="16"/>
      <c r="X33" s="16"/>
      <c r="Y33" s="16"/>
      <c r="Z33" s="16">
        <f t="shared" si="6"/>
        <v>0</v>
      </c>
      <c r="AA33" s="16">
        <f t="shared" si="0"/>
        <v>0</v>
      </c>
      <c r="AB33" s="16"/>
      <c r="AC33" s="17"/>
      <c r="AD33" s="48"/>
    </row>
    <row r="34" spans="1:30" ht="19.5" thickBot="1" x14ac:dyDescent="0.3">
      <c r="A34" s="14">
        <v>32</v>
      </c>
      <c r="B34" s="15"/>
      <c r="C34" s="15" t="e">
        <f>VLOOKUP(B34,داتا!$B$3:$D$107,2,FALSE)</f>
        <v>#N/A</v>
      </c>
      <c r="D34" s="34" t="e">
        <f>VLOOKUP(B34,داتا!$B$3:$D$107,3,FALSE)</f>
        <v>#N/A</v>
      </c>
      <c r="E34" s="15"/>
      <c r="F34" s="15"/>
      <c r="G34" s="16">
        <v>0.25</v>
      </c>
      <c r="H34" s="16"/>
      <c r="I34" s="16">
        <f t="shared" si="1"/>
        <v>-0.25</v>
      </c>
      <c r="J34" s="16"/>
      <c r="K34" s="16"/>
      <c r="L34" s="16"/>
      <c r="M34" s="16"/>
      <c r="N34" s="16">
        <f t="shared" si="2"/>
        <v>0</v>
      </c>
      <c r="O34" s="16" t="e">
        <f t="shared" si="3"/>
        <v>#N/A</v>
      </c>
      <c r="P34" s="16">
        <v>6.9444444444444397E-3</v>
      </c>
      <c r="Q34" s="16"/>
      <c r="R34" s="16">
        <f t="shared" si="4"/>
        <v>-6.9444444444444397E-3</v>
      </c>
      <c r="S34" s="16"/>
      <c r="T34" s="16" t="e">
        <f>VLOOKUP(E34,'[2]21-3-2026'!E$3:T$35,16,FALSE)</f>
        <v>#N/A</v>
      </c>
      <c r="U34" s="16"/>
      <c r="V34" s="16" t="e">
        <f t="shared" si="5"/>
        <v>#N/A</v>
      </c>
      <c r="W34" s="16"/>
      <c r="X34" s="16"/>
      <c r="Y34" s="16"/>
      <c r="Z34" s="16">
        <f t="shared" si="6"/>
        <v>0</v>
      </c>
      <c r="AA34" s="16">
        <f t="shared" si="0"/>
        <v>0</v>
      </c>
      <c r="AB34" s="16"/>
      <c r="AC34" s="17"/>
      <c r="AD34" s="48"/>
    </row>
    <row r="35" spans="1:30" ht="19.5" thickBot="1" x14ac:dyDescent="0.3">
      <c r="A35" s="20">
        <v>33</v>
      </c>
      <c r="B35" s="21"/>
      <c r="C35" s="21" t="e">
        <f>VLOOKUP(B35,داتا!$B$3:$D$107,2,FALSE)</f>
        <v>#N/A</v>
      </c>
      <c r="D35" s="35" t="e">
        <f>VLOOKUP(B35,داتا!$B$3:$D$107,3,FALSE)</f>
        <v>#N/A</v>
      </c>
      <c r="E35" s="21"/>
      <c r="F35" s="21"/>
      <c r="G35" s="22">
        <v>0.25</v>
      </c>
      <c r="H35" s="22"/>
      <c r="I35" s="22">
        <f t="shared" si="1"/>
        <v>-0.25</v>
      </c>
      <c r="J35" s="22"/>
      <c r="K35" s="22"/>
      <c r="L35" s="22"/>
      <c r="M35" s="22"/>
      <c r="N35" s="22">
        <f t="shared" si="2"/>
        <v>0</v>
      </c>
      <c r="O35" s="22" t="e">
        <f t="shared" si="3"/>
        <v>#N/A</v>
      </c>
      <c r="P35" s="22">
        <v>6.9444444444444397E-3</v>
      </c>
      <c r="Q35" s="22"/>
      <c r="R35" s="22">
        <f t="shared" si="4"/>
        <v>-6.9444444444444397E-3</v>
      </c>
      <c r="S35" s="22"/>
      <c r="T35" s="22" t="e">
        <f>VLOOKUP(E35,'[2]21-3-2026'!E$3:T$35,16,FALSE)</f>
        <v>#N/A</v>
      </c>
      <c r="U35" s="22"/>
      <c r="V35" s="22" t="e">
        <f t="shared" si="5"/>
        <v>#N/A</v>
      </c>
      <c r="W35" s="22"/>
      <c r="X35" s="22"/>
      <c r="Y35" s="22"/>
      <c r="Z35" s="22">
        <f t="shared" si="6"/>
        <v>0</v>
      </c>
      <c r="AA35" s="22">
        <f t="shared" si="0"/>
        <v>0</v>
      </c>
      <c r="AB35" s="22"/>
      <c r="AC35" s="23"/>
      <c r="AD35" s="49"/>
    </row>
    <row r="36" spans="1:30" ht="20.25" customHeight="1" thickTop="1" thickBot="1" x14ac:dyDescent="0.3">
      <c r="A36" s="10">
        <v>1</v>
      </c>
      <c r="B36" s="11"/>
      <c r="C36" s="11" t="e">
        <f>VLOOKUP(B36,داتا!$B$3:$D$107,2,FALSE)</f>
        <v>#N/A</v>
      </c>
      <c r="D36" s="33" t="e">
        <f>VLOOKUP(B36,داتا!$B$3:$D$107,3,FALSE)</f>
        <v>#N/A</v>
      </c>
      <c r="E36" s="11"/>
      <c r="F36" s="11"/>
      <c r="G36" s="12">
        <v>0.25</v>
      </c>
      <c r="H36" s="12" t="e">
        <f>VLOOKUP(G36,$F$3:$I$35,2,FALSE)</f>
        <v>#N/A</v>
      </c>
      <c r="I36" s="12" t="e">
        <f t="shared" si="1"/>
        <v>#N/A</v>
      </c>
      <c r="J36" s="12"/>
      <c r="K36" s="12"/>
      <c r="L36" s="12"/>
      <c r="M36" s="12"/>
      <c r="N36" s="12">
        <f t="shared" si="2"/>
        <v>0</v>
      </c>
      <c r="O36" s="12" t="e">
        <f t="shared" si="3"/>
        <v>#N/A</v>
      </c>
      <c r="P36" s="12">
        <v>6.9444444444444397E-3</v>
      </c>
      <c r="Q36" s="12"/>
      <c r="R36" s="12">
        <f t="shared" si="4"/>
        <v>-6.9444444444444397E-3</v>
      </c>
      <c r="S36" s="12"/>
      <c r="T36" s="12" t="e">
        <f>VLOOKUP(E36,'[2]21-3-2026'!E$3:T$35,16,FALSE)</f>
        <v>#N/A</v>
      </c>
      <c r="U36" s="12"/>
      <c r="V36" s="12" t="e">
        <f t="shared" si="5"/>
        <v>#N/A</v>
      </c>
      <c r="W36" s="12"/>
      <c r="X36" s="12"/>
      <c r="Y36" s="12"/>
      <c r="Z36" s="12">
        <f t="shared" si="6"/>
        <v>0</v>
      </c>
      <c r="AA36" s="12">
        <f t="shared" si="0"/>
        <v>0</v>
      </c>
      <c r="AB36" s="12"/>
      <c r="AC36" s="29"/>
      <c r="AD36" s="50" t="s">
        <v>104</v>
      </c>
    </row>
    <row r="37" spans="1:30" ht="19.5" thickBot="1" x14ac:dyDescent="0.3">
      <c r="A37" s="14">
        <v>2</v>
      </c>
      <c r="B37" s="15"/>
      <c r="C37" s="15" t="e">
        <f>VLOOKUP(B37,داتا!$B$3:$D$107,2,FALSE)</f>
        <v>#N/A</v>
      </c>
      <c r="D37" s="34" t="e">
        <f>VLOOKUP(B37,داتا!$B$3:$D$107,3,FALSE)</f>
        <v>#N/A</v>
      </c>
      <c r="E37" s="15"/>
      <c r="F37" s="15"/>
      <c r="G37" s="16">
        <v>0.25</v>
      </c>
      <c r="H37" s="16" t="e">
        <f t="shared" ref="H37:H52" si="7">VLOOKUP(G37,$F$3:$I$35,2,FALSE)</f>
        <v>#N/A</v>
      </c>
      <c r="I37" s="16" t="e">
        <f t="shared" si="1"/>
        <v>#N/A</v>
      </c>
      <c r="J37" s="16"/>
      <c r="K37" s="16"/>
      <c r="L37" s="16"/>
      <c r="M37" s="16"/>
      <c r="N37" s="16">
        <f t="shared" si="2"/>
        <v>0</v>
      </c>
      <c r="O37" s="16" t="e">
        <f t="shared" si="3"/>
        <v>#N/A</v>
      </c>
      <c r="P37" s="16">
        <v>6.9444444444444397E-3</v>
      </c>
      <c r="Q37" s="16"/>
      <c r="R37" s="16">
        <f t="shared" si="4"/>
        <v>-6.9444444444444397E-3</v>
      </c>
      <c r="S37" s="16"/>
      <c r="T37" s="16" t="e">
        <f>VLOOKUP(E37,'[2]21-3-2026'!E$3:T$35,16,FALSE)</f>
        <v>#N/A</v>
      </c>
      <c r="U37" s="16"/>
      <c r="V37" s="16" t="e">
        <f t="shared" si="5"/>
        <v>#N/A</v>
      </c>
      <c r="W37" s="16"/>
      <c r="X37" s="16"/>
      <c r="Y37" s="16"/>
      <c r="Z37" s="16">
        <f t="shared" si="6"/>
        <v>0</v>
      </c>
      <c r="AA37" s="16">
        <f t="shared" si="0"/>
        <v>0</v>
      </c>
      <c r="AB37" s="16"/>
      <c r="AC37" s="19"/>
      <c r="AD37" s="51"/>
    </row>
    <row r="38" spans="1:30" ht="19.5" thickBot="1" x14ac:dyDescent="0.3">
      <c r="A38" s="14">
        <v>3</v>
      </c>
      <c r="B38" s="15"/>
      <c r="C38" s="15" t="e">
        <f>VLOOKUP(B38,داتا!$B$3:$D$107,2,FALSE)</f>
        <v>#N/A</v>
      </c>
      <c r="D38" s="34" t="e">
        <f>VLOOKUP(B38,داتا!$B$3:$D$107,3,FALSE)</f>
        <v>#N/A</v>
      </c>
      <c r="E38" s="15"/>
      <c r="F38" s="15"/>
      <c r="G38" s="16">
        <v>0.25</v>
      </c>
      <c r="H38" s="16" t="e">
        <f t="shared" si="7"/>
        <v>#N/A</v>
      </c>
      <c r="I38" s="16" t="e">
        <f t="shared" si="1"/>
        <v>#N/A</v>
      </c>
      <c r="J38" s="16"/>
      <c r="K38" s="16"/>
      <c r="L38" s="16"/>
      <c r="M38" s="16"/>
      <c r="N38" s="16">
        <f t="shared" si="2"/>
        <v>0</v>
      </c>
      <c r="O38" s="16" t="e">
        <f t="shared" si="3"/>
        <v>#N/A</v>
      </c>
      <c r="P38" s="16">
        <v>6.9444444444444397E-3</v>
      </c>
      <c r="Q38" s="16"/>
      <c r="R38" s="16">
        <f t="shared" si="4"/>
        <v>-6.9444444444444397E-3</v>
      </c>
      <c r="S38" s="16"/>
      <c r="T38" s="16" t="e">
        <f>VLOOKUP(E38,'[2]21-3-2026'!E$3:T$35,16,FALSE)</f>
        <v>#N/A</v>
      </c>
      <c r="U38" s="16"/>
      <c r="V38" s="16" t="e">
        <f t="shared" si="5"/>
        <v>#N/A</v>
      </c>
      <c r="W38" s="16"/>
      <c r="X38" s="16"/>
      <c r="Y38" s="16"/>
      <c r="Z38" s="16">
        <f t="shared" si="6"/>
        <v>0</v>
      </c>
      <c r="AA38" s="16">
        <f t="shared" si="0"/>
        <v>0</v>
      </c>
      <c r="AB38" s="16"/>
      <c r="AC38" s="19"/>
      <c r="AD38" s="51"/>
    </row>
    <row r="39" spans="1:30" ht="19.5" thickBot="1" x14ac:dyDescent="0.3">
      <c r="A39" s="14">
        <v>4</v>
      </c>
      <c r="B39" s="15"/>
      <c r="C39" s="15" t="e">
        <f>VLOOKUP(B39,داتا!$B$3:$D$107,2,FALSE)</f>
        <v>#N/A</v>
      </c>
      <c r="D39" s="34" t="e">
        <f>VLOOKUP(B39,داتا!$B$3:$D$107,3,FALSE)</f>
        <v>#N/A</v>
      </c>
      <c r="E39" s="15"/>
      <c r="F39" s="15"/>
      <c r="G39" s="16">
        <v>0.25</v>
      </c>
      <c r="H39" s="16" t="e">
        <f t="shared" si="7"/>
        <v>#N/A</v>
      </c>
      <c r="I39" s="16" t="e">
        <f t="shared" si="1"/>
        <v>#N/A</v>
      </c>
      <c r="J39" s="16"/>
      <c r="K39" s="16"/>
      <c r="L39" s="16"/>
      <c r="M39" s="16"/>
      <c r="N39" s="16">
        <f t="shared" si="2"/>
        <v>0</v>
      </c>
      <c r="O39" s="16" t="e">
        <f t="shared" si="3"/>
        <v>#N/A</v>
      </c>
      <c r="P39" s="16">
        <v>6.9444444444444397E-3</v>
      </c>
      <c r="Q39" s="16"/>
      <c r="R39" s="16">
        <f t="shared" si="4"/>
        <v>-6.9444444444444397E-3</v>
      </c>
      <c r="S39" s="16"/>
      <c r="T39" s="16" t="e">
        <f>VLOOKUP(E39,'[2]21-3-2026'!E$3:T$35,16,FALSE)</f>
        <v>#N/A</v>
      </c>
      <c r="U39" s="16"/>
      <c r="V39" s="16" t="e">
        <f t="shared" si="5"/>
        <v>#N/A</v>
      </c>
      <c r="W39" s="16"/>
      <c r="X39" s="16"/>
      <c r="Y39" s="16"/>
      <c r="Z39" s="16">
        <f t="shared" si="6"/>
        <v>0</v>
      </c>
      <c r="AA39" s="16">
        <f t="shared" si="0"/>
        <v>0</v>
      </c>
      <c r="AB39" s="16"/>
      <c r="AC39" s="17"/>
      <c r="AD39" s="51"/>
    </row>
    <row r="40" spans="1:30" ht="19.5" thickBot="1" x14ac:dyDescent="0.3">
      <c r="A40" s="14">
        <v>5</v>
      </c>
      <c r="B40" s="15"/>
      <c r="C40" s="15" t="e">
        <f>VLOOKUP(B40,داتا!$B$3:$D$107,2,FALSE)</f>
        <v>#N/A</v>
      </c>
      <c r="D40" s="34" t="e">
        <f>VLOOKUP(B40,داتا!$B$3:$D$107,3,FALSE)</f>
        <v>#N/A</v>
      </c>
      <c r="E40" s="15"/>
      <c r="F40" s="15"/>
      <c r="G40" s="16">
        <v>0.25</v>
      </c>
      <c r="H40" s="16" t="e">
        <f t="shared" si="7"/>
        <v>#N/A</v>
      </c>
      <c r="I40" s="16" t="e">
        <f t="shared" si="1"/>
        <v>#N/A</v>
      </c>
      <c r="J40" s="16"/>
      <c r="K40" s="16"/>
      <c r="L40" s="16"/>
      <c r="M40" s="16"/>
      <c r="N40" s="16">
        <f t="shared" si="2"/>
        <v>0</v>
      </c>
      <c r="O40" s="16" t="e">
        <f t="shared" si="3"/>
        <v>#N/A</v>
      </c>
      <c r="P40" s="16">
        <v>6.9444444444444397E-3</v>
      </c>
      <c r="Q40" s="16"/>
      <c r="R40" s="16">
        <f t="shared" si="4"/>
        <v>-6.9444444444444397E-3</v>
      </c>
      <c r="S40" s="16"/>
      <c r="T40" s="16" t="e">
        <f>VLOOKUP(E40,'[2]21-3-2026'!E$3:T$35,16,FALSE)</f>
        <v>#N/A</v>
      </c>
      <c r="U40" s="16"/>
      <c r="V40" s="16" t="e">
        <f t="shared" si="5"/>
        <v>#N/A</v>
      </c>
      <c r="W40" s="16"/>
      <c r="X40" s="16"/>
      <c r="Y40" s="16"/>
      <c r="Z40" s="16">
        <f t="shared" si="6"/>
        <v>0</v>
      </c>
      <c r="AA40" s="16">
        <f t="shared" si="0"/>
        <v>0</v>
      </c>
      <c r="AB40" s="16"/>
      <c r="AC40" s="17"/>
      <c r="AD40" s="51"/>
    </row>
    <row r="41" spans="1:30" ht="19.5" thickBot="1" x14ac:dyDescent="0.3">
      <c r="A41" s="14">
        <v>6</v>
      </c>
      <c r="B41" s="15"/>
      <c r="C41" s="15" t="e">
        <f>VLOOKUP(B41,داتا!$B$3:$D$107,2,FALSE)</f>
        <v>#N/A</v>
      </c>
      <c r="D41" s="34" t="e">
        <f>VLOOKUP(B41,داتا!$B$3:$D$107,3,FALSE)</f>
        <v>#N/A</v>
      </c>
      <c r="E41" s="15"/>
      <c r="F41" s="15"/>
      <c r="G41" s="16">
        <v>0.25</v>
      </c>
      <c r="H41" s="16" t="e">
        <f t="shared" si="7"/>
        <v>#N/A</v>
      </c>
      <c r="I41" s="16" t="e">
        <f t="shared" si="1"/>
        <v>#N/A</v>
      </c>
      <c r="J41" s="16"/>
      <c r="K41" s="16"/>
      <c r="L41" s="16"/>
      <c r="M41" s="16"/>
      <c r="N41" s="16">
        <f t="shared" si="2"/>
        <v>0</v>
      </c>
      <c r="O41" s="16" t="e">
        <f t="shared" si="3"/>
        <v>#N/A</v>
      </c>
      <c r="P41" s="16">
        <v>6.9444444444444397E-3</v>
      </c>
      <c r="Q41" s="16"/>
      <c r="R41" s="16">
        <f t="shared" si="4"/>
        <v>-6.9444444444444397E-3</v>
      </c>
      <c r="S41" s="16"/>
      <c r="T41" s="16" t="e">
        <f>VLOOKUP(E41,'[2]21-3-2026'!E$3:T$35,16,FALSE)</f>
        <v>#N/A</v>
      </c>
      <c r="U41" s="16"/>
      <c r="V41" s="16" t="e">
        <f t="shared" si="5"/>
        <v>#N/A</v>
      </c>
      <c r="W41" s="16"/>
      <c r="X41" s="16"/>
      <c r="Y41" s="16"/>
      <c r="Z41" s="16">
        <f t="shared" si="6"/>
        <v>0</v>
      </c>
      <c r="AA41" s="16">
        <f t="shared" si="0"/>
        <v>0</v>
      </c>
      <c r="AB41" s="16"/>
      <c r="AC41" s="17"/>
      <c r="AD41" s="51"/>
    </row>
    <row r="42" spans="1:30" ht="19.5" thickBot="1" x14ac:dyDescent="0.3">
      <c r="A42" s="14">
        <v>7</v>
      </c>
      <c r="B42" s="15"/>
      <c r="C42" s="15" t="e">
        <f>VLOOKUP(B42,داتا!$B$3:$D$107,2,FALSE)</f>
        <v>#N/A</v>
      </c>
      <c r="D42" s="34" t="e">
        <f>VLOOKUP(B42,داتا!$B$3:$D$107,3,FALSE)</f>
        <v>#N/A</v>
      </c>
      <c r="E42" s="15"/>
      <c r="F42" s="15"/>
      <c r="G42" s="16">
        <v>0.25</v>
      </c>
      <c r="H42" s="16" t="e">
        <f t="shared" si="7"/>
        <v>#N/A</v>
      </c>
      <c r="I42" s="16" t="e">
        <f t="shared" si="1"/>
        <v>#N/A</v>
      </c>
      <c r="J42" s="16"/>
      <c r="K42" s="16"/>
      <c r="L42" s="16"/>
      <c r="M42" s="16"/>
      <c r="N42" s="16">
        <f t="shared" si="2"/>
        <v>0</v>
      </c>
      <c r="O42" s="16" t="e">
        <f t="shared" si="3"/>
        <v>#N/A</v>
      </c>
      <c r="P42" s="16">
        <v>6.9444444444444397E-3</v>
      </c>
      <c r="Q42" s="16"/>
      <c r="R42" s="16">
        <f t="shared" si="4"/>
        <v>-6.9444444444444397E-3</v>
      </c>
      <c r="S42" s="16"/>
      <c r="T42" s="16" t="e">
        <f>VLOOKUP(E42,'[2]21-3-2026'!E$3:T$35,16,FALSE)</f>
        <v>#N/A</v>
      </c>
      <c r="U42" s="16"/>
      <c r="V42" s="16" t="e">
        <f t="shared" si="5"/>
        <v>#N/A</v>
      </c>
      <c r="W42" s="16"/>
      <c r="X42" s="16"/>
      <c r="Y42" s="16"/>
      <c r="Z42" s="16">
        <f t="shared" si="6"/>
        <v>0</v>
      </c>
      <c r="AA42" s="16">
        <f t="shared" si="0"/>
        <v>0</v>
      </c>
      <c r="AB42" s="16"/>
      <c r="AC42" s="17"/>
      <c r="AD42" s="51"/>
    </row>
    <row r="43" spans="1:30" ht="19.5" thickBot="1" x14ac:dyDescent="0.3">
      <c r="A43" s="14">
        <v>8</v>
      </c>
      <c r="B43" s="15"/>
      <c r="C43" s="15" t="e">
        <f>VLOOKUP(B43,داتا!$B$3:$D$107,2,FALSE)</f>
        <v>#N/A</v>
      </c>
      <c r="D43" s="34" t="e">
        <f>VLOOKUP(B43,داتا!$B$3:$D$107,3,FALSE)</f>
        <v>#N/A</v>
      </c>
      <c r="E43" s="15"/>
      <c r="F43" s="15"/>
      <c r="G43" s="16">
        <v>0.25</v>
      </c>
      <c r="H43" s="16" t="e">
        <f t="shared" si="7"/>
        <v>#N/A</v>
      </c>
      <c r="I43" s="16" t="e">
        <f t="shared" si="1"/>
        <v>#N/A</v>
      </c>
      <c r="J43" s="16"/>
      <c r="K43" s="16"/>
      <c r="L43" s="16"/>
      <c r="M43" s="16"/>
      <c r="N43" s="16">
        <f t="shared" si="2"/>
        <v>0</v>
      </c>
      <c r="O43" s="16" t="e">
        <f t="shared" si="3"/>
        <v>#N/A</v>
      </c>
      <c r="P43" s="16">
        <v>6.9444444444444397E-3</v>
      </c>
      <c r="Q43" s="16"/>
      <c r="R43" s="16">
        <f t="shared" si="4"/>
        <v>-6.9444444444444397E-3</v>
      </c>
      <c r="S43" s="16"/>
      <c r="T43" s="16" t="e">
        <f>VLOOKUP(E43,'[2]21-3-2026'!E$3:T$35,16,FALSE)</f>
        <v>#N/A</v>
      </c>
      <c r="U43" s="16"/>
      <c r="V43" s="16" t="e">
        <f t="shared" si="5"/>
        <v>#N/A</v>
      </c>
      <c r="W43" s="16"/>
      <c r="X43" s="16"/>
      <c r="Y43" s="16"/>
      <c r="Z43" s="16">
        <f t="shared" si="6"/>
        <v>0</v>
      </c>
      <c r="AA43" s="16">
        <f t="shared" si="0"/>
        <v>0</v>
      </c>
      <c r="AB43" s="16"/>
      <c r="AC43" s="17"/>
      <c r="AD43" s="51"/>
    </row>
    <row r="44" spans="1:30" ht="19.5" thickBot="1" x14ac:dyDescent="0.3">
      <c r="A44" s="14">
        <v>9</v>
      </c>
      <c r="B44" s="15"/>
      <c r="C44" s="15" t="e">
        <f>VLOOKUP(B44,داتا!$B$3:$D$107,2,FALSE)</f>
        <v>#N/A</v>
      </c>
      <c r="D44" s="34" t="e">
        <f>VLOOKUP(B44,داتا!$B$3:$D$107,3,FALSE)</f>
        <v>#N/A</v>
      </c>
      <c r="E44" s="15"/>
      <c r="F44" s="15"/>
      <c r="G44" s="16">
        <v>0.25</v>
      </c>
      <c r="H44" s="16" t="e">
        <f t="shared" si="7"/>
        <v>#N/A</v>
      </c>
      <c r="I44" s="16" t="e">
        <f t="shared" si="1"/>
        <v>#N/A</v>
      </c>
      <c r="J44" s="16"/>
      <c r="K44" s="16"/>
      <c r="L44" s="16"/>
      <c r="M44" s="16"/>
      <c r="N44" s="16">
        <f t="shared" si="2"/>
        <v>0</v>
      </c>
      <c r="O44" s="16" t="e">
        <f t="shared" si="3"/>
        <v>#N/A</v>
      </c>
      <c r="P44" s="16">
        <v>6.9444444444444397E-3</v>
      </c>
      <c r="Q44" s="16"/>
      <c r="R44" s="16">
        <f t="shared" si="4"/>
        <v>-6.9444444444444397E-3</v>
      </c>
      <c r="S44" s="16"/>
      <c r="T44" s="16" t="e">
        <f>VLOOKUP(E44,'[2]21-3-2026'!E$3:T$35,16,FALSE)</f>
        <v>#N/A</v>
      </c>
      <c r="U44" s="16"/>
      <c r="V44" s="16" t="e">
        <f t="shared" si="5"/>
        <v>#N/A</v>
      </c>
      <c r="W44" s="16"/>
      <c r="X44" s="16"/>
      <c r="Y44" s="16"/>
      <c r="Z44" s="16">
        <f t="shared" si="6"/>
        <v>0</v>
      </c>
      <c r="AA44" s="16">
        <f t="shared" si="0"/>
        <v>0</v>
      </c>
      <c r="AB44" s="16"/>
      <c r="AC44" s="17"/>
      <c r="AD44" s="51"/>
    </row>
    <row r="45" spans="1:30" ht="19.5" thickBot="1" x14ac:dyDescent="0.3">
      <c r="A45" s="14">
        <v>10</v>
      </c>
      <c r="B45" s="15"/>
      <c r="C45" s="15" t="e">
        <f>VLOOKUP(B45,داتا!$B$3:$D$107,2,FALSE)</f>
        <v>#N/A</v>
      </c>
      <c r="D45" s="34" t="e">
        <f>VLOOKUP(B45,داتا!$B$3:$D$107,3,FALSE)</f>
        <v>#N/A</v>
      </c>
      <c r="E45" s="15"/>
      <c r="F45" s="15"/>
      <c r="G45" s="16">
        <v>0.25</v>
      </c>
      <c r="H45" s="16" t="e">
        <f t="shared" si="7"/>
        <v>#N/A</v>
      </c>
      <c r="I45" s="16" t="e">
        <f t="shared" si="1"/>
        <v>#N/A</v>
      </c>
      <c r="J45" s="16"/>
      <c r="K45" s="16"/>
      <c r="L45" s="16"/>
      <c r="M45" s="16"/>
      <c r="N45" s="16">
        <f t="shared" si="2"/>
        <v>0</v>
      </c>
      <c r="O45" s="16" t="e">
        <f t="shared" si="3"/>
        <v>#N/A</v>
      </c>
      <c r="P45" s="16">
        <v>6.9444444444444397E-3</v>
      </c>
      <c r="Q45" s="16"/>
      <c r="R45" s="16">
        <f t="shared" si="4"/>
        <v>-6.9444444444444397E-3</v>
      </c>
      <c r="S45" s="16"/>
      <c r="T45" s="16" t="e">
        <f>VLOOKUP(E45,'[2]21-3-2026'!E$3:T$35,16,FALSE)</f>
        <v>#N/A</v>
      </c>
      <c r="U45" s="16"/>
      <c r="V45" s="16" t="e">
        <f t="shared" si="5"/>
        <v>#N/A</v>
      </c>
      <c r="W45" s="16"/>
      <c r="X45" s="16"/>
      <c r="Y45" s="16"/>
      <c r="Z45" s="16">
        <f t="shared" si="6"/>
        <v>0</v>
      </c>
      <c r="AA45" s="16">
        <f t="shared" si="0"/>
        <v>0</v>
      </c>
      <c r="AB45" s="16"/>
      <c r="AC45" s="17"/>
      <c r="AD45" s="51"/>
    </row>
    <row r="46" spans="1:30" ht="19.5" thickBot="1" x14ac:dyDescent="0.3">
      <c r="A46" s="14">
        <v>11</v>
      </c>
      <c r="B46" s="15"/>
      <c r="C46" s="15" t="e">
        <f>VLOOKUP(B46,داتا!$B$3:$D$107,2,FALSE)</f>
        <v>#N/A</v>
      </c>
      <c r="D46" s="34" t="e">
        <f>VLOOKUP(B46,داتا!$B$3:$D$107,3,FALSE)</f>
        <v>#N/A</v>
      </c>
      <c r="E46" s="15"/>
      <c r="F46" s="15"/>
      <c r="G46" s="16">
        <v>0.25</v>
      </c>
      <c r="H46" s="16" t="e">
        <f t="shared" si="7"/>
        <v>#N/A</v>
      </c>
      <c r="I46" s="16" t="e">
        <f t="shared" si="1"/>
        <v>#N/A</v>
      </c>
      <c r="J46" s="16"/>
      <c r="K46" s="16"/>
      <c r="L46" s="16"/>
      <c r="M46" s="16"/>
      <c r="N46" s="16">
        <f t="shared" si="2"/>
        <v>0</v>
      </c>
      <c r="O46" s="16" t="e">
        <f t="shared" si="3"/>
        <v>#N/A</v>
      </c>
      <c r="P46" s="16">
        <v>6.9444444444444397E-3</v>
      </c>
      <c r="Q46" s="16"/>
      <c r="R46" s="16">
        <f t="shared" si="4"/>
        <v>-6.9444444444444397E-3</v>
      </c>
      <c r="S46" s="16"/>
      <c r="T46" s="16" t="e">
        <f>VLOOKUP(E46,'[2]21-3-2026'!E$3:T$35,16,FALSE)</f>
        <v>#N/A</v>
      </c>
      <c r="U46" s="16"/>
      <c r="V46" s="16" t="e">
        <f t="shared" si="5"/>
        <v>#N/A</v>
      </c>
      <c r="W46" s="16"/>
      <c r="X46" s="16"/>
      <c r="Y46" s="16"/>
      <c r="Z46" s="16">
        <f t="shared" si="6"/>
        <v>0</v>
      </c>
      <c r="AA46" s="16">
        <f t="shared" si="0"/>
        <v>0</v>
      </c>
      <c r="AB46" s="16"/>
      <c r="AC46" s="17"/>
      <c r="AD46" s="51"/>
    </row>
    <row r="47" spans="1:30" ht="19.5" thickBot="1" x14ac:dyDescent="0.3">
      <c r="A47" s="14">
        <v>12</v>
      </c>
      <c r="B47" s="15"/>
      <c r="C47" s="15" t="e">
        <f>VLOOKUP(B47,داتا!$B$3:$D$107,2,FALSE)</f>
        <v>#N/A</v>
      </c>
      <c r="D47" s="34" t="e">
        <f>VLOOKUP(B47,داتا!$B$3:$D$107,3,FALSE)</f>
        <v>#N/A</v>
      </c>
      <c r="E47" s="15"/>
      <c r="F47" s="15"/>
      <c r="G47" s="16">
        <v>0.25</v>
      </c>
      <c r="H47" s="16" t="e">
        <f t="shared" si="7"/>
        <v>#N/A</v>
      </c>
      <c r="I47" s="16" t="e">
        <f t="shared" si="1"/>
        <v>#N/A</v>
      </c>
      <c r="J47" s="16"/>
      <c r="K47" s="16"/>
      <c r="L47" s="16"/>
      <c r="M47" s="16"/>
      <c r="N47" s="16">
        <f t="shared" si="2"/>
        <v>0</v>
      </c>
      <c r="O47" s="16" t="e">
        <f t="shared" si="3"/>
        <v>#N/A</v>
      </c>
      <c r="P47" s="16">
        <v>6.9444444444444397E-3</v>
      </c>
      <c r="Q47" s="16"/>
      <c r="R47" s="16">
        <f t="shared" si="4"/>
        <v>-6.9444444444444397E-3</v>
      </c>
      <c r="S47" s="16"/>
      <c r="T47" s="16" t="e">
        <f>VLOOKUP(E47,'[2]21-3-2026'!E$3:T$35,16,FALSE)</f>
        <v>#N/A</v>
      </c>
      <c r="U47" s="16"/>
      <c r="V47" s="16" t="e">
        <f t="shared" si="5"/>
        <v>#N/A</v>
      </c>
      <c r="W47" s="16"/>
      <c r="X47" s="16"/>
      <c r="Y47" s="16"/>
      <c r="Z47" s="16">
        <f t="shared" si="6"/>
        <v>0</v>
      </c>
      <c r="AA47" s="16">
        <f t="shared" si="0"/>
        <v>0</v>
      </c>
      <c r="AB47" s="16"/>
      <c r="AC47" s="17"/>
      <c r="AD47" s="51"/>
    </row>
    <row r="48" spans="1:30" ht="19.5" thickBot="1" x14ac:dyDescent="0.3">
      <c r="A48" s="14">
        <v>13</v>
      </c>
      <c r="B48" s="15"/>
      <c r="C48" s="15" t="e">
        <f>VLOOKUP(B48,داتا!$B$3:$D$107,2,FALSE)</f>
        <v>#N/A</v>
      </c>
      <c r="D48" s="34" t="e">
        <f>VLOOKUP(B48,داتا!$B$3:$D$107,3,FALSE)</f>
        <v>#N/A</v>
      </c>
      <c r="E48" s="15"/>
      <c r="F48" s="15"/>
      <c r="G48" s="16">
        <v>0.25</v>
      </c>
      <c r="H48" s="16" t="e">
        <f t="shared" si="7"/>
        <v>#N/A</v>
      </c>
      <c r="I48" s="16" t="e">
        <f t="shared" si="1"/>
        <v>#N/A</v>
      </c>
      <c r="J48" s="16"/>
      <c r="K48" s="16"/>
      <c r="L48" s="16"/>
      <c r="M48" s="16"/>
      <c r="N48" s="16">
        <f t="shared" si="2"/>
        <v>0</v>
      </c>
      <c r="O48" s="16" t="e">
        <f t="shared" si="3"/>
        <v>#N/A</v>
      </c>
      <c r="P48" s="16">
        <v>6.9444444444444397E-3</v>
      </c>
      <c r="Q48" s="16"/>
      <c r="R48" s="16">
        <f t="shared" si="4"/>
        <v>-6.9444444444444397E-3</v>
      </c>
      <c r="S48" s="16"/>
      <c r="T48" s="16" t="e">
        <f>VLOOKUP(E48,'[2]21-3-2026'!E$3:T$35,16,FALSE)</f>
        <v>#N/A</v>
      </c>
      <c r="U48" s="16"/>
      <c r="V48" s="16" t="e">
        <f t="shared" si="5"/>
        <v>#N/A</v>
      </c>
      <c r="W48" s="16"/>
      <c r="X48" s="16"/>
      <c r="Y48" s="16"/>
      <c r="Z48" s="16">
        <f t="shared" si="6"/>
        <v>0</v>
      </c>
      <c r="AA48" s="16">
        <f t="shared" si="0"/>
        <v>0</v>
      </c>
      <c r="AB48" s="16"/>
      <c r="AC48" s="17"/>
      <c r="AD48" s="51"/>
    </row>
    <row r="49" spans="1:30" ht="19.5" thickBot="1" x14ac:dyDescent="0.3">
      <c r="A49" s="14">
        <v>14</v>
      </c>
      <c r="B49" s="15"/>
      <c r="C49" s="15" t="e">
        <f>VLOOKUP(B49,داتا!$B$3:$D$107,2,FALSE)</f>
        <v>#N/A</v>
      </c>
      <c r="D49" s="34" t="e">
        <f>VLOOKUP(B49,داتا!$B$3:$D$107,3,FALSE)</f>
        <v>#N/A</v>
      </c>
      <c r="E49" s="15"/>
      <c r="F49" s="15"/>
      <c r="G49" s="16">
        <v>0.25</v>
      </c>
      <c r="H49" s="16" t="e">
        <f t="shared" si="7"/>
        <v>#N/A</v>
      </c>
      <c r="I49" s="16" t="e">
        <f t="shared" si="1"/>
        <v>#N/A</v>
      </c>
      <c r="J49" s="16"/>
      <c r="K49" s="16"/>
      <c r="L49" s="16"/>
      <c r="M49" s="16"/>
      <c r="N49" s="16">
        <f t="shared" si="2"/>
        <v>0</v>
      </c>
      <c r="O49" s="16" t="e">
        <f t="shared" si="3"/>
        <v>#N/A</v>
      </c>
      <c r="P49" s="16">
        <v>6.9444444444444397E-3</v>
      </c>
      <c r="Q49" s="16"/>
      <c r="R49" s="16">
        <f t="shared" si="4"/>
        <v>-6.9444444444444397E-3</v>
      </c>
      <c r="S49" s="16"/>
      <c r="T49" s="16" t="e">
        <f>VLOOKUP(E49,'[2]21-3-2026'!E$3:T$35,16,FALSE)</f>
        <v>#N/A</v>
      </c>
      <c r="U49" s="16"/>
      <c r="V49" s="16" t="e">
        <f t="shared" si="5"/>
        <v>#N/A</v>
      </c>
      <c r="W49" s="16"/>
      <c r="X49" s="16"/>
      <c r="Y49" s="16"/>
      <c r="Z49" s="16">
        <f t="shared" si="6"/>
        <v>0</v>
      </c>
      <c r="AA49" s="16">
        <f t="shared" si="0"/>
        <v>0</v>
      </c>
      <c r="AB49" s="16"/>
      <c r="AC49" s="17"/>
      <c r="AD49" s="51"/>
    </row>
    <row r="50" spans="1:30" ht="19.5" thickBot="1" x14ac:dyDescent="0.3">
      <c r="A50" s="14">
        <v>15</v>
      </c>
      <c r="B50" s="15"/>
      <c r="C50" s="15" t="e">
        <f>VLOOKUP(B50,داتا!$B$3:$D$107,2,FALSE)</f>
        <v>#N/A</v>
      </c>
      <c r="D50" s="34" t="e">
        <f>VLOOKUP(B50,داتا!$B$3:$D$107,3,FALSE)</f>
        <v>#N/A</v>
      </c>
      <c r="E50" s="15"/>
      <c r="F50" s="15"/>
      <c r="G50" s="16">
        <v>0.25</v>
      </c>
      <c r="H50" s="16" t="e">
        <f t="shared" si="7"/>
        <v>#N/A</v>
      </c>
      <c r="I50" s="16" t="e">
        <f t="shared" si="1"/>
        <v>#N/A</v>
      </c>
      <c r="J50" s="16"/>
      <c r="K50" s="16"/>
      <c r="L50" s="16"/>
      <c r="M50" s="16"/>
      <c r="N50" s="16">
        <f t="shared" si="2"/>
        <v>0</v>
      </c>
      <c r="O50" s="16" t="e">
        <f t="shared" si="3"/>
        <v>#N/A</v>
      </c>
      <c r="P50" s="16">
        <v>6.9444444444444397E-3</v>
      </c>
      <c r="Q50" s="16"/>
      <c r="R50" s="16">
        <f t="shared" si="4"/>
        <v>-6.9444444444444397E-3</v>
      </c>
      <c r="S50" s="16"/>
      <c r="T50" s="16" t="e">
        <f>VLOOKUP(E50,'[2]21-3-2026'!E$3:T$35,16,FALSE)</f>
        <v>#N/A</v>
      </c>
      <c r="U50" s="16"/>
      <c r="V50" s="16" t="e">
        <f t="shared" si="5"/>
        <v>#N/A</v>
      </c>
      <c r="W50" s="16"/>
      <c r="X50" s="16"/>
      <c r="Y50" s="16"/>
      <c r="Z50" s="16">
        <f t="shared" si="6"/>
        <v>0</v>
      </c>
      <c r="AA50" s="16">
        <f t="shared" si="0"/>
        <v>0</v>
      </c>
      <c r="AB50" s="16"/>
      <c r="AC50" s="17"/>
      <c r="AD50" s="51"/>
    </row>
    <row r="51" spans="1:30" ht="19.5" thickBot="1" x14ac:dyDescent="0.3">
      <c r="A51" s="14">
        <v>16</v>
      </c>
      <c r="B51" s="15"/>
      <c r="C51" s="15" t="e">
        <f>VLOOKUP(B51,داتا!$B$3:$D$107,2,FALSE)</f>
        <v>#N/A</v>
      </c>
      <c r="D51" s="34" t="e">
        <f>VLOOKUP(B51,داتا!$B$3:$D$107,3,FALSE)</f>
        <v>#N/A</v>
      </c>
      <c r="E51" s="15"/>
      <c r="F51" s="15"/>
      <c r="G51" s="16">
        <v>0.25</v>
      </c>
      <c r="H51" s="16" t="e">
        <f t="shared" si="7"/>
        <v>#N/A</v>
      </c>
      <c r="I51" s="16" t="e">
        <f t="shared" si="1"/>
        <v>#N/A</v>
      </c>
      <c r="J51" s="16"/>
      <c r="K51" s="16"/>
      <c r="L51" s="16"/>
      <c r="M51" s="16"/>
      <c r="N51" s="16">
        <f t="shared" si="2"/>
        <v>0</v>
      </c>
      <c r="O51" s="16" t="e">
        <f t="shared" si="3"/>
        <v>#N/A</v>
      </c>
      <c r="P51" s="16">
        <v>6.9444444444444397E-3</v>
      </c>
      <c r="Q51" s="16"/>
      <c r="R51" s="16">
        <f t="shared" si="4"/>
        <v>-6.9444444444444397E-3</v>
      </c>
      <c r="S51" s="16"/>
      <c r="T51" s="16" t="e">
        <f>VLOOKUP(E51,'[2]21-3-2026'!E$3:T$35,16,FALSE)</f>
        <v>#N/A</v>
      </c>
      <c r="U51" s="16"/>
      <c r="V51" s="16" t="e">
        <f t="shared" si="5"/>
        <v>#N/A</v>
      </c>
      <c r="W51" s="16"/>
      <c r="X51" s="16"/>
      <c r="Y51" s="16"/>
      <c r="Z51" s="16">
        <f t="shared" si="6"/>
        <v>0</v>
      </c>
      <c r="AA51" s="16">
        <f t="shared" si="0"/>
        <v>0</v>
      </c>
      <c r="AB51" s="16"/>
      <c r="AC51" s="17"/>
      <c r="AD51" s="51"/>
    </row>
    <row r="52" spans="1:30" ht="19.5" thickBot="1" x14ac:dyDescent="0.3">
      <c r="A52" s="14">
        <v>17</v>
      </c>
      <c r="B52" s="15"/>
      <c r="C52" s="15" t="e">
        <f>VLOOKUP(B52,داتا!$B$3:$D$107,2,FALSE)</f>
        <v>#N/A</v>
      </c>
      <c r="D52" s="34" t="e">
        <f>VLOOKUP(B52,داتا!$B$3:$D$107,3,FALSE)</f>
        <v>#N/A</v>
      </c>
      <c r="E52" s="15"/>
      <c r="F52" s="15"/>
      <c r="G52" s="16">
        <v>0.25</v>
      </c>
      <c r="H52" s="16" t="e">
        <f t="shared" si="7"/>
        <v>#N/A</v>
      </c>
      <c r="I52" s="16" t="e">
        <f t="shared" si="1"/>
        <v>#N/A</v>
      </c>
      <c r="J52" s="16"/>
      <c r="K52" s="16"/>
      <c r="L52" s="16"/>
      <c r="M52" s="16"/>
      <c r="N52" s="16">
        <f t="shared" si="2"/>
        <v>0</v>
      </c>
      <c r="O52" s="16" t="e">
        <f t="shared" si="3"/>
        <v>#N/A</v>
      </c>
      <c r="P52" s="16">
        <v>6.9444444444444397E-3</v>
      </c>
      <c r="Q52" s="16"/>
      <c r="R52" s="16">
        <f t="shared" si="4"/>
        <v>-6.9444444444444397E-3</v>
      </c>
      <c r="S52" s="16"/>
      <c r="T52" s="16" t="e">
        <f>VLOOKUP(E52,'[2]21-3-2026'!E$3:T$35,16,FALSE)</f>
        <v>#N/A</v>
      </c>
      <c r="U52" s="16"/>
      <c r="V52" s="16" t="e">
        <f t="shared" si="5"/>
        <v>#N/A</v>
      </c>
      <c r="W52" s="16"/>
      <c r="X52" s="16"/>
      <c r="Y52" s="16"/>
      <c r="Z52" s="16">
        <f t="shared" si="6"/>
        <v>0</v>
      </c>
      <c r="AA52" s="16">
        <f t="shared" si="0"/>
        <v>0</v>
      </c>
      <c r="AB52" s="16"/>
      <c r="AC52" s="17"/>
      <c r="AD52" s="51"/>
    </row>
    <row r="53" spans="1:30" ht="19.5" thickBot="1" x14ac:dyDescent="0.3">
      <c r="A53" s="14">
        <v>18</v>
      </c>
      <c r="B53" s="15"/>
      <c r="C53" s="15" t="e">
        <f>VLOOKUP(B53,داتا!$B$3:$D$107,2,FALSE)</f>
        <v>#N/A</v>
      </c>
      <c r="D53" s="34" t="e">
        <f>VLOOKUP(B53,داتا!$B$3:$D$107,3,FALSE)</f>
        <v>#N/A</v>
      </c>
      <c r="E53" s="15"/>
      <c r="F53" s="15"/>
      <c r="G53" s="16">
        <v>0.25</v>
      </c>
      <c r="H53" s="16" t="e">
        <f t="shared" ref="H53:H68" si="8">VLOOKUP(G53,$F$3:$I$35,2,FALSE)</f>
        <v>#N/A</v>
      </c>
      <c r="I53" s="16" t="e">
        <f t="shared" si="1"/>
        <v>#N/A</v>
      </c>
      <c r="J53" s="16"/>
      <c r="K53" s="16"/>
      <c r="L53" s="16"/>
      <c r="M53" s="16"/>
      <c r="N53" s="16">
        <f t="shared" si="2"/>
        <v>0</v>
      </c>
      <c r="O53" s="16" t="e">
        <f t="shared" si="3"/>
        <v>#N/A</v>
      </c>
      <c r="P53" s="16">
        <v>6.9444444444444397E-3</v>
      </c>
      <c r="Q53" s="16"/>
      <c r="R53" s="16">
        <f t="shared" si="4"/>
        <v>-6.9444444444444397E-3</v>
      </c>
      <c r="S53" s="16"/>
      <c r="T53" s="16" t="e">
        <f>VLOOKUP(E53,'[2]21-3-2026'!E$3:T$35,16,FALSE)</f>
        <v>#N/A</v>
      </c>
      <c r="U53" s="16"/>
      <c r="V53" s="16" t="e">
        <f t="shared" si="5"/>
        <v>#N/A</v>
      </c>
      <c r="W53" s="16"/>
      <c r="X53" s="16"/>
      <c r="Y53" s="16"/>
      <c r="Z53" s="16">
        <f t="shared" si="6"/>
        <v>0</v>
      </c>
      <c r="AA53" s="16">
        <f t="shared" si="0"/>
        <v>0</v>
      </c>
      <c r="AB53" s="16"/>
      <c r="AC53" s="17"/>
      <c r="AD53" s="51"/>
    </row>
    <row r="54" spans="1:30" ht="19.5" thickBot="1" x14ac:dyDescent="0.3">
      <c r="A54" s="14">
        <v>19</v>
      </c>
      <c r="B54" s="15"/>
      <c r="C54" s="15" t="e">
        <f>VLOOKUP(B54,داتا!$B$3:$D$107,2,FALSE)</f>
        <v>#N/A</v>
      </c>
      <c r="D54" s="34" t="e">
        <f>VLOOKUP(B54,داتا!$B$3:$D$107,3,FALSE)</f>
        <v>#N/A</v>
      </c>
      <c r="E54" s="15"/>
      <c r="F54" s="15"/>
      <c r="G54" s="16">
        <v>0.25</v>
      </c>
      <c r="H54" s="16" t="e">
        <f t="shared" si="8"/>
        <v>#N/A</v>
      </c>
      <c r="I54" s="16" t="e">
        <f t="shared" si="1"/>
        <v>#N/A</v>
      </c>
      <c r="J54" s="16"/>
      <c r="K54" s="16"/>
      <c r="L54" s="16"/>
      <c r="M54" s="16"/>
      <c r="N54" s="16">
        <f t="shared" si="2"/>
        <v>0</v>
      </c>
      <c r="O54" s="16" t="e">
        <f t="shared" si="3"/>
        <v>#N/A</v>
      </c>
      <c r="P54" s="16">
        <v>6.9444444444444397E-3</v>
      </c>
      <c r="Q54" s="16"/>
      <c r="R54" s="16">
        <f t="shared" si="4"/>
        <v>-6.9444444444444397E-3</v>
      </c>
      <c r="S54" s="16"/>
      <c r="T54" s="16" t="e">
        <f>VLOOKUP(E54,'[2]21-3-2026'!E$3:T$35,16,FALSE)</f>
        <v>#N/A</v>
      </c>
      <c r="U54" s="16"/>
      <c r="V54" s="16" t="e">
        <f t="shared" si="5"/>
        <v>#N/A</v>
      </c>
      <c r="W54" s="16"/>
      <c r="X54" s="16"/>
      <c r="Y54" s="16"/>
      <c r="Z54" s="16">
        <f t="shared" si="6"/>
        <v>0</v>
      </c>
      <c r="AA54" s="16">
        <f t="shared" si="0"/>
        <v>0</v>
      </c>
      <c r="AB54" s="16"/>
      <c r="AC54" s="17"/>
      <c r="AD54" s="51"/>
    </row>
    <row r="55" spans="1:30" ht="19.5" thickBot="1" x14ac:dyDescent="0.3">
      <c r="A55" s="14">
        <v>20</v>
      </c>
      <c r="B55" s="15"/>
      <c r="C55" s="15" t="e">
        <f>VLOOKUP(B55,داتا!$B$3:$D$107,2,FALSE)</f>
        <v>#N/A</v>
      </c>
      <c r="D55" s="34" t="e">
        <f>VLOOKUP(B55,داتا!$B$3:$D$107,3,FALSE)</f>
        <v>#N/A</v>
      </c>
      <c r="E55" s="15"/>
      <c r="F55" s="15"/>
      <c r="G55" s="16">
        <v>0.25</v>
      </c>
      <c r="H55" s="16" t="e">
        <f t="shared" si="8"/>
        <v>#N/A</v>
      </c>
      <c r="I55" s="16" t="e">
        <f t="shared" si="1"/>
        <v>#N/A</v>
      </c>
      <c r="J55" s="16"/>
      <c r="K55" s="16"/>
      <c r="L55" s="16"/>
      <c r="M55" s="16"/>
      <c r="N55" s="16">
        <f t="shared" si="2"/>
        <v>0</v>
      </c>
      <c r="O55" s="16" t="e">
        <f t="shared" si="3"/>
        <v>#N/A</v>
      </c>
      <c r="P55" s="16">
        <v>6.9444444444444397E-3</v>
      </c>
      <c r="Q55" s="16"/>
      <c r="R55" s="16">
        <f t="shared" si="4"/>
        <v>-6.9444444444444397E-3</v>
      </c>
      <c r="S55" s="16"/>
      <c r="T55" s="16" t="e">
        <f>VLOOKUP(E55,'[2]21-3-2026'!E$3:T$35,16,FALSE)</f>
        <v>#N/A</v>
      </c>
      <c r="U55" s="16"/>
      <c r="V55" s="16" t="e">
        <f t="shared" si="5"/>
        <v>#N/A</v>
      </c>
      <c r="W55" s="16"/>
      <c r="X55" s="16"/>
      <c r="Y55" s="16"/>
      <c r="Z55" s="16">
        <f t="shared" si="6"/>
        <v>0</v>
      </c>
      <c r="AA55" s="16">
        <f t="shared" si="0"/>
        <v>0</v>
      </c>
      <c r="AB55" s="16"/>
      <c r="AC55" s="17"/>
      <c r="AD55" s="51"/>
    </row>
    <row r="56" spans="1:30" ht="19.5" thickBot="1" x14ac:dyDescent="0.3">
      <c r="A56" s="14">
        <v>21</v>
      </c>
      <c r="B56" s="15"/>
      <c r="C56" s="15" t="e">
        <f>VLOOKUP(B56,داتا!$B$3:$D$107,2,FALSE)</f>
        <v>#N/A</v>
      </c>
      <c r="D56" s="34" t="e">
        <f>VLOOKUP(B56,داتا!$B$3:$D$107,3,FALSE)</f>
        <v>#N/A</v>
      </c>
      <c r="E56" s="15"/>
      <c r="F56" s="15"/>
      <c r="G56" s="16">
        <v>0.25</v>
      </c>
      <c r="H56" s="16" t="e">
        <f t="shared" si="8"/>
        <v>#N/A</v>
      </c>
      <c r="I56" s="16" t="e">
        <f t="shared" si="1"/>
        <v>#N/A</v>
      </c>
      <c r="J56" s="16"/>
      <c r="K56" s="16"/>
      <c r="L56" s="15"/>
      <c r="M56" s="15"/>
      <c r="N56" s="16">
        <f t="shared" si="2"/>
        <v>0</v>
      </c>
      <c r="O56" s="16" t="e">
        <f t="shared" si="3"/>
        <v>#N/A</v>
      </c>
      <c r="P56" s="16">
        <v>6.9444444444444397E-3</v>
      </c>
      <c r="Q56" s="16"/>
      <c r="R56" s="16">
        <f t="shared" si="4"/>
        <v>-6.9444444444444397E-3</v>
      </c>
      <c r="S56" s="16"/>
      <c r="T56" s="16" t="e">
        <f>VLOOKUP(E56,'[2]21-3-2026'!E$3:T$35,16,FALSE)</f>
        <v>#N/A</v>
      </c>
      <c r="U56" s="16"/>
      <c r="V56" s="16" t="e">
        <f t="shared" si="5"/>
        <v>#N/A</v>
      </c>
      <c r="W56" s="16"/>
      <c r="X56" s="16"/>
      <c r="Y56" s="16"/>
      <c r="Z56" s="16">
        <f t="shared" si="6"/>
        <v>0</v>
      </c>
      <c r="AA56" s="16">
        <f t="shared" si="0"/>
        <v>0</v>
      </c>
      <c r="AB56" s="16"/>
      <c r="AC56" s="17"/>
      <c r="AD56" s="51"/>
    </row>
    <row r="57" spans="1:30" ht="19.5" thickBot="1" x14ac:dyDescent="0.3">
      <c r="A57" s="14">
        <v>22</v>
      </c>
      <c r="B57" s="15"/>
      <c r="C57" s="15" t="e">
        <f>VLOOKUP(B57,داتا!$B$3:$D$107,2,FALSE)</f>
        <v>#N/A</v>
      </c>
      <c r="D57" s="34" t="e">
        <f>VLOOKUP(B57,داتا!$B$3:$D$107,3,FALSE)</f>
        <v>#N/A</v>
      </c>
      <c r="E57" s="15"/>
      <c r="F57" s="15"/>
      <c r="G57" s="16">
        <v>0.25</v>
      </c>
      <c r="H57" s="16" t="e">
        <f t="shared" si="8"/>
        <v>#N/A</v>
      </c>
      <c r="I57" s="16" t="e">
        <f t="shared" si="1"/>
        <v>#N/A</v>
      </c>
      <c r="J57" s="16"/>
      <c r="K57" s="16"/>
      <c r="L57" s="15"/>
      <c r="M57" s="15"/>
      <c r="N57" s="16">
        <f t="shared" si="2"/>
        <v>0</v>
      </c>
      <c r="O57" s="16" t="e">
        <f t="shared" si="3"/>
        <v>#N/A</v>
      </c>
      <c r="P57" s="16">
        <v>6.9444444444444397E-3</v>
      </c>
      <c r="Q57" s="16"/>
      <c r="R57" s="16">
        <f t="shared" si="4"/>
        <v>-6.9444444444444397E-3</v>
      </c>
      <c r="S57" s="16"/>
      <c r="T57" s="16" t="e">
        <f>VLOOKUP(E57,'[2]21-3-2026'!E$3:T$35,16,FALSE)</f>
        <v>#N/A</v>
      </c>
      <c r="U57" s="16"/>
      <c r="V57" s="16" t="e">
        <f t="shared" si="5"/>
        <v>#N/A</v>
      </c>
      <c r="W57" s="16"/>
      <c r="X57" s="16"/>
      <c r="Y57" s="16"/>
      <c r="Z57" s="16">
        <f t="shared" si="6"/>
        <v>0</v>
      </c>
      <c r="AA57" s="16">
        <f t="shared" si="0"/>
        <v>0</v>
      </c>
      <c r="AB57" s="16"/>
      <c r="AC57" s="17"/>
      <c r="AD57" s="51"/>
    </row>
    <row r="58" spans="1:30" ht="19.5" thickBot="1" x14ac:dyDescent="0.3">
      <c r="A58" s="14">
        <v>23</v>
      </c>
      <c r="B58" s="15"/>
      <c r="C58" s="15" t="e">
        <f>VLOOKUP(B58,داتا!$B$3:$D$107,2,FALSE)</f>
        <v>#N/A</v>
      </c>
      <c r="D58" s="34" t="e">
        <f>VLOOKUP(B58,داتا!$B$3:$D$107,3,FALSE)</f>
        <v>#N/A</v>
      </c>
      <c r="E58" s="15"/>
      <c r="F58" s="15"/>
      <c r="G58" s="16">
        <v>0.25</v>
      </c>
      <c r="H58" s="16" t="e">
        <f t="shared" si="8"/>
        <v>#N/A</v>
      </c>
      <c r="I58" s="16" t="e">
        <f t="shared" si="1"/>
        <v>#N/A</v>
      </c>
      <c r="J58" s="16"/>
      <c r="K58" s="16"/>
      <c r="L58" s="16"/>
      <c r="M58" s="16"/>
      <c r="N58" s="16">
        <f t="shared" si="2"/>
        <v>0</v>
      </c>
      <c r="O58" s="16" t="e">
        <f t="shared" si="3"/>
        <v>#N/A</v>
      </c>
      <c r="P58" s="16">
        <v>6.9444444444444397E-3</v>
      </c>
      <c r="Q58" s="16"/>
      <c r="R58" s="16">
        <f t="shared" si="4"/>
        <v>-6.9444444444444397E-3</v>
      </c>
      <c r="S58" s="16"/>
      <c r="T58" s="16" t="e">
        <f>VLOOKUP(E58,'[2]21-3-2026'!E$3:T$35,16,FALSE)</f>
        <v>#N/A</v>
      </c>
      <c r="U58" s="16"/>
      <c r="V58" s="16" t="e">
        <f t="shared" si="5"/>
        <v>#N/A</v>
      </c>
      <c r="W58" s="16"/>
      <c r="X58" s="16"/>
      <c r="Y58" s="16"/>
      <c r="Z58" s="16">
        <f t="shared" si="6"/>
        <v>0</v>
      </c>
      <c r="AA58" s="16">
        <f t="shared" si="0"/>
        <v>0</v>
      </c>
      <c r="AB58" s="16"/>
      <c r="AC58" s="17"/>
      <c r="AD58" s="51"/>
    </row>
    <row r="59" spans="1:30" ht="19.5" thickBot="1" x14ac:dyDescent="0.3">
      <c r="A59" s="14">
        <v>24</v>
      </c>
      <c r="B59" s="15"/>
      <c r="C59" s="15" t="e">
        <f>VLOOKUP(B59,داتا!$B$3:$D$107,2,FALSE)</f>
        <v>#N/A</v>
      </c>
      <c r="D59" s="34" t="e">
        <f>VLOOKUP(B59,داتا!$B$3:$D$107,3,FALSE)</f>
        <v>#N/A</v>
      </c>
      <c r="E59" s="16"/>
      <c r="F59" s="15"/>
      <c r="G59" s="16">
        <v>0.25</v>
      </c>
      <c r="H59" s="16" t="e">
        <f t="shared" si="8"/>
        <v>#N/A</v>
      </c>
      <c r="I59" s="16" t="e">
        <f t="shared" si="1"/>
        <v>#N/A</v>
      </c>
      <c r="J59" s="16"/>
      <c r="K59" s="16"/>
      <c r="L59" s="15"/>
      <c r="M59" s="15"/>
      <c r="N59" s="16">
        <f t="shared" si="2"/>
        <v>0</v>
      </c>
      <c r="O59" s="16" t="e">
        <f t="shared" si="3"/>
        <v>#N/A</v>
      </c>
      <c r="P59" s="16">
        <v>6.9444444444444397E-3</v>
      </c>
      <c r="Q59" s="16"/>
      <c r="R59" s="16">
        <f t="shared" si="4"/>
        <v>-6.9444444444444397E-3</v>
      </c>
      <c r="S59" s="16"/>
      <c r="T59" s="16" t="e">
        <f>VLOOKUP(E59,'[2]21-3-2026'!E$3:T$35,16,FALSE)</f>
        <v>#N/A</v>
      </c>
      <c r="U59" s="16"/>
      <c r="V59" s="16" t="e">
        <f t="shared" si="5"/>
        <v>#N/A</v>
      </c>
      <c r="W59" s="16"/>
      <c r="X59" s="16"/>
      <c r="Y59" s="16"/>
      <c r="Z59" s="16">
        <f t="shared" si="6"/>
        <v>0</v>
      </c>
      <c r="AA59" s="16">
        <f t="shared" si="0"/>
        <v>0</v>
      </c>
      <c r="AB59" s="16"/>
      <c r="AC59" s="17"/>
      <c r="AD59" s="51"/>
    </row>
    <row r="60" spans="1:30" ht="19.5" thickBot="1" x14ac:dyDescent="0.3">
      <c r="A60" s="14">
        <v>25</v>
      </c>
      <c r="B60" s="15"/>
      <c r="C60" s="15" t="e">
        <f>VLOOKUP(B60,داتا!$B$3:$D$107,2,FALSE)</f>
        <v>#N/A</v>
      </c>
      <c r="D60" s="34" t="e">
        <f>VLOOKUP(B60,داتا!$B$3:$D$107,3,FALSE)</f>
        <v>#N/A</v>
      </c>
      <c r="E60" s="15"/>
      <c r="F60" s="15"/>
      <c r="G60" s="16">
        <v>0.25</v>
      </c>
      <c r="H60" s="16" t="e">
        <f t="shared" si="8"/>
        <v>#N/A</v>
      </c>
      <c r="I60" s="16" t="e">
        <f t="shared" si="1"/>
        <v>#N/A</v>
      </c>
      <c r="J60" s="16"/>
      <c r="K60" s="16"/>
      <c r="L60" s="16"/>
      <c r="M60" s="16"/>
      <c r="N60" s="16">
        <f t="shared" si="2"/>
        <v>0</v>
      </c>
      <c r="O60" s="16" t="e">
        <f t="shared" si="3"/>
        <v>#N/A</v>
      </c>
      <c r="P60" s="16">
        <v>6.9444444444444397E-3</v>
      </c>
      <c r="Q60" s="16"/>
      <c r="R60" s="16">
        <f t="shared" si="4"/>
        <v>-6.9444444444444397E-3</v>
      </c>
      <c r="S60" s="16"/>
      <c r="T60" s="16" t="e">
        <f>VLOOKUP(E60,'[2]21-3-2026'!E$3:T$35,16,FALSE)</f>
        <v>#N/A</v>
      </c>
      <c r="U60" s="16"/>
      <c r="V60" s="16" t="e">
        <f t="shared" si="5"/>
        <v>#N/A</v>
      </c>
      <c r="W60" s="16"/>
      <c r="X60" s="16"/>
      <c r="Y60" s="16"/>
      <c r="Z60" s="16">
        <f t="shared" si="6"/>
        <v>0</v>
      </c>
      <c r="AA60" s="16">
        <f t="shared" si="0"/>
        <v>0</v>
      </c>
      <c r="AB60" s="16"/>
      <c r="AC60" s="17"/>
      <c r="AD60" s="51"/>
    </row>
    <row r="61" spans="1:30" ht="19.5" thickBot="1" x14ac:dyDescent="0.3">
      <c r="A61" s="14">
        <v>26</v>
      </c>
      <c r="B61" s="15"/>
      <c r="C61" s="15" t="e">
        <f>VLOOKUP(B61,داتا!$B$3:$D$107,2,FALSE)</f>
        <v>#N/A</v>
      </c>
      <c r="D61" s="34" t="e">
        <f>VLOOKUP(B61,داتا!$B$3:$D$107,3,FALSE)</f>
        <v>#N/A</v>
      </c>
      <c r="E61" s="15"/>
      <c r="F61" s="15"/>
      <c r="G61" s="16">
        <v>0.25</v>
      </c>
      <c r="H61" s="16" t="e">
        <f t="shared" si="8"/>
        <v>#N/A</v>
      </c>
      <c r="I61" s="16" t="e">
        <f t="shared" si="1"/>
        <v>#N/A</v>
      </c>
      <c r="J61" s="16"/>
      <c r="K61" s="16"/>
      <c r="L61" s="16"/>
      <c r="M61" s="16"/>
      <c r="N61" s="16">
        <f t="shared" si="2"/>
        <v>0</v>
      </c>
      <c r="O61" s="16" t="e">
        <f t="shared" si="3"/>
        <v>#N/A</v>
      </c>
      <c r="P61" s="16">
        <v>6.9444444444444397E-3</v>
      </c>
      <c r="Q61" s="16"/>
      <c r="R61" s="16">
        <f t="shared" si="4"/>
        <v>-6.9444444444444397E-3</v>
      </c>
      <c r="S61" s="16"/>
      <c r="T61" s="16" t="e">
        <f>VLOOKUP(E61,'[2]21-3-2026'!E$3:T$35,16,FALSE)</f>
        <v>#N/A</v>
      </c>
      <c r="U61" s="16"/>
      <c r="V61" s="16" t="e">
        <f t="shared" si="5"/>
        <v>#N/A</v>
      </c>
      <c r="W61" s="16"/>
      <c r="X61" s="16"/>
      <c r="Y61" s="16"/>
      <c r="Z61" s="16">
        <f t="shared" si="6"/>
        <v>0</v>
      </c>
      <c r="AA61" s="16">
        <f t="shared" si="0"/>
        <v>0</v>
      </c>
      <c r="AB61" s="16"/>
      <c r="AC61" s="17"/>
      <c r="AD61" s="51"/>
    </row>
    <row r="62" spans="1:30" ht="19.5" thickBot="1" x14ac:dyDescent="0.3">
      <c r="A62" s="14">
        <v>27</v>
      </c>
      <c r="B62" s="15"/>
      <c r="C62" s="15" t="e">
        <f>VLOOKUP(B62,داتا!$B$3:$D$107,2,FALSE)</f>
        <v>#N/A</v>
      </c>
      <c r="D62" s="34" t="e">
        <f>VLOOKUP(B62,داتا!$B$3:$D$107,3,FALSE)</f>
        <v>#N/A</v>
      </c>
      <c r="E62" s="15"/>
      <c r="F62" s="15"/>
      <c r="G62" s="16">
        <v>0.25</v>
      </c>
      <c r="H62" s="16" t="e">
        <f t="shared" si="8"/>
        <v>#N/A</v>
      </c>
      <c r="I62" s="16" t="e">
        <f t="shared" si="1"/>
        <v>#N/A</v>
      </c>
      <c r="J62" s="16"/>
      <c r="K62" s="16"/>
      <c r="L62" s="16"/>
      <c r="M62" s="16"/>
      <c r="N62" s="16">
        <f t="shared" si="2"/>
        <v>0</v>
      </c>
      <c r="O62" s="16" t="e">
        <f t="shared" si="3"/>
        <v>#N/A</v>
      </c>
      <c r="P62" s="16">
        <v>6.9444444444444397E-3</v>
      </c>
      <c r="Q62" s="16"/>
      <c r="R62" s="16">
        <f t="shared" si="4"/>
        <v>-6.9444444444444397E-3</v>
      </c>
      <c r="S62" s="16"/>
      <c r="T62" s="16" t="e">
        <f>VLOOKUP(E62,'[2]21-3-2026'!E$3:T$35,16,FALSE)</f>
        <v>#N/A</v>
      </c>
      <c r="U62" s="16"/>
      <c r="V62" s="16" t="e">
        <f t="shared" si="5"/>
        <v>#N/A</v>
      </c>
      <c r="W62" s="16"/>
      <c r="X62" s="16"/>
      <c r="Y62" s="16"/>
      <c r="Z62" s="16">
        <f t="shared" si="6"/>
        <v>0</v>
      </c>
      <c r="AA62" s="16">
        <f t="shared" si="0"/>
        <v>0</v>
      </c>
      <c r="AB62" s="16"/>
      <c r="AC62" s="17"/>
      <c r="AD62" s="51"/>
    </row>
    <row r="63" spans="1:30" ht="19.5" thickBot="1" x14ac:dyDescent="0.3">
      <c r="A63" s="14">
        <v>28</v>
      </c>
      <c r="B63" s="15"/>
      <c r="C63" s="15" t="e">
        <f>VLOOKUP(B63,داتا!$B$3:$D$107,2,FALSE)</f>
        <v>#N/A</v>
      </c>
      <c r="D63" s="34" t="e">
        <f>VLOOKUP(B63,داتا!$B$3:$D$107,3,FALSE)</f>
        <v>#N/A</v>
      </c>
      <c r="E63" s="15"/>
      <c r="F63" s="15"/>
      <c r="G63" s="16">
        <v>0.25</v>
      </c>
      <c r="H63" s="16" t="e">
        <f t="shared" si="8"/>
        <v>#N/A</v>
      </c>
      <c r="I63" s="16" t="e">
        <f t="shared" si="1"/>
        <v>#N/A</v>
      </c>
      <c r="J63" s="16"/>
      <c r="K63" s="16"/>
      <c r="L63" s="16"/>
      <c r="M63" s="16"/>
      <c r="N63" s="16">
        <f t="shared" si="2"/>
        <v>0</v>
      </c>
      <c r="O63" s="16" t="e">
        <f t="shared" si="3"/>
        <v>#N/A</v>
      </c>
      <c r="P63" s="16">
        <v>6.9444444444444397E-3</v>
      </c>
      <c r="Q63" s="16"/>
      <c r="R63" s="16">
        <f t="shared" si="4"/>
        <v>-6.9444444444444397E-3</v>
      </c>
      <c r="S63" s="16"/>
      <c r="T63" s="16" t="e">
        <f>VLOOKUP(E63,'[2]21-3-2026'!E$3:T$35,16,FALSE)</f>
        <v>#N/A</v>
      </c>
      <c r="U63" s="16"/>
      <c r="V63" s="16" t="e">
        <f t="shared" si="5"/>
        <v>#N/A</v>
      </c>
      <c r="W63" s="16"/>
      <c r="X63" s="16"/>
      <c r="Y63" s="16"/>
      <c r="Z63" s="16">
        <f t="shared" si="6"/>
        <v>0</v>
      </c>
      <c r="AA63" s="16">
        <f t="shared" si="0"/>
        <v>0</v>
      </c>
      <c r="AB63" s="16"/>
      <c r="AC63" s="17"/>
      <c r="AD63" s="51"/>
    </row>
    <row r="64" spans="1:30" ht="19.5" thickBot="1" x14ac:dyDescent="0.3">
      <c r="A64" s="14">
        <v>29</v>
      </c>
      <c r="B64" s="15"/>
      <c r="C64" s="15" t="e">
        <f>VLOOKUP(B64,داتا!$B$3:$D$107,2,FALSE)</f>
        <v>#N/A</v>
      </c>
      <c r="D64" s="34" t="e">
        <f>VLOOKUP(B64,داتا!$B$3:$D$107,3,FALSE)</f>
        <v>#N/A</v>
      </c>
      <c r="E64" s="15"/>
      <c r="F64" s="15"/>
      <c r="G64" s="16">
        <v>0.25</v>
      </c>
      <c r="H64" s="16" t="e">
        <f t="shared" si="8"/>
        <v>#N/A</v>
      </c>
      <c r="I64" s="16" t="e">
        <f t="shared" si="1"/>
        <v>#N/A</v>
      </c>
      <c r="J64" s="16"/>
      <c r="K64" s="16"/>
      <c r="L64" s="16"/>
      <c r="M64" s="16"/>
      <c r="N64" s="16">
        <f t="shared" si="2"/>
        <v>0</v>
      </c>
      <c r="O64" s="16" t="e">
        <f t="shared" si="3"/>
        <v>#N/A</v>
      </c>
      <c r="P64" s="16">
        <v>6.9444444444444397E-3</v>
      </c>
      <c r="Q64" s="16"/>
      <c r="R64" s="16">
        <f t="shared" si="4"/>
        <v>-6.9444444444444397E-3</v>
      </c>
      <c r="S64" s="16"/>
      <c r="T64" s="16" t="e">
        <f>VLOOKUP(E64,'[2]21-3-2026'!E$3:T$35,16,FALSE)</f>
        <v>#N/A</v>
      </c>
      <c r="U64" s="16"/>
      <c r="V64" s="16" t="e">
        <f t="shared" si="5"/>
        <v>#N/A</v>
      </c>
      <c r="W64" s="16"/>
      <c r="X64" s="16"/>
      <c r="Y64" s="16"/>
      <c r="Z64" s="16">
        <f t="shared" si="6"/>
        <v>0</v>
      </c>
      <c r="AA64" s="16">
        <f t="shared" si="0"/>
        <v>0</v>
      </c>
      <c r="AB64" s="16"/>
      <c r="AC64" s="17"/>
      <c r="AD64" s="51"/>
    </row>
    <row r="65" spans="1:30" ht="19.5" thickBot="1" x14ac:dyDescent="0.3">
      <c r="A65" s="14">
        <v>30</v>
      </c>
      <c r="B65" s="15"/>
      <c r="C65" s="15" t="e">
        <f>VLOOKUP(B65,داتا!$B$3:$D$107,2,FALSE)</f>
        <v>#N/A</v>
      </c>
      <c r="D65" s="34" t="e">
        <f>VLOOKUP(B65,داتا!$B$3:$D$107,3,FALSE)</f>
        <v>#N/A</v>
      </c>
      <c r="E65" s="15"/>
      <c r="F65" s="15"/>
      <c r="G65" s="16">
        <v>0.25</v>
      </c>
      <c r="H65" s="16" t="e">
        <f t="shared" si="8"/>
        <v>#N/A</v>
      </c>
      <c r="I65" s="16" t="e">
        <f t="shared" si="1"/>
        <v>#N/A</v>
      </c>
      <c r="J65" s="16"/>
      <c r="K65" s="16"/>
      <c r="L65" s="16"/>
      <c r="M65" s="16"/>
      <c r="N65" s="16">
        <f t="shared" si="2"/>
        <v>0</v>
      </c>
      <c r="O65" s="16" t="e">
        <f t="shared" si="3"/>
        <v>#N/A</v>
      </c>
      <c r="P65" s="16">
        <v>6.9444444444444397E-3</v>
      </c>
      <c r="Q65" s="16"/>
      <c r="R65" s="16">
        <f t="shared" si="4"/>
        <v>-6.9444444444444397E-3</v>
      </c>
      <c r="S65" s="16"/>
      <c r="T65" s="16" t="e">
        <f>VLOOKUP(E65,'[2]21-3-2026'!E$3:T$35,16,FALSE)</f>
        <v>#N/A</v>
      </c>
      <c r="U65" s="16"/>
      <c r="V65" s="16" t="e">
        <f t="shared" si="5"/>
        <v>#N/A</v>
      </c>
      <c r="W65" s="16"/>
      <c r="X65" s="16"/>
      <c r="Y65" s="16"/>
      <c r="Z65" s="16">
        <f t="shared" si="6"/>
        <v>0</v>
      </c>
      <c r="AA65" s="16">
        <f t="shared" si="0"/>
        <v>0</v>
      </c>
      <c r="AB65" s="16"/>
      <c r="AC65" s="17"/>
      <c r="AD65" s="51"/>
    </row>
    <row r="66" spans="1:30" ht="20.25" customHeight="1" thickBot="1" x14ac:dyDescent="0.3">
      <c r="A66" s="14">
        <v>31</v>
      </c>
      <c r="B66" s="15"/>
      <c r="C66" s="15" t="e">
        <f>VLOOKUP(B66,داتا!$B$3:$D$107,2,FALSE)</f>
        <v>#N/A</v>
      </c>
      <c r="D66" s="34" t="e">
        <f>VLOOKUP(B66,داتا!$B$3:$D$107,3,FALSE)</f>
        <v>#N/A</v>
      </c>
      <c r="E66" s="15"/>
      <c r="F66" s="15"/>
      <c r="G66" s="16">
        <v>0.25</v>
      </c>
      <c r="H66" s="16" t="e">
        <f t="shared" si="8"/>
        <v>#N/A</v>
      </c>
      <c r="I66" s="16" t="e">
        <f t="shared" si="1"/>
        <v>#N/A</v>
      </c>
      <c r="J66" s="16"/>
      <c r="K66" s="16"/>
      <c r="L66" s="16"/>
      <c r="M66" s="16"/>
      <c r="N66" s="16">
        <f t="shared" si="2"/>
        <v>0</v>
      </c>
      <c r="O66" s="16" t="e">
        <f t="shared" si="3"/>
        <v>#N/A</v>
      </c>
      <c r="P66" s="16">
        <v>6.9444444444444397E-3</v>
      </c>
      <c r="Q66" s="16"/>
      <c r="R66" s="16">
        <f t="shared" si="4"/>
        <v>-6.9444444444444397E-3</v>
      </c>
      <c r="S66" s="16"/>
      <c r="T66" s="16" t="e">
        <f>VLOOKUP(E66,'[2]21-3-2026'!E$3:T$35,16,FALSE)</f>
        <v>#N/A</v>
      </c>
      <c r="U66" s="16"/>
      <c r="V66" s="16" t="e">
        <f t="shared" si="5"/>
        <v>#N/A</v>
      </c>
      <c r="W66" s="16"/>
      <c r="X66" s="16"/>
      <c r="Y66" s="16"/>
      <c r="Z66" s="16">
        <f t="shared" si="6"/>
        <v>0</v>
      </c>
      <c r="AA66" s="16">
        <f t="shared" si="0"/>
        <v>0</v>
      </c>
      <c r="AB66" s="16"/>
      <c r="AC66" s="19"/>
      <c r="AD66" s="51"/>
    </row>
    <row r="67" spans="1:30" ht="19.5" customHeight="1" thickBot="1" x14ac:dyDescent="0.3">
      <c r="A67" s="20">
        <v>32</v>
      </c>
      <c r="B67" s="21"/>
      <c r="C67" s="21" t="e">
        <f>VLOOKUP(B67,داتا!$B$3:$D$107,2,FALSE)</f>
        <v>#N/A</v>
      </c>
      <c r="D67" s="35" t="e">
        <f>VLOOKUP(B67,داتا!$B$3:$D$107,3,FALSE)</f>
        <v>#N/A</v>
      </c>
      <c r="E67" s="21"/>
      <c r="F67" s="21"/>
      <c r="G67" s="22">
        <v>0.25</v>
      </c>
      <c r="H67" s="22" t="e">
        <f t="shared" si="8"/>
        <v>#N/A</v>
      </c>
      <c r="I67" s="22" t="e">
        <f t="shared" si="1"/>
        <v>#N/A</v>
      </c>
      <c r="J67" s="22"/>
      <c r="K67" s="22"/>
      <c r="L67" s="22"/>
      <c r="M67" s="22"/>
      <c r="N67" s="22">
        <f t="shared" si="2"/>
        <v>0</v>
      </c>
      <c r="O67" s="22" t="e">
        <f t="shared" si="3"/>
        <v>#N/A</v>
      </c>
      <c r="P67" s="22">
        <v>6.9444444444444397E-3</v>
      </c>
      <c r="Q67" s="22"/>
      <c r="R67" s="22">
        <f t="shared" si="4"/>
        <v>-6.9444444444444397E-3</v>
      </c>
      <c r="S67" s="22"/>
      <c r="T67" s="22" t="e">
        <f>VLOOKUP(E67,'[2]21-3-2026'!E$3:T$35,16,FALSE)</f>
        <v>#N/A</v>
      </c>
      <c r="U67" s="22"/>
      <c r="V67" s="22" t="e">
        <f t="shared" si="5"/>
        <v>#N/A</v>
      </c>
      <c r="W67" s="22"/>
      <c r="X67" s="22"/>
      <c r="Y67" s="22"/>
      <c r="Z67" s="22">
        <f t="shared" si="6"/>
        <v>0</v>
      </c>
      <c r="AA67" s="22">
        <f t="shared" ref="AA67:AA99" si="9">Z67-W67</f>
        <v>0</v>
      </c>
      <c r="AB67" s="22"/>
      <c r="AC67" s="23"/>
      <c r="AD67" s="52"/>
    </row>
    <row r="68" spans="1:30" ht="20.25" thickTop="1" thickBot="1" x14ac:dyDescent="0.3">
      <c r="A68" s="10">
        <v>1</v>
      </c>
      <c r="B68" s="11"/>
      <c r="C68" s="11" t="e">
        <f>VLOOKUP(B68,داتا!$B$3:$D$107,2,FALSE)</f>
        <v>#N/A</v>
      </c>
      <c r="D68" s="33" t="e">
        <f>VLOOKUP(B68,داتا!$B$3:$D$107,3,FALSE)</f>
        <v>#N/A</v>
      </c>
      <c r="E68" s="11"/>
      <c r="F68" s="11"/>
      <c r="G68" s="12">
        <v>8.3333333333333329E-2</v>
      </c>
      <c r="H68" s="12" t="e">
        <f t="shared" si="8"/>
        <v>#N/A</v>
      </c>
      <c r="I68" s="12" t="e">
        <f t="shared" ref="I68:I99" si="10">H68-G68</f>
        <v>#N/A</v>
      </c>
      <c r="J68" s="12"/>
      <c r="K68" s="12"/>
      <c r="L68" s="12"/>
      <c r="M68" s="12"/>
      <c r="N68" s="12">
        <f t="shared" ref="N68:N99" si="11">K68-J68</f>
        <v>0</v>
      </c>
      <c r="O68" s="12" t="e">
        <f t="shared" ref="O68:O99" si="12">N68-D68</f>
        <v>#N/A</v>
      </c>
      <c r="P68" s="12">
        <v>6.9444444444444397E-3</v>
      </c>
      <c r="Q68" s="12"/>
      <c r="R68" s="12">
        <f t="shared" ref="R68:R99" si="13">Q68-P68-K68</f>
        <v>-6.9444444444444397E-3</v>
      </c>
      <c r="S68" s="12"/>
      <c r="T68" s="12" t="e">
        <f>VLOOKUP(E68,'[2]21-3-2026'!E$3:T$35,16,FALSE)</f>
        <v>#N/A</v>
      </c>
      <c r="U68" s="12"/>
      <c r="V68" s="12" t="e">
        <f t="shared" ref="V68:V99" si="14">U68-T68-S68</f>
        <v>#N/A</v>
      </c>
      <c r="W68" s="12"/>
      <c r="X68" s="12"/>
      <c r="Y68" s="12"/>
      <c r="Z68" s="12">
        <f t="shared" ref="Z68:Z99" si="15">Y68-X68</f>
        <v>0</v>
      </c>
      <c r="AA68" s="12">
        <f t="shared" si="9"/>
        <v>0</v>
      </c>
      <c r="AB68" s="12"/>
      <c r="AC68" s="13"/>
      <c r="AD68" s="53" t="s">
        <v>116</v>
      </c>
    </row>
    <row r="69" spans="1:30" ht="19.5" thickBot="1" x14ac:dyDescent="0.3">
      <c r="A69" s="14">
        <v>2</v>
      </c>
      <c r="B69" s="15"/>
      <c r="C69" s="15" t="e">
        <f>VLOOKUP(B69,داتا!$B$3:$D$107,2,FALSE)</f>
        <v>#N/A</v>
      </c>
      <c r="D69" s="34" t="e">
        <f>VLOOKUP(B69,داتا!$B$3:$D$107,3,FALSE)</f>
        <v>#N/A</v>
      </c>
      <c r="E69" s="15"/>
      <c r="F69" s="15"/>
      <c r="G69" s="16">
        <v>8.3333333333333329E-2</v>
      </c>
      <c r="H69" s="16" t="e">
        <f t="shared" ref="H69:H84" si="16">VLOOKUP(G69,$F$3:$I$35,2,FALSE)</f>
        <v>#N/A</v>
      </c>
      <c r="I69" s="16" t="e">
        <f t="shared" si="10"/>
        <v>#N/A</v>
      </c>
      <c r="J69" s="16"/>
      <c r="K69" s="16"/>
      <c r="L69" s="16"/>
      <c r="M69" s="16"/>
      <c r="N69" s="16">
        <f t="shared" si="11"/>
        <v>0</v>
      </c>
      <c r="O69" s="16" t="e">
        <f t="shared" si="12"/>
        <v>#N/A</v>
      </c>
      <c r="P69" s="16">
        <v>6.9444444444444397E-3</v>
      </c>
      <c r="Q69" s="16"/>
      <c r="R69" s="16">
        <f t="shared" si="13"/>
        <v>-6.9444444444444397E-3</v>
      </c>
      <c r="S69" s="16"/>
      <c r="T69" s="16" t="e">
        <f>VLOOKUP(E69,'[2]21-3-2026'!E$3:T$35,16,FALSE)</f>
        <v>#N/A</v>
      </c>
      <c r="U69" s="16"/>
      <c r="V69" s="16" t="e">
        <f t="shared" si="14"/>
        <v>#N/A</v>
      </c>
      <c r="W69" s="16"/>
      <c r="X69" s="16"/>
      <c r="Y69" s="16"/>
      <c r="Z69" s="16">
        <f t="shared" si="15"/>
        <v>0</v>
      </c>
      <c r="AA69" s="16">
        <f t="shared" si="9"/>
        <v>0</v>
      </c>
      <c r="AB69" s="16"/>
      <c r="AC69" s="17"/>
      <c r="AD69" s="51"/>
    </row>
    <row r="70" spans="1:30" ht="19.5" thickBot="1" x14ac:dyDescent="0.3">
      <c r="A70" s="14">
        <v>3</v>
      </c>
      <c r="B70" s="15"/>
      <c r="C70" s="15" t="e">
        <f>VLOOKUP(B70,داتا!$B$3:$D$107,2,FALSE)</f>
        <v>#N/A</v>
      </c>
      <c r="D70" s="34" t="e">
        <f>VLOOKUP(B70,داتا!$B$3:$D$107,3,FALSE)</f>
        <v>#N/A</v>
      </c>
      <c r="E70" s="15"/>
      <c r="F70" s="15"/>
      <c r="G70" s="16">
        <v>8.3333333333333329E-2</v>
      </c>
      <c r="H70" s="16" t="e">
        <f t="shared" si="16"/>
        <v>#N/A</v>
      </c>
      <c r="I70" s="16" t="e">
        <f t="shared" si="10"/>
        <v>#N/A</v>
      </c>
      <c r="J70" s="16"/>
      <c r="K70" s="16"/>
      <c r="L70" s="16"/>
      <c r="M70" s="16"/>
      <c r="N70" s="16">
        <f t="shared" si="11"/>
        <v>0</v>
      </c>
      <c r="O70" s="16" t="e">
        <f t="shared" si="12"/>
        <v>#N/A</v>
      </c>
      <c r="P70" s="16">
        <v>6.9444444444444397E-3</v>
      </c>
      <c r="Q70" s="16"/>
      <c r="R70" s="16">
        <f t="shared" si="13"/>
        <v>-6.9444444444444397E-3</v>
      </c>
      <c r="S70" s="16"/>
      <c r="T70" s="16" t="e">
        <f>VLOOKUP(E70,'[2]21-3-2026'!E$3:T$35,16,FALSE)</f>
        <v>#N/A</v>
      </c>
      <c r="U70" s="16"/>
      <c r="V70" s="16" t="e">
        <f t="shared" si="14"/>
        <v>#N/A</v>
      </c>
      <c r="W70" s="16"/>
      <c r="X70" s="16"/>
      <c r="Y70" s="16"/>
      <c r="Z70" s="16">
        <f t="shared" si="15"/>
        <v>0</v>
      </c>
      <c r="AA70" s="16">
        <f t="shared" si="9"/>
        <v>0</v>
      </c>
      <c r="AB70" s="16"/>
      <c r="AC70" s="17"/>
      <c r="AD70" s="51"/>
    </row>
    <row r="71" spans="1:30" ht="19.5" thickBot="1" x14ac:dyDescent="0.3">
      <c r="A71" s="14">
        <v>4</v>
      </c>
      <c r="B71" s="15"/>
      <c r="C71" s="15" t="e">
        <f>VLOOKUP(B71,داتا!$B$3:$D$107,2,FALSE)</f>
        <v>#N/A</v>
      </c>
      <c r="D71" s="34" t="e">
        <f>VLOOKUP(B71,داتا!$B$3:$D$107,3,FALSE)</f>
        <v>#N/A</v>
      </c>
      <c r="E71" s="15"/>
      <c r="F71" s="15"/>
      <c r="G71" s="16">
        <v>8.3333333333333329E-2</v>
      </c>
      <c r="H71" s="16" t="e">
        <f t="shared" si="16"/>
        <v>#N/A</v>
      </c>
      <c r="I71" s="16" t="e">
        <f t="shared" si="10"/>
        <v>#N/A</v>
      </c>
      <c r="J71" s="16"/>
      <c r="K71" s="16"/>
      <c r="L71" s="16"/>
      <c r="M71" s="16"/>
      <c r="N71" s="16">
        <f t="shared" si="11"/>
        <v>0</v>
      </c>
      <c r="O71" s="16" t="e">
        <f t="shared" si="12"/>
        <v>#N/A</v>
      </c>
      <c r="P71" s="16">
        <v>6.9444444444444397E-3</v>
      </c>
      <c r="Q71" s="16"/>
      <c r="R71" s="16">
        <f t="shared" si="13"/>
        <v>-6.9444444444444397E-3</v>
      </c>
      <c r="S71" s="16"/>
      <c r="T71" s="16" t="e">
        <f>VLOOKUP(E71,'[2]21-3-2026'!E$3:T$35,16,FALSE)</f>
        <v>#N/A</v>
      </c>
      <c r="U71" s="16"/>
      <c r="V71" s="16" t="e">
        <f t="shared" si="14"/>
        <v>#N/A</v>
      </c>
      <c r="W71" s="16"/>
      <c r="X71" s="16"/>
      <c r="Y71" s="16"/>
      <c r="Z71" s="16">
        <f t="shared" si="15"/>
        <v>0</v>
      </c>
      <c r="AA71" s="16">
        <f t="shared" si="9"/>
        <v>0</v>
      </c>
      <c r="AB71" s="16"/>
      <c r="AC71" s="17"/>
      <c r="AD71" s="51"/>
    </row>
    <row r="72" spans="1:30" ht="19.5" thickBot="1" x14ac:dyDescent="0.3">
      <c r="A72" s="14">
        <v>5</v>
      </c>
      <c r="B72" s="15"/>
      <c r="C72" s="15" t="e">
        <f>VLOOKUP(B72,داتا!$B$3:$D$107,2,FALSE)</f>
        <v>#N/A</v>
      </c>
      <c r="D72" s="34" t="e">
        <f>VLOOKUP(B72,داتا!$B$3:$D$107,3,FALSE)</f>
        <v>#N/A</v>
      </c>
      <c r="E72" s="15"/>
      <c r="F72" s="15"/>
      <c r="G72" s="16">
        <v>8.3333333333333329E-2</v>
      </c>
      <c r="H72" s="16" t="e">
        <f t="shared" si="16"/>
        <v>#N/A</v>
      </c>
      <c r="I72" s="16" t="e">
        <f t="shared" si="10"/>
        <v>#N/A</v>
      </c>
      <c r="J72" s="16"/>
      <c r="K72" s="16"/>
      <c r="L72" s="16"/>
      <c r="M72" s="16"/>
      <c r="N72" s="16">
        <f t="shared" si="11"/>
        <v>0</v>
      </c>
      <c r="O72" s="16" t="e">
        <f t="shared" si="12"/>
        <v>#N/A</v>
      </c>
      <c r="P72" s="16">
        <v>6.9444444444444397E-3</v>
      </c>
      <c r="Q72" s="16"/>
      <c r="R72" s="16">
        <f t="shared" si="13"/>
        <v>-6.9444444444444397E-3</v>
      </c>
      <c r="S72" s="16"/>
      <c r="T72" s="16" t="e">
        <f>VLOOKUP(E72,'[2]21-3-2026'!E$3:T$35,16,FALSE)</f>
        <v>#N/A</v>
      </c>
      <c r="U72" s="16"/>
      <c r="V72" s="16" t="e">
        <f t="shared" si="14"/>
        <v>#N/A</v>
      </c>
      <c r="W72" s="16"/>
      <c r="X72" s="16"/>
      <c r="Y72" s="16"/>
      <c r="Z72" s="16">
        <f t="shared" si="15"/>
        <v>0</v>
      </c>
      <c r="AA72" s="16">
        <f t="shared" si="9"/>
        <v>0</v>
      </c>
      <c r="AB72" s="16"/>
      <c r="AC72" s="17"/>
      <c r="AD72" s="51"/>
    </row>
    <row r="73" spans="1:30" ht="19.5" thickBot="1" x14ac:dyDescent="0.3">
      <c r="A73" s="14">
        <v>6</v>
      </c>
      <c r="B73" s="15"/>
      <c r="C73" s="15" t="e">
        <f>VLOOKUP(B73,داتا!$B$3:$D$107,2,FALSE)</f>
        <v>#N/A</v>
      </c>
      <c r="D73" s="34" t="e">
        <f>VLOOKUP(B73,داتا!$B$3:$D$107,3,FALSE)</f>
        <v>#N/A</v>
      </c>
      <c r="E73" s="15"/>
      <c r="F73" s="15"/>
      <c r="G73" s="16">
        <v>8.3333333333333329E-2</v>
      </c>
      <c r="H73" s="16" t="e">
        <f t="shared" si="16"/>
        <v>#N/A</v>
      </c>
      <c r="I73" s="16" t="e">
        <f t="shared" si="10"/>
        <v>#N/A</v>
      </c>
      <c r="J73" s="16"/>
      <c r="K73" s="16"/>
      <c r="L73" s="16"/>
      <c r="M73" s="16"/>
      <c r="N73" s="16">
        <f t="shared" si="11"/>
        <v>0</v>
      </c>
      <c r="O73" s="16" t="e">
        <f t="shared" si="12"/>
        <v>#N/A</v>
      </c>
      <c r="P73" s="16">
        <v>6.9444444444444397E-3</v>
      </c>
      <c r="Q73" s="16"/>
      <c r="R73" s="16">
        <f t="shared" si="13"/>
        <v>-6.9444444444444397E-3</v>
      </c>
      <c r="S73" s="16"/>
      <c r="T73" s="16" t="e">
        <f>VLOOKUP(E73,'[2]21-3-2026'!E$3:T$35,16,FALSE)</f>
        <v>#N/A</v>
      </c>
      <c r="U73" s="16"/>
      <c r="V73" s="16" t="e">
        <f t="shared" si="14"/>
        <v>#N/A</v>
      </c>
      <c r="W73" s="16"/>
      <c r="X73" s="16"/>
      <c r="Y73" s="16"/>
      <c r="Z73" s="16">
        <f t="shared" si="15"/>
        <v>0</v>
      </c>
      <c r="AA73" s="16">
        <f t="shared" si="9"/>
        <v>0</v>
      </c>
      <c r="AB73" s="16"/>
      <c r="AC73" s="17"/>
      <c r="AD73" s="51"/>
    </row>
    <row r="74" spans="1:30" ht="19.5" thickBot="1" x14ac:dyDescent="0.3">
      <c r="A74" s="14">
        <v>7</v>
      </c>
      <c r="B74" s="15"/>
      <c r="C74" s="15" t="e">
        <f>VLOOKUP(B74,داتا!$B$3:$D$107,2,FALSE)</f>
        <v>#N/A</v>
      </c>
      <c r="D74" s="34" t="e">
        <f>VLOOKUP(B74,داتا!$B$3:$D$107,3,FALSE)</f>
        <v>#N/A</v>
      </c>
      <c r="E74" s="15"/>
      <c r="F74" s="15"/>
      <c r="G74" s="16">
        <v>8.3333333333333329E-2</v>
      </c>
      <c r="H74" s="16" t="e">
        <f t="shared" si="16"/>
        <v>#N/A</v>
      </c>
      <c r="I74" s="16" t="e">
        <f t="shared" si="10"/>
        <v>#N/A</v>
      </c>
      <c r="J74" s="16"/>
      <c r="K74" s="16"/>
      <c r="L74" s="16"/>
      <c r="M74" s="16"/>
      <c r="N74" s="16">
        <f t="shared" si="11"/>
        <v>0</v>
      </c>
      <c r="O74" s="16" t="e">
        <f t="shared" si="12"/>
        <v>#N/A</v>
      </c>
      <c r="P74" s="16">
        <v>6.9444444444444397E-3</v>
      </c>
      <c r="Q74" s="16"/>
      <c r="R74" s="16">
        <f t="shared" si="13"/>
        <v>-6.9444444444444397E-3</v>
      </c>
      <c r="S74" s="16"/>
      <c r="T74" s="16" t="e">
        <f>VLOOKUP(E74,'[2]21-3-2026'!E$3:T$35,16,FALSE)</f>
        <v>#N/A</v>
      </c>
      <c r="U74" s="16"/>
      <c r="V74" s="16" t="e">
        <f t="shared" si="14"/>
        <v>#N/A</v>
      </c>
      <c r="W74" s="16"/>
      <c r="X74" s="16"/>
      <c r="Y74" s="16"/>
      <c r="Z74" s="16">
        <f t="shared" si="15"/>
        <v>0</v>
      </c>
      <c r="AA74" s="16">
        <f t="shared" si="9"/>
        <v>0</v>
      </c>
      <c r="AB74" s="16"/>
      <c r="AC74" s="17"/>
      <c r="AD74" s="51"/>
    </row>
    <row r="75" spans="1:30" ht="19.5" thickBot="1" x14ac:dyDescent="0.3">
      <c r="A75" s="14">
        <v>8</v>
      </c>
      <c r="B75" s="15"/>
      <c r="C75" s="15" t="e">
        <f>VLOOKUP(B75,داتا!$B$3:$D$107,2,FALSE)</f>
        <v>#N/A</v>
      </c>
      <c r="D75" s="34" t="e">
        <f>VLOOKUP(B75,داتا!$B$3:$D$107,3,FALSE)</f>
        <v>#N/A</v>
      </c>
      <c r="E75" s="15"/>
      <c r="F75" s="15"/>
      <c r="G75" s="16">
        <v>8.3333333333333329E-2</v>
      </c>
      <c r="H75" s="16" t="e">
        <f t="shared" si="16"/>
        <v>#N/A</v>
      </c>
      <c r="I75" s="16" t="e">
        <f t="shared" si="10"/>
        <v>#N/A</v>
      </c>
      <c r="J75" s="16"/>
      <c r="K75" s="16"/>
      <c r="L75" s="16"/>
      <c r="M75" s="16"/>
      <c r="N75" s="16">
        <f t="shared" si="11"/>
        <v>0</v>
      </c>
      <c r="O75" s="16" t="e">
        <f t="shared" si="12"/>
        <v>#N/A</v>
      </c>
      <c r="P75" s="16">
        <v>6.9444444444444397E-3</v>
      </c>
      <c r="Q75" s="16"/>
      <c r="R75" s="16">
        <f t="shared" si="13"/>
        <v>-6.9444444444444397E-3</v>
      </c>
      <c r="S75" s="16"/>
      <c r="T75" s="16" t="e">
        <f>VLOOKUP(E75,'[2]21-3-2026'!E$3:T$35,16,FALSE)</f>
        <v>#N/A</v>
      </c>
      <c r="U75" s="16"/>
      <c r="V75" s="16" t="e">
        <f t="shared" si="14"/>
        <v>#N/A</v>
      </c>
      <c r="W75" s="16"/>
      <c r="X75" s="16"/>
      <c r="Y75" s="16"/>
      <c r="Z75" s="16">
        <f t="shared" si="15"/>
        <v>0</v>
      </c>
      <c r="AA75" s="16">
        <f t="shared" si="9"/>
        <v>0</v>
      </c>
      <c r="AB75" s="16"/>
      <c r="AC75" s="17"/>
      <c r="AD75" s="51"/>
    </row>
    <row r="76" spans="1:30" ht="19.5" thickBot="1" x14ac:dyDescent="0.3">
      <c r="A76" s="14">
        <v>9</v>
      </c>
      <c r="B76" s="15"/>
      <c r="C76" s="15" t="e">
        <f>VLOOKUP(B76,داتا!$B$3:$D$107,2,FALSE)</f>
        <v>#N/A</v>
      </c>
      <c r="D76" s="34" t="e">
        <f>VLOOKUP(B76,داتا!$B$3:$D$107,3,FALSE)</f>
        <v>#N/A</v>
      </c>
      <c r="E76" s="16"/>
      <c r="F76" s="15"/>
      <c r="G76" s="16">
        <v>8.3333333333333329E-2</v>
      </c>
      <c r="H76" s="16" t="e">
        <f t="shared" si="16"/>
        <v>#N/A</v>
      </c>
      <c r="I76" s="16" t="e">
        <f t="shared" si="10"/>
        <v>#N/A</v>
      </c>
      <c r="J76" s="16"/>
      <c r="K76" s="16"/>
      <c r="L76" s="16"/>
      <c r="M76" s="16"/>
      <c r="N76" s="16">
        <f t="shared" si="11"/>
        <v>0</v>
      </c>
      <c r="O76" s="16" t="e">
        <f t="shared" si="12"/>
        <v>#N/A</v>
      </c>
      <c r="P76" s="16">
        <v>6.9444444444444397E-3</v>
      </c>
      <c r="Q76" s="16"/>
      <c r="R76" s="16">
        <f t="shared" si="13"/>
        <v>-6.9444444444444397E-3</v>
      </c>
      <c r="S76" s="16"/>
      <c r="T76" s="16" t="e">
        <f>VLOOKUP(E76,'[2]21-3-2026'!E$3:T$35,16,FALSE)</f>
        <v>#N/A</v>
      </c>
      <c r="U76" s="16"/>
      <c r="V76" s="16" t="e">
        <f t="shared" si="14"/>
        <v>#N/A</v>
      </c>
      <c r="W76" s="16"/>
      <c r="X76" s="16"/>
      <c r="Y76" s="16"/>
      <c r="Z76" s="16">
        <f t="shared" si="15"/>
        <v>0</v>
      </c>
      <c r="AA76" s="16">
        <f t="shared" si="9"/>
        <v>0</v>
      </c>
      <c r="AB76" s="16"/>
      <c r="AC76" s="17"/>
      <c r="AD76" s="51"/>
    </row>
    <row r="77" spans="1:30" ht="19.5" thickBot="1" x14ac:dyDescent="0.3">
      <c r="A77" s="14">
        <v>10</v>
      </c>
      <c r="B77" s="15"/>
      <c r="C77" s="15" t="e">
        <f>VLOOKUP(B77,داتا!$B$3:$D$107,2,FALSE)</f>
        <v>#N/A</v>
      </c>
      <c r="D77" s="34" t="e">
        <f>VLOOKUP(B77,داتا!$B$3:$D$107,3,FALSE)</f>
        <v>#N/A</v>
      </c>
      <c r="E77" s="15"/>
      <c r="F77" s="15"/>
      <c r="G77" s="16">
        <v>8.3333333333333329E-2</v>
      </c>
      <c r="H77" s="16" t="e">
        <f t="shared" si="16"/>
        <v>#N/A</v>
      </c>
      <c r="I77" s="16" t="e">
        <f t="shared" si="10"/>
        <v>#N/A</v>
      </c>
      <c r="J77" s="16"/>
      <c r="K77" s="16"/>
      <c r="L77" s="16"/>
      <c r="M77" s="16"/>
      <c r="N77" s="16">
        <f t="shared" si="11"/>
        <v>0</v>
      </c>
      <c r="O77" s="16" t="e">
        <f t="shared" si="12"/>
        <v>#N/A</v>
      </c>
      <c r="P77" s="16">
        <v>6.9444444444444397E-3</v>
      </c>
      <c r="Q77" s="16"/>
      <c r="R77" s="16">
        <f t="shared" si="13"/>
        <v>-6.9444444444444397E-3</v>
      </c>
      <c r="S77" s="16"/>
      <c r="T77" s="16" t="e">
        <f>VLOOKUP(E77,'[2]21-3-2026'!E$3:T$35,16,FALSE)</f>
        <v>#N/A</v>
      </c>
      <c r="U77" s="16"/>
      <c r="V77" s="16" t="e">
        <f t="shared" si="14"/>
        <v>#N/A</v>
      </c>
      <c r="W77" s="16"/>
      <c r="X77" s="16"/>
      <c r="Y77" s="16"/>
      <c r="Z77" s="16">
        <f t="shared" si="15"/>
        <v>0</v>
      </c>
      <c r="AA77" s="16">
        <f t="shared" si="9"/>
        <v>0</v>
      </c>
      <c r="AB77" s="16"/>
      <c r="AC77" s="17"/>
      <c r="AD77" s="51"/>
    </row>
    <row r="78" spans="1:30" ht="19.5" thickBot="1" x14ac:dyDescent="0.3">
      <c r="A78" s="14">
        <v>11</v>
      </c>
      <c r="B78" s="15"/>
      <c r="C78" s="15" t="e">
        <f>VLOOKUP(B78,داتا!$B$3:$D$107,2,FALSE)</f>
        <v>#N/A</v>
      </c>
      <c r="D78" s="34" t="e">
        <f>VLOOKUP(B78,داتا!$B$3:$D$107,3,FALSE)</f>
        <v>#N/A</v>
      </c>
      <c r="E78" s="15"/>
      <c r="F78" s="15"/>
      <c r="G78" s="16">
        <v>8.3333333333333329E-2</v>
      </c>
      <c r="H78" s="16" t="e">
        <f t="shared" si="16"/>
        <v>#N/A</v>
      </c>
      <c r="I78" s="16" t="e">
        <f t="shared" si="10"/>
        <v>#N/A</v>
      </c>
      <c r="J78" s="16"/>
      <c r="K78" s="16"/>
      <c r="L78" s="16"/>
      <c r="M78" s="16"/>
      <c r="N78" s="16">
        <f t="shared" si="11"/>
        <v>0</v>
      </c>
      <c r="O78" s="16" t="e">
        <f t="shared" si="12"/>
        <v>#N/A</v>
      </c>
      <c r="P78" s="16">
        <v>6.9444444444444397E-3</v>
      </c>
      <c r="Q78" s="16"/>
      <c r="R78" s="16">
        <f t="shared" si="13"/>
        <v>-6.9444444444444397E-3</v>
      </c>
      <c r="S78" s="16"/>
      <c r="T78" s="16" t="e">
        <f>VLOOKUP(E78,'[2]21-3-2026'!E$3:T$35,16,FALSE)</f>
        <v>#N/A</v>
      </c>
      <c r="U78" s="16"/>
      <c r="V78" s="16" t="e">
        <f t="shared" si="14"/>
        <v>#N/A</v>
      </c>
      <c r="W78" s="16"/>
      <c r="X78" s="16"/>
      <c r="Y78" s="16"/>
      <c r="Z78" s="16">
        <f t="shared" si="15"/>
        <v>0</v>
      </c>
      <c r="AA78" s="16">
        <f t="shared" si="9"/>
        <v>0</v>
      </c>
      <c r="AB78" s="16"/>
      <c r="AC78" s="17"/>
      <c r="AD78" s="51"/>
    </row>
    <row r="79" spans="1:30" ht="19.5" thickBot="1" x14ac:dyDescent="0.3">
      <c r="A79" s="14">
        <v>12</v>
      </c>
      <c r="B79" s="15"/>
      <c r="C79" s="15" t="e">
        <f>VLOOKUP(B79,داتا!$B$3:$D$107,2,FALSE)</f>
        <v>#N/A</v>
      </c>
      <c r="D79" s="34" t="e">
        <f>VLOOKUP(B79,داتا!$B$3:$D$107,3,FALSE)</f>
        <v>#N/A</v>
      </c>
      <c r="E79" s="15"/>
      <c r="F79" s="15"/>
      <c r="G79" s="16">
        <v>8.3333333333333329E-2</v>
      </c>
      <c r="H79" s="16" t="e">
        <f t="shared" si="16"/>
        <v>#N/A</v>
      </c>
      <c r="I79" s="16" t="e">
        <f t="shared" si="10"/>
        <v>#N/A</v>
      </c>
      <c r="J79" s="16"/>
      <c r="K79" s="16"/>
      <c r="L79" s="16"/>
      <c r="M79" s="16"/>
      <c r="N79" s="16">
        <f t="shared" si="11"/>
        <v>0</v>
      </c>
      <c r="O79" s="16" t="e">
        <f t="shared" si="12"/>
        <v>#N/A</v>
      </c>
      <c r="P79" s="16">
        <v>6.9444444444444397E-3</v>
      </c>
      <c r="Q79" s="16"/>
      <c r="R79" s="16">
        <f t="shared" si="13"/>
        <v>-6.9444444444444397E-3</v>
      </c>
      <c r="S79" s="16"/>
      <c r="T79" s="16" t="e">
        <f>VLOOKUP(E79,'[2]21-3-2026'!E$3:T$35,16,FALSE)</f>
        <v>#N/A</v>
      </c>
      <c r="U79" s="16"/>
      <c r="V79" s="16" t="e">
        <f t="shared" si="14"/>
        <v>#N/A</v>
      </c>
      <c r="W79" s="16"/>
      <c r="X79" s="16"/>
      <c r="Y79" s="16"/>
      <c r="Z79" s="16">
        <f t="shared" si="15"/>
        <v>0</v>
      </c>
      <c r="AA79" s="16">
        <f t="shared" si="9"/>
        <v>0</v>
      </c>
      <c r="AB79" s="16"/>
      <c r="AC79" s="17"/>
      <c r="AD79" s="51"/>
    </row>
    <row r="80" spans="1:30" ht="19.5" thickBot="1" x14ac:dyDescent="0.3">
      <c r="A80" s="14">
        <v>13</v>
      </c>
      <c r="B80" s="15"/>
      <c r="C80" s="15" t="e">
        <f>VLOOKUP(B80,داتا!$B$3:$D$107,2,FALSE)</f>
        <v>#N/A</v>
      </c>
      <c r="D80" s="34" t="e">
        <f>VLOOKUP(B80,داتا!$B$3:$D$107,3,FALSE)</f>
        <v>#N/A</v>
      </c>
      <c r="E80" s="15"/>
      <c r="F80" s="15"/>
      <c r="G80" s="16">
        <v>8.3333333333333329E-2</v>
      </c>
      <c r="H80" s="16" t="e">
        <f t="shared" si="16"/>
        <v>#N/A</v>
      </c>
      <c r="I80" s="16" t="e">
        <f t="shared" si="10"/>
        <v>#N/A</v>
      </c>
      <c r="J80" s="16"/>
      <c r="K80" s="16"/>
      <c r="L80" s="16"/>
      <c r="M80" s="16"/>
      <c r="N80" s="16">
        <f t="shared" si="11"/>
        <v>0</v>
      </c>
      <c r="O80" s="16" t="e">
        <f t="shared" si="12"/>
        <v>#N/A</v>
      </c>
      <c r="P80" s="16">
        <v>6.9444444444444397E-3</v>
      </c>
      <c r="Q80" s="16"/>
      <c r="R80" s="16">
        <f t="shared" si="13"/>
        <v>-6.9444444444444397E-3</v>
      </c>
      <c r="S80" s="16"/>
      <c r="T80" s="16" t="e">
        <f>VLOOKUP(E80,'[2]21-3-2026'!E$3:T$35,16,FALSE)</f>
        <v>#N/A</v>
      </c>
      <c r="U80" s="16"/>
      <c r="V80" s="16" t="e">
        <f t="shared" si="14"/>
        <v>#N/A</v>
      </c>
      <c r="W80" s="16"/>
      <c r="X80" s="16"/>
      <c r="Y80" s="16"/>
      <c r="Z80" s="16">
        <f t="shared" si="15"/>
        <v>0</v>
      </c>
      <c r="AA80" s="16">
        <f t="shared" si="9"/>
        <v>0</v>
      </c>
      <c r="AB80" s="16"/>
      <c r="AC80" s="17"/>
      <c r="AD80" s="51"/>
    </row>
    <row r="81" spans="1:30" ht="19.5" thickBot="1" x14ac:dyDescent="0.3">
      <c r="A81" s="14">
        <v>14</v>
      </c>
      <c r="B81" s="15"/>
      <c r="C81" s="15" t="e">
        <f>VLOOKUP(B81,داتا!$B$3:$D$107,2,FALSE)</f>
        <v>#N/A</v>
      </c>
      <c r="D81" s="34" t="e">
        <f>VLOOKUP(B81,داتا!$B$3:$D$107,3,FALSE)</f>
        <v>#N/A</v>
      </c>
      <c r="E81" s="15"/>
      <c r="F81" s="15"/>
      <c r="G81" s="16">
        <v>8.3333333333333329E-2</v>
      </c>
      <c r="H81" s="16" t="e">
        <f t="shared" si="16"/>
        <v>#N/A</v>
      </c>
      <c r="I81" s="16" t="e">
        <f t="shared" si="10"/>
        <v>#N/A</v>
      </c>
      <c r="J81" s="16"/>
      <c r="K81" s="16"/>
      <c r="L81" s="16"/>
      <c r="M81" s="16"/>
      <c r="N81" s="16">
        <f t="shared" si="11"/>
        <v>0</v>
      </c>
      <c r="O81" s="16" t="e">
        <f t="shared" si="12"/>
        <v>#N/A</v>
      </c>
      <c r="P81" s="16">
        <v>6.9444444444444397E-3</v>
      </c>
      <c r="Q81" s="16"/>
      <c r="R81" s="16">
        <f t="shared" si="13"/>
        <v>-6.9444444444444397E-3</v>
      </c>
      <c r="S81" s="16"/>
      <c r="T81" s="16" t="e">
        <f>VLOOKUP(E81,'[2]21-3-2026'!E$3:T$35,16,FALSE)</f>
        <v>#N/A</v>
      </c>
      <c r="U81" s="16"/>
      <c r="V81" s="16" t="e">
        <f t="shared" si="14"/>
        <v>#N/A</v>
      </c>
      <c r="W81" s="16"/>
      <c r="X81" s="16"/>
      <c r="Y81" s="16"/>
      <c r="Z81" s="16">
        <f t="shared" si="15"/>
        <v>0</v>
      </c>
      <c r="AA81" s="16">
        <f t="shared" si="9"/>
        <v>0</v>
      </c>
      <c r="AB81" s="16"/>
      <c r="AC81" s="17"/>
      <c r="AD81" s="51"/>
    </row>
    <row r="82" spans="1:30" ht="19.5" thickBot="1" x14ac:dyDescent="0.3">
      <c r="A82" s="14">
        <v>15</v>
      </c>
      <c r="B82" s="15"/>
      <c r="C82" s="15" t="e">
        <f>VLOOKUP(B82,داتا!$B$3:$D$107,2,FALSE)</f>
        <v>#N/A</v>
      </c>
      <c r="D82" s="34" t="e">
        <f>VLOOKUP(B82,داتا!$B$3:$D$107,3,FALSE)</f>
        <v>#N/A</v>
      </c>
      <c r="E82" s="15"/>
      <c r="F82" s="15"/>
      <c r="G82" s="16">
        <v>8.3333333333333329E-2</v>
      </c>
      <c r="H82" s="16" t="e">
        <f t="shared" si="16"/>
        <v>#N/A</v>
      </c>
      <c r="I82" s="16" t="e">
        <f t="shared" si="10"/>
        <v>#N/A</v>
      </c>
      <c r="J82" s="16"/>
      <c r="K82" s="16"/>
      <c r="L82" s="16"/>
      <c r="M82" s="16"/>
      <c r="N82" s="16">
        <f t="shared" si="11"/>
        <v>0</v>
      </c>
      <c r="O82" s="16" t="e">
        <f t="shared" si="12"/>
        <v>#N/A</v>
      </c>
      <c r="P82" s="16">
        <v>6.9444444444444397E-3</v>
      </c>
      <c r="Q82" s="16"/>
      <c r="R82" s="16">
        <f t="shared" si="13"/>
        <v>-6.9444444444444397E-3</v>
      </c>
      <c r="S82" s="16"/>
      <c r="T82" s="16" t="e">
        <f>VLOOKUP(E82,'[2]21-3-2026'!E$3:T$35,16,FALSE)</f>
        <v>#N/A</v>
      </c>
      <c r="U82" s="16"/>
      <c r="V82" s="16" t="e">
        <f t="shared" si="14"/>
        <v>#N/A</v>
      </c>
      <c r="W82" s="16"/>
      <c r="X82" s="16"/>
      <c r="Y82" s="16"/>
      <c r="Z82" s="16">
        <f t="shared" si="15"/>
        <v>0</v>
      </c>
      <c r="AA82" s="16">
        <f t="shared" si="9"/>
        <v>0</v>
      </c>
      <c r="AB82" s="16"/>
      <c r="AC82" s="17"/>
      <c r="AD82" s="51"/>
    </row>
    <row r="83" spans="1:30" ht="19.5" thickBot="1" x14ac:dyDescent="0.3">
      <c r="A83" s="14">
        <v>16</v>
      </c>
      <c r="B83" s="15"/>
      <c r="C83" s="15" t="e">
        <f>VLOOKUP(B83,داتا!$B$3:$D$107,2,FALSE)</f>
        <v>#N/A</v>
      </c>
      <c r="D83" s="34" t="e">
        <f>VLOOKUP(B83,داتا!$B$3:$D$107,3,FALSE)</f>
        <v>#N/A</v>
      </c>
      <c r="E83" s="15"/>
      <c r="F83" s="15"/>
      <c r="G83" s="16">
        <v>8.3333333333333329E-2</v>
      </c>
      <c r="H83" s="16" t="e">
        <f t="shared" si="16"/>
        <v>#N/A</v>
      </c>
      <c r="I83" s="16" t="e">
        <f t="shared" si="10"/>
        <v>#N/A</v>
      </c>
      <c r="J83" s="16"/>
      <c r="K83" s="16"/>
      <c r="L83" s="16"/>
      <c r="M83" s="16"/>
      <c r="N83" s="16">
        <f t="shared" si="11"/>
        <v>0</v>
      </c>
      <c r="O83" s="16" t="e">
        <f t="shared" si="12"/>
        <v>#N/A</v>
      </c>
      <c r="P83" s="16">
        <v>6.9444444444444397E-3</v>
      </c>
      <c r="Q83" s="16"/>
      <c r="R83" s="16">
        <f t="shared" si="13"/>
        <v>-6.9444444444444397E-3</v>
      </c>
      <c r="S83" s="16"/>
      <c r="T83" s="16" t="e">
        <f>VLOOKUP(E83,'[2]21-3-2026'!E$3:T$35,16,FALSE)</f>
        <v>#N/A</v>
      </c>
      <c r="U83" s="16"/>
      <c r="V83" s="16" t="e">
        <f t="shared" si="14"/>
        <v>#N/A</v>
      </c>
      <c r="W83" s="16"/>
      <c r="X83" s="16"/>
      <c r="Y83" s="16"/>
      <c r="Z83" s="16">
        <f t="shared" si="15"/>
        <v>0</v>
      </c>
      <c r="AA83" s="16">
        <f t="shared" si="9"/>
        <v>0</v>
      </c>
      <c r="AB83" s="16"/>
      <c r="AC83" s="17"/>
      <c r="AD83" s="51"/>
    </row>
    <row r="84" spans="1:30" ht="19.5" thickBot="1" x14ac:dyDescent="0.3">
      <c r="A84" s="14">
        <v>17</v>
      </c>
      <c r="B84" s="15"/>
      <c r="C84" s="15" t="e">
        <f>VLOOKUP(B84,داتا!$B$3:$D$107,2,FALSE)</f>
        <v>#N/A</v>
      </c>
      <c r="D84" s="34" t="e">
        <f>VLOOKUP(B84,داتا!$B$3:$D$107,3,FALSE)</f>
        <v>#N/A</v>
      </c>
      <c r="E84" s="15"/>
      <c r="F84" s="15"/>
      <c r="G84" s="16">
        <v>8.3333333333333329E-2</v>
      </c>
      <c r="H84" s="16" t="e">
        <f t="shared" si="16"/>
        <v>#N/A</v>
      </c>
      <c r="I84" s="16" t="e">
        <f t="shared" si="10"/>
        <v>#N/A</v>
      </c>
      <c r="J84" s="16"/>
      <c r="K84" s="16"/>
      <c r="L84" s="16"/>
      <c r="M84" s="16"/>
      <c r="N84" s="16">
        <f t="shared" si="11"/>
        <v>0</v>
      </c>
      <c r="O84" s="16" t="e">
        <f t="shared" si="12"/>
        <v>#N/A</v>
      </c>
      <c r="P84" s="16">
        <v>6.9444444444444397E-3</v>
      </c>
      <c r="Q84" s="16"/>
      <c r="R84" s="16">
        <f t="shared" si="13"/>
        <v>-6.9444444444444397E-3</v>
      </c>
      <c r="S84" s="16"/>
      <c r="T84" s="16" t="e">
        <f>VLOOKUP(E84,'[2]21-3-2026'!E$3:T$35,16,FALSE)</f>
        <v>#N/A</v>
      </c>
      <c r="U84" s="16"/>
      <c r="V84" s="16" t="e">
        <f t="shared" si="14"/>
        <v>#N/A</v>
      </c>
      <c r="W84" s="16"/>
      <c r="X84" s="16"/>
      <c r="Y84" s="16"/>
      <c r="Z84" s="16">
        <f t="shared" si="15"/>
        <v>0</v>
      </c>
      <c r="AA84" s="16">
        <f t="shared" si="9"/>
        <v>0</v>
      </c>
      <c r="AB84" s="16"/>
      <c r="AC84" s="17"/>
      <c r="AD84" s="51"/>
    </row>
    <row r="85" spans="1:30" ht="19.5" thickBot="1" x14ac:dyDescent="0.3">
      <c r="A85" s="14">
        <v>18</v>
      </c>
      <c r="B85" s="15"/>
      <c r="C85" s="15" t="e">
        <f>VLOOKUP(B85,داتا!$B$3:$D$107,2,FALSE)</f>
        <v>#N/A</v>
      </c>
      <c r="D85" s="34" t="e">
        <f>VLOOKUP(B85,داتا!$B$3:$D$107,3,FALSE)</f>
        <v>#N/A</v>
      </c>
      <c r="E85" s="15"/>
      <c r="F85" s="15"/>
      <c r="G85" s="16">
        <v>8.3333333333333329E-2</v>
      </c>
      <c r="H85" s="16" t="e">
        <f t="shared" ref="H85:H99" si="17">VLOOKUP(G85,$F$3:$I$35,2,FALSE)</f>
        <v>#N/A</v>
      </c>
      <c r="I85" s="16" t="e">
        <f t="shared" si="10"/>
        <v>#N/A</v>
      </c>
      <c r="J85" s="16"/>
      <c r="K85" s="16"/>
      <c r="L85" s="16"/>
      <c r="M85" s="16"/>
      <c r="N85" s="16">
        <f t="shared" si="11"/>
        <v>0</v>
      </c>
      <c r="O85" s="16" t="e">
        <f t="shared" si="12"/>
        <v>#N/A</v>
      </c>
      <c r="P85" s="16">
        <v>6.9444444444444397E-3</v>
      </c>
      <c r="Q85" s="16"/>
      <c r="R85" s="16">
        <f t="shared" si="13"/>
        <v>-6.9444444444444397E-3</v>
      </c>
      <c r="S85" s="16"/>
      <c r="T85" s="16" t="e">
        <f>VLOOKUP(E85,'[2]21-3-2026'!E$3:T$35,16,FALSE)</f>
        <v>#N/A</v>
      </c>
      <c r="U85" s="16"/>
      <c r="V85" s="16" t="e">
        <f t="shared" si="14"/>
        <v>#N/A</v>
      </c>
      <c r="W85" s="16"/>
      <c r="X85" s="16"/>
      <c r="Y85" s="16"/>
      <c r="Z85" s="16">
        <f t="shared" si="15"/>
        <v>0</v>
      </c>
      <c r="AA85" s="16">
        <f t="shared" si="9"/>
        <v>0</v>
      </c>
      <c r="AB85" s="16"/>
      <c r="AC85" s="17"/>
      <c r="AD85" s="51"/>
    </row>
    <row r="86" spans="1:30" ht="19.5" thickBot="1" x14ac:dyDescent="0.3">
      <c r="A86" s="14">
        <v>19</v>
      </c>
      <c r="B86" s="15"/>
      <c r="C86" s="15" t="e">
        <f>VLOOKUP(B86,داتا!$B$3:$D$107,2,FALSE)</f>
        <v>#N/A</v>
      </c>
      <c r="D86" s="34" t="e">
        <f>VLOOKUP(B86,داتا!$B$3:$D$107,3,FALSE)</f>
        <v>#N/A</v>
      </c>
      <c r="E86" s="15"/>
      <c r="F86" s="15"/>
      <c r="G86" s="16">
        <v>8.3333333333333329E-2</v>
      </c>
      <c r="H86" s="16" t="e">
        <f t="shared" si="17"/>
        <v>#N/A</v>
      </c>
      <c r="I86" s="16" t="e">
        <f t="shared" si="10"/>
        <v>#N/A</v>
      </c>
      <c r="J86" s="16"/>
      <c r="K86" s="16"/>
      <c r="L86" s="16"/>
      <c r="M86" s="16"/>
      <c r="N86" s="16">
        <f t="shared" si="11"/>
        <v>0</v>
      </c>
      <c r="O86" s="16" t="e">
        <f t="shared" si="12"/>
        <v>#N/A</v>
      </c>
      <c r="P86" s="16">
        <v>6.9444444444444397E-3</v>
      </c>
      <c r="Q86" s="16"/>
      <c r="R86" s="16">
        <f t="shared" si="13"/>
        <v>-6.9444444444444397E-3</v>
      </c>
      <c r="S86" s="16"/>
      <c r="T86" s="16" t="e">
        <f>VLOOKUP(E86,'[2]21-3-2026'!E$3:T$35,16,FALSE)</f>
        <v>#N/A</v>
      </c>
      <c r="U86" s="16"/>
      <c r="V86" s="16" t="e">
        <f t="shared" si="14"/>
        <v>#N/A</v>
      </c>
      <c r="W86" s="16"/>
      <c r="X86" s="16"/>
      <c r="Y86" s="16"/>
      <c r="Z86" s="16">
        <f t="shared" si="15"/>
        <v>0</v>
      </c>
      <c r="AA86" s="16">
        <f t="shared" si="9"/>
        <v>0</v>
      </c>
      <c r="AB86" s="16"/>
      <c r="AC86" s="17"/>
      <c r="AD86" s="51"/>
    </row>
    <row r="87" spans="1:30" ht="19.5" thickBot="1" x14ac:dyDescent="0.3">
      <c r="A87" s="14">
        <v>20</v>
      </c>
      <c r="B87" s="15"/>
      <c r="C87" s="15" t="e">
        <f>VLOOKUP(B87,داتا!$B$3:$D$107,2,FALSE)</f>
        <v>#N/A</v>
      </c>
      <c r="D87" s="34" t="e">
        <f>VLOOKUP(B87,داتا!$B$3:$D$107,3,FALSE)</f>
        <v>#N/A</v>
      </c>
      <c r="E87" s="15"/>
      <c r="F87" s="15"/>
      <c r="G87" s="16">
        <v>8.3333333333333329E-2</v>
      </c>
      <c r="H87" s="16" t="e">
        <f t="shared" si="17"/>
        <v>#N/A</v>
      </c>
      <c r="I87" s="16" t="e">
        <f t="shared" si="10"/>
        <v>#N/A</v>
      </c>
      <c r="J87" s="16"/>
      <c r="K87" s="16"/>
      <c r="L87" s="16"/>
      <c r="M87" s="16"/>
      <c r="N87" s="16">
        <f t="shared" si="11"/>
        <v>0</v>
      </c>
      <c r="O87" s="16" t="e">
        <f t="shared" si="12"/>
        <v>#N/A</v>
      </c>
      <c r="P87" s="16">
        <v>6.9444444444444397E-3</v>
      </c>
      <c r="Q87" s="16"/>
      <c r="R87" s="16">
        <f t="shared" si="13"/>
        <v>-6.9444444444444397E-3</v>
      </c>
      <c r="S87" s="16"/>
      <c r="T87" s="16" t="e">
        <f>VLOOKUP(E87,'[2]21-3-2026'!E$3:T$35,16,FALSE)</f>
        <v>#N/A</v>
      </c>
      <c r="U87" s="16"/>
      <c r="V87" s="16" t="e">
        <f t="shared" si="14"/>
        <v>#N/A</v>
      </c>
      <c r="W87" s="16"/>
      <c r="X87" s="16"/>
      <c r="Y87" s="16"/>
      <c r="Z87" s="16">
        <f t="shared" si="15"/>
        <v>0</v>
      </c>
      <c r="AA87" s="16">
        <f t="shared" si="9"/>
        <v>0</v>
      </c>
      <c r="AB87" s="16"/>
      <c r="AC87" s="17"/>
      <c r="AD87" s="51"/>
    </row>
    <row r="88" spans="1:30" ht="19.5" thickBot="1" x14ac:dyDescent="0.3">
      <c r="A88" s="14">
        <v>21</v>
      </c>
      <c r="B88" s="15"/>
      <c r="C88" s="15" t="e">
        <f>VLOOKUP(B88,داتا!$B$3:$D$107,2,FALSE)</f>
        <v>#N/A</v>
      </c>
      <c r="D88" s="34" t="e">
        <f>VLOOKUP(B88,داتا!$B$3:$D$107,3,FALSE)</f>
        <v>#N/A</v>
      </c>
      <c r="E88" s="15"/>
      <c r="F88" s="15"/>
      <c r="G88" s="16">
        <v>8.3333333333333329E-2</v>
      </c>
      <c r="H88" s="16" t="e">
        <f t="shared" si="17"/>
        <v>#N/A</v>
      </c>
      <c r="I88" s="16" t="e">
        <f t="shared" si="10"/>
        <v>#N/A</v>
      </c>
      <c r="J88" s="16"/>
      <c r="K88" s="16"/>
      <c r="L88" s="16"/>
      <c r="M88" s="16"/>
      <c r="N88" s="16">
        <f t="shared" si="11"/>
        <v>0</v>
      </c>
      <c r="O88" s="16" t="e">
        <f t="shared" si="12"/>
        <v>#N/A</v>
      </c>
      <c r="P88" s="16">
        <v>6.9444444444444397E-3</v>
      </c>
      <c r="Q88" s="16"/>
      <c r="R88" s="16">
        <f t="shared" si="13"/>
        <v>-6.9444444444444397E-3</v>
      </c>
      <c r="S88" s="16"/>
      <c r="T88" s="16" t="e">
        <f>VLOOKUP(E88,'[2]21-3-2026'!E$3:T$35,16,FALSE)</f>
        <v>#N/A</v>
      </c>
      <c r="U88" s="16"/>
      <c r="V88" s="16" t="e">
        <f t="shared" si="14"/>
        <v>#N/A</v>
      </c>
      <c r="W88" s="16"/>
      <c r="X88" s="16"/>
      <c r="Y88" s="16"/>
      <c r="Z88" s="16">
        <f t="shared" si="15"/>
        <v>0</v>
      </c>
      <c r="AA88" s="16">
        <f t="shared" si="9"/>
        <v>0</v>
      </c>
      <c r="AB88" s="16"/>
      <c r="AC88" s="19"/>
      <c r="AD88" s="51"/>
    </row>
    <row r="89" spans="1:30" ht="19.5" thickBot="1" x14ac:dyDescent="0.3">
      <c r="A89" s="14">
        <v>22</v>
      </c>
      <c r="B89" s="15"/>
      <c r="C89" s="15" t="e">
        <f>VLOOKUP(B89,داتا!$B$3:$D$107,2,FALSE)</f>
        <v>#N/A</v>
      </c>
      <c r="D89" s="34" t="e">
        <f>VLOOKUP(B89,داتا!$B$3:$D$107,3,FALSE)</f>
        <v>#N/A</v>
      </c>
      <c r="E89" s="15"/>
      <c r="F89" s="15"/>
      <c r="G89" s="16">
        <v>8.3333333333333329E-2</v>
      </c>
      <c r="H89" s="16" t="e">
        <f t="shared" si="17"/>
        <v>#N/A</v>
      </c>
      <c r="I89" s="16" t="e">
        <f t="shared" si="10"/>
        <v>#N/A</v>
      </c>
      <c r="J89" s="16"/>
      <c r="K89" s="16"/>
      <c r="L89" s="16"/>
      <c r="M89" s="16"/>
      <c r="N89" s="16">
        <f t="shared" si="11"/>
        <v>0</v>
      </c>
      <c r="O89" s="16" t="e">
        <f t="shared" si="12"/>
        <v>#N/A</v>
      </c>
      <c r="P89" s="16">
        <v>6.9444444444444397E-3</v>
      </c>
      <c r="Q89" s="16"/>
      <c r="R89" s="16">
        <f t="shared" si="13"/>
        <v>-6.9444444444444397E-3</v>
      </c>
      <c r="S89" s="16"/>
      <c r="T89" s="16" t="e">
        <f>VLOOKUP(E89,'[2]21-3-2026'!E$3:T$35,16,FALSE)</f>
        <v>#N/A</v>
      </c>
      <c r="U89" s="16"/>
      <c r="V89" s="16" t="e">
        <f t="shared" si="14"/>
        <v>#N/A</v>
      </c>
      <c r="W89" s="16"/>
      <c r="X89" s="16"/>
      <c r="Y89" s="16"/>
      <c r="Z89" s="16">
        <f t="shared" si="15"/>
        <v>0</v>
      </c>
      <c r="AA89" s="16">
        <f t="shared" si="9"/>
        <v>0</v>
      </c>
      <c r="AB89" s="16"/>
      <c r="AC89" s="19"/>
      <c r="AD89" s="51"/>
    </row>
    <row r="90" spans="1:30" ht="19.5" thickBot="1" x14ac:dyDescent="0.3">
      <c r="A90" s="14">
        <v>23</v>
      </c>
      <c r="B90" s="15"/>
      <c r="C90" s="15" t="e">
        <f>VLOOKUP(B90,داتا!$B$3:$D$107,2,FALSE)</f>
        <v>#N/A</v>
      </c>
      <c r="D90" s="34" t="e">
        <f>VLOOKUP(B90,داتا!$B$3:$D$107,3,FALSE)</f>
        <v>#N/A</v>
      </c>
      <c r="E90" s="15"/>
      <c r="F90" s="15"/>
      <c r="G90" s="16">
        <v>8.3333333333333329E-2</v>
      </c>
      <c r="H90" s="16" t="e">
        <f t="shared" si="17"/>
        <v>#N/A</v>
      </c>
      <c r="I90" s="16" t="e">
        <f t="shared" si="10"/>
        <v>#N/A</v>
      </c>
      <c r="J90" s="16"/>
      <c r="K90" s="16"/>
      <c r="L90" s="16"/>
      <c r="M90" s="16"/>
      <c r="N90" s="16">
        <f t="shared" si="11"/>
        <v>0</v>
      </c>
      <c r="O90" s="16" t="e">
        <f t="shared" si="12"/>
        <v>#N/A</v>
      </c>
      <c r="P90" s="16">
        <v>6.9444444444444397E-3</v>
      </c>
      <c r="Q90" s="16"/>
      <c r="R90" s="16">
        <f t="shared" si="13"/>
        <v>-6.9444444444444397E-3</v>
      </c>
      <c r="S90" s="16"/>
      <c r="T90" s="16" t="e">
        <f>VLOOKUP(E90,'[2]21-3-2026'!E$3:T$35,16,FALSE)</f>
        <v>#N/A</v>
      </c>
      <c r="U90" s="16"/>
      <c r="V90" s="16" t="e">
        <f t="shared" si="14"/>
        <v>#N/A</v>
      </c>
      <c r="W90" s="16"/>
      <c r="X90" s="16"/>
      <c r="Y90" s="16"/>
      <c r="Z90" s="16">
        <f t="shared" si="15"/>
        <v>0</v>
      </c>
      <c r="AA90" s="16">
        <f t="shared" si="9"/>
        <v>0</v>
      </c>
      <c r="AB90" s="16"/>
      <c r="AC90" s="19"/>
      <c r="AD90" s="51"/>
    </row>
    <row r="91" spans="1:30" ht="19.5" thickBot="1" x14ac:dyDescent="0.3">
      <c r="A91" s="14">
        <v>24</v>
      </c>
      <c r="B91" s="15"/>
      <c r="C91" s="15" t="e">
        <f>VLOOKUP(B91,داتا!$B$3:$D$107,2,FALSE)</f>
        <v>#N/A</v>
      </c>
      <c r="D91" s="34" t="e">
        <f>VLOOKUP(B91,داتا!$B$3:$D$107,3,FALSE)</f>
        <v>#N/A</v>
      </c>
      <c r="E91" s="15"/>
      <c r="F91" s="15"/>
      <c r="G91" s="16">
        <v>8.3333333333333329E-2</v>
      </c>
      <c r="H91" s="16" t="e">
        <f t="shared" si="17"/>
        <v>#N/A</v>
      </c>
      <c r="I91" s="16" t="e">
        <f t="shared" si="10"/>
        <v>#N/A</v>
      </c>
      <c r="J91" s="16"/>
      <c r="K91" s="16"/>
      <c r="L91" s="16"/>
      <c r="M91" s="16"/>
      <c r="N91" s="16">
        <f t="shared" si="11"/>
        <v>0</v>
      </c>
      <c r="O91" s="16" t="e">
        <f t="shared" si="12"/>
        <v>#N/A</v>
      </c>
      <c r="P91" s="16">
        <v>6.9444444444444397E-3</v>
      </c>
      <c r="Q91" s="16"/>
      <c r="R91" s="16">
        <f t="shared" si="13"/>
        <v>-6.9444444444444397E-3</v>
      </c>
      <c r="S91" s="16"/>
      <c r="T91" s="16" t="e">
        <f>VLOOKUP(E91,'[2]21-3-2026'!E$3:T$35,16,FALSE)</f>
        <v>#N/A</v>
      </c>
      <c r="U91" s="16"/>
      <c r="V91" s="16" t="e">
        <f t="shared" si="14"/>
        <v>#N/A</v>
      </c>
      <c r="W91" s="16"/>
      <c r="X91" s="16"/>
      <c r="Y91" s="16"/>
      <c r="Z91" s="16">
        <f t="shared" si="15"/>
        <v>0</v>
      </c>
      <c r="AA91" s="16">
        <f t="shared" si="9"/>
        <v>0</v>
      </c>
      <c r="AB91" s="16"/>
      <c r="AC91" s="19"/>
      <c r="AD91" s="51"/>
    </row>
    <row r="92" spans="1:30" ht="19.5" thickBot="1" x14ac:dyDescent="0.3">
      <c r="A92" s="14">
        <v>25</v>
      </c>
      <c r="B92" s="15"/>
      <c r="C92" s="15" t="e">
        <f>VLOOKUP(B92,داتا!$B$3:$D$107,2,FALSE)</f>
        <v>#N/A</v>
      </c>
      <c r="D92" s="34" t="e">
        <f>VLOOKUP(B92,داتا!$B$3:$D$107,3,FALSE)</f>
        <v>#N/A</v>
      </c>
      <c r="E92" s="15"/>
      <c r="F92" s="15"/>
      <c r="G92" s="16">
        <v>8.3333333333333329E-2</v>
      </c>
      <c r="H92" s="16" t="e">
        <f t="shared" si="17"/>
        <v>#N/A</v>
      </c>
      <c r="I92" s="16" t="e">
        <f t="shared" si="10"/>
        <v>#N/A</v>
      </c>
      <c r="J92" s="16"/>
      <c r="K92" s="16"/>
      <c r="L92" s="16"/>
      <c r="M92" s="16"/>
      <c r="N92" s="16">
        <f t="shared" si="11"/>
        <v>0</v>
      </c>
      <c r="O92" s="16" t="e">
        <f t="shared" si="12"/>
        <v>#N/A</v>
      </c>
      <c r="P92" s="16">
        <v>6.9444444444444397E-3</v>
      </c>
      <c r="Q92" s="16"/>
      <c r="R92" s="16">
        <f t="shared" si="13"/>
        <v>-6.9444444444444397E-3</v>
      </c>
      <c r="S92" s="16"/>
      <c r="T92" s="16" t="e">
        <f>VLOOKUP(E92,'[2]21-3-2026'!E$3:T$35,16,FALSE)</f>
        <v>#N/A</v>
      </c>
      <c r="U92" s="16"/>
      <c r="V92" s="16" t="e">
        <f t="shared" si="14"/>
        <v>#N/A</v>
      </c>
      <c r="W92" s="16"/>
      <c r="X92" s="16"/>
      <c r="Y92" s="16"/>
      <c r="Z92" s="16">
        <f t="shared" si="15"/>
        <v>0</v>
      </c>
      <c r="AA92" s="16">
        <f t="shared" si="9"/>
        <v>0</v>
      </c>
      <c r="AB92" s="16"/>
      <c r="AC92" s="19"/>
      <c r="AD92" s="51"/>
    </row>
    <row r="93" spans="1:30" ht="19.5" thickBot="1" x14ac:dyDescent="0.3">
      <c r="A93" s="14">
        <v>26</v>
      </c>
      <c r="B93" s="15"/>
      <c r="C93" s="15" t="e">
        <f>VLOOKUP(B93,داتا!$B$3:$D$107,2,FALSE)</f>
        <v>#N/A</v>
      </c>
      <c r="D93" s="34" t="e">
        <f>VLOOKUP(B93,داتا!$B$3:$D$107,3,FALSE)</f>
        <v>#N/A</v>
      </c>
      <c r="E93" s="15"/>
      <c r="F93" s="15"/>
      <c r="G93" s="16">
        <v>8.3333333333333329E-2</v>
      </c>
      <c r="H93" s="16" t="e">
        <f t="shared" si="17"/>
        <v>#N/A</v>
      </c>
      <c r="I93" s="16" t="e">
        <f t="shared" si="10"/>
        <v>#N/A</v>
      </c>
      <c r="J93" s="16"/>
      <c r="K93" s="16"/>
      <c r="L93" s="16"/>
      <c r="M93" s="16"/>
      <c r="N93" s="16">
        <f t="shared" si="11"/>
        <v>0</v>
      </c>
      <c r="O93" s="16" t="e">
        <f t="shared" si="12"/>
        <v>#N/A</v>
      </c>
      <c r="P93" s="16">
        <v>6.9444444444444397E-3</v>
      </c>
      <c r="Q93" s="16"/>
      <c r="R93" s="16">
        <f t="shared" si="13"/>
        <v>-6.9444444444444397E-3</v>
      </c>
      <c r="S93" s="16"/>
      <c r="T93" s="16" t="e">
        <f>VLOOKUP(E93,'[2]21-3-2026'!E$3:T$35,16,FALSE)</f>
        <v>#N/A</v>
      </c>
      <c r="U93" s="16"/>
      <c r="V93" s="16" t="e">
        <f t="shared" si="14"/>
        <v>#N/A</v>
      </c>
      <c r="W93" s="16"/>
      <c r="X93" s="16"/>
      <c r="Y93" s="16"/>
      <c r="Z93" s="16">
        <f t="shared" si="15"/>
        <v>0</v>
      </c>
      <c r="AA93" s="16">
        <f t="shared" si="9"/>
        <v>0</v>
      </c>
      <c r="AB93" s="16"/>
      <c r="AC93" s="19"/>
      <c r="AD93" s="51"/>
    </row>
    <row r="94" spans="1:30" ht="19.5" thickBot="1" x14ac:dyDescent="0.3">
      <c r="A94" s="14">
        <v>27</v>
      </c>
      <c r="B94" s="15"/>
      <c r="C94" s="15" t="e">
        <f>VLOOKUP(B94,داتا!$B$3:$D$107,2,FALSE)</f>
        <v>#N/A</v>
      </c>
      <c r="D94" s="34" t="e">
        <f>VLOOKUP(B94,داتا!$B$3:$D$107,3,FALSE)</f>
        <v>#N/A</v>
      </c>
      <c r="E94" s="15"/>
      <c r="F94" s="15"/>
      <c r="G94" s="16">
        <v>8.3333333333333329E-2</v>
      </c>
      <c r="H94" s="16" t="e">
        <f t="shared" si="17"/>
        <v>#N/A</v>
      </c>
      <c r="I94" s="16" t="e">
        <f t="shared" si="10"/>
        <v>#N/A</v>
      </c>
      <c r="J94" s="16"/>
      <c r="K94" s="16"/>
      <c r="L94" s="16"/>
      <c r="M94" s="16"/>
      <c r="N94" s="16">
        <f t="shared" si="11"/>
        <v>0</v>
      </c>
      <c r="O94" s="16" t="e">
        <f t="shared" si="12"/>
        <v>#N/A</v>
      </c>
      <c r="P94" s="16">
        <v>6.9444444444444397E-3</v>
      </c>
      <c r="Q94" s="16"/>
      <c r="R94" s="16">
        <f t="shared" si="13"/>
        <v>-6.9444444444444397E-3</v>
      </c>
      <c r="S94" s="16"/>
      <c r="T94" s="16" t="e">
        <f>VLOOKUP(E94,'[2]21-3-2026'!E$3:T$35,16,FALSE)</f>
        <v>#N/A</v>
      </c>
      <c r="U94" s="16"/>
      <c r="V94" s="16" t="e">
        <f t="shared" si="14"/>
        <v>#N/A</v>
      </c>
      <c r="W94" s="16"/>
      <c r="X94" s="16"/>
      <c r="Y94" s="16"/>
      <c r="Z94" s="16">
        <f t="shared" si="15"/>
        <v>0</v>
      </c>
      <c r="AA94" s="16">
        <f t="shared" si="9"/>
        <v>0</v>
      </c>
      <c r="AB94" s="16"/>
      <c r="AC94" s="19"/>
      <c r="AD94" s="51"/>
    </row>
    <row r="95" spans="1:30" ht="19.5" thickBot="1" x14ac:dyDescent="0.3">
      <c r="A95" s="14">
        <v>28</v>
      </c>
      <c r="B95" s="15"/>
      <c r="C95" s="15" t="e">
        <f>VLOOKUP(B95,داتا!$B$3:$D$107,2,FALSE)</f>
        <v>#N/A</v>
      </c>
      <c r="D95" s="34" t="e">
        <f>VLOOKUP(B95,داتا!$B$3:$D$107,3,FALSE)</f>
        <v>#N/A</v>
      </c>
      <c r="E95" s="15"/>
      <c r="F95" s="16"/>
      <c r="G95" s="16">
        <v>8.3333333333333329E-2</v>
      </c>
      <c r="H95" s="16" t="e">
        <f t="shared" si="17"/>
        <v>#N/A</v>
      </c>
      <c r="I95" s="16" t="e">
        <f t="shared" si="10"/>
        <v>#N/A</v>
      </c>
      <c r="J95" s="16"/>
      <c r="K95" s="16"/>
      <c r="L95" s="16"/>
      <c r="M95" s="16"/>
      <c r="N95" s="16">
        <f t="shared" si="11"/>
        <v>0</v>
      </c>
      <c r="O95" s="16" t="e">
        <f t="shared" si="12"/>
        <v>#N/A</v>
      </c>
      <c r="P95" s="16">
        <v>6.9444444444444397E-3</v>
      </c>
      <c r="Q95" s="16"/>
      <c r="R95" s="16">
        <f t="shared" si="13"/>
        <v>-6.9444444444444397E-3</v>
      </c>
      <c r="S95" s="16"/>
      <c r="T95" s="16" t="e">
        <f>VLOOKUP(E95,'[2]21-3-2026'!E$3:T$35,16,FALSE)</f>
        <v>#N/A</v>
      </c>
      <c r="U95" s="16"/>
      <c r="V95" s="16" t="e">
        <f t="shared" si="14"/>
        <v>#N/A</v>
      </c>
      <c r="W95" s="16"/>
      <c r="X95" s="16"/>
      <c r="Y95" s="16"/>
      <c r="Z95" s="16">
        <f t="shared" si="15"/>
        <v>0</v>
      </c>
      <c r="AA95" s="16">
        <f t="shared" si="9"/>
        <v>0</v>
      </c>
      <c r="AB95" s="16"/>
      <c r="AC95" s="19"/>
      <c r="AD95" s="51"/>
    </row>
    <row r="96" spans="1:30" ht="19.5" thickBot="1" x14ac:dyDescent="0.3">
      <c r="A96" s="14">
        <v>29</v>
      </c>
      <c r="B96" s="15"/>
      <c r="C96" s="15" t="e">
        <f>VLOOKUP(B96,داتا!$B$3:$D$107,2,FALSE)</f>
        <v>#N/A</v>
      </c>
      <c r="D96" s="34" t="e">
        <f>VLOOKUP(B96,داتا!$B$3:$D$107,3,FALSE)</f>
        <v>#N/A</v>
      </c>
      <c r="E96" s="15"/>
      <c r="F96" s="16"/>
      <c r="G96" s="16">
        <v>8.3333333333333329E-2</v>
      </c>
      <c r="H96" s="16" t="e">
        <f t="shared" si="17"/>
        <v>#N/A</v>
      </c>
      <c r="I96" s="16" t="e">
        <f t="shared" si="10"/>
        <v>#N/A</v>
      </c>
      <c r="J96" s="16"/>
      <c r="K96" s="16"/>
      <c r="L96" s="16"/>
      <c r="M96" s="16"/>
      <c r="N96" s="16">
        <f t="shared" si="11"/>
        <v>0</v>
      </c>
      <c r="O96" s="16" t="e">
        <f t="shared" si="12"/>
        <v>#N/A</v>
      </c>
      <c r="P96" s="16">
        <v>6.9444444444444397E-3</v>
      </c>
      <c r="Q96" s="16"/>
      <c r="R96" s="16">
        <f t="shared" si="13"/>
        <v>-6.9444444444444397E-3</v>
      </c>
      <c r="S96" s="16"/>
      <c r="T96" s="16" t="e">
        <f>VLOOKUP(E96,'[2]21-3-2026'!E$3:T$35,16,FALSE)</f>
        <v>#N/A</v>
      </c>
      <c r="U96" s="16"/>
      <c r="V96" s="16" t="e">
        <f t="shared" si="14"/>
        <v>#N/A</v>
      </c>
      <c r="W96" s="16"/>
      <c r="X96" s="16"/>
      <c r="Y96" s="16"/>
      <c r="Z96" s="16">
        <f t="shared" si="15"/>
        <v>0</v>
      </c>
      <c r="AA96" s="16">
        <f t="shared" si="9"/>
        <v>0</v>
      </c>
      <c r="AB96" s="16"/>
      <c r="AC96" s="19"/>
      <c r="AD96" s="54"/>
    </row>
    <row r="97" spans="1:29" ht="19.5" thickBot="1" x14ac:dyDescent="0.3">
      <c r="A97" s="14">
        <v>30</v>
      </c>
      <c r="B97" s="15"/>
      <c r="C97" s="15" t="e">
        <f>VLOOKUP(B97,داتا!$B$3:$D$107,2,FALSE)</f>
        <v>#N/A</v>
      </c>
      <c r="D97" s="34" t="e">
        <f>VLOOKUP(B97,داتا!$B$3:$D$107,3,FALSE)</f>
        <v>#N/A</v>
      </c>
      <c r="E97" s="15"/>
      <c r="F97" s="16"/>
      <c r="G97" s="16">
        <v>8.3333333333333329E-2</v>
      </c>
      <c r="H97" s="16" t="e">
        <f t="shared" si="17"/>
        <v>#N/A</v>
      </c>
      <c r="I97" s="16" t="e">
        <f t="shared" si="10"/>
        <v>#N/A</v>
      </c>
      <c r="J97" s="16"/>
      <c r="K97" s="16"/>
      <c r="L97" s="16"/>
      <c r="M97" s="16"/>
      <c r="N97" s="16">
        <f t="shared" si="11"/>
        <v>0</v>
      </c>
      <c r="O97" s="16" t="e">
        <f t="shared" si="12"/>
        <v>#N/A</v>
      </c>
      <c r="P97" s="16">
        <v>6.9444444444444397E-3</v>
      </c>
      <c r="Q97" s="16"/>
      <c r="R97" s="16">
        <f t="shared" si="13"/>
        <v>-6.9444444444444397E-3</v>
      </c>
      <c r="S97" s="16"/>
      <c r="T97" s="16" t="e">
        <f>VLOOKUP(E97,'[2]21-3-2026'!E$3:T$35,16,FALSE)</f>
        <v>#N/A</v>
      </c>
      <c r="U97" s="16"/>
      <c r="V97" s="16" t="e">
        <f t="shared" si="14"/>
        <v>#N/A</v>
      </c>
      <c r="W97" s="16"/>
      <c r="X97" s="16"/>
      <c r="Y97" s="16"/>
      <c r="Z97" s="16">
        <f t="shared" si="15"/>
        <v>0</v>
      </c>
      <c r="AA97" s="16">
        <f t="shared" si="9"/>
        <v>0</v>
      </c>
      <c r="AB97" s="16"/>
      <c r="AC97" s="19"/>
    </row>
    <row r="98" spans="1:29" ht="19.5" thickBot="1" x14ac:dyDescent="0.3">
      <c r="A98" s="14">
        <v>31</v>
      </c>
      <c r="B98" s="15"/>
      <c r="C98" s="15" t="e">
        <f>VLOOKUP(B98,داتا!$B$3:$D$107,2,FALSE)</f>
        <v>#N/A</v>
      </c>
      <c r="D98" s="34" t="e">
        <f>VLOOKUP(B98,داتا!$B$3:$D$107,3,FALSE)</f>
        <v>#N/A</v>
      </c>
      <c r="E98" s="15"/>
      <c r="F98" s="16"/>
      <c r="G98" s="16">
        <v>8.3333333333333329E-2</v>
      </c>
      <c r="H98" s="16" t="e">
        <f t="shared" si="17"/>
        <v>#N/A</v>
      </c>
      <c r="I98" s="16" t="e">
        <f t="shared" si="10"/>
        <v>#N/A</v>
      </c>
      <c r="J98" s="16"/>
      <c r="K98" s="16"/>
      <c r="L98" s="16"/>
      <c r="M98" s="16"/>
      <c r="N98" s="16">
        <f t="shared" si="11"/>
        <v>0</v>
      </c>
      <c r="O98" s="16" t="e">
        <f t="shared" si="12"/>
        <v>#N/A</v>
      </c>
      <c r="P98" s="16">
        <v>6.9444444444444397E-3</v>
      </c>
      <c r="Q98" s="16"/>
      <c r="R98" s="16">
        <f t="shared" si="13"/>
        <v>-6.9444444444444397E-3</v>
      </c>
      <c r="S98" s="16"/>
      <c r="T98" s="16" t="e">
        <f>VLOOKUP(E98,'[2]21-3-2026'!E$3:T$35,16,FALSE)</f>
        <v>#N/A</v>
      </c>
      <c r="U98" s="16"/>
      <c r="V98" s="16" t="e">
        <f t="shared" si="14"/>
        <v>#N/A</v>
      </c>
      <c r="W98" s="16"/>
      <c r="X98" s="16"/>
      <c r="Y98" s="16"/>
      <c r="Z98" s="16">
        <f t="shared" si="15"/>
        <v>0</v>
      </c>
      <c r="AA98" s="16">
        <f t="shared" si="9"/>
        <v>0</v>
      </c>
      <c r="AB98" s="16"/>
      <c r="AC98" s="19"/>
    </row>
    <row r="99" spans="1:29" ht="19.5" thickBot="1" x14ac:dyDescent="0.3">
      <c r="A99" s="20">
        <v>32</v>
      </c>
      <c r="B99" s="21"/>
      <c r="C99" s="21" t="e">
        <f>VLOOKUP(B99,داتا!$B$3:$D$107,2,FALSE)</f>
        <v>#N/A</v>
      </c>
      <c r="D99" s="35" t="e">
        <f>VLOOKUP(B99,داتا!$B$3:$D$107,3,FALSE)</f>
        <v>#N/A</v>
      </c>
      <c r="E99" s="21"/>
      <c r="F99" s="22"/>
      <c r="G99" s="22">
        <v>8.3333333333333329E-2</v>
      </c>
      <c r="H99" s="22" t="e">
        <f t="shared" si="17"/>
        <v>#N/A</v>
      </c>
      <c r="I99" s="22" t="e">
        <f t="shared" si="10"/>
        <v>#N/A</v>
      </c>
      <c r="J99" s="22"/>
      <c r="K99" s="22"/>
      <c r="L99" s="22"/>
      <c r="M99" s="22"/>
      <c r="N99" s="22">
        <f t="shared" si="11"/>
        <v>0</v>
      </c>
      <c r="O99" s="22" t="e">
        <f t="shared" si="12"/>
        <v>#N/A</v>
      </c>
      <c r="P99" s="22">
        <v>6.9444444444444397E-3</v>
      </c>
      <c r="Q99" s="22"/>
      <c r="R99" s="22">
        <f t="shared" si="13"/>
        <v>-6.9444444444444397E-3</v>
      </c>
      <c r="S99" s="22"/>
      <c r="T99" s="22" t="e">
        <f>VLOOKUP(E99,'[2]21-3-2026'!E$3:T$35,16,FALSE)</f>
        <v>#N/A</v>
      </c>
      <c r="U99" s="22"/>
      <c r="V99" s="22" t="e">
        <f t="shared" si="14"/>
        <v>#N/A</v>
      </c>
      <c r="W99" s="22"/>
      <c r="X99" s="22"/>
      <c r="Y99" s="22"/>
      <c r="Z99" s="22">
        <f t="shared" si="15"/>
        <v>0</v>
      </c>
      <c r="AA99" s="22">
        <f t="shared" si="9"/>
        <v>0</v>
      </c>
      <c r="AB99" s="22"/>
      <c r="AC99" s="30"/>
    </row>
    <row r="100" spans="1:29" ht="16.5" thickTop="1" x14ac:dyDescent="0.25"/>
  </sheetData>
  <mergeCells count="4">
    <mergeCell ref="A1:AC1"/>
    <mergeCell ref="AD3:AD35"/>
    <mergeCell ref="AD36:AD67"/>
    <mergeCell ref="AD68:AD96"/>
  </mergeCells>
  <conditionalFormatting sqref="AC1:AC96 AC100:AC1048576">
    <cfRule type="containsText" dxfId="119" priority="14" operator="containsText" text="ت">
      <formula>NOT(ISERROR(SEARCH("ت",AC1)))</formula>
    </cfRule>
  </conditionalFormatting>
  <conditionalFormatting sqref="AC4:AC96">
    <cfRule type="containsText" dxfId="118" priority="13" operator="containsText" text="ت">
      <formula>NOT(ISERROR(SEARCH("ت",AC4)))</formula>
    </cfRule>
  </conditionalFormatting>
  <conditionalFormatting sqref="O1:O2 I1:I2 R1:R2 V1:V2 AA100:AA1048576 V100:V1048576 R100:R1048576 O100:O1048576 I100:I1048576 AA1:AA2">
    <cfRule type="cellIs" dxfId="117" priority="15" operator="between">
      <formula>0.00277777777777778</formula>
      <formula>1</formula>
    </cfRule>
  </conditionalFormatting>
  <conditionalFormatting sqref="AC97:AC99">
    <cfRule type="containsText" dxfId="116" priority="12" operator="containsText" text="ت">
      <formula>NOT(ISERROR(SEARCH("ت",AC97)))</formula>
    </cfRule>
  </conditionalFormatting>
  <conditionalFormatting sqref="AC97:AC99">
    <cfRule type="containsText" dxfId="115" priority="11" operator="containsText" text="ت">
      <formula>NOT(ISERROR(SEARCH("ت",AC97)))</formula>
    </cfRule>
  </conditionalFormatting>
  <conditionalFormatting sqref="I3:I99">
    <cfRule type="cellIs" dxfId="114" priority="9" operator="between">
      <formula>0.00277777777777778</formula>
      <formula>1</formula>
    </cfRule>
  </conditionalFormatting>
  <conditionalFormatting sqref="I3:I99">
    <cfRule type="cellIs" dxfId="113" priority="10" operator="between">
      <formula>0.00277777777777778</formula>
      <formula>1</formula>
    </cfRule>
  </conditionalFormatting>
  <conditionalFormatting sqref="O3:O99">
    <cfRule type="cellIs" dxfId="112" priority="7" operator="between">
      <formula>0.00277777777777778</formula>
      <formula>1</formula>
    </cfRule>
  </conditionalFormatting>
  <conditionalFormatting sqref="O3:O99">
    <cfRule type="cellIs" dxfId="111" priority="8" operator="between">
      <formula>0.00277777777777778</formula>
      <formula>1</formula>
    </cfRule>
  </conditionalFormatting>
  <conditionalFormatting sqref="R3:R99">
    <cfRule type="cellIs" dxfId="110" priority="5" operator="between">
      <formula>0.00277777777777778</formula>
      <formula>1</formula>
    </cfRule>
  </conditionalFormatting>
  <conditionalFormatting sqref="R3:R99">
    <cfRule type="cellIs" dxfId="109" priority="6" operator="between">
      <formula>0.00277777777777778</formula>
      <formula>1</formula>
    </cfRule>
  </conditionalFormatting>
  <conditionalFormatting sqref="V3:V99">
    <cfRule type="cellIs" dxfId="108" priority="3" operator="between">
      <formula>0.00277777777777778</formula>
      <formula>1</formula>
    </cfRule>
  </conditionalFormatting>
  <conditionalFormatting sqref="V3:V99">
    <cfRule type="cellIs" dxfId="107" priority="4" operator="between">
      <formula>0.00277777777777778</formula>
      <formula>1</formula>
    </cfRule>
  </conditionalFormatting>
  <conditionalFormatting sqref="AA3:AA99">
    <cfRule type="cellIs" dxfId="106" priority="1" operator="between">
      <formula>0.00277777777777778</formula>
      <formula>1</formula>
    </cfRule>
  </conditionalFormatting>
  <conditionalFormatting sqref="AA3:AA99">
    <cfRule type="cellIs" dxfId="105" priority="2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"/>
  <sheetViews>
    <sheetView rightToLeft="1" workbookViewId="0">
      <pane xSplit="6" ySplit="2" topLeftCell="G68" activePane="bottomRight" state="frozen"/>
      <selection activeCell="A92" sqref="A92"/>
      <selection pane="topRight" activeCell="A92" sqref="A92"/>
      <selection pane="bottomLeft" activeCell="A92" sqref="A92"/>
      <selection pane="bottomRight" activeCell="A92" sqref="A92"/>
    </sheetView>
  </sheetViews>
  <sheetFormatPr defaultColWidth="9" defaultRowHeight="15.75" x14ac:dyDescent="0.25"/>
  <cols>
    <col min="1" max="1" width="5.42578125" customWidth="1"/>
    <col min="2" max="2" width="12.28515625" customWidth="1"/>
    <col min="3" max="3" width="12.5703125" customWidth="1"/>
    <col min="4" max="4" width="16.140625" style="36" customWidth="1"/>
    <col min="5" max="5" width="17.140625" customWidth="1"/>
    <col min="6" max="6" width="20.85546875" customWidth="1"/>
    <col min="7" max="7" width="12.7109375" customWidth="1"/>
    <col min="8" max="9" width="12.85546875" customWidth="1"/>
    <col min="10" max="10" width="12.5703125" customWidth="1"/>
    <col min="11" max="11" width="14.28515625" customWidth="1"/>
    <col min="12" max="12" width="22.7109375" customWidth="1"/>
    <col min="13" max="13" width="18.8554687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3.85546875" style="31" customWidth="1"/>
    <col min="30" max="30" width="11.140625" customWidth="1"/>
  </cols>
  <sheetData>
    <row r="1" spans="1:30" ht="33.75" customHeight="1" thickBot="1" x14ac:dyDescent="0.3">
      <c r="A1" s="46" t="s">
        <v>119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0" ht="49.5" customHeight="1" thickTop="1" thickBot="1" x14ac:dyDescent="0.3">
      <c r="A2" s="1" t="s">
        <v>1</v>
      </c>
      <c r="B2" s="2" t="s">
        <v>2</v>
      </c>
      <c r="C2" s="2" t="s">
        <v>3</v>
      </c>
      <c r="D2" s="3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8" t="s">
        <v>18</v>
      </c>
      <c r="S2" s="2" t="s">
        <v>19</v>
      </c>
      <c r="T2" s="8" t="s">
        <v>20</v>
      </c>
      <c r="U2" s="2" t="s">
        <v>21</v>
      </c>
      <c r="V2" s="8" t="s">
        <v>22</v>
      </c>
      <c r="W2" s="8" t="s">
        <v>23</v>
      </c>
      <c r="X2" s="2" t="s">
        <v>24</v>
      </c>
      <c r="Y2" s="2" t="s">
        <v>25</v>
      </c>
      <c r="Z2" s="2" t="s">
        <v>26</v>
      </c>
      <c r="AA2" s="8" t="s">
        <v>27</v>
      </c>
      <c r="AB2" s="2" t="s">
        <v>28</v>
      </c>
      <c r="AC2" s="9" t="s">
        <v>29</v>
      </c>
    </row>
    <row r="3" spans="1:30" ht="20.25" customHeight="1" thickTop="1" thickBot="1" x14ac:dyDescent="0.3">
      <c r="A3" s="10">
        <v>1</v>
      </c>
      <c r="B3" s="11"/>
      <c r="C3" s="11" t="e">
        <f>VLOOKUP(B3,داتا!$B$3:$D$107,2,FALSE)</f>
        <v>#N/A</v>
      </c>
      <c r="D3" s="33" t="e">
        <f>VLOOKUP(B3,داتا!$B$3:$D$107,3,FALSE)</f>
        <v>#N/A</v>
      </c>
      <c r="E3" s="11"/>
      <c r="F3" s="11"/>
      <c r="G3" s="12">
        <v>0.25</v>
      </c>
      <c r="H3" s="12"/>
      <c r="I3" s="12">
        <f>H3-G3</f>
        <v>-0.25</v>
      </c>
      <c r="J3" s="12"/>
      <c r="K3" s="12"/>
      <c r="L3" s="12"/>
      <c r="M3" s="12"/>
      <c r="N3" s="12">
        <f>K3-J3</f>
        <v>0</v>
      </c>
      <c r="O3" s="12" t="e">
        <f>N3-D3</f>
        <v>#N/A</v>
      </c>
      <c r="P3" s="12">
        <v>6.9444444444444397E-3</v>
      </c>
      <c r="Q3" s="12"/>
      <c r="R3" s="12">
        <f>Q3-P3-K3</f>
        <v>-6.9444444444444397E-3</v>
      </c>
      <c r="S3" s="12"/>
      <c r="T3" s="12" t="e">
        <f>VLOOKUP(E3,'[2]21-3-2026'!E$3:T$35,16,FALSE)</f>
        <v>#N/A</v>
      </c>
      <c r="U3" s="12"/>
      <c r="V3" s="12" t="e">
        <f>U3-T3-S3</f>
        <v>#N/A</v>
      </c>
      <c r="W3" s="12"/>
      <c r="X3" s="12"/>
      <c r="Y3" s="12"/>
      <c r="Z3" s="12">
        <f>Y3-X3</f>
        <v>0</v>
      </c>
      <c r="AA3" s="12">
        <f t="shared" ref="AA3:AA66" si="0">Z3-W3</f>
        <v>0</v>
      </c>
      <c r="AB3" s="12"/>
      <c r="AC3" s="13"/>
      <c r="AD3" s="47" t="s">
        <v>33</v>
      </c>
    </row>
    <row r="4" spans="1:30" ht="19.5" thickBot="1" x14ac:dyDescent="0.3">
      <c r="A4" s="14">
        <v>2</v>
      </c>
      <c r="B4" s="15"/>
      <c r="C4" s="15" t="e">
        <f>VLOOKUP(B4,داتا!$B$3:$D$107,2,FALSE)</f>
        <v>#N/A</v>
      </c>
      <c r="D4" s="34" t="e">
        <f>VLOOKUP(B4,داتا!$B$3:$D$107,3,FALSE)</f>
        <v>#N/A</v>
      </c>
      <c r="E4" s="15"/>
      <c r="F4" s="15"/>
      <c r="G4" s="16">
        <v>0.25</v>
      </c>
      <c r="H4" s="16"/>
      <c r="I4" s="16">
        <f t="shared" ref="I4:I67" si="1">H4-G4</f>
        <v>-0.25</v>
      </c>
      <c r="J4" s="16"/>
      <c r="K4" s="16"/>
      <c r="L4" s="16"/>
      <c r="M4" s="16"/>
      <c r="N4" s="16">
        <f t="shared" ref="N4:N67" si="2">K4-J4</f>
        <v>0</v>
      </c>
      <c r="O4" s="16" t="e">
        <f t="shared" ref="O4:O67" si="3">N4-D4</f>
        <v>#N/A</v>
      </c>
      <c r="P4" s="16">
        <v>6.9444444444444397E-3</v>
      </c>
      <c r="Q4" s="16"/>
      <c r="R4" s="16">
        <f t="shared" ref="R4:R67" si="4">Q4-P4-K4</f>
        <v>-6.9444444444444397E-3</v>
      </c>
      <c r="S4" s="16"/>
      <c r="T4" s="16" t="e">
        <f>VLOOKUP(E4,'[2]21-3-2026'!E$3:T$35,16,FALSE)</f>
        <v>#N/A</v>
      </c>
      <c r="U4" s="16"/>
      <c r="V4" s="16" t="e">
        <f t="shared" ref="V4:V67" si="5">U4-T4-S4</f>
        <v>#N/A</v>
      </c>
      <c r="W4" s="16"/>
      <c r="X4" s="16"/>
      <c r="Y4" s="16"/>
      <c r="Z4" s="16">
        <f t="shared" ref="Z4:Z67" si="6">Y4-X4</f>
        <v>0</v>
      </c>
      <c r="AA4" s="16">
        <f t="shared" si="0"/>
        <v>0</v>
      </c>
      <c r="AB4" s="16"/>
      <c r="AC4" s="17"/>
      <c r="AD4" s="48"/>
    </row>
    <row r="5" spans="1:30" ht="19.5" thickBot="1" x14ac:dyDescent="0.3">
      <c r="A5" s="14">
        <v>3</v>
      </c>
      <c r="B5" s="15"/>
      <c r="C5" s="15" t="e">
        <f>VLOOKUP(B5,داتا!$B$3:$D$107,2,FALSE)</f>
        <v>#N/A</v>
      </c>
      <c r="D5" s="34" t="e">
        <f>VLOOKUP(B5,داتا!$B$3:$D$107,3,FALSE)</f>
        <v>#N/A</v>
      </c>
      <c r="E5" s="15"/>
      <c r="F5" s="15"/>
      <c r="G5" s="16">
        <v>0.25</v>
      </c>
      <c r="H5" s="16"/>
      <c r="I5" s="16">
        <f t="shared" si="1"/>
        <v>-0.25</v>
      </c>
      <c r="J5" s="16"/>
      <c r="K5" s="16"/>
      <c r="L5" s="16"/>
      <c r="M5" s="16"/>
      <c r="N5" s="16">
        <f t="shared" si="2"/>
        <v>0</v>
      </c>
      <c r="O5" s="16" t="e">
        <f t="shared" si="3"/>
        <v>#N/A</v>
      </c>
      <c r="P5" s="16">
        <v>6.9444444444444397E-3</v>
      </c>
      <c r="Q5" s="16"/>
      <c r="R5" s="16">
        <f t="shared" si="4"/>
        <v>-6.9444444444444397E-3</v>
      </c>
      <c r="S5" s="16"/>
      <c r="T5" s="16" t="e">
        <f>VLOOKUP(E5,'[2]21-3-2026'!E$3:T$35,16,FALSE)</f>
        <v>#N/A</v>
      </c>
      <c r="U5" s="16"/>
      <c r="V5" s="16" t="e">
        <f t="shared" si="5"/>
        <v>#N/A</v>
      </c>
      <c r="W5" s="16"/>
      <c r="X5" s="16"/>
      <c r="Y5" s="16"/>
      <c r="Z5" s="16">
        <f t="shared" si="6"/>
        <v>0</v>
      </c>
      <c r="AA5" s="16">
        <f t="shared" si="0"/>
        <v>0</v>
      </c>
      <c r="AB5" s="16"/>
      <c r="AC5" s="17"/>
      <c r="AD5" s="48"/>
    </row>
    <row r="6" spans="1:30" ht="19.5" thickBot="1" x14ac:dyDescent="0.3">
      <c r="A6" s="14">
        <v>4</v>
      </c>
      <c r="B6" s="15"/>
      <c r="C6" s="15" t="e">
        <f>VLOOKUP(B6,داتا!$B$3:$D$107,2,FALSE)</f>
        <v>#N/A</v>
      </c>
      <c r="D6" s="34" t="e">
        <f>VLOOKUP(B6,داتا!$B$3:$D$107,3,FALSE)</f>
        <v>#N/A</v>
      </c>
      <c r="E6" s="15"/>
      <c r="F6" s="15"/>
      <c r="G6" s="16">
        <v>0.25</v>
      </c>
      <c r="H6" s="16"/>
      <c r="I6" s="16">
        <f t="shared" si="1"/>
        <v>-0.25</v>
      </c>
      <c r="J6" s="16"/>
      <c r="K6" s="16"/>
      <c r="L6" s="16"/>
      <c r="M6" s="16"/>
      <c r="N6" s="16">
        <f t="shared" si="2"/>
        <v>0</v>
      </c>
      <c r="O6" s="16" t="e">
        <f t="shared" si="3"/>
        <v>#N/A</v>
      </c>
      <c r="P6" s="16">
        <v>6.9444444444444397E-3</v>
      </c>
      <c r="Q6" s="16"/>
      <c r="R6" s="16">
        <f t="shared" si="4"/>
        <v>-6.9444444444444397E-3</v>
      </c>
      <c r="S6" s="16"/>
      <c r="T6" s="16" t="e">
        <f>VLOOKUP(E6,'[2]21-3-2026'!E$3:T$35,16,FALSE)</f>
        <v>#N/A</v>
      </c>
      <c r="U6" s="16"/>
      <c r="V6" s="16" t="e">
        <f t="shared" si="5"/>
        <v>#N/A</v>
      </c>
      <c r="W6" s="16"/>
      <c r="X6" s="16"/>
      <c r="Y6" s="16"/>
      <c r="Z6" s="16">
        <f t="shared" si="6"/>
        <v>0</v>
      </c>
      <c r="AA6" s="16">
        <f t="shared" si="0"/>
        <v>0</v>
      </c>
      <c r="AB6" s="16"/>
      <c r="AC6" s="17"/>
      <c r="AD6" s="48"/>
    </row>
    <row r="7" spans="1:30" ht="19.5" thickBot="1" x14ac:dyDescent="0.3">
      <c r="A7" s="14">
        <v>5</v>
      </c>
      <c r="B7" s="15"/>
      <c r="C7" s="15" t="e">
        <f>VLOOKUP(B7,داتا!$B$3:$D$107,2,FALSE)</f>
        <v>#N/A</v>
      </c>
      <c r="D7" s="34" t="e">
        <f>VLOOKUP(B7,داتا!$B$3:$D$107,3,FALSE)</f>
        <v>#N/A</v>
      </c>
      <c r="E7" s="15"/>
      <c r="F7" s="15"/>
      <c r="G7" s="16">
        <v>0.25</v>
      </c>
      <c r="H7" s="16"/>
      <c r="I7" s="16">
        <f t="shared" si="1"/>
        <v>-0.25</v>
      </c>
      <c r="J7" s="16"/>
      <c r="K7" s="16"/>
      <c r="L7" s="16"/>
      <c r="M7" s="16"/>
      <c r="N7" s="16">
        <f t="shared" si="2"/>
        <v>0</v>
      </c>
      <c r="O7" s="16" t="e">
        <f t="shared" si="3"/>
        <v>#N/A</v>
      </c>
      <c r="P7" s="16">
        <v>6.9444444444444397E-3</v>
      </c>
      <c r="Q7" s="16"/>
      <c r="R7" s="16">
        <f t="shared" si="4"/>
        <v>-6.9444444444444397E-3</v>
      </c>
      <c r="S7" s="16"/>
      <c r="T7" s="16" t="e">
        <f>VLOOKUP(E7,'[2]21-3-2026'!E$3:T$35,16,FALSE)</f>
        <v>#N/A</v>
      </c>
      <c r="U7" s="16"/>
      <c r="V7" s="16" t="e">
        <f t="shared" si="5"/>
        <v>#N/A</v>
      </c>
      <c r="W7" s="16"/>
      <c r="X7" s="16"/>
      <c r="Y7" s="16"/>
      <c r="Z7" s="16">
        <f t="shared" si="6"/>
        <v>0</v>
      </c>
      <c r="AA7" s="16">
        <f t="shared" si="0"/>
        <v>0</v>
      </c>
      <c r="AB7" s="16"/>
      <c r="AC7" s="17"/>
      <c r="AD7" s="48"/>
    </row>
    <row r="8" spans="1:30" ht="19.5" thickBot="1" x14ac:dyDescent="0.3">
      <c r="A8" s="14">
        <v>6</v>
      </c>
      <c r="B8" s="15"/>
      <c r="C8" s="15" t="e">
        <f>VLOOKUP(B8,داتا!$B$3:$D$107,2,FALSE)</f>
        <v>#N/A</v>
      </c>
      <c r="D8" s="34" t="e">
        <f>VLOOKUP(B8,داتا!$B$3:$D$107,3,FALSE)</f>
        <v>#N/A</v>
      </c>
      <c r="E8" s="15"/>
      <c r="F8" s="15"/>
      <c r="G8" s="16">
        <v>0.25</v>
      </c>
      <c r="H8" s="16"/>
      <c r="I8" s="16">
        <f t="shared" si="1"/>
        <v>-0.25</v>
      </c>
      <c r="J8" s="16"/>
      <c r="K8" s="16"/>
      <c r="L8" s="16"/>
      <c r="M8" s="16"/>
      <c r="N8" s="16">
        <f t="shared" si="2"/>
        <v>0</v>
      </c>
      <c r="O8" s="16" t="e">
        <f t="shared" si="3"/>
        <v>#N/A</v>
      </c>
      <c r="P8" s="16">
        <v>6.9444444444444397E-3</v>
      </c>
      <c r="Q8" s="16"/>
      <c r="R8" s="16">
        <f t="shared" si="4"/>
        <v>-6.9444444444444397E-3</v>
      </c>
      <c r="S8" s="16"/>
      <c r="T8" s="16" t="e">
        <f>VLOOKUP(E8,'[2]21-3-2026'!E$3:T$35,16,FALSE)</f>
        <v>#N/A</v>
      </c>
      <c r="U8" s="16"/>
      <c r="V8" s="16" t="e">
        <f t="shared" si="5"/>
        <v>#N/A</v>
      </c>
      <c r="W8" s="16"/>
      <c r="X8" s="16"/>
      <c r="Y8" s="16"/>
      <c r="Z8" s="16">
        <f t="shared" si="6"/>
        <v>0</v>
      </c>
      <c r="AA8" s="16">
        <f t="shared" si="0"/>
        <v>0</v>
      </c>
      <c r="AB8" s="16"/>
      <c r="AC8" s="18"/>
      <c r="AD8" s="48"/>
    </row>
    <row r="9" spans="1:30" ht="19.5" thickBot="1" x14ac:dyDescent="0.3">
      <c r="A9" s="14">
        <v>7</v>
      </c>
      <c r="B9" s="15"/>
      <c r="C9" s="15" t="e">
        <f>VLOOKUP(B9,داتا!$B$3:$D$107,2,FALSE)</f>
        <v>#N/A</v>
      </c>
      <c r="D9" s="34" t="e">
        <f>VLOOKUP(B9,داتا!$B$3:$D$107,3,FALSE)</f>
        <v>#N/A</v>
      </c>
      <c r="E9" s="15"/>
      <c r="F9" s="15"/>
      <c r="G9" s="16">
        <v>0.25</v>
      </c>
      <c r="H9" s="16"/>
      <c r="I9" s="16">
        <f t="shared" si="1"/>
        <v>-0.25</v>
      </c>
      <c r="J9" s="16"/>
      <c r="K9" s="16"/>
      <c r="L9" s="16"/>
      <c r="M9" s="16"/>
      <c r="N9" s="16">
        <f t="shared" si="2"/>
        <v>0</v>
      </c>
      <c r="O9" s="16" t="e">
        <f t="shared" si="3"/>
        <v>#N/A</v>
      </c>
      <c r="P9" s="16">
        <v>6.9444444444444397E-3</v>
      </c>
      <c r="Q9" s="16"/>
      <c r="R9" s="16">
        <f t="shared" si="4"/>
        <v>-6.9444444444444397E-3</v>
      </c>
      <c r="S9" s="16"/>
      <c r="T9" s="16" t="e">
        <f>VLOOKUP(E9,'[2]21-3-2026'!E$3:T$35,16,FALSE)</f>
        <v>#N/A</v>
      </c>
      <c r="U9" s="16"/>
      <c r="V9" s="16" t="e">
        <f t="shared" si="5"/>
        <v>#N/A</v>
      </c>
      <c r="W9" s="16"/>
      <c r="X9" s="16"/>
      <c r="Y9" s="16"/>
      <c r="Z9" s="16">
        <f t="shared" si="6"/>
        <v>0</v>
      </c>
      <c r="AA9" s="16">
        <f t="shared" si="0"/>
        <v>0</v>
      </c>
      <c r="AB9" s="16"/>
      <c r="AC9" s="17"/>
      <c r="AD9" s="48"/>
    </row>
    <row r="10" spans="1:30" ht="19.5" thickBot="1" x14ac:dyDescent="0.3">
      <c r="A10" s="14">
        <v>8</v>
      </c>
      <c r="B10" s="15"/>
      <c r="C10" s="15" t="e">
        <f>VLOOKUP(B10,داتا!$B$3:$D$107,2,FALSE)</f>
        <v>#N/A</v>
      </c>
      <c r="D10" s="34" t="e">
        <f>VLOOKUP(B10,داتا!$B$3:$D$107,3,FALSE)</f>
        <v>#N/A</v>
      </c>
      <c r="E10" s="15"/>
      <c r="F10" s="15"/>
      <c r="G10" s="16">
        <v>0.25</v>
      </c>
      <c r="H10" s="16"/>
      <c r="I10" s="16">
        <f t="shared" si="1"/>
        <v>-0.25</v>
      </c>
      <c r="J10" s="16"/>
      <c r="K10" s="16"/>
      <c r="L10" s="16"/>
      <c r="M10" s="16"/>
      <c r="N10" s="16">
        <f t="shared" si="2"/>
        <v>0</v>
      </c>
      <c r="O10" s="16" t="e">
        <f t="shared" si="3"/>
        <v>#N/A</v>
      </c>
      <c r="P10" s="16">
        <v>6.9444444444444397E-3</v>
      </c>
      <c r="Q10" s="16"/>
      <c r="R10" s="16">
        <f t="shared" si="4"/>
        <v>-6.9444444444444397E-3</v>
      </c>
      <c r="S10" s="16"/>
      <c r="T10" s="16" t="e">
        <f>VLOOKUP(E10,'[2]21-3-2026'!E$3:T$35,16,FALSE)</f>
        <v>#N/A</v>
      </c>
      <c r="U10" s="16"/>
      <c r="V10" s="16" t="e">
        <f t="shared" si="5"/>
        <v>#N/A</v>
      </c>
      <c r="W10" s="16"/>
      <c r="X10" s="16"/>
      <c r="Y10" s="16"/>
      <c r="Z10" s="16">
        <f t="shared" si="6"/>
        <v>0</v>
      </c>
      <c r="AA10" s="16">
        <f t="shared" si="0"/>
        <v>0</v>
      </c>
      <c r="AB10" s="16"/>
      <c r="AC10" s="17"/>
      <c r="AD10" s="48"/>
    </row>
    <row r="11" spans="1:30" ht="19.5" thickBot="1" x14ac:dyDescent="0.3">
      <c r="A11" s="14">
        <v>9</v>
      </c>
      <c r="B11" s="15"/>
      <c r="C11" s="15" t="e">
        <f>VLOOKUP(B11,داتا!$B$3:$D$107,2,FALSE)</f>
        <v>#N/A</v>
      </c>
      <c r="D11" s="34" t="e">
        <f>VLOOKUP(B11,داتا!$B$3:$D$107,3,FALSE)</f>
        <v>#N/A</v>
      </c>
      <c r="E11" s="15"/>
      <c r="F11" s="15"/>
      <c r="G11" s="16">
        <v>0.25</v>
      </c>
      <c r="H11" s="16"/>
      <c r="I11" s="16">
        <f t="shared" si="1"/>
        <v>-0.25</v>
      </c>
      <c r="J11" s="16"/>
      <c r="K11" s="16"/>
      <c r="L11" s="16"/>
      <c r="M11" s="16"/>
      <c r="N11" s="16">
        <f t="shared" si="2"/>
        <v>0</v>
      </c>
      <c r="O11" s="16" t="e">
        <f t="shared" si="3"/>
        <v>#N/A</v>
      </c>
      <c r="P11" s="16">
        <v>6.9444444444444397E-3</v>
      </c>
      <c r="Q11" s="16"/>
      <c r="R11" s="16">
        <f t="shared" si="4"/>
        <v>-6.9444444444444397E-3</v>
      </c>
      <c r="S11" s="16"/>
      <c r="T11" s="16" t="e">
        <f>VLOOKUP(E11,'[2]21-3-2026'!E$3:T$35,16,FALSE)</f>
        <v>#N/A</v>
      </c>
      <c r="U11" s="16"/>
      <c r="V11" s="16" t="e">
        <f t="shared" si="5"/>
        <v>#N/A</v>
      </c>
      <c r="W11" s="16"/>
      <c r="X11" s="16"/>
      <c r="Y11" s="16"/>
      <c r="Z11" s="16">
        <f t="shared" si="6"/>
        <v>0</v>
      </c>
      <c r="AA11" s="16">
        <f t="shared" si="0"/>
        <v>0</v>
      </c>
      <c r="AB11" s="16"/>
      <c r="AC11" s="17"/>
      <c r="AD11" s="48"/>
    </row>
    <row r="12" spans="1:30" ht="19.5" thickBot="1" x14ac:dyDescent="0.3">
      <c r="A12" s="14">
        <v>10</v>
      </c>
      <c r="B12" s="15"/>
      <c r="C12" s="15" t="e">
        <f>VLOOKUP(B12,داتا!$B$3:$D$107,2,FALSE)</f>
        <v>#N/A</v>
      </c>
      <c r="D12" s="34" t="e">
        <f>VLOOKUP(B12,داتا!$B$3:$D$107,3,FALSE)</f>
        <v>#N/A</v>
      </c>
      <c r="E12" s="15"/>
      <c r="F12" s="15"/>
      <c r="G12" s="16">
        <v>0.25</v>
      </c>
      <c r="H12" s="16"/>
      <c r="I12" s="16">
        <f t="shared" si="1"/>
        <v>-0.25</v>
      </c>
      <c r="J12" s="16"/>
      <c r="K12" s="16"/>
      <c r="L12" s="16"/>
      <c r="M12" s="16"/>
      <c r="N12" s="16">
        <f t="shared" si="2"/>
        <v>0</v>
      </c>
      <c r="O12" s="16" t="e">
        <f t="shared" si="3"/>
        <v>#N/A</v>
      </c>
      <c r="P12" s="16">
        <v>6.9444444444444397E-3</v>
      </c>
      <c r="Q12" s="16"/>
      <c r="R12" s="16">
        <f t="shared" si="4"/>
        <v>-6.9444444444444397E-3</v>
      </c>
      <c r="S12" s="16"/>
      <c r="T12" s="16" t="e">
        <f>VLOOKUP(E12,'[2]21-3-2026'!E$3:T$35,16,FALSE)</f>
        <v>#N/A</v>
      </c>
      <c r="U12" s="16"/>
      <c r="V12" s="16" t="e">
        <f t="shared" si="5"/>
        <v>#N/A</v>
      </c>
      <c r="W12" s="16"/>
      <c r="X12" s="16"/>
      <c r="Y12" s="16"/>
      <c r="Z12" s="16">
        <f t="shared" si="6"/>
        <v>0</v>
      </c>
      <c r="AA12" s="16">
        <f t="shared" si="0"/>
        <v>0</v>
      </c>
      <c r="AB12" s="16"/>
      <c r="AC12" s="17"/>
      <c r="AD12" s="48"/>
    </row>
    <row r="13" spans="1:30" ht="19.5" thickBot="1" x14ac:dyDescent="0.3">
      <c r="A13" s="14">
        <v>11</v>
      </c>
      <c r="B13" s="15"/>
      <c r="C13" s="15" t="e">
        <f>VLOOKUP(B13,داتا!$B$3:$D$107,2,FALSE)</f>
        <v>#N/A</v>
      </c>
      <c r="D13" s="34" t="e">
        <f>VLOOKUP(B13,داتا!$B$3:$D$107,3,FALSE)</f>
        <v>#N/A</v>
      </c>
      <c r="E13" s="15"/>
      <c r="F13" s="15"/>
      <c r="G13" s="16">
        <v>0.25</v>
      </c>
      <c r="H13" s="16"/>
      <c r="I13" s="16">
        <f t="shared" si="1"/>
        <v>-0.25</v>
      </c>
      <c r="J13" s="16"/>
      <c r="K13" s="16"/>
      <c r="L13" s="16"/>
      <c r="M13" s="16"/>
      <c r="N13" s="16">
        <f t="shared" si="2"/>
        <v>0</v>
      </c>
      <c r="O13" s="16" t="e">
        <f t="shared" si="3"/>
        <v>#N/A</v>
      </c>
      <c r="P13" s="16">
        <v>6.9444444444444397E-3</v>
      </c>
      <c r="Q13" s="16"/>
      <c r="R13" s="16">
        <f t="shared" si="4"/>
        <v>-6.9444444444444397E-3</v>
      </c>
      <c r="S13" s="16"/>
      <c r="T13" s="16" t="e">
        <f>VLOOKUP(E13,'[2]21-3-2026'!E$3:T$35,16,FALSE)</f>
        <v>#N/A</v>
      </c>
      <c r="U13" s="16"/>
      <c r="V13" s="16" t="e">
        <f t="shared" si="5"/>
        <v>#N/A</v>
      </c>
      <c r="W13" s="16"/>
      <c r="X13" s="16"/>
      <c r="Y13" s="16"/>
      <c r="Z13" s="16">
        <f t="shared" si="6"/>
        <v>0</v>
      </c>
      <c r="AA13" s="16">
        <f t="shared" si="0"/>
        <v>0</v>
      </c>
      <c r="AB13" s="16"/>
      <c r="AC13" s="18"/>
      <c r="AD13" s="48"/>
    </row>
    <row r="14" spans="1:30" ht="19.5" thickBot="1" x14ac:dyDescent="0.3">
      <c r="A14" s="14">
        <v>12</v>
      </c>
      <c r="B14" s="15"/>
      <c r="C14" s="15" t="e">
        <f>VLOOKUP(B14,داتا!$B$3:$D$107,2,FALSE)</f>
        <v>#N/A</v>
      </c>
      <c r="D14" s="34" t="e">
        <f>VLOOKUP(B14,داتا!$B$3:$D$107,3,FALSE)</f>
        <v>#N/A</v>
      </c>
      <c r="E14" s="15"/>
      <c r="F14" s="15"/>
      <c r="G14" s="16">
        <v>0.25</v>
      </c>
      <c r="H14" s="16"/>
      <c r="I14" s="16">
        <f t="shared" si="1"/>
        <v>-0.25</v>
      </c>
      <c r="J14" s="16"/>
      <c r="K14" s="16"/>
      <c r="L14" s="16"/>
      <c r="M14" s="16"/>
      <c r="N14" s="16">
        <f t="shared" si="2"/>
        <v>0</v>
      </c>
      <c r="O14" s="16" t="e">
        <f t="shared" si="3"/>
        <v>#N/A</v>
      </c>
      <c r="P14" s="16">
        <v>6.9444444444444397E-3</v>
      </c>
      <c r="Q14" s="16"/>
      <c r="R14" s="16">
        <f t="shared" si="4"/>
        <v>-6.9444444444444397E-3</v>
      </c>
      <c r="S14" s="16"/>
      <c r="T14" s="16" t="e">
        <f>VLOOKUP(E14,'[2]21-3-2026'!E$3:T$35,16,FALSE)</f>
        <v>#N/A</v>
      </c>
      <c r="U14" s="16"/>
      <c r="V14" s="16" t="e">
        <f t="shared" si="5"/>
        <v>#N/A</v>
      </c>
      <c r="W14" s="16"/>
      <c r="X14" s="16"/>
      <c r="Y14" s="16"/>
      <c r="Z14" s="16">
        <f t="shared" si="6"/>
        <v>0</v>
      </c>
      <c r="AA14" s="16">
        <f t="shared" si="0"/>
        <v>0</v>
      </c>
      <c r="AB14" s="16"/>
      <c r="AC14" s="17"/>
      <c r="AD14" s="48"/>
    </row>
    <row r="15" spans="1:30" ht="19.5" thickBot="1" x14ac:dyDescent="0.3">
      <c r="A15" s="14">
        <v>13</v>
      </c>
      <c r="B15" s="15"/>
      <c r="C15" s="15" t="e">
        <f>VLOOKUP(B15,داتا!$B$3:$D$107,2,FALSE)</f>
        <v>#N/A</v>
      </c>
      <c r="D15" s="34" t="e">
        <f>VLOOKUP(B15,داتا!$B$3:$D$107,3,FALSE)</f>
        <v>#N/A</v>
      </c>
      <c r="E15" s="15"/>
      <c r="F15" s="15"/>
      <c r="G15" s="16">
        <v>0.25</v>
      </c>
      <c r="H15" s="16"/>
      <c r="I15" s="16">
        <f t="shared" si="1"/>
        <v>-0.25</v>
      </c>
      <c r="J15" s="16"/>
      <c r="K15" s="16"/>
      <c r="L15" s="16"/>
      <c r="M15" s="16"/>
      <c r="N15" s="16">
        <f t="shared" si="2"/>
        <v>0</v>
      </c>
      <c r="O15" s="16" t="e">
        <f t="shared" si="3"/>
        <v>#N/A</v>
      </c>
      <c r="P15" s="16">
        <v>6.9444444444444397E-3</v>
      </c>
      <c r="Q15" s="16"/>
      <c r="R15" s="16">
        <f t="shared" si="4"/>
        <v>-6.9444444444444397E-3</v>
      </c>
      <c r="S15" s="16"/>
      <c r="T15" s="16" t="e">
        <f>VLOOKUP(E15,'[2]21-3-2026'!E$3:T$35,16,FALSE)</f>
        <v>#N/A</v>
      </c>
      <c r="U15" s="16"/>
      <c r="V15" s="16" t="e">
        <f t="shared" si="5"/>
        <v>#N/A</v>
      </c>
      <c r="W15" s="16"/>
      <c r="X15" s="16"/>
      <c r="Y15" s="16"/>
      <c r="Z15" s="16">
        <f t="shared" si="6"/>
        <v>0</v>
      </c>
      <c r="AA15" s="16">
        <f t="shared" si="0"/>
        <v>0</v>
      </c>
      <c r="AB15" s="16"/>
      <c r="AC15" s="17"/>
      <c r="AD15" s="48"/>
    </row>
    <row r="16" spans="1:30" ht="19.5" thickBot="1" x14ac:dyDescent="0.3">
      <c r="A16" s="14">
        <v>14</v>
      </c>
      <c r="B16" s="15"/>
      <c r="C16" s="15" t="e">
        <f>VLOOKUP(B16,داتا!$B$3:$D$107,2,FALSE)</f>
        <v>#N/A</v>
      </c>
      <c r="D16" s="34" t="e">
        <f>VLOOKUP(B16,داتا!$B$3:$D$107,3,FALSE)</f>
        <v>#N/A</v>
      </c>
      <c r="E16" s="15"/>
      <c r="F16" s="15"/>
      <c r="G16" s="16">
        <v>0.25</v>
      </c>
      <c r="H16" s="16"/>
      <c r="I16" s="16">
        <f t="shared" si="1"/>
        <v>-0.25</v>
      </c>
      <c r="J16" s="16"/>
      <c r="K16" s="16"/>
      <c r="L16" s="16"/>
      <c r="M16" s="16"/>
      <c r="N16" s="16">
        <f t="shared" si="2"/>
        <v>0</v>
      </c>
      <c r="O16" s="16" t="e">
        <f t="shared" si="3"/>
        <v>#N/A</v>
      </c>
      <c r="P16" s="16">
        <v>6.9444444444444397E-3</v>
      </c>
      <c r="Q16" s="16"/>
      <c r="R16" s="16">
        <f t="shared" si="4"/>
        <v>-6.9444444444444397E-3</v>
      </c>
      <c r="S16" s="16"/>
      <c r="T16" s="16" t="e">
        <f>VLOOKUP(E16,'[2]21-3-2026'!E$3:T$35,16,FALSE)</f>
        <v>#N/A</v>
      </c>
      <c r="U16" s="16"/>
      <c r="V16" s="16" t="e">
        <f t="shared" si="5"/>
        <v>#N/A</v>
      </c>
      <c r="W16" s="16"/>
      <c r="X16" s="16"/>
      <c r="Y16" s="16"/>
      <c r="Z16" s="16">
        <f t="shared" si="6"/>
        <v>0</v>
      </c>
      <c r="AA16" s="16">
        <f t="shared" si="0"/>
        <v>0</v>
      </c>
      <c r="AB16" s="16"/>
      <c r="AC16" s="17"/>
      <c r="AD16" s="48"/>
    </row>
    <row r="17" spans="1:30" ht="19.5" thickBot="1" x14ac:dyDescent="0.3">
      <c r="A17" s="14">
        <v>15</v>
      </c>
      <c r="B17" s="15"/>
      <c r="C17" s="15" t="e">
        <f>VLOOKUP(B17,داتا!$B$3:$D$107,2,FALSE)</f>
        <v>#N/A</v>
      </c>
      <c r="D17" s="34" t="e">
        <f>VLOOKUP(B17,داتا!$B$3:$D$107,3,FALSE)</f>
        <v>#N/A</v>
      </c>
      <c r="E17" s="15"/>
      <c r="F17" s="15"/>
      <c r="G17" s="16">
        <v>0.25</v>
      </c>
      <c r="H17" s="16"/>
      <c r="I17" s="16">
        <f t="shared" si="1"/>
        <v>-0.25</v>
      </c>
      <c r="J17" s="16"/>
      <c r="K17" s="16"/>
      <c r="L17" s="16"/>
      <c r="M17" s="16"/>
      <c r="N17" s="16">
        <f t="shared" si="2"/>
        <v>0</v>
      </c>
      <c r="O17" s="16" t="e">
        <f t="shared" si="3"/>
        <v>#N/A</v>
      </c>
      <c r="P17" s="16">
        <v>6.9444444444444397E-3</v>
      </c>
      <c r="Q17" s="16"/>
      <c r="R17" s="16">
        <f t="shared" si="4"/>
        <v>-6.9444444444444397E-3</v>
      </c>
      <c r="S17" s="16"/>
      <c r="T17" s="16" t="e">
        <f>VLOOKUP(E17,'[2]21-3-2026'!E$3:T$35,16,FALSE)</f>
        <v>#N/A</v>
      </c>
      <c r="U17" s="16"/>
      <c r="V17" s="16" t="e">
        <f t="shared" si="5"/>
        <v>#N/A</v>
      </c>
      <c r="W17" s="16"/>
      <c r="X17" s="16"/>
      <c r="Y17" s="16"/>
      <c r="Z17" s="16">
        <f t="shared" si="6"/>
        <v>0</v>
      </c>
      <c r="AA17" s="16">
        <f t="shared" si="0"/>
        <v>0</v>
      </c>
      <c r="AB17" s="16"/>
      <c r="AC17" s="17"/>
      <c r="AD17" s="48"/>
    </row>
    <row r="18" spans="1:30" ht="19.5" thickBot="1" x14ac:dyDescent="0.3">
      <c r="A18" s="14">
        <v>16</v>
      </c>
      <c r="B18" s="15"/>
      <c r="C18" s="15" t="e">
        <f>VLOOKUP(B18,داتا!$B$3:$D$107,2,FALSE)</f>
        <v>#N/A</v>
      </c>
      <c r="D18" s="34" t="e">
        <f>VLOOKUP(B18,داتا!$B$3:$D$107,3,FALSE)</f>
        <v>#N/A</v>
      </c>
      <c r="E18" s="16"/>
      <c r="F18" s="15"/>
      <c r="G18" s="16">
        <v>0.25</v>
      </c>
      <c r="H18" s="16"/>
      <c r="I18" s="16">
        <f t="shared" si="1"/>
        <v>-0.25</v>
      </c>
      <c r="J18" s="16"/>
      <c r="K18" s="16"/>
      <c r="L18" s="16"/>
      <c r="M18" s="16"/>
      <c r="N18" s="16">
        <f t="shared" si="2"/>
        <v>0</v>
      </c>
      <c r="O18" s="16" t="e">
        <f t="shared" si="3"/>
        <v>#N/A</v>
      </c>
      <c r="P18" s="16">
        <v>6.9444444444444397E-3</v>
      </c>
      <c r="Q18" s="16"/>
      <c r="R18" s="16">
        <f t="shared" si="4"/>
        <v>-6.9444444444444397E-3</v>
      </c>
      <c r="S18" s="16"/>
      <c r="T18" s="16" t="e">
        <f>VLOOKUP(E18,'[2]21-3-2026'!E$3:T$35,16,FALSE)</f>
        <v>#N/A</v>
      </c>
      <c r="U18" s="16"/>
      <c r="V18" s="16" t="e">
        <f t="shared" si="5"/>
        <v>#N/A</v>
      </c>
      <c r="W18" s="16"/>
      <c r="X18" s="16"/>
      <c r="Y18" s="16"/>
      <c r="Z18" s="16">
        <f t="shared" si="6"/>
        <v>0</v>
      </c>
      <c r="AA18" s="16">
        <f t="shared" si="0"/>
        <v>0</v>
      </c>
      <c r="AB18" s="16"/>
      <c r="AC18" s="17"/>
      <c r="AD18" s="48"/>
    </row>
    <row r="19" spans="1:30" ht="19.5" thickBot="1" x14ac:dyDescent="0.3">
      <c r="A19" s="14">
        <v>17</v>
      </c>
      <c r="B19" s="15"/>
      <c r="C19" s="15" t="e">
        <f>VLOOKUP(B19,داتا!$B$3:$D$107,2,FALSE)</f>
        <v>#N/A</v>
      </c>
      <c r="D19" s="34" t="e">
        <f>VLOOKUP(B19,داتا!$B$3:$D$107,3,FALSE)</f>
        <v>#N/A</v>
      </c>
      <c r="E19" s="15"/>
      <c r="F19" s="15"/>
      <c r="G19" s="16">
        <v>0.25</v>
      </c>
      <c r="H19" s="16"/>
      <c r="I19" s="16">
        <f t="shared" si="1"/>
        <v>-0.25</v>
      </c>
      <c r="J19" s="16"/>
      <c r="K19" s="16"/>
      <c r="L19" s="16"/>
      <c r="M19" s="16"/>
      <c r="N19" s="16">
        <f t="shared" si="2"/>
        <v>0</v>
      </c>
      <c r="O19" s="16" t="e">
        <f t="shared" si="3"/>
        <v>#N/A</v>
      </c>
      <c r="P19" s="16">
        <v>6.9444444444444397E-3</v>
      </c>
      <c r="Q19" s="16"/>
      <c r="R19" s="16">
        <f t="shared" si="4"/>
        <v>-6.9444444444444397E-3</v>
      </c>
      <c r="S19" s="16"/>
      <c r="T19" s="16" t="e">
        <f>VLOOKUP(E19,'[2]21-3-2026'!E$3:T$35,16,FALSE)</f>
        <v>#N/A</v>
      </c>
      <c r="U19" s="16"/>
      <c r="V19" s="16" t="e">
        <f t="shared" si="5"/>
        <v>#N/A</v>
      </c>
      <c r="W19" s="16"/>
      <c r="X19" s="16"/>
      <c r="Y19" s="16"/>
      <c r="Z19" s="16">
        <f t="shared" si="6"/>
        <v>0</v>
      </c>
      <c r="AA19" s="16">
        <f t="shared" si="0"/>
        <v>0</v>
      </c>
      <c r="AB19" s="16"/>
      <c r="AC19" s="17"/>
      <c r="AD19" s="48"/>
    </row>
    <row r="20" spans="1:30" ht="19.5" thickBot="1" x14ac:dyDescent="0.3">
      <c r="A20" s="14">
        <v>18</v>
      </c>
      <c r="B20" s="15"/>
      <c r="C20" s="15" t="e">
        <f>VLOOKUP(B20,داتا!$B$3:$D$107,2,FALSE)</f>
        <v>#N/A</v>
      </c>
      <c r="D20" s="34" t="e">
        <f>VLOOKUP(B20,داتا!$B$3:$D$107,3,FALSE)</f>
        <v>#N/A</v>
      </c>
      <c r="E20" s="15"/>
      <c r="F20" s="15"/>
      <c r="G20" s="16">
        <v>0.25</v>
      </c>
      <c r="H20" s="16"/>
      <c r="I20" s="16">
        <f t="shared" si="1"/>
        <v>-0.25</v>
      </c>
      <c r="J20" s="16"/>
      <c r="K20" s="16"/>
      <c r="L20" s="16"/>
      <c r="M20" s="16"/>
      <c r="N20" s="16">
        <f t="shared" si="2"/>
        <v>0</v>
      </c>
      <c r="O20" s="16" t="e">
        <f t="shared" si="3"/>
        <v>#N/A</v>
      </c>
      <c r="P20" s="16">
        <v>6.9444444444444397E-3</v>
      </c>
      <c r="Q20" s="16"/>
      <c r="R20" s="16">
        <f t="shared" si="4"/>
        <v>-6.9444444444444397E-3</v>
      </c>
      <c r="S20" s="16"/>
      <c r="T20" s="16" t="e">
        <f>VLOOKUP(E20,'[2]21-3-2026'!E$3:T$35,16,FALSE)</f>
        <v>#N/A</v>
      </c>
      <c r="U20" s="16"/>
      <c r="V20" s="16" t="e">
        <f t="shared" si="5"/>
        <v>#N/A</v>
      </c>
      <c r="W20" s="16"/>
      <c r="X20" s="16"/>
      <c r="Y20" s="16"/>
      <c r="Z20" s="16">
        <f t="shared" si="6"/>
        <v>0</v>
      </c>
      <c r="AA20" s="16">
        <f t="shared" si="0"/>
        <v>0</v>
      </c>
      <c r="AB20" s="16"/>
      <c r="AC20" s="17"/>
      <c r="AD20" s="48"/>
    </row>
    <row r="21" spans="1:30" ht="19.5" thickBot="1" x14ac:dyDescent="0.3">
      <c r="A21" s="14">
        <v>19</v>
      </c>
      <c r="B21" s="15"/>
      <c r="C21" s="15" t="e">
        <f>VLOOKUP(B21,داتا!$B$3:$D$107,2,FALSE)</f>
        <v>#N/A</v>
      </c>
      <c r="D21" s="34" t="e">
        <f>VLOOKUP(B21,داتا!$B$3:$D$107,3,FALSE)</f>
        <v>#N/A</v>
      </c>
      <c r="E21" s="15"/>
      <c r="F21" s="15"/>
      <c r="G21" s="16">
        <v>0.25</v>
      </c>
      <c r="H21" s="16"/>
      <c r="I21" s="16">
        <f t="shared" si="1"/>
        <v>-0.25</v>
      </c>
      <c r="J21" s="16"/>
      <c r="K21" s="16"/>
      <c r="L21" s="16"/>
      <c r="M21" s="16"/>
      <c r="N21" s="16">
        <f t="shared" si="2"/>
        <v>0</v>
      </c>
      <c r="O21" s="16" t="e">
        <f t="shared" si="3"/>
        <v>#N/A</v>
      </c>
      <c r="P21" s="16">
        <v>6.9444444444444397E-3</v>
      </c>
      <c r="Q21" s="16"/>
      <c r="R21" s="16">
        <f t="shared" si="4"/>
        <v>-6.9444444444444397E-3</v>
      </c>
      <c r="S21" s="16"/>
      <c r="T21" s="16" t="e">
        <f>VLOOKUP(E21,'[2]21-3-2026'!E$3:T$35,16,FALSE)</f>
        <v>#N/A</v>
      </c>
      <c r="U21" s="16"/>
      <c r="V21" s="16" t="e">
        <f t="shared" si="5"/>
        <v>#N/A</v>
      </c>
      <c r="W21" s="16"/>
      <c r="X21" s="16"/>
      <c r="Y21" s="16"/>
      <c r="Z21" s="16">
        <f t="shared" si="6"/>
        <v>0</v>
      </c>
      <c r="AA21" s="16">
        <f t="shared" si="0"/>
        <v>0</v>
      </c>
      <c r="AB21" s="16"/>
      <c r="AC21" s="17"/>
      <c r="AD21" s="48"/>
    </row>
    <row r="22" spans="1:30" ht="19.5" thickBot="1" x14ac:dyDescent="0.3">
      <c r="A22" s="14">
        <v>20</v>
      </c>
      <c r="B22" s="15"/>
      <c r="C22" s="15" t="e">
        <f>VLOOKUP(B22,داتا!$B$3:$D$107,2,FALSE)</f>
        <v>#N/A</v>
      </c>
      <c r="D22" s="34" t="e">
        <f>VLOOKUP(B22,داتا!$B$3:$D$107,3,FALSE)</f>
        <v>#N/A</v>
      </c>
      <c r="E22" s="15"/>
      <c r="F22" s="15"/>
      <c r="G22" s="16">
        <v>0.25</v>
      </c>
      <c r="H22" s="16"/>
      <c r="I22" s="16">
        <f t="shared" si="1"/>
        <v>-0.25</v>
      </c>
      <c r="J22" s="16"/>
      <c r="K22" s="16"/>
      <c r="L22" s="16"/>
      <c r="M22" s="16"/>
      <c r="N22" s="16">
        <f t="shared" si="2"/>
        <v>0</v>
      </c>
      <c r="O22" s="16" t="e">
        <f t="shared" si="3"/>
        <v>#N/A</v>
      </c>
      <c r="P22" s="16">
        <v>6.9444444444444397E-3</v>
      </c>
      <c r="Q22" s="16"/>
      <c r="R22" s="16">
        <f t="shared" si="4"/>
        <v>-6.9444444444444397E-3</v>
      </c>
      <c r="S22" s="16"/>
      <c r="T22" s="16" t="e">
        <f>VLOOKUP(E22,'[2]21-3-2026'!E$3:T$35,16,FALSE)</f>
        <v>#N/A</v>
      </c>
      <c r="U22" s="16"/>
      <c r="V22" s="16" t="e">
        <f t="shared" si="5"/>
        <v>#N/A</v>
      </c>
      <c r="W22" s="16"/>
      <c r="X22" s="16"/>
      <c r="Y22" s="16"/>
      <c r="Z22" s="16">
        <f t="shared" si="6"/>
        <v>0</v>
      </c>
      <c r="AA22" s="16">
        <f t="shared" si="0"/>
        <v>0</v>
      </c>
      <c r="AB22" s="16"/>
      <c r="AC22" s="17"/>
      <c r="AD22" s="48"/>
    </row>
    <row r="23" spans="1:30" ht="19.5" thickBot="1" x14ac:dyDescent="0.3">
      <c r="A23" s="14">
        <v>21</v>
      </c>
      <c r="B23" s="15"/>
      <c r="C23" s="15" t="e">
        <f>VLOOKUP(B23,داتا!$B$3:$D$107,2,FALSE)</f>
        <v>#N/A</v>
      </c>
      <c r="D23" s="34" t="e">
        <f>VLOOKUP(B23,داتا!$B$3:$D$107,3,FALSE)</f>
        <v>#N/A</v>
      </c>
      <c r="E23" s="15"/>
      <c r="F23" s="15"/>
      <c r="G23" s="16">
        <v>0.25</v>
      </c>
      <c r="H23" s="16"/>
      <c r="I23" s="16">
        <f t="shared" si="1"/>
        <v>-0.25</v>
      </c>
      <c r="J23" s="16"/>
      <c r="K23" s="16"/>
      <c r="L23" s="16"/>
      <c r="M23" s="16"/>
      <c r="N23" s="16">
        <f t="shared" si="2"/>
        <v>0</v>
      </c>
      <c r="O23" s="16" t="e">
        <f t="shared" si="3"/>
        <v>#N/A</v>
      </c>
      <c r="P23" s="16">
        <v>6.9444444444444397E-3</v>
      </c>
      <c r="Q23" s="16"/>
      <c r="R23" s="16">
        <f t="shared" si="4"/>
        <v>-6.9444444444444397E-3</v>
      </c>
      <c r="S23" s="16"/>
      <c r="T23" s="16" t="e">
        <f>VLOOKUP(E23,'[2]21-3-2026'!E$3:T$35,16,FALSE)</f>
        <v>#N/A</v>
      </c>
      <c r="U23" s="16"/>
      <c r="V23" s="16" t="e">
        <f t="shared" si="5"/>
        <v>#N/A</v>
      </c>
      <c r="W23" s="16"/>
      <c r="X23" s="16"/>
      <c r="Y23" s="16"/>
      <c r="Z23" s="16">
        <f t="shared" si="6"/>
        <v>0</v>
      </c>
      <c r="AA23" s="16">
        <f t="shared" si="0"/>
        <v>0</v>
      </c>
      <c r="AB23" s="16"/>
      <c r="AC23" s="17"/>
      <c r="AD23" s="48"/>
    </row>
    <row r="24" spans="1:30" ht="19.5" thickBot="1" x14ac:dyDescent="0.3">
      <c r="A24" s="14">
        <v>22</v>
      </c>
      <c r="B24" s="15"/>
      <c r="C24" s="15" t="e">
        <f>VLOOKUP(B24,داتا!$B$3:$D$107,2,FALSE)</f>
        <v>#N/A</v>
      </c>
      <c r="D24" s="34" t="e">
        <f>VLOOKUP(B24,داتا!$B$3:$D$107,3,FALSE)</f>
        <v>#N/A</v>
      </c>
      <c r="E24" s="15"/>
      <c r="F24" s="16"/>
      <c r="G24" s="16">
        <v>0.25</v>
      </c>
      <c r="H24" s="16"/>
      <c r="I24" s="16">
        <f t="shared" si="1"/>
        <v>-0.25</v>
      </c>
      <c r="J24" s="16"/>
      <c r="K24" s="16"/>
      <c r="L24" s="16"/>
      <c r="M24" s="16"/>
      <c r="N24" s="16">
        <f t="shared" si="2"/>
        <v>0</v>
      </c>
      <c r="O24" s="16" t="e">
        <f t="shared" si="3"/>
        <v>#N/A</v>
      </c>
      <c r="P24" s="16">
        <v>6.9444444444444397E-3</v>
      </c>
      <c r="Q24" s="16"/>
      <c r="R24" s="16">
        <f t="shared" si="4"/>
        <v>-6.9444444444444397E-3</v>
      </c>
      <c r="S24" s="16"/>
      <c r="T24" s="16" t="e">
        <f>VLOOKUP(E24,'[2]21-3-2026'!E$3:T$35,16,FALSE)</f>
        <v>#N/A</v>
      </c>
      <c r="U24" s="16"/>
      <c r="V24" s="16" t="e">
        <f t="shared" si="5"/>
        <v>#N/A</v>
      </c>
      <c r="W24" s="16"/>
      <c r="X24" s="16"/>
      <c r="Y24" s="16"/>
      <c r="Z24" s="16">
        <f t="shared" si="6"/>
        <v>0</v>
      </c>
      <c r="AA24" s="16">
        <f t="shared" si="0"/>
        <v>0</v>
      </c>
      <c r="AB24" s="16"/>
      <c r="AC24" s="17"/>
      <c r="AD24" s="48"/>
    </row>
    <row r="25" spans="1:30" ht="19.5" thickBot="1" x14ac:dyDescent="0.3">
      <c r="A25" s="14">
        <v>23</v>
      </c>
      <c r="B25" s="15"/>
      <c r="C25" s="15" t="e">
        <f>VLOOKUP(B25,داتا!$B$3:$D$107,2,FALSE)</f>
        <v>#N/A</v>
      </c>
      <c r="D25" s="34" t="e">
        <f>VLOOKUP(B25,داتا!$B$3:$D$107,3,FALSE)</f>
        <v>#N/A</v>
      </c>
      <c r="E25" s="15"/>
      <c r="F25" s="15"/>
      <c r="G25" s="16">
        <v>0.25</v>
      </c>
      <c r="H25" s="16"/>
      <c r="I25" s="16">
        <f t="shared" si="1"/>
        <v>-0.25</v>
      </c>
      <c r="J25" s="16"/>
      <c r="K25" s="16"/>
      <c r="L25" s="16"/>
      <c r="M25" s="16"/>
      <c r="N25" s="16">
        <f t="shared" si="2"/>
        <v>0</v>
      </c>
      <c r="O25" s="16" t="e">
        <f t="shared" si="3"/>
        <v>#N/A</v>
      </c>
      <c r="P25" s="16">
        <v>6.9444444444444397E-3</v>
      </c>
      <c r="Q25" s="16"/>
      <c r="R25" s="16">
        <f t="shared" si="4"/>
        <v>-6.9444444444444397E-3</v>
      </c>
      <c r="S25" s="16"/>
      <c r="T25" s="16" t="e">
        <f>VLOOKUP(E25,'[2]21-3-2026'!E$3:T$35,16,FALSE)</f>
        <v>#N/A</v>
      </c>
      <c r="U25" s="16"/>
      <c r="V25" s="16" t="e">
        <f t="shared" si="5"/>
        <v>#N/A</v>
      </c>
      <c r="W25" s="16"/>
      <c r="X25" s="16"/>
      <c r="Y25" s="16"/>
      <c r="Z25" s="16">
        <f t="shared" si="6"/>
        <v>0</v>
      </c>
      <c r="AA25" s="16">
        <f t="shared" si="0"/>
        <v>0</v>
      </c>
      <c r="AB25" s="16"/>
      <c r="AC25" s="19"/>
      <c r="AD25" s="48"/>
    </row>
    <row r="26" spans="1:30" ht="19.5" thickBot="1" x14ac:dyDescent="0.3">
      <c r="A26" s="14">
        <v>24</v>
      </c>
      <c r="B26" s="15"/>
      <c r="C26" s="15" t="e">
        <f>VLOOKUP(B26,داتا!$B$3:$D$107,2,FALSE)</f>
        <v>#N/A</v>
      </c>
      <c r="D26" s="34" t="e">
        <f>VLOOKUP(B26,داتا!$B$3:$D$107,3,FALSE)</f>
        <v>#N/A</v>
      </c>
      <c r="E26" s="15"/>
      <c r="F26" s="15"/>
      <c r="G26" s="16">
        <v>0.25</v>
      </c>
      <c r="H26" s="16"/>
      <c r="I26" s="16">
        <f t="shared" si="1"/>
        <v>-0.25</v>
      </c>
      <c r="J26" s="16"/>
      <c r="K26" s="16"/>
      <c r="L26" s="16"/>
      <c r="M26" s="16"/>
      <c r="N26" s="16">
        <f t="shared" si="2"/>
        <v>0</v>
      </c>
      <c r="O26" s="16" t="e">
        <f t="shared" si="3"/>
        <v>#N/A</v>
      </c>
      <c r="P26" s="16">
        <v>6.9444444444444397E-3</v>
      </c>
      <c r="Q26" s="16"/>
      <c r="R26" s="16">
        <f t="shared" si="4"/>
        <v>-6.9444444444444397E-3</v>
      </c>
      <c r="S26" s="16"/>
      <c r="T26" s="16" t="e">
        <f>VLOOKUP(E26,'[2]21-3-2026'!E$3:T$35,16,FALSE)</f>
        <v>#N/A</v>
      </c>
      <c r="U26" s="16"/>
      <c r="V26" s="16" t="e">
        <f t="shared" si="5"/>
        <v>#N/A</v>
      </c>
      <c r="W26" s="16"/>
      <c r="X26" s="16"/>
      <c r="Y26" s="16"/>
      <c r="Z26" s="16">
        <f t="shared" si="6"/>
        <v>0</v>
      </c>
      <c r="AA26" s="16">
        <f t="shared" si="0"/>
        <v>0</v>
      </c>
      <c r="AB26" s="16"/>
      <c r="AC26" s="19"/>
      <c r="AD26" s="48"/>
    </row>
    <row r="27" spans="1:30" ht="19.5" thickBot="1" x14ac:dyDescent="0.3">
      <c r="A27" s="14">
        <v>25</v>
      </c>
      <c r="B27" s="15"/>
      <c r="C27" s="15" t="e">
        <f>VLOOKUP(B27,داتا!$B$3:$D$107,2,FALSE)</f>
        <v>#N/A</v>
      </c>
      <c r="D27" s="34" t="e">
        <f>VLOOKUP(B27,داتا!$B$3:$D$107,3,FALSE)</f>
        <v>#N/A</v>
      </c>
      <c r="E27" s="15"/>
      <c r="F27" s="15"/>
      <c r="G27" s="16">
        <v>0.25</v>
      </c>
      <c r="H27" s="16"/>
      <c r="I27" s="16">
        <f t="shared" si="1"/>
        <v>-0.25</v>
      </c>
      <c r="J27" s="16"/>
      <c r="K27" s="16"/>
      <c r="L27" s="16"/>
      <c r="M27" s="16"/>
      <c r="N27" s="16">
        <f t="shared" si="2"/>
        <v>0</v>
      </c>
      <c r="O27" s="16" t="e">
        <f t="shared" si="3"/>
        <v>#N/A</v>
      </c>
      <c r="P27" s="16">
        <v>6.9444444444444397E-3</v>
      </c>
      <c r="Q27" s="16"/>
      <c r="R27" s="16">
        <f t="shared" si="4"/>
        <v>-6.9444444444444397E-3</v>
      </c>
      <c r="S27" s="16"/>
      <c r="T27" s="16" t="e">
        <f>VLOOKUP(E27,'[2]21-3-2026'!E$3:T$35,16,FALSE)</f>
        <v>#N/A</v>
      </c>
      <c r="U27" s="16"/>
      <c r="V27" s="16" t="e">
        <f t="shared" si="5"/>
        <v>#N/A</v>
      </c>
      <c r="W27" s="16"/>
      <c r="X27" s="16"/>
      <c r="Y27" s="16"/>
      <c r="Z27" s="16">
        <f t="shared" si="6"/>
        <v>0</v>
      </c>
      <c r="AA27" s="16">
        <f t="shared" si="0"/>
        <v>0</v>
      </c>
      <c r="AB27" s="16"/>
      <c r="AC27" s="19"/>
      <c r="AD27" s="48"/>
    </row>
    <row r="28" spans="1:30" ht="19.5" thickBot="1" x14ac:dyDescent="0.3">
      <c r="A28" s="14">
        <v>26</v>
      </c>
      <c r="B28" s="15"/>
      <c r="C28" s="15" t="e">
        <f>VLOOKUP(B28,داتا!$B$3:$D$107,2,FALSE)</f>
        <v>#N/A</v>
      </c>
      <c r="D28" s="34" t="e">
        <f>VLOOKUP(B28,داتا!$B$3:$D$107,3,FALSE)</f>
        <v>#N/A</v>
      </c>
      <c r="E28" s="15"/>
      <c r="F28" s="15"/>
      <c r="G28" s="16">
        <v>0.25</v>
      </c>
      <c r="H28" s="16"/>
      <c r="I28" s="16">
        <f t="shared" si="1"/>
        <v>-0.25</v>
      </c>
      <c r="J28" s="16"/>
      <c r="K28" s="16"/>
      <c r="L28" s="16"/>
      <c r="M28" s="16"/>
      <c r="N28" s="16">
        <f t="shared" si="2"/>
        <v>0</v>
      </c>
      <c r="O28" s="16" t="e">
        <f t="shared" si="3"/>
        <v>#N/A</v>
      </c>
      <c r="P28" s="16">
        <v>6.9444444444444397E-3</v>
      </c>
      <c r="Q28" s="16"/>
      <c r="R28" s="16">
        <f t="shared" si="4"/>
        <v>-6.9444444444444397E-3</v>
      </c>
      <c r="S28" s="16"/>
      <c r="T28" s="16" t="e">
        <f>VLOOKUP(E28,'[2]21-3-2026'!E$3:T$35,16,FALSE)</f>
        <v>#N/A</v>
      </c>
      <c r="U28" s="16"/>
      <c r="V28" s="16" t="e">
        <f t="shared" si="5"/>
        <v>#N/A</v>
      </c>
      <c r="W28" s="16"/>
      <c r="X28" s="16"/>
      <c r="Y28" s="16"/>
      <c r="Z28" s="16">
        <f t="shared" si="6"/>
        <v>0</v>
      </c>
      <c r="AA28" s="16">
        <f t="shared" si="0"/>
        <v>0</v>
      </c>
      <c r="AB28" s="16"/>
      <c r="AC28" s="17"/>
      <c r="AD28" s="48"/>
    </row>
    <row r="29" spans="1:30" ht="19.5" thickBot="1" x14ac:dyDescent="0.3">
      <c r="A29" s="14">
        <v>27</v>
      </c>
      <c r="B29" s="15"/>
      <c r="C29" s="15" t="e">
        <f>VLOOKUP(B29,داتا!$B$3:$D$107,2,FALSE)</f>
        <v>#N/A</v>
      </c>
      <c r="D29" s="34" t="e">
        <f>VLOOKUP(B29,داتا!$B$3:$D$107,3,FALSE)</f>
        <v>#N/A</v>
      </c>
      <c r="E29" s="15"/>
      <c r="F29" s="15"/>
      <c r="G29" s="16">
        <v>0.25</v>
      </c>
      <c r="H29" s="16"/>
      <c r="I29" s="16">
        <f t="shared" si="1"/>
        <v>-0.25</v>
      </c>
      <c r="J29" s="16"/>
      <c r="K29" s="16"/>
      <c r="L29" s="16"/>
      <c r="M29" s="16"/>
      <c r="N29" s="16">
        <f t="shared" si="2"/>
        <v>0</v>
      </c>
      <c r="O29" s="16" t="e">
        <f t="shared" si="3"/>
        <v>#N/A</v>
      </c>
      <c r="P29" s="16">
        <v>6.9444444444444397E-3</v>
      </c>
      <c r="Q29" s="16"/>
      <c r="R29" s="16">
        <f t="shared" si="4"/>
        <v>-6.9444444444444397E-3</v>
      </c>
      <c r="S29" s="16"/>
      <c r="T29" s="16" t="e">
        <f>VLOOKUP(E29,'[2]21-3-2026'!E$3:T$35,16,FALSE)</f>
        <v>#N/A</v>
      </c>
      <c r="U29" s="16"/>
      <c r="V29" s="16" t="e">
        <f t="shared" si="5"/>
        <v>#N/A</v>
      </c>
      <c r="W29" s="16"/>
      <c r="X29" s="16"/>
      <c r="Y29" s="16"/>
      <c r="Z29" s="16">
        <f t="shared" si="6"/>
        <v>0</v>
      </c>
      <c r="AA29" s="16">
        <f t="shared" si="0"/>
        <v>0</v>
      </c>
      <c r="AB29" s="16"/>
      <c r="AC29" s="18"/>
      <c r="AD29" s="48"/>
    </row>
    <row r="30" spans="1:30" ht="19.5" thickBot="1" x14ac:dyDescent="0.3">
      <c r="A30" s="14">
        <v>28</v>
      </c>
      <c r="B30" s="15"/>
      <c r="C30" s="15" t="e">
        <f>VLOOKUP(B30,داتا!$B$3:$D$107,2,FALSE)</f>
        <v>#N/A</v>
      </c>
      <c r="D30" s="34" t="e">
        <f>VLOOKUP(B30,داتا!$B$3:$D$107,3,FALSE)</f>
        <v>#N/A</v>
      </c>
      <c r="E30" s="15"/>
      <c r="F30" s="15"/>
      <c r="G30" s="16">
        <v>0.25</v>
      </c>
      <c r="H30" s="16"/>
      <c r="I30" s="16">
        <f t="shared" si="1"/>
        <v>-0.25</v>
      </c>
      <c r="J30" s="16"/>
      <c r="K30" s="16"/>
      <c r="L30" s="16"/>
      <c r="M30" s="16"/>
      <c r="N30" s="16">
        <f t="shared" si="2"/>
        <v>0</v>
      </c>
      <c r="O30" s="16" t="e">
        <f t="shared" si="3"/>
        <v>#N/A</v>
      </c>
      <c r="P30" s="16">
        <v>6.9444444444444397E-3</v>
      </c>
      <c r="Q30" s="16"/>
      <c r="R30" s="16">
        <f t="shared" si="4"/>
        <v>-6.9444444444444397E-3</v>
      </c>
      <c r="S30" s="16"/>
      <c r="T30" s="16" t="e">
        <f>VLOOKUP(E30,'[2]21-3-2026'!E$3:T$35,16,FALSE)</f>
        <v>#N/A</v>
      </c>
      <c r="U30" s="16"/>
      <c r="V30" s="16" t="e">
        <f t="shared" si="5"/>
        <v>#N/A</v>
      </c>
      <c r="W30" s="16"/>
      <c r="X30" s="16"/>
      <c r="Y30" s="16"/>
      <c r="Z30" s="16">
        <f t="shared" si="6"/>
        <v>0</v>
      </c>
      <c r="AA30" s="16">
        <f t="shared" si="0"/>
        <v>0</v>
      </c>
      <c r="AB30" s="16"/>
      <c r="AC30" s="17"/>
      <c r="AD30" s="48"/>
    </row>
    <row r="31" spans="1:30" ht="19.5" thickBot="1" x14ac:dyDescent="0.3">
      <c r="A31" s="14">
        <v>29</v>
      </c>
      <c r="B31" s="15"/>
      <c r="C31" s="15" t="e">
        <f>VLOOKUP(B31,داتا!$B$3:$D$107,2,FALSE)</f>
        <v>#N/A</v>
      </c>
      <c r="D31" s="34" t="e">
        <f>VLOOKUP(B31,داتا!$B$3:$D$107,3,FALSE)</f>
        <v>#N/A</v>
      </c>
      <c r="E31" s="15"/>
      <c r="F31" s="15"/>
      <c r="G31" s="16">
        <v>0.25</v>
      </c>
      <c r="H31" s="16"/>
      <c r="I31" s="16">
        <f t="shared" si="1"/>
        <v>-0.25</v>
      </c>
      <c r="J31" s="16"/>
      <c r="K31" s="16"/>
      <c r="L31" s="16"/>
      <c r="M31" s="16"/>
      <c r="N31" s="16">
        <f t="shared" si="2"/>
        <v>0</v>
      </c>
      <c r="O31" s="16" t="e">
        <f t="shared" si="3"/>
        <v>#N/A</v>
      </c>
      <c r="P31" s="16">
        <v>6.9444444444444397E-3</v>
      </c>
      <c r="Q31" s="16"/>
      <c r="R31" s="16">
        <f t="shared" si="4"/>
        <v>-6.9444444444444397E-3</v>
      </c>
      <c r="S31" s="16"/>
      <c r="T31" s="16" t="e">
        <f>VLOOKUP(E31,'[2]21-3-2026'!E$3:T$35,16,FALSE)</f>
        <v>#N/A</v>
      </c>
      <c r="U31" s="16"/>
      <c r="V31" s="16" t="e">
        <f t="shared" si="5"/>
        <v>#N/A</v>
      </c>
      <c r="W31" s="16"/>
      <c r="X31" s="16"/>
      <c r="Y31" s="16"/>
      <c r="Z31" s="16">
        <f t="shared" si="6"/>
        <v>0</v>
      </c>
      <c r="AA31" s="16">
        <f t="shared" si="0"/>
        <v>0</v>
      </c>
      <c r="AB31" s="16"/>
      <c r="AC31" s="17"/>
      <c r="AD31" s="48"/>
    </row>
    <row r="32" spans="1:30" ht="19.5" thickBot="1" x14ac:dyDescent="0.3">
      <c r="A32" s="14">
        <v>30</v>
      </c>
      <c r="B32" s="15"/>
      <c r="C32" s="15" t="e">
        <f>VLOOKUP(B32,داتا!$B$3:$D$107,2,FALSE)</f>
        <v>#N/A</v>
      </c>
      <c r="D32" s="34" t="e">
        <f>VLOOKUP(B32,داتا!$B$3:$D$107,3,FALSE)</f>
        <v>#N/A</v>
      </c>
      <c r="E32" s="15"/>
      <c r="F32" s="15"/>
      <c r="G32" s="16">
        <v>0.25</v>
      </c>
      <c r="H32" s="16"/>
      <c r="I32" s="16">
        <f t="shared" si="1"/>
        <v>-0.25</v>
      </c>
      <c r="J32" s="16"/>
      <c r="K32" s="16"/>
      <c r="L32" s="16"/>
      <c r="M32" s="16"/>
      <c r="N32" s="16">
        <f t="shared" si="2"/>
        <v>0</v>
      </c>
      <c r="O32" s="16" t="e">
        <f t="shared" si="3"/>
        <v>#N/A</v>
      </c>
      <c r="P32" s="16">
        <v>6.9444444444444397E-3</v>
      </c>
      <c r="Q32" s="16"/>
      <c r="R32" s="16">
        <f t="shared" si="4"/>
        <v>-6.9444444444444397E-3</v>
      </c>
      <c r="S32" s="16"/>
      <c r="T32" s="16" t="e">
        <f>VLOOKUP(E32,'[2]21-3-2026'!E$3:T$35,16,FALSE)</f>
        <v>#N/A</v>
      </c>
      <c r="U32" s="16"/>
      <c r="V32" s="16" t="e">
        <f t="shared" si="5"/>
        <v>#N/A</v>
      </c>
      <c r="W32" s="16"/>
      <c r="X32" s="16"/>
      <c r="Y32" s="16"/>
      <c r="Z32" s="16">
        <f t="shared" si="6"/>
        <v>0</v>
      </c>
      <c r="AA32" s="16">
        <f t="shared" si="0"/>
        <v>0</v>
      </c>
      <c r="AB32" s="16"/>
      <c r="AC32" s="17"/>
      <c r="AD32" s="48"/>
    </row>
    <row r="33" spans="1:30" ht="19.5" thickBot="1" x14ac:dyDescent="0.3">
      <c r="A33" s="14">
        <v>31</v>
      </c>
      <c r="B33" s="15"/>
      <c r="C33" s="15" t="e">
        <f>VLOOKUP(B33,داتا!$B$3:$D$107,2,FALSE)</f>
        <v>#N/A</v>
      </c>
      <c r="D33" s="34" t="e">
        <f>VLOOKUP(B33,داتا!$B$3:$D$107,3,FALSE)</f>
        <v>#N/A</v>
      </c>
      <c r="E33" s="15"/>
      <c r="F33" s="15"/>
      <c r="G33" s="16">
        <v>0.25</v>
      </c>
      <c r="H33" s="16"/>
      <c r="I33" s="16">
        <f t="shared" si="1"/>
        <v>-0.25</v>
      </c>
      <c r="J33" s="16"/>
      <c r="K33" s="16"/>
      <c r="L33" s="16"/>
      <c r="M33" s="16"/>
      <c r="N33" s="16">
        <f t="shared" si="2"/>
        <v>0</v>
      </c>
      <c r="O33" s="16" t="e">
        <f t="shared" si="3"/>
        <v>#N/A</v>
      </c>
      <c r="P33" s="16">
        <v>6.9444444444444397E-3</v>
      </c>
      <c r="Q33" s="16"/>
      <c r="R33" s="16">
        <f t="shared" si="4"/>
        <v>-6.9444444444444397E-3</v>
      </c>
      <c r="S33" s="16"/>
      <c r="T33" s="16" t="e">
        <f>VLOOKUP(E33,'[2]21-3-2026'!E$3:T$35,16,FALSE)</f>
        <v>#N/A</v>
      </c>
      <c r="U33" s="16"/>
      <c r="V33" s="16" t="e">
        <f t="shared" si="5"/>
        <v>#N/A</v>
      </c>
      <c r="W33" s="16"/>
      <c r="X33" s="16"/>
      <c r="Y33" s="16"/>
      <c r="Z33" s="16">
        <f t="shared" si="6"/>
        <v>0</v>
      </c>
      <c r="AA33" s="16">
        <f t="shared" si="0"/>
        <v>0</v>
      </c>
      <c r="AB33" s="16"/>
      <c r="AC33" s="17"/>
      <c r="AD33" s="48"/>
    </row>
    <row r="34" spans="1:30" ht="19.5" thickBot="1" x14ac:dyDescent="0.3">
      <c r="A34" s="14">
        <v>32</v>
      </c>
      <c r="B34" s="15"/>
      <c r="C34" s="15" t="e">
        <f>VLOOKUP(B34,داتا!$B$3:$D$107,2,FALSE)</f>
        <v>#N/A</v>
      </c>
      <c r="D34" s="34" t="e">
        <f>VLOOKUP(B34,داتا!$B$3:$D$107,3,FALSE)</f>
        <v>#N/A</v>
      </c>
      <c r="E34" s="15"/>
      <c r="F34" s="15"/>
      <c r="G34" s="16">
        <v>0.25</v>
      </c>
      <c r="H34" s="16"/>
      <c r="I34" s="16">
        <f t="shared" si="1"/>
        <v>-0.25</v>
      </c>
      <c r="J34" s="16"/>
      <c r="K34" s="16"/>
      <c r="L34" s="16"/>
      <c r="M34" s="16"/>
      <c r="N34" s="16">
        <f t="shared" si="2"/>
        <v>0</v>
      </c>
      <c r="O34" s="16" t="e">
        <f t="shared" si="3"/>
        <v>#N/A</v>
      </c>
      <c r="P34" s="16">
        <v>6.9444444444444397E-3</v>
      </c>
      <c r="Q34" s="16"/>
      <c r="R34" s="16">
        <f t="shared" si="4"/>
        <v>-6.9444444444444397E-3</v>
      </c>
      <c r="S34" s="16"/>
      <c r="T34" s="16" t="e">
        <f>VLOOKUP(E34,'[2]21-3-2026'!E$3:T$35,16,FALSE)</f>
        <v>#N/A</v>
      </c>
      <c r="U34" s="16"/>
      <c r="V34" s="16" t="e">
        <f t="shared" si="5"/>
        <v>#N/A</v>
      </c>
      <c r="W34" s="16"/>
      <c r="X34" s="16"/>
      <c r="Y34" s="16"/>
      <c r="Z34" s="16">
        <f t="shared" si="6"/>
        <v>0</v>
      </c>
      <c r="AA34" s="16">
        <f t="shared" si="0"/>
        <v>0</v>
      </c>
      <c r="AB34" s="16"/>
      <c r="AC34" s="17"/>
      <c r="AD34" s="48"/>
    </row>
    <row r="35" spans="1:30" ht="19.5" thickBot="1" x14ac:dyDescent="0.3">
      <c r="A35" s="20">
        <v>33</v>
      </c>
      <c r="B35" s="21"/>
      <c r="C35" s="21" t="e">
        <f>VLOOKUP(B35,داتا!$B$3:$D$107,2,FALSE)</f>
        <v>#N/A</v>
      </c>
      <c r="D35" s="35" t="e">
        <f>VLOOKUP(B35,داتا!$B$3:$D$107,3,FALSE)</f>
        <v>#N/A</v>
      </c>
      <c r="E35" s="21"/>
      <c r="F35" s="21"/>
      <c r="G35" s="22">
        <v>0.25</v>
      </c>
      <c r="H35" s="22"/>
      <c r="I35" s="22">
        <f t="shared" si="1"/>
        <v>-0.25</v>
      </c>
      <c r="J35" s="22"/>
      <c r="K35" s="22"/>
      <c r="L35" s="22"/>
      <c r="M35" s="22"/>
      <c r="N35" s="22">
        <f t="shared" si="2"/>
        <v>0</v>
      </c>
      <c r="O35" s="22" t="e">
        <f t="shared" si="3"/>
        <v>#N/A</v>
      </c>
      <c r="P35" s="22">
        <v>6.9444444444444397E-3</v>
      </c>
      <c r="Q35" s="22"/>
      <c r="R35" s="22">
        <f t="shared" si="4"/>
        <v>-6.9444444444444397E-3</v>
      </c>
      <c r="S35" s="22"/>
      <c r="T35" s="22" t="e">
        <f>VLOOKUP(E35,'[2]21-3-2026'!E$3:T$35,16,FALSE)</f>
        <v>#N/A</v>
      </c>
      <c r="U35" s="22"/>
      <c r="V35" s="22" t="e">
        <f t="shared" si="5"/>
        <v>#N/A</v>
      </c>
      <c r="W35" s="22"/>
      <c r="X35" s="22"/>
      <c r="Y35" s="22"/>
      <c r="Z35" s="22">
        <f t="shared" si="6"/>
        <v>0</v>
      </c>
      <c r="AA35" s="22">
        <f t="shared" si="0"/>
        <v>0</v>
      </c>
      <c r="AB35" s="22"/>
      <c r="AC35" s="23"/>
      <c r="AD35" s="49"/>
    </row>
    <row r="36" spans="1:30" ht="20.25" customHeight="1" thickTop="1" thickBot="1" x14ac:dyDescent="0.3">
      <c r="A36" s="10">
        <v>1</v>
      </c>
      <c r="B36" s="11"/>
      <c r="C36" s="11" t="e">
        <f>VLOOKUP(B36,داتا!$B$3:$D$107,2,FALSE)</f>
        <v>#N/A</v>
      </c>
      <c r="D36" s="33" t="e">
        <f>VLOOKUP(B36,داتا!$B$3:$D$107,3,FALSE)</f>
        <v>#N/A</v>
      </c>
      <c r="E36" s="11"/>
      <c r="F36" s="11"/>
      <c r="G36" s="12">
        <v>0.25</v>
      </c>
      <c r="H36" s="12" t="e">
        <f>VLOOKUP(G36,$F$3:$I$35,2,FALSE)</f>
        <v>#N/A</v>
      </c>
      <c r="I36" s="12" t="e">
        <f t="shared" si="1"/>
        <v>#N/A</v>
      </c>
      <c r="J36" s="12"/>
      <c r="K36" s="12"/>
      <c r="L36" s="12"/>
      <c r="M36" s="12"/>
      <c r="N36" s="12">
        <f t="shared" si="2"/>
        <v>0</v>
      </c>
      <c r="O36" s="12" t="e">
        <f t="shared" si="3"/>
        <v>#N/A</v>
      </c>
      <c r="P36" s="12">
        <v>6.9444444444444397E-3</v>
      </c>
      <c r="Q36" s="12"/>
      <c r="R36" s="12">
        <f t="shared" si="4"/>
        <v>-6.9444444444444397E-3</v>
      </c>
      <c r="S36" s="12"/>
      <c r="T36" s="12" t="e">
        <f>VLOOKUP(E36,'[2]21-3-2026'!E$3:T$35,16,FALSE)</f>
        <v>#N/A</v>
      </c>
      <c r="U36" s="12"/>
      <c r="V36" s="12" t="e">
        <f t="shared" si="5"/>
        <v>#N/A</v>
      </c>
      <c r="W36" s="12"/>
      <c r="X36" s="12"/>
      <c r="Y36" s="12"/>
      <c r="Z36" s="12">
        <f t="shared" si="6"/>
        <v>0</v>
      </c>
      <c r="AA36" s="12">
        <f t="shared" si="0"/>
        <v>0</v>
      </c>
      <c r="AB36" s="12"/>
      <c r="AC36" s="29"/>
      <c r="AD36" s="50" t="s">
        <v>104</v>
      </c>
    </row>
    <row r="37" spans="1:30" ht="19.5" thickBot="1" x14ac:dyDescent="0.3">
      <c r="A37" s="14">
        <v>2</v>
      </c>
      <c r="B37" s="15"/>
      <c r="C37" s="15" t="e">
        <f>VLOOKUP(B37,داتا!$B$3:$D$107,2,FALSE)</f>
        <v>#N/A</v>
      </c>
      <c r="D37" s="34" t="e">
        <f>VLOOKUP(B37,داتا!$B$3:$D$107,3,FALSE)</f>
        <v>#N/A</v>
      </c>
      <c r="E37" s="15"/>
      <c r="F37" s="15"/>
      <c r="G37" s="16">
        <v>0.25</v>
      </c>
      <c r="H37" s="16" t="e">
        <f t="shared" ref="H37:H52" si="7">VLOOKUP(G37,$F$3:$I$35,2,FALSE)</f>
        <v>#N/A</v>
      </c>
      <c r="I37" s="16" t="e">
        <f t="shared" si="1"/>
        <v>#N/A</v>
      </c>
      <c r="J37" s="16"/>
      <c r="K37" s="16"/>
      <c r="L37" s="16"/>
      <c r="M37" s="16"/>
      <c r="N37" s="16">
        <f t="shared" si="2"/>
        <v>0</v>
      </c>
      <c r="O37" s="16" t="e">
        <f t="shared" si="3"/>
        <v>#N/A</v>
      </c>
      <c r="P37" s="16">
        <v>6.9444444444444397E-3</v>
      </c>
      <c r="Q37" s="16"/>
      <c r="R37" s="16">
        <f t="shared" si="4"/>
        <v>-6.9444444444444397E-3</v>
      </c>
      <c r="S37" s="16"/>
      <c r="T37" s="16" t="e">
        <f>VLOOKUP(E37,'[2]21-3-2026'!E$3:T$35,16,FALSE)</f>
        <v>#N/A</v>
      </c>
      <c r="U37" s="16"/>
      <c r="V37" s="16" t="e">
        <f t="shared" si="5"/>
        <v>#N/A</v>
      </c>
      <c r="W37" s="16"/>
      <c r="X37" s="16"/>
      <c r="Y37" s="16"/>
      <c r="Z37" s="16">
        <f t="shared" si="6"/>
        <v>0</v>
      </c>
      <c r="AA37" s="16">
        <f t="shared" si="0"/>
        <v>0</v>
      </c>
      <c r="AB37" s="16"/>
      <c r="AC37" s="19"/>
      <c r="AD37" s="51"/>
    </row>
    <row r="38" spans="1:30" ht="19.5" thickBot="1" x14ac:dyDescent="0.3">
      <c r="A38" s="14">
        <v>3</v>
      </c>
      <c r="B38" s="15"/>
      <c r="C38" s="15" t="e">
        <f>VLOOKUP(B38,داتا!$B$3:$D$107,2,FALSE)</f>
        <v>#N/A</v>
      </c>
      <c r="D38" s="34" t="e">
        <f>VLOOKUP(B38,داتا!$B$3:$D$107,3,FALSE)</f>
        <v>#N/A</v>
      </c>
      <c r="E38" s="15"/>
      <c r="F38" s="15"/>
      <c r="G38" s="16">
        <v>0.25</v>
      </c>
      <c r="H38" s="16" t="e">
        <f t="shared" si="7"/>
        <v>#N/A</v>
      </c>
      <c r="I38" s="16" t="e">
        <f t="shared" si="1"/>
        <v>#N/A</v>
      </c>
      <c r="J38" s="16"/>
      <c r="K38" s="16"/>
      <c r="L38" s="16"/>
      <c r="M38" s="16"/>
      <c r="N38" s="16">
        <f t="shared" si="2"/>
        <v>0</v>
      </c>
      <c r="O38" s="16" t="e">
        <f t="shared" si="3"/>
        <v>#N/A</v>
      </c>
      <c r="P38" s="16">
        <v>6.9444444444444397E-3</v>
      </c>
      <c r="Q38" s="16"/>
      <c r="R38" s="16">
        <f t="shared" si="4"/>
        <v>-6.9444444444444397E-3</v>
      </c>
      <c r="S38" s="16"/>
      <c r="T38" s="16" t="e">
        <f>VLOOKUP(E38,'[2]21-3-2026'!E$3:T$35,16,FALSE)</f>
        <v>#N/A</v>
      </c>
      <c r="U38" s="16"/>
      <c r="V38" s="16" t="e">
        <f t="shared" si="5"/>
        <v>#N/A</v>
      </c>
      <c r="W38" s="16"/>
      <c r="X38" s="16"/>
      <c r="Y38" s="16"/>
      <c r="Z38" s="16">
        <f t="shared" si="6"/>
        <v>0</v>
      </c>
      <c r="AA38" s="16">
        <f t="shared" si="0"/>
        <v>0</v>
      </c>
      <c r="AB38" s="16"/>
      <c r="AC38" s="19"/>
      <c r="AD38" s="51"/>
    </row>
    <row r="39" spans="1:30" ht="19.5" thickBot="1" x14ac:dyDescent="0.3">
      <c r="A39" s="14">
        <v>4</v>
      </c>
      <c r="B39" s="15"/>
      <c r="C39" s="15" t="e">
        <f>VLOOKUP(B39,داتا!$B$3:$D$107,2,FALSE)</f>
        <v>#N/A</v>
      </c>
      <c r="D39" s="34" t="e">
        <f>VLOOKUP(B39,داتا!$B$3:$D$107,3,FALSE)</f>
        <v>#N/A</v>
      </c>
      <c r="E39" s="15"/>
      <c r="F39" s="15"/>
      <c r="G39" s="16">
        <v>0.25</v>
      </c>
      <c r="H39" s="16" t="e">
        <f t="shared" si="7"/>
        <v>#N/A</v>
      </c>
      <c r="I39" s="16" t="e">
        <f t="shared" si="1"/>
        <v>#N/A</v>
      </c>
      <c r="J39" s="16"/>
      <c r="K39" s="16"/>
      <c r="L39" s="16"/>
      <c r="M39" s="16"/>
      <c r="N39" s="16">
        <f t="shared" si="2"/>
        <v>0</v>
      </c>
      <c r="O39" s="16" t="e">
        <f t="shared" si="3"/>
        <v>#N/A</v>
      </c>
      <c r="P39" s="16">
        <v>6.9444444444444397E-3</v>
      </c>
      <c r="Q39" s="16"/>
      <c r="R39" s="16">
        <f t="shared" si="4"/>
        <v>-6.9444444444444397E-3</v>
      </c>
      <c r="S39" s="16"/>
      <c r="T39" s="16" t="e">
        <f>VLOOKUP(E39,'[2]21-3-2026'!E$3:T$35,16,FALSE)</f>
        <v>#N/A</v>
      </c>
      <c r="U39" s="16"/>
      <c r="V39" s="16" t="e">
        <f t="shared" si="5"/>
        <v>#N/A</v>
      </c>
      <c r="W39" s="16"/>
      <c r="X39" s="16"/>
      <c r="Y39" s="16"/>
      <c r="Z39" s="16">
        <f t="shared" si="6"/>
        <v>0</v>
      </c>
      <c r="AA39" s="16">
        <f t="shared" si="0"/>
        <v>0</v>
      </c>
      <c r="AB39" s="16"/>
      <c r="AC39" s="17"/>
      <c r="AD39" s="51"/>
    </row>
    <row r="40" spans="1:30" ht="19.5" thickBot="1" x14ac:dyDescent="0.3">
      <c r="A40" s="14">
        <v>5</v>
      </c>
      <c r="B40" s="15"/>
      <c r="C40" s="15" t="e">
        <f>VLOOKUP(B40,داتا!$B$3:$D$107,2,FALSE)</f>
        <v>#N/A</v>
      </c>
      <c r="D40" s="34" t="e">
        <f>VLOOKUP(B40,داتا!$B$3:$D$107,3,FALSE)</f>
        <v>#N/A</v>
      </c>
      <c r="E40" s="15"/>
      <c r="F40" s="15"/>
      <c r="G40" s="16">
        <v>0.25</v>
      </c>
      <c r="H40" s="16" t="e">
        <f t="shared" si="7"/>
        <v>#N/A</v>
      </c>
      <c r="I40" s="16" t="e">
        <f t="shared" si="1"/>
        <v>#N/A</v>
      </c>
      <c r="J40" s="16"/>
      <c r="K40" s="16"/>
      <c r="L40" s="16"/>
      <c r="M40" s="16"/>
      <c r="N40" s="16">
        <f t="shared" si="2"/>
        <v>0</v>
      </c>
      <c r="O40" s="16" t="e">
        <f t="shared" si="3"/>
        <v>#N/A</v>
      </c>
      <c r="P40" s="16">
        <v>6.9444444444444397E-3</v>
      </c>
      <c r="Q40" s="16"/>
      <c r="R40" s="16">
        <f t="shared" si="4"/>
        <v>-6.9444444444444397E-3</v>
      </c>
      <c r="S40" s="16"/>
      <c r="T40" s="16" t="e">
        <f>VLOOKUP(E40,'[2]21-3-2026'!E$3:T$35,16,FALSE)</f>
        <v>#N/A</v>
      </c>
      <c r="U40" s="16"/>
      <c r="V40" s="16" t="e">
        <f t="shared" si="5"/>
        <v>#N/A</v>
      </c>
      <c r="W40" s="16"/>
      <c r="X40" s="16"/>
      <c r="Y40" s="16"/>
      <c r="Z40" s="16">
        <f t="shared" si="6"/>
        <v>0</v>
      </c>
      <c r="AA40" s="16">
        <f t="shared" si="0"/>
        <v>0</v>
      </c>
      <c r="AB40" s="16"/>
      <c r="AC40" s="17"/>
      <c r="AD40" s="51"/>
    </row>
    <row r="41" spans="1:30" ht="19.5" thickBot="1" x14ac:dyDescent="0.3">
      <c r="A41" s="14">
        <v>6</v>
      </c>
      <c r="B41" s="15"/>
      <c r="C41" s="15" t="e">
        <f>VLOOKUP(B41,داتا!$B$3:$D$107,2,FALSE)</f>
        <v>#N/A</v>
      </c>
      <c r="D41" s="34" t="e">
        <f>VLOOKUP(B41,داتا!$B$3:$D$107,3,FALSE)</f>
        <v>#N/A</v>
      </c>
      <c r="E41" s="15"/>
      <c r="F41" s="15"/>
      <c r="G41" s="16">
        <v>0.25</v>
      </c>
      <c r="H41" s="16" t="e">
        <f t="shared" si="7"/>
        <v>#N/A</v>
      </c>
      <c r="I41" s="16" t="e">
        <f t="shared" si="1"/>
        <v>#N/A</v>
      </c>
      <c r="J41" s="16"/>
      <c r="K41" s="16"/>
      <c r="L41" s="16"/>
      <c r="M41" s="16"/>
      <c r="N41" s="16">
        <f t="shared" si="2"/>
        <v>0</v>
      </c>
      <c r="O41" s="16" t="e">
        <f t="shared" si="3"/>
        <v>#N/A</v>
      </c>
      <c r="P41" s="16">
        <v>6.9444444444444397E-3</v>
      </c>
      <c r="Q41" s="16"/>
      <c r="R41" s="16">
        <f t="shared" si="4"/>
        <v>-6.9444444444444397E-3</v>
      </c>
      <c r="S41" s="16"/>
      <c r="T41" s="16" t="e">
        <f>VLOOKUP(E41,'[2]21-3-2026'!E$3:T$35,16,FALSE)</f>
        <v>#N/A</v>
      </c>
      <c r="U41" s="16"/>
      <c r="V41" s="16" t="e">
        <f t="shared" si="5"/>
        <v>#N/A</v>
      </c>
      <c r="W41" s="16"/>
      <c r="X41" s="16"/>
      <c r="Y41" s="16"/>
      <c r="Z41" s="16">
        <f t="shared" si="6"/>
        <v>0</v>
      </c>
      <c r="AA41" s="16">
        <f t="shared" si="0"/>
        <v>0</v>
      </c>
      <c r="AB41" s="16"/>
      <c r="AC41" s="17"/>
      <c r="AD41" s="51"/>
    </row>
    <row r="42" spans="1:30" ht="19.5" thickBot="1" x14ac:dyDescent="0.3">
      <c r="A42" s="14">
        <v>7</v>
      </c>
      <c r="B42" s="15"/>
      <c r="C42" s="15" t="e">
        <f>VLOOKUP(B42,داتا!$B$3:$D$107,2,FALSE)</f>
        <v>#N/A</v>
      </c>
      <c r="D42" s="34" t="e">
        <f>VLOOKUP(B42,داتا!$B$3:$D$107,3,FALSE)</f>
        <v>#N/A</v>
      </c>
      <c r="E42" s="15"/>
      <c r="F42" s="15"/>
      <c r="G42" s="16">
        <v>0.25</v>
      </c>
      <c r="H42" s="16" t="e">
        <f t="shared" si="7"/>
        <v>#N/A</v>
      </c>
      <c r="I42" s="16" t="e">
        <f t="shared" si="1"/>
        <v>#N/A</v>
      </c>
      <c r="J42" s="16"/>
      <c r="K42" s="16"/>
      <c r="L42" s="16"/>
      <c r="M42" s="16"/>
      <c r="N42" s="16">
        <f t="shared" si="2"/>
        <v>0</v>
      </c>
      <c r="O42" s="16" t="e">
        <f t="shared" si="3"/>
        <v>#N/A</v>
      </c>
      <c r="P42" s="16">
        <v>6.9444444444444397E-3</v>
      </c>
      <c r="Q42" s="16"/>
      <c r="R42" s="16">
        <f t="shared" si="4"/>
        <v>-6.9444444444444397E-3</v>
      </c>
      <c r="S42" s="16"/>
      <c r="T42" s="16" t="e">
        <f>VLOOKUP(E42,'[2]21-3-2026'!E$3:T$35,16,FALSE)</f>
        <v>#N/A</v>
      </c>
      <c r="U42" s="16"/>
      <c r="V42" s="16" t="e">
        <f t="shared" si="5"/>
        <v>#N/A</v>
      </c>
      <c r="W42" s="16"/>
      <c r="X42" s="16"/>
      <c r="Y42" s="16"/>
      <c r="Z42" s="16">
        <f t="shared" si="6"/>
        <v>0</v>
      </c>
      <c r="AA42" s="16">
        <f t="shared" si="0"/>
        <v>0</v>
      </c>
      <c r="AB42" s="16"/>
      <c r="AC42" s="17"/>
      <c r="AD42" s="51"/>
    </row>
    <row r="43" spans="1:30" ht="19.5" thickBot="1" x14ac:dyDescent="0.3">
      <c r="A43" s="14">
        <v>8</v>
      </c>
      <c r="B43" s="15"/>
      <c r="C43" s="15" t="e">
        <f>VLOOKUP(B43,داتا!$B$3:$D$107,2,FALSE)</f>
        <v>#N/A</v>
      </c>
      <c r="D43" s="34" t="e">
        <f>VLOOKUP(B43,داتا!$B$3:$D$107,3,FALSE)</f>
        <v>#N/A</v>
      </c>
      <c r="E43" s="15"/>
      <c r="F43" s="15"/>
      <c r="G43" s="16">
        <v>0.25</v>
      </c>
      <c r="H43" s="16" t="e">
        <f t="shared" si="7"/>
        <v>#N/A</v>
      </c>
      <c r="I43" s="16" t="e">
        <f t="shared" si="1"/>
        <v>#N/A</v>
      </c>
      <c r="J43" s="16"/>
      <c r="K43" s="16"/>
      <c r="L43" s="16"/>
      <c r="M43" s="16"/>
      <c r="N43" s="16">
        <f t="shared" si="2"/>
        <v>0</v>
      </c>
      <c r="O43" s="16" t="e">
        <f t="shared" si="3"/>
        <v>#N/A</v>
      </c>
      <c r="P43" s="16">
        <v>6.9444444444444397E-3</v>
      </c>
      <c r="Q43" s="16"/>
      <c r="R43" s="16">
        <f t="shared" si="4"/>
        <v>-6.9444444444444397E-3</v>
      </c>
      <c r="S43" s="16"/>
      <c r="T43" s="16" t="e">
        <f>VLOOKUP(E43,'[2]21-3-2026'!E$3:T$35,16,FALSE)</f>
        <v>#N/A</v>
      </c>
      <c r="U43" s="16"/>
      <c r="V43" s="16" t="e">
        <f t="shared" si="5"/>
        <v>#N/A</v>
      </c>
      <c r="W43" s="16"/>
      <c r="X43" s="16"/>
      <c r="Y43" s="16"/>
      <c r="Z43" s="16">
        <f t="shared" si="6"/>
        <v>0</v>
      </c>
      <c r="AA43" s="16">
        <f t="shared" si="0"/>
        <v>0</v>
      </c>
      <c r="AB43" s="16"/>
      <c r="AC43" s="17"/>
      <c r="AD43" s="51"/>
    </row>
    <row r="44" spans="1:30" ht="19.5" thickBot="1" x14ac:dyDescent="0.3">
      <c r="A44" s="14">
        <v>9</v>
      </c>
      <c r="B44" s="15"/>
      <c r="C44" s="15" t="e">
        <f>VLOOKUP(B44,داتا!$B$3:$D$107,2,FALSE)</f>
        <v>#N/A</v>
      </c>
      <c r="D44" s="34" t="e">
        <f>VLOOKUP(B44,داتا!$B$3:$D$107,3,FALSE)</f>
        <v>#N/A</v>
      </c>
      <c r="E44" s="15"/>
      <c r="F44" s="15"/>
      <c r="G44" s="16">
        <v>0.25</v>
      </c>
      <c r="H44" s="16" t="e">
        <f t="shared" si="7"/>
        <v>#N/A</v>
      </c>
      <c r="I44" s="16" t="e">
        <f t="shared" si="1"/>
        <v>#N/A</v>
      </c>
      <c r="J44" s="16"/>
      <c r="K44" s="16"/>
      <c r="L44" s="16"/>
      <c r="M44" s="16"/>
      <c r="N44" s="16">
        <f t="shared" si="2"/>
        <v>0</v>
      </c>
      <c r="O44" s="16" t="e">
        <f t="shared" si="3"/>
        <v>#N/A</v>
      </c>
      <c r="P44" s="16">
        <v>6.9444444444444397E-3</v>
      </c>
      <c r="Q44" s="16"/>
      <c r="R44" s="16">
        <f t="shared" si="4"/>
        <v>-6.9444444444444397E-3</v>
      </c>
      <c r="S44" s="16"/>
      <c r="T44" s="16" t="e">
        <f>VLOOKUP(E44,'[2]21-3-2026'!E$3:T$35,16,FALSE)</f>
        <v>#N/A</v>
      </c>
      <c r="U44" s="16"/>
      <c r="V44" s="16" t="e">
        <f t="shared" si="5"/>
        <v>#N/A</v>
      </c>
      <c r="W44" s="16"/>
      <c r="X44" s="16"/>
      <c r="Y44" s="16"/>
      <c r="Z44" s="16">
        <f t="shared" si="6"/>
        <v>0</v>
      </c>
      <c r="AA44" s="16">
        <f t="shared" si="0"/>
        <v>0</v>
      </c>
      <c r="AB44" s="16"/>
      <c r="AC44" s="17"/>
      <c r="AD44" s="51"/>
    </row>
    <row r="45" spans="1:30" ht="19.5" thickBot="1" x14ac:dyDescent="0.3">
      <c r="A45" s="14">
        <v>10</v>
      </c>
      <c r="B45" s="15"/>
      <c r="C45" s="15" t="e">
        <f>VLOOKUP(B45,داتا!$B$3:$D$107,2,FALSE)</f>
        <v>#N/A</v>
      </c>
      <c r="D45" s="34" t="e">
        <f>VLOOKUP(B45,داتا!$B$3:$D$107,3,FALSE)</f>
        <v>#N/A</v>
      </c>
      <c r="E45" s="15"/>
      <c r="F45" s="15"/>
      <c r="G45" s="16">
        <v>0.25</v>
      </c>
      <c r="H45" s="16" t="e">
        <f t="shared" si="7"/>
        <v>#N/A</v>
      </c>
      <c r="I45" s="16" t="e">
        <f t="shared" si="1"/>
        <v>#N/A</v>
      </c>
      <c r="J45" s="16"/>
      <c r="K45" s="16"/>
      <c r="L45" s="16"/>
      <c r="M45" s="16"/>
      <c r="N45" s="16">
        <f t="shared" si="2"/>
        <v>0</v>
      </c>
      <c r="O45" s="16" t="e">
        <f t="shared" si="3"/>
        <v>#N/A</v>
      </c>
      <c r="P45" s="16">
        <v>6.9444444444444397E-3</v>
      </c>
      <c r="Q45" s="16"/>
      <c r="R45" s="16">
        <f t="shared" si="4"/>
        <v>-6.9444444444444397E-3</v>
      </c>
      <c r="S45" s="16"/>
      <c r="T45" s="16" t="e">
        <f>VLOOKUP(E45,'[2]21-3-2026'!E$3:T$35,16,FALSE)</f>
        <v>#N/A</v>
      </c>
      <c r="U45" s="16"/>
      <c r="V45" s="16" t="e">
        <f t="shared" si="5"/>
        <v>#N/A</v>
      </c>
      <c r="W45" s="16"/>
      <c r="X45" s="16"/>
      <c r="Y45" s="16"/>
      <c r="Z45" s="16">
        <f t="shared" si="6"/>
        <v>0</v>
      </c>
      <c r="AA45" s="16">
        <f t="shared" si="0"/>
        <v>0</v>
      </c>
      <c r="AB45" s="16"/>
      <c r="AC45" s="17"/>
      <c r="AD45" s="51"/>
    </row>
    <row r="46" spans="1:30" ht="19.5" thickBot="1" x14ac:dyDescent="0.3">
      <c r="A46" s="14">
        <v>11</v>
      </c>
      <c r="B46" s="15"/>
      <c r="C46" s="15" t="e">
        <f>VLOOKUP(B46,داتا!$B$3:$D$107,2,FALSE)</f>
        <v>#N/A</v>
      </c>
      <c r="D46" s="34" t="e">
        <f>VLOOKUP(B46,داتا!$B$3:$D$107,3,FALSE)</f>
        <v>#N/A</v>
      </c>
      <c r="E46" s="15"/>
      <c r="F46" s="15"/>
      <c r="G46" s="16">
        <v>0.25</v>
      </c>
      <c r="H46" s="16" t="e">
        <f t="shared" si="7"/>
        <v>#N/A</v>
      </c>
      <c r="I46" s="16" t="e">
        <f t="shared" si="1"/>
        <v>#N/A</v>
      </c>
      <c r="J46" s="16"/>
      <c r="K46" s="16"/>
      <c r="L46" s="16"/>
      <c r="M46" s="16"/>
      <c r="N46" s="16">
        <f t="shared" si="2"/>
        <v>0</v>
      </c>
      <c r="O46" s="16" t="e">
        <f t="shared" si="3"/>
        <v>#N/A</v>
      </c>
      <c r="P46" s="16">
        <v>6.9444444444444397E-3</v>
      </c>
      <c r="Q46" s="16"/>
      <c r="R46" s="16">
        <f t="shared" si="4"/>
        <v>-6.9444444444444397E-3</v>
      </c>
      <c r="S46" s="16"/>
      <c r="T46" s="16" t="e">
        <f>VLOOKUP(E46,'[2]21-3-2026'!E$3:T$35,16,FALSE)</f>
        <v>#N/A</v>
      </c>
      <c r="U46" s="16"/>
      <c r="V46" s="16" t="e">
        <f t="shared" si="5"/>
        <v>#N/A</v>
      </c>
      <c r="W46" s="16"/>
      <c r="X46" s="16"/>
      <c r="Y46" s="16"/>
      <c r="Z46" s="16">
        <f t="shared" si="6"/>
        <v>0</v>
      </c>
      <c r="AA46" s="16">
        <f t="shared" si="0"/>
        <v>0</v>
      </c>
      <c r="AB46" s="16"/>
      <c r="AC46" s="17"/>
      <c r="AD46" s="51"/>
    </row>
    <row r="47" spans="1:30" ht="19.5" thickBot="1" x14ac:dyDescent="0.3">
      <c r="A47" s="14">
        <v>12</v>
      </c>
      <c r="B47" s="15"/>
      <c r="C47" s="15" t="e">
        <f>VLOOKUP(B47,داتا!$B$3:$D$107,2,FALSE)</f>
        <v>#N/A</v>
      </c>
      <c r="D47" s="34" t="e">
        <f>VLOOKUP(B47,داتا!$B$3:$D$107,3,FALSE)</f>
        <v>#N/A</v>
      </c>
      <c r="E47" s="15"/>
      <c r="F47" s="15"/>
      <c r="G47" s="16">
        <v>0.25</v>
      </c>
      <c r="H47" s="16" t="e">
        <f t="shared" si="7"/>
        <v>#N/A</v>
      </c>
      <c r="I47" s="16" t="e">
        <f t="shared" si="1"/>
        <v>#N/A</v>
      </c>
      <c r="J47" s="16"/>
      <c r="K47" s="16"/>
      <c r="L47" s="16"/>
      <c r="M47" s="16"/>
      <c r="N47" s="16">
        <f t="shared" si="2"/>
        <v>0</v>
      </c>
      <c r="O47" s="16" t="e">
        <f t="shared" si="3"/>
        <v>#N/A</v>
      </c>
      <c r="P47" s="16">
        <v>6.9444444444444397E-3</v>
      </c>
      <c r="Q47" s="16"/>
      <c r="R47" s="16">
        <f t="shared" si="4"/>
        <v>-6.9444444444444397E-3</v>
      </c>
      <c r="S47" s="16"/>
      <c r="T47" s="16" t="e">
        <f>VLOOKUP(E47,'[2]21-3-2026'!E$3:T$35,16,FALSE)</f>
        <v>#N/A</v>
      </c>
      <c r="U47" s="16"/>
      <c r="V47" s="16" t="e">
        <f t="shared" si="5"/>
        <v>#N/A</v>
      </c>
      <c r="W47" s="16"/>
      <c r="X47" s="16"/>
      <c r="Y47" s="16"/>
      <c r="Z47" s="16">
        <f t="shared" si="6"/>
        <v>0</v>
      </c>
      <c r="AA47" s="16">
        <f t="shared" si="0"/>
        <v>0</v>
      </c>
      <c r="AB47" s="16"/>
      <c r="AC47" s="17"/>
      <c r="AD47" s="51"/>
    </row>
    <row r="48" spans="1:30" ht="19.5" thickBot="1" x14ac:dyDescent="0.3">
      <c r="A48" s="14">
        <v>13</v>
      </c>
      <c r="B48" s="15"/>
      <c r="C48" s="15" t="e">
        <f>VLOOKUP(B48,داتا!$B$3:$D$107,2,FALSE)</f>
        <v>#N/A</v>
      </c>
      <c r="D48" s="34" t="e">
        <f>VLOOKUP(B48,داتا!$B$3:$D$107,3,FALSE)</f>
        <v>#N/A</v>
      </c>
      <c r="E48" s="15"/>
      <c r="F48" s="15"/>
      <c r="G48" s="16">
        <v>0.25</v>
      </c>
      <c r="H48" s="16" t="e">
        <f t="shared" si="7"/>
        <v>#N/A</v>
      </c>
      <c r="I48" s="16" t="e">
        <f t="shared" si="1"/>
        <v>#N/A</v>
      </c>
      <c r="J48" s="16"/>
      <c r="K48" s="16"/>
      <c r="L48" s="16"/>
      <c r="M48" s="16"/>
      <c r="N48" s="16">
        <f t="shared" si="2"/>
        <v>0</v>
      </c>
      <c r="O48" s="16" t="e">
        <f t="shared" si="3"/>
        <v>#N/A</v>
      </c>
      <c r="P48" s="16">
        <v>6.9444444444444397E-3</v>
      </c>
      <c r="Q48" s="16"/>
      <c r="R48" s="16">
        <f t="shared" si="4"/>
        <v>-6.9444444444444397E-3</v>
      </c>
      <c r="S48" s="16"/>
      <c r="T48" s="16" t="e">
        <f>VLOOKUP(E48,'[2]21-3-2026'!E$3:T$35,16,FALSE)</f>
        <v>#N/A</v>
      </c>
      <c r="U48" s="16"/>
      <c r="V48" s="16" t="e">
        <f t="shared" si="5"/>
        <v>#N/A</v>
      </c>
      <c r="W48" s="16"/>
      <c r="X48" s="16"/>
      <c r="Y48" s="16"/>
      <c r="Z48" s="16">
        <f t="shared" si="6"/>
        <v>0</v>
      </c>
      <c r="AA48" s="16">
        <f t="shared" si="0"/>
        <v>0</v>
      </c>
      <c r="AB48" s="16"/>
      <c r="AC48" s="17"/>
      <c r="AD48" s="51"/>
    </row>
    <row r="49" spans="1:30" ht="19.5" thickBot="1" x14ac:dyDescent="0.3">
      <c r="A49" s="14">
        <v>14</v>
      </c>
      <c r="B49" s="15"/>
      <c r="C49" s="15" t="e">
        <f>VLOOKUP(B49,داتا!$B$3:$D$107,2,FALSE)</f>
        <v>#N/A</v>
      </c>
      <c r="D49" s="34" t="e">
        <f>VLOOKUP(B49,داتا!$B$3:$D$107,3,FALSE)</f>
        <v>#N/A</v>
      </c>
      <c r="E49" s="15"/>
      <c r="F49" s="15"/>
      <c r="G49" s="16">
        <v>0.25</v>
      </c>
      <c r="H49" s="16" t="e">
        <f t="shared" si="7"/>
        <v>#N/A</v>
      </c>
      <c r="I49" s="16" t="e">
        <f t="shared" si="1"/>
        <v>#N/A</v>
      </c>
      <c r="J49" s="16"/>
      <c r="K49" s="16"/>
      <c r="L49" s="16"/>
      <c r="M49" s="16"/>
      <c r="N49" s="16">
        <f t="shared" si="2"/>
        <v>0</v>
      </c>
      <c r="O49" s="16" t="e">
        <f t="shared" si="3"/>
        <v>#N/A</v>
      </c>
      <c r="P49" s="16">
        <v>6.9444444444444397E-3</v>
      </c>
      <c r="Q49" s="16"/>
      <c r="R49" s="16">
        <f t="shared" si="4"/>
        <v>-6.9444444444444397E-3</v>
      </c>
      <c r="S49" s="16"/>
      <c r="T49" s="16" t="e">
        <f>VLOOKUP(E49,'[2]21-3-2026'!E$3:T$35,16,FALSE)</f>
        <v>#N/A</v>
      </c>
      <c r="U49" s="16"/>
      <c r="V49" s="16" t="e">
        <f t="shared" si="5"/>
        <v>#N/A</v>
      </c>
      <c r="W49" s="16"/>
      <c r="X49" s="16"/>
      <c r="Y49" s="16"/>
      <c r="Z49" s="16">
        <f t="shared" si="6"/>
        <v>0</v>
      </c>
      <c r="AA49" s="16">
        <f t="shared" si="0"/>
        <v>0</v>
      </c>
      <c r="AB49" s="16"/>
      <c r="AC49" s="17"/>
      <c r="AD49" s="51"/>
    </row>
    <row r="50" spans="1:30" ht="19.5" thickBot="1" x14ac:dyDescent="0.3">
      <c r="A50" s="14">
        <v>15</v>
      </c>
      <c r="B50" s="15"/>
      <c r="C50" s="15" t="e">
        <f>VLOOKUP(B50,داتا!$B$3:$D$107,2,FALSE)</f>
        <v>#N/A</v>
      </c>
      <c r="D50" s="34" t="e">
        <f>VLOOKUP(B50,داتا!$B$3:$D$107,3,FALSE)</f>
        <v>#N/A</v>
      </c>
      <c r="E50" s="15"/>
      <c r="F50" s="15"/>
      <c r="G50" s="16">
        <v>0.25</v>
      </c>
      <c r="H50" s="16" t="e">
        <f t="shared" si="7"/>
        <v>#N/A</v>
      </c>
      <c r="I50" s="16" t="e">
        <f t="shared" si="1"/>
        <v>#N/A</v>
      </c>
      <c r="J50" s="16"/>
      <c r="K50" s="16"/>
      <c r="L50" s="16"/>
      <c r="M50" s="16"/>
      <c r="N50" s="16">
        <f t="shared" si="2"/>
        <v>0</v>
      </c>
      <c r="O50" s="16" t="e">
        <f t="shared" si="3"/>
        <v>#N/A</v>
      </c>
      <c r="P50" s="16">
        <v>6.9444444444444397E-3</v>
      </c>
      <c r="Q50" s="16"/>
      <c r="R50" s="16">
        <f t="shared" si="4"/>
        <v>-6.9444444444444397E-3</v>
      </c>
      <c r="S50" s="16"/>
      <c r="T50" s="16" t="e">
        <f>VLOOKUP(E50,'[2]21-3-2026'!E$3:T$35,16,FALSE)</f>
        <v>#N/A</v>
      </c>
      <c r="U50" s="16"/>
      <c r="V50" s="16" t="e">
        <f t="shared" si="5"/>
        <v>#N/A</v>
      </c>
      <c r="W50" s="16"/>
      <c r="X50" s="16"/>
      <c r="Y50" s="16"/>
      <c r="Z50" s="16">
        <f t="shared" si="6"/>
        <v>0</v>
      </c>
      <c r="AA50" s="16">
        <f t="shared" si="0"/>
        <v>0</v>
      </c>
      <c r="AB50" s="16"/>
      <c r="AC50" s="17"/>
      <c r="AD50" s="51"/>
    </row>
    <row r="51" spans="1:30" ht="19.5" thickBot="1" x14ac:dyDescent="0.3">
      <c r="A51" s="14">
        <v>16</v>
      </c>
      <c r="B51" s="15"/>
      <c r="C51" s="15" t="e">
        <f>VLOOKUP(B51,داتا!$B$3:$D$107,2,FALSE)</f>
        <v>#N/A</v>
      </c>
      <c r="D51" s="34" t="e">
        <f>VLOOKUP(B51,داتا!$B$3:$D$107,3,FALSE)</f>
        <v>#N/A</v>
      </c>
      <c r="E51" s="15"/>
      <c r="F51" s="15"/>
      <c r="G51" s="16">
        <v>0.25</v>
      </c>
      <c r="H51" s="16" t="e">
        <f t="shared" si="7"/>
        <v>#N/A</v>
      </c>
      <c r="I51" s="16" t="e">
        <f t="shared" si="1"/>
        <v>#N/A</v>
      </c>
      <c r="J51" s="16"/>
      <c r="K51" s="16"/>
      <c r="L51" s="16"/>
      <c r="M51" s="16"/>
      <c r="N51" s="16">
        <f t="shared" si="2"/>
        <v>0</v>
      </c>
      <c r="O51" s="16" t="e">
        <f t="shared" si="3"/>
        <v>#N/A</v>
      </c>
      <c r="P51" s="16">
        <v>6.9444444444444397E-3</v>
      </c>
      <c r="Q51" s="16"/>
      <c r="R51" s="16">
        <f t="shared" si="4"/>
        <v>-6.9444444444444397E-3</v>
      </c>
      <c r="S51" s="16"/>
      <c r="T51" s="16" t="e">
        <f>VLOOKUP(E51,'[2]21-3-2026'!E$3:T$35,16,FALSE)</f>
        <v>#N/A</v>
      </c>
      <c r="U51" s="16"/>
      <c r="V51" s="16" t="e">
        <f t="shared" si="5"/>
        <v>#N/A</v>
      </c>
      <c r="W51" s="16"/>
      <c r="X51" s="16"/>
      <c r="Y51" s="16"/>
      <c r="Z51" s="16">
        <f t="shared" si="6"/>
        <v>0</v>
      </c>
      <c r="AA51" s="16">
        <f t="shared" si="0"/>
        <v>0</v>
      </c>
      <c r="AB51" s="16"/>
      <c r="AC51" s="17"/>
      <c r="AD51" s="51"/>
    </row>
    <row r="52" spans="1:30" ht="19.5" thickBot="1" x14ac:dyDescent="0.3">
      <c r="A52" s="14">
        <v>17</v>
      </c>
      <c r="B52" s="15"/>
      <c r="C52" s="15" t="e">
        <f>VLOOKUP(B52,داتا!$B$3:$D$107,2,FALSE)</f>
        <v>#N/A</v>
      </c>
      <c r="D52" s="34" t="e">
        <f>VLOOKUP(B52,داتا!$B$3:$D$107,3,FALSE)</f>
        <v>#N/A</v>
      </c>
      <c r="E52" s="15"/>
      <c r="F52" s="15"/>
      <c r="G52" s="16">
        <v>0.25</v>
      </c>
      <c r="H52" s="16" t="e">
        <f t="shared" si="7"/>
        <v>#N/A</v>
      </c>
      <c r="I52" s="16" t="e">
        <f t="shared" si="1"/>
        <v>#N/A</v>
      </c>
      <c r="J52" s="16"/>
      <c r="K52" s="16"/>
      <c r="L52" s="16"/>
      <c r="M52" s="16"/>
      <c r="N52" s="16">
        <f t="shared" si="2"/>
        <v>0</v>
      </c>
      <c r="O52" s="16" t="e">
        <f t="shared" si="3"/>
        <v>#N/A</v>
      </c>
      <c r="P52" s="16">
        <v>6.9444444444444397E-3</v>
      </c>
      <c r="Q52" s="16"/>
      <c r="R52" s="16">
        <f t="shared" si="4"/>
        <v>-6.9444444444444397E-3</v>
      </c>
      <c r="S52" s="16"/>
      <c r="T52" s="16" t="e">
        <f>VLOOKUP(E52,'[2]21-3-2026'!E$3:T$35,16,FALSE)</f>
        <v>#N/A</v>
      </c>
      <c r="U52" s="16"/>
      <c r="V52" s="16" t="e">
        <f t="shared" si="5"/>
        <v>#N/A</v>
      </c>
      <c r="W52" s="16"/>
      <c r="X52" s="16"/>
      <c r="Y52" s="16"/>
      <c r="Z52" s="16">
        <f t="shared" si="6"/>
        <v>0</v>
      </c>
      <c r="AA52" s="16">
        <f t="shared" si="0"/>
        <v>0</v>
      </c>
      <c r="AB52" s="16"/>
      <c r="AC52" s="17"/>
      <c r="AD52" s="51"/>
    </row>
    <row r="53" spans="1:30" ht="19.5" thickBot="1" x14ac:dyDescent="0.3">
      <c r="A53" s="14">
        <v>18</v>
      </c>
      <c r="B53" s="15"/>
      <c r="C53" s="15" t="e">
        <f>VLOOKUP(B53,داتا!$B$3:$D$107,2,FALSE)</f>
        <v>#N/A</v>
      </c>
      <c r="D53" s="34" t="e">
        <f>VLOOKUP(B53,داتا!$B$3:$D$107,3,FALSE)</f>
        <v>#N/A</v>
      </c>
      <c r="E53" s="15"/>
      <c r="F53" s="15"/>
      <c r="G53" s="16">
        <v>0.25</v>
      </c>
      <c r="H53" s="16" t="e">
        <f t="shared" ref="H53:H68" si="8">VLOOKUP(G53,$F$3:$I$35,2,FALSE)</f>
        <v>#N/A</v>
      </c>
      <c r="I53" s="16" t="e">
        <f t="shared" si="1"/>
        <v>#N/A</v>
      </c>
      <c r="J53" s="16"/>
      <c r="K53" s="16"/>
      <c r="L53" s="16"/>
      <c r="M53" s="16"/>
      <c r="N53" s="16">
        <f t="shared" si="2"/>
        <v>0</v>
      </c>
      <c r="O53" s="16" t="e">
        <f t="shared" si="3"/>
        <v>#N/A</v>
      </c>
      <c r="P53" s="16">
        <v>6.9444444444444397E-3</v>
      </c>
      <c r="Q53" s="16"/>
      <c r="R53" s="16">
        <f t="shared" si="4"/>
        <v>-6.9444444444444397E-3</v>
      </c>
      <c r="S53" s="16"/>
      <c r="T53" s="16" t="e">
        <f>VLOOKUP(E53,'[2]21-3-2026'!E$3:T$35,16,FALSE)</f>
        <v>#N/A</v>
      </c>
      <c r="U53" s="16"/>
      <c r="V53" s="16" t="e">
        <f t="shared" si="5"/>
        <v>#N/A</v>
      </c>
      <c r="W53" s="16"/>
      <c r="X53" s="16"/>
      <c r="Y53" s="16"/>
      <c r="Z53" s="16">
        <f t="shared" si="6"/>
        <v>0</v>
      </c>
      <c r="AA53" s="16">
        <f t="shared" si="0"/>
        <v>0</v>
      </c>
      <c r="AB53" s="16"/>
      <c r="AC53" s="17"/>
      <c r="AD53" s="51"/>
    </row>
    <row r="54" spans="1:30" ht="19.5" thickBot="1" x14ac:dyDescent="0.3">
      <c r="A54" s="14">
        <v>19</v>
      </c>
      <c r="B54" s="15"/>
      <c r="C54" s="15" t="e">
        <f>VLOOKUP(B54,داتا!$B$3:$D$107,2,FALSE)</f>
        <v>#N/A</v>
      </c>
      <c r="D54" s="34" t="e">
        <f>VLOOKUP(B54,داتا!$B$3:$D$107,3,FALSE)</f>
        <v>#N/A</v>
      </c>
      <c r="E54" s="15"/>
      <c r="F54" s="15"/>
      <c r="G54" s="16">
        <v>0.25</v>
      </c>
      <c r="H54" s="16" t="e">
        <f t="shared" si="8"/>
        <v>#N/A</v>
      </c>
      <c r="I54" s="16" t="e">
        <f t="shared" si="1"/>
        <v>#N/A</v>
      </c>
      <c r="J54" s="16"/>
      <c r="K54" s="16"/>
      <c r="L54" s="16"/>
      <c r="M54" s="16"/>
      <c r="N54" s="16">
        <f t="shared" si="2"/>
        <v>0</v>
      </c>
      <c r="O54" s="16" t="e">
        <f t="shared" si="3"/>
        <v>#N/A</v>
      </c>
      <c r="P54" s="16">
        <v>6.9444444444444397E-3</v>
      </c>
      <c r="Q54" s="16"/>
      <c r="R54" s="16">
        <f t="shared" si="4"/>
        <v>-6.9444444444444397E-3</v>
      </c>
      <c r="S54" s="16"/>
      <c r="T54" s="16" t="e">
        <f>VLOOKUP(E54,'[2]21-3-2026'!E$3:T$35,16,FALSE)</f>
        <v>#N/A</v>
      </c>
      <c r="U54" s="16"/>
      <c r="V54" s="16" t="e">
        <f t="shared" si="5"/>
        <v>#N/A</v>
      </c>
      <c r="W54" s="16"/>
      <c r="X54" s="16"/>
      <c r="Y54" s="16"/>
      <c r="Z54" s="16">
        <f t="shared" si="6"/>
        <v>0</v>
      </c>
      <c r="AA54" s="16">
        <f t="shared" si="0"/>
        <v>0</v>
      </c>
      <c r="AB54" s="16"/>
      <c r="AC54" s="17"/>
      <c r="AD54" s="51"/>
    </row>
    <row r="55" spans="1:30" ht="19.5" thickBot="1" x14ac:dyDescent="0.3">
      <c r="A55" s="14">
        <v>20</v>
      </c>
      <c r="B55" s="15"/>
      <c r="C55" s="15" t="e">
        <f>VLOOKUP(B55,داتا!$B$3:$D$107,2,FALSE)</f>
        <v>#N/A</v>
      </c>
      <c r="D55" s="34" t="e">
        <f>VLOOKUP(B55,داتا!$B$3:$D$107,3,FALSE)</f>
        <v>#N/A</v>
      </c>
      <c r="E55" s="15"/>
      <c r="F55" s="15"/>
      <c r="G55" s="16">
        <v>0.25</v>
      </c>
      <c r="H55" s="16" t="e">
        <f t="shared" si="8"/>
        <v>#N/A</v>
      </c>
      <c r="I55" s="16" t="e">
        <f t="shared" si="1"/>
        <v>#N/A</v>
      </c>
      <c r="J55" s="16"/>
      <c r="K55" s="16"/>
      <c r="L55" s="16"/>
      <c r="M55" s="16"/>
      <c r="N55" s="16">
        <f t="shared" si="2"/>
        <v>0</v>
      </c>
      <c r="O55" s="16" t="e">
        <f t="shared" si="3"/>
        <v>#N/A</v>
      </c>
      <c r="P55" s="16">
        <v>6.9444444444444397E-3</v>
      </c>
      <c r="Q55" s="16"/>
      <c r="R55" s="16">
        <f t="shared" si="4"/>
        <v>-6.9444444444444397E-3</v>
      </c>
      <c r="S55" s="16"/>
      <c r="T55" s="16" t="e">
        <f>VLOOKUP(E55,'[2]21-3-2026'!E$3:T$35,16,FALSE)</f>
        <v>#N/A</v>
      </c>
      <c r="U55" s="16"/>
      <c r="V55" s="16" t="e">
        <f t="shared" si="5"/>
        <v>#N/A</v>
      </c>
      <c r="W55" s="16"/>
      <c r="X55" s="16"/>
      <c r="Y55" s="16"/>
      <c r="Z55" s="16">
        <f t="shared" si="6"/>
        <v>0</v>
      </c>
      <c r="AA55" s="16">
        <f t="shared" si="0"/>
        <v>0</v>
      </c>
      <c r="AB55" s="16"/>
      <c r="AC55" s="17"/>
      <c r="AD55" s="51"/>
    </row>
    <row r="56" spans="1:30" ht="19.5" thickBot="1" x14ac:dyDescent="0.3">
      <c r="A56" s="14">
        <v>21</v>
      </c>
      <c r="B56" s="15"/>
      <c r="C56" s="15" t="e">
        <f>VLOOKUP(B56,داتا!$B$3:$D$107,2,FALSE)</f>
        <v>#N/A</v>
      </c>
      <c r="D56" s="34" t="e">
        <f>VLOOKUP(B56,داتا!$B$3:$D$107,3,FALSE)</f>
        <v>#N/A</v>
      </c>
      <c r="E56" s="15"/>
      <c r="F56" s="15"/>
      <c r="G56" s="16">
        <v>0.25</v>
      </c>
      <c r="H56" s="16" t="e">
        <f t="shared" si="8"/>
        <v>#N/A</v>
      </c>
      <c r="I56" s="16" t="e">
        <f t="shared" si="1"/>
        <v>#N/A</v>
      </c>
      <c r="J56" s="16"/>
      <c r="K56" s="16"/>
      <c r="L56" s="15"/>
      <c r="M56" s="15"/>
      <c r="N56" s="16">
        <f t="shared" si="2"/>
        <v>0</v>
      </c>
      <c r="O56" s="16" t="e">
        <f t="shared" si="3"/>
        <v>#N/A</v>
      </c>
      <c r="P56" s="16">
        <v>6.9444444444444397E-3</v>
      </c>
      <c r="Q56" s="16"/>
      <c r="R56" s="16">
        <f t="shared" si="4"/>
        <v>-6.9444444444444397E-3</v>
      </c>
      <c r="S56" s="16"/>
      <c r="T56" s="16" t="e">
        <f>VLOOKUP(E56,'[2]21-3-2026'!E$3:T$35,16,FALSE)</f>
        <v>#N/A</v>
      </c>
      <c r="U56" s="16"/>
      <c r="V56" s="16" t="e">
        <f t="shared" si="5"/>
        <v>#N/A</v>
      </c>
      <c r="W56" s="16"/>
      <c r="X56" s="16"/>
      <c r="Y56" s="16"/>
      <c r="Z56" s="16">
        <f t="shared" si="6"/>
        <v>0</v>
      </c>
      <c r="AA56" s="16">
        <f t="shared" si="0"/>
        <v>0</v>
      </c>
      <c r="AB56" s="16"/>
      <c r="AC56" s="17"/>
      <c r="AD56" s="51"/>
    </row>
    <row r="57" spans="1:30" ht="19.5" thickBot="1" x14ac:dyDescent="0.3">
      <c r="A57" s="14">
        <v>22</v>
      </c>
      <c r="B57" s="15"/>
      <c r="C57" s="15" t="e">
        <f>VLOOKUP(B57,داتا!$B$3:$D$107,2,FALSE)</f>
        <v>#N/A</v>
      </c>
      <c r="D57" s="34" t="e">
        <f>VLOOKUP(B57,داتا!$B$3:$D$107,3,FALSE)</f>
        <v>#N/A</v>
      </c>
      <c r="E57" s="15"/>
      <c r="F57" s="15"/>
      <c r="G57" s="16">
        <v>0.25</v>
      </c>
      <c r="H57" s="16" t="e">
        <f t="shared" si="8"/>
        <v>#N/A</v>
      </c>
      <c r="I57" s="16" t="e">
        <f t="shared" si="1"/>
        <v>#N/A</v>
      </c>
      <c r="J57" s="16"/>
      <c r="K57" s="16"/>
      <c r="L57" s="15"/>
      <c r="M57" s="15"/>
      <c r="N57" s="16">
        <f t="shared" si="2"/>
        <v>0</v>
      </c>
      <c r="O57" s="16" t="e">
        <f t="shared" si="3"/>
        <v>#N/A</v>
      </c>
      <c r="P57" s="16">
        <v>6.9444444444444397E-3</v>
      </c>
      <c r="Q57" s="16"/>
      <c r="R57" s="16">
        <f t="shared" si="4"/>
        <v>-6.9444444444444397E-3</v>
      </c>
      <c r="S57" s="16"/>
      <c r="T57" s="16" t="e">
        <f>VLOOKUP(E57,'[2]21-3-2026'!E$3:T$35,16,FALSE)</f>
        <v>#N/A</v>
      </c>
      <c r="U57" s="16"/>
      <c r="V57" s="16" t="e">
        <f t="shared" si="5"/>
        <v>#N/A</v>
      </c>
      <c r="W57" s="16"/>
      <c r="X57" s="16"/>
      <c r="Y57" s="16"/>
      <c r="Z57" s="16">
        <f t="shared" si="6"/>
        <v>0</v>
      </c>
      <c r="AA57" s="16">
        <f t="shared" si="0"/>
        <v>0</v>
      </c>
      <c r="AB57" s="16"/>
      <c r="AC57" s="17"/>
      <c r="AD57" s="51"/>
    </row>
    <row r="58" spans="1:30" ht="19.5" thickBot="1" x14ac:dyDescent="0.3">
      <c r="A58" s="14">
        <v>23</v>
      </c>
      <c r="B58" s="15"/>
      <c r="C58" s="15" t="e">
        <f>VLOOKUP(B58,داتا!$B$3:$D$107,2,FALSE)</f>
        <v>#N/A</v>
      </c>
      <c r="D58" s="34" t="e">
        <f>VLOOKUP(B58,داتا!$B$3:$D$107,3,FALSE)</f>
        <v>#N/A</v>
      </c>
      <c r="E58" s="15"/>
      <c r="F58" s="15"/>
      <c r="G58" s="16">
        <v>0.25</v>
      </c>
      <c r="H58" s="16" t="e">
        <f t="shared" si="8"/>
        <v>#N/A</v>
      </c>
      <c r="I58" s="16" t="e">
        <f t="shared" si="1"/>
        <v>#N/A</v>
      </c>
      <c r="J58" s="16"/>
      <c r="K58" s="16"/>
      <c r="L58" s="16"/>
      <c r="M58" s="16"/>
      <c r="N58" s="16">
        <f t="shared" si="2"/>
        <v>0</v>
      </c>
      <c r="O58" s="16" t="e">
        <f t="shared" si="3"/>
        <v>#N/A</v>
      </c>
      <c r="P58" s="16">
        <v>6.9444444444444397E-3</v>
      </c>
      <c r="Q58" s="16"/>
      <c r="R58" s="16">
        <f t="shared" si="4"/>
        <v>-6.9444444444444397E-3</v>
      </c>
      <c r="S58" s="16"/>
      <c r="T58" s="16" t="e">
        <f>VLOOKUP(E58,'[2]21-3-2026'!E$3:T$35,16,FALSE)</f>
        <v>#N/A</v>
      </c>
      <c r="U58" s="16"/>
      <c r="V58" s="16" t="e">
        <f t="shared" si="5"/>
        <v>#N/A</v>
      </c>
      <c r="W58" s="16"/>
      <c r="X58" s="16"/>
      <c r="Y58" s="16"/>
      <c r="Z58" s="16">
        <f t="shared" si="6"/>
        <v>0</v>
      </c>
      <c r="AA58" s="16">
        <f t="shared" si="0"/>
        <v>0</v>
      </c>
      <c r="AB58" s="16"/>
      <c r="AC58" s="17"/>
      <c r="AD58" s="51"/>
    </row>
    <row r="59" spans="1:30" ht="19.5" thickBot="1" x14ac:dyDescent="0.3">
      <c r="A59" s="14">
        <v>24</v>
      </c>
      <c r="B59" s="15"/>
      <c r="C59" s="15" t="e">
        <f>VLOOKUP(B59,داتا!$B$3:$D$107,2,FALSE)</f>
        <v>#N/A</v>
      </c>
      <c r="D59" s="34" t="e">
        <f>VLOOKUP(B59,داتا!$B$3:$D$107,3,FALSE)</f>
        <v>#N/A</v>
      </c>
      <c r="E59" s="16"/>
      <c r="F59" s="15"/>
      <c r="G59" s="16">
        <v>0.25</v>
      </c>
      <c r="H59" s="16" t="e">
        <f t="shared" si="8"/>
        <v>#N/A</v>
      </c>
      <c r="I59" s="16" t="e">
        <f t="shared" si="1"/>
        <v>#N/A</v>
      </c>
      <c r="J59" s="16"/>
      <c r="K59" s="16"/>
      <c r="L59" s="15"/>
      <c r="M59" s="15"/>
      <c r="N59" s="16">
        <f t="shared" si="2"/>
        <v>0</v>
      </c>
      <c r="O59" s="16" t="e">
        <f t="shared" si="3"/>
        <v>#N/A</v>
      </c>
      <c r="P59" s="16">
        <v>6.9444444444444397E-3</v>
      </c>
      <c r="Q59" s="16"/>
      <c r="R59" s="16">
        <f t="shared" si="4"/>
        <v>-6.9444444444444397E-3</v>
      </c>
      <c r="S59" s="16"/>
      <c r="T59" s="16" t="e">
        <f>VLOOKUP(E59,'[2]21-3-2026'!E$3:T$35,16,FALSE)</f>
        <v>#N/A</v>
      </c>
      <c r="U59" s="16"/>
      <c r="V59" s="16" t="e">
        <f t="shared" si="5"/>
        <v>#N/A</v>
      </c>
      <c r="W59" s="16"/>
      <c r="X59" s="16"/>
      <c r="Y59" s="16"/>
      <c r="Z59" s="16">
        <f t="shared" si="6"/>
        <v>0</v>
      </c>
      <c r="AA59" s="16">
        <f t="shared" si="0"/>
        <v>0</v>
      </c>
      <c r="AB59" s="16"/>
      <c r="AC59" s="17"/>
      <c r="AD59" s="51"/>
    </row>
    <row r="60" spans="1:30" ht="19.5" thickBot="1" x14ac:dyDescent="0.3">
      <c r="A60" s="14">
        <v>25</v>
      </c>
      <c r="B60" s="15"/>
      <c r="C60" s="15" t="e">
        <f>VLOOKUP(B60,داتا!$B$3:$D$107,2,FALSE)</f>
        <v>#N/A</v>
      </c>
      <c r="D60" s="34" t="e">
        <f>VLOOKUP(B60,داتا!$B$3:$D$107,3,FALSE)</f>
        <v>#N/A</v>
      </c>
      <c r="E60" s="15"/>
      <c r="F60" s="15"/>
      <c r="G60" s="16">
        <v>0.25</v>
      </c>
      <c r="H60" s="16" t="e">
        <f t="shared" si="8"/>
        <v>#N/A</v>
      </c>
      <c r="I60" s="16" t="e">
        <f t="shared" si="1"/>
        <v>#N/A</v>
      </c>
      <c r="J60" s="16"/>
      <c r="K60" s="16"/>
      <c r="L60" s="16"/>
      <c r="M60" s="16"/>
      <c r="N60" s="16">
        <f t="shared" si="2"/>
        <v>0</v>
      </c>
      <c r="O60" s="16" t="e">
        <f t="shared" si="3"/>
        <v>#N/A</v>
      </c>
      <c r="P60" s="16">
        <v>6.9444444444444397E-3</v>
      </c>
      <c r="Q60" s="16"/>
      <c r="R60" s="16">
        <f t="shared" si="4"/>
        <v>-6.9444444444444397E-3</v>
      </c>
      <c r="S60" s="16"/>
      <c r="T60" s="16" t="e">
        <f>VLOOKUP(E60,'[2]21-3-2026'!E$3:T$35,16,FALSE)</f>
        <v>#N/A</v>
      </c>
      <c r="U60" s="16"/>
      <c r="V60" s="16" t="e">
        <f t="shared" si="5"/>
        <v>#N/A</v>
      </c>
      <c r="W60" s="16"/>
      <c r="X60" s="16"/>
      <c r="Y60" s="16"/>
      <c r="Z60" s="16">
        <f t="shared" si="6"/>
        <v>0</v>
      </c>
      <c r="AA60" s="16">
        <f t="shared" si="0"/>
        <v>0</v>
      </c>
      <c r="AB60" s="16"/>
      <c r="AC60" s="17"/>
      <c r="AD60" s="51"/>
    </row>
    <row r="61" spans="1:30" ht="19.5" thickBot="1" x14ac:dyDescent="0.3">
      <c r="A61" s="14">
        <v>26</v>
      </c>
      <c r="B61" s="15"/>
      <c r="C61" s="15" t="e">
        <f>VLOOKUP(B61,داتا!$B$3:$D$107,2,FALSE)</f>
        <v>#N/A</v>
      </c>
      <c r="D61" s="34" t="e">
        <f>VLOOKUP(B61,داتا!$B$3:$D$107,3,FALSE)</f>
        <v>#N/A</v>
      </c>
      <c r="E61" s="15"/>
      <c r="F61" s="15"/>
      <c r="G61" s="16">
        <v>0.25</v>
      </c>
      <c r="H61" s="16" t="e">
        <f t="shared" si="8"/>
        <v>#N/A</v>
      </c>
      <c r="I61" s="16" t="e">
        <f t="shared" si="1"/>
        <v>#N/A</v>
      </c>
      <c r="J61" s="16"/>
      <c r="K61" s="16"/>
      <c r="L61" s="16"/>
      <c r="M61" s="16"/>
      <c r="N61" s="16">
        <f t="shared" si="2"/>
        <v>0</v>
      </c>
      <c r="O61" s="16" t="e">
        <f t="shared" si="3"/>
        <v>#N/A</v>
      </c>
      <c r="P61" s="16">
        <v>6.9444444444444397E-3</v>
      </c>
      <c r="Q61" s="16"/>
      <c r="R61" s="16">
        <f t="shared" si="4"/>
        <v>-6.9444444444444397E-3</v>
      </c>
      <c r="S61" s="16"/>
      <c r="T61" s="16" t="e">
        <f>VLOOKUP(E61,'[2]21-3-2026'!E$3:T$35,16,FALSE)</f>
        <v>#N/A</v>
      </c>
      <c r="U61" s="16"/>
      <c r="V61" s="16" t="e">
        <f t="shared" si="5"/>
        <v>#N/A</v>
      </c>
      <c r="W61" s="16"/>
      <c r="X61" s="16"/>
      <c r="Y61" s="16"/>
      <c r="Z61" s="16">
        <f t="shared" si="6"/>
        <v>0</v>
      </c>
      <c r="AA61" s="16">
        <f t="shared" si="0"/>
        <v>0</v>
      </c>
      <c r="AB61" s="16"/>
      <c r="AC61" s="17"/>
      <c r="AD61" s="51"/>
    </row>
    <row r="62" spans="1:30" ht="19.5" thickBot="1" x14ac:dyDescent="0.3">
      <c r="A62" s="14">
        <v>27</v>
      </c>
      <c r="B62" s="15"/>
      <c r="C62" s="15" t="e">
        <f>VLOOKUP(B62,داتا!$B$3:$D$107,2,FALSE)</f>
        <v>#N/A</v>
      </c>
      <c r="D62" s="34" t="e">
        <f>VLOOKUP(B62,داتا!$B$3:$D$107,3,FALSE)</f>
        <v>#N/A</v>
      </c>
      <c r="E62" s="15"/>
      <c r="F62" s="15"/>
      <c r="G62" s="16">
        <v>0.25</v>
      </c>
      <c r="H62" s="16" t="e">
        <f t="shared" si="8"/>
        <v>#N/A</v>
      </c>
      <c r="I62" s="16" t="e">
        <f t="shared" si="1"/>
        <v>#N/A</v>
      </c>
      <c r="J62" s="16"/>
      <c r="K62" s="16"/>
      <c r="L62" s="16"/>
      <c r="M62" s="16"/>
      <c r="N62" s="16">
        <f t="shared" si="2"/>
        <v>0</v>
      </c>
      <c r="O62" s="16" t="e">
        <f t="shared" si="3"/>
        <v>#N/A</v>
      </c>
      <c r="P62" s="16">
        <v>6.9444444444444397E-3</v>
      </c>
      <c r="Q62" s="16"/>
      <c r="R62" s="16">
        <f t="shared" si="4"/>
        <v>-6.9444444444444397E-3</v>
      </c>
      <c r="S62" s="16"/>
      <c r="T62" s="16" t="e">
        <f>VLOOKUP(E62,'[2]21-3-2026'!E$3:T$35,16,FALSE)</f>
        <v>#N/A</v>
      </c>
      <c r="U62" s="16"/>
      <c r="V62" s="16" t="e">
        <f t="shared" si="5"/>
        <v>#N/A</v>
      </c>
      <c r="W62" s="16"/>
      <c r="X62" s="16"/>
      <c r="Y62" s="16"/>
      <c r="Z62" s="16">
        <f t="shared" si="6"/>
        <v>0</v>
      </c>
      <c r="AA62" s="16">
        <f t="shared" si="0"/>
        <v>0</v>
      </c>
      <c r="AB62" s="16"/>
      <c r="AC62" s="17"/>
      <c r="AD62" s="51"/>
    </row>
    <row r="63" spans="1:30" ht="19.5" thickBot="1" x14ac:dyDescent="0.3">
      <c r="A63" s="14">
        <v>28</v>
      </c>
      <c r="B63" s="15"/>
      <c r="C63" s="15" t="e">
        <f>VLOOKUP(B63,داتا!$B$3:$D$107,2,FALSE)</f>
        <v>#N/A</v>
      </c>
      <c r="D63" s="34" t="e">
        <f>VLOOKUP(B63,داتا!$B$3:$D$107,3,FALSE)</f>
        <v>#N/A</v>
      </c>
      <c r="E63" s="15"/>
      <c r="F63" s="15"/>
      <c r="G63" s="16">
        <v>0.25</v>
      </c>
      <c r="H63" s="16" t="e">
        <f t="shared" si="8"/>
        <v>#N/A</v>
      </c>
      <c r="I63" s="16" t="e">
        <f t="shared" si="1"/>
        <v>#N/A</v>
      </c>
      <c r="J63" s="16"/>
      <c r="K63" s="16"/>
      <c r="L63" s="16"/>
      <c r="M63" s="16"/>
      <c r="N63" s="16">
        <f t="shared" si="2"/>
        <v>0</v>
      </c>
      <c r="O63" s="16" t="e">
        <f t="shared" si="3"/>
        <v>#N/A</v>
      </c>
      <c r="P63" s="16">
        <v>6.9444444444444397E-3</v>
      </c>
      <c r="Q63" s="16"/>
      <c r="R63" s="16">
        <f t="shared" si="4"/>
        <v>-6.9444444444444397E-3</v>
      </c>
      <c r="S63" s="16"/>
      <c r="T63" s="16" t="e">
        <f>VLOOKUP(E63,'[2]21-3-2026'!E$3:T$35,16,FALSE)</f>
        <v>#N/A</v>
      </c>
      <c r="U63" s="16"/>
      <c r="V63" s="16" t="e">
        <f t="shared" si="5"/>
        <v>#N/A</v>
      </c>
      <c r="W63" s="16"/>
      <c r="X63" s="16"/>
      <c r="Y63" s="16"/>
      <c r="Z63" s="16">
        <f t="shared" si="6"/>
        <v>0</v>
      </c>
      <c r="AA63" s="16">
        <f t="shared" si="0"/>
        <v>0</v>
      </c>
      <c r="AB63" s="16"/>
      <c r="AC63" s="17"/>
      <c r="AD63" s="51"/>
    </row>
    <row r="64" spans="1:30" ht="19.5" thickBot="1" x14ac:dyDescent="0.3">
      <c r="A64" s="14">
        <v>29</v>
      </c>
      <c r="B64" s="15"/>
      <c r="C64" s="15" t="e">
        <f>VLOOKUP(B64,داتا!$B$3:$D$107,2,FALSE)</f>
        <v>#N/A</v>
      </c>
      <c r="D64" s="34" t="e">
        <f>VLOOKUP(B64,داتا!$B$3:$D$107,3,FALSE)</f>
        <v>#N/A</v>
      </c>
      <c r="E64" s="15"/>
      <c r="F64" s="15"/>
      <c r="G64" s="16">
        <v>0.25</v>
      </c>
      <c r="H64" s="16" t="e">
        <f t="shared" si="8"/>
        <v>#N/A</v>
      </c>
      <c r="I64" s="16" t="e">
        <f t="shared" si="1"/>
        <v>#N/A</v>
      </c>
      <c r="J64" s="16"/>
      <c r="K64" s="16"/>
      <c r="L64" s="16"/>
      <c r="M64" s="16"/>
      <c r="N64" s="16">
        <f t="shared" si="2"/>
        <v>0</v>
      </c>
      <c r="O64" s="16" t="e">
        <f t="shared" si="3"/>
        <v>#N/A</v>
      </c>
      <c r="P64" s="16">
        <v>6.9444444444444397E-3</v>
      </c>
      <c r="Q64" s="16"/>
      <c r="R64" s="16">
        <f t="shared" si="4"/>
        <v>-6.9444444444444397E-3</v>
      </c>
      <c r="S64" s="16"/>
      <c r="T64" s="16" t="e">
        <f>VLOOKUP(E64,'[2]21-3-2026'!E$3:T$35,16,FALSE)</f>
        <v>#N/A</v>
      </c>
      <c r="U64" s="16"/>
      <c r="V64" s="16" t="e">
        <f t="shared" si="5"/>
        <v>#N/A</v>
      </c>
      <c r="W64" s="16"/>
      <c r="X64" s="16"/>
      <c r="Y64" s="16"/>
      <c r="Z64" s="16">
        <f t="shared" si="6"/>
        <v>0</v>
      </c>
      <c r="AA64" s="16">
        <f t="shared" si="0"/>
        <v>0</v>
      </c>
      <c r="AB64" s="16"/>
      <c r="AC64" s="17"/>
      <c r="AD64" s="51"/>
    </row>
    <row r="65" spans="1:30" ht="19.5" thickBot="1" x14ac:dyDescent="0.3">
      <c r="A65" s="14">
        <v>30</v>
      </c>
      <c r="B65" s="15"/>
      <c r="C65" s="15" t="e">
        <f>VLOOKUP(B65,داتا!$B$3:$D$107,2,FALSE)</f>
        <v>#N/A</v>
      </c>
      <c r="D65" s="34" t="e">
        <f>VLOOKUP(B65,داتا!$B$3:$D$107,3,FALSE)</f>
        <v>#N/A</v>
      </c>
      <c r="E65" s="15"/>
      <c r="F65" s="15"/>
      <c r="G65" s="16">
        <v>0.25</v>
      </c>
      <c r="H65" s="16" t="e">
        <f t="shared" si="8"/>
        <v>#N/A</v>
      </c>
      <c r="I65" s="16" t="e">
        <f t="shared" si="1"/>
        <v>#N/A</v>
      </c>
      <c r="J65" s="16"/>
      <c r="K65" s="16"/>
      <c r="L65" s="16"/>
      <c r="M65" s="16"/>
      <c r="N65" s="16">
        <f t="shared" si="2"/>
        <v>0</v>
      </c>
      <c r="O65" s="16" t="e">
        <f t="shared" si="3"/>
        <v>#N/A</v>
      </c>
      <c r="P65" s="16">
        <v>6.9444444444444397E-3</v>
      </c>
      <c r="Q65" s="16"/>
      <c r="R65" s="16">
        <f t="shared" si="4"/>
        <v>-6.9444444444444397E-3</v>
      </c>
      <c r="S65" s="16"/>
      <c r="T65" s="16" t="e">
        <f>VLOOKUP(E65,'[2]21-3-2026'!E$3:T$35,16,FALSE)</f>
        <v>#N/A</v>
      </c>
      <c r="U65" s="16"/>
      <c r="V65" s="16" t="e">
        <f t="shared" si="5"/>
        <v>#N/A</v>
      </c>
      <c r="W65" s="16"/>
      <c r="X65" s="16"/>
      <c r="Y65" s="16"/>
      <c r="Z65" s="16">
        <f t="shared" si="6"/>
        <v>0</v>
      </c>
      <c r="AA65" s="16">
        <f t="shared" si="0"/>
        <v>0</v>
      </c>
      <c r="AB65" s="16"/>
      <c r="AC65" s="17"/>
      <c r="AD65" s="51"/>
    </row>
    <row r="66" spans="1:30" ht="20.25" customHeight="1" thickBot="1" x14ac:dyDescent="0.3">
      <c r="A66" s="14">
        <v>31</v>
      </c>
      <c r="B66" s="15"/>
      <c r="C66" s="15" t="e">
        <f>VLOOKUP(B66,داتا!$B$3:$D$107,2,FALSE)</f>
        <v>#N/A</v>
      </c>
      <c r="D66" s="34" t="e">
        <f>VLOOKUP(B66,داتا!$B$3:$D$107,3,FALSE)</f>
        <v>#N/A</v>
      </c>
      <c r="E66" s="15"/>
      <c r="F66" s="15"/>
      <c r="G66" s="16">
        <v>0.25</v>
      </c>
      <c r="H66" s="16" t="e">
        <f t="shared" si="8"/>
        <v>#N/A</v>
      </c>
      <c r="I66" s="16" t="e">
        <f t="shared" si="1"/>
        <v>#N/A</v>
      </c>
      <c r="J66" s="16"/>
      <c r="K66" s="16"/>
      <c r="L66" s="16"/>
      <c r="M66" s="16"/>
      <c r="N66" s="16">
        <f t="shared" si="2"/>
        <v>0</v>
      </c>
      <c r="O66" s="16" t="e">
        <f t="shared" si="3"/>
        <v>#N/A</v>
      </c>
      <c r="P66" s="16">
        <v>6.9444444444444397E-3</v>
      </c>
      <c r="Q66" s="16"/>
      <c r="R66" s="16">
        <f t="shared" si="4"/>
        <v>-6.9444444444444397E-3</v>
      </c>
      <c r="S66" s="16"/>
      <c r="T66" s="16" t="e">
        <f>VLOOKUP(E66,'[2]21-3-2026'!E$3:T$35,16,FALSE)</f>
        <v>#N/A</v>
      </c>
      <c r="U66" s="16"/>
      <c r="V66" s="16" t="e">
        <f t="shared" si="5"/>
        <v>#N/A</v>
      </c>
      <c r="W66" s="16"/>
      <c r="X66" s="16"/>
      <c r="Y66" s="16"/>
      <c r="Z66" s="16">
        <f t="shared" si="6"/>
        <v>0</v>
      </c>
      <c r="AA66" s="16">
        <f t="shared" si="0"/>
        <v>0</v>
      </c>
      <c r="AB66" s="16"/>
      <c r="AC66" s="19"/>
      <c r="AD66" s="51"/>
    </row>
    <row r="67" spans="1:30" ht="19.5" customHeight="1" thickBot="1" x14ac:dyDescent="0.3">
      <c r="A67" s="20">
        <v>32</v>
      </c>
      <c r="B67" s="21"/>
      <c r="C67" s="21" t="e">
        <f>VLOOKUP(B67,داتا!$B$3:$D$107,2,FALSE)</f>
        <v>#N/A</v>
      </c>
      <c r="D67" s="35" t="e">
        <f>VLOOKUP(B67,داتا!$B$3:$D$107,3,FALSE)</f>
        <v>#N/A</v>
      </c>
      <c r="E67" s="21"/>
      <c r="F67" s="21"/>
      <c r="G67" s="22">
        <v>0.25</v>
      </c>
      <c r="H67" s="22" t="e">
        <f t="shared" si="8"/>
        <v>#N/A</v>
      </c>
      <c r="I67" s="22" t="e">
        <f t="shared" si="1"/>
        <v>#N/A</v>
      </c>
      <c r="J67" s="22"/>
      <c r="K67" s="22"/>
      <c r="L67" s="22"/>
      <c r="M67" s="22"/>
      <c r="N67" s="22">
        <f t="shared" si="2"/>
        <v>0</v>
      </c>
      <c r="O67" s="22" t="e">
        <f t="shared" si="3"/>
        <v>#N/A</v>
      </c>
      <c r="P67" s="22">
        <v>6.9444444444444397E-3</v>
      </c>
      <c r="Q67" s="22"/>
      <c r="R67" s="22">
        <f t="shared" si="4"/>
        <v>-6.9444444444444397E-3</v>
      </c>
      <c r="S67" s="22"/>
      <c r="T67" s="22" t="e">
        <f>VLOOKUP(E67,'[2]21-3-2026'!E$3:T$35,16,FALSE)</f>
        <v>#N/A</v>
      </c>
      <c r="U67" s="22"/>
      <c r="V67" s="22" t="e">
        <f t="shared" si="5"/>
        <v>#N/A</v>
      </c>
      <c r="W67" s="22"/>
      <c r="X67" s="22"/>
      <c r="Y67" s="22"/>
      <c r="Z67" s="22">
        <f t="shared" si="6"/>
        <v>0</v>
      </c>
      <c r="AA67" s="22">
        <f t="shared" ref="AA67:AA99" si="9">Z67-W67</f>
        <v>0</v>
      </c>
      <c r="AB67" s="22"/>
      <c r="AC67" s="23"/>
      <c r="AD67" s="52"/>
    </row>
    <row r="68" spans="1:30" ht="20.25" thickTop="1" thickBot="1" x14ac:dyDescent="0.3">
      <c r="A68" s="10">
        <v>1</v>
      </c>
      <c r="B68" s="11"/>
      <c r="C68" s="11" t="e">
        <f>VLOOKUP(B68,داتا!$B$3:$D$107,2,FALSE)</f>
        <v>#N/A</v>
      </c>
      <c r="D68" s="33" t="e">
        <f>VLOOKUP(B68,داتا!$B$3:$D$107,3,FALSE)</f>
        <v>#N/A</v>
      </c>
      <c r="E68" s="11"/>
      <c r="F68" s="11"/>
      <c r="G68" s="12">
        <v>8.3333333333333329E-2</v>
      </c>
      <c r="H68" s="12" t="e">
        <f t="shared" si="8"/>
        <v>#N/A</v>
      </c>
      <c r="I68" s="12" t="e">
        <f t="shared" ref="I68:I99" si="10">H68-G68</f>
        <v>#N/A</v>
      </c>
      <c r="J68" s="12"/>
      <c r="K68" s="12"/>
      <c r="L68" s="12"/>
      <c r="M68" s="12"/>
      <c r="N68" s="12">
        <f t="shared" ref="N68:N99" si="11">K68-J68</f>
        <v>0</v>
      </c>
      <c r="O68" s="12" t="e">
        <f t="shared" ref="O68:O99" si="12">N68-D68</f>
        <v>#N/A</v>
      </c>
      <c r="P68" s="12">
        <v>6.9444444444444397E-3</v>
      </c>
      <c r="Q68" s="12"/>
      <c r="R68" s="12">
        <f t="shared" ref="R68:R99" si="13">Q68-P68-K68</f>
        <v>-6.9444444444444397E-3</v>
      </c>
      <c r="S68" s="12"/>
      <c r="T68" s="12" t="e">
        <f>VLOOKUP(E68,'[2]21-3-2026'!E$3:T$35,16,FALSE)</f>
        <v>#N/A</v>
      </c>
      <c r="U68" s="12"/>
      <c r="V68" s="12" t="e">
        <f t="shared" ref="V68:V99" si="14">U68-T68-S68</f>
        <v>#N/A</v>
      </c>
      <c r="W68" s="12"/>
      <c r="X68" s="12"/>
      <c r="Y68" s="12"/>
      <c r="Z68" s="12">
        <f t="shared" ref="Z68:Z99" si="15">Y68-X68</f>
        <v>0</v>
      </c>
      <c r="AA68" s="12">
        <f t="shared" si="9"/>
        <v>0</v>
      </c>
      <c r="AB68" s="12"/>
      <c r="AC68" s="13"/>
      <c r="AD68" s="53" t="s">
        <v>116</v>
      </c>
    </row>
    <row r="69" spans="1:30" ht="19.5" thickBot="1" x14ac:dyDescent="0.3">
      <c r="A69" s="14">
        <v>2</v>
      </c>
      <c r="B69" s="15"/>
      <c r="C69" s="15" t="e">
        <f>VLOOKUP(B69,داتا!$B$3:$D$107,2,FALSE)</f>
        <v>#N/A</v>
      </c>
      <c r="D69" s="34" t="e">
        <f>VLOOKUP(B69,داتا!$B$3:$D$107,3,FALSE)</f>
        <v>#N/A</v>
      </c>
      <c r="E69" s="15"/>
      <c r="F69" s="15"/>
      <c r="G69" s="16">
        <v>8.3333333333333329E-2</v>
      </c>
      <c r="H69" s="16" t="e">
        <f t="shared" ref="H69:H84" si="16">VLOOKUP(G69,$F$3:$I$35,2,FALSE)</f>
        <v>#N/A</v>
      </c>
      <c r="I69" s="16" t="e">
        <f t="shared" si="10"/>
        <v>#N/A</v>
      </c>
      <c r="J69" s="16"/>
      <c r="K69" s="16"/>
      <c r="L69" s="16"/>
      <c r="M69" s="16"/>
      <c r="N69" s="16">
        <f t="shared" si="11"/>
        <v>0</v>
      </c>
      <c r="O69" s="16" t="e">
        <f t="shared" si="12"/>
        <v>#N/A</v>
      </c>
      <c r="P69" s="16">
        <v>6.9444444444444397E-3</v>
      </c>
      <c r="Q69" s="16"/>
      <c r="R69" s="16">
        <f t="shared" si="13"/>
        <v>-6.9444444444444397E-3</v>
      </c>
      <c r="S69" s="16"/>
      <c r="T69" s="16" t="e">
        <f>VLOOKUP(E69,'[2]21-3-2026'!E$3:T$35,16,FALSE)</f>
        <v>#N/A</v>
      </c>
      <c r="U69" s="16"/>
      <c r="V69" s="16" t="e">
        <f t="shared" si="14"/>
        <v>#N/A</v>
      </c>
      <c r="W69" s="16"/>
      <c r="X69" s="16"/>
      <c r="Y69" s="16"/>
      <c r="Z69" s="16">
        <f t="shared" si="15"/>
        <v>0</v>
      </c>
      <c r="AA69" s="16">
        <f t="shared" si="9"/>
        <v>0</v>
      </c>
      <c r="AB69" s="16"/>
      <c r="AC69" s="17"/>
      <c r="AD69" s="51"/>
    </row>
    <row r="70" spans="1:30" ht="19.5" thickBot="1" x14ac:dyDescent="0.3">
      <c r="A70" s="14">
        <v>3</v>
      </c>
      <c r="B70" s="15"/>
      <c r="C70" s="15" t="e">
        <f>VLOOKUP(B70,داتا!$B$3:$D$107,2,FALSE)</f>
        <v>#N/A</v>
      </c>
      <c r="D70" s="34" t="e">
        <f>VLOOKUP(B70,داتا!$B$3:$D$107,3,FALSE)</f>
        <v>#N/A</v>
      </c>
      <c r="E70" s="15"/>
      <c r="F70" s="15"/>
      <c r="G70" s="16">
        <v>8.3333333333333329E-2</v>
      </c>
      <c r="H70" s="16" t="e">
        <f t="shared" si="16"/>
        <v>#N/A</v>
      </c>
      <c r="I70" s="16" t="e">
        <f t="shared" si="10"/>
        <v>#N/A</v>
      </c>
      <c r="J70" s="16"/>
      <c r="K70" s="16"/>
      <c r="L70" s="16"/>
      <c r="M70" s="16"/>
      <c r="N70" s="16">
        <f t="shared" si="11"/>
        <v>0</v>
      </c>
      <c r="O70" s="16" t="e">
        <f t="shared" si="12"/>
        <v>#N/A</v>
      </c>
      <c r="P70" s="16">
        <v>6.9444444444444397E-3</v>
      </c>
      <c r="Q70" s="16"/>
      <c r="R70" s="16">
        <f t="shared" si="13"/>
        <v>-6.9444444444444397E-3</v>
      </c>
      <c r="S70" s="16"/>
      <c r="T70" s="16" t="e">
        <f>VLOOKUP(E70,'[2]21-3-2026'!E$3:T$35,16,FALSE)</f>
        <v>#N/A</v>
      </c>
      <c r="U70" s="16"/>
      <c r="V70" s="16" t="e">
        <f t="shared" si="14"/>
        <v>#N/A</v>
      </c>
      <c r="W70" s="16"/>
      <c r="X70" s="16"/>
      <c r="Y70" s="16"/>
      <c r="Z70" s="16">
        <f t="shared" si="15"/>
        <v>0</v>
      </c>
      <c r="AA70" s="16">
        <f t="shared" si="9"/>
        <v>0</v>
      </c>
      <c r="AB70" s="16"/>
      <c r="AC70" s="17"/>
      <c r="AD70" s="51"/>
    </row>
    <row r="71" spans="1:30" ht="19.5" thickBot="1" x14ac:dyDescent="0.3">
      <c r="A71" s="14">
        <v>4</v>
      </c>
      <c r="B71" s="15"/>
      <c r="C71" s="15" t="e">
        <f>VLOOKUP(B71,داتا!$B$3:$D$107,2,FALSE)</f>
        <v>#N/A</v>
      </c>
      <c r="D71" s="34" t="e">
        <f>VLOOKUP(B71,داتا!$B$3:$D$107,3,FALSE)</f>
        <v>#N/A</v>
      </c>
      <c r="E71" s="15"/>
      <c r="F71" s="15"/>
      <c r="G71" s="16">
        <v>8.3333333333333329E-2</v>
      </c>
      <c r="H71" s="16" t="e">
        <f t="shared" si="16"/>
        <v>#N/A</v>
      </c>
      <c r="I71" s="16" t="e">
        <f t="shared" si="10"/>
        <v>#N/A</v>
      </c>
      <c r="J71" s="16"/>
      <c r="K71" s="16"/>
      <c r="L71" s="16"/>
      <c r="M71" s="16"/>
      <c r="N71" s="16">
        <f t="shared" si="11"/>
        <v>0</v>
      </c>
      <c r="O71" s="16" t="e">
        <f t="shared" si="12"/>
        <v>#N/A</v>
      </c>
      <c r="P71" s="16">
        <v>6.9444444444444397E-3</v>
      </c>
      <c r="Q71" s="16"/>
      <c r="R71" s="16">
        <f t="shared" si="13"/>
        <v>-6.9444444444444397E-3</v>
      </c>
      <c r="S71" s="16"/>
      <c r="T71" s="16" t="e">
        <f>VLOOKUP(E71,'[2]21-3-2026'!E$3:T$35,16,FALSE)</f>
        <v>#N/A</v>
      </c>
      <c r="U71" s="16"/>
      <c r="V71" s="16" t="e">
        <f t="shared" si="14"/>
        <v>#N/A</v>
      </c>
      <c r="W71" s="16"/>
      <c r="X71" s="16"/>
      <c r="Y71" s="16"/>
      <c r="Z71" s="16">
        <f t="shared" si="15"/>
        <v>0</v>
      </c>
      <c r="AA71" s="16">
        <f t="shared" si="9"/>
        <v>0</v>
      </c>
      <c r="AB71" s="16"/>
      <c r="AC71" s="17"/>
      <c r="AD71" s="51"/>
    </row>
    <row r="72" spans="1:30" ht="19.5" thickBot="1" x14ac:dyDescent="0.3">
      <c r="A72" s="14">
        <v>5</v>
      </c>
      <c r="B72" s="15"/>
      <c r="C72" s="15" t="e">
        <f>VLOOKUP(B72,داتا!$B$3:$D$107,2,FALSE)</f>
        <v>#N/A</v>
      </c>
      <c r="D72" s="34" t="e">
        <f>VLOOKUP(B72,داتا!$B$3:$D$107,3,FALSE)</f>
        <v>#N/A</v>
      </c>
      <c r="E72" s="15"/>
      <c r="F72" s="15"/>
      <c r="G72" s="16">
        <v>8.3333333333333329E-2</v>
      </c>
      <c r="H72" s="16" t="e">
        <f t="shared" si="16"/>
        <v>#N/A</v>
      </c>
      <c r="I72" s="16" t="e">
        <f t="shared" si="10"/>
        <v>#N/A</v>
      </c>
      <c r="J72" s="16"/>
      <c r="K72" s="16"/>
      <c r="L72" s="16"/>
      <c r="M72" s="16"/>
      <c r="N72" s="16">
        <f t="shared" si="11"/>
        <v>0</v>
      </c>
      <c r="O72" s="16" t="e">
        <f t="shared" si="12"/>
        <v>#N/A</v>
      </c>
      <c r="P72" s="16">
        <v>6.9444444444444397E-3</v>
      </c>
      <c r="Q72" s="16"/>
      <c r="R72" s="16">
        <f t="shared" si="13"/>
        <v>-6.9444444444444397E-3</v>
      </c>
      <c r="S72" s="16"/>
      <c r="T72" s="16" t="e">
        <f>VLOOKUP(E72,'[2]21-3-2026'!E$3:T$35,16,FALSE)</f>
        <v>#N/A</v>
      </c>
      <c r="U72" s="16"/>
      <c r="V72" s="16" t="e">
        <f t="shared" si="14"/>
        <v>#N/A</v>
      </c>
      <c r="W72" s="16"/>
      <c r="X72" s="16"/>
      <c r="Y72" s="16"/>
      <c r="Z72" s="16">
        <f t="shared" si="15"/>
        <v>0</v>
      </c>
      <c r="AA72" s="16">
        <f t="shared" si="9"/>
        <v>0</v>
      </c>
      <c r="AB72" s="16"/>
      <c r="AC72" s="17"/>
      <c r="AD72" s="51"/>
    </row>
    <row r="73" spans="1:30" ht="19.5" thickBot="1" x14ac:dyDescent="0.3">
      <c r="A73" s="14">
        <v>6</v>
      </c>
      <c r="B73" s="15"/>
      <c r="C73" s="15" t="e">
        <f>VLOOKUP(B73,داتا!$B$3:$D$107,2,FALSE)</f>
        <v>#N/A</v>
      </c>
      <c r="D73" s="34" t="e">
        <f>VLOOKUP(B73,داتا!$B$3:$D$107,3,FALSE)</f>
        <v>#N/A</v>
      </c>
      <c r="E73" s="15"/>
      <c r="F73" s="15"/>
      <c r="G73" s="16">
        <v>8.3333333333333329E-2</v>
      </c>
      <c r="H73" s="16" t="e">
        <f t="shared" si="16"/>
        <v>#N/A</v>
      </c>
      <c r="I73" s="16" t="e">
        <f t="shared" si="10"/>
        <v>#N/A</v>
      </c>
      <c r="J73" s="16"/>
      <c r="K73" s="16"/>
      <c r="L73" s="16"/>
      <c r="M73" s="16"/>
      <c r="N73" s="16">
        <f t="shared" si="11"/>
        <v>0</v>
      </c>
      <c r="O73" s="16" t="e">
        <f t="shared" si="12"/>
        <v>#N/A</v>
      </c>
      <c r="P73" s="16">
        <v>6.9444444444444397E-3</v>
      </c>
      <c r="Q73" s="16"/>
      <c r="R73" s="16">
        <f t="shared" si="13"/>
        <v>-6.9444444444444397E-3</v>
      </c>
      <c r="S73" s="16"/>
      <c r="T73" s="16" t="e">
        <f>VLOOKUP(E73,'[2]21-3-2026'!E$3:T$35,16,FALSE)</f>
        <v>#N/A</v>
      </c>
      <c r="U73" s="16"/>
      <c r="V73" s="16" t="e">
        <f t="shared" si="14"/>
        <v>#N/A</v>
      </c>
      <c r="W73" s="16"/>
      <c r="X73" s="16"/>
      <c r="Y73" s="16"/>
      <c r="Z73" s="16">
        <f t="shared" si="15"/>
        <v>0</v>
      </c>
      <c r="AA73" s="16">
        <f t="shared" si="9"/>
        <v>0</v>
      </c>
      <c r="AB73" s="16"/>
      <c r="AC73" s="17"/>
      <c r="AD73" s="51"/>
    </row>
    <row r="74" spans="1:30" ht="19.5" thickBot="1" x14ac:dyDescent="0.3">
      <c r="A74" s="14">
        <v>7</v>
      </c>
      <c r="B74" s="15"/>
      <c r="C74" s="15" t="e">
        <f>VLOOKUP(B74,داتا!$B$3:$D$107,2,FALSE)</f>
        <v>#N/A</v>
      </c>
      <c r="D74" s="34" t="e">
        <f>VLOOKUP(B74,داتا!$B$3:$D$107,3,FALSE)</f>
        <v>#N/A</v>
      </c>
      <c r="E74" s="15"/>
      <c r="F74" s="15"/>
      <c r="G74" s="16">
        <v>8.3333333333333329E-2</v>
      </c>
      <c r="H74" s="16" t="e">
        <f t="shared" si="16"/>
        <v>#N/A</v>
      </c>
      <c r="I74" s="16" t="e">
        <f t="shared" si="10"/>
        <v>#N/A</v>
      </c>
      <c r="J74" s="16"/>
      <c r="K74" s="16"/>
      <c r="L74" s="16"/>
      <c r="M74" s="16"/>
      <c r="N74" s="16">
        <f t="shared" si="11"/>
        <v>0</v>
      </c>
      <c r="O74" s="16" t="e">
        <f t="shared" si="12"/>
        <v>#N/A</v>
      </c>
      <c r="P74" s="16">
        <v>6.9444444444444397E-3</v>
      </c>
      <c r="Q74" s="16"/>
      <c r="R74" s="16">
        <f t="shared" si="13"/>
        <v>-6.9444444444444397E-3</v>
      </c>
      <c r="S74" s="16"/>
      <c r="T74" s="16" t="e">
        <f>VLOOKUP(E74,'[2]21-3-2026'!E$3:T$35,16,FALSE)</f>
        <v>#N/A</v>
      </c>
      <c r="U74" s="16"/>
      <c r="V74" s="16" t="e">
        <f t="shared" si="14"/>
        <v>#N/A</v>
      </c>
      <c r="W74" s="16"/>
      <c r="X74" s="16"/>
      <c r="Y74" s="16"/>
      <c r="Z74" s="16">
        <f t="shared" si="15"/>
        <v>0</v>
      </c>
      <c r="AA74" s="16">
        <f t="shared" si="9"/>
        <v>0</v>
      </c>
      <c r="AB74" s="16"/>
      <c r="AC74" s="17"/>
      <c r="AD74" s="51"/>
    </row>
    <row r="75" spans="1:30" ht="19.5" thickBot="1" x14ac:dyDescent="0.3">
      <c r="A75" s="14">
        <v>8</v>
      </c>
      <c r="B75" s="15"/>
      <c r="C75" s="15" t="e">
        <f>VLOOKUP(B75,داتا!$B$3:$D$107,2,FALSE)</f>
        <v>#N/A</v>
      </c>
      <c r="D75" s="34" t="e">
        <f>VLOOKUP(B75,داتا!$B$3:$D$107,3,FALSE)</f>
        <v>#N/A</v>
      </c>
      <c r="E75" s="15"/>
      <c r="F75" s="15"/>
      <c r="G75" s="16">
        <v>8.3333333333333329E-2</v>
      </c>
      <c r="H75" s="16" t="e">
        <f t="shared" si="16"/>
        <v>#N/A</v>
      </c>
      <c r="I75" s="16" t="e">
        <f t="shared" si="10"/>
        <v>#N/A</v>
      </c>
      <c r="J75" s="16"/>
      <c r="K75" s="16"/>
      <c r="L75" s="16"/>
      <c r="M75" s="16"/>
      <c r="N75" s="16">
        <f t="shared" si="11"/>
        <v>0</v>
      </c>
      <c r="O75" s="16" t="e">
        <f t="shared" si="12"/>
        <v>#N/A</v>
      </c>
      <c r="P75" s="16">
        <v>6.9444444444444397E-3</v>
      </c>
      <c r="Q75" s="16"/>
      <c r="R75" s="16">
        <f t="shared" si="13"/>
        <v>-6.9444444444444397E-3</v>
      </c>
      <c r="S75" s="16"/>
      <c r="T75" s="16" t="e">
        <f>VLOOKUP(E75,'[2]21-3-2026'!E$3:T$35,16,FALSE)</f>
        <v>#N/A</v>
      </c>
      <c r="U75" s="16"/>
      <c r="V75" s="16" t="e">
        <f t="shared" si="14"/>
        <v>#N/A</v>
      </c>
      <c r="W75" s="16"/>
      <c r="X75" s="16"/>
      <c r="Y75" s="16"/>
      <c r="Z75" s="16">
        <f t="shared" si="15"/>
        <v>0</v>
      </c>
      <c r="AA75" s="16">
        <f t="shared" si="9"/>
        <v>0</v>
      </c>
      <c r="AB75" s="16"/>
      <c r="AC75" s="17"/>
      <c r="AD75" s="51"/>
    </row>
    <row r="76" spans="1:30" ht="19.5" thickBot="1" x14ac:dyDescent="0.3">
      <c r="A76" s="14">
        <v>9</v>
      </c>
      <c r="B76" s="15"/>
      <c r="C76" s="15" t="e">
        <f>VLOOKUP(B76,داتا!$B$3:$D$107,2,FALSE)</f>
        <v>#N/A</v>
      </c>
      <c r="D76" s="34" t="e">
        <f>VLOOKUP(B76,داتا!$B$3:$D$107,3,FALSE)</f>
        <v>#N/A</v>
      </c>
      <c r="E76" s="16"/>
      <c r="F76" s="15"/>
      <c r="G76" s="16">
        <v>8.3333333333333329E-2</v>
      </c>
      <c r="H76" s="16" t="e">
        <f t="shared" si="16"/>
        <v>#N/A</v>
      </c>
      <c r="I76" s="16" t="e">
        <f t="shared" si="10"/>
        <v>#N/A</v>
      </c>
      <c r="J76" s="16"/>
      <c r="K76" s="16"/>
      <c r="L76" s="16"/>
      <c r="M76" s="16"/>
      <c r="N76" s="16">
        <f t="shared" si="11"/>
        <v>0</v>
      </c>
      <c r="O76" s="16" t="e">
        <f t="shared" si="12"/>
        <v>#N/A</v>
      </c>
      <c r="P76" s="16">
        <v>6.9444444444444397E-3</v>
      </c>
      <c r="Q76" s="16"/>
      <c r="R76" s="16">
        <f t="shared" si="13"/>
        <v>-6.9444444444444397E-3</v>
      </c>
      <c r="S76" s="16"/>
      <c r="T76" s="16" t="e">
        <f>VLOOKUP(E76,'[2]21-3-2026'!E$3:T$35,16,FALSE)</f>
        <v>#N/A</v>
      </c>
      <c r="U76" s="16"/>
      <c r="V76" s="16" t="e">
        <f t="shared" si="14"/>
        <v>#N/A</v>
      </c>
      <c r="W76" s="16"/>
      <c r="X76" s="16"/>
      <c r="Y76" s="16"/>
      <c r="Z76" s="16">
        <f t="shared" si="15"/>
        <v>0</v>
      </c>
      <c r="AA76" s="16">
        <f t="shared" si="9"/>
        <v>0</v>
      </c>
      <c r="AB76" s="16"/>
      <c r="AC76" s="17"/>
      <c r="AD76" s="51"/>
    </row>
    <row r="77" spans="1:30" ht="19.5" thickBot="1" x14ac:dyDescent="0.3">
      <c r="A77" s="14">
        <v>10</v>
      </c>
      <c r="B77" s="15"/>
      <c r="C77" s="15" t="e">
        <f>VLOOKUP(B77,داتا!$B$3:$D$107,2,FALSE)</f>
        <v>#N/A</v>
      </c>
      <c r="D77" s="34" t="e">
        <f>VLOOKUP(B77,داتا!$B$3:$D$107,3,FALSE)</f>
        <v>#N/A</v>
      </c>
      <c r="E77" s="15"/>
      <c r="F77" s="15"/>
      <c r="G77" s="16">
        <v>8.3333333333333329E-2</v>
      </c>
      <c r="H77" s="16" t="e">
        <f t="shared" si="16"/>
        <v>#N/A</v>
      </c>
      <c r="I77" s="16" t="e">
        <f t="shared" si="10"/>
        <v>#N/A</v>
      </c>
      <c r="J77" s="16"/>
      <c r="K77" s="16"/>
      <c r="L77" s="16"/>
      <c r="M77" s="16"/>
      <c r="N77" s="16">
        <f t="shared" si="11"/>
        <v>0</v>
      </c>
      <c r="O77" s="16" t="e">
        <f t="shared" si="12"/>
        <v>#N/A</v>
      </c>
      <c r="P77" s="16">
        <v>6.9444444444444397E-3</v>
      </c>
      <c r="Q77" s="16"/>
      <c r="R77" s="16">
        <f t="shared" si="13"/>
        <v>-6.9444444444444397E-3</v>
      </c>
      <c r="S77" s="16"/>
      <c r="T77" s="16" t="e">
        <f>VLOOKUP(E77,'[2]21-3-2026'!E$3:T$35,16,FALSE)</f>
        <v>#N/A</v>
      </c>
      <c r="U77" s="16"/>
      <c r="V77" s="16" t="e">
        <f t="shared" si="14"/>
        <v>#N/A</v>
      </c>
      <c r="W77" s="16"/>
      <c r="X77" s="16"/>
      <c r="Y77" s="16"/>
      <c r="Z77" s="16">
        <f t="shared" si="15"/>
        <v>0</v>
      </c>
      <c r="AA77" s="16">
        <f t="shared" si="9"/>
        <v>0</v>
      </c>
      <c r="AB77" s="16"/>
      <c r="AC77" s="17"/>
      <c r="AD77" s="51"/>
    </row>
    <row r="78" spans="1:30" ht="19.5" thickBot="1" x14ac:dyDescent="0.3">
      <c r="A78" s="14">
        <v>11</v>
      </c>
      <c r="B78" s="15"/>
      <c r="C78" s="15" t="e">
        <f>VLOOKUP(B78,داتا!$B$3:$D$107,2,FALSE)</f>
        <v>#N/A</v>
      </c>
      <c r="D78" s="34" t="e">
        <f>VLOOKUP(B78,داتا!$B$3:$D$107,3,FALSE)</f>
        <v>#N/A</v>
      </c>
      <c r="E78" s="15"/>
      <c r="F78" s="15"/>
      <c r="G78" s="16">
        <v>8.3333333333333329E-2</v>
      </c>
      <c r="H78" s="16" t="e">
        <f t="shared" si="16"/>
        <v>#N/A</v>
      </c>
      <c r="I78" s="16" t="e">
        <f t="shared" si="10"/>
        <v>#N/A</v>
      </c>
      <c r="J78" s="16"/>
      <c r="K78" s="16"/>
      <c r="L78" s="16"/>
      <c r="M78" s="16"/>
      <c r="N78" s="16">
        <f t="shared" si="11"/>
        <v>0</v>
      </c>
      <c r="O78" s="16" t="e">
        <f t="shared" si="12"/>
        <v>#N/A</v>
      </c>
      <c r="P78" s="16">
        <v>6.9444444444444397E-3</v>
      </c>
      <c r="Q78" s="16"/>
      <c r="R78" s="16">
        <f t="shared" si="13"/>
        <v>-6.9444444444444397E-3</v>
      </c>
      <c r="S78" s="16"/>
      <c r="T78" s="16" t="e">
        <f>VLOOKUP(E78,'[2]21-3-2026'!E$3:T$35,16,FALSE)</f>
        <v>#N/A</v>
      </c>
      <c r="U78" s="16"/>
      <c r="V78" s="16" t="e">
        <f t="shared" si="14"/>
        <v>#N/A</v>
      </c>
      <c r="W78" s="16"/>
      <c r="X78" s="16"/>
      <c r="Y78" s="16"/>
      <c r="Z78" s="16">
        <f t="shared" si="15"/>
        <v>0</v>
      </c>
      <c r="AA78" s="16">
        <f t="shared" si="9"/>
        <v>0</v>
      </c>
      <c r="AB78" s="16"/>
      <c r="AC78" s="17"/>
      <c r="AD78" s="51"/>
    </row>
    <row r="79" spans="1:30" ht="19.5" thickBot="1" x14ac:dyDescent="0.3">
      <c r="A79" s="14">
        <v>12</v>
      </c>
      <c r="B79" s="15"/>
      <c r="C79" s="15" t="e">
        <f>VLOOKUP(B79,داتا!$B$3:$D$107,2,FALSE)</f>
        <v>#N/A</v>
      </c>
      <c r="D79" s="34" t="e">
        <f>VLOOKUP(B79,داتا!$B$3:$D$107,3,FALSE)</f>
        <v>#N/A</v>
      </c>
      <c r="E79" s="15"/>
      <c r="F79" s="15"/>
      <c r="G79" s="16">
        <v>8.3333333333333329E-2</v>
      </c>
      <c r="H79" s="16" t="e">
        <f t="shared" si="16"/>
        <v>#N/A</v>
      </c>
      <c r="I79" s="16" t="e">
        <f t="shared" si="10"/>
        <v>#N/A</v>
      </c>
      <c r="J79" s="16"/>
      <c r="K79" s="16"/>
      <c r="L79" s="16"/>
      <c r="M79" s="16"/>
      <c r="N79" s="16">
        <f t="shared" si="11"/>
        <v>0</v>
      </c>
      <c r="O79" s="16" t="e">
        <f t="shared" si="12"/>
        <v>#N/A</v>
      </c>
      <c r="P79" s="16">
        <v>6.9444444444444397E-3</v>
      </c>
      <c r="Q79" s="16"/>
      <c r="R79" s="16">
        <f t="shared" si="13"/>
        <v>-6.9444444444444397E-3</v>
      </c>
      <c r="S79" s="16"/>
      <c r="T79" s="16" t="e">
        <f>VLOOKUP(E79,'[2]21-3-2026'!E$3:T$35,16,FALSE)</f>
        <v>#N/A</v>
      </c>
      <c r="U79" s="16"/>
      <c r="V79" s="16" t="e">
        <f t="shared" si="14"/>
        <v>#N/A</v>
      </c>
      <c r="W79" s="16"/>
      <c r="X79" s="16"/>
      <c r="Y79" s="16"/>
      <c r="Z79" s="16">
        <f t="shared" si="15"/>
        <v>0</v>
      </c>
      <c r="AA79" s="16">
        <f t="shared" si="9"/>
        <v>0</v>
      </c>
      <c r="AB79" s="16"/>
      <c r="AC79" s="17"/>
      <c r="AD79" s="51"/>
    </row>
    <row r="80" spans="1:30" ht="19.5" thickBot="1" x14ac:dyDescent="0.3">
      <c r="A80" s="14">
        <v>13</v>
      </c>
      <c r="B80" s="15"/>
      <c r="C80" s="15" t="e">
        <f>VLOOKUP(B80,داتا!$B$3:$D$107,2,FALSE)</f>
        <v>#N/A</v>
      </c>
      <c r="D80" s="34" t="e">
        <f>VLOOKUP(B80,داتا!$B$3:$D$107,3,FALSE)</f>
        <v>#N/A</v>
      </c>
      <c r="E80" s="15"/>
      <c r="F80" s="15"/>
      <c r="G80" s="16">
        <v>8.3333333333333329E-2</v>
      </c>
      <c r="H80" s="16" t="e">
        <f t="shared" si="16"/>
        <v>#N/A</v>
      </c>
      <c r="I80" s="16" t="e">
        <f t="shared" si="10"/>
        <v>#N/A</v>
      </c>
      <c r="J80" s="16"/>
      <c r="K80" s="16"/>
      <c r="L80" s="16"/>
      <c r="M80" s="16"/>
      <c r="N80" s="16">
        <f t="shared" si="11"/>
        <v>0</v>
      </c>
      <c r="O80" s="16" t="e">
        <f t="shared" si="12"/>
        <v>#N/A</v>
      </c>
      <c r="P80" s="16">
        <v>6.9444444444444397E-3</v>
      </c>
      <c r="Q80" s="16"/>
      <c r="R80" s="16">
        <f t="shared" si="13"/>
        <v>-6.9444444444444397E-3</v>
      </c>
      <c r="S80" s="16"/>
      <c r="T80" s="16" t="e">
        <f>VLOOKUP(E80,'[2]21-3-2026'!E$3:T$35,16,FALSE)</f>
        <v>#N/A</v>
      </c>
      <c r="U80" s="16"/>
      <c r="V80" s="16" t="e">
        <f t="shared" si="14"/>
        <v>#N/A</v>
      </c>
      <c r="W80" s="16"/>
      <c r="X80" s="16"/>
      <c r="Y80" s="16"/>
      <c r="Z80" s="16">
        <f t="shared" si="15"/>
        <v>0</v>
      </c>
      <c r="AA80" s="16">
        <f t="shared" si="9"/>
        <v>0</v>
      </c>
      <c r="AB80" s="16"/>
      <c r="AC80" s="17"/>
      <c r="AD80" s="51"/>
    </row>
    <row r="81" spans="1:30" ht="19.5" thickBot="1" x14ac:dyDescent="0.3">
      <c r="A81" s="14">
        <v>14</v>
      </c>
      <c r="B81" s="15"/>
      <c r="C81" s="15" t="e">
        <f>VLOOKUP(B81,داتا!$B$3:$D$107,2,FALSE)</f>
        <v>#N/A</v>
      </c>
      <c r="D81" s="34" t="e">
        <f>VLOOKUP(B81,داتا!$B$3:$D$107,3,FALSE)</f>
        <v>#N/A</v>
      </c>
      <c r="E81" s="15"/>
      <c r="F81" s="15"/>
      <c r="G81" s="16">
        <v>8.3333333333333329E-2</v>
      </c>
      <c r="H81" s="16" t="e">
        <f t="shared" si="16"/>
        <v>#N/A</v>
      </c>
      <c r="I81" s="16" t="e">
        <f t="shared" si="10"/>
        <v>#N/A</v>
      </c>
      <c r="J81" s="16"/>
      <c r="K81" s="16"/>
      <c r="L81" s="16"/>
      <c r="M81" s="16"/>
      <c r="N81" s="16">
        <f t="shared" si="11"/>
        <v>0</v>
      </c>
      <c r="O81" s="16" t="e">
        <f t="shared" si="12"/>
        <v>#N/A</v>
      </c>
      <c r="P81" s="16">
        <v>6.9444444444444397E-3</v>
      </c>
      <c r="Q81" s="16"/>
      <c r="R81" s="16">
        <f t="shared" si="13"/>
        <v>-6.9444444444444397E-3</v>
      </c>
      <c r="S81" s="16"/>
      <c r="T81" s="16" t="e">
        <f>VLOOKUP(E81,'[2]21-3-2026'!E$3:T$35,16,FALSE)</f>
        <v>#N/A</v>
      </c>
      <c r="U81" s="16"/>
      <c r="V81" s="16" t="e">
        <f t="shared" si="14"/>
        <v>#N/A</v>
      </c>
      <c r="W81" s="16"/>
      <c r="X81" s="16"/>
      <c r="Y81" s="16"/>
      <c r="Z81" s="16">
        <f t="shared" si="15"/>
        <v>0</v>
      </c>
      <c r="AA81" s="16">
        <f t="shared" si="9"/>
        <v>0</v>
      </c>
      <c r="AB81" s="16"/>
      <c r="AC81" s="17"/>
      <c r="AD81" s="51"/>
    </row>
    <row r="82" spans="1:30" ht="19.5" thickBot="1" x14ac:dyDescent="0.3">
      <c r="A82" s="14">
        <v>15</v>
      </c>
      <c r="B82" s="15"/>
      <c r="C82" s="15" t="e">
        <f>VLOOKUP(B82,داتا!$B$3:$D$107,2,FALSE)</f>
        <v>#N/A</v>
      </c>
      <c r="D82" s="34" t="e">
        <f>VLOOKUP(B82,داتا!$B$3:$D$107,3,FALSE)</f>
        <v>#N/A</v>
      </c>
      <c r="E82" s="15"/>
      <c r="F82" s="15"/>
      <c r="G82" s="16">
        <v>8.3333333333333329E-2</v>
      </c>
      <c r="H82" s="16" t="e">
        <f t="shared" si="16"/>
        <v>#N/A</v>
      </c>
      <c r="I82" s="16" t="e">
        <f t="shared" si="10"/>
        <v>#N/A</v>
      </c>
      <c r="J82" s="16"/>
      <c r="K82" s="16"/>
      <c r="L82" s="16"/>
      <c r="M82" s="16"/>
      <c r="N82" s="16">
        <f t="shared" si="11"/>
        <v>0</v>
      </c>
      <c r="O82" s="16" t="e">
        <f t="shared" si="12"/>
        <v>#N/A</v>
      </c>
      <c r="P82" s="16">
        <v>6.9444444444444397E-3</v>
      </c>
      <c r="Q82" s="16"/>
      <c r="R82" s="16">
        <f t="shared" si="13"/>
        <v>-6.9444444444444397E-3</v>
      </c>
      <c r="S82" s="16"/>
      <c r="T82" s="16" t="e">
        <f>VLOOKUP(E82,'[2]21-3-2026'!E$3:T$35,16,FALSE)</f>
        <v>#N/A</v>
      </c>
      <c r="U82" s="16"/>
      <c r="V82" s="16" t="e">
        <f t="shared" si="14"/>
        <v>#N/A</v>
      </c>
      <c r="W82" s="16"/>
      <c r="X82" s="16"/>
      <c r="Y82" s="16"/>
      <c r="Z82" s="16">
        <f t="shared" si="15"/>
        <v>0</v>
      </c>
      <c r="AA82" s="16">
        <f t="shared" si="9"/>
        <v>0</v>
      </c>
      <c r="AB82" s="16"/>
      <c r="AC82" s="17"/>
      <c r="AD82" s="51"/>
    </row>
    <row r="83" spans="1:30" ht="19.5" thickBot="1" x14ac:dyDescent="0.3">
      <c r="A83" s="14">
        <v>16</v>
      </c>
      <c r="B83" s="15"/>
      <c r="C83" s="15" t="e">
        <f>VLOOKUP(B83,داتا!$B$3:$D$107,2,FALSE)</f>
        <v>#N/A</v>
      </c>
      <c r="D83" s="34" t="e">
        <f>VLOOKUP(B83,داتا!$B$3:$D$107,3,FALSE)</f>
        <v>#N/A</v>
      </c>
      <c r="E83" s="15"/>
      <c r="F83" s="15"/>
      <c r="G83" s="16">
        <v>8.3333333333333329E-2</v>
      </c>
      <c r="H83" s="16" t="e">
        <f t="shared" si="16"/>
        <v>#N/A</v>
      </c>
      <c r="I83" s="16" t="e">
        <f t="shared" si="10"/>
        <v>#N/A</v>
      </c>
      <c r="J83" s="16"/>
      <c r="K83" s="16"/>
      <c r="L83" s="16"/>
      <c r="M83" s="16"/>
      <c r="N83" s="16">
        <f t="shared" si="11"/>
        <v>0</v>
      </c>
      <c r="O83" s="16" t="e">
        <f t="shared" si="12"/>
        <v>#N/A</v>
      </c>
      <c r="P83" s="16">
        <v>6.9444444444444397E-3</v>
      </c>
      <c r="Q83" s="16"/>
      <c r="R83" s="16">
        <f t="shared" si="13"/>
        <v>-6.9444444444444397E-3</v>
      </c>
      <c r="S83" s="16"/>
      <c r="T83" s="16" t="e">
        <f>VLOOKUP(E83,'[2]21-3-2026'!E$3:T$35,16,FALSE)</f>
        <v>#N/A</v>
      </c>
      <c r="U83" s="16"/>
      <c r="V83" s="16" t="e">
        <f t="shared" si="14"/>
        <v>#N/A</v>
      </c>
      <c r="W83" s="16"/>
      <c r="X83" s="16"/>
      <c r="Y83" s="16"/>
      <c r="Z83" s="16">
        <f t="shared" si="15"/>
        <v>0</v>
      </c>
      <c r="AA83" s="16">
        <f t="shared" si="9"/>
        <v>0</v>
      </c>
      <c r="AB83" s="16"/>
      <c r="AC83" s="17"/>
      <c r="AD83" s="51"/>
    </row>
    <row r="84" spans="1:30" ht="19.5" thickBot="1" x14ac:dyDescent="0.3">
      <c r="A84" s="14">
        <v>17</v>
      </c>
      <c r="B84" s="15"/>
      <c r="C84" s="15" t="e">
        <f>VLOOKUP(B84,داتا!$B$3:$D$107,2,FALSE)</f>
        <v>#N/A</v>
      </c>
      <c r="D84" s="34" t="e">
        <f>VLOOKUP(B84,داتا!$B$3:$D$107,3,FALSE)</f>
        <v>#N/A</v>
      </c>
      <c r="E84" s="15"/>
      <c r="F84" s="15"/>
      <c r="G84" s="16">
        <v>8.3333333333333329E-2</v>
      </c>
      <c r="H84" s="16" t="e">
        <f t="shared" si="16"/>
        <v>#N/A</v>
      </c>
      <c r="I84" s="16" t="e">
        <f t="shared" si="10"/>
        <v>#N/A</v>
      </c>
      <c r="J84" s="16"/>
      <c r="K84" s="16"/>
      <c r="L84" s="16"/>
      <c r="M84" s="16"/>
      <c r="N84" s="16">
        <f t="shared" si="11"/>
        <v>0</v>
      </c>
      <c r="O84" s="16" t="e">
        <f t="shared" si="12"/>
        <v>#N/A</v>
      </c>
      <c r="P84" s="16">
        <v>6.9444444444444397E-3</v>
      </c>
      <c r="Q84" s="16"/>
      <c r="R84" s="16">
        <f t="shared" si="13"/>
        <v>-6.9444444444444397E-3</v>
      </c>
      <c r="S84" s="16"/>
      <c r="T84" s="16" t="e">
        <f>VLOOKUP(E84,'[2]21-3-2026'!E$3:T$35,16,FALSE)</f>
        <v>#N/A</v>
      </c>
      <c r="U84" s="16"/>
      <c r="V84" s="16" t="e">
        <f t="shared" si="14"/>
        <v>#N/A</v>
      </c>
      <c r="W84" s="16"/>
      <c r="X84" s="16"/>
      <c r="Y84" s="16"/>
      <c r="Z84" s="16">
        <f t="shared" si="15"/>
        <v>0</v>
      </c>
      <c r="AA84" s="16">
        <f t="shared" si="9"/>
        <v>0</v>
      </c>
      <c r="AB84" s="16"/>
      <c r="AC84" s="17"/>
      <c r="AD84" s="51"/>
    </row>
    <row r="85" spans="1:30" ht="19.5" thickBot="1" x14ac:dyDescent="0.3">
      <c r="A85" s="14">
        <v>18</v>
      </c>
      <c r="B85" s="15"/>
      <c r="C85" s="15" t="e">
        <f>VLOOKUP(B85,داتا!$B$3:$D$107,2,FALSE)</f>
        <v>#N/A</v>
      </c>
      <c r="D85" s="34" t="e">
        <f>VLOOKUP(B85,داتا!$B$3:$D$107,3,FALSE)</f>
        <v>#N/A</v>
      </c>
      <c r="E85" s="15"/>
      <c r="F85" s="15"/>
      <c r="G85" s="16">
        <v>8.3333333333333329E-2</v>
      </c>
      <c r="H85" s="16" t="e">
        <f t="shared" ref="H85:H99" si="17">VLOOKUP(G85,$F$3:$I$35,2,FALSE)</f>
        <v>#N/A</v>
      </c>
      <c r="I85" s="16" t="e">
        <f t="shared" si="10"/>
        <v>#N/A</v>
      </c>
      <c r="J85" s="16"/>
      <c r="K85" s="16"/>
      <c r="L85" s="16"/>
      <c r="M85" s="16"/>
      <c r="N85" s="16">
        <f t="shared" si="11"/>
        <v>0</v>
      </c>
      <c r="O85" s="16" t="e">
        <f t="shared" si="12"/>
        <v>#N/A</v>
      </c>
      <c r="P85" s="16">
        <v>6.9444444444444397E-3</v>
      </c>
      <c r="Q85" s="16"/>
      <c r="R85" s="16">
        <f t="shared" si="13"/>
        <v>-6.9444444444444397E-3</v>
      </c>
      <c r="S85" s="16"/>
      <c r="T85" s="16" t="e">
        <f>VLOOKUP(E85,'[2]21-3-2026'!E$3:T$35,16,FALSE)</f>
        <v>#N/A</v>
      </c>
      <c r="U85" s="16"/>
      <c r="V85" s="16" t="e">
        <f t="shared" si="14"/>
        <v>#N/A</v>
      </c>
      <c r="W85" s="16"/>
      <c r="X85" s="16"/>
      <c r="Y85" s="16"/>
      <c r="Z85" s="16">
        <f t="shared" si="15"/>
        <v>0</v>
      </c>
      <c r="AA85" s="16">
        <f t="shared" si="9"/>
        <v>0</v>
      </c>
      <c r="AB85" s="16"/>
      <c r="AC85" s="17"/>
      <c r="AD85" s="51"/>
    </row>
    <row r="86" spans="1:30" ht="19.5" thickBot="1" x14ac:dyDescent="0.3">
      <c r="A86" s="14">
        <v>19</v>
      </c>
      <c r="B86" s="15"/>
      <c r="C86" s="15" t="e">
        <f>VLOOKUP(B86,داتا!$B$3:$D$107,2,FALSE)</f>
        <v>#N/A</v>
      </c>
      <c r="D86" s="34" t="e">
        <f>VLOOKUP(B86,داتا!$B$3:$D$107,3,FALSE)</f>
        <v>#N/A</v>
      </c>
      <c r="E86" s="15"/>
      <c r="F86" s="15"/>
      <c r="G86" s="16">
        <v>8.3333333333333329E-2</v>
      </c>
      <c r="H86" s="16" t="e">
        <f t="shared" si="17"/>
        <v>#N/A</v>
      </c>
      <c r="I86" s="16" t="e">
        <f t="shared" si="10"/>
        <v>#N/A</v>
      </c>
      <c r="J86" s="16"/>
      <c r="K86" s="16"/>
      <c r="L86" s="16"/>
      <c r="M86" s="16"/>
      <c r="N86" s="16">
        <f t="shared" si="11"/>
        <v>0</v>
      </c>
      <c r="O86" s="16" t="e">
        <f t="shared" si="12"/>
        <v>#N/A</v>
      </c>
      <c r="P86" s="16">
        <v>6.9444444444444397E-3</v>
      </c>
      <c r="Q86" s="16"/>
      <c r="R86" s="16">
        <f t="shared" si="13"/>
        <v>-6.9444444444444397E-3</v>
      </c>
      <c r="S86" s="16"/>
      <c r="T86" s="16" t="e">
        <f>VLOOKUP(E86,'[2]21-3-2026'!E$3:T$35,16,FALSE)</f>
        <v>#N/A</v>
      </c>
      <c r="U86" s="16"/>
      <c r="V86" s="16" t="e">
        <f t="shared" si="14"/>
        <v>#N/A</v>
      </c>
      <c r="W86" s="16"/>
      <c r="X86" s="16"/>
      <c r="Y86" s="16"/>
      <c r="Z86" s="16">
        <f t="shared" si="15"/>
        <v>0</v>
      </c>
      <c r="AA86" s="16">
        <f t="shared" si="9"/>
        <v>0</v>
      </c>
      <c r="AB86" s="16"/>
      <c r="AC86" s="17"/>
      <c r="AD86" s="51"/>
    </row>
    <row r="87" spans="1:30" ht="19.5" thickBot="1" x14ac:dyDescent="0.3">
      <c r="A87" s="14">
        <v>20</v>
      </c>
      <c r="B87" s="15"/>
      <c r="C87" s="15" t="e">
        <f>VLOOKUP(B87,داتا!$B$3:$D$107,2,FALSE)</f>
        <v>#N/A</v>
      </c>
      <c r="D87" s="34" t="e">
        <f>VLOOKUP(B87,داتا!$B$3:$D$107,3,FALSE)</f>
        <v>#N/A</v>
      </c>
      <c r="E87" s="15"/>
      <c r="F87" s="15"/>
      <c r="G87" s="16">
        <v>8.3333333333333329E-2</v>
      </c>
      <c r="H87" s="16" t="e">
        <f t="shared" si="17"/>
        <v>#N/A</v>
      </c>
      <c r="I87" s="16" t="e">
        <f t="shared" si="10"/>
        <v>#N/A</v>
      </c>
      <c r="J87" s="16"/>
      <c r="K87" s="16"/>
      <c r="L87" s="16"/>
      <c r="M87" s="16"/>
      <c r="N87" s="16">
        <f t="shared" si="11"/>
        <v>0</v>
      </c>
      <c r="O87" s="16" t="e">
        <f t="shared" si="12"/>
        <v>#N/A</v>
      </c>
      <c r="P87" s="16">
        <v>6.9444444444444397E-3</v>
      </c>
      <c r="Q87" s="16"/>
      <c r="R87" s="16">
        <f t="shared" si="13"/>
        <v>-6.9444444444444397E-3</v>
      </c>
      <c r="S87" s="16"/>
      <c r="T87" s="16" t="e">
        <f>VLOOKUP(E87,'[2]21-3-2026'!E$3:T$35,16,FALSE)</f>
        <v>#N/A</v>
      </c>
      <c r="U87" s="16"/>
      <c r="V87" s="16" t="e">
        <f t="shared" si="14"/>
        <v>#N/A</v>
      </c>
      <c r="W87" s="16"/>
      <c r="X87" s="16"/>
      <c r="Y87" s="16"/>
      <c r="Z87" s="16">
        <f t="shared" si="15"/>
        <v>0</v>
      </c>
      <c r="AA87" s="16">
        <f t="shared" si="9"/>
        <v>0</v>
      </c>
      <c r="AB87" s="16"/>
      <c r="AC87" s="17"/>
      <c r="AD87" s="51"/>
    </row>
    <row r="88" spans="1:30" ht="19.5" thickBot="1" x14ac:dyDescent="0.3">
      <c r="A88" s="14">
        <v>21</v>
      </c>
      <c r="B88" s="15"/>
      <c r="C88" s="15" t="e">
        <f>VLOOKUP(B88,داتا!$B$3:$D$107,2,FALSE)</f>
        <v>#N/A</v>
      </c>
      <c r="D88" s="34" t="e">
        <f>VLOOKUP(B88,داتا!$B$3:$D$107,3,FALSE)</f>
        <v>#N/A</v>
      </c>
      <c r="E88" s="15"/>
      <c r="F88" s="15"/>
      <c r="G88" s="16">
        <v>8.3333333333333329E-2</v>
      </c>
      <c r="H88" s="16" t="e">
        <f t="shared" si="17"/>
        <v>#N/A</v>
      </c>
      <c r="I88" s="16" t="e">
        <f t="shared" si="10"/>
        <v>#N/A</v>
      </c>
      <c r="J88" s="16"/>
      <c r="K88" s="16"/>
      <c r="L88" s="16"/>
      <c r="M88" s="16"/>
      <c r="N88" s="16">
        <f t="shared" si="11"/>
        <v>0</v>
      </c>
      <c r="O88" s="16" t="e">
        <f t="shared" si="12"/>
        <v>#N/A</v>
      </c>
      <c r="P88" s="16">
        <v>6.9444444444444397E-3</v>
      </c>
      <c r="Q88" s="16"/>
      <c r="R88" s="16">
        <f t="shared" si="13"/>
        <v>-6.9444444444444397E-3</v>
      </c>
      <c r="S88" s="16"/>
      <c r="T88" s="16" t="e">
        <f>VLOOKUP(E88,'[2]21-3-2026'!E$3:T$35,16,FALSE)</f>
        <v>#N/A</v>
      </c>
      <c r="U88" s="16"/>
      <c r="V88" s="16" t="e">
        <f t="shared" si="14"/>
        <v>#N/A</v>
      </c>
      <c r="W88" s="16"/>
      <c r="X88" s="16"/>
      <c r="Y88" s="16"/>
      <c r="Z88" s="16">
        <f t="shared" si="15"/>
        <v>0</v>
      </c>
      <c r="AA88" s="16">
        <f t="shared" si="9"/>
        <v>0</v>
      </c>
      <c r="AB88" s="16"/>
      <c r="AC88" s="19"/>
      <c r="AD88" s="51"/>
    </row>
    <row r="89" spans="1:30" ht="19.5" thickBot="1" x14ac:dyDescent="0.3">
      <c r="A89" s="14">
        <v>22</v>
      </c>
      <c r="B89" s="15"/>
      <c r="C89" s="15" t="e">
        <f>VLOOKUP(B89,داتا!$B$3:$D$107,2,FALSE)</f>
        <v>#N/A</v>
      </c>
      <c r="D89" s="34" t="e">
        <f>VLOOKUP(B89,داتا!$B$3:$D$107,3,FALSE)</f>
        <v>#N/A</v>
      </c>
      <c r="E89" s="15"/>
      <c r="F89" s="15"/>
      <c r="G89" s="16">
        <v>8.3333333333333329E-2</v>
      </c>
      <c r="H89" s="16" t="e">
        <f t="shared" si="17"/>
        <v>#N/A</v>
      </c>
      <c r="I89" s="16" t="e">
        <f t="shared" si="10"/>
        <v>#N/A</v>
      </c>
      <c r="J89" s="16"/>
      <c r="K89" s="16"/>
      <c r="L89" s="16"/>
      <c r="M89" s="16"/>
      <c r="N89" s="16">
        <f t="shared" si="11"/>
        <v>0</v>
      </c>
      <c r="O89" s="16" t="e">
        <f t="shared" si="12"/>
        <v>#N/A</v>
      </c>
      <c r="P89" s="16">
        <v>6.9444444444444397E-3</v>
      </c>
      <c r="Q89" s="16"/>
      <c r="R89" s="16">
        <f t="shared" si="13"/>
        <v>-6.9444444444444397E-3</v>
      </c>
      <c r="S89" s="16"/>
      <c r="T89" s="16" t="e">
        <f>VLOOKUP(E89,'[2]21-3-2026'!E$3:T$35,16,FALSE)</f>
        <v>#N/A</v>
      </c>
      <c r="U89" s="16"/>
      <c r="V89" s="16" t="e">
        <f t="shared" si="14"/>
        <v>#N/A</v>
      </c>
      <c r="W89" s="16"/>
      <c r="X89" s="16"/>
      <c r="Y89" s="16"/>
      <c r="Z89" s="16">
        <f t="shared" si="15"/>
        <v>0</v>
      </c>
      <c r="AA89" s="16">
        <f t="shared" si="9"/>
        <v>0</v>
      </c>
      <c r="AB89" s="16"/>
      <c r="AC89" s="19"/>
      <c r="AD89" s="51"/>
    </row>
    <row r="90" spans="1:30" ht="19.5" thickBot="1" x14ac:dyDescent="0.3">
      <c r="A90" s="14">
        <v>23</v>
      </c>
      <c r="B90" s="15"/>
      <c r="C90" s="15" t="e">
        <f>VLOOKUP(B90,داتا!$B$3:$D$107,2,FALSE)</f>
        <v>#N/A</v>
      </c>
      <c r="D90" s="34" t="e">
        <f>VLOOKUP(B90,داتا!$B$3:$D$107,3,FALSE)</f>
        <v>#N/A</v>
      </c>
      <c r="E90" s="15"/>
      <c r="F90" s="15"/>
      <c r="G90" s="16">
        <v>8.3333333333333329E-2</v>
      </c>
      <c r="H90" s="16" t="e">
        <f t="shared" si="17"/>
        <v>#N/A</v>
      </c>
      <c r="I90" s="16" t="e">
        <f t="shared" si="10"/>
        <v>#N/A</v>
      </c>
      <c r="J90" s="16"/>
      <c r="K90" s="16"/>
      <c r="L90" s="16"/>
      <c r="M90" s="16"/>
      <c r="N90" s="16">
        <f t="shared" si="11"/>
        <v>0</v>
      </c>
      <c r="O90" s="16" t="e">
        <f t="shared" si="12"/>
        <v>#N/A</v>
      </c>
      <c r="P90" s="16">
        <v>6.9444444444444397E-3</v>
      </c>
      <c r="Q90" s="16"/>
      <c r="R90" s="16">
        <f t="shared" si="13"/>
        <v>-6.9444444444444397E-3</v>
      </c>
      <c r="S90" s="16"/>
      <c r="T90" s="16" t="e">
        <f>VLOOKUP(E90,'[2]21-3-2026'!E$3:T$35,16,FALSE)</f>
        <v>#N/A</v>
      </c>
      <c r="U90" s="16"/>
      <c r="V90" s="16" t="e">
        <f t="shared" si="14"/>
        <v>#N/A</v>
      </c>
      <c r="W90" s="16"/>
      <c r="X90" s="16"/>
      <c r="Y90" s="16"/>
      <c r="Z90" s="16">
        <f t="shared" si="15"/>
        <v>0</v>
      </c>
      <c r="AA90" s="16">
        <f t="shared" si="9"/>
        <v>0</v>
      </c>
      <c r="AB90" s="16"/>
      <c r="AC90" s="19"/>
      <c r="AD90" s="51"/>
    </row>
    <row r="91" spans="1:30" ht="19.5" thickBot="1" x14ac:dyDescent="0.3">
      <c r="A91" s="14">
        <v>24</v>
      </c>
      <c r="B91" s="15"/>
      <c r="C91" s="15" t="e">
        <f>VLOOKUP(B91,داتا!$B$3:$D$107,2,FALSE)</f>
        <v>#N/A</v>
      </c>
      <c r="D91" s="34" t="e">
        <f>VLOOKUP(B91,داتا!$B$3:$D$107,3,FALSE)</f>
        <v>#N/A</v>
      </c>
      <c r="E91" s="15"/>
      <c r="F91" s="15"/>
      <c r="G91" s="16">
        <v>8.3333333333333329E-2</v>
      </c>
      <c r="H91" s="16" t="e">
        <f t="shared" si="17"/>
        <v>#N/A</v>
      </c>
      <c r="I91" s="16" t="e">
        <f t="shared" si="10"/>
        <v>#N/A</v>
      </c>
      <c r="J91" s="16"/>
      <c r="K91" s="16"/>
      <c r="L91" s="16"/>
      <c r="M91" s="16"/>
      <c r="N91" s="16">
        <f t="shared" si="11"/>
        <v>0</v>
      </c>
      <c r="O91" s="16" t="e">
        <f t="shared" si="12"/>
        <v>#N/A</v>
      </c>
      <c r="P91" s="16">
        <v>6.9444444444444397E-3</v>
      </c>
      <c r="Q91" s="16"/>
      <c r="R91" s="16">
        <f t="shared" si="13"/>
        <v>-6.9444444444444397E-3</v>
      </c>
      <c r="S91" s="16"/>
      <c r="T91" s="16" t="e">
        <f>VLOOKUP(E91,'[2]21-3-2026'!E$3:T$35,16,FALSE)</f>
        <v>#N/A</v>
      </c>
      <c r="U91" s="16"/>
      <c r="V91" s="16" t="e">
        <f t="shared" si="14"/>
        <v>#N/A</v>
      </c>
      <c r="W91" s="16"/>
      <c r="X91" s="16"/>
      <c r="Y91" s="16"/>
      <c r="Z91" s="16">
        <f t="shared" si="15"/>
        <v>0</v>
      </c>
      <c r="AA91" s="16">
        <f t="shared" si="9"/>
        <v>0</v>
      </c>
      <c r="AB91" s="16"/>
      <c r="AC91" s="19"/>
      <c r="AD91" s="51"/>
    </row>
    <row r="92" spans="1:30" ht="19.5" thickBot="1" x14ac:dyDescent="0.3">
      <c r="A92" s="14">
        <v>25</v>
      </c>
      <c r="B92" s="15"/>
      <c r="C92" s="15" t="e">
        <f>VLOOKUP(B92,داتا!$B$3:$D$107,2,FALSE)</f>
        <v>#N/A</v>
      </c>
      <c r="D92" s="34" t="e">
        <f>VLOOKUP(B92,داتا!$B$3:$D$107,3,FALSE)</f>
        <v>#N/A</v>
      </c>
      <c r="E92" s="15"/>
      <c r="F92" s="15"/>
      <c r="G92" s="16">
        <v>8.3333333333333329E-2</v>
      </c>
      <c r="H92" s="16" t="e">
        <f t="shared" si="17"/>
        <v>#N/A</v>
      </c>
      <c r="I92" s="16" t="e">
        <f t="shared" si="10"/>
        <v>#N/A</v>
      </c>
      <c r="J92" s="16"/>
      <c r="K92" s="16"/>
      <c r="L92" s="16"/>
      <c r="M92" s="16"/>
      <c r="N92" s="16">
        <f t="shared" si="11"/>
        <v>0</v>
      </c>
      <c r="O92" s="16" t="e">
        <f t="shared" si="12"/>
        <v>#N/A</v>
      </c>
      <c r="P92" s="16">
        <v>6.9444444444444397E-3</v>
      </c>
      <c r="Q92" s="16"/>
      <c r="R92" s="16">
        <f t="shared" si="13"/>
        <v>-6.9444444444444397E-3</v>
      </c>
      <c r="S92" s="16"/>
      <c r="T92" s="16" t="e">
        <f>VLOOKUP(E92,'[2]21-3-2026'!E$3:T$35,16,FALSE)</f>
        <v>#N/A</v>
      </c>
      <c r="U92" s="16"/>
      <c r="V92" s="16" t="e">
        <f t="shared" si="14"/>
        <v>#N/A</v>
      </c>
      <c r="W92" s="16"/>
      <c r="X92" s="16"/>
      <c r="Y92" s="16"/>
      <c r="Z92" s="16">
        <f t="shared" si="15"/>
        <v>0</v>
      </c>
      <c r="AA92" s="16">
        <f t="shared" si="9"/>
        <v>0</v>
      </c>
      <c r="AB92" s="16"/>
      <c r="AC92" s="19"/>
      <c r="AD92" s="51"/>
    </row>
    <row r="93" spans="1:30" ht="19.5" thickBot="1" x14ac:dyDescent="0.3">
      <c r="A93" s="14">
        <v>26</v>
      </c>
      <c r="B93" s="15"/>
      <c r="C93" s="15" t="e">
        <f>VLOOKUP(B93,داتا!$B$3:$D$107,2,FALSE)</f>
        <v>#N/A</v>
      </c>
      <c r="D93" s="34" t="e">
        <f>VLOOKUP(B93,داتا!$B$3:$D$107,3,FALSE)</f>
        <v>#N/A</v>
      </c>
      <c r="E93" s="15"/>
      <c r="F93" s="15"/>
      <c r="G93" s="16">
        <v>8.3333333333333329E-2</v>
      </c>
      <c r="H93" s="16" t="e">
        <f t="shared" si="17"/>
        <v>#N/A</v>
      </c>
      <c r="I93" s="16" t="e">
        <f t="shared" si="10"/>
        <v>#N/A</v>
      </c>
      <c r="J93" s="16"/>
      <c r="K93" s="16"/>
      <c r="L93" s="16"/>
      <c r="M93" s="16"/>
      <c r="N93" s="16">
        <f t="shared" si="11"/>
        <v>0</v>
      </c>
      <c r="O93" s="16" t="e">
        <f t="shared" si="12"/>
        <v>#N/A</v>
      </c>
      <c r="P93" s="16">
        <v>6.9444444444444397E-3</v>
      </c>
      <c r="Q93" s="16"/>
      <c r="R93" s="16">
        <f t="shared" si="13"/>
        <v>-6.9444444444444397E-3</v>
      </c>
      <c r="S93" s="16"/>
      <c r="T93" s="16" t="e">
        <f>VLOOKUP(E93,'[2]21-3-2026'!E$3:T$35,16,FALSE)</f>
        <v>#N/A</v>
      </c>
      <c r="U93" s="16"/>
      <c r="V93" s="16" t="e">
        <f t="shared" si="14"/>
        <v>#N/A</v>
      </c>
      <c r="W93" s="16"/>
      <c r="X93" s="16"/>
      <c r="Y93" s="16"/>
      <c r="Z93" s="16">
        <f t="shared" si="15"/>
        <v>0</v>
      </c>
      <c r="AA93" s="16">
        <f t="shared" si="9"/>
        <v>0</v>
      </c>
      <c r="AB93" s="16"/>
      <c r="AC93" s="19"/>
      <c r="AD93" s="51"/>
    </row>
    <row r="94" spans="1:30" ht="19.5" thickBot="1" x14ac:dyDescent="0.3">
      <c r="A94" s="14">
        <v>27</v>
      </c>
      <c r="B94" s="15"/>
      <c r="C94" s="15" t="e">
        <f>VLOOKUP(B94,داتا!$B$3:$D$107,2,FALSE)</f>
        <v>#N/A</v>
      </c>
      <c r="D94" s="34" t="e">
        <f>VLOOKUP(B94,داتا!$B$3:$D$107,3,FALSE)</f>
        <v>#N/A</v>
      </c>
      <c r="E94" s="15"/>
      <c r="F94" s="15"/>
      <c r="G94" s="16">
        <v>8.3333333333333329E-2</v>
      </c>
      <c r="H94" s="16" t="e">
        <f t="shared" si="17"/>
        <v>#N/A</v>
      </c>
      <c r="I94" s="16" t="e">
        <f t="shared" si="10"/>
        <v>#N/A</v>
      </c>
      <c r="J94" s="16"/>
      <c r="K94" s="16"/>
      <c r="L94" s="16"/>
      <c r="M94" s="16"/>
      <c r="N94" s="16">
        <f t="shared" si="11"/>
        <v>0</v>
      </c>
      <c r="O94" s="16" t="e">
        <f t="shared" si="12"/>
        <v>#N/A</v>
      </c>
      <c r="P94" s="16">
        <v>6.9444444444444397E-3</v>
      </c>
      <c r="Q94" s="16"/>
      <c r="R94" s="16">
        <f t="shared" si="13"/>
        <v>-6.9444444444444397E-3</v>
      </c>
      <c r="S94" s="16"/>
      <c r="T94" s="16" t="e">
        <f>VLOOKUP(E94,'[2]21-3-2026'!E$3:T$35,16,FALSE)</f>
        <v>#N/A</v>
      </c>
      <c r="U94" s="16"/>
      <c r="V94" s="16" t="e">
        <f t="shared" si="14"/>
        <v>#N/A</v>
      </c>
      <c r="W94" s="16"/>
      <c r="X94" s="16"/>
      <c r="Y94" s="16"/>
      <c r="Z94" s="16">
        <f t="shared" si="15"/>
        <v>0</v>
      </c>
      <c r="AA94" s="16">
        <f t="shared" si="9"/>
        <v>0</v>
      </c>
      <c r="AB94" s="16"/>
      <c r="AC94" s="19"/>
      <c r="AD94" s="51"/>
    </row>
    <row r="95" spans="1:30" ht="19.5" thickBot="1" x14ac:dyDescent="0.3">
      <c r="A95" s="14">
        <v>28</v>
      </c>
      <c r="B95" s="15"/>
      <c r="C95" s="15" t="e">
        <f>VLOOKUP(B95,داتا!$B$3:$D$107,2,FALSE)</f>
        <v>#N/A</v>
      </c>
      <c r="D95" s="34" t="e">
        <f>VLOOKUP(B95,داتا!$B$3:$D$107,3,FALSE)</f>
        <v>#N/A</v>
      </c>
      <c r="E95" s="15"/>
      <c r="F95" s="16"/>
      <c r="G95" s="16">
        <v>8.3333333333333329E-2</v>
      </c>
      <c r="H95" s="16" t="e">
        <f t="shared" si="17"/>
        <v>#N/A</v>
      </c>
      <c r="I95" s="16" t="e">
        <f t="shared" si="10"/>
        <v>#N/A</v>
      </c>
      <c r="J95" s="16"/>
      <c r="K95" s="16"/>
      <c r="L95" s="16"/>
      <c r="M95" s="16"/>
      <c r="N95" s="16">
        <f t="shared" si="11"/>
        <v>0</v>
      </c>
      <c r="O95" s="16" t="e">
        <f t="shared" si="12"/>
        <v>#N/A</v>
      </c>
      <c r="P95" s="16">
        <v>6.9444444444444397E-3</v>
      </c>
      <c r="Q95" s="16"/>
      <c r="R95" s="16">
        <f t="shared" si="13"/>
        <v>-6.9444444444444397E-3</v>
      </c>
      <c r="S95" s="16"/>
      <c r="T95" s="16" t="e">
        <f>VLOOKUP(E95,'[2]21-3-2026'!E$3:T$35,16,FALSE)</f>
        <v>#N/A</v>
      </c>
      <c r="U95" s="16"/>
      <c r="V95" s="16" t="e">
        <f t="shared" si="14"/>
        <v>#N/A</v>
      </c>
      <c r="W95" s="16"/>
      <c r="X95" s="16"/>
      <c r="Y95" s="16"/>
      <c r="Z95" s="16">
        <f t="shared" si="15"/>
        <v>0</v>
      </c>
      <c r="AA95" s="16">
        <f t="shared" si="9"/>
        <v>0</v>
      </c>
      <c r="AB95" s="16"/>
      <c r="AC95" s="19"/>
      <c r="AD95" s="51"/>
    </row>
    <row r="96" spans="1:30" ht="19.5" thickBot="1" x14ac:dyDescent="0.3">
      <c r="A96" s="14">
        <v>29</v>
      </c>
      <c r="B96" s="15"/>
      <c r="C96" s="15" t="e">
        <f>VLOOKUP(B96,داتا!$B$3:$D$107,2,FALSE)</f>
        <v>#N/A</v>
      </c>
      <c r="D96" s="34" t="e">
        <f>VLOOKUP(B96,داتا!$B$3:$D$107,3,FALSE)</f>
        <v>#N/A</v>
      </c>
      <c r="E96" s="15"/>
      <c r="F96" s="16"/>
      <c r="G96" s="16">
        <v>8.3333333333333329E-2</v>
      </c>
      <c r="H96" s="16" t="e">
        <f t="shared" si="17"/>
        <v>#N/A</v>
      </c>
      <c r="I96" s="16" t="e">
        <f t="shared" si="10"/>
        <v>#N/A</v>
      </c>
      <c r="J96" s="16"/>
      <c r="K96" s="16"/>
      <c r="L96" s="16"/>
      <c r="M96" s="16"/>
      <c r="N96" s="16">
        <f t="shared" si="11"/>
        <v>0</v>
      </c>
      <c r="O96" s="16" t="e">
        <f t="shared" si="12"/>
        <v>#N/A</v>
      </c>
      <c r="P96" s="16">
        <v>6.9444444444444397E-3</v>
      </c>
      <c r="Q96" s="16"/>
      <c r="R96" s="16">
        <f t="shared" si="13"/>
        <v>-6.9444444444444397E-3</v>
      </c>
      <c r="S96" s="16"/>
      <c r="T96" s="16" t="e">
        <f>VLOOKUP(E96,'[2]21-3-2026'!E$3:T$35,16,FALSE)</f>
        <v>#N/A</v>
      </c>
      <c r="U96" s="16"/>
      <c r="V96" s="16" t="e">
        <f t="shared" si="14"/>
        <v>#N/A</v>
      </c>
      <c r="W96" s="16"/>
      <c r="X96" s="16"/>
      <c r="Y96" s="16"/>
      <c r="Z96" s="16">
        <f t="shared" si="15"/>
        <v>0</v>
      </c>
      <c r="AA96" s="16">
        <f t="shared" si="9"/>
        <v>0</v>
      </c>
      <c r="AB96" s="16"/>
      <c r="AC96" s="19"/>
      <c r="AD96" s="54"/>
    </row>
    <row r="97" spans="1:29" ht="19.5" thickBot="1" x14ac:dyDescent="0.3">
      <c r="A97" s="14">
        <v>30</v>
      </c>
      <c r="B97" s="15"/>
      <c r="C97" s="15" t="e">
        <f>VLOOKUP(B97,داتا!$B$3:$D$107,2,FALSE)</f>
        <v>#N/A</v>
      </c>
      <c r="D97" s="34" t="e">
        <f>VLOOKUP(B97,داتا!$B$3:$D$107,3,FALSE)</f>
        <v>#N/A</v>
      </c>
      <c r="E97" s="15"/>
      <c r="F97" s="16"/>
      <c r="G97" s="16">
        <v>8.3333333333333329E-2</v>
      </c>
      <c r="H97" s="16" t="e">
        <f t="shared" si="17"/>
        <v>#N/A</v>
      </c>
      <c r="I97" s="16" t="e">
        <f t="shared" si="10"/>
        <v>#N/A</v>
      </c>
      <c r="J97" s="16"/>
      <c r="K97" s="16"/>
      <c r="L97" s="16"/>
      <c r="M97" s="16"/>
      <c r="N97" s="16">
        <f t="shared" si="11"/>
        <v>0</v>
      </c>
      <c r="O97" s="16" t="e">
        <f t="shared" si="12"/>
        <v>#N/A</v>
      </c>
      <c r="P97" s="16">
        <v>6.9444444444444397E-3</v>
      </c>
      <c r="Q97" s="16"/>
      <c r="R97" s="16">
        <f t="shared" si="13"/>
        <v>-6.9444444444444397E-3</v>
      </c>
      <c r="S97" s="16"/>
      <c r="T97" s="16" t="e">
        <f>VLOOKUP(E97,'[2]21-3-2026'!E$3:T$35,16,FALSE)</f>
        <v>#N/A</v>
      </c>
      <c r="U97" s="16"/>
      <c r="V97" s="16" t="e">
        <f t="shared" si="14"/>
        <v>#N/A</v>
      </c>
      <c r="W97" s="16"/>
      <c r="X97" s="16"/>
      <c r="Y97" s="16"/>
      <c r="Z97" s="16">
        <f t="shared" si="15"/>
        <v>0</v>
      </c>
      <c r="AA97" s="16">
        <f t="shared" si="9"/>
        <v>0</v>
      </c>
      <c r="AB97" s="16"/>
      <c r="AC97" s="19"/>
    </row>
    <row r="98" spans="1:29" ht="19.5" thickBot="1" x14ac:dyDescent="0.3">
      <c r="A98" s="14">
        <v>31</v>
      </c>
      <c r="B98" s="15"/>
      <c r="C98" s="15" t="e">
        <f>VLOOKUP(B98,داتا!$B$3:$D$107,2,FALSE)</f>
        <v>#N/A</v>
      </c>
      <c r="D98" s="34" t="e">
        <f>VLOOKUP(B98,داتا!$B$3:$D$107,3,FALSE)</f>
        <v>#N/A</v>
      </c>
      <c r="E98" s="15"/>
      <c r="F98" s="16"/>
      <c r="G98" s="16">
        <v>8.3333333333333329E-2</v>
      </c>
      <c r="H98" s="16" t="e">
        <f t="shared" si="17"/>
        <v>#N/A</v>
      </c>
      <c r="I98" s="16" t="e">
        <f t="shared" si="10"/>
        <v>#N/A</v>
      </c>
      <c r="J98" s="16"/>
      <c r="K98" s="16"/>
      <c r="L98" s="16"/>
      <c r="M98" s="16"/>
      <c r="N98" s="16">
        <f t="shared" si="11"/>
        <v>0</v>
      </c>
      <c r="O98" s="16" t="e">
        <f t="shared" si="12"/>
        <v>#N/A</v>
      </c>
      <c r="P98" s="16">
        <v>6.9444444444444397E-3</v>
      </c>
      <c r="Q98" s="16"/>
      <c r="R98" s="16">
        <f t="shared" si="13"/>
        <v>-6.9444444444444397E-3</v>
      </c>
      <c r="S98" s="16"/>
      <c r="T98" s="16" t="e">
        <f>VLOOKUP(E98,'[2]21-3-2026'!E$3:T$35,16,FALSE)</f>
        <v>#N/A</v>
      </c>
      <c r="U98" s="16"/>
      <c r="V98" s="16" t="e">
        <f t="shared" si="14"/>
        <v>#N/A</v>
      </c>
      <c r="W98" s="16"/>
      <c r="X98" s="16"/>
      <c r="Y98" s="16"/>
      <c r="Z98" s="16">
        <f t="shared" si="15"/>
        <v>0</v>
      </c>
      <c r="AA98" s="16">
        <f t="shared" si="9"/>
        <v>0</v>
      </c>
      <c r="AB98" s="16"/>
      <c r="AC98" s="19"/>
    </row>
    <row r="99" spans="1:29" ht="19.5" thickBot="1" x14ac:dyDescent="0.3">
      <c r="A99" s="20">
        <v>32</v>
      </c>
      <c r="B99" s="21"/>
      <c r="C99" s="21" t="e">
        <f>VLOOKUP(B99,داتا!$B$3:$D$107,2,FALSE)</f>
        <v>#N/A</v>
      </c>
      <c r="D99" s="35" t="e">
        <f>VLOOKUP(B99,داتا!$B$3:$D$107,3,FALSE)</f>
        <v>#N/A</v>
      </c>
      <c r="E99" s="21"/>
      <c r="F99" s="22"/>
      <c r="G99" s="22">
        <v>8.3333333333333329E-2</v>
      </c>
      <c r="H99" s="22" t="e">
        <f t="shared" si="17"/>
        <v>#N/A</v>
      </c>
      <c r="I99" s="22" t="e">
        <f t="shared" si="10"/>
        <v>#N/A</v>
      </c>
      <c r="J99" s="22"/>
      <c r="K99" s="22"/>
      <c r="L99" s="22"/>
      <c r="M99" s="22"/>
      <c r="N99" s="22">
        <f t="shared" si="11"/>
        <v>0</v>
      </c>
      <c r="O99" s="22" t="e">
        <f t="shared" si="12"/>
        <v>#N/A</v>
      </c>
      <c r="P99" s="22">
        <v>6.9444444444444397E-3</v>
      </c>
      <c r="Q99" s="22"/>
      <c r="R99" s="22">
        <f t="shared" si="13"/>
        <v>-6.9444444444444397E-3</v>
      </c>
      <c r="S99" s="22"/>
      <c r="T99" s="22" t="e">
        <f>VLOOKUP(E99,'[2]21-3-2026'!E$3:T$35,16,FALSE)</f>
        <v>#N/A</v>
      </c>
      <c r="U99" s="22"/>
      <c r="V99" s="22" t="e">
        <f t="shared" si="14"/>
        <v>#N/A</v>
      </c>
      <c r="W99" s="22"/>
      <c r="X99" s="22"/>
      <c r="Y99" s="22"/>
      <c r="Z99" s="22">
        <f t="shared" si="15"/>
        <v>0</v>
      </c>
      <c r="AA99" s="22">
        <f t="shared" si="9"/>
        <v>0</v>
      </c>
      <c r="AB99" s="22"/>
      <c r="AC99" s="30"/>
    </row>
    <row r="100" spans="1:29" ht="16.5" thickTop="1" x14ac:dyDescent="0.25"/>
  </sheetData>
  <mergeCells count="4">
    <mergeCell ref="A1:AC1"/>
    <mergeCell ref="AD3:AD35"/>
    <mergeCell ref="AD36:AD67"/>
    <mergeCell ref="AD68:AD96"/>
  </mergeCells>
  <conditionalFormatting sqref="AC1:AC96 AC100:AC1048576">
    <cfRule type="containsText" dxfId="104" priority="14" operator="containsText" text="ت">
      <formula>NOT(ISERROR(SEARCH("ت",AC1)))</formula>
    </cfRule>
  </conditionalFormatting>
  <conditionalFormatting sqref="AC4:AC96">
    <cfRule type="containsText" dxfId="103" priority="13" operator="containsText" text="ت">
      <formula>NOT(ISERROR(SEARCH("ت",AC4)))</formula>
    </cfRule>
  </conditionalFormatting>
  <conditionalFormatting sqref="O1:O2 I1:I2 R1:R2 V1:V2 AA100:AA1048576 V100:V1048576 R100:R1048576 O100:O1048576 I100:I1048576 AA1:AA2">
    <cfRule type="cellIs" dxfId="102" priority="15" operator="between">
      <formula>0.00277777777777778</formula>
      <formula>1</formula>
    </cfRule>
  </conditionalFormatting>
  <conditionalFormatting sqref="AC97:AC99">
    <cfRule type="containsText" dxfId="101" priority="12" operator="containsText" text="ت">
      <formula>NOT(ISERROR(SEARCH("ت",AC97)))</formula>
    </cfRule>
  </conditionalFormatting>
  <conditionalFormatting sqref="AC97:AC99">
    <cfRule type="containsText" dxfId="100" priority="11" operator="containsText" text="ت">
      <formula>NOT(ISERROR(SEARCH("ت",AC97)))</formula>
    </cfRule>
  </conditionalFormatting>
  <conditionalFormatting sqref="I3:I99">
    <cfRule type="cellIs" dxfId="99" priority="9" operator="between">
      <formula>0.00277777777777778</formula>
      <formula>1</formula>
    </cfRule>
  </conditionalFormatting>
  <conditionalFormatting sqref="I3:I99">
    <cfRule type="cellIs" dxfId="98" priority="10" operator="between">
      <formula>0.00277777777777778</formula>
      <formula>1</formula>
    </cfRule>
  </conditionalFormatting>
  <conditionalFormatting sqref="O3:O99">
    <cfRule type="cellIs" dxfId="97" priority="7" operator="between">
      <formula>0.00277777777777778</formula>
      <formula>1</formula>
    </cfRule>
  </conditionalFormatting>
  <conditionalFormatting sqref="O3:O99">
    <cfRule type="cellIs" dxfId="96" priority="8" operator="between">
      <formula>0.00277777777777778</formula>
      <formula>1</formula>
    </cfRule>
  </conditionalFormatting>
  <conditionalFormatting sqref="R3:R99">
    <cfRule type="cellIs" dxfId="95" priority="5" operator="between">
      <formula>0.00277777777777778</formula>
      <formula>1</formula>
    </cfRule>
  </conditionalFormatting>
  <conditionalFormatting sqref="R3:R99">
    <cfRule type="cellIs" dxfId="94" priority="6" operator="between">
      <formula>0.00277777777777778</formula>
      <formula>1</formula>
    </cfRule>
  </conditionalFormatting>
  <conditionalFormatting sqref="V3:V99">
    <cfRule type="cellIs" dxfId="93" priority="3" operator="between">
      <formula>0.00277777777777778</formula>
      <formula>1</formula>
    </cfRule>
  </conditionalFormatting>
  <conditionalFormatting sqref="V3:V99">
    <cfRule type="cellIs" dxfId="92" priority="4" operator="between">
      <formula>0.00277777777777778</formula>
      <formula>1</formula>
    </cfRule>
  </conditionalFormatting>
  <conditionalFormatting sqref="AA3:AA99">
    <cfRule type="cellIs" dxfId="91" priority="1" operator="between">
      <formula>0.00277777777777778</formula>
      <formula>1</formula>
    </cfRule>
  </conditionalFormatting>
  <conditionalFormatting sqref="AA3:AA99">
    <cfRule type="cellIs" dxfId="90" priority="2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"/>
  <sheetViews>
    <sheetView rightToLeft="1" workbookViewId="0">
      <pane xSplit="6" ySplit="2" topLeftCell="G68" activePane="bottomRight" state="frozen"/>
      <selection activeCell="A92" sqref="A92"/>
      <selection pane="topRight" activeCell="A92" sqref="A92"/>
      <selection pane="bottomLeft" activeCell="A92" sqref="A92"/>
      <selection pane="bottomRight" activeCell="A92" sqref="A92"/>
    </sheetView>
  </sheetViews>
  <sheetFormatPr defaultColWidth="9" defaultRowHeight="15.75" x14ac:dyDescent="0.25"/>
  <cols>
    <col min="1" max="1" width="5.42578125" customWidth="1"/>
    <col min="2" max="2" width="12.28515625" customWidth="1"/>
    <col min="3" max="3" width="12.5703125" customWidth="1"/>
    <col min="4" max="4" width="16.140625" style="36" customWidth="1"/>
    <col min="5" max="5" width="17.140625" customWidth="1"/>
    <col min="6" max="6" width="20.85546875" customWidth="1"/>
    <col min="7" max="7" width="12.7109375" customWidth="1"/>
    <col min="8" max="9" width="12.85546875" customWidth="1"/>
    <col min="10" max="10" width="12.5703125" customWidth="1"/>
    <col min="11" max="11" width="14.28515625" customWidth="1"/>
    <col min="12" max="12" width="22.7109375" customWidth="1"/>
    <col min="13" max="13" width="18.8554687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3.85546875" style="31" customWidth="1"/>
    <col min="30" max="30" width="11.140625" customWidth="1"/>
  </cols>
  <sheetData>
    <row r="1" spans="1:30" ht="33.75" customHeight="1" thickBot="1" x14ac:dyDescent="0.3">
      <c r="A1" s="46" t="s">
        <v>119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0" ht="49.5" customHeight="1" thickTop="1" thickBot="1" x14ac:dyDescent="0.3">
      <c r="A2" s="1" t="s">
        <v>1</v>
      </c>
      <c r="B2" s="2" t="s">
        <v>2</v>
      </c>
      <c r="C2" s="2" t="s">
        <v>3</v>
      </c>
      <c r="D2" s="3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8" t="s">
        <v>18</v>
      </c>
      <c r="S2" s="2" t="s">
        <v>19</v>
      </c>
      <c r="T2" s="8" t="s">
        <v>20</v>
      </c>
      <c r="U2" s="2" t="s">
        <v>21</v>
      </c>
      <c r="V2" s="8" t="s">
        <v>22</v>
      </c>
      <c r="W2" s="8" t="s">
        <v>23</v>
      </c>
      <c r="X2" s="2" t="s">
        <v>24</v>
      </c>
      <c r="Y2" s="2" t="s">
        <v>25</v>
      </c>
      <c r="Z2" s="2" t="s">
        <v>26</v>
      </c>
      <c r="AA2" s="8" t="s">
        <v>27</v>
      </c>
      <c r="AB2" s="2" t="s">
        <v>28</v>
      </c>
      <c r="AC2" s="9" t="s">
        <v>29</v>
      </c>
    </row>
    <row r="3" spans="1:30" ht="20.25" customHeight="1" thickTop="1" thickBot="1" x14ac:dyDescent="0.3">
      <c r="A3" s="10">
        <v>1</v>
      </c>
      <c r="B3" s="11"/>
      <c r="C3" s="11" t="e">
        <f>VLOOKUP(B3,داتا!$B$3:$D$107,2,FALSE)</f>
        <v>#N/A</v>
      </c>
      <c r="D3" s="33" t="e">
        <f>VLOOKUP(B3,داتا!$B$3:$D$107,3,FALSE)</f>
        <v>#N/A</v>
      </c>
      <c r="E3" s="11"/>
      <c r="F3" s="11"/>
      <c r="G3" s="12">
        <v>0.25</v>
      </c>
      <c r="H3" s="12"/>
      <c r="I3" s="12">
        <f>H3-G3</f>
        <v>-0.25</v>
      </c>
      <c r="J3" s="12"/>
      <c r="K3" s="12"/>
      <c r="L3" s="12"/>
      <c r="M3" s="12"/>
      <c r="N3" s="12">
        <f>K3-J3</f>
        <v>0</v>
      </c>
      <c r="O3" s="12" t="e">
        <f>N3-D3</f>
        <v>#N/A</v>
      </c>
      <c r="P3" s="12">
        <v>6.9444444444444397E-3</v>
      </c>
      <c r="Q3" s="12"/>
      <c r="R3" s="12">
        <f>Q3-P3-K3</f>
        <v>-6.9444444444444397E-3</v>
      </c>
      <c r="S3" s="12"/>
      <c r="T3" s="12" t="e">
        <f>VLOOKUP(E3,'[2]21-3-2026'!E$3:T$35,16,FALSE)</f>
        <v>#N/A</v>
      </c>
      <c r="U3" s="12"/>
      <c r="V3" s="12" t="e">
        <f>U3-T3-S3</f>
        <v>#N/A</v>
      </c>
      <c r="W3" s="12"/>
      <c r="X3" s="12"/>
      <c r="Y3" s="12"/>
      <c r="Z3" s="12">
        <f>Y3-X3</f>
        <v>0</v>
      </c>
      <c r="AA3" s="12">
        <f t="shared" ref="AA3:AA66" si="0">Z3-W3</f>
        <v>0</v>
      </c>
      <c r="AB3" s="12"/>
      <c r="AC3" s="13"/>
      <c r="AD3" s="47" t="s">
        <v>33</v>
      </c>
    </row>
    <row r="4" spans="1:30" ht="19.5" thickBot="1" x14ac:dyDescent="0.3">
      <c r="A4" s="14">
        <v>2</v>
      </c>
      <c r="B4" s="15"/>
      <c r="C4" s="15" t="e">
        <f>VLOOKUP(B4,داتا!$B$3:$D$107,2,FALSE)</f>
        <v>#N/A</v>
      </c>
      <c r="D4" s="34" t="e">
        <f>VLOOKUP(B4,داتا!$B$3:$D$107,3,FALSE)</f>
        <v>#N/A</v>
      </c>
      <c r="E4" s="15"/>
      <c r="F4" s="15"/>
      <c r="G4" s="16">
        <v>0.25</v>
      </c>
      <c r="H4" s="16"/>
      <c r="I4" s="16">
        <f t="shared" ref="I4:I67" si="1">H4-G4</f>
        <v>-0.25</v>
      </c>
      <c r="J4" s="16"/>
      <c r="K4" s="16"/>
      <c r="L4" s="16"/>
      <c r="M4" s="16"/>
      <c r="N4" s="16">
        <f t="shared" ref="N4:N67" si="2">K4-J4</f>
        <v>0</v>
      </c>
      <c r="O4" s="16" t="e">
        <f t="shared" ref="O4:O67" si="3">N4-D4</f>
        <v>#N/A</v>
      </c>
      <c r="P4" s="16">
        <v>6.9444444444444397E-3</v>
      </c>
      <c r="Q4" s="16"/>
      <c r="R4" s="16">
        <f t="shared" ref="R4:R67" si="4">Q4-P4-K4</f>
        <v>-6.9444444444444397E-3</v>
      </c>
      <c r="S4" s="16"/>
      <c r="T4" s="16" t="e">
        <f>VLOOKUP(E4,'[2]21-3-2026'!E$3:T$35,16,FALSE)</f>
        <v>#N/A</v>
      </c>
      <c r="U4" s="16"/>
      <c r="V4" s="16" t="e">
        <f t="shared" ref="V4:V67" si="5">U4-T4-S4</f>
        <v>#N/A</v>
      </c>
      <c r="W4" s="16"/>
      <c r="X4" s="16"/>
      <c r="Y4" s="16"/>
      <c r="Z4" s="16">
        <f t="shared" ref="Z4:Z67" si="6">Y4-X4</f>
        <v>0</v>
      </c>
      <c r="AA4" s="16">
        <f t="shared" si="0"/>
        <v>0</v>
      </c>
      <c r="AB4" s="16"/>
      <c r="AC4" s="17"/>
      <c r="AD4" s="48"/>
    </row>
    <row r="5" spans="1:30" ht="19.5" thickBot="1" x14ac:dyDescent="0.3">
      <c r="A5" s="14">
        <v>3</v>
      </c>
      <c r="B5" s="15"/>
      <c r="C5" s="15" t="e">
        <f>VLOOKUP(B5,داتا!$B$3:$D$107,2,FALSE)</f>
        <v>#N/A</v>
      </c>
      <c r="D5" s="34" t="e">
        <f>VLOOKUP(B5,داتا!$B$3:$D$107,3,FALSE)</f>
        <v>#N/A</v>
      </c>
      <c r="E5" s="15"/>
      <c r="F5" s="15"/>
      <c r="G5" s="16">
        <v>0.25</v>
      </c>
      <c r="H5" s="16"/>
      <c r="I5" s="16">
        <f t="shared" si="1"/>
        <v>-0.25</v>
      </c>
      <c r="J5" s="16"/>
      <c r="K5" s="16"/>
      <c r="L5" s="16"/>
      <c r="M5" s="16"/>
      <c r="N5" s="16">
        <f t="shared" si="2"/>
        <v>0</v>
      </c>
      <c r="O5" s="16" t="e">
        <f t="shared" si="3"/>
        <v>#N/A</v>
      </c>
      <c r="P5" s="16">
        <v>6.9444444444444397E-3</v>
      </c>
      <c r="Q5" s="16"/>
      <c r="R5" s="16">
        <f t="shared" si="4"/>
        <v>-6.9444444444444397E-3</v>
      </c>
      <c r="S5" s="16"/>
      <c r="T5" s="16" t="e">
        <f>VLOOKUP(E5,'[2]21-3-2026'!E$3:T$35,16,FALSE)</f>
        <v>#N/A</v>
      </c>
      <c r="U5" s="16"/>
      <c r="V5" s="16" t="e">
        <f t="shared" si="5"/>
        <v>#N/A</v>
      </c>
      <c r="W5" s="16"/>
      <c r="X5" s="16"/>
      <c r="Y5" s="16"/>
      <c r="Z5" s="16">
        <f t="shared" si="6"/>
        <v>0</v>
      </c>
      <c r="AA5" s="16">
        <f t="shared" si="0"/>
        <v>0</v>
      </c>
      <c r="AB5" s="16"/>
      <c r="AC5" s="17"/>
      <c r="AD5" s="48"/>
    </row>
    <row r="6" spans="1:30" ht="19.5" thickBot="1" x14ac:dyDescent="0.3">
      <c r="A6" s="14">
        <v>4</v>
      </c>
      <c r="B6" s="15"/>
      <c r="C6" s="15" t="e">
        <f>VLOOKUP(B6,داتا!$B$3:$D$107,2,FALSE)</f>
        <v>#N/A</v>
      </c>
      <c r="D6" s="34" t="e">
        <f>VLOOKUP(B6,داتا!$B$3:$D$107,3,FALSE)</f>
        <v>#N/A</v>
      </c>
      <c r="E6" s="15"/>
      <c r="F6" s="15"/>
      <c r="G6" s="16">
        <v>0.25</v>
      </c>
      <c r="H6" s="16"/>
      <c r="I6" s="16">
        <f t="shared" si="1"/>
        <v>-0.25</v>
      </c>
      <c r="J6" s="16"/>
      <c r="K6" s="16"/>
      <c r="L6" s="16"/>
      <c r="M6" s="16"/>
      <c r="N6" s="16">
        <f t="shared" si="2"/>
        <v>0</v>
      </c>
      <c r="O6" s="16" t="e">
        <f t="shared" si="3"/>
        <v>#N/A</v>
      </c>
      <c r="P6" s="16">
        <v>6.9444444444444397E-3</v>
      </c>
      <c r="Q6" s="16"/>
      <c r="R6" s="16">
        <f t="shared" si="4"/>
        <v>-6.9444444444444397E-3</v>
      </c>
      <c r="S6" s="16"/>
      <c r="T6" s="16" t="e">
        <f>VLOOKUP(E6,'[2]21-3-2026'!E$3:T$35,16,FALSE)</f>
        <v>#N/A</v>
      </c>
      <c r="U6" s="16"/>
      <c r="V6" s="16" t="e">
        <f t="shared" si="5"/>
        <v>#N/A</v>
      </c>
      <c r="W6" s="16"/>
      <c r="X6" s="16"/>
      <c r="Y6" s="16"/>
      <c r="Z6" s="16">
        <f t="shared" si="6"/>
        <v>0</v>
      </c>
      <c r="AA6" s="16">
        <f t="shared" si="0"/>
        <v>0</v>
      </c>
      <c r="AB6" s="16"/>
      <c r="AC6" s="17"/>
      <c r="AD6" s="48"/>
    </row>
    <row r="7" spans="1:30" ht="19.5" thickBot="1" x14ac:dyDescent="0.3">
      <c r="A7" s="14">
        <v>5</v>
      </c>
      <c r="B7" s="15"/>
      <c r="C7" s="15" t="e">
        <f>VLOOKUP(B7,داتا!$B$3:$D$107,2,FALSE)</f>
        <v>#N/A</v>
      </c>
      <c r="D7" s="34" t="e">
        <f>VLOOKUP(B7,داتا!$B$3:$D$107,3,FALSE)</f>
        <v>#N/A</v>
      </c>
      <c r="E7" s="15"/>
      <c r="F7" s="15"/>
      <c r="G7" s="16">
        <v>0.25</v>
      </c>
      <c r="H7" s="16"/>
      <c r="I7" s="16">
        <f t="shared" si="1"/>
        <v>-0.25</v>
      </c>
      <c r="J7" s="16"/>
      <c r="K7" s="16"/>
      <c r="L7" s="16"/>
      <c r="M7" s="16"/>
      <c r="N7" s="16">
        <f t="shared" si="2"/>
        <v>0</v>
      </c>
      <c r="O7" s="16" t="e">
        <f t="shared" si="3"/>
        <v>#N/A</v>
      </c>
      <c r="P7" s="16">
        <v>6.9444444444444397E-3</v>
      </c>
      <c r="Q7" s="16"/>
      <c r="R7" s="16">
        <f t="shared" si="4"/>
        <v>-6.9444444444444397E-3</v>
      </c>
      <c r="S7" s="16"/>
      <c r="T7" s="16" t="e">
        <f>VLOOKUP(E7,'[2]21-3-2026'!E$3:T$35,16,FALSE)</f>
        <v>#N/A</v>
      </c>
      <c r="U7" s="16"/>
      <c r="V7" s="16" t="e">
        <f t="shared" si="5"/>
        <v>#N/A</v>
      </c>
      <c r="W7" s="16"/>
      <c r="X7" s="16"/>
      <c r="Y7" s="16"/>
      <c r="Z7" s="16">
        <f t="shared" si="6"/>
        <v>0</v>
      </c>
      <c r="AA7" s="16">
        <f t="shared" si="0"/>
        <v>0</v>
      </c>
      <c r="AB7" s="16"/>
      <c r="AC7" s="17"/>
      <c r="AD7" s="48"/>
    </row>
    <row r="8" spans="1:30" ht="19.5" thickBot="1" x14ac:dyDescent="0.3">
      <c r="A8" s="14">
        <v>6</v>
      </c>
      <c r="B8" s="15"/>
      <c r="C8" s="15" t="e">
        <f>VLOOKUP(B8,داتا!$B$3:$D$107,2,FALSE)</f>
        <v>#N/A</v>
      </c>
      <c r="D8" s="34" t="e">
        <f>VLOOKUP(B8,داتا!$B$3:$D$107,3,FALSE)</f>
        <v>#N/A</v>
      </c>
      <c r="E8" s="15"/>
      <c r="F8" s="15"/>
      <c r="G8" s="16">
        <v>0.25</v>
      </c>
      <c r="H8" s="16"/>
      <c r="I8" s="16">
        <f t="shared" si="1"/>
        <v>-0.25</v>
      </c>
      <c r="J8" s="16"/>
      <c r="K8" s="16"/>
      <c r="L8" s="16"/>
      <c r="M8" s="16"/>
      <c r="N8" s="16">
        <f t="shared" si="2"/>
        <v>0</v>
      </c>
      <c r="O8" s="16" t="e">
        <f t="shared" si="3"/>
        <v>#N/A</v>
      </c>
      <c r="P8" s="16">
        <v>6.9444444444444397E-3</v>
      </c>
      <c r="Q8" s="16"/>
      <c r="R8" s="16">
        <f t="shared" si="4"/>
        <v>-6.9444444444444397E-3</v>
      </c>
      <c r="S8" s="16"/>
      <c r="T8" s="16" t="e">
        <f>VLOOKUP(E8,'[2]21-3-2026'!E$3:T$35,16,FALSE)</f>
        <v>#N/A</v>
      </c>
      <c r="U8" s="16"/>
      <c r="V8" s="16" t="e">
        <f t="shared" si="5"/>
        <v>#N/A</v>
      </c>
      <c r="W8" s="16"/>
      <c r="X8" s="16"/>
      <c r="Y8" s="16"/>
      <c r="Z8" s="16">
        <f t="shared" si="6"/>
        <v>0</v>
      </c>
      <c r="AA8" s="16">
        <f t="shared" si="0"/>
        <v>0</v>
      </c>
      <c r="AB8" s="16"/>
      <c r="AC8" s="18"/>
      <c r="AD8" s="48"/>
    </row>
    <row r="9" spans="1:30" ht="19.5" thickBot="1" x14ac:dyDescent="0.3">
      <c r="A9" s="14">
        <v>7</v>
      </c>
      <c r="B9" s="15"/>
      <c r="C9" s="15" t="e">
        <f>VLOOKUP(B9,داتا!$B$3:$D$107,2,FALSE)</f>
        <v>#N/A</v>
      </c>
      <c r="D9" s="34" t="e">
        <f>VLOOKUP(B9,داتا!$B$3:$D$107,3,FALSE)</f>
        <v>#N/A</v>
      </c>
      <c r="E9" s="15"/>
      <c r="F9" s="15"/>
      <c r="G9" s="16">
        <v>0.25</v>
      </c>
      <c r="H9" s="16"/>
      <c r="I9" s="16">
        <f t="shared" si="1"/>
        <v>-0.25</v>
      </c>
      <c r="J9" s="16"/>
      <c r="K9" s="16"/>
      <c r="L9" s="16"/>
      <c r="M9" s="16"/>
      <c r="N9" s="16">
        <f t="shared" si="2"/>
        <v>0</v>
      </c>
      <c r="O9" s="16" t="e">
        <f t="shared" si="3"/>
        <v>#N/A</v>
      </c>
      <c r="P9" s="16">
        <v>6.9444444444444397E-3</v>
      </c>
      <c r="Q9" s="16"/>
      <c r="R9" s="16">
        <f t="shared" si="4"/>
        <v>-6.9444444444444397E-3</v>
      </c>
      <c r="S9" s="16"/>
      <c r="T9" s="16" t="e">
        <f>VLOOKUP(E9,'[2]21-3-2026'!E$3:T$35,16,FALSE)</f>
        <v>#N/A</v>
      </c>
      <c r="U9" s="16"/>
      <c r="V9" s="16" t="e">
        <f t="shared" si="5"/>
        <v>#N/A</v>
      </c>
      <c r="W9" s="16"/>
      <c r="X9" s="16"/>
      <c r="Y9" s="16"/>
      <c r="Z9" s="16">
        <f t="shared" si="6"/>
        <v>0</v>
      </c>
      <c r="AA9" s="16">
        <f t="shared" si="0"/>
        <v>0</v>
      </c>
      <c r="AB9" s="16"/>
      <c r="AC9" s="17"/>
      <c r="AD9" s="48"/>
    </row>
    <row r="10" spans="1:30" ht="19.5" thickBot="1" x14ac:dyDescent="0.3">
      <c r="A10" s="14">
        <v>8</v>
      </c>
      <c r="B10" s="15"/>
      <c r="C10" s="15" t="e">
        <f>VLOOKUP(B10,داتا!$B$3:$D$107,2,FALSE)</f>
        <v>#N/A</v>
      </c>
      <c r="D10" s="34" t="e">
        <f>VLOOKUP(B10,داتا!$B$3:$D$107,3,FALSE)</f>
        <v>#N/A</v>
      </c>
      <c r="E10" s="15"/>
      <c r="F10" s="15"/>
      <c r="G10" s="16">
        <v>0.25</v>
      </c>
      <c r="H10" s="16"/>
      <c r="I10" s="16">
        <f t="shared" si="1"/>
        <v>-0.25</v>
      </c>
      <c r="J10" s="16"/>
      <c r="K10" s="16"/>
      <c r="L10" s="16"/>
      <c r="M10" s="16"/>
      <c r="N10" s="16">
        <f t="shared" si="2"/>
        <v>0</v>
      </c>
      <c r="O10" s="16" t="e">
        <f t="shared" si="3"/>
        <v>#N/A</v>
      </c>
      <c r="P10" s="16">
        <v>6.9444444444444397E-3</v>
      </c>
      <c r="Q10" s="16"/>
      <c r="R10" s="16">
        <f t="shared" si="4"/>
        <v>-6.9444444444444397E-3</v>
      </c>
      <c r="S10" s="16"/>
      <c r="T10" s="16" t="e">
        <f>VLOOKUP(E10,'[2]21-3-2026'!E$3:T$35,16,FALSE)</f>
        <v>#N/A</v>
      </c>
      <c r="U10" s="16"/>
      <c r="V10" s="16" t="e">
        <f t="shared" si="5"/>
        <v>#N/A</v>
      </c>
      <c r="W10" s="16"/>
      <c r="X10" s="16"/>
      <c r="Y10" s="16"/>
      <c r="Z10" s="16">
        <f t="shared" si="6"/>
        <v>0</v>
      </c>
      <c r="AA10" s="16">
        <f t="shared" si="0"/>
        <v>0</v>
      </c>
      <c r="AB10" s="16"/>
      <c r="AC10" s="17"/>
      <c r="AD10" s="48"/>
    </row>
    <row r="11" spans="1:30" ht="19.5" thickBot="1" x14ac:dyDescent="0.3">
      <c r="A11" s="14">
        <v>9</v>
      </c>
      <c r="B11" s="15"/>
      <c r="C11" s="15" t="e">
        <f>VLOOKUP(B11,داتا!$B$3:$D$107,2,FALSE)</f>
        <v>#N/A</v>
      </c>
      <c r="D11" s="34" t="e">
        <f>VLOOKUP(B11,داتا!$B$3:$D$107,3,FALSE)</f>
        <v>#N/A</v>
      </c>
      <c r="E11" s="15"/>
      <c r="F11" s="15"/>
      <c r="G11" s="16">
        <v>0.25</v>
      </c>
      <c r="H11" s="16"/>
      <c r="I11" s="16">
        <f t="shared" si="1"/>
        <v>-0.25</v>
      </c>
      <c r="J11" s="16"/>
      <c r="K11" s="16"/>
      <c r="L11" s="16"/>
      <c r="M11" s="16"/>
      <c r="N11" s="16">
        <f t="shared" si="2"/>
        <v>0</v>
      </c>
      <c r="O11" s="16" t="e">
        <f t="shared" si="3"/>
        <v>#N/A</v>
      </c>
      <c r="P11" s="16">
        <v>6.9444444444444397E-3</v>
      </c>
      <c r="Q11" s="16"/>
      <c r="R11" s="16">
        <f t="shared" si="4"/>
        <v>-6.9444444444444397E-3</v>
      </c>
      <c r="S11" s="16"/>
      <c r="T11" s="16" t="e">
        <f>VLOOKUP(E11,'[2]21-3-2026'!E$3:T$35,16,FALSE)</f>
        <v>#N/A</v>
      </c>
      <c r="U11" s="16"/>
      <c r="V11" s="16" t="e">
        <f t="shared" si="5"/>
        <v>#N/A</v>
      </c>
      <c r="W11" s="16"/>
      <c r="X11" s="16"/>
      <c r="Y11" s="16"/>
      <c r="Z11" s="16">
        <f t="shared" si="6"/>
        <v>0</v>
      </c>
      <c r="AA11" s="16">
        <f t="shared" si="0"/>
        <v>0</v>
      </c>
      <c r="AB11" s="16"/>
      <c r="AC11" s="17"/>
      <c r="AD11" s="48"/>
    </row>
    <row r="12" spans="1:30" ht="19.5" thickBot="1" x14ac:dyDescent="0.3">
      <c r="A12" s="14">
        <v>10</v>
      </c>
      <c r="B12" s="15"/>
      <c r="C12" s="15" t="e">
        <f>VLOOKUP(B12,داتا!$B$3:$D$107,2,FALSE)</f>
        <v>#N/A</v>
      </c>
      <c r="D12" s="34" t="e">
        <f>VLOOKUP(B12,داتا!$B$3:$D$107,3,FALSE)</f>
        <v>#N/A</v>
      </c>
      <c r="E12" s="15"/>
      <c r="F12" s="15"/>
      <c r="G12" s="16">
        <v>0.25</v>
      </c>
      <c r="H12" s="16"/>
      <c r="I12" s="16">
        <f t="shared" si="1"/>
        <v>-0.25</v>
      </c>
      <c r="J12" s="16"/>
      <c r="K12" s="16"/>
      <c r="L12" s="16"/>
      <c r="M12" s="16"/>
      <c r="N12" s="16">
        <f t="shared" si="2"/>
        <v>0</v>
      </c>
      <c r="O12" s="16" t="e">
        <f t="shared" si="3"/>
        <v>#N/A</v>
      </c>
      <c r="P12" s="16">
        <v>6.9444444444444397E-3</v>
      </c>
      <c r="Q12" s="16"/>
      <c r="R12" s="16">
        <f t="shared" si="4"/>
        <v>-6.9444444444444397E-3</v>
      </c>
      <c r="S12" s="16"/>
      <c r="T12" s="16" t="e">
        <f>VLOOKUP(E12,'[2]21-3-2026'!E$3:T$35,16,FALSE)</f>
        <v>#N/A</v>
      </c>
      <c r="U12" s="16"/>
      <c r="V12" s="16" t="e">
        <f t="shared" si="5"/>
        <v>#N/A</v>
      </c>
      <c r="W12" s="16"/>
      <c r="X12" s="16"/>
      <c r="Y12" s="16"/>
      <c r="Z12" s="16">
        <f t="shared" si="6"/>
        <v>0</v>
      </c>
      <c r="AA12" s="16">
        <f t="shared" si="0"/>
        <v>0</v>
      </c>
      <c r="AB12" s="16"/>
      <c r="AC12" s="17"/>
      <c r="AD12" s="48"/>
    </row>
    <row r="13" spans="1:30" ht="19.5" thickBot="1" x14ac:dyDescent="0.3">
      <c r="A13" s="14">
        <v>11</v>
      </c>
      <c r="B13" s="15"/>
      <c r="C13" s="15" t="e">
        <f>VLOOKUP(B13,داتا!$B$3:$D$107,2,FALSE)</f>
        <v>#N/A</v>
      </c>
      <c r="D13" s="34" t="e">
        <f>VLOOKUP(B13,داتا!$B$3:$D$107,3,FALSE)</f>
        <v>#N/A</v>
      </c>
      <c r="E13" s="15"/>
      <c r="F13" s="15"/>
      <c r="G13" s="16">
        <v>0.25</v>
      </c>
      <c r="H13" s="16"/>
      <c r="I13" s="16">
        <f t="shared" si="1"/>
        <v>-0.25</v>
      </c>
      <c r="J13" s="16"/>
      <c r="K13" s="16"/>
      <c r="L13" s="16"/>
      <c r="M13" s="16"/>
      <c r="N13" s="16">
        <f t="shared" si="2"/>
        <v>0</v>
      </c>
      <c r="O13" s="16" t="e">
        <f t="shared" si="3"/>
        <v>#N/A</v>
      </c>
      <c r="P13" s="16">
        <v>6.9444444444444397E-3</v>
      </c>
      <c r="Q13" s="16"/>
      <c r="R13" s="16">
        <f t="shared" si="4"/>
        <v>-6.9444444444444397E-3</v>
      </c>
      <c r="S13" s="16"/>
      <c r="T13" s="16" t="e">
        <f>VLOOKUP(E13,'[2]21-3-2026'!E$3:T$35,16,FALSE)</f>
        <v>#N/A</v>
      </c>
      <c r="U13" s="16"/>
      <c r="V13" s="16" t="e">
        <f t="shared" si="5"/>
        <v>#N/A</v>
      </c>
      <c r="W13" s="16"/>
      <c r="X13" s="16"/>
      <c r="Y13" s="16"/>
      <c r="Z13" s="16">
        <f t="shared" si="6"/>
        <v>0</v>
      </c>
      <c r="AA13" s="16">
        <f t="shared" si="0"/>
        <v>0</v>
      </c>
      <c r="AB13" s="16"/>
      <c r="AC13" s="18"/>
      <c r="AD13" s="48"/>
    </row>
    <row r="14" spans="1:30" ht="19.5" thickBot="1" x14ac:dyDescent="0.3">
      <c r="A14" s="14">
        <v>12</v>
      </c>
      <c r="B14" s="15"/>
      <c r="C14" s="15" t="e">
        <f>VLOOKUP(B14,داتا!$B$3:$D$107,2,FALSE)</f>
        <v>#N/A</v>
      </c>
      <c r="D14" s="34" t="e">
        <f>VLOOKUP(B14,داتا!$B$3:$D$107,3,FALSE)</f>
        <v>#N/A</v>
      </c>
      <c r="E14" s="15"/>
      <c r="F14" s="15"/>
      <c r="G14" s="16">
        <v>0.25</v>
      </c>
      <c r="H14" s="16"/>
      <c r="I14" s="16">
        <f t="shared" si="1"/>
        <v>-0.25</v>
      </c>
      <c r="J14" s="16"/>
      <c r="K14" s="16"/>
      <c r="L14" s="16"/>
      <c r="M14" s="16"/>
      <c r="N14" s="16">
        <f t="shared" si="2"/>
        <v>0</v>
      </c>
      <c r="O14" s="16" t="e">
        <f t="shared" si="3"/>
        <v>#N/A</v>
      </c>
      <c r="P14" s="16">
        <v>6.9444444444444397E-3</v>
      </c>
      <c r="Q14" s="16"/>
      <c r="R14" s="16">
        <f t="shared" si="4"/>
        <v>-6.9444444444444397E-3</v>
      </c>
      <c r="S14" s="16"/>
      <c r="T14" s="16" t="e">
        <f>VLOOKUP(E14,'[2]21-3-2026'!E$3:T$35,16,FALSE)</f>
        <v>#N/A</v>
      </c>
      <c r="U14" s="16"/>
      <c r="V14" s="16" t="e">
        <f t="shared" si="5"/>
        <v>#N/A</v>
      </c>
      <c r="W14" s="16"/>
      <c r="X14" s="16"/>
      <c r="Y14" s="16"/>
      <c r="Z14" s="16">
        <f t="shared" si="6"/>
        <v>0</v>
      </c>
      <c r="AA14" s="16">
        <f t="shared" si="0"/>
        <v>0</v>
      </c>
      <c r="AB14" s="16"/>
      <c r="AC14" s="17"/>
      <c r="AD14" s="48"/>
    </row>
    <row r="15" spans="1:30" ht="19.5" thickBot="1" x14ac:dyDescent="0.3">
      <c r="A15" s="14">
        <v>13</v>
      </c>
      <c r="B15" s="15"/>
      <c r="C15" s="15" t="e">
        <f>VLOOKUP(B15,داتا!$B$3:$D$107,2,FALSE)</f>
        <v>#N/A</v>
      </c>
      <c r="D15" s="34" t="e">
        <f>VLOOKUP(B15,داتا!$B$3:$D$107,3,FALSE)</f>
        <v>#N/A</v>
      </c>
      <c r="E15" s="15"/>
      <c r="F15" s="15"/>
      <c r="G15" s="16">
        <v>0.25</v>
      </c>
      <c r="H15" s="16"/>
      <c r="I15" s="16">
        <f t="shared" si="1"/>
        <v>-0.25</v>
      </c>
      <c r="J15" s="16"/>
      <c r="K15" s="16"/>
      <c r="L15" s="16"/>
      <c r="M15" s="16"/>
      <c r="N15" s="16">
        <f t="shared" si="2"/>
        <v>0</v>
      </c>
      <c r="O15" s="16" t="e">
        <f t="shared" si="3"/>
        <v>#N/A</v>
      </c>
      <c r="P15" s="16">
        <v>6.9444444444444397E-3</v>
      </c>
      <c r="Q15" s="16"/>
      <c r="R15" s="16">
        <f t="shared" si="4"/>
        <v>-6.9444444444444397E-3</v>
      </c>
      <c r="S15" s="16"/>
      <c r="T15" s="16" t="e">
        <f>VLOOKUP(E15,'[2]21-3-2026'!E$3:T$35,16,FALSE)</f>
        <v>#N/A</v>
      </c>
      <c r="U15" s="16"/>
      <c r="V15" s="16" t="e">
        <f t="shared" si="5"/>
        <v>#N/A</v>
      </c>
      <c r="W15" s="16"/>
      <c r="X15" s="16"/>
      <c r="Y15" s="16"/>
      <c r="Z15" s="16">
        <f t="shared" si="6"/>
        <v>0</v>
      </c>
      <c r="AA15" s="16">
        <f t="shared" si="0"/>
        <v>0</v>
      </c>
      <c r="AB15" s="16"/>
      <c r="AC15" s="17"/>
      <c r="AD15" s="48"/>
    </row>
    <row r="16" spans="1:30" ht="19.5" thickBot="1" x14ac:dyDescent="0.3">
      <c r="A16" s="14">
        <v>14</v>
      </c>
      <c r="B16" s="15"/>
      <c r="C16" s="15" t="e">
        <f>VLOOKUP(B16,داتا!$B$3:$D$107,2,FALSE)</f>
        <v>#N/A</v>
      </c>
      <c r="D16" s="34" t="e">
        <f>VLOOKUP(B16,داتا!$B$3:$D$107,3,FALSE)</f>
        <v>#N/A</v>
      </c>
      <c r="E16" s="15"/>
      <c r="F16" s="15"/>
      <c r="G16" s="16">
        <v>0.25</v>
      </c>
      <c r="H16" s="16"/>
      <c r="I16" s="16">
        <f t="shared" si="1"/>
        <v>-0.25</v>
      </c>
      <c r="J16" s="16"/>
      <c r="K16" s="16"/>
      <c r="L16" s="16"/>
      <c r="M16" s="16"/>
      <c r="N16" s="16">
        <f t="shared" si="2"/>
        <v>0</v>
      </c>
      <c r="O16" s="16" t="e">
        <f t="shared" si="3"/>
        <v>#N/A</v>
      </c>
      <c r="P16" s="16">
        <v>6.9444444444444397E-3</v>
      </c>
      <c r="Q16" s="16"/>
      <c r="R16" s="16">
        <f t="shared" si="4"/>
        <v>-6.9444444444444397E-3</v>
      </c>
      <c r="S16" s="16"/>
      <c r="T16" s="16" t="e">
        <f>VLOOKUP(E16,'[2]21-3-2026'!E$3:T$35,16,FALSE)</f>
        <v>#N/A</v>
      </c>
      <c r="U16" s="16"/>
      <c r="V16" s="16" t="e">
        <f t="shared" si="5"/>
        <v>#N/A</v>
      </c>
      <c r="W16" s="16"/>
      <c r="X16" s="16"/>
      <c r="Y16" s="16"/>
      <c r="Z16" s="16">
        <f t="shared" si="6"/>
        <v>0</v>
      </c>
      <c r="AA16" s="16">
        <f t="shared" si="0"/>
        <v>0</v>
      </c>
      <c r="AB16" s="16"/>
      <c r="AC16" s="17"/>
      <c r="AD16" s="48"/>
    </row>
    <row r="17" spans="1:30" ht="19.5" thickBot="1" x14ac:dyDescent="0.3">
      <c r="A17" s="14">
        <v>15</v>
      </c>
      <c r="B17" s="15"/>
      <c r="C17" s="15" t="e">
        <f>VLOOKUP(B17,داتا!$B$3:$D$107,2,FALSE)</f>
        <v>#N/A</v>
      </c>
      <c r="D17" s="34" t="e">
        <f>VLOOKUP(B17,داتا!$B$3:$D$107,3,FALSE)</f>
        <v>#N/A</v>
      </c>
      <c r="E17" s="15"/>
      <c r="F17" s="15"/>
      <c r="G17" s="16">
        <v>0.25</v>
      </c>
      <c r="H17" s="16"/>
      <c r="I17" s="16">
        <f t="shared" si="1"/>
        <v>-0.25</v>
      </c>
      <c r="J17" s="16"/>
      <c r="K17" s="16"/>
      <c r="L17" s="16"/>
      <c r="M17" s="16"/>
      <c r="N17" s="16">
        <f t="shared" si="2"/>
        <v>0</v>
      </c>
      <c r="O17" s="16" t="e">
        <f t="shared" si="3"/>
        <v>#N/A</v>
      </c>
      <c r="P17" s="16">
        <v>6.9444444444444397E-3</v>
      </c>
      <c r="Q17" s="16"/>
      <c r="R17" s="16">
        <f t="shared" si="4"/>
        <v>-6.9444444444444397E-3</v>
      </c>
      <c r="S17" s="16"/>
      <c r="T17" s="16" t="e">
        <f>VLOOKUP(E17,'[2]21-3-2026'!E$3:T$35,16,FALSE)</f>
        <v>#N/A</v>
      </c>
      <c r="U17" s="16"/>
      <c r="V17" s="16" t="e">
        <f t="shared" si="5"/>
        <v>#N/A</v>
      </c>
      <c r="W17" s="16"/>
      <c r="X17" s="16"/>
      <c r="Y17" s="16"/>
      <c r="Z17" s="16">
        <f t="shared" si="6"/>
        <v>0</v>
      </c>
      <c r="AA17" s="16">
        <f t="shared" si="0"/>
        <v>0</v>
      </c>
      <c r="AB17" s="16"/>
      <c r="AC17" s="17"/>
      <c r="AD17" s="48"/>
    </row>
    <row r="18" spans="1:30" ht="19.5" thickBot="1" x14ac:dyDescent="0.3">
      <c r="A18" s="14">
        <v>16</v>
      </c>
      <c r="B18" s="15"/>
      <c r="C18" s="15" t="e">
        <f>VLOOKUP(B18,داتا!$B$3:$D$107,2,FALSE)</f>
        <v>#N/A</v>
      </c>
      <c r="D18" s="34" t="e">
        <f>VLOOKUP(B18,داتا!$B$3:$D$107,3,FALSE)</f>
        <v>#N/A</v>
      </c>
      <c r="E18" s="16"/>
      <c r="F18" s="15"/>
      <c r="G18" s="16">
        <v>0.25</v>
      </c>
      <c r="H18" s="16"/>
      <c r="I18" s="16">
        <f t="shared" si="1"/>
        <v>-0.25</v>
      </c>
      <c r="J18" s="16"/>
      <c r="K18" s="16"/>
      <c r="L18" s="16"/>
      <c r="M18" s="16"/>
      <c r="N18" s="16">
        <f t="shared" si="2"/>
        <v>0</v>
      </c>
      <c r="O18" s="16" t="e">
        <f t="shared" si="3"/>
        <v>#N/A</v>
      </c>
      <c r="P18" s="16">
        <v>6.9444444444444397E-3</v>
      </c>
      <c r="Q18" s="16"/>
      <c r="R18" s="16">
        <f t="shared" si="4"/>
        <v>-6.9444444444444397E-3</v>
      </c>
      <c r="S18" s="16"/>
      <c r="T18" s="16" t="e">
        <f>VLOOKUP(E18,'[2]21-3-2026'!E$3:T$35,16,FALSE)</f>
        <v>#N/A</v>
      </c>
      <c r="U18" s="16"/>
      <c r="V18" s="16" t="e">
        <f t="shared" si="5"/>
        <v>#N/A</v>
      </c>
      <c r="W18" s="16"/>
      <c r="X18" s="16"/>
      <c r="Y18" s="16"/>
      <c r="Z18" s="16">
        <f t="shared" si="6"/>
        <v>0</v>
      </c>
      <c r="AA18" s="16">
        <f t="shared" si="0"/>
        <v>0</v>
      </c>
      <c r="AB18" s="16"/>
      <c r="AC18" s="17"/>
      <c r="AD18" s="48"/>
    </row>
    <row r="19" spans="1:30" ht="19.5" thickBot="1" x14ac:dyDescent="0.3">
      <c r="A19" s="14">
        <v>17</v>
      </c>
      <c r="B19" s="15"/>
      <c r="C19" s="15" t="e">
        <f>VLOOKUP(B19,داتا!$B$3:$D$107,2,FALSE)</f>
        <v>#N/A</v>
      </c>
      <c r="D19" s="34" t="e">
        <f>VLOOKUP(B19,داتا!$B$3:$D$107,3,FALSE)</f>
        <v>#N/A</v>
      </c>
      <c r="E19" s="15"/>
      <c r="F19" s="15"/>
      <c r="G19" s="16">
        <v>0.25</v>
      </c>
      <c r="H19" s="16"/>
      <c r="I19" s="16">
        <f t="shared" si="1"/>
        <v>-0.25</v>
      </c>
      <c r="J19" s="16"/>
      <c r="K19" s="16"/>
      <c r="L19" s="16"/>
      <c r="M19" s="16"/>
      <c r="N19" s="16">
        <f t="shared" si="2"/>
        <v>0</v>
      </c>
      <c r="O19" s="16" t="e">
        <f t="shared" si="3"/>
        <v>#N/A</v>
      </c>
      <c r="P19" s="16">
        <v>6.9444444444444397E-3</v>
      </c>
      <c r="Q19" s="16"/>
      <c r="R19" s="16">
        <f t="shared" si="4"/>
        <v>-6.9444444444444397E-3</v>
      </c>
      <c r="S19" s="16"/>
      <c r="T19" s="16" t="e">
        <f>VLOOKUP(E19,'[2]21-3-2026'!E$3:T$35,16,FALSE)</f>
        <v>#N/A</v>
      </c>
      <c r="U19" s="16"/>
      <c r="V19" s="16" t="e">
        <f t="shared" si="5"/>
        <v>#N/A</v>
      </c>
      <c r="W19" s="16"/>
      <c r="X19" s="16"/>
      <c r="Y19" s="16"/>
      <c r="Z19" s="16">
        <f t="shared" si="6"/>
        <v>0</v>
      </c>
      <c r="AA19" s="16">
        <f t="shared" si="0"/>
        <v>0</v>
      </c>
      <c r="AB19" s="16"/>
      <c r="AC19" s="17"/>
      <c r="AD19" s="48"/>
    </row>
    <row r="20" spans="1:30" ht="19.5" thickBot="1" x14ac:dyDescent="0.3">
      <c r="A20" s="14">
        <v>18</v>
      </c>
      <c r="B20" s="15"/>
      <c r="C20" s="15" t="e">
        <f>VLOOKUP(B20,داتا!$B$3:$D$107,2,FALSE)</f>
        <v>#N/A</v>
      </c>
      <c r="D20" s="34" t="e">
        <f>VLOOKUP(B20,داتا!$B$3:$D$107,3,FALSE)</f>
        <v>#N/A</v>
      </c>
      <c r="E20" s="15"/>
      <c r="F20" s="15"/>
      <c r="G20" s="16">
        <v>0.25</v>
      </c>
      <c r="H20" s="16"/>
      <c r="I20" s="16">
        <f t="shared" si="1"/>
        <v>-0.25</v>
      </c>
      <c r="J20" s="16"/>
      <c r="K20" s="16"/>
      <c r="L20" s="16"/>
      <c r="M20" s="16"/>
      <c r="N20" s="16">
        <f t="shared" si="2"/>
        <v>0</v>
      </c>
      <c r="O20" s="16" t="e">
        <f t="shared" si="3"/>
        <v>#N/A</v>
      </c>
      <c r="P20" s="16">
        <v>6.9444444444444397E-3</v>
      </c>
      <c r="Q20" s="16"/>
      <c r="R20" s="16">
        <f t="shared" si="4"/>
        <v>-6.9444444444444397E-3</v>
      </c>
      <c r="S20" s="16"/>
      <c r="T20" s="16" t="e">
        <f>VLOOKUP(E20,'[2]21-3-2026'!E$3:T$35,16,FALSE)</f>
        <v>#N/A</v>
      </c>
      <c r="U20" s="16"/>
      <c r="V20" s="16" t="e">
        <f t="shared" si="5"/>
        <v>#N/A</v>
      </c>
      <c r="W20" s="16"/>
      <c r="X20" s="16"/>
      <c r="Y20" s="16"/>
      <c r="Z20" s="16">
        <f t="shared" si="6"/>
        <v>0</v>
      </c>
      <c r="AA20" s="16">
        <f t="shared" si="0"/>
        <v>0</v>
      </c>
      <c r="AB20" s="16"/>
      <c r="AC20" s="17"/>
      <c r="AD20" s="48"/>
    </row>
    <row r="21" spans="1:30" ht="19.5" thickBot="1" x14ac:dyDescent="0.3">
      <c r="A21" s="14">
        <v>19</v>
      </c>
      <c r="B21" s="15"/>
      <c r="C21" s="15" t="e">
        <f>VLOOKUP(B21,داتا!$B$3:$D$107,2,FALSE)</f>
        <v>#N/A</v>
      </c>
      <c r="D21" s="34" t="e">
        <f>VLOOKUP(B21,داتا!$B$3:$D$107,3,FALSE)</f>
        <v>#N/A</v>
      </c>
      <c r="E21" s="15"/>
      <c r="F21" s="15"/>
      <c r="G21" s="16">
        <v>0.25</v>
      </c>
      <c r="H21" s="16"/>
      <c r="I21" s="16">
        <f t="shared" si="1"/>
        <v>-0.25</v>
      </c>
      <c r="J21" s="16"/>
      <c r="K21" s="16"/>
      <c r="L21" s="16"/>
      <c r="M21" s="16"/>
      <c r="N21" s="16">
        <f t="shared" si="2"/>
        <v>0</v>
      </c>
      <c r="O21" s="16" t="e">
        <f t="shared" si="3"/>
        <v>#N/A</v>
      </c>
      <c r="P21" s="16">
        <v>6.9444444444444397E-3</v>
      </c>
      <c r="Q21" s="16"/>
      <c r="R21" s="16">
        <f t="shared" si="4"/>
        <v>-6.9444444444444397E-3</v>
      </c>
      <c r="S21" s="16"/>
      <c r="T21" s="16" t="e">
        <f>VLOOKUP(E21,'[2]21-3-2026'!E$3:T$35,16,FALSE)</f>
        <v>#N/A</v>
      </c>
      <c r="U21" s="16"/>
      <c r="V21" s="16" t="e">
        <f t="shared" si="5"/>
        <v>#N/A</v>
      </c>
      <c r="W21" s="16"/>
      <c r="X21" s="16"/>
      <c r="Y21" s="16"/>
      <c r="Z21" s="16">
        <f t="shared" si="6"/>
        <v>0</v>
      </c>
      <c r="AA21" s="16">
        <f t="shared" si="0"/>
        <v>0</v>
      </c>
      <c r="AB21" s="16"/>
      <c r="AC21" s="17"/>
      <c r="AD21" s="48"/>
    </row>
    <row r="22" spans="1:30" ht="19.5" thickBot="1" x14ac:dyDescent="0.3">
      <c r="A22" s="14">
        <v>20</v>
      </c>
      <c r="B22" s="15"/>
      <c r="C22" s="15" t="e">
        <f>VLOOKUP(B22,داتا!$B$3:$D$107,2,FALSE)</f>
        <v>#N/A</v>
      </c>
      <c r="D22" s="34" t="e">
        <f>VLOOKUP(B22,داتا!$B$3:$D$107,3,FALSE)</f>
        <v>#N/A</v>
      </c>
      <c r="E22" s="15"/>
      <c r="F22" s="15"/>
      <c r="G22" s="16">
        <v>0.25</v>
      </c>
      <c r="H22" s="16"/>
      <c r="I22" s="16">
        <f t="shared" si="1"/>
        <v>-0.25</v>
      </c>
      <c r="J22" s="16"/>
      <c r="K22" s="16"/>
      <c r="L22" s="16"/>
      <c r="M22" s="16"/>
      <c r="N22" s="16">
        <f t="shared" si="2"/>
        <v>0</v>
      </c>
      <c r="O22" s="16" t="e">
        <f t="shared" si="3"/>
        <v>#N/A</v>
      </c>
      <c r="P22" s="16">
        <v>6.9444444444444397E-3</v>
      </c>
      <c r="Q22" s="16"/>
      <c r="R22" s="16">
        <f t="shared" si="4"/>
        <v>-6.9444444444444397E-3</v>
      </c>
      <c r="S22" s="16"/>
      <c r="T22" s="16" t="e">
        <f>VLOOKUP(E22,'[2]21-3-2026'!E$3:T$35,16,FALSE)</f>
        <v>#N/A</v>
      </c>
      <c r="U22" s="16"/>
      <c r="V22" s="16" t="e">
        <f t="shared" si="5"/>
        <v>#N/A</v>
      </c>
      <c r="W22" s="16"/>
      <c r="X22" s="16"/>
      <c r="Y22" s="16"/>
      <c r="Z22" s="16">
        <f t="shared" si="6"/>
        <v>0</v>
      </c>
      <c r="AA22" s="16">
        <f t="shared" si="0"/>
        <v>0</v>
      </c>
      <c r="AB22" s="16"/>
      <c r="AC22" s="17"/>
      <c r="AD22" s="48"/>
    </row>
    <row r="23" spans="1:30" ht="19.5" thickBot="1" x14ac:dyDescent="0.3">
      <c r="A23" s="14">
        <v>21</v>
      </c>
      <c r="B23" s="15"/>
      <c r="C23" s="15" t="e">
        <f>VLOOKUP(B23,داتا!$B$3:$D$107,2,FALSE)</f>
        <v>#N/A</v>
      </c>
      <c r="D23" s="34" t="e">
        <f>VLOOKUP(B23,داتا!$B$3:$D$107,3,FALSE)</f>
        <v>#N/A</v>
      </c>
      <c r="E23" s="15"/>
      <c r="F23" s="15"/>
      <c r="G23" s="16">
        <v>0.25</v>
      </c>
      <c r="H23" s="16"/>
      <c r="I23" s="16">
        <f t="shared" si="1"/>
        <v>-0.25</v>
      </c>
      <c r="J23" s="16"/>
      <c r="K23" s="16"/>
      <c r="L23" s="16"/>
      <c r="M23" s="16"/>
      <c r="N23" s="16">
        <f t="shared" si="2"/>
        <v>0</v>
      </c>
      <c r="O23" s="16" t="e">
        <f t="shared" si="3"/>
        <v>#N/A</v>
      </c>
      <c r="P23" s="16">
        <v>6.9444444444444397E-3</v>
      </c>
      <c r="Q23" s="16"/>
      <c r="R23" s="16">
        <f t="shared" si="4"/>
        <v>-6.9444444444444397E-3</v>
      </c>
      <c r="S23" s="16"/>
      <c r="T23" s="16" t="e">
        <f>VLOOKUP(E23,'[2]21-3-2026'!E$3:T$35,16,FALSE)</f>
        <v>#N/A</v>
      </c>
      <c r="U23" s="16"/>
      <c r="V23" s="16" t="e">
        <f t="shared" si="5"/>
        <v>#N/A</v>
      </c>
      <c r="W23" s="16"/>
      <c r="X23" s="16"/>
      <c r="Y23" s="16"/>
      <c r="Z23" s="16">
        <f t="shared" si="6"/>
        <v>0</v>
      </c>
      <c r="AA23" s="16">
        <f t="shared" si="0"/>
        <v>0</v>
      </c>
      <c r="AB23" s="16"/>
      <c r="AC23" s="17"/>
      <c r="AD23" s="48"/>
    </row>
    <row r="24" spans="1:30" ht="19.5" thickBot="1" x14ac:dyDescent="0.3">
      <c r="A24" s="14">
        <v>22</v>
      </c>
      <c r="B24" s="15"/>
      <c r="C24" s="15" t="e">
        <f>VLOOKUP(B24,داتا!$B$3:$D$107,2,FALSE)</f>
        <v>#N/A</v>
      </c>
      <c r="D24" s="34" t="e">
        <f>VLOOKUP(B24,داتا!$B$3:$D$107,3,FALSE)</f>
        <v>#N/A</v>
      </c>
      <c r="E24" s="15"/>
      <c r="F24" s="16"/>
      <c r="G24" s="16">
        <v>0.25</v>
      </c>
      <c r="H24" s="16"/>
      <c r="I24" s="16">
        <f t="shared" si="1"/>
        <v>-0.25</v>
      </c>
      <c r="J24" s="16"/>
      <c r="K24" s="16"/>
      <c r="L24" s="16"/>
      <c r="M24" s="16"/>
      <c r="N24" s="16">
        <f t="shared" si="2"/>
        <v>0</v>
      </c>
      <c r="O24" s="16" t="e">
        <f t="shared" si="3"/>
        <v>#N/A</v>
      </c>
      <c r="P24" s="16">
        <v>6.9444444444444397E-3</v>
      </c>
      <c r="Q24" s="16"/>
      <c r="R24" s="16">
        <f t="shared" si="4"/>
        <v>-6.9444444444444397E-3</v>
      </c>
      <c r="S24" s="16"/>
      <c r="T24" s="16" t="e">
        <f>VLOOKUP(E24,'[2]21-3-2026'!E$3:T$35,16,FALSE)</f>
        <v>#N/A</v>
      </c>
      <c r="U24" s="16"/>
      <c r="V24" s="16" t="e">
        <f t="shared" si="5"/>
        <v>#N/A</v>
      </c>
      <c r="W24" s="16"/>
      <c r="X24" s="16"/>
      <c r="Y24" s="16"/>
      <c r="Z24" s="16">
        <f t="shared" si="6"/>
        <v>0</v>
      </c>
      <c r="AA24" s="16">
        <f t="shared" si="0"/>
        <v>0</v>
      </c>
      <c r="AB24" s="16"/>
      <c r="AC24" s="17"/>
      <c r="AD24" s="48"/>
    </row>
    <row r="25" spans="1:30" ht="19.5" thickBot="1" x14ac:dyDescent="0.3">
      <c r="A25" s="14">
        <v>23</v>
      </c>
      <c r="B25" s="15"/>
      <c r="C25" s="15" t="e">
        <f>VLOOKUP(B25,داتا!$B$3:$D$107,2,FALSE)</f>
        <v>#N/A</v>
      </c>
      <c r="D25" s="34" t="e">
        <f>VLOOKUP(B25,داتا!$B$3:$D$107,3,FALSE)</f>
        <v>#N/A</v>
      </c>
      <c r="E25" s="15"/>
      <c r="F25" s="15"/>
      <c r="G25" s="16">
        <v>0.25</v>
      </c>
      <c r="H25" s="16"/>
      <c r="I25" s="16">
        <f t="shared" si="1"/>
        <v>-0.25</v>
      </c>
      <c r="J25" s="16"/>
      <c r="K25" s="16"/>
      <c r="L25" s="16"/>
      <c r="M25" s="16"/>
      <c r="N25" s="16">
        <f t="shared" si="2"/>
        <v>0</v>
      </c>
      <c r="O25" s="16" t="e">
        <f t="shared" si="3"/>
        <v>#N/A</v>
      </c>
      <c r="P25" s="16">
        <v>6.9444444444444397E-3</v>
      </c>
      <c r="Q25" s="16"/>
      <c r="R25" s="16">
        <f t="shared" si="4"/>
        <v>-6.9444444444444397E-3</v>
      </c>
      <c r="S25" s="16"/>
      <c r="T25" s="16" t="e">
        <f>VLOOKUP(E25,'[2]21-3-2026'!E$3:T$35,16,FALSE)</f>
        <v>#N/A</v>
      </c>
      <c r="U25" s="16"/>
      <c r="V25" s="16" t="e">
        <f t="shared" si="5"/>
        <v>#N/A</v>
      </c>
      <c r="W25" s="16"/>
      <c r="X25" s="16"/>
      <c r="Y25" s="16"/>
      <c r="Z25" s="16">
        <f t="shared" si="6"/>
        <v>0</v>
      </c>
      <c r="AA25" s="16">
        <f t="shared" si="0"/>
        <v>0</v>
      </c>
      <c r="AB25" s="16"/>
      <c r="AC25" s="19"/>
      <c r="AD25" s="48"/>
    </row>
    <row r="26" spans="1:30" ht="19.5" thickBot="1" x14ac:dyDescent="0.3">
      <c r="A26" s="14">
        <v>24</v>
      </c>
      <c r="B26" s="15"/>
      <c r="C26" s="15" t="e">
        <f>VLOOKUP(B26,داتا!$B$3:$D$107,2,FALSE)</f>
        <v>#N/A</v>
      </c>
      <c r="D26" s="34" t="e">
        <f>VLOOKUP(B26,داتا!$B$3:$D$107,3,FALSE)</f>
        <v>#N/A</v>
      </c>
      <c r="E26" s="15"/>
      <c r="F26" s="15"/>
      <c r="G26" s="16">
        <v>0.25</v>
      </c>
      <c r="H26" s="16"/>
      <c r="I26" s="16">
        <f t="shared" si="1"/>
        <v>-0.25</v>
      </c>
      <c r="J26" s="16"/>
      <c r="K26" s="16"/>
      <c r="L26" s="16"/>
      <c r="M26" s="16"/>
      <c r="N26" s="16">
        <f t="shared" si="2"/>
        <v>0</v>
      </c>
      <c r="O26" s="16" t="e">
        <f t="shared" si="3"/>
        <v>#N/A</v>
      </c>
      <c r="P26" s="16">
        <v>6.9444444444444397E-3</v>
      </c>
      <c r="Q26" s="16"/>
      <c r="R26" s="16">
        <f t="shared" si="4"/>
        <v>-6.9444444444444397E-3</v>
      </c>
      <c r="S26" s="16"/>
      <c r="T26" s="16" t="e">
        <f>VLOOKUP(E26,'[2]21-3-2026'!E$3:T$35,16,FALSE)</f>
        <v>#N/A</v>
      </c>
      <c r="U26" s="16"/>
      <c r="V26" s="16" t="e">
        <f t="shared" si="5"/>
        <v>#N/A</v>
      </c>
      <c r="W26" s="16"/>
      <c r="X26" s="16"/>
      <c r="Y26" s="16"/>
      <c r="Z26" s="16">
        <f t="shared" si="6"/>
        <v>0</v>
      </c>
      <c r="AA26" s="16">
        <f t="shared" si="0"/>
        <v>0</v>
      </c>
      <c r="AB26" s="16"/>
      <c r="AC26" s="19"/>
      <c r="AD26" s="48"/>
    </row>
    <row r="27" spans="1:30" ht="19.5" thickBot="1" x14ac:dyDescent="0.3">
      <c r="A27" s="14">
        <v>25</v>
      </c>
      <c r="B27" s="15"/>
      <c r="C27" s="15" t="e">
        <f>VLOOKUP(B27,داتا!$B$3:$D$107,2,FALSE)</f>
        <v>#N/A</v>
      </c>
      <c r="D27" s="34" t="e">
        <f>VLOOKUP(B27,داتا!$B$3:$D$107,3,FALSE)</f>
        <v>#N/A</v>
      </c>
      <c r="E27" s="15"/>
      <c r="F27" s="15"/>
      <c r="G27" s="16">
        <v>0.25</v>
      </c>
      <c r="H27" s="16"/>
      <c r="I27" s="16">
        <f t="shared" si="1"/>
        <v>-0.25</v>
      </c>
      <c r="J27" s="16"/>
      <c r="K27" s="16"/>
      <c r="L27" s="16"/>
      <c r="M27" s="16"/>
      <c r="N27" s="16">
        <f t="shared" si="2"/>
        <v>0</v>
      </c>
      <c r="O27" s="16" t="e">
        <f t="shared" si="3"/>
        <v>#N/A</v>
      </c>
      <c r="P27" s="16">
        <v>6.9444444444444397E-3</v>
      </c>
      <c r="Q27" s="16"/>
      <c r="R27" s="16">
        <f t="shared" si="4"/>
        <v>-6.9444444444444397E-3</v>
      </c>
      <c r="S27" s="16"/>
      <c r="T27" s="16" t="e">
        <f>VLOOKUP(E27,'[2]21-3-2026'!E$3:T$35,16,FALSE)</f>
        <v>#N/A</v>
      </c>
      <c r="U27" s="16"/>
      <c r="V27" s="16" t="e">
        <f t="shared" si="5"/>
        <v>#N/A</v>
      </c>
      <c r="W27" s="16"/>
      <c r="X27" s="16"/>
      <c r="Y27" s="16"/>
      <c r="Z27" s="16">
        <f t="shared" si="6"/>
        <v>0</v>
      </c>
      <c r="AA27" s="16">
        <f t="shared" si="0"/>
        <v>0</v>
      </c>
      <c r="AB27" s="16"/>
      <c r="AC27" s="19"/>
      <c r="AD27" s="48"/>
    </row>
    <row r="28" spans="1:30" ht="19.5" thickBot="1" x14ac:dyDescent="0.3">
      <c r="A28" s="14">
        <v>26</v>
      </c>
      <c r="B28" s="15"/>
      <c r="C28" s="15" t="e">
        <f>VLOOKUP(B28,داتا!$B$3:$D$107,2,FALSE)</f>
        <v>#N/A</v>
      </c>
      <c r="D28" s="34" t="e">
        <f>VLOOKUP(B28,داتا!$B$3:$D$107,3,FALSE)</f>
        <v>#N/A</v>
      </c>
      <c r="E28" s="15"/>
      <c r="F28" s="15"/>
      <c r="G28" s="16">
        <v>0.25</v>
      </c>
      <c r="H28" s="16"/>
      <c r="I28" s="16">
        <f t="shared" si="1"/>
        <v>-0.25</v>
      </c>
      <c r="J28" s="16"/>
      <c r="K28" s="16"/>
      <c r="L28" s="16"/>
      <c r="M28" s="16"/>
      <c r="N28" s="16">
        <f t="shared" si="2"/>
        <v>0</v>
      </c>
      <c r="O28" s="16" t="e">
        <f t="shared" si="3"/>
        <v>#N/A</v>
      </c>
      <c r="P28" s="16">
        <v>6.9444444444444397E-3</v>
      </c>
      <c r="Q28" s="16"/>
      <c r="R28" s="16">
        <f t="shared" si="4"/>
        <v>-6.9444444444444397E-3</v>
      </c>
      <c r="S28" s="16"/>
      <c r="T28" s="16" t="e">
        <f>VLOOKUP(E28,'[2]21-3-2026'!E$3:T$35,16,FALSE)</f>
        <v>#N/A</v>
      </c>
      <c r="U28" s="16"/>
      <c r="V28" s="16" t="e">
        <f t="shared" si="5"/>
        <v>#N/A</v>
      </c>
      <c r="W28" s="16"/>
      <c r="X28" s="16"/>
      <c r="Y28" s="16"/>
      <c r="Z28" s="16">
        <f t="shared" si="6"/>
        <v>0</v>
      </c>
      <c r="AA28" s="16">
        <f t="shared" si="0"/>
        <v>0</v>
      </c>
      <c r="AB28" s="16"/>
      <c r="AC28" s="17"/>
      <c r="AD28" s="48"/>
    </row>
    <row r="29" spans="1:30" ht="19.5" thickBot="1" x14ac:dyDescent="0.3">
      <c r="A29" s="14">
        <v>27</v>
      </c>
      <c r="B29" s="15"/>
      <c r="C29" s="15" t="e">
        <f>VLOOKUP(B29,داتا!$B$3:$D$107,2,FALSE)</f>
        <v>#N/A</v>
      </c>
      <c r="D29" s="34" t="e">
        <f>VLOOKUP(B29,داتا!$B$3:$D$107,3,FALSE)</f>
        <v>#N/A</v>
      </c>
      <c r="E29" s="15"/>
      <c r="F29" s="15"/>
      <c r="G29" s="16">
        <v>0.25</v>
      </c>
      <c r="H29" s="16"/>
      <c r="I29" s="16">
        <f t="shared" si="1"/>
        <v>-0.25</v>
      </c>
      <c r="J29" s="16"/>
      <c r="K29" s="16"/>
      <c r="L29" s="16"/>
      <c r="M29" s="16"/>
      <c r="N29" s="16">
        <f t="shared" si="2"/>
        <v>0</v>
      </c>
      <c r="O29" s="16" t="e">
        <f t="shared" si="3"/>
        <v>#N/A</v>
      </c>
      <c r="P29" s="16">
        <v>6.9444444444444397E-3</v>
      </c>
      <c r="Q29" s="16"/>
      <c r="R29" s="16">
        <f t="shared" si="4"/>
        <v>-6.9444444444444397E-3</v>
      </c>
      <c r="S29" s="16"/>
      <c r="T29" s="16" t="e">
        <f>VLOOKUP(E29,'[2]21-3-2026'!E$3:T$35,16,FALSE)</f>
        <v>#N/A</v>
      </c>
      <c r="U29" s="16"/>
      <c r="V29" s="16" t="e">
        <f t="shared" si="5"/>
        <v>#N/A</v>
      </c>
      <c r="W29" s="16"/>
      <c r="X29" s="16"/>
      <c r="Y29" s="16"/>
      <c r="Z29" s="16">
        <f t="shared" si="6"/>
        <v>0</v>
      </c>
      <c r="AA29" s="16">
        <f t="shared" si="0"/>
        <v>0</v>
      </c>
      <c r="AB29" s="16"/>
      <c r="AC29" s="18"/>
      <c r="AD29" s="48"/>
    </row>
    <row r="30" spans="1:30" ht="19.5" thickBot="1" x14ac:dyDescent="0.3">
      <c r="A30" s="14">
        <v>28</v>
      </c>
      <c r="B30" s="15"/>
      <c r="C30" s="15" t="e">
        <f>VLOOKUP(B30,داتا!$B$3:$D$107,2,FALSE)</f>
        <v>#N/A</v>
      </c>
      <c r="D30" s="34" t="e">
        <f>VLOOKUP(B30,داتا!$B$3:$D$107,3,FALSE)</f>
        <v>#N/A</v>
      </c>
      <c r="E30" s="15"/>
      <c r="F30" s="15"/>
      <c r="G30" s="16">
        <v>0.25</v>
      </c>
      <c r="H30" s="16"/>
      <c r="I30" s="16">
        <f t="shared" si="1"/>
        <v>-0.25</v>
      </c>
      <c r="J30" s="16"/>
      <c r="K30" s="16"/>
      <c r="L30" s="16"/>
      <c r="M30" s="16"/>
      <c r="N30" s="16">
        <f t="shared" si="2"/>
        <v>0</v>
      </c>
      <c r="O30" s="16" t="e">
        <f t="shared" si="3"/>
        <v>#N/A</v>
      </c>
      <c r="P30" s="16">
        <v>6.9444444444444397E-3</v>
      </c>
      <c r="Q30" s="16"/>
      <c r="R30" s="16">
        <f t="shared" si="4"/>
        <v>-6.9444444444444397E-3</v>
      </c>
      <c r="S30" s="16"/>
      <c r="T30" s="16" t="e">
        <f>VLOOKUP(E30,'[2]21-3-2026'!E$3:T$35,16,FALSE)</f>
        <v>#N/A</v>
      </c>
      <c r="U30" s="16"/>
      <c r="V30" s="16" t="e">
        <f t="shared" si="5"/>
        <v>#N/A</v>
      </c>
      <c r="W30" s="16"/>
      <c r="X30" s="16"/>
      <c r="Y30" s="16"/>
      <c r="Z30" s="16">
        <f t="shared" si="6"/>
        <v>0</v>
      </c>
      <c r="AA30" s="16">
        <f t="shared" si="0"/>
        <v>0</v>
      </c>
      <c r="AB30" s="16"/>
      <c r="AC30" s="17"/>
      <c r="AD30" s="48"/>
    </row>
    <row r="31" spans="1:30" ht="19.5" thickBot="1" x14ac:dyDescent="0.3">
      <c r="A31" s="14">
        <v>29</v>
      </c>
      <c r="B31" s="15"/>
      <c r="C31" s="15" t="e">
        <f>VLOOKUP(B31,داتا!$B$3:$D$107,2,FALSE)</f>
        <v>#N/A</v>
      </c>
      <c r="D31" s="34" t="e">
        <f>VLOOKUP(B31,داتا!$B$3:$D$107,3,FALSE)</f>
        <v>#N/A</v>
      </c>
      <c r="E31" s="15"/>
      <c r="F31" s="15"/>
      <c r="G31" s="16">
        <v>0.25</v>
      </c>
      <c r="H31" s="16"/>
      <c r="I31" s="16">
        <f t="shared" si="1"/>
        <v>-0.25</v>
      </c>
      <c r="J31" s="16"/>
      <c r="K31" s="16"/>
      <c r="L31" s="16"/>
      <c r="M31" s="16"/>
      <c r="N31" s="16">
        <f t="shared" si="2"/>
        <v>0</v>
      </c>
      <c r="O31" s="16" t="e">
        <f t="shared" si="3"/>
        <v>#N/A</v>
      </c>
      <c r="P31" s="16">
        <v>6.9444444444444397E-3</v>
      </c>
      <c r="Q31" s="16"/>
      <c r="R31" s="16">
        <f t="shared" si="4"/>
        <v>-6.9444444444444397E-3</v>
      </c>
      <c r="S31" s="16"/>
      <c r="T31" s="16" t="e">
        <f>VLOOKUP(E31,'[2]21-3-2026'!E$3:T$35,16,FALSE)</f>
        <v>#N/A</v>
      </c>
      <c r="U31" s="16"/>
      <c r="V31" s="16" t="e">
        <f t="shared" si="5"/>
        <v>#N/A</v>
      </c>
      <c r="W31" s="16"/>
      <c r="X31" s="16"/>
      <c r="Y31" s="16"/>
      <c r="Z31" s="16">
        <f t="shared" si="6"/>
        <v>0</v>
      </c>
      <c r="AA31" s="16">
        <f t="shared" si="0"/>
        <v>0</v>
      </c>
      <c r="AB31" s="16"/>
      <c r="AC31" s="17"/>
      <c r="AD31" s="48"/>
    </row>
    <row r="32" spans="1:30" ht="19.5" thickBot="1" x14ac:dyDescent="0.3">
      <c r="A32" s="14">
        <v>30</v>
      </c>
      <c r="B32" s="15"/>
      <c r="C32" s="15" t="e">
        <f>VLOOKUP(B32,داتا!$B$3:$D$107,2,FALSE)</f>
        <v>#N/A</v>
      </c>
      <c r="D32" s="34" t="e">
        <f>VLOOKUP(B32,داتا!$B$3:$D$107,3,FALSE)</f>
        <v>#N/A</v>
      </c>
      <c r="E32" s="15"/>
      <c r="F32" s="15"/>
      <c r="G32" s="16">
        <v>0.25</v>
      </c>
      <c r="H32" s="16"/>
      <c r="I32" s="16">
        <f t="shared" si="1"/>
        <v>-0.25</v>
      </c>
      <c r="J32" s="16"/>
      <c r="K32" s="16"/>
      <c r="L32" s="16"/>
      <c r="M32" s="16"/>
      <c r="N32" s="16">
        <f t="shared" si="2"/>
        <v>0</v>
      </c>
      <c r="O32" s="16" t="e">
        <f t="shared" si="3"/>
        <v>#N/A</v>
      </c>
      <c r="P32" s="16">
        <v>6.9444444444444397E-3</v>
      </c>
      <c r="Q32" s="16"/>
      <c r="R32" s="16">
        <f t="shared" si="4"/>
        <v>-6.9444444444444397E-3</v>
      </c>
      <c r="S32" s="16"/>
      <c r="T32" s="16" t="e">
        <f>VLOOKUP(E32,'[2]21-3-2026'!E$3:T$35,16,FALSE)</f>
        <v>#N/A</v>
      </c>
      <c r="U32" s="16"/>
      <c r="V32" s="16" t="e">
        <f t="shared" si="5"/>
        <v>#N/A</v>
      </c>
      <c r="W32" s="16"/>
      <c r="X32" s="16"/>
      <c r="Y32" s="16"/>
      <c r="Z32" s="16">
        <f t="shared" si="6"/>
        <v>0</v>
      </c>
      <c r="AA32" s="16">
        <f t="shared" si="0"/>
        <v>0</v>
      </c>
      <c r="AB32" s="16"/>
      <c r="AC32" s="17"/>
      <c r="AD32" s="48"/>
    </row>
    <row r="33" spans="1:30" ht="19.5" thickBot="1" x14ac:dyDescent="0.3">
      <c r="A33" s="14">
        <v>31</v>
      </c>
      <c r="B33" s="15"/>
      <c r="C33" s="15" t="e">
        <f>VLOOKUP(B33,داتا!$B$3:$D$107,2,FALSE)</f>
        <v>#N/A</v>
      </c>
      <c r="D33" s="34" t="e">
        <f>VLOOKUP(B33,داتا!$B$3:$D$107,3,FALSE)</f>
        <v>#N/A</v>
      </c>
      <c r="E33" s="15"/>
      <c r="F33" s="15"/>
      <c r="G33" s="16">
        <v>0.25</v>
      </c>
      <c r="H33" s="16"/>
      <c r="I33" s="16">
        <f t="shared" si="1"/>
        <v>-0.25</v>
      </c>
      <c r="J33" s="16"/>
      <c r="K33" s="16"/>
      <c r="L33" s="16"/>
      <c r="M33" s="16"/>
      <c r="N33" s="16">
        <f t="shared" si="2"/>
        <v>0</v>
      </c>
      <c r="O33" s="16" t="e">
        <f t="shared" si="3"/>
        <v>#N/A</v>
      </c>
      <c r="P33" s="16">
        <v>6.9444444444444397E-3</v>
      </c>
      <c r="Q33" s="16"/>
      <c r="R33" s="16">
        <f t="shared" si="4"/>
        <v>-6.9444444444444397E-3</v>
      </c>
      <c r="S33" s="16"/>
      <c r="T33" s="16" t="e">
        <f>VLOOKUP(E33,'[2]21-3-2026'!E$3:T$35,16,FALSE)</f>
        <v>#N/A</v>
      </c>
      <c r="U33" s="16"/>
      <c r="V33" s="16" t="e">
        <f t="shared" si="5"/>
        <v>#N/A</v>
      </c>
      <c r="W33" s="16"/>
      <c r="X33" s="16"/>
      <c r="Y33" s="16"/>
      <c r="Z33" s="16">
        <f t="shared" si="6"/>
        <v>0</v>
      </c>
      <c r="AA33" s="16">
        <f t="shared" si="0"/>
        <v>0</v>
      </c>
      <c r="AB33" s="16"/>
      <c r="AC33" s="17"/>
      <c r="AD33" s="48"/>
    </row>
    <row r="34" spans="1:30" ht="19.5" thickBot="1" x14ac:dyDescent="0.3">
      <c r="A34" s="14">
        <v>32</v>
      </c>
      <c r="B34" s="15"/>
      <c r="C34" s="15" t="e">
        <f>VLOOKUP(B34,داتا!$B$3:$D$107,2,FALSE)</f>
        <v>#N/A</v>
      </c>
      <c r="D34" s="34" t="e">
        <f>VLOOKUP(B34,داتا!$B$3:$D$107,3,FALSE)</f>
        <v>#N/A</v>
      </c>
      <c r="E34" s="15"/>
      <c r="F34" s="15"/>
      <c r="G34" s="16">
        <v>0.25</v>
      </c>
      <c r="H34" s="16"/>
      <c r="I34" s="16">
        <f t="shared" si="1"/>
        <v>-0.25</v>
      </c>
      <c r="J34" s="16"/>
      <c r="K34" s="16"/>
      <c r="L34" s="16"/>
      <c r="M34" s="16"/>
      <c r="N34" s="16">
        <f t="shared" si="2"/>
        <v>0</v>
      </c>
      <c r="O34" s="16" t="e">
        <f t="shared" si="3"/>
        <v>#N/A</v>
      </c>
      <c r="P34" s="16">
        <v>6.9444444444444397E-3</v>
      </c>
      <c r="Q34" s="16"/>
      <c r="R34" s="16">
        <f t="shared" si="4"/>
        <v>-6.9444444444444397E-3</v>
      </c>
      <c r="S34" s="16"/>
      <c r="T34" s="16" t="e">
        <f>VLOOKUP(E34,'[2]21-3-2026'!E$3:T$35,16,FALSE)</f>
        <v>#N/A</v>
      </c>
      <c r="U34" s="16"/>
      <c r="V34" s="16" t="e">
        <f t="shared" si="5"/>
        <v>#N/A</v>
      </c>
      <c r="W34" s="16"/>
      <c r="X34" s="16"/>
      <c r="Y34" s="16"/>
      <c r="Z34" s="16">
        <f t="shared" si="6"/>
        <v>0</v>
      </c>
      <c r="AA34" s="16">
        <f t="shared" si="0"/>
        <v>0</v>
      </c>
      <c r="AB34" s="16"/>
      <c r="AC34" s="17"/>
      <c r="AD34" s="48"/>
    </row>
    <row r="35" spans="1:30" ht="19.5" thickBot="1" x14ac:dyDescent="0.3">
      <c r="A35" s="20">
        <v>33</v>
      </c>
      <c r="B35" s="21"/>
      <c r="C35" s="21" t="e">
        <f>VLOOKUP(B35,داتا!$B$3:$D$107,2,FALSE)</f>
        <v>#N/A</v>
      </c>
      <c r="D35" s="35" t="e">
        <f>VLOOKUP(B35,داتا!$B$3:$D$107,3,FALSE)</f>
        <v>#N/A</v>
      </c>
      <c r="E35" s="21"/>
      <c r="F35" s="21"/>
      <c r="G35" s="22">
        <v>0.25</v>
      </c>
      <c r="H35" s="22"/>
      <c r="I35" s="22">
        <f t="shared" si="1"/>
        <v>-0.25</v>
      </c>
      <c r="J35" s="22"/>
      <c r="K35" s="22"/>
      <c r="L35" s="22"/>
      <c r="M35" s="22"/>
      <c r="N35" s="22">
        <f t="shared" si="2"/>
        <v>0</v>
      </c>
      <c r="O35" s="22" t="e">
        <f t="shared" si="3"/>
        <v>#N/A</v>
      </c>
      <c r="P35" s="22">
        <v>6.9444444444444397E-3</v>
      </c>
      <c r="Q35" s="22"/>
      <c r="R35" s="22">
        <f t="shared" si="4"/>
        <v>-6.9444444444444397E-3</v>
      </c>
      <c r="S35" s="22"/>
      <c r="T35" s="22" t="e">
        <f>VLOOKUP(E35,'[2]21-3-2026'!E$3:T$35,16,FALSE)</f>
        <v>#N/A</v>
      </c>
      <c r="U35" s="22"/>
      <c r="V35" s="22" t="e">
        <f t="shared" si="5"/>
        <v>#N/A</v>
      </c>
      <c r="W35" s="22"/>
      <c r="X35" s="22"/>
      <c r="Y35" s="22"/>
      <c r="Z35" s="22">
        <f t="shared" si="6"/>
        <v>0</v>
      </c>
      <c r="AA35" s="22">
        <f t="shared" si="0"/>
        <v>0</v>
      </c>
      <c r="AB35" s="22"/>
      <c r="AC35" s="23"/>
      <c r="AD35" s="49"/>
    </row>
    <row r="36" spans="1:30" ht="20.25" customHeight="1" thickTop="1" thickBot="1" x14ac:dyDescent="0.3">
      <c r="A36" s="10">
        <v>1</v>
      </c>
      <c r="B36" s="11"/>
      <c r="C36" s="11" t="e">
        <f>VLOOKUP(B36,داتا!$B$3:$D$107,2,FALSE)</f>
        <v>#N/A</v>
      </c>
      <c r="D36" s="33" t="e">
        <f>VLOOKUP(B36,داتا!$B$3:$D$107,3,FALSE)</f>
        <v>#N/A</v>
      </c>
      <c r="E36" s="11"/>
      <c r="F36" s="11"/>
      <c r="G36" s="12">
        <v>0.25</v>
      </c>
      <c r="H36" s="12" t="e">
        <f>VLOOKUP(G36,$F$3:$I$35,2,FALSE)</f>
        <v>#N/A</v>
      </c>
      <c r="I36" s="12" t="e">
        <f t="shared" si="1"/>
        <v>#N/A</v>
      </c>
      <c r="J36" s="12"/>
      <c r="K36" s="12"/>
      <c r="L36" s="12"/>
      <c r="M36" s="12"/>
      <c r="N36" s="12">
        <f t="shared" si="2"/>
        <v>0</v>
      </c>
      <c r="O36" s="12" t="e">
        <f t="shared" si="3"/>
        <v>#N/A</v>
      </c>
      <c r="P36" s="12">
        <v>6.9444444444444397E-3</v>
      </c>
      <c r="Q36" s="12"/>
      <c r="R36" s="12">
        <f t="shared" si="4"/>
        <v>-6.9444444444444397E-3</v>
      </c>
      <c r="S36" s="12"/>
      <c r="T36" s="12" t="e">
        <f>VLOOKUP(E36,'[2]21-3-2026'!E$3:T$35,16,FALSE)</f>
        <v>#N/A</v>
      </c>
      <c r="U36" s="12"/>
      <c r="V36" s="12" t="e">
        <f t="shared" si="5"/>
        <v>#N/A</v>
      </c>
      <c r="W36" s="12"/>
      <c r="X36" s="12"/>
      <c r="Y36" s="12"/>
      <c r="Z36" s="12">
        <f t="shared" si="6"/>
        <v>0</v>
      </c>
      <c r="AA36" s="12">
        <f t="shared" si="0"/>
        <v>0</v>
      </c>
      <c r="AB36" s="12"/>
      <c r="AC36" s="29"/>
      <c r="AD36" s="50" t="s">
        <v>104</v>
      </c>
    </row>
    <row r="37" spans="1:30" ht="19.5" thickBot="1" x14ac:dyDescent="0.3">
      <c r="A37" s="14">
        <v>2</v>
      </c>
      <c r="B37" s="15"/>
      <c r="C37" s="15" t="e">
        <f>VLOOKUP(B37,داتا!$B$3:$D$107,2,FALSE)</f>
        <v>#N/A</v>
      </c>
      <c r="D37" s="34" t="e">
        <f>VLOOKUP(B37,داتا!$B$3:$D$107,3,FALSE)</f>
        <v>#N/A</v>
      </c>
      <c r="E37" s="15"/>
      <c r="F37" s="15"/>
      <c r="G37" s="16">
        <v>0.25</v>
      </c>
      <c r="H37" s="16" t="e">
        <f t="shared" ref="H37:H52" si="7">VLOOKUP(G37,$F$3:$I$35,2,FALSE)</f>
        <v>#N/A</v>
      </c>
      <c r="I37" s="16" t="e">
        <f t="shared" si="1"/>
        <v>#N/A</v>
      </c>
      <c r="J37" s="16"/>
      <c r="K37" s="16"/>
      <c r="L37" s="16"/>
      <c r="M37" s="16"/>
      <c r="N37" s="16">
        <f t="shared" si="2"/>
        <v>0</v>
      </c>
      <c r="O37" s="16" t="e">
        <f t="shared" si="3"/>
        <v>#N/A</v>
      </c>
      <c r="P37" s="16">
        <v>6.9444444444444397E-3</v>
      </c>
      <c r="Q37" s="16"/>
      <c r="R37" s="16">
        <f t="shared" si="4"/>
        <v>-6.9444444444444397E-3</v>
      </c>
      <c r="S37" s="16"/>
      <c r="T37" s="16" t="e">
        <f>VLOOKUP(E37,'[2]21-3-2026'!E$3:T$35,16,FALSE)</f>
        <v>#N/A</v>
      </c>
      <c r="U37" s="16"/>
      <c r="V37" s="16" t="e">
        <f t="shared" si="5"/>
        <v>#N/A</v>
      </c>
      <c r="W37" s="16"/>
      <c r="X37" s="16"/>
      <c r="Y37" s="16"/>
      <c r="Z37" s="16">
        <f t="shared" si="6"/>
        <v>0</v>
      </c>
      <c r="AA37" s="16">
        <f t="shared" si="0"/>
        <v>0</v>
      </c>
      <c r="AB37" s="16"/>
      <c r="AC37" s="19"/>
      <c r="AD37" s="51"/>
    </row>
    <row r="38" spans="1:30" ht="19.5" thickBot="1" x14ac:dyDescent="0.3">
      <c r="A38" s="14">
        <v>3</v>
      </c>
      <c r="B38" s="15"/>
      <c r="C38" s="15" t="e">
        <f>VLOOKUP(B38,داتا!$B$3:$D$107,2,FALSE)</f>
        <v>#N/A</v>
      </c>
      <c r="D38" s="34" t="e">
        <f>VLOOKUP(B38,داتا!$B$3:$D$107,3,FALSE)</f>
        <v>#N/A</v>
      </c>
      <c r="E38" s="15"/>
      <c r="F38" s="15"/>
      <c r="G38" s="16">
        <v>0.25</v>
      </c>
      <c r="H38" s="16" t="e">
        <f t="shared" si="7"/>
        <v>#N/A</v>
      </c>
      <c r="I38" s="16" t="e">
        <f t="shared" si="1"/>
        <v>#N/A</v>
      </c>
      <c r="J38" s="16"/>
      <c r="K38" s="16"/>
      <c r="L38" s="16"/>
      <c r="M38" s="16"/>
      <c r="N38" s="16">
        <f t="shared" si="2"/>
        <v>0</v>
      </c>
      <c r="O38" s="16" t="e">
        <f t="shared" si="3"/>
        <v>#N/A</v>
      </c>
      <c r="P38" s="16">
        <v>6.9444444444444397E-3</v>
      </c>
      <c r="Q38" s="16"/>
      <c r="R38" s="16">
        <f t="shared" si="4"/>
        <v>-6.9444444444444397E-3</v>
      </c>
      <c r="S38" s="16"/>
      <c r="T38" s="16" t="e">
        <f>VLOOKUP(E38,'[2]21-3-2026'!E$3:T$35,16,FALSE)</f>
        <v>#N/A</v>
      </c>
      <c r="U38" s="16"/>
      <c r="V38" s="16" t="e">
        <f t="shared" si="5"/>
        <v>#N/A</v>
      </c>
      <c r="W38" s="16"/>
      <c r="X38" s="16"/>
      <c r="Y38" s="16"/>
      <c r="Z38" s="16">
        <f t="shared" si="6"/>
        <v>0</v>
      </c>
      <c r="AA38" s="16">
        <f t="shared" si="0"/>
        <v>0</v>
      </c>
      <c r="AB38" s="16"/>
      <c r="AC38" s="19"/>
      <c r="AD38" s="51"/>
    </row>
    <row r="39" spans="1:30" ht="19.5" thickBot="1" x14ac:dyDescent="0.3">
      <c r="A39" s="14">
        <v>4</v>
      </c>
      <c r="B39" s="15"/>
      <c r="C39" s="15" t="e">
        <f>VLOOKUP(B39,داتا!$B$3:$D$107,2,FALSE)</f>
        <v>#N/A</v>
      </c>
      <c r="D39" s="34" t="e">
        <f>VLOOKUP(B39,داتا!$B$3:$D$107,3,FALSE)</f>
        <v>#N/A</v>
      </c>
      <c r="E39" s="15"/>
      <c r="F39" s="15"/>
      <c r="G39" s="16">
        <v>0.25</v>
      </c>
      <c r="H39" s="16" t="e">
        <f t="shared" si="7"/>
        <v>#N/A</v>
      </c>
      <c r="I39" s="16" t="e">
        <f t="shared" si="1"/>
        <v>#N/A</v>
      </c>
      <c r="J39" s="16"/>
      <c r="K39" s="16"/>
      <c r="L39" s="16"/>
      <c r="M39" s="16"/>
      <c r="N39" s="16">
        <f t="shared" si="2"/>
        <v>0</v>
      </c>
      <c r="O39" s="16" t="e">
        <f t="shared" si="3"/>
        <v>#N/A</v>
      </c>
      <c r="P39" s="16">
        <v>6.9444444444444397E-3</v>
      </c>
      <c r="Q39" s="16"/>
      <c r="R39" s="16">
        <f t="shared" si="4"/>
        <v>-6.9444444444444397E-3</v>
      </c>
      <c r="S39" s="16"/>
      <c r="T39" s="16" t="e">
        <f>VLOOKUP(E39,'[2]21-3-2026'!E$3:T$35,16,FALSE)</f>
        <v>#N/A</v>
      </c>
      <c r="U39" s="16"/>
      <c r="V39" s="16" t="e">
        <f t="shared" si="5"/>
        <v>#N/A</v>
      </c>
      <c r="W39" s="16"/>
      <c r="X39" s="16"/>
      <c r="Y39" s="16"/>
      <c r="Z39" s="16">
        <f t="shared" si="6"/>
        <v>0</v>
      </c>
      <c r="AA39" s="16">
        <f t="shared" si="0"/>
        <v>0</v>
      </c>
      <c r="AB39" s="16"/>
      <c r="AC39" s="17"/>
      <c r="AD39" s="51"/>
    </row>
    <row r="40" spans="1:30" ht="19.5" thickBot="1" x14ac:dyDescent="0.3">
      <c r="A40" s="14">
        <v>5</v>
      </c>
      <c r="B40" s="15"/>
      <c r="C40" s="15" t="e">
        <f>VLOOKUP(B40,داتا!$B$3:$D$107,2,FALSE)</f>
        <v>#N/A</v>
      </c>
      <c r="D40" s="34" t="e">
        <f>VLOOKUP(B40,داتا!$B$3:$D$107,3,FALSE)</f>
        <v>#N/A</v>
      </c>
      <c r="E40" s="15"/>
      <c r="F40" s="15"/>
      <c r="G40" s="16">
        <v>0.25</v>
      </c>
      <c r="H40" s="16" t="e">
        <f t="shared" si="7"/>
        <v>#N/A</v>
      </c>
      <c r="I40" s="16" t="e">
        <f t="shared" si="1"/>
        <v>#N/A</v>
      </c>
      <c r="J40" s="16"/>
      <c r="K40" s="16"/>
      <c r="L40" s="16"/>
      <c r="M40" s="16"/>
      <c r="N40" s="16">
        <f t="shared" si="2"/>
        <v>0</v>
      </c>
      <c r="O40" s="16" t="e">
        <f t="shared" si="3"/>
        <v>#N/A</v>
      </c>
      <c r="P40" s="16">
        <v>6.9444444444444397E-3</v>
      </c>
      <c r="Q40" s="16"/>
      <c r="R40" s="16">
        <f t="shared" si="4"/>
        <v>-6.9444444444444397E-3</v>
      </c>
      <c r="S40" s="16"/>
      <c r="T40" s="16" t="e">
        <f>VLOOKUP(E40,'[2]21-3-2026'!E$3:T$35,16,FALSE)</f>
        <v>#N/A</v>
      </c>
      <c r="U40" s="16"/>
      <c r="V40" s="16" t="e">
        <f t="shared" si="5"/>
        <v>#N/A</v>
      </c>
      <c r="W40" s="16"/>
      <c r="X40" s="16"/>
      <c r="Y40" s="16"/>
      <c r="Z40" s="16">
        <f t="shared" si="6"/>
        <v>0</v>
      </c>
      <c r="AA40" s="16">
        <f t="shared" si="0"/>
        <v>0</v>
      </c>
      <c r="AB40" s="16"/>
      <c r="AC40" s="17"/>
      <c r="AD40" s="51"/>
    </row>
    <row r="41" spans="1:30" ht="19.5" thickBot="1" x14ac:dyDescent="0.3">
      <c r="A41" s="14">
        <v>6</v>
      </c>
      <c r="B41" s="15"/>
      <c r="C41" s="15" t="e">
        <f>VLOOKUP(B41,داتا!$B$3:$D$107,2,FALSE)</f>
        <v>#N/A</v>
      </c>
      <c r="D41" s="34" t="e">
        <f>VLOOKUP(B41,داتا!$B$3:$D$107,3,FALSE)</f>
        <v>#N/A</v>
      </c>
      <c r="E41" s="15"/>
      <c r="F41" s="15"/>
      <c r="G41" s="16">
        <v>0.25</v>
      </c>
      <c r="H41" s="16" t="e">
        <f t="shared" si="7"/>
        <v>#N/A</v>
      </c>
      <c r="I41" s="16" t="e">
        <f t="shared" si="1"/>
        <v>#N/A</v>
      </c>
      <c r="J41" s="16"/>
      <c r="K41" s="16"/>
      <c r="L41" s="16"/>
      <c r="M41" s="16"/>
      <c r="N41" s="16">
        <f t="shared" si="2"/>
        <v>0</v>
      </c>
      <c r="O41" s="16" t="e">
        <f t="shared" si="3"/>
        <v>#N/A</v>
      </c>
      <c r="P41" s="16">
        <v>6.9444444444444397E-3</v>
      </c>
      <c r="Q41" s="16"/>
      <c r="R41" s="16">
        <f t="shared" si="4"/>
        <v>-6.9444444444444397E-3</v>
      </c>
      <c r="S41" s="16"/>
      <c r="T41" s="16" t="e">
        <f>VLOOKUP(E41,'[2]21-3-2026'!E$3:T$35,16,FALSE)</f>
        <v>#N/A</v>
      </c>
      <c r="U41" s="16"/>
      <c r="V41" s="16" t="e">
        <f t="shared" si="5"/>
        <v>#N/A</v>
      </c>
      <c r="W41" s="16"/>
      <c r="X41" s="16"/>
      <c r="Y41" s="16"/>
      <c r="Z41" s="16">
        <f t="shared" si="6"/>
        <v>0</v>
      </c>
      <c r="AA41" s="16">
        <f t="shared" si="0"/>
        <v>0</v>
      </c>
      <c r="AB41" s="16"/>
      <c r="AC41" s="17"/>
      <c r="AD41" s="51"/>
    </row>
    <row r="42" spans="1:30" ht="19.5" thickBot="1" x14ac:dyDescent="0.3">
      <c r="A42" s="14">
        <v>7</v>
      </c>
      <c r="B42" s="15"/>
      <c r="C42" s="15" t="e">
        <f>VLOOKUP(B42,داتا!$B$3:$D$107,2,FALSE)</f>
        <v>#N/A</v>
      </c>
      <c r="D42" s="34" t="e">
        <f>VLOOKUP(B42,داتا!$B$3:$D$107,3,FALSE)</f>
        <v>#N/A</v>
      </c>
      <c r="E42" s="15"/>
      <c r="F42" s="15"/>
      <c r="G42" s="16">
        <v>0.25</v>
      </c>
      <c r="H42" s="16" t="e">
        <f t="shared" si="7"/>
        <v>#N/A</v>
      </c>
      <c r="I42" s="16" t="e">
        <f t="shared" si="1"/>
        <v>#N/A</v>
      </c>
      <c r="J42" s="16"/>
      <c r="K42" s="16"/>
      <c r="L42" s="16"/>
      <c r="M42" s="16"/>
      <c r="N42" s="16">
        <f t="shared" si="2"/>
        <v>0</v>
      </c>
      <c r="O42" s="16" t="e">
        <f t="shared" si="3"/>
        <v>#N/A</v>
      </c>
      <c r="P42" s="16">
        <v>6.9444444444444397E-3</v>
      </c>
      <c r="Q42" s="16"/>
      <c r="R42" s="16">
        <f t="shared" si="4"/>
        <v>-6.9444444444444397E-3</v>
      </c>
      <c r="S42" s="16"/>
      <c r="T42" s="16" t="e">
        <f>VLOOKUP(E42,'[2]21-3-2026'!E$3:T$35,16,FALSE)</f>
        <v>#N/A</v>
      </c>
      <c r="U42" s="16"/>
      <c r="V42" s="16" t="e">
        <f t="shared" si="5"/>
        <v>#N/A</v>
      </c>
      <c r="W42" s="16"/>
      <c r="X42" s="16"/>
      <c r="Y42" s="16"/>
      <c r="Z42" s="16">
        <f t="shared" si="6"/>
        <v>0</v>
      </c>
      <c r="AA42" s="16">
        <f t="shared" si="0"/>
        <v>0</v>
      </c>
      <c r="AB42" s="16"/>
      <c r="AC42" s="17"/>
      <c r="AD42" s="51"/>
    </row>
    <row r="43" spans="1:30" ht="19.5" thickBot="1" x14ac:dyDescent="0.3">
      <c r="A43" s="14">
        <v>8</v>
      </c>
      <c r="B43" s="15"/>
      <c r="C43" s="15" t="e">
        <f>VLOOKUP(B43,داتا!$B$3:$D$107,2,FALSE)</f>
        <v>#N/A</v>
      </c>
      <c r="D43" s="34" t="e">
        <f>VLOOKUP(B43,داتا!$B$3:$D$107,3,FALSE)</f>
        <v>#N/A</v>
      </c>
      <c r="E43" s="15"/>
      <c r="F43" s="15"/>
      <c r="G43" s="16">
        <v>0.25</v>
      </c>
      <c r="H43" s="16" t="e">
        <f t="shared" si="7"/>
        <v>#N/A</v>
      </c>
      <c r="I43" s="16" t="e">
        <f t="shared" si="1"/>
        <v>#N/A</v>
      </c>
      <c r="J43" s="16"/>
      <c r="K43" s="16"/>
      <c r="L43" s="16"/>
      <c r="M43" s="16"/>
      <c r="N43" s="16">
        <f t="shared" si="2"/>
        <v>0</v>
      </c>
      <c r="O43" s="16" t="e">
        <f t="shared" si="3"/>
        <v>#N/A</v>
      </c>
      <c r="P43" s="16">
        <v>6.9444444444444397E-3</v>
      </c>
      <c r="Q43" s="16"/>
      <c r="R43" s="16">
        <f t="shared" si="4"/>
        <v>-6.9444444444444397E-3</v>
      </c>
      <c r="S43" s="16"/>
      <c r="T43" s="16" t="e">
        <f>VLOOKUP(E43,'[2]21-3-2026'!E$3:T$35,16,FALSE)</f>
        <v>#N/A</v>
      </c>
      <c r="U43" s="16"/>
      <c r="V43" s="16" t="e">
        <f t="shared" si="5"/>
        <v>#N/A</v>
      </c>
      <c r="W43" s="16"/>
      <c r="X43" s="16"/>
      <c r="Y43" s="16"/>
      <c r="Z43" s="16">
        <f t="shared" si="6"/>
        <v>0</v>
      </c>
      <c r="AA43" s="16">
        <f t="shared" si="0"/>
        <v>0</v>
      </c>
      <c r="AB43" s="16"/>
      <c r="AC43" s="17"/>
      <c r="AD43" s="51"/>
    </row>
    <row r="44" spans="1:30" ht="19.5" thickBot="1" x14ac:dyDescent="0.3">
      <c r="A44" s="14">
        <v>9</v>
      </c>
      <c r="B44" s="15"/>
      <c r="C44" s="15" t="e">
        <f>VLOOKUP(B44,داتا!$B$3:$D$107,2,FALSE)</f>
        <v>#N/A</v>
      </c>
      <c r="D44" s="34" t="e">
        <f>VLOOKUP(B44,داتا!$B$3:$D$107,3,FALSE)</f>
        <v>#N/A</v>
      </c>
      <c r="E44" s="15"/>
      <c r="F44" s="15"/>
      <c r="G44" s="16">
        <v>0.25</v>
      </c>
      <c r="H44" s="16" t="e">
        <f t="shared" si="7"/>
        <v>#N/A</v>
      </c>
      <c r="I44" s="16" t="e">
        <f t="shared" si="1"/>
        <v>#N/A</v>
      </c>
      <c r="J44" s="16"/>
      <c r="K44" s="16"/>
      <c r="L44" s="16"/>
      <c r="M44" s="16"/>
      <c r="N44" s="16">
        <f t="shared" si="2"/>
        <v>0</v>
      </c>
      <c r="O44" s="16" t="e">
        <f t="shared" si="3"/>
        <v>#N/A</v>
      </c>
      <c r="P44" s="16">
        <v>6.9444444444444397E-3</v>
      </c>
      <c r="Q44" s="16"/>
      <c r="R44" s="16">
        <f t="shared" si="4"/>
        <v>-6.9444444444444397E-3</v>
      </c>
      <c r="S44" s="16"/>
      <c r="T44" s="16" t="e">
        <f>VLOOKUP(E44,'[2]21-3-2026'!E$3:T$35,16,FALSE)</f>
        <v>#N/A</v>
      </c>
      <c r="U44" s="16"/>
      <c r="V44" s="16" t="e">
        <f t="shared" si="5"/>
        <v>#N/A</v>
      </c>
      <c r="W44" s="16"/>
      <c r="X44" s="16"/>
      <c r="Y44" s="16"/>
      <c r="Z44" s="16">
        <f t="shared" si="6"/>
        <v>0</v>
      </c>
      <c r="AA44" s="16">
        <f t="shared" si="0"/>
        <v>0</v>
      </c>
      <c r="AB44" s="16"/>
      <c r="AC44" s="17"/>
      <c r="AD44" s="51"/>
    </row>
    <row r="45" spans="1:30" ht="19.5" thickBot="1" x14ac:dyDescent="0.3">
      <c r="A45" s="14">
        <v>10</v>
      </c>
      <c r="B45" s="15"/>
      <c r="C45" s="15" t="e">
        <f>VLOOKUP(B45,داتا!$B$3:$D$107,2,FALSE)</f>
        <v>#N/A</v>
      </c>
      <c r="D45" s="34" t="e">
        <f>VLOOKUP(B45,داتا!$B$3:$D$107,3,FALSE)</f>
        <v>#N/A</v>
      </c>
      <c r="E45" s="15"/>
      <c r="F45" s="15"/>
      <c r="G45" s="16">
        <v>0.25</v>
      </c>
      <c r="H45" s="16" t="e">
        <f t="shared" si="7"/>
        <v>#N/A</v>
      </c>
      <c r="I45" s="16" t="e">
        <f t="shared" si="1"/>
        <v>#N/A</v>
      </c>
      <c r="J45" s="16"/>
      <c r="K45" s="16"/>
      <c r="L45" s="16"/>
      <c r="M45" s="16"/>
      <c r="N45" s="16">
        <f t="shared" si="2"/>
        <v>0</v>
      </c>
      <c r="O45" s="16" t="e">
        <f t="shared" si="3"/>
        <v>#N/A</v>
      </c>
      <c r="P45" s="16">
        <v>6.9444444444444397E-3</v>
      </c>
      <c r="Q45" s="16"/>
      <c r="R45" s="16">
        <f t="shared" si="4"/>
        <v>-6.9444444444444397E-3</v>
      </c>
      <c r="S45" s="16"/>
      <c r="T45" s="16" t="e">
        <f>VLOOKUP(E45,'[2]21-3-2026'!E$3:T$35,16,FALSE)</f>
        <v>#N/A</v>
      </c>
      <c r="U45" s="16"/>
      <c r="V45" s="16" t="e">
        <f t="shared" si="5"/>
        <v>#N/A</v>
      </c>
      <c r="W45" s="16"/>
      <c r="X45" s="16"/>
      <c r="Y45" s="16"/>
      <c r="Z45" s="16">
        <f t="shared" si="6"/>
        <v>0</v>
      </c>
      <c r="AA45" s="16">
        <f t="shared" si="0"/>
        <v>0</v>
      </c>
      <c r="AB45" s="16"/>
      <c r="AC45" s="17"/>
      <c r="AD45" s="51"/>
    </row>
    <row r="46" spans="1:30" ht="19.5" thickBot="1" x14ac:dyDescent="0.3">
      <c r="A46" s="14">
        <v>11</v>
      </c>
      <c r="B46" s="15"/>
      <c r="C46" s="15" t="e">
        <f>VLOOKUP(B46,داتا!$B$3:$D$107,2,FALSE)</f>
        <v>#N/A</v>
      </c>
      <c r="D46" s="34" t="e">
        <f>VLOOKUP(B46,داتا!$B$3:$D$107,3,FALSE)</f>
        <v>#N/A</v>
      </c>
      <c r="E46" s="15"/>
      <c r="F46" s="15"/>
      <c r="G46" s="16">
        <v>0.25</v>
      </c>
      <c r="H46" s="16" t="e">
        <f t="shared" si="7"/>
        <v>#N/A</v>
      </c>
      <c r="I46" s="16" t="e">
        <f t="shared" si="1"/>
        <v>#N/A</v>
      </c>
      <c r="J46" s="16"/>
      <c r="K46" s="16"/>
      <c r="L46" s="16"/>
      <c r="M46" s="16"/>
      <c r="N46" s="16">
        <f t="shared" si="2"/>
        <v>0</v>
      </c>
      <c r="O46" s="16" t="e">
        <f t="shared" si="3"/>
        <v>#N/A</v>
      </c>
      <c r="P46" s="16">
        <v>6.9444444444444397E-3</v>
      </c>
      <c r="Q46" s="16"/>
      <c r="R46" s="16">
        <f t="shared" si="4"/>
        <v>-6.9444444444444397E-3</v>
      </c>
      <c r="S46" s="16"/>
      <c r="T46" s="16" t="e">
        <f>VLOOKUP(E46,'[2]21-3-2026'!E$3:T$35,16,FALSE)</f>
        <v>#N/A</v>
      </c>
      <c r="U46" s="16"/>
      <c r="V46" s="16" t="e">
        <f t="shared" si="5"/>
        <v>#N/A</v>
      </c>
      <c r="W46" s="16"/>
      <c r="X46" s="16"/>
      <c r="Y46" s="16"/>
      <c r="Z46" s="16">
        <f t="shared" si="6"/>
        <v>0</v>
      </c>
      <c r="AA46" s="16">
        <f t="shared" si="0"/>
        <v>0</v>
      </c>
      <c r="AB46" s="16"/>
      <c r="AC46" s="17"/>
      <c r="AD46" s="51"/>
    </row>
    <row r="47" spans="1:30" ht="19.5" thickBot="1" x14ac:dyDescent="0.3">
      <c r="A47" s="14">
        <v>12</v>
      </c>
      <c r="B47" s="15"/>
      <c r="C47" s="15" t="e">
        <f>VLOOKUP(B47,داتا!$B$3:$D$107,2,FALSE)</f>
        <v>#N/A</v>
      </c>
      <c r="D47" s="34" t="e">
        <f>VLOOKUP(B47,داتا!$B$3:$D$107,3,FALSE)</f>
        <v>#N/A</v>
      </c>
      <c r="E47" s="15"/>
      <c r="F47" s="15"/>
      <c r="G47" s="16">
        <v>0.25</v>
      </c>
      <c r="H47" s="16" t="e">
        <f t="shared" si="7"/>
        <v>#N/A</v>
      </c>
      <c r="I47" s="16" t="e">
        <f t="shared" si="1"/>
        <v>#N/A</v>
      </c>
      <c r="J47" s="16"/>
      <c r="K47" s="16"/>
      <c r="L47" s="16"/>
      <c r="M47" s="16"/>
      <c r="N47" s="16">
        <f t="shared" si="2"/>
        <v>0</v>
      </c>
      <c r="O47" s="16" t="e">
        <f t="shared" si="3"/>
        <v>#N/A</v>
      </c>
      <c r="P47" s="16">
        <v>6.9444444444444397E-3</v>
      </c>
      <c r="Q47" s="16"/>
      <c r="R47" s="16">
        <f t="shared" si="4"/>
        <v>-6.9444444444444397E-3</v>
      </c>
      <c r="S47" s="16"/>
      <c r="T47" s="16" t="e">
        <f>VLOOKUP(E47,'[2]21-3-2026'!E$3:T$35,16,FALSE)</f>
        <v>#N/A</v>
      </c>
      <c r="U47" s="16"/>
      <c r="V47" s="16" t="e">
        <f t="shared" si="5"/>
        <v>#N/A</v>
      </c>
      <c r="W47" s="16"/>
      <c r="X47" s="16"/>
      <c r="Y47" s="16"/>
      <c r="Z47" s="16">
        <f t="shared" si="6"/>
        <v>0</v>
      </c>
      <c r="AA47" s="16">
        <f t="shared" si="0"/>
        <v>0</v>
      </c>
      <c r="AB47" s="16"/>
      <c r="AC47" s="17"/>
      <c r="AD47" s="51"/>
    </row>
    <row r="48" spans="1:30" ht="19.5" thickBot="1" x14ac:dyDescent="0.3">
      <c r="A48" s="14">
        <v>13</v>
      </c>
      <c r="B48" s="15"/>
      <c r="C48" s="15" t="e">
        <f>VLOOKUP(B48,داتا!$B$3:$D$107,2,FALSE)</f>
        <v>#N/A</v>
      </c>
      <c r="D48" s="34" t="e">
        <f>VLOOKUP(B48,داتا!$B$3:$D$107,3,FALSE)</f>
        <v>#N/A</v>
      </c>
      <c r="E48" s="15"/>
      <c r="F48" s="15"/>
      <c r="G48" s="16">
        <v>0.25</v>
      </c>
      <c r="H48" s="16" t="e">
        <f t="shared" si="7"/>
        <v>#N/A</v>
      </c>
      <c r="I48" s="16" t="e">
        <f t="shared" si="1"/>
        <v>#N/A</v>
      </c>
      <c r="J48" s="16"/>
      <c r="K48" s="16"/>
      <c r="L48" s="16"/>
      <c r="M48" s="16"/>
      <c r="N48" s="16">
        <f t="shared" si="2"/>
        <v>0</v>
      </c>
      <c r="O48" s="16" t="e">
        <f t="shared" si="3"/>
        <v>#N/A</v>
      </c>
      <c r="P48" s="16">
        <v>6.9444444444444397E-3</v>
      </c>
      <c r="Q48" s="16"/>
      <c r="R48" s="16">
        <f t="shared" si="4"/>
        <v>-6.9444444444444397E-3</v>
      </c>
      <c r="S48" s="16"/>
      <c r="T48" s="16" t="e">
        <f>VLOOKUP(E48,'[2]21-3-2026'!E$3:T$35,16,FALSE)</f>
        <v>#N/A</v>
      </c>
      <c r="U48" s="16"/>
      <c r="V48" s="16" t="e">
        <f t="shared" si="5"/>
        <v>#N/A</v>
      </c>
      <c r="W48" s="16"/>
      <c r="X48" s="16"/>
      <c r="Y48" s="16"/>
      <c r="Z48" s="16">
        <f t="shared" si="6"/>
        <v>0</v>
      </c>
      <c r="AA48" s="16">
        <f t="shared" si="0"/>
        <v>0</v>
      </c>
      <c r="AB48" s="16"/>
      <c r="AC48" s="17"/>
      <c r="AD48" s="51"/>
    </row>
    <row r="49" spans="1:30" ht="19.5" thickBot="1" x14ac:dyDescent="0.3">
      <c r="A49" s="14">
        <v>14</v>
      </c>
      <c r="B49" s="15"/>
      <c r="C49" s="15" t="e">
        <f>VLOOKUP(B49,داتا!$B$3:$D$107,2,FALSE)</f>
        <v>#N/A</v>
      </c>
      <c r="D49" s="34" t="e">
        <f>VLOOKUP(B49,داتا!$B$3:$D$107,3,FALSE)</f>
        <v>#N/A</v>
      </c>
      <c r="E49" s="15"/>
      <c r="F49" s="15"/>
      <c r="G49" s="16">
        <v>0.25</v>
      </c>
      <c r="H49" s="16" t="e">
        <f t="shared" si="7"/>
        <v>#N/A</v>
      </c>
      <c r="I49" s="16" t="e">
        <f t="shared" si="1"/>
        <v>#N/A</v>
      </c>
      <c r="J49" s="16"/>
      <c r="K49" s="16"/>
      <c r="L49" s="16"/>
      <c r="M49" s="16"/>
      <c r="N49" s="16">
        <f t="shared" si="2"/>
        <v>0</v>
      </c>
      <c r="O49" s="16" t="e">
        <f t="shared" si="3"/>
        <v>#N/A</v>
      </c>
      <c r="P49" s="16">
        <v>6.9444444444444397E-3</v>
      </c>
      <c r="Q49" s="16"/>
      <c r="R49" s="16">
        <f t="shared" si="4"/>
        <v>-6.9444444444444397E-3</v>
      </c>
      <c r="S49" s="16"/>
      <c r="T49" s="16" t="e">
        <f>VLOOKUP(E49,'[2]21-3-2026'!E$3:T$35,16,FALSE)</f>
        <v>#N/A</v>
      </c>
      <c r="U49" s="16"/>
      <c r="V49" s="16" t="e">
        <f t="shared" si="5"/>
        <v>#N/A</v>
      </c>
      <c r="W49" s="16"/>
      <c r="X49" s="16"/>
      <c r="Y49" s="16"/>
      <c r="Z49" s="16">
        <f t="shared" si="6"/>
        <v>0</v>
      </c>
      <c r="AA49" s="16">
        <f t="shared" si="0"/>
        <v>0</v>
      </c>
      <c r="AB49" s="16"/>
      <c r="AC49" s="17"/>
      <c r="AD49" s="51"/>
    </row>
    <row r="50" spans="1:30" ht="19.5" thickBot="1" x14ac:dyDescent="0.3">
      <c r="A50" s="14">
        <v>15</v>
      </c>
      <c r="B50" s="15"/>
      <c r="C50" s="15" t="e">
        <f>VLOOKUP(B50,داتا!$B$3:$D$107,2,FALSE)</f>
        <v>#N/A</v>
      </c>
      <c r="D50" s="34" t="e">
        <f>VLOOKUP(B50,داتا!$B$3:$D$107,3,FALSE)</f>
        <v>#N/A</v>
      </c>
      <c r="E50" s="15"/>
      <c r="F50" s="15"/>
      <c r="G50" s="16">
        <v>0.25</v>
      </c>
      <c r="H50" s="16" t="e">
        <f t="shared" si="7"/>
        <v>#N/A</v>
      </c>
      <c r="I50" s="16" t="e">
        <f t="shared" si="1"/>
        <v>#N/A</v>
      </c>
      <c r="J50" s="16"/>
      <c r="K50" s="16"/>
      <c r="L50" s="16"/>
      <c r="M50" s="16"/>
      <c r="N50" s="16">
        <f t="shared" si="2"/>
        <v>0</v>
      </c>
      <c r="O50" s="16" t="e">
        <f t="shared" si="3"/>
        <v>#N/A</v>
      </c>
      <c r="P50" s="16">
        <v>6.9444444444444397E-3</v>
      </c>
      <c r="Q50" s="16"/>
      <c r="R50" s="16">
        <f t="shared" si="4"/>
        <v>-6.9444444444444397E-3</v>
      </c>
      <c r="S50" s="16"/>
      <c r="T50" s="16" t="e">
        <f>VLOOKUP(E50,'[2]21-3-2026'!E$3:T$35,16,FALSE)</f>
        <v>#N/A</v>
      </c>
      <c r="U50" s="16"/>
      <c r="V50" s="16" t="e">
        <f t="shared" si="5"/>
        <v>#N/A</v>
      </c>
      <c r="W50" s="16"/>
      <c r="X50" s="16"/>
      <c r="Y50" s="16"/>
      <c r="Z50" s="16">
        <f t="shared" si="6"/>
        <v>0</v>
      </c>
      <c r="AA50" s="16">
        <f t="shared" si="0"/>
        <v>0</v>
      </c>
      <c r="AB50" s="16"/>
      <c r="AC50" s="17"/>
      <c r="AD50" s="51"/>
    </row>
    <row r="51" spans="1:30" ht="19.5" thickBot="1" x14ac:dyDescent="0.3">
      <c r="A51" s="14">
        <v>16</v>
      </c>
      <c r="B51" s="15"/>
      <c r="C51" s="15" t="e">
        <f>VLOOKUP(B51,داتا!$B$3:$D$107,2,FALSE)</f>
        <v>#N/A</v>
      </c>
      <c r="D51" s="34" t="e">
        <f>VLOOKUP(B51,داتا!$B$3:$D$107,3,FALSE)</f>
        <v>#N/A</v>
      </c>
      <c r="E51" s="15"/>
      <c r="F51" s="15"/>
      <c r="G51" s="16">
        <v>0.25</v>
      </c>
      <c r="H51" s="16" t="e">
        <f t="shared" si="7"/>
        <v>#N/A</v>
      </c>
      <c r="I51" s="16" t="e">
        <f t="shared" si="1"/>
        <v>#N/A</v>
      </c>
      <c r="J51" s="16"/>
      <c r="K51" s="16"/>
      <c r="L51" s="16"/>
      <c r="M51" s="16"/>
      <c r="N51" s="16">
        <f t="shared" si="2"/>
        <v>0</v>
      </c>
      <c r="O51" s="16" t="e">
        <f t="shared" si="3"/>
        <v>#N/A</v>
      </c>
      <c r="P51" s="16">
        <v>6.9444444444444397E-3</v>
      </c>
      <c r="Q51" s="16"/>
      <c r="R51" s="16">
        <f t="shared" si="4"/>
        <v>-6.9444444444444397E-3</v>
      </c>
      <c r="S51" s="16"/>
      <c r="T51" s="16" t="e">
        <f>VLOOKUP(E51,'[2]21-3-2026'!E$3:T$35,16,FALSE)</f>
        <v>#N/A</v>
      </c>
      <c r="U51" s="16"/>
      <c r="V51" s="16" t="e">
        <f t="shared" si="5"/>
        <v>#N/A</v>
      </c>
      <c r="W51" s="16"/>
      <c r="X51" s="16"/>
      <c r="Y51" s="16"/>
      <c r="Z51" s="16">
        <f t="shared" si="6"/>
        <v>0</v>
      </c>
      <c r="AA51" s="16">
        <f t="shared" si="0"/>
        <v>0</v>
      </c>
      <c r="AB51" s="16"/>
      <c r="AC51" s="17"/>
      <c r="AD51" s="51"/>
    </row>
    <row r="52" spans="1:30" ht="19.5" thickBot="1" x14ac:dyDescent="0.3">
      <c r="A52" s="14">
        <v>17</v>
      </c>
      <c r="B52" s="15"/>
      <c r="C52" s="15" t="e">
        <f>VLOOKUP(B52,داتا!$B$3:$D$107,2,FALSE)</f>
        <v>#N/A</v>
      </c>
      <c r="D52" s="34" t="e">
        <f>VLOOKUP(B52,داتا!$B$3:$D$107,3,FALSE)</f>
        <v>#N/A</v>
      </c>
      <c r="E52" s="15"/>
      <c r="F52" s="15"/>
      <c r="G52" s="16">
        <v>0.25</v>
      </c>
      <c r="H52" s="16" t="e">
        <f t="shared" si="7"/>
        <v>#N/A</v>
      </c>
      <c r="I52" s="16" t="e">
        <f t="shared" si="1"/>
        <v>#N/A</v>
      </c>
      <c r="J52" s="16"/>
      <c r="K52" s="16"/>
      <c r="L52" s="16"/>
      <c r="M52" s="16"/>
      <c r="N52" s="16">
        <f t="shared" si="2"/>
        <v>0</v>
      </c>
      <c r="O52" s="16" t="e">
        <f t="shared" si="3"/>
        <v>#N/A</v>
      </c>
      <c r="P52" s="16">
        <v>6.9444444444444397E-3</v>
      </c>
      <c r="Q52" s="16"/>
      <c r="R52" s="16">
        <f t="shared" si="4"/>
        <v>-6.9444444444444397E-3</v>
      </c>
      <c r="S52" s="16"/>
      <c r="T52" s="16" t="e">
        <f>VLOOKUP(E52,'[2]21-3-2026'!E$3:T$35,16,FALSE)</f>
        <v>#N/A</v>
      </c>
      <c r="U52" s="16"/>
      <c r="V52" s="16" t="e">
        <f t="shared" si="5"/>
        <v>#N/A</v>
      </c>
      <c r="W52" s="16"/>
      <c r="X52" s="16"/>
      <c r="Y52" s="16"/>
      <c r="Z52" s="16">
        <f t="shared" si="6"/>
        <v>0</v>
      </c>
      <c r="AA52" s="16">
        <f t="shared" si="0"/>
        <v>0</v>
      </c>
      <c r="AB52" s="16"/>
      <c r="AC52" s="17"/>
      <c r="AD52" s="51"/>
    </row>
    <row r="53" spans="1:30" ht="19.5" thickBot="1" x14ac:dyDescent="0.3">
      <c r="A53" s="14">
        <v>18</v>
      </c>
      <c r="B53" s="15"/>
      <c r="C53" s="15" t="e">
        <f>VLOOKUP(B53,داتا!$B$3:$D$107,2,FALSE)</f>
        <v>#N/A</v>
      </c>
      <c r="D53" s="34" t="e">
        <f>VLOOKUP(B53,داتا!$B$3:$D$107,3,FALSE)</f>
        <v>#N/A</v>
      </c>
      <c r="E53" s="15"/>
      <c r="F53" s="15"/>
      <c r="G53" s="16">
        <v>0.25</v>
      </c>
      <c r="H53" s="16" t="e">
        <f t="shared" ref="H53:H68" si="8">VLOOKUP(G53,$F$3:$I$35,2,FALSE)</f>
        <v>#N/A</v>
      </c>
      <c r="I53" s="16" t="e">
        <f t="shared" si="1"/>
        <v>#N/A</v>
      </c>
      <c r="J53" s="16"/>
      <c r="K53" s="16"/>
      <c r="L53" s="16"/>
      <c r="M53" s="16"/>
      <c r="N53" s="16">
        <f t="shared" si="2"/>
        <v>0</v>
      </c>
      <c r="O53" s="16" t="e">
        <f t="shared" si="3"/>
        <v>#N/A</v>
      </c>
      <c r="P53" s="16">
        <v>6.9444444444444397E-3</v>
      </c>
      <c r="Q53" s="16"/>
      <c r="R53" s="16">
        <f t="shared" si="4"/>
        <v>-6.9444444444444397E-3</v>
      </c>
      <c r="S53" s="16"/>
      <c r="T53" s="16" t="e">
        <f>VLOOKUP(E53,'[2]21-3-2026'!E$3:T$35,16,FALSE)</f>
        <v>#N/A</v>
      </c>
      <c r="U53" s="16"/>
      <c r="V53" s="16" t="e">
        <f t="shared" si="5"/>
        <v>#N/A</v>
      </c>
      <c r="W53" s="16"/>
      <c r="X53" s="16"/>
      <c r="Y53" s="16"/>
      <c r="Z53" s="16">
        <f t="shared" si="6"/>
        <v>0</v>
      </c>
      <c r="AA53" s="16">
        <f t="shared" si="0"/>
        <v>0</v>
      </c>
      <c r="AB53" s="16"/>
      <c r="AC53" s="17"/>
      <c r="AD53" s="51"/>
    </row>
    <row r="54" spans="1:30" ht="19.5" thickBot="1" x14ac:dyDescent="0.3">
      <c r="A54" s="14">
        <v>19</v>
      </c>
      <c r="B54" s="15"/>
      <c r="C54" s="15" t="e">
        <f>VLOOKUP(B54,داتا!$B$3:$D$107,2,FALSE)</f>
        <v>#N/A</v>
      </c>
      <c r="D54" s="34" t="e">
        <f>VLOOKUP(B54,داتا!$B$3:$D$107,3,FALSE)</f>
        <v>#N/A</v>
      </c>
      <c r="E54" s="15"/>
      <c r="F54" s="15"/>
      <c r="G54" s="16">
        <v>0.25</v>
      </c>
      <c r="H54" s="16" t="e">
        <f t="shared" si="8"/>
        <v>#N/A</v>
      </c>
      <c r="I54" s="16" t="e">
        <f t="shared" si="1"/>
        <v>#N/A</v>
      </c>
      <c r="J54" s="16"/>
      <c r="K54" s="16"/>
      <c r="L54" s="16"/>
      <c r="M54" s="16"/>
      <c r="N54" s="16">
        <f t="shared" si="2"/>
        <v>0</v>
      </c>
      <c r="O54" s="16" t="e">
        <f t="shared" si="3"/>
        <v>#N/A</v>
      </c>
      <c r="P54" s="16">
        <v>6.9444444444444397E-3</v>
      </c>
      <c r="Q54" s="16"/>
      <c r="R54" s="16">
        <f t="shared" si="4"/>
        <v>-6.9444444444444397E-3</v>
      </c>
      <c r="S54" s="16"/>
      <c r="T54" s="16" t="e">
        <f>VLOOKUP(E54,'[2]21-3-2026'!E$3:T$35,16,FALSE)</f>
        <v>#N/A</v>
      </c>
      <c r="U54" s="16"/>
      <c r="V54" s="16" t="e">
        <f t="shared" si="5"/>
        <v>#N/A</v>
      </c>
      <c r="W54" s="16"/>
      <c r="X54" s="16"/>
      <c r="Y54" s="16"/>
      <c r="Z54" s="16">
        <f t="shared" si="6"/>
        <v>0</v>
      </c>
      <c r="AA54" s="16">
        <f t="shared" si="0"/>
        <v>0</v>
      </c>
      <c r="AB54" s="16"/>
      <c r="AC54" s="17"/>
      <c r="AD54" s="51"/>
    </row>
    <row r="55" spans="1:30" ht="19.5" thickBot="1" x14ac:dyDescent="0.3">
      <c r="A55" s="14">
        <v>20</v>
      </c>
      <c r="B55" s="15"/>
      <c r="C55" s="15" t="e">
        <f>VLOOKUP(B55,داتا!$B$3:$D$107,2,FALSE)</f>
        <v>#N/A</v>
      </c>
      <c r="D55" s="34" t="e">
        <f>VLOOKUP(B55,داتا!$B$3:$D$107,3,FALSE)</f>
        <v>#N/A</v>
      </c>
      <c r="E55" s="15"/>
      <c r="F55" s="15"/>
      <c r="G55" s="16">
        <v>0.25</v>
      </c>
      <c r="H55" s="16" t="e">
        <f t="shared" si="8"/>
        <v>#N/A</v>
      </c>
      <c r="I55" s="16" t="e">
        <f t="shared" si="1"/>
        <v>#N/A</v>
      </c>
      <c r="J55" s="16"/>
      <c r="K55" s="16"/>
      <c r="L55" s="16"/>
      <c r="M55" s="16"/>
      <c r="N55" s="16">
        <f t="shared" si="2"/>
        <v>0</v>
      </c>
      <c r="O55" s="16" t="e">
        <f t="shared" si="3"/>
        <v>#N/A</v>
      </c>
      <c r="P55" s="16">
        <v>6.9444444444444397E-3</v>
      </c>
      <c r="Q55" s="16"/>
      <c r="R55" s="16">
        <f t="shared" si="4"/>
        <v>-6.9444444444444397E-3</v>
      </c>
      <c r="S55" s="16"/>
      <c r="T55" s="16" t="e">
        <f>VLOOKUP(E55,'[2]21-3-2026'!E$3:T$35,16,FALSE)</f>
        <v>#N/A</v>
      </c>
      <c r="U55" s="16"/>
      <c r="V55" s="16" t="e">
        <f t="shared" si="5"/>
        <v>#N/A</v>
      </c>
      <c r="W55" s="16"/>
      <c r="X55" s="16"/>
      <c r="Y55" s="16"/>
      <c r="Z55" s="16">
        <f t="shared" si="6"/>
        <v>0</v>
      </c>
      <c r="AA55" s="16">
        <f t="shared" si="0"/>
        <v>0</v>
      </c>
      <c r="AB55" s="16"/>
      <c r="AC55" s="17"/>
      <c r="AD55" s="51"/>
    </row>
    <row r="56" spans="1:30" ht="19.5" thickBot="1" x14ac:dyDescent="0.3">
      <c r="A56" s="14">
        <v>21</v>
      </c>
      <c r="B56" s="15"/>
      <c r="C56" s="15" t="e">
        <f>VLOOKUP(B56,داتا!$B$3:$D$107,2,FALSE)</f>
        <v>#N/A</v>
      </c>
      <c r="D56" s="34" t="e">
        <f>VLOOKUP(B56,داتا!$B$3:$D$107,3,FALSE)</f>
        <v>#N/A</v>
      </c>
      <c r="E56" s="15"/>
      <c r="F56" s="15"/>
      <c r="G56" s="16">
        <v>0.25</v>
      </c>
      <c r="H56" s="16" t="e">
        <f t="shared" si="8"/>
        <v>#N/A</v>
      </c>
      <c r="I56" s="16" t="e">
        <f t="shared" si="1"/>
        <v>#N/A</v>
      </c>
      <c r="J56" s="16"/>
      <c r="K56" s="16"/>
      <c r="L56" s="15"/>
      <c r="M56" s="15"/>
      <c r="N56" s="16">
        <f t="shared" si="2"/>
        <v>0</v>
      </c>
      <c r="O56" s="16" t="e">
        <f t="shared" si="3"/>
        <v>#N/A</v>
      </c>
      <c r="P56" s="16">
        <v>6.9444444444444397E-3</v>
      </c>
      <c r="Q56" s="16"/>
      <c r="R56" s="16">
        <f t="shared" si="4"/>
        <v>-6.9444444444444397E-3</v>
      </c>
      <c r="S56" s="16"/>
      <c r="T56" s="16" t="e">
        <f>VLOOKUP(E56,'[2]21-3-2026'!E$3:T$35,16,FALSE)</f>
        <v>#N/A</v>
      </c>
      <c r="U56" s="16"/>
      <c r="V56" s="16" t="e">
        <f t="shared" si="5"/>
        <v>#N/A</v>
      </c>
      <c r="W56" s="16"/>
      <c r="X56" s="16"/>
      <c r="Y56" s="16"/>
      <c r="Z56" s="16">
        <f t="shared" si="6"/>
        <v>0</v>
      </c>
      <c r="AA56" s="16">
        <f t="shared" si="0"/>
        <v>0</v>
      </c>
      <c r="AB56" s="16"/>
      <c r="AC56" s="17"/>
      <c r="AD56" s="51"/>
    </row>
    <row r="57" spans="1:30" ht="19.5" thickBot="1" x14ac:dyDescent="0.3">
      <c r="A57" s="14">
        <v>22</v>
      </c>
      <c r="B57" s="15"/>
      <c r="C57" s="15" t="e">
        <f>VLOOKUP(B57,داتا!$B$3:$D$107,2,FALSE)</f>
        <v>#N/A</v>
      </c>
      <c r="D57" s="34" t="e">
        <f>VLOOKUP(B57,داتا!$B$3:$D$107,3,FALSE)</f>
        <v>#N/A</v>
      </c>
      <c r="E57" s="15"/>
      <c r="F57" s="15"/>
      <c r="G57" s="16">
        <v>0.25</v>
      </c>
      <c r="H57" s="16" t="e">
        <f t="shared" si="8"/>
        <v>#N/A</v>
      </c>
      <c r="I57" s="16" t="e">
        <f t="shared" si="1"/>
        <v>#N/A</v>
      </c>
      <c r="J57" s="16"/>
      <c r="K57" s="16"/>
      <c r="L57" s="15"/>
      <c r="M57" s="15"/>
      <c r="N57" s="16">
        <f t="shared" si="2"/>
        <v>0</v>
      </c>
      <c r="O57" s="16" t="e">
        <f t="shared" si="3"/>
        <v>#N/A</v>
      </c>
      <c r="P57" s="16">
        <v>6.9444444444444397E-3</v>
      </c>
      <c r="Q57" s="16"/>
      <c r="R57" s="16">
        <f t="shared" si="4"/>
        <v>-6.9444444444444397E-3</v>
      </c>
      <c r="S57" s="16"/>
      <c r="T57" s="16" t="e">
        <f>VLOOKUP(E57,'[2]21-3-2026'!E$3:T$35,16,FALSE)</f>
        <v>#N/A</v>
      </c>
      <c r="U57" s="16"/>
      <c r="V57" s="16" t="e">
        <f t="shared" si="5"/>
        <v>#N/A</v>
      </c>
      <c r="W57" s="16"/>
      <c r="X57" s="16"/>
      <c r="Y57" s="16"/>
      <c r="Z57" s="16">
        <f t="shared" si="6"/>
        <v>0</v>
      </c>
      <c r="AA57" s="16">
        <f t="shared" si="0"/>
        <v>0</v>
      </c>
      <c r="AB57" s="16"/>
      <c r="AC57" s="17"/>
      <c r="AD57" s="51"/>
    </row>
    <row r="58" spans="1:30" ht="19.5" thickBot="1" x14ac:dyDescent="0.3">
      <c r="A58" s="14">
        <v>23</v>
      </c>
      <c r="B58" s="15"/>
      <c r="C58" s="15" t="e">
        <f>VLOOKUP(B58,داتا!$B$3:$D$107,2,FALSE)</f>
        <v>#N/A</v>
      </c>
      <c r="D58" s="34" t="e">
        <f>VLOOKUP(B58,داتا!$B$3:$D$107,3,FALSE)</f>
        <v>#N/A</v>
      </c>
      <c r="E58" s="15"/>
      <c r="F58" s="15"/>
      <c r="G58" s="16">
        <v>0.25</v>
      </c>
      <c r="H58" s="16" t="e">
        <f t="shared" si="8"/>
        <v>#N/A</v>
      </c>
      <c r="I58" s="16" t="e">
        <f t="shared" si="1"/>
        <v>#N/A</v>
      </c>
      <c r="J58" s="16"/>
      <c r="K58" s="16"/>
      <c r="L58" s="16"/>
      <c r="M58" s="16"/>
      <c r="N58" s="16">
        <f t="shared" si="2"/>
        <v>0</v>
      </c>
      <c r="O58" s="16" t="e">
        <f t="shared" si="3"/>
        <v>#N/A</v>
      </c>
      <c r="P58" s="16">
        <v>6.9444444444444397E-3</v>
      </c>
      <c r="Q58" s="16"/>
      <c r="R58" s="16">
        <f t="shared" si="4"/>
        <v>-6.9444444444444397E-3</v>
      </c>
      <c r="S58" s="16"/>
      <c r="T58" s="16" t="e">
        <f>VLOOKUP(E58,'[2]21-3-2026'!E$3:T$35,16,FALSE)</f>
        <v>#N/A</v>
      </c>
      <c r="U58" s="16"/>
      <c r="V58" s="16" t="e">
        <f t="shared" si="5"/>
        <v>#N/A</v>
      </c>
      <c r="W58" s="16"/>
      <c r="X58" s="16"/>
      <c r="Y58" s="16"/>
      <c r="Z58" s="16">
        <f t="shared" si="6"/>
        <v>0</v>
      </c>
      <c r="AA58" s="16">
        <f t="shared" si="0"/>
        <v>0</v>
      </c>
      <c r="AB58" s="16"/>
      <c r="AC58" s="17"/>
      <c r="AD58" s="51"/>
    </row>
    <row r="59" spans="1:30" ht="19.5" thickBot="1" x14ac:dyDescent="0.3">
      <c r="A59" s="14">
        <v>24</v>
      </c>
      <c r="B59" s="15"/>
      <c r="C59" s="15" t="e">
        <f>VLOOKUP(B59,داتا!$B$3:$D$107,2,FALSE)</f>
        <v>#N/A</v>
      </c>
      <c r="D59" s="34" t="e">
        <f>VLOOKUP(B59,داتا!$B$3:$D$107,3,FALSE)</f>
        <v>#N/A</v>
      </c>
      <c r="E59" s="16"/>
      <c r="F59" s="15"/>
      <c r="G59" s="16">
        <v>0.25</v>
      </c>
      <c r="H59" s="16" t="e">
        <f t="shared" si="8"/>
        <v>#N/A</v>
      </c>
      <c r="I59" s="16" t="e">
        <f t="shared" si="1"/>
        <v>#N/A</v>
      </c>
      <c r="J59" s="16"/>
      <c r="K59" s="16"/>
      <c r="L59" s="15"/>
      <c r="M59" s="15"/>
      <c r="N59" s="16">
        <f t="shared" si="2"/>
        <v>0</v>
      </c>
      <c r="O59" s="16" t="e">
        <f t="shared" si="3"/>
        <v>#N/A</v>
      </c>
      <c r="P59" s="16">
        <v>6.9444444444444397E-3</v>
      </c>
      <c r="Q59" s="16"/>
      <c r="R59" s="16">
        <f t="shared" si="4"/>
        <v>-6.9444444444444397E-3</v>
      </c>
      <c r="S59" s="16"/>
      <c r="T59" s="16" t="e">
        <f>VLOOKUP(E59,'[2]21-3-2026'!E$3:T$35,16,FALSE)</f>
        <v>#N/A</v>
      </c>
      <c r="U59" s="16"/>
      <c r="V59" s="16" t="e">
        <f t="shared" si="5"/>
        <v>#N/A</v>
      </c>
      <c r="W59" s="16"/>
      <c r="X59" s="16"/>
      <c r="Y59" s="16"/>
      <c r="Z59" s="16">
        <f t="shared" si="6"/>
        <v>0</v>
      </c>
      <c r="AA59" s="16">
        <f t="shared" si="0"/>
        <v>0</v>
      </c>
      <c r="AB59" s="16"/>
      <c r="AC59" s="17"/>
      <c r="AD59" s="51"/>
    </row>
    <row r="60" spans="1:30" ht="19.5" thickBot="1" x14ac:dyDescent="0.3">
      <c r="A60" s="14">
        <v>25</v>
      </c>
      <c r="B60" s="15"/>
      <c r="C60" s="15" t="e">
        <f>VLOOKUP(B60,داتا!$B$3:$D$107,2,FALSE)</f>
        <v>#N/A</v>
      </c>
      <c r="D60" s="34" t="e">
        <f>VLOOKUP(B60,داتا!$B$3:$D$107,3,FALSE)</f>
        <v>#N/A</v>
      </c>
      <c r="E60" s="15"/>
      <c r="F60" s="15"/>
      <c r="G60" s="16">
        <v>0.25</v>
      </c>
      <c r="H60" s="16" t="e">
        <f t="shared" si="8"/>
        <v>#N/A</v>
      </c>
      <c r="I60" s="16" t="e">
        <f t="shared" si="1"/>
        <v>#N/A</v>
      </c>
      <c r="J60" s="16"/>
      <c r="K60" s="16"/>
      <c r="L60" s="16"/>
      <c r="M60" s="16"/>
      <c r="N60" s="16">
        <f t="shared" si="2"/>
        <v>0</v>
      </c>
      <c r="O60" s="16" t="e">
        <f t="shared" si="3"/>
        <v>#N/A</v>
      </c>
      <c r="P60" s="16">
        <v>6.9444444444444397E-3</v>
      </c>
      <c r="Q60" s="16"/>
      <c r="R60" s="16">
        <f t="shared" si="4"/>
        <v>-6.9444444444444397E-3</v>
      </c>
      <c r="S60" s="16"/>
      <c r="T60" s="16" t="e">
        <f>VLOOKUP(E60,'[2]21-3-2026'!E$3:T$35,16,FALSE)</f>
        <v>#N/A</v>
      </c>
      <c r="U60" s="16"/>
      <c r="V60" s="16" t="e">
        <f t="shared" si="5"/>
        <v>#N/A</v>
      </c>
      <c r="W60" s="16"/>
      <c r="X60" s="16"/>
      <c r="Y60" s="16"/>
      <c r="Z60" s="16">
        <f t="shared" si="6"/>
        <v>0</v>
      </c>
      <c r="AA60" s="16">
        <f t="shared" si="0"/>
        <v>0</v>
      </c>
      <c r="AB60" s="16"/>
      <c r="AC60" s="17"/>
      <c r="AD60" s="51"/>
    </row>
    <row r="61" spans="1:30" ht="19.5" thickBot="1" x14ac:dyDescent="0.3">
      <c r="A61" s="14">
        <v>26</v>
      </c>
      <c r="B61" s="15"/>
      <c r="C61" s="15" t="e">
        <f>VLOOKUP(B61,داتا!$B$3:$D$107,2,FALSE)</f>
        <v>#N/A</v>
      </c>
      <c r="D61" s="34" t="e">
        <f>VLOOKUP(B61,داتا!$B$3:$D$107,3,FALSE)</f>
        <v>#N/A</v>
      </c>
      <c r="E61" s="15"/>
      <c r="F61" s="15"/>
      <c r="G61" s="16">
        <v>0.25</v>
      </c>
      <c r="H61" s="16" t="e">
        <f t="shared" si="8"/>
        <v>#N/A</v>
      </c>
      <c r="I61" s="16" t="e">
        <f t="shared" si="1"/>
        <v>#N/A</v>
      </c>
      <c r="J61" s="16"/>
      <c r="K61" s="16"/>
      <c r="L61" s="16"/>
      <c r="M61" s="16"/>
      <c r="N61" s="16">
        <f t="shared" si="2"/>
        <v>0</v>
      </c>
      <c r="O61" s="16" t="e">
        <f t="shared" si="3"/>
        <v>#N/A</v>
      </c>
      <c r="P61" s="16">
        <v>6.9444444444444397E-3</v>
      </c>
      <c r="Q61" s="16"/>
      <c r="R61" s="16">
        <f t="shared" si="4"/>
        <v>-6.9444444444444397E-3</v>
      </c>
      <c r="S61" s="16"/>
      <c r="T61" s="16" t="e">
        <f>VLOOKUP(E61,'[2]21-3-2026'!E$3:T$35,16,FALSE)</f>
        <v>#N/A</v>
      </c>
      <c r="U61" s="16"/>
      <c r="V61" s="16" t="e">
        <f t="shared" si="5"/>
        <v>#N/A</v>
      </c>
      <c r="W61" s="16"/>
      <c r="X61" s="16"/>
      <c r="Y61" s="16"/>
      <c r="Z61" s="16">
        <f t="shared" si="6"/>
        <v>0</v>
      </c>
      <c r="AA61" s="16">
        <f t="shared" si="0"/>
        <v>0</v>
      </c>
      <c r="AB61" s="16"/>
      <c r="AC61" s="17"/>
      <c r="AD61" s="51"/>
    </row>
    <row r="62" spans="1:30" ht="19.5" thickBot="1" x14ac:dyDescent="0.3">
      <c r="A62" s="14">
        <v>27</v>
      </c>
      <c r="B62" s="15"/>
      <c r="C62" s="15" t="e">
        <f>VLOOKUP(B62,داتا!$B$3:$D$107,2,FALSE)</f>
        <v>#N/A</v>
      </c>
      <c r="D62" s="34" t="e">
        <f>VLOOKUP(B62,داتا!$B$3:$D$107,3,FALSE)</f>
        <v>#N/A</v>
      </c>
      <c r="E62" s="15"/>
      <c r="F62" s="15"/>
      <c r="G62" s="16">
        <v>0.25</v>
      </c>
      <c r="H62" s="16" t="e">
        <f t="shared" si="8"/>
        <v>#N/A</v>
      </c>
      <c r="I62" s="16" t="e">
        <f t="shared" si="1"/>
        <v>#N/A</v>
      </c>
      <c r="J62" s="16"/>
      <c r="K62" s="16"/>
      <c r="L62" s="16"/>
      <c r="M62" s="16"/>
      <c r="N62" s="16">
        <f t="shared" si="2"/>
        <v>0</v>
      </c>
      <c r="O62" s="16" t="e">
        <f t="shared" si="3"/>
        <v>#N/A</v>
      </c>
      <c r="P62" s="16">
        <v>6.9444444444444397E-3</v>
      </c>
      <c r="Q62" s="16"/>
      <c r="R62" s="16">
        <f t="shared" si="4"/>
        <v>-6.9444444444444397E-3</v>
      </c>
      <c r="S62" s="16"/>
      <c r="T62" s="16" t="e">
        <f>VLOOKUP(E62,'[2]21-3-2026'!E$3:T$35,16,FALSE)</f>
        <v>#N/A</v>
      </c>
      <c r="U62" s="16"/>
      <c r="V62" s="16" t="e">
        <f t="shared" si="5"/>
        <v>#N/A</v>
      </c>
      <c r="W62" s="16"/>
      <c r="X62" s="16"/>
      <c r="Y62" s="16"/>
      <c r="Z62" s="16">
        <f t="shared" si="6"/>
        <v>0</v>
      </c>
      <c r="AA62" s="16">
        <f t="shared" si="0"/>
        <v>0</v>
      </c>
      <c r="AB62" s="16"/>
      <c r="AC62" s="17"/>
      <c r="AD62" s="51"/>
    </row>
    <row r="63" spans="1:30" ht="19.5" thickBot="1" x14ac:dyDescent="0.3">
      <c r="A63" s="14">
        <v>28</v>
      </c>
      <c r="B63" s="15"/>
      <c r="C63" s="15" t="e">
        <f>VLOOKUP(B63,داتا!$B$3:$D$107,2,FALSE)</f>
        <v>#N/A</v>
      </c>
      <c r="D63" s="34" t="e">
        <f>VLOOKUP(B63,داتا!$B$3:$D$107,3,FALSE)</f>
        <v>#N/A</v>
      </c>
      <c r="E63" s="15"/>
      <c r="F63" s="15"/>
      <c r="G63" s="16">
        <v>0.25</v>
      </c>
      <c r="H63" s="16" t="e">
        <f t="shared" si="8"/>
        <v>#N/A</v>
      </c>
      <c r="I63" s="16" t="e">
        <f t="shared" si="1"/>
        <v>#N/A</v>
      </c>
      <c r="J63" s="16"/>
      <c r="K63" s="16"/>
      <c r="L63" s="16"/>
      <c r="M63" s="16"/>
      <c r="N63" s="16">
        <f t="shared" si="2"/>
        <v>0</v>
      </c>
      <c r="O63" s="16" t="e">
        <f t="shared" si="3"/>
        <v>#N/A</v>
      </c>
      <c r="P63" s="16">
        <v>6.9444444444444397E-3</v>
      </c>
      <c r="Q63" s="16"/>
      <c r="R63" s="16">
        <f t="shared" si="4"/>
        <v>-6.9444444444444397E-3</v>
      </c>
      <c r="S63" s="16"/>
      <c r="T63" s="16" t="e">
        <f>VLOOKUP(E63,'[2]21-3-2026'!E$3:T$35,16,FALSE)</f>
        <v>#N/A</v>
      </c>
      <c r="U63" s="16"/>
      <c r="V63" s="16" t="e">
        <f t="shared" si="5"/>
        <v>#N/A</v>
      </c>
      <c r="W63" s="16"/>
      <c r="X63" s="16"/>
      <c r="Y63" s="16"/>
      <c r="Z63" s="16">
        <f t="shared" si="6"/>
        <v>0</v>
      </c>
      <c r="AA63" s="16">
        <f t="shared" si="0"/>
        <v>0</v>
      </c>
      <c r="AB63" s="16"/>
      <c r="AC63" s="17"/>
      <c r="AD63" s="51"/>
    </row>
    <row r="64" spans="1:30" ht="19.5" thickBot="1" x14ac:dyDescent="0.3">
      <c r="A64" s="14">
        <v>29</v>
      </c>
      <c r="B64" s="15"/>
      <c r="C64" s="15" t="e">
        <f>VLOOKUP(B64,داتا!$B$3:$D$107,2,FALSE)</f>
        <v>#N/A</v>
      </c>
      <c r="D64" s="34" t="e">
        <f>VLOOKUP(B64,داتا!$B$3:$D$107,3,FALSE)</f>
        <v>#N/A</v>
      </c>
      <c r="E64" s="15"/>
      <c r="F64" s="15"/>
      <c r="G64" s="16">
        <v>0.25</v>
      </c>
      <c r="H64" s="16" t="e">
        <f t="shared" si="8"/>
        <v>#N/A</v>
      </c>
      <c r="I64" s="16" t="e">
        <f t="shared" si="1"/>
        <v>#N/A</v>
      </c>
      <c r="J64" s="16"/>
      <c r="K64" s="16"/>
      <c r="L64" s="16"/>
      <c r="M64" s="16"/>
      <c r="N64" s="16">
        <f t="shared" si="2"/>
        <v>0</v>
      </c>
      <c r="O64" s="16" t="e">
        <f t="shared" si="3"/>
        <v>#N/A</v>
      </c>
      <c r="P64" s="16">
        <v>6.9444444444444397E-3</v>
      </c>
      <c r="Q64" s="16"/>
      <c r="R64" s="16">
        <f t="shared" si="4"/>
        <v>-6.9444444444444397E-3</v>
      </c>
      <c r="S64" s="16"/>
      <c r="T64" s="16" t="e">
        <f>VLOOKUP(E64,'[2]21-3-2026'!E$3:T$35,16,FALSE)</f>
        <v>#N/A</v>
      </c>
      <c r="U64" s="16"/>
      <c r="V64" s="16" t="e">
        <f t="shared" si="5"/>
        <v>#N/A</v>
      </c>
      <c r="W64" s="16"/>
      <c r="X64" s="16"/>
      <c r="Y64" s="16"/>
      <c r="Z64" s="16">
        <f t="shared" si="6"/>
        <v>0</v>
      </c>
      <c r="AA64" s="16">
        <f t="shared" si="0"/>
        <v>0</v>
      </c>
      <c r="AB64" s="16"/>
      <c r="AC64" s="17"/>
      <c r="AD64" s="51"/>
    </row>
    <row r="65" spans="1:30" ht="19.5" thickBot="1" x14ac:dyDescent="0.3">
      <c r="A65" s="14">
        <v>30</v>
      </c>
      <c r="B65" s="15"/>
      <c r="C65" s="15" t="e">
        <f>VLOOKUP(B65,داتا!$B$3:$D$107,2,FALSE)</f>
        <v>#N/A</v>
      </c>
      <c r="D65" s="34" t="e">
        <f>VLOOKUP(B65,داتا!$B$3:$D$107,3,FALSE)</f>
        <v>#N/A</v>
      </c>
      <c r="E65" s="15"/>
      <c r="F65" s="15"/>
      <c r="G65" s="16">
        <v>0.25</v>
      </c>
      <c r="H65" s="16" t="e">
        <f t="shared" si="8"/>
        <v>#N/A</v>
      </c>
      <c r="I65" s="16" t="e">
        <f t="shared" si="1"/>
        <v>#N/A</v>
      </c>
      <c r="J65" s="16"/>
      <c r="K65" s="16"/>
      <c r="L65" s="16"/>
      <c r="M65" s="16"/>
      <c r="N65" s="16">
        <f t="shared" si="2"/>
        <v>0</v>
      </c>
      <c r="O65" s="16" t="e">
        <f t="shared" si="3"/>
        <v>#N/A</v>
      </c>
      <c r="P65" s="16">
        <v>6.9444444444444397E-3</v>
      </c>
      <c r="Q65" s="16"/>
      <c r="R65" s="16">
        <f t="shared" si="4"/>
        <v>-6.9444444444444397E-3</v>
      </c>
      <c r="S65" s="16"/>
      <c r="T65" s="16" t="e">
        <f>VLOOKUP(E65,'[2]21-3-2026'!E$3:T$35,16,FALSE)</f>
        <v>#N/A</v>
      </c>
      <c r="U65" s="16"/>
      <c r="V65" s="16" t="e">
        <f t="shared" si="5"/>
        <v>#N/A</v>
      </c>
      <c r="W65" s="16"/>
      <c r="X65" s="16"/>
      <c r="Y65" s="16"/>
      <c r="Z65" s="16">
        <f t="shared" si="6"/>
        <v>0</v>
      </c>
      <c r="AA65" s="16">
        <f t="shared" si="0"/>
        <v>0</v>
      </c>
      <c r="AB65" s="16"/>
      <c r="AC65" s="17"/>
      <c r="AD65" s="51"/>
    </row>
    <row r="66" spans="1:30" ht="20.25" customHeight="1" thickBot="1" x14ac:dyDescent="0.3">
      <c r="A66" s="14">
        <v>31</v>
      </c>
      <c r="B66" s="15"/>
      <c r="C66" s="15" t="e">
        <f>VLOOKUP(B66,داتا!$B$3:$D$107,2,FALSE)</f>
        <v>#N/A</v>
      </c>
      <c r="D66" s="34" t="e">
        <f>VLOOKUP(B66,داتا!$B$3:$D$107,3,FALSE)</f>
        <v>#N/A</v>
      </c>
      <c r="E66" s="15"/>
      <c r="F66" s="15"/>
      <c r="G66" s="16">
        <v>0.25</v>
      </c>
      <c r="H66" s="16" t="e">
        <f t="shared" si="8"/>
        <v>#N/A</v>
      </c>
      <c r="I66" s="16" t="e">
        <f t="shared" si="1"/>
        <v>#N/A</v>
      </c>
      <c r="J66" s="16"/>
      <c r="K66" s="16"/>
      <c r="L66" s="16"/>
      <c r="M66" s="16"/>
      <c r="N66" s="16">
        <f t="shared" si="2"/>
        <v>0</v>
      </c>
      <c r="O66" s="16" t="e">
        <f t="shared" si="3"/>
        <v>#N/A</v>
      </c>
      <c r="P66" s="16">
        <v>6.9444444444444397E-3</v>
      </c>
      <c r="Q66" s="16"/>
      <c r="R66" s="16">
        <f t="shared" si="4"/>
        <v>-6.9444444444444397E-3</v>
      </c>
      <c r="S66" s="16"/>
      <c r="T66" s="16" t="e">
        <f>VLOOKUP(E66,'[2]21-3-2026'!E$3:T$35,16,FALSE)</f>
        <v>#N/A</v>
      </c>
      <c r="U66" s="16"/>
      <c r="V66" s="16" t="e">
        <f t="shared" si="5"/>
        <v>#N/A</v>
      </c>
      <c r="W66" s="16"/>
      <c r="X66" s="16"/>
      <c r="Y66" s="16"/>
      <c r="Z66" s="16">
        <f t="shared" si="6"/>
        <v>0</v>
      </c>
      <c r="AA66" s="16">
        <f t="shared" si="0"/>
        <v>0</v>
      </c>
      <c r="AB66" s="16"/>
      <c r="AC66" s="19"/>
      <c r="AD66" s="51"/>
    </row>
    <row r="67" spans="1:30" ht="19.5" customHeight="1" thickBot="1" x14ac:dyDescent="0.3">
      <c r="A67" s="20">
        <v>32</v>
      </c>
      <c r="B67" s="21"/>
      <c r="C67" s="21" t="e">
        <f>VLOOKUP(B67,داتا!$B$3:$D$107,2,FALSE)</f>
        <v>#N/A</v>
      </c>
      <c r="D67" s="35" t="e">
        <f>VLOOKUP(B67,داتا!$B$3:$D$107,3,FALSE)</f>
        <v>#N/A</v>
      </c>
      <c r="E67" s="21"/>
      <c r="F67" s="21"/>
      <c r="G67" s="22">
        <v>0.25</v>
      </c>
      <c r="H67" s="22" t="e">
        <f t="shared" si="8"/>
        <v>#N/A</v>
      </c>
      <c r="I67" s="22" t="e">
        <f t="shared" si="1"/>
        <v>#N/A</v>
      </c>
      <c r="J67" s="22"/>
      <c r="K67" s="22"/>
      <c r="L67" s="22"/>
      <c r="M67" s="22"/>
      <c r="N67" s="22">
        <f t="shared" si="2"/>
        <v>0</v>
      </c>
      <c r="O67" s="22" t="e">
        <f t="shared" si="3"/>
        <v>#N/A</v>
      </c>
      <c r="P67" s="22">
        <v>6.9444444444444397E-3</v>
      </c>
      <c r="Q67" s="22"/>
      <c r="R67" s="22">
        <f t="shared" si="4"/>
        <v>-6.9444444444444397E-3</v>
      </c>
      <c r="S67" s="22"/>
      <c r="T67" s="22" t="e">
        <f>VLOOKUP(E67,'[2]21-3-2026'!E$3:T$35,16,FALSE)</f>
        <v>#N/A</v>
      </c>
      <c r="U67" s="22"/>
      <c r="V67" s="22" t="e">
        <f t="shared" si="5"/>
        <v>#N/A</v>
      </c>
      <c r="W67" s="22"/>
      <c r="X67" s="22"/>
      <c r="Y67" s="22"/>
      <c r="Z67" s="22">
        <f t="shared" si="6"/>
        <v>0</v>
      </c>
      <c r="AA67" s="22">
        <f t="shared" ref="AA67:AA99" si="9">Z67-W67</f>
        <v>0</v>
      </c>
      <c r="AB67" s="22"/>
      <c r="AC67" s="23"/>
      <c r="AD67" s="52"/>
    </row>
    <row r="68" spans="1:30" ht="20.25" thickTop="1" thickBot="1" x14ac:dyDescent="0.3">
      <c r="A68" s="10">
        <v>1</v>
      </c>
      <c r="B68" s="11"/>
      <c r="C68" s="11" t="e">
        <f>VLOOKUP(B68,داتا!$B$3:$D$107,2,FALSE)</f>
        <v>#N/A</v>
      </c>
      <c r="D68" s="33" t="e">
        <f>VLOOKUP(B68,داتا!$B$3:$D$107,3,FALSE)</f>
        <v>#N/A</v>
      </c>
      <c r="E68" s="11"/>
      <c r="F68" s="11"/>
      <c r="G68" s="12">
        <v>8.3333333333333329E-2</v>
      </c>
      <c r="H68" s="12" t="e">
        <f t="shared" si="8"/>
        <v>#N/A</v>
      </c>
      <c r="I68" s="12" t="e">
        <f t="shared" ref="I68:I99" si="10">H68-G68</f>
        <v>#N/A</v>
      </c>
      <c r="J68" s="12"/>
      <c r="K68" s="12"/>
      <c r="L68" s="12"/>
      <c r="M68" s="12"/>
      <c r="N68" s="12">
        <f t="shared" ref="N68:N99" si="11">K68-J68</f>
        <v>0</v>
      </c>
      <c r="O68" s="12" t="e">
        <f t="shared" ref="O68:O99" si="12">N68-D68</f>
        <v>#N/A</v>
      </c>
      <c r="P68" s="12">
        <v>6.9444444444444397E-3</v>
      </c>
      <c r="Q68" s="12"/>
      <c r="R68" s="12">
        <f t="shared" ref="R68:R99" si="13">Q68-P68-K68</f>
        <v>-6.9444444444444397E-3</v>
      </c>
      <c r="S68" s="12"/>
      <c r="T68" s="12" t="e">
        <f>VLOOKUP(E68,'[2]21-3-2026'!E$3:T$35,16,FALSE)</f>
        <v>#N/A</v>
      </c>
      <c r="U68" s="12"/>
      <c r="V68" s="12" t="e">
        <f t="shared" ref="V68:V99" si="14">U68-T68-S68</f>
        <v>#N/A</v>
      </c>
      <c r="W68" s="12"/>
      <c r="X68" s="12"/>
      <c r="Y68" s="12"/>
      <c r="Z68" s="12">
        <f t="shared" ref="Z68:Z99" si="15">Y68-X68</f>
        <v>0</v>
      </c>
      <c r="AA68" s="12">
        <f t="shared" si="9"/>
        <v>0</v>
      </c>
      <c r="AB68" s="12"/>
      <c r="AC68" s="13"/>
      <c r="AD68" s="53" t="s">
        <v>116</v>
      </c>
    </row>
    <row r="69" spans="1:30" ht="19.5" thickBot="1" x14ac:dyDescent="0.3">
      <c r="A69" s="14">
        <v>2</v>
      </c>
      <c r="B69" s="15"/>
      <c r="C69" s="15" t="e">
        <f>VLOOKUP(B69,داتا!$B$3:$D$107,2,FALSE)</f>
        <v>#N/A</v>
      </c>
      <c r="D69" s="34" t="e">
        <f>VLOOKUP(B69,داتا!$B$3:$D$107,3,FALSE)</f>
        <v>#N/A</v>
      </c>
      <c r="E69" s="15"/>
      <c r="F69" s="15"/>
      <c r="G69" s="16">
        <v>8.3333333333333329E-2</v>
      </c>
      <c r="H69" s="16" t="e">
        <f t="shared" ref="H69:H84" si="16">VLOOKUP(G69,$F$3:$I$35,2,FALSE)</f>
        <v>#N/A</v>
      </c>
      <c r="I69" s="16" t="e">
        <f t="shared" si="10"/>
        <v>#N/A</v>
      </c>
      <c r="J69" s="16"/>
      <c r="K69" s="16"/>
      <c r="L69" s="16"/>
      <c r="M69" s="16"/>
      <c r="N69" s="16">
        <f t="shared" si="11"/>
        <v>0</v>
      </c>
      <c r="O69" s="16" t="e">
        <f t="shared" si="12"/>
        <v>#N/A</v>
      </c>
      <c r="P69" s="16">
        <v>6.9444444444444397E-3</v>
      </c>
      <c r="Q69" s="16"/>
      <c r="R69" s="16">
        <f t="shared" si="13"/>
        <v>-6.9444444444444397E-3</v>
      </c>
      <c r="S69" s="16"/>
      <c r="T69" s="16" t="e">
        <f>VLOOKUP(E69,'[2]21-3-2026'!E$3:T$35,16,FALSE)</f>
        <v>#N/A</v>
      </c>
      <c r="U69" s="16"/>
      <c r="V69" s="16" t="e">
        <f t="shared" si="14"/>
        <v>#N/A</v>
      </c>
      <c r="W69" s="16"/>
      <c r="X69" s="16"/>
      <c r="Y69" s="16"/>
      <c r="Z69" s="16">
        <f t="shared" si="15"/>
        <v>0</v>
      </c>
      <c r="AA69" s="16">
        <f t="shared" si="9"/>
        <v>0</v>
      </c>
      <c r="AB69" s="16"/>
      <c r="AC69" s="17"/>
      <c r="AD69" s="51"/>
    </row>
    <row r="70" spans="1:30" ht="19.5" thickBot="1" x14ac:dyDescent="0.3">
      <c r="A70" s="14">
        <v>3</v>
      </c>
      <c r="B70" s="15"/>
      <c r="C70" s="15" t="e">
        <f>VLOOKUP(B70,داتا!$B$3:$D$107,2,FALSE)</f>
        <v>#N/A</v>
      </c>
      <c r="D70" s="34" t="e">
        <f>VLOOKUP(B70,داتا!$B$3:$D$107,3,FALSE)</f>
        <v>#N/A</v>
      </c>
      <c r="E70" s="15"/>
      <c r="F70" s="15"/>
      <c r="G70" s="16">
        <v>8.3333333333333329E-2</v>
      </c>
      <c r="H70" s="16" t="e">
        <f t="shared" si="16"/>
        <v>#N/A</v>
      </c>
      <c r="I70" s="16" t="e">
        <f t="shared" si="10"/>
        <v>#N/A</v>
      </c>
      <c r="J70" s="16"/>
      <c r="K70" s="16"/>
      <c r="L70" s="16"/>
      <c r="M70" s="16"/>
      <c r="N70" s="16">
        <f t="shared" si="11"/>
        <v>0</v>
      </c>
      <c r="O70" s="16" t="e">
        <f t="shared" si="12"/>
        <v>#N/A</v>
      </c>
      <c r="P70" s="16">
        <v>6.9444444444444397E-3</v>
      </c>
      <c r="Q70" s="16"/>
      <c r="R70" s="16">
        <f t="shared" si="13"/>
        <v>-6.9444444444444397E-3</v>
      </c>
      <c r="S70" s="16"/>
      <c r="T70" s="16" t="e">
        <f>VLOOKUP(E70,'[2]21-3-2026'!E$3:T$35,16,FALSE)</f>
        <v>#N/A</v>
      </c>
      <c r="U70" s="16"/>
      <c r="V70" s="16" t="e">
        <f t="shared" si="14"/>
        <v>#N/A</v>
      </c>
      <c r="W70" s="16"/>
      <c r="X70" s="16"/>
      <c r="Y70" s="16"/>
      <c r="Z70" s="16">
        <f t="shared" si="15"/>
        <v>0</v>
      </c>
      <c r="AA70" s="16">
        <f t="shared" si="9"/>
        <v>0</v>
      </c>
      <c r="AB70" s="16"/>
      <c r="AC70" s="17"/>
      <c r="AD70" s="51"/>
    </row>
    <row r="71" spans="1:30" ht="19.5" thickBot="1" x14ac:dyDescent="0.3">
      <c r="A71" s="14">
        <v>4</v>
      </c>
      <c r="B71" s="15"/>
      <c r="C71" s="15" t="e">
        <f>VLOOKUP(B71,داتا!$B$3:$D$107,2,FALSE)</f>
        <v>#N/A</v>
      </c>
      <c r="D71" s="34" t="e">
        <f>VLOOKUP(B71,داتا!$B$3:$D$107,3,FALSE)</f>
        <v>#N/A</v>
      </c>
      <c r="E71" s="15"/>
      <c r="F71" s="15"/>
      <c r="G71" s="16">
        <v>8.3333333333333329E-2</v>
      </c>
      <c r="H71" s="16" t="e">
        <f t="shared" si="16"/>
        <v>#N/A</v>
      </c>
      <c r="I71" s="16" t="e">
        <f t="shared" si="10"/>
        <v>#N/A</v>
      </c>
      <c r="J71" s="16"/>
      <c r="K71" s="16"/>
      <c r="L71" s="16"/>
      <c r="M71" s="16"/>
      <c r="N71" s="16">
        <f t="shared" si="11"/>
        <v>0</v>
      </c>
      <c r="O71" s="16" t="e">
        <f t="shared" si="12"/>
        <v>#N/A</v>
      </c>
      <c r="P71" s="16">
        <v>6.9444444444444397E-3</v>
      </c>
      <c r="Q71" s="16"/>
      <c r="R71" s="16">
        <f t="shared" si="13"/>
        <v>-6.9444444444444397E-3</v>
      </c>
      <c r="S71" s="16"/>
      <c r="T71" s="16" t="e">
        <f>VLOOKUP(E71,'[2]21-3-2026'!E$3:T$35,16,FALSE)</f>
        <v>#N/A</v>
      </c>
      <c r="U71" s="16"/>
      <c r="V71" s="16" t="e">
        <f t="shared" si="14"/>
        <v>#N/A</v>
      </c>
      <c r="W71" s="16"/>
      <c r="X71" s="16"/>
      <c r="Y71" s="16"/>
      <c r="Z71" s="16">
        <f t="shared" si="15"/>
        <v>0</v>
      </c>
      <c r="AA71" s="16">
        <f t="shared" si="9"/>
        <v>0</v>
      </c>
      <c r="AB71" s="16"/>
      <c r="AC71" s="17"/>
      <c r="AD71" s="51"/>
    </row>
    <row r="72" spans="1:30" ht="19.5" thickBot="1" x14ac:dyDescent="0.3">
      <c r="A72" s="14">
        <v>5</v>
      </c>
      <c r="B72" s="15"/>
      <c r="C72" s="15" t="e">
        <f>VLOOKUP(B72,داتا!$B$3:$D$107,2,FALSE)</f>
        <v>#N/A</v>
      </c>
      <c r="D72" s="34" t="e">
        <f>VLOOKUP(B72,داتا!$B$3:$D$107,3,FALSE)</f>
        <v>#N/A</v>
      </c>
      <c r="E72" s="15"/>
      <c r="F72" s="15"/>
      <c r="G72" s="16">
        <v>8.3333333333333329E-2</v>
      </c>
      <c r="H72" s="16" t="e">
        <f t="shared" si="16"/>
        <v>#N/A</v>
      </c>
      <c r="I72" s="16" t="e">
        <f t="shared" si="10"/>
        <v>#N/A</v>
      </c>
      <c r="J72" s="16"/>
      <c r="K72" s="16"/>
      <c r="L72" s="16"/>
      <c r="M72" s="16"/>
      <c r="N72" s="16">
        <f t="shared" si="11"/>
        <v>0</v>
      </c>
      <c r="O72" s="16" t="e">
        <f t="shared" si="12"/>
        <v>#N/A</v>
      </c>
      <c r="P72" s="16">
        <v>6.9444444444444397E-3</v>
      </c>
      <c r="Q72" s="16"/>
      <c r="R72" s="16">
        <f t="shared" si="13"/>
        <v>-6.9444444444444397E-3</v>
      </c>
      <c r="S72" s="16"/>
      <c r="T72" s="16" t="e">
        <f>VLOOKUP(E72,'[2]21-3-2026'!E$3:T$35,16,FALSE)</f>
        <v>#N/A</v>
      </c>
      <c r="U72" s="16"/>
      <c r="V72" s="16" t="e">
        <f t="shared" si="14"/>
        <v>#N/A</v>
      </c>
      <c r="W72" s="16"/>
      <c r="X72" s="16"/>
      <c r="Y72" s="16"/>
      <c r="Z72" s="16">
        <f t="shared" si="15"/>
        <v>0</v>
      </c>
      <c r="AA72" s="16">
        <f t="shared" si="9"/>
        <v>0</v>
      </c>
      <c r="AB72" s="16"/>
      <c r="AC72" s="17"/>
      <c r="AD72" s="51"/>
    </row>
    <row r="73" spans="1:30" ht="19.5" thickBot="1" x14ac:dyDescent="0.3">
      <c r="A73" s="14">
        <v>6</v>
      </c>
      <c r="B73" s="15"/>
      <c r="C73" s="15" t="e">
        <f>VLOOKUP(B73,داتا!$B$3:$D$107,2,FALSE)</f>
        <v>#N/A</v>
      </c>
      <c r="D73" s="34" t="e">
        <f>VLOOKUP(B73,داتا!$B$3:$D$107,3,FALSE)</f>
        <v>#N/A</v>
      </c>
      <c r="E73" s="15"/>
      <c r="F73" s="15"/>
      <c r="G73" s="16">
        <v>8.3333333333333329E-2</v>
      </c>
      <c r="H73" s="16" t="e">
        <f t="shared" si="16"/>
        <v>#N/A</v>
      </c>
      <c r="I73" s="16" t="e">
        <f t="shared" si="10"/>
        <v>#N/A</v>
      </c>
      <c r="J73" s="16"/>
      <c r="K73" s="16"/>
      <c r="L73" s="16"/>
      <c r="M73" s="16"/>
      <c r="N73" s="16">
        <f t="shared" si="11"/>
        <v>0</v>
      </c>
      <c r="O73" s="16" t="e">
        <f t="shared" si="12"/>
        <v>#N/A</v>
      </c>
      <c r="P73" s="16">
        <v>6.9444444444444397E-3</v>
      </c>
      <c r="Q73" s="16"/>
      <c r="R73" s="16">
        <f t="shared" si="13"/>
        <v>-6.9444444444444397E-3</v>
      </c>
      <c r="S73" s="16"/>
      <c r="T73" s="16" t="e">
        <f>VLOOKUP(E73,'[2]21-3-2026'!E$3:T$35,16,FALSE)</f>
        <v>#N/A</v>
      </c>
      <c r="U73" s="16"/>
      <c r="V73" s="16" t="e">
        <f t="shared" si="14"/>
        <v>#N/A</v>
      </c>
      <c r="W73" s="16"/>
      <c r="X73" s="16"/>
      <c r="Y73" s="16"/>
      <c r="Z73" s="16">
        <f t="shared" si="15"/>
        <v>0</v>
      </c>
      <c r="AA73" s="16">
        <f t="shared" si="9"/>
        <v>0</v>
      </c>
      <c r="AB73" s="16"/>
      <c r="AC73" s="17"/>
      <c r="AD73" s="51"/>
    </row>
    <row r="74" spans="1:30" ht="19.5" thickBot="1" x14ac:dyDescent="0.3">
      <c r="A74" s="14">
        <v>7</v>
      </c>
      <c r="B74" s="15"/>
      <c r="C74" s="15" t="e">
        <f>VLOOKUP(B74,داتا!$B$3:$D$107,2,FALSE)</f>
        <v>#N/A</v>
      </c>
      <c r="D74" s="34" t="e">
        <f>VLOOKUP(B74,داتا!$B$3:$D$107,3,FALSE)</f>
        <v>#N/A</v>
      </c>
      <c r="E74" s="15"/>
      <c r="F74" s="15"/>
      <c r="G74" s="16">
        <v>8.3333333333333329E-2</v>
      </c>
      <c r="H74" s="16" t="e">
        <f t="shared" si="16"/>
        <v>#N/A</v>
      </c>
      <c r="I74" s="16" t="e">
        <f t="shared" si="10"/>
        <v>#N/A</v>
      </c>
      <c r="J74" s="16"/>
      <c r="K74" s="16"/>
      <c r="L74" s="16"/>
      <c r="M74" s="16"/>
      <c r="N74" s="16">
        <f t="shared" si="11"/>
        <v>0</v>
      </c>
      <c r="O74" s="16" t="e">
        <f t="shared" si="12"/>
        <v>#N/A</v>
      </c>
      <c r="P74" s="16">
        <v>6.9444444444444397E-3</v>
      </c>
      <c r="Q74" s="16"/>
      <c r="R74" s="16">
        <f t="shared" si="13"/>
        <v>-6.9444444444444397E-3</v>
      </c>
      <c r="S74" s="16"/>
      <c r="T74" s="16" t="e">
        <f>VLOOKUP(E74,'[2]21-3-2026'!E$3:T$35,16,FALSE)</f>
        <v>#N/A</v>
      </c>
      <c r="U74" s="16"/>
      <c r="V74" s="16" t="e">
        <f t="shared" si="14"/>
        <v>#N/A</v>
      </c>
      <c r="W74" s="16"/>
      <c r="X74" s="16"/>
      <c r="Y74" s="16"/>
      <c r="Z74" s="16">
        <f t="shared" si="15"/>
        <v>0</v>
      </c>
      <c r="AA74" s="16">
        <f t="shared" si="9"/>
        <v>0</v>
      </c>
      <c r="AB74" s="16"/>
      <c r="AC74" s="17"/>
      <c r="AD74" s="51"/>
    </row>
    <row r="75" spans="1:30" ht="19.5" thickBot="1" x14ac:dyDescent="0.3">
      <c r="A75" s="14">
        <v>8</v>
      </c>
      <c r="B75" s="15"/>
      <c r="C75" s="15" t="e">
        <f>VLOOKUP(B75,داتا!$B$3:$D$107,2,FALSE)</f>
        <v>#N/A</v>
      </c>
      <c r="D75" s="34" t="e">
        <f>VLOOKUP(B75,داتا!$B$3:$D$107,3,FALSE)</f>
        <v>#N/A</v>
      </c>
      <c r="E75" s="15"/>
      <c r="F75" s="15"/>
      <c r="G75" s="16">
        <v>8.3333333333333329E-2</v>
      </c>
      <c r="H75" s="16" t="e">
        <f t="shared" si="16"/>
        <v>#N/A</v>
      </c>
      <c r="I75" s="16" t="e">
        <f t="shared" si="10"/>
        <v>#N/A</v>
      </c>
      <c r="J75" s="16"/>
      <c r="K75" s="16"/>
      <c r="L75" s="16"/>
      <c r="M75" s="16"/>
      <c r="N75" s="16">
        <f t="shared" si="11"/>
        <v>0</v>
      </c>
      <c r="O75" s="16" t="e">
        <f t="shared" si="12"/>
        <v>#N/A</v>
      </c>
      <c r="P75" s="16">
        <v>6.9444444444444397E-3</v>
      </c>
      <c r="Q75" s="16"/>
      <c r="R75" s="16">
        <f t="shared" si="13"/>
        <v>-6.9444444444444397E-3</v>
      </c>
      <c r="S75" s="16"/>
      <c r="T75" s="16" t="e">
        <f>VLOOKUP(E75,'[2]21-3-2026'!E$3:T$35,16,FALSE)</f>
        <v>#N/A</v>
      </c>
      <c r="U75" s="16"/>
      <c r="V75" s="16" t="e">
        <f t="shared" si="14"/>
        <v>#N/A</v>
      </c>
      <c r="W75" s="16"/>
      <c r="X75" s="16"/>
      <c r="Y75" s="16"/>
      <c r="Z75" s="16">
        <f t="shared" si="15"/>
        <v>0</v>
      </c>
      <c r="AA75" s="16">
        <f t="shared" si="9"/>
        <v>0</v>
      </c>
      <c r="AB75" s="16"/>
      <c r="AC75" s="17"/>
      <c r="AD75" s="51"/>
    </row>
    <row r="76" spans="1:30" ht="19.5" thickBot="1" x14ac:dyDescent="0.3">
      <c r="A76" s="14">
        <v>9</v>
      </c>
      <c r="B76" s="15"/>
      <c r="C76" s="15" t="e">
        <f>VLOOKUP(B76,داتا!$B$3:$D$107,2,FALSE)</f>
        <v>#N/A</v>
      </c>
      <c r="D76" s="34" t="e">
        <f>VLOOKUP(B76,داتا!$B$3:$D$107,3,FALSE)</f>
        <v>#N/A</v>
      </c>
      <c r="E76" s="16"/>
      <c r="F76" s="15"/>
      <c r="G76" s="16">
        <v>8.3333333333333329E-2</v>
      </c>
      <c r="H76" s="16" t="e">
        <f t="shared" si="16"/>
        <v>#N/A</v>
      </c>
      <c r="I76" s="16" t="e">
        <f t="shared" si="10"/>
        <v>#N/A</v>
      </c>
      <c r="J76" s="16"/>
      <c r="K76" s="16"/>
      <c r="L76" s="16"/>
      <c r="M76" s="16"/>
      <c r="N76" s="16">
        <f t="shared" si="11"/>
        <v>0</v>
      </c>
      <c r="O76" s="16" t="e">
        <f t="shared" si="12"/>
        <v>#N/A</v>
      </c>
      <c r="P76" s="16">
        <v>6.9444444444444397E-3</v>
      </c>
      <c r="Q76" s="16"/>
      <c r="R76" s="16">
        <f t="shared" si="13"/>
        <v>-6.9444444444444397E-3</v>
      </c>
      <c r="S76" s="16"/>
      <c r="T76" s="16" t="e">
        <f>VLOOKUP(E76,'[2]21-3-2026'!E$3:T$35,16,FALSE)</f>
        <v>#N/A</v>
      </c>
      <c r="U76" s="16"/>
      <c r="V76" s="16" t="e">
        <f t="shared" si="14"/>
        <v>#N/A</v>
      </c>
      <c r="W76" s="16"/>
      <c r="X76" s="16"/>
      <c r="Y76" s="16"/>
      <c r="Z76" s="16">
        <f t="shared" si="15"/>
        <v>0</v>
      </c>
      <c r="AA76" s="16">
        <f t="shared" si="9"/>
        <v>0</v>
      </c>
      <c r="AB76" s="16"/>
      <c r="AC76" s="17"/>
      <c r="AD76" s="51"/>
    </row>
    <row r="77" spans="1:30" ht="19.5" thickBot="1" x14ac:dyDescent="0.3">
      <c r="A77" s="14">
        <v>10</v>
      </c>
      <c r="B77" s="15"/>
      <c r="C77" s="15" t="e">
        <f>VLOOKUP(B77,داتا!$B$3:$D$107,2,FALSE)</f>
        <v>#N/A</v>
      </c>
      <c r="D77" s="34" t="e">
        <f>VLOOKUP(B77,داتا!$B$3:$D$107,3,FALSE)</f>
        <v>#N/A</v>
      </c>
      <c r="E77" s="15"/>
      <c r="F77" s="15"/>
      <c r="G77" s="16">
        <v>8.3333333333333329E-2</v>
      </c>
      <c r="H77" s="16" t="e">
        <f t="shared" si="16"/>
        <v>#N/A</v>
      </c>
      <c r="I77" s="16" t="e">
        <f t="shared" si="10"/>
        <v>#N/A</v>
      </c>
      <c r="J77" s="16"/>
      <c r="K77" s="16"/>
      <c r="L77" s="16"/>
      <c r="M77" s="16"/>
      <c r="N77" s="16">
        <f t="shared" si="11"/>
        <v>0</v>
      </c>
      <c r="O77" s="16" t="e">
        <f t="shared" si="12"/>
        <v>#N/A</v>
      </c>
      <c r="P77" s="16">
        <v>6.9444444444444397E-3</v>
      </c>
      <c r="Q77" s="16"/>
      <c r="R77" s="16">
        <f t="shared" si="13"/>
        <v>-6.9444444444444397E-3</v>
      </c>
      <c r="S77" s="16"/>
      <c r="T77" s="16" t="e">
        <f>VLOOKUP(E77,'[2]21-3-2026'!E$3:T$35,16,FALSE)</f>
        <v>#N/A</v>
      </c>
      <c r="U77" s="16"/>
      <c r="V77" s="16" t="e">
        <f t="shared" si="14"/>
        <v>#N/A</v>
      </c>
      <c r="W77" s="16"/>
      <c r="X77" s="16"/>
      <c r="Y77" s="16"/>
      <c r="Z77" s="16">
        <f t="shared" si="15"/>
        <v>0</v>
      </c>
      <c r="AA77" s="16">
        <f t="shared" si="9"/>
        <v>0</v>
      </c>
      <c r="AB77" s="16"/>
      <c r="AC77" s="17"/>
      <c r="AD77" s="51"/>
    </row>
    <row r="78" spans="1:30" ht="19.5" thickBot="1" x14ac:dyDescent="0.3">
      <c r="A78" s="14">
        <v>11</v>
      </c>
      <c r="B78" s="15"/>
      <c r="C78" s="15" t="e">
        <f>VLOOKUP(B78,داتا!$B$3:$D$107,2,FALSE)</f>
        <v>#N/A</v>
      </c>
      <c r="D78" s="34" t="e">
        <f>VLOOKUP(B78,داتا!$B$3:$D$107,3,FALSE)</f>
        <v>#N/A</v>
      </c>
      <c r="E78" s="15"/>
      <c r="F78" s="15"/>
      <c r="G78" s="16">
        <v>8.3333333333333329E-2</v>
      </c>
      <c r="H78" s="16" t="e">
        <f t="shared" si="16"/>
        <v>#N/A</v>
      </c>
      <c r="I78" s="16" t="e">
        <f t="shared" si="10"/>
        <v>#N/A</v>
      </c>
      <c r="J78" s="16"/>
      <c r="K78" s="16"/>
      <c r="L78" s="16"/>
      <c r="M78" s="16"/>
      <c r="N78" s="16">
        <f t="shared" si="11"/>
        <v>0</v>
      </c>
      <c r="O78" s="16" t="e">
        <f t="shared" si="12"/>
        <v>#N/A</v>
      </c>
      <c r="P78" s="16">
        <v>6.9444444444444397E-3</v>
      </c>
      <c r="Q78" s="16"/>
      <c r="R78" s="16">
        <f t="shared" si="13"/>
        <v>-6.9444444444444397E-3</v>
      </c>
      <c r="S78" s="16"/>
      <c r="T78" s="16" t="e">
        <f>VLOOKUP(E78,'[2]21-3-2026'!E$3:T$35,16,FALSE)</f>
        <v>#N/A</v>
      </c>
      <c r="U78" s="16"/>
      <c r="V78" s="16" t="e">
        <f t="shared" si="14"/>
        <v>#N/A</v>
      </c>
      <c r="W78" s="16"/>
      <c r="X78" s="16"/>
      <c r="Y78" s="16"/>
      <c r="Z78" s="16">
        <f t="shared" si="15"/>
        <v>0</v>
      </c>
      <c r="AA78" s="16">
        <f t="shared" si="9"/>
        <v>0</v>
      </c>
      <c r="AB78" s="16"/>
      <c r="AC78" s="17"/>
      <c r="AD78" s="51"/>
    </row>
    <row r="79" spans="1:30" ht="19.5" thickBot="1" x14ac:dyDescent="0.3">
      <c r="A79" s="14">
        <v>12</v>
      </c>
      <c r="B79" s="15"/>
      <c r="C79" s="15" t="e">
        <f>VLOOKUP(B79,داتا!$B$3:$D$107,2,FALSE)</f>
        <v>#N/A</v>
      </c>
      <c r="D79" s="34" t="e">
        <f>VLOOKUP(B79,داتا!$B$3:$D$107,3,FALSE)</f>
        <v>#N/A</v>
      </c>
      <c r="E79" s="15"/>
      <c r="F79" s="15"/>
      <c r="G79" s="16">
        <v>8.3333333333333329E-2</v>
      </c>
      <c r="H79" s="16" t="e">
        <f t="shared" si="16"/>
        <v>#N/A</v>
      </c>
      <c r="I79" s="16" t="e">
        <f t="shared" si="10"/>
        <v>#N/A</v>
      </c>
      <c r="J79" s="16"/>
      <c r="K79" s="16"/>
      <c r="L79" s="16"/>
      <c r="M79" s="16"/>
      <c r="N79" s="16">
        <f t="shared" si="11"/>
        <v>0</v>
      </c>
      <c r="O79" s="16" t="e">
        <f t="shared" si="12"/>
        <v>#N/A</v>
      </c>
      <c r="P79" s="16">
        <v>6.9444444444444397E-3</v>
      </c>
      <c r="Q79" s="16"/>
      <c r="R79" s="16">
        <f t="shared" si="13"/>
        <v>-6.9444444444444397E-3</v>
      </c>
      <c r="S79" s="16"/>
      <c r="T79" s="16" t="e">
        <f>VLOOKUP(E79,'[2]21-3-2026'!E$3:T$35,16,FALSE)</f>
        <v>#N/A</v>
      </c>
      <c r="U79" s="16"/>
      <c r="V79" s="16" t="e">
        <f t="shared" si="14"/>
        <v>#N/A</v>
      </c>
      <c r="W79" s="16"/>
      <c r="X79" s="16"/>
      <c r="Y79" s="16"/>
      <c r="Z79" s="16">
        <f t="shared" si="15"/>
        <v>0</v>
      </c>
      <c r="AA79" s="16">
        <f t="shared" si="9"/>
        <v>0</v>
      </c>
      <c r="AB79" s="16"/>
      <c r="AC79" s="17"/>
      <c r="AD79" s="51"/>
    </row>
    <row r="80" spans="1:30" ht="19.5" thickBot="1" x14ac:dyDescent="0.3">
      <c r="A80" s="14">
        <v>13</v>
      </c>
      <c r="B80" s="15"/>
      <c r="C80" s="15" t="e">
        <f>VLOOKUP(B80,داتا!$B$3:$D$107,2,FALSE)</f>
        <v>#N/A</v>
      </c>
      <c r="D80" s="34" t="e">
        <f>VLOOKUP(B80,داتا!$B$3:$D$107,3,FALSE)</f>
        <v>#N/A</v>
      </c>
      <c r="E80" s="15"/>
      <c r="F80" s="15"/>
      <c r="G80" s="16">
        <v>8.3333333333333329E-2</v>
      </c>
      <c r="H80" s="16" t="e">
        <f t="shared" si="16"/>
        <v>#N/A</v>
      </c>
      <c r="I80" s="16" t="e">
        <f t="shared" si="10"/>
        <v>#N/A</v>
      </c>
      <c r="J80" s="16"/>
      <c r="K80" s="16"/>
      <c r="L80" s="16"/>
      <c r="M80" s="16"/>
      <c r="N80" s="16">
        <f t="shared" si="11"/>
        <v>0</v>
      </c>
      <c r="O80" s="16" t="e">
        <f t="shared" si="12"/>
        <v>#N/A</v>
      </c>
      <c r="P80" s="16">
        <v>6.9444444444444397E-3</v>
      </c>
      <c r="Q80" s="16"/>
      <c r="R80" s="16">
        <f t="shared" si="13"/>
        <v>-6.9444444444444397E-3</v>
      </c>
      <c r="S80" s="16"/>
      <c r="T80" s="16" t="e">
        <f>VLOOKUP(E80,'[2]21-3-2026'!E$3:T$35,16,FALSE)</f>
        <v>#N/A</v>
      </c>
      <c r="U80" s="16"/>
      <c r="V80" s="16" t="e">
        <f t="shared" si="14"/>
        <v>#N/A</v>
      </c>
      <c r="W80" s="16"/>
      <c r="X80" s="16"/>
      <c r="Y80" s="16"/>
      <c r="Z80" s="16">
        <f t="shared" si="15"/>
        <v>0</v>
      </c>
      <c r="AA80" s="16">
        <f t="shared" si="9"/>
        <v>0</v>
      </c>
      <c r="AB80" s="16"/>
      <c r="AC80" s="17"/>
      <c r="AD80" s="51"/>
    </row>
    <row r="81" spans="1:30" ht="19.5" thickBot="1" x14ac:dyDescent="0.3">
      <c r="A81" s="14">
        <v>14</v>
      </c>
      <c r="B81" s="15"/>
      <c r="C81" s="15" t="e">
        <f>VLOOKUP(B81,داتا!$B$3:$D$107,2,FALSE)</f>
        <v>#N/A</v>
      </c>
      <c r="D81" s="34" t="e">
        <f>VLOOKUP(B81,داتا!$B$3:$D$107,3,FALSE)</f>
        <v>#N/A</v>
      </c>
      <c r="E81" s="15"/>
      <c r="F81" s="15"/>
      <c r="G81" s="16">
        <v>8.3333333333333329E-2</v>
      </c>
      <c r="H81" s="16" t="e">
        <f t="shared" si="16"/>
        <v>#N/A</v>
      </c>
      <c r="I81" s="16" t="e">
        <f t="shared" si="10"/>
        <v>#N/A</v>
      </c>
      <c r="J81" s="16"/>
      <c r="K81" s="16"/>
      <c r="L81" s="16"/>
      <c r="M81" s="16"/>
      <c r="N81" s="16">
        <f t="shared" si="11"/>
        <v>0</v>
      </c>
      <c r="O81" s="16" t="e">
        <f t="shared" si="12"/>
        <v>#N/A</v>
      </c>
      <c r="P81" s="16">
        <v>6.9444444444444397E-3</v>
      </c>
      <c r="Q81" s="16"/>
      <c r="R81" s="16">
        <f t="shared" si="13"/>
        <v>-6.9444444444444397E-3</v>
      </c>
      <c r="S81" s="16"/>
      <c r="T81" s="16" t="e">
        <f>VLOOKUP(E81,'[2]21-3-2026'!E$3:T$35,16,FALSE)</f>
        <v>#N/A</v>
      </c>
      <c r="U81" s="16"/>
      <c r="V81" s="16" t="e">
        <f t="shared" si="14"/>
        <v>#N/A</v>
      </c>
      <c r="W81" s="16"/>
      <c r="X81" s="16"/>
      <c r="Y81" s="16"/>
      <c r="Z81" s="16">
        <f t="shared" si="15"/>
        <v>0</v>
      </c>
      <c r="AA81" s="16">
        <f t="shared" si="9"/>
        <v>0</v>
      </c>
      <c r="AB81" s="16"/>
      <c r="AC81" s="17"/>
      <c r="AD81" s="51"/>
    </row>
    <row r="82" spans="1:30" ht="19.5" thickBot="1" x14ac:dyDescent="0.3">
      <c r="A82" s="14">
        <v>15</v>
      </c>
      <c r="B82" s="15"/>
      <c r="C82" s="15" t="e">
        <f>VLOOKUP(B82,داتا!$B$3:$D$107,2,FALSE)</f>
        <v>#N/A</v>
      </c>
      <c r="D82" s="34" t="e">
        <f>VLOOKUP(B82,داتا!$B$3:$D$107,3,FALSE)</f>
        <v>#N/A</v>
      </c>
      <c r="E82" s="15"/>
      <c r="F82" s="15"/>
      <c r="G82" s="16">
        <v>8.3333333333333329E-2</v>
      </c>
      <c r="H82" s="16" t="e">
        <f t="shared" si="16"/>
        <v>#N/A</v>
      </c>
      <c r="I82" s="16" t="e">
        <f t="shared" si="10"/>
        <v>#N/A</v>
      </c>
      <c r="J82" s="16"/>
      <c r="K82" s="16"/>
      <c r="L82" s="16"/>
      <c r="M82" s="16"/>
      <c r="N82" s="16">
        <f t="shared" si="11"/>
        <v>0</v>
      </c>
      <c r="O82" s="16" t="e">
        <f t="shared" si="12"/>
        <v>#N/A</v>
      </c>
      <c r="P82" s="16">
        <v>6.9444444444444397E-3</v>
      </c>
      <c r="Q82" s="16"/>
      <c r="R82" s="16">
        <f t="shared" si="13"/>
        <v>-6.9444444444444397E-3</v>
      </c>
      <c r="S82" s="16"/>
      <c r="T82" s="16" t="e">
        <f>VLOOKUP(E82,'[2]21-3-2026'!E$3:T$35,16,FALSE)</f>
        <v>#N/A</v>
      </c>
      <c r="U82" s="16"/>
      <c r="V82" s="16" t="e">
        <f t="shared" si="14"/>
        <v>#N/A</v>
      </c>
      <c r="W82" s="16"/>
      <c r="X82" s="16"/>
      <c r="Y82" s="16"/>
      <c r="Z82" s="16">
        <f t="shared" si="15"/>
        <v>0</v>
      </c>
      <c r="AA82" s="16">
        <f t="shared" si="9"/>
        <v>0</v>
      </c>
      <c r="AB82" s="16"/>
      <c r="AC82" s="17"/>
      <c r="AD82" s="51"/>
    </row>
    <row r="83" spans="1:30" ht="19.5" thickBot="1" x14ac:dyDescent="0.3">
      <c r="A83" s="14">
        <v>16</v>
      </c>
      <c r="B83" s="15"/>
      <c r="C83" s="15" t="e">
        <f>VLOOKUP(B83,داتا!$B$3:$D$107,2,FALSE)</f>
        <v>#N/A</v>
      </c>
      <c r="D83" s="34" t="e">
        <f>VLOOKUP(B83,داتا!$B$3:$D$107,3,FALSE)</f>
        <v>#N/A</v>
      </c>
      <c r="E83" s="15"/>
      <c r="F83" s="15"/>
      <c r="G83" s="16">
        <v>8.3333333333333329E-2</v>
      </c>
      <c r="H83" s="16" t="e">
        <f t="shared" si="16"/>
        <v>#N/A</v>
      </c>
      <c r="I83" s="16" t="e">
        <f t="shared" si="10"/>
        <v>#N/A</v>
      </c>
      <c r="J83" s="16"/>
      <c r="K83" s="16"/>
      <c r="L83" s="16"/>
      <c r="M83" s="16"/>
      <c r="N83" s="16">
        <f t="shared" si="11"/>
        <v>0</v>
      </c>
      <c r="O83" s="16" t="e">
        <f t="shared" si="12"/>
        <v>#N/A</v>
      </c>
      <c r="P83" s="16">
        <v>6.9444444444444397E-3</v>
      </c>
      <c r="Q83" s="16"/>
      <c r="R83" s="16">
        <f t="shared" si="13"/>
        <v>-6.9444444444444397E-3</v>
      </c>
      <c r="S83" s="16"/>
      <c r="T83" s="16" t="e">
        <f>VLOOKUP(E83,'[2]21-3-2026'!E$3:T$35,16,FALSE)</f>
        <v>#N/A</v>
      </c>
      <c r="U83" s="16"/>
      <c r="V83" s="16" t="e">
        <f t="shared" si="14"/>
        <v>#N/A</v>
      </c>
      <c r="W83" s="16"/>
      <c r="X83" s="16"/>
      <c r="Y83" s="16"/>
      <c r="Z83" s="16">
        <f t="shared" si="15"/>
        <v>0</v>
      </c>
      <c r="AA83" s="16">
        <f t="shared" si="9"/>
        <v>0</v>
      </c>
      <c r="AB83" s="16"/>
      <c r="AC83" s="17"/>
      <c r="AD83" s="51"/>
    </row>
    <row r="84" spans="1:30" ht="19.5" thickBot="1" x14ac:dyDescent="0.3">
      <c r="A84" s="14">
        <v>17</v>
      </c>
      <c r="B84" s="15"/>
      <c r="C84" s="15" t="e">
        <f>VLOOKUP(B84,داتا!$B$3:$D$107,2,FALSE)</f>
        <v>#N/A</v>
      </c>
      <c r="D84" s="34" t="e">
        <f>VLOOKUP(B84,داتا!$B$3:$D$107,3,FALSE)</f>
        <v>#N/A</v>
      </c>
      <c r="E84" s="15"/>
      <c r="F84" s="15"/>
      <c r="G84" s="16">
        <v>8.3333333333333329E-2</v>
      </c>
      <c r="H84" s="16" t="e">
        <f t="shared" si="16"/>
        <v>#N/A</v>
      </c>
      <c r="I84" s="16" t="e">
        <f t="shared" si="10"/>
        <v>#N/A</v>
      </c>
      <c r="J84" s="16"/>
      <c r="K84" s="16"/>
      <c r="L84" s="16"/>
      <c r="M84" s="16"/>
      <c r="N84" s="16">
        <f t="shared" si="11"/>
        <v>0</v>
      </c>
      <c r="O84" s="16" t="e">
        <f t="shared" si="12"/>
        <v>#N/A</v>
      </c>
      <c r="P84" s="16">
        <v>6.9444444444444397E-3</v>
      </c>
      <c r="Q84" s="16"/>
      <c r="R84" s="16">
        <f t="shared" si="13"/>
        <v>-6.9444444444444397E-3</v>
      </c>
      <c r="S84" s="16"/>
      <c r="T84" s="16" t="e">
        <f>VLOOKUP(E84,'[2]21-3-2026'!E$3:T$35,16,FALSE)</f>
        <v>#N/A</v>
      </c>
      <c r="U84" s="16"/>
      <c r="V84" s="16" t="e">
        <f t="shared" si="14"/>
        <v>#N/A</v>
      </c>
      <c r="W84" s="16"/>
      <c r="X84" s="16"/>
      <c r="Y84" s="16"/>
      <c r="Z84" s="16">
        <f t="shared" si="15"/>
        <v>0</v>
      </c>
      <c r="AA84" s="16">
        <f t="shared" si="9"/>
        <v>0</v>
      </c>
      <c r="AB84" s="16"/>
      <c r="AC84" s="17"/>
      <c r="AD84" s="51"/>
    </row>
    <row r="85" spans="1:30" ht="19.5" thickBot="1" x14ac:dyDescent="0.3">
      <c r="A85" s="14">
        <v>18</v>
      </c>
      <c r="B85" s="15"/>
      <c r="C85" s="15" t="e">
        <f>VLOOKUP(B85,داتا!$B$3:$D$107,2,FALSE)</f>
        <v>#N/A</v>
      </c>
      <c r="D85" s="34" t="e">
        <f>VLOOKUP(B85,داتا!$B$3:$D$107,3,FALSE)</f>
        <v>#N/A</v>
      </c>
      <c r="E85" s="15"/>
      <c r="F85" s="15"/>
      <c r="G85" s="16">
        <v>8.3333333333333329E-2</v>
      </c>
      <c r="H85" s="16" t="e">
        <f t="shared" ref="H85:H99" si="17">VLOOKUP(G85,$F$3:$I$35,2,FALSE)</f>
        <v>#N/A</v>
      </c>
      <c r="I85" s="16" t="e">
        <f t="shared" si="10"/>
        <v>#N/A</v>
      </c>
      <c r="J85" s="16"/>
      <c r="K85" s="16"/>
      <c r="L85" s="16"/>
      <c r="M85" s="16"/>
      <c r="N85" s="16">
        <f t="shared" si="11"/>
        <v>0</v>
      </c>
      <c r="O85" s="16" t="e">
        <f t="shared" si="12"/>
        <v>#N/A</v>
      </c>
      <c r="P85" s="16">
        <v>6.9444444444444397E-3</v>
      </c>
      <c r="Q85" s="16"/>
      <c r="R85" s="16">
        <f t="shared" si="13"/>
        <v>-6.9444444444444397E-3</v>
      </c>
      <c r="S85" s="16"/>
      <c r="T85" s="16" t="e">
        <f>VLOOKUP(E85,'[2]21-3-2026'!E$3:T$35,16,FALSE)</f>
        <v>#N/A</v>
      </c>
      <c r="U85" s="16"/>
      <c r="V85" s="16" t="e">
        <f t="shared" si="14"/>
        <v>#N/A</v>
      </c>
      <c r="W85" s="16"/>
      <c r="X85" s="16"/>
      <c r="Y85" s="16"/>
      <c r="Z85" s="16">
        <f t="shared" si="15"/>
        <v>0</v>
      </c>
      <c r="AA85" s="16">
        <f t="shared" si="9"/>
        <v>0</v>
      </c>
      <c r="AB85" s="16"/>
      <c r="AC85" s="17"/>
      <c r="AD85" s="51"/>
    </row>
    <row r="86" spans="1:30" ht="19.5" thickBot="1" x14ac:dyDescent="0.3">
      <c r="A86" s="14">
        <v>19</v>
      </c>
      <c r="B86" s="15"/>
      <c r="C86" s="15" t="e">
        <f>VLOOKUP(B86,داتا!$B$3:$D$107,2,FALSE)</f>
        <v>#N/A</v>
      </c>
      <c r="D86" s="34" t="e">
        <f>VLOOKUP(B86,داتا!$B$3:$D$107,3,FALSE)</f>
        <v>#N/A</v>
      </c>
      <c r="E86" s="15"/>
      <c r="F86" s="15"/>
      <c r="G86" s="16">
        <v>8.3333333333333329E-2</v>
      </c>
      <c r="H86" s="16" t="e">
        <f t="shared" si="17"/>
        <v>#N/A</v>
      </c>
      <c r="I86" s="16" t="e">
        <f t="shared" si="10"/>
        <v>#N/A</v>
      </c>
      <c r="J86" s="16"/>
      <c r="K86" s="16"/>
      <c r="L86" s="16"/>
      <c r="M86" s="16"/>
      <c r="N86" s="16">
        <f t="shared" si="11"/>
        <v>0</v>
      </c>
      <c r="O86" s="16" t="e">
        <f t="shared" si="12"/>
        <v>#N/A</v>
      </c>
      <c r="P86" s="16">
        <v>6.9444444444444397E-3</v>
      </c>
      <c r="Q86" s="16"/>
      <c r="R86" s="16">
        <f t="shared" si="13"/>
        <v>-6.9444444444444397E-3</v>
      </c>
      <c r="S86" s="16"/>
      <c r="T86" s="16" t="e">
        <f>VLOOKUP(E86,'[2]21-3-2026'!E$3:T$35,16,FALSE)</f>
        <v>#N/A</v>
      </c>
      <c r="U86" s="16"/>
      <c r="V86" s="16" t="e">
        <f t="shared" si="14"/>
        <v>#N/A</v>
      </c>
      <c r="W86" s="16"/>
      <c r="X86" s="16"/>
      <c r="Y86" s="16"/>
      <c r="Z86" s="16">
        <f t="shared" si="15"/>
        <v>0</v>
      </c>
      <c r="AA86" s="16">
        <f t="shared" si="9"/>
        <v>0</v>
      </c>
      <c r="AB86" s="16"/>
      <c r="AC86" s="17"/>
      <c r="AD86" s="51"/>
    </row>
    <row r="87" spans="1:30" ht="19.5" thickBot="1" x14ac:dyDescent="0.3">
      <c r="A87" s="14">
        <v>20</v>
      </c>
      <c r="B87" s="15"/>
      <c r="C87" s="15" t="e">
        <f>VLOOKUP(B87,داتا!$B$3:$D$107,2,FALSE)</f>
        <v>#N/A</v>
      </c>
      <c r="D87" s="34" t="e">
        <f>VLOOKUP(B87,داتا!$B$3:$D$107,3,FALSE)</f>
        <v>#N/A</v>
      </c>
      <c r="E87" s="15"/>
      <c r="F87" s="15"/>
      <c r="G87" s="16">
        <v>8.3333333333333329E-2</v>
      </c>
      <c r="H87" s="16" t="e">
        <f t="shared" si="17"/>
        <v>#N/A</v>
      </c>
      <c r="I87" s="16" t="e">
        <f t="shared" si="10"/>
        <v>#N/A</v>
      </c>
      <c r="J87" s="16"/>
      <c r="K87" s="16"/>
      <c r="L87" s="16"/>
      <c r="M87" s="16"/>
      <c r="N87" s="16">
        <f t="shared" si="11"/>
        <v>0</v>
      </c>
      <c r="O87" s="16" t="e">
        <f t="shared" si="12"/>
        <v>#N/A</v>
      </c>
      <c r="P87" s="16">
        <v>6.9444444444444397E-3</v>
      </c>
      <c r="Q87" s="16"/>
      <c r="R87" s="16">
        <f t="shared" si="13"/>
        <v>-6.9444444444444397E-3</v>
      </c>
      <c r="S87" s="16"/>
      <c r="T87" s="16" t="e">
        <f>VLOOKUP(E87,'[2]21-3-2026'!E$3:T$35,16,FALSE)</f>
        <v>#N/A</v>
      </c>
      <c r="U87" s="16"/>
      <c r="V87" s="16" t="e">
        <f t="shared" si="14"/>
        <v>#N/A</v>
      </c>
      <c r="W87" s="16"/>
      <c r="X87" s="16"/>
      <c r="Y87" s="16"/>
      <c r="Z87" s="16">
        <f t="shared" si="15"/>
        <v>0</v>
      </c>
      <c r="AA87" s="16">
        <f t="shared" si="9"/>
        <v>0</v>
      </c>
      <c r="AB87" s="16"/>
      <c r="AC87" s="17"/>
      <c r="AD87" s="51"/>
    </row>
    <row r="88" spans="1:30" ht="19.5" thickBot="1" x14ac:dyDescent="0.3">
      <c r="A88" s="14">
        <v>21</v>
      </c>
      <c r="B88" s="15"/>
      <c r="C88" s="15" t="e">
        <f>VLOOKUP(B88,داتا!$B$3:$D$107,2,FALSE)</f>
        <v>#N/A</v>
      </c>
      <c r="D88" s="34" t="e">
        <f>VLOOKUP(B88,داتا!$B$3:$D$107,3,FALSE)</f>
        <v>#N/A</v>
      </c>
      <c r="E88" s="15"/>
      <c r="F88" s="15"/>
      <c r="G88" s="16">
        <v>8.3333333333333329E-2</v>
      </c>
      <c r="H88" s="16" t="e">
        <f t="shared" si="17"/>
        <v>#N/A</v>
      </c>
      <c r="I88" s="16" t="e">
        <f t="shared" si="10"/>
        <v>#N/A</v>
      </c>
      <c r="J88" s="16"/>
      <c r="K88" s="16"/>
      <c r="L88" s="16"/>
      <c r="M88" s="16"/>
      <c r="N88" s="16">
        <f t="shared" si="11"/>
        <v>0</v>
      </c>
      <c r="O88" s="16" t="e">
        <f t="shared" si="12"/>
        <v>#N/A</v>
      </c>
      <c r="P88" s="16">
        <v>6.9444444444444397E-3</v>
      </c>
      <c r="Q88" s="16"/>
      <c r="R88" s="16">
        <f t="shared" si="13"/>
        <v>-6.9444444444444397E-3</v>
      </c>
      <c r="S88" s="16"/>
      <c r="T88" s="16" t="e">
        <f>VLOOKUP(E88,'[2]21-3-2026'!E$3:T$35,16,FALSE)</f>
        <v>#N/A</v>
      </c>
      <c r="U88" s="16"/>
      <c r="V88" s="16" t="e">
        <f t="shared" si="14"/>
        <v>#N/A</v>
      </c>
      <c r="W88" s="16"/>
      <c r="X88" s="16"/>
      <c r="Y88" s="16"/>
      <c r="Z88" s="16">
        <f t="shared" si="15"/>
        <v>0</v>
      </c>
      <c r="AA88" s="16">
        <f t="shared" si="9"/>
        <v>0</v>
      </c>
      <c r="AB88" s="16"/>
      <c r="AC88" s="19"/>
      <c r="AD88" s="51"/>
    </row>
    <row r="89" spans="1:30" ht="19.5" thickBot="1" x14ac:dyDescent="0.3">
      <c r="A89" s="14">
        <v>22</v>
      </c>
      <c r="B89" s="15"/>
      <c r="C89" s="15" t="e">
        <f>VLOOKUP(B89,داتا!$B$3:$D$107,2,FALSE)</f>
        <v>#N/A</v>
      </c>
      <c r="D89" s="34" t="e">
        <f>VLOOKUP(B89,داتا!$B$3:$D$107,3,FALSE)</f>
        <v>#N/A</v>
      </c>
      <c r="E89" s="15"/>
      <c r="F89" s="15"/>
      <c r="G89" s="16">
        <v>8.3333333333333329E-2</v>
      </c>
      <c r="H89" s="16" t="e">
        <f t="shared" si="17"/>
        <v>#N/A</v>
      </c>
      <c r="I89" s="16" t="e">
        <f t="shared" si="10"/>
        <v>#N/A</v>
      </c>
      <c r="J89" s="16"/>
      <c r="K89" s="16"/>
      <c r="L89" s="16"/>
      <c r="M89" s="16"/>
      <c r="N89" s="16">
        <f t="shared" si="11"/>
        <v>0</v>
      </c>
      <c r="O89" s="16" t="e">
        <f t="shared" si="12"/>
        <v>#N/A</v>
      </c>
      <c r="P89" s="16">
        <v>6.9444444444444397E-3</v>
      </c>
      <c r="Q89" s="16"/>
      <c r="R89" s="16">
        <f t="shared" si="13"/>
        <v>-6.9444444444444397E-3</v>
      </c>
      <c r="S89" s="16"/>
      <c r="T89" s="16" t="e">
        <f>VLOOKUP(E89,'[2]21-3-2026'!E$3:T$35,16,FALSE)</f>
        <v>#N/A</v>
      </c>
      <c r="U89" s="16"/>
      <c r="V89" s="16" t="e">
        <f t="shared" si="14"/>
        <v>#N/A</v>
      </c>
      <c r="W89" s="16"/>
      <c r="X89" s="16"/>
      <c r="Y89" s="16"/>
      <c r="Z89" s="16">
        <f t="shared" si="15"/>
        <v>0</v>
      </c>
      <c r="AA89" s="16">
        <f t="shared" si="9"/>
        <v>0</v>
      </c>
      <c r="AB89" s="16"/>
      <c r="AC89" s="19"/>
      <c r="AD89" s="51"/>
    </row>
    <row r="90" spans="1:30" ht="19.5" thickBot="1" x14ac:dyDescent="0.3">
      <c r="A90" s="14">
        <v>23</v>
      </c>
      <c r="B90" s="15"/>
      <c r="C90" s="15" t="e">
        <f>VLOOKUP(B90,داتا!$B$3:$D$107,2,FALSE)</f>
        <v>#N/A</v>
      </c>
      <c r="D90" s="34" t="e">
        <f>VLOOKUP(B90,داتا!$B$3:$D$107,3,FALSE)</f>
        <v>#N/A</v>
      </c>
      <c r="E90" s="15"/>
      <c r="F90" s="15"/>
      <c r="G90" s="16">
        <v>8.3333333333333329E-2</v>
      </c>
      <c r="H90" s="16" t="e">
        <f t="shared" si="17"/>
        <v>#N/A</v>
      </c>
      <c r="I90" s="16" t="e">
        <f t="shared" si="10"/>
        <v>#N/A</v>
      </c>
      <c r="J90" s="16"/>
      <c r="K90" s="16"/>
      <c r="L90" s="16"/>
      <c r="M90" s="16"/>
      <c r="N90" s="16">
        <f t="shared" si="11"/>
        <v>0</v>
      </c>
      <c r="O90" s="16" t="e">
        <f t="shared" si="12"/>
        <v>#N/A</v>
      </c>
      <c r="P90" s="16">
        <v>6.9444444444444397E-3</v>
      </c>
      <c r="Q90" s="16"/>
      <c r="R90" s="16">
        <f t="shared" si="13"/>
        <v>-6.9444444444444397E-3</v>
      </c>
      <c r="S90" s="16"/>
      <c r="T90" s="16" t="e">
        <f>VLOOKUP(E90,'[2]21-3-2026'!E$3:T$35,16,FALSE)</f>
        <v>#N/A</v>
      </c>
      <c r="U90" s="16"/>
      <c r="V90" s="16" t="e">
        <f t="shared" si="14"/>
        <v>#N/A</v>
      </c>
      <c r="W90" s="16"/>
      <c r="X90" s="16"/>
      <c r="Y90" s="16"/>
      <c r="Z90" s="16">
        <f t="shared" si="15"/>
        <v>0</v>
      </c>
      <c r="AA90" s="16">
        <f t="shared" si="9"/>
        <v>0</v>
      </c>
      <c r="AB90" s="16"/>
      <c r="AC90" s="19"/>
      <c r="AD90" s="51"/>
    </row>
    <row r="91" spans="1:30" ht="19.5" thickBot="1" x14ac:dyDescent="0.3">
      <c r="A91" s="14">
        <v>24</v>
      </c>
      <c r="B91" s="15"/>
      <c r="C91" s="15" t="e">
        <f>VLOOKUP(B91,داتا!$B$3:$D$107,2,FALSE)</f>
        <v>#N/A</v>
      </c>
      <c r="D91" s="34" t="e">
        <f>VLOOKUP(B91,داتا!$B$3:$D$107,3,FALSE)</f>
        <v>#N/A</v>
      </c>
      <c r="E91" s="15"/>
      <c r="F91" s="15"/>
      <c r="G91" s="16">
        <v>8.3333333333333329E-2</v>
      </c>
      <c r="H91" s="16" t="e">
        <f t="shared" si="17"/>
        <v>#N/A</v>
      </c>
      <c r="I91" s="16" t="e">
        <f t="shared" si="10"/>
        <v>#N/A</v>
      </c>
      <c r="J91" s="16"/>
      <c r="K91" s="16"/>
      <c r="L91" s="16"/>
      <c r="M91" s="16"/>
      <c r="N91" s="16">
        <f t="shared" si="11"/>
        <v>0</v>
      </c>
      <c r="O91" s="16" t="e">
        <f t="shared" si="12"/>
        <v>#N/A</v>
      </c>
      <c r="P91" s="16">
        <v>6.9444444444444397E-3</v>
      </c>
      <c r="Q91" s="16"/>
      <c r="R91" s="16">
        <f t="shared" si="13"/>
        <v>-6.9444444444444397E-3</v>
      </c>
      <c r="S91" s="16"/>
      <c r="T91" s="16" t="e">
        <f>VLOOKUP(E91,'[2]21-3-2026'!E$3:T$35,16,FALSE)</f>
        <v>#N/A</v>
      </c>
      <c r="U91" s="16"/>
      <c r="V91" s="16" t="e">
        <f t="shared" si="14"/>
        <v>#N/A</v>
      </c>
      <c r="W91" s="16"/>
      <c r="X91" s="16"/>
      <c r="Y91" s="16"/>
      <c r="Z91" s="16">
        <f t="shared" si="15"/>
        <v>0</v>
      </c>
      <c r="AA91" s="16">
        <f t="shared" si="9"/>
        <v>0</v>
      </c>
      <c r="AB91" s="16"/>
      <c r="AC91" s="19"/>
      <c r="AD91" s="51"/>
    </row>
    <row r="92" spans="1:30" ht="19.5" thickBot="1" x14ac:dyDescent="0.3">
      <c r="A92" s="14">
        <v>25</v>
      </c>
      <c r="B92" s="15"/>
      <c r="C92" s="15" t="e">
        <f>VLOOKUP(B92,داتا!$B$3:$D$107,2,FALSE)</f>
        <v>#N/A</v>
      </c>
      <c r="D92" s="34" t="e">
        <f>VLOOKUP(B92,داتا!$B$3:$D$107,3,FALSE)</f>
        <v>#N/A</v>
      </c>
      <c r="E92" s="15"/>
      <c r="F92" s="15"/>
      <c r="G92" s="16">
        <v>8.3333333333333329E-2</v>
      </c>
      <c r="H92" s="16" t="e">
        <f t="shared" si="17"/>
        <v>#N/A</v>
      </c>
      <c r="I92" s="16" t="e">
        <f t="shared" si="10"/>
        <v>#N/A</v>
      </c>
      <c r="J92" s="16"/>
      <c r="K92" s="16"/>
      <c r="L92" s="16"/>
      <c r="M92" s="16"/>
      <c r="N92" s="16">
        <f t="shared" si="11"/>
        <v>0</v>
      </c>
      <c r="O92" s="16" t="e">
        <f t="shared" si="12"/>
        <v>#N/A</v>
      </c>
      <c r="P92" s="16">
        <v>6.9444444444444397E-3</v>
      </c>
      <c r="Q92" s="16"/>
      <c r="R92" s="16">
        <f t="shared" si="13"/>
        <v>-6.9444444444444397E-3</v>
      </c>
      <c r="S92" s="16"/>
      <c r="T92" s="16" t="e">
        <f>VLOOKUP(E92,'[2]21-3-2026'!E$3:T$35,16,FALSE)</f>
        <v>#N/A</v>
      </c>
      <c r="U92" s="16"/>
      <c r="V92" s="16" t="e">
        <f t="shared" si="14"/>
        <v>#N/A</v>
      </c>
      <c r="W92" s="16"/>
      <c r="X92" s="16"/>
      <c r="Y92" s="16"/>
      <c r="Z92" s="16">
        <f t="shared" si="15"/>
        <v>0</v>
      </c>
      <c r="AA92" s="16">
        <f t="shared" si="9"/>
        <v>0</v>
      </c>
      <c r="AB92" s="16"/>
      <c r="AC92" s="19"/>
      <c r="AD92" s="51"/>
    </row>
    <row r="93" spans="1:30" ht="19.5" thickBot="1" x14ac:dyDescent="0.3">
      <c r="A93" s="14">
        <v>26</v>
      </c>
      <c r="B93" s="15"/>
      <c r="C93" s="15" t="e">
        <f>VLOOKUP(B93,داتا!$B$3:$D$107,2,FALSE)</f>
        <v>#N/A</v>
      </c>
      <c r="D93" s="34" t="e">
        <f>VLOOKUP(B93,داتا!$B$3:$D$107,3,FALSE)</f>
        <v>#N/A</v>
      </c>
      <c r="E93" s="15"/>
      <c r="F93" s="15"/>
      <c r="G93" s="16">
        <v>8.3333333333333329E-2</v>
      </c>
      <c r="H93" s="16" t="e">
        <f t="shared" si="17"/>
        <v>#N/A</v>
      </c>
      <c r="I93" s="16" t="e">
        <f t="shared" si="10"/>
        <v>#N/A</v>
      </c>
      <c r="J93" s="16"/>
      <c r="K93" s="16"/>
      <c r="L93" s="16"/>
      <c r="M93" s="16"/>
      <c r="N93" s="16">
        <f t="shared" si="11"/>
        <v>0</v>
      </c>
      <c r="O93" s="16" t="e">
        <f t="shared" si="12"/>
        <v>#N/A</v>
      </c>
      <c r="P93" s="16">
        <v>6.9444444444444397E-3</v>
      </c>
      <c r="Q93" s="16"/>
      <c r="R93" s="16">
        <f t="shared" si="13"/>
        <v>-6.9444444444444397E-3</v>
      </c>
      <c r="S93" s="16"/>
      <c r="T93" s="16" t="e">
        <f>VLOOKUP(E93,'[2]21-3-2026'!E$3:T$35,16,FALSE)</f>
        <v>#N/A</v>
      </c>
      <c r="U93" s="16"/>
      <c r="V93" s="16" t="e">
        <f t="shared" si="14"/>
        <v>#N/A</v>
      </c>
      <c r="W93" s="16"/>
      <c r="X93" s="16"/>
      <c r="Y93" s="16"/>
      <c r="Z93" s="16">
        <f t="shared" si="15"/>
        <v>0</v>
      </c>
      <c r="AA93" s="16">
        <f t="shared" si="9"/>
        <v>0</v>
      </c>
      <c r="AB93" s="16"/>
      <c r="AC93" s="19"/>
      <c r="AD93" s="51"/>
    </row>
    <row r="94" spans="1:30" ht="19.5" thickBot="1" x14ac:dyDescent="0.3">
      <c r="A94" s="14">
        <v>27</v>
      </c>
      <c r="B94" s="15"/>
      <c r="C94" s="15" t="e">
        <f>VLOOKUP(B94,داتا!$B$3:$D$107,2,FALSE)</f>
        <v>#N/A</v>
      </c>
      <c r="D94" s="34" t="e">
        <f>VLOOKUP(B94,داتا!$B$3:$D$107,3,FALSE)</f>
        <v>#N/A</v>
      </c>
      <c r="E94" s="15"/>
      <c r="F94" s="15"/>
      <c r="G94" s="16">
        <v>8.3333333333333329E-2</v>
      </c>
      <c r="H94" s="16" t="e">
        <f t="shared" si="17"/>
        <v>#N/A</v>
      </c>
      <c r="I94" s="16" t="e">
        <f t="shared" si="10"/>
        <v>#N/A</v>
      </c>
      <c r="J94" s="16"/>
      <c r="K94" s="16"/>
      <c r="L94" s="16"/>
      <c r="M94" s="16"/>
      <c r="N94" s="16">
        <f t="shared" si="11"/>
        <v>0</v>
      </c>
      <c r="O94" s="16" t="e">
        <f t="shared" si="12"/>
        <v>#N/A</v>
      </c>
      <c r="P94" s="16">
        <v>6.9444444444444397E-3</v>
      </c>
      <c r="Q94" s="16"/>
      <c r="R94" s="16">
        <f t="shared" si="13"/>
        <v>-6.9444444444444397E-3</v>
      </c>
      <c r="S94" s="16"/>
      <c r="T94" s="16" t="e">
        <f>VLOOKUP(E94,'[2]21-3-2026'!E$3:T$35,16,FALSE)</f>
        <v>#N/A</v>
      </c>
      <c r="U94" s="16"/>
      <c r="V94" s="16" t="e">
        <f t="shared" si="14"/>
        <v>#N/A</v>
      </c>
      <c r="W94" s="16"/>
      <c r="X94" s="16"/>
      <c r="Y94" s="16"/>
      <c r="Z94" s="16">
        <f t="shared" si="15"/>
        <v>0</v>
      </c>
      <c r="AA94" s="16">
        <f t="shared" si="9"/>
        <v>0</v>
      </c>
      <c r="AB94" s="16"/>
      <c r="AC94" s="19"/>
      <c r="AD94" s="51"/>
    </row>
    <row r="95" spans="1:30" ht="19.5" thickBot="1" x14ac:dyDescent="0.3">
      <c r="A95" s="14">
        <v>28</v>
      </c>
      <c r="B95" s="15"/>
      <c r="C95" s="15" t="e">
        <f>VLOOKUP(B95,داتا!$B$3:$D$107,2,FALSE)</f>
        <v>#N/A</v>
      </c>
      <c r="D95" s="34" t="e">
        <f>VLOOKUP(B95,داتا!$B$3:$D$107,3,FALSE)</f>
        <v>#N/A</v>
      </c>
      <c r="E95" s="15"/>
      <c r="F95" s="16"/>
      <c r="G95" s="16">
        <v>8.3333333333333329E-2</v>
      </c>
      <c r="H95" s="16" t="e">
        <f t="shared" si="17"/>
        <v>#N/A</v>
      </c>
      <c r="I95" s="16" t="e">
        <f t="shared" si="10"/>
        <v>#N/A</v>
      </c>
      <c r="J95" s="16"/>
      <c r="K95" s="16"/>
      <c r="L95" s="16"/>
      <c r="M95" s="16"/>
      <c r="N95" s="16">
        <f t="shared" si="11"/>
        <v>0</v>
      </c>
      <c r="O95" s="16" t="e">
        <f t="shared" si="12"/>
        <v>#N/A</v>
      </c>
      <c r="P95" s="16">
        <v>6.9444444444444397E-3</v>
      </c>
      <c r="Q95" s="16"/>
      <c r="R95" s="16">
        <f t="shared" si="13"/>
        <v>-6.9444444444444397E-3</v>
      </c>
      <c r="S95" s="16"/>
      <c r="T95" s="16" t="e">
        <f>VLOOKUP(E95,'[2]21-3-2026'!E$3:T$35,16,FALSE)</f>
        <v>#N/A</v>
      </c>
      <c r="U95" s="16"/>
      <c r="V95" s="16" t="e">
        <f t="shared" si="14"/>
        <v>#N/A</v>
      </c>
      <c r="W95" s="16"/>
      <c r="X95" s="16"/>
      <c r="Y95" s="16"/>
      <c r="Z95" s="16">
        <f t="shared" si="15"/>
        <v>0</v>
      </c>
      <c r="AA95" s="16">
        <f t="shared" si="9"/>
        <v>0</v>
      </c>
      <c r="AB95" s="16"/>
      <c r="AC95" s="19"/>
      <c r="AD95" s="51"/>
    </row>
    <row r="96" spans="1:30" ht="19.5" thickBot="1" x14ac:dyDescent="0.3">
      <c r="A96" s="14">
        <v>29</v>
      </c>
      <c r="B96" s="15"/>
      <c r="C96" s="15" t="e">
        <f>VLOOKUP(B96,داتا!$B$3:$D$107,2,FALSE)</f>
        <v>#N/A</v>
      </c>
      <c r="D96" s="34" t="e">
        <f>VLOOKUP(B96,داتا!$B$3:$D$107,3,FALSE)</f>
        <v>#N/A</v>
      </c>
      <c r="E96" s="15"/>
      <c r="F96" s="16"/>
      <c r="G96" s="16">
        <v>8.3333333333333329E-2</v>
      </c>
      <c r="H96" s="16" t="e">
        <f t="shared" si="17"/>
        <v>#N/A</v>
      </c>
      <c r="I96" s="16" t="e">
        <f t="shared" si="10"/>
        <v>#N/A</v>
      </c>
      <c r="J96" s="16"/>
      <c r="K96" s="16"/>
      <c r="L96" s="16"/>
      <c r="M96" s="16"/>
      <c r="N96" s="16">
        <f t="shared" si="11"/>
        <v>0</v>
      </c>
      <c r="O96" s="16" t="e">
        <f t="shared" si="12"/>
        <v>#N/A</v>
      </c>
      <c r="P96" s="16">
        <v>6.9444444444444397E-3</v>
      </c>
      <c r="Q96" s="16"/>
      <c r="R96" s="16">
        <f t="shared" si="13"/>
        <v>-6.9444444444444397E-3</v>
      </c>
      <c r="S96" s="16"/>
      <c r="T96" s="16" t="e">
        <f>VLOOKUP(E96,'[2]21-3-2026'!E$3:T$35,16,FALSE)</f>
        <v>#N/A</v>
      </c>
      <c r="U96" s="16"/>
      <c r="V96" s="16" t="e">
        <f t="shared" si="14"/>
        <v>#N/A</v>
      </c>
      <c r="W96" s="16"/>
      <c r="X96" s="16"/>
      <c r="Y96" s="16"/>
      <c r="Z96" s="16">
        <f t="shared" si="15"/>
        <v>0</v>
      </c>
      <c r="AA96" s="16">
        <f t="shared" si="9"/>
        <v>0</v>
      </c>
      <c r="AB96" s="16"/>
      <c r="AC96" s="19"/>
      <c r="AD96" s="54"/>
    </row>
    <row r="97" spans="1:29" ht="19.5" thickBot="1" x14ac:dyDescent="0.3">
      <c r="A97" s="14">
        <v>30</v>
      </c>
      <c r="B97" s="15"/>
      <c r="C97" s="15" t="e">
        <f>VLOOKUP(B97,داتا!$B$3:$D$107,2,FALSE)</f>
        <v>#N/A</v>
      </c>
      <c r="D97" s="34" t="e">
        <f>VLOOKUP(B97,داتا!$B$3:$D$107,3,FALSE)</f>
        <v>#N/A</v>
      </c>
      <c r="E97" s="15"/>
      <c r="F97" s="16"/>
      <c r="G97" s="16">
        <v>8.3333333333333329E-2</v>
      </c>
      <c r="H97" s="16" t="e">
        <f t="shared" si="17"/>
        <v>#N/A</v>
      </c>
      <c r="I97" s="16" t="e">
        <f t="shared" si="10"/>
        <v>#N/A</v>
      </c>
      <c r="J97" s="16"/>
      <c r="K97" s="16"/>
      <c r="L97" s="16"/>
      <c r="M97" s="16"/>
      <c r="N97" s="16">
        <f t="shared" si="11"/>
        <v>0</v>
      </c>
      <c r="O97" s="16" t="e">
        <f t="shared" si="12"/>
        <v>#N/A</v>
      </c>
      <c r="P97" s="16">
        <v>6.9444444444444397E-3</v>
      </c>
      <c r="Q97" s="16"/>
      <c r="R97" s="16">
        <f t="shared" si="13"/>
        <v>-6.9444444444444397E-3</v>
      </c>
      <c r="S97" s="16"/>
      <c r="T97" s="16" t="e">
        <f>VLOOKUP(E97,'[2]21-3-2026'!E$3:T$35,16,FALSE)</f>
        <v>#N/A</v>
      </c>
      <c r="U97" s="16"/>
      <c r="V97" s="16" t="e">
        <f t="shared" si="14"/>
        <v>#N/A</v>
      </c>
      <c r="W97" s="16"/>
      <c r="X97" s="16"/>
      <c r="Y97" s="16"/>
      <c r="Z97" s="16">
        <f t="shared" si="15"/>
        <v>0</v>
      </c>
      <c r="AA97" s="16">
        <f t="shared" si="9"/>
        <v>0</v>
      </c>
      <c r="AB97" s="16"/>
      <c r="AC97" s="19"/>
    </row>
    <row r="98" spans="1:29" ht="19.5" thickBot="1" x14ac:dyDescent="0.3">
      <c r="A98" s="14">
        <v>31</v>
      </c>
      <c r="B98" s="15"/>
      <c r="C98" s="15" t="e">
        <f>VLOOKUP(B98,داتا!$B$3:$D$107,2,FALSE)</f>
        <v>#N/A</v>
      </c>
      <c r="D98" s="34" t="e">
        <f>VLOOKUP(B98,داتا!$B$3:$D$107,3,FALSE)</f>
        <v>#N/A</v>
      </c>
      <c r="E98" s="15"/>
      <c r="F98" s="16"/>
      <c r="G98" s="16">
        <v>8.3333333333333329E-2</v>
      </c>
      <c r="H98" s="16" t="e">
        <f t="shared" si="17"/>
        <v>#N/A</v>
      </c>
      <c r="I98" s="16" t="e">
        <f t="shared" si="10"/>
        <v>#N/A</v>
      </c>
      <c r="J98" s="16"/>
      <c r="K98" s="16"/>
      <c r="L98" s="16"/>
      <c r="M98" s="16"/>
      <c r="N98" s="16">
        <f t="shared" si="11"/>
        <v>0</v>
      </c>
      <c r="O98" s="16" t="e">
        <f t="shared" si="12"/>
        <v>#N/A</v>
      </c>
      <c r="P98" s="16">
        <v>6.9444444444444397E-3</v>
      </c>
      <c r="Q98" s="16"/>
      <c r="R98" s="16">
        <f t="shared" si="13"/>
        <v>-6.9444444444444397E-3</v>
      </c>
      <c r="S98" s="16"/>
      <c r="T98" s="16" t="e">
        <f>VLOOKUP(E98,'[2]21-3-2026'!E$3:T$35,16,FALSE)</f>
        <v>#N/A</v>
      </c>
      <c r="U98" s="16"/>
      <c r="V98" s="16" t="e">
        <f t="shared" si="14"/>
        <v>#N/A</v>
      </c>
      <c r="W98" s="16"/>
      <c r="X98" s="16"/>
      <c r="Y98" s="16"/>
      <c r="Z98" s="16">
        <f t="shared" si="15"/>
        <v>0</v>
      </c>
      <c r="AA98" s="16">
        <f t="shared" si="9"/>
        <v>0</v>
      </c>
      <c r="AB98" s="16"/>
      <c r="AC98" s="19"/>
    </row>
    <row r="99" spans="1:29" ht="19.5" thickBot="1" x14ac:dyDescent="0.3">
      <c r="A99" s="20">
        <v>32</v>
      </c>
      <c r="B99" s="21"/>
      <c r="C99" s="21" t="e">
        <f>VLOOKUP(B99,داتا!$B$3:$D$107,2,FALSE)</f>
        <v>#N/A</v>
      </c>
      <c r="D99" s="35" t="e">
        <f>VLOOKUP(B99,داتا!$B$3:$D$107,3,FALSE)</f>
        <v>#N/A</v>
      </c>
      <c r="E99" s="21"/>
      <c r="F99" s="22"/>
      <c r="G99" s="22">
        <v>8.3333333333333329E-2</v>
      </c>
      <c r="H99" s="22" t="e">
        <f t="shared" si="17"/>
        <v>#N/A</v>
      </c>
      <c r="I99" s="22" t="e">
        <f t="shared" si="10"/>
        <v>#N/A</v>
      </c>
      <c r="J99" s="22"/>
      <c r="K99" s="22"/>
      <c r="L99" s="22"/>
      <c r="M99" s="22"/>
      <c r="N99" s="22">
        <f t="shared" si="11"/>
        <v>0</v>
      </c>
      <c r="O99" s="22" t="e">
        <f t="shared" si="12"/>
        <v>#N/A</v>
      </c>
      <c r="P99" s="22">
        <v>6.9444444444444397E-3</v>
      </c>
      <c r="Q99" s="22"/>
      <c r="R99" s="22">
        <f t="shared" si="13"/>
        <v>-6.9444444444444397E-3</v>
      </c>
      <c r="S99" s="22"/>
      <c r="T99" s="22" t="e">
        <f>VLOOKUP(E99,'[2]21-3-2026'!E$3:T$35,16,FALSE)</f>
        <v>#N/A</v>
      </c>
      <c r="U99" s="22"/>
      <c r="V99" s="22" t="e">
        <f t="shared" si="14"/>
        <v>#N/A</v>
      </c>
      <c r="W99" s="22"/>
      <c r="X99" s="22"/>
      <c r="Y99" s="22"/>
      <c r="Z99" s="22">
        <f t="shared" si="15"/>
        <v>0</v>
      </c>
      <c r="AA99" s="22">
        <f t="shared" si="9"/>
        <v>0</v>
      </c>
      <c r="AB99" s="22"/>
      <c r="AC99" s="30"/>
    </row>
    <row r="100" spans="1:29" ht="16.5" thickTop="1" x14ac:dyDescent="0.25"/>
  </sheetData>
  <mergeCells count="4">
    <mergeCell ref="A1:AC1"/>
    <mergeCell ref="AD3:AD35"/>
    <mergeCell ref="AD36:AD67"/>
    <mergeCell ref="AD68:AD96"/>
  </mergeCells>
  <conditionalFormatting sqref="AC1:AC96 AC100:AC1048576">
    <cfRule type="containsText" dxfId="89" priority="14" operator="containsText" text="ت">
      <formula>NOT(ISERROR(SEARCH("ت",AC1)))</formula>
    </cfRule>
  </conditionalFormatting>
  <conditionalFormatting sqref="AC4:AC96">
    <cfRule type="containsText" dxfId="88" priority="13" operator="containsText" text="ت">
      <formula>NOT(ISERROR(SEARCH("ت",AC4)))</formula>
    </cfRule>
  </conditionalFormatting>
  <conditionalFormatting sqref="O1:O2 I1:I2 R1:R2 V1:V2 AA100:AA1048576 V100:V1048576 R100:R1048576 O100:O1048576 I100:I1048576 AA1:AA2">
    <cfRule type="cellIs" dxfId="87" priority="15" operator="between">
      <formula>0.00277777777777778</formula>
      <formula>1</formula>
    </cfRule>
  </conditionalFormatting>
  <conditionalFormatting sqref="AC97:AC99">
    <cfRule type="containsText" dxfId="86" priority="12" operator="containsText" text="ت">
      <formula>NOT(ISERROR(SEARCH("ت",AC97)))</formula>
    </cfRule>
  </conditionalFormatting>
  <conditionalFormatting sqref="AC97:AC99">
    <cfRule type="containsText" dxfId="85" priority="11" operator="containsText" text="ت">
      <formula>NOT(ISERROR(SEARCH("ت",AC97)))</formula>
    </cfRule>
  </conditionalFormatting>
  <conditionalFormatting sqref="I3:I99">
    <cfRule type="cellIs" dxfId="84" priority="9" operator="between">
      <formula>0.00277777777777778</formula>
      <formula>1</formula>
    </cfRule>
  </conditionalFormatting>
  <conditionalFormatting sqref="I3:I99">
    <cfRule type="cellIs" dxfId="83" priority="10" operator="between">
      <formula>0.00277777777777778</formula>
      <formula>1</formula>
    </cfRule>
  </conditionalFormatting>
  <conditionalFormatting sqref="O3:O99">
    <cfRule type="cellIs" dxfId="82" priority="7" operator="between">
      <formula>0.00277777777777778</formula>
      <formula>1</formula>
    </cfRule>
  </conditionalFormatting>
  <conditionalFormatting sqref="O3:O99">
    <cfRule type="cellIs" dxfId="81" priority="8" operator="between">
      <formula>0.00277777777777778</formula>
      <formula>1</formula>
    </cfRule>
  </conditionalFormatting>
  <conditionalFormatting sqref="R3:R99">
    <cfRule type="cellIs" dxfId="80" priority="5" operator="between">
      <formula>0.00277777777777778</formula>
      <formula>1</formula>
    </cfRule>
  </conditionalFormatting>
  <conditionalFormatting sqref="R3:R99">
    <cfRule type="cellIs" dxfId="79" priority="6" operator="between">
      <formula>0.00277777777777778</formula>
      <formula>1</formula>
    </cfRule>
  </conditionalFormatting>
  <conditionalFormatting sqref="V3:V99">
    <cfRule type="cellIs" dxfId="78" priority="3" operator="between">
      <formula>0.00277777777777778</formula>
      <formula>1</formula>
    </cfRule>
  </conditionalFormatting>
  <conditionalFormatting sqref="V3:V99">
    <cfRule type="cellIs" dxfId="77" priority="4" operator="between">
      <formula>0.00277777777777778</formula>
      <formula>1</formula>
    </cfRule>
  </conditionalFormatting>
  <conditionalFormatting sqref="AA3:AA99">
    <cfRule type="cellIs" dxfId="76" priority="1" operator="between">
      <formula>0.00277777777777778</formula>
      <formula>1</formula>
    </cfRule>
  </conditionalFormatting>
  <conditionalFormatting sqref="AA3:AA99">
    <cfRule type="cellIs" dxfId="75" priority="2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"/>
  <sheetViews>
    <sheetView rightToLeft="1" workbookViewId="0">
      <pane xSplit="6" ySplit="2" topLeftCell="G68" activePane="bottomRight" state="frozen"/>
      <selection activeCell="A92" sqref="A92"/>
      <selection pane="topRight" activeCell="A92" sqref="A92"/>
      <selection pane="bottomLeft" activeCell="A92" sqref="A92"/>
      <selection pane="bottomRight" activeCell="A92" sqref="A92"/>
    </sheetView>
  </sheetViews>
  <sheetFormatPr defaultColWidth="9" defaultRowHeight="15.75" x14ac:dyDescent="0.25"/>
  <cols>
    <col min="1" max="1" width="5.42578125" customWidth="1"/>
    <col min="2" max="2" width="12.28515625" customWidth="1"/>
    <col min="3" max="3" width="12.5703125" customWidth="1"/>
    <col min="4" max="4" width="16.140625" style="36" customWidth="1"/>
    <col min="5" max="5" width="17.140625" customWidth="1"/>
    <col min="6" max="6" width="20.85546875" customWidth="1"/>
    <col min="7" max="7" width="12.7109375" customWidth="1"/>
    <col min="8" max="9" width="12.85546875" customWidth="1"/>
    <col min="10" max="10" width="12.5703125" customWidth="1"/>
    <col min="11" max="11" width="14.28515625" customWidth="1"/>
    <col min="12" max="12" width="22.7109375" customWidth="1"/>
    <col min="13" max="13" width="18.8554687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3.85546875" style="31" customWidth="1"/>
    <col min="30" max="30" width="11.140625" customWidth="1"/>
  </cols>
  <sheetData>
    <row r="1" spans="1:30" ht="33.75" customHeight="1" thickBot="1" x14ac:dyDescent="0.3">
      <c r="A1" s="46" t="s">
        <v>119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0" ht="49.5" customHeight="1" thickTop="1" thickBot="1" x14ac:dyDescent="0.3">
      <c r="A2" s="1" t="s">
        <v>1</v>
      </c>
      <c r="B2" s="2" t="s">
        <v>2</v>
      </c>
      <c r="C2" s="2" t="s">
        <v>3</v>
      </c>
      <c r="D2" s="3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8" t="s">
        <v>18</v>
      </c>
      <c r="S2" s="2" t="s">
        <v>19</v>
      </c>
      <c r="T2" s="8" t="s">
        <v>20</v>
      </c>
      <c r="U2" s="2" t="s">
        <v>21</v>
      </c>
      <c r="V2" s="8" t="s">
        <v>22</v>
      </c>
      <c r="W2" s="8" t="s">
        <v>23</v>
      </c>
      <c r="X2" s="2" t="s">
        <v>24</v>
      </c>
      <c r="Y2" s="2" t="s">
        <v>25</v>
      </c>
      <c r="Z2" s="2" t="s">
        <v>26</v>
      </c>
      <c r="AA2" s="8" t="s">
        <v>27</v>
      </c>
      <c r="AB2" s="2" t="s">
        <v>28</v>
      </c>
      <c r="AC2" s="9" t="s">
        <v>29</v>
      </c>
    </row>
    <row r="3" spans="1:30" ht="20.25" customHeight="1" thickTop="1" thickBot="1" x14ac:dyDescent="0.3">
      <c r="A3" s="10">
        <v>1</v>
      </c>
      <c r="B3" s="11"/>
      <c r="C3" s="11" t="e">
        <f>VLOOKUP(B3,داتا!$B$3:$D$107,2,FALSE)</f>
        <v>#N/A</v>
      </c>
      <c r="D3" s="33" t="e">
        <f>VLOOKUP(B3,داتا!$B$3:$D$107,3,FALSE)</f>
        <v>#N/A</v>
      </c>
      <c r="E3" s="11"/>
      <c r="F3" s="11"/>
      <c r="G3" s="12">
        <v>0.25</v>
      </c>
      <c r="H3" s="12"/>
      <c r="I3" s="12">
        <f>H3-G3</f>
        <v>-0.25</v>
      </c>
      <c r="J3" s="12"/>
      <c r="K3" s="12"/>
      <c r="L3" s="12"/>
      <c r="M3" s="12"/>
      <c r="N3" s="12">
        <f>K3-J3</f>
        <v>0</v>
      </c>
      <c r="O3" s="12" t="e">
        <f>N3-D3</f>
        <v>#N/A</v>
      </c>
      <c r="P3" s="12">
        <v>6.9444444444444397E-3</v>
      </c>
      <c r="Q3" s="12"/>
      <c r="R3" s="12">
        <f>Q3-P3-K3</f>
        <v>-6.9444444444444397E-3</v>
      </c>
      <c r="S3" s="12"/>
      <c r="T3" s="12" t="e">
        <f>VLOOKUP(E3,'[2]21-3-2026'!E$3:T$35,16,FALSE)</f>
        <v>#N/A</v>
      </c>
      <c r="U3" s="12"/>
      <c r="V3" s="12" t="e">
        <f>U3-T3-S3</f>
        <v>#N/A</v>
      </c>
      <c r="W3" s="12"/>
      <c r="X3" s="12"/>
      <c r="Y3" s="12"/>
      <c r="Z3" s="12">
        <f>Y3-X3</f>
        <v>0</v>
      </c>
      <c r="AA3" s="12">
        <f t="shared" ref="AA3:AA66" si="0">Z3-W3</f>
        <v>0</v>
      </c>
      <c r="AB3" s="12"/>
      <c r="AC3" s="13"/>
      <c r="AD3" s="47" t="s">
        <v>33</v>
      </c>
    </row>
    <row r="4" spans="1:30" ht="19.5" thickBot="1" x14ac:dyDescent="0.3">
      <c r="A4" s="14">
        <v>2</v>
      </c>
      <c r="B4" s="15"/>
      <c r="C4" s="15" t="e">
        <f>VLOOKUP(B4,داتا!$B$3:$D$107,2,FALSE)</f>
        <v>#N/A</v>
      </c>
      <c r="D4" s="34" t="e">
        <f>VLOOKUP(B4,داتا!$B$3:$D$107,3,FALSE)</f>
        <v>#N/A</v>
      </c>
      <c r="E4" s="15"/>
      <c r="F4" s="15"/>
      <c r="G4" s="16">
        <v>0.25</v>
      </c>
      <c r="H4" s="16"/>
      <c r="I4" s="16">
        <f t="shared" ref="I4:I67" si="1">H4-G4</f>
        <v>-0.25</v>
      </c>
      <c r="J4" s="16"/>
      <c r="K4" s="16"/>
      <c r="L4" s="16"/>
      <c r="M4" s="16"/>
      <c r="N4" s="16">
        <f t="shared" ref="N4:N67" si="2">K4-J4</f>
        <v>0</v>
      </c>
      <c r="O4" s="16" t="e">
        <f t="shared" ref="O4:O67" si="3">N4-D4</f>
        <v>#N/A</v>
      </c>
      <c r="P4" s="16">
        <v>6.9444444444444397E-3</v>
      </c>
      <c r="Q4" s="16"/>
      <c r="R4" s="16">
        <f t="shared" ref="R4:R67" si="4">Q4-P4-K4</f>
        <v>-6.9444444444444397E-3</v>
      </c>
      <c r="S4" s="16"/>
      <c r="T4" s="16" t="e">
        <f>VLOOKUP(E4,'[2]21-3-2026'!E$3:T$35,16,FALSE)</f>
        <v>#N/A</v>
      </c>
      <c r="U4" s="16"/>
      <c r="V4" s="16" t="e">
        <f t="shared" ref="V4:V67" si="5">U4-T4-S4</f>
        <v>#N/A</v>
      </c>
      <c r="W4" s="16"/>
      <c r="X4" s="16"/>
      <c r="Y4" s="16"/>
      <c r="Z4" s="16">
        <f t="shared" ref="Z4:Z67" si="6">Y4-X4</f>
        <v>0</v>
      </c>
      <c r="AA4" s="16">
        <f t="shared" si="0"/>
        <v>0</v>
      </c>
      <c r="AB4" s="16"/>
      <c r="AC4" s="17"/>
      <c r="AD4" s="48"/>
    </row>
    <row r="5" spans="1:30" ht="19.5" thickBot="1" x14ac:dyDescent="0.3">
      <c r="A5" s="14">
        <v>3</v>
      </c>
      <c r="B5" s="15"/>
      <c r="C5" s="15" t="e">
        <f>VLOOKUP(B5,داتا!$B$3:$D$107,2,FALSE)</f>
        <v>#N/A</v>
      </c>
      <c r="D5" s="34" t="e">
        <f>VLOOKUP(B5,داتا!$B$3:$D$107,3,FALSE)</f>
        <v>#N/A</v>
      </c>
      <c r="E5" s="15"/>
      <c r="F5" s="15"/>
      <c r="G5" s="16">
        <v>0.25</v>
      </c>
      <c r="H5" s="16"/>
      <c r="I5" s="16">
        <f t="shared" si="1"/>
        <v>-0.25</v>
      </c>
      <c r="J5" s="16"/>
      <c r="K5" s="16"/>
      <c r="L5" s="16"/>
      <c r="M5" s="16"/>
      <c r="N5" s="16">
        <f t="shared" si="2"/>
        <v>0</v>
      </c>
      <c r="O5" s="16" t="e">
        <f t="shared" si="3"/>
        <v>#N/A</v>
      </c>
      <c r="P5" s="16">
        <v>6.9444444444444397E-3</v>
      </c>
      <c r="Q5" s="16"/>
      <c r="R5" s="16">
        <f t="shared" si="4"/>
        <v>-6.9444444444444397E-3</v>
      </c>
      <c r="S5" s="16"/>
      <c r="T5" s="16" t="e">
        <f>VLOOKUP(E5,'[2]21-3-2026'!E$3:T$35,16,FALSE)</f>
        <v>#N/A</v>
      </c>
      <c r="U5" s="16"/>
      <c r="V5" s="16" t="e">
        <f t="shared" si="5"/>
        <v>#N/A</v>
      </c>
      <c r="W5" s="16"/>
      <c r="X5" s="16"/>
      <c r="Y5" s="16"/>
      <c r="Z5" s="16">
        <f t="shared" si="6"/>
        <v>0</v>
      </c>
      <c r="AA5" s="16">
        <f t="shared" si="0"/>
        <v>0</v>
      </c>
      <c r="AB5" s="16"/>
      <c r="AC5" s="17"/>
      <c r="AD5" s="48"/>
    </row>
    <row r="6" spans="1:30" ht="19.5" thickBot="1" x14ac:dyDescent="0.3">
      <c r="A6" s="14">
        <v>4</v>
      </c>
      <c r="B6" s="15"/>
      <c r="C6" s="15" t="e">
        <f>VLOOKUP(B6,داتا!$B$3:$D$107,2,FALSE)</f>
        <v>#N/A</v>
      </c>
      <c r="D6" s="34" t="e">
        <f>VLOOKUP(B6,داتا!$B$3:$D$107,3,FALSE)</f>
        <v>#N/A</v>
      </c>
      <c r="E6" s="15"/>
      <c r="F6" s="15"/>
      <c r="G6" s="16">
        <v>0.25</v>
      </c>
      <c r="H6" s="16"/>
      <c r="I6" s="16">
        <f t="shared" si="1"/>
        <v>-0.25</v>
      </c>
      <c r="J6" s="16"/>
      <c r="K6" s="16"/>
      <c r="L6" s="16"/>
      <c r="M6" s="16"/>
      <c r="N6" s="16">
        <f t="shared" si="2"/>
        <v>0</v>
      </c>
      <c r="O6" s="16" t="e">
        <f t="shared" si="3"/>
        <v>#N/A</v>
      </c>
      <c r="P6" s="16">
        <v>6.9444444444444397E-3</v>
      </c>
      <c r="Q6" s="16"/>
      <c r="R6" s="16">
        <f t="shared" si="4"/>
        <v>-6.9444444444444397E-3</v>
      </c>
      <c r="S6" s="16"/>
      <c r="T6" s="16" t="e">
        <f>VLOOKUP(E6,'[2]21-3-2026'!E$3:T$35,16,FALSE)</f>
        <v>#N/A</v>
      </c>
      <c r="U6" s="16"/>
      <c r="V6" s="16" t="e">
        <f t="shared" si="5"/>
        <v>#N/A</v>
      </c>
      <c r="W6" s="16"/>
      <c r="X6" s="16"/>
      <c r="Y6" s="16"/>
      <c r="Z6" s="16">
        <f t="shared" si="6"/>
        <v>0</v>
      </c>
      <c r="AA6" s="16">
        <f t="shared" si="0"/>
        <v>0</v>
      </c>
      <c r="AB6" s="16"/>
      <c r="AC6" s="17"/>
      <c r="AD6" s="48"/>
    </row>
    <row r="7" spans="1:30" ht="19.5" thickBot="1" x14ac:dyDescent="0.3">
      <c r="A7" s="14">
        <v>5</v>
      </c>
      <c r="B7" s="15"/>
      <c r="C7" s="15" t="e">
        <f>VLOOKUP(B7,داتا!$B$3:$D$107,2,FALSE)</f>
        <v>#N/A</v>
      </c>
      <c r="D7" s="34" t="e">
        <f>VLOOKUP(B7,داتا!$B$3:$D$107,3,FALSE)</f>
        <v>#N/A</v>
      </c>
      <c r="E7" s="15"/>
      <c r="F7" s="15"/>
      <c r="G7" s="16">
        <v>0.25</v>
      </c>
      <c r="H7" s="16"/>
      <c r="I7" s="16">
        <f t="shared" si="1"/>
        <v>-0.25</v>
      </c>
      <c r="J7" s="16"/>
      <c r="K7" s="16"/>
      <c r="L7" s="16"/>
      <c r="M7" s="16"/>
      <c r="N7" s="16">
        <f t="shared" si="2"/>
        <v>0</v>
      </c>
      <c r="O7" s="16" t="e">
        <f t="shared" si="3"/>
        <v>#N/A</v>
      </c>
      <c r="P7" s="16">
        <v>6.9444444444444397E-3</v>
      </c>
      <c r="Q7" s="16"/>
      <c r="R7" s="16">
        <f t="shared" si="4"/>
        <v>-6.9444444444444397E-3</v>
      </c>
      <c r="S7" s="16"/>
      <c r="T7" s="16" t="e">
        <f>VLOOKUP(E7,'[2]21-3-2026'!E$3:T$35,16,FALSE)</f>
        <v>#N/A</v>
      </c>
      <c r="U7" s="16"/>
      <c r="V7" s="16" t="e">
        <f t="shared" si="5"/>
        <v>#N/A</v>
      </c>
      <c r="W7" s="16"/>
      <c r="X7" s="16"/>
      <c r="Y7" s="16"/>
      <c r="Z7" s="16">
        <f t="shared" si="6"/>
        <v>0</v>
      </c>
      <c r="AA7" s="16">
        <f t="shared" si="0"/>
        <v>0</v>
      </c>
      <c r="AB7" s="16"/>
      <c r="AC7" s="17"/>
      <c r="AD7" s="48"/>
    </row>
    <row r="8" spans="1:30" ht="19.5" thickBot="1" x14ac:dyDescent="0.3">
      <c r="A8" s="14">
        <v>6</v>
      </c>
      <c r="B8" s="15"/>
      <c r="C8" s="15" t="e">
        <f>VLOOKUP(B8,داتا!$B$3:$D$107,2,FALSE)</f>
        <v>#N/A</v>
      </c>
      <c r="D8" s="34" t="e">
        <f>VLOOKUP(B8,داتا!$B$3:$D$107,3,FALSE)</f>
        <v>#N/A</v>
      </c>
      <c r="E8" s="15"/>
      <c r="F8" s="15"/>
      <c r="G8" s="16">
        <v>0.25</v>
      </c>
      <c r="H8" s="16"/>
      <c r="I8" s="16">
        <f t="shared" si="1"/>
        <v>-0.25</v>
      </c>
      <c r="J8" s="16"/>
      <c r="K8" s="16"/>
      <c r="L8" s="16"/>
      <c r="M8" s="16"/>
      <c r="N8" s="16">
        <f t="shared" si="2"/>
        <v>0</v>
      </c>
      <c r="O8" s="16" t="e">
        <f t="shared" si="3"/>
        <v>#N/A</v>
      </c>
      <c r="P8" s="16">
        <v>6.9444444444444397E-3</v>
      </c>
      <c r="Q8" s="16"/>
      <c r="R8" s="16">
        <f t="shared" si="4"/>
        <v>-6.9444444444444397E-3</v>
      </c>
      <c r="S8" s="16"/>
      <c r="T8" s="16" t="e">
        <f>VLOOKUP(E8,'[2]21-3-2026'!E$3:T$35,16,FALSE)</f>
        <v>#N/A</v>
      </c>
      <c r="U8" s="16"/>
      <c r="V8" s="16" t="e">
        <f t="shared" si="5"/>
        <v>#N/A</v>
      </c>
      <c r="W8" s="16"/>
      <c r="X8" s="16"/>
      <c r="Y8" s="16"/>
      <c r="Z8" s="16">
        <f t="shared" si="6"/>
        <v>0</v>
      </c>
      <c r="AA8" s="16">
        <f t="shared" si="0"/>
        <v>0</v>
      </c>
      <c r="AB8" s="16"/>
      <c r="AC8" s="18"/>
      <c r="AD8" s="48"/>
    </row>
    <row r="9" spans="1:30" ht="19.5" thickBot="1" x14ac:dyDescent="0.3">
      <c r="A9" s="14">
        <v>7</v>
      </c>
      <c r="B9" s="15"/>
      <c r="C9" s="15" t="e">
        <f>VLOOKUP(B9,داتا!$B$3:$D$107,2,FALSE)</f>
        <v>#N/A</v>
      </c>
      <c r="D9" s="34" t="e">
        <f>VLOOKUP(B9,داتا!$B$3:$D$107,3,FALSE)</f>
        <v>#N/A</v>
      </c>
      <c r="E9" s="15"/>
      <c r="F9" s="15"/>
      <c r="G9" s="16">
        <v>0.25</v>
      </c>
      <c r="H9" s="16"/>
      <c r="I9" s="16">
        <f t="shared" si="1"/>
        <v>-0.25</v>
      </c>
      <c r="J9" s="16"/>
      <c r="K9" s="16"/>
      <c r="L9" s="16"/>
      <c r="M9" s="16"/>
      <c r="N9" s="16">
        <f t="shared" si="2"/>
        <v>0</v>
      </c>
      <c r="O9" s="16" t="e">
        <f t="shared" si="3"/>
        <v>#N/A</v>
      </c>
      <c r="P9" s="16">
        <v>6.9444444444444397E-3</v>
      </c>
      <c r="Q9" s="16"/>
      <c r="R9" s="16">
        <f t="shared" si="4"/>
        <v>-6.9444444444444397E-3</v>
      </c>
      <c r="S9" s="16"/>
      <c r="T9" s="16" t="e">
        <f>VLOOKUP(E9,'[2]21-3-2026'!E$3:T$35,16,FALSE)</f>
        <v>#N/A</v>
      </c>
      <c r="U9" s="16"/>
      <c r="V9" s="16" t="e">
        <f t="shared" si="5"/>
        <v>#N/A</v>
      </c>
      <c r="W9" s="16"/>
      <c r="X9" s="16"/>
      <c r="Y9" s="16"/>
      <c r="Z9" s="16">
        <f t="shared" si="6"/>
        <v>0</v>
      </c>
      <c r="AA9" s="16">
        <f t="shared" si="0"/>
        <v>0</v>
      </c>
      <c r="AB9" s="16"/>
      <c r="AC9" s="17"/>
      <c r="AD9" s="48"/>
    </row>
    <row r="10" spans="1:30" ht="19.5" thickBot="1" x14ac:dyDescent="0.3">
      <c r="A10" s="14">
        <v>8</v>
      </c>
      <c r="B10" s="15"/>
      <c r="C10" s="15" t="e">
        <f>VLOOKUP(B10,داتا!$B$3:$D$107,2,FALSE)</f>
        <v>#N/A</v>
      </c>
      <c r="D10" s="34" t="e">
        <f>VLOOKUP(B10,داتا!$B$3:$D$107,3,FALSE)</f>
        <v>#N/A</v>
      </c>
      <c r="E10" s="15"/>
      <c r="F10" s="15"/>
      <c r="G10" s="16">
        <v>0.25</v>
      </c>
      <c r="H10" s="16"/>
      <c r="I10" s="16">
        <f t="shared" si="1"/>
        <v>-0.25</v>
      </c>
      <c r="J10" s="16"/>
      <c r="K10" s="16"/>
      <c r="L10" s="16"/>
      <c r="M10" s="16"/>
      <c r="N10" s="16">
        <f t="shared" si="2"/>
        <v>0</v>
      </c>
      <c r="O10" s="16" t="e">
        <f t="shared" si="3"/>
        <v>#N/A</v>
      </c>
      <c r="P10" s="16">
        <v>6.9444444444444397E-3</v>
      </c>
      <c r="Q10" s="16"/>
      <c r="R10" s="16">
        <f t="shared" si="4"/>
        <v>-6.9444444444444397E-3</v>
      </c>
      <c r="S10" s="16"/>
      <c r="T10" s="16" t="e">
        <f>VLOOKUP(E10,'[2]21-3-2026'!E$3:T$35,16,FALSE)</f>
        <v>#N/A</v>
      </c>
      <c r="U10" s="16"/>
      <c r="V10" s="16" t="e">
        <f t="shared" si="5"/>
        <v>#N/A</v>
      </c>
      <c r="W10" s="16"/>
      <c r="X10" s="16"/>
      <c r="Y10" s="16"/>
      <c r="Z10" s="16">
        <f t="shared" si="6"/>
        <v>0</v>
      </c>
      <c r="AA10" s="16">
        <f t="shared" si="0"/>
        <v>0</v>
      </c>
      <c r="AB10" s="16"/>
      <c r="AC10" s="17"/>
      <c r="AD10" s="48"/>
    </row>
    <row r="11" spans="1:30" ht="19.5" thickBot="1" x14ac:dyDescent="0.3">
      <c r="A11" s="14">
        <v>9</v>
      </c>
      <c r="B11" s="15"/>
      <c r="C11" s="15" t="e">
        <f>VLOOKUP(B11,داتا!$B$3:$D$107,2,FALSE)</f>
        <v>#N/A</v>
      </c>
      <c r="D11" s="34" t="e">
        <f>VLOOKUP(B11,داتا!$B$3:$D$107,3,FALSE)</f>
        <v>#N/A</v>
      </c>
      <c r="E11" s="15"/>
      <c r="F11" s="15"/>
      <c r="G11" s="16">
        <v>0.25</v>
      </c>
      <c r="H11" s="16"/>
      <c r="I11" s="16">
        <f t="shared" si="1"/>
        <v>-0.25</v>
      </c>
      <c r="J11" s="16"/>
      <c r="K11" s="16"/>
      <c r="L11" s="16"/>
      <c r="M11" s="16"/>
      <c r="N11" s="16">
        <f t="shared" si="2"/>
        <v>0</v>
      </c>
      <c r="O11" s="16" t="e">
        <f t="shared" si="3"/>
        <v>#N/A</v>
      </c>
      <c r="P11" s="16">
        <v>6.9444444444444397E-3</v>
      </c>
      <c r="Q11" s="16"/>
      <c r="R11" s="16">
        <f t="shared" si="4"/>
        <v>-6.9444444444444397E-3</v>
      </c>
      <c r="S11" s="16"/>
      <c r="T11" s="16" t="e">
        <f>VLOOKUP(E11,'[2]21-3-2026'!E$3:T$35,16,FALSE)</f>
        <v>#N/A</v>
      </c>
      <c r="U11" s="16"/>
      <c r="V11" s="16" t="e">
        <f t="shared" si="5"/>
        <v>#N/A</v>
      </c>
      <c r="W11" s="16"/>
      <c r="X11" s="16"/>
      <c r="Y11" s="16"/>
      <c r="Z11" s="16">
        <f t="shared" si="6"/>
        <v>0</v>
      </c>
      <c r="AA11" s="16">
        <f t="shared" si="0"/>
        <v>0</v>
      </c>
      <c r="AB11" s="16"/>
      <c r="AC11" s="17"/>
      <c r="AD11" s="48"/>
    </row>
    <row r="12" spans="1:30" ht="19.5" thickBot="1" x14ac:dyDescent="0.3">
      <c r="A12" s="14">
        <v>10</v>
      </c>
      <c r="B12" s="15"/>
      <c r="C12" s="15" t="e">
        <f>VLOOKUP(B12,داتا!$B$3:$D$107,2,FALSE)</f>
        <v>#N/A</v>
      </c>
      <c r="D12" s="34" t="e">
        <f>VLOOKUP(B12,داتا!$B$3:$D$107,3,FALSE)</f>
        <v>#N/A</v>
      </c>
      <c r="E12" s="15"/>
      <c r="F12" s="15"/>
      <c r="G12" s="16">
        <v>0.25</v>
      </c>
      <c r="H12" s="16"/>
      <c r="I12" s="16">
        <f t="shared" si="1"/>
        <v>-0.25</v>
      </c>
      <c r="J12" s="16"/>
      <c r="K12" s="16"/>
      <c r="L12" s="16"/>
      <c r="M12" s="16"/>
      <c r="N12" s="16">
        <f t="shared" si="2"/>
        <v>0</v>
      </c>
      <c r="O12" s="16" t="e">
        <f t="shared" si="3"/>
        <v>#N/A</v>
      </c>
      <c r="P12" s="16">
        <v>6.9444444444444397E-3</v>
      </c>
      <c r="Q12" s="16"/>
      <c r="R12" s="16">
        <f t="shared" si="4"/>
        <v>-6.9444444444444397E-3</v>
      </c>
      <c r="S12" s="16"/>
      <c r="T12" s="16" t="e">
        <f>VLOOKUP(E12,'[2]21-3-2026'!E$3:T$35,16,FALSE)</f>
        <v>#N/A</v>
      </c>
      <c r="U12" s="16"/>
      <c r="V12" s="16" t="e">
        <f t="shared" si="5"/>
        <v>#N/A</v>
      </c>
      <c r="W12" s="16"/>
      <c r="X12" s="16"/>
      <c r="Y12" s="16"/>
      <c r="Z12" s="16">
        <f t="shared" si="6"/>
        <v>0</v>
      </c>
      <c r="AA12" s="16">
        <f t="shared" si="0"/>
        <v>0</v>
      </c>
      <c r="AB12" s="16"/>
      <c r="AC12" s="17"/>
      <c r="AD12" s="48"/>
    </row>
    <row r="13" spans="1:30" ht="19.5" thickBot="1" x14ac:dyDescent="0.3">
      <c r="A13" s="14">
        <v>11</v>
      </c>
      <c r="B13" s="15"/>
      <c r="C13" s="15" t="e">
        <f>VLOOKUP(B13,داتا!$B$3:$D$107,2,FALSE)</f>
        <v>#N/A</v>
      </c>
      <c r="D13" s="34" t="e">
        <f>VLOOKUP(B13,داتا!$B$3:$D$107,3,FALSE)</f>
        <v>#N/A</v>
      </c>
      <c r="E13" s="15"/>
      <c r="F13" s="15"/>
      <c r="G13" s="16">
        <v>0.25</v>
      </c>
      <c r="H13" s="16"/>
      <c r="I13" s="16">
        <f t="shared" si="1"/>
        <v>-0.25</v>
      </c>
      <c r="J13" s="16"/>
      <c r="K13" s="16"/>
      <c r="L13" s="16"/>
      <c r="M13" s="16"/>
      <c r="N13" s="16">
        <f t="shared" si="2"/>
        <v>0</v>
      </c>
      <c r="O13" s="16" t="e">
        <f t="shared" si="3"/>
        <v>#N/A</v>
      </c>
      <c r="P13" s="16">
        <v>6.9444444444444397E-3</v>
      </c>
      <c r="Q13" s="16"/>
      <c r="R13" s="16">
        <f t="shared" si="4"/>
        <v>-6.9444444444444397E-3</v>
      </c>
      <c r="S13" s="16"/>
      <c r="T13" s="16" t="e">
        <f>VLOOKUP(E13,'[2]21-3-2026'!E$3:T$35,16,FALSE)</f>
        <v>#N/A</v>
      </c>
      <c r="U13" s="16"/>
      <c r="V13" s="16" t="e">
        <f t="shared" si="5"/>
        <v>#N/A</v>
      </c>
      <c r="W13" s="16"/>
      <c r="X13" s="16"/>
      <c r="Y13" s="16"/>
      <c r="Z13" s="16">
        <f t="shared" si="6"/>
        <v>0</v>
      </c>
      <c r="AA13" s="16">
        <f t="shared" si="0"/>
        <v>0</v>
      </c>
      <c r="AB13" s="16"/>
      <c r="AC13" s="18"/>
      <c r="AD13" s="48"/>
    </row>
    <row r="14" spans="1:30" ht="19.5" thickBot="1" x14ac:dyDescent="0.3">
      <c r="A14" s="14">
        <v>12</v>
      </c>
      <c r="B14" s="15"/>
      <c r="C14" s="15" t="e">
        <f>VLOOKUP(B14,داتا!$B$3:$D$107,2,FALSE)</f>
        <v>#N/A</v>
      </c>
      <c r="D14" s="34" t="e">
        <f>VLOOKUP(B14,داتا!$B$3:$D$107,3,FALSE)</f>
        <v>#N/A</v>
      </c>
      <c r="E14" s="15"/>
      <c r="F14" s="15"/>
      <c r="G14" s="16">
        <v>0.25</v>
      </c>
      <c r="H14" s="16"/>
      <c r="I14" s="16">
        <f t="shared" si="1"/>
        <v>-0.25</v>
      </c>
      <c r="J14" s="16"/>
      <c r="K14" s="16"/>
      <c r="L14" s="16"/>
      <c r="M14" s="16"/>
      <c r="N14" s="16">
        <f t="shared" si="2"/>
        <v>0</v>
      </c>
      <c r="O14" s="16" t="e">
        <f t="shared" si="3"/>
        <v>#N/A</v>
      </c>
      <c r="P14" s="16">
        <v>6.9444444444444397E-3</v>
      </c>
      <c r="Q14" s="16"/>
      <c r="R14" s="16">
        <f t="shared" si="4"/>
        <v>-6.9444444444444397E-3</v>
      </c>
      <c r="S14" s="16"/>
      <c r="T14" s="16" t="e">
        <f>VLOOKUP(E14,'[2]21-3-2026'!E$3:T$35,16,FALSE)</f>
        <v>#N/A</v>
      </c>
      <c r="U14" s="16"/>
      <c r="V14" s="16" t="e">
        <f t="shared" si="5"/>
        <v>#N/A</v>
      </c>
      <c r="W14" s="16"/>
      <c r="X14" s="16"/>
      <c r="Y14" s="16"/>
      <c r="Z14" s="16">
        <f t="shared" si="6"/>
        <v>0</v>
      </c>
      <c r="AA14" s="16">
        <f t="shared" si="0"/>
        <v>0</v>
      </c>
      <c r="AB14" s="16"/>
      <c r="AC14" s="17"/>
      <c r="AD14" s="48"/>
    </row>
    <row r="15" spans="1:30" ht="19.5" thickBot="1" x14ac:dyDescent="0.3">
      <c r="A15" s="14">
        <v>13</v>
      </c>
      <c r="B15" s="15"/>
      <c r="C15" s="15" t="e">
        <f>VLOOKUP(B15,داتا!$B$3:$D$107,2,FALSE)</f>
        <v>#N/A</v>
      </c>
      <c r="D15" s="34" t="e">
        <f>VLOOKUP(B15,داتا!$B$3:$D$107,3,FALSE)</f>
        <v>#N/A</v>
      </c>
      <c r="E15" s="15"/>
      <c r="F15" s="15"/>
      <c r="G15" s="16">
        <v>0.25</v>
      </c>
      <c r="H15" s="16"/>
      <c r="I15" s="16">
        <f t="shared" si="1"/>
        <v>-0.25</v>
      </c>
      <c r="J15" s="16"/>
      <c r="K15" s="16"/>
      <c r="L15" s="16"/>
      <c r="M15" s="16"/>
      <c r="N15" s="16">
        <f t="shared" si="2"/>
        <v>0</v>
      </c>
      <c r="O15" s="16" t="e">
        <f t="shared" si="3"/>
        <v>#N/A</v>
      </c>
      <c r="P15" s="16">
        <v>6.9444444444444397E-3</v>
      </c>
      <c r="Q15" s="16"/>
      <c r="R15" s="16">
        <f t="shared" si="4"/>
        <v>-6.9444444444444397E-3</v>
      </c>
      <c r="S15" s="16"/>
      <c r="T15" s="16" t="e">
        <f>VLOOKUP(E15,'[2]21-3-2026'!E$3:T$35,16,FALSE)</f>
        <v>#N/A</v>
      </c>
      <c r="U15" s="16"/>
      <c r="V15" s="16" t="e">
        <f t="shared" si="5"/>
        <v>#N/A</v>
      </c>
      <c r="W15" s="16"/>
      <c r="X15" s="16"/>
      <c r="Y15" s="16"/>
      <c r="Z15" s="16">
        <f t="shared" si="6"/>
        <v>0</v>
      </c>
      <c r="AA15" s="16">
        <f t="shared" si="0"/>
        <v>0</v>
      </c>
      <c r="AB15" s="16"/>
      <c r="AC15" s="17"/>
      <c r="AD15" s="48"/>
    </row>
    <row r="16" spans="1:30" ht="19.5" thickBot="1" x14ac:dyDescent="0.3">
      <c r="A16" s="14">
        <v>14</v>
      </c>
      <c r="B16" s="15"/>
      <c r="C16" s="15" t="e">
        <f>VLOOKUP(B16,داتا!$B$3:$D$107,2,FALSE)</f>
        <v>#N/A</v>
      </c>
      <c r="D16" s="34" t="e">
        <f>VLOOKUP(B16,داتا!$B$3:$D$107,3,FALSE)</f>
        <v>#N/A</v>
      </c>
      <c r="E16" s="15"/>
      <c r="F16" s="15"/>
      <c r="G16" s="16">
        <v>0.25</v>
      </c>
      <c r="H16" s="16"/>
      <c r="I16" s="16">
        <f t="shared" si="1"/>
        <v>-0.25</v>
      </c>
      <c r="J16" s="16"/>
      <c r="K16" s="16"/>
      <c r="L16" s="16"/>
      <c r="M16" s="16"/>
      <c r="N16" s="16">
        <f t="shared" si="2"/>
        <v>0</v>
      </c>
      <c r="O16" s="16" t="e">
        <f t="shared" si="3"/>
        <v>#N/A</v>
      </c>
      <c r="P16" s="16">
        <v>6.9444444444444397E-3</v>
      </c>
      <c r="Q16" s="16"/>
      <c r="R16" s="16">
        <f t="shared" si="4"/>
        <v>-6.9444444444444397E-3</v>
      </c>
      <c r="S16" s="16"/>
      <c r="T16" s="16" t="e">
        <f>VLOOKUP(E16,'[2]21-3-2026'!E$3:T$35,16,FALSE)</f>
        <v>#N/A</v>
      </c>
      <c r="U16" s="16"/>
      <c r="V16" s="16" t="e">
        <f t="shared" si="5"/>
        <v>#N/A</v>
      </c>
      <c r="W16" s="16"/>
      <c r="X16" s="16"/>
      <c r="Y16" s="16"/>
      <c r="Z16" s="16">
        <f t="shared" si="6"/>
        <v>0</v>
      </c>
      <c r="AA16" s="16">
        <f t="shared" si="0"/>
        <v>0</v>
      </c>
      <c r="AB16" s="16"/>
      <c r="AC16" s="17"/>
      <c r="AD16" s="48"/>
    </row>
    <row r="17" spans="1:30" ht="19.5" thickBot="1" x14ac:dyDescent="0.3">
      <c r="A17" s="14">
        <v>15</v>
      </c>
      <c r="B17" s="15"/>
      <c r="C17" s="15" t="e">
        <f>VLOOKUP(B17,داتا!$B$3:$D$107,2,FALSE)</f>
        <v>#N/A</v>
      </c>
      <c r="D17" s="34" t="e">
        <f>VLOOKUP(B17,داتا!$B$3:$D$107,3,FALSE)</f>
        <v>#N/A</v>
      </c>
      <c r="E17" s="15"/>
      <c r="F17" s="15"/>
      <c r="G17" s="16">
        <v>0.25</v>
      </c>
      <c r="H17" s="16"/>
      <c r="I17" s="16">
        <f t="shared" si="1"/>
        <v>-0.25</v>
      </c>
      <c r="J17" s="16"/>
      <c r="K17" s="16"/>
      <c r="L17" s="16"/>
      <c r="M17" s="16"/>
      <c r="N17" s="16">
        <f t="shared" si="2"/>
        <v>0</v>
      </c>
      <c r="O17" s="16" t="e">
        <f t="shared" si="3"/>
        <v>#N/A</v>
      </c>
      <c r="P17" s="16">
        <v>6.9444444444444397E-3</v>
      </c>
      <c r="Q17" s="16"/>
      <c r="R17" s="16">
        <f t="shared" si="4"/>
        <v>-6.9444444444444397E-3</v>
      </c>
      <c r="S17" s="16"/>
      <c r="T17" s="16" t="e">
        <f>VLOOKUP(E17,'[2]21-3-2026'!E$3:T$35,16,FALSE)</f>
        <v>#N/A</v>
      </c>
      <c r="U17" s="16"/>
      <c r="V17" s="16" t="e">
        <f t="shared" si="5"/>
        <v>#N/A</v>
      </c>
      <c r="W17" s="16"/>
      <c r="X17" s="16"/>
      <c r="Y17" s="16"/>
      <c r="Z17" s="16">
        <f t="shared" si="6"/>
        <v>0</v>
      </c>
      <c r="AA17" s="16">
        <f t="shared" si="0"/>
        <v>0</v>
      </c>
      <c r="AB17" s="16"/>
      <c r="AC17" s="17"/>
      <c r="AD17" s="48"/>
    </row>
    <row r="18" spans="1:30" ht="19.5" thickBot="1" x14ac:dyDescent="0.3">
      <c r="A18" s="14">
        <v>16</v>
      </c>
      <c r="B18" s="15"/>
      <c r="C18" s="15" t="e">
        <f>VLOOKUP(B18,داتا!$B$3:$D$107,2,FALSE)</f>
        <v>#N/A</v>
      </c>
      <c r="D18" s="34" t="e">
        <f>VLOOKUP(B18,داتا!$B$3:$D$107,3,FALSE)</f>
        <v>#N/A</v>
      </c>
      <c r="E18" s="16"/>
      <c r="F18" s="15"/>
      <c r="G18" s="16">
        <v>0.25</v>
      </c>
      <c r="H18" s="16"/>
      <c r="I18" s="16">
        <f t="shared" si="1"/>
        <v>-0.25</v>
      </c>
      <c r="J18" s="16"/>
      <c r="K18" s="16"/>
      <c r="L18" s="16"/>
      <c r="M18" s="16"/>
      <c r="N18" s="16">
        <f t="shared" si="2"/>
        <v>0</v>
      </c>
      <c r="O18" s="16" t="e">
        <f t="shared" si="3"/>
        <v>#N/A</v>
      </c>
      <c r="P18" s="16">
        <v>6.9444444444444397E-3</v>
      </c>
      <c r="Q18" s="16"/>
      <c r="R18" s="16">
        <f t="shared" si="4"/>
        <v>-6.9444444444444397E-3</v>
      </c>
      <c r="S18" s="16"/>
      <c r="T18" s="16" t="e">
        <f>VLOOKUP(E18,'[2]21-3-2026'!E$3:T$35,16,FALSE)</f>
        <v>#N/A</v>
      </c>
      <c r="U18" s="16"/>
      <c r="V18" s="16" t="e">
        <f t="shared" si="5"/>
        <v>#N/A</v>
      </c>
      <c r="W18" s="16"/>
      <c r="X18" s="16"/>
      <c r="Y18" s="16"/>
      <c r="Z18" s="16">
        <f t="shared" si="6"/>
        <v>0</v>
      </c>
      <c r="AA18" s="16">
        <f t="shared" si="0"/>
        <v>0</v>
      </c>
      <c r="AB18" s="16"/>
      <c r="AC18" s="17"/>
      <c r="AD18" s="48"/>
    </row>
    <row r="19" spans="1:30" ht="19.5" thickBot="1" x14ac:dyDescent="0.3">
      <c r="A19" s="14">
        <v>17</v>
      </c>
      <c r="B19" s="15"/>
      <c r="C19" s="15" t="e">
        <f>VLOOKUP(B19,داتا!$B$3:$D$107,2,FALSE)</f>
        <v>#N/A</v>
      </c>
      <c r="D19" s="34" t="e">
        <f>VLOOKUP(B19,داتا!$B$3:$D$107,3,FALSE)</f>
        <v>#N/A</v>
      </c>
      <c r="E19" s="15"/>
      <c r="F19" s="15"/>
      <c r="G19" s="16">
        <v>0.25</v>
      </c>
      <c r="H19" s="16"/>
      <c r="I19" s="16">
        <f t="shared" si="1"/>
        <v>-0.25</v>
      </c>
      <c r="J19" s="16"/>
      <c r="K19" s="16"/>
      <c r="L19" s="16"/>
      <c r="M19" s="16"/>
      <c r="N19" s="16">
        <f t="shared" si="2"/>
        <v>0</v>
      </c>
      <c r="O19" s="16" t="e">
        <f t="shared" si="3"/>
        <v>#N/A</v>
      </c>
      <c r="P19" s="16">
        <v>6.9444444444444397E-3</v>
      </c>
      <c r="Q19" s="16"/>
      <c r="R19" s="16">
        <f t="shared" si="4"/>
        <v>-6.9444444444444397E-3</v>
      </c>
      <c r="S19" s="16"/>
      <c r="T19" s="16" t="e">
        <f>VLOOKUP(E19,'[2]21-3-2026'!E$3:T$35,16,FALSE)</f>
        <v>#N/A</v>
      </c>
      <c r="U19" s="16"/>
      <c r="V19" s="16" t="e">
        <f t="shared" si="5"/>
        <v>#N/A</v>
      </c>
      <c r="W19" s="16"/>
      <c r="X19" s="16"/>
      <c r="Y19" s="16"/>
      <c r="Z19" s="16">
        <f t="shared" si="6"/>
        <v>0</v>
      </c>
      <c r="AA19" s="16">
        <f t="shared" si="0"/>
        <v>0</v>
      </c>
      <c r="AB19" s="16"/>
      <c r="AC19" s="17"/>
      <c r="AD19" s="48"/>
    </row>
    <row r="20" spans="1:30" ht="19.5" thickBot="1" x14ac:dyDescent="0.3">
      <c r="A20" s="14">
        <v>18</v>
      </c>
      <c r="B20" s="15"/>
      <c r="C20" s="15" t="e">
        <f>VLOOKUP(B20,داتا!$B$3:$D$107,2,FALSE)</f>
        <v>#N/A</v>
      </c>
      <c r="D20" s="34" t="e">
        <f>VLOOKUP(B20,داتا!$B$3:$D$107,3,FALSE)</f>
        <v>#N/A</v>
      </c>
      <c r="E20" s="15"/>
      <c r="F20" s="15"/>
      <c r="G20" s="16">
        <v>0.25</v>
      </c>
      <c r="H20" s="16"/>
      <c r="I20" s="16">
        <f t="shared" si="1"/>
        <v>-0.25</v>
      </c>
      <c r="J20" s="16"/>
      <c r="K20" s="16"/>
      <c r="L20" s="16"/>
      <c r="M20" s="16"/>
      <c r="N20" s="16">
        <f t="shared" si="2"/>
        <v>0</v>
      </c>
      <c r="O20" s="16" t="e">
        <f t="shared" si="3"/>
        <v>#N/A</v>
      </c>
      <c r="P20" s="16">
        <v>6.9444444444444397E-3</v>
      </c>
      <c r="Q20" s="16"/>
      <c r="R20" s="16">
        <f t="shared" si="4"/>
        <v>-6.9444444444444397E-3</v>
      </c>
      <c r="S20" s="16"/>
      <c r="T20" s="16" t="e">
        <f>VLOOKUP(E20,'[2]21-3-2026'!E$3:T$35,16,FALSE)</f>
        <v>#N/A</v>
      </c>
      <c r="U20" s="16"/>
      <c r="V20" s="16" t="e">
        <f t="shared" si="5"/>
        <v>#N/A</v>
      </c>
      <c r="W20" s="16"/>
      <c r="X20" s="16"/>
      <c r="Y20" s="16"/>
      <c r="Z20" s="16">
        <f t="shared" si="6"/>
        <v>0</v>
      </c>
      <c r="AA20" s="16">
        <f t="shared" si="0"/>
        <v>0</v>
      </c>
      <c r="AB20" s="16"/>
      <c r="AC20" s="17"/>
      <c r="AD20" s="48"/>
    </row>
    <row r="21" spans="1:30" ht="19.5" thickBot="1" x14ac:dyDescent="0.3">
      <c r="A21" s="14">
        <v>19</v>
      </c>
      <c r="B21" s="15"/>
      <c r="C21" s="15" t="e">
        <f>VLOOKUP(B21,داتا!$B$3:$D$107,2,FALSE)</f>
        <v>#N/A</v>
      </c>
      <c r="D21" s="34" t="e">
        <f>VLOOKUP(B21,داتا!$B$3:$D$107,3,FALSE)</f>
        <v>#N/A</v>
      </c>
      <c r="E21" s="15"/>
      <c r="F21" s="15"/>
      <c r="G21" s="16">
        <v>0.25</v>
      </c>
      <c r="H21" s="16"/>
      <c r="I21" s="16">
        <f t="shared" si="1"/>
        <v>-0.25</v>
      </c>
      <c r="J21" s="16"/>
      <c r="K21" s="16"/>
      <c r="L21" s="16"/>
      <c r="M21" s="16"/>
      <c r="N21" s="16">
        <f t="shared" si="2"/>
        <v>0</v>
      </c>
      <c r="O21" s="16" t="e">
        <f t="shared" si="3"/>
        <v>#N/A</v>
      </c>
      <c r="P21" s="16">
        <v>6.9444444444444397E-3</v>
      </c>
      <c r="Q21" s="16"/>
      <c r="R21" s="16">
        <f t="shared" si="4"/>
        <v>-6.9444444444444397E-3</v>
      </c>
      <c r="S21" s="16"/>
      <c r="T21" s="16" t="e">
        <f>VLOOKUP(E21,'[2]21-3-2026'!E$3:T$35,16,FALSE)</f>
        <v>#N/A</v>
      </c>
      <c r="U21" s="16"/>
      <c r="V21" s="16" t="e">
        <f t="shared" si="5"/>
        <v>#N/A</v>
      </c>
      <c r="W21" s="16"/>
      <c r="X21" s="16"/>
      <c r="Y21" s="16"/>
      <c r="Z21" s="16">
        <f t="shared" si="6"/>
        <v>0</v>
      </c>
      <c r="AA21" s="16">
        <f t="shared" si="0"/>
        <v>0</v>
      </c>
      <c r="AB21" s="16"/>
      <c r="AC21" s="17"/>
      <c r="AD21" s="48"/>
    </row>
    <row r="22" spans="1:30" ht="19.5" thickBot="1" x14ac:dyDescent="0.3">
      <c r="A22" s="14">
        <v>20</v>
      </c>
      <c r="B22" s="15"/>
      <c r="C22" s="15" t="e">
        <f>VLOOKUP(B22,داتا!$B$3:$D$107,2,FALSE)</f>
        <v>#N/A</v>
      </c>
      <c r="D22" s="34" t="e">
        <f>VLOOKUP(B22,داتا!$B$3:$D$107,3,FALSE)</f>
        <v>#N/A</v>
      </c>
      <c r="E22" s="15"/>
      <c r="F22" s="15"/>
      <c r="G22" s="16">
        <v>0.25</v>
      </c>
      <c r="H22" s="16"/>
      <c r="I22" s="16">
        <f t="shared" si="1"/>
        <v>-0.25</v>
      </c>
      <c r="J22" s="16"/>
      <c r="K22" s="16"/>
      <c r="L22" s="16"/>
      <c r="M22" s="16"/>
      <c r="N22" s="16">
        <f t="shared" si="2"/>
        <v>0</v>
      </c>
      <c r="O22" s="16" t="e">
        <f t="shared" si="3"/>
        <v>#N/A</v>
      </c>
      <c r="P22" s="16">
        <v>6.9444444444444397E-3</v>
      </c>
      <c r="Q22" s="16"/>
      <c r="R22" s="16">
        <f t="shared" si="4"/>
        <v>-6.9444444444444397E-3</v>
      </c>
      <c r="S22" s="16"/>
      <c r="T22" s="16" t="e">
        <f>VLOOKUP(E22,'[2]21-3-2026'!E$3:T$35,16,FALSE)</f>
        <v>#N/A</v>
      </c>
      <c r="U22" s="16"/>
      <c r="V22" s="16" t="e">
        <f t="shared" si="5"/>
        <v>#N/A</v>
      </c>
      <c r="W22" s="16"/>
      <c r="X22" s="16"/>
      <c r="Y22" s="16"/>
      <c r="Z22" s="16">
        <f t="shared" si="6"/>
        <v>0</v>
      </c>
      <c r="AA22" s="16">
        <f t="shared" si="0"/>
        <v>0</v>
      </c>
      <c r="AB22" s="16"/>
      <c r="AC22" s="17"/>
      <c r="AD22" s="48"/>
    </row>
    <row r="23" spans="1:30" ht="19.5" thickBot="1" x14ac:dyDescent="0.3">
      <c r="A23" s="14">
        <v>21</v>
      </c>
      <c r="B23" s="15"/>
      <c r="C23" s="15" t="e">
        <f>VLOOKUP(B23,داتا!$B$3:$D$107,2,FALSE)</f>
        <v>#N/A</v>
      </c>
      <c r="D23" s="34" t="e">
        <f>VLOOKUP(B23,داتا!$B$3:$D$107,3,FALSE)</f>
        <v>#N/A</v>
      </c>
      <c r="E23" s="15"/>
      <c r="F23" s="15"/>
      <c r="G23" s="16">
        <v>0.25</v>
      </c>
      <c r="H23" s="16"/>
      <c r="I23" s="16">
        <f t="shared" si="1"/>
        <v>-0.25</v>
      </c>
      <c r="J23" s="16"/>
      <c r="K23" s="16"/>
      <c r="L23" s="16"/>
      <c r="M23" s="16"/>
      <c r="N23" s="16">
        <f t="shared" si="2"/>
        <v>0</v>
      </c>
      <c r="O23" s="16" t="e">
        <f t="shared" si="3"/>
        <v>#N/A</v>
      </c>
      <c r="P23" s="16">
        <v>6.9444444444444397E-3</v>
      </c>
      <c r="Q23" s="16"/>
      <c r="R23" s="16">
        <f t="shared" si="4"/>
        <v>-6.9444444444444397E-3</v>
      </c>
      <c r="S23" s="16"/>
      <c r="T23" s="16" t="e">
        <f>VLOOKUP(E23,'[2]21-3-2026'!E$3:T$35,16,FALSE)</f>
        <v>#N/A</v>
      </c>
      <c r="U23" s="16"/>
      <c r="V23" s="16" t="e">
        <f t="shared" si="5"/>
        <v>#N/A</v>
      </c>
      <c r="W23" s="16"/>
      <c r="X23" s="16"/>
      <c r="Y23" s="16"/>
      <c r="Z23" s="16">
        <f t="shared" si="6"/>
        <v>0</v>
      </c>
      <c r="AA23" s="16">
        <f t="shared" si="0"/>
        <v>0</v>
      </c>
      <c r="AB23" s="16"/>
      <c r="AC23" s="17"/>
      <c r="AD23" s="48"/>
    </row>
    <row r="24" spans="1:30" ht="19.5" thickBot="1" x14ac:dyDescent="0.3">
      <c r="A24" s="14">
        <v>22</v>
      </c>
      <c r="B24" s="15"/>
      <c r="C24" s="15" t="e">
        <f>VLOOKUP(B24,داتا!$B$3:$D$107,2,FALSE)</f>
        <v>#N/A</v>
      </c>
      <c r="D24" s="34" t="e">
        <f>VLOOKUP(B24,داتا!$B$3:$D$107,3,FALSE)</f>
        <v>#N/A</v>
      </c>
      <c r="E24" s="15"/>
      <c r="F24" s="16"/>
      <c r="G24" s="16">
        <v>0.25</v>
      </c>
      <c r="H24" s="16"/>
      <c r="I24" s="16">
        <f t="shared" si="1"/>
        <v>-0.25</v>
      </c>
      <c r="J24" s="16"/>
      <c r="K24" s="16"/>
      <c r="L24" s="16"/>
      <c r="M24" s="16"/>
      <c r="N24" s="16">
        <f t="shared" si="2"/>
        <v>0</v>
      </c>
      <c r="O24" s="16" t="e">
        <f t="shared" si="3"/>
        <v>#N/A</v>
      </c>
      <c r="P24" s="16">
        <v>6.9444444444444397E-3</v>
      </c>
      <c r="Q24" s="16"/>
      <c r="R24" s="16">
        <f t="shared" si="4"/>
        <v>-6.9444444444444397E-3</v>
      </c>
      <c r="S24" s="16"/>
      <c r="T24" s="16" t="e">
        <f>VLOOKUP(E24,'[2]21-3-2026'!E$3:T$35,16,FALSE)</f>
        <v>#N/A</v>
      </c>
      <c r="U24" s="16"/>
      <c r="V24" s="16" t="e">
        <f t="shared" si="5"/>
        <v>#N/A</v>
      </c>
      <c r="W24" s="16"/>
      <c r="X24" s="16"/>
      <c r="Y24" s="16"/>
      <c r="Z24" s="16">
        <f t="shared" si="6"/>
        <v>0</v>
      </c>
      <c r="AA24" s="16">
        <f t="shared" si="0"/>
        <v>0</v>
      </c>
      <c r="AB24" s="16"/>
      <c r="AC24" s="17"/>
      <c r="AD24" s="48"/>
    </row>
    <row r="25" spans="1:30" ht="19.5" thickBot="1" x14ac:dyDescent="0.3">
      <c r="A25" s="14">
        <v>23</v>
      </c>
      <c r="B25" s="15"/>
      <c r="C25" s="15" t="e">
        <f>VLOOKUP(B25,داتا!$B$3:$D$107,2,FALSE)</f>
        <v>#N/A</v>
      </c>
      <c r="D25" s="34" t="e">
        <f>VLOOKUP(B25,داتا!$B$3:$D$107,3,FALSE)</f>
        <v>#N/A</v>
      </c>
      <c r="E25" s="15"/>
      <c r="F25" s="15"/>
      <c r="G25" s="16">
        <v>0.25</v>
      </c>
      <c r="H25" s="16"/>
      <c r="I25" s="16">
        <f t="shared" si="1"/>
        <v>-0.25</v>
      </c>
      <c r="J25" s="16"/>
      <c r="K25" s="16"/>
      <c r="L25" s="16"/>
      <c r="M25" s="16"/>
      <c r="N25" s="16">
        <f t="shared" si="2"/>
        <v>0</v>
      </c>
      <c r="O25" s="16" t="e">
        <f t="shared" si="3"/>
        <v>#N/A</v>
      </c>
      <c r="P25" s="16">
        <v>6.9444444444444397E-3</v>
      </c>
      <c r="Q25" s="16"/>
      <c r="R25" s="16">
        <f t="shared" si="4"/>
        <v>-6.9444444444444397E-3</v>
      </c>
      <c r="S25" s="16"/>
      <c r="T25" s="16" t="e">
        <f>VLOOKUP(E25,'[2]21-3-2026'!E$3:T$35,16,FALSE)</f>
        <v>#N/A</v>
      </c>
      <c r="U25" s="16"/>
      <c r="V25" s="16" t="e">
        <f t="shared" si="5"/>
        <v>#N/A</v>
      </c>
      <c r="W25" s="16"/>
      <c r="X25" s="16"/>
      <c r="Y25" s="16"/>
      <c r="Z25" s="16">
        <f t="shared" si="6"/>
        <v>0</v>
      </c>
      <c r="AA25" s="16">
        <f t="shared" si="0"/>
        <v>0</v>
      </c>
      <c r="AB25" s="16"/>
      <c r="AC25" s="19"/>
      <c r="AD25" s="48"/>
    </row>
    <row r="26" spans="1:30" ht="19.5" thickBot="1" x14ac:dyDescent="0.3">
      <c r="A26" s="14">
        <v>24</v>
      </c>
      <c r="B26" s="15"/>
      <c r="C26" s="15" t="e">
        <f>VLOOKUP(B26,داتا!$B$3:$D$107,2,FALSE)</f>
        <v>#N/A</v>
      </c>
      <c r="D26" s="34" t="e">
        <f>VLOOKUP(B26,داتا!$B$3:$D$107,3,FALSE)</f>
        <v>#N/A</v>
      </c>
      <c r="E26" s="15"/>
      <c r="F26" s="15"/>
      <c r="G26" s="16">
        <v>0.25</v>
      </c>
      <c r="H26" s="16"/>
      <c r="I26" s="16">
        <f t="shared" si="1"/>
        <v>-0.25</v>
      </c>
      <c r="J26" s="16"/>
      <c r="K26" s="16"/>
      <c r="L26" s="16"/>
      <c r="M26" s="16"/>
      <c r="N26" s="16">
        <f t="shared" si="2"/>
        <v>0</v>
      </c>
      <c r="O26" s="16" t="e">
        <f t="shared" si="3"/>
        <v>#N/A</v>
      </c>
      <c r="P26" s="16">
        <v>6.9444444444444397E-3</v>
      </c>
      <c r="Q26" s="16"/>
      <c r="R26" s="16">
        <f t="shared" si="4"/>
        <v>-6.9444444444444397E-3</v>
      </c>
      <c r="S26" s="16"/>
      <c r="T26" s="16" t="e">
        <f>VLOOKUP(E26,'[2]21-3-2026'!E$3:T$35,16,FALSE)</f>
        <v>#N/A</v>
      </c>
      <c r="U26" s="16"/>
      <c r="V26" s="16" t="e">
        <f t="shared" si="5"/>
        <v>#N/A</v>
      </c>
      <c r="W26" s="16"/>
      <c r="X26" s="16"/>
      <c r="Y26" s="16"/>
      <c r="Z26" s="16">
        <f t="shared" si="6"/>
        <v>0</v>
      </c>
      <c r="AA26" s="16">
        <f t="shared" si="0"/>
        <v>0</v>
      </c>
      <c r="AB26" s="16"/>
      <c r="AC26" s="19"/>
      <c r="AD26" s="48"/>
    </row>
    <row r="27" spans="1:30" ht="19.5" thickBot="1" x14ac:dyDescent="0.3">
      <c r="A27" s="14">
        <v>25</v>
      </c>
      <c r="B27" s="15"/>
      <c r="C27" s="15" t="e">
        <f>VLOOKUP(B27,داتا!$B$3:$D$107,2,FALSE)</f>
        <v>#N/A</v>
      </c>
      <c r="D27" s="34" t="e">
        <f>VLOOKUP(B27,داتا!$B$3:$D$107,3,FALSE)</f>
        <v>#N/A</v>
      </c>
      <c r="E27" s="15"/>
      <c r="F27" s="15"/>
      <c r="G27" s="16">
        <v>0.25</v>
      </c>
      <c r="H27" s="16"/>
      <c r="I27" s="16">
        <f t="shared" si="1"/>
        <v>-0.25</v>
      </c>
      <c r="J27" s="16"/>
      <c r="K27" s="16"/>
      <c r="L27" s="16"/>
      <c r="M27" s="16"/>
      <c r="N27" s="16">
        <f t="shared" si="2"/>
        <v>0</v>
      </c>
      <c r="O27" s="16" t="e">
        <f t="shared" si="3"/>
        <v>#N/A</v>
      </c>
      <c r="P27" s="16">
        <v>6.9444444444444397E-3</v>
      </c>
      <c r="Q27" s="16"/>
      <c r="R27" s="16">
        <f t="shared" si="4"/>
        <v>-6.9444444444444397E-3</v>
      </c>
      <c r="S27" s="16"/>
      <c r="T27" s="16" t="e">
        <f>VLOOKUP(E27,'[2]21-3-2026'!E$3:T$35,16,FALSE)</f>
        <v>#N/A</v>
      </c>
      <c r="U27" s="16"/>
      <c r="V27" s="16" t="e">
        <f t="shared" si="5"/>
        <v>#N/A</v>
      </c>
      <c r="W27" s="16"/>
      <c r="X27" s="16"/>
      <c r="Y27" s="16"/>
      <c r="Z27" s="16">
        <f t="shared" si="6"/>
        <v>0</v>
      </c>
      <c r="AA27" s="16">
        <f t="shared" si="0"/>
        <v>0</v>
      </c>
      <c r="AB27" s="16"/>
      <c r="AC27" s="19"/>
      <c r="AD27" s="48"/>
    </row>
    <row r="28" spans="1:30" ht="19.5" thickBot="1" x14ac:dyDescent="0.3">
      <c r="A28" s="14">
        <v>26</v>
      </c>
      <c r="B28" s="15"/>
      <c r="C28" s="15" t="e">
        <f>VLOOKUP(B28,داتا!$B$3:$D$107,2,FALSE)</f>
        <v>#N/A</v>
      </c>
      <c r="D28" s="34" t="e">
        <f>VLOOKUP(B28,داتا!$B$3:$D$107,3,FALSE)</f>
        <v>#N/A</v>
      </c>
      <c r="E28" s="15"/>
      <c r="F28" s="15"/>
      <c r="G28" s="16">
        <v>0.25</v>
      </c>
      <c r="H28" s="16"/>
      <c r="I28" s="16">
        <f t="shared" si="1"/>
        <v>-0.25</v>
      </c>
      <c r="J28" s="16"/>
      <c r="K28" s="16"/>
      <c r="L28" s="16"/>
      <c r="M28" s="16"/>
      <c r="N28" s="16">
        <f t="shared" si="2"/>
        <v>0</v>
      </c>
      <c r="O28" s="16" t="e">
        <f t="shared" si="3"/>
        <v>#N/A</v>
      </c>
      <c r="P28" s="16">
        <v>6.9444444444444397E-3</v>
      </c>
      <c r="Q28" s="16"/>
      <c r="R28" s="16">
        <f t="shared" si="4"/>
        <v>-6.9444444444444397E-3</v>
      </c>
      <c r="S28" s="16"/>
      <c r="T28" s="16" t="e">
        <f>VLOOKUP(E28,'[2]21-3-2026'!E$3:T$35,16,FALSE)</f>
        <v>#N/A</v>
      </c>
      <c r="U28" s="16"/>
      <c r="V28" s="16" t="e">
        <f t="shared" si="5"/>
        <v>#N/A</v>
      </c>
      <c r="W28" s="16"/>
      <c r="X28" s="16"/>
      <c r="Y28" s="16"/>
      <c r="Z28" s="16">
        <f t="shared" si="6"/>
        <v>0</v>
      </c>
      <c r="AA28" s="16">
        <f t="shared" si="0"/>
        <v>0</v>
      </c>
      <c r="AB28" s="16"/>
      <c r="AC28" s="17"/>
      <c r="AD28" s="48"/>
    </row>
    <row r="29" spans="1:30" ht="19.5" thickBot="1" x14ac:dyDescent="0.3">
      <c r="A29" s="14">
        <v>27</v>
      </c>
      <c r="B29" s="15"/>
      <c r="C29" s="15" t="e">
        <f>VLOOKUP(B29,داتا!$B$3:$D$107,2,FALSE)</f>
        <v>#N/A</v>
      </c>
      <c r="D29" s="34" t="e">
        <f>VLOOKUP(B29,داتا!$B$3:$D$107,3,FALSE)</f>
        <v>#N/A</v>
      </c>
      <c r="E29" s="15"/>
      <c r="F29" s="15"/>
      <c r="G29" s="16">
        <v>0.25</v>
      </c>
      <c r="H29" s="16"/>
      <c r="I29" s="16">
        <f t="shared" si="1"/>
        <v>-0.25</v>
      </c>
      <c r="J29" s="16"/>
      <c r="K29" s="16"/>
      <c r="L29" s="16"/>
      <c r="M29" s="16"/>
      <c r="N29" s="16">
        <f t="shared" si="2"/>
        <v>0</v>
      </c>
      <c r="O29" s="16" t="e">
        <f t="shared" si="3"/>
        <v>#N/A</v>
      </c>
      <c r="P29" s="16">
        <v>6.9444444444444397E-3</v>
      </c>
      <c r="Q29" s="16"/>
      <c r="R29" s="16">
        <f t="shared" si="4"/>
        <v>-6.9444444444444397E-3</v>
      </c>
      <c r="S29" s="16"/>
      <c r="T29" s="16" t="e">
        <f>VLOOKUP(E29,'[2]21-3-2026'!E$3:T$35,16,FALSE)</f>
        <v>#N/A</v>
      </c>
      <c r="U29" s="16"/>
      <c r="V29" s="16" t="e">
        <f t="shared" si="5"/>
        <v>#N/A</v>
      </c>
      <c r="W29" s="16"/>
      <c r="X29" s="16"/>
      <c r="Y29" s="16"/>
      <c r="Z29" s="16">
        <f t="shared" si="6"/>
        <v>0</v>
      </c>
      <c r="AA29" s="16">
        <f t="shared" si="0"/>
        <v>0</v>
      </c>
      <c r="AB29" s="16"/>
      <c r="AC29" s="18"/>
      <c r="AD29" s="48"/>
    </row>
    <row r="30" spans="1:30" ht="19.5" thickBot="1" x14ac:dyDescent="0.3">
      <c r="A30" s="14">
        <v>28</v>
      </c>
      <c r="B30" s="15"/>
      <c r="C30" s="15" t="e">
        <f>VLOOKUP(B30,داتا!$B$3:$D$107,2,FALSE)</f>
        <v>#N/A</v>
      </c>
      <c r="D30" s="34" t="e">
        <f>VLOOKUP(B30,داتا!$B$3:$D$107,3,FALSE)</f>
        <v>#N/A</v>
      </c>
      <c r="E30" s="15"/>
      <c r="F30" s="15"/>
      <c r="G30" s="16">
        <v>0.25</v>
      </c>
      <c r="H30" s="16"/>
      <c r="I30" s="16">
        <f t="shared" si="1"/>
        <v>-0.25</v>
      </c>
      <c r="J30" s="16"/>
      <c r="K30" s="16"/>
      <c r="L30" s="16"/>
      <c r="M30" s="16"/>
      <c r="N30" s="16">
        <f t="shared" si="2"/>
        <v>0</v>
      </c>
      <c r="O30" s="16" t="e">
        <f t="shared" si="3"/>
        <v>#N/A</v>
      </c>
      <c r="P30" s="16">
        <v>6.9444444444444397E-3</v>
      </c>
      <c r="Q30" s="16"/>
      <c r="R30" s="16">
        <f t="shared" si="4"/>
        <v>-6.9444444444444397E-3</v>
      </c>
      <c r="S30" s="16"/>
      <c r="T30" s="16" t="e">
        <f>VLOOKUP(E30,'[2]21-3-2026'!E$3:T$35,16,FALSE)</f>
        <v>#N/A</v>
      </c>
      <c r="U30" s="16"/>
      <c r="V30" s="16" t="e">
        <f t="shared" si="5"/>
        <v>#N/A</v>
      </c>
      <c r="W30" s="16"/>
      <c r="X30" s="16"/>
      <c r="Y30" s="16"/>
      <c r="Z30" s="16">
        <f t="shared" si="6"/>
        <v>0</v>
      </c>
      <c r="AA30" s="16">
        <f t="shared" si="0"/>
        <v>0</v>
      </c>
      <c r="AB30" s="16"/>
      <c r="AC30" s="17"/>
      <c r="AD30" s="48"/>
    </row>
    <row r="31" spans="1:30" ht="19.5" thickBot="1" x14ac:dyDescent="0.3">
      <c r="A31" s="14">
        <v>29</v>
      </c>
      <c r="B31" s="15"/>
      <c r="C31" s="15" t="e">
        <f>VLOOKUP(B31,داتا!$B$3:$D$107,2,FALSE)</f>
        <v>#N/A</v>
      </c>
      <c r="D31" s="34" t="e">
        <f>VLOOKUP(B31,داتا!$B$3:$D$107,3,FALSE)</f>
        <v>#N/A</v>
      </c>
      <c r="E31" s="15"/>
      <c r="F31" s="15"/>
      <c r="G31" s="16">
        <v>0.25</v>
      </c>
      <c r="H31" s="16"/>
      <c r="I31" s="16">
        <f t="shared" si="1"/>
        <v>-0.25</v>
      </c>
      <c r="J31" s="16"/>
      <c r="K31" s="16"/>
      <c r="L31" s="16"/>
      <c r="M31" s="16"/>
      <c r="N31" s="16">
        <f t="shared" si="2"/>
        <v>0</v>
      </c>
      <c r="O31" s="16" t="e">
        <f t="shared" si="3"/>
        <v>#N/A</v>
      </c>
      <c r="P31" s="16">
        <v>6.9444444444444397E-3</v>
      </c>
      <c r="Q31" s="16"/>
      <c r="R31" s="16">
        <f t="shared" si="4"/>
        <v>-6.9444444444444397E-3</v>
      </c>
      <c r="S31" s="16"/>
      <c r="T31" s="16" t="e">
        <f>VLOOKUP(E31,'[2]21-3-2026'!E$3:T$35,16,FALSE)</f>
        <v>#N/A</v>
      </c>
      <c r="U31" s="16"/>
      <c r="V31" s="16" t="e">
        <f t="shared" si="5"/>
        <v>#N/A</v>
      </c>
      <c r="W31" s="16"/>
      <c r="X31" s="16"/>
      <c r="Y31" s="16"/>
      <c r="Z31" s="16">
        <f t="shared" si="6"/>
        <v>0</v>
      </c>
      <c r="AA31" s="16">
        <f t="shared" si="0"/>
        <v>0</v>
      </c>
      <c r="AB31" s="16"/>
      <c r="AC31" s="17"/>
      <c r="AD31" s="48"/>
    </row>
    <row r="32" spans="1:30" ht="19.5" thickBot="1" x14ac:dyDescent="0.3">
      <c r="A32" s="14">
        <v>30</v>
      </c>
      <c r="B32" s="15"/>
      <c r="C32" s="15" t="e">
        <f>VLOOKUP(B32,داتا!$B$3:$D$107,2,FALSE)</f>
        <v>#N/A</v>
      </c>
      <c r="D32" s="34" t="e">
        <f>VLOOKUP(B32,داتا!$B$3:$D$107,3,FALSE)</f>
        <v>#N/A</v>
      </c>
      <c r="E32" s="15"/>
      <c r="F32" s="15"/>
      <c r="G32" s="16">
        <v>0.25</v>
      </c>
      <c r="H32" s="16"/>
      <c r="I32" s="16">
        <f t="shared" si="1"/>
        <v>-0.25</v>
      </c>
      <c r="J32" s="16"/>
      <c r="K32" s="16"/>
      <c r="L32" s="16"/>
      <c r="M32" s="16"/>
      <c r="N32" s="16">
        <f t="shared" si="2"/>
        <v>0</v>
      </c>
      <c r="O32" s="16" t="e">
        <f t="shared" si="3"/>
        <v>#N/A</v>
      </c>
      <c r="P32" s="16">
        <v>6.9444444444444397E-3</v>
      </c>
      <c r="Q32" s="16"/>
      <c r="R32" s="16">
        <f t="shared" si="4"/>
        <v>-6.9444444444444397E-3</v>
      </c>
      <c r="S32" s="16"/>
      <c r="T32" s="16" t="e">
        <f>VLOOKUP(E32,'[2]21-3-2026'!E$3:T$35,16,FALSE)</f>
        <v>#N/A</v>
      </c>
      <c r="U32" s="16"/>
      <c r="V32" s="16" t="e">
        <f t="shared" si="5"/>
        <v>#N/A</v>
      </c>
      <c r="W32" s="16"/>
      <c r="X32" s="16"/>
      <c r="Y32" s="16"/>
      <c r="Z32" s="16">
        <f t="shared" si="6"/>
        <v>0</v>
      </c>
      <c r="AA32" s="16">
        <f t="shared" si="0"/>
        <v>0</v>
      </c>
      <c r="AB32" s="16"/>
      <c r="AC32" s="17"/>
      <c r="AD32" s="48"/>
    </row>
    <row r="33" spans="1:30" ht="19.5" thickBot="1" x14ac:dyDescent="0.3">
      <c r="A33" s="14">
        <v>31</v>
      </c>
      <c r="B33" s="15"/>
      <c r="C33" s="15" t="e">
        <f>VLOOKUP(B33,داتا!$B$3:$D$107,2,FALSE)</f>
        <v>#N/A</v>
      </c>
      <c r="D33" s="34" t="e">
        <f>VLOOKUP(B33,داتا!$B$3:$D$107,3,FALSE)</f>
        <v>#N/A</v>
      </c>
      <c r="E33" s="15"/>
      <c r="F33" s="15"/>
      <c r="G33" s="16">
        <v>0.25</v>
      </c>
      <c r="H33" s="16"/>
      <c r="I33" s="16">
        <f t="shared" si="1"/>
        <v>-0.25</v>
      </c>
      <c r="J33" s="16"/>
      <c r="K33" s="16"/>
      <c r="L33" s="16"/>
      <c r="M33" s="16"/>
      <c r="N33" s="16">
        <f t="shared" si="2"/>
        <v>0</v>
      </c>
      <c r="O33" s="16" t="e">
        <f t="shared" si="3"/>
        <v>#N/A</v>
      </c>
      <c r="P33" s="16">
        <v>6.9444444444444397E-3</v>
      </c>
      <c r="Q33" s="16"/>
      <c r="R33" s="16">
        <f t="shared" si="4"/>
        <v>-6.9444444444444397E-3</v>
      </c>
      <c r="S33" s="16"/>
      <c r="T33" s="16" t="e">
        <f>VLOOKUP(E33,'[2]21-3-2026'!E$3:T$35,16,FALSE)</f>
        <v>#N/A</v>
      </c>
      <c r="U33" s="16"/>
      <c r="V33" s="16" t="e">
        <f t="shared" si="5"/>
        <v>#N/A</v>
      </c>
      <c r="W33" s="16"/>
      <c r="X33" s="16"/>
      <c r="Y33" s="16"/>
      <c r="Z33" s="16">
        <f t="shared" si="6"/>
        <v>0</v>
      </c>
      <c r="AA33" s="16">
        <f t="shared" si="0"/>
        <v>0</v>
      </c>
      <c r="AB33" s="16"/>
      <c r="AC33" s="17"/>
      <c r="AD33" s="48"/>
    </row>
    <row r="34" spans="1:30" ht="19.5" thickBot="1" x14ac:dyDescent="0.3">
      <c r="A34" s="14">
        <v>32</v>
      </c>
      <c r="B34" s="15"/>
      <c r="C34" s="15" t="e">
        <f>VLOOKUP(B34,داتا!$B$3:$D$107,2,FALSE)</f>
        <v>#N/A</v>
      </c>
      <c r="D34" s="34" t="e">
        <f>VLOOKUP(B34,داتا!$B$3:$D$107,3,FALSE)</f>
        <v>#N/A</v>
      </c>
      <c r="E34" s="15"/>
      <c r="F34" s="15"/>
      <c r="G34" s="16">
        <v>0.25</v>
      </c>
      <c r="H34" s="16"/>
      <c r="I34" s="16">
        <f t="shared" si="1"/>
        <v>-0.25</v>
      </c>
      <c r="J34" s="16"/>
      <c r="K34" s="16"/>
      <c r="L34" s="16"/>
      <c r="M34" s="16"/>
      <c r="N34" s="16">
        <f t="shared" si="2"/>
        <v>0</v>
      </c>
      <c r="O34" s="16" t="e">
        <f t="shared" si="3"/>
        <v>#N/A</v>
      </c>
      <c r="P34" s="16">
        <v>6.9444444444444397E-3</v>
      </c>
      <c r="Q34" s="16"/>
      <c r="R34" s="16">
        <f t="shared" si="4"/>
        <v>-6.9444444444444397E-3</v>
      </c>
      <c r="S34" s="16"/>
      <c r="T34" s="16" t="e">
        <f>VLOOKUP(E34,'[2]21-3-2026'!E$3:T$35,16,FALSE)</f>
        <v>#N/A</v>
      </c>
      <c r="U34" s="16"/>
      <c r="V34" s="16" t="e">
        <f t="shared" si="5"/>
        <v>#N/A</v>
      </c>
      <c r="W34" s="16"/>
      <c r="X34" s="16"/>
      <c r="Y34" s="16"/>
      <c r="Z34" s="16">
        <f t="shared" si="6"/>
        <v>0</v>
      </c>
      <c r="AA34" s="16">
        <f t="shared" si="0"/>
        <v>0</v>
      </c>
      <c r="AB34" s="16"/>
      <c r="AC34" s="17"/>
      <c r="AD34" s="48"/>
    </row>
    <row r="35" spans="1:30" ht="19.5" thickBot="1" x14ac:dyDescent="0.3">
      <c r="A35" s="20">
        <v>33</v>
      </c>
      <c r="B35" s="21"/>
      <c r="C35" s="21" t="e">
        <f>VLOOKUP(B35,داتا!$B$3:$D$107,2,FALSE)</f>
        <v>#N/A</v>
      </c>
      <c r="D35" s="35" t="e">
        <f>VLOOKUP(B35,داتا!$B$3:$D$107,3,FALSE)</f>
        <v>#N/A</v>
      </c>
      <c r="E35" s="21"/>
      <c r="F35" s="21"/>
      <c r="G35" s="22">
        <v>0.25</v>
      </c>
      <c r="H35" s="22"/>
      <c r="I35" s="22">
        <f t="shared" si="1"/>
        <v>-0.25</v>
      </c>
      <c r="J35" s="22"/>
      <c r="K35" s="22"/>
      <c r="L35" s="22"/>
      <c r="M35" s="22"/>
      <c r="N35" s="22">
        <f t="shared" si="2"/>
        <v>0</v>
      </c>
      <c r="O35" s="22" t="e">
        <f t="shared" si="3"/>
        <v>#N/A</v>
      </c>
      <c r="P35" s="22">
        <v>6.9444444444444397E-3</v>
      </c>
      <c r="Q35" s="22"/>
      <c r="R35" s="22">
        <f t="shared" si="4"/>
        <v>-6.9444444444444397E-3</v>
      </c>
      <c r="S35" s="22"/>
      <c r="T35" s="22" t="e">
        <f>VLOOKUP(E35,'[2]21-3-2026'!E$3:T$35,16,FALSE)</f>
        <v>#N/A</v>
      </c>
      <c r="U35" s="22"/>
      <c r="V35" s="22" t="e">
        <f t="shared" si="5"/>
        <v>#N/A</v>
      </c>
      <c r="W35" s="22"/>
      <c r="X35" s="22"/>
      <c r="Y35" s="22"/>
      <c r="Z35" s="22">
        <f t="shared" si="6"/>
        <v>0</v>
      </c>
      <c r="AA35" s="22">
        <f t="shared" si="0"/>
        <v>0</v>
      </c>
      <c r="AB35" s="22"/>
      <c r="AC35" s="23"/>
      <c r="AD35" s="49"/>
    </row>
    <row r="36" spans="1:30" ht="20.25" customHeight="1" thickTop="1" thickBot="1" x14ac:dyDescent="0.3">
      <c r="A36" s="10">
        <v>1</v>
      </c>
      <c r="B36" s="11"/>
      <c r="C36" s="11" t="e">
        <f>VLOOKUP(B36,داتا!$B$3:$D$107,2,FALSE)</f>
        <v>#N/A</v>
      </c>
      <c r="D36" s="33" t="e">
        <f>VLOOKUP(B36,داتا!$B$3:$D$107,3,FALSE)</f>
        <v>#N/A</v>
      </c>
      <c r="E36" s="11"/>
      <c r="F36" s="11"/>
      <c r="G36" s="12">
        <v>0.25</v>
      </c>
      <c r="H36" s="12" t="e">
        <f>VLOOKUP(G36,$F$3:$I$35,2,FALSE)</f>
        <v>#N/A</v>
      </c>
      <c r="I36" s="12" t="e">
        <f t="shared" si="1"/>
        <v>#N/A</v>
      </c>
      <c r="J36" s="12"/>
      <c r="K36" s="12"/>
      <c r="L36" s="12"/>
      <c r="M36" s="12"/>
      <c r="N36" s="12">
        <f t="shared" si="2"/>
        <v>0</v>
      </c>
      <c r="O36" s="12" t="e">
        <f t="shared" si="3"/>
        <v>#N/A</v>
      </c>
      <c r="P36" s="12">
        <v>6.9444444444444397E-3</v>
      </c>
      <c r="Q36" s="12"/>
      <c r="R36" s="12">
        <f t="shared" si="4"/>
        <v>-6.9444444444444397E-3</v>
      </c>
      <c r="S36" s="12"/>
      <c r="T36" s="12" t="e">
        <f>VLOOKUP(E36,'[2]21-3-2026'!E$3:T$35,16,FALSE)</f>
        <v>#N/A</v>
      </c>
      <c r="U36" s="12"/>
      <c r="V36" s="12" t="e">
        <f t="shared" si="5"/>
        <v>#N/A</v>
      </c>
      <c r="W36" s="12"/>
      <c r="X36" s="12"/>
      <c r="Y36" s="12"/>
      <c r="Z36" s="12">
        <f t="shared" si="6"/>
        <v>0</v>
      </c>
      <c r="AA36" s="12">
        <f t="shared" si="0"/>
        <v>0</v>
      </c>
      <c r="AB36" s="12"/>
      <c r="AC36" s="29"/>
      <c r="AD36" s="50" t="s">
        <v>104</v>
      </c>
    </row>
    <row r="37" spans="1:30" ht="19.5" thickBot="1" x14ac:dyDescent="0.3">
      <c r="A37" s="14">
        <v>2</v>
      </c>
      <c r="B37" s="15"/>
      <c r="C37" s="15" t="e">
        <f>VLOOKUP(B37,داتا!$B$3:$D$107,2,FALSE)</f>
        <v>#N/A</v>
      </c>
      <c r="D37" s="34" t="e">
        <f>VLOOKUP(B37,داتا!$B$3:$D$107,3,FALSE)</f>
        <v>#N/A</v>
      </c>
      <c r="E37" s="15"/>
      <c r="F37" s="15"/>
      <c r="G37" s="16">
        <v>0.25</v>
      </c>
      <c r="H37" s="16" t="e">
        <f t="shared" ref="H37:H52" si="7">VLOOKUP(G37,$F$3:$I$35,2,FALSE)</f>
        <v>#N/A</v>
      </c>
      <c r="I37" s="16" t="e">
        <f t="shared" si="1"/>
        <v>#N/A</v>
      </c>
      <c r="J37" s="16"/>
      <c r="K37" s="16"/>
      <c r="L37" s="16"/>
      <c r="M37" s="16"/>
      <c r="N37" s="16">
        <f t="shared" si="2"/>
        <v>0</v>
      </c>
      <c r="O37" s="16" t="e">
        <f t="shared" si="3"/>
        <v>#N/A</v>
      </c>
      <c r="P37" s="16">
        <v>6.9444444444444397E-3</v>
      </c>
      <c r="Q37" s="16"/>
      <c r="R37" s="16">
        <f t="shared" si="4"/>
        <v>-6.9444444444444397E-3</v>
      </c>
      <c r="S37" s="16"/>
      <c r="T37" s="16" t="e">
        <f>VLOOKUP(E37,'[2]21-3-2026'!E$3:T$35,16,FALSE)</f>
        <v>#N/A</v>
      </c>
      <c r="U37" s="16"/>
      <c r="V37" s="16" t="e">
        <f t="shared" si="5"/>
        <v>#N/A</v>
      </c>
      <c r="W37" s="16"/>
      <c r="X37" s="16"/>
      <c r="Y37" s="16"/>
      <c r="Z37" s="16">
        <f t="shared" si="6"/>
        <v>0</v>
      </c>
      <c r="AA37" s="16">
        <f t="shared" si="0"/>
        <v>0</v>
      </c>
      <c r="AB37" s="16"/>
      <c r="AC37" s="19"/>
      <c r="AD37" s="51"/>
    </row>
    <row r="38" spans="1:30" ht="19.5" thickBot="1" x14ac:dyDescent="0.3">
      <c r="A38" s="14">
        <v>3</v>
      </c>
      <c r="B38" s="15"/>
      <c r="C38" s="15" t="e">
        <f>VLOOKUP(B38,داتا!$B$3:$D$107,2,FALSE)</f>
        <v>#N/A</v>
      </c>
      <c r="D38" s="34" t="e">
        <f>VLOOKUP(B38,داتا!$B$3:$D$107,3,FALSE)</f>
        <v>#N/A</v>
      </c>
      <c r="E38" s="15"/>
      <c r="F38" s="15"/>
      <c r="G38" s="16">
        <v>0.25</v>
      </c>
      <c r="H38" s="16" t="e">
        <f t="shared" si="7"/>
        <v>#N/A</v>
      </c>
      <c r="I38" s="16" t="e">
        <f t="shared" si="1"/>
        <v>#N/A</v>
      </c>
      <c r="J38" s="16"/>
      <c r="K38" s="16"/>
      <c r="L38" s="16"/>
      <c r="M38" s="16"/>
      <c r="N38" s="16">
        <f t="shared" si="2"/>
        <v>0</v>
      </c>
      <c r="O38" s="16" t="e">
        <f t="shared" si="3"/>
        <v>#N/A</v>
      </c>
      <c r="P38" s="16">
        <v>6.9444444444444397E-3</v>
      </c>
      <c r="Q38" s="16"/>
      <c r="R38" s="16">
        <f t="shared" si="4"/>
        <v>-6.9444444444444397E-3</v>
      </c>
      <c r="S38" s="16"/>
      <c r="T38" s="16" t="e">
        <f>VLOOKUP(E38,'[2]21-3-2026'!E$3:T$35,16,FALSE)</f>
        <v>#N/A</v>
      </c>
      <c r="U38" s="16"/>
      <c r="V38" s="16" t="e">
        <f t="shared" si="5"/>
        <v>#N/A</v>
      </c>
      <c r="W38" s="16"/>
      <c r="X38" s="16"/>
      <c r="Y38" s="16"/>
      <c r="Z38" s="16">
        <f t="shared" si="6"/>
        <v>0</v>
      </c>
      <c r="AA38" s="16">
        <f t="shared" si="0"/>
        <v>0</v>
      </c>
      <c r="AB38" s="16"/>
      <c r="AC38" s="19"/>
      <c r="AD38" s="51"/>
    </row>
    <row r="39" spans="1:30" ht="19.5" thickBot="1" x14ac:dyDescent="0.3">
      <c r="A39" s="14">
        <v>4</v>
      </c>
      <c r="B39" s="15"/>
      <c r="C39" s="15" t="e">
        <f>VLOOKUP(B39,داتا!$B$3:$D$107,2,FALSE)</f>
        <v>#N/A</v>
      </c>
      <c r="D39" s="34" t="e">
        <f>VLOOKUP(B39,داتا!$B$3:$D$107,3,FALSE)</f>
        <v>#N/A</v>
      </c>
      <c r="E39" s="15"/>
      <c r="F39" s="15"/>
      <c r="G39" s="16">
        <v>0.25</v>
      </c>
      <c r="H39" s="16" t="e">
        <f t="shared" si="7"/>
        <v>#N/A</v>
      </c>
      <c r="I39" s="16" t="e">
        <f t="shared" si="1"/>
        <v>#N/A</v>
      </c>
      <c r="J39" s="16"/>
      <c r="K39" s="16"/>
      <c r="L39" s="16"/>
      <c r="M39" s="16"/>
      <c r="N39" s="16">
        <f t="shared" si="2"/>
        <v>0</v>
      </c>
      <c r="O39" s="16" t="e">
        <f t="shared" si="3"/>
        <v>#N/A</v>
      </c>
      <c r="P39" s="16">
        <v>6.9444444444444397E-3</v>
      </c>
      <c r="Q39" s="16"/>
      <c r="R39" s="16">
        <f t="shared" si="4"/>
        <v>-6.9444444444444397E-3</v>
      </c>
      <c r="S39" s="16"/>
      <c r="T39" s="16" t="e">
        <f>VLOOKUP(E39,'[2]21-3-2026'!E$3:T$35,16,FALSE)</f>
        <v>#N/A</v>
      </c>
      <c r="U39" s="16"/>
      <c r="V39" s="16" t="e">
        <f t="shared" si="5"/>
        <v>#N/A</v>
      </c>
      <c r="W39" s="16"/>
      <c r="X39" s="16"/>
      <c r="Y39" s="16"/>
      <c r="Z39" s="16">
        <f t="shared" si="6"/>
        <v>0</v>
      </c>
      <c r="AA39" s="16">
        <f t="shared" si="0"/>
        <v>0</v>
      </c>
      <c r="AB39" s="16"/>
      <c r="AC39" s="17"/>
      <c r="AD39" s="51"/>
    </row>
    <row r="40" spans="1:30" ht="19.5" thickBot="1" x14ac:dyDescent="0.3">
      <c r="A40" s="14">
        <v>5</v>
      </c>
      <c r="B40" s="15"/>
      <c r="C40" s="15" t="e">
        <f>VLOOKUP(B40,داتا!$B$3:$D$107,2,FALSE)</f>
        <v>#N/A</v>
      </c>
      <c r="D40" s="34" t="e">
        <f>VLOOKUP(B40,داتا!$B$3:$D$107,3,FALSE)</f>
        <v>#N/A</v>
      </c>
      <c r="E40" s="15"/>
      <c r="F40" s="15"/>
      <c r="G40" s="16">
        <v>0.25</v>
      </c>
      <c r="H40" s="16" t="e">
        <f t="shared" si="7"/>
        <v>#N/A</v>
      </c>
      <c r="I40" s="16" t="e">
        <f t="shared" si="1"/>
        <v>#N/A</v>
      </c>
      <c r="J40" s="16"/>
      <c r="K40" s="16"/>
      <c r="L40" s="16"/>
      <c r="M40" s="16"/>
      <c r="N40" s="16">
        <f t="shared" si="2"/>
        <v>0</v>
      </c>
      <c r="O40" s="16" t="e">
        <f t="shared" si="3"/>
        <v>#N/A</v>
      </c>
      <c r="P40" s="16">
        <v>6.9444444444444397E-3</v>
      </c>
      <c r="Q40" s="16"/>
      <c r="R40" s="16">
        <f t="shared" si="4"/>
        <v>-6.9444444444444397E-3</v>
      </c>
      <c r="S40" s="16"/>
      <c r="T40" s="16" t="e">
        <f>VLOOKUP(E40,'[2]21-3-2026'!E$3:T$35,16,FALSE)</f>
        <v>#N/A</v>
      </c>
      <c r="U40" s="16"/>
      <c r="V40" s="16" t="e">
        <f t="shared" si="5"/>
        <v>#N/A</v>
      </c>
      <c r="W40" s="16"/>
      <c r="X40" s="16"/>
      <c r="Y40" s="16"/>
      <c r="Z40" s="16">
        <f t="shared" si="6"/>
        <v>0</v>
      </c>
      <c r="AA40" s="16">
        <f t="shared" si="0"/>
        <v>0</v>
      </c>
      <c r="AB40" s="16"/>
      <c r="AC40" s="17"/>
      <c r="AD40" s="51"/>
    </row>
    <row r="41" spans="1:30" ht="19.5" thickBot="1" x14ac:dyDescent="0.3">
      <c r="A41" s="14">
        <v>6</v>
      </c>
      <c r="B41" s="15"/>
      <c r="C41" s="15" t="e">
        <f>VLOOKUP(B41,داتا!$B$3:$D$107,2,FALSE)</f>
        <v>#N/A</v>
      </c>
      <c r="D41" s="34" t="e">
        <f>VLOOKUP(B41,داتا!$B$3:$D$107,3,FALSE)</f>
        <v>#N/A</v>
      </c>
      <c r="E41" s="15"/>
      <c r="F41" s="15"/>
      <c r="G41" s="16">
        <v>0.25</v>
      </c>
      <c r="H41" s="16" t="e">
        <f t="shared" si="7"/>
        <v>#N/A</v>
      </c>
      <c r="I41" s="16" t="e">
        <f t="shared" si="1"/>
        <v>#N/A</v>
      </c>
      <c r="J41" s="16"/>
      <c r="K41" s="16"/>
      <c r="L41" s="16"/>
      <c r="M41" s="16"/>
      <c r="N41" s="16">
        <f t="shared" si="2"/>
        <v>0</v>
      </c>
      <c r="O41" s="16" t="e">
        <f t="shared" si="3"/>
        <v>#N/A</v>
      </c>
      <c r="P41" s="16">
        <v>6.9444444444444397E-3</v>
      </c>
      <c r="Q41" s="16"/>
      <c r="R41" s="16">
        <f t="shared" si="4"/>
        <v>-6.9444444444444397E-3</v>
      </c>
      <c r="S41" s="16"/>
      <c r="T41" s="16" t="e">
        <f>VLOOKUP(E41,'[2]21-3-2026'!E$3:T$35,16,FALSE)</f>
        <v>#N/A</v>
      </c>
      <c r="U41" s="16"/>
      <c r="V41" s="16" t="e">
        <f t="shared" si="5"/>
        <v>#N/A</v>
      </c>
      <c r="W41" s="16"/>
      <c r="X41" s="16"/>
      <c r="Y41" s="16"/>
      <c r="Z41" s="16">
        <f t="shared" si="6"/>
        <v>0</v>
      </c>
      <c r="AA41" s="16">
        <f t="shared" si="0"/>
        <v>0</v>
      </c>
      <c r="AB41" s="16"/>
      <c r="AC41" s="17"/>
      <c r="AD41" s="51"/>
    </row>
    <row r="42" spans="1:30" ht="19.5" thickBot="1" x14ac:dyDescent="0.3">
      <c r="A42" s="14">
        <v>7</v>
      </c>
      <c r="B42" s="15"/>
      <c r="C42" s="15" t="e">
        <f>VLOOKUP(B42,داتا!$B$3:$D$107,2,FALSE)</f>
        <v>#N/A</v>
      </c>
      <c r="D42" s="34" t="e">
        <f>VLOOKUP(B42,داتا!$B$3:$D$107,3,FALSE)</f>
        <v>#N/A</v>
      </c>
      <c r="E42" s="15"/>
      <c r="F42" s="15"/>
      <c r="G42" s="16">
        <v>0.25</v>
      </c>
      <c r="H42" s="16" t="e">
        <f t="shared" si="7"/>
        <v>#N/A</v>
      </c>
      <c r="I42" s="16" t="e">
        <f t="shared" si="1"/>
        <v>#N/A</v>
      </c>
      <c r="J42" s="16"/>
      <c r="K42" s="16"/>
      <c r="L42" s="16"/>
      <c r="M42" s="16"/>
      <c r="N42" s="16">
        <f t="shared" si="2"/>
        <v>0</v>
      </c>
      <c r="O42" s="16" t="e">
        <f t="shared" si="3"/>
        <v>#N/A</v>
      </c>
      <c r="P42" s="16">
        <v>6.9444444444444397E-3</v>
      </c>
      <c r="Q42" s="16"/>
      <c r="R42" s="16">
        <f t="shared" si="4"/>
        <v>-6.9444444444444397E-3</v>
      </c>
      <c r="S42" s="16"/>
      <c r="T42" s="16" t="e">
        <f>VLOOKUP(E42,'[2]21-3-2026'!E$3:T$35,16,FALSE)</f>
        <v>#N/A</v>
      </c>
      <c r="U42" s="16"/>
      <c r="V42" s="16" t="e">
        <f t="shared" si="5"/>
        <v>#N/A</v>
      </c>
      <c r="W42" s="16"/>
      <c r="X42" s="16"/>
      <c r="Y42" s="16"/>
      <c r="Z42" s="16">
        <f t="shared" si="6"/>
        <v>0</v>
      </c>
      <c r="AA42" s="16">
        <f t="shared" si="0"/>
        <v>0</v>
      </c>
      <c r="AB42" s="16"/>
      <c r="AC42" s="17"/>
      <c r="AD42" s="51"/>
    </row>
    <row r="43" spans="1:30" ht="19.5" thickBot="1" x14ac:dyDescent="0.3">
      <c r="A43" s="14">
        <v>8</v>
      </c>
      <c r="B43" s="15"/>
      <c r="C43" s="15" t="e">
        <f>VLOOKUP(B43,داتا!$B$3:$D$107,2,FALSE)</f>
        <v>#N/A</v>
      </c>
      <c r="D43" s="34" t="e">
        <f>VLOOKUP(B43,داتا!$B$3:$D$107,3,FALSE)</f>
        <v>#N/A</v>
      </c>
      <c r="E43" s="15"/>
      <c r="F43" s="15"/>
      <c r="G43" s="16">
        <v>0.25</v>
      </c>
      <c r="H43" s="16" t="e">
        <f t="shared" si="7"/>
        <v>#N/A</v>
      </c>
      <c r="I43" s="16" t="e">
        <f t="shared" si="1"/>
        <v>#N/A</v>
      </c>
      <c r="J43" s="16"/>
      <c r="K43" s="16"/>
      <c r="L43" s="16"/>
      <c r="M43" s="16"/>
      <c r="N43" s="16">
        <f t="shared" si="2"/>
        <v>0</v>
      </c>
      <c r="O43" s="16" t="e">
        <f t="shared" si="3"/>
        <v>#N/A</v>
      </c>
      <c r="P43" s="16">
        <v>6.9444444444444397E-3</v>
      </c>
      <c r="Q43" s="16"/>
      <c r="R43" s="16">
        <f t="shared" si="4"/>
        <v>-6.9444444444444397E-3</v>
      </c>
      <c r="S43" s="16"/>
      <c r="T43" s="16" t="e">
        <f>VLOOKUP(E43,'[2]21-3-2026'!E$3:T$35,16,FALSE)</f>
        <v>#N/A</v>
      </c>
      <c r="U43" s="16"/>
      <c r="V43" s="16" t="e">
        <f t="shared" si="5"/>
        <v>#N/A</v>
      </c>
      <c r="W43" s="16"/>
      <c r="X43" s="16"/>
      <c r="Y43" s="16"/>
      <c r="Z43" s="16">
        <f t="shared" si="6"/>
        <v>0</v>
      </c>
      <c r="AA43" s="16">
        <f t="shared" si="0"/>
        <v>0</v>
      </c>
      <c r="AB43" s="16"/>
      <c r="AC43" s="17"/>
      <c r="AD43" s="51"/>
    </row>
    <row r="44" spans="1:30" ht="19.5" thickBot="1" x14ac:dyDescent="0.3">
      <c r="A44" s="14">
        <v>9</v>
      </c>
      <c r="B44" s="15"/>
      <c r="C44" s="15" t="e">
        <f>VLOOKUP(B44,داتا!$B$3:$D$107,2,FALSE)</f>
        <v>#N/A</v>
      </c>
      <c r="D44" s="34" t="e">
        <f>VLOOKUP(B44,داتا!$B$3:$D$107,3,FALSE)</f>
        <v>#N/A</v>
      </c>
      <c r="E44" s="15"/>
      <c r="F44" s="15"/>
      <c r="G44" s="16">
        <v>0.25</v>
      </c>
      <c r="H44" s="16" t="e">
        <f t="shared" si="7"/>
        <v>#N/A</v>
      </c>
      <c r="I44" s="16" t="e">
        <f t="shared" si="1"/>
        <v>#N/A</v>
      </c>
      <c r="J44" s="16"/>
      <c r="K44" s="16"/>
      <c r="L44" s="16"/>
      <c r="M44" s="16"/>
      <c r="N44" s="16">
        <f t="shared" si="2"/>
        <v>0</v>
      </c>
      <c r="O44" s="16" t="e">
        <f t="shared" si="3"/>
        <v>#N/A</v>
      </c>
      <c r="P44" s="16">
        <v>6.9444444444444397E-3</v>
      </c>
      <c r="Q44" s="16"/>
      <c r="R44" s="16">
        <f t="shared" si="4"/>
        <v>-6.9444444444444397E-3</v>
      </c>
      <c r="S44" s="16"/>
      <c r="T44" s="16" t="e">
        <f>VLOOKUP(E44,'[2]21-3-2026'!E$3:T$35,16,FALSE)</f>
        <v>#N/A</v>
      </c>
      <c r="U44" s="16"/>
      <c r="V44" s="16" t="e">
        <f t="shared" si="5"/>
        <v>#N/A</v>
      </c>
      <c r="W44" s="16"/>
      <c r="X44" s="16"/>
      <c r="Y44" s="16"/>
      <c r="Z44" s="16">
        <f t="shared" si="6"/>
        <v>0</v>
      </c>
      <c r="AA44" s="16">
        <f t="shared" si="0"/>
        <v>0</v>
      </c>
      <c r="AB44" s="16"/>
      <c r="AC44" s="17"/>
      <c r="AD44" s="51"/>
    </row>
    <row r="45" spans="1:30" ht="19.5" thickBot="1" x14ac:dyDescent="0.3">
      <c r="A45" s="14">
        <v>10</v>
      </c>
      <c r="B45" s="15"/>
      <c r="C45" s="15" t="e">
        <f>VLOOKUP(B45,داتا!$B$3:$D$107,2,FALSE)</f>
        <v>#N/A</v>
      </c>
      <c r="D45" s="34" t="e">
        <f>VLOOKUP(B45,داتا!$B$3:$D$107,3,FALSE)</f>
        <v>#N/A</v>
      </c>
      <c r="E45" s="15"/>
      <c r="F45" s="15"/>
      <c r="G45" s="16">
        <v>0.25</v>
      </c>
      <c r="H45" s="16" t="e">
        <f t="shared" si="7"/>
        <v>#N/A</v>
      </c>
      <c r="I45" s="16" t="e">
        <f t="shared" si="1"/>
        <v>#N/A</v>
      </c>
      <c r="J45" s="16"/>
      <c r="K45" s="16"/>
      <c r="L45" s="16"/>
      <c r="M45" s="16"/>
      <c r="N45" s="16">
        <f t="shared" si="2"/>
        <v>0</v>
      </c>
      <c r="O45" s="16" t="e">
        <f t="shared" si="3"/>
        <v>#N/A</v>
      </c>
      <c r="P45" s="16">
        <v>6.9444444444444397E-3</v>
      </c>
      <c r="Q45" s="16"/>
      <c r="R45" s="16">
        <f t="shared" si="4"/>
        <v>-6.9444444444444397E-3</v>
      </c>
      <c r="S45" s="16"/>
      <c r="T45" s="16" t="e">
        <f>VLOOKUP(E45,'[2]21-3-2026'!E$3:T$35,16,FALSE)</f>
        <v>#N/A</v>
      </c>
      <c r="U45" s="16"/>
      <c r="V45" s="16" t="e">
        <f t="shared" si="5"/>
        <v>#N/A</v>
      </c>
      <c r="W45" s="16"/>
      <c r="X45" s="16"/>
      <c r="Y45" s="16"/>
      <c r="Z45" s="16">
        <f t="shared" si="6"/>
        <v>0</v>
      </c>
      <c r="AA45" s="16">
        <f t="shared" si="0"/>
        <v>0</v>
      </c>
      <c r="AB45" s="16"/>
      <c r="AC45" s="17"/>
      <c r="AD45" s="51"/>
    </row>
    <row r="46" spans="1:30" ht="19.5" thickBot="1" x14ac:dyDescent="0.3">
      <c r="A46" s="14">
        <v>11</v>
      </c>
      <c r="B46" s="15"/>
      <c r="C46" s="15" t="e">
        <f>VLOOKUP(B46,داتا!$B$3:$D$107,2,FALSE)</f>
        <v>#N/A</v>
      </c>
      <c r="D46" s="34" t="e">
        <f>VLOOKUP(B46,داتا!$B$3:$D$107,3,FALSE)</f>
        <v>#N/A</v>
      </c>
      <c r="E46" s="15"/>
      <c r="F46" s="15"/>
      <c r="G46" s="16">
        <v>0.25</v>
      </c>
      <c r="H46" s="16" t="e">
        <f t="shared" si="7"/>
        <v>#N/A</v>
      </c>
      <c r="I46" s="16" t="e">
        <f t="shared" si="1"/>
        <v>#N/A</v>
      </c>
      <c r="J46" s="16"/>
      <c r="K46" s="16"/>
      <c r="L46" s="16"/>
      <c r="M46" s="16"/>
      <c r="N46" s="16">
        <f t="shared" si="2"/>
        <v>0</v>
      </c>
      <c r="O46" s="16" t="e">
        <f t="shared" si="3"/>
        <v>#N/A</v>
      </c>
      <c r="P46" s="16">
        <v>6.9444444444444397E-3</v>
      </c>
      <c r="Q46" s="16"/>
      <c r="R46" s="16">
        <f t="shared" si="4"/>
        <v>-6.9444444444444397E-3</v>
      </c>
      <c r="S46" s="16"/>
      <c r="T46" s="16" t="e">
        <f>VLOOKUP(E46,'[2]21-3-2026'!E$3:T$35,16,FALSE)</f>
        <v>#N/A</v>
      </c>
      <c r="U46" s="16"/>
      <c r="V46" s="16" t="e">
        <f t="shared" si="5"/>
        <v>#N/A</v>
      </c>
      <c r="W46" s="16"/>
      <c r="X46" s="16"/>
      <c r="Y46" s="16"/>
      <c r="Z46" s="16">
        <f t="shared" si="6"/>
        <v>0</v>
      </c>
      <c r="AA46" s="16">
        <f t="shared" si="0"/>
        <v>0</v>
      </c>
      <c r="AB46" s="16"/>
      <c r="AC46" s="17"/>
      <c r="AD46" s="51"/>
    </row>
    <row r="47" spans="1:30" ht="19.5" thickBot="1" x14ac:dyDescent="0.3">
      <c r="A47" s="14">
        <v>12</v>
      </c>
      <c r="B47" s="15"/>
      <c r="C47" s="15" t="e">
        <f>VLOOKUP(B47,داتا!$B$3:$D$107,2,FALSE)</f>
        <v>#N/A</v>
      </c>
      <c r="D47" s="34" t="e">
        <f>VLOOKUP(B47,داتا!$B$3:$D$107,3,FALSE)</f>
        <v>#N/A</v>
      </c>
      <c r="E47" s="15"/>
      <c r="F47" s="15"/>
      <c r="G47" s="16">
        <v>0.25</v>
      </c>
      <c r="H47" s="16" t="e">
        <f t="shared" si="7"/>
        <v>#N/A</v>
      </c>
      <c r="I47" s="16" t="e">
        <f t="shared" si="1"/>
        <v>#N/A</v>
      </c>
      <c r="J47" s="16"/>
      <c r="K47" s="16"/>
      <c r="L47" s="16"/>
      <c r="M47" s="16"/>
      <c r="N47" s="16">
        <f t="shared" si="2"/>
        <v>0</v>
      </c>
      <c r="O47" s="16" t="e">
        <f t="shared" si="3"/>
        <v>#N/A</v>
      </c>
      <c r="P47" s="16">
        <v>6.9444444444444397E-3</v>
      </c>
      <c r="Q47" s="16"/>
      <c r="R47" s="16">
        <f t="shared" si="4"/>
        <v>-6.9444444444444397E-3</v>
      </c>
      <c r="S47" s="16"/>
      <c r="T47" s="16" t="e">
        <f>VLOOKUP(E47,'[2]21-3-2026'!E$3:T$35,16,FALSE)</f>
        <v>#N/A</v>
      </c>
      <c r="U47" s="16"/>
      <c r="V47" s="16" t="e">
        <f t="shared" si="5"/>
        <v>#N/A</v>
      </c>
      <c r="W47" s="16"/>
      <c r="X47" s="16"/>
      <c r="Y47" s="16"/>
      <c r="Z47" s="16">
        <f t="shared" si="6"/>
        <v>0</v>
      </c>
      <c r="AA47" s="16">
        <f t="shared" si="0"/>
        <v>0</v>
      </c>
      <c r="AB47" s="16"/>
      <c r="AC47" s="17"/>
      <c r="AD47" s="51"/>
    </row>
    <row r="48" spans="1:30" ht="19.5" thickBot="1" x14ac:dyDescent="0.3">
      <c r="A48" s="14">
        <v>13</v>
      </c>
      <c r="B48" s="15"/>
      <c r="C48" s="15" t="e">
        <f>VLOOKUP(B48,داتا!$B$3:$D$107,2,FALSE)</f>
        <v>#N/A</v>
      </c>
      <c r="D48" s="34" t="e">
        <f>VLOOKUP(B48,داتا!$B$3:$D$107,3,FALSE)</f>
        <v>#N/A</v>
      </c>
      <c r="E48" s="15"/>
      <c r="F48" s="15"/>
      <c r="G48" s="16">
        <v>0.25</v>
      </c>
      <c r="H48" s="16" t="e">
        <f t="shared" si="7"/>
        <v>#N/A</v>
      </c>
      <c r="I48" s="16" t="e">
        <f t="shared" si="1"/>
        <v>#N/A</v>
      </c>
      <c r="J48" s="16"/>
      <c r="K48" s="16"/>
      <c r="L48" s="16"/>
      <c r="M48" s="16"/>
      <c r="N48" s="16">
        <f t="shared" si="2"/>
        <v>0</v>
      </c>
      <c r="O48" s="16" t="e">
        <f t="shared" si="3"/>
        <v>#N/A</v>
      </c>
      <c r="P48" s="16">
        <v>6.9444444444444397E-3</v>
      </c>
      <c r="Q48" s="16"/>
      <c r="R48" s="16">
        <f t="shared" si="4"/>
        <v>-6.9444444444444397E-3</v>
      </c>
      <c r="S48" s="16"/>
      <c r="T48" s="16" t="e">
        <f>VLOOKUP(E48,'[2]21-3-2026'!E$3:T$35,16,FALSE)</f>
        <v>#N/A</v>
      </c>
      <c r="U48" s="16"/>
      <c r="V48" s="16" t="e">
        <f t="shared" si="5"/>
        <v>#N/A</v>
      </c>
      <c r="W48" s="16"/>
      <c r="X48" s="16"/>
      <c r="Y48" s="16"/>
      <c r="Z48" s="16">
        <f t="shared" si="6"/>
        <v>0</v>
      </c>
      <c r="AA48" s="16">
        <f t="shared" si="0"/>
        <v>0</v>
      </c>
      <c r="AB48" s="16"/>
      <c r="AC48" s="17"/>
      <c r="AD48" s="51"/>
    </row>
    <row r="49" spans="1:30" ht="19.5" thickBot="1" x14ac:dyDescent="0.3">
      <c r="A49" s="14">
        <v>14</v>
      </c>
      <c r="B49" s="15"/>
      <c r="C49" s="15" t="e">
        <f>VLOOKUP(B49,داتا!$B$3:$D$107,2,FALSE)</f>
        <v>#N/A</v>
      </c>
      <c r="D49" s="34" t="e">
        <f>VLOOKUP(B49,داتا!$B$3:$D$107,3,FALSE)</f>
        <v>#N/A</v>
      </c>
      <c r="E49" s="15"/>
      <c r="F49" s="15"/>
      <c r="G49" s="16">
        <v>0.25</v>
      </c>
      <c r="H49" s="16" t="e">
        <f t="shared" si="7"/>
        <v>#N/A</v>
      </c>
      <c r="I49" s="16" t="e">
        <f t="shared" si="1"/>
        <v>#N/A</v>
      </c>
      <c r="J49" s="16"/>
      <c r="K49" s="16"/>
      <c r="L49" s="16"/>
      <c r="M49" s="16"/>
      <c r="N49" s="16">
        <f t="shared" si="2"/>
        <v>0</v>
      </c>
      <c r="O49" s="16" t="e">
        <f t="shared" si="3"/>
        <v>#N/A</v>
      </c>
      <c r="P49" s="16">
        <v>6.9444444444444397E-3</v>
      </c>
      <c r="Q49" s="16"/>
      <c r="R49" s="16">
        <f t="shared" si="4"/>
        <v>-6.9444444444444397E-3</v>
      </c>
      <c r="S49" s="16"/>
      <c r="T49" s="16" t="e">
        <f>VLOOKUP(E49,'[2]21-3-2026'!E$3:T$35,16,FALSE)</f>
        <v>#N/A</v>
      </c>
      <c r="U49" s="16"/>
      <c r="V49" s="16" t="e">
        <f t="shared" si="5"/>
        <v>#N/A</v>
      </c>
      <c r="W49" s="16"/>
      <c r="X49" s="16"/>
      <c r="Y49" s="16"/>
      <c r="Z49" s="16">
        <f t="shared" si="6"/>
        <v>0</v>
      </c>
      <c r="AA49" s="16">
        <f t="shared" si="0"/>
        <v>0</v>
      </c>
      <c r="AB49" s="16"/>
      <c r="AC49" s="17"/>
      <c r="AD49" s="51"/>
    </row>
    <row r="50" spans="1:30" ht="19.5" thickBot="1" x14ac:dyDescent="0.3">
      <c r="A50" s="14">
        <v>15</v>
      </c>
      <c r="B50" s="15"/>
      <c r="C50" s="15" t="e">
        <f>VLOOKUP(B50,داتا!$B$3:$D$107,2,FALSE)</f>
        <v>#N/A</v>
      </c>
      <c r="D50" s="34" t="e">
        <f>VLOOKUP(B50,داتا!$B$3:$D$107,3,FALSE)</f>
        <v>#N/A</v>
      </c>
      <c r="E50" s="15"/>
      <c r="F50" s="15"/>
      <c r="G50" s="16">
        <v>0.25</v>
      </c>
      <c r="H50" s="16" t="e">
        <f t="shared" si="7"/>
        <v>#N/A</v>
      </c>
      <c r="I50" s="16" t="e">
        <f t="shared" si="1"/>
        <v>#N/A</v>
      </c>
      <c r="J50" s="16"/>
      <c r="K50" s="16"/>
      <c r="L50" s="16"/>
      <c r="M50" s="16"/>
      <c r="N50" s="16">
        <f t="shared" si="2"/>
        <v>0</v>
      </c>
      <c r="O50" s="16" t="e">
        <f t="shared" si="3"/>
        <v>#N/A</v>
      </c>
      <c r="P50" s="16">
        <v>6.9444444444444397E-3</v>
      </c>
      <c r="Q50" s="16"/>
      <c r="R50" s="16">
        <f t="shared" si="4"/>
        <v>-6.9444444444444397E-3</v>
      </c>
      <c r="S50" s="16"/>
      <c r="T50" s="16" t="e">
        <f>VLOOKUP(E50,'[2]21-3-2026'!E$3:T$35,16,FALSE)</f>
        <v>#N/A</v>
      </c>
      <c r="U50" s="16"/>
      <c r="V50" s="16" t="e">
        <f t="shared" si="5"/>
        <v>#N/A</v>
      </c>
      <c r="W50" s="16"/>
      <c r="X50" s="16"/>
      <c r="Y50" s="16"/>
      <c r="Z50" s="16">
        <f t="shared" si="6"/>
        <v>0</v>
      </c>
      <c r="AA50" s="16">
        <f t="shared" si="0"/>
        <v>0</v>
      </c>
      <c r="AB50" s="16"/>
      <c r="AC50" s="17"/>
      <c r="AD50" s="51"/>
    </row>
    <row r="51" spans="1:30" ht="19.5" thickBot="1" x14ac:dyDescent="0.3">
      <c r="A51" s="14">
        <v>16</v>
      </c>
      <c r="B51" s="15"/>
      <c r="C51" s="15" t="e">
        <f>VLOOKUP(B51,داتا!$B$3:$D$107,2,FALSE)</f>
        <v>#N/A</v>
      </c>
      <c r="D51" s="34" t="e">
        <f>VLOOKUP(B51,داتا!$B$3:$D$107,3,FALSE)</f>
        <v>#N/A</v>
      </c>
      <c r="E51" s="15"/>
      <c r="F51" s="15"/>
      <c r="G51" s="16">
        <v>0.25</v>
      </c>
      <c r="H51" s="16" t="e">
        <f t="shared" si="7"/>
        <v>#N/A</v>
      </c>
      <c r="I51" s="16" t="e">
        <f t="shared" si="1"/>
        <v>#N/A</v>
      </c>
      <c r="J51" s="16"/>
      <c r="K51" s="16"/>
      <c r="L51" s="16"/>
      <c r="M51" s="16"/>
      <c r="N51" s="16">
        <f t="shared" si="2"/>
        <v>0</v>
      </c>
      <c r="O51" s="16" t="e">
        <f t="shared" si="3"/>
        <v>#N/A</v>
      </c>
      <c r="P51" s="16">
        <v>6.9444444444444397E-3</v>
      </c>
      <c r="Q51" s="16"/>
      <c r="R51" s="16">
        <f t="shared" si="4"/>
        <v>-6.9444444444444397E-3</v>
      </c>
      <c r="S51" s="16"/>
      <c r="T51" s="16" t="e">
        <f>VLOOKUP(E51,'[2]21-3-2026'!E$3:T$35,16,FALSE)</f>
        <v>#N/A</v>
      </c>
      <c r="U51" s="16"/>
      <c r="V51" s="16" t="e">
        <f t="shared" si="5"/>
        <v>#N/A</v>
      </c>
      <c r="W51" s="16"/>
      <c r="X51" s="16"/>
      <c r="Y51" s="16"/>
      <c r="Z51" s="16">
        <f t="shared" si="6"/>
        <v>0</v>
      </c>
      <c r="AA51" s="16">
        <f t="shared" si="0"/>
        <v>0</v>
      </c>
      <c r="AB51" s="16"/>
      <c r="AC51" s="17"/>
      <c r="AD51" s="51"/>
    </row>
    <row r="52" spans="1:30" ht="19.5" thickBot="1" x14ac:dyDescent="0.3">
      <c r="A52" s="14">
        <v>17</v>
      </c>
      <c r="B52" s="15"/>
      <c r="C52" s="15" t="e">
        <f>VLOOKUP(B52,داتا!$B$3:$D$107,2,FALSE)</f>
        <v>#N/A</v>
      </c>
      <c r="D52" s="34" t="e">
        <f>VLOOKUP(B52,داتا!$B$3:$D$107,3,FALSE)</f>
        <v>#N/A</v>
      </c>
      <c r="E52" s="15"/>
      <c r="F52" s="15"/>
      <c r="G52" s="16">
        <v>0.25</v>
      </c>
      <c r="H52" s="16" t="e">
        <f t="shared" si="7"/>
        <v>#N/A</v>
      </c>
      <c r="I52" s="16" t="e">
        <f t="shared" si="1"/>
        <v>#N/A</v>
      </c>
      <c r="J52" s="16"/>
      <c r="K52" s="16"/>
      <c r="L52" s="16"/>
      <c r="M52" s="16"/>
      <c r="N52" s="16">
        <f t="shared" si="2"/>
        <v>0</v>
      </c>
      <c r="O52" s="16" t="e">
        <f t="shared" si="3"/>
        <v>#N/A</v>
      </c>
      <c r="P52" s="16">
        <v>6.9444444444444397E-3</v>
      </c>
      <c r="Q52" s="16"/>
      <c r="R52" s="16">
        <f t="shared" si="4"/>
        <v>-6.9444444444444397E-3</v>
      </c>
      <c r="S52" s="16"/>
      <c r="T52" s="16" t="e">
        <f>VLOOKUP(E52,'[2]21-3-2026'!E$3:T$35,16,FALSE)</f>
        <v>#N/A</v>
      </c>
      <c r="U52" s="16"/>
      <c r="V52" s="16" t="e">
        <f t="shared" si="5"/>
        <v>#N/A</v>
      </c>
      <c r="W52" s="16"/>
      <c r="X52" s="16"/>
      <c r="Y52" s="16"/>
      <c r="Z52" s="16">
        <f t="shared" si="6"/>
        <v>0</v>
      </c>
      <c r="AA52" s="16">
        <f t="shared" si="0"/>
        <v>0</v>
      </c>
      <c r="AB52" s="16"/>
      <c r="AC52" s="17"/>
      <c r="AD52" s="51"/>
    </row>
    <row r="53" spans="1:30" ht="19.5" thickBot="1" x14ac:dyDescent="0.3">
      <c r="A53" s="14">
        <v>18</v>
      </c>
      <c r="B53" s="15"/>
      <c r="C53" s="15" t="e">
        <f>VLOOKUP(B53,داتا!$B$3:$D$107,2,FALSE)</f>
        <v>#N/A</v>
      </c>
      <c r="D53" s="34" t="e">
        <f>VLOOKUP(B53,داتا!$B$3:$D$107,3,FALSE)</f>
        <v>#N/A</v>
      </c>
      <c r="E53" s="15"/>
      <c r="F53" s="15"/>
      <c r="G53" s="16">
        <v>0.25</v>
      </c>
      <c r="H53" s="16" t="e">
        <f t="shared" ref="H53:H68" si="8">VLOOKUP(G53,$F$3:$I$35,2,FALSE)</f>
        <v>#N/A</v>
      </c>
      <c r="I53" s="16" t="e">
        <f t="shared" si="1"/>
        <v>#N/A</v>
      </c>
      <c r="J53" s="16"/>
      <c r="K53" s="16"/>
      <c r="L53" s="16"/>
      <c r="M53" s="16"/>
      <c r="N53" s="16">
        <f t="shared" si="2"/>
        <v>0</v>
      </c>
      <c r="O53" s="16" t="e">
        <f t="shared" si="3"/>
        <v>#N/A</v>
      </c>
      <c r="P53" s="16">
        <v>6.9444444444444397E-3</v>
      </c>
      <c r="Q53" s="16"/>
      <c r="R53" s="16">
        <f t="shared" si="4"/>
        <v>-6.9444444444444397E-3</v>
      </c>
      <c r="S53" s="16"/>
      <c r="T53" s="16" t="e">
        <f>VLOOKUP(E53,'[2]21-3-2026'!E$3:T$35,16,FALSE)</f>
        <v>#N/A</v>
      </c>
      <c r="U53" s="16"/>
      <c r="V53" s="16" t="e">
        <f t="shared" si="5"/>
        <v>#N/A</v>
      </c>
      <c r="W53" s="16"/>
      <c r="X53" s="16"/>
      <c r="Y53" s="16"/>
      <c r="Z53" s="16">
        <f t="shared" si="6"/>
        <v>0</v>
      </c>
      <c r="AA53" s="16">
        <f t="shared" si="0"/>
        <v>0</v>
      </c>
      <c r="AB53" s="16"/>
      <c r="AC53" s="17"/>
      <c r="AD53" s="51"/>
    </row>
    <row r="54" spans="1:30" ht="19.5" thickBot="1" x14ac:dyDescent="0.3">
      <c r="A54" s="14">
        <v>19</v>
      </c>
      <c r="B54" s="15"/>
      <c r="C54" s="15" t="e">
        <f>VLOOKUP(B54,داتا!$B$3:$D$107,2,FALSE)</f>
        <v>#N/A</v>
      </c>
      <c r="D54" s="34" t="e">
        <f>VLOOKUP(B54,داتا!$B$3:$D$107,3,FALSE)</f>
        <v>#N/A</v>
      </c>
      <c r="E54" s="15"/>
      <c r="F54" s="15"/>
      <c r="G54" s="16">
        <v>0.25</v>
      </c>
      <c r="H54" s="16" t="e">
        <f t="shared" si="8"/>
        <v>#N/A</v>
      </c>
      <c r="I54" s="16" t="e">
        <f t="shared" si="1"/>
        <v>#N/A</v>
      </c>
      <c r="J54" s="16"/>
      <c r="K54" s="16"/>
      <c r="L54" s="16"/>
      <c r="M54" s="16"/>
      <c r="N54" s="16">
        <f t="shared" si="2"/>
        <v>0</v>
      </c>
      <c r="O54" s="16" t="e">
        <f t="shared" si="3"/>
        <v>#N/A</v>
      </c>
      <c r="P54" s="16">
        <v>6.9444444444444397E-3</v>
      </c>
      <c r="Q54" s="16"/>
      <c r="R54" s="16">
        <f t="shared" si="4"/>
        <v>-6.9444444444444397E-3</v>
      </c>
      <c r="S54" s="16"/>
      <c r="T54" s="16" t="e">
        <f>VLOOKUP(E54,'[2]21-3-2026'!E$3:T$35,16,FALSE)</f>
        <v>#N/A</v>
      </c>
      <c r="U54" s="16"/>
      <c r="V54" s="16" t="e">
        <f t="shared" si="5"/>
        <v>#N/A</v>
      </c>
      <c r="W54" s="16"/>
      <c r="X54" s="16"/>
      <c r="Y54" s="16"/>
      <c r="Z54" s="16">
        <f t="shared" si="6"/>
        <v>0</v>
      </c>
      <c r="AA54" s="16">
        <f t="shared" si="0"/>
        <v>0</v>
      </c>
      <c r="AB54" s="16"/>
      <c r="AC54" s="17"/>
      <c r="AD54" s="51"/>
    </row>
    <row r="55" spans="1:30" ht="19.5" thickBot="1" x14ac:dyDescent="0.3">
      <c r="A55" s="14">
        <v>20</v>
      </c>
      <c r="B55" s="15"/>
      <c r="C55" s="15" t="e">
        <f>VLOOKUP(B55,داتا!$B$3:$D$107,2,FALSE)</f>
        <v>#N/A</v>
      </c>
      <c r="D55" s="34" t="e">
        <f>VLOOKUP(B55,داتا!$B$3:$D$107,3,FALSE)</f>
        <v>#N/A</v>
      </c>
      <c r="E55" s="15"/>
      <c r="F55" s="15"/>
      <c r="G55" s="16">
        <v>0.25</v>
      </c>
      <c r="H55" s="16" t="e">
        <f t="shared" si="8"/>
        <v>#N/A</v>
      </c>
      <c r="I55" s="16" t="e">
        <f t="shared" si="1"/>
        <v>#N/A</v>
      </c>
      <c r="J55" s="16"/>
      <c r="K55" s="16"/>
      <c r="L55" s="16"/>
      <c r="M55" s="16"/>
      <c r="N55" s="16">
        <f t="shared" si="2"/>
        <v>0</v>
      </c>
      <c r="O55" s="16" t="e">
        <f t="shared" si="3"/>
        <v>#N/A</v>
      </c>
      <c r="P55" s="16">
        <v>6.9444444444444397E-3</v>
      </c>
      <c r="Q55" s="16"/>
      <c r="R55" s="16">
        <f t="shared" si="4"/>
        <v>-6.9444444444444397E-3</v>
      </c>
      <c r="S55" s="16"/>
      <c r="T55" s="16" t="e">
        <f>VLOOKUP(E55,'[2]21-3-2026'!E$3:T$35,16,FALSE)</f>
        <v>#N/A</v>
      </c>
      <c r="U55" s="16"/>
      <c r="V55" s="16" t="e">
        <f t="shared" si="5"/>
        <v>#N/A</v>
      </c>
      <c r="W55" s="16"/>
      <c r="X55" s="16"/>
      <c r="Y55" s="16"/>
      <c r="Z55" s="16">
        <f t="shared" si="6"/>
        <v>0</v>
      </c>
      <c r="AA55" s="16">
        <f t="shared" si="0"/>
        <v>0</v>
      </c>
      <c r="AB55" s="16"/>
      <c r="AC55" s="17"/>
      <c r="AD55" s="51"/>
    </row>
    <row r="56" spans="1:30" ht="19.5" thickBot="1" x14ac:dyDescent="0.3">
      <c r="A56" s="14">
        <v>21</v>
      </c>
      <c r="B56" s="15"/>
      <c r="C56" s="15" t="e">
        <f>VLOOKUP(B56,داتا!$B$3:$D$107,2,FALSE)</f>
        <v>#N/A</v>
      </c>
      <c r="D56" s="34" t="e">
        <f>VLOOKUP(B56,داتا!$B$3:$D$107,3,FALSE)</f>
        <v>#N/A</v>
      </c>
      <c r="E56" s="15"/>
      <c r="F56" s="15"/>
      <c r="G56" s="16">
        <v>0.25</v>
      </c>
      <c r="H56" s="16" t="e">
        <f t="shared" si="8"/>
        <v>#N/A</v>
      </c>
      <c r="I56" s="16" t="e">
        <f t="shared" si="1"/>
        <v>#N/A</v>
      </c>
      <c r="J56" s="16"/>
      <c r="K56" s="16"/>
      <c r="L56" s="15"/>
      <c r="M56" s="15"/>
      <c r="N56" s="16">
        <f t="shared" si="2"/>
        <v>0</v>
      </c>
      <c r="O56" s="16" t="e">
        <f t="shared" si="3"/>
        <v>#N/A</v>
      </c>
      <c r="P56" s="16">
        <v>6.9444444444444397E-3</v>
      </c>
      <c r="Q56" s="16"/>
      <c r="R56" s="16">
        <f t="shared" si="4"/>
        <v>-6.9444444444444397E-3</v>
      </c>
      <c r="S56" s="16"/>
      <c r="T56" s="16" t="e">
        <f>VLOOKUP(E56,'[2]21-3-2026'!E$3:T$35,16,FALSE)</f>
        <v>#N/A</v>
      </c>
      <c r="U56" s="16"/>
      <c r="V56" s="16" t="e">
        <f t="shared" si="5"/>
        <v>#N/A</v>
      </c>
      <c r="W56" s="16"/>
      <c r="X56" s="16"/>
      <c r="Y56" s="16"/>
      <c r="Z56" s="16">
        <f t="shared" si="6"/>
        <v>0</v>
      </c>
      <c r="AA56" s="16">
        <f t="shared" si="0"/>
        <v>0</v>
      </c>
      <c r="AB56" s="16"/>
      <c r="AC56" s="17"/>
      <c r="AD56" s="51"/>
    </row>
    <row r="57" spans="1:30" ht="19.5" thickBot="1" x14ac:dyDescent="0.3">
      <c r="A57" s="14">
        <v>22</v>
      </c>
      <c r="B57" s="15"/>
      <c r="C57" s="15" t="e">
        <f>VLOOKUP(B57,داتا!$B$3:$D$107,2,FALSE)</f>
        <v>#N/A</v>
      </c>
      <c r="D57" s="34" t="e">
        <f>VLOOKUP(B57,داتا!$B$3:$D$107,3,FALSE)</f>
        <v>#N/A</v>
      </c>
      <c r="E57" s="15"/>
      <c r="F57" s="15"/>
      <c r="G57" s="16">
        <v>0.25</v>
      </c>
      <c r="H57" s="16" t="e">
        <f t="shared" si="8"/>
        <v>#N/A</v>
      </c>
      <c r="I57" s="16" t="e">
        <f t="shared" si="1"/>
        <v>#N/A</v>
      </c>
      <c r="J57" s="16"/>
      <c r="K57" s="16"/>
      <c r="L57" s="15"/>
      <c r="M57" s="15"/>
      <c r="N57" s="16">
        <f t="shared" si="2"/>
        <v>0</v>
      </c>
      <c r="O57" s="16" t="e">
        <f t="shared" si="3"/>
        <v>#N/A</v>
      </c>
      <c r="P57" s="16">
        <v>6.9444444444444397E-3</v>
      </c>
      <c r="Q57" s="16"/>
      <c r="R57" s="16">
        <f t="shared" si="4"/>
        <v>-6.9444444444444397E-3</v>
      </c>
      <c r="S57" s="16"/>
      <c r="T57" s="16" t="e">
        <f>VLOOKUP(E57,'[2]21-3-2026'!E$3:T$35,16,FALSE)</f>
        <v>#N/A</v>
      </c>
      <c r="U57" s="16"/>
      <c r="V57" s="16" t="e">
        <f t="shared" si="5"/>
        <v>#N/A</v>
      </c>
      <c r="W57" s="16"/>
      <c r="X57" s="16"/>
      <c r="Y57" s="16"/>
      <c r="Z57" s="16">
        <f t="shared" si="6"/>
        <v>0</v>
      </c>
      <c r="AA57" s="16">
        <f t="shared" si="0"/>
        <v>0</v>
      </c>
      <c r="AB57" s="16"/>
      <c r="AC57" s="17"/>
      <c r="AD57" s="51"/>
    </row>
    <row r="58" spans="1:30" ht="19.5" thickBot="1" x14ac:dyDescent="0.3">
      <c r="A58" s="14">
        <v>23</v>
      </c>
      <c r="B58" s="15"/>
      <c r="C58" s="15" t="e">
        <f>VLOOKUP(B58,داتا!$B$3:$D$107,2,FALSE)</f>
        <v>#N/A</v>
      </c>
      <c r="D58" s="34" t="e">
        <f>VLOOKUP(B58,داتا!$B$3:$D$107,3,FALSE)</f>
        <v>#N/A</v>
      </c>
      <c r="E58" s="15"/>
      <c r="F58" s="15"/>
      <c r="G58" s="16">
        <v>0.25</v>
      </c>
      <c r="H58" s="16" t="e">
        <f t="shared" si="8"/>
        <v>#N/A</v>
      </c>
      <c r="I58" s="16" t="e">
        <f t="shared" si="1"/>
        <v>#N/A</v>
      </c>
      <c r="J58" s="16"/>
      <c r="K58" s="16"/>
      <c r="L58" s="16"/>
      <c r="M58" s="16"/>
      <c r="N58" s="16">
        <f t="shared" si="2"/>
        <v>0</v>
      </c>
      <c r="O58" s="16" t="e">
        <f t="shared" si="3"/>
        <v>#N/A</v>
      </c>
      <c r="P58" s="16">
        <v>6.9444444444444397E-3</v>
      </c>
      <c r="Q58" s="16"/>
      <c r="R58" s="16">
        <f t="shared" si="4"/>
        <v>-6.9444444444444397E-3</v>
      </c>
      <c r="S58" s="16"/>
      <c r="T58" s="16" t="e">
        <f>VLOOKUP(E58,'[2]21-3-2026'!E$3:T$35,16,FALSE)</f>
        <v>#N/A</v>
      </c>
      <c r="U58" s="16"/>
      <c r="V58" s="16" t="e">
        <f t="shared" si="5"/>
        <v>#N/A</v>
      </c>
      <c r="W58" s="16"/>
      <c r="X58" s="16"/>
      <c r="Y58" s="16"/>
      <c r="Z58" s="16">
        <f t="shared" si="6"/>
        <v>0</v>
      </c>
      <c r="AA58" s="16">
        <f t="shared" si="0"/>
        <v>0</v>
      </c>
      <c r="AB58" s="16"/>
      <c r="AC58" s="17"/>
      <c r="AD58" s="51"/>
    </row>
    <row r="59" spans="1:30" ht="19.5" thickBot="1" x14ac:dyDescent="0.3">
      <c r="A59" s="14">
        <v>24</v>
      </c>
      <c r="B59" s="15"/>
      <c r="C59" s="15" t="e">
        <f>VLOOKUP(B59,داتا!$B$3:$D$107,2,FALSE)</f>
        <v>#N/A</v>
      </c>
      <c r="D59" s="34" t="e">
        <f>VLOOKUP(B59,داتا!$B$3:$D$107,3,FALSE)</f>
        <v>#N/A</v>
      </c>
      <c r="E59" s="16"/>
      <c r="F59" s="15"/>
      <c r="G59" s="16">
        <v>0.25</v>
      </c>
      <c r="H59" s="16" t="e">
        <f t="shared" si="8"/>
        <v>#N/A</v>
      </c>
      <c r="I59" s="16" t="e">
        <f t="shared" si="1"/>
        <v>#N/A</v>
      </c>
      <c r="J59" s="16"/>
      <c r="K59" s="16"/>
      <c r="L59" s="15"/>
      <c r="M59" s="15"/>
      <c r="N59" s="16">
        <f t="shared" si="2"/>
        <v>0</v>
      </c>
      <c r="O59" s="16" t="e">
        <f t="shared" si="3"/>
        <v>#N/A</v>
      </c>
      <c r="P59" s="16">
        <v>6.9444444444444397E-3</v>
      </c>
      <c r="Q59" s="16"/>
      <c r="R59" s="16">
        <f t="shared" si="4"/>
        <v>-6.9444444444444397E-3</v>
      </c>
      <c r="S59" s="16"/>
      <c r="T59" s="16" t="e">
        <f>VLOOKUP(E59,'[2]21-3-2026'!E$3:T$35,16,FALSE)</f>
        <v>#N/A</v>
      </c>
      <c r="U59" s="16"/>
      <c r="V59" s="16" t="e">
        <f t="shared" si="5"/>
        <v>#N/A</v>
      </c>
      <c r="W59" s="16"/>
      <c r="X59" s="16"/>
      <c r="Y59" s="16"/>
      <c r="Z59" s="16">
        <f t="shared" si="6"/>
        <v>0</v>
      </c>
      <c r="AA59" s="16">
        <f t="shared" si="0"/>
        <v>0</v>
      </c>
      <c r="AB59" s="16"/>
      <c r="AC59" s="17"/>
      <c r="AD59" s="51"/>
    </row>
    <row r="60" spans="1:30" ht="19.5" thickBot="1" x14ac:dyDescent="0.3">
      <c r="A60" s="14">
        <v>25</v>
      </c>
      <c r="B60" s="15"/>
      <c r="C60" s="15" t="e">
        <f>VLOOKUP(B60,داتا!$B$3:$D$107,2,FALSE)</f>
        <v>#N/A</v>
      </c>
      <c r="D60" s="34" t="e">
        <f>VLOOKUP(B60,داتا!$B$3:$D$107,3,FALSE)</f>
        <v>#N/A</v>
      </c>
      <c r="E60" s="15"/>
      <c r="F60" s="15"/>
      <c r="G60" s="16">
        <v>0.25</v>
      </c>
      <c r="H60" s="16" t="e">
        <f t="shared" si="8"/>
        <v>#N/A</v>
      </c>
      <c r="I60" s="16" t="e">
        <f t="shared" si="1"/>
        <v>#N/A</v>
      </c>
      <c r="J60" s="16"/>
      <c r="K60" s="16"/>
      <c r="L60" s="16"/>
      <c r="M60" s="16"/>
      <c r="N60" s="16">
        <f t="shared" si="2"/>
        <v>0</v>
      </c>
      <c r="O60" s="16" t="e">
        <f t="shared" si="3"/>
        <v>#N/A</v>
      </c>
      <c r="P60" s="16">
        <v>6.9444444444444397E-3</v>
      </c>
      <c r="Q60" s="16"/>
      <c r="R60" s="16">
        <f t="shared" si="4"/>
        <v>-6.9444444444444397E-3</v>
      </c>
      <c r="S60" s="16"/>
      <c r="T60" s="16" t="e">
        <f>VLOOKUP(E60,'[2]21-3-2026'!E$3:T$35,16,FALSE)</f>
        <v>#N/A</v>
      </c>
      <c r="U60" s="16"/>
      <c r="V60" s="16" t="e">
        <f t="shared" si="5"/>
        <v>#N/A</v>
      </c>
      <c r="W60" s="16"/>
      <c r="X60" s="16"/>
      <c r="Y60" s="16"/>
      <c r="Z60" s="16">
        <f t="shared" si="6"/>
        <v>0</v>
      </c>
      <c r="AA60" s="16">
        <f t="shared" si="0"/>
        <v>0</v>
      </c>
      <c r="AB60" s="16"/>
      <c r="AC60" s="17"/>
      <c r="AD60" s="51"/>
    </row>
    <row r="61" spans="1:30" ht="19.5" thickBot="1" x14ac:dyDescent="0.3">
      <c r="A61" s="14">
        <v>26</v>
      </c>
      <c r="B61" s="15"/>
      <c r="C61" s="15" t="e">
        <f>VLOOKUP(B61,داتا!$B$3:$D$107,2,FALSE)</f>
        <v>#N/A</v>
      </c>
      <c r="D61" s="34" t="e">
        <f>VLOOKUP(B61,داتا!$B$3:$D$107,3,FALSE)</f>
        <v>#N/A</v>
      </c>
      <c r="E61" s="15"/>
      <c r="F61" s="15"/>
      <c r="G61" s="16">
        <v>0.25</v>
      </c>
      <c r="H61" s="16" t="e">
        <f t="shared" si="8"/>
        <v>#N/A</v>
      </c>
      <c r="I61" s="16" t="e">
        <f t="shared" si="1"/>
        <v>#N/A</v>
      </c>
      <c r="J61" s="16"/>
      <c r="K61" s="16"/>
      <c r="L61" s="16"/>
      <c r="M61" s="16"/>
      <c r="N61" s="16">
        <f t="shared" si="2"/>
        <v>0</v>
      </c>
      <c r="O61" s="16" t="e">
        <f t="shared" si="3"/>
        <v>#N/A</v>
      </c>
      <c r="P61" s="16">
        <v>6.9444444444444397E-3</v>
      </c>
      <c r="Q61" s="16"/>
      <c r="R61" s="16">
        <f t="shared" si="4"/>
        <v>-6.9444444444444397E-3</v>
      </c>
      <c r="S61" s="16"/>
      <c r="T61" s="16" t="e">
        <f>VLOOKUP(E61,'[2]21-3-2026'!E$3:T$35,16,FALSE)</f>
        <v>#N/A</v>
      </c>
      <c r="U61" s="16"/>
      <c r="V61" s="16" t="e">
        <f t="shared" si="5"/>
        <v>#N/A</v>
      </c>
      <c r="W61" s="16"/>
      <c r="X61" s="16"/>
      <c r="Y61" s="16"/>
      <c r="Z61" s="16">
        <f t="shared" si="6"/>
        <v>0</v>
      </c>
      <c r="AA61" s="16">
        <f t="shared" si="0"/>
        <v>0</v>
      </c>
      <c r="AB61" s="16"/>
      <c r="AC61" s="17"/>
      <c r="AD61" s="51"/>
    </row>
    <row r="62" spans="1:30" ht="19.5" thickBot="1" x14ac:dyDescent="0.3">
      <c r="A62" s="14">
        <v>27</v>
      </c>
      <c r="B62" s="15"/>
      <c r="C62" s="15" t="e">
        <f>VLOOKUP(B62,داتا!$B$3:$D$107,2,FALSE)</f>
        <v>#N/A</v>
      </c>
      <c r="D62" s="34" t="e">
        <f>VLOOKUP(B62,داتا!$B$3:$D$107,3,FALSE)</f>
        <v>#N/A</v>
      </c>
      <c r="E62" s="15"/>
      <c r="F62" s="15"/>
      <c r="G62" s="16">
        <v>0.25</v>
      </c>
      <c r="H62" s="16" t="e">
        <f t="shared" si="8"/>
        <v>#N/A</v>
      </c>
      <c r="I62" s="16" t="e">
        <f t="shared" si="1"/>
        <v>#N/A</v>
      </c>
      <c r="J62" s="16"/>
      <c r="K62" s="16"/>
      <c r="L62" s="16"/>
      <c r="M62" s="16"/>
      <c r="N62" s="16">
        <f t="shared" si="2"/>
        <v>0</v>
      </c>
      <c r="O62" s="16" t="e">
        <f t="shared" si="3"/>
        <v>#N/A</v>
      </c>
      <c r="P62" s="16">
        <v>6.9444444444444397E-3</v>
      </c>
      <c r="Q62" s="16"/>
      <c r="R62" s="16">
        <f t="shared" si="4"/>
        <v>-6.9444444444444397E-3</v>
      </c>
      <c r="S62" s="16"/>
      <c r="T62" s="16" t="e">
        <f>VLOOKUP(E62,'[2]21-3-2026'!E$3:T$35,16,FALSE)</f>
        <v>#N/A</v>
      </c>
      <c r="U62" s="16"/>
      <c r="V62" s="16" t="e">
        <f t="shared" si="5"/>
        <v>#N/A</v>
      </c>
      <c r="W62" s="16"/>
      <c r="X62" s="16"/>
      <c r="Y62" s="16"/>
      <c r="Z62" s="16">
        <f t="shared" si="6"/>
        <v>0</v>
      </c>
      <c r="AA62" s="16">
        <f t="shared" si="0"/>
        <v>0</v>
      </c>
      <c r="AB62" s="16"/>
      <c r="AC62" s="17"/>
      <c r="AD62" s="51"/>
    </row>
    <row r="63" spans="1:30" ht="19.5" thickBot="1" x14ac:dyDescent="0.3">
      <c r="A63" s="14">
        <v>28</v>
      </c>
      <c r="B63" s="15"/>
      <c r="C63" s="15" t="e">
        <f>VLOOKUP(B63,داتا!$B$3:$D$107,2,FALSE)</f>
        <v>#N/A</v>
      </c>
      <c r="D63" s="34" t="e">
        <f>VLOOKUP(B63,داتا!$B$3:$D$107,3,FALSE)</f>
        <v>#N/A</v>
      </c>
      <c r="E63" s="15"/>
      <c r="F63" s="15"/>
      <c r="G63" s="16">
        <v>0.25</v>
      </c>
      <c r="H63" s="16" t="e">
        <f t="shared" si="8"/>
        <v>#N/A</v>
      </c>
      <c r="I63" s="16" t="e">
        <f t="shared" si="1"/>
        <v>#N/A</v>
      </c>
      <c r="J63" s="16"/>
      <c r="K63" s="16"/>
      <c r="L63" s="16"/>
      <c r="M63" s="16"/>
      <c r="N63" s="16">
        <f t="shared" si="2"/>
        <v>0</v>
      </c>
      <c r="O63" s="16" t="e">
        <f t="shared" si="3"/>
        <v>#N/A</v>
      </c>
      <c r="P63" s="16">
        <v>6.9444444444444397E-3</v>
      </c>
      <c r="Q63" s="16"/>
      <c r="R63" s="16">
        <f t="shared" si="4"/>
        <v>-6.9444444444444397E-3</v>
      </c>
      <c r="S63" s="16"/>
      <c r="T63" s="16" t="e">
        <f>VLOOKUP(E63,'[2]21-3-2026'!E$3:T$35,16,FALSE)</f>
        <v>#N/A</v>
      </c>
      <c r="U63" s="16"/>
      <c r="V63" s="16" t="e">
        <f t="shared" si="5"/>
        <v>#N/A</v>
      </c>
      <c r="W63" s="16"/>
      <c r="X63" s="16"/>
      <c r="Y63" s="16"/>
      <c r="Z63" s="16">
        <f t="shared" si="6"/>
        <v>0</v>
      </c>
      <c r="AA63" s="16">
        <f t="shared" si="0"/>
        <v>0</v>
      </c>
      <c r="AB63" s="16"/>
      <c r="AC63" s="17"/>
      <c r="AD63" s="51"/>
    </row>
    <row r="64" spans="1:30" ht="19.5" thickBot="1" x14ac:dyDescent="0.3">
      <c r="A64" s="14">
        <v>29</v>
      </c>
      <c r="B64" s="15"/>
      <c r="C64" s="15" t="e">
        <f>VLOOKUP(B64,داتا!$B$3:$D$107,2,FALSE)</f>
        <v>#N/A</v>
      </c>
      <c r="D64" s="34" t="e">
        <f>VLOOKUP(B64,داتا!$B$3:$D$107,3,FALSE)</f>
        <v>#N/A</v>
      </c>
      <c r="E64" s="15"/>
      <c r="F64" s="15"/>
      <c r="G64" s="16">
        <v>0.25</v>
      </c>
      <c r="H64" s="16" t="e">
        <f t="shared" si="8"/>
        <v>#N/A</v>
      </c>
      <c r="I64" s="16" t="e">
        <f t="shared" si="1"/>
        <v>#N/A</v>
      </c>
      <c r="J64" s="16"/>
      <c r="K64" s="16"/>
      <c r="L64" s="16"/>
      <c r="M64" s="16"/>
      <c r="N64" s="16">
        <f t="shared" si="2"/>
        <v>0</v>
      </c>
      <c r="O64" s="16" t="e">
        <f t="shared" si="3"/>
        <v>#N/A</v>
      </c>
      <c r="P64" s="16">
        <v>6.9444444444444397E-3</v>
      </c>
      <c r="Q64" s="16"/>
      <c r="R64" s="16">
        <f t="shared" si="4"/>
        <v>-6.9444444444444397E-3</v>
      </c>
      <c r="S64" s="16"/>
      <c r="T64" s="16" t="e">
        <f>VLOOKUP(E64,'[2]21-3-2026'!E$3:T$35,16,FALSE)</f>
        <v>#N/A</v>
      </c>
      <c r="U64" s="16"/>
      <c r="V64" s="16" t="e">
        <f t="shared" si="5"/>
        <v>#N/A</v>
      </c>
      <c r="W64" s="16"/>
      <c r="X64" s="16"/>
      <c r="Y64" s="16"/>
      <c r="Z64" s="16">
        <f t="shared" si="6"/>
        <v>0</v>
      </c>
      <c r="AA64" s="16">
        <f t="shared" si="0"/>
        <v>0</v>
      </c>
      <c r="AB64" s="16"/>
      <c r="AC64" s="17"/>
      <c r="AD64" s="51"/>
    </row>
    <row r="65" spans="1:30" ht="19.5" thickBot="1" x14ac:dyDescent="0.3">
      <c r="A65" s="14">
        <v>30</v>
      </c>
      <c r="B65" s="15"/>
      <c r="C65" s="15" t="e">
        <f>VLOOKUP(B65,داتا!$B$3:$D$107,2,FALSE)</f>
        <v>#N/A</v>
      </c>
      <c r="D65" s="34" t="e">
        <f>VLOOKUP(B65,داتا!$B$3:$D$107,3,FALSE)</f>
        <v>#N/A</v>
      </c>
      <c r="E65" s="15"/>
      <c r="F65" s="15"/>
      <c r="G65" s="16">
        <v>0.25</v>
      </c>
      <c r="H65" s="16" t="e">
        <f t="shared" si="8"/>
        <v>#N/A</v>
      </c>
      <c r="I65" s="16" t="e">
        <f t="shared" si="1"/>
        <v>#N/A</v>
      </c>
      <c r="J65" s="16"/>
      <c r="K65" s="16"/>
      <c r="L65" s="16"/>
      <c r="M65" s="16"/>
      <c r="N65" s="16">
        <f t="shared" si="2"/>
        <v>0</v>
      </c>
      <c r="O65" s="16" t="e">
        <f t="shared" si="3"/>
        <v>#N/A</v>
      </c>
      <c r="P65" s="16">
        <v>6.9444444444444397E-3</v>
      </c>
      <c r="Q65" s="16"/>
      <c r="R65" s="16">
        <f t="shared" si="4"/>
        <v>-6.9444444444444397E-3</v>
      </c>
      <c r="S65" s="16"/>
      <c r="T65" s="16" t="e">
        <f>VLOOKUP(E65,'[2]21-3-2026'!E$3:T$35,16,FALSE)</f>
        <v>#N/A</v>
      </c>
      <c r="U65" s="16"/>
      <c r="V65" s="16" t="e">
        <f t="shared" si="5"/>
        <v>#N/A</v>
      </c>
      <c r="W65" s="16"/>
      <c r="X65" s="16"/>
      <c r="Y65" s="16"/>
      <c r="Z65" s="16">
        <f t="shared" si="6"/>
        <v>0</v>
      </c>
      <c r="AA65" s="16">
        <f t="shared" si="0"/>
        <v>0</v>
      </c>
      <c r="AB65" s="16"/>
      <c r="AC65" s="17"/>
      <c r="AD65" s="51"/>
    </row>
    <row r="66" spans="1:30" ht="20.25" customHeight="1" thickBot="1" x14ac:dyDescent="0.3">
      <c r="A66" s="14">
        <v>31</v>
      </c>
      <c r="B66" s="15"/>
      <c r="C66" s="15" t="e">
        <f>VLOOKUP(B66,داتا!$B$3:$D$107,2,FALSE)</f>
        <v>#N/A</v>
      </c>
      <c r="D66" s="34" t="e">
        <f>VLOOKUP(B66,داتا!$B$3:$D$107,3,FALSE)</f>
        <v>#N/A</v>
      </c>
      <c r="E66" s="15"/>
      <c r="F66" s="15"/>
      <c r="G66" s="16">
        <v>0.25</v>
      </c>
      <c r="H66" s="16" t="e">
        <f t="shared" si="8"/>
        <v>#N/A</v>
      </c>
      <c r="I66" s="16" t="e">
        <f t="shared" si="1"/>
        <v>#N/A</v>
      </c>
      <c r="J66" s="16"/>
      <c r="K66" s="16"/>
      <c r="L66" s="16"/>
      <c r="M66" s="16"/>
      <c r="N66" s="16">
        <f t="shared" si="2"/>
        <v>0</v>
      </c>
      <c r="O66" s="16" t="e">
        <f t="shared" si="3"/>
        <v>#N/A</v>
      </c>
      <c r="P66" s="16">
        <v>6.9444444444444397E-3</v>
      </c>
      <c r="Q66" s="16"/>
      <c r="R66" s="16">
        <f t="shared" si="4"/>
        <v>-6.9444444444444397E-3</v>
      </c>
      <c r="S66" s="16"/>
      <c r="T66" s="16" t="e">
        <f>VLOOKUP(E66,'[2]21-3-2026'!E$3:T$35,16,FALSE)</f>
        <v>#N/A</v>
      </c>
      <c r="U66" s="16"/>
      <c r="V66" s="16" t="e">
        <f t="shared" si="5"/>
        <v>#N/A</v>
      </c>
      <c r="W66" s="16"/>
      <c r="X66" s="16"/>
      <c r="Y66" s="16"/>
      <c r="Z66" s="16">
        <f t="shared" si="6"/>
        <v>0</v>
      </c>
      <c r="AA66" s="16">
        <f t="shared" si="0"/>
        <v>0</v>
      </c>
      <c r="AB66" s="16"/>
      <c r="AC66" s="19"/>
      <c r="AD66" s="51"/>
    </row>
    <row r="67" spans="1:30" ht="19.5" customHeight="1" thickBot="1" x14ac:dyDescent="0.3">
      <c r="A67" s="20">
        <v>32</v>
      </c>
      <c r="B67" s="21"/>
      <c r="C67" s="21" t="e">
        <f>VLOOKUP(B67,داتا!$B$3:$D$107,2,FALSE)</f>
        <v>#N/A</v>
      </c>
      <c r="D67" s="35" t="e">
        <f>VLOOKUP(B67,داتا!$B$3:$D$107,3,FALSE)</f>
        <v>#N/A</v>
      </c>
      <c r="E67" s="21"/>
      <c r="F67" s="21"/>
      <c r="G67" s="22">
        <v>0.25</v>
      </c>
      <c r="H67" s="22" t="e">
        <f t="shared" si="8"/>
        <v>#N/A</v>
      </c>
      <c r="I67" s="22" t="e">
        <f t="shared" si="1"/>
        <v>#N/A</v>
      </c>
      <c r="J67" s="22"/>
      <c r="K67" s="22"/>
      <c r="L67" s="22"/>
      <c r="M67" s="22"/>
      <c r="N67" s="22">
        <f t="shared" si="2"/>
        <v>0</v>
      </c>
      <c r="O67" s="22" t="e">
        <f t="shared" si="3"/>
        <v>#N/A</v>
      </c>
      <c r="P67" s="22">
        <v>6.9444444444444397E-3</v>
      </c>
      <c r="Q67" s="22"/>
      <c r="R67" s="22">
        <f t="shared" si="4"/>
        <v>-6.9444444444444397E-3</v>
      </c>
      <c r="S67" s="22"/>
      <c r="T67" s="22" t="e">
        <f>VLOOKUP(E67,'[2]21-3-2026'!E$3:T$35,16,FALSE)</f>
        <v>#N/A</v>
      </c>
      <c r="U67" s="22"/>
      <c r="V67" s="22" t="e">
        <f t="shared" si="5"/>
        <v>#N/A</v>
      </c>
      <c r="W67" s="22"/>
      <c r="X67" s="22"/>
      <c r="Y67" s="22"/>
      <c r="Z67" s="22">
        <f t="shared" si="6"/>
        <v>0</v>
      </c>
      <c r="AA67" s="22">
        <f t="shared" ref="AA67:AA99" si="9">Z67-W67</f>
        <v>0</v>
      </c>
      <c r="AB67" s="22"/>
      <c r="AC67" s="23"/>
      <c r="AD67" s="52"/>
    </row>
    <row r="68" spans="1:30" ht="20.25" thickTop="1" thickBot="1" x14ac:dyDescent="0.3">
      <c r="A68" s="10">
        <v>1</v>
      </c>
      <c r="B68" s="11"/>
      <c r="C68" s="11" t="e">
        <f>VLOOKUP(B68,داتا!$B$3:$D$107,2,FALSE)</f>
        <v>#N/A</v>
      </c>
      <c r="D68" s="33" t="e">
        <f>VLOOKUP(B68,داتا!$B$3:$D$107,3,FALSE)</f>
        <v>#N/A</v>
      </c>
      <c r="E68" s="11"/>
      <c r="F68" s="11"/>
      <c r="G68" s="12">
        <v>8.3333333333333329E-2</v>
      </c>
      <c r="H68" s="12" t="e">
        <f t="shared" si="8"/>
        <v>#N/A</v>
      </c>
      <c r="I68" s="12" t="e">
        <f t="shared" ref="I68:I99" si="10">H68-G68</f>
        <v>#N/A</v>
      </c>
      <c r="J68" s="12"/>
      <c r="K68" s="12"/>
      <c r="L68" s="12"/>
      <c r="M68" s="12"/>
      <c r="N68" s="12">
        <f t="shared" ref="N68:N99" si="11">K68-J68</f>
        <v>0</v>
      </c>
      <c r="O68" s="12" t="e">
        <f t="shared" ref="O68:O99" si="12">N68-D68</f>
        <v>#N/A</v>
      </c>
      <c r="P68" s="12">
        <v>6.9444444444444397E-3</v>
      </c>
      <c r="Q68" s="12"/>
      <c r="R68" s="12">
        <f t="shared" ref="R68:R99" si="13">Q68-P68-K68</f>
        <v>-6.9444444444444397E-3</v>
      </c>
      <c r="S68" s="12"/>
      <c r="T68" s="12" t="e">
        <f>VLOOKUP(E68,'[2]21-3-2026'!E$3:T$35,16,FALSE)</f>
        <v>#N/A</v>
      </c>
      <c r="U68" s="12"/>
      <c r="V68" s="12" t="e">
        <f t="shared" ref="V68:V99" si="14">U68-T68-S68</f>
        <v>#N/A</v>
      </c>
      <c r="W68" s="12"/>
      <c r="X68" s="12"/>
      <c r="Y68" s="12"/>
      <c r="Z68" s="12">
        <f t="shared" ref="Z68:Z99" si="15">Y68-X68</f>
        <v>0</v>
      </c>
      <c r="AA68" s="12">
        <f t="shared" si="9"/>
        <v>0</v>
      </c>
      <c r="AB68" s="12"/>
      <c r="AC68" s="13"/>
      <c r="AD68" s="53" t="s">
        <v>116</v>
      </c>
    </row>
    <row r="69" spans="1:30" ht="19.5" thickBot="1" x14ac:dyDescent="0.3">
      <c r="A69" s="14">
        <v>2</v>
      </c>
      <c r="B69" s="15"/>
      <c r="C69" s="15" t="e">
        <f>VLOOKUP(B69,داتا!$B$3:$D$107,2,FALSE)</f>
        <v>#N/A</v>
      </c>
      <c r="D69" s="34" t="e">
        <f>VLOOKUP(B69,داتا!$B$3:$D$107,3,FALSE)</f>
        <v>#N/A</v>
      </c>
      <c r="E69" s="15"/>
      <c r="F69" s="15"/>
      <c r="G69" s="16">
        <v>8.3333333333333329E-2</v>
      </c>
      <c r="H69" s="16" t="e">
        <f t="shared" ref="H69:H84" si="16">VLOOKUP(G69,$F$3:$I$35,2,FALSE)</f>
        <v>#N/A</v>
      </c>
      <c r="I69" s="16" t="e">
        <f t="shared" si="10"/>
        <v>#N/A</v>
      </c>
      <c r="J69" s="16"/>
      <c r="K69" s="16"/>
      <c r="L69" s="16"/>
      <c r="M69" s="16"/>
      <c r="N69" s="16">
        <f t="shared" si="11"/>
        <v>0</v>
      </c>
      <c r="O69" s="16" t="e">
        <f t="shared" si="12"/>
        <v>#N/A</v>
      </c>
      <c r="P69" s="16">
        <v>6.9444444444444397E-3</v>
      </c>
      <c r="Q69" s="16"/>
      <c r="R69" s="16">
        <f t="shared" si="13"/>
        <v>-6.9444444444444397E-3</v>
      </c>
      <c r="S69" s="16"/>
      <c r="T69" s="16" t="e">
        <f>VLOOKUP(E69,'[2]21-3-2026'!E$3:T$35,16,FALSE)</f>
        <v>#N/A</v>
      </c>
      <c r="U69" s="16"/>
      <c r="V69" s="16" t="e">
        <f t="shared" si="14"/>
        <v>#N/A</v>
      </c>
      <c r="W69" s="16"/>
      <c r="X69" s="16"/>
      <c r="Y69" s="16"/>
      <c r="Z69" s="16">
        <f t="shared" si="15"/>
        <v>0</v>
      </c>
      <c r="AA69" s="16">
        <f t="shared" si="9"/>
        <v>0</v>
      </c>
      <c r="AB69" s="16"/>
      <c r="AC69" s="17"/>
      <c r="AD69" s="51"/>
    </row>
    <row r="70" spans="1:30" ht="19.5" thickBot="1" x14ac:dyDescent="0.3">
      <c r="A70" s="14">
        <v>3</v>
      </c>
      <c r="B70" s="15"/>
      <c r="C70" s="15" t="e">
        <f>VLOOKUP(B70,داتا!$B$3:$D$107,2,FALSE)</f>
        <v>#N/A</v>
      </c>
      <c r="D70" s="34" t="e">
        <f>VLOOKUP(B70,داتا!$B$3:$D$107,3,FALSE)</f>
        <v>#N/A</v>
      </c>
      <c r="E70" s="15"/>
      <c r="F70" s="15"/>
      <c r="G70" s="16">
        <v>8.3333333333333329E-2</v>
      </c>
      <c r="H70" s="16" t="e">
        <f t="shared" si="16"/>
        <v>#N/A</v>
      </c>
      <c r="I70" s="16" t="e">
        <f t="shared" si="10"/>
        <v>#N/A</v>
      </c>
      <c r="J70" s="16"/>
      <c r="K70" s="16"/>
      <c r="L70" s="16"/>
      <c r="M70" s="16"/>
      <c r="N70" s="16">
        <f t="shared" si="11"/>
        <v>0</v>
      </c>
      <c r="O70" s="16" t="e">
        <f t="shared" si="12"/>
        <v>#N/A</v>
      </c>
      <c r="P70" s="16">
        <v>6.9444444444444397E-3</v>
      </c>
      <c r="Q70" s="16"/>
      <c r="R70" s="16">
        <f t="shared" si="13"/>
        <v>-6.9444444444444397E-3</v>
      </c>
      <c r="S70" s="16"/>
      <c r="T70" s="16" t="e">
        <f>VLOOKUP(E70,'[2]21-3-2026'!E$3:T$35,16,FALSE)</f>
        <v>#N/A</v>
      </c>
      <c r="U70" s="16"/>
      <c r="V70" s="16" t="e">
        <f t="shared" si="14"/>
        <v>#N/A</v>
      </c>
      <c r="W70" s="16"/>
      <c r="X70" s="16"/>
      <c r="Y70" s="16"/>
      <c r="Z70" s="16">
        <f t="shared" si="15"/>
        <v>0</v>
      </c>
      <c r="AA70" s="16">
        <f t="shared" si="9"/>
        <v>0</v>
      </c>
      <c r="AB70" s="16"/>
      <c r="AC70" s="17"/>
      <c r="AD70" s="51"/>
    </row>
    <row r="71" spans="1:30" ht="19.5" thickBot="1" x14ac:dyDescent="0.3">
      <c r="A71" s="14">
        <v>4</v>
      </c>
      <c r="B71" s="15"/>
      <c r="C71" s="15" t="e">
        <f>VLOOKUP(B71,داتا!$B$3:$D$107,2,FALSE)</f>
        <v>#N/A</v>
      </c>
      <c r="D71" s="34" t="e">
        <f>VLOOKUP(B71,داتا!$B$3:$D$107,3,FALSE)</f>
        <v>#N/A</v>
      </c>
      <c r="E71" s="15"/>
      <c r="F71" s="15"/>
      <c r="G71" s="16">
        <v>8.3333333333333329E-2</v>
      </c>
      <c r="H71" s="16" t="e">
        <f t="shared" si="16"/>
        <v>#N/A</v>
      </c>
      <c r="I71" s="16" t="e">
        <f t="shared" si="10"/>
        <v>#N/A</v>
      </c>
      <c r="J71" s="16"/>
      <c r="K71" s="16"/>
      <c r="L71" s="16"/>
      <c r="M71" s="16"/>
      <c r="N71" s="16">
        <f t="shared" si="11"/>
        <v>0</v>
      </c>
      <c r="O71" s="16" t="e">
        <f t="shared" si="12"/>
        <v>#N/A</v>
      </c>
      <c r="P71" s="16">
        <v>6.9444444444444397E-3</v>
      </c>
      <c r="Q71" s="16"/>
      <c r="R71" s="16">
        <f t="shared" si="13"/>
        <v>-6.9444444444444397E-3</v>
      </c>
      <c r="S71" s="16"/>
      <c r="T71" s="16" t="e">
        <f>VLOOKUP(E71,'[2]21-3-2026'!E$3:T$35,16,FALSE)</f>
        <v>#N/A</v>
      </c>
      <c r="U71" s="16"/>
      <c r="V71" s="16" t="e">
        <f t="shared" si="14"/>
        <v>#N/A</v>
      </c>
      <c r="W71" s="16"/>
      <c r="X71" s="16"/>
      <c r="Y71" s="16"/>
      <c r="Z71" s="16">
        <f t="shared" si="15"/>
        <v>0</v>
      </c>
      <c r="AA71" s="16">
        <f t="shared" si="9"/>
        <v>0</v>
      </c>
      <c r="AB71" s="16"/>
      <c r="AC71" s="17"/>
      <c r="AD71" s="51"/>
    </row>
    <row r="72" spans="1:30" ht="19.5" thickBot="1" x14ac:dyDescent="0.3">
      <c r="A72" s="14">
        <v>5</v>
      </c>
      <c r="B72" s="15"/>
      <c r="C72" s="15" t="e">
        <f>VLOOKUP(B72,داتا!$B$3:$D$107,2,FALSE)</f>
        <v>#N/A</v>
      </c>
      <c r="D72" s="34" t="e">
        <f>VLOOKUP(B72,داتا!$B$3:$D$107,3,FALSE)</f>
        <v>#N/A</v>
      </c>
      <c r="E72" s="15"/>
      <c r="F72" s="15"/>
      <c r="G72" s="16">
        <v>8.3333333333333329E-2</v>
      </c>
      <c r="H72" s="16" t="e">
        <f t="shared" si="16"/>
        <v>#N/A</v>
      </c>
      <c r="I72" s="16" t="e">
        <f t="shared" si="10"/>
        <v>#N/A</v>
      </c>
      <c r="J72" s="16"/>
      <c r="K72" s="16"/>
      <c r="L72" s="16"/>
      <c r="M72" s="16"/>
      <c r="N72" s="16">
        <f t="shared" si="11"/>
        <v>0</v>
      </c>
      <c r="O72" s="16" t="e">
        <f t="shared" si="12"/>
        <v>#N/A</v>
      </c>
      <c r="P72" s="16">
        <v>6.9444444444444397E-3</v>
      </c>
      <c r="Q72" s="16"/>
      <c r="R72" s="16">
        <f t="shared" si="13"/>
        <v>-6.9444444444444397E-3</v>
      </c>
      <c r="S72" s="16"/>
      <c r="T72" s="16" t="e">
        <f>VLOOKUP(E72,'[2]21-3-2026'!E$3:T$35,16,FALSE)</f>
        <v>#N/A</v>
      </c>
      <c r="U72" s="16"/>
      <c r="V72" s="16" t="e">
        <f t="shared" si="14"/>
        <v>#N/A</v>
      </c>
      <c r="W72" s="16"/>
      <c r="X72" s="16"/>
      <c r="Y72" s="16"/>
      <c r="Z72" s="16">
        <f t="shared" si="15"/>
        <v>0</v>
      </c>
      <c r="AA72" s="16">
        <f t="shared" si="9"/>
        <v>0</v>
      </c>
      <c r="AB72" s="16"/>
      <c r="AC72" s="17"/>
      <c r="AD72" s="51"/>
    </row>
    <row r="73" spans="1:30" ht="19.5" thickBot="1" x14ac:dyDescent="0.3">
      <c r="A73" s="14">
        <v>6</v>
      </c>
      <c r="B73" s="15"/>
      <c r="C73" s="15" t="e">
        <f>VLOOKUP(B73,داتا!$B$3:$D$107,2,FALSE)</f>
        <v>#N/A</v>
      </c>
      <c r="D73" s="34" t="e">
        <f>VLOOKUP(B73,داتا!$B$3:$D$107,3,FALSE)</f>
        <v>#N/A</v>
      </c>
      <c r="E73" s="15"/>
      <c r="F73" s="15"/>
      <c r="G73" s="16">
        <v>8.3333333333333329E-2</v>
      </c>
      <c r="H73" s="16" t="e">
        <f t="shared" si="16"/>
        <v>#N/A</v>
      </c>
      <c r="I73" s="16" t="e">
        <f t="shared" si="10"/>
        <v>#N/A</v>
      </c>
      <c r="J73" s="16"/>
      <c r="K73" s="16"/>
      <c r="L73" s="16"/>
      <c r="M73" s="16"/>
      <c r="N73" s="16">
        <f t="shared" si="11"/>
        <v>0</v>
      </c>
      <c r="O73" s="16" t="e">
        <f t="shared" si="12"/>
        <v>#N/A</v>
      </c>
      <c r="P73" s="16">
        <v>6.9444444444444397E-3</v>
      </c>
      <c r="Q73" s="16"/>
      <c r="R73" s="16">
        <f t="shared" si="13"/>
        <v>-6.9444444444444397E-3</v>
      </c>
      <c r="S73" s="16"/>
      <c r="T73" s="16" t="e">
        <f>VLOOKUP(E73,'[2]21-3-2026'!E$3:T$35,16,FALSE)</f>
        <v>#N/A</v>
      </c>
      <c r="U73" s="16"/>
      <c r="V73" s="16" t="e">
        <f t="shared" si="14"/>
        <v>#N/A</v>
      </c>
      <c r="W73" s="16"/>
      <c r="X73" s="16"/>
      <c r="Y73" s="16"/>
      <c r="Z73" s="16">
        <f t="shared" si="15"/>
        <v>0</v>
      </c>
      <c r="AA73" s="16">
        <f t="shared" si="9"/>
        <v>0</v>
      </c>
      <c r="AB73" s="16"/>
      <c r="AC73" s="17"/>
      <c r="AD73" s="51"/>
    </row>
    <row r="74" spans="1:30" ht="19.5" thickBot="1" x14ac:dyDescent="0.3">
      <c r="A74" s="14">
        <v>7</v>
      </c>
      <c r="B74" s="15"/>
      <c r="C74" s="15" t="e">
        <f>VLOOKUP(B74,داتا!$B$3:$D$107,2,FALSE)</f>
        <v>#N/A</v>
      </c>
      <c r="D74" s="34" t="e">
        <f>VLOOKUP(B74,داتا!$B$3:$D$107,3,FALSE)</f>
        <v>#N/A</v>
      </c>
      <c r="E74" s="15"/>
      <c r="F74" s="15"/>
      <c r="G74" s="16">
        <v>8.3333333333333329E-2</v>
      </c>
      <c r="H74" s="16" t="e">
        <f t="shared" si="16"/>
        <v>#N/A</v>
      </c>
      <c r="I74" s="16" t="e">
        <f t="shared" si="10"/>
        <v>#N/A</v>
      </c>
      <c r="J74" s="16"/>
      <c r="K74" s="16"/>
      <c r="L74" s="16"/>
      <c r="M74" s="16"/>
      <c r="N74" s="16">
        <f t="shared" si="11"/>
        <v>0</v>
      </c>
      <c r="O74" s="16" t="e">
        <f t="shared" si="12"/>
        <v>#N/A</v>
      </c>
      <c r="P74" s="16">
        <v>6.9444444444444397E-3</v>
      </c>
      <c r="Q74" s="16"/>
      <c r="R74" s="16">
        <f t="shared" si="13"/>
        <v>-6.9444444444444397E-3</v>
      </c>
      <c r="S74" s="16"/>
      <c r="T74" s="16" t="e">
        <f>VLOOKUP(E74,'[2]21-3-2026'!E$3:T$35,16,FALSE)</f>
        <v>#N/A</v>
      </c>
      <c r="U74" s="16"/>
      <c r="V74" s="16" t="e">
        <f t="shared" si="14"/>
        <v>#N/A</v>
      </c>
      <c r="W74" s="16"/>
      <c r="X74" s="16"/>
      <c r="Y74" s="16"/>
      <c r="Z74" s="16">
        <f t="shared" si="15"/>
        <v>0</v>
      </c>
      <c r="AA74" s="16">
        <f t="shared" si="9"/>
        <v>0</v>
      </c>
      <c r="AB74" s="16"/>
      <c r="AC74" s="17"/>
      <c r="AD74" s="51"/>
    </row>
    <row r="75" spans="1:30" ht="19.5" thickBot="1" x14ac:dyDescent="0.3">
      <c r="A75" s="14">
        <v>8</v>
      </c>
      <c r="B75" s="15"/>
      <c r="C75" s="15" t="e">
        <f>VLOOKUP(B75,داتا!$B$3:$D$107,2,FALSE)</f>
        <v>#N/A</v>
      </c>
      <c r="D75" s="34" t="e">
        <f>VLOOKUP(B75,داتا!$B$3:$D$107,3,FALSE)</f>
        <v>#N/A</v>
      </c>
      <c r="E75" s="15"/>
      <c r="F75" s="15"/>
      <c r="G75" s="16">
        <v>8.3333333333333329E-2</v>
      </c>
      <c r="H75" s="16" t="e">
        <f t="shared" si="16"/>
        <v>#N/A</v>
      </c>
      <c r="I75" s="16" t="e">
        <f t="shared" si="10"/>
        <v>#N/A</v>
      </c>
      <c r="J75" s="16"/>
      <c r="K75" s="16"/>
      <c r="L75" s="16"/>
      <c r="M75" s="16"/>
      <c r="N75" s="16">
        <f t="shared" si="11"/>
        <v>0</v>
      </c>
      <c r="O75" s="16" t="e">
        <f t="shared" si="12"/>
        <v>#N/A</v>
      </c>
      <c r="P75" s="16">
        <v>6.9444444444444397E-3</v>
      </c>
      <c r="Q75" s="16"/>
      <c r="R75" s="16">
        <f t="shared" si="13"/>
        <v>-6.9444444444444397E-3</v>
      </c>
      <c r="S75" s="16"/>
      <c r="T75" s="16" t="e">
        <f>VLOOKUP(E75,'[2]21-3-2026'!E$3:T$35,16,FALSE)</f>
        <v>#N/A</v>
      </c>
      <c r="U75" s="16"/>
      <c r="V75" s="16" t="e">
        <f t="shared" si="14"/>
        <v>#N/A</v>
      </c>
      <c r="W75" s="16"/>
      <c r="X75" s="16"/>
      <c r="Y75" s="16"/>
      <c r="Z75" s="16">
        <f t="shared" si="15"/>
        <v>0</v>
      </c>
      <c r="AA75" s="16">
        <f t="shared" si="9"/>
        <v>0</v>
      </c>
      <c r="AB75" s="16"/>
      <c r="AC75" s="17"/>
      <c r="AD75" s="51"/>
    </row>
    <row r="76" spans="1:30" ht="19.5" thickBot="1" x14ac:dyDescent="0.3">
      <c r="A76" s="14">
        <v>9</v>
      </c>
      <c r="B76" s="15"/>
      <c r="C76" s="15" t="e">
        <f>VLOOKUP(B76,داتا!$B$3:$D$107,2,FALSE)</f>
        <v>#N/A</v>
      </c>
      <c r="D76" s="34" t="e">
        <f>VLOOKUP(B76,داتا!$B$3:$D$107,3,FALSE)</f>
        <v>#N/A</v>
      </c>
      <c r="E76" s="16"/>
      <c r="F76" s="15"/>
      <c r="G76" s="16">
        <v>8.3333333333333329E-2</v>
      </c>
      <c r="H76" s="16" t="e">
        <f t="shared" si="16"/>
        <v>#N/A</v>
      </c>
      <c r="I76" s="16" t="e">
        <f t="shared" si="10"/>
        <v>#N/A</v>
      </c>
      <c r="J76" s="16"/>
      <c r="K76" s="16"/>
      <c r="L76" s="16"/>
      <c r="M76" s="16"/>
      <c r="N76" s="16">
        <f t="shared" si="11"/>
        <v>0</v>
      </c>
      <c r="O76" s="16" t="e">
        <f t="shared" si="12"/>
        <v>#N/A</v>
      </c>
      <c r="P76" s="16">
        <v>6.9444444444444397E-3</v>
      </c>
      <c r="Q76" s="16"/>
      <c r="R76" s="16">
        <f t="shared" si="13"/>
        <v>-6.9444444444444397E-3</v>
      </c>
      <c r="S76" s="16"/>
      <c r="T76" s="16" t="e">
        <f>VLOOKUP(E76,'[2]21-3-2026'!E$3:T$35,16,FALSE)</f>
        <v>#N/A</v>
      </c>
      <c r="U76" s="16"/>
      <c r="V76" s="16" t="e">
        <f t="shared" si="14"/>
        <v>#N/A</v>
      </c>
      <c r="W76" s="16"/>
      <c r="X76" s="16"/>
      <c r="Y76" s="16"/>
      <c r="Z76" s="16">
        <f t="shared" si="15"/>
        <v>0</v>
      </c>
      <c r="AA76" s="16">
        <f t="shared" si="9"/>
        <v>0</v>
      </c>
      <c r="AB76" s="16"/>
      <c r="AC76" s="17"/>
      <c r="AD76" s="51"/>
    </row>
    <row r="77" spans="1:30" ht="19.5" thickBot="1" x14ac:dyDescent="0.3">
      <c r="A77" s="14">
        <v>10</v>
      </c>
      <c r="B77" s="15"/>
      <c r="C77" s="15" t="e">
        <f>VLOOKUP(B77,داتا!$B$3:$D$107,2,FALSE)</f>
        <v>#N/A</v>
      </c>
      <c r="D77" s="34" t="e">
        <f>VLOOKUP(B77,داتا!$B$3:$D$107,3,FALSE)</f>
        <v>#N/A</v>
      </c>
      <c r="E77" s="15"/>
      <c r="F77" s="15"/>
      <c r="G77" s="16">
        <v>8.3333333333333329E-2</v>
      </c>
      <c r="H77" s="16" t="e">
        <f t="shared" si="16"/>
        <v>#N/A</v>
      </c>
      <c r="I77" s="16" t="e">
        <f t="shared" si="10"/>
        <v>#N/A</v>
      </c>
      <c r="J77" s="16"/>
      <c r="K77" s="16"/>
      <c r="L77" s="16"/>
      <c r="M77" s="16"/>
      <c r="N77" s="16">
        <f t="shared" si="11"/>
        <v>0</v>
      </c>
      <c r="O77" s="16" t="e">
        <f t="shared" si="12"/>
        <v>#N/A</v>
      </c>
      <c r="P77" s="16">
        <v>6.9444444444444397E-3</v>
      </c>
      <c r="Q77" s="16"/>
      <c r="R77" s="16">
        <f t="shared" si="13"/>
        <v>-6.9444444444444397E-3</v>
      </c>
      <c r="S77" s="16"/>
      <c r="T77" s="16" t="e">
        <f>VLOOKUP(E77,'[2]21-3-2026'!E$3:T$35,16,FALSE)</f>
        <v>#N/A</v>
      </c>
      <c r="U77" s="16"/>
      <c r="V77" s="16" t="e">
        <f t="shared" si="14"/>
        <v>#N/A</v>
      </c>
      <c r="W77" s="16"/>
      <c r="X77" s="16"/>
      <c r="Y77" s="16"/>
      <c r="Z77" s="16">
        <f t="shared" si="15"/>
        <v>0</v>
      </c>
      <c r="AA77" s="16">
        <f t="shared" si="9"/>
        <v>0</v>
      </c>
      <c r="AB77" s="16"/>
      <c r="AC77" s="17"/>
      <c r="AD77" s="51"/>
    </row>
    <row r="78" spans="1:30" ht="19.5" thickBot="1" x14ac:dyDescent="0.3">
      <c r="A78" s="14">
        <v>11</v>
      </c>
      <c r="B78" s="15"/>
      <c r="C78" s="15" t="e">
        <f>VLOOKUP(B78,داتا!$B$3:$D$107,2,FALSE)</f>
        <v>#N/A</v>
      </c>
      <c r="D78" s="34" t="e">
        <f>VLOOKUP(B78,داتا!$B$3:$D$107,3,FALSE)</f>
        <v>#N/A</v>
      </c>
      <c r="E78" s="15"/>
      <c r="F78" s="15"/>
      <c r="G78" s="16">
        <v>8.3333333333333329E-2</v>
      </c>
      <c r="H78" s="16" t="e">
        <f t="shared" si="16"/>
        <v>#N/A</v>
      </c>
      <c r="I78" s="16" t="e">
        <f t="shared" si="10"/>
        <v>#N/A</v>
      </c>
      <c r="J78" s="16"/>
      <c r="K78" s="16"/>
      <c r="L78" s="16"/>
      <c r="M78" s="16"/>
      <c r="N78" s="16">
        <f t="shared" si="11"/>
        <v>0</v>
      </c>
      <c r="O78" s="16" t="e">
        <f t="shared" si="12"/>
        <v>#N/A</v>
      </c>
      <c r="P78" s="16">
        <v>6.9444444444444397E-3</v>
      </c>
      <c r="Q78" s="16"/>
      <c r="R78" s="16">
        <f t="shared" si="13"/>
        <v>-6.9444444444444397E-3</v>
      </c>
      <c r="S78" s="16"/>
      <c r="T78" s="16" t="e">
        <f>VLOOKUP(E78,'[2]21-3-2026'!E$3:T$35,16,FALSE)</f>
        <v>#N/A</v>
      </c>
      <c r="U78" s="16"/>
      <c r="V78" s="16" t="e">
        <f t="shared" si="14"/>
        <v>#N/A</v>
      </c>
      <c r="W78" s="16"/>
      <c r="X78" s="16"/>
      <c r="Y78" s="16"/>
      <c r="Z78" s="16">
        <f t="shared" si="15"/>
        <v>0</v>
      </c>
      <c r="AA78" s="16">
        <f t="shared" si="9"/>
        <v>0</v>
      </c>
      <c r="AB78" s="16"/>
      <c r="AC78" s="17"/>
      <c r="AD78" s="51"/>
    </row>
    <row r="79" spans="1:30" ht="19.5" thickBot="1" x14ac:dyDescent="0.3">
      <c r="A79" s="14">
        <v>12</v>
      </c>
      <c r="B79" s="15"/>
      <c r="C79" s="15" t="e">
        <f>VLOOKUP(B79,داتا!$B$3:$D$107,2,FALSE)</f>
        <v>#N/A</v>
      </c>
      <c r="D79" s="34" t="e">
        <f>VLOOKUP(B79,داتا!$B$3:$D$107,3,FALSE)</f>
        <v>#N/A</v>
      </c>
      <c r="E79" s="15"/>
      <c r="F79" s="15"/>
      <c r="G79" s="16">
        <v>8.3333333333333329E-2</v>
      </c>
      <c r="H79" s="16" t="e">
        <f t="shared" si="16"/>
        <v>#N/A</v>
      </c>
      <c r="I79" s="16" t="e">
        <f t="shared" si="10"/>
        <v>#N/A</v>
      </c>
      <c r="J79" s="16"/>
      <c r="K79" s="16"/>
      <c r="L79" s="16"/>
      <c r="M79" s="16"/>
      <c r="N79" s="16">
        <f t="shared" si="11"/>
        <v>0</v>
      </c>
      <c r="O79" s="16" t="e">
        <f t="shared" si="12"/>
        <v>#N/A</v>
      </c>
      <c r="P79" s="16">
        <v>6.9444444444444397E-3</v>
      </c>
      <c r="Q79" s="16"/>
      <c r="R79" s="16">
        <f t="shared" si="13"/>
        <v>-6.9444444444444397E-3</v>
      </c>
      <c r="S79" s="16"/>
      <c r="T79" s="16" t="e">
        <f>VLOOKUP(E79,'[2]21-3-2026'!E$3:T$35,16,FALSE)</f>
        <v>#N/A</v>
      </c>
      <c r="U79" s="16"/>
      <c r="V79" s="16" t="e">
        <f t="shared" si="14"/>
        <v>#N/A</v>
      </c>
      <c r="W79" s="16"/>
      <c r="X79" s="16"/>
      <c r="Y79" s="16"/>
      <c r="Z79" s="16">
        <f t="shared" si="15"/>
        <v>0</v>
      </c>
      <c r="AA79" s="16">
        <f t="shared" si="9"/>
        <v>0</v>
      </c>
      <c r="AB79" s="16"/>
      <c r="AC79" s="17"/>
      <c r="AD79" s="51"/>
    </row>
    <row r="80" spans="1:30" ht="19.5" thickBot="1" x14ac:dyDescent="0.3">
      <c r="A80" s="14">
        <v>13</v>
      </c>
      <c r="B80" s="15"/>
      <c r="C80" s="15" t="e">
        <f>VLOOKUP(B80,داتا!$B$3:$D$107,2,FALSE)</f>
        <v>#N/A</v>
      </c>
      <c r="D80" s="34" t="e">
        <f>VLOOKUP(B80,داتا!$B$3:$D$107,3,FALSE)</f>
        <v>#N/A</v>
      </c>
      <c r="E80" s="15"/>
      <c r="F80" s="15"/>
      <c r="G80" s="16">
        <v>8.3333333333333329E-2</v>
      </c>
      <c r="H80" s="16" t="e">
        <f t="shared" si="16"/>
        <v>#N/A</v>
      </c>
      <c r="I80" s="16" t="e">
        <f t="shared" si="10"/>
        <v>#N/A</v>
      </c>
      <c r="J80" s="16"/>
      <c r="K80" s="16"/>
      <c r="L80" s="16"/>
      <c r="M80" s="16"/>
      <c r="N80" s="16">
        <f t="shared" si="11"/>
        <v>0</v>
      </c>
      <c r="O80" s="16" t="e">
        <f t="shared" si="12"/>
        <v>#N/A</v>
      </c>
      <c r="P80" s="16">
        <v>6.9444444444444397E-3</v>
      </c>
      <c r="Q80" s="16"/>
      <c r="R80" s="16">
        <f t="shared" si="13"/>
        <v>-6.9444444444444397E-3</v>
      </c>
      <c r="S80" s="16"/>
      <c r="T80" s="16" t="e">
        <f>VLOOKUP(E80,'[2]21-3-2026'!E$3:T$35,16,FALSE)</f>
        <v>#N/A</v>
      </c>
      <c r="U80" s="16"/>
      <c r="V80" s="16" t="e">
        <f t="shared" si="14"/>
        <v>#N/A</v>
      </c>
      <c r="W80" s="16"/>
      <c r="X80" s="16"/>
      <c r="Y80" s="16"/>
      <c r="Z80" s="16">
        <f t="shared" si="15"/>
        <v>0</v>
      </c>
      <c r="AA80" s="16">
        <f t="shared" si="9"/>
        <v>0</v>
      </c>
      <c r="AB80" s="16"/>
      <c r="AC80" s="17"/>
      <c r="AD80" s="51"/>
    </row>
    <row r="81" spans="1:30" ht="19.5" thickBot="1" x14ac:dyDescent="0.3">
      <c r="A81" s="14">
        <v>14</v>
      </c>
      <c r="B81" s="15"/>
      <c r="C81" s="15" t="e">
        <f>VLOOKUP(B81,داتا!$B$3:$D$107,2,FALSE)</f>
        <v>#N/A</v>
      </c>
      <c r="D81" s="34" t="e">
        <f>VLOOKUP(B81,داتا!$B$3:$D$107,3,FALSE)</f>
        <v>#N/A</v>
      </c>
      <c r="E81" s="15"/>
      <c r="F81" s="15"/>
      <c r="G81" s="16">
        <v>8.3333333333333329E-2</v>
      </c>
      <c r="H81" s="16" t="e">
        <f t="shared" si="16"/>
        <v>#N/A</v>
      </c>
      <c r="I81" s="16" t="e">
        <f t="shared" si="10"/>
        <v>#N/A</v>
      </c>
      <c r="J81" s="16"/>
      <c r="K81" s="16"/>
      <c r="L81" s="16"/>
      <c r="M81" s="16"/>
      <c r="N81" s="16">
        <f t="shared" si="11"/>
        <v>0</v>
      </c>
      <c r="O81" s="16" t="e">
        <f t="shared" si="12"/>
        <v>#N/A</v>
      </c>
      <c r="P81" s="16">
        <v>6.9444444444444397E-3</v>
      </c>
      <c r="Q81" s="16"/>
      <c r="R81" s="16">
        <f t="shared" si="13"/>
        <v>-6.9444444444444397E-3</v>
      </c>
      <c r="S81" s="16"/>
      <c r="T81" s="16" t="e">
        <f>VLOOKUP(E81,'[2]21-3-2026'!E$3:T$35,16,FALSE)</f>
        <v>#N/A</v>
      </c>
      <c r="U81" s="16"/>
      <c r="V81" s="16" t="e">
        <f t="shared" si="14"/>
        <v>#N/A</v>
      </c>
      <c r="W81" s="16"/>
      <c r="X81" s="16"/>
      <c r="Y81" s="16"/>
      <c r="Z81" s="16">
        <f t="shared" si="15"/>
        <v>0</v>
      </c>
      <c r="AA81" s="16">
        <f t="shared" si="9"/>
        <v>0</v>
      </c>
      <c r="AB81" s="16"/>
      <c r="AC81" s="17"/>
      <c r="AD81" s="51"/>
    </row>
    <row r="82" spans="1:30" ht="19.5" thickBot="1" x14ac:dyDescent="0.3">
      <c r="A82" s="14">
        <v>15</v>
      </c>
      <c r="B82" s="15"/>
      <c r="C82" s="15" t="e">
        <f>VLOOKUP(B82,داتا!$B$3:$D$107,2,FALSE)</f>
        <v>#N/A</v>
      </c>
      <c r="D82" s="34" t="e">
        <f>VLOOKUP(B82,داتا!$B$3:$D$107,3,FALSE)</f>
        <v>#N/A</v>
      </c>
      <c r="E82" s="15"/>
      <c r="F82" s="15"/>
      <c r="G82" s="16">
        <v>8.3333333333333329E-2</v>
      </c>
      <c r="H82" s="16" t="e">
        <f t="shared" si="16"/>
        <v>#N/A</v>
      </c>
      <c r="I82" s="16" t="e">
        <f t="shared" si="10"/>
        <v>#N/A</v>
      </c>
      <c r="J82" s="16"/>
      <c r="K82" s="16"/>
      <c r="L82" s="16"/>
      <c r="M82" s="16"/>
      <c r="N82" s="16">
        <f t="shared" si="11"/>
        <v>0</v>
      </c>
      <c r="O82" s="16" t="e">
        <f t="shared" si="12"/>
        <v>#N/A</v>
      </c>
      <c r="P82" s="16">
        <v>6.9444444444444397E-3</v>
      </c>
      <c r="Q82" s="16"/>
      <c r="R82" s="16">
        <f t="shared" si="13"/>
        <v>-6.9444444444444397E-3</v>
      </c>
      <c r="S82" s="16"/>
      <c r="T82" s="16" t="e">
        <f>VLOOKUP(E82,'[2]21-3-2026'!E$3:T$35,16,FALSE)</f>
        <v>#N/A</v>
      </c>
      <c r="U82" s="16"/>
      <c r="V82" s="16" t="e">
        <f t="shared" si="14"/>
        <v>#N/A</v>
      </c>
      <c r="W82" s="16"/>
      <c r="X82" s="16"/>
      <c r="Y82" s="16"/>
      <c r="Z82" s="16">
        <f t="shared" si="15"/>
        <v>0</v>
      </c>
      <c r="AA82" s="16">
        <f t="shared" si="9"/>
        <v>0</v>
      </c>
      <c r="AB82" s="16"/>
      <c r="AC82" s="17"/>
      <c r="AD82" s="51"/>
    </row>
    <row r="83" spans="1:30" ht="19.5" thickBot="1" x14ac:dyDescent="0.3">
      <c r="A83" s="14">
        <v>16</v>
      </c>
      <c r="B83" s="15"/>
      <c r="C83" s="15" t="e">
        <f>VLOOKUP(B83,داتا!$B$3:$D$107,2,FALSE)</f>
        <v>#N/A</v>
      </c>
      <c r="D83" s="34" t="e">
        <f>VLOOKUP(B83,داتا!$B$3:$D$107,3,FALSE)</f>
        <v>#N/A</v>
      </c>
      <c r="E83" s="15"/>
      <c r="F83" s="15"/>
      <c r="G83" s="16">
        <v>8.3333333333333329E-2</v>
      </c>
      <c r="H83" s="16" t="e">
        <f t="shared" si="16"/>
        <v>#N/A</v>
      </c>
      <c r="I83" s="16" t="e">
        <f t="shared" si="10"/>
        <v>#N/A</v>
      </c>
      <c r="J83" s="16"/>
      <c r="K83" s="16"/>
      <c r="L83" s="16"/>
      <c r="M83" s="16"/>
      <c r="N83" s="16">
        <f t="shared" si="11"/>
        <v>0</v>
      </c>
      <c r="O83" s="16" t="e">
        <f t="shared" si="12"/>
        <v>#N/A</v>
      </c>
      <c r="P83" s="16">
        <v>6.9444444444444397E-3</v>
      </c>
      <c r="Q83" s="16"/>
      <c r="R83" s="16">
        <f t="shared" si="13"/>
        <v>-6.9444444444444397E-3</v>
      </c>
      <c r="S83" s="16"/>
      <c r="T83" s="16" t="e">
        <f>VLOOKUP(E83,'[2]21-3-2026'!E$3:T$35,16,FALSE)</f>
        <v>#N/A</v>
      </c>
      <c r="U83" s="16"/>
      <c r="V83" s="16" t="e">
        <f t="shared" si="14"/>
        <v>#N/A</v>
      </c>
      <c r="W83" s="16"/>
      <c r="X83" s="16"/>
      <c r="Y83" s="16"/>
      <c r="Z83" s="16">
        <f t="shared" si="15"/>
        <v>0</v>
      </c>
      <c r="AA83" s="16">
        <f t="shared" si="9"/>
        <v>0</v>
      </c>
      <c r="AB83" s="16"/>
      <c r="AC83" s="17"/>
      <c r="AD83" s="51"/>
    </row>
    <row r="84" spans="1:30" ht="19.5" thickBot="1" x14ac:dyDescent="0.3">
      <c r="A84" s="14">
        <v>17</v>
      </c>
      <c r="B84" s="15"/>
      <c r="C84" s="15" t="e">
        <f>VLOOKUP(B84,داتا!$B$3:$D$107,2,FALSE)</f>
        <v>#N/A</v>
      </c>
      <c r="D84" s="34" t="e">
        <f>VLOOKUP(B84,داتا!$B$3:$D$107,3,FALSE)</f>
        <v>#N/A</v>
      </c>
      <c r="E84" s="15"/>
      <c r="F84" s="15"/>
      <c r="G84" s="16">
        <v>8.3333333333333329E-2</v>
      </c>
      <c r="H84" s="16" t="e">
        <f t="shared" si="16"/>
        <v>#N/A</v>
      </c>
      <c r="I84" s="16" t="e">
        <f t="shared" si="10"/>
        <v>#N/A</v>
      </c>
      <c r="J84" s="16"/>
      <c r="K84" s="16"/>
      <c r="L84" s="16"/>
      <c r="M84" s="16"/>
      <c r="N84" s="16">
        <f t="shared" si="11"/>
        <v>0</v>
      </c>
      <c r="O84" s="16" t="e">
        <f t="shared" si="12"/>
        <v>#N/A</v>
      </c>
      <c r="P84" s="16">
        <v>6.9444444444444397E-3</v>
      </c>
      <c r="Q84" s="16"/>
      <c r="R84" s="16">
        <f t="shared" si="13"/>
        <v>-6.9444444444444397E-3</v>
      </c>
      <c r="S84" s="16"/>
      <c r="T84" s="16" t="e">
        <f>VLOOKUP(E84,'[2]21-3-2026'!E$3:T$35,16,FALSE)</f>
        <v>#N/A</v>
      </c>
      <c r="U84" s="16"/>
      <c r="V84" s="16" t="e">
        <f t="shared" si="14"/>
        <v>#N/A</v>
      </c>
      <c r="W84" s="16"/>
      <c r="X84" s="16"/>
      <c r="Y84" s="16"/>
      <c r="Z84" s="16">
        <f t="shared" si="15"/>
        <v>0</v>
      </c>
      <c r="AA84" s="16">
        <f t="shared" si="9"/>
        <v>0</v>
      </c>
      <c r="AB84" s="16"/>
      <c r="AC84" s="17"/>
      <c r="AD84" s="51"/>
    </row>
    <row r="85" spans="1:30" ht="19.5" thickBot="1" x14ac:dyDescent="0.3">
      <c r="A85" s="14">
        <v>18</v>
      </c>
      <c r="B85" s="15"/>
      <c r="C85" s="15" t="e">
        <f>VLOOKUP(B85,داتا!$B$3:$D$107,2,FALSE)</f>
        <v>#N/A</v>
      </c>
      <c r="D85" s="34" t="e">
        <f>VLOOKUP(B85,داتا!$B$3:$D$107,3,FALSE)</f>
        <v>#N/A</v>
      </c>
      <c r="E85" s="15"/>
      <c r="F85" s="15"/>
      <c r="G85" s="16">
        <v>8.3333333333333329E-2</v>
      </c>
      <c r="H85" s="16" t="e">
        <f t="shared" ref="H85:H99" si="17">VLOOKUP(G85,$F$3:$I$35,2,FALSE)</f>
        <v>#N/A</v>
      </c>
      <c r="I85" s="16" t="e">
        <f t="shared" si="10"/>
        <v>#N/A</v>
      </c>
      <c r="J85" s="16"/>
      <c r="K85" s="16"/>
      <c r="L85" s="16"/>
      <c r="M85" s="16"/>
      <c r="N85" s="16">
        <f t="shared" si="11"/>
        <v>0</v>
      </c>
      <c r="O85" s="16" t="e">
        <f t="shared" si="12"/>
        <v>#N/A</v>
      </c>
      <c r="P85" s="16">
        <v>6.9444444444444397E-3</v>
      </c>
      <c r="Q85" s="16"/>
      <c r="R85" s="16">
        <f t="shared" si="13"/>
        <v>-6.9444444444444397E-3</v>
      </c>
      <c r="S85" s="16"/>
      <c r="T85" s="16" t="e">
        <f>VLOOKUP(E85,'[2]21-3-2026'!E$3:T$35,16,FALSE)</f>
        <v>#N/A</v>
      </c>
      <c r="U85" s="16"/>
      <c r="V85" s="16" t="e">
        <f t="shared" si="14"/>
        <v>#N/A</v>
      </c>
      <c r="W85" s="16"/>
      <c r="X85" s="16"/>
      <c r="Y85" s="16"/>
      <c r="Z85" s="16">
        <f t="shared" si="15"/>
        <v>0</v>
      </c>
      <c r="AA85" s="16">
        <f t="shared" si="9"/>
        <v>0</v>
      </c>
      <c r="AB85" s="16"/>
      <c r="AC85" s="17"/>
      <c r="AD85" s="51"/>
    </row>
    <row r="86" spans="1:30" ht="19.5" thickBot="1" x14ac:dyDescent="0.3">
      <c r="A86" s="14">
        <v>19</v>
      </c>
      <c r="B86" s="15"/>
      <c r="C86" s="15" t="e">
        <f>VLOOKUP(B86,داتا!$B$3:$D$107,2,FALSE)</f>
        <v>#N/A</v>
      </c>
      <c r="D86" s="34" t="e">
        <f>VLOOKUP(B86,داتا!$B$3:$D$107,3,FALSE)</f>
        <v>#N/A</v>
      </c>
      <c r="E86" s="15"/>
      <c r="F86" s="15"/>
      <c r="G86" s="16">
        <v>8.3333333333333329E-2</v>
      </c>
      <c r="H86" s="16" t="e">
        <f t="shared" si="17"/>
        <v>#N/A</v>
      </c>
      <c r="I86" s="16" t="e">
        <f t="shared" si="10"/>
        <v>#N/A</v>
      </c>
      <c r="J86" s="16"/>
      <c r="K86" s="16"/>
      <c r="L86" s="16"/>
      <c r="M86" s="16"/>
      <c r="N86" s="16">
        <f t="shared" si="11"/>
        <v>0</v>
      </c>
      <c r="O86" s="16" t="e">
        <f t="shared" si="12"/>
        <v>#N/A</v>
      </c>
      <c r="P86" s="16">
        <v>6.9444444444444397E-3</v>
      </c>
      <c r="Q86" s="16"/>
      <c r="R86" s="16">
        <f t="shared" si="13"/>
        <v>-6.9444444444444397E-3</v>
      </c>
      <c r="S86" s="16"/>
      <c r="T86" s="16" t="e">
        <f>VLOOKUP(E86,'[2]21-3-2026'!E$3:T$35,16,FALSE)</f>
        <v>#N/A</v>
      </c>
      <c r="U86" s="16"/>
      <c r="V86" s="16" t="e">
        <f t="shared" si="14"/>
        <v>#N/A</v>
      </c>
      <c r="W86" s="16"/>
      <c r="X86" s="16"/>
      <c r="Y86" s="16"/>
      <c r="Z86" s="16">
        <f t="shared" si="15"/>
        <v>0</v>
      </c>
      <c r="AA86" s="16">
        <f t="shared" si="9"/>
        <v>0</v>
      </c>
      <c r="AB86" s="16"/>
      <c r="AC86" s="17"/>
      <c r="AD86" s="51"/>
    </row>
    <row r="87" spans="1:30" ht="19.5" thickBot="1" x14ac:dyDescent="0.3">
      <c r="A87" s="14">
        <v>20</v>
      </c>
      <c r="B87" s="15"/>
      <c r="C87" s="15" t="e">
        <f>VLOOKUP(B87,داتا!$B$3:$D$107,2,FALSE)</f>
        <v>#N/A</v>
      </c>
      <c r="D87" s="34" t="e">
        <f>VLOOKUP(B87,داتا!$B$3:$D$107,3,FALSE)</f>
        <v>#N/A</v>
      </c>
      <c r="E87" s="15"/>
      <c r="F87" s="15"/>
      <c r="G87" s="16">
        <v>8.3333333333333329E-2</v>
      </c>
      <c r="H87" s="16" t="e">
        <f t="shared" si="17"/>
        <v>#N/A</v>
      </c>
      <c r="I87" s="16" t="e">
        <f t="shared" si="10"/>
        <v>#N/A</v>
      </c>
      <c r="J87" s="16"/>
      <c r="K87" s="16"/>
      <c r="L87" s="16"/>
      <c r="M87" s="16"/>
      <c r="N87" s="16">
        <f t="shared" si="11"/>
        <v>0</v>
      </c>
      <c r="O87" s="16" t="e">
        <f t="shared" si="12"/>
        <v>#N/A</v>
      </c>
      <c r="P87" s="16">
        <v>6.9444444444444397E-3</v>
      </c>
      <c r="Q87" s="16"/>
      <c r="R87" s="16">
        <f t="shared" si="13"/>
        <v>-6.9444444444444397E-3</v>
      </c>
      <c r="S87" s="16"/>
      <c r="T87" s="16" t="e">
        <f>VLOOKUP(E87,'[2]21-3-2026'!E$3:T$35,16,FALSE)</f>
        <v>#N/A</v>
      </c>
      <c r="U87" s="16"/>
      <c r="V87" s="16" t="e">
        <f t="shared" si="14"/>
        <v>#N/A</v>
      </c>
      <c r="W87" s="16"/>
      <c r="X87" s="16"/>
      <c r="Y87" s="16"/>
      <c r="Z87" s="16">
        <f t="shared" si="15"/>
        <v>0</v>
      </c>
      <c r="AA87" s="16">
        <f t="shared" si="9"/>
        <v>0</v>
      </c>
      <c r="AB87" s="16"/>
      <c r="AC87" s="17"/>
      <c r="AD87" s="51"/>
    </row>
    <row r="88" spans="1:30" ht="19.5" thickBot="1" x14ac:dyDescent="0.3">
      <c r="A88" s="14">
        <v>21</v>
      </c>
      <c r="B88" s="15"/>
      <c r="C88" s="15" t="e">
        <f>VLOOKUP(B88,داتا!$B$3:$D$107,2,FALSE)</f>
        <v>#N/A</v>
      </c>
      <c r="D88" s="34" t="e">
        <f>VLOOKUP(B88,داتا!$B$3:$D$107,3,FALSE)</f>
        <v>#N/A</v>
      </c>
      <c r="E88" s="15"/>
      <c r="F88" s="15"/>
      <c r="G88" s="16">
        <v>8.3333333333333329E-2</v>
      </c>
      <c r="H88" s="16" t="e">
        <f t="shared" si="17"/>
        <v>#N/A</v>
      </c>
      <c r="I88" s="16" t="e">
        <f t="shared" si="10"/>
        <v>#N/A</v>
      </c>
      <c r="J88" s="16"/>
      <c r="K88" s="16"/>
      <c r="L88" s="16"/>
      <c r="M88" s="16"/>
      <c r="N88" s="16">
        <f t="shared" si="11"/>
        <v>0</v>
      </c>
      <c r="O88" s="16" t="e">
        <f t="shared" si="12"/>
        <v>#N/A</v>
      </c>
      <c r="P88" s="16">
        <v>6.9444444444444397E-3</v>
      </c>
      <c r="Q88" s="16"/>
      <c r="R88" s="16">
        <f t="shared" si="13"/>
        <v>-6.9444444444444397E-3</v>
      </c>
      <c r="S88" s="16"/>
      <c r="T88" s="16" t="e">
        <f>VLOOKUP(E88,'[2]21-3-2026'!E$3:T$35,16,FALSE)</f>
        <v>#N/A</v>
      </c>
      <c r="U88" s="16"/>
      <c r="V88" s="16" t="e">
        <f t="shared" si="14"/>
        <v>#N/A</v>
      </c>
      <c r="W88" s="16"/>
      <c r="X88" s="16"/>
      <c r="Y88" s="16"/>
      <c r="Z88" s="16">
        <f t="shared" si="15"/>
        <v>0</v>
      </c>
      <c r="AA88" s="16">
        <f t="shared" si="9"/>
        <v>0</v>
      </c>
      <c r="AB88" s="16"/>
      <c r="AC88" s="19"/>
      <c r="AD88" s="51"/>
    </row>
    <row r="89" spans="1:30" ht="19.5" thickBot="1" x14ac:dyDescent="0.3">
      <c r="A89" s="14">
        <v>22</v>
      </c>
      <c r="B89" s="15"/>
      <c r="C89" s="15" t="e">
        <f>VLOOKUP(B89,داتا!$B$3:$D$107,2,FALSE)</f>
        <v>#N/A</v>
      </c>
      <c r="D89" s="34" t="e">
        <f>VLOOKUP(B89,داتا!$B$3:$D$107,3,FALSE)</f>
        <v>#N/A</v>
      </c>
      <c r="E89" s="15"/>
      <c r="F89" s="15"/>
      <c r="G89" s="16">
        <v>8.3333333333333329E-2</v>
      </c>
      <c r="H89" s="16" t="e">
        <f t="shared" si="17"/>
        <v>#N/A</v>
      </c>
      <c r="I89" s="16" t="e">
        <f t="shared" si="10"/>
        <v>#N/A</v>
      </c>
      <c r="J89" s="16"/>
      <c r="K89" s="16"/>
      <c r="L89" s="16"/>
      <c r="M89" s="16"/>
      <c r="N89" s="16">
        <f t="shared" si="11"/>
        <v>0</v>
      </c>
      <c r="O89" s="16" t="e">
        <f t="shared" si="12"/>
        <v>#N/A</v>
      </c>
      <c r="P89" s="16">
        <v>6.9444444444444397E-3</v>
      </c>
      <c r="Q89" s="16"/>
      <c r="R89" s="16">
        <f t="shared" si="13"/>
        <v>-6.9444444444444397E-3</v>
      </c>
      <c r="S89" s="16"/>
      <c r="T89" s="16" t="e">
        <f>VLOOKUP(E89,'[2]21-3-2026'!E$3:T$35,16,FALSE)</f>
        <v>#N/A</v>
      </c>
      <c r="U89" s="16"/>
      <c r="V89" s="16" t="e">
        <f t="shared" si="14"/>
        <v>#N/A</v>
      </c>
      <c r="W89" s="16"/>
      <c r="X89" s="16"/>
      <c r="Y89" s="16"/>
      <c r="Z89" s="16">
        <f t="shared" si="15"/>
        <v>0</v>
      </c>
      <c r="AA89" s="16">
        <f t="shared" si="9"/>
        <v>0</v>
      </c>
      <c r="AB89" s="16"/>
      <c r="AC89" s="19"/>
      <c r="AD89" s="51"/>
    </row>
    <row r="90" spans="1:30" ht="19.5" thickBot="1" x14ac:dyDescent="0.3">
      <c r="A90" s="14">
        <v>23</v>
      </c>
      <c r="B90" s="15"/>
      <c r="C90" s="15" t="e">
        <f>VLOOKUP(B90,داتا!$B$3:$D$107,2,FALSE)</f>
        <v>#N/A</v>
      </c>
      <c r="D90" s="34" t="e">
        <f>VLOOKUP(B90,داتا!$B$3:$D$107,3,FALSE)</f>
        <v>#N/A</v>
      </c>
      <c r="E90" s="15"/>
      <c r="F90" s="15"/>
      <c r="G90" s="16">
        <v>8.3333333333333329E-2</v>
      </c>
      <c r="H90" s="16" t="e">
        <f t="shared" si="17"/>
        <v>#N/A</v>
      </c>
      <c r="I90" s="16" t="e">
        <f t="shared" si="10"/>
        <v>#N/A</v>
      </c>
      <c r="J90" s="16"/>
      <c r="K90" s="16"/>
      <c r="L90" s="16"/>
      <c r="M90" s="16"/>
      <c r="N90" s="16">
        <f t="shared" si="11"/>
        <v>0</v>
      </c>
      <c r="O90" s="16" t="e">
        <f t="shared" si="12"/>
        <v>#N/A</v>
      </c>
      <c r="P90" s="16">
        <v>6.9444444444444397E-3</v>
      </c>
      <c r="Q90" s="16"/>
      <c r="R90" s="16">
        <f t="shared" si="13"/>
        <v>-6.9444444444444397E-3</v>
      </c>
      <c r="S90" s="16"/>
      <c r="T90" s="16" t="e">
        <f>VLOOKUP(E90,'[2]21-3-2026'!E$3:T$35,16,FALSE)</f>
        <v>#N/A</v>
      </c>
      <c r="U90" s="16"/>
      <c r="V90" s="16" t="e">
        <f t="shared" si="14"/>
        <v>#N/A</v>
      </c>
      <c r="W90" s="16"/>
      <c r="X90" s="16"/>
      <c r="Y90" s="16"/>
      <c r="Z90" s="16">
        <f t="shared" si="15"/>
        <v>0</v>
      </c>
      <c r="AA90" s="16">
        <f t="shared" si="9"/>
        <v>0</v>
      </c>
      <c r="AB90" s="16"/>
      <c r="AC90" s="19"/>
      <c r="AD90" s="51"/>
    </row>
    <row r="91" spans="1:30" ht="19.5" thickBot="1" x14ac:dyDescent="0.3">
      <c r="A91" s="14">
        <v>24</v>
      </c>
      <c r="B91" s="15"/>
      <c r="C91" s="15" t="e">
        <f>VLOOKUP(B91,داتا!$B$3:$D$107,2,FALSE)</f>
        <v>#N/A</v>
      </c>
      <c r="D91" s="34" t="e">
        <f>VLOOKUP(B91,داتا!$B$3:$D$107,3,FALSE)</f>
        <v>#N/A</v>
      </c>
      <c r="E91" s="15"/>
      <c r="F91" s="15"/>
      <c r="G91" s="16">
        <v>8.3333333333333329E-2</v>
      </c>
      <c r="H91" s="16" t="e">
        <f t="shared" si="17"/>
        <v>#N/A</v>
      </c>
      <c r="I91" s="16" t="e">
        <f t="shared" si="10"/>
        <v>#N/A</v>
      </c>
      <c r="J91" s="16"/>
      <c r="K91" s="16"/>
      <c r="L91" s="16"/>
      <c r="M91" s="16"/>
      <c r="N91" s="16">
        <f t="shared" si="11"/>
        <v>0</v>
      </c>
      <c r="O91" s="16" t="e">
        <f t="shared" si="12"/>
        <v>#N/A</v>
      </c>
      <c r="P91" s="16">
        <v>6.9444444444444397E-3</v>
      </c>
      <c r="Q91" s="16"/>
      <c r="R91" s="16">
        <f t="shared" si="13"/>
        <v>-6.9444444444444397E-3</v>
      </c>
      <c r="S91" s="16"/>
      <c r="T91" s="16" t="e">
        <f>VLOOKUP(E91,'[2]21-3-2026'!E$3:T$35,16,FALSE)</f>
        <v>#N/A</v>
      </c>
      <c r="U91" s="16"/>
      <c r="V91" s="16" t="e">
        <f t="shared" si="14"/>
        <v>#N/A</v>
      </c>
      <c r="W91" s="16"/>
      <c r="X91" s="16"/>
      <c r="Y91" s="16"/>
      <c r="Z91" s="16">
        <f t="shared" si="15"/>
        <v>0</v>
      </c>
      <c r="AA91" s="16">
        <f t="shared" si="9"/>
        <v>0</v>
      </c>
      <c r="AB91" s="16"/>
      <c r="AC91" s="19"/>
      <c r="AD91" s="51"/>
    </row>
    <row r="92" spans="1:30" ht="19.5" thickBot="1" x14ac:dyDescent="0.3">
      <c r="A92" s="14">
        <v>25</v>
      </c>
      <c r="B92" s="15"/>
      <c r="C92" s="15" t="e">
        <f>VLOOKUP(B92,داتا!$B$3:$D$107,2,FALSE)</f>
        <v>#N/A</v>
      </c>
      <c r="D92" s="34" t="e">
        <f>VLOOKUP(B92,داتا!$B$3:$D$107,3,FALSE)</f>
        <v>#N/A</v>
      </c>
      <c r="E92" s="15"/>
      <c r="F92" s="15"/>
      <c r="G92" s="16">
        <v>8.3333333333333329E-2</v>
      </c>
      <c r="H92" s="16" t="e">
        <f t="shared" si="17"/>
        <v>#N/A</v>
      </c>
      <c r="I92" s="16" t="e">
        <f t="shared" si="10"/>
        <v>#N/A</v>
      </c>
      <c r="J92" s="16"/>
      <c r="K92" s="16"/>
      <c r="L92" s="16"/>
      <c r="M92" s="16"/>
      <c r="N92" s="16">
        <f t="shared" si="11"/>
        <v>0</v>
      </c>
      <c r="O92" s="16" t="e">
        <f t="shared" si="12"/>
        <v>#N/A</v>
      </c>
      <c r="P92" s="16">
        <v>6.9444444444444397E-3</v>
      </c>
      <c r="Q92" s="16"/>
      <c r="R92" s="16">
        <f t="shared" si="13"/>
        <v>-6.9444444444444397E-3</v>
      </c>
      <c r="S92" s="16"/>
      <c r="T92" s="16" t="e">
        <f>VLOOKUP(E92,'[2]21-3-2026'!E$3:T$35,16,FALSE)</f>
        <v>#N/A</v>
      </c>
      <c r="U92" s="16"/>
      <c r="V92" s="16" t="e">
        <f t="shared" si="14"/>
        <v>#N/A</v>
      </c>
      <c r="W92" s="16"/>
      <c r="X92" s="16"/>
      <c r="Y92" s="16"/>
      <c r="Z92" s="16">
        <f t="shared" si="15"/>
        <v>0</v>
      </c>
      <c r="AA92" s="16">
        <f t="shared" si="9"/>
        <v>0</v>
      </c>
      <c r="AB92" s="16"/>
      <c r="AC92" s="19"/>
      <c r="AD92" s="51"/>
    </row>
    <row r="93" spans="1:30" ht="19.5" thickBot="1" x14ac:dyDescent="0.3">
      <c r="A93" s="14">
        <v>26</v>
      </c>
      <c r="B93" s="15"/>
      <c r="C93" s="15" t="e">
        <f>VLOOKUP(B93,داتا!$B$3:$D$107,2,FALSE)</f>
        <v>#N/A</v>
      </c>
      <c r="D93" s="34" t="e">
        <f>VLOOKUP(B93,داتا!$B$3:$D$107,3,FALSE)</f>
        <v>#N/A</v>
      </c>
      <c r="E93" s="15"/>
      <c r="F93" s="15"/>
      <c r="G93" s="16">
        <v>8.3333333333333329E-2</v>
      </c>
      <c r="H93" s="16" t="e">
        <f t="shared" si="17"/>
        <v>#N/A</v>
      </c>
      <c r="I93" s="16" t="e">
        <f t="shared" si="10"/>
        <v>#N/A</v>
      </c>
      <c r="J93" s="16"/>
      <c r="K93" s="16"/>
      <c r="L93" s="16"/>
      <c r="M93" s="16"/>
      <c r="N93" s="16">
        <f t="shared" si="11"/>
        <v>0</v>
      </c>
      <c r="O93" s="16" t="e">
        <f t="shared" si="12"/>
        <v>#N/A</v>
      </c>
      <c r="P93" s="16">
        <v>6.9444444444444397E-3</v>
      </c>
      <c r="Q93" s="16"/>
      <c r="R93" s="16">
        <f t="shared" si="13"/>
        <v>-6.9444444444444397E-3</v>
      </c>
      <c r="S93" s="16"/>
      <c r="T93" s="16" t="e">
        <f>VLOOKUP(E93,'[2]21-3-2026'!E$3:T$35,16,FALSE)</f>
        <v>#N/A</v>
      </c>
      <c r="U93" s="16"/>
      <c r="V93" s="16" t="e">
        <f t="shared" si="14"/>
        <v>#N/A</v>
      </c>
      <c r="W93" s="16"/>
      <c r="X93" s="16"/>
      <c r="Y93" s="16"/>
      <c r="Z93" s="16">
        <f t="shared" si="15"/>
        <v>0</v>
      </c>
      <c r="AA93" s="16">
        <f t="shared" si="9"/>
        <v>0</v>
      </c>
      <c r="AB93" s="16"/>
      <c r="AC93" s="19"/>
      <c r="AD93" s="51"/>
    </row>
    <row r="94" spans="1:30" ht="19.5" thickBot="1" x14ac:dyDescent="0.3">
      <c r="A94" s="14">
        <v>27</v>
      </c>
      <c r="B94" s="15"/>
      <c r="C94" s="15" t="e">
        <f>VLOOKUP(B94,داتا!$B$3:$D$107,2,FALSE)</f>
        <v>#N/A</v>
      </c>
      <c r="D94" s="34" t="e">
        <f>VLOOKUP(B94,داتا!$B$3:$D$107,3,FALSE)</f>
        <v>#N/A</v>
      </c>
      <c r="E94" s="15"/>
      <c r="F94" s="15"/>
      <c r="G94" s="16">
        <v>8.3333333333333329E-2</v>
      </c>
      <c r="H94" s="16" t="e">
        <f t="shared" si="17"/>
        <v>#N/A</v>
      </c>
      <c r="I94" s="16" t="e">
        <f t="shared" si="10"/>
        <v>#N/A</v>
      </c>
      <c r="J94" s="16"/>
      <c r="K94" s="16"/>
      <c r="L94" s="16"/>
      <c r="M94" s="16"/>
      <c r="N94" s="16">
        <f t="shared" si="11"/>
        <v>0</v>
      </c>
      <c r="O94" s="16" t="e">
        <f t="shared" si="12"/>
        <v>#N/A</v>
      </c>
      <c r="P94" s="16">
        <v>6.9444444444444397E-3</v>
      </c>
      <c r="Q94" s="16"/>
      <c r="R94" s="16">
        <f t="shared" si="13"/>
        <v>-6.9444444444444397E-3</v>
      </c>
      <c r="S94" s="16"/>
      <c r="T94" s="16" t="e">
        <f>VLOOKUP(E94,'[2]21-3-2026'!E$3:T$35,16,FALSE)</f>
        <v>#N/A</v>
      </c>
      <c r="U94" s="16"/>
      <c r="V94" s="16" t="e">
        <f t="shared" si="14"/>
        <v>#N/A</v>
      </c>
      <c r="W94" s="16"/>
      <c r="X94" s="16"/>
      <c r="Y94" s="16"/>
      <c r="Z94" s="16">
        <f t="shared" si="15"/>
        <v>0</v>
      </c>
      <c r="AA94" s="16">
        <f t="shared" si="9"/>
        <v>0</v>
      </c>
      <c r="AB94" s="16"/>
      <c r="AC94" s="19"/>
      <c r="AD94" s="51"/>
    </row>
    <row r="95" spans="1:30" ht="19.5" thickBot="1" x14ac:dyDescent="0.3">
      <c r="A95" s="14">
        <v>28</v>
      </c>
      <c r="B95" s="15"/>
      <c r="C95" s="15" t="e">
        <f>VLOOKUP(B95,داتا!$B$3:$D$107,2,FALSE)</f>
        <v>#N/A</v>
      </c>
      <c r="D95" s="34" t="e">
        <f>VLOOKUP(B95,داتا!$B$3:$D$107,3,FALSE)</f>
        <v>#N/A</v>
      </c>
      <c r="E95" s="15"/>
      <c r="F95" s="16"/>
      <c r="G95" s="16">
        <v>8.3333333333333329E-2</v>
      </c>
      <c r="H95" s="16" t="e">
        <f t="shared" si="17"/>
        <v>#N/A</v>
      </c>
      <c r="I95" s="16" t="e">
        <f t="shared" si="10"/>
        <v>#N/A</v>
      </c>
      <c r="J95" s="16"/>
      <c r="K95" s="16"/>
      <c r="L95" s="16"/>
      <c r="M95" s="16"/>
      <c r="N95" s="16">
        <f t="shared" si="11"/>
        <v>0</v>
      </c>
      <c r="O95" s="16" t="e">
        <f t="shared" si="12"/>
        <v>#N/A</v>
      </c>
      <c r="P95" s="16">
        <v>6.9444444444444397E-3</v>
      </c>
      <c r="Q95" s="16"/>
      <c r="R95" s="16">
        <f t="shared" si="13"/>
        <v>-6.9444444444444397E-3</v>
      </c>
      <c r="S95" s="16"/>
      <c r="T95" s="16" t="e">
        <f>VLOOKUP(E95,'[2]21-3-2026'!E$3:T$35,16,FALSE)</f>
        <v>#N/A</v>
      </c>
      <c r="U95" s="16"/>
      <c r="V95" s="16" t="e">
        <f t="shared" si="14"/>
        <v>#N/A</v>
      </c>
      <c r="W95" s="16"/>
      <c r="X95" s="16"/>
      <c r="Y95" s="16"/>
      <c r="Z95" s="16">
        <f t="shared" si="15"/>
        <v>0</v>
      </c>
      <c r="AA95" s="16">
        <f t="shared" si="9"/>
        <v>0</v>
      </c>
      <c r="AB95" s="16"/>
      <c r="AC95" s="19"/>
      <c r="AD95" s="51"/>
    </row>
    <row r="96" spans="1:30" ht="19.5" thickBot="1" x14ac:dyDescent="0.3">
      <c r="A96" s="14">
        <v>29</v>
      </c>
      <c r="B96" s="15"/>
      <c r="C96" s="15" t="e">
        <f>VLOOKUP(B96,داتا!$B$3:$D$107,2,FALSE)</f>
        <v>#N/A</v>
      </c>
      <c r="D96" s="34" t="e">
        <f>VLOOKUP(B96,داتا!$B$3:$D$107,3,FALSE)</f>
        <v>#N/A</v>
      </c>
      <c r="E96" s="15"/>
      <c r="F96" s="16"/>
      <c r="G96" s="16">
        <v>8.3333333333333329E-2</v>
      </c>
      <c r="H96" s="16" t="e">
        <f t="shared" si="17"/>
        <v>#N/A</v>
      </c>
      <c r="I96" s="16" t="e">
        <f t="shared" si="10"/>
        <v>#N/A</v>
      </c>
      <c r="J96" s="16"/>
      <c r="K96" s="16"/>
      <c r="L96" s="16"/>
      <c r="M96" s="16"/>
      <c r="N96" s="16">
        <f t="shared" si="11"/>
        <v>0</v>
      </c>
      <c r="O96" s="16" t="e">
        <f t="shared" si="12"/>
        <v>#N/A</v>
      </c>
      <c r="P96" s="16">
        <v>6.9444444444444397E-3</v>
      </c>
      <c r="Q96" s="16"/>
      <c r="R96" s="16">
        <f t="shared" si="13"/>
        <v>-6.9444444444444397E-3</v>
      </c>
      <c r="S96" s="16"/>
      <c r="T96" s="16" t="e">
        <f>VLOOKUP(E96,'[2]21-3-2026'!E$3:T$35,16,FALSE)</f>
        <v>#N/A</v>
      </c>
      <c r="U96" s="16"/>
      <c r="V96" s="16" t="e">
        <f t="shared" si="14"/>
        <v>#N/A</v>
      </c>
      <c r="W96" s="16"/>
      <c r="X96" s="16"/>
      <c r="Y96" s="16"/>
      <c r="Z96" s="16">
        <f t="shared" si="15"/>
        <v>0</v>
      </c>
      <c r="AA96" s="16">
        <f t="shared" si="9"/>
        <v>0</v>
      </c>
      <c r="AB96" s="16"/>
      <c r="AC96" s="19"/>
      <c r="AD96" s="54"/>
    </row>
    <row r="97" spans="1:29" ht="19.5" thickBot="1" x14ac:dyDescent="0.3">
      <c r="A97" s="14">
        <v>30</v>
      </c>
      <c r="B97" s="15"/>
      <c r="C97" s="15" t="e">
        <f>VLOOKUP(B97,داتا!$B$3:$D$107,2,FALSE)</f>
        <v>#N/A</v>
      </c>
      <c r="D97" s="34" t="e">
        <f>VLOOKUP(B97,داتا!$B$3:$D$107,3,FALSE)</f>
        <v>#N/A</v>
      </c>
      <c r="E97" s="15"/>
      <c r="F97" s="16"/>
      <c r="G97" s="16">
        <v>8.3333333333333329E-2</v>
      </c>
      <c r="H97" s="16" t="e">
        <f t="shared" si="17"/>
        <v>#N/A</v>
      </c>
      <c r="I97" s="16" t="e">
        <f t="shared" si="10"/>
        <v>#N/A</v>
      </c>
      <c r="J97" s="16"/>
      <c r="K97" s="16"/>
      <c r="L97" s="16"/>
      <c r="M97" s="16"/>
      <c r="N97" s="16">
        <f t="shared" si="11"/>
        <v>0</v>
      </c>
      <c r="O97" s="16" t="e">
        <f t="shared" si="12"/>
        <v>#N/A</v>
      </c>
      <c r="P97" s="16">
        <v>6.9444444444444397E-3</v>
      </c>
      <c r="Q97" s="16"/>
      <c r="R97" s="16">
        <f t="shared" si="13"/>
        <v>-6.9444444444444397E-3</v>
      </c>
      <c r="S97" s="16"/>
      <c r="T97" s="16" t="e">
        <f>VLOOKUP(E97,'[2]21-3-2026'!E$3:T$35,16,FALSE)</f>
        <v>#N/A</v>
      </c>
      <c r="U97" s="16"/>
      <c r="V97" s="16" t="e">
        <f t="shared" si="14"/>
        <v>#N/A</v>
      </c>
      <c r="W97" s="16"/>
      <c r="X97" s="16"/>
      <c r="Y97" s="16"/>
      <c r="Z97" s="16">
        <f t="shared" si="15"/>
        <v>0</v>
      </c>
      <c r="AA97" s="16">
        <f t="shared" si="9"/>
        <v>0</v>
      </c>
      <c r="AB97" s="16"/>
      <c r="AC97" s="19"/>
    </row>
    <row r="98" spans="1:29" ht="19.5" thickBot="1" x14ac:dyDescent="0.3">
      <c r="A98" s="14">
        <v>31</v>
      </c>
      <c r="B98" s="15"/>
      <c r="C98" s="15" t="e">
        <f>VLOOKUP(B98,داتا!$B$3:$D$107,2,FALSE)</f>
        <v>#N/A</v>
      </c>
      <c r="D98" s="34" t="e">
        <f>VLOOKUP(B98,داتا!$B$3:$D$107,3,FALSE)</f>
        <v>#N/A</v>
      </c>
      <c r="E98" s="15"/>
      <c r="F98" s="16"/>
      <c r="G98" s="16">
        <v>8.3333333333333329E-2</v>
      </c>
      <c r="H98" s="16" t="e">
        <f t="shared" si="17"/>
        <v>#N/A</v>
      </c>
      <c r="I98" s="16" t="e">
        <f t="shared" si="10"/>
        <v>#N/A</v>
      </c>
      <c r="J98" s="16"/>
      <c r="K98" s="16"/>
      <c r="L98" s="16"/>
      <c r="M98" s="16"/>
      <c r="N98" s="16">
        <f t="shared" si="11"/>
        <v>0</v>
      </c>
      <c r="O98" s="16" t="e">
        <f t="shared" si="12"/>
        <v>#N/A</v>
      </c>
      <c r="P98" s="16">
        <v>6.9444444444444397E-3</v>
      </c>
      <c r="Q98" s="16"/>
      <c r="R98" s="16">
        <f t="shared" si="13"/>
        <v>-6.9444444444444397E-3</v>
      </c>
      <c r="S98" s="16"/>
      <c r="T98" s="16" t="e">
        <f>VLOOKUP(E98,'[2]21-3-2026'!E$3:T$35,16,FALSE)</f>
        <v>#N/A</v>
      </c>
      <c r="U98" s="16"/>
      <c r="V98" s="16" t="e">
        <f t="shared" si="14"/>
        <v>#N/A</v>
      </c>
      <c r="W98" s="16"/>
      <c r="X98" s="16"/>
      <c r="Y98" s="16"/>
      <c r="Z98" s="16">
        <f t="shared" si="15"/>
        <v>0</v>
      </c>
      <c r="AA98" s="16">
        <f t="shared" si="9"/>
        <v>0</v>
      </c>
      <c r="AB98" s="16"/>
      <c r="AC98" s="19"/>
    </row>
    <row r="99" spans="1:29" ht="19.5" thickBot="1" x14ac:dyDescent="0.3">
      <c r="A99" s="20">
        <v>32</v>
      </c>
      <c r="B99" s="21"/>
      <c r="C99" s="21" t="e">
        <f>VLOOKUP(B99,داتا!$B$3:$D$107,2,FALSE)</f>
        <v>#N/A</v>
      </c>
      <c r="D99" s="35" t="e">
        <f>VLOOKUP(B99,داتا!$B$3:$D$107,3,FALSE)</f>
        <v>#N/A</v>
      </c>
      <c r="E99" s="21"/>
      <c r="F99" s="22"/>
      <c r="G99" s="22">
        <v>8.3333333333333329E-2</v>
      </c>
      <c r="H99" s="22" t="e">
        <f t="shared" si="17"/>
        <v>#N/A</v>
      </c>
      <c r="I99" s="22" t="e">
        <f t="shared" si="10"/>
        <v>#N/A</v>
      </c>
      <c r="J99" s="22"/>
      <c r="K99" s="22"/>
      <c r="L99" s="22"/>
      <c r="M99" s="22"/>
      <c r="N99" s="22">
        <f t="shared" si="11"/>
        <v>0</v>
      </c>
      <c r="O99" s="22" t="e">
        <f t="shared" si="12"/>
        <v>#N/A</v>
      </c>
      <c r="P99" s="22">
        <v>6.9444444444444397E-3</v>
      </c>
      <c r="Q99" s="22"/>
      <c r="R99" s="22">
        <f t="shared" si="13"/>
        <v>-6.9444444444444397E-3</v>
      </c>
      <c r="S99" s="22"/>
      <c r="T99" s="22" t="e">
        <f>VLOOKUP(E99,'[2]21-3-2026'!E$3:T$35,16,FALSE)</f>
        <v>#N/A</v>
      </c>
      <c r="U99" s="22"/>
      <c r="V99" s="22" t="e">
        <f t="shared" si="14"/>
        <v>#N/A</v>
      </c>
      <c r="W99" s="22"/>
      <c r="X99" s="22"/>
      <c r="Y99" s="22"/>
      <c r="Z99" s="22">
        <f t="shared" si="15"/>
        <v>0</v>
      </c>
      <c r="AA99" s="22">
        <f t="shared" si="9"/>
        <v>0</v>
      </c>
      <c r="AB99" s="22"/>
      <c r="AC99" s="30"/>
    </row>
    <row r="100" spans="1:29" ht="16.5" thickTop="1" x14ac:dyDescent="0.25"/>
  </sheetData>
  <mergeCells count="4">
    <mergeCell ref="A1:AC1"/>
    <mergeCell ref="AD3:AD35"/>
    <mergeCell ref="AD36:AD67"/>
    <mergeCell ref="AD68:AD96"/>
  </mergeCells>
  <conditionalFormatting sqref="AC1:AC96 AC100:AC1048576">
    <cfRule type="containsText" dxfId="74" priority="14" operator="containsText" text="ت">
      <formula>NOT(ISERROR(SEARCH("ت",AC1)))</formula>
    </cfRule>
  </conditionalFormatting>
  <conditionalFormatting sqref="AC4:AC96">
    <cfRule type="containsText" dxfId="73" priority="13" operator="containsText" text="ت">
      <formula>NOT(ISERROR(SEARCH("ت",AC4)))</formula>
    </cfRule>
  </conditionalFormatting>
  <conditionalFormatting sqref="O1:O2 I1:I2 R1:R2 V1:V2 AA100:AA1048576 V100:V1048576 R100:R1048576 O100:O1048576 I100:I1048576 AA1:AA2">
    <cfRule type="cellIs" dxfId="72" priority="15" operator="between">
      <formula>0.00277777777777778</formula>
      <formula>1</formula>
    </cfRule>
  </conditionalFormatting>
  <conditionalFormatting sqref="AC97:AC99">
    <cfRule type="containsText" dxfId="71" priority="12" operator="containsText" text="ت">
      <formula>NOT(ISERROR(SEARCH("ت",AC97)))</formula>
    </cfRule>
  </conditionalFormatting>
  <conditionalFormatting sqref="AC97:AC99">
    <cfRule type="containsText" dxfId="70" priority="11" operator="containsText" text="ت">
      <formula>NOT(ISERROR(SEARCH("ت",AC97)))</formula>
    </cfRule>
  </conditionalFormatting>
  <conditionalFormatting sqref="I3:I99">
    <cfRule type="cellIs" dxfId="69" priority="9" operator="between">
      <formula>0.00277777777777778</formula>
      <formula>1</formula>
    </cfRule>
  </conditionalFormatting>
  <conditionalFormatting sqref="I3:I99">
    <cfRule type="cellIs" dxfId="68" priority="10" operator="between">
      <formula>0.00277777777777778</formula>
      <formula>1</formula>
    </cfRule>
  </conditionalFormatting>
  <conditionalFormatting sqref="O3:O99">
    <cfRule type="cellIs" dxfId="67" priority="7" operator="between">
      <formula>0.00277777777777778</formula>
      <formula>1</formula>
    </cfRule>
  </conditionalFormatting>
  <conditionalFormatting sqref="O3:O99">
    <cfRule type="cellIs" dxfId="66" priority="8" operator="between">
      <formula>0.00277777777777778</formula>
      <formula>1</formula>
    </cfRule>
  </conditionalFormatting>
  <conditionalFormatting sqref="R3:R99">
    <cfRule type="cellIs" dxfId="65" priority="5" operator="between">
      <formula>0.00277777777777778</formula>
      <formula>1</formula>
    </cfRule>
  </conditionalFormatting>
  <conditionalFormatting sqref="R3:R99">
    <cfRule type="cellIs" dxfId="64" priority="6" operator="between">
      <formula>0.00277777777777778</formula>
      <formula>1</formula>
    </cfRule>
  </conditionalFormatting>
  <conditionalFormatting sqref="V3:V99">
    <cfRule type="cellIs" dxfId="63" priority="3" operator="between">
      <formula>0.00277777777777778</formula>
      <formula>1</formula>
    </cfRule>
  </conditionalFormatting>
  <conditionalFormatting sqref="V3:V99">
    <cfRule type="cellIs" dxfId="62" priority="4" operator="between">
      <formula>0.00277777777777778</formula>
      <formula>1</formula>
    </cfRule>
  </conditionalFormatting>
  <conditionalFormatting sqref="AA3:AA99">
    <cfRule type="cellIs" dxfId="61" priority="1" operator="between">
      <formula>0.00277777777777778</formula>
      <formula>1</formula>
    </cfRule>
  </conditionalFormatting>
  <conditionalFormatting sqref="AA3:AA99">
    <cfRule type="cellIs" dxfId="60" priority="2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"/>
  <sheetViews>
    <sheetView rightToLeft="1" workbookViewId="0">
      <pane xSplit="6" ySplit="2" topLeftCell="G68" activePane="bottomRight" state="frozen"/>
      <selection activeCell="A92" sqref="A92"/>
      <selection pane="topRight" activeCell="A92" sqref="A92"/>
      <selection pane="bottomLeft" activeCell="A92" sqref="A92"/>
      <selection pane="bottomRight" activeCell="A92" sqref="A92"/>
    </sheetView>
  </sheetViews>
  <sheetFormatPr defaultColWidth="9" defaultRowHeight="15.75" x14ac:dyDescent="0.25"/>
  <cols>
    <col min="1" max="1" width="5.42578125" customWidth="1"/>
    <col min="2" max="2" width="12.28515625" customWidth="1"/>
    <col min="3" max="3" width="12.5703125" customWidth="1"/>
    <col min="4" max="4" width="16.140625" style="36" customWidth="1"/>
    <col min="5" max="5" width="17.140625" customWidth="1"/>
    <col min="6" max="6" width="20.85546875" customWidth="1"/>
    <col min="7" max="7" width="12.7109375" customWidth="1"/>
    <col min="8" max="9" width="12.85546875" customWidth="1"/>
    <col min="10" max="10" width="12.5703125" customWidth="1"/>
    <col min="11" max="11" width="14.28515625" customWidth="1"/>
    <col min="12" max="12" width="22.7109375" customWidth="1"/>
    <col min="13" max="13" width="18.8554687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3.85546875" style="31" customWidth="1"/>
    <col min="30" max="30" width="11.140625" customWidth="1"/>
  </cols>
  <sheetData>
    <row r="1" spans="1:30" ht="33.75" customHeight="1" thickBot="1" x14ac:dyDescent="0.3">
      <c r="A1" s="46" t="s">
        <v>119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0" ht="49.5" customHeight="1" thickTop="1" thickBot="1" x14ac:dyDescent="0.3">
      <c r="A2" s="1" t="s">
        <v>1</v>
      </c>
      <c r="B2" s="2" t="s">
        <v>2</v>
      </c>
      <c r="C2" s="2" t="s">
        <v>3</v>
      </c>
      <c r="D2" s="3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8" t="s">
        <v>18</v>
      </c>
      <c r="S2" s="2" t="s">
        <v>19</v>
      </c>
      <c r="T2" s="8" t="s">
        <v>20</v>
      </c>
      <c r="U2" s="2" t="s">
        <v>21</v>
      </c>
      <c r="V2" s="8" t="s">
        <v>22</v>
      </c>
      <c r="W2" s="8" t="s">
        <v>23</v>
      </c>
      <c r="X2" s="2" t="s">
        <v>24</v>
      </c>
      <c r="Y2" s="2" t="s">
        <v>25</v>
      </c>
      <c r="Z2" s="2" t="s">
        <v>26</v>
      </c>
      <c r="AA2" s="8" t="s">
        <v>27</v>
      </c>
      <c r="AB2" s="2" t="s">
        <v>28</v>
      </c>
      <c r="AC2" s="9" t="s">
        <v>29</v>
      </c>
    </row>
    <row r="3" spans="1:30" ht="20.25" customHeight="1" thickTop="1" thickBot="1" x14ac:dyDescent="0.3">
      <c r="A3" s="10">
        <v>1</v>
      </c>
      <c r="B3" s="11"/>
      <c r="C3" s="11" t="e">
        <f>VLOOKUP(B3,داتا!$B$3:$D$107,2,FALSE)</f>
        <v>#N/A</v>
      </c>
      <c r="D3" s="33" t="e">
        <f>VLOOKUP(B3,داتا!$B$3:$D$107,3,FALSE)</f>
        <v>#N/A</v>
      </c>
      <c r="E3" s="11"/>
      <c r="F3" s="11"/>
      <c r="G3" s="12">
        <v>0.25</v>
      </c>
      <c r="H3" s="12"/>
      <c r="I3" s="12">
        <f>H3-G3</f>
        <v>-0.25</v>
      </c>
      <c r="J3" s="12"/>
      <c r="K3" s="12"/>
      <c r="L3" s="12"/>
      <c r="M3" s="12"/>
      <c r="N3" s="12">
        <f>K3-J3</f>
        <v>0</v>
      </c>
      <c r="O3" s="12" t="e">
        <f>N3-D3</f>
        <v>#N/A</v>
      </c>
      <c r="P3" s="12">
        <v>6.9444444444444397E-3</v>
      </c>
      <c r="Q3" s="12"/>
      <c r="R3" s="12">
        <f>Q3-P3-K3</f>
        <v>-6.9444444444444397E-3</v>
      </c>
      <c r="S3" s="12"/>
      <c r="T3" s="12" t="e">
        <f>VLOOKUP(E3,'[2]21-3-2026'!E$3:T$35,16,FALSE)</f>
        <v>#N/A</v>
      </c>
      <c r="U3" s="12"/>
      <c r="V3" s="12" t="e">
        <f>U3-T3-S3</f>
        <v>#N/A</v>
      </c>
      <c r="W3" s="12"/>
      <c r="X3" s="12"/>
      <c r="Y3" s="12"/>
      <c r="Z3" s="12">
        <f>Y3-X3</f>
        <v>0</v>
      </c>
      <c r="AA3" s="12">
        <f t="shared" ref="AA3:AA66" si="0">Z3-W3</f>
        <v>0</v>
      </c>
      <c r="AB3" s="12"/>
      <c r="AC3" s="13"/>
      <c r="AD3" s="47" t="s">
        <v>33</v>
      </c>
    </row>
    <row r="4" spans="1:30" ht="19.5" thickBot="1" x14ac:dyDescent="0.3">
      <c r="A4" s="14">
        <v>2</v>
      </c>
      <c r="B4" s="15"/>
      <c r="C4" s="15" t="e">
        <f>VLOOKUP(B4,داتا!$B$3:$D$107,2,FALSE)</f>
        <v>#N/A</v>
      </c>
      <c r="D4" s="34" t="e">
        <f>VLOOKUP(B4,داتا!$B$3:$D$107,3,FALSE)</f>
        <v>#N/A</v>
      </c>
      <c r="E4" s="15"/>
      <c r="F4" s="15"/>
      <c r="G4" s="16">
        <v>0.25</v>
      </c>
      <c r="H4" s="16"/>
      <c r="I4" s="16">
        <f t="shared" ref="I4:I67" si="1">H4-G4</f>
        <v>-0.25</v>
      </c>
      <c r="J4" s="16"/>
      <c r="K4" s="16"/>
      <c r="L4" s="16"/>
      <c r="M4" s="16"/>
      <c r="N4" s="16">
        <f t="shared" ref="N4:N67" si="2">K4-J4</f>
        <v>0</v>
      </c>
      <c r="O4" s="16" t="e">
        <f t="shared" ref="O4:O67" si="3">N4-D4</f>
        <v>#N/A</v>
      </c>
      <c r="P4" s="16">
        <v>6.9444444444444397E-3</v>
      </c>
      <c r="Q4" s="16"/>
      <c r="R4" s="16">
        <f t="shared" ref="R4:R67" si="4">Q4-P4-K4</f>
        <v>-6.9444444444444397E-3</v>
      </c>
      <c r="S4" s="16"/>
      <c r="T4" s="16" t="e">
        <f>VLOOKUP(E4,'[2]21-3-2026'!E$3:T$35,16,FALSE)</f>
        <v>#N/A</v>
      </c>
      <c r="U4" s="16"/>
      <c r="V4" s="16" t="e">
        <f t="shared" ref="V4:V67" si="5">U4-T4-S4</f>
        <v>#N/A</v>
      </c>
      <c r="W4" s="16"/>
      <c r="X4" s="16"/>
      <c r="Y4" s="16"/>
      <c r="Z4" s="16">
        <f t="shared" ref="Z4:Z67" si="6">Y4-X4</f>
        <v>0</v>
      </c>
      <c r="AA4" s="16">
        <f t="shared" si="0"/>
        <v>0</v>
      </c>
      <c r="AB4" s="16"/>
      <c r="AC4" s="17"/>
      <c r="AD4" s="48"/>
    </row>
    <row r="5" spans="1:30" ht="19.5" thickBot="1" x14ac:dyDescent="0.3">
      <c r="A5" s="14">
        <v>3</v>
      </c>
      <c r="B5" s="15"/>
      <c r="C5" s="15" t="e">
        <f>VLOOKUP(B5,داتا!$B$3:$D$107,2,FALSE)</f>
        <v>#N/A</v>
      </c>
      <c r="D5" s="34" t="e">
        <f>VLOOKUP(B5,داتا!$B$3:$D$107,3,FALSE)</f>
        <v>#N/A</v>
      </c>
      <c r="E5" s="15"/>
      <c r="F5" s="15"/>
      <c r="G5" s="16">
        <v>0.25</v>
      </c>
      <c r="H5" s="16"/>
      <c r="I5" s="16">
        <f t="shared" si="1"/>
        <v>-0.25</v>
      </c>
      <c r="J5" s="16"/>
      <c r="K5" s="16"/>
      <c r="L5" s="16"/>
      <c r="M5" s="16"/>
      <c r="N5" s="16">
        <f t="shared" si="2"/>
        <v>0</v>
      </c>
      <c r="O5" s="16" t="e">
        <f t="shared" si="3"/>
        <v>#N/A</v>
      </c>
      <c r="P5" s="16">
        <v>6.9444444444444397E-3</v>
      </c>
      <c r="Q5" s="16"/>
      <c r="R5" s="16">
        <f t="shared" si="4"/>
        <v>-6.9444444444444397E-3</v>
      </c>
      <c r="S5" s="16"/>
      <c r="T5" s="16" t="e">
        <f>VLOOKUP(E5,'[2]21-3-2026'!E$3:T$35,16,FALSE)</f>
        <v>#N/A</v>
      </c>
      <c r="U5" s="16"/>
      <c r="V5" s="16" t="e">
        <f t="shared" si="5"/>
        <v>#N/A</v>
      </c>
      <c r="W5" s="16"/>
      <c r="X5" s="16"/>
      <c r="Y5" s="16"/>
      <c r="Z5" s="16">
        <f t="shared" si="6"/>
        <v>0</v>
      </c>
      <c r="AA5" s="16">
        <f t="shared" si="0"/>
        <v>0</v>
      </c>
      <c r="AB5" s="16"/>
      <c r="AC5" s="17"/>
      <c r="AD5" s="48"/>
    </row>
    <row r="6" spans="1:30" ht="19.5" thickBot="1" x14ac:dyDescent="0.3">
      <c r="A6" s="14">
        <v>4</v>
      </c>
      <c r="B6" s="15"/>
      <c r="C6" s="15" t="e">
        <f>VLOOKUP(B6,داتا!$B$3:$D$107,2,FALSE)</f>
        <v>#N/A</v>
      </c>
      <c r="D6" s="34" t="e">
        <f>VLOOKUP(B6,داتا!$B$3:$D$107,3,FALSE)</f>
        <v>#N/A</v>
      </c>
      <c r="E6" s="15"/>
      <c r="F6" s="15"/>
      <c r="G6" s="16">
        <v>0.25</v>
      </c>
      <c r="H6" s="16"/>
      <c r="I6" s="16">
        <f t="shared" si="1"/>
        <v>-0.25</v>
      </c>
      <c r="J6" s="16"/>
      <c r="K6" s="16"/>
      <c r="L6" s="16"/>
      <c r="M6" s="16"/>
      <c r="N6" s="16">
        <f t="shared" si="2"/>
        <v>0</v>
      </c>
      <c r="O6" s="16" t="e">
        <f t="shared" si="3"/>
        <v>#N/A</v>
      </c>
      <c r="P6" s="16">
        <v>6.9444444444444397E-3</v>
      </c>
      <c r="Q6" s="16"/>
      <c r="R6" s="16">
        <f t="shared" si="4"/>
        <v>-6.9444444444444397E-3</v>
      </c>
      <c r="S6" s="16"/>
      <c r="T6" s="16" t="e">
        <f>VLOOKUP(E6,'[2]21-3-2026'!E$3:T$35,16,FALSE)</f>
        <v>#N/A</v>
      </c>
      <c r="U6" s="16"/>
      <c r="V6" s="16" t="e">
        <f t="shared" si="5"/>
        <v>#N/A</v>
      </c>
      <c r="W6" s="16"/>
      <c r="X6" s="16"/>
      <c r="Y6" s="16"/>
      <c r="Z6" s="16">
        <f t="shared" si="6"/>
        <v>0</v>
      </c>
      <c r="AA6" s="16">
        <f t="shared" si="0"/>
        <v>0</v>
      </c>
      <c r="AB6" s="16"/>
      <c r="AC6" s="17"/>
      <c r="AD6" s="48"/>
    </row>
    <row r="7" spans="1:30" ht="19.5" thickBot="1" x14ac:dyDescent="0.3">
      <c r="A7" s="14">
        <v>5</v>
      </c>
      <c r="B7" s="15"/>
      <c r="C7" s="15" t="e">
        <f>VLOOKUP(B7,داتا!$B$3:$D$107,2,FALSE)</f>
        <v>#N/A</v>
      </c>
      <c r="D7" s="34" t="e">
        <f>VLOOKUP(B7,داتا!$B$3:$D$107,3,FALSE)</f>
        <v>#N/A</v>
      </c>
      <c r="E7" s="15"/>
      <c r="F7" s="15"/>
      <c r="G7" s="16">
        <v>0.25</v>
      </c>
      <c r="H7" s="16"/>
      <c r="I7" s="16">
        <f t="shared" si="1"/>
        <v>-0.25</v>
      </c>
      <c r="J7" s="16"/>
      <c r="K7" s="16"/>
      <c r="L7" s="16"/>
      <c r="M7" s="16"/>
      <c r="N7" s="16">
        <f t="shared" si="2"/>
        <v>0</v>
      </c>
      <c r="O7" s="16" t="e">
        <f t="shared" si="3"/>
        <v>#N/A</v>
      </c>
      <c r="P7" s="16">
        <v>6.9444444444444397E-3</v>
      </c>
      <c r="Q7" s="16"/>
      <c r="R7" s="16">
        <f t="shared" si="4"/>
        <v>-6.9444444444444397E-3</v>
      </c>
      <c r="S7" s="16"/>
      <c r="T7" s="16" t="e">
        <f>VLOOKUP(E7,'[2]21-3-2026'!E$3:T$35,16,FALSE)</f>
        <v>#N/A</v>
      </c>
      <c r="U7" s="16"/>
      <c r="V7" s="16" t="e">
        <f t="shared" si="5"/>
        <v>#N/A</v>
      </c>
      <c r="W7" s="16"/>
      <c r="X7" s="16"/>
      <c r="Y7" s="16"/>
      <c r="Z7" s="16">
        <f t="shared" si="6"/>
        <v>0</v>
      </c>
      <c r="AA7" s="16">
        <f t="shared" si="0"/>
        <v>0</v>
      </c>
      <c r="AB7" s="16"/>
      <c r="AC7" s="17"/>
      <c r="AD7" s="48"/>
    </row>
    <row r="8" spans="1:30" ht="19.5" thickBot="1" x14ac:dyDescent="0.3">
      <c r="A8" s="14">
        <v>6</v>
      </c>
      <c r="B8" s="15"/>
      <c r="C8" s="15" t="e">
        <f>VLOOKUP(B8,داتا!$B$3:$D$107,2,FALSE)</f>
        <v>#N/A</v>
      </c>
      <c r="D8" s="34" t="e">
        <f>VLOOKUP(B8,داتا!$B$3:$D$107,3,FALSE)</f>
        <v>#N/A</v>
      </c>
      <c r="E8" s="15"/>
      <c r="F8" s="15"/>
      <c r="G8" s="16">
        <v>0.25</v>
      </c>
      <c r="H8" s="16"/>
      <c r="I8" s="16">
        <f t="shared" si="1"/>
        <v>-0.25</v>
      </c>
      <c r="J8" s="16"/>
      <c r="K8" s="16"/>
      <c r="L8" s="16"/>
      <c r="M8" s="16"/>
      <c r="N8" s="16">
        <f t="shared" si="2"/>
        <v>0</v>
      </c>
      <c r="O8" s="16" t="e">
        <f t="shared" si="3"/>
        <v>#N/A</v>
      </c>
      <c r="P8" s="16">
        <v>6.9444444444444397E-3</v>
      </c>
      <c r="Q8" s="16"/>
      <c r="R8" s="16">
        <f t="shared" si="4"/>
        <v>-6.9444444444444397E-3</v>
      </c>
      <c r="S8" s="16"/>
      <c r="T8" s="16" t="e">
        <f>VLOOKUP(E8,'[2]21-3-2026'!E$3:T$35,16,FALSE)</f>
        <v>#N/A</v>
      </c>
      <c r="U8" s="16"/>
      <c r="V8" s="16" t="e">
        <f t="shared" si="5"/>
        <v>#N/A</v>
      </c>
      <c r="W8" s="16"/>
      <c r="X8" s="16"/>
      <c r="Y8" s="16"/>
      <c r="Z8" s="16">
        <f t="shared" si="6"/>
        <v>0</v>
      </c>
      <c r="AA8" s="16">
        <f t="shared" si="0"/>
        <v>0</v>
      </c>
      <c r="AB8" s="16"/>
      <c r="AC8" s="18"/>
      <c r="AD8" s="48"/>
    </row>
    <row r="9" spans="1:30" ht="19.5" thickBot="1" x14ac:dyDescent="0.3">
      <c r="A9" s="14">
        <v>7</v>
      </c>
      <c r="B9" s="15"/>
      <c r="C9" s="15" t="e">
        <f>VLOOKUP(B9,داتا!$B$3:$D$107,2,FALSE)</f>
        <v>#N/A</v>
      </c>
      <c r="D9" s="34" t="e">
        <f>VLOOKUP(B9,داتا!$B$3:$D$107,3,FALSE)</f>
        <v>#N/A</v>
      </c>
      <c r="E9" s="15"/>
      <c r="F9" s="15"/>
      <c r="G9" s="16">
        <v>0.25</v>
      </c>
      <c r="H9" s="16"/>
      <c r="I9" s="16">
        <f t="shared" si="1"/>
        <v>-0.25</v>
      </c>
      <c r="J9" s="16"/>
      <c r="K9" s="16"/>
      <c r="L9" s="16"/>
      <c r="M9" s="16"/>
      <c r="N9" s="16">
        <f t="shared" si="2"/>
        <v>0</v>
      </c>
      <c r="O9" s="16" t="e">
        <f t="shared" si="3"/>
        <v>#N/A</v>
      </c>
      <c r="P9" s="16">
        <v>6.9444444444444397E-3</v>
      </c>
      <c r="Q9" s="16"/>
      <c r="R9" s="16">
        <f t="shared" si="4"/>
        <v>-6.9444444444444397E-3</v>
      </c>
      <c r="S9" s="16"/>
      <c r="T9" s="16" t="e">
        <f>VLOOKUP(E9,'[2]21-3-2026'!E$3:T$35,16,FALSE)</f>
        <v>#N/A</v>
      </c>
      <c r="U9" s="16"/>
      <c r="V9" s="16" t="e">
        <f t="shared" si="5"/>
        <v>#N/A</v>
      </c>
      <c r="W9" s="16"/>
      <c r="X9" s="16"/>
      <c r="Y9" s="16"/>
      <c r="Z9" s="16">
        <f t="shared" si="6"/>
        <v>0</v>
      </c>
      <c r="AA9" s="16">
        <f t="shared" si="0"/>
        <v>0</v>
      </c>
      <c r="AB9" s="16"/>
      <c r="AC9" s="17"/>
      <c r="AD9" s="48"/>
    </row>
    <row r="10" spans="1:30" ht="19.5" thickBot="1" x14ac:dyDescent="0.3">
      <c r="A10" s="14">
        <v>8</v>
      </c>
      <c r="B10" s="15"/>
      <c r="C10" s="15" t="e">
        <f>VLOOKUP(B10,داتا!$B$3:$D$107,2,FALSE)</f>
        <v>#N/A</v>
      </c>
      <c r="D10" s="34" t="e">
        <f>VLOOKUP(B10,داتا!$B$3:$D$107,3,FALSE)</f>
        <v>#N/A</v>
      </c>
      <c r="E10" s="15"/>
      <c r="F10" s="15"/>
      <c r="G10" s="16">
        <v>0.25</v>
      </c>
      <c r="H10" s="16"/>
      <c r="I10" s="16">
        <f t="shared" si="1"/>
        <v>-0.25</v>
      </c>
      <c r="J10" s="16"/>
      <c r="K10" s="16"/>
      <c r="L10" s="16"/>
      <c r="M10" s="16"/>
      <c r="N10" s="16">
        <f t="shared" si="2"/>
        <v>0</v>
      </c>
      <c r="O10" s="16" t="e">
        <f t="shared" si="3"/>
        <v>#N/A</v>
      </c>
      <c r="P10" s="16">
        <v>6.9444444444444397E-3</v>
      </c>
      <c r="Q10" s="16"/>
      <c r="R10" s="16">
        <f t="shared" si="4"/>
        <v>-6.9444444444444397E-3</v>
      </c>
      <c r="S10" s="16"/>
      <c r="T10" s="16" t="e">
        <f>VLOOKUP(E10,'[2]21-3-2026'!E$3:T$35,16,FALSE)</f>
        <v>#N/A</v>
      </c>
      <c r="U10" s="16"/>
      <c r="V10" s="16" t="e">
        <f t="shared" si="5"/>
        <v>#N/A</v>
      </c>
      <c r="W10" s="16"/>
      <c r="X10" s="16"/>
      <c r="Y10" s="16"/>
      <c r="Z10" s="16">
        <f t="shared" si="6"/>
        <v>0</v>
      </c>
      <c r="AA10" s="16">
        <f t="shared" si="0"/>
        <v>0</v>
      </c>
      <c r="AB10" s="16"/>
      <c r="AC10" s="17"/>
      <c r="AD10" s="48"/>
    </row>
    <row r="11" spans="1:30" ht="19.5" thickBot="1" x14ac:dyDescent="0.3">
      <c r="A11" s="14">
        <v>9</v>
      </c>
      <c r="B11" s="15"/>
      <c r="C11" s="15" t="e">
        <f>VLOOKUP(B11,داتا!$B$3:$D$107,2,FALSE)</f>
        <v>#N/A</v>
      </c>
      <c r="D11" s="34" t="e">
        <f>VLOOKUP(B11,داتا!$B$3:$D$107,3,FALSE)</f>
        <v>#N/A</v>
      </c>
      <c r="E11" s="15"/>
      <c r="F11" s="15"/>
      <c r="G11" s="16">
        <v>0.25</v>
      </c>
      <c r="H11" s="16"/>
      <c r="I11" s="16">
        <f t="shared" si="1"/>
        <v>-0.25</v>
      </c>
      <c r="J11" s="16"/>
      <c r="K11" s="16"/>
      <c r="L11" s="16"/>
      <c r="M11" s="16"/>
      <c r="N11" s="16">
        <f t="shared" si="2"/>
        <v>0</v>
      </c>
      <c r="O11" s="16" t="e">
        <f t="shared" si="3"/>
        <v>#N/A</v>
      </c>
      <c r="P11" s="16">
        <v>6.9444444444444397E-3</v>
      </c>
      <c r="Q11" s="16"/>
      <c r="R11" s="16">
        <f t="shared" si="4"/>
        <v>-6.9444444444444397E-3</v>
      </c>
      <c r="S11" s="16"/>
      <c r="T11" s="16" t="e">
        <f>VLOOKUP(E11,'[2]21-3-2026'!E$3:T$35,16,FALSE)</f>
        <v>#N/A</v>
      </c>
      <c r="U11" s="16"/>
      <c r="V11" s="16" t="e">
        <f t="shared" si="5"/>
        <v>#N/A</v>
      </c>
      <c r="W11" s="16"/>
      <c r="X11" s="16"/>
      <c r="Y11" s="16"/>
      <c r="Z11" s="16">
        <f t="shared" si="6"/>
        <v>0</v>
      </c>
      <c r="AA11" s="16">
        <f t="shared" si="0"/>
        <v>0</v>
      </c>
      <c r="AB11" s="16"/>
      <c r="AC11" s="17"/>
      <c r="AD11" s="48"/>
    </row>
    <row r="12" spans="1:30" ht="19.5" thickBot="1" x14ac:dyDescent="0.3">
      <c r="A12" s="14">
        <v>10</v>
      </c>
      <c r="B12" s="15"/>
      <c r="C12" s="15" t="e">
        <f>VLOOKUP(B12,داتا!$B$3:$D$107,2,FALSE)</f>
        <v>#N/A</v>
      </c>
      <c r="D12" s="34" t="e">
        <f>VLOOKUP(B12,داتا!$B$3:$D$107,3,FALSE)</f>
        <v>#N/A</v>
      </c>
      <c r="E12" s="15"/>
      <c r="F12" s="15"/>
      <c r="G12" s="16">
        <v>0.25</v>
      </c>
      <c r="H12" s="16"/>
      <c r="I12" s="16">
        <f t="shared" si="1"/>
        <v>-0.25</v>
      </c>
      <c r="J12" s="16"/>
      <c r="K12" s="16"/>
      <c r="L12" s="16"/>
      <c r="M12" s="16"/>
      <c r="N12" s="16">
        <f t="shared" si="2"/>
        <v>0</v>
      </c>
      <c r="O12" s="16" t="e">
        <f t="shared" si="3"/>
        <v>#N/A</v>
      </c>
      <c r="P12" s="16">
        <v>6.9444444444444397E-3</v>
      </c>
      <c r="Q12" s="16"/>
      <c r="R12" s="16">
        <f t="shared" si="4"/>
        <v>-6.9444444444444397E-3</v>
      </c>
      <c r="S12" s="16"/>
      <c r="T12" s="16" t="e">
        <f>VLOOKUP(E12,'[2]21-3-2026'!E$3:T$35,16,FALSE)</f>
        <v>#N/A</v>
      </c>
      <c r="U12" s="16"/>
      <c r="V12" s="16" t="e">
        <f t="shared" si="5"/>
        <v>#N/A</v>
      </c>
      <c r="W12" s="16"/>
      <c r="X12" s="16"/>
      <c r="Y12" s="16"/>
      <c r="Z12" s="16">
        <f t="shared" si="6"/>
        <v>0</v>
      </c>
      <c r="AA12" s="16">
        <f t="shared" si="0"/>
        <v>0</v>
      </c>
      <c r="AB12" s="16"/>
      <c r="AC12" s="17"/>
      <c r="AD12" s="48"/>
    </row>
    <row r="13" spans="1:30" ht="19.5" thickBot="1" x14ac:dyDescent="0.3">
      <c r="A13" s="14">
        <v>11</v>
      </c>
      <c r="B13" s="15"/>
      <c r="C13" s="15" t="e">
        <f>VLOOKUP(B13,داتا!$B$3:$D$107,2,FALSE)</f>
        <v>#N/A</v>
      </c>
      <c r="D13" s="34" t="e">
        <f>VLOOKUP(B13,داتا!$B$3:$D$107,3,FALSE)</f>
        <v>#N/A</v>
      </c>
      <c r="E13" s="15"/>
      <c r="F13" s="15"/>
      <c r="G13" s="16">
        <v>0.25</v>
      </c>
      <c r="H13" s="16"/>
      <c r="I13" s="16">
        <f t="shared" si="1"/>
        <v>-0.25</v>
      </c>
      <c r="J13" s="16"/>
      <c r="K13" s="16"/>
      <c r="L13" s="16"/>
      <c r="M13" s="16"/>
      <c r="N13" s="16">
        <f t="shared" si="2"/>
        <v>0</v>
      </c>
      <c r="O13" s="16" t="e">
        <f t="shared" si="3"/>
        <v>#N/A</v>
      </c>
      <c r="P13" s="16">
        <v>6.9444444444444397E-3</v>
      </c>
      <c r="Q13" s="16"/>
      <c r="R13" s="16">
        <f t="shared" si="4"/>
        <v>-6.9444444444444397E-3</v>
      </c>
      <c r="S13" s="16"/>
      <c r="T13" s="16" t="e">
        <f>VLOOKUP(E13,'[2]21-3-2026'!E$3:T$35,16,FALSE)</f>
        <v>#N/A</v>
      </c>
      <c r="U13" s="16"/>
      <c r="V13" s="16" t="e">
        <f t="shared" si="5"/>
        <v>#N/A</v>
      </c>
      <c r="W13" s="16"/>
      <c r="X13" s="16"/>
      <c r="Y13" s="16"/>
      <c r="Z13" s="16">
        <f t="shared" si="6"/>
        <v>0</v>
      </c>
      <c r="AA13" s="16">
        <f t="shared" si="0"/>
        <v>0</v>
      </c>
      <c r="AB13" s="16"/>
      <c r="AC13" s="18"/>
      <c r="AD13" s="48"/>
    </row>
    <row r="14" spans="1:30" ht="19.5" thickBot="1" x14ac:dyDescent="0.3">
      <c r="A14" s="14">
        <v>12</v>
      </c>
      <c r="B14" s="15"/>
      <c r="C14" s="15" t="e">
        <f>VLOOKUP(B14,داتا!$B$3:$D$107,2,FALSE)</f>
        <v>#N/A</v>
      </c>
      <c r="D14" s="34" t="e">
        <f>VLOOKUP(B14,داتا!$B$3:$D$107,3,FALSE)</f>
        <v>#N/A</v>
      </c>
      <c r="E14" s="15"/>
      <c r="F14" s="15"/>
      <c r="G14" s="16">
        <v>0.25</v>
      </c>
      <c r="H14" s="16"/>
      <c r="I14" s="16">
        <f t="shared" si="1"/>
        <v>-0.25</v>
      </c>
      <c r="J14" s="16"/>
      <c r="K14" s="16"/>
      <c r="L14" s="16"/>
      <c r="M14" s="16"/>
      <c r="N14" s="16">
        <f t="shared" si="2"/>
        <v>0</v>
      </c>
      <c r="O14" s="16" t="e">
        <f t="shared" si="3"/>
        <v>#N/A</v>
      </c>
      <c r="P14" s="16">
        <v>6.9444444444444397E-3</v>
      </c>
      <c r="Q14" s="16"/>
      <c r="R14" s="16">
        <f t="shared" si="4"/>
        <v>-6.9444444444444397E-3</v>
      </c>
      <c r="S14" s="16"/>
      <c r="T14" s="16" t="e">
        <f>VLOOKUP(E14,'[2]21-3-2026'!E$3:T$35,16,FALSE)</f>
        <v>#N/A</v>
      </c>
      <c r="U14" s="16"/>
      <c r="V14" s="16" t="e">
        <f t="shared" si="5"/>
        <v>#N/A</v>
      </c>
      <c r="W14" s="16"/>
      <c r="X14" s="16"/>
      <c r="Y14" s="16"/>
      <c r="Z14" s="16">
        <f t="shared" si="6"/>
        <v>0</v>
      </c>
      <c r="AA14" s="16">
        <f t="shared" si="0"/>
        <v>0</v>
      </c>
      <c r="AB14" s="16"/>
      <c r="AC14" s="17"/>
      <c r="AD14" s="48"/>
    </row>
    <row r="15" spans="1:30" ht="19.5" thickBot="1" x14ac:dyDescent="0.3">
      <c r="A15" s="14">
        <v>13</v>
      </c>
      <c r="B15" s="15"/>
      <c r="C15" s="15" t="e">
        <f>VLOOKUP(B15,داتا!$B$3:$D$107,2,FALSE)</f>
        <v>#N/A</v>
      </c>
      <c r="D15" s="34" t="e">
        <f>VLOOKUP(B15,داتا!$B$3:$D$107,3,FALSE)</f>
        <v>#N/A</v>
      </c>
      <c r="E15" s="15"/>
      <c r="F15" s="15"/>
      <c r="G15" s="16">
        <v>0.25</v>
      </c>
      <c r="H15" s="16"/>
      <c r="I15" s="16">
        <f t="shared" si="1"/>
        <v>-0.25</v>
      </c>
      <c r="J15" s="16"/>
      <c r="K15" s="16"/>
      <c r="L15" s="16"/>
      <c r="M15" s="16"/>
      <c r="N15" s="16">
        <f t="shared" si="2"/>
        <v>0</v>
      </c>
      <c r="O15" s="16" t="e">
        <f t="shared" si="3"/>
        <v>#N/A</v>
      </c>
      <c r="P15" s="16">
        <v>6.9444444444444397E-3</v>
      </c>
      <c r="Q15" s="16"/>
      <c r="R15" s="16">
        <f t="shared" si="4"/>
        <v>-6.9444444444444397E-3</v>
      </c>
      <c r="S15" s="16"/>
      <c r="T15" s="16" t="e">
        <f>VLOOKUP(E15,'[2]21-3-2026'!E$3:T$35,16,FALSE)</f>
        <v>#N/A</v>
      </c>
      <c r="U15" s="16"/>
      <c r="V15" s="16" t="e">
        <f t="shared" si="5"/>
        <v>#N/A</v>
      </c>
      <c r="W15" s="16"/>
      <c r="X15" s="16"/>
      <c r="Y15" s="16"/>
      <c r="Z15" s="16">
        <f t="shared" si="6"/>
        <v>0</v>
      </c>
      <c r="AA15" s="16">
        <f t="shared" si="0"/>
        <v>0</v>
      </c>
      <c r="AB15" s="16"/>
      <c r="AC15" s="17"/>
      <c r="AD15" s="48"/>
    </row>
    <row r="16" spans="1:30" ht="19.5" thickBot="1" x14ac:dyDescent="0.3">
      <c r="A16" s="14">
        <v>14</v>
      </c>
      <c r="B16" s="15"/>
      <c r="C16" s="15" t="e">
        <f>VLOOKUP(B16,داتا!$B$3:$D$107,2,FALSE)</f>
        <v>#N/A</v>
      </c>
      <c r="D16" s="34" t="e">
        <f>VLOOKUP(B16,داتا!$B$3:$D$107,3,FALSE)</f>
        <v>#N/A</v>
      </c>
      <c r="E16" s="15"/>
      <c r="F16" s="15"/>
      <c r="G16" s="16">
        <v>0.25</v>
      </c>
      <c r="H16" s="16"/>
      <c r="I16" s="16">
        <f t="shared" si="1"/>
        <v>-0.25</v>
      </c>
      <c r="J16" s="16"/>
      <c r="K16" s="16"/>
      <c r="L16" s="16"/>
      <c r="M16" s="16"/>
      <c r="N16" s="16">
        <f t="shared" si="2"/>
        <v>0</v>
      </c>
      <c r="O16" s="16" t="e">
        <f t="shared" si="3"/>
        <v>#N/A</v>
      </c>
      <c r="P16" s="16">
        <v>6.9444444444444397E-3</v>
      </c>
      <c r="Q16" s="16"/>
      <c r="R16" s="16">
        <f t="shared" si="4"/>
        <v>-6.9444444444444397E-3</v>
      </c>
      <c r="S16" s="16"/>
      <c r="T16" s="16" t="e">
        <f>VLOOKUP(E16,'[2]21-3-2026'!E$3:T$35,16,FALSE)</f>
        <v>#N/A</v>
      </c>
      <c r="U16" s="16"/>
      <c r="V16" s="16" t="e">
        <f t="shared" si="5"/>
        <v>#N/A</v>
      </c>
      <c r="W16" s="16"/>
      <c r="X16" s="16"/>
      <c r="Y16" s="16"/>
      <c r="Z16" s="16">
        <f t="shared" si="6"/>
        <v>0</v>
      </c>
      <c r="AA16" s="16">
        <f t="shared" si="0"/>
        <v>0</v>
      </c>
      <c r="AB16" s="16"/>
      <c r="AC16" s="17"/>
      <c r="AD16" s="48"/>
    </row>
    <row r="17" spans="1:30" ht="19.5" thickBot="1" x14ac:dyDescent="0.3">
      <c r="A17" s="14">
        <v>15</v>
      </c>
      <c r="B17" s="15"/>
      <c r="C17" s="15" t="e">
        <f>VLOOKUP(B17,داتا!$B$3:$D$107,2,FALSE)</f>
        <v>#N/A</v>
      </c>
      <c r="D17" s="34" t="e">
        <f>VLOOKUP(B17,داتا!$B$3:$D$107,3,FALSE)</f>
        <v>#N/A</v>
      </c>
      <c r="E17" s="15"/>
      <c r="F17" s="15"/>
      <c r="G17" s="16">
        <v>0.25</v>
      </c>
      <c r="H17" s="16"/>
      <c r="I17" s="16">
        <f t="shared" si="1"/>
        <v>-0.25</v>
      </c>
      <c r="J17" s="16"/>
      <c r="K17" s="16"/>
      <c r="L17" s="16"/>
      <c r="M17" s="16"/>
      <c r="N17" s="16">
        <f t="shared" si="2"/>
        <v>0</v>
      </c>
      <c r="O17" s="16" t="e">
        <f t="shared" si="3"/>
        <v>#N/A</v>
      </c>
      <c r="P17" s="16">
        <v>6.9444444444444397E-3</v>
      </c>
      <c r="Q17" s="16"/>
      <c r="R17" s="16">
        <f t="shared" si="4"/>
        <v>-6.9444444444444397E-3</v>
      </c>
      <c r="S17" s="16"/>
      <c r="T17" s="16" t="e">
        <f>VLOOKUP(E17,'[2]21-3-2026'!E$3:T$35,16,FALSE)</f>
        <v>#N/A</v>
      </c>
      <c r="U17" s="16"/>
      <c r="V17" s="16" t="e">
        <f t="shared" si="5"/>
        <v>#N/A</v>
      </c>
      <c r="W17" s="16"/>
      <c r="X17" s="16"/>
      <c r="Y17" s="16"/>
      <c r="Z17" s="16">
        <f t="shared" si="6"/>
        <v>0</v>
      </c>
      <c r="AA17" s="16">
        <f t="shared" si="0"/>
        <v>0</v>
      </c>
      <c r="AB17" s="16"/>
      <c r="AC17" s="17"/>
      <c r="AD17" s="48"/>
    </row>
    <row r="18" spans="1:30" ht="19.5" thickBot="1" x14ac:dyDescent="0.3">
      <c r="A18" s="14">
        <v>16</v>
      </c>
      <c r="B18" s="15"/>
      <c r="C18" s="15" t="e">
        <f>VLOOKUP(B18,داتا!$B$3:$D$107,2,FALSE)</f>
        <v>#N/A</v>
      </c>
      <c r="D18" s="34" t="e">
        <f>VLOOKUP(B18,داتا!$B$3:$D$107,3,FALSE)</f>
        <v>#N/A</v>
      </c>
      <c r="E18" s="16"/>
      <c r="F18" s="15"/>
      <c r="G18" s="16">
        <v>0.25</v>
      </c>
      <c r="H18" s="16"/>
      <c r="I18" s="16">
        <f t="shared" si="1"/>
        <v>-0.25</v>
      </c>
      <c r="J18" s="16"/>
      <c r="K18" s="16"/>
      <c r="L18" s="16"/>
      <c r="M18" s="16"/>
      <c r="N18" s="16">
        <f t="shared" si="2"/>
        <v>0</v>
      </c>
      <c r="O18" s="16" t="e">
        <f t="shared" si="3"/>
        <v>#N/A</v>
      </c>
      <c r="P18" s="16">
        <v>6.9444444444444397E-3</v>
      </c>
      <c r="Q18" s="16"/>
      <c r="R18" s="16">
        <f t="shared" si="4"/>
        <v>-6.9444444444444397E-3</v>
      </c>
      <c r="S18" s="16"/>
      <c r="T18" s="16" t="e">
        <f>VLOOKUP(E18,'[2]21-3-2026'!E$3:T$35,16,FALSE)</f>
        <v>#N/A</v>
      </c>
      <c r="U18" s="16"/>
      <c r="V18" s="16" t="e">
        <f t="shared" si="5"/>
        <v>#N/A</v>
      </c>
      <c r="W18" s="16"/>
      <c r="X18" s="16"/>
      <c r="Y18" s="16"/>
      <c r="Z18" s="16">
        <f t="shared" si="6"/>
        <v>0</v>
      </c>
      <c r="AA18" s="16">
        <f t="shared" si="0"/>
        <v>0</v>
      </c>
      <c r="AB18" s="16"/>
      <c r="AC18" s="17"/>
      <c r="AD18" s="48"/>
    </row>
    <row r="19" spans="1:30" ht="19.5" thickBot="1" x14ac:dyDescent="0.3">
      <c r="A19" s="14">
        <v>17</v>
      </c>
      <c r="B19" s="15"/>
      <c r="C19" s="15" t="e">
        <f>VLOOKUP(B19,داتا!$B$3:$D$107,2,FALSE)</f>
        <v>#N/A</v>
      </c>
      <c r="D19" s="34" t="e">
        <f>VLOOKUP(B19,داتا!$B$3:$D$107,3,FALSE)</f>
        <v>#N/A</v>
      </c>
      <c r="E19" s="15"/>
      <c r="F19" s="15"/>
      <c r="G19" s="16">
        <v>0.25</v>
      </c>
      <c r="H19" s="16"/>
      <c r="I19" s="16">
        <f t="shared" si="1"/>
        <v>-0.25</v>
      </c>
      <c r="J19" s="16"/>
      <c r="K19" s="16"/>
      <c r="L19" s="16"/>
      <c r="M19" s="16"/>
      <c r="N19" s="16">
        <f t="shared" si="2"/>
        <v>0</v>
      </c>
      <c r="O19" s="16" t="e">
        <f t="shared" si="3"/>
        <v>#N/A</v>
      </c>
      <c r="P19" s="16">
        <v>6.9444444444444397E-3</v>
      </c>
      <c r="Q19" s="16"/>
      <c r="R19" s="16">
        <f t="shared" si="4"/>
        <v>-6.9444444444444397E-3</v>
      </c>
      <c r="S19" s="16"/>
      <c r="T19" s="16" t="e">
        <f>VLOOKUP(E19,'[2]21-3-2026'!E$3:T$35,16,FALSE)</f>
        <v>#N/A</v>
      </c>
      <c r="U19" s="16"/>
      <c r="V19" s="16" t="e">
        <f t="shared" si="5"/>
        <v>#N/A</v>
      </c>
      <c r="W19" s="16"/>
      <c r="X19" s="16"/>
      <c r="Y19" s="16"/>
      <c r="Z19" s="16">
        <f t="shared" si="6"/>
        <v>0</v>
      </c>
      <c r="AA19" s="16">
        <f t="shared" si="0"/>
        <v>0</v>
      </c>
      <c r="AB19" s="16"/>
      <c r="AC19" s="17"/>
      <c r="AD19" s="48"/>
    </row>
    <row r="20" spans="1:30" ht="19.5" thickBot="1" x14ac:dyDescent="0.3">
      <c r="A20" s="14">
        <v>18</v>
      </c>
      <c r="B20" s="15"/>
      <c r="C20" s="15" t="e">
        <f>VLOOKUP(B20,داتا!$B$3:$D$107,2,FALSE)</f>
        <v>#N/A</v>
      </c>
      <c r="D20" s="34" t="e">
        <f>VLOOKUP(B20,داتا!$B$3:$D$107,3,FALSE)</f>
        <v>#N/A</v>
      </c>
      <c r="E20" s="15"/>
      <c r="F20" s="15"/>
      <c r="G20" s="16">
        <v>0.25</v>
      </c>
      <c r="H20" s="16"/>
      <c r="I20" s="16">
        <f t="shared" si="1"/>
        <v>-0.25</v>
      </c>
      <c r="J20" s="16"/>
      <c r="K20" s="16"/>
      <c r="L20" s="16"/>
      <c r="M20" s="16"/>
      <c r="N20" s="16">
        <f t="shared" si="2"/>
        <v>0</v>
      </c>
      <c r="O20" s="16" t="e">
        <f t="shared" si="3"/>
        <v>#N/A</v>
      </c>
      <c r="P20" s="16">
        <v>6.9444444444444397E-3</v>
      </c>
      <c r="Q20" s="16"/>
      <c r="R20" s="16">
        <f t="shared" si="4"/>
        <v>-6.9444444444444397E-3</v>
      </c>
      <c r="S20" s="16"/>
      <c r="T20" s="16" t="e">
        <f>VLOOKUP(E20,'[2]21-3-2026'!E$3:T$35,16,FALSE)</f>
        <v>#N/A</v>
      </c>
      <c r="U20" s="16"/>
      <c r="V20" s="16" t="e">
        <f t="shared" si="5"/>
        <v>#N/A</v>
      </c>
      <c r="W20" s="16"/>
      <c r="X20" s="16"/>
      <c r="Y20" s="16"/>
      <c r="Z20" s="16">
        <f t="shared" si="6"/>
        <v>0</v>
      </c>
      <c r="AA20" s="16">
        <f t="shared" si="0"/>
        <v>0</v>
      </c>
      <c r="AB20" s="16"/>
      <c r="AC20" s="17"/>
      <c r="AD20" s="48"/>
    </row>
    <row r="21" spans="1:30" ht="19.5" thickBot="1" x14ac:dyDescent="0.3">
      <c r="A21" s="14">
        <v>19</v>
      </c>
      <c r="B21" s="15"/>
      <c r="C21" s="15" t="e">
        <f>VLOOKUP(B21,داتا!$B$3:$D$107,2,FALSE)</f>
        <v>#N/A</v>
      </c>
      <c r="D21" s="34" t="e">
        <f>VLOOKUP(B21,داتا!$B$3:$D$107,3,FALSE)</f>
        <v>#N/A</v>
      </c>
      <c r="E21" s="15"/>
      <c r="F21" s="15"/>
      <c r="G21" s="16">
        <v>0.25</v>
      </c>
      <c r="H21" s="16"/>
      <c r="I21" s="16">
        <f t="shared" si="1"/>
        <v>-0.25</v>
      </c>
      <c r="J21" s="16"/>
      <c r="K21" s="16"/>
      <c r="L21" s="16"/>
      <c r="M21" s="16"/>
      <c r="N21" s="16">
        <f t="shared" si="2"/>
        <v>0</v>
      </c>
      <c r="O21" s="16" t="e">
        <f t="shared" si="3"/>
        <v>#N/A</v>
      </c>
      <c r="P21" s="16">
        <v>6.9444444444444397E-3</v>
      </c>
      <c r="Q21" s="16"/>
      <c r="R21" s="16">
        <f t="shared" si="4"/>
        <v>-6.9444444444444397E-3</v>
      </c>
      <c r="S21" s="16"/>
      <c r="T21" s="16" t="e">
        <f>VLOOKUP(E21,'[2]21-3-2026'!E$3:T$35,16,FALSE)</f>
        <v>#N/A</v>
      </c>
      <c r="U21" s="16"/>
      <c r="V21" s="16" t="e">
        <f t="shared" si="5"/>
        <v>#N/A</v>
      </c>
      <c r="W21" s="16"/>
      <c r="X21" s="16"/>
      <c r="Y21" s="16"/>
      <c r="Z21" s="16">
        <f t="shared" si="6"/>
        <v>0</v>
      </c>
      <c r="AA21" s="16">
        <f t="shared" si="0"/>
        <v>0</v>
      </c>
      <c r="AB21" s="16"/>
      <c r="AC21" s="17"/>
      <c r="AD21" s="48"/>
    </row>
    <row r="22" spans="1:30" ht="19.5" thickBot="1" x14ac:dyDescent="0.3">
      <c r="A22" s="14">
        <v>20</v>
      </c>
      <c r="B22" s="15"/>
      <c r="C22" s="15" t="e">
        <f>VLOOKUP(B22,داتا!$B$3:$D$107,2,FALSE)</f>
        <v>#N/A</v>
      </c>
      <c r="D22" s="34" t="e">
        <f>VLOOKUP(B22,داتا!$B$3:$D$107,3,FALSE)</f>
        <v>#N/A</v>
      </c>
      <c r="E22" s="15"/>
      <c r="F22" s="15"/>
      <c r="G22" s="16">
        <v>0.25</v>
      </c>
      <c r="H22" s="16"/>
      <c r="I22" s="16">
        <f t="shared" si="1"/>
        <v>-0.25</v>
      </c>
      <c r="J22" s="16"/>
      <c r="K22" s="16"/>
      <c r="L22" s="16"/>
      <c r="M22" s="16"/>
      <c r="N22" s="16">
        <f t="shared" si="2"/>
        <v>0</v>
      </c>
      <c r="O22" s="16" t="e">
        <f t="shared" si="3"/>
        <v>#N/A</v>
      </c>
      <c r="P22" s="16">
        <v>6.9444444444444397E-3</v>
      </c>
      <c r="Q22" s="16"/>
      <c r="R22" s="16">
        <f t="shared" si="4"/>
        <v>-6.9444444444444397E-3</v>
      </c>
      <c r="S22" s="16"/>
      <c r="T22" s="16" t="e">
        <f>VLOOKUP(E22,'[2]21-3-2026'!E$3:T$35,16,FALSE)</f>
        <v>#N/A</v>
      </c>
      <c r="U22" s="16"/>
      <c r="V22" s="16" t="e">
        <f t="shared" si="5"/>
        <v>#N/A</v>
      </c>
      <c r="W22" s="16"/>
      <c r="X22" s="16"/>
      <c r="Y22" s="16"/>
      <c r="Z22" s="16">
        <f t="shared" si="6"/>
        <v>0</v>
      </c>
      <c r="AA22" s="16">
        <f t="shared" si="0"/>
        <v>0</v>
      </c>
      <c r="AB22" s="16"/>
      <c r="AC22" s="17"/>
      <c r="AD22" s="48"/>
    </row>
    <row r="23" spans="1:30" ht="19.5" thickBot="1" x14ac:dyDescent="0.3">
      <c r="A23" s="14">
        <v>21</v>
      </c>
      <c r="B23" s="15"/>
      <c r="C23" s="15" t="e">
        <f>VLOOKUP(B23,داتا!$B$3:$D$107,2,FALSE)</f>
        <v>#N/A</v>
      </c>
      <c r="D23" s="34" t="e">
        <f>VLOOKUP(B23,داتا!$B$3:$D$107,3,FALSE)</f>
        <v>#N/A</v>
      </c>
      <c r="E23" s="15"/>
      <c r="F23" s="15"/>
      <c r="G23" s="16">
        <v>0.25</v>
      </c>
      <c r="H23" s="16"/>
      <c r="I23" s="16">
        <f t="shared" si="1"/>
        <v>-0.25</v>
      </c>
      <c r="J23" s="16"/>
      <c r="K23" s="16"/>
      <c r="L23" s="16"/>
      <c r="M23" s="16"/>
      <c r="N23" s="16">
        <f t="shared" si="2"/>
        <v>0</v>
      </c>
      <c r="O23" s="16" t="e">
        <f t="shared" si="3"/>
        <v>#N/A</v>
      </c>
      <c r="P23" s="16">
        <v>6.9444444444444397E-3</v>
      </c>
      <c r="Q23" s="16"/>
      <c r="R23" s="16">
        <f t="shared" si="4"/>
        <v>-6.9444444444444397E-3</v>
      </c>
      <c r="S23" s="16"/>
      <c r="T23" s="16" t="e">
        <f>VLOOKUP(E23,'[2]21-3-2026'!E$3:T$35,16,FALSE)</f>
        <v>#N/A</v>
      </c>
      <c r="U23" s="16"/>
      <c r="V23" s="16" t="e">
        <f t="shared" si="5"/>
        <v>#N/A</v>
      </c>
      <c r="W23" s="16"/>
      <c r="X23" s="16"/>
      <c r="Y23" s="16"/>
      <c r="Z23" s="16">
        <f t="shared" si="6"/>
        <v>0</v>
      </c>
      <c r="AA23" s="16">
        <f t="shared" si="0"/>
        <v>0</v>
      </c>
      <c r="AB23" s="16"/>
      <c r="AC23" s="17"/>
      <c r="AD23" s="48"/>
    </row>
    <row r="24" spans="1:30" ht="19.5" thickBot="1" x14ac:dyDescent="0.3">
      <c r="A24" s="14">
        <v>22</v>
      </c>
      <c r="B24" s="15"/>
      <c r="C24" s="15" t="e">
        <f>VLOOKUP(B24,داتا!$B$3:$D$107,2,FALSE)</f>
        <v>#N/A</v>
      </c>
      <c r="D24" s="34" t="e">
        <f>VLOOKUP(B24,داتا!$B$3:$D$107,3,FALSE)</f>
        <v>#N/A</v>
      </c>
      <c r="E24" s="15"/>
      <c r="F24" s="16"/>
      <c r="G24" s="16">
        <v>0.25</v>
      </c>
      <c r="H24" s="16"/>
      <c r="I24" s="16">
        <f t="shared" si="1"/>
        <v>-0.25</v>
      </c>
      <c r="J24" s="16"/>
      <c r="K24" s="16"/>
      <c r="L24" s="16"/>
      <c r="M24" s="16"/>
      <c r="N24" s="16">
        <f t="shared" si="2"/>
        <v>0</v>
      </c>
      <c r="O24" s="16" t="e">
        <f t="shared" si="3"/>
        <v>#N/A</v>
      </c>
      <c r="P24" s="16">
        <v>6.9444444444444397E-3</v>
      </c>
      <c r="Q24" s="16"/>
      <c r="R24" s="16">
        <f t="shared" si="4"/>
        <v>-6.9444444444444397E-3</v>
      </c>
      <c r="S24" s="16"/>
      <c r="T24" s="16" t="e">
        <f>VLOOKUP(E24,'[2]21-3-2026'!E$3:T$35,16,FALSE)</f>
        <v>#N/A</v>
      </c>
      <c r="U24" s="16"/>
      <c r="V24" s="16" t="e">
        <f t="shared" si="5"/>
        <v>#N/A</v>
      </c>
      <c r="W24" s="16"/>
      <c r="X24" s="16"/>
      <c r="Y24" s="16"/>
      <c r="Z24" s="16">
        <f t="shared" si="6"/>
        <v>0</v>
      </c>
      <c r="AA24" s="16">
        <f t="shared" si="0"/>
        <v>0</v>
      </c>
      <c r="AB24" s="16"/>
      <c r="AC24" s="17"/>
      <c r="AD24" s="48"/>
    </row>
    <row r="25" spans="1:30" ht="19.5" thickBot="1" x14ac:dyDescent="0.3">
      <c r="A25" s="14">
        <v>23</v>
      </c>
      <c r="B25" s="15"/>
      <c r="C25" s="15" t="e">
        <f>VLOOKUP(B25,داتا!$B$3:$D$107,2,FALSE)</f>
        <v>#N/A</v>
      </c>
      <c r="D25" s="34" t="e">
        <f>VLOOKUP(B25,داتا!$B$3:$D$107,3,FALSE)</f>
        <v>#N/A</v>
      </c>
      <c r="E25" s="15"/>
      <c r="F25" s="15"/>
      <c r="G25" s="16">
        <v>0.25</v>
      </c>
      <c r="H25" s="16"/>
      <c r="I25" s="16">
        <f t="shared" si="1"/>
        <v>-0.25</v>
      </c>
      <c r="J25" s="16"/>
      <c r="K25" s="16"/>
      <c r="L25" s="16"/>
      <c r="M25" s="16"/>
      <c r="N25" s="16">
        <f t="shared" si="2"/>
        <v>0</v>
      </c>
      <c r="O25" s="16" t="e">
        <f t="shared" si="3"/>
        <v>#N/A</v>
      </c>
      <c r="P25" s="16">
        <v>6.9444444444444397E-3</v>
      </c>
      <c r="Q25" s="16"/>
      <c r="R25" s="16">
        <f t="shared" si="4"/>
        <v>-6.9444444444444397E-3</v>
      </c>
      <c r="S25" s="16"/>
      <c r="T25" s="16" t="e">
        <f>VLOOKUP(E25,'[2]21-3-2026'!E$3:T$35,16,FALSE)</f>
        <v>#N/A</v>
      </c>
      <c r="U25" s="16"/>
      <c r="V25" s="16" t="e">
        <f t="shared" si="5"/>
        <v>#N/A</v>
      </c>
      <c r="W25" s="16"/>
      <c r="X25" s="16"/>
      <c r="Y25" s="16"/>
      <c r="Z25" s="16">
        <f t="shared" si="6"/>
        <v>0</v>
      </c>
      <c r="AA25" s="16">
        <f t="shared" si="0"/>
        <v>0</v>
      </c>
      <c r="AB25" s="16"/>
      <c r="AC25" s="19"/>
      <c r="AD25" s="48"/>
    </row>
    <row r="26" spans="1:30" ht="19.5" thickBot="1" x14ac:dyDescent="0.3">
      <c r="A26" s="14">
        <v>24</v>
      </c>
      <c r="B26" s="15"/>
      <c r="C26" s="15" t="e">
        <f>VLOOKUP(B26,داتا!$B$3:$D$107,2,FALSE)</f>
        <v>#N/A</v>
      </c>
      <c r="D26" s="34" t="e">
        <f>VLOOKUP(B26,داتا!$B$3:$D$107,3,FALSE)</f>
        <v>#N/A</v>
      </c>
      <c r="E26" s="15"/>
      <c r="F26" s="15"/>
      <c r="G26" s="16">
        <v>0.25</v>
      </c>
      <c r="H26" s="16"/>
      <c r="I26" s="16">
        <f t="shared" si="1"/>
        <v>-0.25</v>
      </c>
      <c r="J26" s="16"/>
      <c r="K26" s="16"/>
      <c r="L26" s="16"/>
      <c r="M26" s="16"/>
      <c r="N26" s="16">
        <f t="shared" si="2"/>
        <v>0</v>
      </c>
      <c r="O26" s="16" t="e">
        <f t="shared" si="3"/>
        <v>#N/A</v>
      </c>
      <c r="P26" s="16">
        <v>6.9444444444444397E-3</v>
      </c>
      <c r="Q26" s="16"/>
      <c r="R26" s="16">
        <f t="shared" si="4"/>
        <v>-6.9444444444444397E-3</v>
      </c>
      <c r="S26" s="16"/>
      <c r="T26" s="16" t="e">
        <f>VLOOKUP(E26,'[2]21-3-2026'!E$3:T$35,16,FALSE)</f>
        <v>#N/A</v>
      </c>
      <c r="U26" s="16"/>
      <c r="V26" s="16" t="e">
        <f t="shared" si="5"/>
        <v>#N/A</v>
      </c>
      <c r="W26" s="16"/>
      <c r="X26" s="16"/>
      <c r="Y26" s="16"/>
      <c r="Z26" s="16">
        <f t="shared" si="6"/>
        <v>0</v>
      </c>
      <c r="AA26" s="16">
        <f t="shared" si="0"/>
        <v>0</v>
      </c>
      <c r="AB26" s="16"/>
      <c r="AC26" s="19"/>
      <c r="AD26" s="48"/>
    </row>
    <row r="27" spans="1:30" ht="19.5" thickBot="1" x14ac:dyDescent="0.3">
      <c r="A27" s="14">
        <v>25</v>
      </c>
      <c r="B27" s="15"/>
      <c r="C27" s="15" t="e">
        <f>VLOOKUP(B27,داتا!$B$3:$D$107,2,FALSE)</f>
        <v>#N/A</v>
      </c>
      <c r="D27" s="34" t="e">
        <f>VLOOKUP(B27,داتا!$B$3:$D$107,3,FALSE)</f>
        <v>#N/A</v>
      </c>
      <c r="E27" s="15"/>
      <c r="F27" s="15"/>
      <c r="G27" s="16">
        <v>0.25</v>
      </c>
      <c r="H27" s="16"/>
      <c r="I27" s="16">
        <f t="shared" si="1"/>
        <v>-0.25</v>
      </c>
      <c r="J27" s="16"/>
      <c r="K27" s="16"/>
      <c r="L27" s="16"/>
      <c r="M27" s="16"/>
      <c r="N27" s="16">
        <f t="shared" si="2"/>
        <v>0</v>
      </c>
      <c r="O27" s="16" t="e">
        <f t="shared" si="3"/>
        <v>#N/A</v>
      </c>
      <c r="P27" s="16">
        <v>6.9444444444444397E-3</v>
      </c>
      <c r="Q27" s="16"/>
      <c r="R27" s="16">
        <f t="shared" si="4"/>
        <v>-6.9444444444444397E-3</v>
      </c>
      <c r="S27" s="16"/>
      <c r="T27" s="16" t="e">
        <f>VLOOKUP(E27,'[2]21-3-2026'!E$3:T$35,16,FALSE)</f>
        <v>#N/A</v>
      </c>
      <c r="U27" s="16"/>
      <c r="V27" s="16" t="e">
        <f t="shared" si="5"/>
        <v>#N/A</v>
      </c>
      <c r="W27" s="16"/>
      <c r="X27" s="16"/>
      <c r="Y27" s="16"/>
      <c r="Z27" s="16">
        <f t="shared" si="6"/>
        <v>0</v>
      </c>
      <c r="AA27" s="16">
        <f t="shared" si="0"/>
        <v>0</v>
      </c>
      <c r="AB27" s="16"/>
      <c r="AC27" s="19"/>
      <c r="AD27" s="48"/>
    </row>
    <row r="28" spans="1:30" ht="19.5" thickBot="1" x14ac:dyDescent="0.3">
      <c r="A28" s="14">
        <v>26</v>
      </c>
      <c r="B28" s="15"/>
      <c r="C28" s="15" t="e">
        <f>VLOOKUP(B28,داتا!$B$3:$D$107,2,FALSE)</f>
        <v>#N/A</v>
      </c>
      <c r="D28" s="34" t="e">
        <f>VLOOKUP(B28,داتا!$B$3:$D$107,3,FALSE)</f>
        <v>#N/A</v>
      </c>
      <c r="E28" s="15"/>
      <c r="F28" s="15"/>
      <c r="G28" s="16">
        <v>0.25</v>
      </c>
      <c r="H28" s="16"/>
      <c r="I28" s="16">
        <f t="shared" si="1"/>
        <v>-0.25</v>
      </c>
      <c r="J28" s="16"/>
      <c r="K28" s="16"/>
      <c r="L28" s="16"/>
      <c r="M28" s="16"/>
      <c r="N28" s="16">
        <f t="shared" si="2"/>
        <v>0</v>
      </c>
      <c r="O28" s="16" t="e">
        <f t="shared" si="3"/>
        <v>#N/A</v>
      </c>
      <c r="P28" s="16">
        <v>6.9444444444444397E-3</v>
      </c>
      <c r="Q28" s="16"/>
      <c r="R28" s="16">
        <f t="shared" si="4"/>
        <v>-6.9444444444444397E-3</v>
      </c>
      <c r="S28" s="16"/>
      <c r="T28" s="16" t="e">
        <f>VLOOKUP(E28,'[2]21-3-2026'!E$3:T$35,16,FALSE)</f>
        <v>#N/A</v>
      </c>
      <c r="U28" s="16"/>
      <c r="V28" s="16" t="e">
        <f t="shared" si="5"/>
        <v>#N/A</v>
      </c>
      <c r="W28" s="16"/>
      <c r="X28" s="16"/>
      <c r="Y28" s="16"/>
      <c r="Z28" s="16">
        <f t="shared" si="6"/>
        <v>0</v>
      </c>
      <c r="AA28" s="16">
        <f t="shared" si="0"/>
        <v>0</v>
      </c>
      <c r="AB28" s="16"/>
      <c r="AC28" s="17"/>
      <c r="AD28" s="48"/>
    </row>
    <row r="29" spans="1:30" ht="19.5" thickBot="1" x14ac:dyDescent="0.3">
      <c r="A29" s="14">
        <v>27</v>
      </c>
      <c r="B29" s="15"/>
      <c r="C29" s="15" t="e">
        <f>VLOOKUP(B29,داتا!$B$3:$D$107,2,FALSE)</f>
        <v>#N/A</v>
      </c>
      <c r="D29" s="34" t="e">
        <f>VLOOKUP(B29,داتا!$B$3:$D$107,3,FALSE)</f>
        <v>#N/A</v>
      </c>
      <c r="E29" s="15"/>
      <c r="F29" s="15"/>
      <c r="G29" s="16">
        <v>0.25</v>
      </c>
      <c r="H29" s="16"/>
      <c r="I29" s="16">
        <f t="shared" si="1"/>
        <v>-0.25</v>
      </c>
      <c r="J29" s="16"/>
      <c r="K29" s="16"/>
      <c r="L29" s="16"/>
      <c r="M29" s="16"/>
      <c r="N29" s="16">
        <f t="shared" si="2"/>
        <v>0</v>
      </c>
      <c r="O29" s="16" t="e">
        <f t="shared" si="3"/>
        <v>#N/A</v>
      </c>
      <c r="P29" s="16">
        <v>6.9444444444444397E-3</v>
      </c>
      <c r="Q29" s="16"/>
      <c r="R29" s="16">
        <f t="shared" si="4"/>
        <v>-6.9444444444444397E-3</v>
      </c>
      <c r="S29" s="16"/>
      <c r="T29" s="16" t="e">
        <f>VLOOKUP(E29,'[2]21-3-2026'!E$3:T$35,16,FALSE)</f>
        <v>#N/A</v>
      </c>
      <c r="U29" s="16"/>
      <c r="V29" s="16" t="e">
        <f t="shared" si="5"/>
        <v>#N/A</v>
      </c>
      <c r="W29" s="16"/>
      <c r="X29" s="16"/>
      <c r="Y29" s="16"/>
      <c r="Z29" s="16">
        <f t="shared" si="6"/>
        <v>0</v>
      </c>
      <c r="AA29" s="16">
        <f t="shared" si="0"/>
        <v>0</v>
      </c>
      <c r="AB29" s="16"/>
      <c r="AC29" s="18"/>
      <c r="AD29" s="48"/>
    </row>
    <row r="30" spans="1:30" ht="19.5" thickBot="1" x14ac:dyDescent="0.3">
      <c r="A30" s="14">
        <v>28</v>
      </c>
      <c r="B30" s="15"/>
      <c r="C30" s="15" t="e">
        <f>VLOOKUP(B30,داتا!$B$3:$D$107,2,FALSE)</f>
        <v>#N/A</v>
      </c>
      <c r="D30" s="34" t="e">
        <f>VLOOKUP(B30,داتا!$B$3:$D$107,3,FALSE)</f>
        <v>#N/A</v>
      </c>
      <c r="E30" s="15"/>
      <c r="F30" s="15"/>
      <c r="G30" s="16">
        <v>0.25</v>
      </c>
      <c r="H30" s="16"/>
      <c r="I30" s="16">
        <f t="shared" si="1"/>
        <v>-0.25</v>
      </c>
      <c r="J30" s="16"/>
      <c r="K30" s="16"/>
      <c r="L30" s="16"/>
      <c r="M30" s="16"/>
      <c r="N30" s="16">
        <f t="shared" si="2"/>
        <v>0</v>
      </c>
      <c r="O30" s="16" t="e">
        <f t="shared" si="3"/>
        <v>#N/A</v>
      </c>
      <c r="P30" s="16">
        <v>6.9444444444444397E-3</v>
      </c>
      <c r="Q30" s="16"/>
      <c r="R30" s="16">
        <f t="shared" si="4"/>
        <v>-6.9444444444444397E-3</v>
      </c>
      <c r="S30" s="16"/>
      <c r="T30" s="16" t="e">
        <f>VLOOKUP(E30,'[2]21-3-2026'!E$3:T$35,16,FALSE)</f>
        <v>#N/A</v>
      </c>
      <c r="U30" s="16"/>
      <c r="V30" s="16" t="e">
        <f t="shared" si="5"/>
        <v>#N/A</v>
      </c>
      <c r="W30" s="16"/>
      <c r="X30" s="16"/>
      <c r="Y30" s="16"/>
      <c r="Z30" s="16">
        <f t="shared" si="6"/>
        <v>0</v>
      </c>
      <c r="AA30" s="16">
        <f t="shared" si="0"/>
        <v>0</v>
      </c>
      <c r="AB30" s="16"/>
      <c r="AC30" s="17"/>
      <c r="AD30" s="48"/>
    </row>
    <row r="31" spans="1:30" ht="19.5" thickBot="1" x14ac:dyDescent="0.3">
      <c r="A31" s="14">
        <v>29</v>
      </c>
      <c r="B31" s="15"/>
      <c r="C31" s="15" t="e">
        <f>VLOOKUP(B31,داتا!$B$3:$D$107,2,FALSE)</f>
        <v>#N/A</v>
      </c>
      <c r="D31" s="34" t="e">
        <f>VLOOKUP(B31,داتا!$B$3:$D$107,3,FALSE)</f>
        <v>#N/A</v>
      </c>
      <c r="E31" s="15"/>
      <c r="F31" s="15"/>
      <c r="G31" s="16">
        <v>0.25</v>
      </c>
      <c r="H31" s="16"/>
      <c r="I31" s="16">
        <f t="shared" si="1"/>
        <v>-0.25</v>
      </c>
      <c r="J31" s="16"/>
      <c r="K31" s="16"/>
      <c r="L31" s="16"/>
      <c r="M31" s="16"/>
      <c r="N31" s="16">
        <f t="shared" si="2"/>
        <v>0</v>
      </c>
      <c r="O31" s="16" t="e">
        <f t="shared" si="3"/>
        <v>#N/A</v>
      </c>
      <c r="P31" s="16">
        <v>6.9444444444444397E-3</v>
      </c>
      <c r="Q31" s="16"/>
      <c r="R31" s="16">
        <f t="shared" si="4"/>
        <v>-6.9444444444444397E-3</v>
      </c>
      <c r="S31" s="16"/>
      <c r="T31" s="16" t="e">
        <f>VLOOKUP(E31,'[2]21-3-2026'!E$3:T$35,16,FALSE)</f>
        <v>#N/A</v>
      </c>
      <c r="U31" s="16"/>
      <c r="V31" s="16" t="e">
        <f t="shared" si="5"/>
        <v>#N/A</v>
      </c>
      <c r="W31" s="16"/>
      <c r="X31" s="16"/>
      <c r="Y31" s="16"/>
      <c r="Z31" s="16">
        <f t="shared" si="6"/>
        <v>0</v>
      </c>
      <c r="AA31" s="16">
        <f t="shared" si="0"/>
        <v>0</v>
      </c>
      <c r="AB31" s="16"/>
      <c r="AC31" s="17"/>
      <c r="AD31" s="48"/>
    </row>
    <row r="32" spans="1:30" ht="19.5" thickBot="1" x14ac:dyDescent="0.3">
      <c r="A32" s="14">
        <v>30</v>
      </c>
      <c r="B32" s="15"/>
      <c r="C32" s="15" t="e">
        <f>VLOOKUP(B32,داتا!$B$3:$D$107,2,FALSE)</f>
        <v>#N/A</v>
      </c>
      <c r="D32" s="34" t="e">
        <f>VLOOKUP(B32,داتا!$B$3:$D$107,3,FALSE)</f>
        <v>#N/A</v>
      </c>
      <c r="E32" s="15"/>
      <c r="F32" s="15"/>
      <c r="G32" s="16">
        <v>0.25</v>
      </c>
      <c r="H32" s="16"/>
      <c r="I32" s="16">
        <f t="shared" si="1"/>
        <v>-0.25</v>
      </c>
      <c r="J32" s="16"/>
      <c r="K32" s="16"/>
      <c r="L32" s="16"/>
      <c r="M32" s="16"/>
      <c r="N32" s="16">
        <f t="shared" si="2"/>
        <v>0</v>
      </c>
      <c r="O32" s="16" t="e">
        <f t="shared" si="3"/>
        <v>#N/A</v>
      </c>
      <c r="P32" s="16">
        <v>6.9444444444444397E-3</v>
      </c>
      <c r="Q32" s="16"/>
      <c r="R32" s="16">
        <f t="shared" si="4"/>
        <v>-6.9444444444444397E-3</v>
      </c>
      <c r="S32" s="16"/>
      <c r="T32" s="16" t="e">
        <f>VLOOKUP(E32,'[2]21-3-2026'!E$3:T$35,16,FALSE)</f>
        <v>#N/A</v>
      </c>
      <c r="U32" s="16"/>
      <c r="V32" s="16" t="e">
        <f t="shared" si="5"/>
        <v>#N/A</v>
      </c>
      <c r="W32" s="16"/>
      <c r="X32" s="16"/>
      <c r="Y32" s="16"/>
      <c r="Z32" s="16">
        <f t="shared" si="6"/>
        <v>0</v>
      </c>
      <c r="AA32" s="16">
        <f t="shared" si="0"/>
        <v>0</v>
      </c>
      <c r="AB32" s="16"/>
      <c r="AC32" s="17"/>
      <c r="AD32" s="48"/>
    </row>
    <row r="33" spans="1:30" ht="19.5" thickBot="1" x14ac:dyDescent="0.3">
      <c r="A33" s="14">
        <v>31</v>
      </c>
      <c r="B33" s="15"/>
      <c r="C33" s="15" t="e">
        <f>VLOOKUP(B33,داتا!$B$3:$D$107,2,FALSE)</f>
        <v>#N/A</v>
      </c>
      <c r="D33" s="34" t="e">
        <f>VLOOKUP(B33,داتا!$B$3:$D$107,3,FALSE)</f>
        <v>#N/A</v>
      </c>
      <c r="E33" s="15"/>
      <c r="F33" s="15"/>
      <c r="G33" s="16">
        <v>0.25</v>
      </c>
      <c r="H33" s="16"/>
      <c r="I33" s="16">
        <f t="shared" si="1"/>
        <v>-0.25</v>
      </c>
      <c r="J33" s="16"/>
      <c r="K33" s="16"/>
      <c r="L33" s="16"/>
      <c r="M33" s="16"/>
      <c r="N33" s="16">
        <f t="shared" si="2"/>
        <v>0</v>
      </c>
      <c r="O33" s="16" t="e">
        <f t="shared" si="3"/>
        <v>#N/A</v>
      </c>
      <c r="P33" s="16">
        <v>6.9444444444444397E-3</v>
      </c>
      <c r="Q33" s="16"/>
      <c r="R33" s="16">
        <f t="shared" si="4"/>
        <v>-6.9444444444444397E-3</v>
      </c>
      <c r="S33" s="16"/>
      <c r="T33" s="16" t="e">
        <f>VLOOKUP(E33,'[2]21-3-2026'!E$3:T$35,16,FALSE)</f>
        <v>#N/A</v>
      </c>
      <c r="U33" s="16"/>
      <c r="V33" s="16" t="e">
        <f t="shared" si="5"/>
        <v>#N/A</v>
      </c>
      <c r="W33" s="16"/>
      <c r="X33" s="16"/>
      <c r="Y33" s="16"/>
      <c r="Z33" s="16">
        <f t="shared" si="6"/>
        <v>0</v>
      </c>
      <c r="AA33" s="16">
        <f t="shared" si="0"/>
        <v>0</v>
      </c>
      <c r="AB33" s="16"/>
      <c r="AC33" s="17"/>
      <c r="AD33" s="48"/>
    </row>
    <row r="34" spans="1:30" ht="19.5" thickBot="1" x14ac:dyDescent="0.3">
      <c r="A34" s="14">
        <v>32</v>
      </c>
      <c r="B34" s="15"/>
      <c r="C34" s="15" t="e">
        <f>VLOOKUP(B34,داتا!$B$3:$D$107,2,FALSE)</f>
        <v>#N/A</v>
      </c>
      <c r="D34" s="34" t="e">
        <f>VLOOKUP(B34,داتا!$B$3:$D$107,3,FALSE)</f>
        <v>#N/A</v>
      </c>
      <c r="E34" s="15"/>
      <c r="F34" s="15"/>
      <c r="G34" s="16">
        <v>0.25</v>
      </c>
      <c r="H34" s="16"/>
      <c r="I34" s="16">
        <f t="shared" si="1"/>
        <v>-0.25</v>
      </c>
      <c r="J34" s="16"/>
      <c r="K34" s="16"/>
      <c r="L34" s="16"/>
      <c r="M34" s="16"/>
      <c r="N34" s="16">
        <f t="shared" si="2"/>
        <v>0</v>
      </c>
      <c r="O34" s="16" t="e">
        <f t="shared" si="3"/>
        <v>#N/A</v>
      </c>
      <c r="P34" s="16">
        <v>6.9444444444444397E-3</v>
      </c>
      <c r="Q34" s="16"/>
      <c r="R34" s="16">
        <f t="shared" si="4"/>
        <v>-6.9444444444444397E-3</v>
      </c>
      <c r="S34" s="16"/>
      <c r="T34" s="16" t="e">
        <f>VLOOKUP(E34,'[2]21-3-2026'!E$3:T$35,16,FALSE)</f>
        <v>#N/A</v>
      </c>
      <c r="U34" s="16"/>
      <c r="V34" s="16" t="e">
        <f t="shared" si="5"/>
        <v>#N/A</v>
      </c>
      <c r="W34" s="16"/>
      <c r="X34" s="16"/>
      <c r="Y34" s="16"/>
      <c r="Z34" s="16">
        <f t="shared" si="6"/>
        <v>0</v>
      </c>
      <c r="AA34" s="16">
        <f t="shared" si="0"/>
        <v>0</v>
      </c>
      <c r="AB34" s="16"/>
      <c r="AC34" s="17"/>
      <c r="AD34" s="48"/>
    </row>
    <row r="35" spans="1:30" ht="19.5" thickBot="1" x14ac:dyDescent="0.3">
      <c r="A35" s="20">
        <v>33</v>
      </c>
      <c r="B35" s="21"/>
      <c r="C35" s="21" t="e">
        <f>VLOOKUP(B35,داتا!$B$3:$D$107,2,FALSE)</f>
        <v>#N/A</v>
      </c>
      <c r="D35" s="35" t="e">
        <f>VLOOKUP(B35,داتا!$B$3:$D$107,3,FALSE)</f>
        <v>#N/A</v>
      </c>
      <c r="E35" s="21"/>
      <c r="F35" s="21"/>
      <c r="G35" s="22">
        <v>0.25</v>
      </c>
      <c r="H35" s="22"/>
      <c r="I35" s="22">
        <f t="shared" si="1"/>
        <v>-0.25</v>
      </c>
      <c r="J35" s="22"/>
      <c r="K35" s="22"/>
      <c r="L35" s="22"/>
      <c r="M35" s="22"/>
      <c r="N35" s="22">
        <f t="shared" si="2"/>
        <v>0</v>
      </c>
      <c r="O35" s="22" t="e">
        <f t="shared" si="3"/>
        <v>#N/A</v>
      </c>
      <c r="P35" s="22">
        <v>6.9444444444444397E-3</v>
      </c>
      <c r="Q35" s="22"/>
      <c r="R35" s="22">
        <f t="shared" si="4"/>
        <v>-6.9444444444444397E-3</v>
      </c>
      <c r="S35" s="22"/>
      <c r="T35" s="22" t="e">
        <f>VLOOKUP(E35,'[2]21-3-2026'!E$3:T$35,16,FALSE)</f>
        <v>#N/A</v>
      </c>
      <c r="U35" s="22"/>
      <c r="V35" s="22" t="e">
        <f t="shared" si="5"/>
        <v>#N/A</v>
      </c>
      <c r="W35" s="22"/>
      <c r="X35" s="22"/>
      <c r="Y35" s="22"/>
      <c r="Z35" s="22">
        <f t="shared" si="6"/>
        <v>0</v>
      </c>
      <c r="AA35" s="22">
        <f t="shared" si="0"/>
        <v>0</v>
      </c>
      <c r="AB35" s="22"/>
      <c r="AC35" s="23"/>
      <c r="AD35" s="49"/>
    </row>
    <row r="36" spans="1:30" ht="20.25" customHeight="1" thickTop="1" thickBot="1" x14ac:dyDescent="0.3">
      <c r="A36" s="10">
        <v>1</v>
      </c>
      <c r="B36" s="11"/>
      <c r="C36" s="11" t="e">
        <f>VLOOKUP(B36,داتا!$B$3:$D$107,2,FALSE)</f>
        <v>#N/A</v>
      </c>
      <c r="D36" s="33" t="e">
        <f>VLOOKUP(B36,داتا!$B$3:$D$107,3,FALSE)</f>
        <v>#N/A</v>
      </c>
      <c r="E36" s="11"/>
      <c r="F36" s="11"/>
      <c r="G36" s="12">
        <v>0.25</v>
      </c>
      <c r="H36" s="12" t="e">
        <f>VLOOKUP(G36,$F$3:$I$35,2,FALSE)</f>
        <v>#N/A</v>
      </c>
      <c r="I36" s="12" t="e">
        <f t="shared" si="1"/>
        <v>#N/A</v>
      </c>
      <c r="J36" s="12"/>
      <c r="K36" s="12"/>
      <c r="L36" s="12"/>
      <c r="M36" s="12"/>
      <c r="N36" s="12">
        <f t="shared" si="2"/>
        <v>0</v>
      </c>
      <c r="O36" s="12" t="e">
        <f t="shared" si="3"/>
        <v>#N/A</v>
      </c>
      <c r="P36" s="12">
        <v>6.9444444444444397E-3</v>
      </c>
      <c r="Q36" s="12"/>
      <c r="R36" s="12">
        <f t="shared" si="4"/>
        <v>-6.9444444444444397E-3</v>
      </c>
      <c r="S36" s="12"/>
      <c r="T36" s="12" t="e">
        <f>VLOOKUP(E36,'[2]21-3-2026'!E$3:T$35,16,FALSE)</f>
        <v>#N/A</v>
      </c>
      <c r="U36" s="12"/>
      <c r="V36" s="12" t="e">
        <f t="shared" si="5"/>
        <v>#N/A</v>
      </c>
      <c r="W36" s="12"/>
      <c r="X36" s="12"/>
      <c r="Y36" s="12"/>
      <c r="Z36" s="12">
        <f t="shared" si="6"/>
        <v>0</v>
      </c>
      <c r="AA36" s="12">
        <f t="shared" si="0"/>
        <v>0</v>
      </c>
      <c r="AB36" s="12"/>
      <c r="AC36" s="29"/>
      <c r="AD36" s="50" t="s">
        <v>104</v>
      </c>
    </row>
    <row r="37" spans="1:30" ht="19.5" thickBot="1" x14ac:dyDescent="0.3">
      <c r="A37" s="14">
        <v>2</v>
      </c>
      <c r="B37" s="15"/>
      <c r="C37" s="15" t="e">
        <f>VLOOKUP(B37,داتا!$B$3:$D$107,2,FALSE)</f>
        <v>#N/A</v>
      </c>
      <c r="D37" s="34" t="e">
        <f>VLOOKUP(B37,داتا!$B$3:$D$107,3,FALSE)</f>
        <v>#N/A</v>
      </c>
      <c r="E37" s="15"/>
      <c r="F37" s="15"/>
      <c r="G37" s="16">
        <v>0.25</v>
      </c>
      <c r="H37" s="16" t="e">
        <f t="shared" ref="H37:H52" si="7">VLOOKUP(G37,$F$3:$I$35,2,FALSE)</f>
        <v>#N/A</v>
      </c>
      <c r="I37" s="16" t="e">
        <f t="shared" si="1"/>
        <v>#N/A</v>
      </c>
      <c r="J37" s="16"/>
      <c r="K37" s="16"/>
      <c r="L37" s="16"/>
      <c r="M37" s="16"/>
      <c r="N37" s="16">
        <f t="shared" si="2"/>
        <v>0</v>
      </c>
      <c r="O37" s="16" t="e">
        <f t="shared" si="3"/>
        <v>#N/A</v>
      </c>
      <c r="P37" s="16">
        <v>6.9444444444444397E-3</v>
      </c>
      <c r="Q37" s="16"/>
      <c r="R37" s="16">
        <f t="shared" si="4"/>
        <v>-6.9444444444444397E-3</v>
      </c>
      <c r="S37" s="16"/>
      <c r="T37" s="16" t="e">
        <f>VLOOKUP(E37,'[2]21-3-2026'!E$3:T$35,16,FALSE)</f>
        <v>#N/A</v>
      </c>
      <c r="U37" s="16"/>
      <c r="V37" s="16" t="e">
        <f t="shared" si="5"/>
        <v>#N/A</v>
      </c>
      <c r="W37" s="16"/>
      <c r="X37" s="16"/>
      <c r="Y37" s="16"/>
      <c r="Z37" s="16">
        <f t="shared" si="6"/>
        <v>0</v>
      </c>
      <c r="AA37" s="16">
        <f t="shared" si="0"/>
        <v>0</v>
      </c>
      <c r="AB37" s="16"/>
      <c r="AC37" s="19"/>
      <c r="AD37" s="51"/>
    </row>
    <row r="38" spans="1:30" ht="19.5" thickBot="1" x14ac:dyDescent="0.3">
      <c r="A38" s="14">
        <v>3</v>
      </c>
      <c r="B38" s="15"/>
      <c r="C38" s="15" t="e">
        <f>VLOOKUP(B38,داتا!$B$3:$D$107,2,FALSE)</f>
        <v>#N/A</v>
      </c>
      <c r="D38" s="34" t="e">
        <f>VLOOKUP(B38,داتا!$B$3:$D$107,3,FALSE)</f>
        <v>#N/A</v>
      </c>
      <c r="E38" s="15"/>
      <c r="F38" s="15"/>
      <c r="G38" s="16">
        <v>0.25</v>
      </c>
      <c r="H38" s="16" t="e">
        <f t="shared" si="7"/>
        <v>#N/A</v>
      </c>
      <c r="I38" s="16" t="e">
        <f t="shared" si="1"/>
        <v>#N/A</v>
      </c>
      <c r="J38" s="16"/>
      <c r="K38" s="16"/>
      <c r="L38" s="16"/>
      <c r="M38" s="16"/>
      <c r="N38" s="16">
        <f t="shared" si="2"/>
        <v>0</v>
      </c>
      <c r="O38" s="16" t="e">
        <f t="shared" si="3"/>
        <v>#N/A</v>
      </c>
      <c r="P38" s="16">
        <v>6.9444444444444397E-3</v>
      </c>
      <c r="Q38" s="16"/>
      <c r="R38" s="16">
        <f t="shared" si="4"/>
        <v>-6.9444444444444397E-3</v>
      </c>
      <c r="S38" s="16"/>
      <c r="T38" s="16" t="e">
        <f>VLOOKUP(E38,'[2]21-3-2026'!E$3:T$35,16,FALSE)</f>
        <v>#N/A</v>
      </c>
      <c r="U38" s="16"/>
      <c r="V38" s="16" t="e">
        <f t="shared" si="5"/>
        <v>#N/A</v>
      </c>
      <c r="W38" s="16"/>
      <c r="X38" s="16"/>
      <c r="Y38" s="16"/>
      <c r="Z38" s="16">
        <f t="shared" si="6"/>
        <v>0</v>
      </c>
      <c r="AA38" s="16">
        <f t="shared" si="0"/>
        <v>0</v>
      </c>
      <c r="AB38" s="16"/>
      <c r="AC38" s="19"/>
      <c r="AD38" s="51"/>
    </row>
    <row r="39" spans="1:30" ht="19.5" thickBot="1" x14ac:dyDescent="0.3">
      <c r="A39" s="14">
        <v>4</v>
      </c>
      <c r="B39" s="15"/>
      <c r="C39" s="15" t="e">
        <f>VLOOKUP(B39,داتا!$B$3:$D$107,2,FALSE)</f>
        <v>#N/A</v>
      </c>
      <c r="D39" s="34" t="e">
        <f>VLOOKUP(B39,داتا!$B$3:$D$107,3,FALSE)</f>
        <v>#N/A</v>
      </c>
      <c r="E39" s="15"/>
      <c r="F39" s="15"/>
      <c r="G39" s="16">
        <v>0.25</v>
      </c>
      <c r="H39" s="16" t="e">
        <f t="shared" si="7"/>
        <v>#N/A</v>
      </c>
      <c r="I39" s="16" t="e">
        <f t="shared" si="1"/>
        <v>#N/A</v>
      </c>
      <c r="J39" s="16"/>
      <c r="K39" s="16"/>
      <c r="L39" s="16"/>
      <c r="M39" s="16"/>
      <c r="N39" s="16">
        <f t="shared" si="2"/>
        <v>0</v>
      </c>
      <c r="O39" s="16" t="e">
        <f t="shared" si="3"/>
        <v>#N/A</v>
      </c>
      <c r="P39" s="16">
        <v>6.9444444444444397E-3</v>
      </c>
      <c r="Q39" s="16"/>
      <c r="R39" s="16">
        <f t="shared" si="4"/>
        <v>-6.9444444444444397E-3</v>
      </c>
      <c r="S39" s="16"/>
      <c r="T39" s="16" t="e">
        <f>VLOOKUP(E39,'[2]21-3-2026'!E$3:T$35,16,FALSE)</f>
        <v>#N/A</v>
      </c>
      <c r="U39" s="16"/>
      <c r="V39" s="16" t="e">
        <f t="shared" si="5"/>
        <v>#N/A</v>
      </c>
      <c r="W39" s="16"/>
      <c r="X39" s="16"/>
      <c r="Y39" s="16"/>
      <c r="Z39" s="16">
        <f t="shared" si="6"/>
        <v>0</v>
      </c>
      <c r="AA39" s="16">
        <f t="shared" si="0"/>
        <v>0</v>
      </c>
      <c r="AB39" s="16"/>
      <c r="AC39" s="17"/>
      <c r="AD39" s="51"/>
    </row>
    <row r="40" spans="1:30" ht="19.5" thickBot="1" x14ac:dyDescent="0.3">
      <c r="A40" s="14">
        <v>5</v>
      </c>
      <c r="B40" s="15"/>
      <c r="C40" s="15" t="e">
        <f>VLOOKUP(B40,داتا!$B$3:$D$107,2,FALSE)</f>
        <v>#N/A</v>
      </c>
      <c r="D40" s="34" t="e">
        <f>VLOOKUP(B40,داتا!$B$3:$D$107,3,FALSE)</f>
        <v>#N/A</v>
      </c>
      <c r="E40" s="15"/>
      <c r="F40" s="15"/>
      <c r="G40" s="16">
        <v>0.25</v>
      </c>
      <c r="H40" s="16" t="e">
        <f t="shared" si="7"/>
        <v>#N/A</v>
      </c>
      <c r="I40" s="16" t="e">
        <f t="shared" si="1"/>
        <v>#N/A</v>
      </c>
      <c r="J40" s="16"/>
      <c r="K40" s="16"/>
      <c r="L40" s="16"/>
      <c r="M40" s="16"/>
      <c r="N40" s="16">
        <f t="shared" si="2"/>
        <v>0</v>
      </c>
      <c r="O40" s="16" t="e">
        <f t="shared" si="3"/>
        <v>#N/A</v>
      </c>
      <c r="P40" s="16">
        <v>6.9444444444444397E-3</v>
      </c>
      <c r="Q40" s="16"/>
      <c r="R40" s="16">
        <f t="shared" si="4"/>
        <v>-6.9444444444444397E-3</v>
      </c>
      <c r="S40" s="16"/>
      <c r="T40" s="16" t="e">
        <f>VLOOKUP(E40,'[2]21-3-2026'!E$3:T$35,16,FALSE)</f>
        <v>#N/A</v>
      </c>
      <c r="U40" s="16"/>
      <c r="V40" s="16" t="e">
        <f t="shared" si="5"/>
        <v>#N/A</v>
      </c>
      <c r="W40" s="16"/>
      <c r="X40" s="16"/>
      <c r="Y40" s="16"/>
      <c r="Z40" s="16">
        <f t="shared" si="6"/>
        <v>0</v>
      </c>
      <c r="AA40" s="16">
        <f t="shared" si="0"/>
        <v>0</v>
      </c>
      <c r="AB40" s="16"/>
      <c r="AC40" s="17"/>
      <c r="AD40" s="51"/>
    </row>
    <row r="41" spans="1:30" ht="19.5" thickBot="1" x14ac:dyDescent="0.3">
      <c r="A41" s="14">
        <v>6</v>
      </c>
      <c r="B41" s="15"/>
      <c r="C41" s="15" t="e">
        <f>VLOOKUP(B41,داتا!$B$3:$D$107,2,FALSE)</f>
        <v>#N/A</v>
      </c>
      <c r="D41" s="34" t="e">
        <f>VLOOKUP(B41,داتا!$B$3:$D$107,3,FALSE)</f>
        <v>#N/A</v>
      </c>
      <c r="E41" s="15"/>
      <c r="F41" s="15"/>
      <c r="G41" s="16">
        <v>0.25</v>
      </c>
      <c r="H41" s="16" t="e">
        <f t="shared" si="7"/>
        <v>#N/A</v>
      </c>
      <c r="I41" s="16" t="e">
        <f t="shared" si="1"/>
        <v>#N/A</v>
      </c>
      <c r="J41" s="16"/>
      <c r="K41" s="16"/>
      <c r="L41" s="16"/>
      <c r="M41" s="16"/>
      <c r="N41" s="16">
        <f t="shared" si="2"/>
        <v>0</v>
      </c>
      <c r="O41" s="16" t="e">
        <f t="shared" si="3"/>
        <v>#N/A</v>
      </c>
      <c r="P41" s="16">
        <v>6.9444444444444397E-3</v>
      </c>
      <c r="Q41" s="16"/>
      <c r="R41" s="16">
        <f t="shared" si="4"/>
        <v>-6.9444444444444397E-3</v>
      </c>
      <c r="S41" s="16"/>
      <c r="T41" s="16" t="e">
        <f>VLOOKUP(E41,'[2]21-3-2026'!E$3:T$35,16,FALSE)</f>
        <v>#N/A</v>
      </c>
      <c r="U41" s="16"/>
      <c r="V41" s="16" t="e">
        <f t="shared" si="5"/>
        <v>#N/A</v>
      </c>
      <c r="W41" s="16"/>
      <c r="X41" s="16"/>
      <c r="Y41" s="16"/>
      <c r="Z41" s="16">
        <f t="shared" si="6"/>
        <v>0</v>
      </c>
      <c r="AA41" s="16">
        <f t="shared" si="0"/>
        <v>0</v>
      </c>
      <c r="AB41" s="16"/>
      <c r="AC41" s="17"/>
      <c r="AD41" s="51"/>
    </row>
    <row r="42" spans="1:30" ht="19.5" thickBot="1" x14ac:dyDescent="0.3">
      <c r="A42" s="14">
        <v>7</v>
      </c>
      <c r="B42" s="15"/>
      <c r="C42" s="15" t="e">
        <f>VLOOKUP(B42,داتا!$B$3:$D$107,2,FALSE)</f>
        <v>#N/A</v>
      </c>
      <c r="D42" s="34" t="e">
        <f>VLOOKUP(B42,داتا!$B$3:$D$107,3,FALSE)</f>
        <v>#N/A</v>
      </c>
      <c r="E42" s="15"/>
      <c r="F42" s="15"/>
      <c r="G42" s="16">
        <v>0.25</v>
      </c>
      <c r="H42" s="16" t="e">
        <f t="shared" si="7"/>
        <v>#N/A</v>
      </c>
      <c r="I42" s="16" t="e">
        <f t="shared" si="1"/>
        <v>#N/A</v>
      </c>
      <c r="J42" s="16"/>
      <c r="K42" s="16"/>
      <c r="L42" s="16"/>
      <c r="M42" s="16"/>
      <c r="N42" s="16">
        <f t="shared" si="2"/>
        <v>0</v>
      </c>
      <c r="O42" s="16" t="e">
        <f t="shared" si="3"/>
        <v>#N/A</v>
      </c>
      <c r="P42" s="16">
        <v>6.9444444444444397E-3</v>
      </c>
      <c r="Q42" s="16"/>
      <c r="R42" s="16">
        <f t="shared" si="4"/>
        <v>-6.9444444444444397E-3</v>
      </c>
      <c r="S42" s="16"/>
      <c r="T42" s="16" t="e">
        <f>VLOOKUP(E42,'[2]21-3-2026'!E$3:T$35,16,FALSE)</f>
        <v>#N/A</v>
      </c>
      <c r="U42" s="16"/>
      <c r="V42" s="16" t="e">
        <f t="shared" si="5"/>
        <v>#N/A</v>
      </c>
      <c r="W42" s="16"/>
      <c r="X42" s="16"/>
      <c r="Y42" s="16"/>
      <c r="Z42" s="16">
        <f t="shared" si="6"/>
        <v>0</v>
      </c>
      <c r="AA42" s="16">
        <f t="shared" si="0"/>
        <v>0</v>
      </c>
      <c r="AB42" s="16"/>
      <c r="AC42" s="17"/>
      <c r="AD42" s="51"/>
    </row>
    <row r="43" spans="1:30" ht="19.5" thickBot="1" x14ac:dyDescent="0.3">
      <c r="A43" s="14">
        <v>8</v>
      </c>
      <c r="B43" s="15"/>
      <c r="C43" s="15" t="e">
        <f>VLOOKUP(B43,داتا!$B$3:$D$107,2,FALSE)</f>
        <v>#N/A</v>
      </c>
      <c r="D43" s="34" t="e">
        <f>VLOOKUP(B43,داتا!$B$3:$D$107,3,FALSE)</f>
        <v>#N/A</v>
      </c>
      <c r="E43" s="15"/>
      <c r="F43" s="15"/>
      <c r="G43" s="16">
        <v>0.25</v>
      </c>
      <c r="H43" s="16" t="e">
        <f t="shared" si="7"/>
        <v>#N/A</v>
      </c>
      <c r="I43" s="16" t="e">
        <f t="shared" si="1"/>
        <v>#N/A</v>
      </c>
      <c r="J43" s="16"/>
      <c r="K43" s="16"/>
      <c r="L43" s="16"/>
      <c r="M43" s="16"/>
      <c r="N43" s="16">
        <f t="shared" si="2"/>
        <v>0</v>
      </c>
      <c r="O43" s="16" t="e">
        <f t="shared" si="3"/>
        <v>#N/A</v>
      </c>
      <c r="P43" s="16">
        <v>6.9444444444444397E-3</v>
      </c>
      <c r="Q43" s="16"/>
      <c r="R43" s="16">
        <f t="shared" si="4"/>
        <v>-6.9444444444444397E-3</v>
      </c>
      <c r="S43" s="16"/>
      <c r="T43" s="16" t="e">
        <f>VLOOKUP(E43,'[2]21-3-2026'!E$3:T$35,16,FALSE)</f>
        <v>#N/A</v>
      </c>
      <c r="U43" s="16"/>
      <c r="V43" s="16" t="e">
        <f t="shared" si="5"/>
        <v>#N/A</v>
      </c>
      <c r="W43" s="16"/>
      <c r="X43" s="16"/>
      <c r="Y43" s="16"/>
      <c r="Z43" s="16">
        <f t="shared" si="6"/>
        <v>0</v>
      </c>
      <c r="AA43" s="16">
        <f t="shared" si="0"/>
        <v>0</v>
      </c>
      <c r="AB43" s="16"/>
      <c r="AC43" s="17"/>
      <c r="AD43" s="51"/>
    </row>
    <row r="44" spans="1:30" ht="19.5" thickBot="1" x14ac:dyDescent="0.3">
      <c r="A44" s="14">
        <v>9</v>
      </c>
      <c r="B44" s="15"/>
      <c r="C44" s="15" t="e">
        <f>VLOOKUP(B44,داتا!$B$3:$D$107,2,FALSE)</f>
        <v>#N/A</v>
      </c>
      <c r="D44" s="34" t="e">
        <f>VLOOKUP(B44,داتا!$B$3:$D$107,3,FALSE)</f>
        <v>#N/A</v>
      </c>
      <c r="E44" s="15"/>
      <c r="F44" s="15"/>
      <c r="G44" s="16">
        <v>0.25</v>
      </c>
      <c r="H44" s="16" t="e">
        <f t="shared" si="7"/>
        <v>#N/A</v>
      </c>
      <c r="I44" s="16" t="e">
        <f t="shared" si="1"/>
        <v>#N/A</v>
      </c>
      <c r="J44" s="16"/>
      <c r="K44" s="16"/>
      <c r="L44" s="16"/>
      <c r="M44" s="16"/>
      <c r="N44" s="16">
        <f t="shared" si="2"/>
        <v>0</v>
      </c>
      <c r="O44" s="16" t="e">
        <f t="shared" si="3"/>
        <v>#N/A</v>
      </c>
      <c r="P44" s="16">
        <v>6.9444444444444397E-3</v>
      </c>
      <c r="Q44" s="16"/>
      <c r="R44" s="16">
        <f t="shared" si="4"/>
        <v>-6.9444444444444397E-3</v>
      </c>
      <c r="S44" s="16"/>
      <c r="T44" s="16" t="e">
        <f>VLOOKUP(E44,'[2]21-3-2026'!E$3:T$35,16,FALSE)</f>
        <v>#N/A</v>
      </c>
      <c r="U44" s="16"/>
      <c r="V44" s="16" t="e">
        <f t="shared" si="5"/>
        <v>#N/A</v>
      </c>
      <c r="W44" s="16"/>
      <c r="X44" s="16"/>
      <c r="Y44" s="16"/>
      <c r="Z44" s="16">
        <f t="shared" si="6"/>
        <v>0</v>
      </c>
      <c r="AA44" s="16">
        <f t="shared" si="0"/>
        <v>0</v>
      </c>
      <c r="AB44" s="16"/>
      <c r="AC44" s="17"/>
      <c r="AD44" s="51"/>
    </row>
    <row r="45" spans="1:30" ht="19.5" thickBot="1" x14ac:dyDescent="0.3">
      <c r="A45" s="14">
        <v>10</v>
      </c>
      <c r="B45" s="15"/>
      <c r="C45" s="15" t="e">
        <f>VLOOKUP(B45,داتا!$B$3:$D$107,2,FALSE)</f>
        <v>#N/A</v>
      </c>
      <c r="D45" s="34" t="e">
        <f>VLOOKUP(B45,داتا!$B$3:$D$107,3,FALSE)</f>
        <v>#N/A</v>
      </c>
      <c r="E45" s="15"/>
      <c r="F45" s="15"/>
      <c r="G45" s="16">
        <v>0.25</v>
      </c>
      <c r="H45" s="16" t="e">
        <f t="shared" si="7"/>
        <v>#N/A</v>
      </c>
      <c r="I45" s="16" t="e">
        <f t="shared" si="1"/>
        <v>#N/A</v>
      </c>
      <c r="J45" s="16"/>
      <c r="K45" s="16"/>
      <c r="L45" s="16"/>
      <c r="M45" s="16"/>
      <c r="N45" s="16">
        <f t="shared" si="2"/>
        <v>0</v>
      </c>
      <c r="O45" s="16" t="e">
        <f t="shared" si="3"/>
        <v>#N/A</v>
      </c>
      <c r="P45" s="16">
        <v>6.9444444444444397E-3</v>
      </c>
      <c r="Q45" s="16"/>
      <c r="R45" s="16">
        <f t="shared" si="4"/>
        <v>-6.9444444444444397E-3</v>
      </c>
      <c r="S45" s="16"/>
      <c r="T45" s="16" t="e">
        <f>VLOOKUP(E45,'[2]21-3-2026'!E$3:T$35,16,FALSE)</f>
        <v>#N/A</v>
      </c>
      <c r="U45" s="16"/>
      <c r="V45" s="16" t="e">
        <f t="shared" si="5"/>
        <v>#N/A</v>
      </c>
      <c r="W45" s="16"/>
      <c r="X45" s="16"/>
      <c r="Y45" s="16"/>
      <c r="Z45" s="16">
        <f t="shared" si="6"/>
        <v>0</v>
      </c>
      <c r="AA45" s="16">
        <f t="shared" si="0"/>
        <v>0</v>
      </c>
      <c r="AB45" s="16"/>
      <c r="AC45" s="17"/>
      <c r="AD45" s="51"/>
    </row>
    <row r="46" spans="1:30" ht="19.5" thickBot="1" x14ac:dyDescent="0.3">
      <c r="A46" s="14">
        <v>11</v>
      </c>
      <c r="B46" s="15"/>
      <c r="C46" s="15" t="e">
        <f>VLOOKUP(B46,داتا!$B$3:$D$107,2,FALSE)</f>
        <v>#N/A</v>
      </c>
      <c r="D46" s="34" t="e">
        <f>VLOOKUP(B46,داتا!$B$3:$D$107,3,FALSE)</f>
        <v>#N/A</v>
      </c>
      <c r="E46" s="15"/>
      <c r="F46" s="15"/>
      <c r="G46" s="16">
        <v>0.25</v>
      </c>
      <c r="H46" s="16" t="e">
        <f t="shared" si="7"/>
        <v>#N/A</v>
      </c>
      <c r="I46" s="16" t="e">
        <f t="shared" si="1"/>
        <v>#N/A</v>
      </c>
      <c r="J46" s="16"/>
      <c r="K46" s="16"/>
      <c r="L46" s="16"/>
      <c r="M46" s="16"/>
      <c r="N46" s="16">
        <f t="shared" si="2"/>
        <v>0</v>
      </c>
      <c r="O46" s="16" t="e">
        <f t="shared" si="3"/>
        <v>#N/A</v>
      </c>
      <c r="P46" s="16">
        <v>6.9444444444444397E-3</v>
      </c>
      <c r="Q46" s="16"/>
      <c r="R46" s="16">
        <f t="shared" si="4"/>
        <v>-6.9444444444444397E-3</v>
      </c>
      <c r="S46" s="16"/>
      <c r="T46" s="16" t="e">
        <f>VLOOKUP(E46,'[2]21-3-2026'!E$3:T$35,16,FALSE)</f>
        <v>#N/A</v>
      </c>
      <c r="U46" s="16"/>
      <c r="V46" s="16" t="e">
        <f t="shared" si="5"/>
        <v>#N/A</v>
      </c>
      <c r="W46" s="16"/>
      <c r="X46" s="16"/>
      <c r="Y46" s="16"/>
      <c r="Z46" s="16">
        <f t="shared" si="6"/>
        <v>0</v>
      </c>
      <c r="AA46" s="16">
        <f t="shared" si="0"/>
        <v>0</v>
      </c>
      <c r="AB46" s="16"/>
      <c r="AC46" s="17"/>
      <c r="AD46" s="51"/>
    </row>
    <row r="47" spans="1:30" ht="19.5" thickBot="1" x14ac:dyDescent="0.3">
      <c r="A47" s="14">
        <v>12</v>
      </c>
      <c r="B47" s="15"/>
      <c r="C47" s="15" t="e">
        <f>VLOOKUP(B47,داتا!$B$3:$D$107,2,FALSE)</f>
        <v>#N/A</v>
      </c>
      <c r="D47" s="34" t="e">
        <f>VLOOKUP(B47,داتا!$B$3:$D$107,3,FALSE)</f>
        <v>#N/A</v>
      </c>
      <c r="E47" s="15"/>
      <c r="F47" s="15"/>
      <c r="G47" s="16">
        <v>0.25</v>
      </c>
      <c r="H47" s="16" t="e">
        <f t="shared" si="7"/>
        <v>#N/A</v>
      </c>
      <c r="I47" s="16" t="e">
        <f t="shared" si="1"/>
        <v>#N/A</v>
      </c>
      <c r="J47" s="16"/>
      <c r="K47" s="16"/>
      <c r="L47" s="16"/>
      <c r="M47" s="16"/>
      <c r="N47" s="16">
        <f t="shared" si="2"/>
        <v>0</v>
      </c>
      <c r="O47" s="16" t="e">
        <f t="shared" si="3"/>
        <v>#N/A</v>
      </c>
      <c r="P47" s="16">
        <v>6.9444444444444397E-3</v>
      </c>
      <c r="Q47" s="16"/>
      <c r="R47" s="16">
        <f t="shared" si="4"/>
        <v>-6.9444444444444397E-3</v>
      </c>
      <c r="S47" s="16"/>
      <c r="T47" s="16" t="e">
        <f>VLOOKUP(E47,'[2]21-3-2026'!E$3:T$35,16,FALSE)</f>
        <v>#N/A</v>
      </c>
      <c r="U47" s="16"/>
      <c r="V47" s="16" t="e">
        <f t="shared" si="5"/>
        <v>#N/A</v>
      </c>
      <c r="W47" s="16"/>
      <c r="X47" s="16"/>
      <c r="Y47" s="16"/>
      <c r="Z47" s="16">
        <f t="shared" si="6"/>
        <v>0</v>
      </c>
      <c r="AA47" s="16">
        <f t="shared" si="0"/>
        <v>0</v>
      </c>
      <c r="AB47" s="16"/>
      <c r="AC47" s="17"/>
      <c r="AD47" s="51"/>
    </row>
    <row r="48" spans="1:30" ht="19.5" thickBot="1" x14ac:dyDescent="0.3">
      <c r="A48" s="14">
        <v>13</v>
      </c>
      <c r="B48" s="15"/>
      <c r="C48" s="15" t="e">
        <f>VLOOKUP(B48,داتا!$B$3:$D$107,2,FALSE)</f>
        <v>#N/A</v>
      </c>
      <c r="D48" s="34" t="e">
        <f>VLOOKUP(B48,داتا!$B$3:$D$107,3,FALSE)</f>
        <v>#N/A</v>
      </c>
      <c r="E48" s="15"/>
      <c r="F48" s="15"/>
      <c r="G48" s="16">
        <v>0.25</v>
      </c>
      <c r="H48" s="16" t="e">
        <f t="shared" si="7"/>
        <v>#N/A</v>
      </c>
      <c r="I48" s="16" t="e">
        <f t="shared" si="1"/>
        <v>#N/A</v>
      </c>
      <c r="J48" s="16"/>
      <c r="K48" s="16"/>
      <c r="L48" s="16"/>
      <c r="M48" s="16"/>
      <c r="N48" s="16">
        <f t="shared" si="2"/>
        <v>0</v>
      </c>
      <c r="O48" s="16" t="e">
        <f t="shared" si="3"/>
        <v>#N/A</v>
      </c>
      <c r="P48" s="16">
        <v>6.9444444444444397E-3</v>
      </c>
      <c r="Q48" s="16"/>
      <c r="R48" s="16">
        <f t="shared" si="4"/>
        <v>-6.9444444444444397E-3</v>
      </c>
      <c r="S48" s="16"/>
      <c r="T48" s="16" t="e">
        <f>VLOOKUP(E48,'[2]21-3-2026'!E$3:T$35,16,FALSE)</f>
        <v>#N/A</v>
      </c>
      <c r="U48" s="16"/>
      <c r="V48" s="16" t="e">
        <f t="shared" si="5"/>
        <v>#N/A</v>
      </c>
      <c r="W48" s="16"/>
      <c r="X48" s="16"/>
      <c r="Y48" s="16"/>
      <c r="Z48" s="16">
        <f t="shared" si="6"/>
        <v>0</v>
      </c>
      <c r="AA48" s="16">
        <f t="shared" si="0"/>
        <v>0</v>
      </c>
      <c r="AB48" s="16"/>
      <c r="AC48" s="17"/>
      <c r="AD48" s="51"/>
    </row>
    <row r="49" spans="1:30" ht="19.5" thickBot="1" x14ac:dyDescent="0.3">
      <c r="A49" s="14">
        <v>14</v>
      </c>
      <c r="B49" s="15"/>
      <c r="C49" s="15" t="e">
        <f>VLOOKUP(B49,داتا!$B$3:$D$107,2,FALSE)</f>
        <v>#N/A</v>
      </c>
      <c r="D49" s="34" t="e">
        <f>VLOOKUP(B49,داتا!$B$3:$D$107,3,FALSE)</f>
        <v>#N/A</v>
      </c>
      <c r="E49" s="15"/>
      <c r="F49" s="15"/>
      <c r="G49" s="16">
        <v>0.25</v>
      </c>
      <c r="H49" s="16" t="e">
        <f t="shared" si="7"/>
        <v>#N/A</v>
      </c>
      <c r="I49" s="16" t="e">
        <f t="shared" si="1"/>
        <v>#N/A</v>
      </c>
      <c r="J49" s="16"/>
      <c r="K49" s="16"/>
      <c r="L49" s="16"/>
      <c r="M49" s="16"/>
      <c r="N49" s="16">
        <f t="shared" si="2"/>
        <v>0</v>
      </c>
      <c r="O49" s="16" t="e">
        <f t="shared" si="3"/>
        <v>#N/A</v>
      </c>
      <c r="P49" s="16">
        <v>6.9444444444444397E-3</v>
      </c>
      <c r="Q49" s="16"/>
      <c r="R49" s="16">
        <f t="shared" si="4"/>
        <v>-6.9444444444444397E-3</v>
      </c>
      <c r="S49" s="16"/>
      <c r="T49" s="16" t="e">
        <f>VLOOKUP(E49,'[2]21-3-2026'!E$3:T$35,16,FALSE)</f>
        <v>#N/A</v>
      </c>
      <c r="U49" s="16"/>
      <c r="V49" s="16" t="e">
        <f t="shared" si="5"/>
        <v>#N/A</v>
      </c>
      <c r="W49" s="16"/>
      <c r="X49" s="16"/>
      <c r="Y49" s="16"/>
      <c r="Z49" s="16">
        <f t="shared" si="6"/>
        <v>0</v>
      </c>
      <c r="AA49" s="16">
        <f t="shared" si="0"/>
        <v>0</v>
      </c>
      <c r="AB49" s="16"/>
      <c r="AC49" s="17"/>
      <c r="AD49" s="51"/>
    </row>
    <row r="50" spans="1:30" ht="19.5" thickBot="1" x14ac:dyDescent="0.3">
      <c r="A50" s="14">
        <v>15</v>
      </c>
      <c r="B50" s="15"/>
      <c r="C50" s="15" t="e">
        <f>VLOOKUP(B50,داتا!$B$3:$D$107,2,FALSE)</f>
        <v>#N/A</v>
      </c>
      <c r="D50" s="34" t="e">
        <f>VLOOKUP(B50,داتا!$B$3:$D$107,3,FALSE)</f>
        <v>#N/A</v>
      </c>
      <c r="E50" s="15"/>
      <c r="F50" s="15"/>
      <c r="G50" s="16">
        <v>0.25</v>
      </c>
      <c r="H50" s="16" t="e">
        <f t="shared" si="7"/>
        <v>#N/A</v>
      </c>
      <c r="I50" s="16" t="e">
        <f t="shared" si="1"/>
        <v>#N/A</v>
      </c>
      <c r="J50" s="16"/>
      <c r="K50" s="16"/>
      <c r="L50" s="16"/>
      <c r="M50" s="16"/>
      <c r="N50" s="16">
        <f t="shared" si="2"/>
        <v>0</v>
      </c>
      <c r="O50" s="16" t="e">
        <f t="shared" si="3"/>
        <v>#N/A</v>
      </c>
      <c r="P50" s="16">
        <v>6.9444444444444397E-3</v>
      </c>
      <c r="Q50" s="16"/>
      <c r="R50" s="16">
        <f t="shared" si="4"/>
        <v>-6.9444444444444397E-3</v>
      </c>
      <c r="S50" s="16"/>
      <c r="T50" s="16" t="e">
        <f>VLOOKUP(E50,'[2]21-3-2026'!E$3:T$35,16,FALSE)</f>
        <v>#N/A</v>
      </c>
      <c r="U50" s="16"/>
      <c r="V50" s="16" t="e">
        <f t="shared" si="5"/>
        <v>#N/A</v>
      </c>
      <c r="W50" s="16"/>
      <c r="X50" s="16"/>
      <c r="Y50" s="16"/>
      <c r="Z50" s="16">
        <f t="shared" si="6"/>
        <v>0</v>
      </c>
      <c r="AA50" s="16">
        <f t="shared" si="0"/>
        <v>0</v>
      </c>
      <c r="AB50" s="16"/>
      <c r="AC50" s="17"/>
      <c r="AD50" s="51"/>
    </row>
    <row r="51" spans="1:30" ht="19.5" thickBot="1" x14ac:dyDescent="0.3">
      <c r="A51" s="14">
        <v>16</v>
      </c>
      <c r="B51" s="15"/>
      <c r="C51" s="15" t="e">
        <f>VLOOKUP(B51,داتا!$B$3:$D$107,2,FALSE)</f>
        <v>#N/A</v>
      </c>
      <c r="D51" s="34" t="e">
        <f>VLOOKUP(B51,داتا!$B$3:$D$107,3,FALSE)</f>
        <v>#N/A</v>
      </c>
      <c r="E51" s="15"/>
      <c r="F51" s="15"/>
      <c r="G51" s="16">
        <v>0.25</v>
      </c>
      <c r="H51" s="16" t="e">
        <f t="shared" si="7"/>
        <v>#N/A</v>
      </c>
      <c r="I51" s="16" t="e">
        <f t="shared" si="1"/>
        <v>#N/A</v>
      </c>
      <c r="J51" s="16"/>
      <c r="K51" s="16"/>
      <c r="L51" s="16"/>
      <c r="M51" s="16"/>
      <c r="N51" s="16">
        <f t="shared" si="2"/>
        <v>0</v>
      </c>
      <c r="O51" s="16" t="e">
        <f t="shared" si="3"/>
        <v>#N/A</v>
      </c>
      <c r="P51" s="16">
        <v>6.9444444444444397E-3</v>
      </c>
      <c r="Q51" s="16"/>
      <c r="R51" s="16">
        <f t="shared" si="4"/>
        <v>-6.9444444444444397E-3</v>
      </c>
      <c r="S51" s="16"/>
      <c r="T51" s="16" t="e">
        <f>VLOOKUP(E51,'[2]21-3-2026'!E$3:T$35,16,FALSE)</f>
        <v>#N/A</v>
      </c>
      <c r="U51" s="16"/>
      <c r="V51" s="16" t="e">
        <f t="shared" si="5"/>
        <v>#N/A</v>
      </c>
      <c r="W51" s="16"/>
      <c r="X51" s="16"/>
      <c r="Y51" s="16"/>
      <c r="Z51" s="16">
        <f t="shared" si="6"/>
        <v>0</v>
      </c>
      <c r="AA51" s="16">
        <f t="shared" si="0"/>
        <v>0</v>
      </c>
      <c r="AB51" s="16"/>
      <c r="AC51" s="17"/>
      <c r="AD51" s="51"/>
    </row>
    <row r="52" spans="1:30" ht="19.5" thickBot="1" x14ac:dyDescent="0.3">
      <c r="A52" s="14">
        <v>17</v>
      </c>
      <c r="B52" s="15"/>
      <c r="C52" s="15" t="e">
        <f>VLOOKUP(B52,داتا!$B$3:$D$107,2,FALSE)</f>
        <v>#N/A</v>
      </c>
      <c r="D52" s="34" t="e">
        <f>VLOOKUP(B52,داتا!$B$3:$D$107,3,FALSE)</f>
        <v>#N/A</v>
      </c>
      <c r="E52" s="15"/>
      <c r="F52" s="15"/>
      <c r="G52" s="16">
        <v>0.25</v>
      </c>
      <c r="H52" s="16" t="e">
        <f t="shared" si="7"/>
        <v>#N/A</v>
      </c>
      <c r="I52" s="16" t="e">
        <f t="shared" si="1"/>
        <v>#N/A</v>
      </c>
      <c r="J52" s="16"/>
      <c r="K52" s="16"/>
      <c r="L52" s="16"/>
      <c r="M52" s="16"/>
      <c r="N52" s="16">
        <f t="shared" si="2"/>
        <v>0</v>
      </c>
      <c r="O52" s="16" t="e">
        <f t="shared" si="3"/>
        <v>#N/A</v>
      </c>
      <c r="P52" s="16">
        <v>6.9444444444444397E-3</v>
      </c>
      <c r="Q52" s="16"/>
      <c r="R52" s="16">
        <f t="shared" si="4"/>
        <v>-6.9444444444444397E-3</v>
      </c>
      <c r="S52" s="16"/>
      <c r="T52" s="16" t="e">
        <f>VLOOKUP(E52,'[2]21-3-2026'!E$3:T$35,16,FALSE)</f>
        <v>#N/A</v>
      </c>
      <c r="U52" s="16"/>
      <c r="V52" s="16" t="e">
        <f t="shared" si="5"/>
        <v>#N/A</v>
      </c>
      <c r="W52" s="16"/>
      <c r="X52" s="16"/>
      <c r="Y52" s="16"/>
      <c r="Z52" s="16">
        <f t="shared" si="6"/>
        <v>0</v>
      </c>
      <c r="AA52" s="16">
        <f t="shared" si="0"/>
        <v>0</v>
      </c>
      <c r="AB52" s="16"/>
      <c r="AC52" s="17"/>
      <c r="AD52" s="51"/>
    </row>
    <row r="53" spans="1:30" ht="19.5" thickBot="1" x14ac:dyDescent="0.3">
      <c r="A53" s="14">
        <v>18</v>
      </c>
      <c r="B53" s="15"/>
      <c r="C53" s="15" t="e">
        <f>VLOOKUP(B53,داتا!$B$3:$D$107,2,FALSE)</f>
        <v>#N/A</v>
      </c>
      <c r="D53" s="34" t="e">
        <f>VLOOKUP(B53,داتا!$B$3:$D$107,3,FALSE)</f>
        <v>#N/A</v>
      </c>
      <c r="E53" s="15"/>
      <c r="F53" s="15"/>
      <c r="G53" s="16">
        <v>0.25</v>
      </c>
      <c r="H53" s="16" t="e">
        <f t="shared" ref="H53:H68" si="8">VLOOKUP(G53,$F$3:$I$35,2,FALSE)</f>
        <v>#N/A</v>
      </c>
      <c r="I53" s="16" t="e">
        <f t="shared" si="1"/>
        <v>#N/A</v>
      </c>
      <c r="J53" s="16"/>
      <c r="K53" s="16"/>
      <c r="L53" s="16"/>
      <c r="M53" s="16"/>
      <c r="N53" s="16">
        <f t="shared" si="2"/>
        <v>0</v>
      </c>
      <c r="O53" s="16" t="e">
        <f t="shared" si="3"/>
        <v>#N/A</v>
      </c>
      <c r="P53" s="16">
        <v>6.9444444444444397E-3</v>
      </c>
      <c r="Q53" s="16"/>
      <c r="R53" s="16">
        <f t="shared" si="4"/>
        <v>-6.9444444444444397E-3</v>
      </c>
      <c r="S53" s="16"/>
      <c r="T53" s="16" t="e">
        <f>VLOOKUP(E53,'[2]21-3-2026'!E$3:T$35,16,FALSE)</f>
        <v>#N/A</v>
      </c>
      <c r="U53" s="16"/>
      <c r="V53" s="16" t="e">
        <f t="shared" si="5"/>
        <v>#N/A</v>
      </c>
      <c r="W53" s="16"/>
      <c r="X53" s="16"/>
      <c r="Y53" s="16"/>
      <c r="Z53" s="16">
        <f t="shared" si="6"/>
        <v>0</v>
      </c>
      <c r="AA53" s="16">
        <f t="shared" si="0"/>
        <v>0</v>
      </c>
      <c r="AB53" s="16"/>
      <c r="AC53" s="17"/>
      <c r="AD53" s="51"/>
    </row>
    <row r="54" spans="1:30" ht="19.5" thickBot="1" x14ac:dyDescent="0.3">
      <c r="A54" s="14">
        <v>19</v>
      </c>
      <c r="B54" s="15"/>
      <c r="C54" s="15" t="e">
        <f>VLOOKUP(B54,داتا!$B$3:$D$107,2,FALSE)</f>
        <v>#N/A</v>
      </c>
      <c r="D54" s="34" t="e">
        <f>VLOOKUP(B54,داتا!$B$3:$D$107,3,FALSE)</f>
        <v>#N/A</v>
      </c>
      <c r="E54" s="15"/>
      <c r="F54" s="15"/>
      <c r="G54" s="16">
        <v>0.25</v>
      </c>
      <c r="H54" s="16" t="e">
        <f t="shared" si="8"/>
        <v>#N/A</v>
      </c>
      <c r="I54" s="16" t="e">
        <f t="shared" si="1"/>
        <v>#N/A</v>
      </c>
      <c r="J54" s="16"/>
      <c r="K54" s="16"/>
      <c r="L54" s="16"/>
      <c r="M54" s="16"/>
      <c r="N54" s="16">
        <f t="shared" si="2"/>
        <v>0</v>
      </c>
      <c r="O54" s="16" t="e">
        <f t="shared" si="3"/>
        <v>#N/A</v>
      </c>
      <c r="P54" s="16">
        <v>6.9444444444444397E-3</v>
      </c>
      <c r="Q54" s="16"/>
      <c r="R54" s="16">
        <f t="shared" si="4"/>
        <v>-6.9444444444444397E-3</v>
      </c>
      <c r="S54" s="16"/>
      <c r="T54" s="16" t="e">
        <f>VLOOKUP(E54,'[2]21-3-2026'!E$3:T$35,16,FALSE)</f>
        <v>#N/A</v>
      </c>
      <c r="U54" s="16"/>
      <c r="V54" s="16" t="e">
        <f t="shared" si="5"/>
        <v>#N/A</v>
      </c>
      <c r="W54" s="16"/>
      <c r="X54" s="16"/>
      <c r="Y54" s="16"/>
      <c r="Z54" s="16">
        <f t="shared" si="6"/>
        <v>0</v>
      </c>
      <c r="AA54" s="16">
        <f t="shared" si="0"/>
        <v>0</v>
      </c>
      <c r="AB54" s="16"/>
      <c r="AC54" s="17"/>
      <c r="AD54" s="51"/>
    </row>
    <row r="55" spans="1:30" ht="19.5" thickBot="1" x14ac:dyDescent="0.3">
      <c r="A55" s="14">
        <v>20</v>
      </c>
      <c r="B55" s="15"/>
      <c r="C55" s="15" t="e">
        <f>VLOOKUP(B55,داتا!$B$3:$D$107,2,FALSE)</f>
        <v>#N/A</v>
      </c>
      <c r="D55" s="34" t="e">
        <f>VLOOKUP(B55,داتا!$B$3:$D$107,3,FALSE)</f>
        <v>#N/A</v>
      </c>
      <c r="E55" s="15"/>
      <c r="F55" s="15"/>
      <c r="G55" s="16">
        <v>0.25</v>
      </c>
      <c r="H55" s="16" t="e">
        <f t="shared" si="8"/>
        <v>#N/A</v>
      </c>
      <c r="I55" s="16" t="e">
        <f t="shared" si="1"/>
        <v>#N/A</v>
      </c>
      <c r="J55" s="16"/>
      <c r="K55" s="16"/>
      <c r="L55" s="16"/>
      <c r="M55" s="16"/>
      <c r="N55" s="16">
        <f t="shared" si="2"/>
        <v>0</v>
      </c>
      <c r="O55" s="16" t="e">
        <f t="shared" si="3"/>
        <v>#N/A</v>
      </c>
      <c r="P55" s="16">
        <v>6.9444444444444397E-3</v>
      </c>
      <c r="Q55" s="16"/>
      <c r="R55" s="16">
        <f t="shared" si="4"/>
        <v>-6.9444444444444397E-3</v>
      </c>
      <c r="S55" s="16"/>
      <c r="T55" s="16" t="e">
        <f>VLOOKUP(E55,'[2]21-3-2026'!E$3:T$35,16,FALSE)</f>
        <v>#N/A</v>
      </c>
      <c r="U55" s="16"/>
      <c r="V55" s="16" t="e">
        <f t="shared" si="5"/>
        <v>#N/A</v>
      </c>
      <c r="W55" s="16"/>
      <c r="X55" s="16"/>
      <c r="Y55" s="16"/>
      <c r="Z55" s="16">
        <f t="shared" si="6"/>
        <v>0</v>
      </c>
      <c r="AA55" s="16">
        <f t="shared" si="0"/>
        <v>0</v>
      </c>
      <c r="AB55" s="16"/>
      <c r="AC55" s="17"/>
      <c r="AD55" s="51"/>
    </row>
    <row r="56" spans="1:30" ht="19.5" thickBot="1" x14ac:dyDescent="0.3">
      <c r="A56" s="14">
        <v>21</v>
      </c>
      <c r="B56" s="15"/>
      <c r="C56" s="15" t="e">
        <f>VLOOKUP(B56,داتا!$B$3:$D$107,2,FALSE)</f>
        <v>#N/A</v>
      </c>
      <c r="D56" s="34" t="e">
        <f>VLOOKUP(B56,داتا!$B$3:$D$107,3,FALSE)</f>
        <v>#N/A</v>
      </c>
      <c r="E56" s="15"/>
      <c r="F56" s="15"/>
      <c r="G56" s="16">
        <v>0.25</v>
      </c>
      <c r="H56" s="16" t="e">
        <f t="shared" si="8"/>
        <v>#N/A</v>
      </c>
      <c r="I56" s="16" t="e">
        <f t="shared" si="1"/>
        <v>#N/A</v>
      </c>
      <c r="J56" s="16"/>
      <c r="K56" s="16"/>
      <c r="L56" s="15"/>
      <c r="M56" s="15"/>
      <c r="N56" s="16">
        <f t="shared" si="2"/>
        <v>0</v>
      </c>
      <c r="O56" s="16" t="e">
        <f t="shared" si="3"/>
        <v>#N/A</v>
      </c>
      <c r="P56" s="16">
        <v>6.9444444444444397E-3</v>
      </c>
      <c r="Q56" s="16"/>
      <c r="R56" s="16">
        <f t="shared" si="4"/>
        <v>-6.9444444444444397E-3</v>
      </c>
      <c r="S56" s="16"/>
      <c r="T56" s="16" t="e">
        <f>VLOOKUP(E56,'[2]21-3-2026'!E$3:T$35,16,FALSE)</f>
        <v>#N/A</v>
      </c>
      <c r="U56" s="16"/>
      <c r="V56" s="16" t="e">
        <f t="shared" si="5"/>
        <v>#N/A</v>
      </c>
      <c r="W56" s="16"/>
      <c r="X56" s="16"/>
      <c r="Y56" s="16"/>
      <c r="Z56" s="16">
        <f t="shared" si="6"/>
        <v>0</v>
      </c>
      <c r="AA56" s="16">
        <f t="shared" si="0"/>
        <v>0</v>
      </c>
      <c r="AB56" s="16"/>
      <c r="AC56" s="17"/>
      <c r="AD56" s="51"/>
    </row>
    <row r="57" spans="1:30" ht="19.5" thickBot="1" x14ac:dyDescent="0.3">
      <c r="A57" s="14">
        <v>22</v>
      </c>
      <c r="B57" s="15"/>
      <c r="C57" s="15" t="e">
        <f>VLOOKUP(B57,داتا!$B$3:$D$107,2,FALSE)</f>
        <v>#N/A</v>
      </c>
      <c r="D57" s="34" t="e">
        <f>VLOOKUP(B57,داتا!$B$3:$D$107,3,FALSE)</f>
        <v>#N/A</v>
      </c>
      <c r="E57" s="15"/>
      <c r="F57" s="15"/>
      <c r="G57" s="16">
        <v>0.25</v>
      </c>
      <c r="H57" s="16" t="e">
        <f t="shared" si="8"/>
        <v>#N/A</v>
      </c>
      <c r="I57" s="16" t="e">
        <f t="shared" si="1"/>
        <v>#N/A</v>
      </c>
      <c r="J57" s="16"/>
      <c r="K57" s="16"/>
      <c r="L57" s="15"/>
      <c r="M57" s="15"/>
      <c r="N57" s="16">
        <f t="shared" si="2"/>
        <v>0</v>
      </c>
      <c r="O57" s="16" t="e">
        <f t="shared" si="3"/>
        <v>#N/A</v>
      </c>
      <c r="P57" s="16">
        <v>6.9444444444444397E-3</v>
      </c>
      <c r="Q57" s="16"/>
      <c r="R57" s="16">
        <f t="shared" si="4"/>
        <v>-6.9444444444444397E-3</v>
      </c>
      <c r="S57" s="16"/>
      <c r="T57" s="16" t="e">
        <f>VLOOKUP(E57,'[2]21-3-2026'!E$3:T$35,16,FALSE)</f>
        <v>#N/A</v>
      </c>
      <c r="U57" s="16"/>
      <c r="V57" s="16" t="e">
        <f t="shared" si="5"/>
        <v>#N/A</v>
      </c>
      <c r="W57" s="16"/>
      <c r="X57" s="16"/>
      <c r="Y57" s="16"/>
      <c r="Z57" s="16">
        <f t="shared" si="6"/>
        <v>0</v>
      </c>
      <c r="AA57" s="16">
        <f t="shared" si="0"/>
        <v>0</v>
      </c>
      <c r="AB57" s="16"/>
      <c r="AC57" s="17"/>
      <c r="AD57" s="51"/>
    </row>
    <row r="58" spans="1:30" ht="19.5" thickBot="1" x14ac:dyDescent="0.3">
      <c r="A58" s="14">
        <v>23</v>
      </c>
      <c r="B58" s="15"/>
      <c r="C58" s="15" t="e">
        <f>VLOOKUP(B58,داتا!$B$3:$D$107,2,FALSE)</f>
        <v>#N/A</v>
      </c>
      <c r="D58" s="34" t="e">
        <f>VLOOKUP(B58,داتا!$B$3:$D$107,3,FALSE)</f>
        <v>#N/A</v>
      </c>
      <c r="E58" s="15"/>
      <c r="F58" s="15"/>
      <c r="G58" s="16">
        <v>0.25</v>
      </c>
      <c r="H58" s="16" t="e">
        <f t="shared" si="8"/>
        <v>#N/A</v>
      </c>
      <c r="I58" s="16" t="e">
        <f t="shared" si="1"/>
        <v>#N/A</v>
      </c>
      <c r="J58" s="16"/>
      <c r="K58" s="16"/>
      <c r="L58" s="16"/>
      <c r="M58" s="16"/>
      <c r="N58" s="16">
        <f t="shared" si="2"/>
        <v>0</v>
      </c>
      <c r="O58" s="16" t="e">
        <f t="shared" si="3"/>
        <v>#N/A</v>
      </c>
      <c r="P58" s="16">
        <v>6.9444444444444397E-3</v>
      </c>
      <c r="Q58" s="16"/>
      <c r="R58" s="16">
        <f t="shared" si="4"/>
        <v>-6.9444444444444397E-3</v>
      </c>
      <c r="S58" s="16"/>
      <c r="T58" s="16" t="e">
        <f>VLOOKUP(E58,'[2]21-3-2026'!E$3:T$35,16,FALSE)</f>
        <v>#N/A</v>
      </c>
      <c r="U58" s="16"/>
      <c r="V58" s="16" t="e">
        <f t="shared" si="5"/>
        <v>#N/A</v>
      </c>
      <c r="W58" s="16"/>
      <c r="X58" s="16"/>
      <c r="Y58" s="16"/>
      <c r="Z58" s="16">
        <f t="shared" si="6"/>
        <v>0</v>
      </c>
      <c r="AA58" s="16">
        <f t="shared" si="0"/>
        <v>0</v>
      </c>
      <c r="AB58" s="16"/>
      <c r="AC58" s="17"/>
      <c r="AD58" s="51"/>
    </row>
    <row r="59" spans="1:30" ht="19.5" thickBot="1" x14ac:dyDescent="0.3">
      <c r="A59" s="14">
        <v>24</v>
      </c>
      <c r="B59" s="15"/>
      <c r="C59" s="15" t="e">
        <f>VLOOKUP(B59,داتا!$B$3:$D$107,2,FALSE)</f>
        <v>#N/A</v>
      </c>
      <c r="D59" s="34" t="e">
        <f>VLOOKUP(B59,داتا!$B$3:$D$107,3,FALSE)</f>
        <v>#N/A</v>
      </c>
      <c r="E59" s="16"/>
      <c r="F59" s="15"/>
      <c r="G59" s="16">
        <v>0.25</v>
      </c>
      <c r="H59" s="16" t="e">
        <f t="shared" si="8"/>
        <v>#N/A</v>
      </c>
      <c r="I59" s="16" t="e">
        <f t="shared" si="1"/>
        <v>#N/A</v>
      </c>
      <c r="J59" s="16"/>
      <c r="K59" s="16"/>
      <c r="L59" s="15"/>
      <c r="M59" s="15"/>
      <c r="N59" s="16">
        <f t="shared" si="2"/>
        <v>0</v>
      </c>
      <c r="O59" s="16" t="e">
        <f t="shared" si="3"/>
        <v>#N/A</v>
      </c>
      <c r="P59" s="16">
        <v>6.9444444444444397E-3</v>
      </c>
      <c r="Q59" s="16"/>
      <c r="R59" s="16">
        <f t="shared" si="4"/>
        <v>-6.9444444444444397E-3</v>
      </c>
      <c r="S59" s="16"/>
      <c r="T59" s="16" t="e">
        <f>VLOOKUP(E59,'[2]21-3-2026'!E$3:T$35,16,FALSE)</f>
        <v>#N/A</v>
      </c>
      <c r="U59" s="16"/>
      <c r="V59" s="16" t="e">
        <f t="shared" si="5"/>
        <v>#N/A</v>
      </c>
      <c r="W59" s="16"/>
      <c r="X59" s="16"/>
      <c r="Y59" s="16"/>
      <c r="Z59" s="16">
        <f t="shared" si="6"/>
        <v>0</v>
      </c>
      <c r="AA59" s="16">
        <f t="shared" si="0"/>
        <v>0</v>
      </c>
      <c r="AB59" s="16"/>
      <c r="AC59" s="17"/>
      <c r="AD59" s="51"/>
    </row>
    <row r="60" spans="1:30" ht="19.5" thickBot="1" x14ac:dyDescent="0.3">
      <c r="A60" s="14">
        <v>25</v>
      </c>
      <c r="B60" s="15"/>
      <c r="C60" s="15" t="e">
        <f>VLOOKUP(B60,داتا!$B$3:$D$107,2,FALSE)</f>
        <v>#N/A</v>
      </c>
      <c r="D60" s="34" t="e">
        <f>VLOOKUP(B60,داتا!$B$3:$D$107,3,FALSE)</f>
        <v>#N/A</v>
      </c>
      <c r="E60" s="15"/>
      <c r="F60" s="15"/>
      <c r="G60" s="16">
        <v>0.25</v>
      </c>
      <c r="H60" s="16" t="e">
        <f t="shared" si="8"/>
        <v>#N/A</v>
      </c>
      <c r="I60" s="16" t="e">
        <f t="shared" si="1"/>
        <v>#N/A</v>
      </c>
      <c r="J60" s="16"/>
      <c r="K60" s="16"/>
      <c r="L60" s="16"/>
      <c r="M60" s="16"/>
      <c r="N60" s="16">
        <f t="shared" si="2"/>
        <v>0</v>
      </c>
      <c r="O60" s="16" t="e">
        <f t="shared" si="3"/>
        <v>#N/A</v>
      </c>
      <c r="P60" s="16">
        <v>6.9444444444444397E-3</v>
      </c>
      <c r="Q60" s="16"/>
      <c r="R60" s="16">
        <f t="shared" si="4"/>
        <v>-6.9444444444444397E-3</v>
      </c>
      <c r="S60" s="16"/>
      <c r="T60" s="16" t="e">
        <f>VLOOKUP(E60,'[2]21-3-2026'!E$3:T$35,16,FALSE)</f>
        <v>#N/A</v>
      </c>
      <c r="U60" s="16"/>
      <c r="V60" s="16" t="e">
        <f t="shared" si="5"/>
        <v>#N/A</v>
      </c>
      <c r="W60" s="16"/>
      <c r="X60" s="16"/>
      <c r="Y60" s="16"/>
      <c r="Z60" s="16">
        <f t="shared" si="6"/>
        <v>0</v>
      </c>
      <c r="AA60" s="16">
        <f t="shared" si="0"/>
        <v>0</v>
      </c>
      <c r="AB60" s="16"/>
      <c r="AC60" s="17"/>
      <c r="AD60" s="51"/>
    </row>
    <row r="61" spans="1:30" ht="19.5" thickBot="1" x14ac:dyDescent="0.3">
      <c r="A61" s="14">
        <v>26</v>
      </c>
      <c r="B61" s="15"/>
      <c r="C61" s="15" t="e">
        <f>VLOOKUP(B61,داتا!$B$3:$D$107,2,FALSE)</f>
        <v>#N/A</v>
      </c>
      <c r="D61" s="34" t="e">
        <f>VLOOKUP(B61,داتا!$B$3:$D$107,3,FALSE)</f>
        <v>#N/A</v>
      </c>
      <c r="E61" s="15"/>
      <c r="F61" s="15"/>
      <c r="G61" s="16">
        <v>0.25</v>
      </c>
      <c r="H61" s="16" t="e">
        <f t="shared" si="8"/>
        <v>#N/A</v>
      </c>
      <c r="I61" s="16" t="e">
        <f t="shared" si="1"/>
        <v>#N/A</v>
      </c>
      <c r="J61" s="16"/>
      <c r="K61" s="16"/>
      <c r="L61" s="16"/>
      <c r="M61" s="16"/>
      <c r="N61" s="16">
        <f t="shared" si="2"/>
        <v>0</v>
      </c>
      <c r="O61" s="16" t="e">
        <f t="shared" si="3"/>
        <v>#N/A</v>
      </c>
      <c r="P61" s="16">
        <v>6.9444444444444397E-3</v>
      </c>
      <c r="Q61" s="16"/>
      <c r="R61" s="16">
        <f t="shared" si="4"/>
        <v>-6.9444444444444397E-3</v>
      </c>
      <c r="S61" s="16"/>
      <c r="T61" s="16" t="e">
        <f>VLOOKUP(E61,'[2]21-3-2026'!E$3:T$35,16,FALSE)</f>
        <v>#N/A</v>
      </c>
      <c r="U61" s="16"/>
      <c r="V61" s="16" t="e">
        <f t="shared" si="5"/>
        <v>#N/A</v>
      </c>
      <c r="W61" s="16"/>
      <c r="X61" s="16"/>
      <c r="Y61" s="16"/>
      <c r="Z61" s="16">
        <f t="shared" si="6"/>
        <v>0</v>
      </c>
      <c r="AA61" s="16">
        <f t="shared" si="0"/>
        <v>0</v>
      </c>
      <c r="AB61" s="16"/>
      <c r="AC61" s="17"/>
      <c r="AD61" s="51"/>
    </row>
    <row r="62" spans="1:30" ht="19.5" thickBot="1" x14ac:dyDescent="0.3">
      <c r="A62" s="14">
        <v>27</v>
      </c>
      <c r="B62" s="15"/>
      <c r="C62" s="15" t="e">
        <f>VLOOKUP(B62,داتا!$B$3:$D$107,2,FALSE)</f>
        <v>#N/A</v>
      </c>
      <c r="D62" s="34" t="e">
        <f>VLOOKUP(B62,داتا!$B$3:$D$107,3,FALSE)</f>
        <v>#N/A</v>
      </c>
      <c r="E62" s="15"/>
      <c r="F62" s="15"/>
      <c r="G62" s="16">
        <v>0.25</v>
      </c>
      <c r="H62" s="16" t="e">
        <f t="shared" si="8"/>
        <v>#N/A</v>
      </c>
      <c r="I62" s="16" t="e">
        <f t="shared" si="1"/>
        <v>#N/A</v>
      </c>
      <c r="J62" s="16"/>
      <c r="K62" s="16"/>
      <c r="L62" s="16"/>
      <c r="M62" s="16"/>
      <c r="N62" s="16">
        <f t="shared" si="2"/>
        <v>0</v>
      </c>
      <c r="O62" s="16" t="e">
        <f t="shared" si="3"/>
        <v>#N/A</v>
      </c>
      <c r="P62" s="16">
        <v>6.9444444444444397E-3</v>
      </c>
      <c r="Q62" s="16"/>
      <c r="R62" s="16">
        <f t="shared" si="4"/>
        <v>-6.9444444444444397E-3</v>
      </c>
      <c r="S62" s="16"/>
      <c r="T62" s="16" t="e">
        <f>VLOOKUP(E62,'[2]21-3-2026'!E$3:T$35,16,FALSE)</f>
        <v>#N/A</v>
      </c>
      <c r="U62" s="16"/>
      <c r="V62" s="16" t="e">
        <f t="shared" si="5"/>
        <v>#N/A</v>
      </c>
      <c r="W62" s="16"/>
      <c r="X62" s="16"/>
      <c r="Y62" s="16"/>
      <c r="Z62" s="16">
        <f t="shared" si="6"/>
        <v>0</v>
      </c>
      <c r="AA62" s="16">
        <f t="shared" si="0"/>
        <v>0</v>
      </c>
      <c r="AB62" s="16"/>
      <c r="AC62" s="17"/>
      <c r="AD62" s="51"/>
    </row>
    <row r="63" spans="1:30" ht="19.5" thickBot="1" x14ac:dyDescent="0.3">
      <c r="A63" s="14">
        <v>28</v>
      </c>
      <c r="B63" s="15"/>
      <c r="C63" s="15" t="e">
        <f>VLOOKUP(B63,داتا!$B$3:$D$107,2,FALSE)</f>
        <v>#N/A</v>
      </c>
      <c r="D63" s="34" t="e">
        <f>VLOOKUP(B63,داتا!$B$3:$D$107,3,FALSE)</f>
        <v>#N/A</v>
      </c>
      <c r="E63" s="15"/>
      <c r="F63" s="15"/>
      <c r="G63" s="16">
        <v>0.25</v>
      </c>
      <c r="H63" s="16" t="e">
        <f t="shared" si="8"/>
        <v>#N/A</v>
      </c>
      <c r="I63" s="16" t="e">
        <f t="shared" si="1"/>
        <v>#N/A</v>
      </c>
      <c r="J63" s="16"/>
      <c r="K63" s="16"/>
      <c r="L63" s="16"/>
      <c r="M63" s="16"/>
      <c r="N63" s="16">
        <f t="shared" si="2"/>
        <v>0</v>
      </c>
      <c r="O63" s="16" t="e">
        <f t="shared" si="3"/>
        <v>#N/A</v>
      </c>
      <c r="P63" s="16">
        <v>6.9444444444444397E-3</v>
      </c>
      <c r="Q63" s="16"/>
      <c r="R63" s="16">
        <f t="shared" si="4"/>
        <v>-6.9444444444444397E-3</v>
      </c>
      <c r="S63" s="16"/>
      <c r="T63" s="16" t="e">
        <f>VLOOKUP(E63,'[2]21-3-2026'!E$3:T$35,16,FALSE)</f>
        <v>#N/A</v>
      </c>
      <c r="U63" s="16"/>
      <c r="V63" s="16" t="e">
        <f t="shared" si="5"/>
        <v>#N/A</v>
      </c>
      <c r="W63" s="16"/>
      <c r="X63" s="16"/>
      <c r="Y63" s="16"/>
      <c r="Z63" s="16">
        <f t="shared" si="6"/>
        <v>0</v>
      </c>
      <c r="AA63" s="16">
        <f t="shared" si="0"/>
        <v>0</v>
      </c>
      <c r="AB63" s="16"/>
      <c r="AC63" s="17"/>
      <c r="AD63" s="51"/>
    </row>
    <row r="64" spans="1:30" ht="19.5" thickBot="1" x14ac:dyDescent="0.3">
      <c r="A64" s="14">
        <v>29</v>
      </c>
      <c r="B64" s="15"/>
      <c r="C64" s="15" t="e">
        <f>VLOOKUP(B64,داتا!$B$3:$D$107,2,FALSE)</f>
        <v>#N/A</v>
      </c>
      <c r="D64" s="34" t="e">
        <f>VLOOKUP(B64,داتا!$B$3:$D$107,3,FALSE)</f>
        <v>#N/A</v>
      </c>
      <c r="E64" s="15"/>
      <c r="F64" s="15"/>
      <c r="G64" s="16">
        <v>0.25</v>
      </c>
      <c r="H64" s="16" t="e">
        <f t="shared" si="8"/>
        <v>#N/A</v>
      </c>
      <c r="I64" s="16" t="e">
        <f t="shared" si="1"/>
        <v>#N/A</v>
      </c>
      <c r="J64" s="16"/>
      <c r="K64" s="16"/>
      <c r="L64" s="16"/>
      <c r="M64" s="16"/>
      <c r="N64" s="16">
        <f t="shared" si="2"/>
        <v>0</v>
      </c>
      <c r="O64" s="16" t="e">
        <f t="shared" si="3"/>
        <v>#N/A</v>
      </c>
      <c r="P64" s="16">
        <v>6.9444444444444397E-3</v>
      </c>
      <c r="Q64" s="16"/>
      <c r="R64" s="16">
        <f t="shared" si="4"/>
        <v>-6.9444444444444397E-3</v>
      </c>
      <c r="S64" s="16"/>
      <c r="T64" s="16" t="e">
        <f>VLOOKUP(E64,'[2]21-3-2026'!E$3:T$35,16,FALSE)</f>
        <v>#N/A</v>
      </c>
      <c r="U64" s="16"/>
      <c r="V64" s="16" t="e">
        <f t="shared" si="5"/>
        <v>#N/A</v>
      </c>
      <c r="W64" s="16"/>
      <c r="X64" s="16"/>
      <c r="Y64" s="16"/>
      <c r="Z64" s="16">
        <f t="shared" si="6"/>
        <v>0</v>
      </c>
      <c r="AA64" s="16">
        <f t="shared" si="0"/>
        <v>0</v>
      </c>
      <c r="AB64" s="16"/>
      <c r="AC64" s="17"/>
      <c r="AD64" s="51"/>
    </row>
    <row r="65" spans="1:30" ht="19.5" thickBot="1" x14ac:dyDescent="0.3">
      <c r="A65" s="14">
        <v>30</v>
      </c>
      <c r="B65" s="15"/>
      <c r="C65" s="15" t="e">
        <f>VLOOKUP(B65,داتا!$B$3:$D$107,2,FALSE)</f>
        <v>#N/A</v>
      </c>
      <c r="D65" s="34" t="e">
        <f>VLOOKUP(B65,داتا!$B$3:$D$107,3,FALSE)</f>
        <v>#N/A</v>
      </c>
      <c r="E65" s="15"/>
      <c r="F65" s="15"/>
      <c r="G65" s="16">
        <v>0.25</v>
      </c>
      <c r="H65" s="16" t="e">
        <f t="shared" si="8"/>
        <v>#N/A</v>
      </c>
      <c r="I65" s="16" t="e">
        <f t="shared" si="1"/>
        <v>#N/A</v>
      </c>
      <c r="J65" s="16"/>
      <c r="K65" s="16"/>
      <c r="L65" s="16"/>
      <c r="M65" s="16"/>
      <c r="N65" s="16">
        <f t="shared" si="2"/>
        <v>0</v>
      </c>
      <c r="O65" s="16" t="e">
        <f t="shared" si="3"/>
        <v>#N/A</v>
      </c>
      <c r="P65" s="16">
        <v>6.9444444444444397E-3</v>
      </c>
      <c r="Q65" s="16"/>
      <c r="R65" s="16">
        <f t="shared" si="4"/>
        <v>-6.9444444444444397E-3</v>
      </c>
      <c r="S65" s="16"/>
      <c r="T65" s="16" t="e">
        <f>VLOOKUP(E65,'[2]21-3-2026'!E$3:T$35,16,FALSE)</f>
        <v>#N/A</v>
      </c>
      <c r="U65" s="16"/>
      <c r="V65" s="16" t="e">
        <f t="shared" si="5"/>
        <v>#N/A</v>
      </c>
      <c r="W65" s="16"/>
      <c r="X65" s="16"/>
      <c r="Y65" s="16"/>
      <c r="Z65" s="16">
        <f t="shared" si="6"/>
        <v>0</v>
      </c>
      <c r="AA65" s="16">
        <f t="shared" si="0"/>
        <v>0</v>
      </c>
      <c r="AB65" s="16"/>
      <c r="AC65" s="17"/>
      <c r="AD65" s="51"/>
    </row>
    <row r="66" spans="1:30" ht="20.25" customHeight="1" thickBot="1" x14ac:dyDescent="0.3">
      <c r="A66" s="14">
        <v>31</v>
      </c>
      <c r="B66" s="15"/>
      <c r="C66" s="15" t="e">
        <f>VLOOKUP(B66,داتا!$B$3:$D$107,2,FALSE)</f>
        <v>#N/A</v>
      </c>
      <c r="D66" s="34" t="e">
        <f>VLOOKUP(B66,داتا!$B$3:$D$107,3,FALSE)</f>
        <v>#N/A</v>
      </c>
      <c r="E66" s="15"/>
      <c r="F66" s="15"/>
      <c r="G66" s="16">
        <v>0.25</v>
      </c>
      <c r="H66" s="16" t="e">
        <f t="shared" si="8"/>
        <v>#N/A</v>
      </c>
      <c r="I66" s="16" t="e">
        <f t="shared" si="1"/>
        <v>#N/A</v>
      </c>
      <c r="J66" s="16"/>
      <c r="K66" s="16"/>
      <c r="L66" s="16"/>
      <c r="M66" s="16"/>
      <c r="N66" s="16">
        <f t="shared" si="2"/>
        <v>0</v>
      </c>
      <c r="O66" s="16" t="e">
        <f t="shared" si="3"/>
        <v>#N/A</v>
      </c>
      <c r="P66" s="16">
        <v>6.9444444444444397E-3</v>
      </c>
      <c r="Q66" s="16"/>
      <c r="R66" s="16">
        <f t="shared" si="4"/>
        <v>-6.9444444444444397E-3</v>
      </c>
      <c r="S66" s="16"/>
      <c r="T66" s="16" t="e">
        <f>VLOOKUP(E66,'[2]21-3-2026'!E$3:T$35,16,FALSE)</f>
        <v>#N/A</v>
      </c>
      <c r="U66" s="16"/>
      <c r="V66" s="16" t="e">
        <f t="shared" si="5"/>
        <v>#N/A</v>
      </c>
      <c r="W66" s="16"/>
      <c r="X66" s="16"/>
      <c r="Y66" s="16"/>
      <c r="Z66" s="16">
        <f t="shared" si="6"/>
        <v>0</v>
      </c>
      <c r="AA66" s="16">
        <f t="shared" si="0"/>
        <v>0</v>
      </c>
      <c r="AB66" s="16"/>
      <c r="AC66" s="19"/>
      <c r="AD66" s="51"/>
    </row>
    <row r="67" spans="1:30" ht="19.5" customHeight="1" thickBot="1" x14ac:dyDescent="0.3">
      <c r="A67" s="20">
        <v>32</v>
      </c>
      <c r="B67" s="21"/>
      <c r="C67" s="21" t="e">
        <f>VLOOKUP(B67,داتا!$B$3:$D$107,2,FALSE)</f>
        <v>#N/A</v>
      </c>
      <c r="D67" s="35" t="e">
        <f>VLOOKUP(B67,داتا!$B$3:$D$107,3,FALSE)</f>
        <v>#N/A</v>
      </c>
      <c r="E67" s="21"/>
      <c r="F67" s="21"/>
      <c r="G67" s="22">
        <v>0.25</v>
      </c>
      <c r="H67" s="22" t="e">
        <f t="shared" si="8"/>
        <v>#N/A</v>
      </c>
      <c r="I67" s="22" t="e">
        <f t="shared" si="1"/>
        <v>#N/A</v>
      </c>
      <c r="J67" s="22"/>
      <c r="K67" s="22"/>
      <c r="L67" s="22"/>
      <c r="M67" s="22"/>
      <c r="N67" s="22">
        <f t="shared" si="2"/>
        <v>0</v>
      </c>
      <c r="O67" s="22" t="e">
        <f t="shared" si="3"/>
        <v>#N/A</v>
      </c>
      <c r="P67" s="22">
        <v>6.9444444444444397E-3</v>
      </c>
      <c r="Q67" s="22"/>
      <c r="R67" s="22">
        <f t="shared" si="4"/>
        <v>-6.9444444444444397E-3</v>
      </c>
      <c r="S67" s="22"/>
      <c r="T67" s="22" t="e">
        <f>VLOOKUP(E67,'[2]21-3-2026'!E$3:T$35,16,FALSE)</f>
        <v>#N/A</v>
      </c>
      <c r="U67" s="22"/>
      <c r="V67" s="22" t="e">
        <f t="shared" si="5"/>
        <v>#N/A</v>
      </c>
      <c r="W67" s="22"/>
      <c r="X67" s="22"/>
      <c r="Y67" s="22"/>
      <c r="Z67" s="22">
        <f t="shared" si="6"/>
        <v>0</v>
      </c>
      <c r="AA67" s="22">
        <f t="shared" ref="AA67:AA99" si="9">Z67-W67</f>
        <v>0</v>
      </c>
      <c r="AB67" s="22"/>
      <c r="AC67" s="23"/>
      <c r="AD67" s="52"/>
    </row>
    <row r="68" spans="1:30" ht="20.25" thickTop="1" thickBot="1" x14ac:dyDescent="0.3">
      <c r="A68" s="10">
        <v>1</v>
      </c>
      <c r="B68" s="11"/>
      <c r="C68" s="11" t="e">
        <f>VLOOKUP(B68,داتا!$B$3:$D$107,2,FALSE)</f>
        <v>#N/A</v>
      </c>
      <c r="D68" s="33" t="e">
        <f>VLOOKUP(B68,داتا!$B$3:$D$107,3,FALSE)</f>
        <v>#N/A</v>
      </c>
      <c r="E68" s="11"/>
      <c r="F68" s="11"/>
      <c r="G68" s="12">
        <v>8.3333333333333329E-2</v>
      </c>
      <c r="H68" s="12" t="e">
        <f t="shared" si="8"/>
        <v>#N/A</v>
      </c>
      <c r="I68" s="12" t="e">
        <f t="shared" ref="I68:I99" si="10">H68-G68</f>
        <v>#N/A</v>
      </c>
      <c r="J68" s="12"/>
      <c r="K68" s="12"/>
      <c r="L68" s="12"/>
      <c r="M68" s="12"/>
      <c r="N68" s="12">
        <f t="shared" ref="N68:N99" si="11">K68-J68</f>
        <v>0</v>
      </c>
      <c r="O68" s="12" t="e">
        <f t="shared" ref="O68:O99" si="12">N68-D68</f>
        <v>#N/A</v>
      </c>
      <c r="P68" s="12">
        <v>6.9444444444444397E-3</v>
      </c>
      <c r="Q68" s="12"/>
      <c r="R68" s="12">
        <f t="shared" ref="R68:R99" si="13">Q68-P68-K68</f>
        <v>-6.9444444444444397E-3</v>
      </c>
      <c r="S68" s="12"/>
      <c r="T68" s="12" t="e">
        <f>VLOOKUP(E68,'[2]21-3-2026'!E$3:T$35,16,FALSE)</f>
        <v>#N/A</v>
      </c>
      <c r="U68" s="12"/>
      <c r="V68" s="12" t="e">
        <f t="shared" ref="V68:V99" si="14">U68-T68-S68</f>
        <v>#N/A</v>
      </c>
      <c r="W68" s="12"/>
      <c r="X68" s="12"/>
      <c r="Y68" s="12"/>
      <c r="Z68" s="12">
        <f t="shared" ref="Z68:Z99" si="15">Y68-X68</f>
        <v>0</v>
      </c>
      <c r="AA68" s="12">
        <f t="shared" si="9"/>
        <v>0</v>
      </c>
      <c r="AB68" s="12"/>
      <c r="AC68" s="13"/>
      <c r="AD68" s="53" t="s">
        <v>116</v>
      </c>
    </row>
    <row r="69" spans="1:30" ht="19.5" thickBot="1" x14ac:dyDescent="0.3">
      <c r="A69" s="14">
        <v>2</v>
      </c>
      <c r="B69" s="15"/>
      <c r="C69" s="15" t="e">
        <f>VLOOKUP(B69,داتا!$B$3:$D$107,2,FALSE)</f>
        <v>#N/A</v>
      </c>
      <c r="D69" s="34" t="e">
        <f>VLOOKUP(B69,داتا!$B$3:$D$107,3,FALSE)</f>
        <v>#N/A</v>
      </c>
      <c r="E69" s="15"/>
      <c r="F69" s="15"/>
      <c r="G69" s="16">
        <v>8.3333333333333329E-2</v>
      </c>
      <c r="H69" s="16" t="e">
        <f t="shared" ref="H69:H84" si="16">VLOOKUP(G69,$F$3:$I$35,2,FALSE)</f>
        <v>#N/A</v>
      </c>
      <c r="I69" s="16" t="e">
        <f t="shared" si="10"/>
        <v>#N/A</v>
      </c>
      <c r="J69" s="16"/>
      <c r="K69" s="16"/>
      <c r="L69" s="16"/>
      <c r="M69" s="16"/>
      <c r="N69" s="16">
        <f t="shared" si="11"/>
        <v>0</v>
      </c>
      <c r="O69" s="16" t="e">
        <f t="shared" si="12"/>
        <v>#N/A</v>
      </c>
      <c r="P69" s="16">
        <v>6.9444444444444397E-3</v>
      </c>
      <c r="Q69" s="16"/>
      <c r="R69" s="16">
        <f t="shared" si="13"/>
        <v>-6.9444444444444397E-3</v>
      </c>
      <c r="S69" s="16"/>
      <c r="T69" s="16" t="e">
        <f>VLOOKUP(E69,'[2]21-3-2026'!E$3:T$35,16,FALSE)</f>
        <v>#N/A</v>
      </c>
      <c r="U69" s="16"/>
      <c r="V69" s="16" t="e">
        <f t="shared" si="14"/>
        <v>#N/A</v>
      </c>
      <c r="W69" s="16"/>
      <c r="X69" s="16"/>
      <c r="Y69" s="16"/>
      <c r="Z69" s="16">
        <f t="shared" si="15"/>
        <v>0</v>
      </c>
      <c r="AA69" s="16">
        <f t="shared" si="9"/>
        <v>0</v>
      </c>
      <c r="AB69" s="16"/>
      <c r="AC69" s="17"/>
      <c r="AD69" s="51"/>
    </row>
    <row r="70" spans="1:30" ht="19.5" thickBot="1" x14ac:dyDescent="0.3">
      <c r="A70" s="14">
        <v>3</v>
      </c>
      <c r="B70" s="15"/>
      <c r="C70" s="15" t="e">
        <f>VLOOKUP(B70,داتا!$B$3:$D$107,2,FALSE)</f>
        <v>#N/A</v>
      </c>
      <c r="D70" s="34" t="e">
        <f>VLOOKUP(B70,داتا!$B$3:$D$107,3,FALSE)</f>
        <v>#N/A</v>
      </c>
      <c r="E70" s="15"/>
      <c r="F70" s="15"/>
      <c r="G70" s="16">
        <v>8.3333333333333329E-2</v>
      </c>
      <c r="H70" s="16" t="e">
        <f t="shared" si="16"/>
        <v>#N/A</v>
      </c>
      <c r="I70" s="16" t="e">
        <f t="shared" si="10"/>
        <v>#N/A</v>
      </c>
      <c r="J70" s="16"/>
      <c r="K70" s="16"/>
      <c r="L70" s="16"/>
      <c r="M70" s="16"/>
      <c r="N70" s="16">
        <f t="shared" si="11"/>
        <v>0</v>
      </c>
      <c r="O70" s="16" t="e">
        <f t="shared" si="12"/>
        <v>#N/A</v>
      </c>
      <c r="P70" s="16">
        <v>6.9444444444444397E-3</v>
      </c>
      <c r="Q70" s="16"/>
      <c r="R70" s="16">
        <f t="shared" si="13"/>
        <v>-6.9444444444444397E-3</v>
      </c>
      <c r="S70" s="16"/>
      <c r="T70" s="16" t="e">
        <f>VLOOKUP(E70,'[2]21-3-2026'!E$3:T$35,16,FALSE)</f>
        <v>#N/A</v>
      </c>
      <c r="U70" s="16"/>
      <c r="V70" s="16" t="e">
        <f t="shared" si="14"/>
        <v>#N/A</v>
      </c>
      <c r="W70" s="16"/>
      <c r="X70" s="16"/>
      <c r="Y70" s="16"/>
      <c r="Z70" s="16">
        <f t="shared" si="15"/>
        <v>0</v>
      </c>
      <c r="AA70" s="16">
        <f t="shared" si="9"/>
        <v>0</v>
      </c>
      <c r="AB70" s="16"/>
      <c r="AC70" s="17"/>
      <c r="AD70" s="51"/>
    </row>
    <row r="71" spans="1:30" ht="19.5" thickBot="1" x14ac:dyDescent="0.3">
      <c r="A71" s="14">
        <v>4</v>
      </c>
      <c r="B71" s="15"/>
      <c r="C71" s="15" t="e">
        <f>VLOOKUP(B71,داتا!$B$3:$D$107,2,FALSE)</f>
        <v>#N/A</v>
      </c>
      <c r="D71" s="34" t="e">
        <f>VLOOKUP(B71,داتا!$B$3:$D$107,3,FALSE)</f>
        <v>#N/A</v>
      </c>
      <c r="E71" s="15"/>
      <c r="F71" s="15"/>
      <c r="G71" s="16">
        <v>8.3333333333333329E-2</v>
      </c>
      <c r="H71" s="16" t="e">
        <f t="shared" si="16"/>
        <v>#N/A</v>
      </c>
      <c r="I71" s="16" t="e">
        <f t="shared" si="10"/>
        <v>#N/A</v>
      </c>
      <c r="J71" s="16"/>
      <c r="K71" s="16"/>
      <c r="L71" s="16"/>
      <c r="M71" s="16"/>
      <c r="N71" s="16">
        <f t="shared" si="11"/>
        <v>0</v>
      </c>
      <c r="O71" s="16" t="e">
        <f t="shared" si="12"/>
        <v>#N/A</v>
      </c>
      <c r="P71" s="16">
        <v>6.9444444444444397E-3</v>
      </c>
      <c r="Q71" s="16"/>
      <c r="R71" s="16">
        <f t="shared" si="13"/>
        <v>-6.9444444444444397E-3</v>
      </c>
      <c r="S71" s="16"/>
      <c r="T71" s="16" t="e">
        <f>VLOOKUP(E71,'[2]21-3-2026'!E$3:T$35,16,FALSE)</f>
        <v>#N/A</v>
      </c>
      <c r="U71" s="16"/>
      <c r="V71" s="16" t="e">
        <f t="shared" si="14"/>
        <v>#N/A</v>
      </c>
      <c r="W71" s="16"/>
      <c r="X71" s="16"/>
      <c r="Y71" s="16"/>
      <c r="Z71" s="16">
        <f t="shared" si="15"/>
        <v>0</v>
      </c>
      <c r="AA71" s="16">
        <f t="shared" si="9"/>
        <v>0</v>
      </c>
      <c r="AB71" s="16"/>
      <c r="AC71" s="17"/>
      <c r="AD71" s="51"/>
    </row>
    <row r="72" spans="1:30" ht="19.5" thickBot="1" x14ac:dyDescent="0.3">
      <c r="A72" s="14">
        <v>5</v>
      </c>
      <c r="B72" s="15"/>
      <c r="C72" s="15" t="e">
        <f>VLOOKUP(B72,داتا!$B$3:$D$107,2,FALSE)</f>
        <v>#N/A</v>
      </c>
      <c r="D72" s="34" t="e">
        <f>VLOOKUP(B72,داتا!$B$3:$D$107,3,FALSE)</f>
        <v>#N/A</v>
      </c>
      <c r="E72" s="15"/>
      <c r="F72" s="15"/>
      <c r="G72" s="16">
        <v>8.3333333333333329E-2</v>
      </c>
      <c r="H72" s="16" t="e">
        <f t="shared" si="16"/>
        <v>#N/A</v>
      </c>
      <c r="I72" s="16" t="e">
        <f t="shared" si="10"/>
        <v>#N/A</v>
      </c>
      <c r="J72" s="16"/>
      <c r="K72" s="16"/>
      <c r="L72" s="16"/>
      <c r="M72" s="16"/>
      <c r="N72" s="16">
        <f t="shared" si="11"/>
        <v>0</v>
      </c>
      <c r="O72" s="16" t="e">
        <f t="shared" si="12"/>
        <v>#N/A</v>
      </c>
      <c r="P72" s="16">
        <v>6.9444444444444397E-3</v>
      </c>
      <c r="Q72" s="16"/>
      <c r="R72" s="16">
        <f t="shared" si="13"/>
        <v>-6.9444444444444397E-3</v>
      </c>
      <c r="S72" s="16"/>
      <c r="T72" s="16" t="e">
        <f>VLOOKUP(E72,'[2]21-3-2026'!E$3:T$35,16,FALSE)</f>
        <v>#N/A</v>
      </c>
      <c r="U72" s="16"/>
      <c r="V72" s="16" t="e">
        <f t="shared" si="14"/>
        <v>#N/A</v>
      </c>
      <c r="W72" s="16"/>
      <c r="X72" s="16"/>
      <c r="Y72" s="16"/>
      <c r="Z72" s="16">
        <f t="shared" si="15"/>
        <v>0</v>
      </c>
      <c r="AA72" s="16">
        <f t="shared" si="9"/>
        <v>0</v>
      </c>
      <c r="AB72" s="16"/>
      <c r="AC72" s="17"/>
      <c r="AD72" s="51"/>
    </row>
    <row r="73" spans="1:30" ht="19.5" thickBot="1" x14ac:dyDescent="0.3">
      <c r="A73" s="14">
        <v>6</v>
      </c>
      <c r="B73" s="15"/>
      <c r="C73" s="15" t="e">
        <f>VLOOKUP(B73,داتا!$B$3:$D$107,2,FALSE)</f>
        <v>#N/A</v>
      </c>
      <c r="D73" s="34" t="e">
        <f>VLOOKUP(B73,داتا!$B$3:$D$107,3,FALSE)</f>
        <v>#N/A</v>
      </c>
      <c r="E73" s="15"/>
      <c r="F73" s="15"/>
      <c r="G73" s="16">
        <v>8.3333333333333329E-2</v>
      </c>
      <c r="H73" s="16" t="e">
        <f t="shared" si="16"/>
        <v>#N/A</v>
      </c>
      <c r="I73" s="16" t="e">
        <f t="shared" si="10"/>
        <v>#N/A</v>
      </c>
      <c r="J73" s="16"/>
      <c r="K73" s="16"/>
      <c r="L73" s="16"/>
      <c r="M73" s="16"/>
      <c r="N73" s="16">
        <f t="shared" si="11"/>
        <v>0</v>
      </c>
      <c r="O73" s="16" t="e">
        <f t="shared" si="12"/>
        <v>#N/A</v>
      </c>
      <c r="P73" s="16">
        <v>6.9444444444444397E-3</v>
      </c>
      <c r="Q73" s="16"/>
      <c r="R73" s="16">
        <f t="shared" si="13"/>
        <v>-6.9444444444444397E-3</v>
      </c>
      <c r="S73" s="16"/>
      <c r="T73" s="16" t="e">
        <f>VLOOKUP(E73,'[2]21-3-2026'!E$3:T$35,16,FALSE)</f>
        <v>#N/A</v>
      </c>
      <c r="U73" s="16"/>
      <c r="V73" s="16" t="e">
        <f t="shared" si="14"/>
        <v>#N/A</v>
      </c>
      <c r="W73" s="16"/>
      <c r="X73" s="16"/>
      <c r="Y73" s="16"/>
      <c r="Z73" s="16">
        <f t="shared" si="15"/>
        <v>0</v>
      </c>
      <c r="AA73" s="16">
        <f t="shared" si="9"/>
        <v>0</v>
      </c>
      <c r="AB73" s="16"/>
      <c r="AC73" s="17"/>
      <c r="AD73" s="51"/>
    </row>
    <row r="74" spans="1:30" ht="19.5" thickBot="1" x14ac:dyDescent="0.3">
      <c r="A74" s="14">
        <v>7</v>
      </c>
      <c r="B74" s="15"/>
      <c r="C74" s="15" t="e">
        <f>VLOOKUP(B74,داتا!$B$3:$D$107,2,FALSE)</f>
        <v>#N/A</v>
      </c>
      <c r="D74" s="34" t="e">
        <f>VLOOKUP(B74,داتا!$B$3:$D$107,3,FALSE)</f>
        <v>#N/A</v>
      </c>
      <c r="E74" s="15"/>
      <c r="F74" s="15"/>
      <c r="G74" s="16">
        <v>8.3333333333333329E-2</v>
      </c>
      <c r="H74" s="16" t="e">
        <f t="shared" si="16"/>
        <v>#N/A</v>
      </c>
      <c r="I74" s="16" t="e">
        <f t="shared" si="10"/>
        <v>#N/A</v>
      </c>
      <c r="J74" s="16"/>
      <c r="K74" s="16"/>
      <c r="L74" s="16"/>
      <c r="M74" s="16"/>
      <c r="N74" s="16">
        <f t="shared" si="11"/>
        <v>0</v>
      </c>
      <c r="O74" s="16" t="e">
        <f t="shared" si="12"/>
        <v>#N/A</v>
      </c>
      <c r="P74" s="16">
        <v>6.9444444444444397E-3</v>
      </c>
      <c r="Q74" s="16"/>
      <c r="R74" s="16">
        <f t="shared" si="13"/>
        <v>-6.9444444444444397E-3</v>
      </c>
      <c r="S74" s="16"/>
      <c r="T74" s="16" t="e">
        <f>VLOOKUP(E74,'[2]21-3-2026'!E$3:T$35,16,FALSE)</f>
        <v>#N/A</v>
      </c>
      <c r="U74" s="16"/>
      <c r="V74" s="16" t="e">
        <f t="shared" si="14"/>
        <v>#N/A</v>
      </c>
      <c r="W74" s="16"/>
      <c r="X74" s="16"/>
      <c r="Y74" s="16"/>
      <c r="Z74" s="16">
        <f t="shared" si="15"/>
        <v>0</v>
      </c>
      <c r="AA74" s="16">
        <f t="shared" si="9"/>
        <v>0</v>
      </c>
      <c r="AB74" s="16"/>
      <c r="AC74" s="17"/>
      <c r="AD74" s="51"/>
    </row>
    <row r="75" spans="1:30" ht="19.5" thickBot="1" x14ac:dyDescent="0.3">
      <c r="A75" s="14">
        <v>8</v>
      </c>
      <c r="B75" s="15"/>
      <c r="C75" s="15" t="e">
        <f>VLOOKUP(B75,داتا!$B$3:$D$107,2,FALSE)</f>
        <v>#N/A</v>
      </c>
      <c r="D75" s="34" t="e">
        <f>VLOOKUP(B75,داتا!$B$3:$D$107,3,FALSE)</f>
        <v>#N/A</v>
      </c>
      <c r="E75" s="15"/>
      <c r="F75" s="15"/>
      <c r="G75" s="16">
        <v>8.3333333333333329E-2</v>
      </c>
      <c r="H75" s="16" t="e">
        <f t="shared" si="16"/>
        <v>#N/A</v>
      </c>
      <c r="I75" s="16" t="e">
        <f t="shared" si="10"/>
        <v>#N/A</v>
      </c>
      <c r="J75" s="16"/>
      <c r="K75" s="16"/>
      <c r="L75" s="16"/>
      <c r="M75" s="16"/>
      <c r="N75" s="16">
        <f t="shared" si="11"/>
        <v>0</v>
      </c>
      <c r="O75" s="16" t="e">
        <f t="shared" si="12"/>
        <v>#N/A</v>
      </c>
      <c r="P75" s="16">
        <v>6.9444444444444397E-3</v>
      </c>
      <c r="Q75" s="16"/>
      <c r="R75" s="16">
        <f t="shared" si="13"/>
        <v>-6.9444444444444397E-3</v>
      </c>
      <c r="S75" s="16"/>
      <c r="T75" s="16" t="e">
        <f>VLOOKUP(E75,'[2]21-3-2026'!E$3:T$35,16,FALSE)</f>
        <v>#N/A</v>
      </c>
      <c r="U75" s="16"/>
      <c r="V75" s="16" t="e">
        <f t="shared" si="14"/>
        <v>#N/A</v>
      </c>
      <c r="W75" s="16"/>
      <c r="X75" s="16"/>
      <c r="Y75" s="16"/>
      <c r="Z75" s="16">
        <f t="shared" si="15"/>
        <v>0</v>
      </c>
      <c r="AA75" s="16">
        <f t="shared" si="9"/>
        <v>0</v>
      </c>
      <c r="AB75" s="16"/>
      <c r="AC75" s="17"/>
      <c r="AD75" s="51"/>
    </row>
    <row r="76" spans="1:30" ht="19.5" thickBot="1" x14ac:dyDescent="0.3">
      <c r="A76" s="14">
        <v>9</v>
      </c>
      <c r="B76" s="15"/>
      <c r="C76" s="15" t="e">
        <f>VLOOKUP(B76,داتا!$B$3:$D$107,2,FALSE)</f>
        <v>#N/A</v>
      </c>
      <c r="D76" s="34" t="e">
        <f>VLOOKUP(B76,داتا!$B$3:$D$107,3,FALSE)</f>
        <v>#N/A</v>
      </c>
      <c r="E76" s="16"/>
      <c r="F76" s="15"/>
      <c r="G76" s="16">
        <v>8.3333333333333329E-2</v>
      </c>
      <c r="H76" s="16" t="e">
        <f t="shared" si="16"/>
        <v>#N/A</v>
      </c>
      <c r="I76" s="16" t="e">
        <f t="shared" si="10"/>
        <v>#N/A</v>
      </c>
      <c r="J76" s="16"/>
      <c r="K76" s="16"/>
      <c r="L76" s="16"/>
      <c r="M76" s="16"/>
      <c r="N76" s="16">
        <f t="shared" si="11"/>
        <v>0</v>
      </c>
      <c r="O76" s="16" t="e">
        <f t="shared" si="12"/>
        <v>#N/A</v>
      </c>
      <c r="P76" s="16">
        <v>6.9444444444444397E-3</v>
      </c>
      <c r="Q76" s="16"/>
      <c r="R76" s="16">
        <f t="shared" si="13"/>
        <v>-6.9444444444444397E-3</v>
      </c>
      <c r="S76" s="16"/>
      <c r="T76" s="16" t="e">
        <f>VLOOKUP(E76,'[2]21-3-2026'!E$3:T$35,16,FALSE)</f>
        <v>#N/A</v>
      </c>
      <c r="U76" s="16"/>
      <c r="V76" s="16" t="e">
        <f t="shared" si="14"/>
        <v>#N/A</v>
      </c>
      <c r="W76" s="16"/>
      <c r="X76" s="16"/>
      <c r="Y76" s="16"/>
      <c r="Z76" s="16">
        <f t="shared" si="15"/>
        <v>0</v>
      </c>
      <c r="AA76" s="16">
        <f t="shared" si="9"/>
        <v>0</v>
      </c>
      <c r="AB76" s="16"/>
      <c r="AC76" s="17"/>
      <c r="AD76" s="51"/>
    </row>
    <row r="77" spans="1:30" ht="19.5" thickBot="1" x14ac:dyDescent="0.3">
      <c r="A77" s="14">
        <v>10</v>
      </c>
      <c r="B77" s="15"/>
      <c r="C77" s="15" t="e">
        <f>VLOOKUP(B77,داتا!$B$3:$D$107,2,FALSE)</f>
        <v>#N/A</v>
      </c>
      <c r="D77" s="34" t="e">
        <f>VLOOKUP(B77,داتا!$B$3:$D$107,3,FALSE)</f>
        <v>#N/A</v>
      </c>
      <c r="E77" s="15"/>
      <c r="F77" s="15"/>
      <c r="G77" s="16">
        <v>8.3333333333333329E-2</v>
      </c>
      <c r="H77" s="16" t="e">
        <f t="shared" si="16"/>
        <v>#N/A</v>
      </c>
      <c r="I77" s="16" t="e">
        <f t="shared" si="10"/>
        <v>#N/A</v>
      </c>
      <c r="J77" s="16"/>
      <c r="K77" s="16"/>
      <c r="L77" s="16"/>
      <c r="M77" s="16"/>
      <c r="N77" s="16">
        <f t="shared" si="11"/>
        <v>0</v>
      </c>
      <c r="O77" s="16" t="e">
        <f t="shared" si="12"/>
        <v>#N/A</v>
      </c>
      <c r="P77" s="16">
        <v>6.9444444444444397E-3</v>
      </c>
      <c r="Q77" s="16"/>
      <c r="R77" s="16">
        <f t="shared" si="13"/>
        <v>-6.9444444444444397E-3</v>
      </c>
      <c r="S77" s="16"/>
      <c r="T77" s="16" t="e">
        <f>VLOOKUP(E77,'[2]21-3-2026'!E$3:T$35,16,FALSE)</f>
        <v>#N/A</v>
      </c>
      <c r="U77" s="16"/>
      <c r="V77" s="16" t="e">
        <f t="shared" si="14"/>
        <v>#N/A</v>
      </c>
      <c r="W77" s="16"/>
      <c r="X77" s="16"/>
      <c r="Y77" s="16"/>
      <c r="Z77" s="16">
        <f t="shared" si="15"/>
        <v>0</v>
      </c>
      <c r="AA77" s="16">
        <f t="shared" si="9"/>
        <v>0</v>
      </c>
      <c r="AB77" s="16"/>
      <c r="AC77" s="17"/>
      <c r="AD77" s="51"/>
    </row>
    <row r="78" spans="1:30" ht="19.5" thickBot="1" x14ac:dyDescent="0.3">
      <c r="A78" s="14">
        <v>11</v>
      </c>
      <c r="B78" s="15"/>
      <c r="C78" s="15" t="e">
        <f>VLOOKUP(B78,داتا!$B$3:$D$107,2,FALSE)</f>
        <v>#N/A</v>
      </c>
      <c r="D78" s="34" t="e">
        <f>VLOOKUP(B78,داتا!$B$3:$D$107,3,FALSE)</f>
        <v>#N/A</v>
      </c>
      <c r="E78" s="15"/>
      <c r="F78" s="15"/>
      <c r="G78" s="16">
        <v>8.3333333333333329E-2</v>
      </c>
      <c r="H78" s="16" t="e">
        <f t="shared" si="16"/>
        <v>#N/A</v>
      </c>
      <c r="I78" s="16" t="e">
        <f t="shared" si="10"/>
        <v>#N/A</v>
      </c>
      <c r="J78" s="16"/>
      <c r="K78" s="16"/>
      <c r="L78" s="16"/>
      <c r="M78" s="16"/>
      <c r="N78" s="16">
        <f t="shared" si="11"/>
        <v>0</v>
      </c>
      <c r="O78" s="16" t="e">
        <f t="shared" si="12"/>
        <v>#N/A</v>
      </c>
      <c r="P78" s="16">
        <v>6.9444444444444397E-3</v>
      </c>
      <c r="Q78" s="16"/>
      <c r="R78" s="16">
        <f t="shared" si="13"/>
        <v>-6.9444444444444397E-3</v>
      </c>
      <c r="S78" s="16"/>
      <c r="T78" s="16" t="e">
        <f>VLOOKUP(E78,'[2]21-3-2026'!E$3:T$35,16,FALSE)</f>
        <v>#N/A</v>
      </c>
      <c r="U78" s="16"/>
      <c r="V78" s="16" t="e">
        <f t="shared" si="14"/>
        <v>#N/A</v>
      </c>
      <c r="W78" s="16"/>
      <c r="X78" s="16"/>
      <c r="Y78" s="16"/>
      <c r="Z78" s="16">
        <f t="shared" si="15"/>
        <v>0</v>
      </c>
      <c r="AA78" s="16">
        <f t="shared" si="9"/>
        <v>0</v>
      </c>
      <c r="AB78" s="16"/>
      <c r="AC78" s="17"/>
      <c r="AD78" s="51"/>
    </row>
    <row r="79" spans="1:30" ht="19.5" thickBot="1" x14ac:dyDescent="0.3">
      <c r="A79" s="14">
        <v>12</v>
      </c>
      <c r="B79" s="15"/>
      <c r="C79" s="15" t="e">
        <f>VLOOKUP(B79,داتا!$B$3:$D$107,2,FALSE)</f>
        <v>#N/A</v>
      </c>
      <c r="D79" s="34" t="e">
        <f>VLOOKUP(B79,داتا!$B$3:$D$107,3,FALSE)</f>
        <v>#N/A</v>
      </c>
      <c r="E79" s="15"/>
      <c r="F79" s="15"/>
      <c r="G79" s="16">
        <v>8.3333333333333329E-2</v>
      </c>
      <c r="H79" s="16" t="e">
        <f t="shared" si="16"/>
        <v>#N/A</v>
      </c>
      <c r="I79" s="16" t="e">
        <f t="shared" si="10"/>
        <v>#N/A</v>
      </c>
      <c r="J79" s="16"/>
      <c r="K79" s="16"/>
      <c r="L79" s="16"/>
      <c r="M79" s="16"/>
      <c r="N79" s="16">
        <f t="shared" si="11"/>
        <v>0</v>
      </c>
      <c r="O79" s="16" t="e">
        <f t="shared" si="12"/>
        <v>#N/A</v>
      </c>
      <c r="P79" s="16">
        <v>6.9444444444444397E-3</v>
      </c>
      <c r="Q79" s="16"/>
      <c r="R79" s="16">
        <f t="shared" si="13"/>
        <v>-6.9444444444444397E-3</v>
      </c>
      <c r="S79" s="16"/>
      <c r="T79" s="16" t="e">
        <f>VLOOKUP(E79,'[2]21-3-2026'!E$3:T$35,16,FALSE)</f>
        <v>#N/A</v>
      </c>
      <c r="U79" s="16"/>
      <c r="V79" s="16" t="e">
        <f t="shared" si="14"/>
        <v>#N/A</v>
      </c>
      <c r="W79" s="16"/>
      <c r="X79" s="16"/>
      <c r="Y79" s="16"/>
      <c r="Z79" s="16">
        <f t="shared" si="15"/>
        <v>0</v>
      </c>
      <c r="AA79" s="16">
        <f t="shared" si="9"/>
        <v>0</v>
      </c>
      <c r="AB79" s="16"/>
      <c r="AC79" s="17"/>
      <c r="AD79" s="51"/>
    </row>
    <row r="80" spans="1:30" ht="19.5" thickBot="1" x14ac:dyDescent="0.3">
      <c r="A80" s="14">
        <v>13</v>
      </c>
      <c r="B80" s="15"/>
      <c r="C80" s="15" t="e">
        <f>VLOOKUP(B80,داتا!$B$3:$D$107,2,FALSE)</f>
        <v>#N/A</v>
      </c>
      <c r="D80" s="34" t="e">
        <f>VLOOKUP(B80,داتا!$B$3:$D$107,3,FALSE)</f>
        <v>#N/A</v>
      </c>
      <c r="E80" s="15"/>
      <c r="F80" s="15"/>
      <c r="G80" s="16">
        <v>8.3333333333333329E-2</v>
      </c>
      <c r="H80" s="16" t="e">
        <f t="shared" si="16"/>
        <v>#N/A</v>
      </c>
      <c r="I80" s="16" t="e">
        <f t="shared" si="10"/>
        <v>#N/A</v>
      </c>
      <c r="J80" s="16"/>
      <c r="K80" s="16"/>
      <c r="L80" s="16"/>
      <c r="M80" s="16"/>
      <c r="N80" s="16">
        <f t="shared" si="11"/>
        <v>0</v>
      </c>
      <c r="O80" s="16" t="e">
        <f t="shared" si="12"/>
        <v>#N/A</v>
      </c>
      <c r="P80" s="16">
        <v>6.9444444444444397E-3</v>
      </c>
      <c r="Q80" s="16"/>
      <c r="R80" s="16">
        <f t="shared" si="13"/>
        <v>-6.9444444444444397E-3</v>
      </c>
      <c r="S80" s="16"/>
      <c r="T80" s="16" t="e">
        <f>VLOOKUP(E80,'[2]21-3-2026'!E$3:T$35,16,FALSE)</f>
        <v>#N/A</v>
      </c>
      <c r="U80" s="16"/>
      <c r="V80" s="16" t="e">
        <f t="shared" si="14"/>
        <v>#N/A</v>
      </c>
      <c r="W80" s="16"/>
      <c r="X80" s="16"/>
      <c r="Y80" s="16"/>
      <c r="Z80" s="16">
        <f t="shared" si="15"/>
        <v>0</v>
      </c>
      <c r="AA80" s="16">
        <f t="shared" si="9"/>
        <v>0</v>
      </c>
      <c r="AB80" s="16"/>
      <c r="AC80" s="17"/>
      <c r="AD80" s="51"/>
    </row>
    <row r="81" spans="1:30" ht="19.5" thickBot="1" x14ac:dyDescent="0.3">
      <c r="A81" s="14">
        <v>14</v>
      </c>
      <c r="B81" s="15"/>
      <c r="C81" s="15" t="e">
        <f>VLOOKUP(B81,داتا!$B$3:$D$107,2,FALSE)</f>
        <v>#N/A</v>
      </c>
      <c r="D81" s="34" t="e">
        <f>VLOOKUP(B81,داتا!$B$3:$D$107,3,FALSE)</f>
        <v>#N/A</v>
      </c>
      <c r="E81" s="15"/>
      <c r="F81" s="15"/>
      <c r="G81" s="16">
        <v>8.3333333333333329E-2</v>
      </c>
      <c r="H81" s="16" t="e">
        <f t="shared" si="16"/>
        <v>#N/A</v>
      </c>
      <c r="I81" s="16" t="e">
        <f t="shared" si="10"/>
        <v>#N/A</v>
      </c>
      <c r="J81" s="16"/>
      <c r="K81" s="16"/>
      <c r="L81" s="16"/>
      <c r="M81" s="16"/>
      <c r="N81" s="16">
        <f t="shared" si="11"/>
        <v>0</v>
      </c>
      <c r="O81" s="16" t="e">
        <f t="shared" si="12"/>
        <v>#N/A</v>
      </c>
      <c r="P81" s="16">
        <v>6.9444444444444397E-3</v>
      </c>
      <c r="Q81" s="16"/>
      <c r="R81" s="16">
        <f t="shared" si="13"/>
        <v>-6.9444444444444397E-3</v>
      </c>
      <c r="S81" s="16"/>
      <c r="T81" s="16" t="e">
        <f>VLOOKUP(E81,'[2]21-3-2026'!E$3:T$35,16,FALSE)</f>
        <v>#N/A</v>
      </c>
      <c r="U81" s="16"/>
      <c r="V81" s="16" t="e">
        <f t="shared" si="14"/>
        <v>#N/A</v>
      </c>
      <c r="W81" s="16"/>
      <c r="X81" s="16"/>
      <c r="Y81" s="16"/>
      <c r="Z81" s="16">
        <f t="shared" si="15"/>
        <v>0</v>
      </c>
      <c r="AA81" s="16">
        <f t="shared" si="9"/>
        <v>0</v>
      </c>
      <c r="AB81" s="16"/>
      <c r="AC81" s="17"/>
      <c r="AD81" s="51"/>
    </row>
    <row r="82" spans="1:30" ht="19.5" thickBot="1" x14ac:dyDescent="0.3">
      <c r="A82" s="14">
        <v>15</v>
      </c>
      <c r="B82" s="15"/>
      <c r="C82" s="15" t="e">
        <f>VLOOKUP(B82,داتا!$B$3:$D$107,2,FALSE)</f>
        <v>#N/A</v>
      </c>
      <c r="D82" s="34" t="e">
        <f>VLOOKUP(B82,داتا!$B$3:$D$107,3,FALSE)</f>
        <v>#N/A</v>
      </c>
      <c r="E82" s="15"/>
      <c r="F82" s="15"/>
      <c r="G82" s="16">
        <v>8.3333333333333329E-2</v>
      </c>
      <c r="H82" s="16" t="e">
        <f t="shared" si="16"/>
        <v>#N/A</v>
      </c>
      <c r="I82" s="16" t="e">
        <f t="shared" si="10"/>
        <v>#N/A</v>
      </c>
      <c r="J82" s="16"/>
      <c r="K82" s="16"/>
      <c r="L82" s="16"/>
      <c r="M82" s="16"/>
      <c r="N82" s="16">
        <f t="shared" si="11"/>
        <v>0</v>
      </c>
      <c r="O82" s="16" t="e">
        <f t="shared" si="12"/>
        <v>#N/A</v>
      </c>
      <c r="P82" s="16">
        <v>6.9444444444444397E-3</v>
      </c>
      <c r="Q82" s="16"/>
      <c r="R82" s="16">
        <f t="shared" si="13"/>
        <v>-6.9444444444444397E-3</v>
      </c>
      <c r="S82" s="16"/>
      <c r="T82" s="16" t="e">
        <f>VLOOKUP(E82,'[2]21-3-2026'!E$3:T$35,16,FALSE)</f>
        <v>#N/A</v>
      </c>
      <c r="U82" s="16"/>
      <c r="V82" s="16" t="e">
        <f t="shared" si="14"/>
        <v>#N/A</v>
      </c>
      <c r="W82" s="16"/>
      <c r="X82" s="16"/>
      <c r="Y82" s="16"/>
      <c r="Z82" s="16">
        <f t="shared" si="15"/>
        <v>0</v>
      </c>
      <c r="AA82" s="16">
        <f t="shared" si="9"/>
        <v>0</v>
      </c>
      <c r="AB82" s="16"/>
      <c r="AC82" s="17"/>
      <c r="AD82" s="51"/>
    </row>
    <row r="83" spans="1:30" ht="19.5" thickBot="1" x14ac:dyDescent="0.3">
      <c r="A83" s="14">
        <v>16</v>
      </c>
      <c r="B83" s="15"/>
      <c r="C83" s="15" t="e">
        <f>VLOOKUP(B83,داتا!$B$3:$D$107,2,FALSE)</f>
        <v>#N/A</v>
      </c>
      <c r="D83" s="34" t="e">
        <f>VLOOKUP(B83,داتا!$B$3:$D$107,3,FALSE)</f>
        <v>#N/A</v>
      </c>
      <c r="E83" s="15"/>
      <c r="F83" s="15"/>
      <c r="G83" s="16">
        <v>8.3333333333333329E-2</v>
      </c>
      <c r="H83" s="16" t="e">
        <f t="shared" si="16"/>
        <v>#N/A</v>
      </c>
      <c r="I83" s="16" t="e">
        <f t="shared" si="10"/>
        <v>#N/A</v>
      </c>
      <c r="J83" s="16"/>
      <c r="K83" s="16"/>
      <c r="L83" s="16"/>
      <c r="M83" s="16"/>
      <c r="N83" s="16">
        <f t="shared" si="11"/>
        <v>0</v>
      </c>
      <c r="O83" s="16" t="e">
        <f t="shared" si="12"/>
        <v>#N/A</v>
      </c>
      <c r="P83" s="16">
        <v>6.9444444444444397E-3</v>
      </c>
      <c r="Q83" s="16"/>
      <c r="R83" s="16">
        <f t="shared" si="13"/>
        <v>-6.9444444444444397E-3</v>
      </c>
      <c r="S83" s="16"/>
      <c r="T83" s="16" t="e">
        <f>VLOOKUP(E83,'[2]21-3-2026'!E$3:T$35,16,FALSE)</f>
        <v>#N/A</v>
      </c>
      <c r="U83" s="16"/>
      <c r="V83" s="16" t="e">
        <f t="shared" si="14"/>
        <v>#N/A</v>
      </c>
      <c r="W83" s="16"/>
      <c r="X83" s="16"/>
      <c r="Y83" s="16"/>
      <c r="Z83" s="16">
        <f t="shared" si="15"/>
        <v>0</v>
      </c>
      <c r="AA83" s="16">
        <f t="shared" si="9"/>
        <v>0</v>
      </c>
      <c r="AB83" s="16"/>
      <c r="AC83" s="17"/>
      <c r="AD83" s="51"/>
    </row>
    <row r="84" spans="1:30" ht="19.5" thickBot="1" x14ac:dyDescent="0.3">
      <c r="A84" s="14">
        <v>17</v>
      </c>
      <c r="B84" s="15"/>
      <c r="C84" s="15" t="e">
        <f>VLOOKUP(B84,داتا!$B$3:$D$107,2,FALSE)</f>
        <v>#N/A</v>
      </c>
      <c r="D84" s="34" t="e">
        <f>VLOOKUP(B84,داتا!$B$3:$D$107,3,FALSE)</f>
        <v>#N/A</v>
      </c>
      <c r="E84" s="15"/>
      <c r="F84" s="15"/>
      <c r="G84" s="16">
        <v>8.3333333333333329E-2</v>
      </c>
      <c r="H84" s="16" t="e">
        <f t="shared" si="16"/>
        <v>#N/A</v>
      </c>
      <c r="I84" s="16" t="e">
        <f t="shared" si="10"/>
        <v>#N/A</v>
      </c>
      <c r="J84" s="16"/>
      <c r="K84" s="16"/>
      <c r="L84" s="16"/>
      <c r="M84" s="16"/>
      <c r="N84" s="16">
        <f t="shared" si="11"/>
        <v>0</v>
      </c>
      <c r="O84" s="16" t="e">
        <f t="shared" si="12"/>
        <v>#N/A</v>
      </c>
      <c r="P84" s="16">
        <v>6.9444444444444397E-3</v>
      </c>
      <c r="Q84" s="16"/>
      <c r="R84" s="16">
        <f t="shared" si="13"/>
        <v>-6.9444444444444397E-3</v>
      </c>
      <c r="S84" s="16"/>
      <c r="T84" s="16" t="e">
        <f>VLOOKUP(E84,'[2]21-3-2026'!E$3:T$35,16,FALSE)</f>
        <v>#N/A</v>
      </c>
      <c r="U84" s="16"/>
      <c r="V84" s="16" t="e">
        <f t="shared" si="14"/>
        <v>#N/A</v>
      </c>
      <c r="W84" s="16"/>
      <c r="X84" s="16"/>
      <c r="Y84" s="16"/>
      <c r="Z84" s="16">
        <f t="shared" si="15"/>
        <v>0</v>
      </c>
      <c r="AA84" s="16">
        <f t="shared" si="9"/>
        <v>0</v>
      </c>
      <c r="AB84" s="16"/>
      <c r="AC84" s="17"/>
      <c r="AD84" s="51"/>
    </row>
    <row r="85" spans="1:30" ht="19.5" thickBot="1" x14ac:dyDescent="0.3">
      <c r="A85" s="14">
        <v>18</v>
      </c>
      <c r="B85" s="15"/>
      <c r="C85" s="15" t="e">
        <f>VLOOKUP(B85,داتا!$B$3:$D$107,2,FALSE)</f>
        <v>#N/A</v>
      </c>
      <c r="D85" s="34" t="e">
        <f>VLOOKUP(B85,داتا!$B$3:$D$107,3,FALSE)</f>
        <v>#N/A</v>
      </c>
      <c r="E85" s="15"/>
      <c r="F85" s="15"/>
      <c r="G85" s="16">
        <v>8.3333333333333329E-2</v>
      </c>
      <c r="H85" s="16" t="e">
        <f t="shared" ref="H85:H99" si="17">VLOOKUP(G85,$F$3:$I$35,2,FALSE)</f>
        <v>#N/A</v>
      </c>
      <c r="I85" s="16" t="e">
        <f t="shared" si="10"/>
        <v>#N/A</v>
      </c>
      <c r="J85" s="16"/>
      <c r="K85" s="16"/>
      <c r="L85" s="16"/>
      <c r="M85" s="16"/>
      <c r="N85" s="16">
        <f t="shared" si="11"/>
        <v>0</v>
      </c>
      <c r="O85" s="16" t="e">
        <f t="shared" si="12"/>
        <v>#N/A</v>
      </c>
      <c r="P85" s="16">
        <v>6.9444444444444397E-3</v>
      </c>
      <c r="Q85" s="16"/>
      <c r="R85" s="16">
        <f t="shared" si="13"/>
        <v>-6.9444444444444397E-3</v>
      </c>
      <c r="S85" s="16"/>
      <c r="T85" s="16" t="e">
        <f>VLOOKUP(E85,'[2]21-3-2026'!E$3:T$35,16,FALSE)</f>
        <v>#N/A</v>
      </c>
      <c r="U85" s="16"/>
      <c r="V85" s="16" t="e">
        <f t="shared" si="14"/>
        <v>#N/A</v>
      </c>
      <c r="W85" s="16"/>
      <c r="X85" s="16"/>
      <c r="Y85" s="16"/>
      <c r="Z85" s="16">
        <f t="shared" si="15"/>
        <v>0</v>
      </c>
      <c r="AA85" s="16">
        <f t="shared" si="9"/>
        <v>0</v>
      </c>
      <c r="AB85" s="16"/>
      <c r="AC85" s="17"/>
      <c r="AD85" s="51"/>
    </row>
    <row r="86" spans="1:30" ht="19.5" thickBot="1" x14ac:dyDescent="0.3">
      <c r="A86" s="14">
        <v>19</v>
      </c>
      <c r="B86" s="15"/>
      <c r="C86" s="15" t="e">
        <f>VLOOKUP(B86,داتا!$B$3:$D$107,2,FALSE)</f>
        <v>#N/A</v>
      </c>
      <c r="D86" s="34" t="e">
        <f>VLOOKUP(B86,داتا!$B$3:$D$107,3,FALSE)</f>
        <v>#N/A</v>
      </c>
      <c r="E86" s="15"/>
      <c r="F86" s="15"/>
      <c r="G86" s="16">
        <v>8.3333333333333329E-2</v>
      </c>
      <c r="H86" s="16" t="e">
        <f t="shared" si="17"/>
        <v>#N/A</v>
      </c>
      <c r="I86" s="16" t="e">
        <f t="shared" si="10"/>
        <v>#N/A</v>
      </c>
      <c r="J86" s="16"/>
      <c r="K86" s="16"/>
      <c r="L86" s="16"/>
      <c r="M86" s="16"/>
      <c r="N86" s="16">
        <f t="shared" si="11"/>
        <v>0</v>
      </c>
      <c r="O86" s="16" t="e">
        <f t="shared" si="12"/>
        <v>#N/A</v>
      </c>
      <c r="P86" s="16">
        <v>6.9444444444444397E-3</v>
      </c>
      <c r="Q86" s="16"/>
      <c r="R86" s="16">
        <f t="shared" si="13"/>
        <v>-6.9444444444444397E-3</v>
      </c>
      <c r="S86" s="16"/>
      <c r="T86" s="16" t="e">
        <f>VLOOKUP(E86,'[2]21-3-2026'!E$3:T$35,16,FALSE)</f>
        <v>#N/A</v>
      </c>
      <c r="U86" s="16"/>
      <c r="V86" s="16" t="e">
        <f t="shared" si="14"/>
        <v>#N/A</v>
      </c>
      <c r="W86" s="16"/>
      <c r="X86" s="16"/>
      <c r="Y86" s="16"/>
      <c r="Z86" s="16">
        <f t="shared" si="15"/>
        <v>0</v>
      </c>
      <c r="AA86" s="16">
        <f t="shared" si="9"/>
        <v>0</v>
      </c>
      <c r="AB86" s="16"/>
      <c r="AC86" s="17"/>
      <c r="AD86" s="51"/>
    </row>
    <row r="87" spans="1:30" ht="19.5" thickBot="1" x14ac:dyDescent="0.3">
      <c r="A87" s="14">
        <v>20</v>
      </c>
      <c r="B87" s="15"/>
      <c r="C87" s="15" t="e">
        <f>VLOOKUP(B87,داتا!$B$3:$D$107,2,FALSE)</f>
        <v>#N/A</v>
      </c>
      <c r="D87" s="34" t="e">
        <f>VLOOKUP(B87,داتا!$B$3:$D$107,3,FALSE)</f>
        <v>#N/A</v>
      </c>
      <c r="E87" s="15"/>
      <c r="F87" s="15"/>
      <c r="G87" s="16">
        <v>8.3333333333333329E-2</v>
      </c>
      <c r="H87" s="16" t="e">
        <f t="shared" si="17"/>
        <v>#N/A</v>
      </c>
      <c r="I87" s="16" t="e">
        <f t="shared" si="10"/>
        <v>#N/A</v>
      </c>
      <c r="J87" s="16"/>
      <c r="K87" s="16"/>
      <c r="L87" s="16"/>
      <c r="M87" s="16"/>
      <c r="N87" s="16">
        <f t="shared" si="11"/>
        <v>0</v>
      </c>
      <c r="O87" s="16" t="e">
        <f t="shared" si="12"/>
        <v>#N/A</v>
      </c>
      <c r="P87" s="16">
        <v>6.9444444444444397E-3</v>
      </c>
      <c r="Q87" s="16"/>
      <c r="R87" s="16">
        <f t="shared" si="13"/>
        <v>-6.9444444444444397E-3</v>
      </c>
      <c r="S87" s="16"/>
      <c r="T87" s="16" t="e">
        <f>VLOOKUP(E87,'[2]21-3-2026'!E$3:T$35,16,FALSE)</f>
        <v>#N/A</v>
      </c>
      <c r="U87" s="16"/>
      <c r="V87" s="16" t="e">
        <f t="shared" si="14"/>
        <v>#N/A</v>
      </c>
      <c r="W87" s="16"/>
      <c r="X87" s="16"/>
      <c r="Y87" s="16"/>
      <c r="Z87" s="16">
        <f t="shared" si="15"/>
        <v>0</v>
      </c>
      <c r="AA87" s="16">
        <f t="shared" si="9"/>
        <v>0</v>
      </c>
      <c r="AB87" s="16"/>
      <c r="AC87" s="17"/>
      <c r="AD87" s="51"/>
    </row>
    <row r="88" spans="1:30" ht="19.5" thickBot="1" x14ac:dyDescent="0.3">
      <c r="A88" s="14">
        <v>21</v>
      </c>
      <c r="B88" s="15"/>
      <c r="C88" s="15" t="e">
        <f>VLOOKUP(B88,داتا!$B$3:$D$107,2,FALSE)</f>
        <v>#N/A</v>
      </c>
      <c r="D88" s="34" t="e">
        <f>VLOOKUP(B88,داتا!$B$3:$D$107,3,FALSE)</f>
        <v>#N/A</v>
      </c>
      <c r="E88" s="15"/>
      <c r="F88" s="15"/>
      <c r="G88" s="16">
        <v>8.3333333333333329E-2</v>
      </c>
      <c r="H88" s="16" t="e">
        <f t="shared" si="17"/>
        <v>#N/A</v>
      </c>
      <c r="I88" s="16" t="e">
        <f t="shared" si="10"/>
        <v>#N/A</v>
      </c>
      <c r="J88" s="16"/>
      <c r="K88" s="16"/>
      <c r="L88" s="16"/>
      <c r="M88" s="16"/>
      <c r="N88" s="16">
        <f t="shared" si="11"/>
        <v>0</v>
      </c>
      <c r="O88" s="16" t="e">
        <f t="shared" si="12"/>
        <v>#N/A</v>
      </c>
      <c r="P88" s="16">
        <v>6.9444444444444397E-3</v>
      </c>
      <c r="Q88" s="16"/>
      <c r="R88" s="16">
        <f t="shared" si="13"/>
        <v>-6.9444444444444397E-3</v>
      </c>
      <c r="S88" s="16"/>
      <c r="T88" s="16" t="e">
        <f>VLOOKUP(E88,'[2]21-3-2026'!E$3:T$35,16,FALSE)</f>
        <v>#N/A</v>
      </c>
      <c r="U88" s="16"/>
      <c r="V88" s="16" t="e">
        <f t="shared" si="14"/>
        <v>#N/A</v>
      </c>
      <c r="W88" s="16"/>
      <c r="X88" s="16"/>
      <c r="Y88" s="16"/>
      <c r="Z88" s="16">
        <f t="shared" si="15"/>
        <v>0</v>
      </c>
      <c r="AA88" s="16">
        <f t="shared" si="9"/>
        <v>0</v>
      </c>
      <c r="AB88" s="16"/>
      <c r="AC88" s="19"/>
      <c r="AD88" s="51"/>
    </row>
    <row r="89" spans="1:30" ht="19.5" thickBot="1" x14ac:dyDescent="0.3">
      <c r="A89" s="14">
        <v>22</v>
      </c>
      <c r="B89" s="15"/>
      <c r="C89" s="15" t="e">
        <f>VLOOKUP(B89,داتا!$B$3:$D$107,2,FALSE)</f>
        <v>#N/A</v>
      </c>
      <c r="D89" s="34" t="e">
        <f>VLOOKUP(B89,داتا!$B$3:$D$107,3,FALSE)</f>
        <v>#N/A</v>
      </c>
      <c r="E89" s="15"/>
      <c r="F89" s="15"/>
      <c r="G89" s="16">
        <v>8.3333333333333329E-2</v>
      </c>
      <c r="H89" s="16" t="e">
        <f t="shared" si="17"/>
        <v>#N/A</v>
      </c>
      <c r="I89" s="16" t="e">
        <f t="shared" si="10"/>
        <v>#N/A</v>
      </c>
      <c r="J89" s="16"/>
      <c r="K89" s="16"/>
      <c r="L89" s="16"/>
      <c r="M89" s="16"/>
      <c r="N89" s="16">
        <f t="shared" si="11"/>
        <v>0</v>
      </c>
      <c r="O89" s="16" t="e">
        <f t="shared" si="12"/>
        <v>#N/A</v>
      </c>
      <c r="P89" s="16">
        <v>6.9444444444444397E-3</v>
      </c>
      <c r="Q89" s="16"/>
      <c r="R89" s="16">
        <f t="shared" si="13"/>
        <v>-6.9444444444444397E-3</v>
      </c>
      <c r="S89" s="16"/>
      <c r="T89" s="16" t="e">
        <f>VLOOKUP(E89,'[2]21-3-2026'!E$3:T$35,16,FALSE)</f>
        <v>#N/A</v>
      </c>
      <c r="U89" s="16"/>
      <c r="V89" s="16" t="e">
        <f t="shared" si="14"/>
        <v>#N/A</v>
      </c>
      <c r="W89" s="16"/>
      <c r="X89" s="16"/>
      <c r="Y89" s="16"/>
      <c r="Z89" s="16">
        <f t="shared" si="15"/>
        <v>0</v>
      </c>
      <c r="AA89" s="16">
        <f t="shared" si="9"/>
        <v>0</v>
      </c>
      <c r="AB89" s="16"/>
      <c r="AC89" s="19"/>
      <c r="AD89" s="51"/>
    </row>
    <row r="90" spans="1:30" ht="19.5" thickBot="1" x14ac:dyDescent="0.3">
      <c r="A90" s="14">
        <v>23</v>
      </c>
      <c r="B90" s="15"/>
      <c r="C90" s="15" t="e">
        <f>VLOOKUP(B90,داتا!$B$3:$D$107,2,FALSE)</f>
        <v>#N/A</v>
      </c>
      <c r="D90" s="34" t="e">
        <f>VLOOKUP(B90,داتا!$B$3:$D$107,3,FALSE)</f>
        <v>#N/A</v>
      </c>
      <c r="E90" s="15"/>
      <c r="F90" s="15"/>
      <c r="G90" s="16">
        <v>8.3333333333333329E-2</v>
      </c>
      <c r="H90" s="16" t="e">
        <f t="shared" si="17"/>
        <v>#N/A</v>
      </c>
      <c r="I90" s="16" t="e">
        <f t="shared" si="10"/>
        <v>#N/A</v>
      </c>
      <c r="J90" s="16"/>
      <c r="K90" s="16"/>
      <c r="L90" s="16"/>
      <c r="M90" s="16"/>
      <c r="N90" s="16">
        <f t="shared" si="11"/>
        <v>0</v>
      </c>
      <c r="O90" s="16" t="e">
        <f t="shared" si="12"/>
        <v>#N/A</v>
      </c>
      <c r="P90" s="16">
        <v>6.9444444444444397E-3</v>
      </c>
      <c r="Q90" s="16"/>
      <c r="R90" s="16">
        <f t="shared" si="13"/>
        <v>-6.9444444444444397E-3</v>
      </c>
      <c r="S90" s="16"/>
      <c r="T90" s="16" t="e">
        <f>VLOOKUP(E90,'[2]21-3-2026'!E$3:T$35,16,FALSE)</f>
        <v>#N/A</v>
      </c>
      <c r="U90" s="16"/>
      <c r="V90" s="16" t="e">
        <f t="shared" si="14"/>
        <v>#N/A</v>
      </c>
      <c r="W90" s="16"/>
      <c r="X90" s="16"/>
      <c r="Y90" s="16"/>
      <c r="Z90" s="16">
        <f t="shared" si="15"/>
        <v>0</v>
      </c>
      <c r="AA90" s="16">
        <f t="shared" si="9"/>
        <v>0</v>
      </c>
      <c r="AB90" s="16"/>
      <c r="AC90" s="19"/>
      <c r="AD90" s="51"/>
    </row>
    <row r="91" spans="1:30" ht="19.5" thickBot="1" x14ac:dyDescent="0.3">
      <c r="A91" s="14">
        <v>24</v>
      </c>
      <c r="B91" s="15"/>
      <c r="C91" s="15" t="e">
        <f>VLOOKUP(B91,داتا!$B$3:$D$107,2,FALSE)</f>
        <v>#N/A</v>
      </c>
      <c r="D91" s="34" t="e">
        <f>VLOOKUP(B91,داتا!$B$3:$D$107,3,FALSE)</f>
        <v>#N/A</v>
      </c>
      <c r="E91" s="15"/>
      <c r="F91" s="15"/>
      <c r="G91" s="16">
        <v>8.3333333333333329E-2</v>
      </c>
      <c r="H91" s="16" t="e">
        <f t="shared" si="17"/>
        <v>#N/A</v>
      </c>
      <c r="I91" s="16" t="e">
        <f t="shared" si="10"/>
        <v>#N/A</v>
      </c>
      <c r="J91" s="16"/>
      <c r="K91" s="16"/>
      <c r="L91" s="16"/>
      <c r="M91" s="16"/>
      <c r="N91" s="16">
        <f t="shared" si="11"/>
        <v>0</v>
      </c>
      <c r="O91" s="16" t="e">
        <f t="shared" si="12"/>
        <v>#N/A</v>
      </c>
      <c r="P91" s="16">
        <v>6.9444444444444397E-3</v>
      </c>
      <c r="Q91" s="16"/>
      <c r="R91" s="16">
        <f t="shared" si="13"/>
        <v>-6.9444444444444397E-3</v>
      </c>
      <c r="S91" s="16"/>
      <c r="T91" s="16" t="e">
        <f>VLOOKUP(E91,'[2]21-3-2026'!E$3:T$35,16,FALSE)</f>
        <v>#N/A</v>
      </c>
      <c r="U91" s="16"/>
      <c r="V91" s="16" t="e">
        <f t="shared" si="14"/>
        <v>#N/A</v>
      </c>
      <c r="W91" s="16"/>
      <c r="X91" s="16"/>
      <c r="Y91" s="16"/>
      <c r="Z91" s="16">
        <f t="shared" si="15"/>
        <v>0</v>
      </c>
      <c r="AA91" s="16">
        <f t="shared" si="9"/>
        <v>0</v>
      </c>
      <c r="AB91" s="16"/>
      <c r="AC91" s="19"/>
      <c r="AD91" s="51"/>
    </row>
    <row r="92" spans="1:30" ht="19.5" thickBot="1" x14ac:dyDescent="0.3">
      <c r="A92" s="14">
        <v>25</v>
      </c>
      <c r="B92" s="15"/>
      <c r="C92" s="15" t="e">
        <f>VLOOKUP(B92,داتا!$B$3:$D$107,2,FALSE)</f>
        <v>#N/A</v>
      </c>
      <c r="D92" s="34" t="e">
        <f>VLOOKUP(B92,داتا!$B$3:$D$107,3,FALSE)</f>
        <v>#N/A</v>
      </c>
      <c r="E92" s="15"/>
      <c r="F92" s="15"/>
      <c r="G92" s="16">
        <v>8.3333333333333329E-2</v>
      </c>
      <c r="H92" s="16" t="e">
        <f t="shared" si="17"/>
        <v>#N/A</v>
      </c>
      <c r="I92" s="16" t="e">
        <f t="shared" si="10"/>
        <v>#N/A</v>
      </c>
      <c r="J92" s="16"/>
      <c r="K92" s="16"/>
      <c r="L92" s="16"/>
      <c r="M92" s="16"/>
      <c r="N92" s="16">
        <f t="shared" si="11"/>
        <v>0</v>
      </c>
      <c r="O92" s="16" t="e">
        <f t="shared" si="12"/>
        <v>#N/A</v>
      </c>
      <c r="P92" s="16">
        <v>6.9444444444444397E-3</v>
      </c>
      <c r="Q92" s="16"/>
      <c r="R92" s="16">
        <f t="shared" si="13"/>
        <v>-6.9444444444444397E-3</v>
      </c>
      <c r="S92" s="16"/>
      <c r="T92" s="16" t="e">
        <f>VLOOKUP(E92,'[2]21-3-2026'!E$3:T$35,16,FALSE)</f>
        <v>#N/A</v>
      </c>
      <c r="U92" s="16"/>
      <c r="V92" s="16" t="e">
        <f t="shared" si="14"/>
        <v>#N/A</v>
      </c>
      <c r="W92" s="16"/>
      <c r="X92" s="16"/>
      <c r="Y92" s="16"/>
      <c r="Z92" s="16">
        <f t="shared" si="15"/>
        <v>0</v>
      </c>
      <c r="AA92" s="16">
        <f t="shared" si="9"/>
        <v>0</v>
      </c>
      <c r="AB92" s="16"/>
      <c r="AC92" s="19"/>
      <c r="AD92" s="51"/>
    </row>
    <row r="93" spans="1:30" ht="19.5" thickBot="1" x14ac:dyDescent="0.3">
      <c r="A93" s="14">
        <v>26</v>
      </c>
      <c r="B93" s="15"/>
      <c r="C93" s="15" t="e">
        <f>VLOOKUP(B93,داتا!$B$3:$D$107,2,FALSE)</f>
        <v>#N/A</v>
      </c>
      <c r="D93" s="34" t="e">
        <f>VLOOKUP(B93,داتا!$B$3:$D$107,3,FALSE)</f>
        <v>#N/A</v>
      </c>
      <c r="E93" s="15"/>
      <c r="F93" s="15"/>
      <c r="G93" s="16">
        <v>8.3333333333333329E-2</v>
      </c>
      <c r="H93" s="16" t="e">
        <f t="shared" si="17"/>
        <v>#N/A</v>
      </c>
      <c r="I93" s="16" t="e">
        <f t="shared" si="10"/>
        <v>#N/A</v>
      </c>
      <c r="J93" s="16"/>
      <c r="K93" s="16"/>
      <c r="L93" s="16"/>
      <c r="M93" s="16"/>
      <c r="N93" s="16">
        <f t="shared" si="11"/>
        <v>0</v>
      </c>
      <c r="O93" s="16" t="e">
        <f t="shared" si="12"/>
        <v>#N/A</v>
      </c>
      <c r="P93" s="16">
        <v>6.9444444444444397E-3</v>
      </c>
      <c r="Q93" s="16"/>
      <c r="R93" s="16">
        <f t="shared" si="13"/>
        <v>-6.9444444444444397E-3</v>
      </c>
      <c r="S93" s="16"/>
      <c r="T93" s="16" t="e">
        <f>VLOOKUP(E93,'[2]21-3-2026'!E$3:T$35,16,FALSE)</f>
        <v>#N/A</v>
      </c>
      <c r="U93" s="16"/>
      <c r="V93" s="16" t="e">
        <f t="shared" si="14"/>
        <v>#N/A</v>
      </c>
      <c r="W93" s="16"/>
      <c r="X93" s="16"/>
      <c r="Y93" s="16"/>
      <c r="Z93" s="16">
        <f t="shared" si="15"/>
        <v>0</v>
      </c>
      <c r="AA93" s="16">
        <f t="shared" si="9"/>
        <v>0</v>
      </c>
      <c r="AB93" s="16"/>
      <c r="AC93" s="19"/>
      <c r="AD93" s="51"/>
    </row>
    <row r="94" spans="1:30" ht="19.5" thickBot="1" x14ac:dyDescent="0.3">
      <c r="A94" s="14">
        <v>27</v>
      </c>
      <c r="B94" s="15"/>
      <c r="C94" s="15" t="e">
        <f>VLOOKUP(B94,داتا!$B$3:$D$107,2,FALSE)</f>
        <v>#N/A</v>
      </c>
      <c r="D94" s="34" t="e">
        <f>VLOOKUP(B94,داتا!$B$3:$D$107,3,FALSE)</f>
        <v>#N/A</v>
      </c>
      <c r="E94" s="15"/>
      <c r="F94" s="15"/>
      <c r="G94" s="16">
        <v>8.3333333333333329E-2</v>
      </c>
      <c r="H94" s="16" t="e">
        <f t="shared" si="17"/>
        <v>#N/A</v>
      </c>
      <c r="I94" s="16" t="e">
        <f t="shared" si="10"/>
        <v>#N/A</v>
      </c>
      <c r="J94" s="16"/>
      <c r="K94" s="16"/>
      <c r="L94" s="16"/>
      <c r="M94" s="16"/>
      <c r="N94" s="16">
        <f t="shared" si="11"/>
        <v>0</v>
      </c>
      <c r="O94" s="16" t="e">
        <f t="shared" si="12"/>
        <v>#N/A</v>
      </c>
      <c r="P94" s="16">
        <v>6.9444444444444397E-3</v>
      </c>
      <c r="Q94" s="16"/>
      <c r="R94" s="16">
        <f t="shared" si="13"/>
        <v>-6.9444444444444397E-3</v>
      </c>
      <c r="S94" s="16"/>
      <c r="T94" s="16" t="e">
        <f>VLOOKUP(E94,'[2]21-3-2026'!E$3:T$35,16,FALSE)</f>
        <v>#N/A</v>
      </c>
      <c r="U94" s="16"/>
      <c r="V94" s="16" t="e">
        <f t="shared" si="14"/>
        <v>#N/A</v>
      </c>
      <c r="W94" s="16"/>
      <c r="X94" s="16"/>
      <c r="Y94" s="16"/>
      <c r="Z94" s="16">
        <f t="shared" si="15"/>
        <v>0</v>
      </c>
      <c r="AA94" s="16">
        <f t="shared" si="9"/>
        <v>0</v>
      </c>
      <c r="AB94" s="16"/>
      <c r="AC94" s="19"/>
      <c r="AD94" s="51"/>
    </row>
    <row r="95" spans="1:30" ht="19.5" thickBot="1" x14ac:dyDescent="0.3">
      <c r="A95" s="14">
        <v>28</v>
      </c>
      <c r="B95" s="15"/>
      <c r="C95" s="15" t="e">
        <f>VLOOKUP(B95,داتا!$B$3:$D$107,2,FALSE)</f>
        <v>#N/A</v>
      </c>
      <c r="D95" s="34" t="e">
        <f>VLOOKUP(B95,داتا!$B$3:$D$107,3,FALSE)</f>
        <v>#N/A</v>
      </c>
      <c r="E95" s="15"/>
      <c r="F95" s="16"/>
      <c r="G95" s="16">
        <v>8.3333333333333329E-2</v>
      </c>
      <c r="H95" s="16" t="e">
        <f t="shared" si="17"/>
        <v>#N/A</v>
      </c>
      <c r="I95" s="16" t="e">
        <f t="shared" si="10"/>
        <v>#N/A</v>
      </c>
      <c r="J95" s="16"/>
      <c r="K95" s="16"/>
      <c r="L95" s="16"/>
      <c r="M95" s="16"/>
      <c r="N95" s="16">
        <f t="shared" si="11"/>
        <v>0</v>
      </c>
      <c r="O95" s="16" t="e">
        <f t="shared" si="12"/>
        <v>#N/A</v>
      </c>
      <c r="P95" s="16">
        <v>6.9444444444444397E-3</v>
      </c>
      <c r="Q95" s="16"/>
      <c r="R95" s="16">
        <f t="shared" si="13"/>
        <v>-6.9444444444444397E-3</v>
      </c>
      <c r="S95" s="16"/>
      <c r="T95" s="16" t="e">
        <f>VLOOKUP(E95,'[2]21-3-2026'!E$3:T$35,16,FALSE)</f>
        <v>#N/A</v>
      </c>
      <c r="U95" s="16"/>
      <c r="V95" s="16" t="e">
        <f t="shared" si="14"/>
        <v>#N/A</v>
      </c>
      <c r="W95" s="16"/>
      <c r="X95" s="16"/>
      <c r="Y95" s="16"/>
      <c r="Z95" s="16">
        <f t="shared" si="15"/>
        <v>0</v>
      </c>
      <c r="AA95" s="16">
        <f t="shared" si="9"/>
        <v>0</v>
      </c>
      <c r="AB95" s="16"/>
      <c r="AC95" s="19"/>
      <c r="AD95" s="51"/>
    </row>
    <row r="96" spans="1:30" ht="19.5" thickBot="1" x14ac:dyDescent="0.3">
      <c r="A96" s="14">
        <v>29</v>
      </c>
      <c r="B96" s="15"/>
      <c r="C96" s="15" t="e">
        <f>VLOOKUP(B96,داتا!$B$3:$D$107,2,FALSE)</f>
        <v>#N/A</v>
      </c>
      <c r="D96" s="34" t="e">
        <f>VLOOKUP(B96,داتا!$B$3:$D$107,3,FALSE)</f>
        <v>#N/A</v>
      </c>
      <c r="E96" s="15"/>
      <c r="F96" s="16"/>
      <c r="G96" s="16">
        <v>8.3333333333333329E-2</v>
      </c>
      <c r="H96" s="16" t="e">
        <f t="shared" si="17"/>
        <v>#N/A</v>
      </c>
      <c r="I96" s="16" t="e">
        <f t="shared" si="10"/>
        <v>#N/A</v>
      </c>
      <c r="J96" s="16"/>
      <c r="K96" s="16"/>
      <c r="L96" s="16"/>
      <c r="M96" s="16"/>
      <c r="N96" s="16">
        <f t="shared" si="11"/>
        <v>0</v>
      </c>
      <c r="O96" s="16" t="e">
        <f t="shared" si="12"/>
        <v>#N/A</v>
      </c>
      <c r="P96" s="16">
        <v>6.9444444444444397E-3</v>
      </c>
      <c r="Q96" s="16"/>
      <c r="R96" s="16">
        <f t="shared" si="13"/>
        <v>-6.9444444444444397E-3</v>
      </c>
      <c r="S96" s="16"/>
      <c r="T96" s="16" t="e">
        <f>VLOOKUP(E96,'[2]21-3-2026'!E$3:T$35,16,FALSE)</f>
        <v>#N/A</v>
      </c>
      <c r="U96" s="16"/>
      <c r="V96" s="16" t="e">
        <f t="shared" si="14"/>
        <v>#N/A</v>
      </c>
      <c r="W96" s="16"/>
      <c r="X96" s="16"/>
      <c r="Y96" s="16"/>
      <c r="Z96" s="16">
        <f t="shared" si="15"/>
        <v>0</v>
      </c>
      <c r="AA96" s="16">
        <f t="shared" si="9"/>
        <v>0</v>
      </c>
      <c r="AB96" s="16"/>
      <c r="AC96" s="19"/>
      <c r="AD96" s="54"/>
    </row>
    <row r="97" spans="1:29" ht="19.5" thickBot="1" x14ac:dyDescent="0.3">
      <c r="A97" s="14">
        <v>30</v>
      </c>
      <c r="B97" s="15"/>
      <c r="C97" s="15" t="e">
        <f>VLOOKUP(B97,داتا!$B$3:$D$107,2,FALSE)</f>
        <v>#N/A</v>
      </c>
      <c r="D97" s="34" t="e">
        <f>VLOOKUP(B97,داتا!$B$3:$D$107,3,FALSE)</f>
        <v>#N/A</v>
      </c>
      <c r="E97" s="15"/>
      <c r="F97" s="16"/>
      <c r="G97" s="16">
        <v>8.3333333333333329E-2</v>
      </c>
      <c r="H97" s="16" t="e">
        <f t="shared" si="17"/>
        <v>#N/A</v>
      </c>
      <c r="I97" s="16" t="e">
        <f t="shared" si="10"/>
        <v>#N/A</v>
      </c>
      <c r="J97" s="16"/>
      <c r="K97" s="16"/>
      <c r="L97" s="16"/>
      <c r="M97" s="16"/>
      <c r="N97" s="16">
        <f t="shared" si="11"/>
        <v>0</v>
      </c>
      <c r="O97" s="16" t="e">
        <f t="shared" si="12"/>
        <v>#N/A</v>
      </c>
      <c r="P97" s="16">
        <v>6.9444444444444397E-3</v>
      </c>
      <c r="Q97" s="16"/>
      <c r="R97" s="16">
        <f t="shared" si="13"/>
        <v>-6.9444444444444397E-3</v>
      </c>
      <c r="S97" s="16"/>
      <c r="T97" s="16" t="e">
        <f>VLOOKUP(E97,'[2]21-3-2026'!E$3:T$35,16,FALSE)</f>
        <v>#N/A</v>
      </c>
      <c r="U97" s="16"/>
      <c r="V97" s="16" t="e">
        <f t="shared" si="14"/>
        <v>#N/A</v>
      </c>
      <c r="W97" s="16"/>
      <c r="X97" s="16"/>
      <c r="Y97" s="16"/>
      <c r="Z97" s="16">
        <f t="shared" si="15"/>
        <v>0</v>
      </c>
      <c r="AA97" s="16">
        <f t="shared" si="9"/>
        <v>0</v>
      </c>
      <c r="AB97" s="16"/>
      <c r="AC97" s="19"/>
    </row>
    <row r="98" spans="1:29" ht="19.5" thickBot="1" x14ac:dyDescent="0.3">
      <c r="A98" s="14">
        <v>31</v>
      </c>
      <c r="B98" s="15"/>
      <c r="C98" s="15" t="e">
        <f>VLOOKUP(B98,داتا!$B$3:$D$107,2,FALSE)</f>
        <v>#N/A</v>
      </c>
      <c r="D98" s="34" t="e">
        <f>VLOOKUP(B98,داتا!$B$3:$D$107,3,FALSE)</f>
        <v>#N/A</v>
      </c>
      <c r="E98" s="15"/>
      <c r="F98" s="16"/>
      <c r="G98" s="16">
        <v>8.3333333333333329E-2</v>
      </c>
      <c r="H98" s="16" t="e">
        <f t="shared" si="17"/>
        <v>#N/A</v>
      </c>
      <c r="I98" s="16" t="e">
        <f t="shared" si="10"/>
        <v>#N/A</v>
      </c>
      <c r="J98" s="16"/>
      <c r="K98" s="16"/>
      <c r="L98" s="16"/>
      <c r="M98" s="16"/>
      <c r="N98" s="16">
        <f t="shared" si="11"/>
        <v>0</v>
      </c>
      <c r="O98" s="16" t="e">
        <f t="shared" si="12"/>
        <v>#N/A</v>
      </c>
      <c r="P98" s="16">
        <v>6.9444444444444397E-3</v>
      </c>
      <c r="Q98" s="16"/>
      <c r="R98" s="16">
        <f t="shared" si="13"/>
        <v>-6.9444444444444397E-3</v>
      </c>
      <c r="S98" s="16"/>
      <c r="T98" s="16" t="e">
        <f>VLOOKUP(E98,'[2]21-3-2026'!E$3:T$35,16,FALSE)</f>
        <v>#N/A</v>
      </c>
      <c r="U98" s="16"/>
      <c r="V98" s="16" t="e">
        <f t="shared" si="14"/>
        <v>#N/A</v>
      </c>
      <c r="W98" s="16"/>
      <c r="X98" s="16"/>
      <c r="Y98" s="16"/>
      <c r="Z98" s="16">
        <f t="shared" si="15"/>
        <v>0</v>
      </c>
      <c r="AA98" s="16">
        <f t="shared" si="9"/>
        <v>0</v>
      </c>
      <c r="AB98" s="16"/>
      <c r="AC98" s="19"/>
    </row>
    <row r="99" spans="1:29" ht="19.5" thickBot="1" x14ac:dyDescent="0.3">
      <c r="A99" s="20">
        <v>32</v>
      </c>
      <c r="B99" s="21"/>
      <c r="C99" s="21" t="e">
        <f>VLOOKUP(B99,داتا!$B$3:$D$107,2,FALSE)</f>
        <v>#N/A</v>
      </c>
      <c r="D99" s="35" t="e">
        <f>VLOOKUP(B99,داتا!$B$3:$D$107,3,FALSE)</f>
        <v>#N/A</v>
      </c>
      <c r="E99" s="21"/>
      <c r="F99" s="22"/>
      <c r="G99" s="22">
        <v>8.3333333333333329E-2</v>
      </c>
      <c r="H99" s="22" t="e">
        <f t="shared" si="17"/>
        <v>#N/A</v>
      </c>
      <c r="I99" s="22" t="e">
        <f t="shared" si="10"/>
        <v>#N/A</v>
      </c>
      <c r="J99" s="22"/>
      <c r="K99" s="22"/>
      <c r="L99" s="22"/>
      <c r="M99" s="22"/>
      <c r="N99" s="22">
        <f t="shared" si="11"/>
        <v>0</v>
      </c>
      <c r="O99" s="22" t="e">
        <f t="shared" si="12"/>
        <v>#N/A</v>
      </c>
      <c r="P99" s="22">
        <v>6.9444444444444397E-3</v>
      </c>
      <c r="Q99" s="22"/>
      <c r="R99" s="22">
        <f t="shared" si="13"/>
        <v>-6.9444444444444397E-3</v>
      </c>
      <c r="S99" s="22"/>
      <c r="T99" s="22" t="e">
        <f>VLOOKUP(E99,'[2]21-3-2026'!E$3:T$35,16,FALSE)</f>
        <v>#N/A</v>
      </c>
      <c r="U99" s="22"/>
      <c r="V99" s="22" t="e">
        <f t="shared" si="14"/>
        <v>#N/A</v>
      </c>
      <c r="W99" s="22"/>
      <c r="X99" s="22"/>
      <c r="Y99" s="22"/>
      <c r="Z99" s="22">
        <f t="shared" si="15"/>
        <v>0</v>
      </c>
      <c r="AA99" s="22">
        <f t="shared" si="9"/>
        <v>0</v>
      </c>
      <c r="AB99" s="22"/>
      <c r="AC99" s="30"/>
    </row>
    <row r="100" spans="1:29" ht="16.5" thickTop="1" x14ac:dyDescent="0.25"/>
  </sheetData>
  <mergeCells count="4">
    <mergeCell ref="A1:AC1"/>
    <mergeCell ref="AD3:AD35"/>
    <mergeCell ref="AD36:AD67"/>
    <mergeCell ref="AD68:AD96"/>
  </mergeCells>
  <conditionalFormatting sqref="AC1:AC96 AC100:AC1048576">
    <cfRule type="containsText" dxfId="59" priority="14" operator="containsText" text="ت">
      <formula>NOT(ISERROR(SEARCH("ت",AC1)))</formula>
    </cfRule>
  </conditionalFormatting>
  <conditionalFormatting sqref="AC4:AC96">
    <cfRule type="containsText" dxfId="58" priority="13" operator="containsText" text="ت">
      <formula>NOT(ISERROR(SEARCH("ت",AC4)))</formula>
    </cfRule>
  </conditionalFormatting>
  <conditionalFormatting sqref="O1:O2 I1:I2 R1:R2 V1:V2 AA100:AA1048576 V100:V1048576 R100:R1048576 O100:O1048576 I100:I1048576 AA1:AA2">
    <cfRule type="cellIs" dxfId="57" priority="15" operator="between">
      <formula>0.00277777777777778</formula>
      <formula>1</formula>
    </cfRule>
  </conditionalFormatting>
  <conditionalFormatting sqref="AC97:AC99">
    <cfRule type="containsText" dxfId="56" priority="12" operator="containsText" text="ت">
      <formula>NOT(ISERROR(SEARCH("ت",AC97)))</formula>
    </cfRule>
  </conditionalFormatting>
  <conditionalFormatting sqref="AC97:AC99">
    <cfRule type="containsText" dxfId="55" priority="11" operator="containsText" text="ت">
      <formula>NOT(ISERROR(SEARCH("ت",AC97)))</formula>
    </cfRule>
  </conditionalFormatting>
  <conditionalFormatting sqref="I3:I99">
    <cfRule type="cellIs" dxfId="54" priority="9" operator="between">
      <formula>0.00277777777777778</formula>
      <formula>1</formula>
    </cfRule>
  </conditionalFormatting>
  <conditionalFormatting sqref="I3:I99">
    <cfRule type="cellIs" dxfId="53" priority="10" operator="between">
      <formula>0.00277777777777778</formula>
      <formula>1</formula>
    </cfRule>
  </conditionalFormatting>
  <conditionalFormatting sqref="O3:O99">
    <cfRule type="cellIs" dxfId="52" priority="7" operator="between">
      <formula>0.00277777777777778</formula>
      <formula>1</formula>
    </cfRule>
  </conditionalFormatting>
  <conditionalFormatting sqref="O3:O99">
    <cfRule type="cellIs" dxfId="51" priority="8" operator="between">
      <formula>0.00277777777777778</formula>
      <formula>1</formula>
    </cfRule>
  </conditionalFormatting>
  <conditionalFormatting sqref="R3:R99">
    <cfRule type="cellIs" dxfId="50" priority="5" operator="between">
      <formula>0.00277777777777778</formula>
      <formula>1</formula>
    </cfRule>
  </conditionalFormatting>
  <conditionalFormatting sqref="R3:R99">
    <cfRule type="cellIs" dxfId="49" priority="6" operator="between">
      <formula>0.00277777777777778</formula>
      <formula>1</formula>
    </cfRule>
  </conditionalFormatting>
  <conditionalFormatting sqref="V3:V99">
    <cfRule type="cellIs" dxfId="48" priority="3" operator="between">
      <formula>0.00277777777777778</formula>
      <formula>1</formula>
    </cfRule>
  </conditionalFormatting>
  <conditionalFormatting sqref="V3:V99">
    <cfRule type="cellIs" dxfId="47" priority="4" operator="between">
      <formula>0.00277777777777778</formula>
      <formula>1</formula>
    </cfRule>
  </conditionalFormatting>
  <conditionalFormatting sqref="AA3:AA99">
    <cfRule type="cellIs" dxfId="46" priority="1" operator="between">
      <formula>0.00277777777777778</formula>
      <formula>1</formula>
    </cfRule>
  </conditionalFormatting>
  <conditionalFormatting sqref="AA3:AA99">
    <cfRule type="cellIs" dxfId="45" priority="2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"/>
  <sheetViews>
    <sheetView rightToLeft="1" workbookViewId="0">
      <pane xSplit="6" ySplit="2" topLeftCell="G68" activePane="bottomRight" state="frozen"/>
      <selection activeCell="A92" sqref="A92"/>
      <selection pane="topRight" activeCell="A92" sqref="A92"/>
      <selection pane="bottomLeft" activeCell="A92" sqref="A92"/>
      <selection pane="bottomRight" activeCell="A92" sqref="A92"/>
    </sheetView>
  </sheetViews>
  <sheetFormatPr defaultColWidth="9" defaultRowHeight="15.75" x14ac:dyDescent="0.25"/>
  <cols>
    <col min="1" max="1" width="5.42578125" customWidth="1"/>
    <col min="2" max="2" width="12.28515625" customWidth="1"/>
    <col min="3" max="3" width="12.5703125" customWidth="1"/>
    <col min="4" max="4" width="16.140625" style="36" customWidth="1"/>
    <col min="5" max="5" width="17.140625" customWidth="1"/>
    <col min="6" max="6" width="20.85546875" customWidth="1"/>
    <col min="7" max="7" width="12.7109375" customWidth="1"/>
    <col min="8" max="9" width="12.85546875" customWidth="1"/>
    <col min="10" max="10" width="12.5703125" customWidth="1"/>
    <col min="11" max="11" width="14.28515625" customWidth="1"/>
    <col min="12" max="12" width="22.7109375" customWidth="1"/>
    <col min="13" max="13" width="18.8554687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3.85546875" style="31" customWidth="1"/>
    <col min="30" max="30" width="11.140625" customWidth="1"/>
  </cols>
  <sheetData>
    <row r="1" spans="1:30" ht="33.75" customHeight="1" thickBot="1" x14ac:dyDescent="0.3">
      <c r="A1" s="46" t="s">
        <v>119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0" ht="49.5" customHeight="1" thickTop="1" thickBot="1" x14ac:dyDescent="0.3">
      <c r="A2" s="1" t="s">
        <v>1</v>
      </c>
      <c r="B2" s="2" t="s">
        <v>2</v>
      </c>
      <c r="C2" s="2" t="s">
        <v>3</v>
      </c>
      <c r="D2" s="3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8" t="s">
        <v>18</v>
      </c>
      <c r="S2" s="2" t="s">
        <v>19</v>
      </c>
      <c r="T2" s="8" t="s">
        <v>20</v>
      </c>
      <c r="U2" s="2" t="s">
        <v>21</v>
      </c>
      <c r="V2" s="8" t="s">
        <v>22</v>
      </c>
      <c r="W2" s="8" t="s">
        <v>23</v>
      </c>
      <c r="X2" s="2" t="s">
        <v>24</v>
      </c>
      <c r="Y2" s="2" t="s">
        <v>25</v>
      </c>
      <c r="Z2" s="2" t="s">
        <v>26</v>
      </c>
      <c r="AA2" s="8" t="s">
        <v>27</v>
      </c>
      <c r="AB2" s="2" t="s">
        <v>28</v>
      </c>
      <c r="AC2" s="9" t="s">
        <v>29</v>
      </c>
    </row>
    <row r="3" spans="1:30" ht="20.25" customHeight="1" thickTop="1" thickBot="1" x14ac:dyDescent="0.3">
      <c r="A3" s="10">
        <v>1</v>
      </c>
      <c r="B3" s="11"/>
      <c r="C3" s="11" t="e">
        <f>VLOOKUP(B3,داتا!$B$3:$D$107,2,FALSE)</f>
        <v>#N/A</v>
      </c>
      <c r="D3" s="33" t="e">
        <f>VLOOKUP(B3,داتا!$B$3:$D$107,3,FALSE)</f>
        <v>#N/A</v>
      </c>
      <c r="E3" s="11"/>
      <c r="F3" s="11"/>
      <c r="G3" s="12">
        <v>0.25</v>
      </c>
      <c r="H3" s="12"/>
      <c r="I3" s="12">
        <f>H3-G3</f>
        <v>-0.25</v>
      </c>
      <c r="J3" s="12"/>
      <c r="K3" s="12"/>
      <c r="L3" s="12"/>
      <c r="M3" s="12"/>
      <c r="N3" s="12">
        <f>K3-J3</f>
        <v>0</v>
      </c>
      <c r="O3" s="12" t="e">
        <f>N3-D3</f>
        <v>#N/A</v>
      </c>
      <c r="P3" s="12">
        <v>6.9444444444444397E-3</v>
      </c>
      <c r="Q3" s="12"/>
      <c r="R3" s="12">
        <f>Q3-P3-K3</f>
        <v>-6.9444444444444397E-3</v>
      </c>
      <c r="S3" s="12"/>
      <c r="T3" s="12" t="e">
        <f>VLOOKUP(E3,'[2]21-3-2026'!E$3:T$35,16,FALSE)</f>
        <v>#N/A</v>
      </c>
      <c r="U3" s="12"/>
      <c r="V3" s="12" t="e">
        <f>U3-T3-S3</f>
        <v>#N/A</v>
      </c>
      <c r="W3" s="12"/>
      <c r="X3" s="12"/>
      <c r="Y3" s="12"/>
      <c r="Z3" s="12">
        <f>Y3-X3</f>
        <v>0</v>
      </c>
      <c r="AA3" s="12">
        <f t="shared" ref="AA3:AA66" si="0">Z3-W3</f>
        <v>0</v>
      </c>
      <c r="AB3" s="12"/>
      <c r="AC3" s="13"/>
      <c r="AD3" s="47" t="s">
        <v>33</v>
      </c>
    </row>
    <row r="4" spans="1:30" ht="19.5" thickBot="1" x14ac:dyDescent="0.3">
      <c r="A4" s="14">
        <v>2</v>
      </c>
      <c r="B4" s="15"/>
      <c r="C4" s="15" t="e">
        <f>VLOOKUP(B4,داتا!$B$3:$D$107,2,FALSE)</f>
        <v>#N/A</v>
      </c>
      <c r="D4" s="34" t="e">
        <f>VLOOKUP(B4,داتا!$B$3:$D$107,3,FALSE)</f>
        <v>#N/A</v>
      </c>
      <c r="E4" s="15"/>
      <c r="F4" s="15"/>
      <c r="G4" s="16">
        <v>0.25</v>
      </c>
      <c r="H4" s="16"/>
      <c r="I4" s="16">
        <f t="shared" ref="I4:I67" si="1">H4-G4</f>
        <v>-0.25</v>
      </c>
      <c r="J4" s="16"/>
      <c r="K4" s="16"/>
      <c r="L4" s="16"/>
      <c r="M4" s="16"/>
      <c r="N4" s="16">
        <f t="shared" ref="N4:N67" si="2">K4-J4</f>
        <v>0</v>
      </c>
      <c r="O4" s="16" t="e">
        <f t="shared" ref="O4:O67" si="3">N4-D4</f>
        <v>#N/A</v>
      </c>
      <c r="P4" s="16">
        <v>6.9444444444444397E-3</v>
      </c>
      <c r="Q4" s="16"/>
      <c r="R4" s="16">
        <f t="shared" ref="R4:R67" si="4">Q4-P4-K4</f>
        <v>-6.9444444444444397E-3</v>
      </c>
      <c r="S4" s="16"/>
      <c r="T4" s="16" t="e">
        <f>VLOOKUP(E4,'[2]21-3-2026'!E$3:T$35,16,FALSE)</f>
        <v>#N/A</v>
      </c>
      <c r="U4" s="16"/>
      <c r="V4" s="16" t="e">
        <f t="shared" ref="V4:V67" si="5">U4-T4-S4</f>
        <v>#N/A</v>
      </c>
      <c r="W4" s="16"/>
      <c r="X4" s="16"/>
      <c r="Y4" s="16"/>
      <c r="Z4" s="16">
        <f t="shared" ref="Z4:Z67" si="6">Y4-X4</f>
        <v>0</v>
      </c>
      <c r="AA4" s="16">
        <f t="shared" si="0"/>
        <v>0</v>
      </c>
      <c r="AB4" s="16"/>
      <c r="AC4" s="17"/>
      <c r="AD4" s="48"/>
    </row>
    <row r="5" spans="1:30" ht="19.5" thickBot="1" x14ac:dyDescent="0.3">
      <c r="A5" s="14">
        <v>3</v>
      </c>
      <c r="B5" s="15"/>
      <c r="C5" s="15" t="e">
        <f>VLOOKUP(B5,داتا!$B$3:$D$107,2,FALSE)</f>
        <v>#N/A</v>
      </c>
      <c r="D5" s="34" t="e">
        <f>VLOOKUP(B5,داتا!$B$3:$D$107,3,FALSE)</f>
        <v>#N/A</v>
      </c>
      <c r="E5" s="15"/>
      <c r="F5" s="15"/>
      <c r="G5" s="16">
        <v>0.25</v>
      </c>
      <c r="H5" s="16"/>
      <c r="I5" s="16">
        <f t="shared" si="1"/>
        <v>-0.25</v>
      </c>
      <c r="J5" s="16"/>
      <c r="K5" s="16"/>
      <c r="L5" s="16"/>
      <c r="M5" s="16"/>
      <c r="N5" s="16">
        <f t="shared" si="2"/>
        <v>0</v>
      </c>
      <c r="O5" s="16" t="e">
        <f t="shared" si="3"/>
        <v>#N/A</v>
      </c>
      <c r="P5" s="16">
        <v>6.9444444444444397E-3</v>
      </c>
      <c r="Q5" s="16"/>
      <c r="R5" s="16">
        <f t="shared" si="4"/>
        <v>-6.9444444444444397E-3</v>
      </c>
      <c r="S5" s="16"/>
      <c r="T5" s="16" t="e">
        <f>VLOOKUP(E5,'[2]21-3-2026'!E$3:T$35,16,FALSE)</f>
        <v>#N/A</v>
      </c>
      <c r="U5" s="16"/>
      <c r="V5" s="16" t="e">
        <f t="shared" si="5"/>
        <v>#N/A</v>
      </c>
      <c r="W5" s="16"/>
      <c r="X5" s="16"/>
      <c r="Y5" s="16"/>
      <c r="Z5" s="16">
        <f t="shared" si="6"/>
        <v>0</v>
      </c>
      <c r="AA5" s="16">
        <f t="shared" si="0"/>
        <v>0</v>
      </c>
      <c r="AB5" s="16"/>
      <c r="AC5" s="17"/>
      <c r="AD5" s="48"/>
    </row>
    <row r="6" spans="1:30" ht="19.5" thickBot="1" x14ac:dyDescent="0.3">
      <c r="A6" s="14">
        <v>4</v>
      </c>
      <c r="B6" s="15"/>
      <c r="C6" s="15" t="e">
        <f>VLOOKUP(B6,داتا!$B$3:$D$107,2,FALSE)</f>
        <v>#N/A</v>
      </c>
      <c r="D6" s="34" t="e">
        <f>VLOOKUP(B6,داتا!$B$3:$D$107,3,FALSE)</f>
        <v>#N/A</v>
      </c>
      <c r="E6" s="15"/>
      <c r="F6" s="15"/>
      <c r="G6" s="16">
        <v>0.25</v>
      </c>
      <c r="H6" s="16"/>
      <c r="I6" s="16">
        <f t="shared" si="1"/>
        <v>-0.25</v>
      </c>
      <c r="J6" s="16"/>
      <c r="K6" s="16"/>
      <c r="L6" s="16"/>
      <c r="M6" s="16"/>
      <c r="N6" s="16">
        <f t="shared" si="2"/>
        <v>0</v>
      </c>
      <c r="O6" s="16" t="e">
        <f t="shared" si="3"/>
        <v>#N/A</v>
      </c>
      <c r="P6" s="16">
        <v>6.9444444444444397E-3</v>
      </c>
      <c r="Q6" s="16"/>
      <c r="R6" s="16">
        <f t="shared" si="4"/>
        <v>-6.9444444444444397E-3</v>
      </c>
      <c r="S6" s="16"/>
      <c r="T6" s="16" t="e">
        <f>VLOOKUP(E6,'[2]21-3-2026'!E$3:T$35,16,FALSE)</f>
        <v>#N/A</v>
      </c>
      <c r="U6" s="16"/>
      <c r="V6" s="16" t="e">
        <f t="shared" si="5"/>
        <v>#N/A</v>
      </c>
      <c r="W6" s="16"/>
      <c r="X6" s="16"/>
      <c r="Y6" s="16"/>
      <c r="Z6" s="16">
        <f t="shared" si="6"/>
        <v>0</v>
      </c>
      <c r="AA6" s="16">
        <f t="shared" si="0"/>
        <v>0</v>
      </c>
      <c r="AB6" s="16"/>
      <c r="AC6" s="17"/>
      <c r="AD6" s="48"/>
    </row>
    <row r="7" spans="1:30" ht="19.5" thickBot="1" x14ac:dyDescent="0.3">
      <c r="A7" s="14">
        <v>5</v>
      </c>
      <c r="B7" s="15"/>
      <c r="C7" s="15" t="e">
        <f>VLOOKUP(B7,داتا!$B$3:$D$107,2,FALSE)</f>
        <v>#N/A</v>
      </c>
      <c r="D7" s="34" t="e">
        <f>VLOOKUP(B7,داتا!$B$3:$D$107,3,FALSE)</f>
        <v>#N/A</v>
      </c>
      <c r="E7" s="15"/>
      <c r="F7" s="15"/>
      <c r="G7" s="16">
        <v>0.25</v>
      </c>
      <c r="H7" s="16"/>
      <c r="I7" s="16">
        <f t="shared" si="1"/>
        <v>-0.25</v>
      </c>
      <c r="J7" s="16"/>
      <c r="K7" s="16"/>
      <c r="L7" s="16"/>
      <c r="M7" s="16"/>
      <c r="N7" s="16">
        <f t="shared" si="2"/>
        <v>0</v>
      </c>
      <c r="O7" s="16" t="e">
        <f t="shared" si="3"/>
        <v>#N/A</v>
      </c>
      <c r="P7" s="16">
        <v>6.9444444444444397E-3</v>
      </c>
      <c r="Q7" s="16"/>
      <c r="R7" s="16">
        <f t="shared" si="4"/>
        <v>-6.9444444444444397E-3</v>
      </c>
      <c r="S7" s="16"/>
      <c r="T7" s="16" t="e">
        <f>VLOOKUP(E7,'[2]21-3-2026'!E$3:T$35,16,FALSE)</f>
        <v>#N/A</v>
      </c>
      <c r="U7" s="16"/>
      <c r="V7" s="16" t="e">
        <f t="shared" si="5"/>
        <v>#N/A</v>
      </c>
      <c r="W7" s="16"/>
      <c r="X7" s="16"/>
      <c r="Y7" s="16"/>
      <c r="Z7" s="16">
        <f t="shared" si="6"/>
        <v>0</v>
      </c>
      <c r="AA7" s="16">
        <f t="shared" si="0"/>
        <v>0</v>
      </c>
      <c r="AB7" s="16"/>
      <c r="AC7" s="17"/>
      <c r="AD7" s="48"/>
    </row>
    <row r="8" spans="1:30" ht="19.5" thickBot="1" x14ac:dyDescent="0.3">
      <c r="A8" s="14">
        <v>6</v>
      </c>
      <c r="B8" s="15"/>
      <c r="C8" s="15" t="e">
        <f>VLOOKUP(B8,داتا!$B$3:$D$107,2,FALSE)</f>
        <v>#N/A</v>
      </c>
      <c r="D8" s="34" t="e">
        <f>VLOOKUP(B8,داتا!$B$3:$D$107,3,FALSE)</f>
        <v>#N/A</v>
      </c>
      <c r="E8" s="15"/>
      <c r="F8" s="15"/>
      <c r="G8" s="16">
        <v>0.25</v>
      </c>
      <c r="H8" s="16"/>
      <c r="I8" s="16">
        <f t="shared" si="1"/>
        <v>-0.25</v>
      </c>
      <c r="J8" s="16"/>
      <c r="K8" s="16"/>
      <c r="L8" s="16"/>
      <c r="M8" s="16"/>
      <c r="N8" s="16">
        <f t="shared" si="2"/>
        <v>0</v>
      </c>
      <c r="O8" s="16" t="e">
        <f t="shared" si="3"/>
        <v>#N/A</v>
      </c>
      <c r="P8" s="16">
        <v>6.9444444444444397E-3</v>
      </c>
      <c r="Q8" s="16"/>
      <c r="R8" s="16">
        <f t="shared" si="4"/>
        <v>-6.9444444444444397E-3</v>
      </c>
      <c r="S8" s="16"/>
      <c r="T8" s="16" t="e">
        <f>VLOOKUP(E8,'[2]21-3-2026'!E$3:T$35,16,FALSE)</f>
        <v>#N/A</v>
      </c>
      <c r="U8" s="16"/>
      <c r="V8" s="16" t="e">
        <f t="shared" si="5"/>
        <v>#N/A</v>
      </c>
      <c r="W8" s="16"/>
      <c r="X8" s="16"/>
      <c r="Y8" s="16"/>
      <c r="Z8" s="16">
        <f t="shared" si="6"/>
        <v>0</v>
      </c>
      <c r="AA8" s="16">
        <f t="shared" si="0"/>
        <v>0</v>
      </c>
      <c r="AB8" s="16"/>
      <c r="AC8" s="18"/>
      <c r="AD8" s="48"/>
    </row>
    <row r="9" spans="1:30" ht="19.5" thickBot="1" x14ac:dyDescent="0.3">
      <c r="A9" s="14">
        <v>7</v>
      </c>
      <c r="B9" s="15"/>
      <c r="C9" s="15" t="e">
        <f>VLOOKUP(B9,داتا!$B$3:$D$107,2,FALSE)</f>
        <v>#N/A</v>
      </c>
      <c r="D9" s="34" t="e">
        <f>VLOOKUP(B9,داتا!$B$3:$D$107,3,FALSE)</f>
        <v>#N/A</v>
      </c>
      <c r="E9" s="15"/>
      <c r="F9" s="15"/>
      <c r="G9" s="16">
        <v>0.25</v>
      </c>
      <c r="H9" s="16"/>
      <c r="I9" s="16">
        <f t="shared" si="1"/>
        <v>-0.25</v>
      </c>
      <c r="J9" s="16"/>
      <c r="K9" s="16"/>
      <c r="L9" s="16"/>
      <c r="M9" s="16"/>
      <c r="N9" s="16">
        <f t="shared" si="2"/>
        <v>0</v>
      </c>
      <c r="O9" s="16" t="e">
        <f t="shared" si="3"/>
        <v>#N/A</v>
      </c>
      <c r="P9" s="16">
        <v>6.9444444444444397E-3</v>
      </c>
      <c r="Q9" s="16"/>
      <c r="R9" s="16">
        <f t="shared" si="4"/>
        <v>-6.9444444444444397E-3</v>
      </c>
      <c r="S9" s="16"/>
      <c r="T9" s="16" t="e">
        <f>VLOOKUP(E9,'[2]21-3-2026'!E$3:T$35,16,FALSE)</f>
        <v>#N/A</v>
      </c>
      <c r="U9" s="16"/>
      <c r="V9" s="16" t="e">
        <f t="shared" si="5"/>
        <v>#N/A</v>
      </c>
      <c r="W9" s="16"/>
      <c r="X9" s="16"/>
      <c r="Y9" s="16"/>
      <c r="Z9" s="16">
        <f t="shared" si="6"/>
        <v>0</v>
      </c>
      <c r="AA9" s="16">
        <f t="shared" si="0"/>
        <v>0</v>
      </c>
      <c r="AB9" s="16"/>
      <c r="AC9" s="17"/>
      <c r="AD9" s="48"/>
    </row>
    <row r="10" spans="1:30" ht="19.5" thickBot="1" x14ac:dyDescent="0.3">
      <c r="A10" s="14">
        <v>8</v>
      </c>
      <c r="B10" s="15"/>
      <c r="C10" s="15" t="e">
        <f>VLOOKUP(B10,داتا!$B$3:$D$107,2,FALSE)</f>
        <v>#N/A</v>
      </c>
      <c r="D10" s="34" t="e">
        <f>VLOOKUP(B10,داتا!$B$3:$D$107,3,FALSE)</f>
        <v>#N/A</v>
      </c>
      <c r="E10" s="15"/>
      <c r="F10" s="15"/>
      <c r="G10" s="16">
        <v>0.25</v>
      </c>
      <c r="H10" s="16"/>
      <c r="I10" s="16">
        <f t="shared" si="1"/>
        <v>-0.25</v>
      </c>
      <c r="J10" s="16"/>
      <c r="K10" s="16"/>
      <c r="L10" s="16"/>
      <c r="M10" s="16"/>
      <c r="N10" s="16">
        <f t="shared" si="2"/>
        <v>0</v>
      </c>
      <c r="O10" s="16" t="e">
        <f t="shared" si="3"/>
        <v>#N/A</v>
      </c>
      <c r="P10" s="16">
        <v>6.9444444444444397E-3</v>
      </c>
      <c r="Q10" s="16"/>
      <c r="R10" s="16">
        <f t="shared" si="4"/>
        <v>-6.9444444444444397E-3</v>
      </c>
      <c r="S10" s="16"/>
      <c r="T10" s="16" t="e">
        <f>VLOOKUP(E10,'[2]21-3-2026'!E$3:T$35,16,FALSE)</f>
        <v>#N/A</v>
      </c>
      <c r="U10" s="16"/>
      <c r="V10" s="16" t="e">
        <f t="shared" si="5"/>
        <v>#N/A</v>
      </c>
      <c r="W10" s="16"/>
      <c r="X10" s="16"/>
      <c r="Y10" s="16"/>
      <c r="Z10" s="16">
        <f t="shared" si="6"/>
        <v>0</v>
      </c>
      <c r="AA10" s="16">
        <f t="shared" si="0"/>
        <v>0</v>
      </c>
      <c r="AB10" s="16"/>
      <c r="AC10" s="17"/>
      <c r="AD10" s="48"/>
    </row>
    <row r="11" spans="1:30" ht="19.5" thickBot="1" x14ac:dyDescent="0.3">
      <c r="A11" s="14">
        <v>9</v>
      </c>
      <c r="B11" s="15"/>
      <c r="C11" s="15" t="e">
        <f>VLOOKUP(B11,داتا!$B$3:$D$107,2,FALSE)</f>
        <v>#N/A</v>
      </c>
      <c r="D11" s="34" t="e">
        <f>VLOOKUP(B11,داتا!$B$3:$D$107,3,FALSE)</f>
        <v>#N/A</v>
      </c>
      <c r="E11" s="15"/>
      <c r="F11" s="15"/>
      <c r="G11" s="16">
        <v>0.25</v>
      </c>
      <c r="H11" s="16"/>
      <c r="I11" s="16">
        <f t="shared" si="1"/>
        <v>-0.25</v>
      </c>
      <c r="J11" s="16"/>
      <c r="K11" s="16"/>
      <c r="L11" s="16"/>
      <c r="M11" s="16"/>
      <c r="N11" s="16">
        <f t="shared" si="2"/>
        <v>0</v>
      </c>
      <c r="O11" s="16" t="e">
        <f t="shared" si="3"/>
        <v>#N/A</v>
      </c>
      <c r="P11" s="16">
        <v>6.9444444444444397E-3</v>
      </c>
      <c r="Q11" s="16"/>
      <c r="R11" s="16">
        <f t="shared" si="4"/>
        <v>-6.9444444444444397E-3</v>
      </c>
      <c r="S11" s="16"/>
      <c r="T11" s="16" t="e">
        <f>VLOOKUP(E11,'[2]21-3-2026'!E$3:T$35,16,FALSE)</f>
        <v>#N/A</v>
      </c>
      <c r="U11" s="16"/>
      <c r="V11" s="16" t="e">
        <f t="shared" si="5"/>
        <v>#N/A</v>
      </c>
      <c r="W11" s="16"/>
      <c r="X11" s="16"/>
      <c r="Y11" s="16"/>
      <c r="Z11" s="16">
        <f t="shared" si="6"/>
        <v>0</v>
      </c>
      <c r="AA11" s="16">
        <f t="shared" si="0"/>
        <v>0</v>
      </c>
      <c r="AB11" s="16"/>
      <c r="AC11" s="17"/>
      <c r="AD11" s="48"/>
    </row>
    <row r="12" spans="1:30" ht="19.5" thickBot="1" x14ac:dyDescent="0.3">
      <c r="A12" s="14">
        <v>10</v>
      </c>
      <c r="B12" s="15"/>
      <c r="C12" s="15" t="e">
        <f>VLOOKUP(B12,داتا!$B$3:$D$107,2,FALSE)</f>
        <v>#N/A</v>
      </c>
      <c r="D12" s="34" t="e">
        <f>VLOOKUP(B12,داتا!$B$3:$D$107,3,FALSE)</f>
        <v>#N/A</v>
      </c>
      <c r="E12" s="15"/>
      <c r="F12" s="15"/>
      <c r="G12" s="16">
        <v>0.25</v>
      </c>
      <c r="H12" s="16"/>
      <c r="I12" s="16">
        <f t="shared" si="1"/>
        <v>-0.25</v>
      </c>
      <c r="J12" s="16"/>
      <c r="K12" s="16"/>
      <c r="L12" s="16"/>
      <c r="M12" s="16"/>
      <c r="N12" s="16">
        <f t="shared" si="2"/>
        <v>0</v>
      </c>
      <c r="O12" s="16" t="e">
        <f t="shared" si="3"/>
        <v>#N/A</v>
      </c>
      <c r="P12" s="16">
        <v>6.9444444444444397E-3</v>
      </c>
      <c r="Q12" s="16"/>
      <c r="R12" s="16">
        <f t="shared" si="4"/>
        <v>-6.9444444444444397E-3</v>
      </c>
      <c r="S12" s="16"/>
      <c r="T12" s="16" t="e">
        <f>VLOOKUP(E12,'[2]21-3-2026'!E$3:T$35,16,FALSE)</f>
        <v>#N/A</v>
      </c>
      <c r="U12" s="16"/>
      <c r="V12" s="16" t="e">
        <f t="shared" si="5"/>
        <v>#N/A</v>
      </c>
      <c r="W12" s="16"/>
      <c r="X12" s="16"/>
      <c r="Y12" s="16"/>
      <c r="Z12" s="16">
        <f t="shared" si="6"/>
        <v>0</v>
      </c>
      <c r="AA12" s="16">
        <f t="shared" si="0"/>
        <v>0</v>
      </c>
      <c r="AB12" s="16"/>
      <c r="AC12" s="17"/>
      <c r="AD12" s="48"/>
    </row>
    <row r="13" spans="1:30" ht="19.5" thickBot="1" x14ac:dyDescent="0.3">
      <c r="A13" s="14">
        <v>11</v>
      </c>
      <c r="B13" s="15"/>
      <c r="C13" s="15" t="e">
        <f>VLOOKUP(B13,داتا!$B$3:$D$107,2,FALSE)</f>
        <v>#N/A</v>
      </c>
      <c r="D13" s="34" t="e">
        <f>VLOOKUP(B13,داتا!$B$3:$D$107,3,FALSE)</f>
        <v>#N/A</v>
      </c>
      <c r="E13" s="15"/>
      <c r="F13" s="15"/>
      <c r="G13" s="16">
        <v>0.25</v>
      </c>
      <c r="H13" s="16"/>
      <c r="I13" s="16">
        <f t="shared" si="1"/>
        <v>-0.25</v>
      </c>
      <c r="J13" s="16"/>
      <c r="K13" s="16"/>
      <c r="L13" s="16"/>
      <c r="M13" s="16"/>
      <c r="N13" s="16">
        <f t="shared" si="2"/>
        <v>0</v>
      </c>
      <c r="O13" s="16" t="e">
        <f t="shared" si="3"/>
        <v>#N/A</v>
      </c>
      <c r="P13" s="16">
        <v>6.9444444444444397E-3</v>
      </c>
      <c r="Q13" s="16"/>
      <c r="R13" s="16">
        <f t="shared" si="4"/>
        <v>-6.9444444444444397E-3</v>
      </c>
      <c r="S13" s="16"/>
      <c r="T13" s="16" t="e">
        <f>VLOOKUP(E13,'[2]21-3-2026'!E$3:T$35,16,FALSE)</f>
        <v>#N/A</v>
      </c>
      <c r="U13" s="16"/>
      <c r="V13" s="16" t="e">
        <f t="shared" si="5"/>
        <v>#N/A</v>
      </c>
      <c r="W13" s="16"/>
      <c r="X13" s="16"/>
      <c r="Y13" s="16"/>
      <c r="Z13" s="16">
        <f t="shared" si="6"/>
        <v>0</v>
      </c>
      <c r="AA13" s="16">
        <f t="shared" si="0"/>
        <v>0</v>
      </c>
      <c r="AB13" s="16"/>
      <c r="AC13" s="18"/>
      <c r="AD13" s="48"/>
    </row>
    <row r="14" spans="1:30" ht="19.5" thickBot="1" x14ac:dyDescent="0.3">
      <c r="A14" s="14">
        <v>12</v>
      </c>
      <c r="B14" s="15"/>
      <c r="C14" s="15" t="e">
        <f>VLOOKUP(B14,داتا!$B$3:$D$107,2,FALSE)</f>
        <v>#N/A</v>
      </c>
      <c r="D14" s="34" t="e">
        <f>VLOOKUP(B14,داتا!$B$3:$D$107,3,FALSE)</f>
        <v>#N/A</v>
      </c>
      <c r="E14" s="15"/>
      <c r="F14" s="15"/>
      <c r="G14" s="16">
        <v>0.25</v>
      </c>
      <c r="H14" s="16"/>
      <c r="I14" s="16">
        <f t="shared" si="1"/>
        <v>-0.25</v>
      </c>
      <c r="J14" s="16"/>
      <c r="K14" s="16"/>
      <c r="L14" s="16"/>
      <c r="M14" s="16"/>
      <c r="N14" s="16">
        <f t="shared" si="2"/>
        <v>0</v>
      </c>
      <c r="O14" s="16" t="e">
        <f t="shared" si="3"/>
        <v>#N/A</v>
      </c>
      <c r="P14" s="16">
        <v>6.9444444444444397E-3</v>
      </c>
      <c r="Q14" s="16"/>
      <c r="R14" s="16">
        <f t="shared" si="4"/>
        <v>-6.9444444444444397E-3</v>
      </c>
      <c r="S14" s="16"/>
      <c r="T14" s="16" t="e">
        <f>VLOOKUP(E14,'[2]21-3-2026'!E$3:T$35,16,FALSE)</f>
        <v>#N/A</v>
      </c>
      <c r="U14" s="16"/>
      <c r="V14" s="16" t="e">
        <f t="shared" si="5"/>
        <v>#N/A</v>
      </c>
      <c r="W14" s="16"/>
      <c r="X14" s="16"/>
      <c r="Y14" s="16"/>
      <c r="Z14" s="16">
        <f t="shared" si="6"/>
        <v>0</v>
      </c>
      <c r="AA14" s="16">
        <f t="shared" si="0"/>
        <v>0</v>
      </c>
      <c r="AB14" s="16"/>
      <c r="AC14" s="17"/>
      <c r="AD14" s="48"/>
    </row>
    <row r="15" spans="1:30" ht="19.5" thickBot="1" x14ac:dyDescent="0.3">
      <c r="A15" s="14">
        <v>13</v>
      </c>
      <c r="B15" s="15"/>
      <c r="C15" s="15" t="e">
        <f>VLOOKUP(B15,داتا!$B$3:$D$107,2,FALSE)</f>
        <v>#N/A</v>
      </c>
      <c r="D15" s="34" t="e">
        <f>VLOOKUP(B15,داتا!$B$3:$D$107,3,FALSE)</f>
        <v>#N/A</v>
      </c>
      <c r="E15" s="15"/>
      <c r="F15" s="15"/>
      <c r="G15" s="16">
        <v>0.25</v>
      </c>
      <c r="H15" s="16"/>
      <c r="I15" s="16">
        <f t="shared" si="1"/>
        <v>-0.25</v>
      </c>
      <c r="J15" s="16"/>
      <c r="K15" s="16"/>
      <c r="L15" s="16"/>
      <c r="M15" s="16"/>
      <c r="N15" s="16">
        <f t="shared" si="2"/>
        <v>0</v>
      </c>
      <c r="O15" s="16" t="e">
        <f t="shared" si="3"/>
        <v>#N/A</v>
      </c>
      <c r="P15" s="16">
        <v>6.9444444444444397E-3</v>
      </c>
      <c r="Q15" s="16"/>
      <c r="R15" s="16">
        <f t="shared" si="4"/>
        <v>-6.9444444444444397E-3</v>
      </c>
      <c r="S15" s="16"/>
      <c r="T15" s="16" t="e">
        <f>VLOOKUP(E15,'[2]21-3-2026'!E$3:T$35,16,FALSE)</f>
        <v>#N/A</v>
      </c>
      <c r="U15" s="16"/>
      <c r="V15" s="16" t="e">
        <f t="shared" si="5"/>
        <v>#N/A</v>
      </c>
      <c r="W15" s="16"/>
      <c r="X15" s="16"/>
      <c r="Y15" s="16"/>
      <c r="Z15" s="16">
        <f t="shared" si="6"/>
        <v>0</v>
      </c>
      <c r="AA15" s="16">
        <f t="shared" si="0"/>
        <v>0</v>
      </c>
      <c r="AB15" s="16"/>
      <c r="AC15" s="17"/>
      <c r="AD15" s="48"/>
    </row>
    <row r="16" spans="1:30" ht="19.5" thickBot="1" x14ac:dyDescent="0.3">
      <c r="A16" s="14">
        <v>14</v>
      </c>
      <c r="B16" s="15"/>
      <c r="C16" s="15" t="e">
        <f>VLOOKUP(B16,داتا!$B$3:$D$107,2,FALSE)</f>
        <v>#N/A</v>
      </c>
      <c r="D16" s="34" t="e">
        <f>VLOOKUP(B16,داتا!$B$3:$D$107,3,FALSE)</f>
        <v>#N/A</v>
      </c>
      <c r="E16" s="15"/>
      <c r="F16" s="15"/>
      <c r="G16" s="16">
        <v>0.25</v>
      </c>
      <c r="H16" s="16"/>
      <c r="I16" s="16">
        <f t="shared" si="1"/>
        <v>-0.25</v>
      </c>
      <c r="J16" s="16"/>
      <c r="K16" s="16"/>
      <c r="L16" s="16"/>
      <c r="M16" s="16"/>
      <c r="N16" s="16">
        <f t="shared" si="2"/>
        <v>0</v>
      </c>
      <c r="O16" s="16" t="e">
        <f t="shared" si="3"/>
        <v>#N/A</v>
      </c>
      <c r="P16" s="16">
        <v>6.9444444444444397E-3</v>
      </c>
      <c r="Q16" s="16"/>
      <c r="R16" s="16">
        <f t="shared" si="4"/>
        <v>-6.9444444444444397E-3</v>
      </c>
      <c r="S16" s="16"/>
      <c r="T16" s="16" t="e">
        <f>VLOOKUP(E16,'[2]21-3-2026'!E$3:T$35,16,FALSE)</f>
        <v>#N/A</v>
      </c>
      <c r="U16" s="16"/>
      <c r="V16" s="16" t="e">
        <f t="shared" si="5"/>
        <v>#N/A</v>
      </c>
      <c r="W16" s="16"/>
      <c r="X16" s="16"/>
      <c r="Y16" s="16"/>
      <c r="Z16" s="16">
        <f t="shared" si="6"/>
        <v>0</v>
      </c>
      <c r="AA16" s="16">
        <f t="shared" si="0"/>
        <v>0</v>
      </c>
      <c r="AB16" s="16"/>
      <c r="AC16" s="17"/>
      <c r="AD16" s="48"/>
    </row>
    <row r="17" spans="1:30" ht="19.5" thickBot="1" x14ac:dyDescent="0.3">
      <c r="A17" s="14">
        <v>15</v>
      </c>
      <c r="B17" s="15"/>
      <c r="C17" s="15" t="e">
        <f>VLOOKUP(B17,داتا!$B$3:$D$107,2,FALSE)</f>
        <v>#N/A</v>
      </c>
      <c r="D17" s="34" t="e">
        <f>VLOOKUP(B17,داتا!$B$3:$D$107,3,FALSE)</f>
        <v>#N/A</v>
      </c>
      <c r="E17" s="15"/>
      <c r="F17" s="15"/>
      <c r="G17" s="16">
        <v>0.25</v>
      </c>
      <c r="H17" s="16"/>
      <c r="I17" s="16">
        <f t="shared" si="1"/>
        <v>-0.25</v>
      </c>
      <c r="J17" s="16"/>
      <c r="K17" s="16"/>
      <c r="L17" s="16"/>
      <c r="M17" s="16"/>
      <c r="N17" s="16">
        <f t="shared" si="2"/>
        <v>0</v>
      </c>
      <c r="O17" s="16" t="e">
        <f t="shared" si="3"/>
        <v>#N/A</v>
      </c>
      <c r="P17" s="16">
        <v>6.9444444444444397E-3</v>
      </c>
      <c r="Q17" s="16"/>
      <c r="R17" s="16">
        <f t="shared" si="4"/>
        <v>-6.9444444444444397E-3</v>
      </c>
      <c r="S17" s="16"/>
      <c r="T17" s="16" t="e">
        <f>VLOOKUP(E17,'[2]21-3-2026'!E$3:T$35,16,FALSE)</f>
        <v>#N/A</v>
      </c>
      <c r="U17" s="16"/>
      <c r="V17" s="16" t="e">
        <f t="shared" si="5"/>
        <v>#N/A</v>
      </c>
      <c r="W17" s="16"/>
      <c r="X17" s="16"/>
      <c r="Y17" s="16"/>
      <c r="Z17" s="16">
        <f t="shared" si="6"/>
        <v>0</v>
      </c>
      <c r="AA17" s="16">
        <f t="shared" si="0"/>
        <v>0</v>
      </c>
      <c r="AB17" s="16"/>
      <c r="AC17" s="17"/>
      <c r="AD17" s="48"/>
    </row>
    <row r="18" spans="1:30" ht="19.5" thickBot="1" x14ac:dyDescent="0.3">
      <c r="A18" s="14">
        <v>16</v>
      </c>
      <c r="B18" s="15"/>
      <c r="C18" s="15" t="e">
        <f>VLOOKUP(B18,داتا!$B$3:$D$107,2,FALSE)</f>
        <v>#N/A</v>
      </c>
      <c r="D18" s="34" t="e">
        <f>VLOOKUP(B18,داتا!$B$3:$D$107,3,FALSE)</f>
        <v>#N/A</v>
      </c>
      <c r="E18" s="16"/>
      <c r="F18" s="15"/>
      <c r="G18" s="16">
        <v>0.25</v>
      </c>
      <c r="H18" s="16"/>
      <c r="I18" s="16">
        <f t="shared" si="1"/>
        <v>-0.25</v>
      </c>
      <c r="J18" s="16"/>
      <c r="K18" s="16"/>
      <c r="L18" s="16"/>
      <c r="M18" s="16"/>
      <c r="N18" s="16">
        <f t="shared" si="2"/>
        <v>0</v>
      </c>
      <c r="O18" s="16" t="e">
        <f t="shared" si="3"/>
        <v>#N/A</v>
      </c>
      <c r="P18" s="16">
        <v>6.9444444444444397E-3</v>
      </c>
      <c r="Q18" s="16"/>
      <c r="R18" s="16">
        <f t="shared" si="4"/>
        <v>-6.9444444444444397E-3</v>
      </c>
      <c r="S18" s="16"/>
      <c r="T18" s="16" t="e">
        <f>VLOOKUP(E18,'[2]21-3-2026'!E$3:T$35,16,FALSE)</f>
        <v>#N/A</v>
      </c>
      <c r="U18" s="16"/>
      <c r="V18" s="16" t="e">
        <f t="shared" si="5"/>
        <v>#N/A</v>
      </c>
      <c r="W18" s="16"/>
      <c r="X18" s="16"/>
      <c r="Y18" s="16"/>
      <c r="Z18" s="16">
        <f t="shared" si="6"/>
        <v>0</v>
      </c>
      <c r="AA18" s="16">
        <f t="shared" si="0"/>
        <v>0</v>
      </c>
      <c r="AB18" s="16"/>
      <c r="AC18" s="17"/>
      <c r="AD18" s="48"/>
    </row>
    <row r="19" spans="1:30" ht="19.5" thickBot="1" x14ac:dyDescent="0.3">
      <c r="A19" s="14">
        <v>17</v>
      </c>
      <c r="B19" s="15"/>
      <c r="C19" s="15" t="e">
        <f>VLOOKUP(B19,داتا!$B$3:$D$107,2,FALSE)</f>
        <v>#N/A</v>
      </c>
      <c r="D19" s="34" t="e">
        <f>VLOOKUP(B19,داتا!$B$3:$D$107,3,FALSE)</f>
        <v>#N/A</v>
      </c>
      <c r="E19" s="15"/>
      <c r="F19" s="15"/>
      <c r="G19" s="16">
        <v>0.25</v>
      </c>
      <c r="H19" s="16"/>
      <c r="I19" s="16">
        <f t="shared" si="1"/>
        <v>-0.25</v>
      </c>
      <c r="J19" s="16"/>
      <c r="K19" s="16"/>
      <c r="L19" s="16"/>
      <c r="M19" s="16"/>
      <c r="N19" s="16">
        <f t="shared" si="2"/>
        <v>0</v>
      </c>
      <c r="O19" s="16" t="e">
        <f t="shared" si="3"/>
        <v>#N/A</v>
      </c>
      <c r="P19" s="16">
        <v>6.9444444444444397E-3</v>
      </c>
      <c r="Q19" s="16"/>
      <c r="R19" s="16">
        <f t="shared" si="4"/>
        <v>-6.9444444444444397E-3</v>
      </c>
      <c r="S19" s="16"/>
      <c r="T19" s="16" t="e">
        <f>VLOOKUP(E19,'[2]21-3-2026'!E$3:T$35,16,FALSE)</f>
        <v>#N/A</v>
      </c>
      <c r="U19" s="16"/>
      <c r="V19" s="16" t="e">
        <f t="shared" si="5"/>
        <v>#N/A</v>
      </c>
      <c r="W19" s="16"/>
      <c r="X19" s="16"/>
      <c r="Y19" s="16"/>
      <c r="Z19" s="16">
        <f t="shared" si="6"/>
        <v>0</v>
      </c>
      <c r="AA19" s="16">
        <f t="shared" si="0"/>
        <v>0</v>
      </c>
      <c r="AB19" s="16"/>
      <c r="AC19" s="17"/>
      <c r="AD19" s="48"/>
    </row>
    <row r="20" spans="1:30" ht="19.5" thickBot="1" x14ac:dyDescent="0.3">
      <c r="A20" s="14">
        <v>18</v>
      </c>
      <c r="B20" s="15"/>
      <c r="C20" s="15" t="e">
        <f>VLOOKUP(B20,داتا!$B$3:$D$107,2,FALSE)</f>
        <v>#N/A</v>
      </c>
      <c r="D20" s="34" t="e">
        <f>VLOOKUP(B20,داتا!$B$3:$D$107,3,FALSE)</f>
        <v>#N/A</v>
      </c>
      <c r="E20" s="15"/>
      <c r="F20" s="15"/>
      <c r="G20" s="16">
        <v>0.25</v>
      </c>
      <c r="H20" s="16"/>
      <c r="I20" s="16">
        <f t="shared" si="1"/>
        <v>-0.25</v>
      </c>
      <c r="J20" s="16"/>
      <c r="K20" s="16"/>
      <c r="L20" s="16"/>
      <c r="M20" s="16"/>
      <c r="N20" s="16">
        <f t="shared" si="2"/>
        <v>0</v>
      </c>
      <c r="O20" s="16" t="e">
        <f t="shared" si="3"/>
        <v>#N/A</v>
      </c>
      <c r="P20" s="16">
        <v>6.9444444444444397E-3</v>
      </c>
      <c r="Q20" s="16"/>
      <c r="R20" s="16">
        <f t="shared" si="4"/>
        <v>-6.9444444444444397E-3</v>
      </c>
      <c r="S20" s="16"/>
      <c r="T20" s="16" t="e">
        <f>VLOOKUP(E20,'[2]21-3-2026'!E$3:T$35,16,FALSE)</f>
        <v>#N/A</v>
      </c>
      <c r="U20" s="16"/>
      <c r="V20" s="16" t="e">
        <f t="shared" si="5"/>
        <v>#N/A</v>
      </c>
      <c r="W20" s="16"/>
      <c r="X20" s="16"/>
      <c r="Y20" s="16"/>
      <c r="Z20" s="16">
        <f t="shared" si="6"/>
        <v>0</v>
      </c>
      <c r="AA20" s="16">
        <f t="shared" si="0"/>
        <v>0</v>
      </c>
      <c r="AB20" s="16"/>
      <c r="AC20" s="17"/>
      <c r="AD20" s="48"/>
    </row>
    <row r="21" spans="1:30" ht="19.5" thickBot="1" x14ac:dyDescent="0.3">
      <c r="A21" s="14">
        <v>19</v>
      </c>
      <c r="B21" s="15"/>
      <c r="C21" s="15" t="e">
        <f>VLOOKUP(B21,داتا!$B$3:$D$107,2,FALSE)</f>
        <v>#N/A</v>
      </c>
      <c r="D21" s="34" t="e">
        <f>VLOOKUP(B21,داتا!$B$3:$D$107,3,FALSE)</f>
        <v>#N/A</v>
      </c>
      <c r="E21" s="15"/>
      <c r="F21" s="15"/>
      <c r="G21" s="16">
        <v>0.25</v>
      </c>
      <c r="H21" s="16"/>
      <c r="I21" s="16">
        <f t="shared" si="1"/>
        <v>-0.25</v>
      </c>
      <c r="J21" s="16"/>
      <c r="K21" s="16"/>
      <c r="L21" s="16"/>
      <c r="M21" s="16"/>
      <c r="N21" s="16">
        <f t="shared" si="2"/>
        <v>0</v>
      </c>
      <c r="O21" s="16" t="e">
        <f t="shared" si="3"/>
        <v>#N/A</v>
      </c>
      <c r="P21" s="16">
        <v>6.9444444444444397E-3</v>
      </c>
      <c r="Q21" s="16"/>
      <c r="R21" s="16">
        <f t="shared" si="4"/>
        <v>-6.9444444444444397E-3</v>
      </c>
      <c r="S21" s="16"/>
      <c r="T21" s="16" t="e">
        <f>VLOOKUP(E21,'[2]21-3-2026'!E$3:T$35,16,FALSE)</f>
        <v>#N/A</v>
      </c>
      <c r="U21" s="16"/>
      <c r="V21" s="16" t="e">
        <f t="shared" si="5"/>
        <v>#N/A</v>
      </c>
      <c r="W21" s="16"/>
      <c r="X21" s="16"/>
      <c r="Y21" s="16"/>
      <c r="Z21" s="16">
        <f t="shared" si="6"/>
        <v>0</v>
      </c>
      <c r="AA21" s="16">
        <f t="shared" si="0"/>
        <v>0</v>
      </c>
      <c r="AB21" s="16"/>
      <c r="AC21" s="17"/>
      <c r="AD21" s="48"/>
    </row>
    <row r="22" spans="1:30" ht="19.5" thickBot="1" x14ac:dyDescent="0.3">
      <c r="A22" s="14">
        <v>20</v>
      </c>
      <c r="B22" s="15"/>
      <c r="C22" s="15" t="e">
        <f>VLOOKUP(B22,داتا!$B$3:$D$107,2,FALSE)</f>
        <v>#N/A</v>
      </c>
      <c r="D22" s="34" t="e">
        <f>VLOOKUP(B22,داتا!$B$3:$D$107,3,FALSE)</f>
        <v>#N/A</v>
      </c>
      <c r="E22" s="15"/>
      <c r="F22" s="15"/>
      <c r="G22" s="16">
        <v>0.25</v>
      </c>
      <c r="H22" s="16"/>
      <c r="I22" s="16">
        <f t="shared" si="1"/>
        <v>-0.25</v>
      </c>
      <c r="J22" s="16"/>
      <c r="K22" s="16"/>
      <c r="L22" s="16"/>
      <c r="M22" s="16"/>
      <c r="N22" s="16">
        <f t="shared" si="2"/>
        <v>0</v>
      </c>
      <c r="O22" s="16" t="e">
        <f t="shared" si="3"/>
        <v>#N/A</v>
      </c>
      <c r="P22" s="16">
        <v>6.9444444444444397E-3</v>
      </c>
      <c r="Q22" s="16"/>
      <c r="R22" s="16">
        <f t="shared" si="4"/>
        <v>-6.9444444444444397E-3</v>
      </c>
      <c r="S22" s="16"/>
      <c r="T22" s="16" t="e">
        <f>VLOOKUP(E22,'[2]21-3-2026'!E$3:T$35,16,FALSE)</f>
        <v>#N/A</v>
      </c>
      <c r="U22" s="16"/>
      <c r="V22" s="16" t="e">
        <f t="shared" si="5"/>
        <v>#N/A</v>
      </c>
      <c r="W22" s="16"/>
      <c r="X22" s="16"/>
      <c r="Y22" s="16"/>
      <c r="Z22" s="16">
        <f t="shared" si="6"/>
        <v>0</v>
      </c>
      <c r="AA22" s="16">
        <f t="shared" si="0"/>
        <v>0</v>
      </c>
      <c r="AB22" s="16"/>
      <c r="AC22" s="17"/>
      <c r="AD22" s="48"/>
    </row>
    <row r="23" spans="1:30" ht="19.5" thickBot="1" x14ac:dyDescent="0.3">
      <c r="A23" s="14">
        <v>21</v>
      </c>
      <c r="B23" s="15"/>
      <c r="C23" s="15" t="e">
        <f>VLOOKUP(B23,داتا!$B$3:$D$107,2,FALSE)</f>
        <v>#N/A</v>
      </c>
      <c r="D23" s="34" t="e">
        <f>VLOOKUP(B23,داتا!$B$3:$D$107,3,FALSE)</f>
        <v>#N/A</v>
      </c>
      <c r="E23" s="15"/>
      <c r="F23" s="15"/>
      <c r="G23" s="16">
        <v>0.25</v>
      </c>
      <c r="H23" s="16"/>
      <c r="I23" s="16">
        <f t="shared" si="1"/>
        <v>-0.25</v>
      </c>
      <c r="J23" s="16"/>
      <c r="K23" s="16"/>
      <c r="L23" s="16"/>
      <c r="M23" s="16"/>
      <c r="N23" s="16">
        <f t="shared" si="2"/>
        <v>0</v>
      </c>
      <c r="O23" s="16" t="e">
        <f t="shared" si="3"/>
        <v>#N/A</v>
      </c>
      <c r="P23" s="16">
        <v>6.9444444444444397E-3</v>
      </c>
      <c r="Q23" s="16"/>
      <c r="R23" s="16">
        <f t="shared" si="4"/>
        <v>-6.9444444444444397E-3</v>
      </c>
      <c r="S23" s="16"/>
      <c r="T23" s="16" t="e">
        <f>VLOOKUP(E23,'[2]21-3-2026'!E$3:T$35,16,FALSE)</f>
        <v>#N/A</v>
      </c>
      <c r="U23" s="16"/>
      <c r="V23" s="16" t="e">
        <f t="shared" si="5"/>
        <v>#N/A</v>
      </c>
      <c r="W23" s="16"/>
      <c r="X23" s="16"/>
      <c r="Y23" s="16"/>
      <c r="Z23" s="16">
        <f t="shared" si="6"/>
        <v>0</v>
      </c>
      <c r="AA23" s="16">
        <f t="shared" si="0"/>
        <v>0</v>
      </c>
      <c r="AB23" s="16"/>
      <c r="AC23" s="17"/>
      <c r="AD23" s="48"/>
    </row>
    <row r="24" spans="1:30" ht="19.5" thickBot="1" x14ac:dyDescent="0.3">
      <c r="A24" s="14">
        <v>22</v>
      </c>
      <c r="B24" s="15"/>
      <c r="C24" s="15" t="e">
        <f>VLOOKUP(B24,داتا!$B$3:$D$107,2,FALSE)</f>
        <v>#N/A</v>
      </c>
      <c r="D24" s="34" t="e">
        <f>VLOOKUP(B24,داتا!$B$3:$D$107,3,FALSE)</f>
        <v>#N/A</v>
      </c>
      <c r="E24" s="15"/>
      <c r="F24" s="16"/>
      <c r="G24" s="16">
        <v>0.25</v>
      </c>
      <c r="H24" s="16"/>
      <c r="I24" s="16">
        <f t="shared" si="1"/>
        <v>-0.25</v>
      </c>
      <c r="J24" s="16"/>
      <c r="K24" s="16"/>
      <c r="L24" s="16"/>
      <c r="M24" s="16"/>
      <c r="N24" s="16">
        <f t="shared" si="2"/>
        <v>0</v>
      </c>
      <c r="O24" s="16" t="e">
        <f t="shared" si="3"/>
        <v>#N/A</v>
      </c>
      <c r="P24" s="16">
        <v>6.9444444444444397E-3</v>
      </c>
      <c r="Q24" s="16"/>
      <c r="R24" s="16">
        <f t="shared" si="4"/>
        <v>-6.9444444444444397E-3</v>
      </c>
      <c r="S24" s="16"/>
      <c r="T24" s="16" t="e">
        <f>VLOOKUP(E24,'[2]21-3-2026'!E$3:T$35,16,FALSE)</f>
        <v>#N/A</v>
      </c>
      <c r="U24" s="16"/>
      <c r="V24" s="16" t="e">
        <f t="shared" si="5"/>
        <v>#N/A</v>
      </c>
      <c r="W24" s="16"/>
      <c r="X24" s="16"/>
      <c r="Y24" s="16"/>
      <c r="Z24" s="16">
        <f t="shared" si="6"/>
        <v>0</v>
      </c>
      <c r="AA24" s="16">
        <f t="shared" si="0"/>
        <v>0</v>
      </c>
      <c r="AB24" s="16"/>
      <c r="AC24" s="17"/>
      <c r="AD24" s="48"/>
    </row>
    <row r="25" spans="1:30" ht="19.5" thickBot="1" x14ac:dyDescent="0.3">
      <c r="A25" s="14">
        <v>23</v>
      </c>
      <c r="B25" s="15"/>
      <c r="C25" s="15" t="e">
        <f>VLOOKUP(B25,داتا!$B$3:$D$107,2,FALSE)</f>
        <v>#N/A</v>
      </c>
      <c r="D25" s="34" t="e">
        <f>VLOOKUP(B25,داتا!$B$3:$D$107,3,FALSE)</f>
        <v>#N/A</v>
      </c>
      <c r="E25" s="15"/>
      <c r="F25" s="15"/>
      <c r="G25" s="16">
        <v>0.25</v>
      </c>
      <c r="H25" s="16"/>
      <c r="I25" s="16">
        <f t="shared" si="1"/>
        <v>-0.25</v>
      </c>
      <c r="J25" s="16"/>
      <c r="K25" s="16"/>
      <c r="L25" s="16"/>
      <c r="M25" s="16"/>
      <c r="N25" s="16">
        <f t="shared" si="2"/>
        <v>0</v>
      </c>
      <c r="O25" s="16" t="e">
        <f t="shared" si="3"/>
        <v>#N/A</v>
      </c>
      <c r="P25" s="16">
        <v>6.9444444444444397E-3</v>
      </c>
      <c r="Q25" s="16"/>
      <c r="R25" s="16">
        <f t="shared" si="4"/>
        <v>-6.9444444444444397E-3</v>
      </c>
      <c r="S25" s="16"/>
      <c r="T25" s="16" t="e">
        <f>VLOOKUP(E25,'[2]21-3-2026'!E$3:T$35,16,FALSE)</f>
        <v>#N/A</v>
      </c>
      <c r="U25" s="16"/>
      <c r="V25" s="16" t="e">
        <f t="shared" si="5"/>
        <v>#N/A</v>
      </c>
      <c r="W25" s="16"/>
      <c r="X25" s="16"/>
      <c r="Y25" s="16"/>
      <c r="Z25" s="16">
        <f t="shared" si="6"/>
        <v>0</v>
      </c>
      <c r="AA25" s="16">
        <f t="shared" si="0"/>
        <v>0</v>
      </c>
      <c r="AB25" s="16"/>
      <c r="AC25" s="19"/>
      <c r="AD25" s="48"/>
    </row>
    <row r="26" spans="1:30" ht="19.5" thickBot="1" x14ac:dyDescent="0.3">
      <c r="A26" s="14">
        <v>24</v>
      </c>
      <c r="B26" s="15"/>
      <c r="C26" s="15" t="e">
        <f>VLOOKUP(B26,داتا!$B$3:$D$107,2,FALSE)</f>
        <v>#N/A</v>
      </c>
      <c r="D26" s="34" t="e">
        <f>VLOOKUP(B26,داتا!$B$3:$D$107,3,FALSE)</f>
        <v>#N/A</v>
      </c>
      <c r="E26" s="15"/>
      <c r="F26" s="15"/>
      <c r="G26" s="16">
        <v>0.25</v>
      </c>
      <c r="H26" s="16"/>
      <c r="I26" s="16">
        <f t="shared" si="1"/>
        <v>-0.25</v>
      </c>
      <c r="J26" s="16"/>
      <c r="K26" s="16"/>
      <c r="L26" s="16"/>
      <c r="M26" s="16"/>
      <c r="N26" s="16">
        <f t="shared" si="2"/>
        <v>0</v>
      </c>
      <c r="O26" s="16" t="e">
        <f t="shared" si="3"/>
        <v>#N/A</v>
      </c>
      <c r="P26" s="16">
        <v>6.9444444444444397E-3</v>
      </c>
      <c r="Q26" s="16"/>
      <c r="R26" s="16">
        <f t="shared" si="4"/>
        <v>-6.9444444444444397E-3</v>
      </c>
      <c r="S26" s="16"/>
      <c r="T26" s="16" t="e">
        <f>VLOOKUP(E26,'[2]21-3-2026'!E$3:T$35,16,FALSE)</f>
        <v>#N/A</v>
      </c>
      <c r="U26" s="16"/>
      <c r="V26" s="16" t="e">
        <f t="shared" si="5"/>
        <v>#N/A</v>
      </c>
      <c r="W26" s="16"/>
      <c r="X26" s="16"/>
      <c r="Y26" s="16"/>
      <c r="Z26" s="16">
        <f t="shared" si="6"/>
        <v>0</v>
      </c>
      <c r="AA26" s="16">
        <f t="shared" si="0"/>
        <v>0</v>
      </c>
      <c r="AB26" s="16"/>
      <c r="AC26" s="19"/>
      <c r="AD26" s="48"/>
    </row>
    <row r="27" spans="1:30" ht="19.5" thickBot="1" x14ac:dyDescent="0.3">
      <c r="A27" s="14">
        <v>25</v>
      </c>
      <c r="B27" s="15"/>
      <c r="C27" s="15" t="e">
        <f>VLOOKUP(B27,داتا!$B$3:$D$107,2,FALSE)</f>
        <v>#N/A</v>
      </c>
      <c r="D27" s="34" t="e">
        <f>VLOOKUP(B27,داتا!$B$3:$D$107,3,FALSE)</f>
        <v>#N/A</v>
      </c>
      <c r="E27" s="15"/>
      <c r="F27" s="15"/>
      <c r="G27" s="16">
        <v>0.25</v>
      </c>
      <c r="H27" s="16"/>
      <c r="I27" s="16">
        <f t="shared" si="1"/>
        <v>-0.25</v>
      </c>
      <c r="J27" s="16"/>
      <c r="K27" s="16"/>
      <c r="L27" s="16"/>
      <c r="M27" s="16"/>
      <c r="N27" s="16">
        <f t="shared" si="2"/>
        <v>0</v>
      </c>
      <c r="O27" s="16" t="e">
        <f t="shared" si="3"/>
        <v>#N/A</v>
      </c>
      <c r="P27" s="16">
        <v>6.9444444444444397E-3</v>
      </c>
      <c r="Q27" s="16"/>
      <c r="R27" s="16">
        <f t="shared" si="4"/>
        <v>-6.9444444444444397E-3</v>
      </c>
      <c r="S27" s="16"/>
      <c r="T27" s="16" t="e">
        <f>VLOOKUP(E27,'[2]21-3-2026'!E$3:T$35,16,FALSE)</f>
        <v>#N/A</v>
      </c>
      <c r="U27" s="16"/>
      <c r="V27" s="16" t="e">
        <f t="shared" si="5"/>
        <v>#N/A</v>
      </c>
      <c r="W27" s="16"/>
      <c r="X27" s="16"/>
      <c r="Y27" s="16"/>
      <c r="Z27" s="16">
        <f t="shared" si="6"/>
        <v>0</v>
      </c>
      <c r="AA27" s="16">
        <f t="shared" si="0"/>
        <v>0</v>
      </c>
      <c r="AB27" s="16"/>
      <c r="AC27" s="19"/>
      <c r="AD27" s="48"/>
    </row>
    <row r="28" spans="1:30" ht="19.5" thickBot="1" x14ac:dyDescent="0.3">
      <c r="A28" s="14">
        <v>26</v>
      </c>
      <c r="B28" s="15"/>
      <c r="C28" s="15" t="e">
        <f>VLOOKUP(B28,داتا!$B$3:$D$107,2,FALSE)</f>
        <v>#N/A</v>
      </c>
      <c r="D28" s="34" t="e">
        <f>VLOOKUP(B28,داتا!$B$3:$D$107,3,FALSE)</f>
        <v>#N/A</v>
      </c>
      <c r="E28" s="15"/>
      <c r="F28" s="15"/>
      <c r="G28" s="16">
        <v>0.25</v>
      </c>
      <c r="H28" s="16"/>
      <c r="I28" s="16">
        <f t="shared" si="1"/>
        <v>-0.25</v>
      </c>
      <c r="J28" s="16"/>
      <c r="K28" s="16"/>
      <c r="L28" s="16"/>
      <c r="M28" s="16"/>
      <c r="N28" s="16">
        <f t="shared" si="2"/>
        <v>0</v>
      </c>
      <c r="O28" s="16" t="e">
        <f t="shared" si="3"/>
        <v>#N/A</v>
      </c>
      <c r="P28" s="16">
        <v>6.9444444444444397E-3</v>
      </c>
      <c r="Q28" s="16"/>
      <c r="R28" s="16">
        <f t="shared" si="4"/>
        <v>-6.9444444444444397E-3</v>
      </c>
      <c r="S28" s="16"/>
      <c r="T28" s="16" t="e">
        <f>VLOOKUP(E28,'[2]21-3-2026'!E$3:T$35,16,FALSE)</f>
        <v>#N/A</v>
      </c>
      <c r="U28" s="16"/>
      <c r="V28" s="16" t="e">
        <f t="shared" si="5"/>
        <v>#N/A</v>
      </c>
      <c r="W28" s="16"/>
      <c r="X28" s="16"/>
      <c r="Y28" s="16"/>
      <c r="Z28" s="16">
        <f t="shared" si="6"/>
        <v>0</v>
      </c>
      <c r="AA28" s="16">
        <f t="shared" si="0"/>
        <v>0</v>
      </c>
      <c r="AB28" s="16"/>
      <c r="AC28" s="17"/>
      <c r="AD28" s="48"/>
    </row>
    <row r="29" spans="1:30" ht="19.5" thickBot="1" x14ac:dyDescent="0.3">
      <c r="A29" s="14">
        <v>27</v>
      </c>
      <c r="B29" s="15"/>
      <c r="C29" s="15" t="e">
        <f>VLOOKUP(B29,داتا!$B$3:$D$107,2,FALSE)</f>
        <v>#N/A</v>
      </c>
      <c r="D29" s="34" t="e">
        <f>VLOOKUP(B29,داتا!$B$3:$D$107,3,FALSE)</f>
        <v>#N/A</v>
      </c>
      <c r="E29" s="15"/>
      <c r="F29" s="15"/>
      <c r="G29" s="16">
        <v>0.25</v>
      </c>
      <c r="H29" s="16"/>
      <c r="I29" s="16">
        <f t="shared" si="1"/>
        <v>-0.25</v>
      </c>
      <c r="J29" s="16"/>
      <c r="K29" s="16"/>
      <c r="L29" s="16"/>
      <c r="M29" s="16"/>
      <c r="N29" s="16">
        <f t="shared" si="2"/>
        <v>0</v>
      </c>
      <c r="O29" s="16" t="e">
        <f t="shared" si="3"/>
        <v>#N/A</v>
      </c>
      <c r="P29" s="16">
        <v>6.9444444444444397E-3</v>
      </c>
      <c r="Q29" s="16"/>
      <c r="R29" s="16">
        <f t="shared" si="4"/>
        <v>-6.9444444444444397E-3</v>
      </c>
      <c r="S29" s="16"/>
      <c r="T29" s="16" t="e">
        <f>VLOOKUP(E29,'[2]21-3-2026'!E$3:T$35,16,FALSE)</f>
        <v>#N/A</v>
      </c>
      <c r="U29" s="16"/>
      <c r="V29" s="16" t="e">
        <f t="shared" si="5"/>
        <v>#N/A</v>
      </c>
      <c r="W29" s="16"/>
      <c r="X29" s="16"/>
      <c r="Y29" s="16"/>
      <c r="Z29" s="16">
        <f t="shared" si="6"/>
        <v>0</v>
      </c>
      <c r="AA29" s="16">
        <f t="shared" si="0"/>
        <v>0</v>
      </c>
      <c r="AB29" s="16"/>
      <c r="AC29" s="18"/>
      <c r="AD29" s="48"/>
    </row>
    <row r="30" spans="1:30" ht="19.5" thickBot="1" x14ac:dyDescent="0.3">
      <c r="A30" s="14">
        <v>28</v>
      </c>
      <c r="B30" s="15"/>
      <c r="C30" s="15" t="e">
        <f>VLOOKUP(B30,داتا!$B$3:$D$107,2,FALSE)</f>
        <v>#N/A</v>
      </c>
      <c r="D30" s="34" t="e">
        <f>VLOOKUP(B30,داتا!$B$3:$D$107,3,FALSE)</f>
        <v>#N/A</v>
      </c>
      <c r="E30" s="15"/>
      <c r="F30" s="15"/>
      <c r="G30" s="16">
        <v>0.25</v>
      </c>
      <c r="H30" s="16"/>
      <c r="I30" s="16">
        <f t="shared" si="1"/>
        <v>-0.25</v>
      </c>
      <c r="J30" s="16"/>
      <c r="K30" s="16"/>
      <c r="L30" s="16"/>
      <c r="M30" s="16"/>
      <c r="N30" s="16">
        <f t="shared" si="2"/>
        <v>0</v>
      </c>
      <c r="O30" s="16" t="e">
        <f t="shared" si="3"/>
        <v>#N/A</v>
      </c>
      <c r="P30" s="16">
        <v>6.9444444444444397E-3</v>
      </c>
      <c r="Q30" s="16"/>
      <c r="R30" s="16">
        <f t="shared" si="4"/>
        <v>-6.9444444444444397E-3</v>
      </c>
      <c r="S30" s="16"/>
      <c r="T30" s="16" t="e">
        <f>VLOOKUP(E30,'[2]21-3-2026'!E$3:T$35,16,FALSE)</f>
        <v>#N/A</v>
      </c>
      <c r="U30" s="16"/>
      <c r="V30" s="16" t="e">
        <f t="shared" si="5"/>
        <v>#N/A</v>
      </c>
      <c r="W30" s="16"/>
      <c r="X30" s="16"/>
      <c r="Y30" s="16"/>
      <c r="Z30" s="16">
        <f t="shared" si="6"/>
        <v>0</v>
      </c>
      <c r="AA30" s="16">
        <f t="shared" si="0"/>
        <v>0</v>
      </c>
      <c r="AB30" s="16"/>
      <c r="AC30" s="17"/>
      <c r="AD30" s="48"/>
    </row>
    <row r="31" spans="1:30" ht="19.5" thickBot="1" x14ac:dyDescent="0.3">
      <c r="A31" s="14">
        <v>29</v>
      </c>
      <c r="B31" s="15"/>
      <c r="C31" s="15" t="e">
        <f>VLOOKUP(B31,داتا!$B$3:$D$107,2,FALSE)</f>
        <v>#N/A</v>
      </c>
      <c r="D31" s="34" t="e">
        <f>VLOOKUP(B31,داتا!$B$3:$D$107,3,FALSE)</f>
        <v>#N/A</v>
      </c>
      <c r="E31" s="15"/>
      <c r="F31" s="15"/>
      <c r="G31" s="16">
        <v>0.25</v>
      </c>
      <c r="H31" s="16"/>
      <c r="I31" s="16">
        <f t="shared" si="1"/>
        <v>-0.25</v>
      </c>
      <c r="J31" s="16"/>
      <c r="K31" s="16"/>
      <c r="L31" s="16"/>
      <c r="M31" s="16"/>
      <c r="N31" s="16">
        <f t="shared" si="2"/>
        <v>0</v>
      </c>
      <c r="O31" s="16" t="e">
        <f t="shared" si="3"/>
        <v>#N/A</v>
      </c>
      <c r="P31" s="16">
        <v>6.9444444444444397E-3</v>
      </c>
      <c r="Q31" s="16"/>
      <c r="R31" s="16">
        <f t="shared" si="4"/>
        <v>-6.9444444444444397E-3</v>
      </c>
      <c r="S31" s="16"/>
      <c r="T31" s="16" t="e">
        <f>VLOOKUP(E31,'[2]21-3-2026'!E$3:T$35,16,FALSE)</f>
        <v>#N/A</v>
      </c>
      <c r="U31" s="16"/>
      <c r="V31" s="16" t="e">
        <f t="shared" si="5"/>
        <v>#N/A</v>
      </c>
      <c r="W31" s="16"/>
      <c r="X31" s="16"/>
      <c r="Y31" s="16"/>
      <c r="Z31" s="16">
        <f t="shared" si="6"/>
        <v>0</v>
      </c>
      <c r="AA31" s="16">
        <f t="shared" si="0"/>
        <v>0</v>
      </c>
      <c r="AB31" s="16"/>
      <c r="AC31" s="17"/>
      <c r="AD31" s="48"/>
    </row>
    <row r="32" spans="1:30" ht="19.5" thickBot="1" x14ac:dyDescent="0.3">
      <c r="A32" s="14">
        <v>30</v>
      </c>
      <c r="B32" s="15"/>
      <c r="C32" s="15" t="e">
        <f>VLOOKUP(B32,داتا!$B$3:$D$107,2,FALSE)</f>
        <v>#N/A</v>
      </c>
      <c r="D32" s="34" t="e">
        <f>VLOOKUP(B32,داتا!$B$3:$D$107,3,FALSE)</f>
        <v>#N/A</v>
      </c>
      <c r="E32" s="15"/>
      <c r="F32" s="15"/>
      <c r="G32" s="16">
        <v>0.25</v>
      </c>
      <c r="H32" s="16"/>
      <c r="I32" s="16">
        <f t="shared" si="1"/>
        <v>-0.25</v>
      </c>
      <c r="J32" s="16"/>
      <c r="K32" s="16"/>
      <c r="L32" s="16"/>
      <c r="M32" s="16"/>
      <c r="N32" s="16">
        <f t="shared" si="2"/>
        <v>0</v>
      </c>
      <c r="O32" s="16" t="e">
        <f t="shared" si="3"/>
        <v>#N/A</v>
      </c>
      <c r="P32" s="16">
        <v>6.9444444444444397E-3</v>
      </c>
      <c r="Q32" s="16"/>
      <c r="R32" s="16">
        <f t="shared" si="4"/>
        <v>-6.9444444444444397E-3</v>
      </c>
      <c r="S32" s="16"/>
      <c r="T32" s="16" t="e">
        <f>VLOOKUP(E32,'[2]21-3-2026'!E$3:T$35,16,FALSE)</f>
        <v>#N/A</v>
      </c>
      <c r="U32" s="16"/>
      <c r="V32" s="16" t="e">
        <f t="shared" si="5"/>
        <v>#N/A</v>
      </c>
      <c r="W32" s="16"/>
      <c r="X32" s="16"/>
      <c r="Y32" s="16"/>
      <c r="Z32" s="16">
        <f t="shared" si="6"/>
        <v>0</v>
      </c>
      <c r="AA32" s="16">
        <f t="shared" si="0"/>
        <v>0</v>
      </c>
      <c r="AB32" s="16"/>
      <c r="AC32" s="17"/>
      <c r="AD32" s="48"/>
    </row>
    <row r="33" spans="1:30" ht="19.5" thickBot="1" x14ac:dyDescent="0.3">
      <c r="A33" s="14">
        <v>31</v>
      </c>
      <c r="B33" s="15"/>
      <c r="C33" s="15" t="e">
        <f>VLOOKUP(B33,داتا!$B$3:$D$107,2,FALSE)</f>
        <v>#N/A</v>
      </c>
      <c r="D33" s="34" t="e">
        <f>VLOOKUP(B33,داتا!$B$3:$D$107,3,FALSE)</f>
        <v>#N/A</v>
      </c>
      <c r="E33" s="15"/>
      <c r="F33" s="15"/>
      <c r="G33" s="16">
        <v>0.25</v>
      </c>
      <c r="H33" s="16"/>
      <c r="I33" s="16">
        <f t="shared" si="1"/>
        <v>-0.25</v>
      </c>
      <c r="J33" s="16"/>
      <c r="K33" s="16"/>
      <c r="L33" s="16"/>
      <c r="M33" s="16"/>
      <c r="N33" s="16">
        <f t="shared" si="2"/>
        <v>0</v>
      </c>
      <c r="O33" s="16" t="e">
        <f t="shared" si="3"/>
        <v>#N/A</v>
      </c>
      <c r="P33" s="16">
        <v>6.9444444444444397E-3</v>
      </c>
      <c r="Q33" s="16"/>
      <c r="R33" s="16">
        <f t="shared" si="4"/>
        <v>-6.9444444444444397E-3</v>
      </c>
      <c r="S33" s="16"/>
      <c r="T33" s="16" t="e">
        <f>VLOOKUP(E33,'[2]21-3-2026'!E$3:T$35,16,FALSE)</f>
        <v>#N/A</v>
      </c>
      <c r="U33" s="16"/>
      <c r="V33" s="16" t="e">
        <f t="shared" si="5"/>
        <v>#N/A</v>
      </c>
      <c r="W33" s="16"/>
      <c r="X33" s="16"/>
      <c r="Y33" s="16"/>
      <c r="Z33" s="16">
        <f t="shared" si="6"/>
        <v>0</v>
      </c>
      <c r="AA33" s="16">
        <f t="shared" si="0"/>
        <v>0</v>
      </c>
      <c r="AB33" s="16"/>
      <c r="AC33" s="17"/>
      <c r="AD33" s="48"/>
    </row>
    <row r="34" spans="1:30" ht="19.5" thickBot="1" x14ac:dyDescent="0.3">
      <c r="A34" s="14">
        <v>32</v>
      </c>
      <c r="B34" s="15"/>
      <c r="C34" s="15" t="e">
        <f>VLOOKUP(B34,داتا!$B$3:$D$107,2,FALSE)</f>
        <v>#N/A</v>
      </c>
      <c r="D34" s="34" t="e">
        <f>VLOOKUP(B34,داتا!$B$3:$D$107,3,FALSE)</f>
        <v>#N/A</v>
      </c>
      <c r="E34" s="15"/>
      <c r="F34" s="15"/>
      <c r="G34" s="16">
        <v>0.25</v>
      </c>
      <c r="H34" s="16"/>
      <c r="I34" s="16">
        <f t="shared" si="1"/>
        <v>-0.25</v>
      </c>
      <c r="J34" s="16"/>
      <c r="K34" s="16"/>
      <c r="L34" s="16"/>
      <c r="M34" s="16"/>
      <c r="N34" s="16">
        <f t="shared" si="2"/>
        <v>0</v>
      </c>
      <c r="O34" s="16" t="e">
        <f t="shared" si="3"/>
        <v>#N/A</v>
      </c>
      <c r="P34" s="16">
        <v>6.9444444444444397E-3</v>
      </c>
      <c r="Q34" s="16"/>
      <c r="R34" s="16">
        <f t="shared" si="4"/>
        <v>-6.9444444444444397E-3</v>
      </c>
      <c r="S34" s="16"/>
      <c r="T34" s="16" t="e">
        <f>VLOOKUP(E34,'[2]21-3-2026'!E$3:T$35,16,FALSE)</f>
        <v>#N/A</v>
      </c>
      <c r="U34" s="16"/>
      <c r="V34" s="16" t="e">
        <f t="shared" si="5"/>
        <v>#N/A</v>
      </c>
      <c r="W34" s="16"/>
      <c r="X34" s="16"/>
      <c r="Y34" s="16"/>
      <c r="Z34" s="16">
        <f t="shared" si="6"/>
        <v>0</v>
      </c>
      <c r="AA34" s="16">
        <f t="shared" si="0"/>
        <v>0</v>
      </c>
      <c r="AB34" s="16"/>
      <c r="AC34" s="17"/>
      <c r="AD34" s="48"/>
    </row>
    <row r="35" spans="1:30" ht="19.5" thickBot="1" x14ac:dyDescent="0.3">
      <c r="A35" s="20">
        <v>33</v>
      </c>
      <c r="B35" s="21"/>
      <c r="C35" s="21" t="e">
        <f>VLOOKUP(B35,داتا!$B$3:$D$107,2,FALSE)</f>
        <v>#N/A</v>
      </c>
      <c r="D35" s="35" t="e">
        <f>VLOOKUP(B35,داتا!$B$3:$D$107,3,FALSE)</f>
        <v>#N/A</v>
      </c>
      <c r="E35" s="21"/>
      <c r="F35" s="21"/>
      <c r="G35" s="22">
        <v>0.25</v>
      </c>
      <c r="H35" s="22"/>
      <c r="I35" s="22">
        <f t="shared" si="1"/>
        <v>-0.25</v>
      </c>
      <c r="J35" s="22"/>
      <c r="K35" s="22"/>
      <c r="L35" s="22"/>
      <c r="M35" s="22"/>
      <c r="N35" s="22">
        <f t="shared" si="2"/>
        <v>0</v>
      </c>
      <c r="O35" s="22" t="e">
        <f t="shared" si="3"/>
        <v>#N/A</v>
      </c>
      <c r="P35" s="22">
        <v>6.9444444444444397E-3</v>
      </c>
      <c r="Q35" s="22"/>
      <c r="R35" s="22">
        <f t="shared" si="4"/>
        <v>-6.9444444444444397E-3</v>
      </c>
      <c r="S35" s="22"/>
      <c r="T35" s="22" t="e">
        <f>VLOOKUP(E35,'[2]21-3-2026'!E$3:T$35,16,FALSE)</f>
        <v>#N/A</v>
      </c>
      <c r="U35" s="22"/>
      <c r="V35" s="22" t="e">
        <f t="shared" si="5"/>
        <v>#N/A</v>
      </c>
      <c r="W35" s="22"/>
      <c r="X35" s="22"/>
      <c r="Y35" s="22"/>
      <c r="Z35" s="22">
        <f t="shared" si="6"/>
        <v>0</v>
      </c>
      <c r="AA35" s="22">
        <f t="shared" si="0"/>
        <v>0</v>
      </c>
      <c r="AB35" s="22"/>
      <c r="AC35" s="23"/>
      <c r="AD35" s="49"/>
    </row>
    <row r="36" spans="1:30" ht="20.25" customHeight="1" thickTop="1" thickBot="1" x14ac:dyDescent="0.3">
      <c r="A36" s="10">
        <v>1</v>
      </c>
      <c r="B36" s="11"/>
      <c r="C36" s="11" t="e">
        <f>VLOOKUP(B36,داتا!$B$3:$D$107,2,FALSE)</f>
        <v>#N/A</v>
      </c>
      <c r="D36" s="33" t="e">
        <f>VLOOKUP(B36,داتا!$B$3:$D$107,3,FALSE)</f>
        <v>#N/A</v>
      </c>
      <c r="E36" s="11"/>
      <c r="F36" s="11"/>
      <c r="G36" s="12">
        <v>0.25</v>
      </c>
      <c r="H36" s="12" t="e">
        <f>VLOOKUP(G36,$F$3:$I$35,2,FALSE)</f>
        <v>#N/A</v>
      </c>
      <c r="I36" s="12" t="e">
        <f t="shared" si="1"/>
        <v>#N/A</v>
      </c>
      <c r="J36" s="12"/>
      <c r="K36" s="12"/>
      <c r="L36" s="12"/>
      <c r="M36" s="12"/>
      <c r="N36" s="12">
        <f t="shared" si="2"/>
        <v>0</v>
      </c>
      <c r="O36" s="12" t="e">
        <f t="shared" si="3"/>
        <v>#N/A</v>
      </c>
      <c r="P36" s="12">
        <v>6.9444444444444397E-3</v>
      </c>
      <c r="Q36" s="12"/>
      <c r="R36" s="12">
        <f t="shared" si="4"/>
        <v>-6.9444444444444397E-3</v>
      </c>
      <c r="S36" s="12"/>
      <c r="T36" s="12" t="e">
        <f>VLOOKUP(E36,'[2]21-3-2026'!E$3:T$35,16,FALSE)</f>
        <v>#N/A</v>
      </c>
      <c r="U36" s="12"/>
      <c r="V36" s="12" t="e">
        <f t="shared" si="5"/>
        <v>#N/A</v>
      </c>
      <c r="W36" s="12"/>
      <c r="X36" s="12"/>
      <c r="Y36" s="12"/>
      <c r="Z36" s="12">
        <f t="shared" si="6"/>
        <v>0</v>
      </c>
      <c r="AA36" s="12">
        <f t="shared" si="0"/>
        <v>0</v>
      </c>
      <c r="AB36" s="12"/>
      <c r="AC36" s="29"/>
      <c r="AD36" s="50" t="s">
        <v>104</v>
      </c>
    </row>
    <row r="37" spans="1:30" ht="19.5" thickBot="1" x14ac:dyDescent="0.3">
      <c r="A37" s="14">
        <v>2</v>
      </c>
      <c r="B37" s="15"/>
      <c r="C37" s="15" t="e">
        <f>VLOOKUP(B37,داتا!$B$3:$D$107,2,FALSE)</f>
        <v>#N/A</v>
      </c>
      <c r="D37" s="34" t="e">
        <f>VLOOKUP(B37,داتا!$B$3:$D$107,3,FALSE)</f>
        <v>#N/A</v>
      </c>
      <c r="E37" s="15"/>
      <c r="F37" s="15"/>
      <c r="G37" s="16">
        <v>0.25</v>
      </c>
      <c r="H37" s="16" t="e">
        <f t="shared" ref="H37:H52" si="7">VLOOKUP(G37,$F$3:$I$35,2,FALSE)</f>
        <v>#N/A</v>
      </c>
      <c r="I37" s="16" t="e">
        <f t="shared" si="1"/>
        <v>#N/A</v>
      </c>
      <c r="J37" s="16"/>
      <c r="K37" s="16"/>
      <c r="L37" s="16"/>
      <c r="M37" s="16"/>
      <c r="N37" s="16">
        <f t="shared" si="2"/>
        <v>0</v>
      </c>
      <c r="O37" s="16" t="e">
        <f t="shared" si="3"/>
        <v>#N/A</v>
      </c>
      <c r="P37" s="16">
        <v>6.9444444444444397E-3</v>
      </c>
      <c r="Q37" s="16"/>
      <c r="R37" s="16">
        <f t="shared" si="4"/>
        <v>-6.9444444444444397E-3</v>
      </c>
      <c r="S37" s="16"/>
      <c r="T37" s="16" t="e">
        <f>VLOOKUP(E37,'[2]21-3-2026'!E$3:T$35,16,FALSE)</f>
        <v>#N/A</v>
      </c>
      <c r="U37" s="16"/>
      <c r="V37" s="16" t="e">
        <f t="shared" si="5"/>
        <v>#N/A</v>
      </c>
      <c r="W37" s="16"/>
      <c r="X37" s="16"/>
      <c r="Y37" s="16"/>
      <c r="Z37" s="16">
        <f t="shared" si="6"/>
        <v>0</v>
      </c>
      <c r="AA37" s="16">
        <f t="shared" si="0"/>
        <v>0</v>
      </c>
      <c r="AB37" s="16"/>
      <c r="AC37" s="19"/>
      <c r="AD37" s="51"/>
    </row>
    <row r="38" spans="1:30" ht="19.5" thickBot="1" x14ac:dyDescent="0.3">
      <c r="A38" s="14">
        <v>3</v>
      </c>
      <c r="B38" s="15"/>
      <c r="C38" s="15" t="e">
        <f>VLOOKUP(B38,داتا!$B$3:$D$107,2,FALSE)</f>
        <v>#N/A</v>
      </c>
      <c r="D38" s="34" t="e">
        <f>VLOOKUP(B38,داتا!$B$3:$D$107,3,FALSE)</f>
        <v>#N/A</v>
      </c>
      <c r="E38" s="15"/>
      <c r="F38" s="15"/>
      <c r="G38" s="16">
        <v>0.25</v>
      </c>
      <c r="H38" s="16" t="e">
        <f t="shared" si="7"/>
        <v>#N/A</v>
      </c>
      <c r="I38" s="16" t="e">
        <f t="shared" si="1"/>
        <v>#N/A</v>
      </c>
      <c r="J38" s="16"/>
      <c r="K38" s="16"/>
      <c r="L38" s="16"/>
      <c r="M38" s="16"/>
      <c r="N38" s="16">
        <f t="shared" si="2"/>
        <v>0</v>
      </c>
      <c r="O38" s="16" t="e">
        <f t="shared" si="3"/>
        <v>#N/A</v>
      </c>
      <c r="P38" s="16">
        <v>6.9444444444444397E-3</v>
      </c>
      <c r="Q38" s="16"/>
      <c r="R38" s="16">
        <f t="shared" si="4"/>
        <v>-6.9444444444444397E-3</v>
      </c>
      <c r="S38" s="16"/>
      <c r="T38" s="16" t="e">
        <f>VLOOKUP(E38,'[2]21-3-2026'!E$3:T$35,16,FALSE)</f>
        <v>#N/A</v>
      </c>
      <c r="U38" s="16"/>
      <c r="V38" s="16" t="e">
        <f t="shared" si="5"/>
        <v>#N/A</v>
      </c>
      <c r="W38" s="16"/>
      <c r="X38" s="16"/>
      <c r="Y38" s="16"/>
      <c r="Z38" s="16">
        <f t="shared" si="6"/>
        <v>0</v>
      </c>
      <c r="AA38" s="16">
        <f t="shared" si="0"/>
        <v>0</v>
      </c>
      <c r="AB38" s="16"/>
      <c r="AC38" s="19"/>
      <c r="AD38" s="51"/>
    </row>
    <row r="39" spans="1:30" ht="19.5" thickBot="1" x14ac:dyDescent="0.3">
      <c r="A39" s="14">
        <v>4</v>
      </c>
      <c r="B39" s="15"/>
      <c r="C39" s="15" t="e">
        <f>VLOOKUP(B39,داتا!$B$3:$D$107,2,FALSE)</f>
        <v>#N/A</v>
      </c>
      <c r="D39" s="34" t="e">
        <f>VLOOKUP(B39,داتا!$B$3:$D$107,3,FALSE)</f>
        <v>#N/A</v>
      </c>
      <c r="E39" s="15"/>
      <c r="F39" s="15"/>
      <c r="G39" s="16">
        <v>0.25</v>
      </c>
      <c r="H39" s="16" t="e">
        <f t="shared" si="7"/>
        <v>#N/A</v>
      </c>
      <c r="I39" s="16" t="e">
        <f t="shared" si="1"/>
        <v>#N/A</v>
      </c>
      <c r="J39" s="16"/>
      <c r="K39" s="16"/>
      <c r="L39" s="16"/>
      <c r="M39" s="16"/>
      <c r="N39" s="16">
        <f t="shared" si="2"/>
        <v>0</v>
      </c>
      <c r="O39" s="16" t="e">
        <f t="shared" si="3"/>
        <v>#N/A</v>
      </c>
      <c r="P39" s="16">
        <v>6.9444444444444397E-3</v>
      </c>
      <c r="Q39" s="16"/>
      <c r="R39" s="16">
        <f t="shared" si="4"/>
        <v>-6.9444444444444397E-3</v>
      </c>
      <c r="S39" s="16"/>
      <c r="T39" s="16" t="e">
        <f>VLOOKUP(E39,'[2]21-3-2026'!E$3:T$35,16,FALSE)</f>
        <v>#N/A</v>
      </c>
      <c r="U39" s="16"/>
      <c r="V39" s="16" t="e">
        <f t="shared" si="5"/>
        <v>#N/A</v>
      </c>
      <c r="W39" s="16"/>
      <c r="X39" s="16"/>
      <c r="Y39" s="16"/>
      <c r="Z39" s="16">
        <f t="shared" si="6"/>
        <v>0</v>
      </c>
      <c r="AA39" s="16">
        <f t="shared" si="0"/>
        <v>0</v>
      </c>
      <c r="AB39" s="16"/>
      <c r="AC39" s="17"/>
      <c r="AD39" s="51"/>
    </row>
    <row r="40" spans="1:30" ht="19.5" thickBot="1" x14ac:dyDescent="0.3">
      <c r="A40" s="14">
        <v>5</v>
      </c>
      <c r="B40" s="15"/>
      <c r="C40" s="15" t="e">
        <f>VLOOKUP(B40,داتا!$B$3:$D$107,2,FALSE)</f>
        <v>#N/A</v>
      </c>
      <c r="D40" s="34" t="e">
        <f>VLOOKUP(B40,داتا!$B$3:$D$107,3,FALSE)</f>
        <v>#N/A</v>
      </c>
      <c r="E40" s="15"/>
      <c r="F40" s="15"/>
      <c r="G40" s="16">
        <v>0.25</v>
      </c>
      <c r="H40" s="16" t="e">
        <f t="shared" si="7"/>
        <v>#N/A</v>
      </c>
      <c r="I40" s="16" t="e">
        <f t="shared" si="1"/>
        <v>#N/A</v>
      </c>
      <c r="J40" s="16"/>
      <c r="K40" s="16"/>
      <c r="L40" s="16"/>
      <c r="M40" s="16"/>
      <c r="N40" s="16">
        <f t="shared" si="2"/>
        <v>0</v>
      </c>
      <c r="O40" s="16" t="e">
        <f t="shared" si="3"/>
        <v>#N/A</v>
      </c>
      <c r="P40" s="16">
        <v>6.9444444444444397E-3</v>
      </c>
      <c r="Q40" s="16"/>
      <c r="R40" s="16">
        <f t="shared" si="4"/>
        <v>-6.9444444444444397E-3</v>
      </c>
      <c r="S40" s="16"/>
      <c r="T40" s="16" t="e">
        <f>VLOOKUP(E40,'[2]21-3-2026'!E$3:T$35,16,FALSE)</f>
        <v>#N/A</v>
      </c>
      <c r="U40" s="16"/>
      <c r="V40" s="16" t="e">
        <f t="shared" si="5"/>
        <v>#N/A</v>
      </c>
      <c r="W40" s="16"/>
      <c r="X40" s="16"/>
      <c r="Y40" s="16"/>
      <c r="Z40" s="16">
        <f t="shared" si="6"/>
        <v>0</v>
      </c>
      <c r="AA40" s="16">
        <f t="shared" si="0"/>
        <v>0</v>
      </c>
      <c r="AB40" s="16"/>
      <c r="AC40" s="17"/>
      <c r="AD40" s="51"/>
    </row>
    <row r="41" spans="1:30" ht="19.5" thickBot="1" x14ac:dyDescent="0.3">
      <c r="A41" s="14">
        <v>6</v>
      </c>
      <c r="B41" s="15"/>
      <c r="C41" s="15" t="e">
        <f>VLOOKUP(B41,داتا!$B$3:$D$107,2,FALSE)</f>
        <v>#N/A</v>
      </c>
      <c r="D41" s="34" t="e">
        <f>VLOOKUP(B41,داتا!$B$3:$D$107,3,FALSE)</f>
        <v>#N/A</v>
      </c>
      <c r="E41" s="15"/>
      <c r="F41" s="15"/>
      <c r="G41" s="16">
        <v>0.25</v>
      </c>
      <c r="H41" s="16" t="e">
        <f t="shared" si="7"/>
        <v>#N/A</v>
      </c>
      <c r="I41" s="16" t="e">
        <f t="shared" si="1"/>
        <v>#N/A</v>
      </c>
      <c r="J41" s="16"/>
      <c r="K41" s="16"/>
      <c r="L41" s="16"/>
      <c r="M41" s="16"/>
      <c r="N41" s="16">
        <f t="shared" si="2"/>
        <v>0</v>
      </c>
      <c r="O41" s="16" t="e">
        <f t="shared" si="3"/>
        <v>#N/A</v>
      </c>
      <c r="P41" s="16">
        <v>6.9444444444444397E-3</v>
      </c>
      <c r="Q41" s="16"/>
      <c r="R41" s="16">
        <f t="shared" si="4"/>
        <v>-6.9444444444444397E-3</v>
      </c>
      <c r="S41" s="16"/>
      <c r="T41" s="16" t="e">
        <f>VLOOKUP(E41,'[2]21-3-2026'!E$3:T$35,16,FALSE)</f>
        <v>#N/A</v>
      </c>
      <c r="U41" s="16"/>
      <c r="V41" s="16" t="e">
        <f t="shared" si="5"/>
        <v>#N/A</v>
      </c>
      <c r="W41" s="16"/>
      <c r="X41" s="16"/>
      <c r="Y41" s="16"/>
      <c r="Z41" s="16">
        <f t="shared" si="6"/>
        <v>0</v>
      </c>
      <c r="AA41" s="16">
        <f t="shared" si="0"/>
        <v>0</v>
      </c>
      <c r="AB41" s="16"/>
      <c r="AC41" s="17"/>
      <c r="AD41" s="51"/>
    </row>
    <row r="42" spans="1:30" ht="19.5" thickBot="1" x14ac:dyDescent="0.3">
      <c r="A42" s="14">
        <v>7</v>
      </c>
      <c r="B42" s="15"/>
      <c r="C42" s="15" t="e">
        <f>VLOOKUP(B42,داتا!$B$3:$D$107,2,FALSE)</f>
        <v>#N/A</v>
      </c>
      <c r="D42" s="34" t="e">
        <f>VLOOKUP(B42,داتا!$B$3:$D$107,3,FALSE)</f>
        <v>#N/A</v>
      </c>
      <c r="E42" s="15"/>
      <c r="F42" s="15"/>
      <c r="G42" s="16">
        <v>0.25</v>
      </c>
      <c r="H42" s="16" t="e">
        <f t="shared" si="7"/>
        <v>#N/A</v>
      </c>
      <c r="I42" s="16" t="e">
        <f t="shared" si="1"/>
        <v>#N/A</v>
      </c>
      <c r="J42" s="16"/>
      <c r="K42" s="16"/>
      <c r="L42" s="16"/>
      <c r="M42" s="16"/>
      <c r="N42" s="16">
        <f t="shared" si="2"/>
        <v>0</v>
      </c>
      <c r="O42" s="16" t="e">
        <f t="shared" si="3"/>
        <v>#N/A</v>
      </c>
      <c r="P42" s="16">
        <v>6.9444444444444397E-3</v>
      </c>
      <c r="Q42" s="16"/>
      <c r="R42" s="16">
        <f t="shared" si="4"/>
        <v>-6.9444444444444397E-3</v>
      </c>
      <c r="S42" s="16"/>
      <c r="T42" s="16" t="e">
        <f>VLOOKUP(E42,'[2]21-3-2026'!E$3:T$35,16,FALSE)</f>
        <v>#N/A</v>
      </c>
      <c r="U42" s="16"/>
      <c r="V42" s="16" t="e">
        <f t="shared" si="5"/>
        <v>#N/A</v>
      </c>
      <c r="W42" s="16"/>
      <c r="X42" s="16"/>
      <c r="Y42" s="16"/>
      <c r="Z42" s="16">
        <f t="shared" si="6"/>
        <v>0</v>
      </c>
      <c r="AA42" s="16">
        <f t="shared" si="0"/>
        <v>0</v>
      </c>
      <c r="AB42" s="16"/>
      <c r="AC42" s="17"/>
      <c r="AD42" s="51"/>
    </row>
    <row r="43" spans="1:30" ht="19.5" thickBot="1" x14ac:dyDescent="0.3">
      <c r="A43" s="14">
        <v>8</v>
      </c>
      <c r="B43" s="15"/>
      <c r="C43" s="15" t="e">
        <f>VLOOKUP(B43,داتا!$B$3:$D$107,2,FALSE)</f>
        <v>#N/A</v>
      </c>
      <c r="D43" s="34" t="e">
        <f>VLOOKUP(B43,داتا!$B$3:$D$107,3,FALSE)</f>
        <v>#N/A</v>
      </c>
      <c r="E43" s="15"/>
      <c r="F43" s="15"/>
      <c r="G43" s="16">
        <v>0.25</v>
      </c>
      <c r="H43" s="16" t="e">
        <f t="shared" si="7"/>
        <v>#N/A</v>
      </c>
      <c r="I43" s="16" t="e">
        <f t="shared" si="1"/>
        <v>#N/A</v>
      </c>
      <c r="J43" s="16"/>
      <c r="K43" s="16"/>
      <c r="L43" s="16"/>
      <c r="M43" s="16"/>
      <c r="N43" s="16">
        <f t="shared" si="2"/>
        <v>0</v>
      </c>
      <c r="O43" s="16" t="e">
        <f t="shared" si="3"/>
        <v>#N/A</v>
      </c>
      <c r="P43" s="16">
        <v>6.9444444444444397E-3</v>
      </c>
      <c r="Q43" s="16"/>
      <c r="R43" s="16">
        <f t="shared" si="4"/>
        <v>-6.9444444444444397E-3</v>
      </c>
      <c r="S43" s="16"/>
      <c r="T43" s="16" t="e">
        <f>VLOOKUP(E43,'[2]21-3-2026'!E$3:T$35,16,FALSE)</f>
        <v>#N/A</v>
      </c>
      <c r="U43" s="16"/>
      <c r="V43" s="16" t="e">
        <f t="shared" si="5"/>
        <v>#N/A</v>
      </c>
      <c r="W43" s="16"/>
      <c r="X43" s="16"/>
      <c r="Y43" s="16"/>
      <c r="Z43" s="16">
        <f t="shared" si="6"/>
        <v>0</v>
      </c>
      <c r="AA43" s="16">
        <f t="shared" si="0"/>
        <v>0</v>
      </c>
      <c r="AB43" s="16"/>
      <c r="AC43" s="17"/>
      <c r="AD43" s="51"/>
    </row>
    <row r="44" spans="1:30" ht="19.5" thickBot="1" x14ac:dyDescent="0.3">
      <c r="A44" s="14">
        <v>9</v>
      </c>
      <c r="B44" s="15"/>
      <c r="C44" s="15" t="e">
        <f>VLOOKUP(B44,داتا!$B$3:$D$107,2,FALSE)</f>
        <v>#N/A</v>
      </c>
      <c r="D44" s="34" t="e">
        <f>VLOOKUP(B44,داتا!$B$3:$D$107,3,FALSE)</f>
        <v>#N/A</v>
      </c>
      <c r="E44" s="15"/>
      <c r="F44" s="15"/>
      <c r="G44" s="16">
        <v>0.25</v>
      </c>
      <c r="H44" s="16" t="e">
        <f t="shared" si="7"/>
        <v>#N/A</v>
      </c>
      <c r="I44" s="16" t="e">
        <f t="shared" si="1"/>
        <v>#N/A</v>
      </c>
      <c r="J44" s="16"/>
      <c r="K44" s="16"/>
      <c r="L44" s="16"/>
      <c r="M44" s="16"/>
      <c r="N44" s="16">
        <f t="shared" si="2"/>
        <v>0</v>
      </c>
      <c r="O44" s="16" t="e">
        <f t="shared" si="3"/>
        <v>#N/A</v>
      </c>
      <c r="P44" s="16">
        <v>6.9444444444444397E-3</v>
      </c>
      <c r="Q44" s="16"/>
      <c r="R44" s="16">
        <f t="shared" si="4"/>
        <v>-6.9444444444444397E-3</v>
      </c>
      <c r="S44" s="16"/>
      <c r="T44" s="16" t="e">
        <f>VLOOKUP(E44,'[2]21-3-2026'!E$3:T$35,16,FALSE)</f>
        <v>#N/A</v>
      </c>
      <c r="U44" s="16"/>
      <c r="V44" s="16" t="e">
        <f t="shared" si="5"/>
        <v>#N/A</v>
      </c>
      <c r="W44" s="16"/>
      <c r="X44" s="16"/>
      <c r="Y44" s="16"/>
      <c r="Z44" s="16">
        <f t="shared" si="6"/>
        <v>0</v>
      </c>
      <c r="AA44" s="16">
        <f t="shared" si="0"/>
        <v>0</v>
      </c>
      <c r="AB44" s="16"/>
      <c r="AC44" s="17"/>
      <c r="AD44" s="51"/>
    </row>
    <row r="45" spans="1:30" ht="19.5" thickBot="1" x14ac:dyDescent="0.3">
      <c r="A45" s="14">
        <v>10</v>
      </c>
      <c r="B45" s="15"/>
      <c r="C45" s="15" t="e">
        <f>VLOOKUP(B45,داتا!$B$3:$D$107,2,FALSE)</f>
        <v>#N/A</v>
      </c>
      <c r="D45" s="34" t="e">
        <f>VLOOKUP(B45,داتا!$B$3:$D$107,3,FALSE)</f>
        <v>#N/A</v>
      </c>
      <c r="E45" s="15"/>
      <c r="F45" s="15"/>
      <c r="G45" s="16">
        <v>0.25</v>
      </c>
      <c r="H45" s="16" t="e">
        <f t="shared" si="7"/>
        <v>#N/A</v>
      </c>
      <c r="I45" s="16" t="e">
        <f t="shared" si="1"/>
        <v>#N/A</v>
      </c>
      <c r="J45" s="16"/>
      <c r="K45" s="16"/>
      <c r="L45" s="16"/>
      <c r="M45" s="16"/>
      <c r="N45" s="16">
        <f t="shared" si="2"/>
        <v>0</v>
      </c>
      <c r="O45" s="16" t="e">
        <f t="shared" si="3"/>
        <v>#N/A</v>
      </c>
      <c r="P45" s="16">
        <v>6.9444444444444397E-3</v>
      </c>
      <c r="Q45" s="16"/>
      <c r="R45" s="16">
        <f t="shared" si="4"/>
        <v>-6.9444444444444397E-3</v>
      </c>
      <c r="S45" s="16"/>
      <c r="T45" s="16" t="e">
        <f>VLOOKUP(E45,'[2]21-3-2026'!E$3:T$35,16,FALSE)</f>
        <v>#N/A</v>
      </c>
      <c r="U45" s="16"/>
      <c r="V45" s="16" t="e">
        <f t="shared" si="5"/>
        <v>#N/A</v>
      </c>
      <c r="W45" s="16"/>
      <c r="X45" s="16"/>
      <c r="Y45" s="16"/>
      <c r="Z45" s="16">
        <f t="shared" si="6"/>
        <v>0</v>
      </c>
      <c r="AA45" s="16">
        <f t="shared" si="0"/>
        <v>0</v>
      </c>
      <c r="AB45" s="16"/>
      <c r="AC45" s="17"/>
      <c r="AD45" s="51"/>
    </row>
    <row r="46" spans="1:30" ht="19.5" thickBot="1" x14ac:dyDescent="0.3">
      <c r="A46" s="14">
        <v>11</v>
      </c>
      <c r="B46" s="15"/>
      <c r="C46" s="15" t="e">
        <f>VLOOKUP(B46,داتا!$B$3:$D$107,2,FALSE)</f>
        <v>#N/A</v>
      </c>
      <c r="D46" s="34" t="e">
        <f>VLOOKUP(B46,داتا!$B$3:$D$107,3,FALSE)</f>
        <v>#N/A</v>
      </c>
      <c r="E46" s="15"/>
      <c r="F46" s="15"/>
      <c r="G46" s="16">
        <v>0.25</v>
      </c>
      <c r="H46" s="16" t="e">
        <f t="shared" si="7"/>
        <v>#N/A</v>
      </c>
      <c r="I46" s="16" t="e">
        <f t="shared" si="1"/>
        <v>#N/A</v>
      </c>
      <c r="J46" s="16"/>
      <c r="K46" s="16"/>
      <c r="L46" s="16"/>
      <c r="M46" s="16"/>
      <c r="N46" s="16">
        <f t="shared" si="2"/>
        <v>0</v>
      </c>
      <c r="O46" s="16" t="e">
        <f t="shared" si="3"/>
        <v>#N/A</v>
      </c>
      <c r="P46" s="16">
        <v>6.9444444444444397E-3</v>
      </c>
      <c r="Q46" s="16"/>
      <c r="R46" s="16">
        <f t="shared" si="4"/>
        <v>-6.9444444444444397E-3</v>
      </c>
      <c r="S46" s="16"/>
      <c r="T46" s="16" t="e">
        <f>VLOOKUP(E46,'[2]21-3-2026'!E$3:T$35,16,FALSE)</f>
        <v>#N/A</v>
      </c>
      <c r="U46" s="16"/>
      <c r="V46" s="16" t="e">
        <f t="shared" si="5"/>
        <v>#N/A</v>
      </c>
      <c r="W46" s="16"/>
      <c r="X46" s="16"/>
      <c r="Y46" s="16"/>
      <c r="Z46" s="16">
        <f t="shared" si="6"/>
        <v>0</v>
      </c>
      <c r="AA46" s="16">
        <f t="shared" si="0"/>
        <v>0</v>
      </c>
      <c r="AB46" s="16"/>
      <c r="AC46" s="17"/>
      <c r="AD46" s="51"/>
    </row>
    <row r="47" spans="1:30" ht="19.5" thickBot="1" x14ac:dyDescent="0.3">
      <c r="A47" s="14">
        <v>12</v>
      </c>
      <c r="B47" s="15"/>
      <c r="C47" s="15" t="e">
        <f>VLOOKUP(B47,داتا!$B$3:$D$107,2,FALSE)</f>
        <v>#N/A</v>
      </c>
      <c r="D47" s="34" t="e">
        <f>VLOOKUP(B47,داتا!$B$3:$D$107,3,FALSE)</f>
        <v>#N/A</v>
      </c>
      <c r="E47" s="15"/>
      <c r="F47" s="15"/>
      <c r="G47" s="16">
        <v>0.25</v>
      </c>
      <c r="H47" s="16" t="e">
        <f t="shared" si="7"/>
        <v>#N/A</v>
      </c>
      <c r="I47" s="16" t="e">
        <f t="shared" si="1"/>
        <v>#N/A</v>
      </c>
      <c r="J47" s="16"/>
      <c r="K47" s="16"/>
      <c r="L47" s="16"/>
      <c r="M47" s="16"/>
      <c r="N47" s="16">
        <f t="shared" si="2"/>
        <v>0</v>
      </c>
      <c r="O47" s="16" t="e">
        <f t="shared" si="3"/>
        <v>#N/A</v>
      </c>
      <c r="P47" s="16">
        <v>6.9444444444444397E-3</v>
      </c>
      <c r="Q47" s="16"/>
      <c r="R47" s="16">
        <f t="shared" si="4"/>
        <v>-6.9444444444444397E-3</v>
      </c>
      <c r="S47" s="16"/>
      <c r="T47" s="16" t="e">
        <f>VLOOKUP(E47,'[2]21-3-2026'!E$3:T$35,16,FALSE)</f>
        <v>#N/A</v>
      </c>
      <c r="U47" s="16"/>
      <c r="V47" s="16" t="e">
        <f t="shared" si="5"/>
        <v>#N/A</v>
      </c>
      <c r="W47" s="16"/>
      <c r="X47" s="16"/>
      <c r="Y47" s="16"/>
      <c r="Z47" s="16">
        <f t="shared" si="6"/>
        <v>0</v>
      </c>
      <c r="AA47" s="16">
        <f t="shared" si="0"/>
        <v>0</v>
      </c>
      <c r="AB47" s="16"/>
      <c r="AC47" s="17"/>
      <c r="AD47" s="51"/>
    </row>
    <row r="48" spans="1:30" ht="19.5" thickBot="1" x14ac:dyDescent="0.3">
      <c r="A48" s="14">
        <v>13</v>
      </c>
      <c r="B48" s="15"/>
      <c r="C48" s="15" t="e">
        <f>VLOOKUP(B48,داتا!$B$3:$D$107,2,FALSE)</f>
        <v>#N/A</v>
      </c>
      <c r="D48" s="34" t="e">
        <f>VLOOKUP(B48,داتا!$B$3:$D$107,3,FALSE)</f>
        <v>#N/A</v>
      </c>
      <c r="E48" s="15"/>
      <c r="F48" s="15"/>
      <c r="G48" s="16">
        <v>0.25</v>
      </c>
      <c r="H48" s="16" t="e">
        <f t="shared" si="7"/>
        <v>#N/A</v>
      </c>
      <c r="I48" s="16" t="e">
        <f t="shared" si="1"/>
        <v>#N/A</v>
      </c>
      <c r="J48" s="16"/>
      <c r="K48" s="16"/>
      <c r="L48" s="16"/>
      <c r="M48" s="16"/>
      <c r="N48" s="16">
        <f t="shared" si="2"/>
        <v>0</v>
      </c>
      <c r="O48" s="16" t="e">
        <f t="shared" si="3"/>
        <v>#N/A</v>
      </c>
      <c r="P48" s="16">
        <v>6.9444444444444397E-3</v>
      </c>
      <c r="Q48" s="16"/>
      <c r="R48" s="16">
        <f t="shared" si="4"/>
        <v>-6.9444444444444397E-3</v>
      </c>
      <c r="S48" s="16"/>
      <c r="T48" s="16" t="e">
        <f>VLOOKUP(E48,'[2]21-3-2026'!E$3:T$35,16,FALSE)</f>
        <v>#N/A</v>
      </c>
      <c r="U48" s="16"/>
      <c r="V48" s="16" t="e">
        <f t="shared" si="5"/>
        <v>#N/A</v>
      </c>
      <c r="W48" s="16"/>
      <c r="X48" s="16"/>
      <c r="Y48" s="16"/>
      <c r="Z48" s="16">
        <f t="shared" si="6"/>
        <v>0</v>
      </c>
      <c r="AA48" s="16">
        <f t="shared" si="0"/>
        <v>0</v>
      </c>
      <c r="AB48" s="16"/>
      <c r="AC48" s="17"/>
      <c r="AD48" s="51"/>
    </row>
    <row r="49" spans="1:30" ht="19.5" thickBot="1" x14ac:dyDescent="0.3">
      <c r="A49" s="14">
        <v>14</v>
      </c>
      <c r="B49" s="15"/>
      <c r="C49" s="15" t="e">
        <f>VLOOKUP(B49,داتا!$B$3:$D$107,2,FALSE)</f>
        <v>#N/A</v>
      </c>
      <c r="D49" s="34" t="e">
        <f>VLOOKUP(B49,داتا!$B$3:$D$107,3,FALSE)</f>
        <v>#N/A</v>
      </c>
      <c r="E49" s="15"/>
      <c r="F49" s="15"/>
      <c r="G49" s="16">
        <v>0.25</v>
      </c>
      <c r="H49" s="16" t="e">
        <f t="shared" si="7"/>
        <v>#N/A</v>
      </c>
      <c r="I49" s="16" t="e">
        <f t="shared" si="1"/>
        <v>#N/A</v>
      </c>
      <c r="J49" s="16"/>
      <c r="K49" s="16"/>
      <c r="L49" s="16"/>
      <c r="M49" s="16"/>
      <c r="N49" s="16">
        <f t="shared" si="2"/>
        <v>0</v>
      </c>
      <c r="O49" s="16" t="e">
        <f t="shared" si="3"/>
        <v>#N/A</v>
      </c>
      <c r="P49" s="16">
        <v>6.9444444444444397E-3</v>
      </c>
      <c r="Q49" s="16"/>
      <c r="R49" s="16">
        <f t="shared" si="4"/>
        <v>-6.9444444444444397E-3</v>
      </c>
      <c r="S49" s="16"/>
      <c r="T49" s="16" t="e">
        <f>VLOOKUP(E49,'[2]21-3-2026'!E$3:T$35,16,FALSE)</f>
        <v>#N/A</v>
      </c>
      <c r="U49" s="16"/>
      <c r="V49" s="16" t="e">
        <f t="shared" si="5"/>
        <v>#N/A</v>
      </c>
      <c r="W49" s="16"/>
      <c r="X49" s="16"/>
      <c r="Y49" s="16"/>
      <c r="Z49" s="16">
        <f t="shared" si="6"/>
        <v>0</v>
      </c>
      <c r="AA49" s="16">
        <f t="shared" si="0"/>
        <v>0</v>
      </c>
      <c r="AB49" s="16"/>
      <c r="AC49" s="17"/>
      <c r="AD49" s="51"/>
    </row>
    <row r="50" spans="1:30" ht="19.5" thickBot="1" x14ac:dyDescent="0.3">
      <c r="A50" s="14">
        <v>15</v>
      </c>
      <c r="B50" s="15"/>
      <c r="C50" s="15" t="e">
        <f>VLOOKUP(B50,داتا!$B$3:$D$107,2,FALSE)</f>
        <v>#N/A</v>
      </c>
      <c r="D50" s="34" t="e">
        <f>VLOOKUP(B50,داتا!$B$3:$D$107,3,FALSE)</f>
        <v>#N/A</v>
      </c>
      <c r="E50" s="15"/>
      <c r="F50" s="15"/>
      <c r="G50" s="16">
        <v>0.25</v>
      </c>
      <c r="H50" s="16" t="e">
        <f t="shared" si="7"/>
        <v>#N/A</v>
      </c>
      <c r="I50" s="16" t="e">
        <f t="shared" si="1"/>
        <v>#N/A</v>
      </c>
      <c r="J50" s="16"/>
      <c r="K50" s="16"/>
      <c r="L50" s="16"/>
      <c r="M50" s="16"/>
      <c r="N50" s="16">
        <f t="shared" si="2"/>
        <v>0</v>
      </c>
      <c r="O50" s="16" t="e">
        <f t="shared" si="3"/>
        <v>#N/A</v>
      </c>
      <c r="P50" s="16">
        <v>6.9444444444444397E-3</v>
      </c>
      <c r="Q50" s="16"/>
      <c r="R50" s="16">
        <f t="shared" si="4"/>
        <v>-6.9444444444444397E-3</v>
      </c>
      <c r="S50" s="16"/>
      <c r="T50" s="16" t="e">
        <f>VLOOKUP(E50,'[2]21-3-2026'!E$3:T$35,16,FALSE)</f>
        <v>#N/A</v>
      </c>
      <c r="U50" s="16"/>
      <c r="V50" s="16" t="e">
        <f t="shared" si="5"/>
        <v>#N/A</v>
      </c>
      <c r="W50" s="16"/>
      <c r="X50" s="16"/>
      <c r="Y50" s="16"/>
      <c r="Z50" s="16">
        <f t="shared" si="6"/>
        <v>0</v>
      </c>
      <c r="AA50" s="16">
        <f t="shared" si="0"/>
        <v>0</v>
      </c>
      <c r="AB50" s="16"/>
      <c r="AC50" s="17"/>
      <c r="AD50" s="51"/>
    </row>
    <row r="51" spans="1:30" ht="19.5" thickBot="1" x14ac:dyDescent="0.3">
      <c r="A51" s="14">
        <v>16</v>
      </c>
      <c r="B51" s="15"/>
      <c r="C51" s="15" t="e">
        <f>VLOOKUP(B51,داتا!$B$3:$D$107,2,FALSE)</f>
        <v>#N/A</v>
      </c>
      <c r="D51" s="34" t="e">
        <f>VLOOKUP(B51,داتا!$B$3:$D$107,3,FALSE)</f>
        <v>#N/A</v>
      </c>
      <c r="E51" s="15"/>
      <c r="F51" s="15"/>
      <c r="G51" s="16">
        <v>0.25</v>
      </c>
      <c r="H51" s="16" t="e">
        <f t="shared" si="7"/>
        <v>#N/A</v>
      </c>
      <c r="I51" s="16" t="e">
        <f t="shared" si="1"/>
        <v>#N/A</v>
      </c>
      <c r="J51" s="16"/>
      <c r="K51" s="16"/>
      <c r="L51" s="16"/>
      <c r="M51" s="16"/>
      <c r="N51" s="16">
        <f t="shared" si="2"/>
        <v>0</v>
      </c>
      <c r="O51" s="16" t="e">
        <f t="shared" si="3"/>
        <v>#N/A</v>
      </c>
      <c r="P51" s="16">
        <v>6.9444444444444397E-3</v>
      </c>
      <c r="Q51" s="16"/>
      <c r="R51" s="16">
        <f t="shared" si="4"/>
        <v>-6.9444444444444397E-3</v>
      </c>
      <c r="S51" s="16"/>
      <c r="T51" s="16" t="e">
        <f>VLOOKUP(E51,'[2]21-3-2026'!E$3:T$35,16,FALSE)</f>
        <v>#N/A</v>
      </c>
      <c r="U51" s="16"/>
      <c r="V51" s="16" t="e">
        <f t="shared" si="5"/>
        <v>#N/A</v>
      </c>
      <c r="W51" s="16"/>
      <c r="X51" s="16"/>
      <c r="Y51" s="16"/>
      <c r="Z51" s="16">
        <f t="shared" si="6"/>
        <v>0</v>
      </c>
      <c r="AA51" s="16">
        <f t="shared" si="0"/>
        <v>0</v>
      </c>
      <c r="AB51" s="16"/>
      <c r="AC51" s="17"/>
      <c r="AD51" s="51"/>
    </row>
    <row r="52" spans="1:30" ht="19.5" thickBot="1" x14ac:dyDescent="0.3">
      <c r="A52" s="14">
        <v>17</v>
      </c>
      <c r="B52" s="15"/>
      <c r="C52" s="15" t="e">
        <f>VLOOKUP(B52,داتا!$B$3:$D$107,2,FALSE)</f>
        <v>#N/A</v>
      </c>
      <c r="D52" s="34" t="e">
        <f>VLOOKUP(B52,داتا!$B$3:$D$107,3,FALSE)</f>
        <v>#N/A</v>
      </c>
      <c r="E52" s="15"/>
      <c r="F52" s="15"/>
      <c r="G52" s="16">
        <v>0.25</v>
      </c>
      <c r="H52" s="16" t="e">
        <f t="shared" si="7"/>
        <v>#N/A</v>
      </c>
      <c r="I52" s="16" t="e">
        <f t="shared" si="1"/>
        <v>#N/A</v>
      </c>
      <c r="J52" s="16"/>
      <c r="K52" s="16"/>
      <c r="L52" s="16"/>
      <c r="M52" s="16"/>
      <c r="N52" s="16">
        <f t="shared" si="2"/>
        <v>0</v>
      </c>
      <c r="O52" s="16" t="e">
        <f t="shared" si="3"/>
        <v>#N/A</v>
      </c>
      <c r="P52" s="16">
        <v>6.9444444444444397E-3</v>
      </c>
      <c r="Q52" s="16"/>
      <c r="R52" s="16">
        <f t="shared" si="4"/>
        <v>-6.9444444444444397E-3</v>
      </c>
      <c r="S52" s="16"/>
      <c r="T52" s="16" t="e">
        <f>VLOOKUP(E52,'[2]21-3-2026'!E$3:T$35,16,FALSE)</f>
        <v>#N/A</v>
      </c>
      <c r="U52" s="16"/>
      <c r="V52" s="16" t="e">
        <f t="shared" si="5"/>
        <v>#N/A</v>
      </c>
      <c r="W52" s="16"/>
      <c r="X52" s="16"/>
      <c r="Y52" s="16"/>
      <c r="Z52" s="16">
        <f t="shared" si="6"/>
        <v>0</v>
      </c>
      <c r="AA52" s="16">
        <f t="shared" si="0"/>
        <v>0</v>
      </c>
      <c r="AB52" s="16"/>
      <c r="AC52" s="17"/>
      <c r="AD52" s="51"/>
    </row>
    <row r="53" spans="1:30" ht="19.5" thickBot="1" x14ac:dyDescent="0.3">
      <c r="A53" s="14">
        <v>18</v>
      </c>
      <c r="B53" s="15"/>
      <c r="C53" s="15" t="e">
        <f>VLOOKUP(B53,داتا!$B$3:$D$107,2,FALSE)</f>
        <v>#N/A</v>
      </c>
      <c r="D53" s="34" t="e">
        <f>VLOOKUP(B53,داتا!$B$3:$D$107,3,FALSE)</f>
        <v>#N/A</v>
      </c>
      <c r="E53" s="15"/>
      <c r="F53" s="15"/>
      <c r="G53" s="16">
        <v>0.25</v>
      </c>
      <c r="H53" s="16" t="e">
        <f t="shared" ref="H53:H68" si="8">VLOOKUP(G53,$F$3:$I$35,2,FALSE)</f>
        <v>#N/A</v>
      </c>
      <c r="I53" s="16" t="e">
        <f t="shared" si="1"/>
        <v>#N/A</v>
      </c>
      <c r="J53" s="16"/>
      <c r="K53" s="16"/>
      <c r="L53" s="16"/>
      <c r="M53" s="16"/>
      <c r="N53" s="16">
        <f t="shared" si="2"/>
        <v>0</v>
      </c>
      <c r="O53" s="16" t="e">
        <f t="shared" si="3"/>
        <v>#N/A</v>
      </c>
      <c r="P53" s="16">
        <v>6.9444444444444397E-3</v>
      </c>
      <c r="Q53" s="16"/>
      <c r="R53" s="16">
        <f t="shared" si="4"/>
        <v>-6.9444444444444397E-3</v>
      </c>
      <c r="S53" s="16"/>
      <c r="T53" s="16" t="e">
        <f>VLOOKUP(E53,'[2]21-3-2026'!E$3:T$35,16,FALSE)</f>
        <v>#N/A</v>
      </c>
      <c r="U53" s="16"/>
      <c r="V53" s="16" t="e">
        <f t="shared" si="5"/>
        <v>#N/A</v>
      </c>
      <c r="W53" s="16"/>
      <c r="X53" s="16"/>
      <c r="Y53" s="16"/>
      <c r="Z53" s="16">
        <f t="shared" si="6"/>
        <v>0</v>
      </c>
      <c r="AA53" s="16">
        <f t="shared" si="0"/>
        <v>0</v>
      </c>
      <c r="AB53" s="16"/>
      <c r="AC53" s="17"/>
      <c r="AD53" s="51"/>
    </row>
    <row r="54" spans="1:30" ht="19.5" thickBot="1" x14ac:dyDescent="0.3">
      <c r="A54" s="14">
        <v>19</v>
      </c>
      <c r="B54" s="15"/>
      <c r="C54" s="15" t="e">
        <f>VLOOKUP(B54,داتا!$B$3:$D$107,2,FALSE)</f>
        <v>#N/A</v>
      </c>
      <c r="D54" s="34" t="e">
        <f>VLOOKUP(B54,داتا!$B$3:$D$107,3,FALSE)</f>
        <v>#N/A</v>
      </c>
      <c r="E54" s="15"/>
      <c r="F54" s="15"/>
      <c r="G54" s="16">
        <v>0.25</v>
      </c>
      <c r="H54" s="16" t="e">
        <f t="shared" si="8"/>
        <v>#N/A</v>
      </c>
      <c r="I54" s="16" t="e">
        <f t="shared" si="1"/>
        <v>#N/A</v>
      </c>
      <c r="J54" s="16"/>
      <c r="K54" s="16"/>
      <c r="L54" s="16"/>
      <c r="M54" s="16"/>
      <c r="N54" s="16">
        <f t="shared" si="2"/>
        <v>0</v>
      </c>
      <c r="O54" s="16" t="e">
        <f t="shared" si="3"/>
        <v>#N/A</v>
      </c>
      <c r="P54" s="16">
        <v>6.9444444444444397E-3</v>
      </c>
      <c r="Q54" s="16"/>
      <c r="R54" s="16">
        <f t="shared" si="4"/>
        <v>-6.9444444444444397E-3</v>
      </c>
      <c r="S54" s="16"/>
      <c r="T54" s="16" t="e">
        <f>VLOOKUP(E54,'[2]21-3-2026'!E$3:T$35,16,FALSE)</f>
        <v>#N/A</v>
      </c>
      <c r="U54" s="16"/>
      <c r="V54" s="16" t="e">
        <f t="shared" si="5"/>
        <v>#N/A</v>
      </c>
      <c r="W54" s="16"/>
      <c r="X54" s="16"/>
      <c r="Y54" s="16"/>
      <c r="Z54" s="16">
        <f t="shared" si="6"/>
        <v>0</v>
      </c>
      <c r="AA54" s="16">
        <f t="shared" si="0"/>
        <v>0</v>
      </c>
      <c r="AB54" s="16"/>
      <c r="AC54" s="17"/>
      <c r="AD54" s="51"/>
    </row>
    <row r="55" spans="1:30" ht="19.5" thickBot="1" x14ac:dyDescent="0.3">
      <c r="A55" s="14">
        <v>20</v>
      </c>
      <c r="B55" s="15"/>
      <c r="C55" s="15" t="e">
        <f>VLOOKUP(B55,داتا!$B$3:$D$107,2,FALSE)</f>
        <v>#N/A</v>
      </c>
      <c r="D55" s="34" t="e">
        <f>VLOOKUP(B55,داتا!$B$3:$D$107,3,FALSE)</f>
        <v>#N/A</v>
      </c>
      <c r="E55" s="15"/>
      <c r="F55" s="15"/>
      <c r="G55" s="16">
        <v>0.25</v>
      </c>
      <c r="H55" s="16" t="e">
        <f t="shared" si="8"/>
        <v>#N/A</v>
      </c>
      <c r="I55" s="16" t="e">
        <f t="shared" si="1"/>
        <v>#N/A</v>
      </c>
      <c r="J55" s="16"/>
      <c r="K55" s="16"/>
      <c r="L55" s="16"/>
      <c r="M55" s="16"/>
      <c r="N55" s="16">
        <f t="shared" si="2"/>
        <v>0</v>
      </c>
      <c r="O55" s="16" t="e">
        <f t="shared" si="3"/>
        <v>#N/A</v>
      </c>
      <c r="P55" s="16">
        <v>6.9444444444444397E-3</v>
      </c>
      <c r="Q55" s="16"/>
      <c r="R55" s="16">
        <f t="shared" si="4"/>
        <v>-6.9444444444444397E-3</v>
      </c>
      <c r="S55" s="16"/>
      <c r="T55" s="16" t="e">
        <f>VLOOKUP(E55,'[2]21-3-2026'!E$3:T$35,16,FALSE)</f>
        <v>#N/A</v>
      </c>
      <c r="U55" s="16"/>
      <c r="V55" s="16" t="e">
        <f t="shared" si="5"/>
        <v>#N/A</v>
      </c>
      <c r="W55" s="16"/>
      <c r="X55" s="16"/>
      <c r="Y55" s="16"/>
      <c r="Z55" s="16">
        <f t="shared" si="6"/>
        <v>0</v>
      </c>
      <c r="AA55" s="16">
        <f t="shared" si="0"/>
        <v>0</v>
      </c>
      <c r="AB55" s="16"/>
      <c r="AC55" s="17"/>
      <c r="AD55" s="51"/>
    </row>
    <row r="56" spans="1:30" ht="19.5" thickBot="1" x14ac:dyDescent="0.3">
      <c r="A56" s="14">
        <v>21</v>
      </c>
      <c r="B56" s="15"/>
      <c r="C56" s="15" t="e">
        <f>VLOOKUP(B56,داتا!$B$3:$D$107,2,FALSE)</f>
        <v>#N/A</v>
      </c>
      <c r="D56" s="34" t="e">
        <f>VLOOKUP(B56,داتا!$B$3:$D$107,3,FALSE)</f>
        <v>#N/A</v>
      </c>
      <c r="E56" s="15"/>
      <c r="F56" s="15"/>
      <c r="G56" s="16">
        <v>0.25</v>
      </c>
      <c r="H56" s="16" t="e">
        <f t="shared" si="8"/>
        <v>#N/A</v>
      </c>
      <c r="I56" s="16" t="e">
        <f t="shared" si="1"/>
        <v>#N/A</v>
      </c>
      <c r="J56" s="16"/>
      <c r="K56" s="16"/>
      <c r="L56" s="15"/>
      <c r="M56" s="15"/>
      <c r="N56" s="16">
        <f t="shared" si="2"/>
        <v>0</v>
      </c>
      <c r="O56" s="16" t="e">
        <f t="shared" si="3"/>
        <v>#N/A</v>
      </c>
      <c r="P56" s="16">
        <v>6.9444444444444397E-3</v>
      </c>
      <c r="Q56" s="16"/>
      <c r="R56" s="16">
        <f t="shared" si="4"/>
        <v>-6.9444444444444397E-3</v>
      </c>
      <c r="S56" s="16"/>
      <c r="T56" s="16" t="e">
        <f>VLOOKUP(E56,'[2]21-3-2026'!E$3:T$35,16,FALSE)</f>
        <v>#N/A</v>
      </c>
      <c r="U56" s="16"/>
      <c r="V56" s="16" t="e">
        <f t="shared" si="5"/>
        <v>#N/A</v>
      </c>
      <c r="W56" s="16"/>
      <c r="X56" s="16"/>
      <c r="Y56" s="16"/>
      <c r="Z56" s="16">
        <f t="shared" si="6"/>
        <v>0</v>
      </c>
      <c r="AA56" s="16">
        <f t="shared" si="0"/>
        <v>0</v>
      </c>
      <c r="AB56" s="16"/>
      <c r="AC56" s="17"/>
      <c r="AD56" s="51"/>
    </row>
    <row r="57" spans="1:30" ht="19.5" thickBot="1" x14ac:dyDescent="0.3">
      <c r="A57" s="14">
        <v>22</v>
      </c>
      <c r="B57" s="15"/>
      <c r="C57" s="15" t="e">
        <f>VLOOKUP(B57,داتا!$B$3:$D$107,2,FALSE)</f>
        <v>#N/A</v>
      </c>
      <c r="D57" s="34" t="e">
        <f>VLOOKUP(B57,داتا!$B$3:$D$107,3,FALSE)</f>
        <v>#N/A</v>
      </c>
      <c r="E57" s="15"/>
      <c r="F57" s="15"/>
      <c r="G57" s="16">
        <v>0.25</v>
      </c>
      <c r="H57" s="16" t="e">
        <f t="shared" si="8"/>
        <v>#N/A</v>
      </c>
      <c r="I57" s="16" t="e">
        <f t="shared" si="1"/>
        <v>#N/A</v>
      </c>
      <c r="J57" s="16"/>
      <c r="K57" s="16"/>
      <c r="L57" s="15"/>
      <c r="M57" s="15"/>
      <c r="N57" s="16">
        <f t="shared" si="2"/>
        <v>0</v>
      </c>
      <c r="O57" s="16" t="e">
        <f t="shared" si="3"/>
        <v>#N/A</v>
      </c>
      <c r="P57" s="16">
        <v>6.9444444444444397E-3</v>
      </c>
      <c r="Q57" s="16"/>
      <c r="R57" s="16">
        <f t="shared" si="4"/>
        <v>-6.9444444444444397E-3</v>
      </c>
      <c r="S57" s="16"/>
      <c r="T57" s="16" t="e">
        <f>VLOOKUP(E57,'[2]21-3-2026'!E$3:T$35,16,FALSE)</f>
        <v>#N/A</v>
      </c>
      <c r="U57" s="16"/>
      <c r="V57" s="16" t="e">
        <f t="shared" si="5"/>
        <v>#N/A</v>
      </c>
      <c r="W57" s="16"/>
      <c r="X57" s="16"/>
      <c r="Y57" s="16"/>
      <c r="Z57" s="16">
        <f t="shared" si="6"/>
        <v>0</v>
      </c>
      <c r="AA57" s="16">
        <f t="shared" si="0"/>
        <v>0</v>
      </c>
      <c r="AB57" s="16"/>
      <c r="AC57" s="17"/>
      <c r="AD57" s="51"/>
    </row>
    <row r="58" spans="1:30" ht="19.5" thickBot="1" x14ac:dyDescent="0.3">
      <c r="A58" s="14">
        <v>23</v>
      </c>
      <c r="B58" s="15"/>
      <c r="C58" s="15" t="e">
        <f>VLOOKUP(B58,داتا!$B$3:$D$107,2,FALSE)</f>
        <v>#N/A</v>
      </c>
      <c r="D58" s="34" t="e">
        <f>VLOOKUP(B58,داتا!$B$3:$D$107,3,FALSE)</f>
        <v>#N/A</v>
      </c>
      <c r="E58" s="15"/>
      <c r="F58" s="15"/>
      <c r="G58" s="16">
        <v>0.25</v>
      </c>
      <c r="H58" s="16" t="e">
        <f t="shared" si="8"/>
        <v>#N/A</v>
      </c>
      <c r="I58" s="16" t="e">
        <f t="shared" si="1"/>
        <v>#N/A</v>
      </c>
      <c r="J58" s="16"/>
      <c r="K58" s="16"/>
      <c r="L58" s="16"/>
      <c r="M58" s="16"/>
      <c r="N58" s="16">
        <f t="shared" si="2"/>
        <v>0</v>
      </c>
      <c r="O58" s="16" t="e">
        <f t="shared" si="3"/>
        <v>#N/A</v>
      </c>
      <c r="P58" s="16">
        <v>6.9444444444444397E-3</v>
      </c>
      <c r="Q58" s="16"/>
      <c r="R58" s="16">
        <f t="shared" si="4"/>
        <v>-6.9444444444444397E-3</v>
      </c>
      <c r="S58" s="16"/>
      <c r="T58" s="16" t="e">
        <f>VLOOKUP(E58,'[2]21-3-2026'!E$3:T$35,16,FALSE)</f>
        <v>#N/A</v>
      </c>
      <c r="U58" s="16"/>
      <c r="V58" s="16" t="e">
        <f t="shared" si="5"/>
        <v>#N/A</v>
      </c>
      <c r="W58" s="16"/>
      <c r="X58" s="16"/>
      <c r="Y58" s="16"/>
      <c r="Z58" s="16">
        <f t="shared" si="6"/>
        <v>0</v>
      </c>
      <c r="AA58" s="16">
        <f t="shared" si="0"/>
        <v>0</v>
      </c>
      <c r="AB58" s="16"/>
      <c r="AC58" s="17"/>
      <c r="AD58" s="51"/>
    </row>
    <row r="59" spans="1:30" ht="19.5" thickBot="1" x14ac:dyDescent="0.3">
      <c r="A59" s="14">
        <v>24</v>
      </c>
      <c r="B59" s="15"/>
      <c r="C59" s="15" t="e">
        <f>VLOOKUP(B59,داتا!$B$3:$D$107,2,FALSE)</f>
        <v>#N/A</v>
      </c>
      <c r="D59" s="34" t="e">
        <f>VLOOKUP(B59,داتا!$B$3:$D$107,3,FALSE)</f>
        <v>#N/A</v>
      </c>
      <c r="E59" s="16"/>
      <c r="F59" s="15"/>
      <c r="G59" s="16">
        <v>0.25</v>
      </c>
      <c r="H59" s="16" t="e">
        <f t="shared" si="8"/>
        <v>#N/A</v>
      </c>
      <c r="I59" s="16" t="e">
        <f t="shared" si="1"/>
        <v>#N/A</v>
      </c>
      <c r="J59" s="16"/>
      <c r="K59" s="16"/>
      <c r="L59" s="15"/>
      <c r="M59" s="15"/>
      <c r="N59" s="16">
        <f t="shared" si="2"/>
        <v>0</v>
      </c>
      <c r="O59" s="16" t="e">
        <f t="shared" si="3"/>
        <v>#N/A</v>
      </c>
      <c r="P59" s="16">
        <v>6.9444444444444397E-3</v>
      </c>
      <c r="Q59" s="16"/>
      <c r="R59" s="16">
        <f t="shared" si="4"/>
        <v>-6.9444444444444397E-3</v>
      </c>
      <c r="S59" s="16"/>
      <c r="T59" s="16" t="e">
        <f>VLOOKUP(E59,'[2]21-3-2026'!E$3:T$35,16,FALSE)</f>
        <v>#N/A</v>
      </c>
      <c r="U59" s="16"/>
      <c r="V59" s="16" t="e">
        <f t="shared" si="5"/>
        <v>#N/A</v>
      </c>
      <c r="W59" s="16"/>
      <c r="X59" s="16"/>
      <c r="Y59" s="16"/>
      <c r="Z59" s="16">
        <f t="shared" si="6"/>
        <v>0</v>
      </c>
      <c r="AA59" s="16">
        <f t="shared" si="0"/>
        <v>0</v>
      </c>
      <c r="AB59" s="16"/>
      <c r="AC59" s="17"/>
      <c r="AD59" s="51"/>
    </row>
    <row r="60" spans="1:30" ht="19.5" thickBot="1" x14ac:dyDescent="0.3">
      <c r="A60" s="14">
        <v>25</v>
      </c>
      <c r="B60" s="15"/>
      <c r="C60" s="15" t="e">
        <f>VLOOKUP(B60,داتا!$B$3:$D$107,2,FALSE)</f>
        <v>#N/A</v>
      </c>
      <c r="D60" s="34" t="e">
        <f>VLOOKUP(B60,داتا!$B$3:$D$107,3,FALSE)</f>
        <v>#N/A</v>
      </c>
      <c r="E60" s="15"/>
      <c r="F60" s="15"/>
      <c r="G60" s="16">
        <v>0.25</v>
      </c>
      <c r="H60" s="16" t="e">
        <f t="shared" si="8"/>
        <v>#N/A</v>
      </c>
      <c r="I60" s="16" t="e">
        <f t="shared" si="1"/>
        <v>#N/A</v>
      </c>
      <c r="J60" s="16"/>
      <c r="K60" s="16"/>
      <c r="L60" s="16"/>
      <c r="M60" s="16"/>
      <c r="N60" s="16">
        <f t="shared" si="2"/>
        <v>0</v>
      </c>
      <c r="O60" s="16" t="e">
        <f t="shared" si="3"/>
        <v>#N/A</v>
      </c>
      <c r="P60" s="16">
        <v>6.9444444444444397E-3</v>
      </c>
      <c r="Q60" s="16"/>
      <c r="R60" s="16">
        <f t="shared" si="4"/>
        <v>-6.9444444444444397E-3</v>
      </c>
      <c r="S60" s="16"/>
      <c r="T60" s="16" t="e">
        <f>VLOOKUP(E60,'[2]21-3-2026'!E$3:T$35,16,FALSE)</f>
        <v>#N/A</v>
      </c>
      <c r="U60" s="16"/>
      <c r="V60" s="16" t="e">
        <f t="shared" si="5"/>
        <v>#N/A</v>
      </c>
      <c r="W60" s="16"/>
      <c r="X60" s="16"/>
      <c r="Y60" s="16"/>
      <c r="Z60" s="16">
        <f t="shared" si="6"/>
        <v>0</v>
      </c>
      <c r="AA60" s="16">
        <f t="shared" si="0"/>
        <v>0</v>
      </c>
      <c r="AB60" s="16"/>
      <c r="AC60" s="17"/>
      <c r="AD60" s="51"/>
    </row>
    <row r="61" spans="1:30" ht="19.5" thickBot="1" x14ac:dyDescent="0.3">
      <c r="A61" s="14">
        <v>26</v>
      </c>
      <c r="B61" s="15"/>
      <c r="C61" s="15" t="e">
        <f>VLOOKUP(B61,داتا!$B$3:$D$107,2,FALSE)</f>
        <v>#N/A</v>
      </c>
      <c r="D61" s="34" t="e">
        <f>VLOOKUP(B61,داتا!$B$3:$D$107,3,FALSE)</f>
        <v>#N/A</v>
      </c>
      <c r="E61" s="15"/>
      <c r="F61" s="15"/>
      <c r="G61" s="16">
        <v>0.25</v>
      </c>
      <c r="H61" s="16" t="e">
        <f t="shared" si="8"/>
        <v>#N/A</v>
      </c>
      <c r="I61" s="16" t="e">
        <f t="shared" si="1"/>
        <v>#N/A</v>
      </c>
      <c r="J61" s="16"/>
      <c r="K61" s="16"/>
      <c r="L61" s="16"/>
      <c r="M61" s="16"/>
      <c r="N61" s="16">
        <f t="shared" si="2"/>
        <v>0</v>
      </c>
      <c r="O61" s="16" t="e">
        <f t="shared" si="3"/>
        <v>#N/A</v>
      </c>
      <c r="P61" s="16">
        <v>6.9444444444444397E-3</v>
      </c>
      <c r="Q61" s="16"/>
      <c r="R61" s="16">
        <f t="shared" si="4"/>
        <v>-6.9444444444444397E-3</v>
      </c>
      <c r="S61" s="16"/>
      <c r="T61" s="16" t="e">
        <f>VLOOKUP(E61,'[2]21-3-2026'!E$3:T$35,16,FALSE)</f>
        <v>#N/A</v>
      </c>
      <c r="U61" s="16"/>
      <c r="V61" s="16" t="e">
        <f t="shared" si="5"/>
        <v>#N/A</v>
      </c>
      <c r="W61" s="16"/>
      <c r="X61" s="16"/>
      <c r="Y61" s="16"/>
      <c r="Z61" s="16">
        <f t="shared" si="6"/>
        <v>0</v>
      </c>
      <c r="AA61" s="16">
        <f t="shared" si="0"/>
        <v>0</v>
      </c>
      <c r="AB61" s="16"/>
      <c r="AC61" s="17"/>
      <c r="AD61" s="51"/>
    </row>
    <row r="62" spans="1:30" ht="19.5" thickBot="1" x14ac:dyDescent="0.3">
      <c r="A62" s="14">
        <v>27</v>
      </c>
      <c r="B62" s="15"/>
      <c r="C62" s="15" t="e">
        <f>VLOOKUP(B62,داتا!$B$3:$D$107,2,FALSE)</f>
        <v>#N/A</v>
      </c>
      <c r="D62" s="34" t="e">
        <f>VLOOKUP(B62,داتا!$B$3:$D$107,3,FALSE)</f>
        <v>#N/A</v>
      </c>
      <c r="E62" s="15"/>
      <c r="F62" s="15"/>
      <c r="G62" s="16">
        <v>0.25</v>
      </c>
      <c r="H62" s="16" t="e">
        <f t="shared" si="8"/>
        <v>#N/A</v>
      </c>
      <c r="I62" s="16" t="e">
        <f t="shared" si="1"/>
        <v>#N/A</v>
      </c>
      <c r="J62" s="16"/>
      <c r="K62" s="16"/>
      <c r="L62" s="16"/>
      <c r="M62" s="16"/>
      <c r="N62" s="16">
        <f t="shared" si="2"/>
        <v>0</v>
      </c>
      <c r="O62" s="16" t="e">
        <f t="shared" si="3"/>
        <v>#N/A</v>
      </c>
      <c r="P62" s="16">
        <v>6.9444444444444397E-3</v>
      </c>
      <c r="Q62" s="16"/>
      <c r="R62" s="16">
        <f t="shared" si="4"/>
        <v>-6.9444444444444397E-3</v>
      </c>
      <c r="S62" s="16"/>
      <c r="T62" s="16" t="e">
        <f>VLOOKUP(E62,'[2]21-3-2026'!E$3:T$35,16,FALSE)</f>
        <v>#N/A</v>
      </c>
      <c r="U62" s="16"/>
      <c r="V62" s="16" t="e">
        <f t="shared" si="5"/>
        <v>#N/A</v>
      </c>
      <c r="W62" s="16"/>
      <c r="X62" s="16"/>
      <c r="Y62" s="16"/>
      <c r="Z62" s="16">
        <f t="shared" si="6"/>
        <v>0</v>
      </c>
      <c r="AA62" s="16">
        <f t="shared" si="0"/>
        <v>0</v>
      </c>
      <c r="AB62" s="16"/>
      <c r="AC62" s="17"/>
      <c r="AD62" s="51"/>
    </row>
    <row r="63" spans="1:30" ht="19.5" thickBot="1" x14ac:dyDescent="0.3">
      <c r="A63" s="14">
        <v>28</v>
      </c>
      <c r="B63" s="15"/>
      <c r="C63" s="15" t="e">
        <f>VLOOKUP(B63,داتا!$B$3:$D$107,2,FALSE)</f>
        <v>#N/A</v>
      </c>
      <c r="D63" s="34" t="e">
        <f>VLOOKUP(B63,داتا!$B$3:$D$107,3,FALSE)</f>
        <v>#N/A</v>
      </c>
      <c r="E63" s="15"/>
      <c r="F63" s="15"/>
      <c r="G63" s="16">
        <v>0.25</v>
      </c>
      <c r="H63" s="16" t="e">
        <f t="shared" si="8"/>
        <v>#N/A</v>
      </c>
      <c r="I63" s="16" t="e">
        <f t="shared" si="1"/>
        <v>#N/A</v>
      </c>
      <c r="J63" s="16"/>
      <c r="K63" s="16"/>
      <c r="L63" s="16"/>
      <c r="M63" s="16"/>
      <c r="N63" s="16">
        <f t="shared" si="2"/>
        <v>0</v>
      </c>
      <c r="O63" s="16" t="e">
        <f t="shared" si="3"/>
        <v>#N/A</v>
      </c>
      <c r="P63" s="16">
        <v>6.9444444444444397E-3</v>
      </c>
      <c r="Q63" s="16"/>
      <c r="R63" s="16">
        <f t="shared" si="4"/>
        <v>-6.9444444444444397E-3</v>
      </c>
      <c r="S63" s="16"/>
      <c r="T63" s="16" t="e">
        <f>VLOOKUP(E63,'[2]21-3-2026'!E$3:T$35,16,FALSE)</f>
        <v>#N/A</v>
      </c>
      <c r="U63" s="16"/>
      <c r="V63" s="16" t="e">
        <f t="shared" si="5"/>
        <v>#N/A</v>
      </c>
      <c r="W63" s="16"/>
      <c r="X63" s="16"/>
      <c r="Y63" s="16"/>
      <c r="Z63" s="16">
        <f t="shared" si="6"/>
        <v>0</v>
      </c>
      <c r="AA63" s="16">
        <f t="shared" si="0"/>
        <v>0</v>
      </c>
      <c r="AB63" s="16"/>
      <c r="AC63" s="17"/>
      <c r="AD63" s="51"/>
    </row>
    <row r="64" spans="1:30" ht="19.5" thickBot="1" x14ac:dyDescent="0.3">
      <c r="A64" s="14">
        <v>29</v>
      </c>
      <c r="B64" s="15"/>
      <c r="C64" s="15" t="e">
        <f>VLOOKUP(B64,داتا!$B$3:$D$107,2,FALSE)</f>
        <v>#N/A</v>
      </c>
      <c r="D64" s="34" t="e">
        <f>VLOOKUP(B64,داتا!$B$3:$D$107,3,FALSE)</f>
        <v>#N/A</v>
      </c>
      <c r="E64" s="15"/>
      <c r="F64" s="15"/>
      <c r="G64" s="16">
        <v>0.25</v>
      </c>
      <c r="H64" s="16" t="e">
        <f t="shared" si="8"/>
        <v>#N/A</v>
      </c>
      <c r="I64" s="16" t="e">
        <f t="shared" si="1"/>
        <v>#N/A</v>
      </c>
      <c r="J64" s="16"/>
      <c r="K64" s="16"/>
      <c r="L64" s="16"/>
      <c r="M64" s="16"/>
      <c r="N64" s="16">
        <f t="shared" si="2"/>
        <v>0</v>
      </c>
      <c r="O64" s="16" t="e">
        <f t="shared" si="3"/>
        <v>#N/A</v>
      </c>
      <c r="P64" s="16">
        <v>6.9444444444444397E-3</v>
      </c>
      <c r="Q64" s="16"/>
      <c r="R64" s="16">
        <f t="shared" si="4"/>
        <v>-6.9444444444444397E-3</v>
      </c>
      <c r="S64" s="16"/>
      <c r="T64" s="16" t="e">
        <f>VLOOKUP(E64,'[2]21-3-2026'!E$3:T$35,16,FALSE)</f>
        <v>#N/A</v>
      </c>
      <c r="U64" s="16"/>
      <c r="V64" s="16" t="e">
        <f t="shared" si="5"/>
        <v>#N/A</v>
      </c>
      <c r="W64" s="16"/>
      <c r="X64" s="16"/>
      <c r="Y64" s="16"/>
      <c r="Z64" s="16">
        <f t="shared" si="6"/>
        <v>0</v>
      </c>
      <c r="AA64" s="16">
        <f t="shared" si="0"/>
        <v>0</v>
      </c>
      <c r="AB64" s="16"/>
      <c r="AC64" s="17"/>
      <c r="AD64" s="51"/>
    </row>
    <row r="65" spans="1:30" ht="19.5" thickBot="1" x14ac:dyDescent="0.3">
      <c r="A65" s="14">
        <v>30</v>
      </c>
      <c r="B65" s="15"/>
      <c r="C65" s="15" t="e">
        <f>VLOOKUP(B65,داتا!$B$3:$D$107,2,FALSE)</f>
        <v>#N/A</v>
      </c>
      <c r="D65" s="34" t="e">
        <f>VLOOKUP(B65,داتا!$B$3:$D$107,3,FALSE)</f>
        <v>#N/A</v>
      </c>
      <c r="E65" s="15"/>
      <c r="F65" s="15"/>
      <c r="G65" s="16">
        <v>0.25</v>
      </c>
      <c r="H65" s="16" t="e">
        <f t="shared" si="8"/>
        <v>#N/A</v>
      </c>
      <c r="I65" s="16" t="e">
        <f t="shared" si="1"/>
        <v>#N/A</v>
      </c>
      <c r="J65" s="16"/>
      <c r="K65" s="16"/>
      <c r="L65" s="16"/>
      <c r="M65" s="16"/>
      <c r="N65" s="16">
        <f t="shared" si="2"/>
        <v>0</v>
      </c>
      <c r="O65" s="16" t="e">
        <f t="shared" si="3"/>
        <v>#N/A</v>
      </c>
      <c r="P65" s="16">
        <v>6.9444444444444397E-3</v>
      </c>
      <c r="Q65" s="16"/>
      <c r="R65" s="16">
        <f t="shared" si="4"/>
        <v>-6.9444444444444397E-3</v>
      </c>
      <c r="S65" s="16"/>
      <c r="T65" s="16" t="e">
        <f>VLOOKUP(E65,'[2]21-3-2026'!E$3:T$35,16,FALSE)</f>
        <v>#N/A</v>
      </c>
      <c r="U65" s="16"/>
      <c r="V65" s="16" t="e">
        <f t="shared" si="5"/>
        <v>#N/A</v>
      </c>
      <c r="W65" s="16"/>
      <c r="X65" s="16"/>
      <c r="Y65" s="16"/>
      <c r="Z65" s="16">
        <f t="shared" si="6"/>
        <v>0</v>
      </c>
      <c r="AA65" s="16">
        <f t="shared" si="0"/>
        <v>0</v>
      </c>
      <c r="AB65" s="16"/>
      <c r="AC65" s="17"/>
      <c r="AD65" s="51"/>
    </row>
    <row r="66" spans="1:30" ht="20.25" customHeight="1" thickBot="1" x14ac:dyDescent="0.3">
      <c r="A66" s="14">
        <v>31</v>
      </c>
      <c r="B66" s="15"/>
      <c r="C66" s="15" t="e">
        <f>VLOOKUP(B66,داتا!$B$3:$D$107,2,FALSE)</f>
        <v>#N/A</v>
      </c>
      <c r="D66" s="34" t="e">
        <f>VLOOKUP(B66,داتا!$B$3:$D$107,3,FALSE)</f>
        <v>#N/A</v>
      </c>
      <c r="E66" s="15"/>
      <c r="F66" s="15"/>
      <c r="G66" s="16">
        <v>0.25</v>
      </c>
      <c r="H66" s="16" t="e">
        <f t="shared" si="8"/>
        <v>#N/A</v>
      </c>
      <c r="I66" s="16" t="e">
        <f t="shared" si="1"/>
        <v>#N/A</v>
      </c>
      <c r="J66" s="16"/>
      <c r="K66" s="16"/>
      <c r="L66" s="16"/>
      <c r="M66" s="16"/>
      <c r="N66" s="16">
        <f t="shared" si="2"/>
        <v>0</v>
      </c>
      <c r="O66" s="16" t="e">
        <f t="shared" si="3"/>
        <v>#N/A</v>
      </c>
      <c r="P66" s="16">
        <v>6.9444444444444397E-3</v>
      </c>
      <c r="Q66" s="16"/>
      <c r="R66" s="16">
        <f t="shared" si="4"/>
        <v>-6.9444444444444397E-3</v>
      </c>
      <c r="S66" s="16"/>
      <c r="T66" s="16" t="e">
        <f>VLOOKUP(E66,'[2]21-3-2026'!E$3:T$35,16,FALSE)</f>
        <v>#N/A</v>
      </c>
      <c r="U66" s="16"/>
      <c r="V66" s="16" t="e">
        <f t="shared" si="5"/>
        <v>#N/A</v>
      </c>
      <c r="W66" s="16"/>
      <c r="X66" s="16"/>
      <c r="Y66" s="16"/>
      <c r="Z66" s="16">
        <f t="shared" si="6"/>
        <v>0</v>
      </c>
      <c r="AA66" s="16">
        <f t="shared" si="0"/>
        <v>0</v>
      </c>
      <c r="AB66" s="16"/>
      <c r="AC66" s="19"/>
      <c r="AD66" s="51"/>
    </row>
    <row r="67" spans="1:30" ht="19.5" customHeight="1" thickBot="1" x14ac:dyDescent="0.3">
      <c r="A67" s="20">
        <v>32</v>
      </c>
      <c r="B67" s="21"/>
      <c r="C67" s="21" t="e">
        <f>VLOOKUP(B67,داتا!$B$3:$D$107,2,FALSE)</f>
        <v>#N/A</v>
      </c>
      <c r="D67" s="35" t="e">
        <f>VLOOKUP(B67,داتا!$B$3:$D$107,3,FALSE)</f>
        <v>#N/A</v>
      </c>
      <c r="E67" s="21"/>
      <c r="F67" s="21"/>
      <c r="G67" s="22">
        <v>0.25</v>
      </c>
      <c r="H67" s="22" t="e">
        <f t="shared" si="8"/>
        <v>#N/A</v>
      </c>
      <c r="I67" s="22" t="e">
        <f t="shared" si="1"/>
        <v>#N/A</v>
      </c>
      <c r="J67" s="22"/>
      <c r="K67" s="22"/>
      <c r="L67" s="22"/>
      <c r="M67" s="22"/>
      <c r="N67" s="22">
        <f t="shared" si="2"/>
        <v>0</v>
      </c>
      <c r="O67" s="22" t="e">
        <f t="shared" si="3"/>
        <v>#N/A</v>
      </c>
      <c r="P67" s="22">
        <v>6.9444444444444397E-3</v>
      </c>
      <c r="Q67" s="22"/>
      <c r="R67" s="22">
        <f t="shared" si="4"/>
        <v>-6.9444444444444397E-3</v>
      </c>
      <c r="S67" s="22"/>
      <c r="T67" s="22" t="e">
        <f>VLOOKUP(E67,'[2]21-3-2026'!E$3:T$35,16,FALSE)</f>
        <v>#N/A</v>
      </c>
      <c r="U67" s="22"/>
      <c r="V67" s="22" t="e">
        <f t="shared" si="5"/>
        <v>#N/A</v>
      </c>
      <c r="W67" s="22"/>
      <c r="X67" s="22"/>
      <c r="Y67" s="22"/>
      <c r="Z67" s="22">
        <f t="shared" si="6"/>
        <v>0</v>
      </c>
      <c r="AA67" s="22">
        <f t="shared" ref="AA67:AA99" si="9">Z67-W67</f>
        <v>0</v>
      </c>
      <c r="AB67" s="22"/>
      <c r="AC67" s="23"/>
      <c r="AD67" s="52"/>
    </row>
    <row r="68" spans="1:30" ht="20.25" thickTop="1" thickBot="1" x14ac:dyDescent="0.3">
      <c r="A68" s="10">
        <v>1</v>
      </c>
      <c r="B68" s="11"/>
      <c r="C68" s="11" t="e">
        <f>VLOOKUP(B68,داتا!$B$3:$D$107,2,FALSE)</f>
        <v>#N/A</v>
      </c>
      <c r="D68" s="33" t="e">
        <f>VLOOKUP(B68,داتا!$B$3:$D$107,3,FALSE)</f>
        <v>#N/A</v>
      </c>
      <c r="E68" s="11"/>
      <c r="F68" s="11"/>
      <c r="G68" s="12">
        <v>8.3333333333333329E-2</v>
      </c>
      <c r="H68" s="12" t="e">
        <f t="shared" si="8"/>
        <v>#N/A</v>
      </c>
      <c r="I68" s="12" t="e">
        <f t="shared" ref="I68:I99" si="10">H68-G68</f>
        <v>#N/A</v>
      </c>
      <c r="J68" s="12"/>
      <c r="K68" s="12"/>
      <c r="L68" s="12"/>
      <c r="M68" s="12"/>
      <c r="N68" s="12">
        <f t="shared" ref="N68:N99" si="11">K68-J68</f>
        <v>0</v>
      </c>
      <c r="O68" s="12" t="e">
        <f t="shared" ref="O68:O99" si="12">N68-D68</f>
        <v>#N/A</v>
      </c>
      <c r="P68" s="12">
        <v>6.9444444444444397E-3</v>
      </c>
      <c r="Q68" s="12"/>
      <c r="R68" s="12">
        <f t="shared" ref="R68:R99" si="13">Q68-P68-K68</f>
        <v>-6.9444444444444397E-3</v>
      </c>
      <c r="S68" s="12"/>
      <c r="T68" s="12" t="e">
        <f>VLOOKUP(E68,'[2]21-3-2026'!E$3:T$35,16,FALSE)</f>
        <v>#N/A</v>
      </c>
      <c r="U68" s="12"/>
      <c r="V68" s="12" t="e">
        <f t="shared" ref="V68:V99" si="14">U68-T68-S68</f>
        <v>#N/A</v>
      </c>
      <c r="W68" s="12"/>
      <c r="X68" s="12"/>
      <c r="Y68" s="12"/>
      <c r="Z68" s="12">
        <f t="shared" ref="Z68:Z99" si="15">Y68-X68</f>
        <v>0</v>
      </c>
      <c r="AA68" s="12">
        <f t="shared" si="9"/>
        <v>0</v>
      </c>
      <c r="AB68" s="12"/>
      <c r="AC68" s="13"/>
      <c r="AD68" s="53" t="s">
        <v>116</v>
      </c>
    </row>
    <row r="69" spans="1:30" ht="19.5" thickBot="1" x14ac:dyDescent="0.3">
      <c r="A69" s="14">
        <v>2</v>
      </c>
      <c r="B69" s="15"/>
      <c r="C69" s="15" t="e">
        <f>VLOOKUP(B69,داتا!$B$3:$D$107,2,FALSE)</f>
        <v>#N/A</v>
      </c>
      <c r="D69" s="34" t="e">
        <f>VLOOKUP(B69,داتا!$B$3:$D$107,3,FALSE)</f>
        <v>#N/A</v>
      </c>
      <c r="E69" s="15"/>
      <c r="F69" s="15"/>
      <c r="G69" s="16">
        <v>8.3333333333333329E-2</v>
      </c>
      <c r="H69" s="16" t="e">
        <f t="shared" ref="H69:H84" si="16">VLOOKUP(G69,$F$3:$I$35,2,FALSE)</f>
        <v>#N/A</v>
      </c>
      <c r="I69" s="16" t="e">
        <f t="shared" si="10"/>
        <v>#N/A</v>
      </c>
      <c r="J69" s="16"/>
      <c r="K69" s="16"/>
      <c r="L69" s="16"/>
      <c r="M69" s="16"/>
      <c r="N69" s="16">
        <f t="shared" si="11"/>
        <v>0</v>
      </c>
      <c r="O69" s="16" t="e">
        <f t="shared" si="12"/>
        <v>#N/A</v>
      </c>
      <c r="P69" s="16">
        <v>6.9444444444444397E-3</v>
      </c>
      <c r="Q69" s="16"/>
      <c r="R69" s="16">
        <f t="shared" si="13"/>
        <v>-6.9444444444444397E-3</v>
      </c>
      <c r="S69" s="16"/>
      <c r="T69" s="16" t="e">
        <f>VLOOKUP(E69,'[2]21-3-2026'!E$3:T$35,16,FALSE)</f>
        <v>#N/A</v>
      </c>
      <c r="U69" s="16"/>
      <c r="V69" s="16" t="e">
        <f t="shared" si="14"/>
        <v>#N/A</v>
      </c>
      <c r="W69" s="16"/>
      <c r="X69" s="16"/>
      <c r="Y69" s="16"/>
      <c r="Z69" s="16">
        <f t="shared" si="15"/>
        <v>0</v>
      </c>
      <c r="AA69" s="16">
        <f t="shared" si="9"/>
        <v>0</v>
      </c>
      <c r="AB69" s="16"/>
      <c r="AC69" s="17"/>
      <c r="AD69" s="51"/>
    </row>
    <row r="70" spans="1:30" ht="19.5" thickBot="1" x14ac:dyDescent="0.3">
      <c r="A70" s="14">
        <v>3</v>
      </c>
      <c r="B70" s="15"/>
      <c r="C70" s="15" t="e">
        <f>VLOOKUP(B70,داتا!$B$3:$D$107,2,FALSE)</f>
        <v>#N/A</v>
      </c>
      <c r="D70" s="34" t="e">
        <f>VLOOKUP(B70,داتا!$B$3:$D$107,3,FALSE)</f>
        <v>#N/A</v>
      </c>
      <c r="E70" s="15"/>
      <c r="F70" s="15"/>
      <c r="G70" s="16">
        <v>8.3333333333333329E-2</v>
      </c>
      <c r="H70" s="16" t="e">
        <f t="shared" si="16"/>
        <v>#N/A</v>
      </c>
      <c r="I70" s="16" t="e">
        <f t="shared" si="10"/>
        <v>#N/A</v>
      </c>
      <c r="J70" s="16"/>
      <c r="K70" s="16"/>
      <c r="L70" s="16"/>
      <c r="M70" s="16"/>
      <c r="N70" s="16">
        <f t="shared" si="11"/>
        <v>0</v>
      </c>
      <c r="O70" s="16" t="e">
        <f t="shared" si="12"/>
        <v>#N/A</v>
      </c>
      <c r="P70" s="16">
        <v>6.9444444444444397E-3</v>
      </c>
      <c r="Q70" s="16"/>
      <c r="R70" s="16">
        <f t="shared" si="13"/>
        <v>-6.9444444444444397E-3</v>
      </c>
      <c r="S70" s="16"/>
      <c r="T70" s="16" t="e">
        <f>VLOOKUP(E70,'[2]21-3-2026'!E$3:T$35,16,FALSE)</f>
        <v>#N/A</v>
      </c>
      <c r="U70" s="16"/>
      <c r="V70" s="16" t="e">
        <f t="shared" si="14"/>
        <v>#N/A</v>
      </c>
      <c r="W70" s="16"/>
      <c r="X70" s="16"/>
      <c r="Y70" s="16"/>
      <c r="Z70" s="16">
        <f t="shared" si="15"/>
        <v>0</v>
      </c>
      <c r="AA70" s="16">
        <f t="shared" si="9"/>
        <v>0</v>
      </c>
      <c r="AB70" s="16"/>
      <c r="AC70" s="17"/>
      <c r="AD70" s="51"/>
    </row>
    <row r="71" spans="1:30" ht="19.5" thickBot="1" x14ac:dyDescent="0.3">
      <c r="A71" s="14">
        <v>4</v>
      </c>
      <c r="B71" s="15"/>
      <c r="C71" s="15" t="e">
        <f>VLOOKUP(B71,داتا!$B$3:$D$107,2,FALSE)</f>
        <v>#N/A</v>
      </c>
      <c r="D71" s="34" t="e">
        <f>VLOOKUP(B71,داتا!$B$3:$D$107,3,FALSE)</f>
        <v>#N/A</v>
      </c>
      <c r="E71" s="15"/>
      <c r="F71" s="15"/>
      <c r="G71" s="16">
        <v>8.3333333333333329E-2</v>
      </c>
      <c r="H71" s="16" t="e">
        <f t="shared" si="16"/>
        <v>#N/A</v>
      </c>
      <c r="I71" s="16" t="e">
        <f t="shared" si="10"/>
        <v>#N/A</v>
      </c>
      <c r="J71" s="16"/>
      <c r="K71" s="16"/>
      <c r="L71" s="16"/>
      <c r="M71" s="16"/>
      <c r="N71" s="16">
        <f t="shared" si="11"/>
        <v>0</v>
      </c>
      <c r="O71" s="16" t="e">
        <f t="shared" si="12"/>
        <v>#N/A</v>
      </c>
      <c r="P71" s="16">
        <v>6.9444444444444397E-3</v>
      </c>
      <c r="Q71" s="16"/>
      <c r="R71" s="16">
        <f t="shared" si="13"/>
        <v>-6.9444444444444397E-3</v>
      </c>
      <c r="S71" s="16"/>
      <c r="T71" s="16" t="e">
        <f>VLOOKUP(E71,'[2]21-3-2026'!E$3:T$35,16,FALSE)</f>
        <v>#N/A</v>
      </c>
      <c r="U71" s="16"/>
      <c r="V71" s="16" t="e">
        <f t="shared" si="14"/>
        <v>#N/A</v>
      </c>
      <c r="W71" s="16"/>
      <c r="X71" s="16"/>
      <c r="Y71" s="16"/>
      <c r="Z71" s="16">
        <f t="shared" si="15"/>
        <v>0</v>
      </c>
      <c r="AA71" s="16">
        <f t="shared" si="9"/>
        <v>0</v>
      </c>
      <c r="AB71" s="16"/>
      <c r="AC71" s="17"/>
      <c r="AD71" s="51"/>
    </row>
    <row r="72" spans="1:30" ht="19.5" thickBot="1" x14ac:dyDescent="0.3">
      <c r="A72" s="14">
        <v>5</v>
      </c>
      <c r="B72" s="15"/>
      <c r="C72" s="15" t="e">
        <f>VLOOKUP(B72,داتا!$B$3:$D$107,2,FALSE)</f>
        <v>#N/A</v>
      </c>
      <c r="D72" s="34" t="e">
        <f>VLOOKUP(B72,داتا!$B$3:$D$107,3,FALSE)</f>
        <v>#N/A</v>
      </c>
      <c r="E72" s="15"/>
      <c r="F72" s="15"/>
      <c r="G72" s="16">
        <v>8.3333333333333329E-2</v>
      </c>
      <c r="H72" s="16" t="e">
        <f t="shared" si="16"/>
        <v>#N/A</v>
      </c>
      <c r="I72" s="16" t="e">
        <f t="shared" si="10"/>
        <v>#N/A</v>
      </c>
      <c r="J72" s="16"/>
      <c r="K72" s="16"/>
      <c r="L72" s="16"/>
      <c r="M72" s="16"/>
      <c r="N72" s="16">
        <f t="shared" si="11"/>
        <v>0</v>
      </c>
      <c r="O72" s="16" t="e">
        <f t="shared" si="12"/>
        <v>#N/A</v>
      </c>
      <c r="P72" s="16">
        <v>6.9444444444444397E-3</v>
      </c>
      <c r="Q72" s="16"/>
      <c r="R72" s="16">
        <f t="shared" si="13"/>
        <v>-6.9444444444444397E-3</v>
      </c>
      <c r="S72" s="16"/>
      <c r="T72" s="16" t="e">
        <f>VLOOKUP(E72,'[2]21-3-2026'!E$3:T$35,16,FALSE)</f>
        <v>#N/A</v>
      </c>
      <c r="U72" s="16"/>
      <c r="V72" s="16" t="e">
        <f t="shared" si="14"/>
        <v>#N/A</v>
      </c>
      <c r="W72" s="16"/>
      <c r="X72" s="16"/>
      <c r="Y72" s="16"/>
      <c r="Z72" s="16">
        <f t="shared" si="15"/>
        <v>0</v>
      </c>
      <c r="AA72" s="16">
        <f t="shared" si="9"/>
        <v>0</v>
      </c>
      <c r="AB72" s="16"/>
      <c r="AC72" s="17"/>
      <c r="AD72" s="51"/>
    </row>
    <row r="73" spans="1:30" ht="19.5" thickBot="1" x14ac:dyDescent="0.3">
      <c r="A73" s="14">
        <v>6</v>
      </c>
      <c r="B73" s="15"/>
      <c r="C73" s="15" t="e">
        <f>VLOOKUP(B73,داتا!$B$3:$D$107,2,FALSE)</f>
        <v>#N/A</v>
      </c>
      <c r="D73" s="34" t="e">
        <f>VLOOKUP(B73,داتا!$B$3:$D$107,3,FALSE)</f>
        <v>#N/A</v>
      </c>
      <c r="E73" s="15"/>
      <c r="F73" s="15"/>
      <c r="G73" s="16">
        <v>8.3333333333333329E-2</v>
      </c>
      <c r="H73" s="16" t="e">
        <f t="shared" si="16"/>
        <v>#N/A</v>
      </c>
      <c r="I73" s="16" t="e">
        <f t="shared" si="10"/>
        <v>#N/A</v>
      </c>
      <c r="J73" s="16"/>
      <c r="K73" s="16"/>
      <c r="L73" s="16"/>
      <c r="M73" s="16"/>
      <c r="N73" s="16">
        <f t="shared" si="11"/>
        <v>0</v>
      </c>
      <c r="O73" s="16" t="e">
        <f t="shared" si="12"/>
        <v>#N/A</v>
      </c>
      <c r="P73" s="16">
        <v>6.9444444444444397E-3</v>
      </c>
      <c r="Q73" s="16"/>
      <c r="R73" s="16">
        <f t="shared" si="13"/>
        <v>-6.9444444444444397E-3</v>
      </c>
      <c r="S73" s="16"/>
      <c r="T73" s="16" t="e">
        <f>VLOOKUP(E73,'[2]21-3-2026'!E$3:T$35,16,FALSE)</f>
        <v>#N/A</v>
      </c>
      <c r="U73" s="16"/>
      <c r="V73" s="16" t="e">
        <f t="shared" si="14"/>
        <v>#N/A</v>
      </c>
      <c r="W73" s="16"/>
      <c r="X73" s="16"/>
      <c r="Y73" s="16"/>
      <c r="Z73" s="16">
        <f t="shared" si="15"/>
        <v>0</v>
      </c>
      <c r="AA73" s="16">
        <f t="shared" si="9"/>
        <v>0</v>
      </c>
      <c r="AB73" s="16"/>
      <c r="AC73" s="17"/>
      <c r="AD73" s="51"/>
    </row>
    <row r="74" spans="1:30" ht="19.5" thickBot="1" x14ac:dyDescent="0.3">
      <c r="A74" s="14">
        <v>7</v>
      </c>
      <c r="B74" s="15"/>
      <c r="C74" s="15" t="e">
        <f>VLOOKUP(B74,داتا!$B$3:$D$107,2,FALSE)</f>
        <v>#N/A</v>
      </c>
      <c r="D74" s="34" t="e">
        <f>VLOOKUP(B74,داتا!$B$3:$D$107,3,FALSE)</f>
        <v>#N/A</v>
      </c>
      <c r="E74" s="15"/>
      <c r="F74" s="15"/>
      <c r="G74" s="16">
        <v>8.3333333333333329E-2</v>
      </c>
      <c r="H74" s="16" t="e">
        <f t="shared" si="16"/>
        <v>#N/A</v>
      </c>
      <c r="I74" s="16" t="e">
        <f t="shared" si="10"/>
        <v>#N/A</v>
      </c>
      <c r="J74" s="16"/>
      <c r="K74" s="16"/>
      <c r="L74" s="16"/>
      <c r="M74" s="16"/>
      <c r="N74" s="16">
        <f t="shared" si="11"/>
        <v>0</v>
      </c>
      <c r="O74" s="16" t="e">
        <f t="shared" si="12"/>
        <v>#N/A</v>
      </c>
      <c r="P74" s="16">
        <v>6.9444444444444397E-3</v>
      </c>
      <c r="Q74" s="16"/>
      <c r="R74" s="16">
        <f t="shared" si="13"/>
        <v>-6.9444444444444397E-3</v>
      </c>
      <c r="S74" s="16"/>
      <c r="T74" s="16" t="e">
        <f>VLOOKUP(E74,'[2]21-3-2026'!E$3:T$35,16,FALSE)</f>
        <v>#N/A</v>
      </c>
      <c r="U74" s="16"/>
      <c r="V74" s="16" t="e">
        <f t="shared" si="14"/>
        <v>#N/A</v>
      </c>
      <c r="W74" s="16"/>
      <c r="X74" s="16"/>
      <c r="Y74" s="16"/>
      <c r="Z74" s="16">
        <f t="shared" si="15"/>
        <v>0</v>
      </c>
      <c r="AA74" s="16">
        <f t="shared" si="9"/>
        <v>0</v>
      </c>
      <c r="AB74" s="16"/>
      <c r="AC74" s="17"/>
      <c r="AD74" s="51"/>
    </row>
    <row r="75" spans="1:30" ht="19.5" thickBot="1" x14ac:dyDescent="0.3">
      <c r="A75" s="14">
        <v>8</v>
      </c>
      <c r="B75" s="15"/>
      <c r="C75" s="15" t="e">
        <f>VLOOKUP(B75,داتا!$B$3:$D$107,2,FALSE)</f>
        <v>#N/A</v>
      </c>
      <c r="D75" s="34" t="e">
        <f>VLOOKUP(B75,داتا!$B$3:$D$107,3,FALSE)</f>
        <v>#N/A</v>
      </c>
      <c r="E75" s="15"/>
      <c r="F75" s="15"/>
      <c r="G75" s="16">
        <v>8.3333333333333329E-2</v>
      </c>
      <c r="H75" s="16" t="e">
        <f t="shared" si="16"/>
        <v>#N/A</v>
      </c>
      <c r="I75" s="16" t="e">
        <f t="shared" si="10"/>
        <v>#N/A</v>
      </c>
      <c r="J75" s="16"/>
      <c r="K75" s="16"/>
      <c r="L75" s="16"/>
      <c r="M75" s="16"/>
      <c r="N75" s="16">
        <f t="shared" si="11"/>
        <v>0</v>
      </c>
      <c r="O75" s="16" t="e">
        <f t="shared" si="12"/>
        <v>#N/A</v>
      </c>
      <c r="P75" s="16">
        <v>6.9444444444444397E-3</v>
      </c>
      <c r="Q75" s="16"/>
      <c r="R75" s="16">
        <f t="shared" si="13"/>
        <v>-6.9444444444444397E-3</v>
      </c>
      <c r="S75" s="16"/>
      <c r="T75" s="16" t="e">
        <f>VLOOKUP(E75,'[2]21-3-2026'!E$3:T$35,16,FALSE)</f>
        <v>#N/A</v>
      </c>
      <c r="U75" s="16"/>
      <c r="V75" s="16" t="e">
        <f t="shared" si="14"/>
        <v>#N/A</v>
      </c>
      <c r="W75" s="16"/>
      <c r="X75" s="16"/>
      <c r="Y75" s="16"/>
      <c r="Z75" s="16">
        <f t="shared" si="15"/>
        <v>0</v>
      </c>
      <c r="AA75" s="16">
        <f t="shared" si="9"/>
        <v>0</v>
      </c>
      <c r="AB75" s="16"/>
      <c r="AC75" s="17"/>
      <c r="AD75" s="51"/>
    </row>
    <row r="76" spans="1:30" ht="19.5" thickBot="1" x14ac:dyDescent="0.3">
      <c r="A76" s="14">
        <v>9</v>
      </c>
      <c r="B76" s="15"/>
      <c r="C76" s="15" t="e">
        <f>VLOOKUP(B76,داتا!$B$3:$D$107,2,FALSE)</f>
        <v>#N/A</v>
      </c>
      <c r="D76" s="34" t="e">
        <f>VLOOKUP(B76,داتا!$B$3:$D$107,3,FALSE)</f>
        <v>#N/A</v>
      </c>
      <c r="E76" s="16"/>
      <c r="F76" s="15"/>
      <c r="G76" s="16">
        <v>8.3333333333333329E-2</v>
      </c>
      <c r="H76" s="16" t="e">
        <f t="shared" si="16"/>
        <v>#N/A</v>
      </c>
      <c r="I76" s="16" t="e">
        <f t="shared" si="10"/>
        <v>#N/A</v>
      </c>
      <c r="J76" s="16"/>
      <c r="K76" s="16"/>
      <c r="L76" s="16"/>
      <c r="M76" s="16"/>
      <c r="N76" s="16">
        <f t="shared" si="11"/>
        <v>0</v>
      </c>
      <c r="O76" s="16" t="e">
        <f t="shared" si="12"/>
        <v>#N/A</v>
      </c>
      <c r="P76" s="16">
        <v>6.9444444444444397E-3</v>
      </c>
      <c r="Q76" s="16"/>
      <c r="R76" s="16">
        <f t="shared" si="13"/>
        <v>-6.9444444444444397E-3</v>
      </c>
      <c r="S76" s="16"/>
      <c r="T76" s="16" t="e">
        <f>VLOOKUP(E76,'[2]21-3-2026'!E$3:T$35,16,FALSE)</f>
        <v>#N/A</v>
      </c>
      <c r="U76" s="16"/>
      <c r="V76" s="16" t="e">
        <f t="shared" si="14"/>
        <v>#N/A</v>
      </c>
      <c r="W76" s="16"/>
      <c r="X76" s="16"/>
      <c r="Y76" s="16"/>
      <c r="Z76" s="16">
        <f t="shared" si="15"/>
        <v>0</v>
      </c>
      <c r="AA76" s="16">
        <f t="shared" si="9"/>
        <v>0</v>
      </c>
      <c r="AB76" s="16"/>
      <c r="AC76" s="17"/>
      <c r="AD76" s="51"/>
    </row>
    <row r="77" spans="1:30" ht="19.5" thickBot="1" x14ac:dyDescent="0.3">
      <c r="A77" s="14">
        <v>10</v>
      </c>
      <c r="B77" s="15"/>
      <c r="C77" s="15" t="e">
        <f>VLOOKUP(B77,داتا!$B$3:$D$107,2,FALSE)</f>
        <v>#N/A</v>
      </c>
      <c r="D77" s="34" t="e">
        <f>VLOOKUP(B77,داتا!$B$3:$D$107,3,FALSE)</f>
        <v>#N/A</v>
      </c>
      <c r="E77" s="15"/>
      <c r="F77" s="15"/>
      <c r="G77" s="16">
        <v>8.3333333333333329E-2</v>
      </c>
      <c r="H77" s="16" t="e">
        <f t="shared" si="16"/>
        <v>#N/A</v>
      </c>
      <c r="I77" s="16" t="e">
        <f t="shared" si="10"/>
        <v>#N/A</v>
      </c>
      <c r="J77" s="16"/>
      <c r="K77" s="16"/>
      <c r="L77" s="16"/>
      <c r="M77" s="16"/>
      <c r="N77" s="16">
        <f t="shared" si="11"/>
        <v>0</v>
      </c>
      <c r="O77" s="16" t="e">
        <f t="shared" si="12"/>
        <v>#N/A</v>
      </c>
      <c r="P77" s="16">
        <v>6.9444444444444397E-3</v>
      </c>
      <c r="Q77" s="16"/>
      <c r="R77" s="16">
        <f t="shared" si="13"/>
        <v>-6.9444444444444397E-3</v>
      </c>
      <c r="S77" s="16"/>
      <c r="T77" s="16" t="e">
        <f>VLOOKUP(E77,'[2]21-3-2026'!E$3:T$35,16,FALSE)</f>
        <v>#N/A</v>
      </c>
      <c r="U77" s="16"/>
      <c r="V77" s="16" t="e">
        <f t="shared" si="14"/>
        <v>#N/A</v>
      </c>
      <c r="W77" s="16"/>
      <c r="X77" s="16"/>
      <c r="Y77" s="16"/>
      <c r="Z77" s="16">
        <f t="shared" si="15"/>
        <v>0</v>
      </c>
      <c r="AA77" s="16">
        <f t="shared" si="9"/>
        <v>0</v>
      </c>
      <c r="AB77" s="16"/>
      <c r="AC77" s="17"/>
      <c r="AD77" s="51"/>
    </row>
    <row r="78" spans="1:30" ht="19.5" thickBot="1" x14ac:dyDescent="0.3">
      <c r="A78" s="14">
        <v>11</v>
      </c>
      <c r="B78" s="15"/>
      <c r="C78" s="15" t="e">
        <f>VLOOKUP(B78,داتا!$B$3:$D$107,2,FALSE)</f>
        <v>#N/A</v>
      </c>
      <c r="D78" s="34" t="e">
        <f>VLOOKUP(B78,داتا!$B$3:$D$107,3,FALSE)</f>
        <v>#N/A</v>
      </c>
      <c r="E78" s="15"/>
      <c r="F78" s="15"/>
      <c r="G78" s="16">
        <v>8.3333333333333329E-2</v>
      </c>
      <c r="H78" s="16" t="e">
        <f t="shared" si="16"/>
        <v>#N/A</v>
      </c>
      <c r="I78" s="16" t="e">
        <f t="shared" si="10"/>
        <v>#N/A</v>
      </c>
      <c r="J78" s="16"/>
      <c r="K78" s="16"/>
      <c r="L78" s="16"/>
      <c r="M78" s="16"/>
      <c r="N78" s="16">
        <f t="shared" si="11"/>
        <v>0</v>
      </c>
      <c r="O78" s="16" t="e">
        <f t="shared" si="12"/>
        <v>#N/A</v>
      </c>
      <c r="P78" s="16">
        <v>6.9444444444444397E-3</v>
      </c>
      <c r="Q78" s="16"/>
      <c r="R78" s="16">
        <f t="shared" si="13"/>
        <v>-6.9444444444444397E-3</v>
      </c>
      <c r="S78" s="16"/>
      <c r="T78" s="16" t="e">
        <f>VLOOKUP(E78,'[2]21-3-2026'!E$3:T$35,16,FALSE)</f>
        <v>#N/A</v>
      </c>
      <c r="U78" s="16"/>
      <c r="V78" s="16" t="e">
        <f t="shared" si="14"/>
        <v>#N/A</v>
      </c>
      <c r="W78" s="16"/>
      <c r="X78" s="16"/>
      <c r="Y78" s="16"/>
      <c r="Z78" s="16">
        <f t="shared" si="15"/>
        <v>0</v>
      </c>
      <c r="AA78" s="16">
        <f t="shared" si="9"/>
        <v>0</v>
      </c>
      <c r="AB78" s="16"/>
      <c r="AC78" s="17"/>
      <c r="AD78" s="51"/>
    </row>
    <row r="79" spans="1:30" ht="19.5" thickBot="1" x14ac:dyDescent="0.3">
      <c r="A79" s="14">
        <v>12</v>
      </c>
      <c r="B79" s="15"/>
      <c r="C79" s="15" t="e">
        <f>VLOOKUP(B79,داتا!$B$3:$D$107,2,FALSE)</f>
        <v>#N/A</v>
      </c>
      <c r="D79" s="34" t="e">
        <f>VLOOKUP(B79,داتا!$B$3:$D$107,3,FALSE)</f>
        <v>#N/A</v>
      </c>
      <c r="E79" s="15"/>
      <c r="F79" s="15"/>
      <c r="G79" s="16">
        <v>8.3333333333333329E-2</v>
      </c>
      <c r="H79" s="16" t="e">
        <f t="shared" si="16"/>
        <v>#N/A</v>
      </c>
      <c r="I79" s="16" t="e">
        <f t="shared" si="10"/>
        <v>#N/A</v>
      </c>
      <c r="J79" s="16"/>
      <c r="K79" s="16"/>
      <c r="L79" s="16"/>
      <c r="M79" s="16"/>
      <c r="N79" s="16">
        <f t="shared" si="11"/>
        <v>0</v>
      </c>
      <c r="O79" s="16" t="e">
        <f t="shared" si="12"/>
        <v>#N/A</v>
      </c>
      <c r="P79" s="16">
        <v>6.9444444444444397E-3</v>
      </c>
      <c r="Q79" s="16"/>
      <c r="R79" s="16">
        <f t="shared" si="13"/>
        <v>-6.9444444444444397E-3</v>
      </c>
      <c r="S79" s="16"/>
      <c r="T79" s="16" t="e">
        <f>VLOOKUP(E79,'[2]21-3-2026'!E$3:T$35,16,FALSE)</f>
        <v>#N/A</v>
      </c>
      <c r="U79" s="16"/>
      <c r="V79" s="16" t="e">
        <f t="shared" si="14"/>
        <v>#N/A</v>
      </c>
      <c r="W79" s="16"/>
      <c r="X79" s="16"/>
      <c r="Y79" s="16"/>
      <c r="Z79" s="16">
        <f t="shared" si="15"/>
        <v>0</v>
      </c>
      <c r="AA79" s="16">
        <f t="shared" si="9"/>
        <v>0</v>
      </c>
      <c r="AB79" s="16"/>
      <c r="AC79" s="17"/>
      <c r="AD79" s="51"/>
    </row>
    <row r="80" spans="1:30" ht="19.5" thickBot="1" x14ac:dyDescent="0.3">
      <c r="A80" s="14">
        <v>13</v>
      </c>
      <c r="B80" s="15"/>
      <c r="C80" s="15" t="e">
        <f>VLOOKUP(B80,داتا!$B$3:$D$107,2,FALSE)</f>
        <v>#N/A</v>
      </c>
      <c r="D80" s="34" t="e">
        <f>VLOOKUP(B80,داتا!$B$3:$D$107,3,FALSE)</f>
        <v>#N/A</v>
      </c>
      <c r="E80" s="15"/>
      <c r="F80" s="15"/>
      <c r="G80" s="16">
        <v>8.3333333333333329E-2</v>
      </c>
      <c r="H80" s="16" t="e">
        <f t="shared" si="16"/>
        <v>#N/A</v>
      </c>
      <c r="I80" s="16" t="e">
        <f t="shared" si="10"/>
        <v>#N/A</v>
      </c>
      <c r="J80" s="16"/>
      <c r="K80" s="16"/>
      <c r="L80" s="16"/>
      <c r="M80" s="16"/>
      <c r="N80" s="16">
        <f t="shared" si="11"/>
        <v>0</v>
      </c>
      <c r="O80" s="16" t="e">
        <f t="shared" si="12"/>
        <v>#N/A</v>
      </c>
      <c r="P80" s="16">
        <v>6.9444444444444397E-3</v>
      </c>
      <c r="Q80" s="16"/>
      <c r="R80" s="16">
        <f t="shared" si="13"/>
        <v>-6.9444444444444397E-3</v>
      </c>
      <c r="S80" s="16"/>
      <c r="T80" s="16" t="e">
        <f>VLOOKUP(E80,'[2]21-3-2026'!E$3:T$35,16,FALSE)</f>
        <v>#N/A</v>
      </c>
      <c r="U80" s="16"/>
      <c r="V80" s="16" t="e">
        <f t="shared" si="14"/>
        <v>#N/A</v>
      </c>
      <c r="W80" s="16"/>
      <c r="X80" s="16"/>
      <c r="Y80" s="16"/>
      <c r="Z80" s="16">
        <f t="shared" si="15"/>
        <v>0</v>
      </c>
      <c r="AA80" s="16">
        <f t="shared" si="9"/>
        <v>0</v>
      </c>
      <c r="AB80" s="16"/>
      <c r="AC80" s="17"/>
      <c r="AD80" s="51"/>
    </row>
    <row r="81" spans="1:30" ht="19.5" thickBot="1" x14ac:dyDescent="0.3">
      <c r="A81" s="14">
        <v>14</v>
      </c>
      <c r="B81" s="15"/>
      <c r="C81" s="15" t="e">
        <f>VLOOKUP(B81,داتا!$B$3:$D$107,2,FALSE)</f>
        <v>#N/A</v>
      </c>
      <c r="D81" s="34" t="e">
        <f>VLOOKUP(B81,داتا!$B$3:$D$107,3,FALSE)</f>
        <v>#N/A</v>
      </c>
      <c r="E81" s="15"/>
      <c r="F81" s="15"/>
      <c r="G81" s="16">
        <v>8.3333333333333329E-2</v>
      </c>
      <c r="H81" s="16" t="e">
        <f t="shared" si="16"/>
        <v>#N/A</v>
      </c>
      <c r="I81" s="16" t="e">
        <f t="shared" si="10"/>
        <v>#N/A</v>
      </c>
      <c r="J81" s="16"/>
      <c r="K81" s="16"/>
      <c r="L81" s="16"/>
      <c r="M81" s="16"/>
      <c r="N81" s="16">
        <f t="shared" si="11"/>
        <v>0</v>
      </c>
      <c r="O81" s="16" t="e">
        <f t="shared" si="12"/>
        <v>#N/A</v>
      </c>
      <c r="P81" s="16">
        <v>6.9444444444444397E-3</v>
      </c>
      <c r="Q81" s="16"/>
      <c r="R81" s="16">
        <f t="shared" si="13"/>
        <v>-6.9444444444444397E-3</v>
      </c>
      <c r="S81" s="16"/>
      <c r="T81" s="16" t="e">
        <f>VLOOKUP(E81,'[2]21-3-2026'!E$3:T$35,16,FALSE)</f>
        <v>#N/A</v>
      </c>
      <c r="U81" s="16"/>
      <c r="V81" s="16" t="e">
        <f t="shared" si="14"/>
        <v>#N/A</v>
      </c>
      <c r="W81" s="16"/>
      <c r="X81" s="16"/>
      <c r="Y81" s="16"/>
      <c r="Z81" s="16">
        <f t="shared" si="15"/>
        <v>0</v>
      </c>
      <c r="AA81" s="16">
        <f t="shared" si="9"/>
        <v>0</v>
      </c>
      <c r="AB81" s="16"/>
      <c r="AC81" s="17"/>
      <c r="AD81" s="51"/>
    </row>
    <row r="82" spans="1:30" ht="19.5" thickBot="1" x14ac:dyDescent="0.3">
      <c r="A82" s="14">
        <v>15</v>
      </c>
      <c r="B82" s="15"/>
      <c r="C82" s="15" t="e">
        <f>VLOOKUP(B82,داتا!$B$3:$D$107,2,FALSE)</f>
        <v>#N/A</v>
      </c>
      <c r="D82" s="34" t="e">
        <f>VLOOKUP(B82,داتا!$B$3:$D$107,3,FALSE)</f>
        <v>#N/A</v>
      </c>
      <c r="E82" s="15"/>
      <c r="F82" s="15"/>
      <c r="G82" s="16">
        <v>8.3333333333333329E-2</v>
      </c>
      <c r="H82" s="16" t="e">
        <f t="shared" si="16"/>
        <v>#N/A</v>
      </c>
      <c r="I82" s="16" t="e">
        <f t="shared" si="10"/>
        <v>#N/A</v>
      </c>
      <c r="J82" s="16"/>
      <c r="K82" s="16"/>
      <c r="L82" s="16"/>
      <c r="M82" s="16"/>
      <c r="N82" s="16">
        <f t="shared" si="11"/>
        <v>0</v>
      </c>
      <c r="O82" s="16" t="e">
        <f t="shared" si="12"/>
        <v>#N/A</v>
      </c>
      <c r="P82" s="16">
        <v>6.9444444444444397E-3</v>
      </c>
      <c r="Q82" s="16"/>
      <c r="R82" s="16">
        <f t="shared" si="13"/>
        <v>-6.9444444444444397E-3</v>
      </c>
      <c r="S82" s="16"/>
      <c r="T82" s="16" t="e">
        <f>VLOOKUP(E82,'[2]21-3-2026'!E$3:T$35,16,FALSE)</f>
        <v>#N/A</v>
      </c>
      <c r="U82" s="16"/>
      <c r="V82" s="16" t="e">
        <f t="shared" si="14"/>
        <v>#N/A</v>
      </c>
      <c r="W82" s="16"/>
      <c r="X82" s="16"/>
      <c r="Y82" s="16"/>
      <c r="Z82" s="16">
        <f t="shared" si="15"/>
        <v>0</v>
      </c>
      <c r="AA82" s="16">
        <f t="shared" si="9"/>
        <v>0</v>
      </c>
      <c r="AB82" s="16"/>
      <c r="AC82" s="17"/>
      <c r="AD82" s="51"/>
    </row>
    <row r="83" spans="1:30" ht="19.5" thickBot="1" x14ac:dyDescent="0.3">
      <c r="A83" s="14">
        <v>16</v>
      </c>
      <c r="B83" s="15"/>
      <c r="C83" s="15" t="e">
        <f>VLOOKUP(B83,داتا!$B$3:$D$107,2,FALSE)</f>
        <v>#N/A</v>
      </c>
      <c r="D83" s="34" t="e">
        <f>VLOOKUP(B83,داتا!$B$3:$D$107,3,FALSE)</f>
        <v>#N/A</v>
      </c>
      <c r="E83" s="15"/>
      <c r="F83" s="15"/>
      <c r="G83" s="16">
        <v>8.3333333333333329E-2</v>
      </c>
      <c r="H83" s="16" t="e">
        <f t="shared" si="16"/>
        <v>#N/A</v>
      </c>
      <c r="I83" s="16" t="e">
        <f t="shared" si="10"/>
        <v>#N/A</v>
      </c>
      <c r="J83" s="16"/>
      <c r="K83" s="16"/>
      <c r="L83" s="16"/>
      <c r="M83" s="16"/>
      <c r="N83" s="16">
        <f t="shared" si="11"/>
        <v>0</v>
      </c>
      <c r="O83" s="16" t="e">
        <f t="shared" si="12"/>
        <v>#N/A</v>
      </c>
      <c r="P83" s="16">
        <v>6.9444444444444397E-3</v>
      </c>
      <c r="Q83" s="16"/>
      <c r="R83" s="16">
        <f t="shared" si="13"/>
        <v>-6.9444444444444397E-3</v>
      </c>
      <c r="S83" s="16"/>
      <c r="T83" s="16" t="e">
        <f>VLOOKUP(E83,'[2]21-3-2026'!E$3:T$35,16,FALSE)</f>
        <v>#N/A</v>
      </c>
      <c r="U83" s="16"/>
      <c r="V83" s="16" t="e">
        <f t="shared" si="14"/>
        <v>#N/A</v>
      </c>
      <c r="W83" s="16"/>
      <c r="X83" s="16"/>
      <c r="Y83" s="16"/>
      <c r="Z83" s="16">
        <f t="shared" si="15"/>
        <v>0</v>
      </c>
      <c r="AA83" s="16">
        <f t="shared" si="9"/>
        <v>0</v>
      </c>
      <c r="AB83" s="16"/>
      <c r="AC83" s="17"/>
      <c r="AD83" s="51"/>
    </row>
    <row r="84" spans="1:30" ht="19.5" thickBot="1" x14ac:dyDescent="0.3">
      <c r="A84" s="14">
        <v>17</v>
      </c>
      <c r="B84" s="15"/>
      <c r="C84" s="15" t="e">
        <f>VLOOKUP(B84,داتا!$B$3:$D$107,2,FALSE)</f>
        <v>#N/A</v>
      </c>
      <c r="D84" s="34" t="e">
        <f>VLOOKUP(B84,داتا!$B$3:$D$107,3,FALSE)</f>
        <v>#N/A</v>
      </c>
      <c r="E84" s="15"/>
      <c r="F84" s="15"/>
      <c r="G84" s="16">
        <v>8.3333333333333329E-2</v>
      </c>
      <c r="H84" s="16" t="e">
        <f t="shared" si="16"/>
        <v>#N/A</v>
      </c>
      <c r="I84" s="16" t="e">
        <f t="shared" si="10"/>
        <v>#N/A</v>
      </c>
      <c r="J84" s="16"/>
      <c r="K84" s="16"/>
      <c r="L84" s="16"/>
      <c r="M84" s="16"/>
      <c r="N84" s="16">
        <f t="shared" si="11"/>
        <v>0</v>
      </c>
      <c r="O84" s="16" t="e">
        <f t="shared" si="12"/>
        <v>#N/A</v>
      </c>
      <c r="P84" s="16">
        <v>6.9444444444444397E-3</v>
      </c>
      <c r="Q84" s="16"/>
      <c r="R84" s="16">
        <f t="shared" si="13"/>
        <v>-6.9444444444444397E-3</v>
      </c>
      <c r="S84" s="16"/>
      <c r="T84" s="16" t="e">
        <f>VLOOKUP(E84,'[2]21-3-2026'!E$3:T$35,16,FALSE)</f>
        <v>#N/A</v>
      </c>
      <c r="U84" s="16"/>
      <c r="V84" s="16" t="e">
        <f t="shared" si="14"/>
        <v>#N/A</v>
      </c>
      <c r="W84" s="16"/>
      <c r="X84" s="16"/>
      <c r="Y84" s="16"/>
      <c r="Z84" s="16">
        <f t="shared" si="15"/>
        <v>0</v>
      </c>
      <c r="AA84" s="16">
        <f t="shared" si="9"/>
        <v>0</v>
      </c>
      <c r="AB84" s="16"/>
      <c r="AC84" s="17"/>
      <c r="AD84" s="51"/>
    </row>
    <row r="85" spans="1:30" ht="19.5" thickBot="1" x14ac:dyDescent="0.3">
      <c r="A85" s="14">
        <v>18</v>
      </c>
      <c r="B85" s="15"/>
      <c r="C85" s="15" t="e">
        <f>VLOOKUP(B85,داتا!$B$3:$D$107,2,FALSE)</f>
        <v>#N/A</v>
      </c>
      <c r="D85" s="34" t="e">
        <f>VLOOKUP(B85,داتا!$B$3:$D$107,3,FALSE)</f>
        <v>#N/A</v>
      </c>
      <c r="E85" s="15"/>
      <c r="F85" s="15"/>
      <c r="G85" s="16">
        <v>8.3333333333333329E-2</v>
      </c>
      <c r="H85" s="16" t="e">
        <f t="shared" ref="H85:H99" si="17">VLOOKUP(G85,$F$3:$I$35,2,FALSE)</f>
        <v>#N/A</v>
      </c>
      <c r="I85" s="16" t="e">
        <f t="shared" si="10"/>
        <v>#N/A</v>
      </c>
      <c r="J85" s="16"/>
      <c r="K85" s="16"/>
      <c r="L85" s="16"/>
      <c r="M85" s="16"/>
      <c r="N85" s="16">
        <f t="shared" si="11"/>
        <v>0</v>
      </c>
      <c r="O85" s="16" t="e">
        <f t="shared" si="12"/>
        <v>#N/A</v>
      </c>
      <c r="P85" s="16">
        <v>6.9444444444444397E-3</v>
      </c>
      <c r="Q85" s="16"/>
      <c r="R85" s="16">
        <f t="shared" si="13"/>
        <v>-6.9444444444444397E-3</v>
      </c>
      <c r="S85" s="16"/>
      <c r="T85" s="16" t="e">
        <f>VLOOKUP(E85,'[2]21-3-2026'!E$3:T$35,16,FALSE)</f>
        <v>#N/A</v>
      </c>
      <c r="U85" s="16"/>
      <c r="V85" s="16" t="e">
        <f t="shared" si="14"/>
        <v>#N/A</v>
      </c>
      <c r="W85" s="16"/>
      <c r="X85" s="16"/>
      <c r="Y85" s="16"/>
      <c r="Z85" s="16">
        <f t="shared" si="15"/>
        <v>0</v>
      </c>
      <c r="AA85" s="16">
        <f t="shared" si="9"/>
        <v>0</v>
      </c>
      <c r="AB85" s="16"/>
      <c r="AC85" s="17"/>
      <c r="AD85" s="51"/>
    </row>
    <row r="86" spans="1:30" ht="19.5" thickBot="1" x14ac:dyDescent="0.3">
      <c r="A86" s="14">
        <v>19</v>
      </c>
      <c r="B86" s="15"/>
      <c r="C86" s="15" t="e">
        <f>VLOOKUP(B86,داتا!$B$3:$D$107,2,FALSE)</f>
        <v>#N/A</v>
      </c>
      <c r="D86" s="34" t="e">
        <f>VLOOKUP(B86,داتا!$B$3:$D$107,3,FALSE)</f>
        <v>#N/A</v>
      </c>
      <c r="E86" s="15"/>
      <c r="F86" s="15"/>
      <c r="G86" s="16">
        <v>8.3333333333333329E-2</v>
      </c>
      <c r="H86" s="16" t="e">
        <f t="shared" si="17"/>
        <v>#N/A</v>
      </c>
      <c r="I86" s="16" t="e">
        <f t="shared" si="10"/>
        <v>#N/A</v>
      </c>
      <c r="J86" s="16"/>
      <c r="K86" s="16"/>
      <c r="L86" s="16"/>
      <c r="M86" s="16"/>
      <c r="N86" s="16">
        <f t="shared" si="11"/>
        <v>0</v>
      </c>
      <c r="O86" s="16" t="e">
        <f t="shared" si="12"/>
        <v>#N/A</v>
      </c>
      <c r="P86" s="16">
        <v>6.9444444444444397E-3</v>
      </c>
      <c r="Q86" s="16"/>
      <c r="R86" s="16">
        <f t="shared" si="13"/>
        <v>-6.9444444444444397E-3</v>
      </c>
      <c r="S86" s="16"/>
      <c r="T86" s="16" t="e">
        <f>VLOOKUP(E86,'[2]21-3-2026'!E$3:T$35,16,FALSE)</f>
        <v>#N/A</v>
      </c>
      <c r="U86" s="16"/>
      <c r="V86" s="16" t="e">
        <f t="shared" si="14"/>
        <v>#N/A</v>
      </c>
      <c r="W86" s="16"/>
      <c r="X86" s="16"/>
      <c r="Y86" s="16"/>
      <c r="Z86" s="16">
        <f t="shared" si="15"/>
        <v>0</v>
      </c>
      <c r="AA86" s="16">
        <f t="shared" si="9"/>
        <v>0</v>
      </c>
      <c r="AB86" s="16"/>
      <c r="AC86" s="17"/>
      <c r="AD86" s="51"/>
    </row>
    <row r="87" spans="1:30" ht="19.5" thickBot="1" x14ac:dyDescent="0.3">
      <c r="A87" s="14">
        <v>20</v>
      </c>
      <c r="B87" s="15"/>
      <c r="C87" s="15" t="e">
        <f>VLOOKUP(B87,داتا!$B$3:$D$107,2,FALSE)</f>
        <v>#N/A</v>
      </c>
      <c r="D87" s="34" t="e">
        <f>VLOOKUP(B87,داتا!$B$3:$D$107,3,FALSE)</f>
        <v>#N/A</v>
      </c>
      <c r="E87" s="15"/>
      <c r="F87" s="15"/>
      <c r="G87" s="16">
        <v>8.3333333333333329E-2</v>
      </c>
      <c r="H87" s="16" t="e">
        <f t="shared" si="17"/>
        <v>#N/A</v>
      </c>
      <c r="I87" s="16" t="e">
        <f t="shared" si="10"/>
        <v>#N/A</v>
      </c>
      <c r="J87" s="16"/>
      <c r="K87" s="16"/>
      <c r="L87" s="16"/>
      <c r="M87" s="16"/>
      <c r="N87" s="16">
        <f t="shared" si="11"/>
        <v>0</v>
      </c>
      <c r="O87" s="16" t="e">
        <f t="shared" si="12"/>
        <v>#N/A</v>
      </c>
      <c r="P87" s="16">
        <v>6.9444444444444397E-3</v>
      </c>
      <c r="Q87" s="16"/>
      <c r="R87" s="16">
        <f t="shared" si="13"/>
        <v>-6.9444444444444397E-3</v>
      </c>
      <c r="S87" s="16"/>
      <c r="T87" s="16" t="e">
        <f>VLOOKUP(E87,'[2]21-3-2026'!E$3:T$35,16,FALSE)</f>
        <v>#N/A</v>
      </c>
      <c r="U87" s="16"/>
      <c r="V87" s="16" t="e">
        <f t="shared" si="14"/>
        <v>#N/A</v>
      </c>
      <c r="W87" s="16"/>
      <c r="X87" s="16"/>
      <c r="Y87" s="16"/>
      <c r="Z87" s="16">
        <f t="shared" si="15"/>
        <v>0</v>
      </c>
      <c r="AA87" s="16">
        <f t="shared" si="9"/>
        <v>0</v>
      </c>
      <c r="AB87" s="16"/>
      <c r="AC87" s="17"/>
      <c r="AD87" s="51"/>
    </row>
    <row r="88" spans="1:30" ht="19.5" thickBot="1" x14ac:dyDescent="0.3">
      <c r="A88" s="14">
        <v>21</v>
      </c>
      <c r="B88" s="15"/>
      <c r="C88" s="15" t="e">
        <f>VLOOKUP(B88,داتا!$B$3:$D$107,2,FALSE)</f>
        <v>#N/A</v>
      </c>
      <c r="D88" s="34" t="e">
        <f>VLOOKUP(B88,داتا!$B$3:$D$107,3,FALSE)</f>
        <v>#N/A</v>
      </c>
      <c r="E88" s="15"/>
      <c r="F88" s="15"/>
      <c r="G88" s="16">
        <v>8.3333333333333329E-2</v>
      </c>
      <c r="H88" s="16" t="e">
        <f t="shared" si="17"/>
        <v>#N/A</v>
      </c>
      <c r="I88" s="16" t="e">
        <f t="shared" si="10"/>
        <v>#N/A</v>
      </c>
      <c r="J88" s="16"/>
      <c r="K88" s="16"/>
      <c r="L88" s="16"/>
      <c r="M88" s="16"/>
      <c r="N88" s="16">
        <f t="shared" si="11"/>
        <v>0</v>
      </c>
      <c r="O88" s="16" t="e">
        <f t="shared" si="12"/>
        <v>#N/A</v>
      </c>
      <c r="P88" s="16">
        <v>6.9444444444444397E-3</v>
      </c>
      <c r="Q88" s="16"/>
      <c r="R88" s="16">
        <f t="shared" si="13"/>
        <v>-6.9444444444444397E-3</v>
      </c>
      <c r="S88" s="16"/>
      <c r="T88" s="16" t="e">
        <f>VLOOKUP(E88,'[2]21-3-2026'!E$3:T$35,16,FALSE)</f>
        <v>#N/A</v>
      </c>
      <c r="U88" s="16"/>
      <c r="V88" s="16" t="e">
        <f t="shared" si="14"/>
        <v>#N/A</v>
      </c>
      <c r="W88" s="16"/>
      <c r="X88" s="16"/>
      <c r="Y88" s="16"/>
      <c r="Z88" s="16">
        <f t="shared" si="15"/>
        <v>0</v>
      </c>
      <c r="AA88" s="16">
        <f t="shared" si="9"/>
        <v>0</v>
      </c>
      <c r="AB88" s="16"/>
      <c r="AC88" s="19"/>
      <c r="AD88" s="51"/>
    </row>
    <row r="89" spans="1:30" ht="19.5" thickBot="1" x14ac:dyDescent="0.3">
      <c r="A89" s="14">
        <v>22</v>
      </c>
      <c r="B89" s="15"/>
      <c r="C89" s="15" t="e">
        <f>VLOOKUP(B89,داتا!$B$3:$D$107,2,FALSE)</f>
        <v>#N/A</v>
      </c>
      <c r="D89" s="34" t="e">
        <f>VLOOKUP(B89,داتا!$B$3:$D$107,3,FALSE)</f>
        <v>#N/A</v>
      </c>
      <c r="E89" s="15"/>
      <c r="F89" s="15"/>
      <c r="G89" s="16">
        <v>8.3333333333333329E-2</v>
      </c>
      <c r="H89" s="16" t="e">
        <f t="shared" si="17"/>
        <v>#N/A</v>
      </c>
      <c r="I89" s="16" t="e">
        <f t="shared" si="10"/>
        <v>#N/A</v>
      </c>
      <c r="J89" s="16"/>
      <c r="K89" s="16"/>
      <c r="L89" s="16"/>
      <c r="M89" s="16"/>
      <c r="N89" s="16">
        <f t="shared" si="11"/>
        <v>0</v>
      </c>
      <c r="O89" s="16" t="e">
        <f t="shared" si="12"/>
        <v>#N/A</v>
      </c>
      <c r="P89" s="16">
        <v>6.9444444444444397E-3</v>
      </c>
      <c r="Q89" s="16"/>
      <c r="R89" s="16">
        <f t="shared" si="13"/>
        <v>-6.9444444444444397E-3</v>
      </c>
      <c r="S89" s="16"/>
      <c r="T89" s="16" t="e">
        <f>VLOOKUP(E89,'[2]21-3-2026'!E$3:T$35,16,FALSE)</f>
        <v>#N/A</v>
      </c>
      <c r="U89" s="16"/>
      <c r="V89" s="16" t="e">
        <f t="shared" si="14"/>
        <v>#N/A</v>
      </c>
      <c r="W89" s="16"/>
      <c r="X89" s="16"/>
      <c r="Y89" s="16"/>
      <c r="Z89" s="16">
        <f t="shared" si="15"/>
        <v>0</v>
      </c>
      <c r="AA89" s="16">
        <f t="shared" si="9"/>
        <v>0</v>
      </c>
      <c r="AB89" s="16"/>
      <c r="AC89" s="19"/>
      <c r="AD89" s="51"/>
    </row>
    <row r="90" spans="1:30" ht="19.5" thickBot="1" x14ac:dyDescent="0.3">
      <c r="A90" s="14">
        <v>23</v>
      </c>
      <c r="B90" s="15"/>
      <c r="C90" s="15" t="e">
        <f>VLOOKUP(B90,داتا!$B$3:$D$107,2,FALSE)</f>
        <v>#N/A</v>
      </c>
      <c r="D90" s="34" t="e">
        <f>VLOOKUP(B90,داتا!$B$3:$D$107,3,FALSE)</f>
        <v>#N/A</v>
      </c>
      <c r="E90" s="15"/>
      <c r="F90" s="15"/>
      <c r="G90" s="16">
        <v>8.3333333333333329E-2</v>
      </c>
      <c r="H90" s="16" t="e">
        <f t="shared" si="17"/>
        <v>#N/A</v>
      </c>
      <c r="I90" s="16" t="e">
        <f t="shared" si="10"/>
        <v>#N/A</v>
      </c>
      <c r="J90" s="16"/>
      <c r="K90" s="16"/>
      <c r="L90" s="16"/>
      <c r="M90" s="16"/>
      <c r="N90" s="16">
        <f t="shared" si="11"/>
        <v>0</v>
      </c>
      <c r="O90" s="16" t="e">
        <f t="shared" si="12"/>
        <v>#N/A</v>
      </c>
      <c r="P90" s="16">
        <v>6.9444444444444397E-3</v>
      </c>
      <c r="Q90" s="16"/>
      <c r="R90" s="16">
        <f t="shared" si="13"/>
        <v>-6.9444444444444397E-3</v>
      </c>
      <c r="S90" s="16"/>
      <c r="T90" s="16" t="e">
        <f>VLOOKUP(E90,'[2]21-3-2026'!E$3:T$35,16,FALSE)</f>
        <v>#N/A</v>
      </c>
      <c r="U90" s="16"/>
      <c r="V90" s="16" t="e">
        <f t="shared" si="14"/>
        <v>#N/A</v>
      </c>
      <c r="W90" s="16"/>
      <c r="X90" s="16"/>
      <c r="Y90" s="16"/>
      <c r="Z90" s="16">
        <f t="shared" si="15"/>
        <v>0</v>
      </c>
      <c r="AA90" s="16">
        <f t="shared" si="9"/>
        <v>0</v>
      </c>
      <c r="AB90" s="16"/>
      <c r="AC90" s="19"/>
      <c r="AD90" s="51"/>
    </row>
    <row r="91" spans="1:30" ht="19.5" thickBot="1" x14ac:dyDescent="0.3">
      <c r="A91" s="14">
        <v>24</v>
      </c>
      <c r="B91" s="15"/>
      <c r="C91" s="15" t="e">
        <f>VLOOKUP(B91,داتا!$B$3:$D$107,2,FALSE)</f>
        <v>#N/A</v>
      </c>
      <c r="D91" s="34" t="e">
        <f>VLOOKUP(B91,داتا!$B$3:$D$107,3,FALSE)</f>
        <v>#N/A</v>
      </c>
      <c r="E91" s="15"/>
      <c r="F91" s="15"/>
      <c r="G91" s="16">
        <v>8.3333333333333329E-2</v>
      </c>
      <c r="H91" s="16" t="e">
        <f t="shared" si="17"/>
        <v>#N/A</v>
      </c>
      <c r="I91" s="16" t="e">
        <f t="shared" si="10"/>
        <v>#N/A</v>
      </c>
      <c r="J91" s="16"/>
      <c r="K91" s="16"/>
      <c r="L91" s="16"/>
      <c r="M91" s="16"/>
      <c r="N91" s="16">
        <f t="shared" si="11"/>
        <v>0</v>
      </c>
      <c r="O91" s="16" t="e">
        <f t="shared" si="12"/>
        <v>#N/A</v>
      </c>
      <c r="P91" s="16">
        <v>6.9444444444444397E-3</v>
      </c>
      <c r="Q91" s="16"/>
      <c r="R91" s="16">
        <f t="shared" si="13"/>
        <v>-6.9444444444444397E-3</v>
      </c>
      <c r="S91" s="16"/>
      <c r="T91" s="16" t="e">
        <f>VLOOKUP(E91,'[2]21-3-2026'!E$3:T$35,16,FALSE)</f>
        <v>#N/A</v>
      </c>
      <c r="U91" s="16"/>
      <c r="V91" s="16" t="e">
        <f t="shared" si="14"/>
        <v>#N/A</v>
      </c>
      <c r="W91" s="16"/>
      <c r="X91" s="16"/>
      <c r="Y91" s="16"/>
      <c r="Z91" s="16">
        <f t="shared" si="15"/>
        <v>0</v>
      </c>
      <c r="AA91" s="16">
        <f t="shared" si="9"/>
        <v>0</v>
      </c>
      <c r="AB91" s="16"/>
      <c r="AC91" s="19"/>
      <c r="AD91" s="51"/>
    </row>
    <row r="92" spans="1:30" ht="19.5" thickBot="1" x14ac:dyDescent="0.3">
      <c r="A92" s="14">
        <v>25</v>
      </c>
      <c r="B92" s="15"/>
      <c r="C92" s="15" t="e">
        <f>VLOOKUP(B92,داتا!$B$3:$D$107,2,FALSE)</f>
        <v>#N/A</v>
      </c>
      <c r="D92" s="34" t="e">
        <f>VLOOKUP(B92,داتا!$B$3:$D$107,3,FALSE)</f>
        <v>#N/A</v>
      </c>
      <c r="E92" s="15"/>
      <c r="F92" s="15"/>
      <c r="G92" s="16">
        <v>8.3333333333333329E-2</v>
      </c>
      <c r="H92" s="16" t="e">
        <f t="shared" si="17"/>
        <v>#N/A</v>
      </c>
      <c r="I92" s="16" t="e">
        <f t="shared" si="10"/>
        <v>#N/A</v>
      </c>
      <c r="J92" s="16"/>
      <c r="K92" s="16"/>
      <c r="L92" s="16"/>
      <c r="M92" s="16"/>
      <c r="N92" s="16">
        <f t="shared" si="11"/>
        <v>0</v>
      </c>
      <c r="O92" s="16" t="e">
        <f t="shared" si="12"/>
        <v>#N/A</v>
      </c>
      <c r="P92" s="16">
        <v>6.9444444444444397E-3</v>
      </c>
      <c r="Q92" s="16"/>
      <c r="R92" s="16">
        <f t="shared" si="13"/>
        <v>-6.9444444444444397E-3</v>
      </c>
      <c r="S92" s="16"/>
      <c r="T92" s="16" t="e">
        <f>VLOOKUP(E92,'[2]21-3-2026'!E$3:T$35,16,FALSE)</f>
        <v>#N/A</v>
      </c>
      <c r="U92" s="16"/>
      <c r="V92" s="16" t="e">
        <f t="shared" si="14"/>
        <v>#N/A</v>
      </c>
      <c r="W92" s="16"/>
      <c r="X92" s="16"/>
      <c r="Y92" s="16"/>
      <c r="Z92" s="16">
        <f t="shared" si="15"/>
        <v>0</v>
      </c>
      <c r="AA92" s="16">
        <f t="shared" si="9"/>
        <v>0</v>
      </c>
      <c r="AB92" s="16"/>
      <c r="AC92" s="19"/>
      <c r="AD92" s="51"/>
    </row>
    <row r="93" spans="1:30" ht="19.5" thickBot="1" x14ac:dyDescent="0.3">
      <c r="A93" s="14">
        <v>26</v>
      </c>
      <c r="B93" s="15"/>
      <c r="C93" s="15" t="e">
        <f>VLOOKUP(B93,داتا!$B$3:$D$107,2,FALSE)</f>
        <v>#N/A</v>
      </c>
      <c r="D93" s="34" t="e">
        <f>VLOOKUP(B93,داتا!$B$3:$D$107,3,FALSE)</f>
        <v>#N/A</v>
      </c>
      <c r="E93" s="15"/>
      <c r="F93" s="15"/>
      <c r="G93" s="16">
        <v>8.3333333333333329E-2</v>
      </c>
      <c r="H93" s="16" t="e">
        <f t="shared" si="17"/>
        <v>#N/A</v>
      </c>
      <c r="I93" s="16" t="e">
        <f t="shared" si="10"/>
        <v>#N/A</v>
      </c>
      <c r="J93" s="16"/>
      <c r="K93" s="16"/>
      <c r="L93" s="16"/>
      <c r="M93" s="16"/>
      <c r="N93" s="16">
        <f t="shared" si="11"/>
        <v>0</v>
      </c>
      <c r="O93" s="16" t="e">
        <f t="shared" si="12"/>
        <v>#N/A</v>
      </c>
      <c r="P93" s="16">
        <v>6.9444444444444397E-3</v>
      </c>
      <c r="Q93" s="16"/>
      <c r="R93" s="16">
        <f t="shared" si="13"/>
        <v>-6.9444444444444397E-3</v>
      </c>
      <c r="S93" s="16"/>
      <c r="T93" s="16" t="e">
        <f>VLOOKUP(E93,'[2]21-3-2026'!E$3:T$35,16,FALSE)</f>
        <v>#N/A</v>
      </c>
      <c r="U93" s="16"/>
      <c r="V93" s="16" t="e">
        <f t="shared" si="14"/>
        <v>#N/A</v>
      </c>
      <c r="W93" s="16"/>
      <c r="X93" s="16"/>
      <c r="Y93" s="16"/>
      <c r="Z93" s="16">
        <f t="shared" si="15"/>
        <v>0</v>
      </c>
      <c r="AA93" s="16">
        <f t="shared" si="9"/>
        <v>0</v>
      </c>
      <c r="AB93" s="16"/>
      <c r="AC93" s="19"/>
      <c r="AD93" s="51"/>
    </row>
    <row r="94" spans="1:30" ht="19.5" thickBot="1" x14ac:dyDescent="0.3">
      <c r="A94" s="14">
        <v>27</v>
      </c>
      <c r="B94" s="15"/>
      <c r="C94" s="15" t="e">
        <f>VLOOKUP(B94,داتا!$B$3:$D$107,2,FALSE)</f>
        <v>#N/A</v>
      </c>
      <c r="D94" s="34" t="e">
        <f>VLOOKUP(B94,داتا!$B$3:$D$107,3,FALSE)</f>
        <v>#N/A</v>
      </c>
      <c r="E94" s="15"/>
      <c r="F94" s="15"/>
      <c r="G94" s="16">
        <v>8.3333333333333329E-2</v>
      </c>
      <c r="H94" s="16" t="e">
        <f t="shared" si="17"/>
        <v>#N/A</v>
      </c>
      <c r="I94" s="16" t="e">
        <f t="shared" si="10"/>
        <v>#N/A</v>
      </c>
      <c r="J94" s="16"/>
      <c r="K94" s="16"/>
      <c r="L94" s="16"/>
      <c r="M94" s="16"/>
      <c r="N94" s="16">
        <f t="shared" si="11"/>
        <v>0</v>
      </c>
      <c r="O94" s="16" t="e">
        <f t="shared" si="12"/>
        <v>#N/A</v>
      </c>
      <c r="P94" s="16">
        <v>6.9444444444444397E-3</v>
      </c>
      <c r="Q94" s="16"/>
      <c r="R94" s="16">
        <f t="shared" si="13"/>
        <v>-6.9444444444444397E-3</v>
      </c>
      <c r="S94" s="16"/>
      <c r="T94" s="16" t="e">
        <f>VLOOKUP(E94,'[2]21-3-2026'!E$3:T$35,16,FALSE)</f>
        <v>#N/A</v>
      </c>
      <c r="U94" s="16"/>
      <c r="V94" s="16" t="e">
        <f t="shared" si="14"/>
        <v>#N/A</v>
      </c>
      <c r="W94" s="16"/>
      <c r="X94" s="16"/>
      <c r="Y94" s="16"/>
      <c r="Z94" s="16">
        <f t="shared" si="15"/>
        <v>0</v>
      </c>
      <c r="AA94" s="16">
        <f t="shared" si="9"/>
        <v>0</v>
      </c>
      <c r="AB94" s="16"/>
      <c r="AC94" s="19"/>
      <c r="AD94" s="51"/>
    </row>
    <row r="95" spans="1:30" ht="19.5" thickBot="1" x14ac:dyDescent="0.3">
      <c r="A95" s="14">
        <v>28</v>
      </c>
      <c r="B95" s="15"/>
      <c r="C95" s="15" t="e">
        <f>VLOOKUP(B95,داتا!$B$3:$D$107,2,FALSE)</f>
        <v>#N/A</v>
      </c>
      <c r="D95" s="34" t="e">
        <f>VLOOKUP(B95,داتا!$B$3:$D$107,3,FALSE)</f>
        <v>#N/A</v>
      </c>
      <c r="E95" s="15"/>
      <c r="F95" s="16"/>
      <c r="G95" s="16">
        <v>8.3333333333333329E-2</v>
      </c>
      <c r="H95" s="16" t="e">
        <f t="shared" si="17"/>
        <v>#N/A</v>
      </c>
      <c r="I95" s="16" t="e">
        <f t="shared" si="10"/>
        <v>#N/A</v>
      </c>
      <c r="J95" s="16"/>
      <c r="K95" s="16"/>
      <c r="L95" s="16"/>
      <c r="M95" s="16"/>
      <c r="N95" s="16">
        <f t="shared" si="11"/>
        <v>0</v>
      </c>
      <c r="O95" s="16" t="e">
        <f t="shared" si="12"/>
        <v>#N/A</v>
      </c>
      <c r="P95" s="16">
        <v>6.9444444444444397E-3</v>
      </c>
      <c r="Q95" s="16"/>
      <c r="R95" s="16">
        <f t="shared" si="13"/>
        <v>-6.9444444444444397E-3</v>
      </c>
      <c r="S95" s="16"/>
      <c r="T95" s="16" t="e">
        <f>VLOOKUP(E95,'[2]21-3-2026'!E$3:T$35,16,FALSE)</f>
        <v>#N/A</v>
      </c>
      <c r="U95" s="16"/>
      <c r="V95" s="16" t="e">
        <f t="shared" si="14"/>
        <v>#N/A</v>
      </c>
      <c r="W95" s="16"/>
      <c r="X95" s="16"/>
      <c r="Y95" s="16"/>
      <c r="Z95" s="16">
        <f t="shared" si="15"/>
        <v>0</v>
      </c>
      <c r="AA95" s="16">
        <f t="shared" si="9"/>
        <v>0</v>
      </c>
      <c r="AB95" s="16"/>
      <c r="AC95" s="19"/>
      <c r="AD95" s="51"/>
    </row>
    <row r="96" spans="1:30" ht="19.5" thickBot="1" x14ac:dyDescent="0.3">
      <c r="A96" s="14">
        <v>29</v>
      </c>
      <c r="B96" s="15"/>
      <c r="C96" s="15" t="e">
        <f>VLOOKUP(B96,داتا!$B$3:$D$107,2,FALSE)</f>
        <v>#N/A</v>
      </c>
      <c r="D96" s="34" t="e">
        <f>VLOOKUP(B96,داتا!$B$3:$D$107,3,FALSE)</f>
        <v>#N/A</v>
      </c>
      <c r="E96" s="15"/>
      <c r="F96" s="16"/>
      <c r="G96" s="16">
        <v>8.3333333333333329E-2</v>
      </c>
      <c r="H96" s="16" t="e">
        <f t="shared" si="17"/>
        <v>#N/A</v>
      </c>
      <c r="I96" s="16" t="e">
        <f t="shared" si="10"/>
        <v>#N/A</v>
      </c>
      <c r="J96" s="16"/>
      <c r="K96" s="16"/>
      <c r="L96" s="16"/>
      <c r="M96" s="16"/>
      <c r="N96" s="16">
        <f t="shared" si="11"/>
        <v>0</v>
      </c>
      <c r="O96" s="16" t="e">
        <f t="shared" si="12"/>
        <v>#N/A</v>
      </c>
      <c r="P96" s="16">
        <v>6.9444444444444397E-3</v>
      </c>
      <c r="Q96" s="16"/>
      <c r="R96" s="16">
        <f t="shared" si="13"/>
        <v>-6.9444444444444397E-3</v>
      </c>
      <c r="S96" s="16"/>
      <c r="T96" s="16" t="e">
        <f>VLOOKUP(E96,'[2]21-3-2026'!E$3:T$35,16,FALSE)</f>
        <v>#N/A</v>
      </c>
      <c r="U96" s="16"/>
      <c r="V96" s="16" t="e">
        <f t="shared" si="14"/>
        <v>#N/A</v>
      </c>
      <c r="W96" s="16"/>
      <c r="X96" s="16"/>
      <c r="Y96" s="16"/>
      <c r="Z96" s="16">
        <f t="shared" si="15"/>
        <v>0</v>
      </c>
      <c r="AA96" s="16">
        <f t="shared" si="9"/>
        <v>0</v>
      </c>
      <c r="AB96" s="16"/>
      <c r="AC96" s="19"/>
      <c r="AD96" s="54"/>
    </row>
    <row r="97" spans="1:29" ht="19.5" thickBot="1" x14ac:dyDescent="0.3">
      <c r="A97" s="14">
        <v>30</v>
      </c>
      <c r="B97" s="15"/>
      <c r="C97" s="15" t="e">
        <f>VLOOKUP(B97,داتا!$B$3:$D$107,2,FALSE)</f>
        <v>#N/A</v>
      </c>
      <c r="D97" s="34" t="e">
        <f>VLOOKUP(B97,داتا!$B$3:$D$107,3,FALSE)</f>
        <v>#N/A</v>
      </c>
      <c r="E97" s="15"/>
      <c r="F97" s="16"/>
      <c r="G97" s="16">
        <v>8.3333333333333329E-2</v>
      </c>
      <c r="H97" s="16" t="e">
        <f t="shared" si="17"/>
        <v>#N/A</v>
      </c>
      <c r="I97" s="16" t="e">
        <f t="shared" si="10"/>
        <v>#N/A</v>
      </c>
      <c r="J97" s="16"/>
      <c r="K97" s="16"/>
      <c r="L97" s="16"/>
      <c r="M97" s="16"/>
      <c r="N97" s="16">
        <f t="shared" si="11"/>
        <v>0</v>
      </c>
      <c r="O97" s="16" t="e">
        <f t="shared" si="12"/>
        <v>#N/A</v>
      </c>
      <c r="P97" s="16">
        <v>6.9444444444444397E-3</v>
      </c>
      <c r="Q97" s="16"/>
      <c r="R97" s="16">
        <f t="shared" si="13"/>
        <v>-6.9444444444444397E-3</v>
      </c>
      <c r="S97" s="16"/>
      <c r="T97" s="16" t="e">
        <f>VLOOKUP(E97,'[2]21-3-2026'!E$3:T$35,16,FALSE)</f>
        <v>#N/A</v>
      </c>
      <c r="U97" s="16"/>
      <c r="V97" s="16" t="e">
        <f t="shared" si="14"/>
        <v>#N/A</v>
      </c>
      <c r="W97" s="16"/>
      <c r="X97" s="16"/>
      <c r="Y97" s="16"/>
      <c r="Z97" s="16">
        <f t="shared" si="15"/>
        <v>0</v>
      </c>
      <c r="AA97" s="16">
        <f t="shared" si="9"/>
        <v>0</v>
      </c>
      <c r="AB97" s="16"/>
      <c r="AC97" s="19"/>
    </row>
    <row r="98" spans="1:29" ht="19.5" thickBot="1" x14ac:dyDescent="0.3">
      <c r="A98" s="14">
        <v>31</v>
      </c>
      <c r="B98" s="15"/>
      <c r="C98" s="15" t="e">
        <f>VLOOKUP(B98,داتا!$B$3:$D$107,2,FALSE)</f>
        <v>#N/A</v>
      </c>
      <c r="D98" s="34" t="e">
        <f>VLOOKUP(B98,داتا!$B$3:$D$107,3,FALSE)</f>
        <v>#N/A</v>
      </c>
      <c r="E98" s="15"/>
      <c r="F98" s="16"/>
      <c r="G98" s="16">
        <v>8.3333333333333329E-2</v>
      </c>
      <c r="H98" s="16" t="e">
        <f t="shared" si="17"/>
        <v>#N/A</v>
      </c>
      <c r="I98" s="16" t="e">
        <f t="shared" si="10"/>
        <v>#N/A</v>
      </c>
      <c r="J98" s="16"/>
      <c r="K98" s="16"/>
      <c r="L98" s="16"/>
      <c r="M98" s="16"/>
      <c r="N98" s="16">
        <f t="shared" si="11"/>
        <v>0</v>
      </c>
      <c r="O98" s="16" t="e">
        <f t="shared" si="12"/>
        <v>#N/A</v>
      </c>
      <c r="P98" s="16">
        <v>6.9444444444444397E-3</v>
      </c>
      <c r="Q98" s="16"/>
      <c r="R98" s="16">
        <f t="shared" si="13"/>
        <v>-6.9444444444444397E-3</v>
      </c>
      <c r="S98" s="16"/>
      <c r="T98" s="16" t="e">
        <f>VLOOKUP(E98,'[2]21-3-2026'!E$3:T$35,16,FALSE)</f>
        <v>#N/A</v>
      </c>
      <c r="U98" s="16"/>
      <c r="V98" s="16" t="e">
        <f t="shared" si="14"/>
        <v>#N/A</v>
      </c>
      <c r="W98" s="16"/>
      <c r="X98" s="16"/>
      <c r="Y98" s="16"/>
      <c r="Z98" s="16">
        <f t="shared" si="15"/>
        <v>0</v>
      </c>
      <c r="AA98" s="16">
        <f t="shared" si="9"/>
        <v>0</v>
      </c>
      <c r="AB98" s="16"/>
      <c r="AC98" s="19"/>
    </row>
    <row r="99" spans="1:29" ht="19.5" thickBot="1" x14ac:dyDescent="0.3">
      <c r="A99" s="20">
        <v>32</v>
      </c>
      <c r="B99" s="21"/>
      <c r="C99" s="21" t="e">
        <f>VLOOKUP(B99,داتا!$B$3:$D$107,2,FALSE)</f>
        <v>#N/A</v>
      </c>
      <c r="D99" s="35" t="e">
        <f>VLOOKUP(B99,داتا!$B$3:$D$107,3,FALSE)</f>
        <v>#N/A</v>
      </c>
      <c r="E99" s="21"/>
      <c r="F99" s="22"/>
      <c r="G99" s="22">
        <v>8.3333333333333329E-2</v>
      </c>
      <c r="H99" s="22" t="e">
        <f t="shared" si="17"/>
        <v>#N/A</v>
      </c>
      <c r="I99" s="22" t="e">
        <f t="shared" si="10"/>
        <v>#N/A</v>
      </c>
      <c r="J99" s="22"/>
      <c r="K99" s="22"/>
      <c r="L99" s="22"/>
      <c r="M99" s="22"/>
      <c r="N99" s="22">
        <f t="shared" si="11"/>
        <v>0</v>
      </c>
      <c r="O99" s="22" t="e">
        <f t="shared" si="12"/>
        <v>#N/A</v>
      </c>
      <c r="P99" s="22">
        <v>6.9444444444444397E-3</v>
      </c>
      <c r="Q99" s="22"/>
      <c r="R99" s="22">
        <f t="shared" si="13"/>
        <v>-6.9444444444444397E-3</v>
      </c>
      <c r="S99" s="22"/>
      <c r="T99" s="22" t="e">
        <f>VLOOKUP(E99,'[2]21-3-2026'!E$3:T$35,16,FALSE)</f>
        <v>#N/A</v>
      </c>
      <c r="U99" s="22"/>
      <c r="V99" s="22" t="e">
        <f t="shared" si="14"/>
        <v>#N/A</v>
      </c>
      <c r="W99" s="22"/>
      <c r="X99" s="22"/>
      <c r="Y99" s="22"/>
      <c r="Z99" s="22">
        <f t="shared" si="15"/>
        <v>0</v>
      </c>
      <c r="AA99" s="22">
        <f t="shared" si="9"/>
        <v>0</v>
      </c>
      <c r="AB99" s="22"/>
      <c r="AC99" s="30"/>
    </row>
    <row r="100" spans="1:29" ht="16.5" thickTop="1" x14ac:dyDescent="0.25"/>
  </sheetData>
  <mergeCells count="4">
    <mergeCell ref="A1:AC1"/>
    <mergeCell ref="AD3:AD35"/>
    <mergeCell ref="AD36:AD67"/>
    <mergeCell ref="AD68:AD96"/>
  </mergeCells>
  <conditionalFormatting sqref="AC1:AC96 AC100:AC1048576">
    <cfRule type="containsText" dxfId="44" priority="14" operator="containsText" text="ت">
      <formula>NOT(ISERROR(SEARCH("ت",AC1)))</formula>
    </cfRule>
  </conditionalFormatting>
  <conditionalFormatting sqref="AC4:AC96">
    <cfRule type="containsText" dxfId="43" priority="13" operator="containsText" text="ت">
      <formula>NOT(ISERROR(SEARCH("ت",AC4)))</formula>
    </cfRule>
  </conditionalFormatting>
  <conditionalFormatting sqref="O1:O2 I1:I2 R1:R2 V1:V2 AA100:AA1048576 V100:V1048576 R100:R1048576 O100:O1048576 I100:I1048576 AA1:AA2">
    <cfRule type="cellIs" dxfId="42" priority="15" operator="between">
      <formula>0.00277777777777778</formula>
      <formula>1</formula>
    </cfRule>
  </conditionalFormatting>
  <conditionalFormatting sqref="AC97:AC99">
    <cfRule type="containsText" dxfId="41" priority="12" operator="containsText" text="ت">
      <formula>NOT(ISERROR(SEARCH("ت",AC97)))</formula>
    </cfRule>
  </conditionalFormatting>
  <conditionalFormatting sqref="AC97:AC99">
    <cfRule type="containsText" dxfId="40" priority="11" operator="containsText" text="ت">
      <formula>NOT(ISERROR(SEARCH("ت",AC97)))</formula>
    </cfRule>
  </conditionalFormatting>
  <conditionalFormatting sqref="I3:I99">
    <cfRule type="cellIs" dxfId="39" priority="9" operator="between">
      <formula>0.00277777777777778</formula>
      <formula>1</formula>
    </cfRule>
  </conditionalFormatting>
  <conditionalFormatting sqref="I3:I99">
    <cfRule type="cellIs" dxfId="38" priority="10" operator="between">
      <formula>0.00277777777777778</formula>
      <formula>1</formula>
    </cfRule>
  </conditionalFormatting>
  <conditionalFormatting sqref="O3:O99">
    <cfRule type="cellIs" dxfId="37" priority="7" operator="between">
      <formula>0.00277777777777778</formula>
      <formula>1</formula>
    </cfRule>
  </conditionalFormatting>
  <conditionalFormatting sqref="O3:O99">
    <cfRule type="cellIs" dxfId="36" priority="8" operator="between">
      <formula>0.00277777777777778</formula>
      <formula>1</formula>
    </cfRule>
  </conditionalFormatting>
  <conditionalFormatting sqref="R3:R99">
    <cfRule type="cellIs" dxfId="35" priority="5" operator="between">
      <formula>0.00277777777777778</formula>
      <formula>1</formula>
    </cfRule>
  </conditionalFormatting>
  <conditionalFormatting sqref="R3:R99">
    <cfRule type="cellIs" dxfId="34" priority="6" operator="between">
      <formula>0.00277777777777778</formula>
      <formula>1</formula>
    </cfRule>
  </conditionalFormatting>
  <conditionalFormatting sqref="V3:V99">
    <cfRule type="cellIs" dxfId="33" priority="3" operator="between">
      <formula>0.00277777777777778</formula>
      <formula>1</formula>
    </cfRule>
  </conditionalFormatting>
  <conditionalFormatting sqref="V3:V99">
    <cfRule type="cellIs" dxfId="32" priority="4" operator="between">
      <formula>0.00277777777777778</formula>
      <formula>1</formula>
    </cfRule>
  </conditionalFormatting>
  <conditionalFormatting sqref="AA3:AA99">
    <cfRule type="cellIs" dxfId="31" priority="1" operator="between">
      <formula>0.00277777777777778</formula>
      <formula>1</formula>
    </cfRule>
  </conditionalFormatting>
  <conditionalFormatting sqref="AA3:AA99">
    <cfRule type="cellIs" dxfId="30" priority="2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"/>
  <sheetViews>
    <sheetView rightToLeft="1" workbookViewId="0">
      <pane xSplit="6" ySplit="2" topLeftCell="G68" activePane="bottomRight" state="frozen"/>
      <selection activeCell="A92" sqref="A92"/>
      <selection pane="topRight" activeCell="A92" sqref="A92"/>
      <selection pane="bottomLeft" activeCell="A92" sqref="A92"/>
      <selection pane="bottomRight" activeCell="A92" sqref="A92"/>
    </sheetView>
  </sheetViews>
  <sheetFormatPr defaultColWidth="9" defaultRowHeight="15.75" x14ac:dyDescent="0.25"/>
  <cols>
    <col min="1" max="1" width="5.42578125" customWidth="1"/>
    <col min="2" max="2" width="12.28515625" customWidth="1"/>
    <col min="3" max="3" width="12.5703125" customWidth="1"/>
    <col min="4" max="4" width="16.140625" style="36" customWidth="1"/>
    <col min="5" max="5" width="17.140625" customWidth="1"/>
    <col min="6" max="6" width="20.85546875" customWidth="1"/>
    <col min="7" max="7" width="12.7109375" customWidth="1"/>
    <col min="8" max="9" width="12.85546875" customWidth="1"/>
    <col min="10" max="10" width="12.5703125" customWidth="1"/>
    <col min="11" max="11" width="14.28515625" customWidth="1"/>
    <col min="12" max="12" width="22.7109375" customWidth="1"/>
    <col min="13" max="13" width="18.8554687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3.85546875" style="31" customWidth="1"/>
    <col min="30" max="30" width="11.140625" customWidth="1"/>
  </cols>
  <sheetData>
    <row r="1" spans="1:30" ht="33.75" customHeight="1" thickBot="1" x14ac:dyDescent="0.3">
      <c r="A1" s="46" t="s">
        <v>119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0" ht="49.5" customHeight="1" thickTop="1" thickBot="1" x14ac:dyDescent="0.3">
      <c r="A2" s="1" t="s">
        <v>1</v>
      </c>
      <c r="B2" s="2" t="s">
        <v>2</v>
      </c>
      <c r="C2" s="2" t="s">
        <v>3</v>
      </c>
      <c r="D2" s="3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8" t="s">
        <v>18</v>
      </c>
      <c r="S2" s="2" t="s">
        <v>19</v>
      </c>
      <c r="T2" s="8" t="s">
        <v>20</v>
      </c>
      <c r="U2" s="2" t="s">
        <v>21</v>
      </c>
      <c r="V2" s="8" t="s">
        <v>22</v>
      </c>
      <c r="W2" s="8" t="s">
        <v>23</v>
      </c>
      <c r="X2" s="2" t="s">
        <v>24</v>
      </c>
      <c r="Y2" s="2" t="s">
        <v>25</v>
      </c>
      <c r="Z2" s="2" t="s">
        <v>26</v>
      </c>
      <c r="AA2" s="8" t="s">
        <v>27</v>
      </c>
      <c r="AB2" s="2" t="s">
        <v>28</v>
      </c>
      <c r="AC2" s="9" t="s">
        <v>29</v>
      </c>
    </row>
    <row r="3" spans="1:30" ht="20.25" customHeight="1" thickTop="1" thickBot="1" x14ac:dyDescent="0.3">
      <c r="A3" s="10">
        <v>1</v>
      </c>
      <c r="B3" s="11"/>
      <c r="C3" s="11" t="e">
        <f>VLOOKUP(B3,داتا!$B$3:$D$107,2,FALSE)</f>
        <v>#N/A</v>
      </c>
      <c r="D3" s="33" t="e">
        <f>VLOOKUP(B3,داتا!$B$3:$D$107,3,FALSE)</f>
        <v>#N/A</v>
      </c>
      <c r="E3" s="11"/>
      <c r="F3" s="11"/>
      <c r="G3" s="12">
        <v>0.25</v>
      </c>
      <c r="H3" s="12"/>
      <c r="I3" s="12">
        <f>H3-G3</f>
        <v>-0.25</v>
      </c>
      <c r="J3" s="12"/>
      <c r="K3" s="12"/>
      <c r="L3" s="12"/>
      <c r="M3" s="12"/>
      <c r="N3" s="12">
        <f>K3-J3</f>
        <v>0</v>
      </c>
      <c r="O3" s="12" t="e">
        <f>N3-D3</f>
        <v>#N/A</v>
      </c>
      <c r="P3" s="12">
        <v>6.9444444444444397E-3</v>
      </c>
      <c r="Q3" s="12"/>
      <c r="R3" s="12">
        <f>Q3-P3-K3</f>
        <v>-6.9444444444444397E-3</v>
      </c>
      <c r="S3" s="12"/>
      <c r="T3" s="12" t="e">
        <f>VLOOKUP(E3,'[2]21-3-2026'!E$3:T$35,16,FALSE)</f>
        <v>#N/A</v>
      </c>
      <c r="U3" s="12"/>
      <c r="V3" s="12" t="e">
        <f>U3-T3-S3</f>
        <v>#N/A</v>
      </c>
      <c r="W3" s="12"/>
      <c r="X3" s="12"/>
      <c r="Y3" s="12"/>
      <c r="Z3" s="12">
        <f>Y3-X3</f>
        <v>0</v>
      </c>
      <c r="AA3" s="12">
        <f t="shared" ref="AA3:AA66" si="0">Z3-W3</f>
        <v>0</v>
      </c>
      <c r="AB3" s="12"/>
      <c r="AC3" s="13"/>
      <c r="AD3" s="47" t="s">
        <v>33</v>
      </c>
    </row>
    <row r="4" spans="1:30" ht="19.5" thickBot="1" x14ac:dyDescent="0.3">
      <c r="A4" s="14">
        <v>2</v>
      </c>
      <c r="B4" s="15"/>
      <c r="C4" s="15" t="e">
        <f>VLOOKUP(B4,داتا!$B$3:$D$107,2,FALSE)</f>
        <v>#N/A</v>
      </c>
      <c r="D4" s="34" t="e">
        <f>VLOOKUP(B4,داتا!$B$3:$D$107,3,FALSE)</f>
        <v>#N/A</v>
      </c>
      <c r="E4" s="15"/>
      <c r="F4" s="15"/>
      <c r="G4" s="16">
        <v>0.25</v>
      </c>
      <c r="H4" s="16"/>
      <c r="I4" s="16">
        <f t="shared" ref="I4:I67" si="1">H4-G4</f>
        <v>-0.25</v>
      </c>
      <c r="J4" s="16"/>
      <c r="K4" s="16"/>
      <c r="L4" s="16"/>
      <c r="M4" s="16"/>
      <c r="N4" s="16">
        <f t="shared" ref="N4:N67" si="2">K4-J4</f>
        <v>0</v>
      </c>
      <c r="O4" s="16" t="e">
        <f t="shared" ref="O4:O67" si="3">N4-D4</f>
        <v>#N/A</v>
      </c>
      <c r="P4" s="16">
        <v>6.9444444444444397E-3</v>
      </c>
      <c r="Q4" s="16"/>
      <c r="R4" s="16">
        <f t="shared" ref="R4:R67" si="4">Q4-P4-K4</f>
        <v>-6.9444444444444397E-3</v>
      </c>
      <c r="S4" s="16"/>
      <c r="T4" s="16" t="e">
        <f>VLOOKUP(E4,'[2]21-3-2026'!E$3:T$35,16,FALSE)</f>
        <v>#N/A</v>
      </c>
      <c r="U4" s="16"/>
      <c r="V4" s="16" t="e">
        <f t="shared" ref="V4:V67" si="5">U4-T4-S4</f>
        <v>#N/A</v>
      </c>
      <c r="W4" s="16"/>
      <c r="X4" s="16"/>
      <c r="Y4" s="16"/>
      <c r="Z4" s="16">
        <f t="shared" ref="Z4:Z67" si="6">Y4-X4</f>
        <v>0</v>
      </c>
      <c r="AA4" s="16">
        <f t="shared" si="0"/>
        <v>0</v>
      </c>
      <c r="AB4" s="16"/>
      <c r="AC4" s="17"/>
      <c r="AD4" s="48"/>
    </row>
    <row r="5" spans="1:30" ht="19.5" thickBot="1" x14ac:dyDescent="0.3">
      <c r="A5" s="14">
        <v>3</v>
      </c>
      <c r="B5" s="15"/>
      <c r="C5" s="15" t="e">
        <f>VLOOKUP(B5,داتا!$B$3:$D$107,2,FALSE)</f>
        <v>#N/A</v>
      </c>
      <c r="D5" s="34" t="e">
        <f>VLOOKUP(B5,داتا!$B$3:$D$107,3,FALSE)</f>
        <v>#N/A</v>
      </c>
      <c r="E5" s="15"/>
      <c r="F5" s="15"/>
      <c r="G5" s="16">
        <v>0.25</v>
      </c>
      <c r="H5" s="16"/>
      <c r="I5" s="16">
        <f t="shared" si="1"/>
        <v>-0.25</v>
      </c>
      <c r="J5" s="16"/>
      <c r="K5" s="16"/>
      <c r="L5" s="16"/>
      <c r="M5" s="16"/>
      <c r="N5" s="16">
        <f t="shared" si="2"/>
        <v>0</v>
      </c>
      <c r="O5" s="16" t="e">
        <f t="shared" si="3"/>
        <v>#N/A</v>
      </c>
      <c r="P5" s="16">
        <v>6.9444444444444397E-3</v>
      </c>
      <c r="Q5" s="16"/>
      <c r="R5" s="16">
        <f t="shared" si="4"/>
        <v>-6.9444444444444397E-3</v>
      </c>
      <c r="S5" s="16"/>
      <c r="T5" s="16" t="e">
        <f>VLOOKUP(E5,'[2]21-3-2026'!E$3:T$35,16,FALSE)</f>
        <v>#N/A</v>
      </c>
      <c r="U5" s="16"/>
      <c r="V5" s="16" t="e">
        <f t="shared" si="5"/>
        <v>#N/A</v>
      </c>
      <c r="W5" s="16"/>
      <c r="X5" s="16"/>
      <c r="Y5" s="16"/>
      <c r="Z5" s="16">
        <f t="shared" si="6"/>
        <v>0</v>
      </c>
      <c r="AA5" s="16">
        <f t="shared" si="0"/>
        <v>0</v>
      </c>
      <c r="AB5" s="16"/>
      <c r="AC5" s="17"/>
      <c r="AD5" s="48"/>
    </row>
    <row r="6" spans="1:30" ht="19.5" thickBot="1" x14ac:dyDescent="0.3">
      <c r="A6" s="14">
        <v>4</v>
      </c>
      <c r="B6" s="15"/>
      <c r="C6" s="15" t="e">
        <f>VLOOKUP(B6,داتا!$B$3:$D$107,2,FALSE)</f>
        <v>#N/A</v>
      </c>
      <c r="D6" s="34" t="e">
        <f>VLOOKUP(B6,داتا!$B$3:$D$107,3,FALSE)</f>
        <v>#N/A</v>
      </c>
      <c r="E6" s="15"/>
      <c r="F6" s="15"/>
      <c r="G6" s="16">
        <v>0.25</v>
      </c>
      <c r="H6" s="16"/>
      <c r="I6" s="16">
        <f t="shared" si="1"/>
        <v>-0.25</v>
      </c>
      <c r="J6" s="16"/>
      <c r="K6" s="16"/>
      <c r="L6" s="16"/>
      <c r="M6" s="16"/>
      <c r="N6" s="16">
        <f t="shared" si="2"/>
        <v>0</v>
      </c>
      <c r="O6" s="16" t="e">
        <f t="shared" si="3"/>
        <v>#N/A</v>
      </c>
      <c r="P6" s="16">
        <v>6.9444444444444397E-3</v>
      </c>
      <c r="Q6" s="16"/>
      <c r="R6" s="16">
        <f t="shared" si="4"/>
        <v>-6.9444444444444397E-3</v>
      </c>
      <c r="S6" s="16"/>
      <c r="T6" s="16" t="e">
        <f>VLOOKUP(E6,'[2]21-3-2026'!E$3:T$35,16,FALSE)</f>
        <v>#N/A</v>
      </c>
      <c r="U6" s="16"/>
      <c r="V6" s="16" t="e">
        <f t="shared" si="5"/>
        <v>#N/A</v>
      </c>
      <c r="W6" s="16"/>
      <c r="X6" s="16"/>
      <c r="Y6" s="16"/>
      <c r="Z6" s="16">
        <f t="shared" si="6"/>
        <v>0</v>
      </c>
      <c r="AA6" s="16">
        <f t="shared" si="0"/>
        <v>0</v>
      </c>
      <c r="AB6" s="16"/>
      <c r="AC6" s="17"/>
      <c r="AD6" s="48"/>
    </row>
    <row r="7" spans="1:30" ht="19.5" thickBot="1" x14ac:dyDescent="0.3">
      <c r="A7" s="14">
        <v>5</v>
      </c>
      <c r="B7" s="15"/>
      <c r="C7" s="15" t="e">
        <f>VLOOKUP(B7,داتا!$B$3:$D$107,2,FALSE)</f>
        <v>#N/A</v>
      </c>
      <c r="D7" s="34" t="e">
        <f>VLOOKUP(B7,داتا!$B$3:$D$107,3,FALSE)</f>
        <v>#N/A</v>
      </c>
      <c r="E7" s="15"/>
      <c r="F7" s="15"/>
      <c r="G7" s="16">
        <v>0.25</v>
      </c>
      <c r="H7" s="16"/>
      <c r="I7" s="16">
        <f t="shared" si="1"/>
        <v>-0.25</v>
      </c>
      <c r="J7" s="16"/>
      <c r="K7" s="16"/>
      <c r="L7" s="16"/>
      <c r="M7" s="16"/>
      <c r="N7" s="16">
        <f t="shared" si="2"/>
        <v>0</v>
      </c>
      <c r="O7" s="16" t="e">
        <f t="shared" si="3"/>
        <v>#N/A</v>
      </c>
      <c r="P7" s="16">
        <v>6.9444444444444397E-3</v>
      </c>
      <c r="Q7" s="16"/>
      <c r="R7" s="16">
        <f t="shared" si="4"/>
        <v>-6.9444444444444397E-3</v>
      </c>
      <c r="S7" s="16"/>
      <c r="T7" s="16" t="e">
        <f>VLOOKUP(E7,'[2]21-3-2026'!E$3:T$35,16,FALSE)</f>
        <v>#N/A</v>
      </c>
      <c r="U7" s="16"/>
      <c r="V7" s="16" t="e">
        <f t="shared" si="5"/>
        <v>#N/A</v>
      </c>
      <c r="W7" s="16"/>
      <c r="X7" s="16"/>
      <c r="Y7" s="16"/>
      <c r="Z7" s="16">
        <f t="shared" si="6"/>
        <v>0</v>
      </c>
      <c r="AA7" s="16">
        <f t="shared" si="0"/>
        <v>0</v>
      </c>
      <c r="AB7" s="16"/>
      <c r="AC7" s="17"/>
      <c r="AD7" s="48"/>
    </row>
    <row r="8" spans="1:30" ht="19.5" thickBot="1" x14ac:dyDescent="0.3">
      <c r="A8" s="14">
        <v>6</v>
      </c>
      <c r="B8" s="15"/>
      <c r="C8" s="15" t="e">
        <f>VLOOKUP(B8,داتا!$B$3:$D$107,2,FALSE)</f>
        <v>#N/A</v>
      </c>
      <c r="D8" s="34" t="e">
        <f>VLOOKUP(B8,داتا!$B$3:$D$107,3,FALSE)</f>
        <v>#N/A</v>
      </c>
      <c r="E8" s="15"/>
      <c r="F8" s="15"/>
      <c r="G8" s="16">
        <v>0.25</v>
      </c>
      <c r="H8" s="16"/>
      <c r="I8" s="16">
        <f t="shared" si="1"/>
        <v>-0.25</v>
      </c>
      <c r="J8" s="16"/>
      <c r="K8" s="16"/>
      <c r="L8" s="16"/>
      <c r="M8" s="16"/>
      <c r="N8" s="16">
        <f t="shared" si="2"/>
        <v>0</v>
      </c>
      <c r="O8" s="16" t="e">
        <f t="shared" si="3"/>
        <v>#N/A</v>
      </c>
      <c r="P8" s="16">
        <v>6.9444444444444397E-3</v>
      </c>
      <c r="Q8" s="16"/>
      <c r="R8" s="16">
        <f t="shared" si="4"/>
        <v>-6.9444444444444397E-3</v>
      </c>
      <c r="S8" s="16"/>
      <c r="T8" s="16" t="e">
        <f>VLOOKUP(E8,'[2]21-3-2026'!E$3:T$35,16,FALSE)</f>
        <v>#N/A</v>
      </c>
      <c r="U8" s="16"/>
      <c r="V8" s="16" t="e">
        <f t="shared" si="5"/>
        <v>#N/A</v>
      </c>
      <c r="W8" s="16"/>
      <c r="X8" s="16"/>
      <c r="Y8" s="16"/>
      <c r="Z8" s="16">
        <f t="shared" si="6"/>
        <v>0</v>
      </c>
      <c r="AA8" s="16">
        <f t="shared" si="0"/>
        <v>0</v>
      </c>
      <c r="AB8" s="16"/>
      <c r="AC8" s="18"/>
      <c r="AD8" s="48"/>
    </row>
    <row r="9" spans="1:30" ht="19.5" thickBot="1" x14ac:dyDescent="0.3">
      <c r="A9" s="14">
        <v>7</v>
      </c>
      <c r="B9" s="15"/>
      <c r="C9" s="15" t="e">
        <f>VLOOKUP(B9,داتا!$B$3:$D$107,2,FALSE)</f>
        <v>#N/A</v>
      </c>
      <c r="D9" s="34" t="e">
        <f>VLOOKUP(B9,داتا!$B$3:$D$107,3,FALSE)</f>
        <v>#N/A</v>
      </c>
      <c r="E9" s="15"/>
      <c r="F9" s="15"/>
      <c r="G9" s="16">
        <v>0.25</v>
      </c>
      <c r="H9" s="16"/>
      <c r="I9" s="16">
        <f t="shared" si="1"/>
        <v>-0.25</v>
      </c>
      <c r="J9" s="16"/>
      <c r="K9" s="16"/>
      <c r="L9" s="16"/>
      <c r="M9" s="16"/>
      <c r="N9" s="16">
        <f t="shared" si="2"/>
        <v>0</v>
      </c>
      <c r="O9" s="16" t="e">
        <f t="shared" si="3"/>
        <v>#N/A</v>
      </c>
      <c r="P9" s="16">
        <v>6.9444444444444397E-3</v>
      </c>
      <c r="Q9" s="16"/>
      <c r="R9" s="16">
        <f t="shared" si="4"/>
        <v>-6.9444444444444397E-3</v>
      </c>
      <c r="S9" s="16"/>
      <c r="T9" s="16" t="e">
        <f>VLOOKUP(E9,'[2]21-3-2026'!E$3:T$35,16,FALSE)</f>
        <v>#N/A</v>
      </c>
      <c r="U9" s="16"/>
      <c r="V9" s="16" t="e">
        <f t="shared" si="5"/>
        <v>#N/A</v>
      </c>
      <c r="W9" s="16"/>
      <c r="X9" s="16"/>
      <c r="Y9" s="16"/>
      <c r="Z9" s="16">
        <f t="shared" si="6"/>
        <v>0</v>
      </c>
      <c r="AA9" s="16">
        <f t="shared" si="0"/>
        <v>0</v>
      </c>
      <c r="AB9" s="16"/>
      <c r="AC9" s="17"/>
      <c r="AD9" s="48"/>
    </row>
    <row r="10" spans="1:30" ht="19.5" thickBot="1" x14ac:dyDescent="0.3">
      <c r="A10" s="14">
        <v>8</v>
      </c>
      <c r="B10" s="15"/>
      <c r="C10" s="15" t="e">
        <f>VLOOKUP(B10,داتا!$B$3:$D$107,2,FALSE)</f>
        <v>#N/A</v>
      </c>
      <c r="D10" s="34" t="e">
        <f>VLOOKUP(B10,داتا!$B$3:$D$107,3,FALSE)</f>
        <v>#N/A</v>
      </c>
      <c r="E10" s="15"/>
      <c r="F10" s="15"/>
      <c r="G10" s="16">
        <v>0.25</v>
      </c>
      <c r="H10" s="16"/>
      <c r="I10" s="16">
        <f t="shared" si="1"/>
        <v>-0.25</v>
      </c>
      <c r="J10" s="16"/>
      <c r="K10" s="16"/>
      <c r="L10" s="16"/>
      <c r="M10" s="16"/>
      <c r="N10" s="16">
        <f t="shared" si="2"/>
        <v>0</v>
      </c>
      <c r="O10" s="16" t="e">
        <f t="shared" si="3"/>
        <v>#N/A</v>
      </c>
      <c r="P10" s="16">
        <v>6.9444444444444397E-3</v>
      </c>
      <c r="Q10" s="16"/>
      <c r="R10" s="16">
        <f t="shared" si="4"/>
        <v>-6.9444444444444397E-3</v>
      </c>
      <c r="S10" s="16"/>
      <c r="T10" s="16" t="e">
        <f>VLOOKUP(E10,'[2]21-3-2026'!E$3:T$35,16,FALSE)</f>
        <v>#N/A</v>
      </c>
      <c r="U10" s="16"/>
      <c r="V10" s="16" t="e">
        <f t="shared" si="5"/>
        <v>#N/A</v>
      </c>
      <c r="W10" s="16"/>
      <c r="X10" s="16"/>
      <c r="Y10" s="16"/>
      <c r="Z10" s="16">
        <f t="shared" si="6"/>
        <v>0</v>
      </c>
      <c r="AA10" s="16">
        <f t="shared" si="0"/>
        <v>0</v>
      </c>
      <c r="AB10" s="16"/>
      <c r="AC10" s="17"/>
      <c r="AD10" s="48"/>
    </row>
    <row r="11" spans="1:30" ht="19.5" thickBot="1" x14ac:dyDescent="0.3">
      <c r="A11" s="14">
        <v>9</v>
      </c>
      <c r="B11" s="15"/>
      <c r="C11" s="15" t="e">
        <f>VLOOKUP(B11,داتا!$B$3:$D$107,2,FALSE)</f>
        <v>#N/A</v>
      </c>
      <c r="D11" s="34" t="e">
        <f>VLOOKUP(B11,داتا!$B$3:$D$107,3,FALSE)</f>
        <v>#N/A</v>
      </c>
      <c r="E11" s="15"/>
      <c r="F11" s="15"/>
      <c r="G11" s="16">
        <v>0.25</v>
      </c>
      <c r="H11" s="16"/>
      <c r="I11" s="16">
        <f t="shared" si="1"/>
        <v>-0.25</v>
      </c>
      <c r="J11" s="16"/>
      <c r="K11" s="16"/>
      <c r="L11" s="16"/>
      <c r="M11" s="16"/>
      <c r="N11" s="16">
        <f t="shared" si="2"/>
        <v>0</v>
      </c>
      <c r="O11" s="16" t="e">
        <f t="shared" si="3"/>
        <v>#N/A</v>
      </c>
      <c r="P11" s="16">
        <v>6.9444444444444397E-3</v>
      </c>
      <c r="Q11" s="16"/>
      <c r="R11" s="16">
        <f t="shared" si="4"/>
        <v>-6.9444444444444397E-3</v>
      </c>
      <c r="S11" s="16"/>
      <c r="T11" s="16" t="e">
        <f>VLOOKUP(E11,'[2]21-3-2026'!E$3:T$35,16,FALSE)</f>
        <v>#N/A</v>
      </c>
      <c r="U11" s="16"/>
      <c r="V11" s="16" t="e">
        <f t="shared" si="5"/>
        <v>#N/A</v>
      </c>
      <c r="W11" s="16"/>
      <c r="X11" s="16"/>
      <c r="Y11" s="16"/>
      <c r="Z11" s="16">
        <f t="shared" si="6"/>
        <v>0</v>
      </c>
      <c r="AA11" s="16">
        <f t="shared" si="0"/>
        <v>0</v>
      </c>
      <c r="AB11" s="16"/>
      <c r="AC11" s="17"/>
      <c r="AD11" s="48"/>
    </row>
    <row r="12" spans="1:30" ht="19.5" thickBot="1" x14ac:dyDescent="0.3">
      <c r="A12" s="14">
        <v>10</v>
      </c>
      <c r="B12" s="15"/>
      <c r="C12" s="15" t="e">
        <f>VLOOKUP(B12,داتا!$B$3:$D$107,2,FALSE)</f>
        <v>#N/A</v>
      </c>
      <c r="D12" s="34" t="e">
        <f>VLOOKUP(B12,داتا!$B$3:$D$107,3,FALSE)</f>
        <v>#N/A</v>
      </c>
      <c r="E12" s="15"/>
      <c r="F12" s="15"/>
      <c r="G12" s="16">
        <v>0.25</v>
      </c>
      <c r="H12" s="16"/>
      <c r="I12" s="16">
        <f t="shared" si="1"/>
        <v>-0.25</v>
      </c>
      <c r="J12" s="16"/>
      <c r="K12" s="16"/>
      <c r="L12" s="16"/>
      <c r="M12" s="16"/>
      <c r="N12" s="16">
        <f t="shared" si="2"/>
        <v>0</v>
      </c>
      <c r="O12" s="16" t="e">
        <f t="shared" si="3"/>
        <v>#N/A</v>
      </c>
      <c r="P12" s="16">
        <v>6.9444444444444397E-3</v>
      </c>
      <c r="Q12" s="16"/>
      <c r="R12" s="16">
        <f t="shared" si="4"/>
        <v>-6.9444444444444397E-3</v>
      </c>
      <c r="S12" s="16"/>
      <c r="T12" s="16" t="e">
        <f>VLOOKUP(E12,'[2]21-3-2026'!E$3:T$35,16,FALSE)</f>
        <v>#N/A</v>
      </c>
      <c r="U12" s="16"/>
      <c r="V12" s="16" t="e">
        <f t="shared" si="5"/>
        <v>#N/A</v>
      </c>
      <c r="W12" s="16"/>
      <c r="X12" s="16"/>
      <c r="Y12" s="16"/>
      <c r="Z12" s="16">
        <f t="shared" si="6"/>
        <v>0</v>
      </c>
      <c r="AA12" s="16">
        <f t="shared" si="0"/>
        <v>0</v>
      </c>
      <c r="AB12" s="16"/>
      <c r="AC12" s="17"/>
      <c r="AD12" s="48"/>
    </row>
    <row r="13" spans="1:30" ht="19.5" thickBot="1" x14ac:dyDescent="0.3">
      <c r="A13" s="14">
        <v>11</v>
      </c>
      <c r="B13" s="15"/>
      <c r="C13" s="15" t="e">
        <f>VLOOKUP(B13,داتا!$B$3:$D$107,2,FALSE)</f>
        <v>#N/A</v>
      </c>
      <c r="D13" s="34" t="e">
        <f>VLOOKUP(B13,داتا!$B$3:$D$107,3,FALSE)</f>
        <v>#N/A</v>
      </c>
      <c r="E13" s="15"/>
      <c r="F13" s="15"/>
      <c r="G13" s="16">
        <v>0.25</v>
      </c>
      <c r="H13" s="16"/>
      <c r="I13" s="16">
        <f t="shared" si="1"/>
        <v>-0.25</v>
      </c>
      <c r="J13" s="16"/>
      <c r="K13" s="16"/>
      <c r="L13" s="16"/>
      <c r="M13" s="16"/>
      <c r="N13" s="16">
        <f t="shared" si="2"/>
        <v>0</v>
      </c>
      <c r="O13" s="16" t="e">
        <f t="shared" si="3"/>
        <v>#N/A</v>
      </c>
      <c r="P13" s="16">
        <v>6.9444444444444397E-3</v>
      </c>
      <c r="Q13" s="16"/>
      <c r="R13" s="16">
        <f t="shared" si="4"/>
        <v>-6.9444444444444397E-3</v>
      </c>
      <c r="S13" s="16"/>
      <c r="T13" s="16" t="e">
        <f>VLOOKUP(E13,'[2]21-3-2026'!E$3:T$35,16,FALSE)</f>
        <v>#N/A</v>
      </c>
      <c r="U13" s="16"/>
      <c r="V13" s="16" t="e">
        <f t="shared" si="5"/>
        <v>#N/A</v>
      </c>
      <c r="W13" s="16"/>
      <c r="X13" s="16"/>
      <c r="Y13" s="16"/>
      <c r="Z13" s="16">
        <f t="shared" si="6"/>
        <v>0</v>
      </c>
      <c r="AA13" s="16">
        <f t="shared" si="0"/>
        <v>0</v>
      </c>
      <c r="AB13" s="16"/>
      <c r="AC13" s="18"/>
      <c r="AD13" s="48"/>
    </row>
    <row r="14" spans="1:30" ht="19.5" thickBot="1" x14ac:dyDescent="0.3">
      <c r="A14" s="14">
        <v>12</v>
      </c>
      <c r="B14" s="15"/>
      <c r="C14" s="15" t="e">
        <f>VLOOKUP(B14,داتا!$B$3:$D$107,2,FALSE)</f>
        <v>#N/A</v>
      </c>
      <c r="D14" s="34" t="e">
        <f>VLOOKUP(B14,داتا!$B$3:$D$107,3,FALSE)</f>
        <v>#N/A</v>
      </c>
      <c r="E14" s="15"/>
      <c r="F14" s="15"/>
      <c r="G14" s="16">
        <v>0.25</v>
      </c>
      <c r="H14" s="16"/>
      <c r="I14" s="16">
        <f t="shared" si="1"/>
        <v>-0.25</v>
      </c>
      <c r="J14" s="16"/>
      <c r="K14" s="16"/>
      <c r="L14" s="16"/>
      <c r="M14" s="16"/>
      <c r="N14" s="16">
        <f t="shared" si="2"/>
        <v>0</v>
      </c>
      <c r="O14" s="16" t="e">
        <f t="shared" si="3"/>
        <v>#N/A</v>
      </c>
      <c r="P14" s="16">
        <v>6.9444444444444397E-3</v>
      </c>
      <c r="Q14" s="16"/>
      <c r="R14" s="16">
        <f t="shared" si="4"/>
        <v>-6.9444444444444397E-3</v>
      </c>
      <c r="S14" s="16"/>
      <c r="T14" s="16" t="e">
        <f>VLOOKUP(E14,'[2]21-3-2026'!E$3:T$35,16,FALSE)</f>
        <v>#N/A</v>
      </c>
      <c r="U14" s="16"/>
      <c r="V14" s="16" t="e">
        <f t="shared" si="5"/>
        <v>#N/A</v>
      </c>
      <c r="W14" s="16"/>
      <c r="X14" s="16"/>
      <c r="Y14" s="16"/>
      <c r="Z14" s="16">
        <f t="shared" si="6"/>
        <v>0</v>
      </c>
      <c r="AA14" s="16">
        <f t="shared" si="0"/>
        <v>0</v>
      </c>
      <c r="AB14" s="16"/>
      <c r="AC14" s="17"/>
      <c r="AD14" s="48"/>
    </row>
    <row r="15" spans="1:30" ht="19.5" thickBot="1" x14ac:dyDescent="0.3">
      <c r="A15" s="14">
        <v>13</v>
      </c>
      <c r="B15" s="15"/>
      <c r="C15" s="15" t="e">
        <f>VLOOKUP(B15,داتا!$B$3:$D$107,2,FALSE)</f>
        <v>#N/A</v>
      </c>
      <c r="D15" s="34" t="e">
        <f>VLOOKUP(B15,داتا!$B$3:$D$107,3,FALSE)</f>
        <v>#N/A</v>
      </c>
      <c r="E15" s="15"/>
      <c r="F15" s="15"/>
      <c r="G15" s="16">
        <v>0.25</v>
      </c>
      <c r="H15" s="16"/>
      <c r="I15" s="16">
        <f t="shared" si="1"/>
        <v>-0.25</v>
      </c>
      <c r="J15" s="16"/>
      <c r="K15" s="16"/>
      <c r="L15" s="16"/>
      <c r="M15" s="16"/>
      <c r="N15" s="16">
        <f t="shared" si="2"/>
        <v>0</v>
      </c>
      <c r="O15" s="16" t="e">
        <f t="shared" si="3"/>
        <v>#N/A</v>
      </c>
      <c r="P15" s="16">
        <v>6.9444444444444397E-3</v>
      </c>
      <c r="Q15" s="16"/>
      <c r="R15" s="16">
        <f t="shared" si="4"/>
        <v>-6.9444444444444397E-3</v>
      </c>
      <c r="S15" s="16"/>
      <c r="T15" s="16" t="e">
        <f>VLOOKUP(E15,'[2]21-3-2026'!E$3:T$35,16,FALSE)</f>
        <v>#N/A</v>
      </c>
      <c r="U15" s="16"/>
      <c r="V15" s="16" t="e">
        <f t="shared" si="5"/>
        <v>#N/A</v>
      </c>
      <c r="W15" s="16"/>
      <c r="X15" s="16"/>
      <c r="Y15" s="16"/>
      <c r="Z15" s="16">
        <f t="shared" si="6"/>
        <v>0</v>
      </c>
      <c r="AA15" s="16">
        <f t="shared" si="0"/>
        <v>0</v>
      </c>
      <c r="AB15" s="16"/>
      <c r="AC15" s="17"/>
      <c r="AD15" s="48"/>
    </row>
    <row r="16" spans="1:30" ht="19.5" thickBot="1" x14ac:dyDescent="0.3">
      <c r="A16" s="14">
        <v>14</v>
      </c>
      <c r="B16" s="15"/>
      <c r="C16" s="15" t="e">
        <f>VLOOKUP(B16,داتا!$B$3:$D$107,2,FALSE)</f>
        <v>#N/A</v>
      </c>
      <c r="D16" s="34" t="e">
        <f>VLOOKUP(B16,داتا!$B$3:$D$107,3,FALSE)</f>
        <v>#N/A</v>
      </c>
      <c r="E16" s="15"/>
      <c r="F16" s="15"/>
      <c r="G16" s="16">
        <v>0.25</v>
      </c>
      <c r="H16" s="16"/>
      <c r="I16" s="16">
        <f t="shared" si="1"/>
        <v>-0.25</v>
      </c>
      <c r="J16" s="16"/>
      <c r="K16" s="16"/>
      <c r="L16" s="16"/>
      <c r="M16" s="16"/>
      <c r="N16" s="16">
        <f t="shared" si="2"/>
        <v>0</v>
      </c>
      <c r="O16" s="16" t="e">
        <f t="shared" si="3"/>
        <v>#N/A</v>
      </c>
      <c r="P16" s="16">
        <v>6.9444444444444397E-3</v>
      </c>
      <c r="Q16" s="16"/>
      <c r="R16" s="16">
        <f t="shared" si="4"/>
        <v>-6.9444444444444397E-3</v>
      </c>
      <c r="S16" s="16"/>
      <c r="T16" s="16" t="e">
        <f>VLOOKUP(E16,'[2]21-3-2026'!E$3:T$35,16,FALSE)</f>
        <v>#N/A</v>
      </c>
      <c r="U16" s="16"/>
      <c r="V16" s="16" t="e">
        <f t="shared" si="5"/>
        <v>#N/A</v>
      </c>
      <c r="W16" s="16"/>
      <c r="X16" s="16"/>
      <c r="Y16" s="16"/>
      <c r="Z16" s="16">
        <f t="shared" si="6"/>
        <v>0</v>
      </c>
      <c r="AA16" s="16">
        <f t="shared" si="0"/>
        <v>0</v>
      </c>
      <c r="AB16" s="16"/>
      <c r="AC16" s="17"/>
      <c r="AD16" s="48"/>
    </row>
    <row r="17" spans="1:30" ht="19.5" thickBot="1" x14ac:dyDescent="0.3">
      <c r="A17" s="14">
        <v>15</v>
      </c>
      <c r="B17" s="15"/>
      <c r="C17" s="15" t="e">
        <f>VLOOKUP(B17,داتا!$B$3:$D$107,2,FALSE)</f>
        <v>#N/A</v>
      </c>
      <c r="D17" s="34" t="e">
        <f>VLOOKUP(B17,داتا!$B$3:$D$107,3,FALSE)</f>
        <v>#N/A</v>
      </c>
      <c r="E17" s="15"/>
      <c r="F17" s="15"/>
      <c r="G17" s="16">
        <v>0.25</v>
      </c>
      <c r="H17" s="16"/>
      <c r="I17" s="16">
        <f t="shared" si="1"/>
        <v>-0.25</v>
      </c>
      <c r="J17" s="16"/>
      <c r="K17" s="16"/>
      <c r="L17" s="16"/>
      <c r="M17" s="16"/>
      <c r="N17" s="16">
        <f t="shared" si="2"/>
        <v>0</v>
      </c>
      <c r="O17" s="16" t="e">
        <f t="shared" si="3"/>
        <v>#N/A</v>
      </c>
      <c r="P17" s="16">
        <v>6.9444444444444397E-3</v>
      </c>
      <c r="Q17" s="16"/>
      <c r="R17" s="16">
        <f t="shared" si="4"/>
        <v>-6.9444444444444397E-3</v>
      </c>
      <c r="S17" s="16"/>
      <c r="T17" s="16" t="e">
        <f>VLOOKUP(E17,'[2]21-3-2026'!E$3:T$35,16,FALSE)</f>
        <v>#N/A</v>
      </c>
      <c r="U17" s="16"/>
      <c r="V17" s="16" t="e">
        <f t="shared" si="5"/>
        <v>#N/A</v>
      </c>
      <c r="W17" s="16"/>
      <c r="X17" s="16"/>
      <c r="Y17" s="16"/>
      <c r="Z17" s="16">
        <f t="shared" si="6"/>
        <v>0</v>
      </c>
      <c r="AA17" s="16">
        <f t="shared" si="0"/>
        <v>0</v>
      </c>
      <c r="AB17" s="16"/>
      <c r="AC17" s="17"/>
      <c r="AD17" s="48"/>
    </row>
    <row r="18" spans="1:30" ht="19.5" thickBot="1" x14ac:dyDescent="0.3">
      <c r="A18" s="14">
        <v>16</v>
      </c>
      <c r="B18" s="15"/>
      <c r="C18" s="15" t="e">
        <f>VLOOKUP(B18,داتا!$B$3:$D$107,2,FALSE)</f>
        <v>#N/A</v>
      </c>
      <c r="D18" s="34" t="e">
        <f>VLOOKUP(B18,داتا!$B$3:$D$107,3,FALSE)</f>
        <v>#N/A</v>
      </c>
      <c r="E18" s="16"/>
      <c r="F18" s="15"/>
      <c r="G18" s="16">
        <v>0.25</v>
      </c>
      <c r="H18" s="16"/>
      <c r="I18" s="16">
        <f t="shared" si="1"/>
        <v>-0.25</v>
      </c>
      <c r="J18" s="16"/>
      <c r="K18" s="16"/>
      <c r="L18" s="16"/>
      <c r="M18" s="16"/>
      <c r="N18" s="16">
        <f t="shared" si="2"/>
        <v>0</v>
      </c>
      <c r="O18" s="16" t="e">
        <f t="shared" si="3"/>
        <v>#N/A</v>
      </c>
      <c r="P18" s="16">
        <v>6.9444444444444397E-3</v>
      </c>
      <c r="Q18" s="16"/>
      <c r="R18" s="16">
        <f t="shared" si="4"/>
        <v>-6.9444444444444397E-3</v>
      </c>
      <c r="S18" s="16"/>
      <c r="T18" s="16" t="e">
        <f>VLOOKUP(E18,'[2]21-3-2026'!E$3:T$35,16,FALSE)</f>
        <v>#N/A</v>
      </c>
      <c r="U18" s="16"/>
      <c r="V18" s="16" t="e">
        <f t="shared" si="5"/>
        <v>#N/A</v>
      </c>
      <c r="W18" s="16"/>
      <c r="X18" s="16"/>
      <c r="Y18" s="16"/>
      <c r="Z18" s="16">
        <f t="shared" si="6"/>
        <v>0</v>
      </c>
      <c r="AA18" s="16">
        <f t="shared" si="0"/>
        <v>0</v>
      </c>
      <c r="AB18" s="16"/>
      <c r="AC18" s="17"/>
      <c r="AD18" s="48"/>
    </row>
    <row r="19" spans="1:30" ht="19.5" thickBot="1" x14ac:dyDescent="0.3">
      <c r="A19" s="14">
        <v>17</v>
      </c>
      <c r="B19" s="15"/>
      <c r="C19" s="15" t="e">
        <f>VLOOKUP(B19,داتا!$B$3:$D$107,2,FALSE)</f>
        <v>#N/A</v>
      </c>
      <c r="D19" s="34" t="e">
        <f>VLOOKUP(B19,داتا!$B$3:$D$107,3,FALSE)</f>
        <v>#N/A</v>
      </c>
      <c r="E19" s="15"/>
      <c r="F19" s="15"/>
      <c r="G19" s="16">
        <v>0.25</v>
      </c>
      <c r="H19" s="16"/>
      <c r="I19" s="16">
        <f t="shared" si="1"/>
        <v>-0.25</v>
      </c>
      <c r="J19" s="16"/>
      <c r="K19" s="16"/>
      <c r="L19" s="16"/>
      <c r="M19" s="16"/>
      <c r="N19" s="16">
        <f t="shared" si="2"/>
        <v>0</v>
      </c>
      <c r="O19" s="16" t="e">
        <f t="shared" si="3"/>
        <v>#N/A</v>
      </c>
      <c r="P19" s="16">
        <v>6.9444444444444397E-3</v>
      </c>
      <c r="Q19" s="16"/>
      <c r="R19" s="16">
        <f t="shared" si="4"/>
        <v>-6.9444444444444397E-3</v>
      </c>
      <c r="S19" s="16"/>
      <c r="T19" s="16" t="e">
        <f>VLOOKUP(E19,'[2]21-3-2026'!E$3:T$35,16,FALSE)</f>
        <v>#N/A</v>
      </c>
      <c r="U19" s="16"/>
      <c r="V19" s="16" t="e">
        <f t="shared" si="5"/>
        <v>#N/A</v>
      </c>
      <c r="W19" s="16"/>
      <c r="X19" s="16"/>
      <c r="Y19" s="16"/>
      <c r="Z19" s="16">
        <f t="shared" si="6"/>
        <v>0</v>
      </c>
      <c r="AA19" s="16">
        <f t="shared" si="0"/>
        <v>0</v>
      </c>
      <c r="AB19" s="16"/>
      <c r="AC19" s="17"/>
      <c r="AD19" s="48"/>
    </row>
    <row r="20" spans="1:30" ht="19.5" thickBot="1" x14ac:dyDescent="0.3">
      <c r="A20" s="14">
        <v>18</v>
      </c>
      <c r="B20" s="15"/>
      <c r="C20" s="15" t="e">
        <f>VLOOKUP(B20,داتا!$B$3:$D$107,2,FALSE)</f>
        <v>#N/A</v>
      </c>
      <c r="D20" s="34" t="e">
        <f>VLOOKUP(B20,داتا!$B$3:$D$107,3,FALSE)</f>
        <v>#N/A</v>
      </c>
      <c r="E20" s="15"/>
      <c r="F20" s="15"/>
      <c r="G20" s="16">
        <v>0.25</v>
      </c>
      <c r="H20" s="16"/>
      <c r="I20" s="16">
        <f t="shared" si="1"/>
        <v>-0.25</v>
      </c>
      <c r="J20" s="16"/>
      <c r="K20" s="16"/>
      <c r="L20" s="16"/>
      <c r="M20" s="16"/>
      <c r="N20" s="16">
        <f t="shared" si="2"/>
        <v>0</v>
      </c>
      <c r="O20" s="16" t="e">
        <f t="shared" si="3"/>
        <v>#N/A</v>
      </c>
      <c r="P20" s="16">
        <v>6.9444444444444397E-3</v>
      </c>
      <c r="Q20" s="16"/>
      <c r="R20" s="16">
        <f t="shared" si="4"/>
        <v>-6.9444444444444397E-3</v>
      </c>
      <c r="S20" s="16"/>
      <c r="T20" s="16" t="e">
        <f>VLOOKUP(E20,'[2]21-3-2026'!E$3:T$35,16,FALSE)</f>
        <v>#N/A</v>
      </c>
      <c r="U20" s="16"/>
      <c r="V20" s="16" t="e">
        <f t="shared" si="5"/>
        <v>#N/A</v>
      </c>
      <c r="W20" s="16"/>
      <c r="X20" s="16"/>
      <c r="Y20" s="16"/>
      <c r="Z20" s="16">
        <f t="shared" si="6"/>
        <v>0</v>
      </c>
      <c r="AA20" s="16">
        <f t="shared" si="0"/>
        <v>0</v>
      </c>
      <c r="AB20" s="16"/>
      <c r="AC20" s="17"/>
      <c r="AD20" s="48"/>
    </row>
    <row r="21" spans="1:30" ht="19.5" thickBot="1" x14ac:dyDescent="0.3">
      <c r="A21" s="14">
        <v>19</v>
      </c>
      <c r="B21" s="15"/>
      <c r="C21" s="15" t="e">
        <f>VLOOKUP(B21,داتا!$B$3:$D$107,2,FALSE)</f>
        <v>#N/A</v>
      </c>
      <c r="D21" s="34" t="e">
        <f>VLOOKUP(B21,داتا!$B$3:$D$107,3,FALSE)</f>
        <v>#N/A</v>
      </c>
      <c r="E21" s="15"/>
      <c r="F21" s="15"/>
      <c r="G21" s="16">
        <v>0.25</v>
      </c>
      <c r="H21" s="16"/>
      <c r="I21" s="16">
        <f t="shared" si="1"/>
        <v>-0.25</v>
      </c>
      <c r="J21" s="16"/>
      <c r="K21" s="16"/>
      <c r="L21" s="16"/>
      <c r="M21" s="16"/>
      <c r="N21" s="16">
        <f t="shared" si="2"/>
        <v>0</v>
      </c>
      <c r="O21" s="16" t="e">
        <f t="shared" si="3"/>
        <v>#N/A</v>
      </c>
      <c r="P21" s="16">
        <v>6.9444444444444397E-3</v>
      </c>
      <c r="Q21" s="16"/>
      <c r="R21" s="16">
        <f t="shared" si="4"/>
        <v>-6.9444444444444397E-3</v>
      </c>
      <c r="S21" s="16"/>
      <c r="T21" s="16" t="e">
        <f>VLOOKUP(E21,'[2]21-3-2026'!E$3:T$35,16,FALSE)</f>
        <v>#N/A</v>
      </c>
      <c r="U21" s="16"/>
      <c r="V21" s="16" t="e">
        <f t="shared" si="5"/>
        <v>#N/A</v>
      </c>
      <c r="W21" s="16"/>
      <c r="X21" s="16"/>
      <c r="Y21" s="16"/>
      <c r="Z21" s="16">
        <f t="shared" si="6"/>
        <v>0</v>
      </c>
      <c r="AA21" s="16">
        <f t="shared" si="0"/>
        <v>0</v>
      </c>
      <c r="AB21" s="16"/>
      <c r="AC21" s="17"/>
      <c r="AD21" s="48"/>
    </row>
    <row r="22" spans="1:30" ht="19.5" thickBot="1" x14ac:dyDescent="0.3">
      <c r="A22" s="14">
        <v>20</v>
      </c>
      <c r="B22" s="15"/>
      <c r="C22" s="15" t="e">
        <f>VLOOKUP(B22,داتا!$B$3:$D$107,2,FALSE)</f>
        <v>#N/A</v>
      </c>
      <c r="D22" s="34" t="e">
        <f>VLOOKUP(B22,داتا!$B$3:$D$107,3,FALSE)</f>
        <v>#N/A</v>
      </c>
      <c r="E22" s="15"/>
      <c r="F22" s="15"/>
      <c r="G22" s="16">
        <v>0.25</v>
      </c>
      <c r="H22" s="16"/>
      <c r="I22" s="16">
        <f t="shared" si="1"/>
        <v>-0.25</v>
      </c>
      <c r="J22" s="16"/>
      <c r="K22" s="16"/>
      <c r="L22" s="16"/>
      <c r="M22" s="16"/>
      <c r="N22" s="16">
        <f t="shared" si="2"/>
        <v>0</v>
      </c>
      <c r="O22" s="16" t="e">
        <f t="shared" si="3"/>
        <v>#N/A</v>
      </c>
      <c r="P22" s="16">
        <v>6.9444444444444397E-3</v>
      </c>
      <c r="Q22" s="16"/>
      <c r="R22" s="16">
        <f t="shared" si="4"/>
        <v>-6.9444444444444397E-3</v>
      </c>
      <c r="S22" s="16"/>
      <c r="T22" s="16" t="e">
        <f>VLOOKUP(E22,'[2]21-3-2026'!E$3:T$35,16,FALSE)</f>
        <v>#N/A</v>
      </c>
      <c r="U22" s="16"/>
      <c r="V22" s="16" t="e">
        <f t="shared" si="5"/>
        <v>#N/A</v>
      </c>
      <c r="W22" s="16"/>
      <c r="X22" s="16"/>
      <c r="Y22" s="16"/>
      <c r="Z22" s="16">
        <f t="shared" si="6"/>
        <v>0</v>
      </c>
      <c r="AA22" s="16">
        <f t="shared" si="0"/>
        <v>0</v>
      </c>
      <c r="AB22" s="16"/>
      <c r="AC22" s="17"/>
      <c r="AD22" s="48"/>
    </row>
    <row r="23" spans="1:30" ht="19.5" thickBot="1" x14ac:dyDescent="0.3">
      <c r="A23" s="14">
        <v>21</v>
      </c>
      <c r="B23" s="15"/>
      <c r="C23" s="15" t="e">
        <f>VLOOKUP(B23,داتا!$B$3:$D$107,2,FALSE)</f>
        <v>#N/A</v>
      </c>
      <c r="D23" s="34" t="e">
        <f>VLOOKUP(B23,داتا!$B$3:$D$107,3,FALSE)</f>
        <v>#N/A</v>
      </c>
      <c r="E23" s="15"/>
      <c r="F23" s="15"/>
      <c r="G23" s="16">
        <v>0.25</v>
      </c>
      <c r="H23" s="16"/>
      <c r="I23" s="16">
        <f t="shared" si="1"/>
        <v>-0.25</v>
      </c>
      <c r="J23" s="16"/>
      <c r="K23" s="16"/>
      <c r="L23" s="16"/>
      <c r="M23" s="16"/>
      <c r="N23" s="16">
        <f t="shared" si="2"/>
        <v>0</v>
      </c>
      <c r="O23" s="16" t="e">
        <f t="shared" si="3"/>
        <v>#N/A</v>
      </c>
      <c r="P23" s="16">
        <v>6.9444444444444397E-3</v>
      </c>
      <c r="Q23" s="16"/>
      <c r="R23" s="16">
        <f t="shared" si="4"/>
        <v>-6.9444444444444397E-3</v>
      </c>
      <c r="S23" s="16"/>
      <c r="T23" s="16" t="e">
        <f>VLOOKUP(E23,'[2]21-3-2026'!E$3:T$35,16,FALSE)</f>
        <v>#N/A</v>
      </c>
      <c r="U23" s="16"/>
      <c r="V23" s="16" t="e">
        <f t="shared" si="5"/>
        <v>#N/A</v>
      </c>
      <c r="W23" s="16"/>
      <c r="X23" s="16"/>
      <c r="Y23" s="16"/>
      <c r="Z23" s="16">
        <f t="shared" si="6"/>
        <v>0</v>
      </c>
      <c r="AA23" s="16">
        <f t="shared" si="0"/>
        <v>0</v>
      </c>
      <c r="AB23" s="16"/>
      <c r="AC23" s="17"/>
      <c r="AD23" s="48"/>
    </row>
    <row r="24" spans="1:30" ht="19.5" thickBot="1" x14ac:dyDescent="0.3">
      <c r="A24" s="14">
        <v>22</v>
      </c>
      <c r="B24" s="15"/>
      <c r="C24" s="15" t="e">
        <f>VLOOKUP(B24,داتا!$B$3:$D$107,2,FALSE)</f>
        <v>#N/A</v>
      </c>
      <c r="D24" s="34" t="e">
        <f>VLOOKUP(B24,داتا!$B$3:$D$107,3,FALSE)</f>
        <v>#N/A</v>
      </c>
      <c r="E24" s="15"/>
      <c r="F24" s="16"/>
      <c r="G24" s="16">
        <v>0.25</v>
      </c>
      <c r="H24" s="16"/>
      <c r="I24" s="16">
        <f t="shared" si="1"/>
        <v>-0.25</v>
      </c>
      <c r="J24" s="16"/>
      <c r="K24" s="16"/>
      <c r="L24" s="16"/>
      <c r="M24" s="16"/>
      <c r="N24" s="16">
        <f t="shared" si="2"/>
        <v>0</v>
      </c>
      <c r="O24" s="16" t="e">
        <f t="shared" si="3"/>
        <v>#N/A</v>
      </c>
      <c r="P24" s="16">
        <v>6.9444444444444397E-3</v>
      </c>
      <c r="Q24" s="16"/>
      <c r="R24" s="16">
        <f t="shared" si="4"/>
        <v>-6.9444444444444397E-3</v>
      </c>
      <c r="S24" s="16"/>
      <c r="T24" s="16" t="e">
        <f>VLOOKUP(E24,'[2]21-3-2026'!E$3:T$35,16,FALSE)</f>
        <v>#N/A</v>
      </c>
      <c r="U24" s="16"/>
      <c r="V24" s="16" t="e">
        <f t="shared" si="5"/>
        <v>#N/A</v>
      </c>
      <c r="W24" s="16"/>
      <c r="X24" s="16"/>
      <c r="Y24" s="16"/>
      <c r="Z24" s="16">
        <f t="shared" si="6"/>
        <v>0</v>
      </c>
      <c r="AA24" s="16">
        <f t="shared" si="0"/>
        <v>0</v>
      </c>
      <c r="AB24" s="16"/>
      <c r="AC24" s="17"/>
      <c r="AD24" s="48"/>
    </row>
    <row r="25" spans="1:30" ht="19.5" thickBot="1" x14ac:dyDescent="0.3">
      <c r="A25" s="14">
        <v>23</v>
      </c>
      <c r="B25" s="15"/>
      <c r="C25" s="15" t="e">
        <f>VLOOKUP(B25,داتا!$B$3:$D$107,2,FALSE)</f>
        <v>#N/A</v>
      </c>
      <c r="D25" s="34" t="e">
        <f>VLOOKUP(B25,داتا!$B$3:$D$107,3,FALSE)</f>
        <v>#N/A</v>
      </c>
      <c r="E25" s="15"/>
      <c r="F25" s="15"/>
      <c r="G25" s="16">
        <v>0.25</v>
      </c>
      <c r="H25" s="16"/>
      <c r="I25" s="16">
        <f t="shared" si="1"/>
        <v>-0.25</v>
      </c>
      <c r="J25" s="16"/>
      <c r="K25" s="16"/>
      <c r="L25" s="16"/>
      <c r="M25" s="16"/>
      <c r="N25" s="16">
        <f t="shared" si="2"/>
        <v>0</v>
      </c>
      <c r="O25" s="16" t="e">
        <f t="shared" si="3"/>
        <v>#N/A</v>
      </c>
      <c r="P25" s="16">
        <v>6.9444444444444397E-3</v>
      </c>
      <c r="Q25" s="16"/>
      <c r="R25" s="16">
        <f t="shared" si="4"/>
        <v>-6.9444444444444397E-3</v>
      </c>
      <c r="S25" s="16"/>
      <c r="T25" s="16" t="e">
        <f>VLOOKUP(E25,'[2]21-3-2026'!E$3:T$35,16,FALSE)</f>
        <v>#N/A</v>
      </c>
      <c r="U25" s="16"/>
      <c r="V25" s="16" t="e">
        <f t="shared" si="5"/>
        <v>#N/A</v>
      </c>
      <c r="W25" s="16"/>
      <c r="X25" s="16"/>
      <c r="Y25" s="16"/>
      <c r="Z25" s="16">
        <f t="shared" si="6"/>
        <v>0</v>
      </c>
      <c r="AA25" s="16">
        <f t="shared" si="0"/>
        <v>0</v>
      </c>
      <c r="AB25" s="16"/>
      <c r="AC25" s="19"/>
      <c r="AD25" s="48"/>
    </row>
    <row r="26" spans="1:30" ht="19.5" thickBot="1" x14ac:dyDescent="0.3">
      <c r="A26" s="14">
        <v>24</v>
      </c>
      <c r="B26" s="15"/>
      <c r="C26" s="15" t="e">
        <f>VLOOKUP(B26,داتا!$B$3:$D$107,2,FALSE)</f>
        <v>#N/A</v>
      </c>
      <c r="D26" s="34" t="e">
        <f>VLOOKUP(B26,داتا!$B$3:$D$107,3,FALSE)</f>
        <v>#N/A</v>
      </c>
      <c r="E26" s="15"/>
      <c r="F26" s="15"/>
      <c r="G26" s="16">
        <v>0.25</v>
      </c>
      <c r="H26" s="16"/>
      <c r="I26" s="16">
        <f t="shared" si="1"/>
        <v>-0.25</v>
      </c>
      <c r="J26" s="16"/>
      <c r="K26" s="16"/>
      <c r="L26" s="16"/>
      <c r="M26" s="16"/>
      <c r="N26" s="16">
        <f t="shared" si="2"/>
        <v>0</v>
      </c>
      <c r="O26" s="16" t="e">
        <f t="shared" si="3"/>
        <v>#N/A</v>
      </c>
      <c r="P26" s="16">
        <v>6.9444444444444397E-3</v>
      </c>
      <c r="Q26" s="16"/>
      <c r="R26" s="16">
        <f t="shared" si="4"/>
        <v>-6.9444444444444397E-3</v>
      </c>
      <c r="S26" s="16"/>
      <c r="T26" s="16" t="e">
        <f>VLOOKUP(E26,'[2]21-3-2026'!E$3:T$35,16,FALSE)</f>
        <v>#N/A</v>
      </c>
      <c r="U26" s="16"/>
      <c r="V26" s="16" t="e">
        <f t="shared" si="5"/>
        <v>#N/A</v>
      </c>
      <c r="W26" s="16"/>
      <c r="X26" s="16"/>
      <c r="Y26" s="16"/>
      <c r="Z26" s="16">
        <f t="shared" si="6"/>
        <v>0</v>
      </c>
      <c r="AA26" s="16">
        <f t="shared" si="0"/>
        <v>0</v>
      </c>
      <c r="AB26" s="16"/>
      <c r="AC26" s="19"/>
      <c r="AD26" s="48"/>
    </row>
    <row r="27" spans="1:30" ht="19.5" thickBot="1" x14ac:dyDescent="0.3">
      <c r="A27" s="14">
        <v>25</v>
      </c>
      <c r="B27" s="15"/>
      <c r="C27" s="15" t="e">
        <f>VLOOKUP(B27,داتا!$B$3:$D$107,2,FALSE)</f>
        <v>#N/A</v>
      </c>
      <c r="D27" s="34" t="e">
        <f>VLOOKUP(B27,داتا!$B$3:$D$107,3,FALSE)</f>
        <v>#N/A</v>
      </c>
      <c r="E27" s="15"/>
      <c r="F27" s="15"/>
      <c r="G27" s="16">
        <v>0.25</v>
      </c>
      <c r="H27" s="16"/>
      <c r="I27" s="16">
        <f t="shared" si="1"/>
        <v>-0.25</v>
      </c>
      <c r="J27" s="16"/>
      <c r="K27" s="16"/>
      <c r="L27" s="16"/>
      <c r="M27" s="16"/>
      <c r="N27" s="16">
        <f t="shared" si="2"/>
        <v>0</v>
      </c>
      <c r="O27" s="16" t="e">
        <f t="shared" si="3"/>
        <v>#N/A</v>
      </c>
      <c r="P27" s="16">
        <v>6.9444444444444397E-3</v>
      </c>
      <c r="Q27" s="16"/>
      <c r="R27" s="16">
        <f t="shared" si="4"/>
        <v>-6.9444444444444397E-3</v>
      </c>
      <c r="S27" s="16"/>
      <c r="T27" s="16" t="e">
        <f>VLOOKUP(E27,'[2]21-3-2026'!E$3:T$35,16,FALSE)</f>
        <v>#N/A</v>
      </c>
      <c r="U27" s="16"/>
      <c r="V27" s="16" t="e">
        <f t="shared" si="5"/>
        <v>#N/A</v>
      </c>
      <c r="W27" s="16"/>
      <c r="X27" s="16"/>
      <c r="Y27" s="16"/>
      <c r="Z27" s="16">
        <f t="shared" si="6"/>
        <v>0</v>
      </c>
      <c r="AA27" s="16">
        <f t="shared" si="0"/>
        <v>0</v>
      </c>
      <c r="AB27" s="16"/>
      <c r="AC27" s="19"/>
      <c r="AD27" s="48"/>
    </row>
    <row r="28" spans="1:30" ht="19.5" thickBot="1" x14ac:dyDescent="0.3">
      <c r="A28" s="14">
        <v>26</v>
      </c>
      <c r="B28" s="15"/>
      <c r="C28" s="15" t="e">
        <f>VLOOKUP(B28,داتا!$B$3:$D$107,2,FALSE)</f>
        <v>#N/A</v>
      </c>
      <c r="D28" s="34" t="e">
        <f>VLOOKUP(B28,داتا!$B$3:$D$107,3,FALSE)</f>
        <v>#N/A</v>
      </c>
      <c r="E28" s="15"/>
      <c r="F28" s="15"/>
      <c r="G28" s="16">
        <v>0.25</v>
      </c>
      <c r="H28" s="16"/>
      <c r="I28" s="16">
        <f t="shared" si="1"/>
        <v>-0.25</v>
      </c>
      <c r="J28" s="16"/>
      <c r="K28" s="16"/>
      <c r="L28" s="16"/>
      <c r="M28" s="16"/>
      <c r="N28" s="16">
        <f t="shared" si="2"/>
        <v>0</v>
      </c>
      <c r="O28" s="16" t="e">
        <f t="shared" si="3"/>
        <v>#N/A</v>
      </c>
      <c r="P28" s="16">
        <v>6.9444444444444397E-3</v>
      </c>
      <c r="Q28" s="16"/>
      <c r="R28" s="16">
        <f t="shared" si="4"/>
        <v>-6.9444444444444397E-3</v>
      </c>
      <c r="S28" s="16"/>
      <c r="T28" s="16" t="e">
        <f>VLOOKUP(E28,'[2]21-3-2026'!E$3:T$35,16,FALSE)</f>
        <v>#N/A</v>
      </c>
      <c r="U28" s="16"/>
      <c r="V28" s="16" t="e">
        <f t="shared" si="5"/>
        <v>#N/A</v>
      </c>
      <c r="W28" s="16"/>
      <c r="X28" s="16"/>
      <c r="Y28" s="16"/>
      <c r="Z28" s="16">
        <f t="shared" si="6"/>
        <v>0</v>
      </c>
      <c r="AA28" s="16">
        <f t="shared" si="0"/>
        <v>0</v>
      </c>
      <c r="AB28" s="16"/>
      <c r="AC28" s="17"/>
      <c r="AD28" s="48"/>
    </row>
    <row r="29" spans="1:30" ht="19.5" thickBot="1" x14ac:dyDescent="0.3">
      <c r="A29" s="14">
        <v>27</v>
      </c>
      <c r="B29" s="15"/>
      <c r="C29" s="15" t="e">
        <f>VLOOKUP(B29,داتا!$B$3:$D$107,2,FALSE)</f>
        <v>#N/A</v>
      </c>
      <c r="D29" s="34" t="e">
        <f>VLOOKUP(B29,داتا!$B$3:$D$107,3,FALSE)</f>
        <v>#N/A</v>
      </c>
      <c r="E29" s="15"/>
      <c r="F29" s="15"/>
      <c r="G29" s="16">
        <v>0.25</v>
      </c>
      <c r="H29" s="16"/>
      <c r="I29" s="16">
        <f t="shared" si="1"/>
        <v>-0.25</v>
      </c>
      <c r="J29" s="16"/>
      <c r="K29" s="16"/>
      <c r="L29" s="16"/>
      <c r="M29" s="16"/>
      <c r="N29" s="16">
        <f t="shared" si="2"/>
        <v>0</v>
      </c>
      <c r="O29" s="16" t="e">
        <f t="shared" si="3"/>
        <v>#N/A</v>
      </c>
      <c r="P29" s="16">
        <v>6.9444444444444397E-3</v>
      </c>
      <c r="Q29" s="16"/>
      <c r="R29" s="16">
        <f t="shared" si="4"/>
        <v>-6.9444444444444397E-3</v>
      </c>
      <c r="S29" s="16"/>
      <c r="T29" s="16" t="e">
        <f>VLOOKUP(E29,'[2]21-3-2026'!E$3:T$35,16,FALSE)</f>
        <v>#N/A</v>
      </c>
      <c r="U29" s="16"/>
      <c r="V29" s="16" t="e">
        <f t="shared" si="5"/>
        <v>#N/A</v>
      </c>
      <c r="W29" s="16"/>
      <c r="X29" s="16"/>
      <c r="Y29" s="16"/>
      <c r="Z29" s="16">
        <f t="shared" si="6"/>
        <v>0</v>
      </c>
      <c r="AA29" s="16">
        <f t="shared" si="0"/>
        <v>0</v>
      </c>
      <c r="AB29" s="16"/>
      <c r="AC29" s="18"/>
      <c r="AD29" s="48"/>
    </row>
    <row r="30" spans="1:30" ht="19.5" thickBot="1" x14ac:dyDescent="0.3">
      <c r="A30" s="14">
        <v>28</v>
      </c>
      <c r="B30" s="15"/>
      <c r="C30" s="15" t="e">
        <f>VLOOKUP(B30,داتا!$B$3:$D$107,2,FALSE)</f>
        <v>#N/A</v>
      </c>
      <c r="D30" s="34" t="e">
        <f>VLOOKUP(B30,داتا!$B$3:$D$107,3,FALSE)</f>
        <v>#N/A</v>
      </c>
      <c r="E30" s="15"/>
      <c r="F30" s="15"/>
      <c r="G30" s="16">
        <v>0.25</v>
      </c>
      <c r="H30" s="16"/>
      <c r="I30" s="16">
        <f t="shared" si="1"/>
        <v>-0.25</v>
      </c>
      <c r="J30" s="16"/>
      <c r="K30" s="16"/>
      <c r="L30" s="16"/>
      <c r="M30" s="16"/>
      <c r="N30" s="16">
        <f t="shared" si="2"/>
        <v>0</v>
      </c>
      <c r="O30" s="16" t="e">
        <f t="shared" si="3"/>
        <v>#N/A</v>
      </c>
      <c r="P30" s="16">
        <v>6.9444444444444397E-3</v>
      </c>
      <c r="Q30" s="16"/>
      <c r="R30" s="16">
        <f t="shared" si="4"/>
        <v>-6.9444444444444397E-3</v>
      </c>
      <c r="S30" s="16"/>
      <c r="T30" s="16" t="e">
        <f>VLOOKUP(E30,'[2]21-3-2026'!E$3:T$35,16,FALSE)</f>
        <v>#N/A</v>
      </c>
      <c r="U30" s="16"/>
      <c r="V30" s="16" t="e">
        <f t="shared" si="5"/>
        <v>#N/A</v>
      </c>
      <c r="W30" s="16"/>
      <c r="X30" s="16"/>
      <c r="Y30" s="16"/>
      <c r="Z30" s="16">
        <f t="shared" si="6"/>
        <v>0</v>
      </c>
      <c r="AA30" s="16">
        <f t="shared" si="0"/>
        <v>0</v>
      </c>
      <c r="AB30" s="16"/>
      <c r="AC30" s="17"/>
      <c r="AD30" s="48"/>
    </row>
    <row r="31" spans="1:30" ht="19.5" thickBot="1" x14ac:dyDescent="0.3">
      <c r="A31" s="14">
        <v>29</v>
      </c>
      <c r="B31" s="15"/>
      <c r="C31" s="15" t="e">
        <f>VLOOKUP(B31,داتا!$B$3:$D$107,2,FALSE)</f>
        <v>#N/A</v>
      </c>
      <c r="D31" s="34" t="e">
        <f>VLOOKUP(B31,داتا!$B$3:$D$107,3,FALSE)</f>
        <v>#N/A</v>
      </c>
      <c r="E31" s="15"/>
      <c r="F31" s="15"/>
      <c r="G31" s="16">
        <v>0.25</v>
      </c>
      <c r="H31" s="16"/>
      <c r="I31" s="16">
        <f t="shared" si="1"/>
        <v>-0.25</v>
      </c>
      <c r="J31" s="16"/>
      <c r="K31" s="16"/>
      <c r="L31" s="16"/>
      <c r="M31" s="16"/>
      <c r="N31" s="16">
        <f t="shared" si="2"/>
        <v>0</v>
      </c>
      <c r="O31" s="16" t="e">
        <f t="shared" si="3"/>
        <v>#N/A</v>
      </c>
      <c r="P31" s="16">
        <v>6.9444444444444397E-3</v>
      </c>
      <c r="Q31" s="16"/>
      <c r="R31" s="16">
        <f t="shared" si="4"/>
        <v>-6.9444444444444397E-3</v>
      </c>
      <c r="S31" s="16"/>
      <c r="T31" s="16" t="e">
        <f>VLOOKUP(E31,'[2]21-3-2026'!E$3:T$35,16,FALSE)</f>
        <v>#N/A</v>
      </c>
      <c r="U31" s="16"/>
      <c r="V31" s="16" t="e">
        <f t="shared" si="5"/>
        <v>#N/A</v>
      </c>
      <c r="W31" s="16"/>
      <c r="X31" s="16"/>
      <c r="Y31" s="16"/>
      <c r="Z31" s="16">
        <f t="shared" si="6"/>
        <v>0</v>
      </c>
      <c r="AA31" s="16">
        <f t="shared" si="0"/>
        <v>0</v>
      </c>
      <c r="AB31" s="16"/>
      <c r="AC31" s="17"/>
      <c r="AD31" s="48"/>
    </row>
    <row r="32" spans="1:30" ht="19.5" thickBot="1" x14ac:dyDescent="0.3">
      <c r="A32" s="14">
        <v>30</v>
      </c>
      <c r="B32" s="15"/>
      <c r="C32" s="15" t="e">
        <f>VLOOKUP(B32,داتا!$B$3:$D$107,2,FALSE)</f>
        <v>#N/A</v>
      </c>
      <c r="D32" s="34" t="e">
        <f>VLOOKUP(B32,داتا!$B$3:$D$107,3,FALSE)</f>
        <v>#N/A</v>
      </c>
      <c r="E32" s="15"/>
      <c r="F32" s="15"/>
      <c r="G32" s="16">
        <v>0.25</v>
      </c>
      <c r="H32" s="16"/>
      <c r="I32" s="16">
        <f t="shared" si="1"/>
        <v>-0.25</v>
      </c>
      <c r="J32" s="16"/>
      <c r="K32" s="16"/>
      <c r="L32" s="16"/>
      <c r="M32" s="16"/>
      <c r="N32" s="16">
        <f t="shared" si="2"/>
        <v>0</v>
      </c>
      <c r="O32" s="16" t="e">
        <f t="shared" si="3"/>
        <v>#N/A</v>
      </c>
      <c r="P32" s="16">
        <v>6.9444444444444397E-3</v>
      </c>
      <c r="Q32" s="16"/>
      <c r="R32" s="16">
        <f t="shared" si="4"/>
        <v>-6.9444444444444397E-3</v>
      </c>
      <c r="S32" s="16"/>
      <c r="T32" s="16" t="e">
        <f>VLOOKUP(E32,'[2]21-3-2026'!E$3:T$35,16,FALSE)</f>
        <v>#N/A</v>
      </c>
      <c r="U32" s="16"/>
      <c r="V32" s="16" t="e">
        <f t="shared" si="5"/>
        <v>#N/A</v>
      </c>
      <c r="W32" s="16"/>
      <c r="X32" s="16"/>
      <c r="Y32" s="16"/>
      <c r="Z32" s="16">
        <f t="shared" si="6"/>
        <v>0</v>
      </c>
      <c r="AA32" s="16">
        <f t="shared" si="0"/>
        <v>0</v>
      </c>
      <c r="AB32" s="16"/>
      <c r="AC32" s="17"/>
      <c r="AD32" s="48"/>
    </row>
    <row r="33" spans="1:30" ht="19.5" thickBot="1" x14ac:dyDescent="0.3">
      <c r="A33" s="14">
        <v>31</v>
      </c>
      <c r="B33" s="15"/>
      <c r="C33" s="15" t="e">
        <f>VLOOKUP(B33,داتا!$B$3:$D$107,2,FALSE)</f>
        <v>#N/A</v>
      </c>
      <c r="D33" s="34" t="e">
        <f>VLOOKUP(B33,داتا!$B$3:$D$107,3,FALSE)</f>
        <v>#N/A</v>
      </c>
      <c r="E33" s="15"/>
      <c r="F33" s="15"/>
      <c r="G33" s="16">
        <v>0.25</v>
      </c>
      <c r="H33" s="16"/>
      <c r="I33" s="16">
        <f t="shared" si="1"/>
        <v>-0.25</v>
      </c>
      <c r="J33" s="16"/>
      <c r="K33" s="16"/>
      <c r="L33" s="16"/>
      <c r="M33" s="16"/>
      <c r="N33" s="16">
        <f t="shared" si="2"/>
        <v>0</v>
      </c>
      <c r="O33" s="16" t="e">
        <f t="shared" si="3"/>
        <v>#N/A</v>
      </c>
      <c r="P33" s="16">
        <v>6.9444444444444397E-3</v>
      </c>
      <c r="Q33" s="16"/>
      <c r="R33" s="16">
        <f t="shared" si="4"/>
        <v>-6.9444444444444397E-3</v>
      </c>
      <c r="S33" s="16"/>
      <c r="T33" s="16" t="e">
        <f>VLOOKUP(E33,'[2]21-3-2026'!E$3:T$35,16,FALSE)</f>
        <v>#N/A</v>
      </c>
      <c r="U33" s="16"/>
      <c r="V33" s="16" t="e">
        <f t="shared" si="5"/>
        <v>#N/A</v>
      </c>
      <c r="W33" s="16"/>
      <c r="X33" s="16"/>
      <c r="Y33" s="16"/>
      <c r="Z33" s="16">
        <f t="shared" si="6"/>
        <v>0</v>
      </c>
      <c r="AA33" s="16">
        <f t="shared" si="0"/>
        <v>0</v>
      </c>
      <c r="AB33" s="16"/>
      <c r="AC33" s="17"/>
      <c r="AD33" s="48"/>
    </row>
    <row r="34" spans="1:30" ht="19.5" thickBot="1" x14ac:dyDescent="0.3">
      <c r="A34" s="14">
        <v>32</v>
      </c>
      <c r="B34" s="15"/>
      <c r="C34" s="15" t="e">
        <f>VLOOKUP(B34,داتا!$B$3:$D$107,2,FALSE)</f>
        <v>#N/A</v>
      </c>
      <c r="D34" s="34" t="e">
        <f>VLOOKUP(B34,داتا!$B$3:$D$107,3,FALSE)</f>
        <v>#N/A</v>
      </c>
      <c r="E34" s="15"/>
      <c r="F34" s="15"/>
      <c r="G34" s="16">
        <v>0.25</v>
      </c>
      <c r="H34" s="16"/>
      <c r="I34" s="16">
        <f t="shared" si="1"/>
        <v>-0.25</v>
      </c>
      <c r="J34" s="16"/>
      <c r="K34" s="16"/>
      <c r="L34" s="16"/>
      <c r="M34" s="16"/>
      <c r="N34" s="16">
        <f t="shared" si="2"/>
        <v>0</v>
      </c>
      <c r="O34" s="16" t="e">
        <f t="shared" si="3"/>
        <v>#N/A</v>
      </c>
      <c r="P34" s="16">
        <v>6.9444444444444397E-3</v>
      </c>
      <c r="Q34" s="16"/>
      <c r="R34" s="16">
        <f t="shared" si="4"/>
        <v>-6.9444444444444397E-3</v>
      </c>
      <c r="S34" s="16"/>
      <c r="T34" s="16" t="e">
        <f>VLOOKUP(E34,'[2]21-3-2026'!E$3:T$35,16,FALSE)</f>
        <v>#N/A</v>
      </c>
      <c r="U34" s="16"/>
      <c r="V34" s="16" t="e">
        <f t="shared" si="5"/>
        <v>#N/A</v>
      </c>
      <c r="W34" s="16"/>
      <c r="X34" s="16"/>
      <c r="Y34" s="16"/>
      <c r="Z34" s="16">
        <f t="shared" si="6"/>
        <v>0</v>
      </c>
      <c r="AA34" s="16">
        <f t="shared" si="0"/>
        <v>0</v>
      </c>
      <c r="AB34" s="16"/>
      <c r="AC34" s="17"/>
      <c r="AD34" s="48"/>
    </row>
    <row r="35" spans="1:30" ht="19.5" thickBot="1" x14ac:dyDescent="0.3">
      <c r="A35" s="20">
        <v>33</v>
      </c>
      <c r="B35" s="21"/>
      <c r="C35" s="21" t="e">
        <f>VLOOKUP(B35,داتا!$B$3:$D$107,2,FALSE)</f>
        <v>#N/A</v>
      </c>
      <c r="D35" s="35" t="e">
        <f>VLOOKUP(B35,داتا!$B$3:$D$107,3,FALSE)</f>
        <v>#N/A</v>
      </c>
      <c r="E35" s="21"/>
      <c r="F35" s="21"/>
      <c r="G35" s="22">
        <v>0.25</v>
      </c>
      <c r="H35" s="22"/>
      <c r="I35" s="22">
        <f t="shared" si="1"/>
        <v>-0.25</v>
      </c>
      <c r="J35" s="22"/>
      <c r="K35" s="22"/>
      <c r="L35" s="22"/>
      <c r="M35" s="22"/>
      <c r="N35" s="22">
        <f t="shared" si="2"/>
        <v>0</v>
      </c>
      <c r="O35" s="22" t="e">
        <f t="shared" si="3"/>
        <v>#N/A</v>
      </c>
      <c r="P35" s="22">
        <v>6.9444444444444397E-3</v>
      </c>
      <c r="Q35" s="22"/>
      <c r="R35" s="22">
        <f t="shared" si="4"/>
        <v>-6.9444444444444397E-3</v>
      </c>
      <c r="S35" s="22"/>
      <c r="T35" s="22" t="e">
        <f>VLOOKUP(E35,'[2]21-3-2026'!E$3:T$35,16,FALSE)</f>
        <v>#N/A</v>
      </c>
      <c r="U35" s="22"/>
      <c r="V35" s="22" t="e">
        <f t="shared" si="5"/>
        <v>#N/A</v>
      </c>
      <c r="W35" s="22"/>
      <c r="X35" s="22"/>
      <c r="Y35" s="22"/>
      <c r="Z35" s="22">
        <f t="shared" si="6"/>
        <v>0</v>
      </c>
      <c r="AA35" s="22">
        <f t="shared" si="0"/>
        <v>0</v>
      </c>
      <c r="AB35" s="22"/>
      <c r="AC35" s="23"/>
      <c r="AD35" s="49"/>
    </row>
    <row r="36" spans="1:30" ht="20.25" customHeight="1" thickTop="1" thickBot="1" x14ac:dyDescent="0.3">
      <c r="A36" s="10">
        <v>1</v>
      </c>
      <c r="B36" s="11"/>
      <c r="C36" s="11" t="e">
        <f>VLOOKUP(B36,داتا!$B$3:$D$107,2,FALSE)</f>
        <v>#N/A</v>
      </c>
      <c r="D36" s="33" t="e">
        <f>VLOOKUP(B36,داتا!$B$3:$D$107,3,FALSE)</f>
        <v>#N/A</v>
      </c>
      <c r="E36" s="11"/>
      <c r="F36" s="11"/>
      <c r="G36" s="12">
        <v>0.25</v>
      </c>
      <c r="H36" s="12" t="e">
        <f>VLOOKUP(G36,$F$3:$I$35,2,FALSE)</f>
        <v>#N/A</v>
      </c>
      <c r="I36" s="12" t="e">
        <f t="shared" si="1"/>
        <v>#N/A</v>
      </c>
      <c r="J36" s="12"/>
      <c r="K36" s="12"/>
      <c r="L36" s="12"/>
      <c r="M36" s="12"/>
      <c r="N36" s="12">
        <f t="shared" si="2"/>
        <v>0</v>
      </c>
      <c r="O36" s="12" t="e">
        <f t="shared" si="3"/>
        <v>#N/A</v>
      </c>
      <c r="P36" s="12">
        <v>6.9444444444444397E-3</v>
      </c>
      <c r="Q36" s="12"/>
      <c r="R36" s="12">
        <f t="shared" si="4"/>
        <v>-6.9444444444444397E-3</v>
      </c>
      <c r="S36" s="12"/>
      <c r="T36" s="12" t="e">
        <f>VLOOKUP(E36,'[2]21-3-2026'!E$3:T$35,16,FALSE)</f>
        <v>#N/A</v>
      </c>
      <c r="U36" s="12"/>
      <c r="V36" s="12" t="e">
        <f t="shared" si="5"/>
        <v>#N/A</v>
      </c>
      <c r="W36" s="12"/>
      <c r="X36" s="12"/>
      <c r="Y36" s="12"/>
      <c r="Z36" s="12">
        <f t="shared" si="6"/>
        <v>0</v>
      </c>
      <c r="AA36" s="12">
        <f t="shared" si="0"/>
        <v>0</v>
      </c>
      <c r="AB36" s="12"/>
      <c r="AC36" s="29"/>
      <c r="AD36" s="50" t="s">
        <v>104</v>
      </c>
    </row>
    <row r="37" spans="1:30" ht="19.5" thickBot="1" x14ac:dyDescent="0.3">
      <c r="A37" s="14">
        <v>2</v>
      </c>
      <c r="B37" s="15"/>
      <c r="C37" s="15" t="e">
        <f>VLOOKUP(B37,داتا!$B$3:$D$107,2,FALSE)</f>
        <v>#N/A</v>
      </c>
      <c r="D37" s="34" t="e">
        <f>VLOOKUP(B37,داتا!$B$3:$D$107,3,FALSE)</f>
        <v>#N/A</v>
      </c>
      <c r="E37" s="15"/>
      <c r="F37" s="15"/>
      <c r="G37" s="16">
        <v>0.25</v>
      </c>
      <c r="H37" s="16" t="e">
        <f t="shared" ref="H37:H52" si="7">VLOOKUP(G37,$F$3:$I$35,2,FALSE)</f>
        <v>#N/A</v>
      </c>
      <c r="I37" s="16" t="e">
        <f t="shared" si="1"/>
        <v>#N/A</v>
      </c>
      <c r="J37" s="16"/>
      <c r="K37" s="16"/>
      <c r="L37" s="16"/>
      <c r="M37" s="16"/>
      <c r="N37" s="16">
        <f t="shared" si="2"/>
        <v>0</v>
      </c>
      <c r="O37" s="16" t="e">
        <f t="shared" si="3"/>
        <v>#N/A</v>
      </c>
      <c r="P37" s="16">
        <v>6.9444444444444397E-3</v>
      </c>
      <c r="Q37" s="16"/>
      <c r="R37" s="16">
        <f t="shared" si="4"/>
        <v>-6.9444444444444397E-3</v>
      </c>
      <c r="S37" s="16"/>
      <c r="T37" s="16" t="e">
        <f>VLOOKUP(E37,'[2]21-3-2026'!E$3:T$35,16,FALSE)</f>
        <v>#N/A</v>
      </c>
      <c r="U37" s="16"/>
      <c r="V37" s="16" t="e">
        <f t="shared" si="5"/>
        <v>#N/A</v>
      </c>
      <c r="W37" s="16"/>
      <c r="X37" s="16"/>
      <c r="Y37" s="16"/>
      <c r="Z37" s="16">
        <f t="shared" si="6"/>
        <v>0</v>
      </c>
      <c r="AA37" s="16">
        <f t="shared" si="0"/>
        <v>0</v>
      </c>
      <c r="AB37" s="16"/>
      <c r="AC37" s="19"/>
      <c r="AD37" s="51"/>
    </row>
    <row r="38" spans="1:30" ht="19.5" thickBot="1" x14ac:dyDescent="0.3">
      <c r="A38" s="14">
        <v>3</v>
      </c>
      <c r="B38" s="15"/>
      <c r="C38" s="15" t="e">
        <f>VLOOKUP(B38,داتا!$B$3:$D$107,2,FALSE)</f>
        <v>#N/A</v>
      </c>
      <c r="D38" s="34" t="e">
        <f>VLOOKUP(B38,داتا!$B$3:$D$107,3,FALSE)</f>
        <v>#N/A</v>
      </c>
      <c r="E38" s="15"/>
      <c r="F38" s="15"/>
      <c r="G38" s="16">
        <v>0.25</v>
      </c>
      <c r="H38" s="16" t="e">
        <f t="shared" si="7"/>
        <v>#N/A</v>
      </c>
      <c r="I38" s="16" t="e">
        <f t="shared" si="1"/>
        <v>#N/A</v>
      </c>
      <c r="J38" s="16"/>
      <c r="K38" s="16"/>
      <c r="L38" s="16"/>
      <c r="M38" s="16"/>
      <c r="N38" s="16">
        <f t="shared" si="2"/>
        <v>0</v>
      </c>
      <c r="O38" s="16" t="e">
        <f t="shared" si="3"/>
        <v>#N/A</v>
      </c>
      <c r="P38" s="16">
        <v>6.9444444444444397E-3</v>
      </c>
      <c r="Q38" s="16"/>
      <c r="R38" s="16">
        <f t="shared" si="4"/>
        <v>-6.9444444444444397E-3</v>
      </c>
      <c r="S38" s="16"/>
      <c r="T38" s="16" t="e">
        <f>VLOOKUP(E38,'[2]21-3-2026'!E$3:T$35,16,FALSE)</f>
        <v>#N/A</v>
      </c>
      <c r="U38" s="16"/>
      <c r="V38" s="16" t="e">
        <f t="shared" si="5"/>
        <v>#N/A</v>
      </c>
      <c r="W38" s="16"/>
      <c r="X38" s="16"/>
      <c r="Y38" s="16"/>
      <c r="Z38" s="16">
        <f t="shared" si="6"/>
        <v>0</v>
      </c>
      <c r="AA38" s="16">
        <f t="shared" si="0"/>
        <v>0</v>
      </c>
      <c r="AB38" s="16"/>
      <c r="AC38" s="19"/>
      <c r="AD38" s="51"/>
    </row>
    <row r="39" spans="1:30" ht="19.5" thickBot="1" x14ac:dyDescent="0.3">
      <c r="A39" s="14">
        <v>4</v>
      </c>
      <c r="B39" s="15"/>
      <c r="C39" s="15" t="e">
        <f>VLOOKUP(B39,داتا!$B$3:$D$107,2,FALSE)</f>
        <v>#N/A</v>
      </c>
      <c r="D39" s="34" t="e">
        <f>VLOOKUP(B39,داتا!$B$3:$D$107,3,FALSE)</f>
        <v>#N/A</v>
      </c>
      <c r="E39" s="15"/>
      <c r="F39" s="15"/>
      <c r="G39" s="16">
        <v>0.25</v>
      </c>
      <c r="H39" s="16" t="e">
        <f t="shared" si="7"/>
        <v>#N/A</v>
      </c>
      <c r="I39" s="16" t="e">
        <f t="shared" si="1"/>
        <v>#N/A</v>
      </c>
      <c r="J39" s="16"/>
      <c r="K39" s="16"/>
      <c r="L39" s="16"/>
      <c r="M39" s="16"/>
      <c r="N39" s="16">
        <f t="shared" si="2"/>
        <v>0</v>
      </c>
      <c r="O39" s="16" t="e">
        <f t="shared" si="3"/>
        <v>#N/A</v>
      </c>
      <c r="P39" s="16">
        <v>6.9444444444444397E-3</v>
      </c>
      <c r="Q39" s="16"/>
      <c r="R39" s="16">
        <f t="shared" si="4"/>
        <v>-6.9444444444444397E-3</v>
      </c>
      <c r="S39" s="16"/>
      <c r="T39" s="16" t="e">
        <f>VLOOKUP(E39,'[2]21-3-2026'!E$3:T$35,16,FALSE)</f>
        <v>#N/A</v>
      </c>
      <c r="U39" s="16"/>
      <c r="V39" s="16" t="e">
        <f t="shared" si="5"/>
        <v>#N/A</v>
      </c>
      <c r="W39" s="16"/>
      <c r="X39" s="16"/>
      <c r="Y39" s="16"/>
      <c r="Z39" s="16">
        <f t="shared" si="6"/>
        <v>0</v>
      </c>
      <c r="AA39" s="16">
        <f t="shared" si="0"/>
        <v>0</v>
      </c>
      <c r="AB39" s="16"/>
      <c r="AC39" s="17"/>
      <c r="AD39" s="51"/>
    </row>
    <row r="40" spans="1:30" ht="19.5" thickBot="1" x14ac:dyDescent="0.3">
      <c r="A40" s="14">
        <v>5</v>
      </c>
      <c r="B40" s="15"/>
      <c r="C40" s="15" t="e">
        <f>VLOOKUP(B40,داتا!$B$3:$D$107,2,FALSE)</f>
        <v>#N/A</v>
      </c>
      <c r="D40" s="34" t="e">
        <f>VLOOKUP(B40,داتا!$B$3:$D$107,3,FALSE)</f>
        <v>#N/A</v>
      </c>
      <c r="E40" s="15"/>
      <c r="F40" s="15"/>
      <c r="G40" s="16">
        <v>0.25</v>
      </c>
      <c r="H40" s="16" t="e">
        <f t="shared" si="7"/>
        <v>#N/A</v>
      </c>
      <c r="I40" s="16" t="e">
        <f t="shared" si="1"/>
        <v>#N/A</v>
      </c>
      <c r="J40" s="16"/>
      <c r="K40" s="16"/>
      <c r="L40" s="16"/>
      <c r="M40" s="16"/>
      <c r="N40" s="16">
        <f t="shared" si="2"/>
        <v>0</v>
      </c>
      <c r="O40" s="16" t="e">
        <f t="shared" si="3"/>
        <v>#N/A</v>
      </c>
      <c r="P40" s="16">
        <v>6.9444444444444397E-3</v>
      </c>
      <c r="Q40" s="16"/>
      <c r="R40" s="16">
        <f t="shared" si="4"/>
        <v>-6.9444444444444397E-3</v>
      </c>
      <c r="S40" s="16"/>
      <c r="T40" s="16" t="e">
        <f>VLOOKUP(E40,'[2]21-3-2026'!E$3:T$35,16,FALSE)</f>
        <v>#N/A</v>
      </c>
      <c r="U40" s="16"/>
      <c r="V40" s="16" t="e">
        <f t="shared" si="5"/>
        <v>#N/A</v>
      </c>
      <c r="W40" s="16"/>
      <c r="X40" s="16"/>
      <c r="Y40" s="16"/>
      <c r="Z40" s="16">
        <f t="shared" si="6"/>
        <v>0</v>
      </c>
      <c r="AA40" s="16">
        <f t="shared" si="0"/>
        <v>0</v>
      </c>
      <c r="AB40" s="16"/>
      <c r="AC40" s="17"/>
      <c r="AD40" s="51"/>
    </row>
    <row r="41" spans="1:30" ht="19.5" thickBot="1" x14ac:dyDescent="0.3">
      <c r="A41" s="14">
        <v>6</v>
      </c>
      <c r="B41" s="15"/>
      <c r="C41" s="15" t="e">
        <f>VLOOKUP(B41,داتا!$B$3:$D$107,2,FALSE)</f>
        <v>#N/A</v>
      </c>
      <c r="D41" s="34" t="e">
        <f>VLOOKUP(B41,داتا!$B$3:$D$107,3,FALSE)</f>
        <v>#N/A</v>
      </c>
      <c r="E41" s="15"/>
      <c r="F41" s="15"/>
      <c r="G41" s="16">
        <v>0.25</v>
      </c>
      <c r="H41" s="16" t="e">
        <f t="shared" si="7"/>
        <v>#N/A</v>
      </c>
      <c r="I41" s="16" t="e">
        <f t="shared" si="1"/>
        <v>#N/A</v>
      </c>
      <c r="J41" s="16"/>
      <c r="K41" s="16"/>
      <c r="L41" s="16"/>
      <c r="M41" s="16"/>
      <c r="N41" s="16">
        <f t="shared" si="2"/>
        <v>0</v>
      </c>
      <c r="O41" s="16" t="e">
        <f t="shared" si="3"/>
        <v>#N/A</v>
      </c>
      <c r="P41" s="16">
        <v>6.9444444444444397E-3</v>
      </c>
      <c r="Q41" s="16"/>
      <c r="R41" s="16">
        <f t="shared" si="4"/>
        <v>-6.9444444444444397E-3</v>
      </c>
      <c r="S41" s="16"/>
      <c r="T41" s="16" t="e">
        <f>VLOOKUP(E41,'[2]21-3-2026'!E$3:T$35,16,FALSE)</f>
        <v>#N/A</v>
      </c>
      <c r="U41" s="16"/>
      <c r="V41" s="16" t="e">
        <f t="shared" si="5"/>
        <v>#N/A</v>
      </c>
      <c r="W41" s="16"/>
      <c r="X41" s="16"/>
      <c r="Y41" s="16"/>
      <c r="Z41" s="16">
        <f t="shared" si="6"/>
        <v>0</v>
      </c>
      <c r="AA41" s="16">
        <f t="shared" si="0"/>
        <v>0</v>
      </c>
      <c r="AB41" s="16"/>
      <c r="AC41" s="17"/>
      <c r="AD41" s="51"/>
    </row>
    <row r="42" spans="1:30" ht="19.5" thickBot="1" x14ac:dyDescent="0.3">
      <c r="A42" s="14">
        <v>7</v>
      </c>
      <c r="B42" s="15"/>
      <c r="C42" s="15" t="e">
        <f>VLOOKUP(B42,داتا!$B$3:$D$107,2,FALSE)</f>
        <v>#N/A</v>
      </c>
      <c r="D42" s="34" t="e">
        <f>VLOOKUP(B42,داتا!$B$3:$D$107,3,FALSE)</f>
        <v>#N/A</v>
      </c>
      <c r="E42" s="15"/>
      <c r="F42" s="15"/>
      <c r="G42" s="16">
        <v>0.25</v>
      </c>
      <c r="H42" s="16" t="e">
        <f t="shared" si="7"/>
        <v>#N/A</v>
      </c>
      <c r="I42" s="16" t="e">
        <f t="shared" si="1"/>
        <v>#N/A</v>
      </c>
      <c r="J42" s="16"/>
      <c r="K42" s="16"/>
      <c r="L42" s="16"/>
      <c r="M42" s="16"/>
      <c r="N42" s="16">
        <f t="shared" si="2"/>
        <v>0</v>
      </c>
      <c r="O42" s="16" t="e">
        <f t="shared" si="3"/>
        <v>#N/A</v>
      </c>
      <c r="P42" s="16">
        <v>6.9444444444444397E-3</v>
      </c>
      <c r="Q42" s="16"/>
      <c r="R42" s="16">
        <f t="shared" si="4"/>
        <v>-6.9444444444444397E-3</v>
      </c>
      <c r="S42" s="16"/>
      <c r="T42" s="16" t="e">
        <f>VLOOKUP(E42,'[2]21-3-2026'!E$3:T$35,16,FALSE)</f>
        <v>#N/A</v>
      </c>
      <c r="U42" s="16"/>
      <c r="V42" s="16" t="e">
        <f t="shared" si="5"/>
        <v>#N/A</v>
      </c>
      <c r="W42" s="16"/>
      <c r="X42" s="16"/>
      <c r="Y42" s="16"/>
      <c r="Z42" s="16">
        <f t="shared" si="6"/>
        <v>0</v>
      </c>
      <c r="AA42" s="16">
        <f t="shared" si="0"/>
        <v>0</v>
      </c>
      <c r="AB42" s="16"/>
      <c r="AC42" s="17"/>
      <c r="AD42" s="51"/>
    </row>
    <row r="43" spans="1:30" ht="19.5" thickBot="1" x14ac:dyDescent="0.3">
      <c r="A43" s="14">
        <v>8</v>
      </c>
      <c r="B43" s="15"/>
      <c r="C43" s="15" t="e">
        <f>VLOOKUP(B43,داتا!$B$3:$D$107,2,FALSE)</f>
        <v>#N/A</v>
      </c>
      <c r="D43" s="34" t="e">
        <f>VLOOKUP(B43,داتا!$B$3:$D$107,3,FALSE)</f>
        <v>#N/A</v>
      </c>
      <c r="E43" s="15"/>
      <c r="F43" s="15"/>
      <c r="G43" s="16">
        <v>0.25</v>
      </c>
      <c r="H43" s="16" t="e">
        <f t="shared" si="7"/>
        <v>#N/A</v>
      </c>
      <c r="I43" s="16" t="e">
        <f t="shared" si="1"/>
        <v>#N/A</v>
      </c>
      <c r="J43" s="16"/>
      <c r="K43" s="16"/>
      <c r="L43" s="16"/>
      <c r="M43" s="16"/>
      <c r="N43" s="16">
        <f t="shared" si="2"/>
        <v>0</v>
      </c>
      <c r="O43" s="16" t="e">
        <f t="shared" si="3"/>
        <v>#N/A</v>
      </c>
      <c r="P43" s="16">
        <v>6.9444444444444397E-3</v>
      </c>
      <c r="Q43" s="16"/>
      <c r="R43" s="16">
        <f t="shared" si="4"/>
        <v>-6.9444444444444397E-3</v>
      </c>
      <c r="S43" s="16"/>
      <c r="T43" s="16" t="e">
        <f>VLOOKUP(E43,'[2]21-3-2026'!E$3:T$35,16,FALSE)</f>
        <v>#N/A</v>
      </c>
      <c r="U43" s="16"/>
      <c r="V43" s="16" t="e">
        <f t="shared" si="5"/>
        <v>#N/A</v>
      </c>
      <c r="W43" s="16"/>
      <c r="X43" s="16"/>
      <c r="Y43" s="16"/>
      <c r="Z43" s="16">
        <f t="shared" si="6"/>
        <v>0</v>
      </c>
      <c r="AA43" s="16">
        <f t="shared" si="0"/>
        <v>0</v>
      </c>
      <c r="AB43" s="16"/>
      <c r="AC43" s="17"/>
      <c r="AD43" s="51"/>
    </row>
    <row r="44" spans="1:30" ht="19.5" thickBot="1" x14ac:dyDescent="0.3">
      <c r="A44" s="14">
        <v>9</v>
      </c>
      <c r="B44" s="15"/>
      <c r="C44" s="15" t="e">
        <f>VLOOKUP(B44,داتا!$B$3:$D$107,2,FALSE)</f>
        <v>#N/A</v>
      </c>
      <c r="D44" s="34" t="e">
        <f>VLOOKUP(B44,داتا!$B$3:$D$107,3,FALSE)</f>
        <v>#N/A</v>
      </c>
      <c r="E44" s="15"/>
      <c r="F44" s="15"/>
      <c r="G44" s="16">
        <v>0.25</v>
      </c>
      <c r="H44" s="16" t="e">
        <f t="shared" si="7"/>
        <v>#N/A</v>
      </c>
      <c r="I44" s="16" t="e">
        <f t="shared" si="1"/>
        <v>#N/A</v>
      </c>
      <c r="J44" s="16"/>
      <c r="K44" s="16"/>
      <c r="L44" s="16"/>
      <c r="M44" s="16"/>
      <c r="N44" s="16">
        <f t="shared" si="2"/>
        <v>0</v>
      </c>
      <c r="O44" s="16" t="e">
        <f t="shared" si="3"/>
        <v>#N/A</v>
      </c>
      <c r="P44" s="16">
        <v>6.9444444444444397E-3</v>
      </c>
      <c r="Q44" s="16"/>
      <c r="R44" s="16">
        <f t="shared" si="4"/>
        <v>-6.9444444444444397E-3</v>
      </c>
      <c r="S44" s="16"/>
      <c r="T44" s="16" t="e">
        <f>VLOOKUP(E44,'[2]21-3-2026'!E$3:T$35,16,FALSE)</f>
        <v>#N/A</v>
      </c>
      <c r="U44" s="16"/>
      <c r="V44" s="16" t="e">
        <f t="shared" si="5"/>
        <v>#N/A</v>
      </c>
      <c r="W44" s="16"/>
      <c r="X44" s="16"/>
      <c r="Y44" s="16"/>
      <c r="Z44" s="16">
        <f t="shared" si="6"/>
        <v>0</v>
      </c>
      <c r="AA44" s="16">
        <f t="shared" si="0"/>
        <v>0</v>
      </c>
      <c r="AB44" s="16"/>
      <c r="AC44" s="17"/>
      <c r="AD44" s="51"/>
    </row>
    <row r="45" spans="1:30" ht="19.5" thickBot="1" x14ac:dyDescent="0.3">
      <c r="A45" s="14">
        <v>10</v>
      </c>
      <c r="B45" s="15"/>
      <c r="C45" s="15" t="e">
        <f>VLOOKUP(B45,داتا!$B$3:$D$107,2,FALSE)</f>
        <v>#N/A</v>
      </c>
      <c r="D45" s="34" t="e">
        <f>VLOOKUP(B45,داتا!$B$3:$D$107,3,FALSE)</f>
        <v>#N/A</v>
      </c>
      <c r="E45" s="15"/>
      <c r="F45" s="15"/>
      <c r="G45" s="16">
        <v>0.25</v>
      </c>
      <c r="H45" s="16" t="e">
        <f t="shared" si="7"/>
        <v>#N/A</v>
      </c>
      <c r="I45" s="16" t="e">
        <f t="shared" si="1"/>
        <v>#N/A</v>
      </c>
      <c r="J45" s="16"/>
      <c r="K45" s="16"/>
      <c r="L45" s="16"/>
      <c r="M45" s="16"/>
      <c r="N45" s="16">
        <f t="shared" si="2"/>
        <v>0</v>
      </c>
      <c r="O45" s="16" t="e">
        <f t="shared" si="3"/>
        <v>#N/A</v>
      </c>
      <c r="P45" s="16">
        <v>6.9444444444444397E-3</v>
      </c>
      <c r="Q45" s="16"/>
      <c r="R45" s="16">
        <f t="shared" si="4"/>
        <v>-6.9444444444444397E-3</v>
      </c>
      <c r="S45" s="16"/>
      <c r="T45" s="16" t="e">
        <f>VLOOKUP(E45,'[2]21-3-2026'!E$3:T$35,16,FALSE)</f>
        <v>#N/A</v>
      </c>
      <c r="U45" s="16"/>
      <c r="V45" s="16" t="e">
        <f t="shared" si="5"/>
        <v>#N/A</v>
      </c>
      <c r="W45" s="16"/>
      <c r="X45" s="16"/>
      <c r="Y45" s="16"/>
      <c r="Z45" s="16">
        <f t="shared" si="6"/>
        <v>0</v>
      </c>
      <c r="AA45" s="16">
        <f t="shared" si="0"/>
        <v>0</v>
      </c>
      <c r="AB45" s="16"/>
      <c r="AC45" s="17"/>
      <c r="AD45" s="51"/>
    </row>
    <row r="46" spans="1:30" ht="19.5" thickBot="1" x14ac:dyDescent="0.3">
      <c r="A46" s="14">
        <v>11</v>
      </c>
      <c r="B46" s="15"/>
      <c r="C46" s="15" t="e">
        <f>VLOOKUP(B46,داتا!$B$3:$D$107,2,FALSE)</f>
        <v>#N/A</v>
      </c>
      <c r="D46" s="34" t="e">
        <f>VLOOKUP(B46,داتا!$B$3:$D$107,3,FALSE)</f>
        <v>#N/A</v>
      </c>
      <c r="E46" s="15"/>
      <c r="F46" s="15"/>
      <c r="G46" s="16">
        <v>0.25</v>
      </c>
      <c r="H46" s="16" t="e">
        <f t="shared" si="7"/>
        <v>#N/A</v>
      </c>
      <c r="I46" s="16" t="e">
        <f t="shared" si="1"/>
        <v>#N/A</v>
      </c>
      <c r="J46" s="16"/>
      <c r="K46" s="16"/>
      <c r="L46" s="16"/>
      <c r="M46" s="16"/>
      <c r="N46" s="16">
        <f t="shared" si="2"/>
        <v>0</v>
      </c>
      <c r="O46" s="16" t="e">
        <f t="shared" si="3"/>
        <v>#N/A</v>
      </c>
      <c r="P46" s="16">
        <v>6.9444444444444397E-3</v>
      </c>
      <c r="Q46" s="16"/>
      <c r="R46" s="16">
        <f t="shared" si="4"/>
        <v>-6.9444444444444397E-3</v>
      </c>
      <c r="S46" s="16"/>
      <c r="T46" s="16" t="e">
        <f>VLOOKUP(E46,'[2]21-3-2026'!E$3:T$35,16,FALSE)</f>
        <v>#N/A</v>
      </c>
      <c r="U46" s="16"/>
      <c r="V46" s="16" t="e">
        <f t="shared" si="5"/>
        <v>#N/A</v>
      </c>
      <c r="W46" s="16"/>
      <c r="X46" s="16"/>
      <c r="Y46" s="16"/>
      <c r="Z46" s="16">
        <f t="shared" si="6"/>
        <v>0</v>
      </c>
      <c r="AA46" s="16">
        <f t="shared" si="0"/>
        <v>0</v>
      </c>
      <c r="AB46" s="16"/>
      <c r="AC46" s="17"/>
      <c r="AD46" s="51"/>
    </row>
    <row r="47" spans="1:30" ht="19.5" thickBot="1" x14ac:dyDescent="0.3">
      <c r="A47" s="14">
        <v>12</v>
      </c>
      <c r="B47" s="15"/>
      <c r="C47" s="15" t="e">
        <f>VLOOKUP(B47,داتا!$B$3:$D$107,2,FALSE)</f>
        <v>#N/A</v>
      </c>
      <c r="D47" s="34" t="e">
        <f>VLOOKUP(B47,داتا!$B$3:$D$107,3,FALSE)</f>
        <v>#N/A</v>
      </c>
      <c r="E47" s="15"/>
      <c r="F47" s="15"/>
      <c r="G47" s="16">
        <v>0.25</v>
      </c>
      <c r="H47" s="16" t="e">
        <f t="shared" si="7"/>
        <v>#N/A</v>
      </c>
      <c r="I47" s="16" t="e">
        <f t="shared" si="1"/>
        <v>#N/A</v>
      </c>
      <c r="J47" s="16"/>
      <c r="K47" s="16"/>
      <c r="L47" s="16"/>
      <c r="M47" s="16"/>
      <c r="N47" s="16">
        <f t="shared" si="2"/>
        <v>0</v>
      </c>
      <c r="O47" s="16" t="e">
        <f t="shared" si="3"/>
        <v>#N/A</v>
      </c>
      <c r="P47" s="16">
        <v>6.9444444444444397E-3</v>
      </c>
      <c r="Q47" s="16"/>
      <c r="R47" s="16">
        <f t="shared" si="4"/>
        <v>-6.9444444444444397E-3</v>
      </c>
      <c r="S47" s="16"/>
      <c r="T47" s="16" t="e">
        <f>VLOOKUP(E47,'[2]21-3-2026'!E$3:T$35,16,FALSE)</f>
        <v>#N/A</v>
      </c>
      <c r="U47" s="16"/>
      <c r="V47" s="16" t="e">
        <f t="shared" si="5"/>
        <v>#N/A</v>
      </c>
      <c r="W47" s="16"/>
      <c r="X47" s="16"/>
      <c r="Y47" s="16"/>
      <c r="Z47" s="16">
        <f t="shared" si="6"/>
        <v>0</v>
      </c>
      <c r="AA47" s="16">
        <f t="shared" si="0"/>
        <v>0</v>
      </c>
      <c r="AB47" s="16"/>
      <c r="AC47" s="17"/>
      <c r="AD47" s="51"/>
    </row>
    <row r="48" spans="1:30" ht="19.5" thickBot="1" x14ac:dyDescent="0.3">
      <c r="A48" s="14">
        <v>13</v>
      </c>
      <c r="B48" s="15"/>
      <c r="C48" s="15" t="e">
        <f>VLOOKUP(B48,داتا!$B$3:$D$107,2,FALSE)</f>
        <v>#N/A</v>
      </c>
      <c r="D48" s="34" t="e">
        <f>VLOOKUP(B48,داتا!$B$3:$D$107,3,FALSE)</f>
        <v>#N/A</v>
      </c>
      <c r="E48" s="15"/>
      <c r="F48" s="15"/>
      <c r="G48" s="16">
        <v>0.25</v>
      </c>
      <c r="H48" s="16" t="e">
        <f t="shared" si="7"/>
        <v>#N/A</v>
      </c>
      <c r="I48" s="16" t="e">
        <f t="shared" si="1"/>
        <v>#N/A</v>
      </c>
      <c r="J48" s="16"/>
      <c r="K48" s="16"/>
      <c r="L48" s="16"/>
      <c r="M48" s="16"/>
      <c r="N48" s="16">
        <f t="shared" si="2"/>
        <v>0</v>
      </c>
      <c r="O48" s="16" t="e">
        <f t="shared" si="3"/>
        <v>#N/A</v>
      </c>
      <c r="P48" s="16">
        <v>6.9444444444444397E-3</v>
      </c>
      <c r="Q48" s="16"/>
      <c r="R48" s="16">
        <f t="shared" si="4"/>
        <v>-6.9444444444444397E-3</v>
      </c>
      <c r="S48" s="16"/>
      <c r="T48" s="16" t="e">
        <f>VLOOKUP(E48,'[2]21-3-2026'!E$3:T$35,16,FALSE)</f>
        <v>#N/A</v>
      </c>
      <c r="U48" s="16"/>
      <c r="V48" s="16" t="e">
        <f t="shared" si="5"/>
        <v>#N/A</v>
      </c>
      <c r="W48" s="16"/>
      <c r="X48" s="16"/>
      <c r="Y48" s="16"/>
      <c r="Z48" s="16">
        <f t="shared" si="6"/>
        <v>0</v>
      </c>
      <c r="AA48" s="16">
        <f t="shared" si="0"/>
        <v>0</v>
      </c>
      <c r="AB48" s="16"/>
      <c r="AC48" s="17"/>
      <c r="AD48" s="51"/>
    </row>
    <row r="49" spans="1:30" ht="19.5" thickBot="1" x14ac:dyDescent="0.3">
      <c r="A49" s="14">
        <v>14</v>
      </c>
      <c r="B49" s="15"/>
      <c r="C49" s="15" t="e">
        <f>VLOOKUP(B49,داتا!$B$3:$D$107,2,FALSE)</f>
        <v>#N/A</v>
      </c>
      <c r="D49" s="34" t="e">
        <f>VLOOKUP(B49,داتا!$B$3:$D$107,3,FALSE)</f>
        <v>#N/A</v>
      </c>
      <c r="E49" s="15"/>
      <c r="F49" s="15"/>
      <c r="G49" s="16">
        <v>0.25</v>
      </c>
      <c r="H49" s="16" t="e">
        <f t="shared" si="7"/>
        <v>#N/A</v>
      </c>
      <c r="I49" s="16" t="e">
        <f t="shared" si="1"/>
        <v>#N/A</v>
      </c>
      <c r="J49" s="16"/>
      <c r="K49" s="16"/>
      <c r="L49" s="16"/>
      <c r="M49" s="16"/>
      <c r="N49" s="16">
        <f t="shared" si="2"/>
        <v>0</v>
      </c>
      <c r="O49" s="16" t="e">
        <f t="shared" si="3"/>
        <v>#N/A</v>
      </c>
      <c r="P49" s="16">
        <v>6.9444444444444397E-3</v>
      </c>
      <c r="Q49" s="16"/>
      <c r="R49" s="16">
        <f t="shared" si="4"/>
        <v>-6.9444444444444397E-3</v>
      </c>
      <c r="S49" s="16"/>
      <c r="T49" s="16" t="e">
        <f>VLOOKUP(E49,'[2]21-3-2026'!E$3:T$35,16,FALSE)</f>
        <v>#N/A</v>
      </c>
      <c r="U49" s="16"/>
      <c r="V49" s="16" t="e">
        <f t="shared" si="5"/>
        <v>#N/A</v>
      </c>
      <c r="W49" s="16"/>
      <c r="X49" s="16"/>
      <c r="Y49" s="16"/>
      <c r="Z49" s="16">
        <f t="shared" si="6"/>
        <v>0</v>
      </c>
      <c r="AA49" s="16">
        <f t="shared" si="0"/>
        <v>0</v>
      </c>
      <c r="AB49" s="16"/>
      <c r="AC49" s="17"/>
      <c r="AD49" s="51"/>
    </row>
    <row r="50" spans="1:30" ht="19.5" thickBot="1" x14ac:dyDescent="0.3">
      <c r="A50" s="14">
        <v>15</v>
      </c>
      <c r="B50" s="15"/>
      <c r="C50" s="15" t="e">
        <f>VLOOKUP(B50,داتا!$B$3:$D$107,2,FALSE)</f>
        <v>#N/A</v>
      </c>
      <c r="D50" s="34" t="e">
        <f>VLOOKUP(B50,داتا!$B$3:$D$107,3,FALSE)</f>
        <v>#N/A</v>
      </c>
      <c r="E50" s="15"/>
      <c r="F50" s="15"/>
      <c r="G50" s="16">
        <v>0.25</v>
      </c>
      <c r="H50" s="16" t="e">
        <f t="shared" si="7"/>
        <v>#N/A</v>
      </c>
      <c r="I50" s="16" t="e">
        <f t="shared" si="1"/>
        <v>#N/A</v>
      </c>
      <c r="J50" s="16"/>
      <c r="K50" s="16"/>
      <c r="L50" s="16"/>
      <c r="M50" s="16"/>
      <c r="N50" s="16">
        <f t="shared" si="2"/>
        <v>0</v>
      </c>
      <c r="O50" s="16" t="e">
        <f t="shared" si="3"/>
        <v>#N/A</v>
      </c>
      <c r="P50" s="16">
        <v>6.9444444444444397E-3</v>
      </c>
      <c r="Q50" s="16"/>
      <c r="R50" s="16">
        <f t="shared" si="4"/>
        <v>-6.9444444444444397E-3</v>
      </c>
      <c r="S50" s="16"/>
      <c r="T50" s="16" t="e">
        <f>VLOOKUP(E50,'[2]21-3-2026'!E$3:T$35,16,FALSE)</f>
        <v>#N/A</v>
      </c>
      <c r="U50" s="16"/>
      <c r="V50" s="16" t="e">
        <f t="shared" si="5"/>
        <v>#N/A</v>
      </c>
      <c r="W50" s="16"/>
      <c r="X50" s="16"/>
      <c r="Y50" s="16"/>
      <c r="Z50" s="16">
        <f t="shared" si="6"/>
        <v>0</v>
      </c>
      <c r="AA50" s="16">
        <f t="shared" si="0"/>
        <v>0</v>
      </c>
      <c r="AB50" s="16"/>
      <c r="AC50" s="17"/>
      <c r="AD50" s="51"/>
    </row>
    <row r="51" spans="1:30" ht="19.5" thickBot="1" x14ac:dyDescent="0.3">
      <c r="A51" s="14">
        <v>16</v>
      </c>
      <c r="B51" s="15"/>
      <c r="C51" s="15" t="e">
        <f>VLOOKUP(B51,داتا!$B$3:$D$107,2,FALSE)</f>
        <v>#N/A</v>
      </c>
      <c r="D51" s="34" t="e">
        <f>VLOOKUP(B51,داتا!$B$3:$D$107,3,FALSE)</f>
        <v>#N/A</v>
      </c>
      <c r="E51" s="15"/>
      <c r="F51" s="15"/>
      <c r="G51" s="16">
        <v>0.25</v>
      </c>
      <c r="H51" s="16" t="e">
        <f t="shared" si="7"/>
        <v>#N/A</v>
      </c>
      <c r="I51" s="16" t="e">
        <f t="shared" si="1"/>
        <v>#N/A</v>
      </c>
      <c r="J51" s="16"/>
      <c r="K51" s="16"/>
      <c r="L51" s="16"/>
      <c r="M51" s="16"/>
      <c r="N51" s="16">
        <f t="shared" si="2"/>
        <v>0</v>
      </c>
      <c r="O51" s="16" t="e">
        <f t="shared" si="3"/>
        <v>#N/A</v>
      </c>
      <c r="P51" s="16">
        <v>6.9444444444444397E-3</v>
      </c>
      <c r="Q51" s="16"/>
      <c r="R51" s="16">
        <f t="shared" si="4"/>
        <v>-6.9444444444444397E-3</v>
      </c>
      <c r="S51" s="16"/>
      <c r="T51" s="16" t="e">
        <f>VLOOKUP(E51,'[2]21-3-2026'!E$3:T$35,16,FALSE)</f>
        <v>#N/A</v>
      </c>
      <c r="U51" s="16"/>
      <c r="V51" s="16" t="e">
        <f t="shared" si="5"/>
        <v>#N/A</v>
      </c>
      <c r="W51" s="16"/>
      <c r="X51" s="16"/>
      <c r="Y51" s="16"/>
      <c r="Z51" s="16">
        <f t="shared" si="6"/>
        <v>0</v>
      </c>
      <c r="AA51" s="16">
        <f t="shared" si="0"/>
        <v>0</v>
      </c>
      <c r="AB51" s="16"/>
      <c r="AC51" s="17"/>
      <c r="AD51" s="51"/>
    </row>
    <row r="52" spans="1:30" ht="19.5" thickBot="1" x14ac:dyDescent="0.3">
      <c r="A52" s="14">
        <v>17</v>
      </c>
      <c r="B52" s="15"/>
      <c r="C52" s="15" t="e">
        <f>VLOOKUP(B52,داتا!$B$3:$D$107,2,FALSE)</f>
        <v>#N/A</v>
      </c>
      <c r="D52" s="34" t="e">
        <f>VLOOKUP(B52,داتا!$B$3:$D$107,3,FALSE)</f>
        <v>#N/A</v>
      </c>
      <c r="E52" s="15"/>
      <c r="F52" s="15"/>
      <c r="G52" s="16">
        <v>0.25</v>
      </c>
      <c r="H52" s="16" t="e">
        <f t="shared" si="7"/>
        <v>#N/A</v>
      </c>
      <c r="I52" s="16" t="e">
        <f t="shared" si="1"/>
        <v>#N/A</v>
      </c>
      <c r="J52" s="16"/>
      <c r="K52" s="16"/>
      <c r="L52" s="16"/>
      <c r="M52" s="16"/>
      <c r="N52" s="16">
        <f t="shared" si="2"/>
        <v>0</v>
      </c>
      <c r="O52" s="16" t="e">
        <f t="shared" si="3"/>
        <v>#N/A</v>
      </c>
      <c r="P52" s="16">
        <v>6.9444444444444397E-3</v>
      </c>
      <c r="Q52" s="16"/>
      <c r="R52" s="16">
        <f t="shared" si="4"/>
        <v>-6.9444444444444397E-3</v>
      </c>
      <c r="S52" s="16"/>
      <c r="T52" s="16" t="e">
        <f>VLOOKUP(E52,'[2]21-3-2026'!E$3:T$35,16,FALSE)</f>
        <v>#N/A</v>
      </c>
      <c r="U52" s="16"/>
      <c r="V52" s="16" t="e">
        <f t="shared" si="5"/>
        <v>#N/A</v>
      </c>
      <c r="W52" s="16"/>
      <c r="X52" s="16"/>
      <c r="Y52" s="16"/>
      <c r="Z52" s="16">
        <f t="shared" si="6"/>
        <v>0</v>
      </c>
      <c r="AA52" s="16">
        <f t="shared" si="0"/>
        <v>0</v>
      </c>
      <c r="AB52" s="16"/>
      <c r="AC52" s="17"/>
      <c r="AD52" s="51"/>
    </row>
    <row r="53" spans="1:30" ht="19.5" thickBot="1" x14ac:dyDescent="0.3">
      <c r="A53" s="14">
        <v>18</v>
      </c>
      <c r="B53" s="15"/>
      <c r="C53" s="15" t="e">
        <f>VLOOKUP(B53,داتا!$B$3:$D$107,2,FALSE)</f>
        <v>#N/A</v>
      </c>
      <c r="D53" s="34" t="e">
        <f>VLOOKUP(B53,داتا!$B$3:$D$107,3,FALSE)</f>
        <v>#N/A</v>
      </c>
      <c r="E53" s="15"/>
      <c r="F53" s="15"/>
      <c r="G53" s="16">
        <v>0.25</v>
      </c>
      <c r="H53" s="16" t="e">
        <f t="shared" ref="H53:H68" si="8">VLOOKUP(G53,$F$3:$I$35,2,FALSE)</f>
        <v>#N/A</v>
      </c>
      <c r="I53" s="16" t="e">
        <f t="shared" si="1"/>
        <v>#N/A</v>
      </c>
      <c r="J53" s="16"/>
      <c r="K53" s="16"/>
      <c r="L53" s="16"/>
      <c r="M53" s="16"/>
      <c r="N53" s="16">
        <f t="shared" si="2"/>
        <v>0</v>
      </c>
      <c r="O53" s="16" t="e">
        <f t="shared" si="3"/>
        <v>#N/A</v>
      </c>
      <c r="P53" s="16">
        <v>6.9444444444444397E-3</v>
      </c>
      <c r="Q53" s="16"/>
      <c r="R53" s="16">
        <f t="shared" si="4"/>
        <v>-6.9444444444444397E-3</v>
      </c>
      <c r="S53" s="16"/>
      <c r="T53" s="16" t="e">
        <f>VLOOKUP(E53,'[2]21-3-2026'!E$3:T$35,16,FALSE)</f>
        <v>#N/A</v>
      </c>
      <c r="U53" s="16"/>
      <c r="V53" s="16" t="e">
        <f t="shared" si="5"/>
        <v>#N/A</v>
      </c>
      <c r="W53" s="16"/>
      <c r="X53" s="16"/>
      <c r="Y53" s="16"/>
      <c r="Z53" s="16">
        <f t="shared" si="6"/>
        <v>0</v>
      </c>
      <c r="AA53" s="16">
        <f t="shared" si="0"/>
        <v>0</v>
      </c>
      <c r="AB53" s="16"/>
      <c r="AC53" s="17"/>
      <c r="AD53" s="51"/>
    </row>
    <row r="54" spans="1:30" ht="19.5" thickBot="1" x14ac:dyDescent="0.3">
      <c r="A54" s="14">
        <v>19</v>
      </c>
      <c r="B54" s="15"/>
      <c r="C54" s="15" t="e">
        <f>VLOOKUP(B54,داتا!$B$3:$D$107,2,FALSE)</f>
        <v>#N/A</v>
      </c>
      <c r="D54" s="34" t="e">
        <f>VLOOKUP(B54,داتا!$B$3:$D$107,3,FALSE)</f>
        <v>#N/A</v>
      </c>
      <c r="E54" s="15"/>
      <c r="F54" s="15"/>
      <c r="G54" s="16">
        <v>0.25</v>
      </c>
      <c r="H54" s="16" t="e">
        <f t="shared" si="8"/>
        <v>#N/A</v>
      </c>
      <c r="I54" s="16" t="e">
        <f t="shared" si="1"/>
        <v>#N/A</v>
      </c>
      <c r="J54" s="16"/>
      <c r="K54" s="16"/>
      <c r="L54" s="16"/>
      <c r="M54" s="16"/>
      <c r="N54" s="16">
        <f t="shared" si="2"/>
        <v>0</v>
      </c>
      <c r="O54" s="16" t="e">
        <f t="shared" si="3"/>
        <v>#N/A</v>
      </c>
      <c r="P54" s="16">
        <v>6.9444444444444397E-3</v>
      </c>
      <c r="Q54" s="16"/>
      <c r="R54" s="16">
        <f t="shared" si="4"/>
        <v>-6.9444444444444397E-3</v>
      </c>
      <c r="S54" s="16"/>
      <c r="T54" s="16" t="e">
        <f>VLOOKUP(E54,'[2]21-3-2026'!E$3:T$35,16,FALSE)</f>
        <v>#N/A</v>
      </c>
      <c r="U54" s="16"/>
      <c r="V54" s="16" t="e">
        <f t="shared" si="5"/>
        <v>#N/A</v>
      </c>
      <c r="W54" s="16"/>
      <c r="X54" s="16"/>
      <c r="Y54" s="16"/>
      <c r="Z54" s="16">
        <f t="shared" si="6"/>
        <v>0</v>
      </c>
      <c r="AA54" s="16">
        <f t="shared" si="0"/>
        <v>0</v>
      </c>
      <c r="AB54" s="16"/>
      <c r="AC54" s="17"/>
      <c r="AD54" s="51"/>
    </row>
    <row r="55" spans="1:30" ht="19.5" thickBot="1" x14ac:dyDescent="0.3">
      <c r="A55" s="14">
        <v>20</v>
      </c>
      <c r="B55" s="15"/>
      <c r="C55" s="15" t="e">
        <f>VLOOKUP(B55,داتا!$B$3:$D$107,2,FALSE)</f>
        <v>#N/A</v>
      </c>
      <c r="D55" s="34" t="e">
        <f>VLOOKUP(B55,داتا!$B$3:$D$107,3,FALSE)</f>
        <v>#N/A</v>
      </c>
      <c r="E55" s="15"/>
      <c r="F55" s="15"/>
      <c r="G55" s="16">
        <v>0.25</v>
      </c>
      <c r="H55" s="16" t="e">
        <f t="shared" si="8"/>
        <v>#N/A</v>
      </c>
      <c r="I55" s="16" t="e">
        <f t="shared" si="1"/>
        <v>#N/A</v>
      </c>
      <c r="J55" s="16"/>
      <c r="K55" s="16"/>
      <c r="L55" s="16"/>
      <c r="M55" s="16"/>
      <c r="N55" s="16">
        <f t="shared" si="2"/>
        <v>0</v>
      </c>
      <c r="O55" s="16" t="e">
        <f t="shared" si="3"/>
        <v>#N/A</v>
      </c>
      <c r="P55" s="16">
        <v>6.9444444444444397E-3</v>
      </c>
      <c r="Q55" s="16"/>
      <c r="R55" s="16">
        <f t="shared" si="4"/>
        <v>-6.9444444444444397E-3</v>
      </c>
      <c r="S55" s="16"/>
      <c r="T55" s="16" t="e">
        <f>VLOOKUP(E55,'[2]21-3-2026'!E$3:T$35,16,FALSE)</f>
        <v>#N/A</v>
      </c>
      <c r="U55" s="16"/>
      <c r="V55" s="16" t="e">
        <f t="shared" si="5"/>
        <v>#N/A</v>
      </c>
      <c r="W55" s="16"/>
      <c r="X55" s="16"/>
      <c r="Y55" s="16"/>
      <c r="Z55" s="16">
        <f t="shared" si="6"/>
        <v>0</v>
      </c>
      <c r="AA55" s="16">
        <f t="shared" si="0"/>
        <v>0</v>
      </c>
      <c r="AB55" s="16"/>
      <c r="AC55" s="17"/>
      <c r="AD55" s="51"/>
    </row>
    <row r="56" spans="1:30" ht="19.5" thickBot="1" x14ac:dyDescent="0.3">
      <c r="A56" s="14">
        <v>21</v>
      </c>
      <c r="B56" s="15"/>
      <c r="C56" s="15" t="e">
        <f>VLOOKUP(B56,داتا!$B$3:$D$107,2,FALSE)</f>
        <v>#N/A</v>
      </c>
      <c r="D56" s="34" t="e">
        <f>VLOOKUP(B56,داتا!$B$3:$D$107,3,FALSE)</f>
        <v>#N/A</v>
      </c>
      <c r="E56" s="15"/>
      <c r="F56" s="15"/>
      <c r="G56" s="16">
        <v>0.25</v>
      </c>
      <c r="H56" s="16" t="e">
        <f t="shared" si="8"/>
        <v>#N/A</v>
      </c>
      <c r="I56" s="16" t="e">
        <f t="shared" si="1"/>
        <v>#N/A</v>
      </c>
      <c r="J56" s="16"/>
      <c r="K56" s="16"/>
      <c r="L56" s="15"/>
      <c r="M56" s="15"/>
      <c r="N56" s="16">
        <f t="shared" si="2"/>
        <v>0</v>
      </c>
      <c r="O56" s="16" t="e">
        <f t="shared" si="3"/>
        <v>#N/A</v>
      </c>
      <c r="P56" s="16">
        <v>6.9444444444444397E-3</v>
      </c>
      <c r="Q56" s="16"/>
      <c r="R56" s="16">
        <f t="shared" si="4"/>
        <v>-6.9444444444444397E-3</v>
      </c>
      <c r="S56" s="16"/>
      <c r="T56" s="16" t="e">
        <f>VLOOKUP(E56,'[2]21-3-2026'!E$3:T$35,16,FALSE)</f>
        <v>#N/A</v>
      </c>
      <c r="U56" s="16"/>
      <c r="V56" s="16" t="e">
        <f t="shared" si="5"/>
        <v>#N/A</v>
      </c>
      <c r="W56" s="16"/>
      <c r="X56" s="16"/>
      <c r="Y56" s="16"/>
      <c r="Z56" s="16">
        <f t="shared" si="6"/>
        <v>0</v>
      </c>
      <c r="AA56" s="16">
        <f t="shared" si="0"/>
        <v>0</v>
      </c>
      <c r="AB56" s="16"/>
      <c r="AC56" s="17"/>
      <c r="AD56" s="51"/>
    </row>
    <row r="57" spans="1:30" ht="19.5" thickBot="1" x14ac:dyDescent="0.3">
      <c r="A57" s="14">
        <v>22</v>
      </c>
      <c r="B57" s="15"/>
      <c r="C57" s="15" t="e">
        <f>VLOOKUP(B57,داتا!$B$3:$D$107,2,FALSE)</f>
        <v>#N/A</v>
      </c>
      <c r="D57" s="34" t="e">
        <f>VLOOKUP(B57,داتا!$B$3:$D$107,3,FALSE)</f>
        <v>#N/A</v>
      </c>
      <c r="E57" s="15"/>
      <c r="F57" s="15"/>
      <c r="G57" s="16">
        <v>0.25</v>
      </c>
      <c r="H57" s="16" t="e">
        <f t="shared" si="8"/>
        <v>#N/A</v>
      </c>
      <c r="I57" s="16" t="e">
        <f t="shared" si="1"/>
        <v>#N/A</v>
      </c>
      <c r="J57" s="16"/>
      <c r="K57" s="16"/>
      <c r="L57" s="15"/>
      <c r="M57" s="15"/>
      <c r="N57" s="16">
        <f t="shared" si="2"/>
        <v>0</v>
      </c>
      <c r="O57" s="16" t="e">
        <f t="shared" si="3"/>
        <v>#N/A</v>
      </c>
      <c r="P57" s="16">
        <v>6.9444444444444397E-3</v>
      </c>
      <c r="Q57" s="16"/>
      <c r="R57" s="16">
        <f t="shared" si="4"/>
        <v>-6.9444444444444397E-3</v>
      </c>
      <c r="S57" s="16"/>
      <c r="T57" s="16" t="e">
        <f>VLOOKUP(E57,'[2]21-3-2026'!E$3:T$35,16,FALSE)</f>
        <v>#N/A</v>
      </c>
      <c r="U57" s="16"/>
      <c r="V57" s="16" t="e">
        <f t="shared" si="5"/>
        <v>#N/A</v>
      </c>
      <c r="W57" s="16"/>
      <c r="X57" s="16"/>
      <c r="Y57" s="16"/>
      <c r="Z57" s="16">
        <f t="shared" si="6"/>
        <v>0</v>
      </c>
      <c r="AA57" s="16">
        <f t="shared" si="0"/>
        <v>0</v>
      </c>
      <c r="AB57" s="16"/>
      <c r="AC57" s="17"/>
      <c r="AD57" s="51"/>
    </row>
    <row r="58" spans="1:30" ht="19.5" thickBot="1" x14ac:dyDescent="0.3">
      <c r="A58" s="14">
        <v>23</v>
      </c>
      <c r="B58" s="15"/>
      <c r="C58" s="15" t="e">
        <f>VLOOKUP(B58,داتا!$B$3:$D$107,2,FALSE)</f>
        <v>#N/A</v>
      </c>
      <c r="D58" s="34" t="e">
        <f>VLOOKUP(B58,داتا!$B$3:$D$107,3,FALSE)</f>
        <v>#N/A</v>
      </c>
      <c r="E58" s="15"/>
      <c r="F58" s="15"/>
      <c r="G58" s="16">
        <v>0.25</v>
      </c>
      <c r="H58" s="16" t="e">
        <f t="shared" si="8"/>
        <v>#N/A</v>
      </c>
      <c r="I58" s="16" t="e">
        <f t="shared" si="1"/>
        <v>#N/A</v>
      </c>
      <c r="J58" s="16"/>
      <c r="K58" s="16"/>
      <c r="L58" s="16"/>
      <c r="M58" s="16"/>
      <c r="N58" s="16">
        <f t="shared" si="2"/>
        <v>0</v>
      </c>
      <c r="O58" s="16" t="e">
        <f t="shared" si="3"/>
        <v>#N/A</v>
      </c>
      <c r="P58" s="16">
        <v>6.9444444444444397E-3</v>
      </c>
      <c r="Q58" s="16"/>
      <c r="R58" s="16">
        <f t="shared" si="4"/>
        <v>-6.9444444444444397E-3</v>
      </c>
      <c r="S58" s="16"/>
      <c r="T58" s="16" t="e">
        <f>VLOOKUP(E58,'[2]21-3-2026'!E$3:T$35,16,FALSE)</f>
        <v>#N/A</v>
      </c>
      <c r="U58" s="16"/>
      <c r="V58" s="16" t="e">
        <f t="shared" si="5"/>
        <v>#N/A</v>
      </c>
      <c r="W58" s="16"/>
      <c r="X58" s="16"/>
      <c r="Y58" s="16"/>
      <c r="Z58" s="16">
        <f t="shared" si="6"/>
        <v>0</v>
      </c>
      <c r="AA58" s="16">
        <f t="shared" si="0"/>
        <v>0</v>
      </c>
      <c r="AB58" s="16"/>
      <c r="AC58" s="17"/>
      <c r="AD58" s="51"/>
    </row>
    <row r="59" spans="1:30" ht="19.5" thickBot="1" x14ac:dyDescent="0.3">
      <c r="A59" s="14">
        <v>24</v>
      </c>
      <c r="B59" s="15"/>
      <c r="C59" s="15" t="e">
        <f>VLOOKUP(B59,داتا!$B$3:$D$107,2,FALSE)</f>
        <v>#N/A</v>
      </c>
      <c r="D59" s="34" t="e">
        <f>VLOOKUP(B59,داتا!$B$3:$D$107,3,FALSE)</f>
        <v>#N/A</v>
      </c>
      <c r="E59" s="16"/>
      <c r="F59" s="15"/>
      <c r="G59" s="16">
        <v>0.25</v>
      </c>
      <c r="H59" s="16" t="e">
        <f t="shared" si="8"/>
        <v>#N/A</v>
      </c>
      <c r="I59" s="16" t="e">
        <f t="shared" si="1"/>
        <v>#N/A</v>
      </c>
      <c r="J59" s="16"/>
      <c r="K59" s="16"/>
      <c r="L59" s="15"/>
      <c r="M59" s="15"/>
      <c r="N59" s="16">
        <f t="shared" si="2"/>
        <v>0</v>
      </c>
      <c r="O59" s="16" t="e">
        <f t="shared" si="3"/>
        <v>#N/A</v>
      </c>
      <c r="P59" s="16">
        <v>6.9444444444444397E-3</v>
      </c>
      <c r="Q59" s="16"/>
      <c r="R59" s="16">
        <f t="shared" si="4"/>
        <v>-6.9444444444444397E-3</v>
      </c>
      <c r="S59" s="16"/>
      <c r="T59" s="16" t="e">
        <f>VLOOKUP(E59,'[2]21-3-2026'!E$3:T$35,16,FALSE)</f>
        <v>#N/A</v>
      </c>
      <c r="U59" s="16"/>
      <c r="V59" s="16" t="e">
        <f t="shared" si="5"/>
        <v>#N/A</v>
      </c>
      <c r="W59" s="16"/>
      <c r="X59" s="16"/>
      <c r="Y59" s="16"/>
      <c r="Z59" s="16">
        <f t="shared" si="6"/>
        <v>0</v>
      </c>
      <c r="AA59" s="16">
        <f t="shared" si="0"/>
        <v>0</v>
      </c>
      <c r="AB59" s="16"/>
      <c r="AC59" s="17"/>
      <c r="AD59" s="51"/>
    </row>
    <row r="60" spans="1:30" ht="19.5" thickBot="1" x14ac:dyDescent="0.3">
      <c r="A60" s="14">
        <v>25</v>
      </c>
      <c r="B60" s="15"/>
      <c r="C60" s="15" t="e">
        <f>VLOOKUP(B60,داتا!$B$3:$D$107,2,FALSE)</f>
        <v>#N/A</v>
      </c>
      <c r="D60" s="34" t="e">
        <f>VLOOKUP(B60,داتا!$B$3:$D$107,3,FALSE)</f>
        <v>#N/A</v>
      </c>
      <c r="E60" s="15"/>
      <c r="F60" s="15"/>
      <c r="G60" s="16">
        <v>0.25</v>
      </c>
      <c r="H60" s="16" t="e">
        <f t="shared" si="8"/>
        <v>#N/A</v>
      </c>
      <c r="I60" s="16" t="e">
        <f t="shared" si="1"/>
        <v>#N/A</v>
      </c>
      <c r="J60" s="16"/>
      <c r="K60" s="16"/>
      <c r="L60" s="16"/>
      <c r="M60" s="16"/>
      <c r="N60" s="16">
        <f t="shared" si="2"/>
        <v>0</v>
      </c>
      <c r="O60" s="16" t="e">
        <f t="shared" si="3"/>
        <v>#N/A</v>
      </c>
      <c r="P60" s="16">
        <v>6.9444444444444397E-3</v>
      </c>
      <c r="Q60" s="16"/>
      <c r="R60" s="16">
        <f t="shared" si="4"/>
        <v>-6.9444444444444397E-3</v>
      </c>
      <c r="S60" s="16"/>
      <c r="T60" s="16" t="e">
        <f>VLOOKUP(E60,'[2]21-3-2026'!E$3:T$35,16,FALSE)</f>
        <v>#N/A</v>
      </c>
      <c r="U60" s="16"/>
      <c r="V60" s="16" t="e">
        <f t="shared" si="5"/>
        <v>#N/A</v>
      </c>
      <c r="W60" s="16"/>
      <c r="X60" s="16"/>
      <c r="Y60" s="16"/>
      <c r="Z60" s="16">
        <f t="shared" si="6"/>
        <v>0</v>
      </c>
      <c r="AA60" s="16">
        <f t="shared" si="0"/>
        <v>0</v>
      </c>
      <c r="AB60" s="16"/>
      <c r="AC60" s="17"/>
      <c r="AD60" s="51"/>
    </row>
    <row r="61" spans="1:30" ht="19.5" thickBot="1" x14ac:dyDescent="0.3">
      <c r="A61" s="14">
        <v>26</v>
      </c>
      <c r="B61" s="15"/>
      <c r="C61" s="15" t="e">
        <f>VLOOKUP(B61,داتا!$B$3:$D$107,2,FALSE)</f>
        <v>#N/A</v>
      </c>
      <c r="D61" s="34" t="e">
        <f>VLOOKUP(B61,داتا!$B$3:$D$107,3,FALSE)</f>
        <v>#N/A</v>
      </c>
      <c r="E61" s="15"/>
      <c r="F61" s="15"/>
      <c r="G61" s="16">
        <v>0.25</v>
      </c>
      <c r="H61" s="16" t="e">
        <f t="shared" si="8"/>
        <v>#N/A</v>
      </c>
      <c r="I61" s="16" t="e">
        <f t="shared" si="1"/>
        <v>#N/A</v>
      </c>
      <c r="J61" s="16"/>
      <c r="K61" s="16"/>
      <c r="L61" s="16"/>
      <c r="M61" s="16"/>
      <c r="N61" s="16">
        <f t="shared" si="2"/>
        <v>0</v>
      </c>
      <c r="O61" s="16" t="e">
        <f t="shared" si="3"/>
        <v>#N/A</v>
      </c>
      <c r="P61" s="16">
        <v>6.9444444444444397E-3</v>
      </c>
      <c r="Q61" s="16"/>
      <c r="R61" s="16">
        <f t="shared" si="4"/>
        <v>-6.9444444444444397E-3</v>
      </c>
      <c r="S61" s="16"/>
      <c r="T61" s="16" t="e">
        <f>VLOOKUP(E61,'[2]21-3-2026'!E$3:T$35,16,FALSE)</f>
        <v>#N/A</v>
      </c>
      <c r="U61" s="16"/>
      <c r="V61" s="16" t="e">
        <f t="shared" si="5"/>
        <v>#N/A</v>
      </c>
      <c r="W61" s="16"/>
      <c r="X61" s="16"/>
      <c r="Y61" s="16"/>
      <c r="Z61" s="16">
        <f t="shared" si="6"/>
        <v>0</v>
      </c>
      <c r="AA61" s="16">
        <f t="shared" si="0"/>
        <v>0</v>
      </c>
      <c r="AB61" s="16"/>
      <c r="AC61" s="17"/>
      <c r="AD61" s="51"/>
    </row>
    <row r="62" spans="1:30" ht="19.5" thickBot="1" x14ac:dyDescent="0.3">
      <c r="A62" s="14">
        <v>27</v>
      </c>
      <c r="B62" s="15"/>
      <c r="C62" s="15" t="e">
        <f>VLOOKUP(B62,داتا!$B$3:$D$107,2,FALSE)</f>
        <v>#N/A</v>
      </c>
      <c r="D62" s="34" t="e">
        <f>VLOOKUP(B62,داتا!$B$3:$D$107,3,FALSE)</f>
        <v>#N/A</v>
      </c>
      <c r="E62" s="15"/>
      <c r="F62" s="15"/>
      <c r="G62" s="16">
        <v>0.25</v>
      </c>
      <c r="H62" s="16" t="e">
        <f t="shared" si="8"/>
        <v>#N/A</v>
      </c>
      <c r="I62" s="16" t="e">
        <f t="shared" si="1"/>
        <v>#N/A</v>
      </c>
      <c r="J62" s="16"/>
      <c r="K62" s="16"/>
      <c r="L62" s="16"/>
      <c r="M62" s="16"/>
      <c r="N62" s="16">
        <f t="shared" si="2"/>
        <v>0</v>
      </c>
      <c r="O62" s="16" t="e">
        <f t="shared" si="3"/>
        <v>#N/A</v>
      </c>
      <c r="P62" s="16">
        <v>6.9444444444444397E-3</v>
      </c>
      <c r="Q62" s="16"/>
      <c r="R62" s="16">
        <f t="shared" si="4"/>
        <v>-6.9444444444444397E-3</v>
      </c>
      <c r="S62" s="16"/>
      <c r="T62" s="16" t="e">
        <f>VLOOKUP(E62,'[2]21-3-2026'!E$3:T$35,16,FALSE)</f>
        <v>#N/A</v>
      </c>
      <c r="U62" s="16"/>
      <c r="V62" s="16" t="e">
        <f t="shared" si="5"/>
        <v>#N/A</v>
      </c>
      <c r="W62" s="16"/>
      <c r="X62" s="16"/>
      <c r="Y62" s="16"/>
      <c r="Z62" s="16">
        <f t="shared" si="6"/>
        <v>0</v>
      </c>
      <c r="AA62" s="16">
        <f t="shared" si="0"/>
        <v>0</v>
      </c>
      <c r="AB62" s="16"/>
      <c r="AC62" s="17"/>
      <c r="AD62" s="51"/>
    </row>
    <row r="63" spans="1:30" ht="19.5" thickBot="1" x14ac:dyDescent="0.3">
      <c r="A63" s="14">
        <v>28</v>
      </c>
      <c r="B63" s="15"/>
      <c r="C63" s="15" t="e">
        <f>VLOOKUP(B63,داتا!$B$3:$D$107,2,FALSE)</f>
        <v>#N/A</v>
      </c>
      <c r="D63" s="34" t="e">
        <f>VLOOKUP(B63,داتا!$B$3:$D$107,3,FALSE)</f>
        <v>#N/A</v>
      </c>
      <c r="E63" s="15"/>
      <c r="F63" s="15"/>
      <c r="G63" s="16">
        <v>0.25</v>
      </c>
      <c r="H63" s="16" t="e">
        <f t="shared" si="8"/>
        <v>#N/A</v>
      </c>
      <c r="I63" s="16" t="e">
        <f t="shared" si="1"/>
        <v>#N/A</v>
      </c>
      <c r="J63" s="16"/>
      <c r="K63" s="16"/>
      <c r="L63" s="16"/>
      <c r="M63" s="16"/>
      <c r="N63" s="16">
        <f t="shared" si="2"/>
        <v>0</v>
      </c>
      <c r="O63" s="16" t="e">
        <f t="shared" si="3"/>
        <v>#N/A</v>
      </c>
      <c r="P63" s="16">
        <v>6.9444444444444397E-3</v>
      </c>
      <c r="Q63" s="16"/>
      <c r="R63" s="16">
        <f t="shared" si="4"/>
        <v>-6.9444444444444397E-3</v>
      </c>
      <c r="S63" s="16"/>
      <c r="T63" s="16" t="e">
        <f>VLOOKUP(E63,'[2]21-3-2026'!E$3:T$35,16,FALSE)</f>
        <v>#N/A</v>
      </c>
      <c r="U63" s="16"/>
      <c r="V63" s="16" t="e">
        <f t="shared" si="5"/>
        <v>#N/A</v>
      </c>
      <c r="W63" s="16"/>
      <c r="X63" s="16"/>
      <c r="Y63" s="16"/>
      <c r="Z63" s="16">
        <f t="shared" si="6"/>
        <v>0</v>
      </c>
      <c r="AA63" s="16">
        <f t="shared" si="0"/>
        <v>0</v>
      </c>
      <c r="AB63" s="16"/>
      <c r="AC63" s="17"/>
      <c r="AD63" s="51"/>
    </row>
    <row r="64" spans="1:30" ht="19.5" thickBot="1" x14ac:dyDescent="0.3">
      <c r="A64" s="14">
        <v>29</v>
      </c>
      <c r="B64" s="15"/>
      <c r="C64" s="15" t="e">
        <f>VLOOKUP(B64,داتا!$B$3:$D$107,2,FALSE)</f>
        <v>#N/A</v>
      </c>
      <c r="D64" s="34" t="e">
        <f>VLOOKUP(B64,داتا!$B$3:$D$107,3,FALSE)</f>
        <v>#N/A</v>
      </c>
      <c r="E64" s="15"/>
      <c r="F64" s="15"/>
      <c r="G64" s="16">
        <v>0.25</v>
      </c>
      <c r="H64" s="16" t="e">
        <f t="shared" si="8"/>
        <v>#N/A</v>
      </c>
      <c r="I64" s="16" t="e">
        <f t="shared" si="1"/>
        <v>#N/A</v>
      </c>
      <c r="J64" s="16"/>
      <c r="K64" s="16"/>
      <c r="L64" s="16"/>
      <c r="M64" s="16"/>
      <c r="N64" s="16">
        <f t="shared" si="2"/>
        <v>0</v>
      </c>
      <c r="O64" s="16" t="e">
        <f t="shared" si="3"/>
        <v>#N/A</v>
      </c>
      <c r="P64" s="16">
        <v>6.9444444444444397E-3</v>
      </c>
      <c r="Q64" s="16"/>
      <c r="R64" s="16">
        <f t="shared" si="4"/>
        <v>-6.9444444444444397E-3</v>
      </c>
      <c r="S64" s="16"/>
      <c r="T64" s="16" t="e">
        <f>VLOOKUP(E64,'[2]21-3-2026'!E$3:T$35,16,FALSE)</f>
        <v>#N/A</v>
      </c>
      <c r="U64" s="16"/>
      <c r="V64" s="16" t="e">
        <f t="shared" si="5"/>
        <v>#N/A</v>
      </c>
      <c r="W64" s="16"/>
      <c r="X64" s="16"/>
      <c r="Y64" s="16"/>
      <c r="Z64" s="16">
        <f t="shared" si="6"/>
        <v>0</v>
      </c>
      <c r="AA64" s="16">
        <f t="shared" si="0"/>
        <v>0</v>
      </c>
      <c r="AB64" s="16"/>
      <c r="AC64" s="17"/>
      <c r="AD64" s="51"/>
    </row>
    <row r="65" spans="1:30" ht="19.5" thickBot="1" x14ac:dyDescent="0.3">
      <c r="A65" s="14">
        <v>30</v>
      </c>
      <c r="B65" s="15"/>
      <c r="C65" s="15" t="e">
        <f>VLOOKUP(B65,داتا!$B$3:$D$107,2,FALSE)</f>
        <v>#N/A</v>
      </c>
      <c r="D65" s="34" t="e">
        <f>VLOOKUP(B65,داتا!$B$3:$D$107,3,FALSE)</f>
        <v>#N/A</v>
      </c>
      <c r="E65" s="15"/>
      <c r="F65" s="15"/>
      <c r="G65" s="16">
        <v>0.25</v>
      </c>
      <c r="H65" s="16" t="e">
        <f t="shared" si="8"/>
        <v>#N/A</v>
      </c>
      <c r="I65" s="16" t="e">
        <f t="shared" si="1"/>
        <v>#N/A</v>
      </c>
      <c r="J65" s="16"/>
      <c r="K65" s="16"/>
      <c r="L65" s="16"/>
      <c r="M65" s="16"/>
      <c r="N65" s="16">
        <f t="shared" si="2"/>
        <v>0</v>
      </c>
      <c r="O65" s="16" t="e">
        <f t="shared" si="3"/>
        <v>#N/A</v>
      </c>
      <c r="P65" s="16">
        <v>6.9444444444444397E-3</v>
      </c>
      <c r="Q65" s="16"/>
      <c r="R65" s="16">
        <f t="shared" si="4"/>
        <v>-6.9444444444444397E-3</v>
      </c>
      <c r="S65" s="16"/>
      <c r="T65" s="16" t="e">
        <f>VLOOKUP(E65,'[2]21-3-2026'!E$3:T$35,16,FALSE)</f>
        <v>#N/A</v>
      </c>
      <c r="U65" s="16"/>
      <c r="V65" s="16" t="e">
        <f t="shared" si="5"/>
        <v>#N/A</v>
      </c>
      <c r="W65" s="16"/>
      <c r="X65" s="16"/>
      <c r="Y65" s="16"/>
      <c r="Z65" s="16">
        <f t="shared" si="6"/>
        <v>0</v>
      </c>
      <c r="AA65" s="16">
        <f t="shared" si="0"/>
        <v>0</v>
      </c>
      <c r="AB65" s="16"/>
      <c r="AC65" s="17"/>
      <c r="AD65" s="51"/>
    </row>
    <row r="66" spans="1:30" ht="20.25" customHeight="1" thickBot="1" x14ac:dyDescent="0.3">
      <c r="A66" s="14">
        <v>31</v>
      </c>
      <c r="B66" s="15"/>
      <c r="C66" s="15" t="e">
        <f>VLOOKUP(B66,داتا!$B$3:$D$107,2,FALSE)</f>
        <v>#N/A</v>
      </c>
      <c r="D66" s="34" t="e">
        <f>VLOOKUP(B66,داتا!$B$3:$D$107,3,FALSE)</f>
        <v>#N/A</v>
      </c>
      <c r="E66" s="15"/>
      <c r="F66" s="15"/>
      <c r="G66" s="16">
        <v>0.25</v>
      </c>
      <c r="H66" s="16" t="e">
        <f t="shared" si="8"/>
        <v>#N/A</v>
      </c>
      <c r="I66" s="16" t="e">
        <f t="shared" si="1"/>
        <v>#N/A</v>
      </c>
      <c r="J66" s="16"/>
      <c r="K66" s="16"/>
      <c r="L66" s="16"/>
      <c r="M66" s="16"/>
      <c r="N66" s="16">
        <f t="shared" si="2"/>
        <v>0</v>
      </c>
      <c r="O66" s="16" t="e">
        <f t="shared" si="3"/>
        <v>#N/A</v>
      </c>
      <c r="P66" s="16">
        <v>6.9444444444444397E-3</v>
      </c>
      <c r="Q66" s="16"/>
      <c r="R66" s="16">
        <f t="shared" si="4"/>
        <v>-6.9444444444444397E-3</v>
      </c>
      <c r="S66" s="16"/>
      <c r="T66" s="16" t="e">
        <f>VLOOKUP(E66,'[2]21-3-2026'!E$3:T$35,16,FALSE)</f>
        <v>#N/A</v>
      </c>
      <c r="U66" s="16"/>
      <c r="V66" s="16" t="e">
        <f t="shared" si="5"/>
        <v>#N/A</v>
      </c>
      <c r="W66" s="16"/>
      <c r="X66" s="16"/>
      <c r="Y66" s="16"/>
      <c r="Z66" s="16">
        <f t="shared" si="6"/>
        <v>0</v>
      </c>
      <c r="AA66" s="16">
        <f t="shared" si="0"/>
        <v>0</v>
      </c>
      <c r="AB66" s="16"/>
      <c r="AC66" s="19"/>
      <c r="AD66" s="51"/>
    </row>
    <row r="67" spans="1:30" ht="19.5" customHeight="1" thickBot="1" x14ac:dyDescent="0.3">
      <c r="A67" s="20">
        <v>32</v>
      </c>
      <c r="B67" s="21"/>
      <c r="C67" s="21" t="e">
        <f>VLOOKUP(B67,داتا!$B$3:$D$107,2,FALSE)</f>
        <v>#N/A</v>
      </c>
      <c r="D67" s="35" t="e">
        <f>VLOOKUP(B67,داتا!$B$3:$D$107,3,FALSE)</f>
        <v>#N/A</v>
      </c>
      <c r="E67" s="21"/>
      <c r="F67" s="21"/>
      <c r="G67" s="22">
        <v>0.25</v>
      </c>
      <c r="H67" s="22" t="e">
        <f t="shared" si="8"/>
        <v>#N/A</v>
      </c>
      <c r="I67" s="22" t="e">
        <f t="shared" si="1"/>
        <v>#N/A</v>
      </c>
      <c r="J67" s="22"/>
      <c r="K67" s="22"/>
      <c r="L67" s="22"/>
      <c r="M67" s="22"/>
      <c r="N67" s="22">
        <f t="shared" si="2"/>
        <v>0</v>
      </c>
      <c r="O67" s="22" t="e">
        <f t="shared" si="3"/>
        <v>#N/A</v>
      </c>
      <c r="P67" s="22">
        <v>6.9444444444444397E-3</v>
      </c>
      <c r="Q67" s="22"/>
      <c r="R67" s="22">
        <f t="shared" si="4"/>
        <v>-6.9444444444444397E-3</v>
      </c>
      <c r="S67" s="22"/>
      <c r="T67" s="22" t="e">
        <f>VLOOKUP(E67,'[2]21-3-2026'!E$3:T$35,16,FALSE)</f>
        <v>#N/A</v>
      </c>
      <c r="U67" s="22"/>
      <c r="V67" s="22" t="e">
        <f t="shared" si="5"/>
        <v>#N/A</v>
      </c>
      <c r="W67" s="22"/>
      <c r="X67" s="22"/>
      <c r="Y67" s="22"/>
      <c r="Z67" s="22">
        <f t="shared" si="6"/>
        <v>0</v>
      </c>
      <c r="AA67" s="22">
        <f t="shared" ref="AA67:AA99" si="9">Z67-W67</f>
        <v>0</v>
      </c>
      <c r="AB67" s="22"/>
      <c r="AC67" s="23"/>
      <c r="AD67" s="52"/>
    </row>
    <row r="68" spans="1:30" ht="20.25" thickTop="1" thickBot="1" x14ac:dyDescent="0.3">
      <c r="A68" s="10">
        <v>1</v>
      </c>
      <c r="B68" s="11"/>
      <c r="C68" s="11" t="e">
        <f>VLOOKUP(B68,داتا!$B$3:$D$107,2,FALSE)</f>
        <v>#N/A</v>
      </c>
      <c r="D68" s="33" t="e">
        <f>VLOOKUP(B68,داتا!$B$3:$D$107,3,FALSE)</f>
        <v>#N/A</v>
      </c>
      <c r="E68" s="11"/>
      <c r="F68" s="11"/>
      <c r="G68" s="12">
        <v>8.3333333333333329E-2</v>
      </c>
      <c r="H68" s="12" t="e">
        <f t="shared" si="8"/>
        <v>#N/A</v>
      </c>
      <c r="I68" s="12" t="e">
        <f t="shared" ref="I68:I99" si="10">H68-G68</f>
        <v>#N/A</v>
      </c>
      <c r="J68" s="12"/>
      <c r="K68" s="12"/>
      <c r="L68" s="12"/>
      <c r="M68" s="12"/>
      <c r="N68" s="12">
        <f t="shared" ref="N68:N99" si="11">K68-J68</f>
        <v>0</v>
      </c>
      <c r="O68" s="12" t="e">
        <f t="shared" ref="O68:O99" si="12">N68-D68</f>
        <v>#N/A</v>
      </c>
      <c r="P68" s="12">
        <v>6.9444444444444397E-3</v>
      </c>
      <c r="Q68" s="12"/>
      <c r="R68" s="12">
        <f t="shared" ref="R68:R99" si="13">Q68-P68-K68</f>
        <v>-6.9444444444444397E-3</v>
      </c>
      <c r="S68" s="12"/>
      <c r="T68" s="12" t="e">
        <f>VLOOKUP(E68,'[2]21-3-2026'!E$3:T$35,16,FALSE)</f>
        <v>#N/A</v>
      </c>
      <c r="U68" s="12"/>
      <c r="V68" s="12" t="e">
        <f t="shared" ref="V68:V99" si="14">U68-T68-S68</f>
        <v>#N/A</v>
      </c>
      <c r="W68" s="12"/>
      <c r="X68" s="12"/>
      <c r="Y68" s="12"/>
      <c r="Z68" s="12">
        <f t="shared" ref="Z68:Z99" si="15">Y68-X68</f>
        <v>0</v>
      </c>
      <c r="AA68" s="12">
        <f t="shared" si="9"/>
        <v>0</v>
      </c>
      <c r="AB68" s="12"/>
      <c r="AC68" s="13"/>
      <c r="AD68" s="53" t="s">
        <v>116</v>
      </c>
    </row>
    <row r="69" spans="1:30" ht="19.5" thickBot="1" x14ac:dyDescent="0.3">
      <c r="A69" s="14">
        <v>2</v>
      </c>
      <c r="B69" s="15"/>
      <c r="C69" s="15" t="e">
        <f>VLOOKUP(B69,داتا!$B$3:$D$107,2,FALSE)</f>
        <v>#N/A</v>
      </c>
      <c r="D69" s="34" t="e">
        <f>VLOOKUP(B69,داتا!$B$3:$D$107,3,FALSE)</f>
        <v>#N/A</v>
      </c>
      <c r="E69" s="15"/>
      <c r="F69" s="15"/>
      <c r="G69" s="16">
        <v>8.3333333333333329E-2</v>
      </c>
      <c r="H69" s="16" t="e">
        <f t="shared" ref="H69:H84" si="16">VLOOKUP(G69,$F$3:$I$35,2,FALSE)</f>
        <v>#N/A</v>
      </c>
      <c r="I69" s="16" t="e">
        <f t="shared" si="10"/>
        <v>#N/A</v>
      </c>
      <c r="J69" s="16"/>
      <c r="K69" s="16"/>
      <c r="L69" s="16"/>
      <c r="M69" s="16"/>
      <c r="N69" s="16">
        <f t="shared" si="11"/>
        <v>0</v>
      </c>
      <c r="O69" s="16" t="e">
        <f t="shared" si="12"/>
        <v>#N/A</v>
      </c>
      <c r="P69" s="16">
        <v>6.9444444444444397E-3</v>
      </c>
      <c r="Q69" s="16"/>
      <c r="R69" s="16">
        <f t="shared" si="13"/>
        <v>-6.9444444444444397E-3</v>
      </c>
      <c r="S69" s="16"/>
      <c r="T69" s="16" t="e">
        <f>VLOOKUP(E69,'[2]21-3-2026'!E$3:T$35,16,FALSE)</f>
        <v>#N/A</v>
      </c>
      <c r="U69" s="16"/>
      <c r="V69" s="16" t="e">
        <f t="shared" si="14"/>
        <v>#N/A</v>
      </c>
      <c r="W69" s="16"/>
      <c r="X69" s="16"/>
      <c r="Y69" s="16"/>
      <c r="Z69" s="16">
        <f t="shared" si="15"/>
        <v>0</v>
      </c>
      <c r="AA69" s="16">
        <f t="shared" si="9"/>
        <v>0</v>
      </c>
      <c r="AB69" s="16"/>
      <c r="AC69" s="17"/>
      <c r="AD69" s="51"/>
    </row>
    <row r="70" spans="1:30" ht="19.5" thickBot="1" x14ac:dyDescent="0.3">
      <c r="A70" s="14">
        <v>3</v>
      </c>
      <c r="B70" s="15"/>
      <c r="C70" s="15" t="e">
        <f>VLOOKUP(B70,داتا!$B$3:$D$107,2,FALSE)</f>
        <v>#N/A</v>
      </c>
      <c r="D70" s="34" t="e">
        <f>VLOOKUP(B70,داتا!$B$3:$D$107,3,FALSE)</f>
        <v>#N/A</v>
      </c>
      <c r="E70" s="15"/>
      <c r="F70" s="15"/>
      <c r="G70" s="16">
        <v>8.3333333333333329E-2</v>
      </c>
      <c r="H70" s="16" t="e">
        <f t="shared" si="16"/>
        <v>#N/A</v>
      </c>
      <c r="I70" s="16" t="e">
        <f t="shared" si="10"/>
        <v>#N/A</v>
      </c>
      <c r="J70" s="16"/>
      <c r="K70" s="16"/>
      <c r="L70" s="16"/>
      <c r="M70" s="16"/>
      <c r="N70" s="16">
        <f t="shared" si="11"/>
        <v>0</v>
      </c>
      <c r="O70" s="16" t="e">
        <f t="shared" si="12"/>
        <v>#N/A</v>
      </c>
      <c r="P70" s="16">
        <v>6.9444444444444397E-3</v>
      </c>
      <c r="Q70" s="16"/>
      <c r="R70" s="16">
        <f t="shared" si="13"/>
        <v>-6.9444444444444397E-3</v>
      </c>
      <c r="S70" s="16"/>
      <c r="T70" s="16" t="e">
        <f>VLOOKUP(E70,'[2]21-3-2026'!E$3:T$35,16,FALSE)</f>
        <v>#N/A</v>
      </c>
      <c r="U70" s="16"/>
      <c r="V70" s="16" t="e">
        <f t="shared" si="14"/>
        <v>#N/A</v>
      </c>
      <c r="W70" s="16"/>
      <c r="X70" s="16"/>
      <c r="Y70" s="16"/>
      <c r="Z70" s="16">
        <f t="shared" si="15"/>
        <v>0</v>
      </c>
      <c r="AA70" s="16">
        <f t="shared" si="9"/>
        <v>0</v>
      </c>
      <c r="AB70" s="16"/>
      <c r="AC70" s="17"/>
      <c r="AD70" s="51"/>
    </row>
    <row r="71" spans="1:30" ht="19.5" thickBot="1" x14ac:dyDescent="0.3">
      <c r="A71" s="14">
        <v>4</v>
      </c>
      <c r="B71" s="15"/>
      <c r="C71" s="15" t="e">
        <f>VLOOKUP(B71,داتا!$B$3:$D$107,2,FALSE)</f>
        <v>#N/A</v>
      </c>
      <c r="D71" s="34" t="e">
        <f>VLOOKUP(B71,داتا!$B$3:$D$107,3,FALSE)</f>
        <v>#N/A</v>
      </c>
      <c r="E71" s="15"/>
      <c r="F71" s="15"/>
      <c r="G71" s="16">
        <v>8.3333333333333329E-2</v>
      </c>
      <c r="H71" s="16" t="e">
        <f t="shared" si="16"/>
        <v>#N/A</v>
      </c>
      <c r="I71" s="16" t="e">
        <f t="shared" si="10"/>
        <v>#N/A</v>
      </c>
      <c r="J71" s="16"/>
      <c r="K71" s="16"/>
      <c r="L71" s="16"/>
      <c r="M71" s="16"/>
      <c r="N71" s="16">
        <f t="shared" si="11"/>
        <v>0</v>
      </c>
      <c r="O71" s="16" t="e">
        <f t="shared" si="12"/>
        <v>#N/A</v>
      </c>
      <c r="P71" s="16">
        <v>6.9444444444444397E-3</v>
      </c>
      <c r="Q71" s="16"/>
      <c r="R71" s="16">
        <f t="shared" si="13"/>
        <v>-6.9444444444444397E-3</v>
      </c>
      <c r="S71" s="16"/>
      <c r="T71" s="16" t="e">
        <f>VLOOKUP(E71,'[2]21-3-2026'!E$3:T$35,16,FALSE)</f>
        <v>#N/A</v>
      </c>
      <c r="U71" s="16"/>
      <c r="V71" s="16" t="e">
        <f t="shared" si="14"/>
        <v>#N/A</v>
      </c>
      <c r="W71" s="16"/>
      <c r="X71" s="16"/>
      <c r="Y71" s="16"/>
      <c r="Z71" s="16">
        <f t="shared" si="15"/>
        <v>0</v>
      </c>
      <c r="AA71" s="16">
        <f t="shared" si="9"/>
        <v>0</v>
      </c>
      <c r="AB71" s="16"/>
      <c r="AC71" s="17"/>
      <c r="AD71" s="51"/>
    </row>
    <row r="72" spans="1:30" ht="19.5" thickBot="1" x14ac:dyDescent="0.3">
      <c r="A72" s="14">
        <v>5</v>
      </c>
      <c r="B72" s="15"/>
      <c r="C72" s="15" t="e">
        <f>VLOOKUP(B72,داتا!$B$3:$D$107,2,FALSE)</f>
        <v>#N/A</v>
      </c>
      <c r="D72" s="34" t="e">
        <f>VLOOKUP(B72,داتا!$B$3:$D$107,3,FALSE)</f>
        <v>#N/A</v>
      </c>
      <c r="E72" s="15"/>
      <c r="F72" s="15"/>
      <c r="G72" s="16">
        <v>8.3333333333333329E-2</v>
      </c>
      <c r="H72" s="16" t="e">
        <f t="shared" si="16"/>
        <v>#N/A</v>
      </c>
      <c r="I72" s="16" t="e">
        <f t="shared" si="10"/>
        <v>#N/A</v>
      </c>
      <c r="J72" s="16"/>
      <c r="K72" s="16"/>
      <c r="L72" s="16"/>
      <c r="M72" s="16"/>
      <c r="N72" s="16">
        <f t="shared" si="11"/>
        <v>0</v>
      </c>
      <c r="O72" s="16" t="e">
        <f t="shared" si="12"/>
        <v>#N/A</v>
      </c>
      <c r="P72" s="16">
        <v>6.9444444444444397E-3</v>
      </c>
      <c r="Q72" s="16"/>
      <c r="R72" s="16">
        <f t="shared" si="13"/>
        <v>-6.9444444444444397E-3</v>
      </c>
      <c r="S72" s="16"/>
      <c r="T72" s="16" t="e">
        <f>VLOOKUP(E72,'[2]21-3-2026'!E$3:T$35,16,FALSE)</f>
        <v>#N/A</v>
      </c>
      <c r="U72" s="16"/>
      <c r="V72" s="16" t="e">
        <f t="shared" si="14"/>
        <v>#N/A</v>
      </c>
      <c r="W72" s="16"/>
      <c r="X72" s="16"/>
      <c r="Y72" s="16"/>
      <c r="Z72" s="16">
        <f t="shared" si="15"/>
        <v>0</v>
      </c>
      <c r="AA72" s="16">
        <f t="shared" si="9"/>
        <v>0</v>
      </c>
      <c r="AB72" s="16"/>
      <c r="AC72" s="17"/>
      <c r="AD72" s="51"/>
    </row>
    <row r="73" spans="1:30" ht="19.5" thickBot="1" x14ac:dyDescent="0.3">
      <c r="A73" s="14">
        <v>6</v>
      </c>
      <c r="B73" s="15"/>
      <c r="C73" s="15" t="e">
        <f>VLOOKUP(B73,داتا!$B$3:$D$107,2,FALSE)</f>
        <v>#N/A</v>
      </c>
      <c r="D73" s="34" t="e">
        <f>VLOOKUP(B73,داتا!$B$3:$D$107,3,FALSE)</f>
        <v>#N/A</v>
      </c>
      <c r="E73" s="15"/>
      <c r="F73" s="15"/>
      <c r="G73" s="16">
        <v>8.3333333333333329E-2</v>
      </c>
      <c r="H73" s="16" t="e">
        <f t="shared" si="16"/>
        <v>#N/A</v>
      </c>
      <c r="I73" s="16" t="e">
        <f t="shared" si="10"/>
        <v>#N/A</v>
      </c>
      <c r="J73" s="16"/>
      <c r="K73" s="16"/>
      <c r="L73" s="16"/>
      <c r="M73" s="16"/>
      <c r="N73" s="16">
        <f t="shared" si="11"/>
        <v>0</v>
      </c>
      <c r="O73" s="16" t="e">
        <f t="shared" si="12"/>
        <v>#N/A</v>
      </c>
      <c r="P73" s="16">
        <v>6.9444444444444397E-3</v>
      </c>
      <c r="Q73" s="16"/>
      <c r="R73" s="16">
        <f t="shared" si="13"/>
        <v>-6.9444444444444397E-3</v>
      </c>
      <c r="S73" s="16"/>
      <c r="T73" s="16" t="e">
        <f>VLOOKUP(E73,'[2]21-3-2026'!E$3:T$35,16,FALSE)</f>
        <v>#N/A</v>
      </c>
      <c r="U73" s="16"/>
      <c r="V73" s="16" t="e">
        <f t="shared" si="14"/>
        <v>#N/A</v>
      </c>
      <c r="W73" s="16"/>
      <c r="X73" s="16"/>
      <c r="Y73" s="16"/>
      <c r="Z73" s="16">
        <f t="shared" si="15"/>
        <v>0</v>
      </c>
      <c r="AA73" s="16">
        <f t="shared" si="9"/>
        <v>0</v>
      </c>
      <c r="AB73" s="16"/>
      <c r="AC73" s="17"/>
      <c r="AD73" s="51"/>
    </row>
    <row r="74" spans="1:30" ht="19.5" thickBot="1" x14ac:dyDescent="0.3">
      <c r="A74" s="14">
        <v>7</v>
      </c>
      <c r="B74" s="15"/>
      <c r="C74" s="15" t="e">
        <f>VLOOKUP(B74,داتا!$B$3:$D$107,2,FALSE)</f>
        <v>#N/A</v>
      </c>
      <c r="D74" s="34" t="e">
        <f>VLOOKUP(B74,داتا!$B$3:$D$107,3,FALSE)</f>
        <v>#N/A</v>
      </c>
      <c r="E74" s="15"/>
      <c r="F74" s="15"/>
      <c r="G74" s="16">
        <v>8.3333333333333329E-2</v>
      </c>
      <c r="H74" s="16" t="e">
        <f t="shared" si="16"/>
        <v>#N/A</v>
      </c>
      <c r="I74" s="16" t="e">
        <f t="shared" si="10"/>
        <v>#N/A</v>
      </c>
      <c r="J74" s="16"/>
      <c r="K74" s="16"/>
      <c r="L74" s="16"/>
      <c r="M74" s="16"/>
      <c r="N74" s="16">
        <f t="shared" si="11"/>
        <v>0</v>
      </c>
      <c r="O74" s="16" t="e">
        <f t="shared" si="12"/>
        <v>#N/A</v>
      </c>
      <c r="P74" s="16">
        <v>6.9444444444444397E-3</v>
      </c>
      <c r="Q74" s="16"/>
      <c r="R74" s="16">
        <f t="shared" si="13"/>
        <v>-6.9444444444444397E-3</v>
      </c>
      <c r="S74" s="16"/>
      <c r="T74" s="16" t="e">
        <f>VLOOKUP(E74,'[2]21-3-2026'!E$3:T$35,16,FALSE)</f>
        <v>#N/A</v>
      </c>
      <c r="U74" s="16"/>
      <c r="V74" s="16" t="e">
        <f t="shared" si="14"/>
        <v>#N/A</v>
      </c>
      <c r="W74" s="16"/>
      <c r="X74" s="16"/>
      <c r="Y74" s="16"/>
      <c r="Z74" s="16">
        <f t="shared" si="15"/>
        <v>0</v>
      </c>
      <c r="AA74" s="16">
        <f t="shared" si="9"/>
        <v>0</v>
      </c>
      <c r="AB74" s="16"/>
      <c r="AC74" s="17"/>
      <c r="AD74" s="51"/>
    </row>
    <row r="75" spans="1:30" ht="19.5" thickBot="1" x14ac:dyDescent="0.3">
      <c r="A75" s="14">
        <v>8</v>
      </c>
      <c r="B75" s="15"/>
      <c r="C75" s="15" t="e">
        <f>VLOOKUP(B75,داتا!$B$3:$D$107,2,FALSE)</f>
        <v>#N/A</v>
      </c>
      <c r="D75" s="34" t="e">
        <f>VLOOKUP(B75,داتا!$B$3:$D$107,3,FALSE)</f>
        <v>#N/A</v>
      </c>
      <c r="E75" s="15"/>
      <c r="F75" s="15"/>
      <c r="G75" s="16">
        <v>8.3333333333333329E-2</v>
      </c>
      <c r="H75" s="16" t="e">
        <f t="shared" si="16"/>
        <v>#N/A</v>
      </c>
      <c r="I75" s="16" t="e">
        <f t="shared" si="10"/>
        <v>#N/A</v>
      </c>
      <c r="J75" s="16"/>
      <c r="K75" s="16"/>
      <c r="L75" s="16"/>
      <c r="M75" s="16"/>
      <c r="N75" s="16">
        <f t="shared" si="11"/>
        <v>0</v>
      </c>
      <c r="O75" s="16" t="e">
        <f t="shared" si="12"/>
        <v>#N/A</v>
      </c>
      <c r="P75" s="16">
        <v>6.9444444444444397E-3</v>
      </c>
      <c r="Q75" s="16"/>
      <c r="R75" s="16">
        <f t="shared" si="13"/>
        <v>-6.9444444444444397E-3</v>
      </c>
      <c r="S75" s="16"/>
      <c r="T75" s="16" t="e">
        <f>VLOOKUP(E75,'[2]21-3-2026'!E$3:T$35,16,FALSE)</f>
        <v>#N/A</v>
      </c>
      <c r="U75" s="16"/>
      <c r="V75" s="16" t="e">
        <f t="shared" si="14"/>
        <v>#N/A</v>
      </c>
      <c r="W75" s="16"/>
      <c r="X75" s="16"/>
      <c r="Y75" s="16"/>
      <c r="Z75" s="16">
        <f t="shared" si="15"/>
        <v>0</v>
      </c>
      <c r="AA75" s="16">
        <f t="shared" si="9"/>
        <v>0</v>
      </c>
      <c r="AB75" s="16"/>
      <c r="AC75" s="17"/>
      <c r="AD75" s="51"/>
    </row>
    <row r="76" spans="1:30" ht="19.5" thickBot="1" x14ac:dyDescent="0.3">
      <c r="A76" s="14">
        <v>9</v>
      </c>
      <c r="B76" s="15"/>
      <c r="C76" s="15" t="e">
        <f>VLOOKUP(B76,داتا!$B$3:$D$107,2,FALSE)</f>
        <v>#N/A</v>
      </c>
      <c r="D76" s="34" t="e">
        <f>VLOOKUP(B76,داتا!$B$3:$D$107,3,FALSE)</f>
        <v>#N/A</v>
      </c>
      <c r="E76" s="16"/>
      <c r="F76" s="15"/>
      <c r="G76" s="16">
        <v>8.3333333333333329E-2</v>
      </c>
      <c r="H76" s="16" t="e">
        <f t="shared" si="16"/>
        <v>#N/A</v>
      </c>
      <c r="I76" s="16" t="e">
        <f t="shared" si="10"/>
        <v>#N/A</v>
      </c>
      <c r="J76" s="16"/>
      <c r="K76" s="16"/>
      <c r="L76" s="16"/>
      <c r="M76" s="16"/>
      <c r="N76" s="16">
        <f t="shared" si="11"/>
        <v>0</v>
      </c>
      <c r="O76" s="16" t="e">
        <f t="shared" si="12"/>
        <v>#N/A</v>
      </c>
      <c r="P76" s="16">
        <v>6.9444444444444397E-3</v>
      </c>
      <c r="Q76" s="16"/>
      <c r="R76" s="16">
        <f t="shared" si="13"/>
        <v>-6.9444444444444397E-3</v>
      </c>
      <c r="S76" s="16"/>
      <c r="T76" s="16" t="e">
        <f>VLOOKUP(E76,'[2]21-3-2026'!E$3:T$35,16,FALSE)</f>
        <v>#N/A</v>
      </c>
      <c r="U76" s="16"/>
      <c r="V76" s="16" t="e">
        <f t="shared" si="14"/>
        <v>#N/A</v>
      </c>
      <c r="W76" s="16"/>
      <c r="X76" s="16"/>
      <c r="Y76" s="16"/>
      <c r="Z76" s="16">
        <f t="shared" si="15"/>
        <v>0</v>
      </c>
      <c r="AA76" s="16">
        <f t="shared" si="9"/>
        <v>0</v>
      </c>
      <c r="AB76" s="16"/>
      <c r="AC76" s="17"/>
      <c r="AD76" s="51"/>
    </row>
    <row r="77" spans="1:30" ht="19.5" thickBot="1" x14ac:dyDescent="0.3">
      <c r="A77" s="14">
        <v>10</v>
      </c>
      <c r="B77" s="15"/>
      <c r="C77" s="15" t="e">
        <f>VLOOKUP(B77,داتا!$B$3:$D$107,2,FALSE)</f>
        <v>#N/A</v>
      </c>
      <c r="D77" s="34" t="e">
        <f>VLOOKUP(B77,داتا!$B$3:$D$107,3,FALSE)</f>
        <v>#N/A</v>
      </c>
      <c r="E77" s="15"/>
      <c r="F77" s="15"/>
      <c r="G77" s="16">
        <v>8.3333333333333329E-2</v>
      </c>
      <c r="H77" s="16" t="e">
        <f t="shared" si="16"/>
        <v>#N/A</v>
      </c>
      <c r="I77" s="16" t="e">
        <f t="shared" si="10"/>
        <v>#N/A</v>
      </c>
      <c r="J77" s="16"/>
      <c r="K77" s="16"/>
      <c r="L77" s="16"/>
      <c r="M77" s="16"/>
      <c r="N77" s="16">
        <f t="shared" si="11"/>
        <v>0</v>
      </c>
      <c r="O77" s="16" t="e">
        <f t="shared" si="12"/>
        <v>#N/A</v>
      </c>
      <c r="P77" s="16">
        <v>6.9444444444444397E-3</v>
      </c>
      <c r="Q77" s="16"/>
      <c r="R77" s="16">
        <f t="shared" si="13"/>
        <v>-6.9444444444444397E-3</v>
      </c>
      <c r="S77" s="16"/>
      <c r="T77" s="16" t="e">
        <f>VLOOKUP(E77,'[2]21-3-2026'!E$3:T$35,16,FALSE)</f>
        <v>#N/A</v>
      </c>
      <c r="U77" s="16"/>
      <c r="V77" s="16" t="e">
        <f t="shared" si="14"/>
        <v>#N/A</v>
      </c>
      <c r="W77" s="16"/>
      <c r="X77" s="16"/>
      <c r="Y77" s="16"/>
      <c r="Z77" s="16">
        <f t="shared" si="15"/>
        <v>0</v>
      </c>
      <c r="AA77" s="16">
        <f t="shared" si="9"/>
        <v>0</v>
      </c>
      <c r="AB77" s="16"/>
      <c r="AC77" s="17"/>
      <c r="AD77" s="51"/>
    </row>
    <row r="78" spans="1:30" ht="19.5" thickBot="1" x14ac:dyDescent="0.3">
      <c r="A78" s="14">
        <v>11</v>
      </c>
      <c r="B78" s="15"/>
      <c r="C78" s="15" t="e">
        <f>VLOOKUP(B78,داتا!$B$3:$D$107,2,FALSE)</f>
        <v>#N/A</v>
      </c>
      <c r="D78" s="34" t="e">
        <f>VLOOKUP(B78,داتا!$B$3:$D$107,3,FALSE)</f>
        <v>#N/A</v>
      </c>
      <c r="E78" s="15"/>
      <c r="F78" s="15"/>
      <c r="G78" s="16">
        <v>8.3333333333333329E-2</v>
      </c>
      <c r="H78" s="16" t="e">
        <f t="shared" si="16"/>
        <v>#N/A</v>
      </c>
      <c r="I78" s="16" t="e">
        <f t="shared" si="10"/>
        <v>#N/A</v>
      </c>
      <c r="J78" s="16"/>
      <c r="K78" s="16"/>
      <c r="L78" s="16"/>
      <c r="M78" s="16"/>
      <c r="N78" s="16">
        <f t="shared" si="11"/>
        <v>0</v>
      </c>
      <c r="O78" s="16" t="e">
        <f t="shared" si="12"/>
        <v>#N/A</v>
      </c>
      <c r="P78" s="16">
        <v>6.9444444444444397E-3</v>
      </c>
      <c r="Q78" s="16"/>
      <c r="R78" s="16">
        <f t="shared" si="13"/>
        <v>-6.9444444444444397E-3</v>
      </c>
      <c r="S78" s="16"/>
      <c r="T78" s="16" t="e">
        <f>VLOOKUP(E78,'[2]21-3-2026'!E$3:T$35,16,FALSE)</f>
        <v>#N/A</v>
      </c>
      <c r="U78" s="16"/>
      <c r="V78" s="16" t="e">
        <f t="shared" si="14"/>
        <v>#N/A</v>
      </c>
      <c r="W78" s="16"/>
      <c r="X78" s="16"/>
      <c r="Y78" s="16"/>
      <c r="Z78" s="16">
        <f t="shared" si="15"/>
        <v>0</v>
      </c>
      <c r="AA78" s="16">
        <f t="shared" si="9"/>
        <v>0</v>
      </c>
      <c r="AB78" s="16"/>
      <c r="AC78" s="17"/>
      <c r="AD78" s="51"/>
    </row>
    <row r="79" spans="1:30" ht="19.5" thickBot="1" x14ac:dyDescent="0.3">
      <c r="A79" s="14">
        <v>12</v>
      </c>
      <c r="B79" s="15"/>
      <c r="C79" s="15" t="e">
        <f>VLOOKUP(B79,داتا!$B$3:$D$107,2,FALSE)</f>
        <v>#N/A</v>
      </c>
      <c r="D79" s="34" t="e">
        <f>VLOOKUP(B79,داتا!$B$3:$D$107,3,FALSE)</f>
        <v>#N/A</v>
      </c>
      <c r="E79" s="15"/>
      <c r="F79" s="15"/>
      <c r="G79" s="16">
        <v>8.3333333333333329E-2</v>
      </c>
      <c r="H79" s="16" t="e">
        <f t="shared" si="16"/>
        <v>#N/A</v>
      </c>
      <c r="I79" s="16" t="e">
        <f t="shared" si="10"/>
        <v>#N/A</v>
      </c>
      <c r="J79" s="16"/>
      <c r="K79" s="16"/>
      <c r="L79" s="16"/>
      <c r="M79" s="16"/>
      <c r="N79" s="16">
        <f t="shared" si="11"/>
        <v>0</v>
      </c>
      <c r="O79" s="16" t="e">
        <f t="shared" si="12"/>
        <v>#N/A</v>
      </c>
      <c r="P79" s="16">
        <v>6.9444444444444397E-3</v>
      </c>
      <c r="Q79" s="16"/>
      <c r="R79" s="16">
        <f t="shared" si="13"/>
        <v>-6.9444444444444397E-3</v>
      </c>
      <c r="S79" s="16"/>
      <c r="T79" s="16" t="e">
        <f>VLOOKUP(E79,'[2]21-3-2026'!E$3:T$35,16,FALSE)</f>
        <v>#N/A</v>
      </c>
      <c r="U79" s="16"/>
      <c r="V79" s="16" t="e">
        <f t="shared" si="14"/>
        <v>#N/A</v>
      </c>
      <c r="W79" s="16"/>
      <c r="X79" s="16"/>
      <c r="Y79" s="16"/>
      <c r="Z79" s="16">
        <f t="shared" si="15"/>
        <v>0</v>
      </c>
      <c r="AA79" s="16">
        <f t="shared" si="9"/>
        <v>0</v>
      </c>
      <c r="AB79" s="16"/>
      <c r="AC79" s="17"/>
      <c r="AD79" s="51"/>
    </row>
    <row r="80" spans="1:30" ht="19.5" thickBot="1" x14ac:dyDescent="0.3">
      <c r="A80" s="14">
        <v>13</v>
      </c>
      <c r="B80" s="15"/>
      <c r="C80" s="15" t="e">
        <f>VLOOKUP(B80,داتا!$B$3:$D$107,2,FALSE)</f>
        <v>#N/A</v>
      </c>
      <c r="D80" s="34" t="e">
        <f>VLOOKUP(B80,داتا!$B$3:$D$107,3,FALSE)</f>
        <v>#N/A</v>
      </c>
      <c r="E80" s="15"/>
      <c r="F80" s="15"/>
      <c r="G80" s="16">
        <v>8.3333333333333329E-2</v>
      </c>
      <c r="H80" s="16" t="e">
        <f t="shared" si="16"/>
        <v>#N/A</v>
      </c>
      <c r="I80" s="16" t="e">
        <f t="shared" si="10"/>
        <v>#N/A</v>
      </c>
      <c r="J80" s="16"/>
      <c r="K80" s="16"/>
      <c r="L80" s="16"/>
      <c r="M80" s="16"/>
      <c r="N80" s="16">
        <f t="shared" si="11"/>
        <v>0</v>
      </c>
      <c r="O80" s="16" t="e">
        <f t="shared" si="12"/>
        <v>#N/A</v>
      </c>
      <c r="P80" s="16">
        <v>6.9444444444444397E-3</v>
      </c>
      <c r="Q80" s="16"/>
      <c r="R80" s="16">
        <f t="shared" si="13"/>
        <v>-6.9444444444444397E-3</v>
      </c>
      <c r="S80" s="16"/>
      <c r="T80" s="16" t="e">
        <f>VLOOKUP(E80,'[2]21-3-2026'!E$3:T$35,16,FALSE)</f>
        <v>#N/A</v>
      </c>
      <c r="U80" s="16"/>
      <c r="V80" s="16" t="e">
        <f t="shared" si="14"/>
        <v>#N/A</v>
      </c>
      <c r="W80" s="16"/>
      <c r="X80" s="16"/>
      <c r="Y80" s="16"/>
      <c r="Z80" s="16">
        <f t="shared" si="15"/>
        <v>0</v>
      </c>
      <c r="AA80" s="16">
        <f t="shared" si="9"/>
        <v>0</v>
      </c>
      <c r="AB80" s="16"/>
      <c r="AC80" s="17"/>
      <c r="AD80" s="51"/>
    </row>
    <row r="81" spans="1:30" ht="19.5" thickBot="1" x14ac:dyDescent="0.3">
      <c r="A81" s="14">
        <v>14</v>
      </c>
      <c r="B81" s="15"/>
      <c r="C81" s="15" t="e">
        <f>VLOOKUP(B81,داتا!$B$3:$D$107,2,FALSE)</f>
        <v>#N/A</v>
      </c>
      <c r="D81" s="34" t="e">
        <f>VLOOKUP(B81,داتا!$B$3:$D$107,3,FALSE)</f>
        <v>#N/A</v>
      </c>
      <c r="E81" s="15"/>
      <c r="F81" s="15"/>
      <c r="G81" s="16">
        <v>8.3333333333333329E-2</v>
      </c>
      <c r="H81" s="16" t="e">
        <f t="shared" si="16"/>
        <v>#N/A</v>
      </c>
      <c r="I81" s="16" t="e">
        <f t="shared" si="10"/>
        <v>#N/A</v>
      </c>
      <c r="J81" s="16"/>
      <c r="K81" s="16"/>
      <c r="L81" s="16"/>
      <c r="M81" s="16"/>
      <c r="N81" s="16">
        <f t="shared" si="11"/>
        <v>0</v>
      </c>
      <c r="O81" s="16" t="e">
        <f t="shared" si="12"/>
        <v>#N/A</v>
      </c>
      <c r="P81" s="16">
        <v>6.9444444444444397E-3</v>
      </c>
      <c r="Q81" s="16"/>
      <c r="R81" s="16">
        <f t="shared" si="13"/>
        <v>-6.9444444444444397E-3</v>
      </c>
      <c r="S81" s="16"/>
      <c r="T81" s="16" t="e">
        <f>VLOOKUP(E81,'[2]21-3-2026'!E$3:T$35,16,FALSE)</f>
        <v>#N/A</v>
      </c>
      <c r="U81" s="16"/>
      <c r="V81" s="16" t="e">
        <f t="shared" si="14"/>
        <v>#N/A</v>
      </c>
      <c r="W81" s="16"/>
      <c r="X81" s="16"/>
      <c r="Y81" s="16"/>
      <c r="Z81" s="16">
        <f t="shared" si="15"/>
        <v>0</v>
      </c>
      <c r="AA81" s="16">
        <f t="shared" si="9"/>
        <v>0</v>
      </c>
      <c r="AB81" s="16"/>
      <c r="AC81" s="17"/>
      <c r="AD81" s="51"/>
    </row>
    <row r="82" spans="1:30" ht="19.5" thickBot="1" x14ac:dyDescent="0.3">
      <c r="A82" s="14">
        <v>15</v>
      </c>
      <c r="B82" s="15"/>
      <c r="C82" s="15" t="e">
        <f>VLOOKUP(B82,داتا!$B$3:$D$107,2,FALSE)</f>
        <v>#N/A</v>
      </c>
      <c r="D82" s="34" t="e">
        <f>VLOOKUP(B82,داتا!$B$3:$D$107,3,FALSE)</f>
        <v>#N/A</v>
      </c>
      <c r="E82" s="15"/>
      <c r="F82" s="15"/>
      <c r="G82" s="16">
        <v>8.3333333333333329E-2</v>
      </c>
      <c r="H82" s="16" t="e">
        <f t="shared" si="16"/>
        <v>#N/A</v>
      </c>
      <c r="I82" s="16" t="e">
        <f t="shared" si="10"/>
        <v>#N/A</v>
      </c>
      <c r="J82" s="16"/>
      <c r="K82" s="16"/>
      <c r="L82" s="16"/>
      <c r="M82" s="16"/>
      <c r="N82" s="16">
        <f t="shared" si="11"/>
        <v>0</v>
      </c>
      <c r="O82" s="16" t="e">
        <f t="shared" si="12"/>
        <v>#N/A</v>
      </c>
      <c r="P82" s="16">
        <v>6.9444444444444397E-3</v>
      </c>
      <c r="Q82" s="16"/>
      <c r="R82" s="16">
        <f t="shared" si="13"/>
        <v>-6.9444444444444397E-3</v>
      </c>
      <c r="S82" s="16"/>
      <c r="T82" s="16" t="e">
        <f>VLOOKUP(E82,'[2]21-3-2026'!E$3:T$35,16,FALSE)</f>
        <v>#N/A</v>
      </c>
      <c r="U82" s="16"/>
      <c r="V82" s="16" t="e">
        <f t="shared" si="14"/>
        <v>#N/A</v>
      </c>
      <c r="W82" s="16"/>
      <c r="X82" s="16"/>
      <c r="Y82" s="16"/>
      <c r="Z82" s="16">
        <f t="shared" si="15"/>
        <v>0</v>
      </c>
      <c r="AA82" s="16">
        <f t="shared" si="9"/>
        <v>0</v>
      </c>
      <c r="AB82" s="16"/>
      <c r="AC82" s="17"/>
      <c r="AD82" s="51"/>
    </row>
    <row r="83" spans="1:30" ht="19.5" thickBot="1" x14ac:dyDescent="0.3">
      <c r="A83" s="14">
        <v>16</v>
      </c>
      <c r="B83" s="15"/>
      <c r="C83" s="15" t="e">
        <f>VLOOKUP(B83,داتا!$B$3:$D$107,2,FALSE)</f>
        <v>#N/A</v>
      </c>
      <c r="D83" s="34" t="e">
        <f>VLOOKUP(B83,داتا!$B$3:$D$107,3,FALSE)</f>
        <v>#N/A</v>
      </c>
      <c r="E83" s="15"/>
      <c r="F83" s="15"/>
      <c r="G83" s="16">
        <v>8.3333333333333329E-2</v>
      </c>
      <c r="H83" s="16" t="e">
        <f t="shared" si="16"/>
        <v>#N/A</v>
      </c>
      <c r="I83" s="16" t="e">
        <f t="shared" si="10"/>
        <v>#N/A</v>
      </c>
      <c r="J83" s="16"/>
      <c r="K83" s="16"/>
      <c r="L83" s="16"/>
      <c r="M83" s="16"/>
      <c r="N83" s="16">
        <f t="shared" si="11"/>
        <v>0</v>
      </c>
      <c r="O83" s="16" t="e">
        <f t="shared" si="12"/>
        <v>#N/A</v>
      </c>
      <c r="P83" s="16">
        <v>6.9444444444444397E-3</v>
      </c>
      <c r="Q83" s="16"/>
      <c r="R83" s="16">
        <f t="shared" si="13"/>
        <v>-6.9444444444444397E-3</v>
      </c>
      <c r="S83" s="16"/>
      <c r="T83" s="16" t="e">
        <f>VLOOKUP(E83,'[2]21-3-2026'!E$3:T$35,16,FALSE)</f>
        <v>#N/A</v>
      </c>
      <c r="U83" s="16"/>
      <c r="V83" s="16" t="e">
        <f t="shared" si="14"/>
        <v>#N/A</v>
      </c>
      <c r="W83" s="16"/>
      <c r="X83" s="16"/>
      <c r="Y83" s="16"/>
      <c r="Z83" s="16">
        <f t="shared" si="15"/>
        <v>0</v>
      </c>
      <c r="AA83" s="16">
        <f t="shared" si="9"/>
        <v>0</v>
      </c>
      <c r="AB83" s="16"/>
      <c r="AC83" s="17"/>
      <c r="AD83" s="51"/>
    </row>
    <row r="84" spans="1:30" ht="19.5" thickBot="1" x14ac:dyDescent="0.3">
      <c r="A84" s="14">
        <v>17</v>
      </c>
      <c r="B84" s="15"/>
      <c r="C84" s="15" t="e">
        <f>VLOOKUP(B84,داتا!$B$3:$D$107,2,FALSE)</f>
        <v>#N/A</v>
      </c>
      <c r="D84" s="34" t="e">
        <f>VLOOKUP(B84,داتا!$B$3:$D$107,3,FALSE)</f>
        <v>#N/A</v>
      </c>
      <c r="E84" s="15"/>
      <c r="F84" s="15"/>
      <c r="G84" s="16">
        <v>8.3333333333333329E-2</v>
      </c>
      <c r="H84" s="16" t="e">
        <f t="shared" si="16"/>
        <v>#N/A</v>
      </c>
      <c r="I84" s="16" t="e">
        <f t="shared" si="10"/>
        <v>#N/A</v>
      </c>
      <c r="J84" s="16"/>
      <c r="K84" s="16"/>
      <c r="L84" s="16"/>
      <c r="M84" s="16"/>
      <c r="N84" s="16">
        <f t="shared" si="11"/>
        <v>0</v>
      </c>
      <c r="O84" s="16" t="e">
        <f t="shared" si="12"/>
        <v>#N/A</v>
      </c>
      <c r="P84" s="16">
        <v>6.9444444444444397E-3</v>
      </c>
      <c r="Q84" s="16"/>
      <c r="R84" s="16">
        <f t="shared" si="13"/>
        <v>-6.9444444444444397E-3</v>
      </c>
      <c r="S84" s="16"/>
      <c r="T84" s="16" t="e">
        <f>VLOOKUP(E84,'[2]21-3-2026'!E$3:T$35,16,FALSE)</f>
        <v>#N/A</v>
      </c>
      <c r="U84" s="16"/>
      <c r="V84" s="16" t="e">
        <f t="shared" si="14"/>
        <v>#N/A</v>
      </c>
      <c r="W84" s="16"/>
      <c r="X84" s="16"/>
      <c r="Y84" s="16"/>
      <c r="Z84" s="16">
        <f t="shared" si="15"/>
        <v>0</v>
      </c>
      <c r="AA84" s="16">
        <f t="shared" si="9"/>
        <v>0</v>
      </c>
      <c r="AB84" s="16"/>
      <c r="AC84" s="17"/>
      <c r="AD84" s="51"/>
    </row>
    <row r="85" spans="1:30" ht="19.5" thickBot="1" x14ac:dyDescent="0.3">
      <c r="A85" s="14">
        <v>18</v>
      </c>
      <c r="B85" s="15"/>
      <c r="C85" s="15" t="e">
        <f>VLOOKUP(B85,داتا!$B$3:$D$107,2,FALSE)</f>
        <v>#N/A</v>
      </c>
      <c r="D85" s="34" t="e">
        <f>VLOOKUP(B85,داتا!$B$3:$D$107,3,FALSE)</f>
        <v>#N/A</v>
      </c>
      <c r="E85" s="15"/>
      <c r="F85" s="15"/>
      <c r="G85" s="16">
        <v>8.3333333333333329E-2</v>
      </c>
      <c r="H85" s="16" t="e">
        <f t="shared" ref="H85:H99" si="17">VLOOKUP(G85,$F$3:$I$35,2,FALSE)</f>
        <v>#N/A</v>
      </c>
      <c r="I85" s="16" t="e">
        <f t="shared" si="10"/>
        <v>#N/A</v>
      </c>
      <c r="J85" s="16"/>
      <c r="K85" s="16"/>
      <c r="L85" s="16"/>
      <c r="M85" s="16"/>
      <c r="N85" s="16">
        <f t="shared" si="11"/>
        <v>0</v>
      </c>
      <c r="O85" s="16" t="e">
        <f t="shared" si="12"/>
        <v>#N/A</v>
      </c>
      <c r="P85" s="16">
        <v>6.9444444444444397E-3</v>
      </c>
      <c r="Q85" s="16"/>
      <c r="R85" s="16">
        <f t="shared" si="13"/>
        <v>-6.9444444444444397E-3</v>
      </c>
      <c r="S85" s="16"/>
      <c r="T85" s="16" t="e">
        <f>VLOOKUP(E85,'[2]21-3-2026'!E$3:T$35,16,FALSE)</f>
        <v>#N/A</v>
      </c>
      <c r="U85" s="16"/>
      <c r="V85" s="16" t="e">
        <f t="shared" si="14"/>
        <v>#N/A</v>
      </c>
      <c r="W85" s="16"/>
      <c r="X85" s="16"/>
      <c r="Y85" s="16"/>
      <c r="Z85" s="16">
        <f t="shared" si="15"/>
        <v>0</v>
      </c>
      <c r="AA85" s="16">
        <f t="shared" si="9"/>
        <v>0</v>
      </c>
      <c r="AB85" s="16"/>
      <c r="AC85" s="17"/>
      <c r="AD85" s="51"/>
    </row>
    <row r="86" spans="1:30" ht="19.5" thickBot="1" x14ac:dyDescent="0.3">
      <c r="A86" s="14">
        <v>19</v>
      </c>
      <c r="B86" s="15"/>
      <c r="C86" s="15" t="e">
        <f>VLOOKUP(B86,داتا!$B$3:$D$107,2,FALSE)</f>
        <v>#N/A</v>
      </c>
      <c r="D86" s="34" t="e">
        <f>VLOOKUP(B86,داتا!$B$3:$D$107,3,FALSE)</f>
        <v>#N/A</v>
      </c>
      <c r="E86" s="15"/>
      <c r="F86" s="15"/>
      <c r="G86" s="16">
        <v>8.3333333333333329E-2</v>
      </c>
      <c r="H86" s="16" t="e">
        <f t="shared" si="17"/>
        <v>#N/A</v>
      </c>
      <c r="I86" s="16" t="e">
        <f t="shared" si="10"/>
        <v>#N/A</v>
      </c>
      <c r="J86" s="16"/>
      <c r="K86" s="16"/>
      <c r="L86" s="16"/>
      <c r="M86" s="16"/>
      <c r="N86" s="16">
        <f t="shared" si="11"/>
        <v>0</v>
      </c>
      <c r="O86" s="16" t="e">
        <f t="shared" si="12"/>
        <v>#N/A</v>
      </c>
      <c r="P86" s="16">
        <v>6.9444444444444397E-3</v>
      </c>
      <c r="Q86" s="16"/>
      <c r="R86" s="16">
        <f t="shared" si="13"/>
        <v>-6.9444444444444397E-3</v>
      </c>
      <c r="S86" s="16"/>
      <c r="T86" s="16" t="e">
        <f>VLOOKUP(E86,'[2]21-3-2026'!E$3:T$35,16,FALSE)</f>
        <v>#N/A</v>
      </c>
      <c r="U86" s="16"/>
      <c r="V86" s="16" t="e">
        <f t="shared" si="14"/>
        <v>#N/A</v>
      </c>
      <c r="W86" s="16"/>
      <c r="X86" s="16"/>
      <c r="Y86" s="16"/>
      <c r="Z86" s="16">
        <f t="shared" si="15"/>
        <v>0</v>
      </c>
      <c r="AA86" s="16">
        <f t="shared" si="9"/>
        <v>0</v>
      </c>
      <c r="AB86" s="16"/>
      <c r="AC86" s="17"/>
      <c r="AD86" s="51"/>
    </row>
    <row r="87" spans="1:30" ht="19.5" thickBot="1" x14ac:dyDescent="0.3">
      <c r="A87" s="14">
        <v>20</v>
      </c>
      <c r="B87" s="15"/>
      <c r="C87" s="15" t="e">
        <f>VLOOKUP(B87,داتا!$B$3:$D$107,2,FALSE)</f>
        <v>#N/A</v>
      </c>
      <c r="D87" s="34" t="e">
        <f>VLOOKUP(B87,داتا!$B$3:$D$107,3,FALSE)</f>
        <v>#N/A</v>
      </c>
      <c r="E87" s="15"/>
      <c r="F87" s="15"/>
      <c r="G87" s="16">
        <v>8.3333333333333329E-2</v>
      </c>
      <c r="H87" s="16" t="e">
        <f t="shared" si="17"/>
        <v>#N/A</v>
      </c>
      <c r="I87" s="16" t="e">
        <f t="shared" si="10"/>
        <v>#N/A</v>
      </c>
      <c r="J87" s="16"/>
      <c r="K87" s="16"/>
      <c r="L87" s="16"/>
      <c r="M87" s="16"/>
      <c r="N87" s="16">
        <f t="shared" si="11"/>
        <v>0</v>
      </c>
      <c r="O87" s="16" t="e">
        <f t="shared" si="12"/>
        <v>#N/A</v>
      </c>
      <c r="P87" s="16">
        <v>6.9444444444444397E-3</v>
      </c>
      <c r="Q87" s="16"/>
      <c r="R87" s="16">
        <f t="shared" si="13"/>
        <v>-6.9444444444444397E-3</v>
      </c>
      <c r="S87" s="16"/>
      <c r="T87" s="16" t="e">
        <f>VLOOKUP(E87,'[2]21-3-2026'!E$3:T$35,16,FALSE)</f>
        <v>#N/A</v>
      </c>
      <c r="U87" s="16"/>
      <c r="V87" s="16" t="e">
        <f t="shared" si="14"/>
        <v>#N/A</v>
      </c>
      <c r="W87" s="16"/>
      <c r="X87" s="16"/>
      <c r="Y87" s="16"/>
      <c r="Z87" s="16">
        <f t="shared" si="15"/>
        <v>0</v>
      </c>
      <c r="AA87" s="16">
        <f t="shared" si="9"/>
        <v>0</v>
      </c>
      <c r="AB87" s="16"/>
      <c r="AC87" s="17"/>
      <c r="AD87" s="51"/>
    </row>
    <row r="88" spans="1:30" ht="19.5" thickBot="1" x14ac:dyDescent="0.3">
      <c r="A88" s="14">
        <v>21</v>
      </c>
      <c r="B88" s="15"/>
      <c r="C88" s="15" t="e">
        <f>VLOOKUP(B88,داتا!$B$3:$D$107,2,FALSE)</f>
        <v>#N/A</v>
      </c>
      <c r="D88" s="34" t="e">
        <f>VLOOKUP(B88,داتا!$B$3:$D$107,3,FALSE)</f>
        <v>#N/A</v>
      </c>
      <c r="E88" s="15"/>
      <c r="F88" s="15"/>
      <c r="G88" s="16">
        <v>8.3333333333333329E-2</v>
      </c>
      <c r="H88" s="16" t="e">
        <f t="shared" si="17"/>
        <v>#N/A</v>
      </c>
      <c r="I88" s="16" t="e">
        <f t="shared" si="10"/>
        <v>#N/A</v>
      </c>
      <c r="J88" s="16"/>
      <c r="K88" s="16"/>
      <c r="L88" s="16"/>
      <c r="M88" s="16"/>
      <c r="N88" s="16">
        <f t="shared" si="11"/>
        <v>0</v>
      </c>
      <c r="O88" s="16" t="e">
        <f t="shared" si="12"/>
        <v>#N/A</v>
      </c>
      <c r="P88" s="16">
        <v>6.9444444444444397E-3</v>
      </c>
      <c r="Q88" s="16"/>
      <c r="R88" s="16">
        <f t="shared" si="13"/>
        <v>-6.9444444444444397E-3</v>
      </c>
      <c r="S88" s="16"/>
      <c r="T88" s="16" t="e">
        <f>VLOOKUP(E88,'[2]21-3-2026'!E$3:T$35,16,FALSE)</f>
        <v>#N/A</v>
      </c>
      <c r="U88" s="16"/>
      <c r="V88" s="16" t="e">
        <f t="shared" si="14"/>
        <v>#N/A</v>
      </c>
      <c r="W88" s="16"/>
      <c r="X88" s="16"/>
      <c r="Y88" s="16"/>
      <c r="Z88" s="16">
        <f t="shared" si="15"/>
        <v>0</v>
      </c>
      <c r="AA88" s="16">
        <f t="shared" si="9"/>
        <v>0</v>
      </c>
      <c r="AB88" s="16"/>
      <c r="AC88" s="19"/>
      <c r="AD88" s="51"/>
    </row>
    <row r="89" spans="1:30" ht="19.5" thickBot="1" x14ac:dyDescent="0.3">
      <c r="A89" s="14">
        <v>22</v>
      </c>
      <c r="B89" s="15"/>
      <c r="C89" s="15" t="e">
        <f>VLOOKUP(B89,داتا!$B$3:$D$107,2,FALSE)</f>
        <v>#N/A</v>
      </c>
      <c r="D89" s="34" t="e">
        <f>VLOOKUP(B89,داتا!$B$3:$D$107,3,FALSE)</f>
        <v>#N/A</v>
      </c>
      <c r="E89" s="15"/>
      <c r="F89" s="15"/>
      <c r="G89" s="16">
        <v>8.3333333333333329E-2</v>
      </c>
      <c r="H89" s="16" t="e">
        <f t="shared" si="17"/>
        <v>#N/A</v>
      </c>
      <c r="I89" s="16" t="e">
        <f t="shared" si="10"/>
        <v>#N/A</v>
      </c>
      <c r="J89" s="16"/>
      <c r="K89" s="16"/>
      <c r="L89" s="16"/>
      <c r="M89" s="16"/>
      <c r="N89" s="16">
        <f t="shared" si="11"/>
        <v>0</v>
      </c>
      <c r="O89" s="16" t="e">
        <f t="shared" si="12"/>
        <v>#N/A</v>
      </c>
      <c r="P89" s="16">
        <v>6.9444444444444397E-3</v>
      </c>
      <c r="Q89" s="16"/>
      <c r="R89" s="16">
        <f t="shared" si="13"/>
        <v>-6.9444444444444397E-3</v>
      </c>
      <c r="S89" s="16"/>
      <c r="T89" s="16" t="e">
        <f>VLOOKUP(E89,'[2]21-3-2026'!E$3:T$35,16,FALSE)</f>
        <v>#N/A</v>
      </c>
      <c r="U89" s="16"/>
      <c r="V89" s="16" t="e">
        <f t="shared" si="14"/>
        <v>#N/A</v>
      </c>
      <c r="W89" s="16"/>
      <c r="X89" s="16"/>
      <c r="Y89" s="16"/>
      <c r="Z89" s="16">
        <f t="shared" si="15"/>
        <v>0</v>
      </c>
      <c r="AA89" s="16">
        <f t="shared" si="9"/>
        <v>0</v>
      </c>
      <c r="AB89" s="16"/>
      <c r="AC89" s="19"/>
      <c r="AD89" s="51"/>
    </row>
    <row r="90" spans="1:30" ht="19.5" thickBot="1" x14ac:dyDescent="0.3">
      <c r="A90" s="14">
        <v>23</v>
      </c>
      <c r="B90" s="15"/>
      <c r="C90" s="15" t="e">
        <f>VLOOKUP(B90,داتا!$B$3:$D$107,2,FALSE)</f>
        <v>#N/A</v>
      </c>
      <c r="D90" s="34" t="e">
        <f>VLOOKUP(B90,داتا!$B$3:$D$107,3,FALSE)</f>
        <v>#N/A</v>
      </c>
      <c r="E90" s="15"/>
      <c r="F90" s="15"/>
      <c r="G90" s="16">
        <v>8.3333333333333329E-2</v>
      </c>
      <c r="H90" s="16" t="e">
        <f t="shared" si="17"/>
        <v>#N/A</v>
      </c>
      <c r="I90" s="16" t="e">
        <f t="shared" si="10"/>
        <v>#N/A</v>
      </c>
      <c r="J90" s="16"/>
      <c r="K90" s="16"/>
      <c r="L90" s="16"/>
      <c r="M90" s="16"/>
      <c r="N90" s="16">
        <f t="shared" si="11"/>
        <v>0</v>
      </c>
      <c r="O90" s="16" t="e">
        <f t="shared" si="12"/>
        <v>#N/A</v>
      </c>
      <c r="P90" s="16">
        <v>6.9444444444444397E-3</v>
      </c>
      <c r="Q90" s="16"/>
      <c r="R90" s="16">
        <f t="shared" si="13"/>
        <v>-6.9444444444444397E-3</v>
      </c>
      <c r="S90" s="16"/>
      <c r="T90" s="16" t="e">
        <f>VLOOKUP(E90,'[2]21-3-2026'!E$3:T$35,16,FALSE)</f>
        <v>#N/A</v>
      </c>
      <c r="U90" s="16"/>
      <c r="V90" s="16" t="e">
        <f t="shared" si="14"/>
        <v>#N/A</v>
      </c>
      <c r="W90" s="16"/>
      <c r="X90" s="16"/>
      <c r="Y90" s="16"/>
      <c r="Z90" s="16">
        <f t="shared" si="15"/>
        <v>0</v>
      </c>
      <c r="AA90" s="16">
        <f t="shared" si="9"/>
        <v>0</v>
      </c>
      <c r="AB90" s="16"/>
      <c r="AC90" s="19"/>
      <c r="AD90" s="51"/>
    </row>
    <row r="91" spans="1:30" ht="19.5" thickBot="1" x14ac:dyDescent="0.3">
      <c r="A91" s="14">
        <v>24</v>
      </c>
      <c r="B91" s="15"/>
      <c r="C91" s="15" t="e">
        <f>VLOOKUP(B91,داتا!$B$3:$D$107,2,FALSE)</f>
        <v>#N/A</v>
      </c>
      <c r="D91" s="34" t="e">
        <f>VLOOKUP(B91,داتا!$B$3:$D$107,3,FALSE)</f>
        <v>#N/A</v>
      </c>
      <c r="E91" s="15"/>
      <c r="F91" s="15"/>
      <c r="G91" s="16">
        <v>8.3333333333333329E-2</v>
      </c>
      <c r="H91" s="16" t="e">
        <f t="shared" si="17"/>
        <v>#N/A</v>
      </c>
      <c r="I91" s="16" t="e">
        <f t="shared" si="10"/>
        <v>#N/A</v>
      </c>
      <c r="J91" s="16"/>
      <c r="K91" s="16"/>
      <c r="L91" s="16"/>
      <c r="M91" s="16"/>
      <c r="N91" s="16">
        <f t="shared" si="11"/>
        <v>0</v>
      </c>
      <c r="O91" s="16" t="e">
        <f t="shared" si="12"/>
        <v>#N/A</v>
      </c>
      <c r="P91" s="16">
        <v>6.9444444444444397E-3</v>
      </c>
      <c r="Q91" s="16"/>
      <c r="R91" s="16">
        <f t="shared" si="13"/>
        <v>-6.9444444444444397E-3</v>
      </c>
      <c r="S91" s="16"/>
      <c r="T91" s="16" t="e">
        <f>VLOOKUP(E91,'[2]21-3-2026'!E$3:T$35,16,FALSE)</f>
        <v>#N/A</v>
      </c>
      <c r="U91" s="16"/>
      <c r="V91" s="16" t="e">
        <f t="shared" si="14"/>
        <v>#N/A</v>
      </c>
      <c r="W91" s="16"/>
      <c r="X91" s="16"/>
      <c r="Y91" s="16"/>
      <c r="Z91" s="16">
        <f t="shared" si="15"/>
        <v>0</v>
      </c>
      <c r="AA91" s="16">
        <f t="shared" si="9"/>
        <v>0</v>
      </c>
      <c r="AB91" s="16"/>
      <c r="AC91" s="19"/>
      <c r="AD91" s="51"/>
    </row>
    <row r="92" spans="1:30" ht="19.5" thickBot="1" x14ac:dyDescent="0.3">
      <c r="A92" s="14">
        <v>25</v>
      </c>
      <c r="B92" s="15"/>
      <c r="C92" s="15" t="e">
        <f>VLOOKUP(B92,داتا!$B$3:$D$107,2,FALSE)</f>
        <v>#N/A</v>
      </c>
      <c r="D92" s="34" t="e">
        <f>VLOOKUP(B92,داتا!$B$3:$D$107,3,FALSE)</f>
        <v>#N/A</v>
      </c>
      <c r="E92" s="15"/>
      <c r="F92" s="15"/>
      <c r="G92" s="16">
        <v>8.3333333333333329E-2</v>
      </c>
      <c r="H92" s="16" t="e">
        <f t="shared" si="17"/>
        <v>#N/A</v>
      </c>
      <c r="I92" s="16" t="e">
        <f t="shared" si="10"/>
        <v>#N/A</v>
      </c>
      <c r="J92" s="16"/>
      <c r="K92" s="16"/>
      <c r="L92" s="16"/>
      <c r="M92" s="16"/>
      <c r="N92" s="16">
        <f t="shared" si="11"/>
        <v>0</v>
      </c>
      <c r="O92" s="16" t="e">
        <f t="shared" si="12"/>
        <v>#N/A</v>
      </c>
      <c r="P92" s="16">
        <v>6.9444444444444397E-3</v>
      </c>
      <c r="Q92" s="16"/>
      <c r="R92" s="16">
        <f t="shared" si="13"/>
        <v>-6.9444444444444397E-3</v>
      </c>
      <c r="S92" s="16"/>
      <c r="T92" s="16" t="e">
        <f>VLOOKUP(E92,'[2]21-3-2026'!E$3:T$35,16,FALSE)</f>
        <v>#N/A</v>
      </c>
      <c r="U92" s="16"/>
      <c r="V92" s="16" t="e">
        <f t="shared" si="14"/>
        <v>#N/A</v>
      </c>
      <c r="W92" s="16"/>
      <c r="X92" s="16"/>
      <c r="Y92" s="16"/>
      <c r="Z92" s="16">
        <f t="shared" si="15"/>
        <v>0</v>
      </c>
      <c r="AA92" s="16">
        <f t="shared" si="9"/>
        <v>0</v>
      </c>
      <c r="AB92" s="16"/>
      <c r="AC92" s="19"/>
      <c r="AD92" s="51"/>
    </row>
    <row r="93" spans="1:30" ht="19.5" thickBot="1" x14ac:dyDescent="0.3">
      <c r="A93" s="14">
        <v>26</v>
      </c>
      <c r="B93" s="15"/>
      <c r="C93" s="15" t="e">
        <f>VLOOKUP(B93,داتا!$B$3:$D$107,2,FALSE)</f>
        <v>#N/A</v>
      </c>
      <c r="D93" s="34" t="e">
        <f>VLOOKUP(B93,داتا!$B$3:$D$107,3,FALSE)</f>
        <v>#N/A</v>
      </c>
      <c r="E93" s="15"/>
      <c r="F93" s="15"/>
      <c r="G93" s="16">
        <v>8.3333333333333329E-2</v>
      </c>
      <c r="H93" s="16" t="e">
        <f t="shared" si="17"/>
        <v>#N/A</v>
      </c>
      <c r="I93" s="16" t="e">
        <f t="shared" si="10"/>
        <v>#N/A</v>
      </c>
      <c r="J93" s="16"/>
      <c r="K93" s="16"/>
      <c r="L93" s="16"/>
      <c r="M93" s="16"/>
      <c r="N93" s="16">
        <f t="shared" si="11"/>
        <v>0</v>
      </c>
      <c r="O93" s="16" t="e">
        <f t="shared" si="12"/>
        <v>#N/A</v>
      </c>
      <c r="P93" s="16">
        <v>6.9444444444444397E-3</v>
      </c>
      <c r="Q93" s="16"/>
      <c r="R93" s="16">
        <f t="shared" si="13"/>
        <v>-6.9444444444444397E-3</v>
      </c>
      <c r="S93" s="16"/>
      <c r="T93" s="16" t="e">
        <f>VLOOKUP(E93,'[2]21-3-2026'!E$3:T$35,16,FALSE)</f>
        <v>#N/A</v>
      </c>
      <c r="U93" s="16"/>
      <c r="V93" s="16" t="e">
        <f t="shared" si="14"/>
        <v>#N/A</v>
      </c>
      <c r="W93" s="16"/>
      <c r="X93" s="16"/>
      <c r="Y93" s="16"/>
      <c r="Z93" s="16">
        <f t="shared" si="15"/>
        <v>0</v>
      </c>
      <c r="AA93" s="16">
        <f t="shared" si="9"/>
        <v>0</v>
      </c>
      <c r="AB93" s="16"/>
      <c r="AC93" s="19"/>
      <c r="AD93" s="51"/>
    </row>
    <row r="94" spans="1:30" ht="19.5" thickBot="1" x14ac:dyDescent="0.3">
      <c r="A94" s="14">
        <v>27</v>
      </c>
      <c r="B94" s="15"/>
      <c r="C94" s="15" t="e">
        <f>VLOOKUP(B94,داتا!$B$3:$D$107,2,FALSE)</f>
        <v>#N/A</v>
      </c>
      <c r="D94" s="34" t="e">
        <f>VLOOKUP(B94,داتا!$B$3:$D$107,3,FALSE)</f>
        <v>#N/A</v>
      </c>
      <c r="E94" s="15"/>
      <c r="F94" s="15"/>
      <c r="G94" s="16">
        <v>8.3333333333333329E-2</v>
      </c>
      <c r="H94" s="16" t="e">
        <f t="shared" si="17"/>
        <v>#N/A</v>
      </c>
      <c r="I94" s="16" t="e">
        <f t="shared" si="10"/>
        <v>#N/A</v>
      </c>
      <c r="J94" s="16"/>
      <c r="K94" s="16"/>
      <c r="L94" s="16"/>
      <c r="M94" s="16"/>
      <c r="N94" s="16">
        <f t="shared" si="11"/>
        <v>0</v>
      </c>
      <c r="O94" s="16" t="e">
        <f t="shared" si="12"/>
        <v>#N/A</v>
      </c>
      <c r="P94" s="16">
        <v>6.9444444444444397E-3</v>
      </c>
      <c r="Q94" s="16"/>
      <c r="R94" s="16">
        <f t="shared" si="13"/>
        <v>-6.9444444444444397E-3</v>
      </c>
      <c r="S94" s="16"/>
      <c r="T94" s="16" t="e">
        <f>VLOOKUP(E94,'[2]21-3-2026'!E$3:T$35,16,FALSE)</f>
        <v>#N/A</v>
      </c>
      <c r="U94" s="16"/>
      <c r="V94" s="16" t="e">
        <f t="shared" si="14"/>
        <v>#N/A</v>
      </c>
      <c r="W94" s="16"/>
      <c r="X94" s="16"/>
      <c r="Y94" s="16"/>
      <c r="Z94" s="16">
        <f t="shared" si="15"/>
        <v>0</v>
      </c>
      <c r="AA94" s="16">
        <f t="shared" si="9"/>
        <v>0</v>
      </c>
      <c r="AB94" s="16"/>
      <c r="AC94" s="19"/>
      <c r="AD94" s="51"/>
    </row>
    <row r="95" spans="1:30" ht="19.5" thickBot="1" x14ac:dyDescent="0.3">
      <c r="A95" s="14">
        <v>28</v>
      </c>
      <c r="B95" s="15"/>
      <c r="C95" s="15" t="e">
        <f>VLOOKUP(B95,داتا!$B$3:$D$107,2,FALSE)</f>
        <v>#N/A</v>
      </c>
      <c r="D95" s="34" t="e">
        <f>VLOOKUP(B95,داتا!$B$3:$D$107,3,FALSE)</f>
        <v>#N/A</v>
      </c>
      <c r="E95" s="15"/>
      <c r="F95" s="16"/>
      <c r="G95" s="16">
        <v>8.3333333333333329E-2</v>
      </c>
      <c r="H95" s="16" t="e">
        <f t="shared" si="17"/>
        <v>#N/A</v>
      </c>
      <c r="I95" s="16" t="e">
        <f t="shared" si="10"/>
        <v>#N/A</v>
      </c>
      <c r="J95" s="16"/>
      <c r="K95" s="16"/>
      <c r="L95" s="16"/>
      <c r="M95" s="16"/>
      <c r="N95" s="16">
        <f t="shared" si="11"/>
        <v>0</v>
      </c>
      <c r="O95" s="16" t="e">
        <f t="shared" si="12"/>
        <v>#N/A</v>
      </c>
      <c r="P95" s="16">
        <v>6.9444444444444397E-3</v>
      </c>
      <c r="Q95" s="16"/>
      <c r="R95" s="16">
        <f t="shared" si="13"/>
        <v>-6.9444444444444397E-3</v>
      </c>
      <c r="S95" s="16"/>
      <c r="T95" s="16" t="e">
        <f>VLOOKUP(E95,'[2]21-3-2026'!E$3:T$35,16,FALSE)</f>
        <v>#N/A</v>
      </c>
      <c r="U95" s="16"/>
      <c r="V95" s="16" t="e">
        <f t="shared" si="14"/>
        <v>#N/A</v>
      </c>
      <c r="W95" s="16"/>
      <c r="X95" s="16"/>
      <c r="Y95" s="16"/>
      <c r="Z95" s="16">
        <f t="shared" si="15"/>
        <v>0</v>
      </c>
      <c r="AA95" s="16">
        <f t="shared" si="9"/>
        <v>0</v>
      </c>
      <c r="AB95" s="16"/>
      <c r="AC95" s="19"/>
      <c r="AD95" s="51"/>
    </row>
    <row r="96" spans="1:30" ht="19.5" thickBot="1" x14ac:dyDescent="0.3">
      <c r="A96" s="14">
        <v>29</v>
      </c>
      <c r="B96" s="15"/>
      <c r="C96" s="15" t="e">
        <f>VLOOKUP(B96,داتا!$B$3:$D$107,2,FALSE)</f>
        <v>#N/A</v>
      </c>
      <c r="D96" s="34" t="e">
        <f>VLOOKUP(B96,داتا!$B$3:$D$107,3,FALSE)</f>
        <v>#N/A</v>
      </c>
      <c r="E96" s="15"/>
      <c r="F96" s="16"/>
      <c r="G96" s="16">
        <v>8.3333333333333329E-2</v>
      </c>
      <c r="H96" s="16" t="e">
        <f t="shared" si="17"/>
        <v>#N/A</v>
      </c>
      <c r="I96" s="16" t="e">
        <f t="shared" si="10"/>
        <v>#N/A</v>
      </c>
      <c r="J96" s="16"/>
      <c r="K96" s="16"/>
      <c r="L96" s="16"/>
      <c r="M96" s="16"/>
      <c r="N96" s="16">
        <f t="shared" si="11"/>
        <v>0</v>
      </c>
      <c r="O96" s="16" t="e">
        <f t="shared" si="12"/>
        <v>#N/A</v>
      </c>
      <c r="P96" s="16">
        <v>6.9444444444444397E-3</v>
      </c>
      <c r="Q96" s="16"/>
      <c r="R96" s="16">
        <f t="shared" si="13"/>
        <v>-6.9444444444444397E-3</v>
      </c>
      <c r="S96" s="16"/>
      <c r="T96" s="16" t="e">
        <f>VLOOKUP(E96,'[2]21-3-2026'!E$3:T$35,16,FALSE)</f>
        <v>#N/A</v>
      </c>
      <c r="U96" s="16"/>
      <c r="V96" s="16" t="e">
        <f t="shared" si="14"/>
        <v>#N/A</v>
      </c>
      <c r="W96" s="16"/>
      <c r="X96" s="16"/>
      <c r="Y96" s="16"/>
      <c r="Z96" s="16">
        <f t="shared" si="15"/>
        <v>0</v>
      </c>
      <c r="AA96" s="16">
        <f t="shared" si="9"/>
        <v>0</v>
      </c>
      <c r="AB96" s="16"/>
      <c r="AC96" s="19"/>
      <c r="AD96" s="54"/>
    </row>
    <row r="97" spans="1:29" ht="19.5" thickBot="1" x14ac:dyDescent="0.3">
      <c r="A97" s="14">
        <v>30</v>
      </c>
      <c r="B97" s="15"/>
      <c r="C97" s="15" t="e">
        <f>VLOOKUP(B97,داتا!$B$3:$D$107,2,FALSE)</f>
        <v>#N/A</v>
      </c>
      <c r="D97" s="34" t="e">
        <f>VLOOKUP(B97,داتا!$B$3:$D$107,3,FALSE)</f>
        <v>#N/A</v>
      </c>
      <c r="E97" s="15"/>
      <c r="F97" s="16"/>
      <c r="G97" s="16">
        <v>8.3333333333333329E-2</v>
      </c>
      <c r="H97" s="16" t="e">
        <f t="shared" si="17"/>
        <v>#N/A</v>
      </c>
      <c r="I97" s="16" t="e">
        <f t="shared" si="10"/>
        <v>#N/A</v>
      </c>
      <c r="J97" s="16"/>
      <c r="K97" s="16"/>
      <c r="L97" s="16"/>
      <c r="M97" s="16"/>
      <c r="N97" s="16">
        <f t="shared" si="11"/>
        <v>0</v>
      </c>
      <c r="O97" s="16" t="e">
        <f t="shared" si="12"/>
        <v>#N/A</v>
      </c>
      <c r="P97" s="16">
        <v>6.9444444444444397E-3</v>
      </c>
      <c r="Q97" s="16"/>
      <c r="R97" s="16">
        <f t="shared" si="13"/>
        <v>-6.9444444444444397E-3</v>
      </c>
      <c r="S97" s="16"/>
      <c r="T97" s="16" t="e">
        <f>VLOOKUP(E97,'[2]21-3-2026'!E$3:T$35,16,FALSE)</f>
        <v>#N/A</v>
      </c>
      <c r="U97" s="16"/>
      <c r="V97" s="16" t="e">
        <f t="shared" si="14"/>
        <v>#N/A</v>
      </c>
      <c r="W97" s="16"/>
      <c r="X97" s="16"/>
      <c r="Y97" s="16"/>
      <c r="Z97" s="16">
        <f t="shared" si="15"/>
        <v>0</v>
      </c>
      <c r="AA97" s="16">
        <f t="shared" si="9"/>
        <v>0</v>
      </c>
      <c r="AB97" s="16"/>
      <c r="AC97" s="19"/>
    </row>
    <row r="98" spans="1:29" ht="19.5" thickBot="1" x14ac:dyDescent="0.3">
      <c r="A98" s="14">
        <v>31</v>
      </c>
      <c r="B98" s="15"/>
      <c r="C98" s="15" t="e">
        <f>VLOOKUP(B98,داتا!$B$3:$D$107,2,FALSE)</f>
        <v>#N/A</v>
      </c>
      <c r="D98" s="34" t="e">
        <f>VLOOKUP(B98,داتا!$B$3:$D$107,3,FALSE)</f>
        <v>#N/A</v>
      </c>
      <c r="E98" s="15"/>
      <c r="F98" s="16"/>
      <c r="G98" s="16">
        <v>8.3333333333333329E-2</v>
      </c>
      <c r="H98" s="16" t="e">
        <f t="shared" si="17"/>
        <v>#N/A</v>
      </c>
      <c r="I98" s="16" t="e">
        <f t="shared" si="10"/>
        <v>#N/A</v>
      </c>
      <c r="J98" s="16"/>
      <c r="K98" s="16"/>
      <c r="L98" s="16"/>
      <c r="M98" s="16"/>
      <c r="N98" s="16">
        <f t="shared" si="11"/>
        <v>0</v>
      </c>
      <c r="O98" s="16" t="e">
        <f t="shared" si="12"/>
        <v>#N/A</v>
      </c>
      <c r="P98" s="16">
        <v>6.9444444444444397E-3</v>
      </c>
      <c r="Q98" s="16"/>
      <c r="R98" s="16">
        <f t="shared" si="13"/>
        <v>-6.9444444444444397E-3</v>
      </c>
      <c r="S98" s="16"/>
      <c r="T98" s="16" t="e">
        <f>VLOOKUP(E98,'[2]21-3-2026'!E$3:T$35,16,FALSE)</f>
        <v>#N/A</v>
      </c>
      <c r="U98" s="16"/>
      <c r="V98" s="16" t="e">
        <f t="shared" si="14"/>
        <v>#N/A</v>
      </c>
      <c r="W98" s="16"/>
      <c r="X98" s="16"/>
      <c r="Y98" s="16"/>
      <c r="Z98" s="16">
        <f t="shared" si="15"/>
        <v>0</v>
      </c>
      <c r="AA98" s="16">
        <f t="shared" si="9"/>
        <v>0</v>
      </c>
      <c r="AB98" s="16"/>
      <c r="AC98" s="19"/>
    </row>
    <row r="99" spans="1:29" ht="19.5" thickBot="1" x14ac:dyDescent="0.3">
      <c r="A99" s="20">
        <v>32</v>
      </c>
      <c r="B99" s="21"/>
      <c r="C99" s="21" t="e">
        <f>VLOOKUP(B99,داتا!$B$3:$D$107,2,FALSE)</f>
        <v>#N/A</v>
      </c>
      <c r="D99" s="35" t="e">
        <f>VLOOKUP(B99,داتا!$B$3:$D$107,3,FALSE)</f>
        <v>#N/A</v>
      </c>
      <c r="E99" s="21"/>
      <c r="F99" s="22"/>
      <c r="G99" s="22">
        <v>8.3333333333333329E-2</v>
      </c>
      <c r="H99" s="22" t="e">
        <f t="shared" si="17"/>
        <v>#N/A</v>
      </c>
      <c r="I99" s="22" t="e">
        <f t="shared" si="10"/>
        <v>#N/A</v>
      </c>
      <c r="J99" s="22"/>
      <c r="K99" s="22"/>
      <c r="L99" s="22"/>
      <c r="M99" s="22"/>
      <c r="N99" s="22">
        <f t="shared" si="11"/>
        <v>0</v>
      </c>
      <c r="O99" s="22" t="e">
        <f t="shared" si="12"/>
        <v>#N/A</v>
      </c>
      <c r="P99" s="22">
        <v>6.9444444444444397E-3</v>
      </c>
      <c r="Q99" s="22"/>
      <c r="R99" s="22">
        <f t="shared" si="13"/>
        <v>-6.9444444444444397E-3</v>
      </c>
      <c r="S99" s="22"/>
      <c r="T99" s="22" t="e">
        <f>VLOOKUP(E99,'[2]21-3-2026'!E$3:T$35,16,FALSE)</f>
        <v>#N/A</v>
      </c>
      <c r="U99" s="22"/>
      <c r="V99" s="22" t="e">
        <f t="shared" si="14"/>
        <v>#N/A</v>
      </c>
      <c r="W99" s="22"/>
      <c r="X99" s="22"/>
      <c r="Y99" s="22"/>
      <c r="Z99" s="22">
        <f t="shared" si="15"/>
        <v>0</v>
      </c>
      <c r="AA99" s="22">
        <f t="shared" si="9"/>
        <v>0</v>
      </c>
      <c r="AB99" s="22"/>
      <c r="AC99" s="30"/>
    </row>
    <row r="100" spans="1:29" ht="16.5" thickTop="1" x14ac:dyDescent="0.25"/>
  </sheetData>
  <mergeCells count="4">
    <mergeCell ref="A1:AC1"/>
    <mergeCell ref="AD3:AD35"/>
    <mergeCell ref="AD36:AD67"/>
    <mergeCell ref="AD68:AD96"/>
  </mergeCells>
  <conditionalFormatting sqref="AC1:AC96 AC100:AC1048576">
    <cfRule type="containsText" dxfId="29" priority="14" operator="containsText" text="ت">
      <formula>NOT(ISERROR(SEARCH("ت",AC1)))</formula>
    </cfRule>
  </conditionalFormatting>
  <conditionalFormatting sqref="AC4:AC96">
    <cfRule type="containsText" dxfId="28" priority="13" operator="containsText" text="ت">
      <formula>NOT(ISERROR(SEARCH("ت",AC4)))</formula>
    </cfRule>
  </conditionalFormatting>
  <conditionalFormatting sqref="O1:O2 I1:I2 R1:R2 V1:V2 AA100:AA1048576 V100:V1048576 R100:R1048576 O100:O1048576 I100:I1048576 AA1:AA2">
    <cfRule type="cellIs" dxfId="27" priority="15" operator="between">
      <formula>0.00277777777777778</formula>
      <formula>1</formula>
    </cfRule>
  </conditionalFormatting>
  <conditionalFormatting sqref="AC97:AC99">
    <cfRule type="containsText" dxfId="26" priority="12" operator="containsText" text="ت">
      <formula>NOT(ISERROR(SEARCH("ت",AC97)))</formula>
    </cfRule>
  </conditionalFormatting>
  <conditionalFormatting sqref="AC97:AC99">
    <cfRule type="containsText" dxfId="25" priority="11" operator="containsText" text="ت">
      <formula>NOT(ISERROR(SEARCH("ت",AC97)))</formula>
    </cfRule>
  </conditionalFormatting>
  <conditionalFormatting sqref="I3:I99">
    <cfRule type="cellIs" dxfId="24" priority="9" operator="between">
      <formula>0.00277777777777778</formula>
      <formula>1</formula>
    </cfRule>
  </conditionalFormatting>
  <conditionalFormatting sqref="I3:I99">
    <cfRule type="cellIs" dxfId="23" priority="10" operator="between">
      <formula>0.00277777777777778</formula>
      <formula>1</formula>
    </cfRule>
  </conditionalFormatting>
  <conditionalFormatting sqref="O3:O99">
    <cfRule type="cellIs" dxfId="22" priority="7" operator="between">
      <formula>0.00277777777777778</formula>
      <formula>1</formula>
    </cfRule>
  </conditionalFormatting>
  <conditionalFormatting sqref="O3:O99">
    <cfRule type="cellIs" dxfId="21" priority="8" operator="between">
      <formula>0.00277777777777778</formula>
      <formula>1</formula>
    </cfRule>
  </conditionalFormatting>
  <conditionalFormatting sqref="R3:R99">
    <cfRule type="cellIs" dxfId="20" priority="5" operator="between">
      <formula>0.00277777777777778</formula>
      <formula>1</formula>
    </cfRule>
  </conditionalFormatting>
  <conditionalFormatting sqref="R3:R99">
    <cfRule type="cellIs" dxfId="19" priority="6" operator="between">
      <formula>0.00277777777777778</formula>
      <formula>1</formula>
    </cfRule>
  </conditionalFormatting>
  <conditionalFormatting sqref="V3:V99">
    <cfRule type="cellIs" dxfId="18" priority="3" operator="between">
      <formula>0.00277777777777778</formula>
      <formula>1</formula>
    </cfRule>
  </conditionalFormatting>
  <conditionalFormatting sqref="V3:V99">
    <cfRule type="cellIs" dxfId="17" priority="4" operator="between">
      <formula>0.00277777777777778</formula>
      <formula>1</formula>
    </cfRule>
  </conditionalFormatting>
  <conditionalFormatting sqref="AA3:AA99">
    <cfRule type="cellIs" dxfId="16" priority="1" operator="between">
      <formula>0.00277777777777778</formula>
      <formula>1</formula>
    </cfRule>
  </conditionalFormatting>
  <conditionalFormatting sqref="AA3:AA99">
    <cfRule type="cellIs" dxfId="15" priority="2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"/>
  <sheetViews>
    <sheetView rightToLeft="1" workbookViewId="0">
      <pane xSplit="6" ySplit="2" topLeftCell="G68" activePane="bottomRight" state="frozen"/>
      <selection activeCell="A92" sqref="A92"/>
      <selection pane="topRight" activeCell="A92" sqref="A92"/>
      <selection pane="bottomLeft" activeCell="A92" sqref="A92"/>
      <selection pane="bottomRight" activeCell="A92" sqref="A92"/>
    </sheetView>
  </sheetViews>
  <sheetFormatPr defaultColWidth="9" defaultRowHeight="15.75" x14ac:dyDescent="0.25"/>
  <cols>
    <col min="1" max="1" width="5.42578125" customWidth="1"/>
    <col min="2" max="2" width="12.28515625" customWidth="1"/>
    <col min="3" max="3" width="12.5703125" customWidth="1"/>
    <col min="4" max="4" width="16.140625" style="36" customWidth="1"/>
    <col min="5" max="5" width="17.140625" customWidth="1"/>
    <col min="6" max="6" width="20.85546875" customWidth="1"/>
    <col min="7" max="7" width="12.7109375" customWidth="1"/>
    <col min="8" max="9" width="12.85546875" customWidth="1"/>
    <col min="10" max="10" width="12.5703125" customWidth="1"/>
    <col min="11" max="11" width="14.28515625" customWidth="1"/>
    <col min="12" max="12" width="22.7109375" customWidth="1"/>
    <col min="13" max="13" width="18.85546875" customWidth="1"/>
    <col min="14" max="15" width="14.28515625" customWidth="1"/>
    <col min="16" max="16" width="15.5703125" customWidth="1"/>
    <col min="17" max="17" width="13.7109375" customWidth="1"/>
    <col min="18" max="18" width="14.42578125" customWidth="1"/>
    <col min="19" max="19" width="12.42578125" customWidth="1"/>
    <col min="20" max="20" width="16.140625" customWidth="1"/>
    <col min="21" max="21" width="12.140625" customWidth="1"/>
    <col min="22" max="22" width="14.42578125" customWidth="1"/>
    <col min="23" max="23" width="17.5703125" customWidth="1"/>
    <col min="24" max="24" width="11.7109375" customWidth="1"/>
    <col min="25" max="25" width="12" customWidth="1"/>
    <col min="26" max="26" width="11.5703125" customWidth="1"/>
    <col min="27" max="27" width="20.28515625" customWidth="1"/>
    <col min="28" max="28" width="12.7109375" customWidth="1"/>
    <col min="29" max="29" width="43.85546875" style="31" customWidth="1"/>
    <col min="30" max="30" width="11.140625" customWidth="1"/>
  </cols>
  <sheetData>
    <row r="1" spans="1:30" ht="33.75" customHeight="1" thickBot="1" x14ac:dyDescent="0.3">
      <c r="A1" s="46" t="s">
        <v>119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0" ht="49.5" customHeight="1" thickTop="1" thickBot="1" x14ac:dyDescent="0.3">
      <c r="A2" s="1" t="s">
        <v>1</v>
      </c>
      <c r="B2" s="2" t="s">
        <v>2</v>
      </c>
      <c r="C2" s="2" t="s">
        <v>3</v>
      </c>
      <c r="D2" s="3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8" t="s">
        <v>18</v>
      </c>
      <c r="S2" s="2" t="s">
        <v>19</v>
      </c>
      <c r="T2" s="8" t="s">
        <v>20</v>
      </c>
      <c r="U2" s="2" t="s">
        <v>21</v>
      </c>
      <c r="V2" s="8" t="s">
        <v>22</v>
      </c>
      <c r="W2" s="8" t="s">
        <v>23</v>
      </c>
      <c r="X2" s="2" t="s">
        <v>24</v>
      </c>
      <c r="Y2" s="2" t="s">
        <v>25</v>
      </c>
      <c r="Z2" s="2" t="s">
        <v>26</v>
      </c>
      <c r="AA2" s="8" t="s">
        <v>27</v>
      </c>
      <c r="AB2" s="2" t="s">
        <v>28</v>
      </c>
      <c r="AC2" s="9" t="s">
        <v>29</v>
      </c>
    </row>
    <row r="3" spans="1:30" ht="20.25" customHeight="1" thickTop="1" thickBot="1" x14ac:dyDescent="0.3">
      <c r="A3" s="10">
        <v>1</v>
      </c>
      <c r="B3" s="11"/>
      <c r="C3" s="11" t="e">
        <f>VLOOKUP(B3,داتا!$B$3:$D$107,2,FALSE)</f>
        <v>#N/A</v>
      </c>
      <c r="D3" s="33" t="e">
        <f>VLOOKUP(B3,داتا!$B$3:$D$107,3,FALSE)</f>
        <v>#N/A</v>
      </c>
      <c r="E3" s="11"/>
      <c r="F3" s="11"/>
      <c r="G3" s="12">
        <v>0.25</v>
      </c>
      <c r="H3" s="12"/>
      <c r="I3" s="12">
        <f>H3-G3</f>
        <v>-0.25</v>
      </c>
      <c r="J3" s="12"/>
      <c r="K3" s="12"/>
      <c r="L3" s="12"/>
      <c r="M3" s="12"/>
      <c r="N3" s="12">
        <f>K3-J3</f>
        <v>0</v>
      </c>
      <c r="O3" s="12" t="e">
        <f>N3-D3</f>
        <v>#N/A</v>
      </c>
      <c r="P3" s="12">
        <v>6.9444444444444397E-3</v>
      </c>
      <c r="Q3" s="12"/>
      <c r="R3" s="12">
        <f>Q3-P3-K3</f>
        <v>-6.9444444444444397E-3</v>
      </c>
      <c r="S3" s="12"/>
      <c r="T3" s="12" t="e">
        <f>VLOOKUP(E3,'[2]21-3-2026'!E$3:T$35,16,FALSE)</f>
        <v>#N/A</v>
      </c>
      <c r="U3" s="12"/>
      <c r="V3" s="12" t="e">
        <f>U3-T3-S3</f>
        <v>#N/A</v>
      </c>
      <c r="W3" s="12"/>
      <c r="X3" s="12"/>
      <c r="Y3" s="12"/>
      <c r="Z3" s="12">
        <f>Y3-X3</f>
        <v>0</v>
      </c>
      <c r="AA3" s="12">
        <f t="shared" ref="AA3:AA66" si="0">Z3-W3</f>
        <v>0</v>
      </c>
      <c r="AB3" s="12"/>
      <c r="AC3" s="13"/>
      <c r="AD3" s="47" t="s">
        <v>33</v>
      </c>
    </row>
    <row r="4" spans="1:30" ht="19.5" thickBot="1" x14ac:dyDescent="0.3">
      <c r="A4" s="14">
        <v>2</v>
      </c>
      <c r="B4" s="15"/>
      <c r="C4" s="15" t="e">
        <f>VLOOKUP(B4,داتا!$B$3:$D$107,2,FALSE)</f>
        <v>#N/A</v>
      </c>
      <c r="D4" s="34" t="e">
        <f>VLOOKUP(B4,داتا!$B$3:$D$107,3,FALSE)</f>
        <v>#N/A</v>
      </c>
      <c r="E4" s="15"/>
      <c r="F4" s="15"/>
      <c r="G4" s="16">
        <v>0.25</v>
      </c>
      <c r="H4" s="16"/>
      <c r="I4" s="16">
        <f t="shared" ref="I4:I67" si="1">H4-G4</f>
        <v>-0.25</v>
      </c>
      <c r="J4" s="16"/>
      <c r="K4" s="16"/>
      <c r="L4" s="16"/>
      <c r="M4" s="16"/>
      <c r="N4" s="16">
        <f t="shared" ref="N4:N67" si="2">K4-J4</f>
        <v>0</v>
      </c>
      <c r="O4" s="16" t="e">
        <f t="shared" ref="O4:O67" si="3">N4-D4</f>
        <v>#N/A</v>
      </c>
      <c r="P4" s="16">
        <v>6.9444444444444397E-3</v>
      </c>
      <c r="Q4" s="16"/>
      <c r="R4" s="16">
        <f t="shared" ref="R4:R67" si="4">Q4-P4-K4</f>
        <v>-6.9444444444444397E-3</v>
      </c>
      <c r="S4" s="16"/>
      <c r="T4" s="16" t="e">
        <f>VLOOKUP(E4,'[2]21-3-2026'!E$3:T$35,16,FALSE)</f>
        <v>#N/A</v>
      </c>
      <c r="U4" s="16"/>
      <c r="V4" s="16" t="e">
        <f t="shared" ref="V4:V67" si="5">U4-T4-S4</f>
        <v>#N/A</v>
      </c>
      <c r="W4" s="16"/>
      <c r="X4" s="16"/>
      <c r="Y4" s="16"/>
      <c r="Z4" s="16">
        <f t="shared" ref="Z4:Z67" si="6">Y4-X4</f>
        <v>0</v>
      </c>
      <c r="AA4" s="16">
        <f t="shared" si="0"/>
        <v>0</v>
      </c>
      <c r="AB4" s="16"/>
      <c r="AC4" s="17"/>
      <c r="AD4" s="48"/>
    </row>
    <row r="5" spans="1:30" ht="19.5" thickBot="1" x14ac:dyDescent="0.3">
      <c r="A5" s="14">
        <v>3</v>
      </c>
      <c r="B5" s="15"/>
      <c r="C5" s="15" t="e">
        <f>VLOOKUP(B5,داتا!$B$3:$D$107,2,FALSE)</f>
        <v>#N/A</v>
      </c>
      <c r="D5" s="34" t="e">
        <f>VLOOKUP(B5,داتا!$B$3:$D$107,3,FALSE)</f>
        <v>#N/A</v>
      </c>
      <c r="E5" s="15"/>
      <c r="F5" s="15"/>
      <c r="G5" s="16">
        <v>0.25</v>
      </c>
      <c r="H5" s="16"/>
      <c r="I5" s="16">
        <f t="shared" si="1"/>
        <v>-0.25</v>
      </c>
      <c r="J5" s="16"/>
      <c r="K5" s="16"/>
      <c r="L5" s="16"/>
      <c r="M5" s="16"/>
      <c r="N5" s="16">
        <f t="shared" si="2"/>
        <v>0</v>
      </c>
      <c r="O5" s="16" t="e">
        <f t="shared" si="3"/>
        <v>#N/A</v>
      </c>
      <c r="P5" s="16">
        <v>6.9444444444444397E-3</v>
      </c>
      <c r="Q5" s="16"/>
      <c r="R5" s="16">
        <f t="shared" si="4"/>
        <v>-6.9444444444444397E-3</v>
      </c>
      <c r="S5" s="16"/>
      <c r="T5" s="16" t="e">
        <f>VLOOKUP(E5,'[2]21-3-2026'!E$3:T$35,16,FALSE)</f>
        <v>#N/A</v>
      </c>
      <c r="U5" s="16"/>
      <c r="V5" s="16" t="e">
        <f t="shared" si="5"/>
        <v>#N/A</v>
      </c>
      <c r="W5" s="16"/>
      <c r="X5" s="16"/>
      <c r="Y5" s="16"/>
      <c r="Z5" s="16">
        <f t="shared" si="6"/>
        <v>0</v>
      </c>
      <c r="AA5" s="16">
        <f t="shared" si="0"/>
        <v>0</v>
      </c>
      <c r="AB5" s="16"/>
      <c r="AC5" s="17"/>
      <c r="AD5" s="48"/>
    </row>
    <row r="6" spans="1:30" ht="19.5" thickBot="1" x14ac:dyDescent="0.3">
      <c r="A6" s="14">
        <v>4</v>
      </c>
      <c r="B6" s="15"/>
      <c r="C6" s="15" t="e">
        <f>VLOOKUP(B6,داتا!$B$3:$D$107,2,FALSE)</f>
        <v>#N/A</v>
      </c>
      <c r="D6" s="34" t="e">
        <f>VLOOKUP(B6,داتا!$B$3:$D$107,3,FALSE)</f>
        <v>#N/A</v>
      </c>
      <c r="E6" s="15"/>
      <c r="F6" s="15"/>
      <c r="G6" s="16">
        <v>0.25</v>
      </c>
      <c r="H6" s="16"/>
      <c r="I6" s="16">
        <f t="shared" si="1"/>
        <v>-0.25</v>
      </c>
      <c r="J6" s="16"/>
      <c r="K6" s="16"/>
      <c r="L6" s="16"/>
      <c r="M6" s="16"/>
      <c r="N6" s="16">
        <f t="shared" si="2"/>
        <v>0</v>
      </c>
      <c r="O6" s="16" t="e">
        <f t="shared" si="3"/>
        <v>#N/A</v>
      </c>
      <c r="P6" s="16">
        <v>6.9444444444444397E-3</v>
      </c>
      <c r="Q6" s="16"/>
      <c r="R6" s="16">
        <f t="shared" si="4"/>
        <v>-6.9444444444444397E-3</v>
      </c>
      <c r="S6" s="16"/>
      <c r="T6" s="16" t="e">
        <f>VLOOKUP(E6,'[2]21-3-2026'!E$3:T$35,16,FALSE)</f>
        <v>#N/A</v>
      </c>
      <c r="U6" s="16"/>
      <c r="V6" s="16" t="e">
        <f t="shared" si="5"/>
        <v>#N/A</v>
      </c>
      <c r="W6" s="16"/>
      <c r="X6" s="16"/>
      <c r="Y6" s="16"/>
      <c r="Z6" s="16">
        <f t="shared" si="6"/>
        <v>0</v>
      </c>
      <c r="AA6" s="16">
        <f t="shared" si="0"/>
        <v>0</v>
      </c>
      <c r="AB6" s="16"/>
      <c r="AC6" s="17"/>
      <c r="AD6" s="48"/>
    </row>
    <row r="7" spans="1:30" ht="19.5" thickBot="1" x14ac:dyDescent="0.3">
      <c r="A7" s="14">
        <v>5</v>
      </c>
      <c r="B7" s="15"/>
      <c r="C7" s="15" t="e">
        <f>VLOOKUP(B7,داتا!$B$3:$D$107,2,FALSE)</f>
        <v>#N/A</v>
      </c>
      <c r="D7" s="34" t="e">
        <f>VLOOKUP(B7,داتا!$B$3:$D$107,3,FALSE)</f>
        <v>#N/A</v>
      </c>
      <c r="E7" s="15"/>
      <c r="F7" s="15"/>
      <c r="G7" s="16">
        <v>0.25</v>
      </c>
      <c r="H7" s="16"/>
      <c r="I7" s="16">
        <f t="shared" si="1"/>
        <v>-0.25</v>
      </c>
      <c r="J7" s="16"/>
      <c r="K7" s="16"/>
      <c r="L7" s="16"/>
      <c r="M7" s="16"/>
      <c r="N7" s="16">
        <f t="shared" si="2"/>
        <v>0</v>
      </c>
      <c r="O7" s="16" t="e">
        <f t="shared" si="3"/>
        <v>#N/A</v>
      </c>
      <c r="P7" s="16">
        <v>6.9444444444444397E-3</v>
      </c>
      <c r="Q7" s="16"/>
      <c r="R7" s="16">
        <f t="shared" si="4"/>
        <v>-6.9444444444444397E-3</v>
      </c>
      <c r="S7" s="16"/>
      <c r="T7" s="16" t="e">
        <f>VLOOKUP(E7,'[2]21-3-2026'!E$3:T$35,16,FALSE)</f>
        <v>#N/A</v>
      </c>
      <c r="U7" s="16"/>
      <c r="V7" s="16" t="e">
        <f t="shared" si="5"/>
        <v>#N/A</v>
      </c>
      <c r="W7" s="16"/>
      <c r="X7" s="16"/>
      <c r="Y7" s="16"/>
      <c r="Z7" s="16">
        <f t="shared" si="6"/>
        <v>0</v>
      </c>
      <c r="AA7" s="16">
        <f t="shared" si="0"/>
        <v>0</v>
      </c>
      <c r="AB7" s="16"/>
      <c r="AC7" s="17"/>
      <c r="AD7" s="48"/>
    </row>
    <row r="8" spans="1:30" ht="19.5" thickBot="1" x14ac:dyDescent="0.3">
      <c r="A8" s="14">
        <v>6</v>
      </c>
      <c r="B8" s="15"/>
      <c r="C8" s="15" t="e">
        <f>VLOOKUP(B8,داتا!$B$3:$D$107,2,FALSE)</f>
        <v>#N/A</v>
      </c>
      <c r="D8" s="34" t="e">
        <f>VLOOKUP(B8,داتا!$B$3:$D$107,3,FALSE)</f>
        <v>#N/A</v>
      </c>
      <c r="E8" s="15"/>
      <c r="F8" s="15"/>
      <c r="G8" s="16">
        <v>0.25</v>
      </c>
      <c r="H8" s="16"/>
      <c r="I8" s="16">
        <f t="shared" si="1"/>
        <v>-0.25</v>
      </c>
      <c r="J8" s="16"/>
      <c r="K8" s="16"/>
      <c r="L8" s="16"/>
      <c r="M8" s="16"/>
      <c r="N8" s="16">
        <f t="shared" si="2"/>
        <v>0</v>
      </c>
      <c r="O8" s="16" t="e">
        <f t="shared" si="3"/>
        <v>#N/A</v>
      </c>
      <c r="P8" s="16">
        <v>6.9444444444444397E-3</v>
      </c>
      <c r="Q8" s="16"/>
      <c r="R8" s="16">
        <f t="shared" si="4"/>
        <v>-6.9444444444444397E-3</v>
      </c>
      <c r="S8" s="16"/>
      <c r="T8" s="16" t="e">
        <f>VLOOKUP(E8,'[2]21-3-2026'!E$3:T$35,16,FALSE)</f>
        <v>#N/A</v>
      </c>
      <c r="U8" s="16"/>
      <c r="V8" s="16" t="e">
        <f t="shared" si="5"/>
        <v>#N/A</v>
      </c>
      <c r="W8" s="16"/>
      <c r="X8" s="16"/>
      <c r="Y8" s="16"/>
      <c r="Z8" s="16">
        <f t="shared" si="6"/>
        <v>0</v>
      </c>
      <c r="AA8" s="16">
        <f t="shared" si="0"/>
        <v>0</v>
      </c>
      <c r="AB8" s="16"/>
      <c r="AC8" s="18"/>
      <c r="AD8" s="48"/>
    </row>
    <row r="9" spans="1:30" ht="19.5" thickBot="1" x14ac:dyDescent="0.3">
      <c r="A9" s="14">
        <v>7</v>
      </c>
      <c r="B9" s="15"/>
      <c r="C9" s="15" t="e">
        <f>VLOOKUP(B9,داتا!$B$3:$D$107,2,FALSE)</f>
        <v>#N/A</v>
      </c>
      <c r="D9" s="34" t="e">
        <f>VLOOKUP(B9,داتا!$B$3:$D$107,3,FALSE)</f>
        <v>#N/A</v>
      </c>
      <c r="E9" s="15"/>
      <c r="F9" s="15"/>
      <c r="G9" s="16">
        <v>0.25</v>
      </c>
      <c r="H9" s="16"/>
      <c r="I9" s="16">
        <f t="shared" si="1"/>
        <v>-0.25</v>
      </c>
      <c r="J9" s="16"/>
      <c r="K9" s="16"/>
      <c r="L9" s="16"/>
      <c r="M9" s="16"/>
      <c r="N9" s="16">
        <f t="shared" si="2"/>
        <v>0</v>
      </c>
      <c r="O9" s="16" t="e">
        <f t="shared" si="3"/>
        <v>#N/A</v>
      </c>
      <c r="P9" s="16">
        <v>6.9444444444444397E-3</v>
      </c>
      <c r="Q9" s="16"/>
      <c r="R9" s="16">
        <f t="shared" si="4"/>
        <v>-6.9444444444444397E-3</v>
      </c>
      <c r="S9" s="16"/>
      <c r="T9" s="16" t="e">
        <f>VLOOKUP(E9,'[2]21-3-2026'!E$3:T$35,16,FALSE)</f>
        <v>#N/A</v>
      </c>
      <c r="U9" s="16"/>
      <c r="V9" s="16" t="e">
        <f t="shared" si="5"/>
        <v>#N/A</v>
      </c>
      <c r="W9" s="16"/>
      <c r="X9" s="16"/>
      <c r="Y9" s="16"/>
      <c r="Z9" s="16">
        <f t="shared" si="6"/>
        <v>0</v>
      </c>
      <c r="AA9" s="16">
        <f t="shared" si="0"/>
        <v>0</v>
      </c>
      <c r="AB9" s="16"/>
      <c r="AC9" s="17"/>
      <c r="AD9" s="48"/>
    </row>
    <row r="10" spans="1:30" ht="19.5" thickBot="1" x14ac:dyDescent="0.3">
      <c r="A10" s="14">
        <v>8</v>
      </c>
      <c r="B10" s="15"/>
      <c r="C10" s="15" t="e">
        <f>VLOOKUP(B10,داتا!$B$3:$D$107,2,FALSE)</f>
        <v>#N/A</v>
      </c>
      <c r="D10" s="34" t="e">
        <f>VLOOKUP(B10,داتا!$B$3:$D$107,3,FALSE)</f>
        <v>#N/A</v>
      </c>
      <c r="E10" s="15"/>
      <c r="F10" s="15"/>
      <c r="G10" s="16">
        <v>0.25</v>
      </c>
      <c r="H10" s="16"/>
      <c r="I10" s="16">
        <f t="shared" si="1"/>
        <v>-0.25</v>
      </c>
      <c r="J10" s="16"/>
      <c r="K10" s="16"/>
      <c r="L10" s="16"/>
      <c r="M10" s="16"/>
      <c r="N10" s="16">
        <f t="shared" si="2"/>
        <v>0</v>
      </c>
      <c r="O10" s="16" t="e">
        <f t="shared" si="3"/>
        <v>#N/A</v>
      </c>
      <c r="P10" s="16">
        <v>6.9444444444444397E-3</v>
      </c>
      <c r="Q10" s="16"/>
      <c r="R10" s="16">
        <f t="shared" si="4"/>
        <v>-6.9444444444444397E-3</v>
      </c>
      <c r="S10" s="16"/>
      <c r="T10" s="16" t="e">
        <f>VLOOKUP(E10,'[2]21-3-2026'!E$3:T$35,16,FALSE)</f>
        <v>#N/A</v>
      </c>
      <c r="U10" s="16"/>
      <c r="V10" s="16" t="e">
        <f t="shared" si="5"/>
        <v>#N/A</v>
      </c>
      <c r="W10" s="16"/>
      <c r="X10" s="16"/>
      <c r="Y10" s="16"/>
      <c r="Z10" s="16">
        <f t="shared" si="6"/>
        <v>0</v>
      </c>
      <c r="AA10" s="16">
        <f t="shared" si="0"/>
        <v>0</v>
      </c>
      <c r="AB10" s="16"/>
      <c r="AC10" s="17"/>
      <c r="AD10" s="48"/>
    </row>
    <row r="11" spans="1:30" ht="19.5" thickBot="1" x14ac:dyDescent="0.3">
      <c r="A11" s="14">
        <v>9</v>
      </c>
      <c r="B11" s="15"/>
      <c r="C11" s="15" t="e">
        <f>VLOOKUP(B11,داتا!$B$3:$D$107,2,FALSE)</f>
        <v>#N/A</v>
      </c>
      <c r="D11" s="34" t="e">
        <f>VLOOKUP(B11,داتا!$B$3:$D$107,3,FALSE)</f>
        <v>#N/A</v>
      </c>
      <c r="E11" s="15"/>
      <c r="F11" s="15"/>
      <c r="G11" s="16">
        <v>0.25</v>
      </c>
      <c r="H11" s="16"/>
      <c r="I11" s="16">
        <f t="shared" si="1"/>
        <v>-0.25</v>
      </c>
      <c r="J11" s="16"/>
      <c r="K11" s="16"/>
      <c r="L11" s="16"/>
      <c r="M11" s="16"/>
      <c r="N11" s="16">
        <f t="shared" si="2"/>
        <v>0</v>
      </c>
      <c r="O11" s="16" t="e">
        <f t="shared" si="3"/>
        <v>#N/A</v>
      </c>
      <c r="P11" s="16">
        <v>6.9444444444444397E-3</v>
      </c>
      <c r="Q11" s="16"/>
      <c r="R11" s="16">
        <f t="shared" si="4"/>
        <v>-6.9444444444444397E-3</v>
      </c>
      <c r="S11" s="16"/>
      <c r="T11" s="16" t="e">
        <f>VLOOKUP(E11,'[2]21-3-2026'!E$3:T$35,16,FALSE)</f>
        <v>#N/A</v>
      </c>
      <c r="U11" s="16"/>
      <c r="V11" s="16" t="e">
        <f t="shared" si="5"/>
        <v>#N/A</v>
      </c>
      <c r="W11" s="16"/>
      <c r="X11" s="16"/>
      <c r="Y11" s="16"/>
      <c r="Z11" s="16">
        <f t="shared" si="6"/>
        <v>0</v>
      </c>
      <c r="AA11" s="16">
        <f t="shared" si="0"/>
        <v>0</v>
      </c>
      <c r="AB11" s="16"/>
      <c r="AC11" s="17"/>
      <c r="AD11" s="48"/>
    </row>
    <row r="12" spans="1:30" ht="19.5" thickBot="1" x14ac:dyDescent="0.3">
      <c r="A12" s="14">
        <v>10</v>
      </c>
      <c r="B12" s="15"/>
      <c r="C12" s="15" t="e">
        <f>VLOOKUP(B12,داتا!$B$3:$D$107,2,FALSE)</f>
        <v>#N/A</v>
      </c>
      <c r="D12" s="34" t="e">
        <f>VLOOKUP(B12,داتا!$B$3:$D$107,3,FALSE)</f>
        <v>#N/A</v>
      </c>
      <c r="E12" s="15"/>
      <c r="F12" s="15"/>
      <c r="G12" s="16">
        <v>0.25</v>
      </c>
      <c r="H12" s="16"/>
      <c r="I12" s="16">
        <f t="shared" si="1"/>
        <v>-0.25</v>
      </c>
      <c r="J12" s="16"/>
      <c r="K12" s="16"/>
      <c r="L12" s="16"/>
      <c r="M12" s="16"/>
      <c r="N12" s="16">
        <f t="shared" si="2"/>
        <v>0</v>
      </c>
      <c r="O12" s="16" t="e">
        <f t="shared" si="3"/>
        <v>#N/A</v>
      </c>
      <c r="P12" s="16">
        <v>6.9444444444444397E-3</v>
      </c>
      <c r="Q12" s="16"/>
      <c r="R12" s="16">
        <f t="shared" si="4"/>
        <v>-6.9444444444444397E-3</v>
      </c>
      <c r="S12" s="16"/>
      <c r="T12" s="16" t="e">
        <f>VLOOKUP(E12,'[2]21-3-2026'!E$3:T$35,16,FALSE)</f>
        <v>#N/A</v>
      </c>
      <c r="U12" s="16"/>
      <c r="V12" s="16" t="e">
        <f t="shared" si="5"/>
        <v>#N/A</v>
      </c>
      <c r="W12" s="16"/>
      <c r="X12" s="16"/>
      <c r="Y12" s="16"/>
      <c r="Z12" s="16">
        <f t="shared" si="6"/>
        <v>0</v>
      </c>
      <c r="AA12" s="16">
        <f t="shared" si="0"/>
        <v>0</v>
      </c>
      <c r="AB12" s="16"/>
      <c r="AC12" s="17"/>
      <c r="AD12" s="48"/>
    </row>
    <row r="13" spans="1:30" ht="19.5" thickBot="1" x14ac:dyDescent="0.3">
      <c r="A13" s="14">
        <v>11</v>
      </c>
      <c r="B13" s="15"/>
      <c r="C13" s="15" t="e">
        <f>VLOOKUP(B13,داتا!$B$3:$D$107,2,FALSE)</f>
        <v>#N/A</v>
      </c>
      <c r="D13" s="34" t="e">
        <f>VLOOKUP(B13,داتا!$B$3:$D$107,3,FALSE)</f>
        <v>#N/A</v>
      </c>
      <c r="E13" s="15"/>
      <c r="F13" s="15"/>
      <c r="G13" s="16">
        <v>0.25</v>
      </c>
      <c r="H13" s="16"/>
      <c r="I13" s="16">
        <f t="shared" si="1"/>
        <v>-0.25</v>
      </c>
      <c r="J13" s="16"/>
      <c r="K13" s="16"/>
      <c r="L13" s="16"/>
      <c r="M13" s="16"/>
      <c r="N13" s="16">
        <f t="shared" si="2"/>
        <v>0</v>
      </c>
      <c r="O13" s="16" t="e">
        <f t="shared" si="3"/>
        <v>#N/A</v>
      </c>
      <c r="P13" s="16">
        <v>6.9444444444444397E-3</v>
      </c>
      <c r="Q13" s="16"/>
      <c r="R13" s="16">
        <f t="shared" si="4"/>
        <v>-6.9444444444444397E-3</v>
      </c>
      <c r="S13" s="16"/>
      <c r="T13" s="16" t="e">
        <f>VLOOKUP(E13,'[2]21-3-2026'!E$3:T$35,16,FALSE)</f>
        <v>#N/A</v>
      </c>
      <c r="U13" s="16"/>
      <c r="V13" s="16" t="e">
        <f t="shared" si="5"/>
        <v>#N/A</v>
      </c>
      <c r="W13" s="16"/>
      <c r="X13" s="16"/>
      <c r="Y13" s="16"/>
      <c r="Z13" s="16">
        <f t="shared" si="6"/>
        <v>0</v>
      </c>
      <c r="AA13" s="16">
        <f t="shared" si="0"/>
        <v>0</v>
      </c>
      <c r="AB13" s="16"/>
      <c r="AC13" s="18"/>
      <c r="AD13" s="48"/>
    </row>
    <row r="14" spans="1:30" ht="19.5" thickBot="1" x14ac:dyDescent="0.3">
      <c r="A14" s="14">
        <v>12</v>
      </c>
      <c r="B14" s="15"/>
      <c r="C14" s="15" t="e">
        <f>VLOOKUP(B14,داتا!$B$3:$D$107,2,FALSE)</f>
        <v>#N/A</v>
      </c>
      <c r="D14" s="34" t="e">
        <f>VLOOKUP(B14,داتا!$B$3:$D$107,3,FALSE)</f>
        <v>#N/A</v>
      </c>
      <c r="E14" s="15"/>
      <c r="F14" s="15"/>
      <c r="G14" s="16">
        <v>0.25</v>
      </c>
      <c r="H14" s="16"/>
      <c r="I14" s="16">
        <f t="shared" si="1"/>
        <v>-0.25</v>
      </c>
      <c r="J14" s="16"/>
      <c r="K14" s="16"/>
      <c r="L14" s="16"/>
      <c r="M14" s="16"/>
      <c r="N14" s="16">
        <f t="shared" si="2"/>
        <v>0</v>
      </c>
      <c r="O14" s="16" t="e">
        <f t="shared" si="3"/>
        <v>#N/A</v>
      </c>
      <c r="P14" s="16">
        <v>6.9444444444444397E-3</v>
      </c>
      <c r="Q14" s="16"/>
      <c r="R14" s="16">
        <f t="shared" si="4"/>
        <v>-6.9444444444444397E-3</v>
      </c>
      <c r="S14" s="16"/>
      <c r="T14" s="16" t="e">
        <f>VLOOKUP(E14,'[2]21-3-2026'!E$3:T$35,16,FALSE)</f>
        <v>#N/A</v>
      </c>
      <c r="U14" s="16"/>
      <c r="V14" s="16" t="e">
        <f t="shared" si="5"/>
        <v>#N/A</v>
      </c>
      <c r="W14" s="16"/>
      <c r="X14" s="16"/>
      <c r="Y14" s="16"/>
      <c r="Z14" s="16">
        <f t="shared" si="6"/>
        <v>0</v>
      </c>
      <c r="AA14" s="16">
        <f t="shared" si="0"/>
        <v>0</v>
      </c>
      <c r="AB14" s="16"/>
      <c r="AC14" s="17"/>
      <c r="AD14" s="48"/>
    </row>
    <row r="15" spans="1:30" ht="19.5" thickBot="1" x14ac:dyDescent="0.3">
      <c r="A15" s="14">
        <v>13</v>
      </c>
      <c r="B15" s="15"/>
      <c r="C15" s="15" t="e">
        <f>VLOOKUP(B15,داتا!$B$3:$D$107,2,FALSE)</f>
        <v>#N/A</v>
      </c>
      <c r="D15" s="34" t="e">
        <f>VLOOKUP(B15,داتا!$B$3:$D$107,3,FALSE)</f>
        <v>#N/A</v>
      </c>
      <c r="E15" s="15"/>
      <c r="F15" s="15"/>
      <c r="G15" s="16">
        <v>0.25</v>
      </c>
      <c r="H15" s="16"/>
      <c r="I15" s="16">
        <f t="shared" si="1"/>
        <v>-0.25</v>
      </c>
      <c r="J15" s="16"/>
      <c r="K15" s="16"/>
      <c r="L15" s="16"/>
      <c r="M15" s="16"/>
      <c r="N15" s="16">
        <f t="shared" si="2"/>
        <v>0</v>
      </c>
      <c r="O15" s="16" t="e">
        <f t="shared" si="3"/>
        <v>#N/A</v>
      </c>
      <c r="P15" s="16">
        <v>6.9444444444444397E-3</v>
      </c>
      <c r="Q15" s="16"/>
      <c r="R15" s="16">
        <f t="shared" si="4"/>
        <v>-6.9444444444444397E-3</v>
      </c>
      <c r="S15" s="16"/>
      <c r="T15" s="16" t="e">
        <f>VLOOKUP(E15,'[2]21-3-2026'!E$3:T$35,16,FALSE)</f>
        <v>#N/A</v>
      </c>
      <c r="U15" s="16"/>
      <c r="V15" s="16" t="e">
        <f t="shared" si="5"/>
        <v>#N/A</v>
      </c>
      <c r="W15" s="16"/>
      <c r="X15" s="16"/>
      <c r="Y15" s="16"/>
      <c r="Z15" s="16">
        <f t="shared" si="6"/>
        <v>0</v>
      </c>
      <c r="AA15" s="16">
        <f t="shared" si="0"/>
        <v>0</v>
      </c>
      <c r="AB15" s="16"/>
      <c r="AC15" s="17"/>
      <c r="AD15" s="48"/>
    </row>
    <row r="16" spans="1:30" ht="19.5" thickBot="1" x14ac:dyDescent="0.3">
      <c r="A16" s="14">
        <v>14</v>
      </c>
      <c r="B16" s="15"/>
      <c r="C16" s="15" t="e">
        <f>VLOOKUP(B16,داتا!$B$3:$D$107,2,FALSE)</f>
        <v>#N/A</v>
      </c>
      <c r="D16" s="34" t="e">
        <f>VLOOKUP(B16,داتا!$B$3:$D$107,3,FALSE)</f>
        <v>#N/A</v>
      </c>
      <c r="E16" s="15"/>
      <c r="F16" s="15"/>
      <c r="G16" s="16">
        <v>0.25</v>
      </c>
      <c r="H16" s="16"/>
      <c r="I16" s="16">
        <f t="shared" si="1"/>
        <v>-0.25</v>
      </c>
      <c r="J16" s="16"/>
      <c r="K16" s="16"/>
      <c r="L16" s="16"/>
      <c r="M16" s="16"/>
      <c r="N16" s="16">
        <f t="shared" si="2"/>
        <v>0</v>
      </c>
      <c r="O16" s="16" t="e">
        <f t="shared" si="3"/>
        <v>#N/A</v>
      </c>
      <c r="P16" s="16">
        <v>6.9444444444444397E-3</v>
      </c>
      <c r="Q16" s="16"/>
      <c r="R16" s="16">
        <f t="shared" si="4"/>
        <v>-6.9444444444444397E-3</v>
      </c>
      <c r="S16" s="16"/>
      <c r="T16" s="16" t="e">
        <f>VLOOKUP(E16,'[2]21-3-2026'!E$3:T$35,16,FALSE)</f>
        <v>#N/A</v>
      </c>
      <c r="U16" s="16"/>
      <c r="V16" s="16" t="e">
        <f t="shared" si="5"/>
        <v>#N/A</v>
      </c>
      <c r="W16" s="16"/>
      <c r="X16" s="16"/>
      <c r="Y16" s="16"/>
      <c r="Z16" s="16">
        <f t="shared" si="6"/>
        <v>0</v>
      </c>
      <c r="AA16" s="16">
        <f t="shared" si="0"/>
        <v>0</v>
      </c>
      <c r="AB16" s="16"/>
      <c r="AC16" s="17"/>
      <c r="AD16" s="48"/>
    </row>
    <row r="17" spans="1:30" ht="19.5" thickBot="1" x14ac:dyDescent="0.3">
      <c r="A17" s="14">
        <v>15</v>
      </c>
      <c r="B17" s="15"/>
      <c r="C17" s="15" t="e">
        <f>VLOOKUP(B17,داتا!$B$3:$D$107,2,FALSE)</f>
        <v>#N/A</v>
      </c>
      <c r="D17" s="34" t="e">
        <f>VLOOKUP(B17,داتا!$B$3:$D$107,3,FALSE)</f>
        <v>#N/A</v>
      </c>
      <c r="E17" s="15"/>
      <c r="F17" s="15"/>
      <c r="G17" s="16">
        <v>0.25</v>
      </c>
      <c r="H17" s="16"/>
      <c r="I17" s="16">
        <f t="shared" si="1"/>
        <v>-0.25</v>
      </c>
      <c r="J17" s="16"/>
      <c r="K17" s="16"/>
      <c r="L17" s="16"/>
      <c r="M17" s="16"/>
      <c r="N17" s="16">
        <f t="shared" si="2"/>
        <v>0</v>
      </c>
      <c r="O17" s="16" t="e">
        <f t="shared" si="3"/>
        <v>#N/A</v>
      </c>
      <c r="P17" s="16">
        <v>6.9444444444444397E-3</v>
      </c>
      <c r="Q17" s="16"/>
      <c r="R17" s="16">
        <f t="shared" si="4"/>
        <v>-6.9444444444444397E-3</v>
      </c>
      <c r="S17" s="16"/>
      <c r="T17" s="16" t="e">
        <f>VLOOKUP(E17,'[2]21-3-2026'!E$3:T$35,16,FALSE)</f>
        <v>#N/A</v>
      </c>
      <c r="U17" s="16"/>
      <c r="V17" s="16" t="e">
        <f t="shared" si="5"/>
        <v>#N/A</v>
      </c>
      <c r="W17" s="16"/>
      <c r="X17" s="16"/>
      <c r="Y17" s="16"/>
      <c r="Z17" s="16">
        <f t="shared" si="6"/>
        <v>0</v>
      </c>
      <c r="AA17" s="16">
        <f t="shared" si="0"/>
        <v>0</v>
      </c>
      <c r="AB17" s="16"/>
      <c r="AC17" s="17"/>
      <c r="AD17" s="48"/>
    </row>
    <row r="18" spans="1:30" ht="19.5" thickBot="1" x14ac:dyDescent="0.3">
      <c r="A18" s="14">
        <v>16</v>
      </c>
      <c r="B18" s="15"/>
      <c r="C18" s="15" t="e">
        <f>VLOOKUP(B18,داتا!$B$3:$D$107,2,FALSE)</f>
        <v>#N/A</v>
      </c>
      <c r="D18" s="34" t="e">
        <f>VLOOKUP(B18,داتا!$B$3:$D$107,3,FALSE)</f>
        <v>#N/A</v>
      </c>
      <c r="E18" s="16"/>
      <c r="F18" s="15"/>
      <c r="G18" s="16">
        <v>0.25</v>
      </c>
      <c r="H18" s="16"/>
      <c r="I18" s="16">
        <f t="shared" si="1"/>
        <v>-0.25</v>
      </c>
      <c r="J18" s="16"/>
      <c r="K18" s="16"/>
      <c r="L18" s="16"/>
      <c r="M18" s="16"/>
      <c r="N18" s="16">
        <f t="shared" si="2"/>
        <v>0</v>
      </c>
      <c r="O18" s="16" t="e">
        <f t="shared" si="3"/>
        <v>#N/A</v>
      </c>
      <c r="P18" s="16">
        <v>6.9444444444444397E-3</v>
      </c>
      <c r="Q18" s="16"/>
      <c r="R18" s="16">
        <f t="shared" si="4"/>
        <v>-6.9444444444444397E-3</v>
      </c>
      <c r="S18" s="16"/>
      <c r="T18" s="16" t="e">
        <f>VLOOKUP(E18,'[2]21-3-2026'!E$3:T$35,16,FALSE)</f>
        <v>#N/A</v>
      </c>
      <c r="U18" s="16"/>
      <c r="V18" s="16" t="e">
        <f t="shared" si="5"/>
        <v>#N/A</v>
      </c>
      <c r="W18" s="16"/>
      <c r="X18" s="16"/>
      <c r="Y18" s="16"/>
      <c r="Z18" s="16">
        <f t="shared" si="6"/>
        <v>0</v>
      </c>
      <c r="AA18" s="16">
        <f t="shared" si="0"/>
        <v>0</v>
      </c>
      <c r="AB18" s="16"/>
      <c r="AC18" s="17"/>
      <c r="AD18" s="48"/>
    </row>
    <row r="19" spans="1:30" ht="19.5" thickBot="1" x14ac:dyDescent="0.3">
      <c r="A19" s="14">
        <v>17</v>
      </c>
      <c r="B19" s="15"/>
      <c r="C19" s="15" t="e">
        <f>VLOOKUP(B19,داتا!$B$3:$D$107,2,FALSE)</f>
        <v>#N/A</v>
      </c>
      <c r="D19" s="34" t="e">
        <f>VLOOKUP(B19,داتا!$B$3:$D$107,3,FALSE)</f>
        <v>#N/A</v>
      </c>
      <c r="E19" s="15"/>
      <c r="F19" s="15"/>
      <c r="G19" s="16">
        <v>0.25</v>
      </c>
      <c r="H19" s="16"/>
      <c r="I19" s="16">
        <f t="shared" si="1"/>
        <v>-0.25</v>
      </c>
      <c r="J19" s="16"/>
      <c r="K19" s="16"/>
      <c r="L19" s="16"/>
      <c r="M19" s="16"/>
      <c r="N19" s="16">
        <f t="shared" si="2"/>
        <v>0</v>
      </c>
      <c r="O19" s="16" t="e">
        <f t="shared" si="3"/>
        <v>#N/A</v>
      </c>
      <c r="P19" s="16">
        <v>6.9444444444444397E-3</v>
      </c>
      <c r="Q19" s="16"/>
      <c r="R19" s="16">
        <f t="shared" si="4"/>
        <v>-6.9444444444444397E-3</v>
      </c>
      <c r="S19" s="16"/>
      <c r="T19" s="16" t="e">
        <f>VLOOKUP(E19,'[2]21-3-2026'!E$3:T$35,16,FALSE)</f>
        <v>#N/A</v>
      </c>
      <c r="U19" s="16"/>
      <c r="V19" s="16" t="e">
        <f t="shared" si="5"/>
        <v>#N/A</v>
      </c>
      <c r="W19" s="16"/>
      <c r="X19" s="16"/>
      <c r="Y19" s="16"/>
      <c r="Z19" s="16">
        <f t="shared" si="6"/>
        <v>0</v>
      </c>
      <c r="AA19" s="16">
        <f t="shared" si="0"/>
        <v>0</v>
      </c>
      <c r="AB19" s="16"/>
      <c r="AC19" s="17"/>
      <c r="AD19" s="48"/>
    </row>
    <row r="20" spans="1:30" ht="19.5" thickBot="1" x14ac:dyDescent="0.3">
      <c r="A20" s="14">
        <v>18</v>
      </c>
      <c r="B20" s="15"/>
      <c r="C20" s="15" t="e">
        <f>VLOOKUP(B20,داتا!$B$3:$D$107,2,FALSE)</f>
        <v>#N/A</v>
      </c>
      <c r="D20" s="34" t="e">
        <f>VLOOKUP(B20,داتا!$B$3:$D$107,3,FALSE)</f>
        <v>#N/A</v>
      </c>
      <c r="E20" s="15"/>
      <c r="F20" s="15"/>
      <c r="G20" s="16">
        <v>0.25</v>
      </c>
      <c r="H20" s="16"/>
      <c r="I20" s="16">
        <f t="shared" si="1"/>
        <v>-0.25</v>
      </c>
      <c r="J20" s="16"/>
      <c r="K20" s="16"/>
      <c r="L20" s="16"/>
      <c r="M20" s="16"/>
      <c r="N20" s="16">
        <f t="shared" si="2"/>
        <v>0</v>
      </c>
      <c r="O20" s="16" t="e">
        <f t="shared" si="3"/>
        <v>#N/A</v>
      </c>
      <c r="P20" s="16">
        <v>6.9444444444444397E-3</v>
      </c>
      <c r="Q20" s="16"/>
      <c r="R20" s="16">
        <f t="shared" si="4"/>
        <v>-6.9444444444444397E-3</v>
      </c>
      <c r="S20" s="16"/>
      <c r="T20" s="16" t="e">
        <f>VLOOKUP(E20,'[2]21-3-2026'!E$3:T$35,16,FALSE)</f>
        <v>#N/A</v>
      </c>
      <c r="U20" s="16"/>
      <c r="V20" s="16" t="e">
        <f t="shared" si="5"/>
        <v>#N/A</v>
      </c>
      <c r="W20" s="16"/>
      <c r="X20" s="16"/>
      <c r="Y20" s="16"/>
      <c r="Z20" s="16">
        <f t="shared" si="6"/>
        <v>0</v>
      </c>
      <c r="AA20" s="16">
        <f t="shared" si="0"/>
        <v>0</v>
      </c>
      <c r="AB20" s="16"/>
      <c r="AC20" s="17"/>
      <c r="AD20" s="48"/>
    </row>
    <row r="21" spans="1:30" ht="19.5" thickBot="1" x14ac:dyDescent="0.3">
      <c r="A21" s="14">
        <v>19</v>
      </c>
      <c r="B21" s="15"/>
      <c r="C21" s="15" t="e">
        <f>VLOOKUP(B21,داتا!$B$3:$D$107,2,FALSE)</f>
        <v>#N/A</v>
      </c>
      <c r="D21" s="34" t="e">
        <f>VLOOKUP(B21,داتا!$B$3:$D$107,3,FALSE)</f>
        <v>#N/A</v>
      </c>
      <c r="E21" s="15"/>
      <c r="F21" s="15"/>
      <c r="G21" s="16">
        <v>0.25</v>
      </c>
      <c r="H21" s="16"/>
      <c r="I21" s="16">
        <f t="shared" si="1"/>
        <v>-0.25</v>
      </c>
      <c r="J21" s="16"/>
      <c r="K21" s="16"/>
      <c r="L21" s="16"/>
      <c r="M21" s="16"/>
      <c r="N21" s="16">
        <f t="shared" si="2"/>
        <v>0</v>
      </c>
      <c r="O21" s="16" t="e">
        <f t="shared" si="3"/>
        <v>#N/A</v>
      </c>
      <c r="P21" s="16">
        <v>6.9444444444444397E-3</v>
      </c>
      <c r="Q21" s="16"/>
      <c r="R21" s="16">
        <f t="shared" si="4"/>
        <v>-6.9444444444444397E-3</v>
      </c>
      <c r="S21" s="16"/>
      <c r="T21" s="16" t="e">
        <f>VLOOKUP(E21,'[2]21-3-2026'!E$3:T$35,16,FALSE)</f>
        <v>#N/A</v>
      </c>
      <c r="U21" s="16"/>
      <c r="V21" s="16" t="e">
        <f t="shared" si="5"/>
        <v>#N/A</v>
      </c>
      <c r="W21" s="16"/>
      <c r="X21" s="16"/>
      <c r="Y21" s="16"/>
      <c r="Z21" s="16">
        <f t="shared" si="6"/>
        <v>0</v>
      </c>
      <c r="AA21" s="16">
        <f t="shared" si="0"/>
        <v>0</v>
      </c>
      <c r="AB21" s="16"/>
      <c r="AC21" s="17"/>
      <c r="AD21" s="48"/>
    </row>
    <row r="22" spans="1:30" ht="19.5" thickBot="1" x14ac:dyDescent="0.3">
      <c r="A22" s="14">
        <v>20</v>
      </c>
      <c r="B22" s="15"/>
      <c r="C22" s="15" t="e">
        <f>VLOOKUP(B22,داتا!$B$3:$D$107,2,FALSE)</f>
        <v>#N/A</v>
      </c>
      <c r="D22" s="34" t="e">
        <f>VLOOKUP(B22,داتا!$B$3:$D$107,3,FALSE)</f>
        <v>#N/A</v>
      </c>
      <c r="E22" s="15"/>
      <c r="F22" s="15"/>
      <c r="G22" s="16">
        <v>0.25</v>
      </c>
      <c r="H22" s="16"/>
      <c r="I22" s="16">
        <f t="shared" si="1"/>
        <v>-0.25</v>
      </c>
      <c r="J22" s="16"/>
      <c r="K22" s="16"/>
      <c r="L22" s="16"/>
      <c r="M22" s="16"/>
      <c r="N22" s="16">
        <f t="shared" si="2"/>
        <v>0</v>
      </c>
      <c r="O22" s="16" t="e">
        <f t="shared" si="3"/>
        <v>#N/A</v>
      </c>
      <c r="P22" s="16">
        <v>6.9444444444444397E-3</v>
      </c>
      <c r="Q22" s="16"/>
      <c r="R22" s="16">
        <f t="shared" si="4"/>
        <v>-6.9444444444444397E-3</v>
      </c>
      <c r="S22" s="16"/>
      <c r="T22" s="16" t="e">
        <f>VLOOKUP(E22,'[2]21-3-2026'!E$3:T$35,16,FALSE)</f>
        <v>#N/A</v>
      </c>
      <c r="U22" s="16"/>
      <c r="V22" s="16" t="e">
        <f t="shared" si="5"/>
        <v>#N/A</v>
      </c>
      <c r="W22" s="16"/>
      <c r="X22" s="16"/>
      <c r="Y22" s="16"/>
      <c r="Z22" s="16">
        <f t="shared" si="6"/>
        <v>0</v>
      </c>
      <c r="AA22" s="16">
        <f t="shared" si="0"/>
        <v>0</v>
      </c>
      <c r="AB22" s="16"/>
      <c r="AC22" s="17"/>
      <c r="AD22" s="48"/>
    </row>
    <row r="23" spans="1:30" ht="19.5" thickBot="1" x14ac:dyDescent="0.3">
      <c r="A23" s="14">
        <v>21</v>
      </c>
      <c r="B23" s="15"/>
      <c r="C23" s="15" t="e">
        <f>VLOOKUP(B23,داتا!$B$3:$D$107,2,FALSE)</f>
        <v>#N/A</v>
      </c>
      <c r="D23" s="34" t="e">
        <f>VLOOKUP(B23,داتا!$B$3:$D$107,3,FALSE)</f>
        <v>#N/A</v>
      </c>
      <c r="E23" s="15"/>
      <c r="F23" s="15"/>
      <c r="G23" s="16">
        <v>0.25</v>
      </c>
      <c r="H23" s="16"/>
      <c r="I23" s="16">
        <f t="shared" si="1"/>
        <v>-0.25</v>
      </c>
      <c r="J23" s="16"/>
      <c r="K23" s="16"/>
      <c r="L23" s="16"/>
      <c r="M23" s="16"/>
      <c r="N23" s="16">
        <f t="shared" si="2"/>
        <v>0</v>
      </c>
      <c r="O23" s="16" t="e">
        <f t="shared" si="3"/>
        <v>#N/A</v>
      </c>
      <c r="P23" s="16">
        <v>6.9444444444444397E-3</v>
      </c>
      <c r="Q23" s="16"/>
      <c r="R23" s="16">
        <f t="shared" si="4"/>
        <v>-6.9444444444444397E-3</v>
      </c>
      <c r="S23" s="16"/>
      <c r="T23" s="16" t="e">
        <f>VLOOKUP(E23,'[2]21-3-2026'!E$3:T$35,16,FALSE)</f>
        <v>#N/A</v>
      </c>
      <c r="U23" s="16"/>
      <c r="V23" s="16" t="e">
        <f t="shared" si="5"/>
        <v>#N/A</v>
      </c>
      <c r="W23" s="16"/>
      <c r="X23" s="16"/>
      <c r="Y23" s="16"/>
      <c r="Z23" s="16">
        <f t="shared" si="6"/>
        <v>0</v>
      </c>
      <c r="AA23" s="16">
        <f t="shared" si="0"/>
        <v>0</v>
      </c>
      <c r="AB23" s="16"/>
      <c r="AC23" s="17"/>
      <c r="AD23" s="48"/>
    </row>
    <row r="24" spans="1:30" ht="19.5" thickBot="1" x14ac:dyDescent="0.3">
      <c r="A24" s="14">
        <v>22</v>
      </c>
      <c r="B24" s="15"/>
      <c r="C24" s="15" t="e">
        <f>VLOOKUP(B24,داتا!$B$3:$D$107,2,FALSE)</f>
        <v>#N/A</v>
      </c>
      <c r="D24" s="34" t="e">
        <f>VLOOKUP(B24,داتا!$B$3:$D$107,3,FALSE)</f>
        <v>#N/A</v>
      </c>
      <c r="E24" s="15"/>
      <c r="F24" s="16"/>
      <c r="G24" s="16">
        <v>0.25</v>
      </c>
      <c r="H24" s="16"/>
      <c r="I24" s="16">
        <f t="shared" si="1"/>
        <v>-0.25</v>
      </c>
      <c r="J24" s="16"/>
      <c r="K24" s="16"/>
      <c r="L24" s="16"/>
      <c r="M24" s="16"/>
      <c r="N24" s="16">
        <f t="shared" si="2"/>
        <v>0</v>
      </c>
      <c r="O24" s="16" t="e">
        <f t="shared" si="3"/>
        <v>#N/A</v>
      </c>
      <c r="P24" s="16">
        <v>6.9444444444444397E-3</v>
      </c>
      <c r="Q24" s="16"/>
      <c r="R24" s="16">
        <f t="shared" si="4"/>
        <v>-6.9444444444444397E-3</v>
      </c>
      <c r="S24" s="16"/>
      <c r="T24" s="16" t="e">
        <f>VLOOKUP(E24,'[2]21-3-2026'!E$3:T$35,16,FALSE)</f>
        <v>#N/A</v>
      </c>
      <c r="U24" s="16"/>
      <c r="V24" s="16" t="e">
        <f t="shared" si="5"/>
        <v>#N/A</v>
      </c>
      <c r="W24" s="16"/>
      <c r="X24" s="16"/>
      <c r="Y24" s="16"/>
      <c r="Z24" s="16">
        <f t="shared" si="6"/>
        <v>0</v>
      </c>
      <c r="AA24" s="16">
        <f t="shared" si="0"/>
        <v>0</v>
      </c>
      <c r="AB24" s="16"/>
      <c r="AC24" s="17"/>
      <c r="AD24" s="48"/>
    </row>
    <row r="25" spans="1:30" ht="19.5" thickBot="1" x14ac:dyDescent="0.3">
      <c r="A25" s="14">
        <v>23</v>
      </c>
      <c r="B25" s="15"/>
      <c r="C25" s="15" t="e">
        <f>VLOOKUP(B25,داتا!$B$3:$D$107,2,FALSE)</f>
        <v>#N/A</v>
      </c>
      <c r="D25" s="34" t="e">
        <f>VLOOKUP(B25,داتا!$B$3:$D$107,3,FALSE)</f>
        <v>#N/A</v>
      </c>
      <c r="E25" s="15"/>
      <c r="F25" s="15"/>
      <c r="G25" s="16">
        <v>0.25</v>
      </c>
      <c r="H25" s="16"/>
      <c r="I25" s="16">
        <f t="shared" si="1"/>
        <v>-0.25</v>
      </c>
      <c r="J25" s="16"/>
      <c r="K25" s="16"/>
      <c r="L25" s="16"/>
      <c r="M25" s="16"/>
      <c r="N25" s="16">
        <f t="shared" si="2"/>
        <v>0</v>
      </c>
      <c r="O25" s="16" t="e">
        <f t="shared" si="3"/>
        <v>#N/A</v>
      </c>
      <c r="P25" s="16">
        <v>6.9444444444444397E-3</v>
      </c>
      <c r="Q25" s="16"/>
      <c r="R25" s="16">
        <f t="shared" si="4"/>
        <v>-6.9444444444444397E-3</v>
      </c>
      <c r="S25" s="16"/>
      <c r="T25" s="16" t="e">
        <f>VLOOKUP(E25,'[2]21-3-2026'!E$3:T$35,16,FALSE)</f>
        <v>#N/A</v>
      </c>
      <c r="U25" s="16"/>
      <c r="V25" s="16" t="e">
        <f t="shared" si="5"/>
        <v>#N/A</v>
      </c>
      <c r="W25" s="16"/>
      <c r="X25" s="16"/>
      <c r="Y25" s="16"/>
      <c r="Z25" s="16">
        <f t="shared" si="6"/>
        <v>0</v>
      </c>
      <c r="AA25" s="16">
        <f t="shared" si="0"/>
        <v>0</v>
      </c>
      <c r="AB25" s="16"/>
      <c r="AC25" s="19"/>
      <c r="AD25" s="48"/>
    </row>
    <row r="26" spans="1:30" ht="19.5" thickBot="1" x14ac:dyDescent="0.3">
      <c r="A26" s="14">
        <v>24</v>
      </c>
      <c r="B26" s="15"/>
      <c r="C26" s="15" t="e">
        <f>VLOOKUP(B26,داتا!$B$3:$D$107,2,FALSE)</f>
        <v>#N/A</v>
      </c>
      <c r="D26" s="34" t="e">
        <f>VLOOKUP(B26,داتا!$B$3:$D$107,3,FALSE)</f>
        <v>#N/A</v>
      </c>
      <c r="E26" s="15"/>
      <c r="F26" s="15"/>
      <c r="G26" s="16">
        <v>0.25</v>
      </c>
      <c r="H26" s="16"/>
      <c r="I26" s="16">
        <f t="shared" si="1"/>
        <v>-0.25</v>
      </c>
      <c r="J26" s="16"/>
      <c r="K26" s="16"/>
      <c r="L26" s="16"/>
      <c r="M26" s="16"/>
      <c r="N26" s="16">
        <f t="shared" si="2"/>
        <v>0</v>
      </c>
      <c r="O26" s="16" t="e">
        <f t="shared" si="3"/>
        <v>#N/A</v>
      </c>
      <c r="P26" s="16">
        <v>6.9444444444444397E-3</v>
      </c>
      <c r="Q26" s="16"/>
      <c r="R26" s="16">
        <f t="shared" si="4"/>
        <v>-6.9444444444444397E-3</v>
      </c>
      <c r="S26" s="16"/>
      <c r="T26" s="16" t="e">
        <f>VLOOKUP(E26,'[2]21-3-2026'!E$3:T$35,16,FALSE)</f>
        <v>#N/A</v>
      </c>
      <c r="U26" s="16"/>
      <c r="V26" s="16" t="e">
        <f t="shared" si="5"/>
        <v>#N/A</v>
      </c>
      <c r="W26" s="16"/>
      <c r="X26" s="16"/>
      <c r="Y26" s="16"/>
      <c r="Z26" s="16">
        <f t="shared" si="6"/>
        <v>0</v>
      </c>
      <c r="AA26" s="16">
        <f t="shared" si="0"/>
        <v>0</v>
      </c>
      <c r="AB26" s="16"/>
      <c r="AC26" s="19"/>
      <c r="AD26" s="48"/>
    </row>
    <row r="27" spans="1:30" ht="19.5" thickBot="1" x14ac:dyDescent="0.3">
      <c r="A27" s="14">
        <v>25</v>
      </c>
      <c r="B27" s="15"/>
      <c r="C27" s="15" t="e">
        <f>VLOOKUP(B27,داتا!$B$3:$D$107,2,FALSE)</f>
        <v>#N/A</v>
      </c>
      <c r="D27" s="34" t="e">
        <f>VLOOKUP(B27,داتا!$B$3:$D$107,3,FALSE)</f>
        <v>#N/A</v>
      </c>
      <c r="E27" s="15"/>
      <c r="F27" s="15"/>
      <c r="G27" s="16">
        <v>0.25</v>
      </c>
      <c r="H27" s="16"/>
      <c r="I27" s="16">
        <f t="shared" si="1"/>
        <v>-0.25</v>
      </c>
      <c r="J27" s="16"/>
      <c r="K27" s="16"/>
      <c r="L27" s="16"/>
      <c r="M27" s="16"/>
      <c r="N27" s="16">
        <f t="shared" si="2"/>
        <v>0</v>
      </c>
      <c r="O27" s="16" t="e">
        <f t="shared" si="3"/>
        <v>#N/A</v>
      </c>
      <c r="P27" s="16">
        <v>6.9444444444444397E-3</v>
      </c>
      <c r="Q27" s="16"/>
      <c r="R27" s="16">
        <f t="shared" si="4"/>
        <v>-6.9444444444444397E-3</v>
      </c>
      <c r="S27" s="16"/>
      <c r="T27" s="16" t="e">
        <f>VLOOKUP(E27,'[2]21-3-2026'!E$3:T$35,16,FALSE)</f>
        <v>#N/A</v>
      </c>
      <c r="U27" s="16"/>
      <c r="V27" s="16" t="e">
        <f t="shared" si="5"/>
        <v>#N/A</v>
      </c>
      <c r="W27" s="16"/>
      <c r="X27" s="16"/>
      <c r="Y27" s="16"/>
      <c r="Z27" s="16">
        <f t="shared" si="6"/>
        <v>0</v>
      </c>
      <c r="AA27" s="16">
        <f t="shared" si="0"/>
        <v>0</v>
      </c>
      <c r="AB27" s="16"/>
      <c r="AC27" s="19"/>
      <c r="AD27" s="48"/>
    </row>
    <row r="28" spans="1:30" ht="19.5" thickBot="1" x14ac:dyDescent="0.3">
      <c r="A28" s="14">
        <v>26</v>
      </c>
      <c r="B28" s="15"/>
      <c r="C28" s="15" t="e">
        <f>VLOOKUP(B28,داتا!$B$3:$D$107,2,FALSE)</f>
        <v>#N/A</v>
      </c>
      <c r="D28" s="34" t="e">
        <f>VLOOKUP(B28,داتا!$B$3:$D$107,3,FALSE)</f>
        <v>#N/A</v>
      </c>
      <c r="E28" s="15"/>
      <c r="F28" s="15"/>
      <c r="G28" s="16">
        <v>0.25</v>
      </c>
      <c r="H28" s="16"/>
      <c r="I28" s="16">
        <f t="shared" si="1"/>
        <v>-0.25</v>
      </c>
      <c r="J28" s="16"/>
      <c r="K28" s="16"/>
      <c r="L28" s="16"/>
      <c r="M28" s="16"/>
      <c r="N28" s="16">
        <f t="shared" si="2"/>
        <v>0</v>
      </c>
      <c r="O28" s="16" t="e">
        <f t="shared" si="3"/>
        <v>#N/A</v>
      </c>
      <c r="P28" s="16">
        <v>6.9444444444444397E-3</v>
      </c>
      <c r="Q28" s="16"/>
      <c r="R28" s="16">
        <f t="shared" si="4"/>
        <v>-6.9444444444444397E-3</v>
      </c>
      <c r="S28" s="16"/>
      <c r="T28" s="16" t="e">
        <f>VLOOKUP(E28,'[2]21-3-2026'!E$3:T$35,16,FALSE)</f>
        <v>#N/A</v>
      </c>
      <c r="U28" s="16"/>
      <c r="V28" s="16" t="e">
        <f t="shared" si="5"/>
        <v>#N/A</v>
      </c>
      <c r="W28" s="16"/>
      <c r="X28" s="16"/>
      <c r="Y28" s="16"/>
      <c r="Z28" s="16">
        <f t="shared" si="6"/>
        <v>0</v>
      </c>
      <c r="AA28" s="16">
        <f t="shared" si="0"/>
        <v>0</v>
      </c>
      <c r="AB28" s="16"/>
      <c r="AC28" s="17"/>
      <c r="AD28" s="48"/>
    </row>
    <row r="29" spans="1:30" ht="19.5" thickBot="1" x14ac:dyDescent="0.3">
      <c r="A29" s="14">
        <v>27</v>
      </c>
      <c r="B29" s="15"/>
      <c r="C29" s="15" t="e">
        <f>VLOOKUP(B29,داتا!$B$3:$D$107,2,FALSE)</f>
        <v>#N/A</v>
      </c>
      <c r="D29" s="34" t="e">
        <f>VLOOKUP(B29,داتا!$B$3:$D$107,3,FALSE)</f>
        <v>#N/A</v>
      </c>
      <c r="E29" s="15"/>
      <c r="F29" s="15"/>
      <c r="G29" s="16">
        <v>0.25</v>
      </c>
      <c r="H29" s="16"/>
      <c r="I29" s="16">
        <f t="shared" si="1"/>
        <v>-0.25</v>
      </c>
      <c r="J29" s="16"/>
      <c r="K29" s="16"/>
      <c r="L29" s="16"/>
      <c r="M29" s="16"/>
      <c r="N29" s="16">
        <f t="shared" si="2"/>
        <v>0</v>
      </c>
      <c r="O29" s="16" t="e">
        <f t="shared" si="3"/>
        <v>#N/A</v>
      </c>
      <c r="P29" s="16">
        <v>6.9444444444444397E-3</v>
      </c>
      <c r="Q29" s="16"/>
      <c r="R29" s="16">
        <f t="shared" si="4"/>
        <v>-6.9444444444444397E-3</v>
      </c>
      <c r="S29" s="16"/>
      <c r="T29" s="16" t="e">
        <f>VLOOKUP(E29,'[2]21-3-2026'!E$3:T$35,16,FALSE)</f>
        <v>#N/A</v>
      </c>
      <c r="U29" s="16"/>
      <c r="V29" s="16" t="e">
        <f t="shared" si="5"/>
        <v>#N/A</v>
      </c>
      <c r="W29" s="16"/>
      <c r="X29" s="16"/>
      <c r="Y29" s="16"/>
      <c r="Z29" s="16">
        <f t="shared" si="6"/>
        <v>0</v>
      </c>
      <c r="AA29" s="16">
        <f t="shared" si="0"/>
        <v>0</v>
      </c>
      <c r="AB29" s="16"/>
      <c r="AC29" s="18"/>
      <c r="AD29" s="48"/>
    </row>
    <row r="30" spans="1:30" ht="19.5" thickBot="1" x14ac:dyDescent="0.3">
      <c r="A30" s="14">
        <v>28</v>
      </c>
      <c r="B30" s="15"/>
      <c r="C30" s="15" t="e">
        <f>VLOOKUP(B30,داتا!$B$3:$D$107,2,FALSE)</f>
        <v>#N/A</v>
      </c>
      <c r="D30" s="34" t="e">
        <f>VLOOKUP(B30,داتا!$B$3:$D$107,3,FALSE)</f>
        <v>#N/A</v>
      </c>
      <c r="E30" s="15"/>
      <c r="F30" s="15"/>
      <c r="G30" s="16">
        <v>0.25</v>
      </c>
      <c r="H30" s="16"/>
      <c r="I30" s="16">
        <f t="shared" si="1"/>
        <v>-0.25</v>
      </c>
      <c r="J30" s="16"/>
      <c r="K30" s="16"/>
      <c r="L30" s="16"/>
      <c r="M30" s="16"/>
      <c r="N30" s="16">
        <f t="shared" si="2"/>
        <v>0</v>
      </c>
      <c r="O30" s="16" t="e">
        <f t="shared" si="3"/>
        <v>#N/A</v>
      </c>
      <c r="P30" s="16">
        <v>6.9444444444444397E-3</v>
      </c>
      <c r="Q30" s="16"/>
      <c r="R30" s="16">
        <f t="shared" si="4"/>
        <v>-6.9444444444444397E-3</v>
      </c>
      <c r="S30" s="16"/>
      <c r="T30" s="16" t="e">
        <f>VLOOKUP(E30,'[2]21-3-2026'!E$3:T$35,16,FALSE)</f>
        <v>#N/A</v>
      </c>
      <c r="U30" s="16"/>
      <c r="V30" s="16" t="e">
        <f t="shared" si="5"/>
        <v>#N/A</v>
      </c>
      <c r="W30" s="16"/>
      <c r="X30" s="16"/>
      <c r="Y30" s="16"/>
      <c r="Z30" s="16">
        <f t="shared" si="6"/>
        <v>0</v>
      </c>
      <c r="AA30" s="16">
        <f t="shared" si="0"/>
        <v>0</v>
      </c>
      <c r="AB30" s="16"/>
      <c r="AC30" s="17"/>
      <c r="AD30" s="48"/>
    </row>
    <row r="31" spans="1:30" ht="19.5" thickBot="1" x14ac:dyDescent="0.3">
      <c r="A31" s="14">
        <v>29</v>
      </c>
      <c r="B31" s="15"/>
      <c r="C31" s="15" t="e">
        <f>VLOOKUP(B31,داتا!$B$3:$D$107,2,FALSE)</f>
        <v>#N/A</v>
      </c>
      <c r="D31" s="34" t="e">
        <f>VLOOKUP(B31,داتا!$B$3:$D$107,3,FALSE)</f>
        <v>#N/A</v>
      </c>
      <c r="E31" s="15"/>
      <c r="F31" s="15"/>
      <c r="G31" s="16">
        <v>0.25</v>
      </c>
      <c r="H31" s="16"/>
      <c r="I31" s="16">
        <f t="shared" si="1"/>
        <v>-0.25</v>
      </c>
      <c r="J31" s="16"/>
      <c r="K31" s="16"/>
      <c r="L31" s="16"/>
      <c r="M31" s="16"/>
      <c r="N31" s="16">
        <f t="shared" si="2"/>
        <v>0</v>
      </c>
      <c r="O31" s="16" t="e">
        <f t="shared" si="3"/>
        <v>#N/A</v>
      </c>
      <c r="P31" s="16">
        <v>6.9444444444444397E-3</v>
      </c>
      <c r="Q31" s="16"/>
      <c r="R31" s="16">
        <f t="shared" si="4"/>
        <v>-6.9444444444444397E-3</v>
      </c>
      <c r="S31" s="16"/>
      <c r="T31" s="16" t="e">
        <f>VLOOKUP(E31,'[2]21-3-2026'!E$3:T$35,16,FALSE)</f>
        <v>#N/A</v>
      </c>
      <c r="U31" s="16"/>
      <c r="V31" s="16" t="e">
        <f t="shared" si="5"/>
        <v>#N/A</v>
      </c>
      <c r="W31" s="16"/>
      <c r="X31" s="16"/>
      <c r="Y31" s="16"/>
      <c r="Z31" s="16">
        <f t="shared" si="6"/>
        <v>0</v>
      </c>
      <c r="AA31" s="16">
        <f t="shared" si="0"/>
        <v>0</v>
      </c>
      <c r="AB31" s="16"/>
      <c r="AC31" s="17"/>
      <c r="AD31" s="48"/>
    </row>
    <row r="32" spans="1:30" ht="19.5" thickBot="1" x14ac:dyDescent="0.3">
      <c r="A32" s="14">
        <v>30</v>
      </c>
      <c r="B32" s="15"/>
      <c r="C32" s="15" t="e">
        <f>VLOOKUP(B32,داتا!$B$3:$D$107,2,FALSE)</f>
        <v>#N/A</v>
      </c>
      <c r="D32" s="34" t="e">
        <f>VLOOKUP(B32,داتا!$B$3:$D$107,3,FALSE)</f>
        <v>#N/A</v>
      </c>
      <c r="E32" s="15"/>
      <c r="F32" s="15"/>
      <c r="G32" s="16">
        <v>0.25</v>
      </c>
      <c r="H32" s="16"/>
      <c r="I32" s="16">
        <f t="shared" si="1"/>
        <v>-0.25</v>
      </c>
      <c r="J32" s="16"/>
      <c r="K32" s="16"/>
      <c r="L32" s="16"/>
      <c r="M32" s="16"/>
      <c r="N32" s="16">
        <f t="shared" si="2"/>
        <v>0</v>
      </c>
      <c r="O32" s="16" t="e">
        <f t="shared" si="3"/>
        <v>#N/A</v>
      </c>
      <c r="P32" s="16">
        <v>6.9444444444444397E-3</v>
      </c>
      <c r="Q32" s="16"/>
      <c r="R32" s="16">
        <f t="shared" si="4"/>
        <v>-6.9444444444444397E-3</v>
      </c>
      <c r="S32" s="16"/>
      <c r="T32" s="16" t="e">
        <f>VLOOKUP(E32,'[2]21-3-2026'!E$3:T$35,16,FALSE)</f>
        <v>#N/A</v>
      </c>
      <c r="U32" s="16"/>
      <c r="V32" s="16" t="e">
        <f t="shared" si="5"/>
        <v>#N/A</v>
      </c>
      <c r="W32" s="16"/>
      <c r="X32" s="16"/>
      <c r="Y32" s="16"/>
      <c r="Z32" s="16">
        <f t="shared" si="6"/>
        <v>0</v>
      </c>
      <c r="AA32" s="16">
        <f t="shared" si="0"/>
        <v>0</v>
      </c>
      <c r="AB32" s="16"/>
      <c r="AC32" s="17"/>
      <c r="AD32" s="48"/>
    </row>
    <row r="33" spans="1:30" ht="19.5" thickBot="1" x14ac:dyDescent="0.3">
      <c r="A33" s="14">
        <v>31</v>
      </c>
      <c r="B33" s="15"/>
      <c r="C33" s="15" t="e">
        <f>VLOOKUP(B33,داتا!$B$3:$D$107,2,FALSE)</f>
        <v>#N/A</v>
      </c>
      <c r="D33" s="34" t="e">
        <f>VLOOKUP(B33,داتا!$B$3:$D$107,3,FALSE)</f>
        <v>#N/A</v>
      </c>
      <c r="E33" s="15"/>
      <c r="F33" s="15"/>
      <c r="G33" s="16">
        <v>0.25</v>
      </c>
      <c r="H33" s="16"/>
      <c r="I33" s="16">
        <f t="shared" si="1"/>
        <v>-0.25</v>
      </c>
      <c r="J33" s="16"/>
      <c r="K33" s="16"/>
      <c r="L33" s="16"/>
      <c r="M33" s="16"/>
      <c r="N33" s="16">
        <f t="shared" si="2"/>
        <v>0</v>
      </c>
      <c r="O33" s="16" t="e">
        <f t="shared" si="3"/>
        <v>#N/A</v>
      </c>
      <c r="P33" s="16">
        <v>6.9444444444444397E-3</v>
      </c>
      <c r="Q33" s="16"/>
      <c r="R33" s="16">
        <f t="shared" si="4"/>
        <v>-6.9444444444444397E-3</v>
      </c>
      <c r="S33" s="16"/>
      <c r="T33" s="16" t="e">
        <f>VLOOKUP(E33,'[2]21-3-2026'!E$3:T$35,16,FALSE)</f>
        <v>#N/A</v>
      </c>
      <c r="U33" s="16"/>
      <c r="V33" s="16" t="e">
        <f t="shared" si="5"/>
        <v>#N/A</v>
      </c>
      <c r="W33" s="16"/>
      <c r="X33" s="16"/>
      <c r="Y33" s="16"/>
      <c r="Z33" s="16">
        <f t="shared" si="6"/>
        <v>0</v>
      </c>
      <c r="AA33" s="16">
        <f t="shared" si="0"/>
        <v>0</v>
      </c>
      <c r="AB33" s="16"/>
      <c r="AC33" s="17"/>
      <c r="AD33" s="48"/>
    </row>
    <row r="34" spans="1:30" ht="19.5" thickBot="1" x14ac:dyDescent="0.3">
      <c r="A34" s="14">
        <v>32</v>
      </c>
      <c r="B34" s="15"/>
      <c r="C34" s="15" t="e">
        <f>VLOOKUP(B34,داتا!$B$3:$D$107,2,FALSE)</f>
        <v>#N/A</v>
      </c>
      <c r="D34" s="34" t="e">
        <f>VLOOKUP(B34,داتا!$B$3:$D$107,3,FALSE)</f>
        <v>#N/A</v>
      </c>
      <c r="E34" s="15"/>
      <c r="F34" s="15"/>
      <c r="G34" s="16">
        <v>0.25</v>
      </c>
      <c r="H34" s="16"/>
      <c r="I34" s="16">
        <f t="shared" si="1"/>
        <v>-0.25</v>
      </c>
      <c r="J34" s="16"/>
      <c r="K34" s="16"/>
      <c r="L34" s="16"/>
      <c r="M34" s="16"/>
      <c r="N34" s="16">
        <f t="shared" si="2"/>
        <v>0</v>
      </c>
      <c r="O34" s="16" t="e">
        <f t="shared" si="3"/>
        <v>#N/A</v>
      </c>
      <c r="P34" s="16">
        <v>6.9444444444444397E-3</v>
      </c>
      <c r="Q34" s="16"/>
      <c r="R34" s="16">
        <f t="shared" si="4"/>
        <v>-6.9444444444444397E-3</v>
      </c>
      <c r="S34" s="16"/>
      <c r="T34" s="16" t="e">
        <f>VLOOKUP(E34,'[2]21-3-2026'!E$3:T$35,16,FALSE)</f>
        <v>#N/A</v>
      </c>
      <c r="U34" s="16"/>
      <c r="V34" s="16" t="e">
        <f t="shared" si="5"/>
        <v>#N/A</v>
      </c>
      <c r="W34" s="16"/>
      <c r="X34" s="16"/>
      <c r="Y34" s="16"/>
      <c r="Z34" s="16">
        <f t="shared" si="6"/>
        <v>0</v>
      </c>
      <c r="AA34" s="16">
        <f t="shared" si="0"/>
        <v>0</v>
      </c>
      <c r="AB34" s="16"/>
      <c r="AC34" s="17"/>
      <c r="AD34" s="48"/>
    </row>
    <row r="35" spans="1:30" ht="19.5" thickBot="1" x14ac:dyDescent="0.3">
      <c r="A35" s="20">
        <v>33</v>
      </c>
      <c r="B35" s="21"/>
      <c r="C35" s="21" t="e">
        <f>VLOOKUP(B35,داتا!$B$3:$D$107,2,FALSE)</f>
        <v>#N/A</v>
      </c>
      <c r="D35" s="35" t="e">
        <f>VLOOKUP(B35,داتا!$B$3:$D$107,3,FALSE)</f>
        <v>#N/A</v>
      </c>
      <c r="E35" s="21"/>
      <c r="F35" s="21"/>
      <c r="G35" s="22">
        <v>0.25</v>
      </c>
      <c r="H35" s="22"/>
      <c r="I35" s="22">
        <f t="shared" si="1"/>
        <v>-0.25</v>
      </c>
      <c r="J35" s="22"/>
      <c r="K35" s="22"/>
      <c r="L35" s="22"/>
      <c r="M35" s="22"/>
      <c r="N35" s="22">
        <f t="shared" si="2"/>
        <v>0</v>
      </c>
      <c r="O35" s="22" t="e">
        <f t="shared" si="3"/>
        <v>#N/A</v>
      </c>
      <c r="P35" s="22">
        <v>6.9444444444444397E-3</v>
      </c>
      <c r="Q35" s="22"/>
      <c r="R35" s="22">
        <f t="shared" si="4"/>
        <v>-6.9444444444444397E-3</v>
      </c>
      <c r="S35" s="22"/>
      <c r="T35" s="22" t="e">
        <f>VLOOKUP(E35,'[2]21-3-2026'!E$3:T$35,16,FALSE)</f>
        <v>#N/A</v>
      </c>
      <c r="U35" s="22"/>
      <c r="V35" s="22" t="e">
        <f t="shared" si="5"/>
        <v>#N/A</v>
      </c>
      <c r="W35" s="22"/>
      <c r="X35" s="22"/>
      <c r="Y35" s="22"/>
      <c r="Z35" s="22">
        <f t="shared" si="6"/>
        <v>0</v>
      </c>
      <c r="AA35" s="22">
        <f t="shared" si="0"/>
        <v>0</v>
      </c>
      <c r="AB35" s="22"/>
      <c r="AC35" s="23"/>
      <c r="AD35" s="49"/>
    </row>
    <row r="36" spans="1:30" ht="20.25" customHeight="1" thickTop="1" thickBot="1" x14ac:dyDescent="0.3">
      <c r="A36" s="10">
        <v>1</v>
      </c>
      <c r="B36" s="11"/>
      <c r="C36" s="11" t="e">
        <f>VLOOKUP(B36,داتا!$B$3:$D$107,2,FALSE)</f>
        <v>#N/A</v>
      </c>
      <c r="D36" s="33" t="e">
        <f>VLOOKUP(B36,داتا!$B$3:$D$107,3,FALSE)</f>
        <v>#N/A</v>
      </c>
      <c r="E36" s="11"/>
      <c r="F36" s="11"/>
      <c r="G36" s="12">
        <v>0.25</v>
      </c>
      <c r="H36" s="12" t="e">
        <f>VLOOKUP(G36,$F$3:$I$35,2,FALSE)</f>
        <v>#N/A</v>
      </c>
      <c r="I36" s="12" t="e">
        <f t="shared" si="1"/>
        <v>#N/A</v>
      </c>
      <c r="J36" s="12"/>
      <c r="K36" s="12"/>
      <c r="L36" s="12"/>
      <c r="M36" s="12"/>
      <c r="N36" s="12">
        <f t="shared" si="2"/>
        <v>0</v>
      </c>
      <c r="O36" s="12" t="e">
        <f t="shared" si="3"/>
        <v>#N/A</v>
      </c>
      <c r="P36" s="12">
        <v>6.9444444444444397E-3</v>
      </c>
      <c r="Q36" s="12"/>
      <c r="R36" s="12">
        <f t="shared" si="4"/>
        <v>-6.9444444444444397E-3</v>
      </c>
      <c r="S36" s="12"/>
      <c r="T36" s="12" t="e">
        <f>VLOOKUP(E36,'[2]21-3-2026'!E$3:T$35,16,FALSE)</f>
        <v>#N/A</v>
      </c>
      <c r="U36" s="12"/>
      <c r="V36" s="12" t="e">
        <f t="shared" si="5"/>
        <v>#N/A</v>
      </c>
      <c r="W36" s="12"/>
      <c r="X36" s="12"/>
      <c r="Y36" s="12"/>
      <c r="Z36" s="12">
        <f t="shared" si="6"/>
        <v>0</v>
      </c>
      <c r="AA36" s="12">
        <f t="shared" si="0"/>
        <v>0</v>
      </c>
      <c r="AB36" s="12"/>
      <c r="AC36" s="29"/>
      <c r="AD36" s="50" t="s">
        <v>104</v>
      </c>
    </row>
    <row r="37" spans="1:30" ht="19.5" thickBot="1" x14ac:dyDescent="0.3">
      <c r="A37" s="14">
        <v>2</v>
      </c>
      <c r="B37" s="15"/>
      <c r="C37" s="15" t="e">
        <f>VLOOKUP(B37,داتا!$B$3:$D$107,2,FALSE)</f>
        <v>#N/A</v>
      </c>
      <c r="D37" s="34" t="e">
        <f>VLOOKUP(B37,داتا!$B$3:$D$107,3,FALSE)</f>
        <v>#N/A</v>
      </c>
      <c r="E37" s="15"/>
      <c r="F37" s="15"/>
      <c r="G37" s="16">
        <v>0.25</v>
      </c>
      <c r="H37" s="16" t="e">
        <f t="shared" ref="H37:H52" si="7">VLOOKUP(G37,$F$3:$I$35,2,FALSE)</f>
        <v>#N/A</v>
      </c>
      <c r="I37" s="16" t="e">
        <f t="shared" si="1"/>
        <v>#N/A</v>
      </c>
      <c r="J37" s="16"/>
      <c r="K37" s="16"/>
      <c r="L37" s="16"/>
      <c r="M37" s="16"/>
      <c r="N37" s="16">
        <f t="shared" si="2"/>
        <v>0</v>
      </c>
      <c r="O37" s="16" t="e">
        <f t="shared" si="3"/>
        <v>#N/A</v>
      </c>
      <c r="P37" s="16">
        <v>6.9444444444444397E-3</v>
      </c>
      <c r="Q37" s="16"/>
      <c r="R37" s="16">
        <f t="shared" si="4"/>
        <v>-6.9444444444444397E-3</v>
      </c>
      <c r="S37" s="16"/>
      <c r="T37" s="16" t="e">
        <f>VLOOKUP(E37,'[2]21-3-2026'!E$3:T$35,16,FALSE)</f>
        <v>#N/A</v>
      </c>
      <c r="U37" s="16"/>
      <c r="V37" s="16" t="e">
        <f t="shared" si="5"/>
        <v>#N/A</v>
      </c>
      <c r="W37" s="16"/>
      <c r="X37" s="16"/>
      <c r="Y37" s="16"/>
      <c r="Z37" s="16">
        <f t="shared" si="6"/>
        <v>0</v>
      </c>
      <c r="AA37" s="16">
        <f t="shared" si="0"/>
        <v>0</v>
      </c>
      <c r="AB37" s="16"/>
      <c r="AC37" s="19"/>
      <c r="AD37" s="51"/>
    </row>
    <row r="38" spans="1:30" ht="19.5" thickBot="1" x14ac:dyDescent="0.3">
      <c r="A38" s="14">
        <v>3</v>
      </c>
      <c r="B38" s="15"/>
      <c r="C38" s="15" t="e">
        <f>VLOOKUP(B38,داتا!$B$3:$D$107,2,FALSE)</f>
        <v>#N/A</v>
      </c>
      <c r="D38" s="34" t="e">
        <f>VLOOKUP(B38,داتا!$B$3:$D$107,3,FALSE)</f>
        <v>#N/A</v>
      </c>
      <c r="E38" s="15"/>
      <c r="F38" s="15"/>
      <c r="G38" s="16">
        <v>0.25</v>
      </c>
      <c r="H38" s="16" t="e">
        <f t="shared" si="7"/>
        <v>#N/A</v>
      </c>
      <c r="I38" s="16" t="e">
        <f t="shared" si="1"/>
        <v>#N/A</v>
      </c>
      <c r="J38" s="16"/>
      <c r="K38" s="16"/>
      <c r="L38" s="16"/>
      <c r="M38" s="16"/>
      <c r="N38" s="16">
        <f t="shared" si="2"/>
        <v>0</v>
      </c>
      <c r="O38" s="16" t="e">
        <f t="shared" si="3"/>
        <v>#N/A</v>
      </c>
      <c r="P38" s="16">
        <v>6.9444444444444397E-3</v>
      </c>
      <c r="Q38" s="16"/>
      <c r="R38" s="16">
        <f t="shared" si="4"/>
        <v>-6.9444444444444397E-3</v>
      </c>
      <c r="S38" s="16"/>
      <c r="T38" s="16" t="e">
        <f>VLOOKUP(E38,'[2]21-3-2026'!E$3:T$35,16,FALSE)</f>
        <v>#N/A</v>
      </c>
      <c r="U38" s="16"/>
      <c r="V38" s="16" t="e">
        <f t="shared" si="5"/>
        <v>#N/A</v>
      </c>
      <c r="W38" s="16"/>
      <c r="X38" s="16"/>
      <c r="Y38" s="16"/>
      <c r="Z38" s="16">
        <f t="shared" si="6"/>
        <v>0</v>
      </c>
      <c r="AA38" s="16">
        <f t="shared" si="0"/>
        <v>0</v>
      </c>
      <c r="AB38" s="16"/>
      <c r="AC38" s="19"/>
      <c r="AD38" s="51"/>
    </row>
    <row r="39" spans="1:30" ht="19.5" thickBot="1" x14ac:dyDescent="0.3">
      <c r="A39" s="14">
        <v>4</v>
      </c>
      <c r="B39" s="15"/>
      <c r="C39" s="15" t="e">
        <f>VLOOKUP(B39,داتا!$B$3:$D$107,2,FALSE)</f>
        <v>#N/A</v>
      </c>
      <c r="D39" s="34" t="e">
        <f>VLOOKUP(B39,داتا!$B$3:$D$107,3,FALSE)</f>
        <v>#N/A</v>
      </c>
      <c r="E39" s="15"/>
      <c r="F39" s="15"/>
      <c r="G39" s="16">
        <v>0.25</v>
      </c>
      <c r="H39" s="16" t="e">
        <f t="shared" si="7"/>
        <v>#N/A</v>
      </c>
      <c r="I39" s="16" t="e">
        <f t="shared" si="1"/>
        <v>#N/A</v>
      </c>
      <c r="J39" s="16"/>
      <c r="K39" s="16"/>
      <c r="L39" s="16"/>
      <c r="M39" s="16"/>
      <c r="N39" s="16">
        <f t="shared" si="2"/>
        <v>0</v>
      </c>
      <c r="O39" s="16" t="e">
        <f t="shared" si="3"/>
        <v>#N/A</v>
      </c>
      <c r="P39" s="16">
        <v>6.9444444444444397E-3</v>
      </c>
      <c r="Q39" s="16"/>
      <c r="R39" s="16">
        <f t="shared" si="4"/>
        <v>-6.9444444444444397E-3</v>
      </c>
      <c r="S39" s="16"/>
      <c r="T39" s="16" t="e">
        <f>VLOOKUP(E39,'[2]21-3-2026'!E$3:T$35,16,FALSE)</f>
        <v>#N/A</v>
      </c>
      <c r="U39" s="16"/>
      <c r="V39" s="16" t="e">
        <f t="shared" si="5"/>
        <v>#N/A</v>
      </c>
      <c r="W39" s="16"/>
      <c r="X39" s="16"/>
      <c r="Y39" s="16"/>
      <c r="Z39" s="16">
        <f t="shared" si="6"/>
        <v>0</v>
      </c>
      <c r="AA39" s="16">
        <f t="shared" si="0"/>
        <v>0</v>
      </c>
      <c r="AB39" s="16"/>
      <c r="AC39" s="17"/>
      <c r="AD39" s="51"/>
    </row>
    <row r="40" spans="1:30" ht="19.5" thickBot="1" x14ac:dyDescent="0.3">
      <c r="A40" s="14">
        <v>5</v>
      </c>
      <c r="B40" s="15"/>
      <c r="C40" s="15" t="e">
        <f>VLOOKUP(B40,داتا!$B$3:$D$107,2,FALSE)</f>
        <v>#N/A</v>
      </c>
      <c r="D40" s="34" t="e">
        <f>VLOOKUP(B40,داتا!$B$3:$D$107,3,FALSE)</f>
        <v>#N/A</v>
      </c>
      <c r="E40" s="15"/>
      <c r="F40" s="15"/>
      <c r="G40" s="16">
        <v>0.25</v>
      </c>
      <c r="H40" s="16" t="e">
        <f t="shared" si="7"/>
        <v>#N/A</v>
      </c>
      <c r="I40" s="16" t="e">
        <f t="shared" si="1"/>
        <v>#N/A</v>
      </c>
      <c r="J40" s="16"/>
      <c r="K40" s="16"/>
      <c r="L40" s="16"/>
      <c r="M40" s="16"/>
      <c r="N40" s="16">
        <f t="shared" si="2"/>
        <v>0</v>
      </c>
      <c r="O40" s="16" t="e">
        <f t="shared" si="3"/>
        <v>#N/A</v>
      </c>
      <c r="P40" s="16">
        <v>6.9444444444444397E-3</v>
      </c>
      <c r="Q40" s="16"/>
      <c r="R40" s="16">
        <f t="shared" si="4"/>
        <v>-6.9444444444444397E-3</v>
      </c>
      <c r="S40" s="16"/>
      <c r="T40" s="16" t="e">
        <f>VLOOKUP(E40,'[2]21-3-2026'!E$3:T$35,16,FALSE)</f>
        <v>#N/A</v>
      </c>
      <c r="U40" s="16"/>
      <c r="V40" s="16" t="e">
        <f t="shared" si="5"/>
        <v>#N/A</v>
      </c>
      <c r="W40" s="16"/>
      <c r="X40" s="16"/>
      <c r="Y40" s="16"/>
      <c r="Z40" s="16">
        <f t="shared" si="6"/>
        <v>0</v>
      </c>
      <c r="AA40" s="16">
        <f t="shared" si="0"/>
        <v>0</v>
      </c>
      <c r="AB40" s="16"/>
      <c r="AC40" s="17"/>
      <c r="AD40" s="51"/>
    </row>
    <row r="41" spans="1:30" ht="19.5" thickBot="1" x14ac:dyDescent="0.3">
      <c r="A41" s="14">
        <v>6</v>
      </c>
      <c r="B41" s="15"/>
      <c r="C41" s="15" t="e">
        <f>VLOOKUP(B41,داتا!$B$3:$D$107,2,FALSE)</f>
        <v>#N/A</v>
      </c>
      <c r="D41" s="34" t="e">
        <f>VLOOKUP(B41,داتا!$B$3:$D$107,3,FALSE)</f>
        <v>#N/A</v>
      </c>
      <c r="E41" s="15"/>
      <c r="F41" s="15"/>
      <c r="G41" s="16">
        <v>0.25</v>
      </c>
      <c r="H41" s="16" t="e">
        <f t="shared" si="7"/>
        <v>#N/A</v>
      </c>
      <c r="I41" s="16" t="e">
        <f t="shared" si="1"/>
        <v>#N/A</v>
      </c>
      <c r="J41" s="16"/>
      <c r="K41" s="16"/>
      <c r="L41" s="16"/>
      <c r="M41" s="16"/>
      <c r="N41" s="16">
        <f t="shared" si="2"/>
        <v>0</v>
      </c>
      <c r="O41" s="16" t="e">
        <f t="shared" si="3"/>
        <v>#N/A</v>
      </c>
      <c r="P41" s="16">
        <v>6.9444444444444397E-3</v>
      </c>
      <c r="Q41" s="16"/>
      <c r="R41" s="16">
        <f t="shared" si="4"/>
        <v>-6.9444444444444397E-3</v>
      </c>
      <c r="S41" s="16"/>
      <c r="T41" s="16" t="e">
        <f>VLOOKUP(E41,'[2]21-3-2026'!E$3:T$35,16,FALSE)</f>
        <v>#N/A</v>
      </c>
      <c r="U41" s="16"/>
      <c r="V41" s="16" t="e">
        <f t="shared" si="5"/>
        <v>#N/A</v>
      </c>
      <c r="W41" s="16"/>
      <c r="X41" s="16"/>
      <c r="Y41" s="16"/>
      <c r="Z41" s="16">
        <f t="shared" si="6"/>
        <v>0</v>
      </c>
      <c r="AA41" s="16">
        <f t="shared" si="0"/>
        <v>0</v>
      </c>
      <c r="AB41" s="16"/>
      <c r="AC41" s="17"/>
      <c r="AD41" s="51"/>
    </row>
    <row r="42" spans="1:30" ht="19.5" thickBot="1" x14ac:dyDescent="0.3">
      <c r="A42" s="14">
        <v>7</v>
      </c>
      <c r="B42" s="15"/>
      <c r="C42" s="15" t="e">
        <f>VLOOKUP(B42,داتا!$B$3:$D$107,2,FALSE)</f>
        <v>#N/A</v>
      </c>
      <c r="D42" s="34" t="e">
        <f>VLOOKUP(B42,داتا!$B$3:$D$107,3,FALSE)</f>
        <v>#N/A</v>
      </c>
      <c r="E42" s="15"/>
      <c r="F42" s="15"/>
      <c r="G42" s="16">
        <v>0.25</v>
      </c>
      <c r="H42" s="16" t="e">
        <f t="shared" si="7"/>
        <v>#N/A</v>
      </c>
      <c r="I42" s="16" t="e">
        <f t="shared" si="1"/>
        <v>#N/A</v>
      </c>
      <c r="J42" s="16"/>
      <c r="K42" s="16"/>
      <c r="L42" s="16"/>
      <c r="M42" s="16"/>
      <c r="N42" s="16">
        <f t="shared" si="2"/>
        <v>0</v>
      </c>
      <c r="O42" s="16" t="e">
        <f t="shared" si="3"/>
        <v>#N/A</v>
      </c>
      <c r="P42" s="16">
        <v>6.9444444444444397E-3</v>
      </c>
      <c r="Q42" s="16"/>
      <c r="R42" s="16">
        <f t="shared" si="4"/>
        <v>-6.9444444444444397E-3</v>
      </c>
      <c r="S42" s="16"/>
      <c r="T42" s="16" t="e">
        <f>VLOOKUP(E42,'[2]21-3-2026'!E$3:T$35,16,FALSE)</f>
        <v>#N/A</v>
      </c>
      <c r="U42" s="16"/>
      <c r="V42" s="16" t="e">
        <f t="shared" si="5"/>
        <v>#N/A</v>
      </c>
      <c r="W42" s="16"/>
      <c r="X42" s="16"/>
      <c r="Y42" s="16"/>
      <c r="Z42" s="16">
        <f t="shared" si="6"/>
        <v>0</v>
      </c>
      <c r="AA42" s="16">
        <f t="shared" si="0"/>
        <v>0</v>
      </c>
      <c r="AB42" s="16"/>
      <c r="AC42" s="17"/>
      <c r="AD42" s="51"/>
    </row>
    <row r="43" spans="1:30" ht="19.5" thickBot="1" x14ac:dyDescent="0.3">
      <c r="A43" s="14">
        <v>8</v>
      </c>
      <c r="B43" s="15"/>
      <c r="C43" s="15" t="e">
        <f>VLOOKUP(B43,داتا!$B$3:$D$107,2,FALSE)</f>
        <v>#N/A</v>
      </c>
      <c r="D43" s="34" t="e">
        <f>VLOOKUP(B43,داتا!$B$3:$D$107,3,FALSE)</f>
        <v>#N/A</v>
      </c>
      <c r="E43" s="15"/>
      <c r="F43" s="15"/>
      <c r="G43" s="16">
        <v>0.25</v>
      </c>
      <c r="H43" s="16" t="e">
        <f t="shared" si="7"/>
        <v>#N/A</v>
      </c>
      <c r="I43" s="16" t="e">
        <f t="shared" si="1"/>
        <v>#N/A</v>
      </c>
      <c r="J43" s="16"/>
      <c r="K43" s="16"/>
      <c r="L43" s="16"/>
      <c r="M43" s="16"/>
      <c r="N43" s="16">
        <f t="shared" si="2"/>
        <v>0</v>
      </c>
      <c r="O43" s="16" t="e">
        <f t="shared" si="3"/>
        <v>#N/A</v>
      </c>
      <c r="P43" s="16">
        <v>6.9444444444444397E-3</v>
      </c>
      <c r="Q43" s="16"/>
      <c r="R43" s="16">
        <f t="shared" si="4"/>
        <v>-6.9444444444444397E-3</v>
      </c>
      <c r="S43" s="16"/>
      <c r="T43" s="16" t="e">
        <f>VLOOKUP(E43,'[2]21-3-2026'!E$3:T$35,16,FALSE)</f>
        <v>#N/A</v>
      </c>
      <c r="U43" s="16"/>
      <c r="V43" s="16" t="e">
        <f t="shared" si="5"/>
        <v>#N/A</v>
      </c>
      <c r="W43" s="16"/>
      <c r="X43" s="16"/>
      <c r="Y43" s="16"/>
      <c r="Z43" s="16">
        <f t="shared" si="6"/>
        <v>0</v>
      </c>
      <c r="AA43" s="16">
        <f t="shared" si="0"/>
        <v>0</v>
      </c>
      <c r="AB43" s="16"/>
      <c r="AC43" s="17"/>
      <c r="AD43" s="51"/>
    </row>
    <row r="44" spans="1:30" ht="19.5" thickBot="1" x14ac:dyDescent="0.3">
      <c r="A44" s="14">
        <v>9</v>
      </c>
      <c r="B44" s="15"/>
      <c r="C44" s="15" t="e">
        <f>VLOOKUP(B44,داتا!$B$3:$D$107,2,FALSE)</f>
        <v>#N/A</v>
      </c>
      <c r="D44" s="34" t="e">
        <f>VLOOKUP(B44,داتا!$B$3:$D$107,3,FALSE)</f>
        <v>#N/A</v>
      </c>
      <c r="E44" s="15"/>
      <c r="F44" s="15"/>
      <c r="G44" s="16">
        <v>0.25</v>
      </c>
      <c r="H44" s="16" t="e">
        <f t="shared" si="7"/>
        <v>#N/A</v>
      </c>
      <c r="I44" s="16" t="e">
        <f t="shared" si="1"/>
        <v>#N/A</v>
      </c>
      <c r="J44" s="16"/>
      <c r="K44" s="16"/>
      <c r="L44" s="16"/>
      <c r="M44" s="16"/>
      <c r="N44" s="16">
        <f t="shared" si="2"/>
        <v>0</v>
      </c>
      <c r="O44" s="16" t="e">
        <f t="shared" si="3"/>
        <v>#N/A</v>
      </c>
      <c r="P44" s="16">
        <v>6.9444444444444397E-3</v>
      </c>
      <c r="Q44" s="16"/>
      <c r="R44" s="16">
        <f t="shared" si="4"/>
        <v>-6.9444444444444397E-3</v>
      </c>
      <c r="S44" s="16"/>
      <c r="T44" s="16" t="e">
        <f>VLOOKUP(E44,'[2]21-3-2026'!E$3:T$35,16,FALSE)</f>
        <v>#N/A</v>
      </c>
      <c r="U44" s="16"/>
      <c r="V44" s="16" t="e">
        <f t="shared" si="5"/>
        <v>#N/A</v>
      </c>
      <c r="W44" s="16"/>
      <c r="X44" s="16"/>
      <c r="Y44" s="16"/>
      <c r="Z44" s="16">
        <f t="shared" si="6"/>
        <v>0</v>
      </c>
      <c r="AA44" s="16">
        <f t="shared" si="0"/>
        <v>0</v>
      </c>
      <c r="AB44" s="16"/>
      <c r="AC44" s="17"/>
      <c r="AD44" s="51"/>
    </row>
    <row r="45" spans="1:30" ht="19.5" thickBot="1" x14ac:dyDescent="0.3">
      <c r="A45" s="14">
        <v>10</v>
      </c>
      <c r="B45" s="15"/>
      <c r="C45" s="15" t="e">
        <f>VLOOKUP(B45,داتا!$B$3:$D$107,2,FALSE)</f>
        <v>#N/A</v>
      </c>
      <c r="D45" s="34" t="e">
        <f>VLOOKUP(B45,داتا!$B$3:$D$107,3,FALSE)</f>
        <v>#N/A</v>
      </c>
      <c r="E45" s="15"/>
      <c r="F45" s="15"/>
      <c r="G45" s="16">
        <v>0.25</v>
      </c>
      <c r="H45" s="16" t="e">
        <f t="shared" si="7"/>
        <v>#N/A</v>
      </c>
      <c r="I45" s="16" t="e">
        <f t="shared" si="1"/>
        <v>#N/A</v>
      </c>
      <c r="J45" s="16"/>
      <c r="K45" s="16"/>
      <c r="L45" s="16"/>
      <c r="M45" s="16"/>
      <c r="N45" s="16">
        <f t="shared" si="2"/>
        <v>0</v>
      </c>
      <c r="O45" s="16" t="e">
        <f t="shared" si="3"/>
        <v>#N/A</v>
      </c>
      <c r="P45" s="16">
        <v>6.9444444444444397E-3</v>
      </c>
      <c r="Q45" s="16"/>
      <c r="R45" s="16">
        <f t="shared" si="4"/>
        <v>-6.9444444444444397E-3</v>
      </c>
      <c r="S45" s="16"/>
      <c r="T45" s="16" t="e">
        <f>VLOOKUP(E45,'[2]21-3-2026'!E$3:T$35,16,FALSE)</f>
        <v>#N/A</v>
      </c>
      <c r="U45" s="16"/>
      <c r="V45" s="16" t="e">
        <f t="shared" si="5"/>
        <v>#N/A</v>
      </c>
      <c r="W45" s="16"/>
      <c r="X45" s="16"/>
      <c r="Y45" s="16"/>
      <c r="Z45" s="16">
        <f t="shared" si="6"/>
        <v>0</v>
      </c>
      <c r="AA45" s="16">
        <f t="shared" si="0"/>
        <v>0</v>
      </c>
      <c r="AB45" s="16"/>
      <c r="AC45" s="17"/>
      <c r="AD45" s="51"/>
    </row>
    <row r="46" spans="1:30" ht="19.5" thickBot="1" x14ac:dyDescent="0.3">
      <c r="A46" s="14">
        <v>11</v>
      </c>
      <c r="B46" s="15"/>
      <c r="C46" s="15" t="e">
        <f>VLOOKUP(B46,داتا!$B$3:$D$107,2,FALSE)</f>
        <v>#N/A</v>
      </c>
      <c r="D46" s="34" t="e">
        <f>VLOOKUP(B46,داتا!$B$3:$D$107,3,FALSE)</f>
        <v>#N/A</v>
      </c>
      <c r="E46" s="15"/>
      <c r="F46" s="15"/>
      <c r="G46" s="16">
        <v>0.25</v>
      </c>
      <c r="H46" s="16" t="e">
        <f t="shared" si="7"/>
        <v>#N/A</v>
      </c>
      <c r="I46" s="16" t="e">
        <f t="shared" si="1"/>
        <v>#N/A</v>
      </c>
      <c r="J46" s="16"/>
      <c r="K46" s="16"/>
      <c r="L46" s="16"/>
      <c r="M46" s="16"/>
      <c r="N46" s="16">
        <f t="shared" si="2"/>
        <v>0</v>
      </c>
      <c r="O46" s="16" t="e">
        <f t="shared" si="3"/>
        <v>#N/A</v>
      </c>
      <c r="P46" s="16">
        <v>6.9444444444444397E-3</v>
      </c>
      <c r="Q46" s="16"/>
      <c r="R46" s="16">
        <f t="shared" si="4"/>
        <v>-6.9444444444444397E-3</v>
      </c>
      <c r="S46" s="16"/>
      <c r="T46" s="16" t="e">
        <f>VLOOKUP(E46,'[2]21-3-2026'!E$3:T$35,16,FALSE)</f>
        <v>#N/A</v>
      </c>
      <c r="U46" s="16"/>
      <c r="V46" s="16" t="e">
        <f t="shared" si="5"/>
        <v>#N/A</v>
      </c>
      <c r="W46" s="16"/>
      <c r="X46" s="16"/>
      <c r="Y46" s="16"/>
      <c r="Z46" s="16">
        <f t="shared" si="6"/>
        <v>0</v>
      </c>
      <c r="AA46" s="16">
        <f t="shared" si="0"/>
        <v>0</v>
      </c>
      <c r="AB46" s="16"/>
      <c r="AC46" s="17"/>
      <c r="AD46" s="51"/>
    </row>
    <row r="47" spans="1:30" ht="19.5" thickBot="1" x14ac:dyDescent="0.3">
      <c r="A47" s="14">
        <v>12</v>
      </c>
      <c r="B47" s="15"/>
      <c r="C47" s="15" t="e">
        <f>VLOOKUP(B47,داتا!$B$3:$D$107,2,FALSE)</f>
        <v>#N/A</v>
      </c>
      <c r="D47" s="34" t="e">
        <f>VLOOKUP(B47,داتا!$B$3:$D$107,3,FALSE)</f>
        <v>#N/A</v>
      </c>
      <c r="E47" s="15"/>
      <c r="F47" s="15"/>
      <c r="G47" s="16">
        <v>0.25</v>
      </c>
      <c r="H47" s="16" t="e">
        <f t="shared" si="7"/>
        <v>#N/A</v>
      </c>
      <c r="I47" s="16" t="e">
        <f t="shared" si="1"/>
        <v>#N/A</v>
      </c>
      <c r="J47" s="16"/>
      <c r="K47" s="16"/>
      <c r="L47" s="16"/>
      <c r="M47" s="16"/>
      <c r="N47" s="16">
        <f t="shared" si="2"/>
        <v>0</v>
      </c>
      <c r="O47" s="16" t="e">
        <f t="shared" si="3"/>
        <v>#N/A</v>
      </c>
      <c r="P47" s="16">
        <v>6.9444444444444397E-3</v>
      </c>
      <c r="Q47" s="16"/>
      <c r="R47" s="16">
        <f t="shared" si="4"/>
        <v>-6.9444444444444397E-3</v>
      </c>
      <c r="S47" s="16"/>
      <c r="T47" s="16" t="e">
        <f>VLOOKUP(E47,'[2]21-3-2026'!E$3:T$35,16,FALSE)</f>
        <v>#N/A</v>
      </c>
      <c r="U47" s="16"/>
      <c r="V47" s="16" t="e">
        <f t="shared" si="5"/>
        <v>#N/A</v>
      </c>
      <c r="W47" s="16"/>
      <c r="X47" s="16"/>
      <c r="Y47" s="16"/>
      <c r="Z47" s="16">
        <f t="shared" si="6"/>
        <v>0</v>
      </c>
      <c r="AA47" s="16">
        <f t="shared" si="0"/>
        <v>0</v>
      </c>
      <c r="AB47" s="16"/>
      <c r="AC47" s="17"/>
      <c r="AD47" s="51"/>
    </row>
    <row r="48" spans="1:30" ht="19.5" thickBot="1" x14ac:dyDescent="0.3">
      <c r="A48" s="14">
        <v>13</v>
      </c>
      <c r="B48" s="15"/>
      <c r="C48" s="15" t="e">
        <f>VLOOKUP(B48,داتا!$B$3:$D$107,2,FALSE)</f>
        <v>#N/A</v>
      </c>
      <c r="D48" s="34" t="e">
        <f>VLOOKUP(B48,داتا!$B$3:$D$107,3,FALSE)</f>
        <v>#N/A</v>
      </c>
      <c r="E48" s="15"/>
      <c r="F48" s="15"/>
      <c r="G48" s="16">
        <v>0.25</v>
      </c>
      <c r="H48" s="16" t="e">
        <f t="shared" si="7"/>
        <v>#N/A</v>
      </c>
      <c r="I48" s="16" t="e">
        <f t="shared" si="1"/>
        <v>#N/A</v>
      </c>
      <c r="J48" s="16"/>
      <c r="K48" s="16"/>
      <c r="L48" s="16"/>
      <c r="M48" s="16"/>
      <c r="N48" s="16">
        <f t="shared" si="2"/>
        <v>0</v>
      </c>
      <c r="O48" s="16" t="e">
        <f t="shared" si="3"/>
        <v>#N/A</v>
      </c>
      <c r="P48" s="16">
        <v>6.9444444444444397E-3</v>
      </c>
      <c r="Q48" s="16"/>
      <c r="R48" s="16">
        <f t="shared" si="4"/>
        <v>-6.9444444444444397E-3</v>
      </c>
      <c r="S48" s="16"/>
      <c r="T48" s="16" t="e">
        <f>VLOOKUP(E48,'[2]21-3-2026'!E$3:T$35,16,FALSE)</f>
        <v>#N/A</v>
      </c>
      <c r="U48" s="16"/>
      <c r="V48" s="16" t="e">
        <f t="shared" si="5"/>
        <v>#N/A</v>
      </c>
      <c r="W48" s="16"/>
      <c r="X48" s="16"/>
      <c r="Y48" s="16"/>
      <c r="Z48" s="16">
        <f t="shared" si="6"/>
        <v>0</v>
      </c>
      <c r="AA48" s="16">
        <f t="shared" si="0"/>
        <v>0</v>
      </c>
      <c r="AB48" s="16"/>
      <c r="AC48" s="17"/>
      <c r="AD48" s="51"/>
    </row>
    <row r="49" spans="1:30" ht="19.5" thickBot="1" x14ac:dyDescent="0.3">
      <c r="A49" s="14">
        <v>14</v>
      </c>
      <c r="B49" s="15"/>
      <c r="C49" s="15" t="e">
        <f>VLOOKUP(B49,داتا!$B$3:$D$107,2,FALSE)</f>
        <v>#N/A</v>
      </c>
      <c r="D49" s="34" t="e">
        <f>VLOOKUP(B49,داتا!$B$3:$D$107,3,FALSE)</f>
        <v>#N/A</v>
      </c>
      <c r="E49" s="15"/>
      <c r="F49" s="15"/>
      <c r="G49" s="16">
        <v>0.25</v>
      </c>
      <c r="H49" s="16" t="e">
        <f t="shared" si="7"/>
        <v>#N/A</v>
      </c>
      <c r="I49" s="16" t="e">
        <f t="shared" si="1"/>
        <v>#N/A</v>
      </c>
      <c r="J49" s="16"/>
      <c r="K49" s="16"/>
      <c r="L49" s="16"/>
      <c r="M49" s="16"/>
      <c r="N49" s="16">
        <f t="shared" si="2"/>
        <v>0</v>
      </c>
      <c r="O49" s="16" t="e">
        <f t="shared" si="3"/>
        <v>#N/A</v>
      </c>
      <c r="P49" s="16">
        <v>6.9444444444444397E-3</v>
      </c>
      <c r="Q49" s="16"/>
      <c r="R49" s="16">
        <f t="shared" si="4"/>
        <v>-6.9444444444444397E-3</v>
      </c>
      <c r="S49" s="16"/>
      <c r="T49" s="16" t="e">
        <f>VLOOKUP(E49,'[2]21-3-2026'!E$3:T$35,16,FALSE)</f>
        <v>#N/A</v>
      </c>
      <c r="U49" s="16"/>
      <c r="V49" s="16" t="e">
        <f t="shared" si="5"/>
        <v>#N/A</v>
      </c>
      <c r="W49" s="16"/>
      <c r="X49" s="16"/>
      <c r="Y49" s="16"/>
      <c r="Z49" s="16">
        <f t="shared" si="6"/>
        <v>0</v>
      </c>
      <c r="AA49" s="16">
        <f t="shared" si="0"/>
        <v>0</v>
      </c>
      <c r="AB49" s="16"/>
      <c r="AC49" s="17"/>
      <c r="AD49" s="51"/>
    </row>
    <row r="50" spans="1:30" ht="19.5" thickBot="1" x14ac:dyDescent="0.3">
      <c r="A50" s="14">
        <v>15</v>
      </c>
      <c r="B50" s="15"/>
      <c r="C50" s="15" t="e">
        <f>VLOOKUP(B50,داتا!$B$3:$D$107,2,FALSE)</f>
        <v>#N/A</v>
      </c>
      <c r="D50" s="34" t="e">
        <f>VLOOKUP(B50,داتا!$B$3:$D$107,3,FALSE)</f>
        <v>#N/A</v>
      </c>
      <c r="E50" s="15"/>
      <c r="F50" s="15"/>
      <c r="G50" s="16">
        <v>0.25</v>
      </c>
      <c r="H50" s="16" t="e">
        <f t="shared" si="7"/>
        <v>#N/A</v>
      </c>
      <c r="I50" s="16" t="e">
        <f t="shared" si="1"/>
        <v>#N/A</v>
      </c>
      <c r="J50" s="16"/>
      <c r="K50" s="16"/>
      <c r="L50" s="16"/>
      <c r="M50" s="16"/>
      <c r="N50" s="16">
        <f t="shared" si="2"/>
        <v>0</v>
      </c>
      <c r="O50" s="16" t="e">
        <f t="shared" si="3"/>
        <v>#N/A</v>
      </c>
      <c r="P50" s="16">
        <v>6.9444444444444397E-3</v>
      </c>
      <c r="Q50" s="16"/>
      <c r="R50" s="16">
        <f t="shared" si="4"/>
        <v>-6.9444444444444397E-3</v>
      </c>
      <c r="S50" s="16"/>
      <c r="T50" s="16" t="e">
        <f>VLOOKUP(E50,'[2]21-3-2026'!E$3:T$35,16,FALSE)</f>
        <v>#N/A</v>
      </c>
      <c r="U50" s="16"/>
      <c r="V50" s="16" t="e">
        <f t="shared" si="5"/>
        <v>#N/A</v>
      </c>
      <c r="W50" s="16"/>
      <c r="X50" s="16"/>
      <c r="Y50" s="16"/>
      <c r="Z50" s="16">
        <f t="shared" si="6"/>
        <v>0</v>
      </c>
      <c r="AA50" s="16">
        <f t="shared" si="0"/>
        <v>0</v>
      </c>
      <c r="AB50" s="16"/>
      <c r="AC50" s="17"/>
      <c r="AD50" s="51"/>
    </row>
    <row r="51" spans="1:30" ht="19.5" thickBot="1" x14ac:dyDescent="0.3">
      <c r="A51" s="14">
        <v>16</v>
      </c>
      <c r="B51" s="15"/>
      <c r="C51" s="15" t="e">
        <f>VLOOKUP(B51,داتا!$B$3:$D$107,2,FALSE)</f>
        <v>#N/A</v>
      </c>
      <c r="D51" s="34" t="e">
        <f>VLOOKUP(B51,داتا!$B$3:$D$107,3,FALSE)</f>
        <v>#N/A</v>
      </c>
      <c r="E51" s="15"/>
      <c r="F51" s="15"/>
      <c r="G51" s="16">
        <v>0.25</v>
      </c>
      <c r="H51" s="16" t="e">
        <f t="shared" si="7"/>
        <v>#N/A</v>
      </c>
      <c r="I51" s="16" t="e">
        <f t="shared" si="1"/>
        <v>#N/A</v>
      </c>
      <c r="J51" s="16"/>
      <c r="K51" s="16"/>
      <c r="L51" s="16"/>
      <c r="M51" s="16"/>
      <c r="N51" s="16">
        <f t="shared" si="2"/>
        <v>0</v>
      </c>
      <c r="O51" s="16" t="e">
        <f t="shared" si="3"/>
        <v>#N/A</v>
      </c>
      <c r="P51" s="16">
        <v>6.9444444444444397E-3</v>
      </c>
      <c r="Q51" s="16"/>
      <c r="R51" s="16">
        <f t="shared" si="4"/>
        <v>-6.9444444444444397E-3</v>
      </c>
      <c r="S51" s="16"/>
      <c r="T51" s="16" t="e">
        <f>VLOOKUP(E51,'[2]21-3-2026'!E$3:T$35,16,FALSE)</f>
        <v>#N/A</v>
      </c>
      <c r="U51" s="16"/>
      <c r="V51" s="16" t="e">
        <f t="shared" si="5"/>
        <v>#N/A</v>
      </c>
      <c r="W51" s="16"/>
      <c r="X51" s="16"/>
      <c r="Y51" s="16"/>
      <c r="Z51" s="16">
        <f t="shared" si="6"/>
        <v>0</v>
      </c>
      <c r="AA51" s="16">
        <f t="shared" si="0"/>
        <v>0</v>
      </c>
      <c r="AB51" s="16"/>
      <c r="AC51" s="17"/>
      <c r="AD51" s="51"/>
    </row>
    <row r="52" spans="1:30" ht="19.5" thickBot="1" x14ac:dyDescent="0.3">
      <c r="A52" s="14">
        <v>17</v>
      </c>
      <c r="B52" s="15"/>
      <c r="C52" s="15" t="e">
        <f>VLOOKUP(B52,داتا!$B$3:$D$107,2,FALSE)</f>
        <v>#N/A</v>
      </c>
      <c r="D52" s="34" t="e">
        <f>VLOOKUP(B52,داتا!$B$3:$D$107,3,FALSE)</f>
        <v>#N/A</v>
      </c>
      <c r="E52" s="15"/>
      <c r="F52" s="15"/>
      <c r="G52" s="16">
        <v>0.25</v>
      </c>
      <c r="H52" s="16" t="e">
        <f t="shared" si="7"/>
        <v>#N/A</v>
      </c>
      <c r="I52" s="16" t="e">
        <f t="shared" si="1"/>
        <v>#N/A</v>
      </c>
      <c r="J52" s="16"/>
      <c r="K52" s="16"/>
      <c r="L52" s="16"/>
      <c r="M52" s="16"/>
      <c r="N52" s="16">
        <f t="shared" si="2"/>
        <v>0</v>
      </c>
      <c r="O52" s="16" t="e">
        <f t="shared" si="3"/>
        <v>#N/A</v>
      </c>
      <c r="P52" s="16">
        <v>6.9444444444444397E-3</v>
      </c>
      <c r="Q52" s="16"/>
      <c r="R52" s="16">
        <f t="shared" si="4"/>
        <v>-6.9444444444444397E-3</v>
      </c>
      <c r="S52" s="16"/>
      <c r="T52" s="16" t="e">
        <f>VLOOKUP(E52,'[2]21-3-2026'!E$3:T$35,16,FALSE)</f>
        <v>#N/A</v>
      </c>
      <c r="U52" s="16"/>
      <c r="V52" s="16" t="e">
        <f t="shared" si="5"/>
        <v>#N/A</v>
      </c>
      <c r="W52" s="16"/>
      <c r="X52" s="16"/>
      <c r="Y52" s="16"/>
      <c r="Z52" s="16">
        <f t="shared" si="6"/>
        <v>0</v>
      </c>
      <c r="AA52" s="16">
        <f t="shared" si="0"/>
        <v>0</v>
      </c>
      <c r="AB52" s="16"/>
      <c r="AC52" s="17"/>
      <c r="AD52" s="51"/>
    </row>
    <row r="53" spans="1:30" ht="19.5" thickBot="1" x14ac:dyDescent="0.3">
      <c r="A53" s="14">
        <v>18</v>
      </c>
      <c r="B53" s="15"/>
      <c r="C53" s="15" t="e">
        <f>VLOOKUP(B53,داتا!$B$3:$D$107,2,FALSE)</f>
        <v>#N/A</v>
      </c>
      <c r="D53" s="34" t="e">
        <f>VLOOKUP(B53,داتا!$B$3:$D$107,3,FALSE)</f>
        <v>#N/A</v>
      </c>
      <c r="E53" s="15"/>
      <c r="F53" s="15"/>
      <c r="G53" s="16">
        <v>0.25</v>
      </c>
      <c r="H53" s="16" t="e">
        <f t="shared" ref="H53:H68" si="8">VLOOKUP(G53,$F$3:$I$35,2,FALSE)</f>
        <v>#N/A</v>
      </c>
      <c r="I53" s="16" t="e">
        <f t="shared" si="1"/>
        <v>#N/A</v>
      </c>
      <c r="J53" s="16"/>
      <c r="K53" s="16"/>
      <c r="L53" s="16"/>
      <c r="M53" s="16"/>
      <c r="N53" s="16">
        <f t="shared" si="2"/>
        <v>0</v>
      </c>
      <c r="O53" s="16" t="e">
        <f t="shared" si="3"/>
        <v>#N/A</v>
      </c>
      <c r="P53" s="16">
        <v>6.9444444444444397E-3</v>
      </c>
      <c r="Q53" s="16"/>
      <c r="R53" s="16">
        <f t="shared" si="4"/>
        <v>-6.9444444444444397E-3</v>
      </c>
      <c r="S53" s="16"/>
      <c r="T53" s="16" t="e">
        <f>VLOOKUP(E53,'[2]21-3-2026'!E$3:T$35,16,FALSE)</f>
        <v>#N/A</v>
      </c>
      <c r="U53" s="16"/>
      <c r="V53" s="16" t="e">
        <f t="shared" si="5"/>
        <v>#N/A</v>
      </c>
      <c r="W53" s="16"/>
      <c r="X53" s="16"/>
      <c r="Y53" s="16"/>
      <c r="Z53" s="16">
        <f t="shared" si="6"/>
        <v>0</v>
      </c>
      <c r="AA53" s="16">
        <f t="shared" si="0"/>
        <v>0</v>
      </c>
      <c r="AB53" s="16"/>
      <c r="AC53" s="17"/>
      <c r="AD53" s="51"/>
    </row>
    <row r="54" spans="1:30" ht="19.5" thickBot="1" x14ac:dyDescent="0.3">
      <c r="A54" s="14">
        <v>19</v>
      </c>
      <c r="B54" s="15"/>
      <c r="C54" s="15" t="e">
        <f>VLOOKUP(B54,داتا!$B$3:$D$107,2,FALSE)</f>
        <v>#N/A</v>
      </c>
      <c r="D54" s="34" t="e">
        <f>VLOOKUP(B54,داتا!$B$3:$D$107,3,FALSE)</f>
        <v>#N/A</v>
      </c>
      <c r="E54" s="15"/>
      <c r="F54" s="15"/>
      <c r="G54" s="16">
        <v>0.25</v>
      </c>
      <c r="H54" s="16" t="e">
        <f t="shared" si="8"/>
        <v>#N/A</v>
      </c>
      <c r="I54" s="16" t="e">
        <f t="shared" si="1"/>
        <v>#N/A</v>
      </c>
      <c r="J54" s="16"/>
      <c r="K54" s="16"/>
      <c r="L54" s="16"/>
      <c r="M54" s="16"/>
      <c r="N54" s="16">
        <f t="shared" si="2"/>
        <v>0</v>
      </c>
      <c r="O54" s="16" t="e">
        <f t="shared" si="3"/>
        <v>#N/A</v>
      </c>
      <c r="P54" s="16">
        <v>6.9444444444444397E-3</v>
      </c>
      <c r="Q54" s="16"/>
      <c r="R54" s="16">
        <f t="shared" si="4"/>
        <v>-6.9444444444444397E-3</v>
      </c>
      <c r="S54" s="16"/>
      <c r="T54" s="16" t="e">
        <f>VLOOKUP(E54,'[2]21-3-2026'!E$3:T$35,16,FALSE)</f>
        <v>#N/A</v>
      </c>
      <c r="U54" s="16"/>
      <c r="V54" s="16" t="e">
        <f t="shared" si="5"/>
        <v>#N/A</v>
      </c>
      <c r="W54" s="16"/>
      <c r="X54" s="16"/>
      <c r="Y54" s="16"/>
      <c r="Z54" s="16">
        <f t="shared" si="6"/>
        <v>0</v>
      </c>
      <c r="AA54" s="16">
        <f t="shared" si="0"/>
        <v>0</v>
      </c>
      <c r="AB54" s="16"/>
      <c r="AC54" s="17"/>
      <c r="AD54" s="51"/>
    </row>
    <row r="55" spans="1:30" ht="19.5" thickBot="1" x14ac:dyDescent="0.3">
      <c r="A55" s="14">
        <v>20</v>
      </c>
      <c r="B55" s="15"/>
      <c r="C55" s="15" t="e">
        <f>VLOOKUP(B55,داتا!$B$3:$D$107,2,FALSE)</f>
        <v>#N/A</v>
      </c>
      <c r="D55" s="34" t="e">
        <f>VLOOKUP(B55,داتا!$B$3:$D$107,3,FALSE)</f>
        <v>#N/A</v>
      </c>
      <c r="E55" s="15"/>
      <c r="F55" s="15"/>
      <c r="G55" s="16">
        <v>0.25</v>
      </c>
      <c r="H55" s="16" t="e">
        <f t="shared" si="8"/>
        <v>#N/A</v>
      </c>
      <c r="I55" s="16" t="e">
        <f t="shared" si="1"/>
        <v>#N/A</v>
      </c>
      <c r="J55" s="16"/>
      <c r="K55" s="16"/>
      <c r="L55" s="16"/>
      <c r="M55" s="16"/>
      <c r="N55" s="16">
        <f t="shared" si="2"/>
        <v>0</v>
      </c>
      <c r="O55" s="16" t="e">
        <f t="shared" si="3"/>
        <v>#N/A</v>
      </c>
      <c r="P55" s="16">
        <v>6.9444444444444397E-3</v>
      </c>
      <c r="Q55" s="16"/>
      <c r="R55" s="16">
        <f t="shared" si="4"/>
        <v>-6.9444444444444397E-3</v>
      </c>
      <c r="S55" s="16"/>
      <c r="T55" s="16" t="e">
        <f>VLOOKUP(E55,'[2]21-3-2026'!E$3:T$35,16,FALSE)</f>
        <v>#N/A</v>
      </c>
      <c r="U55" s="16"/>
      <c r="V55" s="16" t="e">
        <f t="shared" si="5"/>
        <v>#N/A</v>
      </c>
      <c r="W55" s="16"/>
      <c r="X55" s="16"/>
      <c r="Y55" s="16"/>
      <c r="Z55" s="16">
        <f t="shared" si="6"/>
        <v>0</v>
      </c>
      <c r="AA55" s="16">
        <f t="shared" si="0"/>
        <v>0</v>
      </c>
      <c r="AB55" s="16"/>
      <c r="AC55" s="17"/>
      <c r="AD55" s="51"/>
    </row>
    <row r="56" spans="1:30" ht="19.5" thickBot="1" x14ac:dyDescent="0.3">
      <c r="A56" s="14">
        <v>21</v>
      </c>
      <c r="B56" s="15"/>
      <c r="C56" s="15" t="e">
        <f>VLOOKUP(B56,داتا!$B$3:$D$107,2,FALSE)</f>
        <v>#N/A</v>
      </c>
      <c r="D56" s="34" t="e">
        <f>VLOOKUP(B56,داتا!$B$3:$D$107,3,FALSE)</f>
        <v>#N/A</v>
      </c>
      <c r="E56" s="15"/>
      <c r="F56" s="15"/>
      <c r="G56" s="16">
        <v>0.25</v>
      </c>
      <c r="H56" s="16" t="e">
        <f t="shared" si="8"/>
        <v>#N/A</v>
      </c>
      <c r="I56" s="16" t="e">
        <f t="shared" si="1"/>
        <v>#N/A</v>
      </c>
      <c r="J56" s="16"/>
      <c r="K56" s="16"/>
      <c r="L56" s="15"/>
      <c r="M56" s="15"/>
      <c r="N56" s="16">
        <f t="shared" si="2"/>
        <v>0</v>
      </c>
      <c r="O56" s="16" t="e">
        <f t="shared" si="3"/>
        <v>#N/A</v>
      </c>
      <c r="P56" s="16">
        <v>6.9444444444444397E-3</v>
      </c>
      <c r="Q56" s="16"/>
      <c r="R56" s="16">
        <f t="shared" si="4"/>
        <v>-6.9444444444444397E-3</v>
      </c>
      <c r="S56" s="16"/>
      <c r="T56" s="16" t="e">
        <f>VLOOKUP(E56,'[2]21-3-2026'!E$3:T$35,16,FALSE)</f>
        <v>#N/A</v>
      </c>
      <c r="U56" s="16"/>
      <c r="V56" s="16" t="e">
        <f t="shared" si="5"/>
        <v>#N/A</v>
      </c>
      <c r="W56" s="16"/>
      <c r="X56" s="16"/>
      <c r="Y56" s="16"/>
      <c r="Z56" s="16">
        <f t="shared" si="6"/>
        <v>0</v>
      </c>
      <c r="AA56" s="16">
        <f t="shared" si="0"/>
        <v>0</v>
      </c>
      <c r="AB56" s="16"/>
      <c r="AC56" s="17"/>
      <c r="AD56" s="51"/>
    </row>
    <row r="57" spans="1:30" ht="19.5" thickBot="1" x14ac:dyDescent="0.3">
      <c r="A57" s="14">
        <v>22</v>
      </c>
      <c r="B57" s="15"/>
      <c r="C57" s="15" t="e">
        <f>VLOOKUP(B57,داتا!$B$3:$D$107,2,FALSE)</f>
        <v>#N/A</v>
      </c>
      <c r="D57" s="34" t="e">
        <f>VLOOKUP(B57,داتا!$B$3:$D$107,3,FALSE)</f>
        <v>#N/A</v>
      </c>
      <c r="E57" s="15"/>
      <c r="F57" s="15"/>
      <c r="G57" s="16">
        <v>0.25</v>
      </c>
      <c r="H57" s="16" t="e">
        <f t="shared" si="8"/>
        <v>#N/A</v>
      </c>
      <c r="I57" s="16" t="e">
        <f t="shared" si="1"/>
        <v>#N/A</v>
      </c>
      <c r="J57" s="16"/>
      <c r="K57" s="16"/>
      <c r="L57" s="15"/>
      <c r="M57" s="15"/>
      <c r="N57" s="16">
        <f t="shared" si="2"/>
        <v>0</v>
      </c>
      <c r="O57" s="16" t="e">
        <f t="shared" si="3"/>
        <v>#N/A</v>
      </c>
      <c r="P57" s="16">
        <v>6.9444444444444397E-3</v>
      </c>
      <c r="Q57" s="16"/>
      <c r="R57" s="16">
        <f t="shared" si="4"/>
        <v>-6.9444444444444397E-3</v>
      </c>
      <c r="S57" s="16"/>
      <c r="T57" s="16" t="e">
        <f>VLOOKUP(E57,'[2]21-3-2026'!E$3:T$35,16,FALSE)</f>
        <v>#N/A</v>
      </c>
      <c r="U57" s="16"/>
      <c r="V57" s="16" t="e">
        <f t="shared" si="5"/>
        <v>#N/A</v>
      </c>
      <c r="W57" s="16"/>
      <c r="X57" s="16"/>
      <c r="Y57" s="16"/>
      <c r="Z57" s="16">
        <f t="shared" si="6"/>
        <v>0</v>
      </c>
      <c r="AA57" s="16">
        <f t="shared" si="0"/>
        <v>0</v>
      </c>
      <c r="AB57" s="16"/>
      <c r="AC57" s="17"/>
      <c r="AD57" s="51"/>
    </row>
    <row r="58" spans="1:30" ht="19.5" thickBot="1" x14ac:dyDescent="0.3">
      <c r="A58" s="14">
        <v>23</v>
      </c>
      <c r="B58" s="15"/>
      <c r="C58" s="15" t="e">
        <f>VLOOKUP(B58,داتا!$B$3:$D$107,2,FALSE)</f>
        <v>#N/A</v>
      </c>
      <c r="D58" s="34" t="e">
        <f>VLOOKUP(B58,داتا!$B$3:$D$107,3,FALSE)</f>
        <v>#N/A</v>
      </c>
      <c r="E58" s="15"/>
      <c r="F58" s="15"/>
      <c r="G58" s="16">
        <v>0.25</v>
      </c>
      <c r="H58" s="16" t="e">
        <f t="shared" si="8"/>
        <v>#N/A</v>
      </c>
      <c r="I58" s="16" t="e">
        <f t="shared" si="1"/>
        <v>#N/A</v>
      </c>
      <c r="J58" s="16"/>
      <c r="K58" s="16"/>
      <c r="L58" s="16"/>
      <c r="M58" s="16"/>
      <c r="N58" s="16">
        <f t="shared" si="2"/>
        <v>0</v>
      </c>
      <c r="O58" s="16" t="e">
        <f t="shared" si="3"/>
        <v>#N/A</v>
      </c>
      <c r="P58" s="16">
        <v>6.9444444444444397E-3</v>
      </c>
      <c r="Q58" s="16"/>
      <c r="R58" s="16">
        <f t="shared" si="4"/>
        <v>-6.9444444444444397E-3</v>
      </c>
      <c r="S58" s="16"/>
      <c r="T58" s="16" t="e">
        <f>VLOOKUP(E58,'[2]21-3-2026'!E$3:T$35,16,FALSE)</f>
        <v>#N/A</v>
      </c>
      <c r="U58" s="16"/>
      <c r="V58" s="16" t="e">
        <f t="shared" si="5"/>
        <v>#N/A</v>
      </c>
      <c r="W58" s="16"/>
      <c r="X58" s="16"/>
      <c r="Y58" s="16"/>
      <c r="Z58" s="16">
        <f t="shared" si="6"/>
        <v>0</v>
      </c>
      <c r="AA58" s="16">
        <f t="shared" si="0"/>
        <v>0</v>
      </c>
      <c r="AB58" s="16"/>
      <c r="AC58" s="17"/>
      <c r="AD58" s="51"/>
    </row>
    <row r="59" spans="1:30" ht="19.5" thickBot="1" x14ac:dyDescent="0.3">
      <c r="A59" s="14">
        <v>24</v>
      </c>
      <c r="B59" s="15"/>
      <c r="C59" s="15" t="e">
        <f>VLOOKUP(B59,داتا!$B$3:$D$107,2,FALSE)</f>
        <v>#N/A</v>
      </c>
      <c r="D59" s="34" t="e">
        <f>VLOOKUP(B59,داتا!$B$3:$D$107,3,FALSE)</f>
        <v>#N/A</v>
      </c>
      <c r="E59" s="16"/>
      <c r="F59" s="15"/>
      <c r="G59" s="16">
        <v>0.25</v>
      </c>
      <c r="H59" s="16" t="e">
        <f t="shared" si="8"/>
        <v>#N/A</v>
      </c>
      <c r="I59" s="16" t="e">
        <f t="shared" si="1"/>
        <v>#N/A</v>
      </c>
      <c r="J59" s="16"/>
      <c r="K59" s="16"/>
      <c r="L59" s="15"/>
      <c r="M59" s="15"/>
      <c r="N59" s="16">
        <f t="shared" si="2"/>
        <v>0</v>
      </c>
      <c r="O59" s="16" t="e">
        <f t="shared" si="3"/>
        <v>#N/A</v>
      </c>
      <c r="P59" s="16">
        <v>6.9444444444444397E-3</v>
      </c>
      <c r="Q59" s="16"/>
      <c r="R59" s="16">
        <f t="shared" si="4"/>
        <v>-6.9444444444444397E-3</v>
      </c>
      <c r="S59" s="16"/>
      <c r="T59" s="16" t="e">
        <f>VLOOKUP(E59,'[2]21-3-2026'!E$3:T$35,16,FALSE)</f>
        <v>#N/A</v>
      </c>
      <c r="U59" s="16"/>
      <c r="V59" s="16" t="e">
        <f t="shared" si="5"/>
        <v>#N/A</v>
      </c>
      <c r="W59" s="16"/>
      <c r="X59" s="16"/>
      <c r="Y59" s="16"/>
      <c r="Z59" s="16">
        <f t="shared" si="6"/>
        <v>0</v>
      </c>
      <c r="AA59" s="16">
        <f t="shared" si="0"/>
        <v>0</v>
      </c>
      <c r="AB59" s="16"/>
      <c r="AC59" s="17"/>
      <c r="AD59" s="51"/>
    </row>
    <row r="60" spans="1:30" ht="19.5" thickBot="1" x14ac:dyDescent="0.3">
      <c r="A60" s="14">
        <v>25</v>
      </c>
      <c r="B60" s="15"/>
      <c r="C60" s="15" t="e">
        <f>VLOOKUP(B60,داتا!$B$3:$D$107,2,FALSE)</f>
        <v>#N/A</v>
      </c>
      <c r="D60" s="34" t="e">
        <f>VLOOKUP(B60,داتا!$B$3:$D$107,3,FALSE)</f>
        <v>#N/A</v>
      </c>
      <c r="E60" s="15"/>
      <c r="F60" s="15"/>
      <c r="G60" s="16">
        <v>0.25</v>
      </c>
      <c r="H60" s="16" t="e">
        <f t="shared" si="8"/>
        <v>#N/A</v>
      </c>
      <c r="I60" s="16" t="e">
        <f t="shared" si="1"/>
        <v>#N/A</v>
      </c>
      <c r="J60" s="16"/>
      <c r="K60" s="16"/>
      <c r="L60" s="16"/>
      <c r="M60" s="16"/>
      <c r="N60" s="16">
        <f t="shared" si="2"/>
        <v>0</v>
      </c>
      <c r="O60" s="16" t="e">
        <f t="shared" si="3"/>
        <v>#N/A</v>
      </c>
      <c r="P60" s="16">
        <v>6.9444444444444397E-3</v>
      </c>
      <c r="Q60" s="16"/>
      <c r="R60" s="16">
        <f t="shared" si="4"/>
        <v>-6.9444444444444397E-3</v>
      </c>
      <c r="S60" s="16"/>
      <c r="T60" s="16" t="e">
        <f>VLOOKUP(E60,'[2]21-3-2026'!E$3:T$35,16,FALSE)</f>
        <v>#N/A</v>
      </c>
      <c r="U60" s="16"/>
      <c r="V60" s="16" t="e">
        <f t="shared" si="5"/>
        <v>#N/A</v>
      </c>
      <c r="W60" s="16"/>
      <c r="X60" s="16"/>
      <c r="Y60" s="16"/>
      <c r="Z60" s="16">
        <f t="shared" si="6"/>
        <v>0</v>
      </c>
      <c r="AA60" s="16">
        <f t="shared" si="0"/>
        <v>0</v>
      </c>
      <c r="AB60" s="16"/>
      <c r="AC60" s="17"/>
      <c r="AD60" s="51"/>
    </row>
    <row r="61" spans="1:30" ht="19.5" thickBot="1" x14ac:dyDescent="0.3">
      <c r="A61" s="14">
        <v>26</v>
      </c>
      <c r="B61" s="15"/>
      <c r="C61" s="15" t="e">
        <f>VLOOKUP(B61,داتا!$B$3:$D$107,2,FALSE)</f>
        <v>#N/A</v>
      </c>
      <c r="D61" s="34" t="e">
        <f>VLOOKUP(B61,داتا!$B$3:$D$107,3,FALSE)</f>
        <v>#N/A</v>
      </c>
      <c r="E61" s="15"/>
      <c r="F61" s="15"/>
      <c r="G61" s="16">
        <v>0.25</v>
      </c>
      <c r="H61" s="16" t="e">
        <f t="shared" si="8"/>
        <v>#N/A</v>
      </c>
      <c r="I61" s="16" t="e">
        <f t="shared" si="1"/>
        <v>#N/A</v>
      </c>
      <c r="J61" s="16"/>
      <c r="K61" s="16"/>
      <c r="L61" s="16"/>
      <c r="M61" s="16"/>
      <c r="N61" s="16">
        <f t="shared" si="2"/>
        <v>0</v>
      </c>
      <c r="O61" s="16" t="e">
        <f t="shared" si="3"/>
        <v>#N/A</v>
      </c>
      <c r="P61" s="16">
        <v>6.9444444444444397E-3</v>
      </c>
      <c r="Q61" s="16"/>
      <c r="R61" s="16">
        <f t="shared" si="4"/>
        <v>-6.9444444444444397E-3</v>
      </c>
      <c r="S61" s="16"/>
      <c r="T61" s="16" t="e">
        <f>VLOOKUP(E61,'[2]21-3-2026'!E$3:T$35,16,FALSE)</f>
        <v>#N/A</v>
      </c>
      <c r="U61" s="16"/>
      <c r="V61" s="16" t="e">
        <f t="shared" si="5"/>
        <v>#N/A</v>
      </c>
      <c r="W61" s="16"/>
      <c r="X61" s="16"/>
      <c r="Y61" s="16"/>
      <c r="Z61" s="16">
        <f t="shared" si="6"/>
        <v>0</v>
      </c>
      <c r="AA61" s="16">
        <f t="shared" si="0"/>
        <v>0</v>
      </c>
      <c r="AB61" s="16"/>
      <c r="AC61" s="17"/>
      <c r="AD61" s="51"/>
    </row>
    <row r="62" spans="1:30" ht="19.5" thickBot="1" x14ac:dyDescent="0.3">
      <c r="A62" s="14">
        <v>27</v>
      </c>
      <c r="B62" s="15"/>
      <c r="C62" s="15" t="e">
        <f>VLOOKUP(B62,داتا!$B$3:$D$107,2,FALSE)</f>
        <v>#N/A</v>
      </c>
      <c r="D62" s="34" t="e">
        <f>VLOOKUP(B62,داتا!$B$3:$D$107,3,FALSE)</f>
        <v>#N/A</v>
      </c>
      <c r="E62" s="15"/>
      <c r="F62" s="15"/>
      <c r="G62" s="16">
        <v>0.25</v>
      </c>
      <c r="H62" s="16" t="e">
        <f t="shared" si="8"/>
        <v>#N/A</v>
      </c>
      <c r="I62" s="16" t="e">
        <f t="shared" si="1"/>
        <v>#N/A</v>
      </c>
      <c r="J62" s="16"/>
      <c r="K62" s="16"/>
      <c r="L62" s="16"/>
      <c r="M62" s="16"/>
      <c r="N62" s="16">
        <f t="shared" si="2"/>
        <v>0</v>
      </c>
      <c r="O62" s="16" t="e">
        <f t="shared" si="3"/>
        <v>#N/A</v>
      </c>
      <c r="P62" s="16">
        <v>6.9444444444444397E-3</v>
      </c>
      <c r="Q62" s="16"/>
      <c r="R62" s="16">
        <f t="shared" si="4"/>
        <v>-6.9444444444444397E-3</v>
      </c>
      <c r="S62" s="16"/>
      <c r="T62" s="16" t="e">
        <f>VLOOKUP(E62,'[2]21-3-2026'!E$3:T$35,16,FALSE)</f>
        <v>#N/A</v>
      </c>
      <c r="U62" s="16"/>
      <c r="V62" s="16" t="e">
        <f t="shared" si="5"/>
        <v>#N/A</v>
      </c>
      <c r="W62" s="16"/>
      <c r="X62" s="16"/>
      <c r="Y62" s="16"/>
      <c r="Z62" s="16">
        <f t="shared" si="6"/>
        <v>0</v>
      </c>
      <c r="AA62" s="16">
        <f t="shared" si="0"/>
        <v>0</v>
      </c>
      <c r="AB62" s="16"/>
      <c r="AC62" s="17"/>
      <c r="AD62" s="51"/>
    </row>
    <row r="63" spans="1:30" ht="19.5" thickBot="1" x14ac:dyDescent="0.3">
      <c r="A63" s="14">
        <v>28</v>
      </c>
      <c r="B63" s="15"/>
      <c r="C63" s="15" t="e">
        <f>VLOOKUP(B63,داتا!$B$3:$D$107,2,FALSE)</f>
        <v>#N/A</v>
      </c>
      <c r="D63" s="34" t="e">
        <f>VLOOKUP(B63,داتا!$B$3:$D$107,3,FALSE)</f>
        <v>#N/A</v>
      </c>
      <c r="E63" s="15"/>
      <c r="F63" s="15"/>
      <c r="G63" s="16">
        <v>0.25</v>
      </c>
      <c r="H63" s="16" t="e">
        <f t="shared" si="8"/>
        <v>#N/A</v>
      </c>
      <c r="I63" s="16" t="e">
        <f t="shared" si="1"/>
        <v>#N/A</v>
      </c>
      <c r="J63" s="16"/>
      <c r="K63" s="16"/>
      <c r="L63" s="16"/>
      <c r="M63" s="16"/>
      <c r="N63" s="16">
        <f t="shared" si="2"/>
        <v>0</v>
      </c>
      <c r="O63" s="16" t="e">
        <f t="shared" si="3"/>
        <v>#N/A</v>
      </c>
      <c r="P63" s="16">
        <v>6.9444444444444397E-3</v>
      </c>
      <c r="Q63" s="16"/>
      <c r="R63" s="16">
        <f t="shared" si="4"/>
        <v>-6.9444444444444397E-3</v>
      </c>
      <c r="S63" s="16"/>
      <c r="T63" s="16" t="e">
        <f>VLOOKUP(E63,'[2]21-3-2026'!E$3:T$35,16,FALSE)</f>
        <v>#N/A</v>
      </c>
      <c r="U63" s="16"/>
      <c r="V63" s="16" t="e">
        <f t="shared" si="5"/>
        <v>#N/A</v>
      </c>
      <c r="W63" s="16"/>
      <c r="X63" s="16"/>
      <c r="Y63" s="16"/>
      <c r="Z63" s="16">
        <f t="shared" si="6"/>
        <v>0</v>
      </c>
      <c r="AA63" s="16">
        <f t="shared" si="0"/>
        <v>0</v>
      </c>
      <c r="AB63" s="16"/>
      <c r="AC63" s="17"/>
      <c r="AD63" s="51"/>
    </row>
    <row r="64" spans="1:30" ht="19.5" thickBot="1" x14ac:dyDescent="0.3">
      <c r="A64" s="14">
        <v>29</v>
      </c>
      <c r="B64" s="15"/>
      <c r="C64" s="15" t="e">
        <f>VLOOKUP(B64,داتا!$B$3:$D$107,2,FALSE)</f>
        <v>#N/A</v>
      </c>
      <c r="D64" s="34" t="e">
        <f>VLOOKUP(B64,داتا!$B$3:$D$107,3,FALSE)</f>
        <v>#N/A</v>
      </c>
      <c r="E64" s="15"/>
      <c r="F64" s="15"/>
      <c r="G64" s="16">
        <v>0.25</v>
      </c>
      <c r="H64" s="16" t="e">
        <f t="shared" si="8"/>
        <v>#N/A</v>
      </c>
      <c r="I64" s="16" t="e">
        <f t="shared" si="1"/>
        <v>#N/A</v>
      </c>
      <c r="J64" s="16"/>
      <c r="K64" s="16"/>
      <c r="L64" s="16"/>
      <c r="M64" s="16"/>
      <c r="N64" s="16">
        <f t="shared" si="2"/>
        <v>0</v>
      </c>
      <c r="O64" s="16" t="e">
        <f t="shared" si="3"/>
        <v>#N/A</v>
      </c>
      <c r="P64" s="16">
        <v>6.9444444444444397E-3</v>
      </c>
      <c r="Q64" s="16"/>
      <c r="R64" s="16">
        <f t="shared" si="4"/>
        <v>-6.9444444444444397E-3</v>
      </c>
      <c r="S64" s="16"/>
      <c r="T64" s="16" t="e">
        <f>VLOOKUP(E64,'[2]21-3-2026'!E$3:T$35,16,FALSE)</f>
        <v>#N/A</v>
      </c>
      <c r="U64" s="16"/>
      <c r="V64" s="16" t="e">
        <f t="shared" si="5"/>
        <v>#N/A</v>
      </c>
      <c r="W64" s="16"/>
      <c r="X64" s="16"/>
      <c r="Y64" s="16"/>
      <c r="Z64" s="16">
        <f t="shared" si="6"/>
        <v>0</v>
      </c>
      <c r="AA64" s="16">
        <f t="shared" si="0"/>
        <v>0</v>
      </c>
      <c r="AB64" s="16"/>
      <c r="AC64" s="17"/>
      <c r="AD64" s="51"/>
    </row>
    <row r="65" spans="1:30" ht="19.5" thickBot="1" x14ac:dyDescent="0.3">
      <c r="A65" s="14">
        <v>30</v>
      </c>
      <c r="B65" s="15"/>
      <c r="C65" s="15" t="e">
        <f>VLOOKUP(B65,داتا!$B$3:$D$107,2,FALSE)</f>
        <v>#N/A</v>
      </c>
      <c r="D65" s="34" t="e">
        <f>VLOOKUP(B65,داتا!$B$3:$D$107,3,FALSE)</f>
        <v>#N/A</v>
      </c>
      <c r="E65" s="15"/>
      <c r="F65" s="15"/>
      <c r="G65" s="16">
        <v>0.25</v>
      </c>
      <c r="H65" s="16" t="e">
        <f t="shared" si="8"/>
        <v>#N/A</v>
      </c>
      <c r="I65" s="16" t="e">
        <f t="shared" si="1"/>
        <v>#N/A</v>
      </c>
      <c r="J65" s="16"/>
      <c r="K65" s="16"/>
      <c r="L65" s="16"/>
      <c r="M65" s="16"/>
      <c r="N65" s="16">
        <f t="shared" si="2"/>
        <v>0</v>
      </c>
      <c r="O65" s="16" t="e">
        <f t="shared" si="3"/>
        <v>#N/A</v>
      </c>
      <c r="P65" s="16">
        <v>6.9444444444444397E-3</v>
      </c>
      <c r="Q65" s="16"/>
      <c r="R65" s="16">
        <f t="shared" si="4"/>
        <v>-6.9444444444444397E-3</v>
      </c>
      <c r="S65" s="16"/>
      <c r="T65" s="16" t="e">
        <f>VLOOKUP(E65,'[2]21-3-2026'!E$3:T$35,16,FALSE)</f>
        <v>#N/A</v>
      </c>
      <c r="U65" s="16"/>
      <c r="V65" s="16" t="e">
        <f t="shared" si="5"/>
        <v>#N/A</v>
      </c>
      <c r="W65" s="16"/>
      <c r="X65" s="16"/>
      <c r="Y65" s="16"/>
      <c r="Z65" s="16">
        <f t="shared" si="6"/>
        <v>0</v>
      </c>
      <c r="AA65" s="16">
        <f t="shared" si="0"/>
        <v>0</v>
      </c>
      <c r="AB65" s="16"/>
      <c r="AC65" s="17"/>
      <c r="AD65" s="51"/>
    </row>
    <row r="66" spans="1:30" ht="20.25" customHeight="1" thickBot="1" x14ac:dyDescent="0.3">
      <c r="A66" s="14">
        <v>31</v>
      </c>
      <c r="B66" s="15"/>
      <c r="C66" s="15" t="e">
        <f>VLOOKUP(B66,داتا!$B$3:$D$107,2,FALSE)</f>
        <v>#N/A</v>
      </c>
      <c r="D66" s="34" t="e">
        <f>VLOOKUP(B66,داتا!$B$3:$D$107,3,FALSE)</f>
        <v>#N/A</v>
      </c>
      <c r="E66" s="15"/>
      <c r="F66" s="15"/>
      <c r="G66" s="16">
        <v>0.25</v>
      </c>
      <c r="H66" s="16" t="e">
        <f t="shared" si="8"/>
        <v>#N/A</v>
      </c>
      <c r="I66" s="16" t="e">
        <f t="shared" si="1"/>
        <v>#N/A</v>
      </c>
      <c r="J66" s="16"/>
      <c r="K66" s="16"/>
      <c r="L66" s="16"/>
      <c r="M66" s="16"/>
      <c r="N66" s="16">
        <f t="shared" si="2"/>
        <v>0</v>
      </c>
      <c r="O66" s="16" t="e">
        <f t="shared" si="3"/>
        <v>#N/A</v>
      </c>
      <c r="P66" s="16">
        <v>6.9444444444444397E-3</v>
      </c>
      <c r="Q66" s="16"/>
      <c r="R66" s="16">
        <f t="shared" si="4"/>
        <v>-6.9444444444444397E-3</v>
      </c>
      <c r="S66" s="16"/>
      <c r="T66" s="16" t="e">
        <f>VLOOKUP(E66,'[2]21-3-2026'!E$3:T$35,16,FALSE)</f>
        <v>#N/A</v>
      </c>
      <c r="U66" s="16"/>
      <c r="V66" s="16" t="e">
        <f t="shared" si="5"/>
        <v>#N/A</v>
      </c>
      <c r="W66" s="16"/>
      <c r="X66" s="16"/>
      <c r="Y66" s="16"/>
      <c r="Z66" s="16">
        <f t="shared" si="6"/>
        <v>0</v>
      </c>
      <c r="AA66" s="16">
        <f t="shared" si="0"/>
        <v>0</v>
      </c>
      <c r="AB66" s="16"/>
      <c r="AC66" s="19"/>
      <c r="AD66" s="51"/>
    </row>
    <row r="67" spans="1:30" ht="19.5" customHeight="1" thickBot="1" x14ac:dyDescent="0.3">
      <c r="A67" s="20">
        <v>32</v>
      </c>
      <c r="B67" s="21"/>
      <c r="C67" s="21" t="e">
        <f>VLOOKUP(B67,داتا!$B$3:$D$107,2,FALSE)</f>
        <v>#N/A</v>
      </c>
      <c r="D67" s="35" t="e">
        <f>VLOOKUP(B67,داتا!$B$3:$D$107,3,FALSE)</f>
        <v>#N/A</v>
      </c>
      <c r="E67" s="21"/>
      <c r="F67" s="21"/>
      <c r="G67" s="22">
        <v>0.25</v>
      </c>
      <c r="H67" s="22" t="e">
        <f t="shared" si="8"/>
        <v>#N/A</v>
      </c>
      <c r="I67" s="22" t="e">
        <f t="shared" si="1"/>
        <v>#N/A</v>
      </c>
      <c r="J67" s="22"/>
      <c r="K67" s="22"/>
      <c r="L67" s="22"/>
      <c r="M67" s="22"/>
      <c r="N67" s="22">
        <f t="shared" si="2"/>
        <v>0</v>
      </c>
      <c r="O67" s="22" t="e">
        <f t="shared" si="3"/>
        <v>#N/A</v>
      </c>
      <c r="P67" s="22">
        <v>6.9444444444444397E-3</v>
      </c>
      <c r="Q67" s="22"/>
      <c r="R67" s="22">
        <f t="shared" si="4"/>
        <v>-6.9444444444444397E-3</v>
      </c>
      <c r="S67" s="22"/>
      <c r="T67" s="22" t="e">
        <f>VLOOKUP(E67,'[2]21-3-2026'!E$3:T$35,16,FALSE)</f>
        <v>#N/A</v>
      </c>
      <c r="U67" s="22"/>
      <c r="V67" s="22" t="e">
        <f t="shared" si="5"/>
        <v>#N/A</v>
      </c>
      <c r="W67" s="22"/>
      <c r="X67" s="22"/>
      <c r="Y67" s="22"/>
      <c r="Z67" s="22">
        <f t="shared" si="6"/>
        <v>0</v>
      </c>
      <c r="AA67" s="22">
        <f t="shared" ref="AA67:AA99" si="9">Z67-W67</f>
        <v>0</v>
      </c>
      <c r="AB67" s="22"/>
      <c r="AC67" s="23"/>
      <c r="AD67" s="52"/>
    </row>
    <row r="68" spans="1:30" ht="20.25" thickTop="1" thickBot="1" x14ac:dyDescent="0.3">
      <c r="A68" s="10">
        <v>1</v>
      </c>
      <c r="B68" s="11"/>
      <c r="C68" s="11" t="e">
        <f>VLOOKUP(B68,داتا!$B$3:$D$107,2,FALSE)</f>
        <v>#N/A</v>
      </c>
      <c r="D68" s="33" t="e">
        <f>VLOOKUP(B68,داتا!$B$3:$D$107,3,FALSE)</f>
        <v>#N/A</v>
      </c>
      <c r="E68" s="11"/>
      <c r="F68" s="11"/>
      <c r="G68" s="12">
        <v>8.3333333333333329E-2</v>
      </c>
      <c r="H68" s="12" t="e">
        <f t="shared" si="8"/>
        <v>#N/A</v>
      </c>
      <c r="I68" s="12" t="e">
        <f t="shared" ref="I68:I99" si="10">H68-G68</f>
        <v>#N/A</v>
      </c>
      <c r="J68" s="12"/>
      <c r="K68" s="12"/>
      <c r="L68" s="12"/>
      <c r="M68" s="12"/>
      <c r="N68" s="12">
        <f t="shared" ref="N68:N99" si="11">K68-J68</f>
        <v>0</v>
      </c>
      <c r="O68" s="12" t="e">
        <f t="shared" ref="O68:O99" si="12">N68-D68</f>
        <v>#N/A</v>
      </c>
      <c r="P68" s="12">
        <v>6.9444444444444397E-3</v>
      </c>
      <c r="Q68" s="12"/>
      <c r="R68" s="12">
        <f t="shared" ref="R68:R99" si="13">Q68-P68-K68</f>
        <v>-6.9444444444444397E-3</v>
      </c>
      <c r="S68" s="12"/>
      <c r="T68" s="12" t="e">
        <f>VLOOKUP(E68,'[2]21-3-2026'!E$3:T$35,16,FALSE)</f>
        <v>#N/A</v>
      </c>
      <c r="U68" s="12"/>
      <c r="V68" s="12" t="e">
        <f t="shared" ref="V68:V99" si="14">U68-T68-S68</f>
        <v>#N/A</v>
      </c>
      <c r="W68" s="12"/>
      <c r="X68" s="12"/>
      <c r="Y68" s="12"/>
      <c r="Z68" s="12">
        <f t="shared" ref="Z68:Z99" si="15">Y68-X68</f>
        <v>0</v>
      </c>
      <c r="AA68" s="12">
        <f t="shared" si="9"/>
        <v>0</v>
      </c>
      <c r="AB68" s="12"/>
      <c r="AC68" s="13"/>
      <c r="AD68" s="53" t="s">
        <v>116</v>
      </c>
    </row>
    <row r="69" spans="1:30" ht="19.5" thickBot="1" x14ac:dyDescent="0.3">
      <c r="A69" s="14">
        <v>2</v>
      </c>
      <c r="B69" s="15"/>
      <c r="C69" s="15" t="e">
        <f>VLOOKUP(B69,داتا!$B$3:$D$107,2,FALSE)</f>
        <v>#N/A</v>
      </c>
      <c r="D69" s="34" t="e">
        <f>VLOOKUP(B69,داتا!$B$3:$D$107,3,FALSE)</f>
        <v>#N/A</v>
      </c>
      <c r="E69" s="15"/>
      <c r="F69" s="15"/>
      <c r="G69" s="16">
        <v>8.3333333333333329E-2</v>
      </c>
      <c r="H69" s="16" t="e">
        <f t="shared" ref="H69:H84" si="16">VLOOKUP(G69,$F$3:$I$35,2,FALSE)</f>
        <v>#N/A</v>
      </c>
      <c r="I69" s="16" t="e">
        <f t="shared" si="10"/>
        <v>#N/A</v>
      </c>
      <c r="J69" s="16"/>
      <c r="K69" s="16"/>
      <c r="L69" s="16"/>
      <c r="M69" s="16"/>
      <c r="N69" s="16">
        <f t="shared" si="11"/>
        <v>0</v>
      </c>
      <c r="O69" s="16" t="e">
        <f t="shared" si="12"/>
        <v>#N/A</v>
      </c>
      <c r="P69" s="16">
        <v>6.9444444444444397E-3</v>
      </c>
      <c r="Q69" s="16"/>
      <c r="R69" s="16">
        <f t="shared" si="13"/>
        <v>-6.9444444444444397E-3</v>
      </c>
      <c r="S69" s="16"/>
      <c r="T69" s="16" t="e">
        <f>VLOOKUP(E69,'[2]21-3-2026'!E$3:T$35,16,FALSE)</f>
        <v>#N/A</v>
      </c>
      <c r="U69" s="16"/>
      <c r="V69" s="16" t="e">
        <f t="shared" si="14"/>
        <v>#N/A</v>
      </c>
      <c r="W69" s="16"/>
      <c r="X69" s="16"/>
      <c r="Y69" s="16"/>
      <c r="Z69" s="16">
        <f t="shared" si="15"/>
        <v>0</v>
      </c>
      <c r="AA69" s="16">
        <f t="shared" si="9"/>
        <v>0</v>
      </c>
      <c r="AB69" s="16"/>
      <c r="AC69" s="17"/>
      <c r="AD69" s="51"/>
    </row>
    <row r="70" spans="1:30" ht="19.5" thickBot="1" x14ac:dyDescent="0.3">
      <c r="A70" s="14">
        <v>3</v>
      </c>
      <c r="B70" s="15"/>
      <c r="C70" s="15" t="e">
        <f>VLOOKUP(B70,داتا!$B$3:$D$107,2,FALSE)</f>
        <v>#N/A</v>
      </c>
      <c r="D70" s="34" t="e">
        <f>VLOOKUP(B70,داتا!$B$3:$D$107,3,FALSE)</f>
        <v>#N/A</v>
      </c>
      <c r="E70" s="15"/>
      <c r="F70" s="15"/>
      <c r="G70" s="16">
        <v>8.3333333333333329E-2</v>
      </c>
      <c r="H70" s="16" t="e">
        <f t="shared" si="16"/>
        <v>#N/A</v>
      </c>
      <c r="I70" s="16" t="e">
        <f t="shared" si="10"/>
        <v>#N/A</v>
      </c>
      <c r="J70" s="16"/>
      <c r="K70" s="16"/>
      <c r="L70" s="16"/>
      <c r="M70" s="16"/>
      <c r="N70" s="16">
        <f t="shared" si="11"/>
        <v>0</v>
      </c>
      <c r="O70" s="16" t="e">
        <f t="shared" si="12"/>
        <v>#N/A</v>
      </c>
      <c r="P70" s="16">
        <v>6.9444444444444397E-3</v>
      </c>
      <c r="Q70" s="16"/>
      <c r="R70" s="16">
        <f t="shared" si="13"/>
        <v>-6.9444444444444397E-3</v>
      </c>
      <c r="S70" s="16"/>
      <c r="T70" s="16" t="e">
        <f>VLOOKUP(E70,'[2]21-3-2026'!E$3:T$35,16,FALSE)</f>
        <v>#N/A</v>
      </c>
      <c r="U70" s="16"/>
      <c r="V70" s="16" t="e">
        <f t="shared" si="14"/>
        <v>#N/A</v>
      </c>
      <c r="W70" s="16"/>
      <c r="X70" s="16"/>
      <c r="Y70" s="16"/>
      <c r="Z70" s="16">
        <f t="shared" si="15"/>
        <v>0</v>
      </c>
      <c r="AA70" s="16">
        <f t="shared" si="9"/>
        <v>0</v>
      </c>
      <c r="AB70" s="16"/>
      <c r="AC70" s="17"/>
      <c r="AD70" s="51"/>
    </row>
    <row r="71" spans="1:30" ht="19.5" thickBot="1" x14ac:dyDescent="0.3">
      <c r="A71" s="14">
        <v>4</v>
      </c>
      <c r="B71" s="15"/>
      <c r="C71" s="15" t="e">
        <f>VLOOKUP(B71,داتا!$B$3:$D$107,2,FALSE)</f>
        <v>#N/A</v>
      </c>
      <c r="D71" s="34" t="e">
        <f>VLOOKUP(B71,داتا!$B$3:$D$107,3,FALSE)</f>
        <v>#N/A</v>
      </c>
      <c r="E71" s="15"/>
      <c r="F71" s="15"/>
      <c r="G71" s="16">
        <v>8.3333333333333329E-2</v>
      </c>
      <c r="H71" s="16" t="e">
        <f t="shared" si="16"/>
        <v>#N/A</v>
      </c>
      <c r="I71" s="16" t="e">
        <f t="shared" si="10"/>
        <v>#N/A</v>
      </c>
      <c r="J71" s="16"/>
      <c r="K71" s="16"/>
      <c r="L71" s="16"/>
      <c r="M71" s="16"/>
      <c r="N71" s="16">
        <f t="shared" si="11"/>
        <v>0</v>
      </c>
      <c r="O71" s="16" t="e">
        <f t="shared" si="12"/>
        <v>#N/A</v>
      </c>
      <c r="P71" s="16">
        <v>6.9444444444444397E-3</v>
      </c>
      <c r="Q71" s="16"/>
      <c r="R71" s="16">
        <f t="shared" si="13"/>
        <v>-6.9444444444444397E-3</v>
      </c>
      <c r="S71" s="16"/>
      <c r="T71" s="16" t="e">
        <f>VLOOKUP(E71,'[2]21-3-2026'!E$3:T$35,16,FALSE)</f>
        <v>#N/A</v>
      </c>
      <c r="U71" s="16"/>
      <c r="V71" s="16" t="e">
        <f t="shared" si="14"/>
        <v>#N/A</v>
      </c>
      <c r="W71" s="16"/>
      <c r="X71" s="16"/>
      <c r="Y71" s="16"/>
      <c r="Z71" s="16">
        <f t="shared" si="15"/>
        <v>0</v>
      </c>
      <c r="AA71" s="16">
        <f t="shared" si="9"/>
        <v>0</v>
      </c>
      <c r="AB71" s="16"/>
      <c r="AC71" s="17"/>
      <c r="AD71" s="51"/>
    </row>
    <row r="72" spans="1:30" ht="19.5" thickBot="1" x14ac:dyDescent="0.3">
      <c r="A72" s="14">
        <v>5</v>
      </c>
      <c r="B72" s="15"/>
      <c r="C72" s="15" t="e">
        <f>VLOOKUP(B72,داتا!$B$3:$D$107,2,FALSE)</f>
        <v>#N/A</v>
      </c>
      <c r="D72" s="34" t="e">
        <f>VLOOKUP(B72,داتا!$B$3:$D$107,3,FALSE)</f>
        <v>#N/A</v>
      </c>
      <c r="E72" s="15"/>
      <c r="F72" s="15"/>
      <c r="G72" s="16">
        <v>8.3333333333333329E-2</v>
      </c>
      <c r="H72" s="16" t="e">
        <f t="shared" si="16"/>
        <v>#N/A</v>
      </c>
      <c r="I72" s="16" t="e">
        <f t="shared" si="10"/>
        <v>#N/A</v>
      </c>
      <c r="J72" s="16"/>
      <c r="K72" s="16"/>
      <c r="L72" s="16"/>
      <c r="M72" s="16"/>
      <c r="N72" s="16">
        <f t="shared" si="11"/>
        <v>0</v>
      </c>
      <c r="O72" s="16" t="e">
        <f t="shared" si="12"/>
        <v>#N/A</v>
      </c>
      <c r="P72" s="16">
        <v>6.9444444444444397E-3</v>
      </c>
      <c r="Q72" s="16"/>
      <c r="R72" s="16">
        <f t="shared" si="13"/>
        <v>-6.9444444444444397E-3</v>
      </c>
      <c r="S72" s="16"/>
      <c r="T72" s="16" t="e">
        <f>VLOOKUP(E72,'[2]21-3-2026'!E$3:T$35,16,FALSE)</f>
        <v>#N/A</v>
      </c>
      <c r="U72" s="16"/>
      <c r="V72" s="16" t="e">
        <f t="shared" si="14"/>
        <v>#N/A</v>
      </c>
      <c r="W72" s="16"/>
      <c r="X72" s="16"/>
      <c r="Y72" s="16"/>
      <c r="Z72" s="16">
        <f t="shared" si="15"/>
        <v>0</v>
      </c>
      <c r="AA72" s="16">
        <f t="shared" si="9"/>
        <v>0</v>
      </c>
      <c r="AB72" s="16"/>
      <c r="AC72" s="17"/>
      <c r="AD72" s="51"/>
    </row>
    <row r="73" spans="1:30" ht="19.5" thickBot="1" x14ac:dyDescent="0.3">
      <c r="A73" s="14">
        <v>6</v>
      </c>
      <c r="B73" s="15"/>
      <c r="C73" s="15" t="e">
        <f>VLOOKUP(B73,داتا!$B$3:$D$107,2,FALSE)</f>
        <v>#N/A</v>
      </c>
      <c r="D73" s="34" t="e">
        <f>VLOOKUP(B73,داتا!$B$3:$D$107,3,FALSE)</f>
        <v>#N/A</v>
      </c>
      <c r="E73" s="15"/>
      <c r="F73" s="15"/>
      <c r="G73" s="16">
        <v>8.3333333333333329E-2</v>
      </c>
      <c r="H73" s="16" t="e">
        <f t="shared" si="16"/>
        <v>#N/A</v>
      </c>
      <c r="I73" s="16" t="e">
        <f t="shared" si="10"/>
        <v>#N/A</v>
      </c>
      <c r="J73" s="16"/>
      <c r="K73" s="16"/>
      <c r="L73" s="16"/>
      <c r="M73" s="16"/>
      <c r="N73" s="16">
        <f t="shared" si="11"/>
        <v>0</v>
      </c>
      <c r="O73" s="16" t="e">
        <f t="shared" si="12"/>
        <v>#N/A</v>
      </c>
      <c r="P73" s="16">
        <v>6.9444444444444397E-3</v>
      </c>
      <c r="Q73" s="16"/>
      <c r="R73" s="16">
        <f t="shared" si="13"/>
        <v>-6.9444444444444397E-3</v>
      </c>
      <c r="S73" s="16"/>
      <c r="T73" s="16" t="e">
        <f>VLOOKUP(E73,'[2]21-3-2026'!E$3:T$35,16,FALSE)</f>
        <v>#N/A</v>
      </c>
      <c r="U73" s="16"/>
      <c r="V73" s="16" t="e">
        <f t="shared" si="14"/>
        <v>#N/A</v>
      </c>
      <c r="W73" s="16"/>
      <c r="X73" s="16"/>
      <c r="Y73" s="16"/>
      <c r="Z73" s="16">
        <f t="shared" si="15"/>
        <v>0</v>
      </c>
      <c r="AA73" s="16">
        <f t="shared" si="9"/>
        <v>0</v>
      </c>
      <c r="AB73" s="16"/>
      <c r="AC73" s="17"/>
      <c r="AD73" s="51"/>
    </row>
    <row r="74" spans="1:30" ht="19.5" thickBot="1" x14ac:dyDescent="0.3">
      <c r="A74" s="14">
        <v>7</v>
      </c>
      <c r="B74" s="15"/>
      <c r="C74" s="15" t="e">
        <f>VLOOKUP(B74,داتا!$B$3:$D$107,2,FALSE)</f>
        <v>#N/A</v>
      </c>
      <c r="D74" s="34" t="e">
        <f>VLOOKUP(B74,داتا!$B$3:$D$107,3,FALSE)</f>
        <v>#N/A</v>
      </c>
      <c r="E74" s="15"/>
      <c r="F74" s="15"/>
      <c r="G74" s="16">
        <v>8.3333333333333329E-2</v>
      </c>
      <c r="H74" s="16" t="e">
        <f t="shared" si="16"/>
        <v>#N/A</v>
      </c>
      <c r="I74" s="16" t="e">
        <f t="shared" si="10"/>
        <v>#N/A</v>
      </c>
      <c r="J74" s="16"/>
      <c r="K74" s="16"/>
      <c r="L74" s="16"/>
      <c r="M74" s="16"/>
      <c r="N74" s="16">
        <f t="shared" si="11"/>
        <v>0</v>
      </c>
      <c r="O74" s="16" t="e">
        <f t="shared" si="12"/>
        <v>#N/A</v>
      </c>
      <c r="P74" s="16">
        <v>6.9444444444444397E-3</v>
      </c>
      <c r="Q74" s="16"/>
      <c r="R74" s="16">
        <f t="shared" si="13"/>
        <v>-6.9444444444444397E-3</v>
      </c>
      <c r="S74" s="16"/>
      <c r="T74" s="16" t="e">
        <f>VLOOKUP(E74,'[2]21-3-2026'!E$3:T$35,16,FALSE)</f>
        <v>#N/A</v>
      </c>
      <c r="U74" s="16"/>
      <c r="V74" s="16" t="e">
        <f t="shared" si="14"/>
        <v>#N/A</v>
      </c>
      <c r="W74" s="16"/>
      <c r="X74" s="16"/>
      <c r="Y74" s="16"/>
      <c r="Z74" s="16">
        <f t="shared" si="15"/>
        <v>0</v>
      </c>
      <c r="AA74" s="16">
        <f t="shared" si="9"/>
        <v>0</v>
      </c>
      <c r="AB74" s="16"/>
      <c r="AC74" s="17"/>
      <c r="AD74" s="51"/>
    </row>
    <row r="75" spans="1:30" ht="19.5" thickBot="1" x14ac:dyDescent="0.3">
      <c r="A75" s="14">
        <v>8</v>
      </c>
      <c r="B75" s="15"/>
      <c r="C75" s="15" t="e">
        <f>VLOOKUP(B75,داتا!$B$3:$D$107,2,FALSE)</f>
        <v>#N/A</v>
      </c>
      <c r="D75" s="34" t="e">
        <f>VLOOKUP(B75,داتا!$B$3:$D$107,3,FALSE)</f>
        <v>#N/A</v>
      </c>
      <c r="E75" s="15"/>
      <c r="F75" s="15"/>
      <c r="G75" s="16">
        <v>8.3333333333333329E-2</v>
      </c>
      <c r="H75" s="16" t="e">
        <f t="shared" si="16"/>
        <v>#N/A</v>
      </c>
      <c r="I75" s="16" t="e">
        <f t="shared" si="10"/>
        <v>#N/A</v>
      </c>
      <c r="J75" s="16"/>
      <c r="K75" s="16"/>
      <c r="L75" s="16"/>
      <c r="M75" s="16"/>
      <c r="N75" s="16">
        <f t="shared" si="11"/>
        <v>0</v>
      </c>
      <c r="O75" s="16" t="e">
        <f t="shared" si="12"/>
        <v>#N/A</v>
      </c>
      <c r="P75" s="16">
        <v>6.9444444444444397E-3</v>
      </c>
      <c r="Q75" s="16"/>
      <c r="R75" s="16">
        <f t="shared" si="13"/>
        <v>-6.9444444444444397E-3</v>
      </c>
      <c r="S75" s="16"/>
      <c r="T75" s="16" t="e">
        <f>VLOOKUP(E75,'[2]21-3-2026'!E$3:T$35,16,FALSE)</f>
        <v>#N/A</v>
      </c>
      <c r="U75" s="16"/>
      <c r="V75" s="16" t="e">
        <f t="shared" si="14"/>
        <v>#N/A</v>
      </c>
      <c r="W75" s="16"/>
      <c r="X75" s="16"/>
      <c r="Y75" s="16"/>
      <c r="Z75" s="16">
        <f t="shared" si="15"/>
        <v>0</v>
      </c>
      <c r="AA75" s="16">
        <f t="shared" si="9"/>
        <v>0</v>
      </c>
      <c r="AB75" s="16"/>
      <c r="AC75" s="17"/>
      <c r="AD75" s="51"/>
    </row>
    <row r="76" spans="1:30" ht="19.5" thickBot="1" x14ac:dyDescent="0.3">
      <c r="A76" s="14">
        <v>9</v>
      </c>
      <c r="B76" s="15"/>
      <c r="C76" s="15" t="e">
        <f>VLOOKUP(B76,داتا!$B$3:$D$107,2,FALSE)</f>
        <v>#N/A</v>
      </c>
      <c r="D76" s="34" t="e">
        <f>VLOOKUP(B76,داتا!$B$3:$D$107,3,FALSE)</f>
        <v>#N/A</v>
      </c>
      <c r="E76" s="16"/>
      <c r="F76" s="15"/>
      <c r="G76" s="16">
        <v>8.3333333333333329E-2</v>
      </c>
      <c r="H76" s="16" t="e">
        <f t="shared" si="16"/>
        <v>#N/A</v>
      </c>
      <c r="I76" s="16" t="e">
        <f t="shared" si="10"/>
        <v>#N/A</v>
      </c>
      <c r="J76" s="16"/>
      <c r="K76" s="16"/>
      <c r="L76" s="16"/>
      <c r="M76" s="16"/>
      <c r="N76" s="16">
        <f t="shared" si="11"/>
        <v>0</v>
      </c>
      <c r="O76" s="16" t="e">
        <f t="shared" si="12"/>
        <v>#N/A</v>
      </c>
      <c r="P76" s="16">
        <v>6.9444444444444397E-3</v>
      </c>
      <c r="Q76" s="16"/>
      <c r="R76" s="16">
        <f t="shared" si="13"/>
        <v>-6.9444444444444397E-3</v>
      </c>
      <c r="S76" s="16"/>
      <c r="T76" s="16" t="e">
        <f>VLOOKUP(E76,'[2]21-3-2026'!E$3:T$35,16,FALSE)</f>
        <v>#N/A</v>
      </c>
      <c r="U76" s="16"/>
      <c r="V76" s="16" t="e">
        <f t="shared" si="14"/>
        <v>#N/A</v>
      </c>
      <c r="W76" s="16"/>
      <c r="X76" s="16"/>
      <c r="Y76" s="16"/>
      <c r="Z76" s="16">
        <f t="shared" si="15"/>
        <v>0</v>
      </c>
      <c r="AA76" s="16">
        <f t="shared" si="9"/>
        <v>0</v>
      </c>
      <c r="AB76" s="16"/>
      <c r="AC76" s="17"/>
      <c r="AD76" s="51"/>
    </row>
    <row r="77" spans="1:30" ht="19.5" thickBot="1" x14ac:dyDescent="0.3">
      <c r="A77" s="14">
        <v>10</v>
      </c>
      <c r="B77" s="15"/>
      <c r="C77" s="15" t="e">
        <f>VLOOKUP(B77,داتا!$B$3:$D$107,2,FALSE)</f>
        <v>#N/A</v>
      </c>
      <c r="D77" s="34" t="e">
        <f>VLOOKUP(B77,داتا!$B$3:$D$107,3,FALSE)</f>
        <v>#N/A</v>
      </c>
      <c r="E77" s="15"/>
      <c r="F77" s="15"/>
      <c r="G77" s="16">
        <v>8.3333333333333329E-2</v>
      </c>
      <c r="H77" s="16" t="e">
        <f t="shared" si="16"/>
        <v>#N/A</v>
      </c>
      <c r="I77" s="16" t="e">
        <f t="shared" si="10"/>
        <v>#N/A</v>
      </c>
      <c r="J77" s="16"/>
      <c r="K77" s="16"/>
      <c r="L77" s="16"/>
      <c r="M77" s="16"/>
      <c r="N77" s="16">
        <f t="shared" si="11"/>
        <v>0</v>
      </c>
      <c r="O77" s="16" t="e">
        <f t="shared" si="12"/>
        <v>#N/A</v>
      </c>
      <c r="P77" s="16">
        <v>6.9444444444444397E-3</v>
      </c>
      <c r="Q77" s="16"/>
      <c r="R77" s="16">
        <f t="shared" si="13"/>
        <v>-6.9444444444444397E-3</v>
      </c>
      <c r="S77" s="16"/>
      <c r="T77" s="16" t="e">
        <f>VLOOKUP(E77,'[2]21-3-2026'!E$3:T$35,16,FALSE)</f>
        <v>#N/A</v>
      </c>
      <c r="U77" s="16"/>
      <c r="V77" s="16" t="e">
        <f t="shared" si="14"/>
        <v>#N/A</v>
      </c>
      <c r="W77" s="16"/>
      <c r="X77" s="16"/>
      <c r="Y77" s="16"/>
      <c r="Z77" s="16">
        <f t="shared" si="15"/>
        <v>0</v>
      </c>
      <c r="AA77" s="16">
        <f t="shared" si="9"/>
        <v>0</v>
      </c>
      <c r="AB77" s="16"/>
      <c r="AC77" s="17"/>
      <c r="AD77" s="51"/>
    </row>
    <row r="78" spans="1:30" ht="19.5" thickBot="1" x14ac:dyDescent="0.3">
      <c r="A78" s="14">
        <v>11</v>
      </c>
      <c r="B78" s="15"/>
      <c r="C78" s="15" t="e">
        <f>VLOOKUP(B78,داتا!$B$3:$D$107,2,FALSE)</f>
        <v>#N/A</v>
      </c>
      <c r="D78" s="34" t="e">
        <f>VLOOKUP(B78,داتا!$B$3:$D$107,3,FALSE)</f>
        <v>#N/A</v>
      </c>
      <c r="E78" s="15"/>
      <c r="F78" s="15"/>
      <c r="G78" s="16">
        <v>8.3333333333333329E-2</v>
      </c>
      <c r="H78" s="16" t="e">
        <f t="shared" si="16"/>
        <v>#N/A</v>
      </c>
      <c r="I78" s="16" t="e">
        <f t="shared" si="10"/>
        <v>#N/A</v>
      </c>
      <c r="J78" s="16"/>
      <c r="K78" s="16"/>
      <c r="L78" s="16"/>
      <c r="M78" s="16"/>
      <c r="N78" s="16">
        <f t="shared" si="11"/>
        <v>0</v>
      </c>
      <c r="O78" s="16" t="e">
        <f t="shared" si="12"/>
        <v>#N/A</v>
      </c>
      <c r="P78" s="16">
        <v>6.9444444444444397E-3</v>
      </c>
      <c r="Q78" s="16"/>
      <c r="R78" s="16">
        <f t="shared" si="13"/>
        <v>-6.9444444444444397E-3</v>
      </c>
      <c r="S78" s="16"/>
      <c r="T78" s="16" t="e">
        <f>VLOOKUP(E78,'[2]21-3-2026'!E$3:T$35,16,FALSE)</f>
        <v>#N/A</v>
      </c>
      <c r="U78" s="16"/>
      <c r="V78" s="16" t="e">
        <f t="shared" si="14"/>
        <v>#N/A</v>
      </c>
      <c r="W78" s="16"/>
      <c r="X78" s="16"/>
      <c r="Y78" s="16"/>
      <c r="Z78" s="16">
        <f t="shared" si="15"/>
        <v>0</v>
      </c>
      <c r="AA78" s="16">
        <f t="shared" si="9"/>
        <v>0</v>
      </c>
      <c r="AB78" s="16"/>
      <c r="AC78" s="17"/>
      <c r="AD78" s="51"/>
    </row>
    <row r="79" spans="1:30" ht="19.5" thickBot="1" x14ac:dyDescent="0.3">
      <c r="A79" s="14">
        <v>12</v>
      </c>
      <c r="B79" s="15"/>
      <c r="C79" s="15" t="e">
        <f>VLOOKUP(B79,داتا!$B$3:$D$107,2,FALSE)</f>
        <v>#N/A</v>
      </c>
      <c r="D79" s="34" t="e">
        <f>VLOOKUP(B79,داتا!$B$3:$D$107,3,FALSE)</f>
        <v>#N/A</v>
      </c>
      <c r="E79" s="15"/>
      <c r="F79" s="15"/>
      <c r="G79" s="16">
        <v>8.3333333333333329E-2</v>
      </c>
      <c r="H79" s="16" t="e">
        <f t="shared" si="16"/>
        <v>#N/A</v>
      </c>
      <c r="I79" s="16" t="e">
        <f t="shared" si="10"/>
        <v>#N/A</v>
      </c>
      <c r="J79" s="16"/>
      <c r="K79" s="16"/>
      <c r="L79" s="16"/>
      <c r="M79" s="16"/>
      <c r="N79" s="16">
        <f t="shared" si="11"/>
        <v>0</v>
      </c>
      <c r="O79" s="16" t="e">
        <f t="shared" si="12"/>
        <v>#N/A</v>
      </c>
      <c r="P79" s="16">
        <v>6.9444444444444397E-3</v>
      </c>
      <c r="Q79" s="16"/>
      <c r="R79" s="16">
        <f t="shared" si="13"/>
        <v>-6.9444444444444397E-3</v>
      </c>
      <c r="S79" s="16"/>
      <c r="T79" s="16" t="e">
        <f>VLOOKUP(E79,'[2]21-3-2026'!E$3:T$35,16,FALSE)</f>
        <v>#N/A</v>
      </c>
      <c r="U79" s="16"/>
      <c r="V79" s="16" t="e">
        <f t="shared" si="14"/>
        <v>#N/A</v>
      </c>
      <c r="W79" s="16"/>
      <c r="X79" s="16"/>
      <c r="Y79" s="16"/>
      <c r="Z79" s="16">
        <f t="shared" si="15"/>
        <v>0</v>
      </c>
      <c r="AA79" s="16">
        <f t="shared" si="9"/>
        <v>0</v>
      </c>
      <c r="AB79" s="16"/>
      <c r="AC79" s="17"/>
      <c r="AD79" s="51"/>
    </row>
    <row r="80" spans="1:30" ht="19.5" thickBot="1" x14ac:dyDescent="0.3">
      <c r="A80" s="14">
        <v>13</v>
      </c>
      <c r="B80" s="15"/>
      <c r="C80" s="15" t="e">
        <f>VLOOKUP(B80,داتا!$B$3:$D$107,2,FALSE)</f>
        <v>#N/A</v>
      </c>
      <c r="D80" s="34" t="e">
        <f>VLOOKUP(B80,داتا!$B$3:$D$107,3,FALSE)</f>
        <v>#N/A</v>
      </c>
      <c r="E80" s="15"/>
      <c r="F80" s="15"/>
      <c r="G80" s="16">
        <v>8.3333333333333329E-2</v>
      </c>
      <c r="H80" s="16" t="e">
        <f t="shared" si="16"/>
        <v>#N/A</v>
      </c>
      <c r="I80" s="16" t="e">
        <f t="shared" si="10"/>
        <v>#N/A</v>
      </c>
      <c r="J80" s="16"/>
      <c r="K80" s="16"/>
      <c r="L80" s="16"/>
      <c r="M80" s="16"/>
      <c r="N80" s="16">
        <f t="shared" si="11"/>
        <v>0</v>
      </c>
      <c r="O80" s="16" t="e">
        <f t="shared" si="12"/>
        <v>#N/A</v>
      </c>
      <c r="P80" s="16">
        <v>6.9444444444444397E-3</v>
      </c>
      <c r="Q80" s="16"/>
      <c r="R80" s="16">
        <f t="shared" si="13"/>
        <v>-6.9444444444444397E-3</v>
      </c>
      <c r="S80" s="16"/>
      <c r="T80" s="16" t="e">
        <f>VLOOKUP(E80,'[2]21-3-2026'!E$3:T$35,16,FALSE)</f>
        <v>#N/A</v>
      </c>
      <c r="U80" s="16"/>
      <c r="V80" s="16" t="e">
        <f t="shared" si="14"/>
        <v>#N/A</v>
      </c>
      <c r="W80" s="16"/>
      <c r="X80" s="16"/>
      <c r="Y80" s="16"/>
      <c r="Z80" s="16">
        <f t="shared" si="15"/>
        <v>0</v>
      </c>
      <c r="AA80" s="16">
        <f t="shared" si="9"/>
        <v>0</v>
      </c>
      <c r="AB80" s="16"/>
      <c r="AC80" s="17"/>
      <c r="AD80" s="51"/>
    </row>
    <row r="81" spans="1:30" ht="19.5" thickBot="1" x14ac:dyDescent="0.3">
      <c r="A81" s="14">
        <v>14</v>
      </c>
      <c r="B81" s="15"/>
      <c r="C81" s="15" t="e">
        <f>VLOOKUP(B81,داتا!$B$3:$D$107,2,FALSE)</f>
        <v>#N/A</v>
      </c>
      <c r="D81" s="34" t="e">
        <f>VLOOKUP(B81,داتا!$B$3:$D$107,3,FALSE)</f>
        <v>#N/A</v>
      </c>
      <c r="E81" s="15"/>
      <c r="F81" s="15"/>
      <c r="G81" s="16">
        <v>8.3333333333333329E-2</v>
      </c>
      <c r="H81" s="16" t="e">
        <f t="shared" si="16"/>
        <v>#N/A</v>
      </c>
      <c r="I81" s="16" t="e">
        <f t="shared" si="10"/>
        <v>#N/A</v>
      </c>
      <c r="J81" s="16"/>
      <c r="K81" s="16"/>
      <c r="L81" s="16"/>
      <c r="M81" s="16"/>
      <c r="N81" s="16">
        <f t="shared" si="11"/>
        <v>0</v>
      </c>
      <c r="O81" s="16" t="e">
        <f t="shared" si="12"/>
        <v>#N/A</v>
      </c>
      <c r="P81" s="16">
        <v>6.9444444444444397E-3</v>
      </c>
      <c r="Q81" s="16"/>
      <c r="R81" s="16">
        <f t="shared" si="13"/>
        <v>-6.9444444444444397E-3</v>
      </c>
      <c r="S81" s="16"/>
      <c r="T81" s="16" t="e">
        <f>VLOOKUP(E81,'[2]21-3-2026'!E$3:T$35,16,FALSE)</f>
        <v>#N/A</v>
      </c>
      <c r="U81" s="16"/>
      <c r="V81" s="16" t="e">
        <f t="shared" si="14"/>
        <v>#N/A</v>
      </c>
      <c r="W81" s="16"/>
      <c r="X81" s="16"/>
      <c r="Y81" s="16"/>
      <c r="Z81" s="16">
        <f t="shared" si="15"/>
        <v>0</v>
      </c>
      <c r="AA81" s="16">
        <f t="shared" si="9"/>
        <v>0</v>
      </c>
      <c r="AB81" s="16"/>
      <c r="AC81" s="17"/>
      <c r="AD81" s="51"/>
    </row>
    <row r="82" spans="1:30" ht="19.5" thickBot="1" x14ac:dyDescent="0.3">
      <c r="A82" s="14">
        <v>15</v>
      </c>
      <c r="B82" s="15"/>
      <c r="C82" s="15" t="e">
        <f>VLOOKUP(B82,داتا!$B$3:$D$107,2,FALSE)</f>
        <v>#N/A</v>
      </c>
      <c r="D82" s="34" t="e">
        <f>VLOOKUP(B82,داتا!$B$3:$D$107,3,FALSE)</f>
        <v>#N/A</v>
      </c>
      <c r="E82" s="15"/>
      <c r="F82" s="15"/>
      <c r="G82" s="16">
        <v>8.3333333333333329E-2</v>
      </c>
      <c r="H82" s="16" t="e">
        <f t="shared" si="16"/>
        <v>#N/A</v>
      </c>
      <c r="I82" s="16" t="e">
        <f t="shared" si="10"/>
        <v>#N/A</v>
      </c>
      <c r="J82" s="16"/>
      <c r="K82" s="16"/>
      <c r="L82" s="16"/>
      <c r="M82" s="16"/>
      <c r="N82" s="16">
        <f t="shared" si="11"/>
        <v>0</v>
      </c>
      <c r="O82" s="16" t="e">
        <f t="shared" si="12"/>
        <v>#N/A</v>
      </c>
      <c r="P82" s="16">
        <v>6.9444444444444397E-3</v>
      </c>
      <c r="Q82" s="16"/>
      <c r="R82" s="16">
        <f t="shared" si="13"/>
        <v>-6.9444444444444397E-3</v>
      </c>
      <c r="S82" s="16"/>
      <c r="T82" s="16" t="e">
        <f>VLOOKUP(E82,'[2]21-3-2026'!E$3:T$35,16,FALSE)</f>
        <v>#N/A</v>
      </c>
      <c r="U82" s="16"/>
      <c r="V82" s="16" t="e">
        <f t="shared" si="14"/>
        <v>#N/A</v>
      </c>
      <c r="W82" s="16"/>
      <c r="X82" s="16"/>
      <c r="Y82" s="16"/>
      <c r="Z82" s="16">
        <f t="shared" si="15"/>
        <v>0</v>
      </c>
      <c r="AA82" s="16">
        <f t="shared" si="9"/>
        <v>0</v>
      </c>
      <c r="AB82" s="16"/>
      <c r="AC82" s="17"/>
      <c r="AD82" s="51"/>
    </row>
    <row r="83" spans="1:30" ht="19.5" thickBot="1" x14ac:dyDescent="0.3">
      <c r="A83" s="14">
        <v>16</v>
      </c>
      <c r="B83" s="15"/>
      <c r="C83" s="15" t="e">
        <f>VLOOKUP(B83,داتا!$B$3:$D$107,2,FALSE)</f>
        <v>#N/A</v>
      </c>
      <c r="D83" s="34" t="e">
        <f>VLOOKUP(B83,داتا!$B$3:$D$107,3,FALSE)</f>
        <v>#N/A</v>
      </c>
      <c r="E83" s="15"/>
      <c r="F83" s="15"/>
      <c r="G83" s="16">
        <v>8.3333333333333329E-2</v>
      </c>
      <c r="H83" s="16" t="e">
        <f t="shared" si="16"/>
        <v>#N/A</v>
      </c>
      <c r="I83" s="16" t="e">
        <f t="shared" si="10"/>
        <v>#N/A</v>
      </c>
      <c r="J83" s="16"/>
      <c r="K83" s="16"/>
      <c r="L83" s="16"/>
      <c r="M83" s="16"/>
      <c r="N83" s="16">
        <f t="shared" si="11"/>
        <v>0</v>
      </c>
      <c r="O83" s="16" t="e">
        <f t="shared" si="12"/>
        <v>#N/A</v>
      </c>
      <c r="P83" s="16">
        <v>6.9444444444444397E-3</v>
      </c>
      <c r="Q83" s="16"/>
      <c r="R83" s="16">
        <f t="shared" si="13"/>
        <v>-6.9444444444444397E-3</v>
      </c>
      <c r="S83" s="16"/>
      <c r="T83" s="16" t="e">
        <f>VLOOKUP(E83,'[2]21-3-2026'!E$3:T$35,16,FALSE)</f>
        <v>#N/A</v>
      </c>
      <c r="U83" s="16"/>
      <c r="V83" s="16" t="e">
        <f t="shared" si="14"/>
        <v>#N/A</v>
      </c>
      <c r="W83" s="16"/>
      <c r="X83" s="16"/>
      <c r="Y83" s="16"/>
      <c r="Z83" s="16">
        <f t="shared" si="15"/>
        <v>0</v>
      </c>
      <c r="AA83" s="16">
        <f t="shared" si="9"/>
        <v>0</v>
      </c>
      <c r="AB83" s="16"/>
      <c r="AC83" s="17"/>
      <c r="AD83" s="51"/>
    </row>
    <row r="84" spans="1:30" ht="19.5" thickBot="1" x14ac:dyDescent="0.3">
      <c r="A84" s="14">
        <v>17</v>
      </c>
      <c r="B84" s="15"/>
      <c r="C84" s="15" t="e">
        <f>VLOOKUP(B84,داتا!$B$3:$D$107,2,FALSE)</f>
        <v>#N/A</v>
      </c>
      <c r="D84" s="34" t="e">
        <f>VLOOKUP(B84,داتا!$B$3:$D$107,3,FALSE)</f>
        <v>#N/A</v>
      </c>
      <c r="E84" s="15"/>
      <c r="F84" s="15"/>
      <c r="G84" s="16">
        <v>8.3333333333333329E-2</v>
      </c>
      <c r="H84" s="16" t="e">
        <f t="shared" si="16"/>
        <v>#N/A</v>
      </c>
      <c r="I84" s="16" t="e">
        <f t="shared" si="10"/>
        <v>#N/A</v>
      </c>
      <c r="J84" s="16"/>
      <c r="K84" s="16"/>
      <c r="L84" s="16"/>
      <c r="M84" s="16"/>
      <c r="N84" s="16">
        <f t="shared" si="11"/>
        <v>0</v>
      </c>
      <c r="O84" s="16" t="e">
        <f t="shared" si="12"/>
        <v>#N/A</v>
      </c>
      <c r="P84" s="16">
        <v>6.9444444444444397E-3</v>
      </c>
      <c r="Q84" s="16"/>
      <c r="R84" s="16">
        <f t="shared" si="13"/>
        <v>-6.9444444444444397E-3</v>
      </c>
      <c r="S84" s="16"/>
      <c r="T84" s="16" t="e">
        <f>VLOOKUP(E84,'[2]21-3-2026'!E$3:T$35,16,FALSE)</f>
        <v>#N/A</v>
      </c>
      <c r="U84" s="16"/>
      <c r="V84" s="16" t="e">
        <f t="shared" si="14"/>
        <v>#N/A</v>
      </c>
      <c r="W84" s="16"/>
      <c r="X84" s="16"/>
      <c r="Y84" s="16"/>
      <c r="Z84" s="16">
        <f t="shared" si="15"/>
        <v>0</v>
      </c>
      <c r="AA84" s="16">
        <f t="shared" si="9"/>
        <v>0</v>
      </c>
      <c r="AB84" s="16"/>
      <c r="AC84" s="17"/>
      <c r="AD84" s="51"/>
    </row>
    <row r="85" spans="1:30" ht="19.5" thickBot="1" x14ac:dyDescent="0.3">
      <c r="A85" s="14">
        <v>18</v>
      </c>
      <c r="B85" s="15"/>
      <c r="C85" s="15" t="e">
        <f>VLOOKUP(B85,داتا!$B$3:$D$107,2,FALSE)</f>
        <v>#N/A</v>
      </c>
      <c r="D85" s="34" t="e">
        <f>VLOOKUP(B85,داتا!$B$3:$D$107,3,FALSE)</f>
        <v>#N/A</v>
      </c>
      <c r="E85" s="15"/>
      <c r="F85" s="15"/>
      <c r="G85" s="16">
        <v>8.3333333333333329E-2</v>
      </c>
      <c r="H85" s="16" t="e">
        <f t="shared" ref="H85:H99" si="17">VLOOKUP(G85,$F$3:$I$35,2,FALSE)</f>
        <v>#N/A</v>
      </c>
      <c r="I85" s="16" t="e">
        <f t="shared" si="10"/>
        <v>#N/A</v>
      </c>
      <c r="J85" s="16"/>
      <c r="K85" s="16"/>
      <c r="L85" s="16"/>
      <c r="M85" s="16"/>
      <c r="N85" s="16">
        <f t="shared" si="11"/>
        <v>0</v>
      </c>
      <c r="O85" s="16" t="e">
        <f t="shared" si="12"/>
        <v>#N/A</v>
      </c>
      <c r="P85" s="16">
        <v>6.9444444444444397E-3</v>
      </c>
      <c r="Q85" s="16"/>
      <c r="R85" s="16">
        <f t="shared" si="13"/>
        <v>-6.9444444444444397E-3</v>
      </c>
      <c r="S85" s="16"/>
      <c r="T85" s="16" t="e">
        <f>VLOOKUP(E85,'[2]21-3-2026'!E$3:T$35,16,FALSE)</f>
        <v>#N/A</v>
      </c>
      <c r="U85" s="16"/>
      <c r="V85" s="16" t="e">
        <f t="shared" si="14"/>
        <v>#N/A</v>
      </c>
      <c r="W85" s="16"/>
      <c r="X85" s="16"/>
      <c r="Y85" s="16"/>
      <c r="Z85" s="16">
        <f t="shared" si="15"/>
        <v>0</v>
      </c>
      <c r="AA85" s="16">
        <f t="shared" si="9"/>
        <v>0</v>
      </c>
      <c r="AB85" s="16"/>
      <c r="AC85" s="17"/>
      <c r="AD85" s="51"/>
    </row>
    <row r="86" spans="1:30" ht="19.5" thickBot="1" x14ac:dyDescent="0.3">
      <c r="A86" s="14">
        <v>19</v>
      </c>
      <c r="B86" s="15"/>
      <c r="C86" s="15" t="e">
        <f>VLOOKUP(B86,داتا!$B$3:$D$107,2,FALSE)</f>
        <v>#N/A</v>
      </c>
      <c r="D86" s="34" t="e">
        <f>VLOOKUP(B86,داتا!$B$3:$D$107,3,FALSE)</f>
        <v>#N/A</v>
      </c>
      <c r="E86" s="15"/>
      <c r="F86" s="15"/>
      <c r="G86" s="16">
        <v>8.3333333333333329E-2</v>
      </c>
      <c r="H86" s="16" t="e">
        <f t="shared" si="17"/>
        <v>#N/A</v>
      </c>
      <c r="I86" s="16" t="e">
        <f t="shared" si="10"/>
        <v>#N/A</v>
      </c>
      <c r="J86" s="16"/>
      <c r="K86" s="16"/>
      <c r="L86" s="16"/>
      <c r="M86" s="16"/>
      <c r="N86" s="16">
        <f t="shared" si="11"/>
        <v>0</v>
      </c>
      <c r="O86" s="16" t="e">
        <f t="shared" si="12"/>
        <v>#N/A</v>
      </c>
      <c r="P86" s="16">
        <v>6.9444444444444397E-3</v>
      </c>
      <c r="Q86" s="16"/>
      <c r="R86" s="16">
        <f t="shared" si="13"/>
        <v>-6.9444444444444397E-3</v>
      </c>
      <c r="S86" s="16"/>
      <c r="T86" s="16" t="e">
        <f>VLOOKUP(E86,'[2]21-3-2026'!E$3:T$35,16,FALSE)</f>
        <v>#N/A</v>
      </c>
      <c r="U86" s="16"/>
      <c r="V86" s="16" t="e">
        <f t="shared" si="14"/>
        <v>#N/A</v>
      </c>
      <c r="W86" s="16"/>
      <c r="X86" s="16"/>
      <c r="Y86" s="16"/>
      <c r="Z86" s="16">
        <f t="shared" si="15"/>
        <v>0</v>
      </c>
      <c r="AA86" s="16">
        <f t="shared" si="9"/>
        <v>0</v>
      </c>
      <c r="AB86" s="16"/>
      <c r="AC86" s="17"/>
      <c r="AD86" s="51"/>
    </row>
    <row r="87" spans="1:30" ht="19.5" thickBot="1" x14ac:dyDescent="0.3">
      <c r="A87" s="14">
        <v>20</v>
      </c>
      <c r="B87" s="15"/>
      <c r="C87" s="15" t="e">
        <f>VLOOKUP(B87,داتا!$B$3:$D$107,2,FALSE)</f>
        <v>#N/A</v>
      </c>
      <c r="D87" s="34" t="e">
        <f>VLOOKUP(B87,داتا!$B$3:$D$107,3,FALSE)</f>
        <v>#N/A</v>
      </c>
      <c r="E87" s="15"/>
      <c r="F87" s="15"/>
      <c r="G87" s="16">
        <v>8.3333333333333329E-2</v>
      </c>
      <c r="H87" s="16" t="e">
        <f t="shared" si="17"/>
        <v>#N/A</v>
      </c>
      <c r="I87" s="16" t="e">
        <f t="shared" si="10"/>
        <v>#N/A</v>
      </c>
      <c r="J87" s="16"/>
      <c r="K87" s="16"/>
      <c r="L87" s="16"/>
      <c r="M87" s="16"/>
      <c r="N87" s="16">
        <f t="shared" si="11"/>
        <v>0</v>
      </c>
      <c r="O87" s="16" t="e">
        <f t="shared" si="12"/>
        <v>#N/A</v>
      </c>
      <c r="P87" s="16">
        <v>6.9444444444444397E-3</v>
      </c>
      <c r="Q87" s="16"/>
      <c r="R87" s="16">
        <f t="shared" si="13"/>
        <v>-6.9444444444444397E-3</v>
      </c>
      <c r="S87" s="16"/>
      <c r="T87" s="16" t="e">
        <f>VLOOKUP(E87,'[2]21-3-2026'!E$3:T$35,16,FALSE)</f>
        <v>#N/A</v>
      </c>
      <c r="U87" s="16"/>
      <c r="V87" s="16" t="e">
        <f t="shared" si="14"/>
        <v>#N/A</v>
      </c>
      <c r="W87" s="16"/>
      <c r="X87" s="16"/>
      <c r="Y87" s="16"/>
      <c r="Z87" s="16">
        <f t="shared" si="15"/>
        <v>0</v>
      </c>
      <c r="AA87" s="16">
        <f t="shared" si="9"/>
        <v>0</v>
      </c>
      <c r="AB87" s="16"/>
      <c r="AC87" s="17"/>
      <c r="AD87" s="51"/>
    </row>
    <row r="88" spans="1:30" ht="19.5" thickBot="1" x14ac:dyDescent="0.3">
      <c r="A88" s="14">
        <v>21</v>
      </c>
      <c r="B88" s="15"/>
      <c r="C88" s="15" t="e">
        <f>VLOOKUP(B88,داتا!$B$3:$D$107,2,FALSE)</f>
        <v>#N/A</v>
      </c>
      <c r="D88" s="34" t="e">
        <f>VLOOKUP(B88,داتا!$B$3:$D$107,3,FALSE)</f>
        <v>#N/A</v>
      </c>
      <c r="E88" s="15"/>
      <c r="F88" s="15"/>
      <c r="G88" s="16">
        <v>8.3333333333333329E-2</v>
      </c>
      <c r="H88" s="16" t="e">
        <f t="shared" si="17"/>
        <v>#N/A</v>
      </c>
      <c r="I88" s="16" t="e">
        <f t="shared" si="10"/>
        <v>#N/A</v>
      </c>
      <c r="J88" s="16"/>
      <c r="K88" s="16"/>
      <c r="L88" s="16"/>
      <c r="M88" s="16"/>
      <c r="N88" s="16">
        <f t="shared" si="11"/>
        <v>0</v>
      </c>
      <c r="O88" s="16" t="e">
        <f t="shared" si="12"/>
        <v>#N/A</v>
      </c>
      <c r="P88" s="16">
        <v>6.9444444444444397E-3</v>
      </c>
      <c r="Q88" s="16"/>
      <c r="R88" s="16">
        <f t="shared" si="13"/>
        <v>-6.9444444444444397E-3</v>
      </c>
      <c r="S88" s="16"/>
      <c r="T88" s="16" t="e">
        <f>VLOOKUP(E88,'[2]21-3-2026'!E$3:T$35,16,FALSE)</f>
        <v>#N/A</v>
      </c>
      <c r="U88" s="16"/>
      <c r="V88" s="16" t="e">
        <f t="shared" si="14"/>
        <v>#N/A</v>
      </c>
      <c r="W88" s="16"/>
      <c r="X88" s="16"/>
      <c r="Y88" s="16"/>
      <c r="Z88" s="16">
        <f t="shared" si="15"/>
        <v>0</v>
      </c>
      <c r="AA88" s="16">
        <f t="shared" si="9"/>
        <v>0</v>
      </c>
      <c r="AB88" s="16"/>
      <c r="AC88" s="19"/>
      <c r="AD88" s="51"/>
    </row>
    <row r="89" spans="1:30" ht="19.5" thickBot="1" x14ac:dyDescent="0.3">
      <c r="A89" s="14">
        <v>22</v>
      </c>
      <c r="B89" s="15"/>
      <c r="C89" s="15" t="e">
        <f>VLOOKUP(B89,داتا!$B$3:$D$107,2,FALSE)</f>
        <v>#N/A</v>
      </c>
      <c r="D89" s="34" t="e">
        <f>VLOOKUP(B89,داتا!$B$3:$D$107,3,FALSE)</f>
        <v>#N/A</v>
      </c>
      <c r="E89" s="15"/>
      <c r="F89" s="15"/>
      <c r="G89" s="16">
        <v>8.3333333333333329E-2</v>
      </c>
      <c r="H89" s="16" t="e">
        <f t="shared" si="17"/>
        <v>#N/A</v>
      </c>
      <c r="I89" s="16" t="e">
        <f t="shared" si="10"/>
        <v>#N/A</v>
      </c>
      <c r="J89" s="16"/>
      <c r="K89" s="16"/>
      <c r="L89" s="16"/>
      <c r="M89" s="16"/>
      <c r="N89" s="16">
        <f t="shared" si="11"/>
        <v>0</v>
      </c>
      <c r="O89" s="16" t="e">
        <f t="shared" si="12"/>
        <v>#N/A</v>
      </c>
      <c r="P89" s="16">
        <v>6.9444444444444397E-3</v>
      </c>
      <c r="Q89" s="16"/>
      <c r="R89" s="16">
        <f t="shared" si="13"/>
        <v>-6.9444444444444397E-3</v>
      </c>
      <c r="S89" s="16"/>
      <c r="T89" s="16" t="e">
        <f>VLOOKUP(E89,'[2]21-3-2026'!E$3:T$35,16,FALSE)</f>
        <v>#N/A</v>
      </c>
      <c r="U89" s="16"/>
      <c r="V89" s="16" t="e">
        <f t="shared" si="14"/>
        <v>#N/A</v>
      </c>
      <c r="W89" s="16"/>
      <c r="X89" s="16"/>
      <c r="Y89" s="16"/>
      <c r="Z89" s="16">
        <f t="shared" si="15"/>
        <v>0</v>
      </c>
      <c r="AA89" s="16">
        <f t="shared" si="9"/>
        <v>0</v>
      </c>
      <c r="AB89" s="16"/>
      <c r="AC89" s="19"/>
      <c r="AD89" s="51"/>
    </row>
    <row r="90" spans="1:30" ht="19.5" thickBot="1" x14ac:dyDescent="0.3">
      <c r="A90" s="14">
        <v>23</v>
      </c>
      <c r="B90" s="15"/>
      <c r="C90" s="15" t="e">
        <f>VLOOKUP(B90,داتا!$B$3:$D$107,2,FALSE)</f>
        <v>#N/A</v>
      </c>
      <c r="D90" s="34" t="e">
        <f>VLOOKUP(B90,داتا!$B$3:$D$107,3,FALSE)</f>
        <v>#N/A</v>
      </c>
      <c r="E90" s="15"/>
      <c r="F90" s="15"/>
      <c r="G90" s="16">
        <v>8.3333333333333329E-2</v>
      </c>
      <c r="H90" s="16" t="e">
        <f t="shared" si="17"/>
        <v>#N/A</v>
      </c>
      <c r="I90" s="16" t="e">
        <f t="shared" si="10"/>
        <v>#N/A</v>
      </c>
      <c r="J90" s="16"/>
      <c r="K90" s="16"/>
      <c r="L90" s="16"/>
      <c r="M90" s="16"/>
      <c r="N90" s="16">
        <f t="shared" si="11"/>
        <v>0</v>
      </c>
      <c r="O90" s="16" t="e">
        <f t="shared" si="12"/>
        <v>#N/A</v>
      </c>
      <c r="P90" s="16">
        <v>6.9444444444444397E-3</v>
      </c>
      <c r="Q90" s="16"/>
      <c r="R90" s="16">
        <f t="shared" si="13"/>
        <v>-6.9444444444444397E-3</v>
      </c>
      <c r="S90" s="16"/>
      <c r="T90" s="16" t="e">
        <f>VLOOKUP(E90,'[2]21-3-2026'!E$3:T$35,16,FALSE)</f>
        <v>#N/A</v>
      </c>
      <c r="U90" s="16"/>
      <c r="V90" s="16" t="e">
        <f t="shared" si="14"/>
        <v>#N/A</v>
      </c>
      <c r="W90" s="16"/>
      <c r="X90" s="16"/>
      <c r="Y90" s="16"/>
      <c r="Z90" s="16">
        <f t="shared" si="15"/>
        <v>0</v>
      </c>
      <c r="AA90" s="16">
        <f t="shared" si="9"/>
        <v>0</v>
      </c>
      <c r="AB90" s="16"/>
      <c r="AC90" s="19"/>
      <c r="AD90" s="51"/>
    </row>
    <row r="91" spans="1:30" ht="19.5" thickBot="1" x14ac:dyDescent="0.3">
      <c r="A91" s="14">
        <v>24</v>
      </c>
      <c r="B91" s="15"/>
      <c r="C91" s="15" t="e">
        <f>VLOOKUP(B91,داتا!$B$3:$D$107,2,FALSE)</f>
        <v>#N/A</v>
      </c>
      <c r="D91" s="34" t="e">
        <f>VLOOKUP(B91,داتا!$B$3:$D$107,3,FALSE)</f>
        <v>#N/A</v>
      </c>
      <c r="E91" s="15"/>
      <c r="F91" s="15"/>
      <c r="G91" s="16">
        <v>8.3333333333333329E-2</v>
      </c>
      <c r="H91" s="16" t="e">
        <f t="shared" si="17"/>
        <v>#N/A</v>
      </c>
      <c r="I91" s="16" t="e">
        <f t="shared" si="10"/>
        <v>#N/A</v>
      </c>
      <c r="J91" s="16"/>
      <c r="K91" s="16"/>
      <c r="L91" s="16"/>
      <c r="M91" s="16"/>
      <c r="N91" s="16">
        <f t="shared" si="11"/>
        <v>0</v>
      </c>
      <c r="O91" s="16" t="e">
        <f t="shared" si="12"/>
        <v>#N/A</v>
      </c>
      <c r="P91" s="16">
        <v>6.9444444444444397E-3</v>
      </c>
      <c r="Q91" s="16"/>
      <c r="R91" s="16">
        <f t="shared" si="13"/>
        <v>-6.9444444444444397E-3</v>
      </c>
      <c r="S91" s="16"/>
      <c r="T91" s="16" t="e">
        <f>VLOOKUP(E91,'[2]21-3-2026'!E$3:T$35,16,FALSE)</f>
        <v>#N/A</v>
      </c>
      <c r="U91" s="16"/>
      <c r="V91" s="16" t="e">
        <f t="shared" si="14"/>
        <v>#N/A</v>
      </c>
      <c r="W91" s="16"/>
      <c r="X91" s="16"/>
      <c r="Y91" s="16"/>
      <c r="Z91" s="16">
        <f t="shared" si="15"/>
        <v>0</v>
      </c>
      <c r="AA91" s="16">
        <f t="shared" si="9"/>
        <v>0</v>
      </c>
      <c r="AB91" s="16"/>
      <c r="AC91" s="19"/>
      <c r="AD91" s="51"/>
    </row>
    <row r="92" spans="1:30" ht="19.5" thickBot="1" x14ac:dyDescent="0.3">
      <c r="A92" s="14">
        <v>25</v>
      </c>
      <c r="B92" s="15"/>
      <c r="C92" s="15" t="e">
        <f>VLOOKUP(B92,داتا!$B$3:$D$107,2,FALSE)</f>
        <v>#N/A</v>
      </c>
      <c r="D92" s="34" t="e">
        <f>VLOOKUP(B92,داتا!$B$3:$D$107,3,FALSE)</f>
        <v>#N/A</v>
      </c>
      <c r="E92" s="15"/>
      <c r="F92" s="15"/>
      <c r="G92" s="16">
        <v>8.3333333333333329E-2</v>
      </c>
      <c r="H92" s="16" t="e">
        <f t="shared" si="17"/>
        <v>#N/A</v>
      </c>
      <c r="I92" s="16" t="e">
        <f t="shared" si="10"/>
        <v>#N/A</v>
      </c>
      <c r="J92" s="16"/>
      <c r="K92" s="16"/>
      <c r="L92" s="16"/>
      <c r="M92" s="16"/>
      <c r="N92" s="16">
        <f t="shared" si="11"/>
        <v>0</v>
      </c>
      <c r="O92" s="16" t="e">
        <f t="shared" si="12"/>
        <v>#N/A</v>
      </c>
      <c r="P92" s="16">
        <v>6.9444444444444397E-3</v>
      </c>
      <c r="Q92" s="16"/>
      <c r="R92" s="16">
        <f t="shared" si="13"/>
        <v>-6.9444444444444397E-3</v>
      </c>
      <c r="S92" s="16"/>
      <c r="T92" s="16" t="e">
        <f>VLOOKUP(E92,'[2]21-3-2026'!E$3:T$35,16,FALSE)</f>
        <v>#N/A</v>
      </c>
      <c r="U92" s="16"/>
      <c r="V92" s="16" t="e">
        <f t="shared" si="14"/>
        <v>#N/A</v>
      </c>
      <c r="W92" s="16"/>
      <c r="X92" s="16"/>
      <c r="Y92" s="16"/>
      <c r="Z92" s="16">
        <f t="shared" si="15"/>
        <v>0</v>
      </c>
      <c r="AA92" s="16">
        <f t="shared" si="9"/>
        <v>0</v>
      </c>
      <c r="AB92" s="16"/>
      <c r="AC92" s="19"/>
      <c r="AD92" s="51"/>
    </row>
    <row r="93" spans="1:30" ht="19.5" thickBot="1" x14ac:dyDescent="0.3">
      <c r="A93" s="14">
        <v>26</v>
      </c>
      <c r="B93" s="15"/>
      <c r="C93" s="15" t="e">
        <f>VLOOKUP(B93,داتا!$B$3:$D$107,2,FALSE)</f>
        <v>#N/A</v>
      </c>
      <c r="D93" s="34" t="e">
        <f>VLOOKUP(B93,داتا!$B$3:$D$107,3,FALSE)</f>
        <v>#N/A</v>
      </c>
      <c r="E93" s="15"/>
      <c r="F93" s="15"/>
      <c r="G93" s="16">
        <v>8.3333333333333329E-2</v>
      </c>
      <c r="H93" s="16" t="e">
        <f t="shared" si="17"/>
        <v>#N/A</v>
      </c>
      <c r="I93" s="16" t="e">
        <f t="shared" si="10"/>
        <v>#N/A</v>
      </c>
      <c r="J93" s="16"/>
      <c r="K93" s="16"/>
      <c r="L93" s="16"/>
      <c r="M93" s="16"/>
      <c r="N93" s="16">
        <f t="shared" si="11"/>
        <v>0</v>
      </c>
      <c r="O93" s="16" t="e">
        <f t="shared" si="12"/>
        <v>#N/A</v>
      </c>
      <c r="P93" s="16">
        <v>6.9444444444444397E-3</v>
      </c>
      <c r="Q93" s="16"/>
      <c r="R93" s="16">
        <f t="shared" si="13"/>
        <v>-6.9444444444444397E-3</v>
      </c>
      <c r="S93" s="16"/>
      <c r="T93" s="16" t="e">
        <f>VLOOKUP(E93,'[2]21-3-2026'!E$3:T$35,16,FALSE)</f>
        <v>#N/A</v>
      </c>
      <c r="U93" s="16"/>
      <c r="V93" s="16" t="e">
        <f t="shared" si="14"/>
        <v>#N/A</v>
      </c>
      <c r="W93" s="16"/>
      <c r="X93" s="16"/>
      <c r="Y93" s="16"/>
      <c r="Z93" s="16">
        <f t="shared" si="15"/>
        <v>0</v>
      </c>
      <c r="AA93" s="16">
        <f t="shared" si="9"/>
        <v>0</v>
      </c>
      <c r="AB93" s="16"/>
      <c r="AC93" s="19"/>
      <c r="AD93" s="51"/>
    </row>
    <row r="94" spans="1:30" ht="19.5" thickBot="1" x14ac:dyDescent="0.3">
      <c r="A94" s="14">
        <v>27</v>
      </c>
      <c r="B94" s="15"/>
      <c r="C94" s="15" t="e">
        <f>VLOOKUP(B94,داتا!$B$3:$D$107,2,FALSE)</f>
        <v>#N/A</v>
      </c>
      <c r="D94" s="34" t="e">
        <f>VLOOKUP(B94,داتا!$B$3:$D$107,3,FALSE)</f>
        <v>#N/A</v>
      </c>
      <c r="E94" s="15"/>
      <c r="F94" s="15"/>
      <c r="G94" s="16">
        <v>8.3333333333333329E-2</v>
      </c>
      <c r="H94" s="16" t="e">
        <f t="shared" si="17"/>
        <v>#N/A</v>
      </c>
      <c r="I94" s="16" t="e">
        <f t="shared" si="10"/>
        <v>#N/A</v>
      </c>
      <c r="J94" s="16"/>
      <c r="K94" s="16"/>
      <c r="L94" s="16"/>
      <c r="M94" s="16"/>
      <c r="N94" s="16">
        <f t="shared" si="11"/>
        <v>0</v>
      </c>
      <c r="O94" s="16" t="e">
        <f t="shared" si="12"/>
        <v>#N/A</v>
      </c>
      <c r="P94" s="16">
        <v>6.9444444444444397E-3</v>
      </c>
      <c r="Q94" s="16"/>
      <c r="R94" s="16">
        <f t="shared" si="13"/>
        <v>-6.9444444444444397E-3</v>
      </c>
      <c r="S94" s="16"/>
      <c r="T94" s="16" t="e">
        <f>VLOOKUP(E94,'[2]21-3-2026'!E$3:T$35,16,FALSE)</f>
        <v>#N/A</v>
      </c>
      <c r="U94" s="16"/>
      <c r="V94" s="16" t="e">
        <f t="shared" si="14"/>
        <v>#N/A</v>
      </c>
      <c r="W94" s="16"/>
      <c r="X94" s="16"/>
      <c r="Y94" s="16"/>
      <c r="Z94" s="16">
        <f t="shared" si="15"/>
        <v>0</v>
      </c>
      <c r="AA94" s="16">
        <f t="shared" si="9"/>
        <v>0</v>
      </c>
      <c r="AB94" s="16"/>
      <c r="AC94" s="19"/>
      <c r="AD94" s="51"/>
    </row>
    <row r="95" spans="1:30" ht="19.5" thickBot="1" x14ac:dyDescent="0.3">
      <c r="A95" s="14">
        <v>28</v>
      </c>
      <c r="B95" s="15"/>
      <c r="C95" s="15" t="e">
        <f>VLOOKUP(B95,داتا!$B$3:$D$107,2,FALSE)</f>
        <v>#N/A</v>
      </c>
      <c r="D95" s="34" t="e">
        <f>VLOOKUP(B95,داتا!$B$3:$D$107,3,FALSE)</f>
        <v>#N/A</v>
      </c>
      <c r="E95" s="15"/>
      <c r="F95" s="16"/>
      <c r="G95" s="16">
        <v>8.3333333333333329E-2</v>
      </c>
      <c r="H95" s="16" t="e">
        <f t="shared" si="17"/>
        <v>#N/A</v>
      </c>
      <c r="I95" s="16" t="e">
        <f t="shared" si="10"/>
        <v>#N/A</v>
      </c>
      <c r="J95" s="16"/>
      <c r="K95" s="16"/>
      <c r="L95" s="16"/>
      <c r="M95" s="16"/>
      <c r="N95" s="16">
        <f t="shared" si="11"/>
        <v>0</v>
      </c>
      <c r="O95" s="16" t="e">
        <f t="shared" si="12"/>
        <v>#N/A</v>
      </c>
      <c r="P95" s="16">
        <v>6.9444444444444397E-3</v>
      </c>
      <c r="Q95" s="16"/>
      <c r="R95" s="16">
        <f t="shared" si="13"/>
        <v>-6.9444444444444397E-3</v>
      </c>
      <c r="S95" s="16"/>
      <c r="T95" s="16" t="e">
        <f>VLOOKUP(E95,'[2]21-3-2026'!E$3:T$35,16,FALSE)</f>
        <v>#N/A</v>
      </c>
      <c r="U95" s="16"/>
      <c r="V95" s="16" t="e">
        <f t="shared" si="14"/>
        <v>#N/A</v>
      </c>
      <c r="W95" s="16"/>
      <c r="X95" s="16"/>
      <c r="Y95" s="16"/>
      <c r="Z95" s="16">
        <f t="shared" si="15"/>
        <v>0</v>
      </c>
      <c r="AA95" s="16">
        <f t="shared" si="9"/>
        <v>0</v>
      </c>
      <c r="AB95" s="16"/>
      <c r="AC95" s="19"/>
      <c r="AD95" s="51"/>
    </row>
    <row r="96" spans="1:30" ht="19.5" thickBot="1" x14ac:dyDescent="0.3">
      <c r="A96" s="14">
        <v>29</v>
      </c>
      <c r="B96" s="15"/>
      <c r="C96" s="15" t="e">
        <f>VLOOKUP(B96,داتا!$B$3:$D$107,2,FALSE)</f>
        <v>#N/A</v>
      </c>
      <c r="D96" s="34" t="e">
        <f>VLOOKUP(B96,داتا!$B$3:$D$107,3,FALSE)</f>
        <v>#N/A</v>
      </c>
      <c r="E96" s="15"/>
      <c r="F96" s="16"/>
      <c r="G96" s="16">
        <v>8.3333333333333329E-2</v>
      </c>
      <c r="H96" s="16" t="e">
        <f t="shared" si="17"/>
        <v>#N/A</v>
      </c>
      <c r="I96" s="16" t="e">
        <f t="shared" si="10"/>
        <v>#N/A</v>
      </c>
      <c r="J96" s="16"/>
      <c r="K96" s="16"/>
      <c r="L96" s="16"/>
      <c r="M96" s="16"/>
      <c r="N96" s="16">
        <f t="shared" si="11"/>
        <v>0</v>
      </c>
      <c r="O96" s="16" t="e">
        <f t="shared" si="12"/>
        <v>#N/A</v>
      </c>
      <c r="P96" s="16">
        <v>6.9444444444444397E-3</v>
      </c>
      <c r="Q96" s="16"/>
      <c r="R96" s="16">
        <f t="shared" si="13"/>
        <v>-6.9444444444444397E-3</v>
      </c>
      <c r="S96" s="16"/>
      <c r="T96" s="16" t="e">
        <f>VLOOKUP(E96,'[2]21-3-2026'!E$3:T$35,16,FALSE)</f>
        <v>#N/A</v>
      </c>
      <c r="U96" s="16"/>
      <c r="V96" s="16" t="e">
        <f t="shared" si="14"/>
        <v>#N/A</v>
      </c>
      <c r="W96" s="16"/>
      <c r="X96" s="16"/>
      <c r="Y96" s="16"/>
      <c r="Z96" s="16">
        <f t="shared" si="15"/>
        <v>0</v>
      </c>
      <c r="AA96" s="16">
        <f t="shared" si="9"/>
        <v>0</v>
      </c>
      <c r="AB96" s="16"/>
      <c r="AC96" s="19"/>
      <c r="AD96" s="54"/>
    </row>
    <row r="97" spans="1:29" ht="19.5" thickBot="1" x14ac:dyDescent="0.3">
      <c r="A97" s="14">
        <v>30</v>
      </c>
      <c r="B97" s="15"/>
      <c r="C97" s="15" t="e">
        <f>VLOOKUP(B97,داتا!$B$3:$D$107,2,FALSE)</f>
        <v>#N/A</v>
      </c>
      <c r="D97" s="34" t="e">
        <f>VLOOKUP(B97,داتا!$B$3:$D$107,3,FALSE)</f>
        <v>#N/A</v>
      </c>
      <c r="E97" s="15"/>
      <c r="F97" s="16"/>
      <c r="G97" s="16">
        <v>8.3333333333333329E-2</v>
      </c>
      <c r="H97" s="16" t="e">
        <f t="shared" si="17"/>
        <v>#N/A</v>
      </c>
      <c r="I97" s="16" t="e">
        <f t="shared" si="10"/>
        <v>#N/A</v>
      </c>
      <c r="J97" s="16"/>
      <c r="K97" s="16"/>
      <c r="L97" s="16"/>
      <c r="M97" s="16"/>
      <c r="N97" s="16">
        <f t="shared" si="11"/>
        <v>0</v>
      </c>
      <c r="O97" s="16" t="e">
        <f t="shared" si="12"/>
        <v>#N/A</v>
      </c>
      <c r="P97" s="16">
        <v>6.9444444444444397E-3</v>
      </c>
      <c r="Q97" s="16"/>
      <c r="R97" s="16">
        <f t="shared" si="13"/>
        <v>-6.9444444444444397E-3</v>
      </c>
      <c r="S97" s="16"/>
      <c r="T97" s="16" t="e">
        <f>VLOOKUP(E97,'[2]21-3-2026'!E$3:T$35,16,FALSE)</f>
        <v>#N/A</v>
      </c>
      <c r="U97" s="16"/>
      <c r="V97" s="16" t="e">
        <f t="shared" si="14"/>
        <v>#N/A</v>
      </c>
      <c r="W97" s="16"/>
      <c r="X97" s="16"/>
      <c r="Y97" s="16"/>
      <c r="Z97" s="16">
        <f t="shared" si="15"/>
        <v>0</v>
      </c>
      <c r="AA97" s="16">
        <f t="shared" si="9"/>
        <v>0</v>
      </c>
      <c r="AB97" s="16"/>
      <c r="AC97" s="19"/>
    </row>
    <row r="98" spans="1:29" ht="19.5" thickBot="1" x14ac:dyDescent="0.3">
      <c r="A98" s="14">
        <v>31</v>
      </c>
      <c r="B98" s="15"/>
      <c r="C98" s="15" t="e">
        <f>VLOOKUP(B98,داتا!$B$3:$D$107,2,FALSE)</f>
        <v>#N/A</v>
      </c>
      <c r="D98" s="34" t="e">
        <f>VLOOKUP(B98,داتا!$B$3:$D$107,3,FALSE)</f>
        <v>#N/A</v>
      </c>
      <c r="E98" s="15"/>
      <c r="F98" s="16"/>
      <c r="G98" s="16">
        <v>8.3333333333333329E-2</v>
      </c>
      <c r="H98" s="16" t="e">
        <f t="shared" si="17"/>
        <v>#N/A</v>
      </c>
      <c r="I98" s="16" t="e">
        <f t="shared" si="10"/>
        <v>#N/A</v>
      </c>
      <c r="J98" s="16"/>
      <c r="K98" s="16"/>
      <c r="L98" s="16"/>
      <c r="M98" s="16"/>
      <c r="N98" s="16">
        <f t="shared" si="11"/>
        <v>0</v>
      </c>
      <c r="O98" s="16" t="e">
        <f t="shared" si="12"/>
        <v>#N/A</v>
      </c>
      <c r="P98" s="16">
        <v>6.9444444444444397E-3</v>
      </c>
      <c r="Q98" s="16"/>
      <c r="R98" s="16">
        <f t="shared" si="13"/>
        <v>-6.9444444444444397E-3</v>
      </c>
      <c r="S98" s="16"/>
      <c r="T98" s="16" t="e">
        <f>VLOOKUP(E98,'[2]21-3-2026'!E$3:T$35,16,FALSE)</f>
        <v>#N/A</v>
      </c>
      <c r="U98" s="16"/>
      <c r="V98" s="16" t="e">
        <f t="shared" si="14"/>
        <v>#N/A</v>
      </c>
      <c r="W98" s="16"/>
      <c r="X98" s="16"/>
      <c r="Y98" s="16"/>
      <c r="Z98" s="16">
        <f t="shared" si="15"/>
        <v>0</v>
      </c>
      <c r="AA98" s="16">
        <f t="shared" si="9"/>
        <v>0</v>
      </c>
      <c r="AB98" s="16"/>
      <c r="AC98" s="19"/>
    </row>
    <row r="99" spans="1:29" ht="19.5" thickBot="1" x14ac:dyDescent="0.3">
      <c r="A99" s="20">
        <v>32</v>
      </c>
      <c r="B99" s="21"/>
      <c r="C99" s="21" t="e">
        <f>VLOOKUP(B99,داتا!$B$3:$D$107,2,FALSE)</f>
        <v>#N/A</v>
      </c>
      <c r="D99" s="35" t="e">
        <f>VLOOKUP(B99,داتا!$B$3:$D$107,3,FALSE)</f>
        <v>#N/A</v>
      </c>
      <c r="E99" s="21"/>
      <c r="F99" s="22"/>
      <c r="G99" s="22">
        <v>8.3333333333333329E-2</v>
      </c>
      <c r="H99" s="22" t="e">
        <f t="shared" si="17"/>
        <v>#N/A</v>
      </c>
      <c r="I99" s="22" t="e">
        <f t="shared" si="10"/>
        <v>#N/A</v>
      </c>
      <c r="J99" s="22"/>
      <c r="K99" s="22"/>
      <c r="L99" s="22"/>
      <c r="M99" s="22"/>
      <c r="N99" s="22">
        <f t="shared" si="11"/>
        <v>0</v>
      </c>
      <c r="O99" s="22" t="e">
        <f t="shared" si="12"/>
        <v>#N/A</v>
      </c>
      <c r="P99" s="22">
        <v>6.9444444444444397E-3</v>
      </c>
      <c r="Q99" s="22"/>
      <c r="R99" s="22">
        <f t="shared" si="13"/>
        <v>-6.9444444444444397E-3</v>
      </c>
      <c r="S99" s="22"/>
      <c r="T99" s="22" t="e">
        <f>VLOOKUP(E99,'[2]21-3-2026'!E$3:T$35,16,FALSE)</f>
        <v>#N/A</v>
      </c>
      <c r="U99" s="22"/>
      <c r="V99" s="22" t="e">
        <f t="shared" si="14"/>
        <v>#N/A</v>
      </c>
      <c r="W99" s="22"/>
      <c r="X99" s="22"/>
      <c r="Y99" s="22"/>
      <c r="Z99" s="22">
        <f t="shared" si="15"/>
        <v>0</v>
      </c>
      <c r="AA99" s="22">
        <f t="shared" si="9"/>
        <v>0</v>
      </c>
      <c r="AB99" s="22"/>
      <c r="AC99" s="30"/>
    </row>
    <row r="100" spans="1:29" ht="16.5" thickTop="1" x14ac:dyDescent="0.25"/>
  </sheetData>
  <mergeCells count="4">
    <mergeCell ref="A1:AC1"/>
    <mergeCell ref="AD3:AD35"/>
    <mergeCell ref="AD36:AD67"/>
    <mergeCell ref="AD68:AD96"/>
  </mergeCells>
  <conditionalFormatting sqref="AC1:AC96 AC100:AC1048576">
    <cfRule type="containsText" dxfId="14" priority="14" operator="containsText" text="ت">
      <formula>NOT(ISERROR(SEARCH("ت",AC1)))</formula>
    </cfRule>
  </conditionalFormatting>
  <conditionalFormatting sqref="AC4:AC96">
    <cfRule type="containsText" dxfId="13" priority="13" operator="containsText" text="ت">
      <formula>NOT(ISERROR(SEARCH("ت",AC4)))</formula>
    </cfRule>
  </conditionalFormatting>
  <conditionalFormatting sqref="O1:O2 I1:I2 R1:R2 V1:V2 AA100:AA1048576 V100:V1048576 R100:R1048576 O100:O1048576 I100:I1048576 AA1:AA2">
    <cfRule type="cellIs" dxfId="12" priority="15" operator="between">
      <formula>0.00277777777777778</formula>
      <formula>1</formula>
    </cfRule>
  </conditionalFormatting>
  <conditionalFormatting sqref="AC97:AC99">
    <cfRule type="containsText" dxfId="11" priority="12" operator="containsText" text="ت">
      <formula>NOT(ISERROR(SEARCH("ت",AC97)))</formula>
    </cfRule>
  </conditionalFormatting>
  <conditionalFormatting sqref="AC97:AC99">
    <cfRule type="containsText" dxfId="10" priority="11" operator="containsText" text="ت">
      <formula>NOT(ISERROR(SEARCH("ت",AC97)))</formula>
    </cfRule>
  </conditionalFormatting>
  <conditionalFormatting sqref="I3:I99">
    <cfRule type="cellIs" dxfId="9" priority="9" operator="between">
      <formula>0.00277777777777778</formula>
      <formula>1</formula>
    </cfRule>
  </conditionalFormatting>
  <conditionalFormatting sqref="I3:I99">
    <cfRule type="cellIs" dxfId="8" priority="10" operator="between">
      <formula>0.00277777777777778</formula>
      <formula>1</formula>
    </cfRule>
  </conditionalFormatting>
  <conditionalFormatting sqref="O3:O99">
    <cfRule type="cellIs" dxfId="7" priority="7" operator="between">
      <formula>0.00277777777777778</formula>
      <formula>1</formula>
    </cfRule>
  </conditionalFormatting>
  <conditionalFormatting sqref="O3:O99">
    <cfRule type="cellIs" dxfId="6" priority="8" operator="between">
      <formula>0.00277777777777778</formula>
      <formula>1</formula>
    </cfRule>
  </conditionalFormatting>
  <conditionalFormatting sqref="R3:R99">
    <cfRule type="cellIs" dxfId="5" priority="5" operator="between">
      <formula>0.00277777777777778</formula>
      <formula>1</formula>
    </cfRule>
  </conditionalFormatting>
  <conditionalFormatting sqref="R3:R99">
    <cfRule type="cellIs" dxfId="4" priority="6" operator="between">
      <formula>0.00277777777777778</formula>
      <formula>1</formula>
    </cfRule>
  </conditionalFormatting>
  <conditionalFormatting sqref="V3:V99">
    <cfRule type="cellIs" dxfId="3" priority="3" operator="between">
      <formula>0.00277777777777778</formula>
      <formula>1</formula>
    </cfRule>
  </conditionalFormatting>
  <conditionalFormatting sqref="V3:V99">
    <cfRule type="cellIs" dxfId="2" priority="4" operator="between">
      <formula>0.00277777777777778</formula>
      <formula>1</formula>
    </cfRule>
  </conditionalFormatting>
  <conditionalFormatting sqref="AA3:AA99">
    <cfRule type="cellIs" dxfId="1" priority="1" operator="between">
      <formula>0.00277777777777778</formula>
      <formula>1</formula>
    </cfRule>
  </conditionalFormatting>
  <conditionalFormatting sqref="AA3:AA99">
    <cfRule type="cellIs" dxfId="0" priority="2" operator="between">
      <formula>0.00277777777777778</formula>
      <formula>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داتا</vt:lpstr>
      <vt:lpstr>21-4-2026</vt:lpstr>
      <vt:lpstr>22-4-2026</vt:lpstr>
      <vt:lpstr>23-4-2026</vt:lpstr>
      <vt:lpstr>24-4-2026</vt:lpstr>
      <vt:lpstr>25-4-2026</vt:lpstr>
      <vt:lpstr>26-4-2026</vt:lpstr>
      <vt:lpstr>27-4-2026</vt:lpstr>
      <vt:lpstr>28-4-2026</vt:lpstr>
      <vt:lpstr>29-4-2026</vt:lpstr>
      <vt:lpstr>30-4-2026</vt:lpstr>
      <vt:lpstr>1-5-2026</vt:lpstr>
      <vt:lpstr>2-5-2026</vt:lpstr>
      <vt:lpstr>3-5-2026</vt:lpstr>
      <vt:lpstr>4-5-2026</vt:lpstr>
      <vt:lpstr>5-5-2026</vt:lpstr>
      <vt:lpstr>6-5-2026</vt:lpstr>
      <vt:lpstr>7-5-2026</vt:lpstr>
      <vt:lpstr>8-5-2026</vt:lpstr>
      <vt:lpstr>9-5-2026</vt:lpstr>
      <vt:lpstr>10-5-2026</vt:lpstr>
      <vt:lpstr>11-5-2026</vt:lpstr>
      <vt:lpstr>12-5-2026</vt:lpstr>
      <vt:lpstr>13-5-2026</vt:lpstr>
      <vt:lpstr>14-5-2026</vt:lpstr>
      <vt:lpstr>15-5-2026</vt:lpstr>
      <vt:lpstr>16-5-2026</vt:lpstr>
      <vt:lpstr>17-5-2026</vt:lpstr>
      <vt:lpstr>18-5-2026</vt:lpstr>
      <vt:lpstr>19-5-2026</vt:lpstr>
      <vt:lpstr>20-5-2026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2026-04-29T08:44:03Z</dcterms:modified>
</cp:coreProperties>
</file>
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\شهر مايو 2026\"/>
    </mc:Choice>
  </mc:AlternateContent>
  <bookViews>
    <workbookView xWindow="0" yWindow="0" windowWidth="28800" windowHeight="12435"/>
  </bookViews>
  <sheets>
    <sheet name="شهر مايو" sheetId="2" r:id="rId1"/>
    <sheet name="ترتيب الاسبوع الاول من شهر مايو" sheetId="3" r:id="rId2"/>
    <sheet name="ترتيب الاسبوع الثاني شهر مايو" sheetId="5" r:id="rId3"/>
    <sheet name="ترتيب الاسبوع الثالث شهر ما يو" sheetId="6" r:id="rId4"/>
    <sheet name="ترتيب الاسبوع الرابع شهر مايو " sheetId="7" r:id="rId5"/>
    <sheet name="الترتيب الشهري لشهر مايو" sheetId="8" r:id="rId6"/>
  </sheets>
  <definedNames>
    <definedName name="_xlnm._FilterDatabase" localSheetId="0" hidden="1">'شهر مايو'!$A$2:$AG$41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Z34" i="2" l="1"/>
  <c r="CZ35" i="2"/>
  <c r="CY34" i="2"/>
  <c r="CY35" i="2"/>
  <c r="CR34" i="2"/>
  <c r="CR35" i="2"/>
  <c r="CQ34" i="2"/>
  <c r="CQ35" i="2"/>
  <c r="BU34" i="2"/>
  <c r="BU35" i="2"/>
  <c r="BT34" i="2"/>
  <c r="BT35" i="2"/>
  <c r="AX34" i="2"/>
  <c r="AX35" i="2"/>
  <c r="AW34" i="2"/>
  <c r="AW35" i="2"/>
  <c r="AA34" i="2"/>
  <c r="AA35" i="2"/>
  <c r="DB35" i="2" s="1"/>
  <c r="Z34" i="2"/>
  <c r="DA34" i="2" s="1"/>
  <c r="Z35" i="2"/>
  <c r="DA35" i="2" s="1"/>
  <c r="DB34" i="2" l="1"/>
  <c r="CZ4" i="2"/>
  <c r="CZ5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31" i="2"/>
  <c r="CZ32" i="2"/>
  <c r="CZ33" i="2"/>
  <c r="CZ36" i="2"/>
  <c r="CZ37" i="2"/>
  <c r="DB37" i="2" s="1"/>
  <c r="CZ38" i="2"/>
  <c r="CZ39" i="2"/>
  <c r="CZ40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6" i="2"/>
  <c r="CR37" i="2"/>
  <c r="CR38" i="2"/>
  <c r="CR39" i="2"/>
  <c r="CR40" i="2"/>
  <c r="CR3" i="2"/>
  <c r="CQ4" i="2"/>
  <c r="CQ5" i="2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6" i="2"/>
  <c r="CQ37" i="2"/>
  <c r="CQ38" i="2"/>
  <c r="CQ39" i="2"/>
  <c r="CQ40" i="2"/>
  <c r="CQ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6" i="2"/>
  <c r="BU37" i="2"/>
  <c r="BU38" i="2"/>
  <c r="BU39" i="2"/>
  <c r="BU40" i="2"/>
  <c r="BU3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6" i="2"/>
  <c r="BT37" i="2"/>
  <c r="BT38" i="2"/>
  <c r="BT39" i="2"/>
  <c r="BT40" i="2"/>
  <c r="BT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6" i="2"/>
  <c r="AX37" i="2"/>
  <c r="AX38" i="2"/>
  <c r="AX39" i="2"/>
  <c r="AX40" i="2"/>
  <c r="AX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6" i="2"/>
  <c r="AW37" i="2"/>
  <c r="AW38" i="2"/>
  <c r="AW39" i="2"/>
  <c r="AW40" i="2"/>
  <c r="AW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6" i="2"/>
  <c r="AA37" i="2"/>
  <c r="AA38" i="2"/>
  <c r="AA39" i="2"/>
  <c r="AA40" i="2"/>
  <c r="AA3" i="2"/>
  <c r="G41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6" i="2"/>
  <c r="Z37" i="2"/>
  <c r="Z38" i="2"/>
  <c r="Z39" i="2"/>
  <c r="Z40" i="2"/>
  <c r="Z3" i="2"/>
  <c r="CZ3" i="2"/>
  <c r="CY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6" i="2"/>
  <c r="CY37" i="2"/>
  <c r="CY38" i="2"/>
  <c r="CY39" i="2"/>
  <c r="CY40" i="2"/>
  <c r="CY3" i="2"/>
  <c r="DB31" i="2" l="1"/>
  <c r="DB15" i="2"/>
  <c r="DB27" i="2"/>
  <c r="DB7" i="2"/>
  <c r="DB19" i="2"/>
  <c r="DB3" i="2"/>
  <c r="DB11" i="2"/>
  <c r="DB23" i="2"/>
  <c r="DA40" i="2"/>
  <c r="DA36" i="2"/>
  <c r="DA30" i="2"/>
  <c r="DA26" i="2"/>
  <c r="DA22" i="2"/>
  <c r="DA18" i="2"/>
  <c r="DA14" i="2"/>
  <c r="DA10" i="2"/>
  <c r="DA6" i="2"/>
  <c r="DA3" i="2"/>
  <c r="DA37" i="2"/>
  <c r="DA31" i="2"/>
  <c r="DA27" i="2"/>
  <c r="DA23" i="2"/>
  <c r="DA19" i="2"/>
  <c r="DA15" i="2"/>
  <c r="DA11" i="2"/>
  <c r="DA7" i="2"/>
  <c r="DB38" i="2"/>
  <c r="DB32" i="2"/>
  <c r="DB28" i="2"/>
  <c r="DB24" i="2"/>
  <c r="DB20" i="2"/>
  <c r="DB16" i="2"/>
  <c r="DB12" i="2"/>
  <c r="DB8" i="2"/>
  <c r="DB4" i="2"/>
  <c r="DB40" i="2"/>
  <c r="DB36" i="2"/>
  <c r="DB30" i="2"/>
  <c r="DB26" i="2"/>
  <c r="DB22" i="2"/>
  <c r="DB18" i="2"/>
  <c r="DB14" i="2"/>
  <c r="DB10" i="2"/>
  <c r="DB6" i="2"/>
  <c r="DA38" i="2"/>
  <c r="DA32" i="2"/>
  <c r="DA28" i="2"/>
  <c r="DA24" i="2"/>
  <c r="DA20" i="2"/>
  <c r="DA16" i="2"/>
  <c r="DA12" i="2"/>
  <c r="DA8" i="2"/>
  <c r="DA4" i="2"/>
  <c r="DA39" i="2"/>
  <c r="DA33" i="2"/>
  <c r="DA29" i="2"/>
  <c r="DA25" i="2"/>
  <c r="DA21" i="2"/>
  <c r="DA17" i="2"/>
  <c r="DA13" i="2"/>
  <c r="DA9" i="2"/>
  <c r="DA5" i="2"/>
  <c r="DB39" i="2"/>
  <c r="DB33" i="2"/>
  <c r="DB29" i="2"/>
  <c r="DB25" i="2"/>
  <c r="DB21" i="2"/>
  <c r="DB17" i="2"/>
  <c r="DB13" i="2"/>
  <c r="DB9" i="2"/>
  <c r="DB5" i="2"/>
  <c r="CZ41" i="2"/>
  <c r="CY41" i="2"/>
  <c r="CX41" i="2"/>
  <c r="CW41" i="2"/>
  <c r="CV41" i="2"/>
  <c r="CU41" i="2"/>
  <c r="CT41" i="2"/>
  <c r="CS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F41" i="2"/>
  <c r="E41" i="2"/>
  <c r="CP41" i="2"/>
  <c r="BS41" i="2"/>
  <c r="AV41" i="2"/>
  <c r="Y41" i="2"/>
  <c r="CR41" i="2" l="1"/>
  <c r="AX41" i="2"/>
  <c r="AW41" i="2"/>
  <c r="BT41" i="2"/>
  <c r="Z41" i="2"/>
  <c r="CQ41" i="2"/>
  <c r="BU41" i="2"/>
  <c r="AA41" i="2"/>
  <c r="DB41" i="2" l="1"/>
  <c r="DA41" i="2"/>
</calcChain>
</file>

<file path=xl/sharedStrings.xml><?xml version="1.0" encoding="utf-8"?>
<sst xmlns="http://schemas.openxmlformats.org/spreadsheetml/2006/main" count="230" uniqueCount="66">
  <si>
    <t>اخطاء</t>
  </si>
  <si>
    <t>سيارات</t>
  </si>
  <si>
    <t>ط.ع</t>
  </si>
  <si>
    <t>اجمالي اخطاء</t>
  </si>
  <si>
    <t>اجمالي عربيات</t>
  </si>
  <si>
    <t>أخطاء فعلية</t>
  </si>
  <si>
    <t>اجمالي اخطاء الشهر</t>
  </si>
  <si>
    <t>اجمالي عدد السيارات الشهر</t>
  </si>
  <si>
    <t>م</t>
  </si>
  <si>
    <t>الكود</t>
  </si>
  <si>
    <t xml:space="preserve">الوظيفة </t>
  </si>
  <si>
    <t>الاسم</t>
  </si>
  <si>
    <t>اجمالي الأداء</t>
  </si>
  <si>
    <t>اجمالى الأداء</t>
  </si>
  <si>
    <t>اجمالى الاداء</t>
  </si>
  <si>
    <t>اخصائى شحن</t>
  </si>
  <si>
    <t>ابو بكر احمد رضا</t>
  </si>
  <si>
    <t>محمد احمد امام</t>
  </si>
  <si>
    <t>محمد عبد الله سالم</t>
  </si>
  <si>
    <t>اسلام سيد الجندى</t>
  </si>
  <si>
    <t>محمد عادل مرزوق</t>
  </si>
  <si>
    <t>محمد دسوقى</t>
  </si>
  <si>
    <t>محمد رجب محمد</t>
  </si>
  <si>
    <t>محمد عباس الخضر</t>
  </si>
  <si>
    <t>احمد عبد الجواد</t>
  </si>
  <si>
    <t>محمد فؤاد محمد</t>
  </si>
  <si>
    <t>محمد هشام محمد</t>
  </si>
  <si>
    <t>احمد فايز</t>
  </si>
  <si>
    <t>احمد عبد الحميد</t>
  </si>
  <si>
    <t>عمر ابراهيم</t>
  </si>
  <si>
    <t>حسام جمال</t>
  </si>
  <si>
    <t>حسام خليل</t>
  </si>
  <si>
    <t>اسلام محمد محمد محمد</t>
  </si>
  <si>
    <t>عبد الرحمن ابراهيم يحيى</t>
  </si>
  <si>
    <t>أخصائي إستلامات</t>
  </si>
  <si>
    <t xml:space="preserve">أشرف فتحي حسن </t>
  </si>
  <si>
    <t>أحمد محمد محمد خيري</t>
  </si>
  <si>
    <t>أخصائي شحن</t>
  </si>
  <si>
    <t>سيد رزق عبدالرحمن</t>
  </si>
  <si>
    <t>أخصائي توزيع</t>
  </si>
  <si>
    <t>ابراهيم محمد مرسي عبدالحميد</t>
  </si>
  <si>
    <t>محمد صلاح عبدالرحمن</t>
  </si>
  <si>
    <t>رضا عباس عبد الحكيم</t>
  </si>
  <si>
    <t>أحمد كرم امام حسن صالح</t>
  </si>
  <si>
    <t>أحمد كرم عبد المطلب</t>
  </si>
  <si>
    <t xml:space="preserve">عامل </t>
  </si>
  <si>
    <t>يوسف ابو خليل</t>
  </si>
  <si>
    <t>باسم خالد</t>
  </si>
  <si>
    <t>عبد الله امير</t>
  </si>
  <si>
    <t>عمر محمد</t>
  </si>
  <si>
    <t>اخصائي شحن</t>
  </si>
  <si>
    <t>احمد شعبان</t>
  </si>
  <si>
    <t>هشام احمد</t>
  </si>
  <si>
    <t xml:space="preserve">اخصائي شحن </t>
  </si>
  <si>
    <t>شريف ابراهيم</t>
  </si>
  <si>
    <t>عبد الرحمن هشام</t>
  </si>
  <si>
    <t>الاجمالى اليومى عدد الأخطاء</t>
  </si>
  <si>
    <t>محمد احمد</t>
  </si>
  <si>
    <t>محمد صادق</t>
  </si>
  <si>
    <t>الاجمالى الشهرى</t>
  </si>
  <si>
    <t>المراكز</t>
  </si>
  <si>
    <t>الفرق بخصم الأخطاء من السيارات</t>
  </si>
  <si>
    <t>احصائية الاسبوع الأول من شهر مايو</t>
  </si>
  <si>
    <t>محمد على</t>
  </si>
  <si>
    <t>مصطفى ابراهيم</t>
  </si>
  <si>
    <t>أخطاء التسجيل شهر مايو 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</si>
</sst>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ck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thick">
        <color indexed="64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thick">
        <color indexed="64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6" borderId="31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7" borderId="46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/>
    </xf>
    <xf numFmtId="0" fontId="2" fillId="8" borderId="51" xfId="0" applyFont="1" applyFill="1" applyBorder="1" applyAlignment="1">
      <alignment vertical="center"/>
    </xf>
    <xf numFmtId="0" fontId="2" fillId="8" borderId="21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4" fillId="6" borderId="56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4" fillId="6" borderId="59" xfId="0" applyFont="1" applyFill="1" applyBorder="1" applyAlignment="1">
      <alignment horizontal="center" vertical="center"/>
    </xf>
    <xf numFmtId="0" fontId="4" fillId="6" borderId="6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1" fillId="9" borderId="3" xfId="0" applyFont="1" applyFill="1" applyBorder="1" applyAlignment="1">
      <alignment horizontal="center"/>
    </xf>
    <xf numFmtId="0" fontId="2" fillId="11" borderId="20" xfId="0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4" fillId="6" borderId="62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1" fillId="9" borderId="67" xfId="0" applyFont="1" applyFill="1" applyBorder="1" applyAlignment="1">
      <alignment horizontal="center"/>
    </xf>
    <xf numFmtId="0" fontId="4" fillId="6" borderId="68" xfId="0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2" fillId="0" borderId="16" xfId="0" applyNumberFormat="1" applyFont="1" applyBorder="1" applyAlignment="1">
      <alignment horizontal="center" vertical="center"/>
    </xf>
    <xf numFmtId="14" fontId="2" fillId="8" borderId="17" xfId="0" applyNumberFormat="1" applyFont="1" applyFill="1" applyBorder="1" applyAlignment="1">
      <alignment horizontal="center" vertical="center"/>
    </xf>
    <xf numFmtId="14" fontId="2" fillId="8" borderId="16" xfId="0" applyNumberFormat="1" applyFont="1" applyFill="1" applyBorder="1" applyAlignment="1">
      <alignment horizontal="center" vertical="center"/>
    </xf>
    <xf numFmtId="0" fontId="5" fillId="9" borderId="52" xfId="0" applyFont="1" applyFill="1" applyBorder="1" applyAlignment="1">
      <alignment horizontal="center"/>
    </xf>
    <xf numFmtId="0" fontId="5" fillId="9" borderId="53" xfId="0" applyFont="1" applyFill="1" applyBorder="1" applyAlignment="1">
      <alignment horizontal="center"/>
    </xf>
    <xf numFmtId="0" fontId="5" fillId="9" borderId="54" xfId="0" applyFont="1" applyFill="1" applyBorder="1" applyAlignment="1">
      <alignment horizontal="center"/>
    </xf>
  </cellXfs>
  <cellStyles count="1">
    <cellStyle name="Normal" xfId="0" builtinId="0"/>
  </cellStyles>
  <dxfs count="75"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FFFF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117"/>
  <sheetViews>
    <sheetView rightToLeft="1" tabSelected="1" workbookViewId="0">
      <pane xSplit="4" topLeftCell="V1" activePane="topRight" state="frozen"/>
      <selection pane="topRight" activeCell="AF14" sqref="AF14"/>
    </sheetView>
  </sheetViews>
  <sheetFormatPr defaultColWidth="9.140625" defaultRowHeight="15.75" x14ac:dyDescent="0.25"/>
  <cols>
    <col min="1" max="1" width="6.5703125" style="13" bestFit="1" customWidth="1"/>
    <col min="2" max="2" width="9.5703125" style="13" bestFit="1" customWidth="1"/>
    <col min="3" max="3" width="15.140625" style="13" bestFit="1" customWidth="1"/>
    <col min="4" max="4" width="27.28515625" style="13" bestFit="1" customWidth="1"/>
    <col min="5" max="5" width="7.28515625" style="13" customWidth="1"/>
    <col min="6" max="6" width="7.5703125" style="13" customWidth="1"/>
    <col min="7" max="7" width="4.85546875" style="45" customWidth="1"/>
    <col min="8" max="8" width="5.7109375" style="13" customWidth="1"/>
    <col min="9" max="9" width="6.85546875" style="13" customWidth="1"/>
    <col min="10" max="10" width="4.85546875" style="45" customWidth="1"/>
    <col min="11" max="11" width="5.7109375" style="13" customWidth="1"/>
    <col min="12" max="12" width="6.85546875" style="13" customWidth="1"/>
    <col min="13" max="13" width="4.85546875" style="45" customWidth="1"/>
    <col min="14" max="14" width="5.7109375" style="13" customWidth="1"/>
    <col min="15" max="15" width="6.85546875" style="13" customWidth="1"/>
    <col min="16" max="16" width="4.85546875" style="45" customWidth="1"/>
    <col min="17" max="17" width="5.7109375" style="13" customWidth="1"/>
    <col min="18" max="18" width="6.85546875" style="13" customWidth="1"/>
    <col min="19" max="19" width="4.85546875" style="45" customWidth="1"/>
    <col min="20" max="20" width="5.7109375" style="13" customWidth="1"/>
    <col min="21" max="21" width="6.85546875" style="13" customWidth="1"/>
    <col min="22" max="22" width="4.85546875" style="45" customWidth="1"/>
    <col min="23" max="23" width="5.7109375" style="13" customWidth="1"/>
    <col min="24" max="24" width="6.85546875" style="13" customWidth="1"/>
    <col min="25" max="25" width="4.85546875" style="45" customWidth="1"/>
    <col min="26" max="26" width="11.28515625" style="13" customWidth="1"/>
    <col min="27" max="27" width="12.28515625" style="13" customWidth="1"/>
    <col min="28" max="28" width="5.7109375" style="13" customWidth="1"/>
    <col min="29" max="29" width="6.85546875" style="13" customWidth="1"/>
    <col min="30" max="30" width="4.85546875" style="45" customWidth="1"/>
    <col min="31" max="31" width="5.7109375" style="13" customWidth="1"/>
    <col min="32" max="32" width="6.85546875" style="13" customWidth="1"/>
    <col min="33" max="33" width="4.85546875" style="45" customWidth="1"/>
    <col min="34" max="34" width="5.7109375" style="13" customWidth="1"/>
    <col min="35" max="35" width="6.85546875" style="13" customWidth="1"/>
    <col min="36" max="36" width="5.5703125" style="45" customWidth="1"/>
    <col min="37" max="37" width="5.7109375" style="13" customWidth="1"/>
    <col min="38" max="38" width="7.28515625" style="13" customWidth="1"/>
    <col min="39" max="39" width="4.85546875" style="45" customWidth="1"/>
    <col min="40" max="40" width="5.7109375" style="13" customWidth="1"/>
    <col min="41" max="41" width="6.85546875" style="13" customWidth="1"/>
    <col min="42" max="42" width="4.85546875" style="45" customWidth="1"/>
    <col min="43" max="44" width="6.85546875" style="13" customWidth="1"/>
    <col min="45" max="45" width="4.85546875" style="45" customWidth="1"/>
    <col min="46" max="46" width="5.7109375" style="13" customWidth="1"/>
    <col min="47" max="47" width="6.85546875" style="13" customWidth="1"/>
    <col min="48" max="48" width="4.85546875" style="13" customWidth="1"/>
    <col min="49" max="49" width="11.28515625" style="46" customWidth="1"/>
    <col min="50" max="50" width="12.28515625" style="47" customWidth="1"/>
    <col min="51" max="51" width="5.7109375" style="13" customWidth="1"/>
    <col min="52" max="52" width="6.85546875" style="13" customWidth="1"/>
    <col min="53" max="53" width="4.85546875" style="45" customWidth="1"/>
    <col min="54" max="54" width="5.7109375" style="13" customWidth="1"/>
    <col min="55" max="55" width="6.85546875" style="13" customWidth="1"/>
    <col min="56" max="56" width="4.85546875" style="45" customWidth="1"/>
    <col min="57" max="57" width="5.7109375" style="13" customWidth="1"/>
    <col min="58" max="58" width="6.85546875" style="13" customWidth="1"/>
    <col min="59" max="59" width="4.85546875" style="45" customWidth="1"/>
    <col min="60" max="60" width="5.7109375" style="13" bestFit="1" customWidth="1"/>
    <col min="61" max="61" width="6.85546875" style="13" bestFit="1" customWidth="1"/>
    <col min="62" max="62" width="4.85546875" style="45" bestFit="1" customWidth="1"/>
    <col min="63" max="63" width="5.7109375" style="13" bestFit="1" customWidth="1"/>
    <col min="64" max="64" width="6.85546875" style="13" bestFit="1" customWidth="1"/>
    <col min="65" max="65" width="4.85546875" style="45" bestFit="1" customWidth="1"/>
    <col min="66" max="66" width="5.7109375" style="13" bestFit="1" customWidth="1"/>
    <col min="67" max="67" width="6.85546875" style="13" bestFit="1" customWidth="1"/>
    <col min="68" max="68" width="4.85546875" style="45" bestFit="1" customWidth="1"/>
    <col min="69" max="69" width="5.7109375" style="13" bestFit="1" customWidth="1"/>
    <col min="70" max="70" width="6.85546875" style="13" bestFit="1" customWidth="1"/>
    <col min="71" max="71" width="4.85546875" style="45" bestFit="1" customWidth="1"/>
    <col min="72" max="72" width="11.28515625" style="13" bestFit="1" customWidth="1"/>
    <col min="73" max="73" width="12.28515625" style="13" bestFit="1" customWidth="1"/>
    <col min="74" max="74" width="5.7109375" style="13" bestFit="1" customWidth="1"/>
    <col min="75" max="75" width="6.85546875" style="13" bestFit="1" customWidth="1"/>
    <col min="76" max="76" width="4.85546875" style="13" bestFit="1" customWidth="1"/>
    <col min="77" max="77" width="5.7109375" style="13" bestFit="1" customWidth="1"/>
    <col min="78" max="78" width="6.85546875" style="13" bestFit="1" customWidth="1"/>
    <col min="79" max="79" width="4.85546875" style="13" bestFit="1" customWidth="1"/>
    <col min="80" max="80" width="5.7109375" style="13" bestFit="1" customWidth="1"/>
    <col min="81" max="81" width="6.85546875" style="13" bestFit="1" customWidth="1"/>
    <col min="82" max="82" width="4.85546875" style="13" bestFit="1" customWidth="1"/>
    <col min="83" max="83" width="5.7109375" style="13" bestFit="1" customWidth="1"/>
    <col min="84" max="84" width="6.85546875" style="13" bestFit="1" customWidth="1"/>
    <col min="85" max="85" width="4.85546875" style="13" bestFit="1" customWidth="1"/>
    <col min="86" max="86" width="5.7109375" style="13" bestFit="1" customWidth="1"/>
    <col min="87" max="87" width="6.85546875" style="13" bestFit="1" customWidth="1"/>
    <col min="88" max="88" width="4.85546875" style="13" bestFit="1" customWidth="1"/>
    <col min="89" max="89" width="5.7109375" style="13" bestFit="1" customWidth="1"/>
    <col min="90" max="90" width="6.85546875" style="13" bestFit="1" customWidth="1"/>
    <col min="91" max="91" width="4.85546875" style="13" bestFit="1" customWidth="1"/>
    <col min="92" max="92" width="5.7109375" style="13" bestFit="1" customWidth="1"/>
    <col min="93" max="93" width="6.85546875" style="13" bestFit="1" customWidth="1"/>
    <col min="94" max="94" width="4.85546875" style="13" bestFit="1" customWidth="1"/>
    <col min="95" max="95" width="11.28515625" style="13" bestFit="1" customWidth="1"/>
    <col min="96" max="96" width="12.28515625" style="13" bestFit="1" customWidth="1"/>
    <col min="97" max="97" width="5.7109375" style="13" bestFit="1" customWidth="1"/>
    <col min="98" max="98" width="6.85546875" style="13" bestFit="1" customWidth="1"/>
    <col min="99" max="99" width="4.85546875" style="13" bestFit="1" customWidth="1"/>
    <col min="100" max="100" width="5.7109375" style="13" bestFit="1" customWidth="1"/>
    <col min="101" max="101" width="6.85546875" style="13" bestFit="1" customWidth="1"/>
    <col min="102" max="102" width="4.85546875" style="13" bestFit="1" customWidth="1"/>
    <col min="103" max="103" width="11.28515625" style="13" bestFit="1" customWidth="1"/>
    <col min="104" max="104" width="12.28515625" style="13" bestFit="1" customWidth="1"/>
    <col min="105" max="105" width="16.7109375" style="13" bestFit="1" customWidth="1"/>
    <col min="106" max="106" width="23" style="13" bestFit="1" customWidth="1"/>
    <col min="107" max="16384" width="9.140625" style="13"/>
  </cols>
  <sheetData>
    <row r="1" spans="1:106" s="9" customFormat="1" ht="34.5" customHeight="1" thickTop="1" thickBot="1" x14ac:dyDescent="0.3">
      <c r="A1" s="84" t="s">
        <v>65</v>
      </c>
      <c r="B1" s="84"/>
      <c r="C1" s="84"/>
      <c r="D1" s="84"/>
      <c r="E1" s="1" t="s">
        <v>0</v>
      </c>
      <c r="F1" s="2" t="s">
        <v>1</v>
      </c>
      <c r="G1" s="3" t="s">
        <v>2</v>
      </c>
      <c r="H1" s="4" t="s">
        <v>0</v>
      </c>
      <c r="I1" s="2" t="s">
        <v>1</v>
      </c>
      <c r="J1" s="3" t="s">
        <v>2</v>
      </c>
      <c r="K1" s="4" t="s">
        <v>0</v>
      </c>
      <c r="L1" s="2" t="s">
        <v>1</v>
      </c>
      <c r="M1" s="3" t="s">
        <v>2</v>
      </c>
      <c r="N1" s="4" t="s">
        <v>0</v>
      </c>
      <c r="O1" s="2" t="s">
        <v>1</v>
      </c>
      <c r="P1" s="3" t="s">
        <v>2</v>
      </c>
      <c r="Q1" s="4" t="s">
        <v>0</v>
      </c>
      <c r="R1" s="2" t="s">
        <v>1</v>
      </c>
      <c r="S1" s="3" t="s">
        <v>2</v>
      </c>
      <c r="T1" s="4" t="s">
        <v>0</v>
      </c>
      <c r="U1" s="2" t="s">
        <v>1</v>
      </c>
      <c r="V1" s="3" t="s">
        <v>2</v>
      </c>
      <c r="W1" s="4" t="s">
        <v>0</v>
      </c>
      <c r="X1" s="2" t="s">
        <v>1</v>
      </c>
      <c r="Y1" s="3" t="s">
        <v>2</v>
      </c>
      <c r="Z1" s="5" t="s">
        <v>3</v>
      </c>
      <c r="AA1" s="6" t="s">
        <v>4</v>
      </c>
      <c r="AB1" s="1" t="s">
        <v>0</v>
      </c>
      <c r="AC1" s="2" t="s">
        <v>1</v>
      </c>
      <c r="AD1" s="3" t="s">
        <v>2</v>
      </c>
      <c r="AE1" s="4" t="s">
        <v>0</v>
      </c>
      <c r="AF1" s="2" t="s">
        <v>1</v>
      </c>
      <c r="AG1" s="3" t="s">
        <v>2</v>
      </c>
      <c r="AH1" s="4" t="s">
        <v>0</v>
      </c>
      <c r="AI1" s="2" t="s">
        <v>1</v>
      </c>
      <c r="AJ1" s="3" t="s">
        <v>2</v>
      </c>
      <c r="AK1" s="4" t="s">
        <v>0</v>
      </c>
      <c r="AL1" s="2" t="s">
        <v>1</v>
      </c>
      <c r="AM1" s="3" t="s">
        <v>2</v>
      </c>
      <c r="AN1" s="4" t="s">
        <v>0</v>
      </c>
      <c r="AO1" s="2" t="s">
        <v>1</v>
      </c>
      <c r="AP1" s="3" t="s">
        <v>2</v>
      </c>
      <c r="AQ1" s="4" t="s">
        <v>0</v>
      </c>
      <c r="AR1" s="2" t="s">
        <v>1</v>
      </c>
      <c r="AS1" s="3" t="s">
        <v>2</v>
      </c>
      <c r="AT1" s="4" t="s">
        <v>0</v>
      </c>
      <c r="AU1" s="2" t="s">
        <v>1</v>
      </c>
      <c r="AV1" s="1" t="s">
        <v>2</v>
      </c>
      <c r="AW1" s="7" t="s">
        <v>3</v>
      </c>
      <c r="AX1" s="8" t="s">
        <v>4</v>
      </c>
      <c r="AY1" s="1" t="s">
        <v>0</v>
      </c>
      <c r="AZ1" s="2" t="s">
        <v>1</v>
      </c>
      <c r="BA1" s="3" t="s">
        <v>2</v>
      </c>
      <c r="BB1" s="4" t="s">
        <v>0</v>
      </c>
      <c r="BC1" s="2" t="s">
        <v>1</v>
      </c>
      <c r="BD1" s="3" t="s">
        <v>2</v>
      </c>
      <c r="BE1" s="4" t="s">
        <v>0</v>
      </c>
      <c r="BF1" s="2" t="s">
        <v>1</v>
      </c>
      <c r="BG1" s="3" t="s">
        <v>2</v>
      </c>
      <c r="BH1" s="4" t="s">
        <v>0</v>
      </c>
      <c r="BI1" s="2" t="s">
        <v>1</v>
      </c>
      <c r="BJ1" s="3" t="s">
        <v>2</v>
      </c>
      <c r="BK1" s="4" t="s">
        <v>0</v>
      </c>
      <c r="BL1" s="2" t="s">
        <v>1</v>
      </c>
      <c r="BM1" s="3" t="s">
        <v>2</v>
      </c>
      <c r="BN1" s="4" t="s">
        <v>0</v>
      </c>
      <c r="BO1" s="2" t="s">
        <v>1</v>
      </c>
      <c r="BP1" s="3" t="s">
        <v>2</v>
      </c>
      <c r="BQ1" s="4" t="s">
        <v>0</v>
      </c>
      <c r="BR1" s="2" t="s">
        <v>1</v>
      </c>
      <c r="BS1" s="3" t="s">
        <v>2</v>
      </c>
      <c r="BT1" s="5" t="s">
        <v>3</v>
      </c>
      <c r="BU1" s="6" t="s">
        <v>4</v>
      </c>
      <c r="BV1" s="1" t="s">
        <v>0</v>
      </c>
      <c r="BW1" s="2" t="s">
        <v>1</v>
      </c>
      <c r="BX1" s="1" t="s">
        <v>2</v>
      </c>
      <c r="BY1" s="1" t="s">
        <v>0</v>
      </c>
      <c r="BZ1" s="2" t="s">
        <v>1</v>
      </c>
      <c r="CA1" s="1" t="s">
        <v>2</v>
      </c>
      <c r="CB1" s="1" t="s">
        <v>0</v>
      </c>
      <c r="CC1" s="2" t="s">
        <v>1</v>
      </c>
      <c r="CD1" s="1" t="s">
        <v>2</v>
      </c>
      <c r="CE1" s="1" t="s">
        <v>0</v>
      </c>
      <c r="CF1" s="2" t="s">
        <v>1</v>
      </c>
      <c r="CG1" s="1" t="s">
        <v>2</v>
      </c>
      <c r="CH1" s="1" t="s">
        <v>0</v>
      </c>
      <c r="CI1" s="2" t="s">
        <v>1</v>
      </c>
      <c r="CJ1" s="1" t="s">
        <v>2</v>
      </c>
      <c r="CK1" s="1" t="s">
        <v>0</v>
      </c>
      <c r="CL1" s="2" t="s">
        <v>1</v>
      </c>
      <c r="CM1" s="1" t="s">
        <v>2</v>
      </c>
      <c r="CN1" s="1" t="s">
        <v>0</v>
      </c>
      <c r="CO1" s="2" t="s">
        <v>1</v>
      </c>
      <c r="CP1" s="1" t="s">
        <v>2</v>
      </c>
      <c r="CQ1" s="5" t="s">
        <v>3</v>
      </c>
      <c r="CR1" s="6" t="s">
        <v>4</v>
      </c>
      <c r="CS1" s="1" t="s">
        <v>0</v>
      </c>
      <c r="CT1" s="2" t="s">
        <v>1</v>
      </c>
      <c r="CU1" s="1" t="s">
        <v>2</v>
      </c>
      <c r="CV1" s="1" t="s">
        <v>0</v>
      </c>
      <c r="CW1" s="2" t="s">
        <v>1</v>
      </c>
      <c r="CX1" s="1" t="s">
        <v>2</v>
      </c>
      <c r="CY1" s="5" t="s">
        <v>3</v>
      </c>
      <c r="CZ1" s="6" t="s">
        <v>4</v>
      </c>
      <c r="DA1" s="48" t="s">
        <v>6</v>
      </c>
      <c r="DB1" s="51" t="s">
        <v>7</v>
      </c>
    </row>
    <row r="2" spans="1:106" ht="24" customHeight="1" thickTop="1" thickBot="1" x14ac:dyDescent="0.3">
      <c r="A2" s="10" t="s">
        <v>8</v>
      </c>
      <c r="B2" s="11" t="s">
        <v>9</v>
      </c>
      <c r="C2" s="11" t="s">
        <v>10</v>
      </c>
      <c r="D2" s="12" t="s">
        <v>11</v>
      </c>
      <c r="E2" s="79">
        <v>46133</v>
      </c>
      <c r="F2" s="80"/>
      <c r="G2" s="81"/>
      <c r="H2" s="79">
        <v>46134</v>
      </c>
      <c r="I2" s="80"/>
      <c r="J2" s="81"/>
      <c r="K2" s="79">
        <v>46135</v>
      </c>
      <c r="L2" s="80"/>
      <c r="M2" s="81"/>
      <c r="N2" s="79">
        <v>46136</v>
      </c>
      <c r="O2" s="80"/>
      <c r="P2" s="81"/>
      <c r="Q2" s="79">
        <v>46137</v>
      </c>
      <c r="R2" s="80"/>
      <c r="S2" s="81"/>
      <c r="T2" s="79">
        <v>46138</v>
      </c>
      <c r="U2" s="80"/>
      <c r="V2" s="81"/>
      <c r="W2" s="79">
        <v>46139</v>
      </c>
      <c r="X2" s="80"/>
      <c r="Y2" s="81"/>
      <c r="Z2" s="85" t="s">
        <v>12</v>
      </c>
      <c r="AA2" s="85"/>
      <c r="AB2" s="79">
        <v>46140</v>
      </c>
      <c r="AC2" s="80"/>
      <c r="AD2" s="81"/>
      <c r="AE2" s="79">
        <v>46141</v>
      </c>
      <c r="AF2" s="80"/>
      <c r="AG2" s="81"/>
      <c r="AH2" s="79">
        <v>46142</v>
      </c>
      <c r="AI2" s="80"/>
      <c r="AJ2" s="81"/>
      <c r="AK2" s="79">
        <v>46143</v>
      </c>
      <c r="AL2" s="80"/>
      <c r="AM2" s="81"/>
      <c r="AN2" s="79">
        <v>46144</v>
      </c>
      <c r="AO2" s="80"/>
      <c r="AP2" s="81"/>
      <c r="AQ2" s="79">
        <v>46145</v>
      </c>
      <c r="AR2" s="80"/>
      <c r="AS2" s="81"/>
      <c r="AT2" s="79">
        <v>46146</v>
      </c>
      <c r="AU2" s="80"/>
      <c r="AV2" s="81"/>
      <c r="AW2" s="86" t="s">
        <v>13</v>
      </c>
      <c r="AX2" s="87"/>
      <c r="AY2" s="79">
        <v>46147</v>
      </c>
      <c r="AZ2" s="80"/>
      <c r="BA2" s="81"/>
      <c r="BB2" s="79">
        <v>46148</v>
      </c>
      <c r="BC2" s="80"/>
      <c r="BD2" s="81"/>
      <c r="BE2" s="79">
        <v>46149</v>
      </c>
      <c r="BF2" s="80"/>
      <c r="BG2" s="81"/>
      <c r="BH2" s="79">
        <v>46150</v>
      </c>
      <c r="BI2" s="80"/>
      <c r="BJ2" s="81"/>
      <c r="BK2" s="79">
        <v>46151</v>
      </c>
      <c r="BL2" s="80"/>
      <c r="BM2" s="81"/>
      <c r="BN2" s="79">
        <v>46152</v>
      </c>
      <c r="BO2" s="80"/>
      <c r="BP2" s="81"/>
      <c r="BQ2" s="79">
        <v>46153</v>
      </c>
      <c r="BR2" s="80"/>
      <c r="BS2" s="81"/>
      <c r="BT2" s="85" t="s">
        <v>13</v>
      </c>
      <c r="BU2" s="85"/>
      <c r="BV2" s="79">
        <v>46154</v>
      </c>
      <c r="BW2" s="80"/>
      <c r="BX2" s="81"/>
      <c r="BY2" s="79">
        <v>46155</v>
      </c>
      <c r="BZ2" s="80"/>
      <c r="CA2" s="81"/>
      <c r="CB2" s="79">
        <v>46156</v>
      </c>
      <c r="CC2" s="80"/>
      <c r="CD2" s="81"/>
      <c r="CE2" s="79">
        <v>46157</v>
      </c>
      <c r="CF2" s="80"/>
      <c r="CG2" s="81"/>
      <c r="CH2" s="79">
        <v>46158</v>
      </c>
      <c r="CI2" s="80"/>
      <c r="CJ2" s="81"/>
      <c r="CK2" s="79">
        <v>46159</v>
      </c>
      <c r="CL2" s="80"/>
      <c r="CM2" s="81"/>
      <c r="CN2" s="79">
        <v>46160</v>
      </c>
      <c r="CO2" s="80"/>
      <c r="CP2" s="81"/>
      <c r="CQ2" s="85" t="s">
        <v>14</v>
      </c>
      <c r="CR2" s="85"/>
      <c r="CS2" s="79">
        <v>46161</v>
      </c>
      <c r="CT2" s="80"/>
      <c r="CU2" s="81"/>
      <c r="CV2" s="79">
        <v>46162</v>
      </c>
      <c r="CW2" s="80"/>
      <c r="CX2" s="81"/>
      <c r="CY2" s="85" t="s">
        <v>14</v>
      </c>
      <c r="CZ2" s="85"/>
      <c r="DA2" s="82" t="s">
        <v>59</v>
      </c>
      <c r="DB2" s="83"/>
    </row>
    <row r="3" spans="1:106" ht="17.25" thickTop="1" thickBot="1" x14ac:dyDescent="0.3">
      <c r="A3" s="10">
        <v>1</v>
      </c>
      <c r="B3" s="11">
        <v>10494</v>
      </c>
      <c r="C3" s="11" t="s">
        <v>15</v>
      </c>
      <c r="D3" s="12" t="s">
        <v>16</v>
      </c>
      <c r="E3" s="14">
        <v>0</v>
      </c>
      <c r="F3" s="14">
        <v>0</v>
      </c>
      <c r="G3" s="15"/>
      <c r="H3" s="14">
        <v>0</v>
      </c>
      <c r="I3" s="14">
        <v>0</v>
      </c>
      <c r="J3" s="15"/>
      <c r="K3" s="16">
        <v>0</v>
      </c>
      <c r="L3" s="14">
        <v>3</v>
      </c>
      <c r="M3" s="15"/>
      <c r="N3" s="16">
        <v>0</v>
      </c>
      <c r="O3" s="14">
        <v>2</v>
      </c>
      <c r="P3" s="15"/>
      <c r="Q3" s="14">
        <v>0</v>
      </c>
      <c r="R3" s="14">
        <v>0</v>
      </c>
      <c r="S3" s="15"/>
      <c r="T3" s="16">
        <v>0</v>
      </c>
      <c r="U3" s="14">
        <v>2</v>
      </c>
      <c r="V3" s="15"/>
      <c r="W3" s="16">
        <v>0</v>
      </c>
      <c r="X3" s="14">
        <v>4</v>
      </c>
      <c r="Y3" s="54"/>
      <c r="Z3" s="17">
        <f>W3+T3+Q3+N3+K3+H3+E3</f>
        <v>0</v>
      </c>
      <c r="AA3" s="18">
        <f>X3+U3+R3+O3+L3+I3+F3</f>
        <v>11</v>
      </c>
      <c r="AB3" s="16">
        <v>2</v>
      </c>
      <c r="AC3" s="14">
        <v>6</v>
      </c>
      <c r="AD3" s="15"/>
      <c r="AE3" s="16"/>
      <c r="AF3" s="14"/>
      <c r="AG3" s="15"/>
      <c r="AH3" s="16"/>
      <c r="AI3" s="14"/>
      <c r="AJ3" s="15"/>
      <c r="AK3" s="16"/>
      <c r="AL3" s="14"/>
      <c r="AM3" s="15"/>
      <c r="AN3" s="16"/>
      <c r="AO3" s="14"/>
      <c r="AP3" s="15"/>
      <c r="AQ3" s="16"/>
      <c r="AR3" s="14"/>
      <c r="AS3" s="15"/>
      <c r="AT3" s="16"/>
      <c r="AU3" s="14"/>
      <c r="AV3" s="53"/>
      <c r="AW3" s="20">
        <f>AT3+AQ3+AN3+AK3+AH3+AE3+AB3</f>
        <v>2</v>
      </c>
      <c r="AX3" s="21">
        <f>AU3+AR3+AO3+AL3+AI3+AF3+AC3</f>
        <v>6</v>
      </c>
      <c r="AY3" s="16"/>
      <c r="AZ3" s="14"/>
      <c r="BA3" s="15"/>
      <c r="BB3" s="16"/>
      <c r="BC3" s="14"/>
      <c r="BD3" s="15"/>
      <c r="BE3" s="16"/>
      <c r="BF3" s="14"/>
      <c r="BG3" s="15"/>
      <c r="BH3" s="16"/>
      <c r="BI3" s="14"/>
      <c r="BJ3" s="15"/>
      <c r="BK3" s="16"/>
      <c r="BL3" s="14"/>
      <c r="BM3" s="15"/>
      <c r="BN3" s="16"/>
      <c r="BO3" s="14"/>
      <c r="BP3" s="15"/>
      <c r="BQ3" s="16"/>
      <c r="BR3" s="14"/>
      <c r="BS3" s="53"/>
      <c r="BT3" s="17">
        <f>BQ3+BN3+BK3+BH3+BE3+BB3+AY3</f>
        <v>0</v>
      </c>
      <c r="BU3" s="18">
        <f>BR3+BO3+BL3+BI3+BF3+BC3+AZ3</f>
        <v>0</v>
      </c>
      <c r="BV3" s="14"/>
      <c r="BW3" s="14"/>
      <c r="BX3" s="19"/>
      <c r="BY3" s="16"/>
      <c r="BZ3" s="14"/>
      <c r="CA3" s="19"/>
      <c r="CB3" s="22"/>
      <c r="CC3" s="14"/>
      <c r="CD3" s="19"/>
      <c r="CE3" s="22"/>
      <c r="CF3" s="14"/>
      <c r="CG3" s="19"/>
      <c r="CH3" s="22"/>
      <c r="CI3" s="14"/>
      <c r="CJ3" s="19"/>
      <c r="CK3" s="22"/>
      <c r="CL3" s="14"/>
      <c r="CM3" s="19"/>
      <c r="CN3" s="22"/>
      <c r="CO3" s="14"/>
      <c r="CP3" s="53"/>
      <c r="CQ3" s="17">
        <f>CN3+CK3+CH3+CE3+CB3+BY3+BV3</f>
        <v>0</v>
      </c>
      <c r="CR3" s="18">
        <f>CO3+CL3+CI3+CF3+CC3+BZ3+BW3</f>
        <v>0</v>
      </c>
      <c r="CS3" s="22"/>
      <c r="CT3" s="14"/>
      <c r="CU3" s="19"/>
      <c r="CV3" s="22"/>
      <c r="CW3" s="14"/>
      <c r="CX3" s="19"/>
      <c r="CY3" s="17">
        <f>CV3+CS3</f>
        <v>0</v>
      </c>
      <c r="CZ3" s="18">
        <f>CW3+CT3</f>
        <v>0</v>
      </c>
      <c r="DA3" s="49">
        <f>CY3+CQ3+BT3+AW3+Z3</f>
        <v>2</v>
      </c>
      <c r="DB3" s="52">
        <f>CZ3+CR3+BU3+AX3+AA3</f>
        <v>17</v>
      </c>
    </row>
    <row r="4" spans="1:106" ht="17.25" thickTop="1" thickBot="1" x14ac:dyDescent="0.3">
      <c r="A4" s="10">
        <v>2</v>
      </c>
      <c r="B4" s="11">
        <v>6784</v>
      </c>
      <c r="C4" s="11" t="s">
        <v>15</v>
      </c>
      <c r="D4" s="12" t="s">
        <v>17</v>
      </c>
      <c r="E4" s="14">
        <v>6</v>
      </c>
      <c r="F4" s="14">
        <v>4</v>
      </c>
      <c r="G4" s="15"/>
      <c r="H4" s="14">
        <v>1</v>
      </c>
      <c r="I4" s="14">
        <v>2</v>
      </c>
      <c r="J4" s="15"/>
      <c r="K4" s="14">
        <v>0</v>
      </c>
      <c r="L4" s="14">
        <v>0</v>
      </c>
      <c r="M4" s="15"/>
      <c r="N4" s="14">
        <v>0</v>
      </c>
      <c r="O4" s="14">
        <v>0</v>
      </c>
      <c r="P4" s="15"/>
      <c r="Q4" s="14">
        <v>0</v>
      </c>
      <c r="R4" s="14">
        <v>0</v>
      </c>
      <c r="S4" s="15"/>
      <c r="T4" s="14">
        <v>0</v>
      </c>
      <c r="U4" s="14">
        <v>0</v>
      </c>
      <c r="V4" s="15"/>
      <c r="W4" s="14">
        <v>2</v>
      </c>
      <c r="X4" s="14">
        <v>5</v>
      </c>
      <c r="Y4" s="15"/>
      <c r="Z4" s="17">
        <f t="shared" ref="Z4:Z40" si="0">W4+T4+Q4+N4+K4+H4+E4</f>
        <v>9</v>
      </c>
      <c r="AA4" s="18">
        <f t="shared" ref="AA4:AA40" si="1">X4+U4+R4+O4+L4+I4+F4</f>
        <v>11</v>
      </c>
      <c r="AB4" s="14">
        <v>3</v>
      </c>
      <c r="AC4" s="14">
        <v>5</v>
      </c>
      <c r="AD4" s="15"/>
      <c r="AE4" s="14"/>
      <c r="AF4" s="14"/>
      <c r="AG4" s="15"/>
      <c r="AH4" s="14"/>
      <c r="AI4" s="14"/>
      <c r="AJ4" s="15"/>
      <c r="AK4" s="14"/>
      <c r="AL4" s="14"/>
      <c r="AM4" s="15"/>
      <c r="AN4" s="14"/>
      <c r="AO4" s="14"/>
      <c r="AP4" s="15"/>
      <c r="AQ4" s="14"/>
      <c r="AR4" s="14"/>
      <c r="AS4" s="15"/>
      <c r="AT4" s="14"/>
      <c r="AU4" s="14"/>
      <c r="AV4" s="19"/>
      <c r="AW4" s="20">
        <f t="shared" ref="AW4:AW40" si="2">AT4+AQ4+AN4+AK4+AH4+AE4+AB4</f>
        <v>3</v>
      </c>
      <c r="AX4" s="21">
        <f t="shared" ref="AX4:AX40" si="3">AU4+AR4+AO4+AL4+AI4+AF4+AC4</f>
        <v>5</v>
      </c>
      <c r="AY4" s="14"/>
      <c r="AZ4" s="14"/>
      <c r="BA4" s="15"/>
      <c r="BB4" s="14"/>
      <c r="BC4" s="14"/>
      <c r="BD4" s="15"/>
      <c r="BE4" s="16"/>
      <c r="BF4" s="14"/>
      <c r="BG4" s="15"/>
      <c r="BH4" s="16"/>
      <c r="BI4" s="14"/>
      <c r="BJ4" s="15"/>
      <c r="BK4" s="16"/>
      <c r="BL4" s="14"/>
      <c r="BM4" s="15"/>
      <c r="BN4" s="16"/>
      <c r="BO4" s="14"/>
      <c r="BP4" s="15"/>
      <c r="BQ4" s="16"/>
      <c r="BR4" s="14"/>
      <c r="BS4" s="15"/>
      <c r="BT4" s="17">
        <f t="shared" ref="BT4:BT40" si="4">BQ4+BN4+BK4+BH4+BE4+BB4+AY4</f>
        <v>0</v>
      </c>
      <c r="BU4" s="18">
        <f t="shared" ref="BU4:BU40" si="5">BR4+BO4+BL4+BI4+BF4+BC4+AZ4</f>
        <v>0</v>
      </c>
      <c r="BV4" s="14"/>
      <c r="BW4" s="14"/>
      <c r="BX4" s="19"/>
      <c r="BY4" s="16"/>
      <c r="BZ4" s="14"/>
      <c r="CA4" s="19"/>
      <c r="CB4" s="22"/>
      <c r="CC4" s="14"/>
      <c r="CD4" s="19"/>
      <c r="CE4" s="22"/>
      <c r="CF4" s="14"/>
      <c r="CG4" s="19"/>
      <c r="CH4" s="22"/>
      <c r="CI4" s="14"/>
      <c r="CJ4" s="19"/>
      <c r="CK4" s="22"/>
      <c r="CL4" s="14"/>
      <c r="CM4" s="19"/>
      <c r="CN4" s="22"/>
      <c r="CO4" s="14"/>
      <c r="CP4" s="19"/>
      <c r="CQ4" s="17">
        <f t="shared" ref="CQ4:CQ40" si="6">CN4+CK4+CH4+CE4+CB4+BY4+BV4</f>
        <v>0</v>
      </c>
      <c r="CR4" s="18">
        <f t="shared" ref="CR4:CR40" si="7">CO4+CL4+CI4+CF4+CC4+BZ4+BW4</f>
        <v>0</v>
      </c>
      <c r="CS4" s="22"/>
      <c r="CT4" s="14"/>
      <c r="CU4" s="19"/>
      <c r="CV4" s="22"/>
      <c r="CW4" s="14"/>
      <c r="CX4" s="19"/>
      <c r="CY4" s="17">
        <f t="shared" ref="CY4:CY40" si="8">CV4+CS4</f>
        <v>0</v>
      </c>
      <c r="CZ4" s="18">
        <f t="shared" ref="CZ4:CZ40" si="9">CW4+CT4</f>
        <v>0</v>
      </c>
      <c r="DA4" s="49">
        <f t="shared" ref="DA4:DA40" si="10">CY4+CQ4+BT4+AW4+Z4</f>
        <v>12</v>
      </c>
      <c r="DB4" s="52">
        <f t="shared" ref="DB4:DB40" si="11">CZ4+CR4+BU4+AX4+AA4</f>
        <v>16</v>
      </c>
    </row>
    <row r="5" spans="1:106" ht="17.25" thickTop="1" thickBot="1" x14ac:dyDescent="0.3">
      <c r="A5" s="10">
        <v>3</v>
      </c>
      <c r="B5" s="11">
        <v>14246</v>
      </c>
      <c r="C5" s="11" t="s">
        <v>15</v>
      </c>
      <c r="D5" s="12" t="s">
        <v>18</v>
      </c>
      <c r="E5" s="14">
        <v>0</v>
      </c>
      <c r="F5" s="14">
        <v>0</v>
      </c>
      <c r="G5" s="15"/>
      <c r="H5" s="14">
        <v>0</v>
      </c>
      <c r="I5" s="14">
        <v>0</v>
      </c>
      <c r="J5" s="15"/>
      <c r="K5" s="14">
        <v>0</v>
      </c>
      <c r="L5" s="14">
        <v>4</v>
      </c>
      <c r="M5" s="15">
        <v>1</v>
      </c>
      <c r="N5" s="14">
        <v>0</v>
      </c>
      <c r="O5" s="14">
        <v>3</v>
      </c>
      <c r="P5" s="15">
        <v>1</v>
      </c>
      <c r="Q5" s="16">
        <v>0</v>
      </c>
      <c r="R5" s="14">
        <v>3</v>
      </c>
      <c r="S5" s="15"/>
      <c r="T5" s="16">
        <v>0</v>
      </c>
      <c r="U5" s="14">
        <v>5</v>
      </c>
      <c r="V5" s="15">
        <v>1</v>
      </c>
      <c r="W5" s="16">
        <v>0</v>
      </c>
      <c r="X5" s="14">
        <v>0</v>
      </c>
      <c r="Y5" s="15"/>
      <c r="Z5" s="17">
        <f t="shared" si="0"/>
        <v>0</v>
      </c>
      <c r="AA5" s="18">
        <f t="shared" si="1"/>
        <v>15</v>
      </c>
      <c r="AB5" s="14">
        <v>1</v>
      </c>
      <c r="AC5" s="14">
        <v>3</v>
      </c>
      <c r="AD5" s="15"/>
      <c r="AE5" s="14"/>
      <c r="AF5" s="14"/>
      <c r="AG5" s="15"/>
      <c r="AH5" s="16"/>
      <c r="AI5" s="14"/>
      <c r="AJ5" s="15"/>
      <c r="AK5" s="16"/>
      <c r="AL5" s="14"/>
      <c r="AM5" s="15"/>
      <c r="AN5" s="16"/>
      <c r="AO5" s="14"/>
      <c r="AP5" s="15"/>
      <c r="AQ5" s="16"/>
      <c r="AR5" s="14"/>
      <c r="AS5" s="15"/>
      <c r="AT5" s="14"/>
      <c r="AU5" s="14"/>
      <c r="AV5" s="19"/>
      <c r="AW5" s="20">
        <f t="shared" si="2"/>
        <v>1</v>
      </c>
      <c r="AX5" s="21">
        <f t="shared" si="3"/>
        <v>3</v>
      </c>
      <c r="AY5" s="16"/>
      <c r="AZ5" s="14"/>
      <c r="BA5" s="15"/>
      <c r="BB5" s="16"/>
      <c r="BC5" s="14"/>
      <c r="BD5" s="15"/>
      <c r="BE5" s="16"/>
      <c r="BF5" s="14"/>
      <c r="BG5" s="15"/>
      <c r="BH5" s="16"/>
      <c r="BI5" s="14"/>
      <c r="BJ5" s="15"/>
      <c r="BK5" s="16"/>
      <c r="BL5" s="14"/>
      <c r="BM5" s="15"/>
      <c r="BN5" s="16"/>
      <c r="BO5" s="14"/>
      <c r="BP5" s="15"/>
      <c r="BQ5" s="16"/>
      <c r="BR5" s="14"/>
      <c r="BS5" s="15"/>
      <c r="BT5" s="17">
        <f t="shared" si="4"/>
        <v>0</v>
      </c>
      <c r="BU5" s="18">
        <f t="shared" si="5"/>
        <v>0</v>
      </c>
      <c r="BV5" s="16"/>
      <c r="BW5" s="14"/>
      <c r="BX5" s="19"/>
      <c r="BY5" s="16"/>
      <c r="BZ5" s="14"/>
      <c r="CA5" s="19"/>
      <c r="CB5" s="16"/>
      <c r="CC5" s="14"/>
      <c r="CD5" s="19"/>
      <c r="CE5" s="22"/>
      <c r="CF5" s="14"/>
      <c r="CG5" s="19"/>
      <c r="CH5" s="22"/>
      <c r="CI5" s="14"/>
      <c r="CJ5" s="19"/>
      <c r="CK5" s="22"/>
      <c r="CL5" s="14"/>
      <c r="CM5" s="19"/>
      <c r="CN5" s="22"/>
      <c r="CO5" s="14"/>
      <c r="CP5" s="19"/>
      <c r="CQ5" s="17">
        <f t="shared" si="6"/>
        <v>0</v>
      </c>
      <c r="CR5" s="18">
        <f t="shared" si="7"/>
        <v>0</v>
      </c>
      <c r="CS5" s="22"/>
      <c r="CT5" s="14"/>
      <c r="CU5" s="19"/>
      <c r="CV5" s="22"/>
      <c r="CW5" s="14"/>
      <c r="CX5" s="19"/>
      <c r="CY5" s="17">
        <f t="shared" si="8"/>
        <v>0</v>
      </c>
      <c r="CZ5" s="18">
        <f t="shared" si="9"/>
        <v>0</v>
      </c>
      <c r="DA5" s="49">
        <f t="shared" si="10"/>
        <v>1</v>
      </c>
      <c r="DB5" s="52">
        <f t="shared" si="11"/>
        <v>18</v>
      </c>
    </row>
    <row r="6" spans="1:106" ht="17.25" thickTop="1" thickBot="1" x14ac:dyDescent="0.3">
      <c r="A6" s="10">
        <v>4</v>
      </c>
      <c r="B6" s="11">
        <v>15898</v>
      </c>
      <c r="C6" s="11" t="s">
        <v>15</v>
      </c>
      <c r="D6" s="12" t="s">
        <v>19</v>
      </c>
      <c r="E6" s="14">
        <v>0</v>
      </c>
      <c r="F6" s="14">
        <v>0</v>
      </c>
      <c r="G6" s="15"/>
      <c r="H6" s="14">
        <v>0</v>
      </c>
      <c r="I6" s="14">
        <v>0</v>
      </c>
      <c r="J6" s="15"/>
      <c r="K6" s="14">
        <v>0</v>
      </c>
      <c r="L6" s="14">
        <v>0</v>
      </c>
      <c r="M6" s="15"/>
      <c r="N6" s="14">
        <v>0</v>
      </c>
      <c r="O6" s="14">
        <v>0</v>
      </c>
      <c r="P6" s="15"/>
      <c r="Q6" s="14">
        <v>0</v>
      </c>
      <c r="R6" s="14">
        <v>0</v>
      </c>
      <c r="S6" s="15"/>
      <c r="T6" s="14">
        <v>0</v>
      </c>
      <c r="U6" s="14">
        <v>0</v>
      </c>
      <c r="V6" s="15"/>
      <c r="W6" s="16">
        <v>0</v>
      </c>
      <c r="X6" s="14">
        <v>0</v>
      </c>
      <c r="Y6" s="15"/>
      <c r="Z6" s="17">
        <f t="shared" si="0"/>
        <v>0</v>
      </c>
      <c r="AA6" s="18">
        <f t="shared" si="1"/>
        <v>0</v>
      </c>
      <c r="AB6" s="16">
        <v>0</v>
      </c>
      <c r="AC6" s="14">
        <v>0</v>
      </c>
      <c r="AD6" s="15"/>
      <c r="AE6" s="16"/>
      <c r="AF6" s="14"/>
      <c r="AG6" s="15"/>
      <c r="AH6" s="16"/>
      <c r="AI6" s="14"/>
      <c r="AJ6" s="15"/>
      <c r="AK6" s="16"/>
      <c r="AL6" s="14"/>
      <c r="AM6" s="15"/>
      <c r="AN6" s="16"/>
      <c r="AO6" s="14"/>
      <c r="AP6" s="15"/>
      <c r="AQ6" s="16"/>
      <c r="AR6" s="14"/>
      <c r="AS6" s="15"/>
      <c r="AT6" s="16"/>
      <c r="AU6" s="14"/>
      <c r="AV6" s="19"/>
      <c r="AW6" s="20">
        <f t="shared" si="2"/>
        <v>0</v>
      </c>
      <c r="AX6" s="21">
        <f t="shared" si="3"/>
        <v>0</v>
      </c>
      <c r="AY6" s="14"/>
      <c r="AZ6" s="14"/>
      <c r="BA6" s="15"/>
      <c r="BB6" s="16"/>
      <c r="BC6" s="14"/>
      <c r="BD6" s="15"/>
      <c r="BE6" s="16"/>
      <c r="BF6" s="14"/>
      <c r="BG6" s="15"/>
      <c r="BH6" s="16"/>
      <c r="BI6" s="14"/>
      <c r="BJ6" s="15"/>
      <c r="BK6" s="16"/>
      <c r="BL6" s="14"/>
      <c r="BM6" s="15"/>
      <c r="BN6" s="16"/>
      <c r="BO6" s="14"/>
      <c r="BP6" s="15"/>
      <c r="BQ6" s="16"/>
      <c r="BR6" s="14"/>
      <c r="BS6" s="15"/>
      <c r="BT6" s="17">
        <f t="shared" si="4"/>
        <v>0</v>
      </c>
      <c r="BU6" s="18">
        <f t="shared" si="5"/>
        <v>0</v>
      </c>
      <c r="BV6" s="14"/>
      <c r="BW6" s="14"/>
      <c r="BX6" s="19"/>
      <c r="BY6" s="16"/>
      <c r="BZ6" s="14"/>
      <c r="CA6" s="19"/>
      <c r="CB6" s="22"/>
      <c r="CC6" s="14"/>
      <c r="CD6" s="19"/>
      <c r="CE6" s="22"/>
      <c r="CF6" s="14"/>
      <c r="CG6" s="19"/>
      <c r="CH6" s="22"/>
      <c r="CI6" s="14"/>
      <c r="CJ6" s="19"/>
      <c r="CK6" s="22"/>
      <c r="CL6" s="14"/>
      <c r="CM6" s="19"/>
      <c r="CN6" s="22"/>
      <c r="CO6" s="14"/>
      <c r="CP6" s="19"/>
      <c r="CQ6" s="17">
        <f t="shared" si="6"/>
        <v>0</v>
      </c>
      <c r="CR6" s="18">
        <f t="shared" si="7"/>
        <v>0</v>
      </c>
      <c r="CS6" s="22"/>
      <c r="CT6" s="14"/>
      <c r="CU6" s="19"/>
      <c r="CV6" s="22"/>
      <c r="CW6" s="14"/>
      <c r="CX6" s="19"/>
      <c r="CY6" s="17">
        <f t="shared" si="8"/>
        <v>0</v>
      </c>
      <c r="CZ6" s="18">
        <f t="shared" si="9"/>
        <v>0</v>
      </c>
      <c r="DA6" s="49">
        <f t="shared" si="10"/>
        <v>0</v>
      </c>
      <c r="DB6" s="52">
        <f t="shared" si="11"/>
        <v>0</v>
      </c>
    </row>
    <row r="7" spans="1:106" ht="17.25" thickTop="1" thickBot="1" x14ac:dyDescent="0.3">
      <c r="A7" s="10">
        <v>5</v>
      </c>
      <c r="B7" s="11">
        <v>22882</v>
      </c>
      <c r="C7" s="11" t="s">
        <v>15</v>
      </c>
      <c r="D7" s="12" t="s">
        <v>20</v>
      </c>
      <c r="E7" s="14">
        <v>0</v>
      </c>
      <c r="F7" s="14">
        <v>5</v>
      </c>
      <c r="G7" s="15"/>
      <c r="H7" s="14">
        <v>0</v>
      </c>
      <c r="I7" s="14">
        <v>2</v>
      </c>
      <c r="J7" s="15"/>
      <c r="K7" s="14">
        <v>0</v>
      </c>
      <c r="L7" s="14">
        <v>4</v>
      </c>
      <c r="M7" s="15"/>
      <c r="N7" s="14">
        <v>0</v>
      </c>
      <c r="O7" s="14">
        <v>5</v>
      </c>
      <c r="P7" s="15"/>
      <c r="Q7" s="14">
        <v>1</v>
      </c>
      <c r="R7" s="14">
        <v>5</v>
      </c>
      <c r="S7" s="15"/>
      <c r="T7" s="14">
        <v>0</v>
      </c>
      <c r="U7" s="14">
        <v>0</v>
      </c>
      <c r="V7" s="15"/>
      <c r="W7" s="14">
        <v>0</v>
      </c>
      <c r="X7" s="14">
        <v>0</v>
      </c>
      <c r="Y7" s="15"/>
      <c r="Z7" s="17">
        <f t="shared" si="0"/>
        <v>1</v>
      </c>
      <c r="AA7" s="18">
        <f t="shared" si="1"/>
        <v>21</v>
      </c>
      <c r="AB7" s="16">
        <v>0</v>
      </c>
      <c r="AC7" s="14">
        <v>0</v>
      </c>
      <c r="AD7" s="15"/>
      <c r="AE7" s="16"/>
      <c r="AF7" s="14"/>
      <c r="AG7" s="15"/>
      <c r="AH7" s="16"/>
      <c r="AI7" s="14"/>
      <c r="AJ7" s="15"/>
      <c r="AK7" s="16"/>
      <c r="AL7" s="14"/>
      <c r="AM7" s="15"/>
      <c r="AN7" s="16"/>
      <c r="AO7" s="14"/>
      <c r="AP7" s="15"/>
      <c r="AQ7" s="16"/>
      <c r="AR7" s="14"/>
      <c r="AS7" s="15"/>
      <c r="AT7" s="14"/>
      <c r="AU7" s="14"/>
      <c r="AV7" s="19"/>
      <c r="AW7" s="20">
        <f t="shared" si="2"/>
        <v>0</v>
      </c>
      <c r="AX7" s="21">
        <f t="shared" si="3"/>
        <v>0</v>
      </c>
      <c r="AY7" s="14"/>
      <c r="AZ7" s="14"/>
      <c r="BA7" s="15"/>
      <c r="BB7" s="16"/>
      <c r="BC7" s="14"/>
      <c r="BD7" s="15"/>
      <c r="BE7" s="16"/>
      <c r="BF7" s="14"/>
      <c r="BG7" s="15"/>
      <c r="BH7" s="16"/>
      <c r="BI7" s="14"/>
      <c r="BJ7" s="15"/>
      <c r="BK7" s="16"/>
      <c r="BL7" s="14"/>
      <c r="BM7" s="15"/>
      <c r="BN7" s="16"/>
      <c r="BO7" s="14"/>
      <c r="BP7" s="15"/>
      <c r="BQ7" s="16"/>
      <c r="BR7" s="14"/>
      <c r="BS7" s="15"/>
      <c r="BT7" s="17">
        <f t="shared" si="4"/>
        <v>0</v>
      </c>
      <c r="BU7" s="18">
        <f t="shared" si="5"/>
        <v>0</v>
      </c>
      <c r="BV7" s="14"/>
      <c r="BW7" s="14"/>
      <c r="BX7" s="19"/>
      <c r="BY7" s="16"/>
      <c r="BZ7" s="14"/>
      <c r="CA7" s="19"/>
      <c r="CB7" s="22"/>
      <c r="CC7" s="14"/>
      <c r="CD7" s="19"/>
      <c r="CE7" s="22"/>
      <c r="CF7" s="14"/>
      <c r="CG7" s="19"/>
      <c r="CH7" s="22"/>
      <c r="CI7" s="14"/>
      <c r="CJ7" s="19"/>
      <c r="CK7" s="22"/>
      <c r="CL7" s="14"/>
      <c r="CM7" s="19"/>
      <c r="CN7" s="22"/>
      <c r="CO7" s="14"/>
      <c r="CP7" s="19"/>
      <c r="CQ7" s="17">
        <f t="shared" si="6"/>
        <v>0</v>
      </c>
      <c r="CR7" s="18">
        <f t="shared" si="7"/>
        <v>0</v>
      </c>
      <c r="CS7" s="22"/>
      <c r="CT7" s="14"/>
      <c r="CU7" s="19"/>
      <c r="CV7" s="22"/>
      <c r="CW7" s="14"/>
      <c r="CX7" s="19"/>
      <c r="CY7" s="17">
        <f t="shared" si="8"/>
        <v>0</v>
      </c>
      <c r="CZ7" s="18">
        <f t="shared" si="9"/>
        <v>0</v>
      </c>
      <c r="DA7" s="49">
        <f t="shared" si="10"/>
        <v>1</v>
      </c>
      <c r="DB7" s="52">
        <f t="shared" si="11"/>
        <v>21</v>
      </c>
    </row>
    <row r="8" spans="1:106" ht="17.25" thickTop="1" thickBot="1" x14ac:dyDescent="0.3">
      <c r="A8" s="10">
        <v>6</v>
      </c>
      <c r="B8" s="11">
        <v>22754</v>
      </c>
      <c r="C8" s="11" t="s">
        <v>15</v>
      </c>
      <c r="D8" s="12" t="s">
        <v>21</v>
      </c>
      <c r="E8" s="14">
        <v>0</v>
      </c>
      <c r="F8" s="14">
        <v>0</v>
      </c>
      <c r="G8" s="15"/>
      <c r="H8" s="14">
        <v>0</v>
      </c>
      <c r="I8" s="14">
        <v>0</v>
      </c>
      <c r="J8" s="15"/>
      <c r="K8" s="14">
        <v>0</v>
      </c>
      <c r="L8" s="14">
        <v>0</v>
      </c>
      <c r="M8" s="15"/>
      <c r="N8" s="14">
        <v>0</v>
      </c>
      <c r="O8" s="14">
        <v>0</v>
      </c>
      <c r="P8" s="15"/>
      <c r="Q8" s="14">
        <v>0</v>
      </c>
      <c r="R8" s="14">
        <v>0</v>
      </c>
      <c r="S8" s="15"/>
      <c r="T8" s="14">
        <v>0</v>
      </c>
      <c r="U8" s="14">
        <v>0</v>
      </c>
      <c r="V8" s="15"/>
      <c r="W8" s="14">
        <v>0</v>
      </c>
      <c r="X8" s="14">
        <v>0</v>
      </c>
      <c r="Y8" s="15"/>
      <c r="Z8" s="17">
        <f t="shared" si="0"/>
        <v>0</v>
      </c>
      <c r="AA8" s="18">
        <f t="shared" si="1"/>
        <v>0</v>
      </c>
      <c r="AB8" s="16">
        <v>0</v>
      </c>
      <c r="AC8" s="14">
        <v>0</v>
      </c>
      <c r="AD8" s="15"/>
      <c r="AE8" s="14"/>
      <c r="AF8" s="14"/>
      <c r="AG8" s="15"/>
      <c r="AH8" s="14"/>
      <c r="AI8" s="14"/>
      <c r="AJ8" s="15"/>
      <c r="AK8" s="14"/>
      <c r="AL8" s="14"/>
      <c r="AM8" s="15"/>
      <c r="AN8" s="14"/>
      <c r="AO8" s="14"/>
      <c r="AP8" s="15"/>
      <c r="AQ8" s="14"/>
      <c r="AR8" s="14"/>
      <c r="AS8" s="15"/>
      <c r="AT8" s="14"/>
      <c r="AU8" s="14"/>
      <c r="AV8" s="19"/>
      <c r="AW8" s="20">
        <f t="shared" si="2"/>
        <v>0</v>
      </c>
      <c r="AX8" s="21">
        <f t="shared" si="3"/>
        <v>0</v>
      </c>
      <c r="AY8" s="14"/>
      <c r="AZ8" s="14"/>
      <c r="BA8" s="15"/>
      <c r="BB8" s="14"/>
      <c r="BC8" s="14"/>
      <c r="BD8" s="15"/>
      <c r="BE8" s="16"/>
      <c r="BF8" s="14"/>
      <c r="BG8" s="15"/>
      <c r="BH8" s="16"/>
      <c r="BI8" s="14"/>
      <c r="BJ8" s="15"/>
      <c r="BK8" s="16"/>
      <c r="BL8" s="14"/>
      <c r="BM8" s="15"/>
      <c r="BN8" s="16"/>
      <c r="BO8" s="14"/>
      <c r="BP8" s="15"/>
      <c r="BQ8" s="16"/>
      <c r="BR8" s="14"/>
      <c r="BS8" s="15"/>
      <c r="BT8" s="17">
        <f t="shared" si="4"/>
        <v>0</v>
      </c>
      <c r="BU8" s="18">
        <f t="shared" si="5"/>
        <v>0</v>
      </c>
      <c r="BV8" s="14"/>
      <c r="BW8" s="14"/>
      <c r="BX8" s="19"/>
      <c r="BY8" s="16"/>
      <c r="BZ8" s="14"/>
      <c r="CA8" s="19"/>
      <c r="CB8" s="16"/>
      <c r="CC8" s="14"/>
      <c r="CD8" s="19"/>
      <c r="CE8" s="22"/>
      <c r="CF8" s="14"/>
      <c r="CG8" s="19"/>
      <c r="CH8" s="22"/>
      <c r="CI8" s="14"/>
      <c r="CJ8" s="19"/>
      <c r="CK8" s="22"/>
      <c r="CL8" s="14"/>
      <c r="CM8" s="19"/>
      <c r="CN8" s="22"/>
      <c r="CO8" s="14"/>
      <c r="CP8" s="19"/>
      <c r="CQ8" s="17">
        <f t="shared" si="6"/>
        <v>0</v>
      </c>
      <c r="CR8" s="18">
        <f t="shared" si="7"/>
        <v>0</v>
      </c>
      <c r="CS8" s="22"/>
      <c r="CT8" s="14"/>
      <c r="CU8" s="19"/>
      <c r="CV8" s="22"/>
      <c r="CW8" s="14"/>
      <c r="CX8" s="19"/>
      <c r="CY8" s="17">
        <f t="shared" si="8"/>
        <v>0</v>
      </c>
      <c r="CZ8" s="18">
        <f t="shared" si="9"/>
        <v>0</v>
      </c>
      <c r="DA8" s="49">
        <f t="shared" si="10"/>
        <v>0</v>
      </c>
      <c r="DB8" s="52">
        <f t="shared" si="11"/>
        <v>0</v>
      </c>
    </row>
    <row r="9" spans="1:106" ht="17.25" thickTop="1" thickBot="1" x14ac:dyDescent="0.3">
      <c r="A9" s="10">
        <v>7</v>
      </c>
      <c r="B9" s="11">
        <v>22322</v>
      </c>
      <c r="C9" s="11" t="s">
        <v>15</v>
      </c>
      <c r="D9" s="12" t="s">
        <v>22</v>
      </c>
      <c r="E9" s="14">
        <v>3</v>
      </c>
      <c r="F9" s="14">
        <v>5</v>
      </c>
      <c r="G9" s="15"/>
      <c r="H9" s="14">
        <v>0</v>
      </c>
      <c r="I9" s="14">
        <v>0</v>
      </c>
      <c r="J9" s="15"/>
      <c r="K9" s="14">
        <v>0</v>
      </c>
      <c r="L9" s="14">
        <v>5</v>
      </c>
      <c r="M9" s="15"/>
      <c r="N9" s="14">
        <v>0</v>
      </c>
      <c r="O9" s="14">
        <v>1</v>
      </c>
      <c r="P9" s="15">
        <v>1</v>
      </c>
      <c r="Q9" s="14">
        <v>0</v>
      </c>
      <c r="R9" s="14">
        <v>0</v>
      </c>
      <c r="S9" s="15"/>
      <c r="T9" s="14">
        <v>0</v>
      </c>
      <c r="U9" s="14">
        <v>0</v>
      </c>
      <c r="V9" s="15"/>
      <c r="W9" s="14">
        <v>0</v>
      </c>
      <c r="X9" s="14">
        <v>0</v>
      </c>
      <c r="Y9" s="15"/>
      <c r="Z9" s="17">
        <f t="shared" si="0"/>
        <v>3</v>
      </c>
      <c r="AA9" s="18">
        <f t="shared" si="1"/>
        <v>11</v>
      </c>
      <c r="AB9" s="16">
        <v>0</v>
      </c>
      <c r="AC9" s="14">
        <v>0</v>
      </c>
      <c r="AD9" s="15"/>
      <c r="AE9" s="14"/>
      <c r="AF9" s="14"/>
      <c r="AG9" s="15"/>
      <c r="AH9" s="14"/>
      <c r="AI9" s="14"/>
      <c r="AJ9" s="15"/>
      <c r="AK9" s="14"/>
      <c r="AL9" s="14"/>
      <c r="AM9" s="15"/>
      <c r="AN9" s="14"/>
      <c r="AO9" s="14"/>
      <c r="AP9" s="15"/>
      <c r="AQ9" s="14"/>
      <c r="AR9" s="14"/>
      <c r="AS9" s="15"/>
      <c r="AT9" s="16"/>
      <c r="AU9" s="14"/>
      <c r="AV9" s="19"/>
      <c r="AW9" s="20">
        <f t="shared" si="2"/>
        <v>0</v>
      </c>
      <c r="AX9" s="21">
        <f t="shared" si="3"/>
        <v>0</v>
      </c>
      <c r="AY9" s="14"/>
      <c r="AZ9" s="14"/>
      <c r="BA9" s="15"/>
      <c r="BB9" s="14"/>
      <c r="BC9" s="14"/>
      <c r="BD9" s="15"/>
      <c r="BE9" s="16"/>
      <c r="BF9" s="14"/>
      <c r="BG9" s="15"/>
      <c r="BH9" s="16"/>
      <c r="BI9" s="14"/>
      <c r="BJ9" s="15"/>
      <c r="BK9" s="16"/>
      <c r="BL9" s="14"/>
      <c r="BM9" s="15"/>
      <c r="BN9" s="16"/>
      <c r="BO9" s="14"/>
      <c r="BP9" s="15"/>
      <c r="BQ9" s="16"/>
      <c r="BR9" s="14"/>
      <c r="BS9" s="15"/>
      <c r="BT9" s="17">
        <f t="shared" si="4"/>
        <v>0</v>
      </c>
      <c r="BU9" s="18">
        <f t="shared" si="5"/>
        <v>0</v>
      </c>
      <c r="BV9" s="16"/>
      <c r="BW9" s="14"/>
      <c r="BX9" s="19"/>
      <c r="BY9" s="16"/>
      <c r="BZ9" s="14"/>
      <c r="CA9" s="19"/>
      <c r="CB9" s="16"/>
      <c r="CC9" s="14"/>
      <c r="CD9" s="19"/>
      <c r="CE9" s="22"/>
      <c r="CF9" s="14"/>
      <c r="CG9" s="19"/>
      <c r="CH9" s="22"/>
      <c r="CI9" s="14"/>
      <c r="CJ9" s="19"/>
      <c r="CK9" s="22"/>
      <c r="CL9" s="14"/>
      <c r="CM9" s="19"/>
      <c r="CN9" s="22"/>
      <c r="CO9" s="14"/>
      <c r="CP9" s="19"/>
      <c r="CQ9" s="17">
        <f t="shared" si="6"/>
        <v>0</v>
      </c>
      <c r="CR9" s="18">
        <f t="shared" si="7"/>
        <v>0</v>
      </c>
      <c r="CS9" s="22"/>
      <c r="CT9" s="14"/>
      <c r="CU9" s="19"/>
      <c r="CV9" s="22"/>
      <c r="CW9" s="14"/>
      <c r="CX9" s="19"/>
      <c r="CY9" s="17">
        <f t="shared" si="8"/>
        <v>0</v>
      </c>
      <c r="CZ9" s="18">
        <f t="shared" si="9"/>
        <v>0</v>
      </c>
      <c r="DA9" s="49">
        <f t="shared" si="10"/>
        <v>3</v>
      </c>
      <c r="DB9" s="52">
        <f t="shared" si="11"/>
        <v>11</v>
      </c>
    </row>
    <row r="10" spans="1:106" ht="17.25" thickTop="1" thickBot="1" x14ac:dyDescent="0.3">
      <c r="A10" s="10">
        <v>8</v>
      </c>
      <c r="B10" s="11">
        <v>4018</v>
      </c>
      <c r="C10" s="11" t="s">
        <v>15</v>
      </c>
      <c r="D10" s="12" t="s">
        <v>23</v>
      </c>
      <c r="E10" s="14">
        <v>0</v>
      </c>
      <c r="F10" s="14">
        <v>0</v>
      </c>
      <c r="G10" s="15"/>
      <c r="H10" s="14">
        <v>0</v>
      </c>
      <c r="I10" s="14">
        <v>0</v>
      </c>
      <c r="J10" s="15"/>
      <c r="K10" s="14">
        <v>0</v>
      </c>
      <c r="L10" s="14">
        <v>0</v>
      </c>
      <c r="M10" s="15"/>
      <c r="N10" s="14">
        <v>0</v>
      </c>
      <c r="O10" s="14">
        <v>0</v>
      </c>
      <c r="P10" s="15"/>
      <c r="Q10" s="14">
        <v>0</v>
      </c>
      <c r="R10" s="14">
        <v>0</v>
      </c>
      <c r="S10" s="15"/>
      <c r="T10" s="14">
        <v>0</v>
      </c>
      <c r="U10" s="14">
        <v>0</v>
      </c>
      <c r="V10" s="15"/>
      <c r="W10" s="14">
        <v>0</v>
      </c>
      <c r="X10" s="14">
        <v>0</v>
      </c>
      <c r="Y10" s="15"/>
      <c r="Z10" s="17">
        <f t="shared" si="0"/>
        <v>0</v>
      </c>
      <c r="AA10" s="18">
        <f t="shared" si="1"/>
        <v>0</v>
      </c>
      <c r="AB10" s="16">
        <v>0</v>
      </c>
      <c r="AC10" s="14">
        <v>0</v>
      </c>
      <c r="AD10" s="15"/>
      <c r="AE10" s="14"/>
      <c r="AF10" s="14"/>
      <c r="AG10" s="15"/>
      <c r="AH10" s="14"/>
      <c r="AI10" s="14"/>
      <c r="AJ10" s="15"/>
      <c r="AK10" s="14"/>
      <c r="AL10" s="14"/>
      <c r="AM10" s="15"/>
      <c r="AN10" s="14"/>
      <c r="AO10" s="14"/>
      <c r="AP10" s="15"/>
      <c r="AQ10" s="14"/>
      <c r="AR10" s="14"/>
      <c r="AS10" s="15"/>
      <c r="AT10" s="14"/>
      <c r="AU10" s="14"/>
      <c r="AV10" s="19"/>
      <c r="AW10" s="20">
        <f t="shared" si="2"/>
        <v>0</v>
      </c>
      <c r="AX10" s="21">
        <f t="shared" si="3"/>
        <v>0</v>
      </c>
      <c r="AY10" s="14"/>
      <c r="AZ10" s="14"/>
      <c r="BA10" s="15"/>
      <c r="BB10" s="14"/>
      <c r="BC10" s="14"/>
      <c r="BD10" s="15"/>
      <c r="BE10" s="16"/>
      <c r="BF10" s="14"/>
      <c r="BG10" s="15"/>
      <c r="BH10" s="16"/>
      <c r="BI10" s="14"/>
      <c r="BJ10" s="15"/>
      <c r="BK10" s="16"/>
      <c r="BL10" s="14"/>
      <c r="BM10" s="15"/>
      <c r="BN10" s="16"/>
      <c r="BO10" s="14"/>
      <c r="BP10" s="15"/>
      <c r="BQ10" s="16"/>
      <c r="BR10" s="14"/>
      <c r="BS10" s="15"/>
      <c r="BT10" s="17">
        <f t="shared" si="4"/>
        <v>0</v>
      </c>
      <c r="BU10" s="18">
        <f t="shared" si="5"/>
        <v>0</v>
      </c>
      <c r="BV10" s="16"/>
      <c r="BW10" s="14"/>
      <c r="BX10" s="19"/>
      <c r="BY10" s="16"/>
      <c r="BZ10" s="14"/>
      <c r="CA10" s="19"/>
      <c r="CB10" s="16"/>
      <c r="CC10" s="14"/>
      <c r="CD10" s="19"/>
      <c r="CE10" s="22"/>
      <c r="CF10" s="14"/>
      <c r="CG10" s="19"/>
      <c r="CH10" s="22"/>
      <c r="CI10" s="14"/>
      <c r="CJ10" s="19"/>
      <c r="CK10" s="22"/>
      <c r="CL10" s="14"/>
      <c r="CM10" s="19"/>
      <c r="CN10" s="22"/>
      <c r="CO10" s="14"/>
      <c r="CP10" s="19"/>
      <c r="CQ10" s="17">
        <f t="shared" si="6"/>
        <v>0</v>
      </c>
      <c r="CR10" s="18">
        <f t="shared" si="7"/>
        <v>0</v>
      </c>
      <c r="CS10" s="22"/>
      <c r="CT10" s="14"/>
      <c r="CU10" s="19"/>
      <c r="CV10" s="22"/>
      <c r="CW10" s="14"/>
      <c r="CX10" s="19"/>
      <c r="CY10" s="17">
        <f t="shared" si="8"/>
        <v>0</v>
      </c>
      <c r="CZ10" s="18">
        <f t="shared" si="9"/>
        <v>0</v>
      </c>
      <c r="DA10" s="49">
        <f t="shared" si="10"/>
        <v>0</v>
      </c>
      <c r="DB10" s="52">
        <f t="shared" si="11"/>
        <v>0</v>
      </c>
    </row>
    <row r="11" spans="1:106" ht="17.25" thickTop="1" thickBot="1" x14ac:dyDescent="0.3">
      <c r="A11" s="10">
        <v>9</v>
      </c>
      <c r="B11" s="11">
        <v>22815</v>
      </c>
      <c r="C11" s="11" t="s">
        <v>15</v>
      </c>
      <c r="D11" s="12" t="s">
        <v>24</v>
      </c>
      <c r="E11" s="14">
        <v>0</v>
      </c>
      <c r="F11" s="14">
        <v>0</v>
      </c>
      <c r="G11" s="15"/>
      <c r="H11" s="14">
        <v>0</v>
      </c>
      <c r="I11" s="14">
        <v>0</v>
      </c>
      <c r="J11" s="15"/>
      <c r="K11" s="16">
        <v>6</v>
      </c>
      <c r="L11" s="14">
        <v>4</v>
      </c>
      <c r="M11" s="15"/>
      <c r="N11" s="14">
        <v>2</v>
      </c>
      <c r="O11" s="14">
        <v>4</v>
      </c>
      <c r="P11" s="15"/>
      <c r="Q11" s="16">
        <v>1</v>
      </c>
      <c r="R11" s="14">
        <v>3</v>
      </c>
      <c r="S11" s="15"/>
      <c r="T11" s="16">
        <v>3</v>
      </c>
      <c r="U11" s="14">
        <v>4</v>
      </c>
      <c r="V11" s="15"/>
      <c r="W11" s="14">
        <v>0</v>
      </c>
      <c r="X11" s="14">
        <v>0</v>
      </c>
      <c r="Y11" s="15"/>
      <c r="Z11" s="17">
        <f t="shared" si="0"/>
        <v>12</v>
      </c>
      <c r="AA11" s="18">
        <f t="shared" si="1"/>
        <v>15</v>
      </c>
      <c r="AB11" s="16">
        <v>0</v>
      </c>
      <c r="AC11" s="14">
        <v>0</v>
      </c>
      <c r="AD11" s="15"/>
      <c r="AE11" s="16">
        <v>0</v>
      </c>
      <c r="AF11" s="14">
        <v>0</v>
      </c>
      <c r="AG11" s="15"/>
      <c r="AH11" s="14"/>
      <c r="AI11" s="14"/>
      <c r="AJ11" s="15"/>
      <c r="AK11" s="16"/>
      <c r="AL11" s="14"/>
      <c r="AM11" s="15"/>
      <c r="AN11" s="16"/>
      <c r="AO11" s="14"/>
      <c r="AP11" s="15"/>
      <c r="AQ11" s="16"/>
      <c r="AR11" s="14"/>
      <c r="AS11" s="15"/>
      <c r="AT11" s="16"/>
      <c r="AU11" s="14"/>
      <c r="AV11" s="19"/>
      <c r="AW11" s="20">
        <f t="shared" si="2"/>
        <v>0</v>
      </c>
      <c r="AX11" s="21">
        <f t="shared" si="3"/>
        <v>0</v>
      </c>
      <c r="AY11" s="16"/>
      <c r="AZ11" s="14"/>
      <c r="BA11" s="15"/>
      <c r="BB11" s="16"/>
      <c r="BC11" s="14"/>
      <c r="BD11" s="15"/>
      <c r="BE11" s="16"/>
      <c r="BF11" s="14"/>
      <c r="BG11" s="15"/>
      <c r="BH11" s="16"/>
      <c r="BI11" s="14"/>
      <c r="BJ11" s="15"/>
      <c r="BK11" s="16"/>
      <c r="BL11" s="14"/>
      <c r="BM11" s="15"/>
      <c r="BN11" s="16"/>
      <c r="BO11" s="14"/>
      <c r="BP11" s="15"/>
      <c r="BQ11" s="16"/>
      <c r="BR11" s="14"/>
      <c r="BS11" s="15"/>
      <c r="BT11" s="17">
        <f t="shared" si="4"/>
        <v>0</v>
      </c>
      <c r="BU11" s="18">
        <f t="shared" si="5"/>
        <v>0</v>
      </c>
      <c r="BV11" s="16"/>
      <c r="BW11" s="14"/>
      <c r="BX11" s="19"/>
      <c r="BY11" s="16"/>
      <c r="BZ11" s="14"/>
      <c r="CA11" s="19"/>
      <c r="CB11" s="16"/>
      <c r="CC11" s="14"/>
      <c r="CD11" s="19"/>
      <c r="CE11" s="22"/>
      <c r="CF11" s="14"/>
      <c r="CG11" s="19"/>
      <c r="CH11" s="22"/>
      <c r="CI11" s="14"/>
      <c r="CJ11" s="19"/>
      <c r="CK11" s="22"/>
      <c r="CL11" s="14"/>
      <c r="CM11" s="19"/>
      <c r="CN11" s="22"/>
      <c r="CO11" s="14"/>
      <c r="CP11" s="19"/>
      <c r="CQ11" s="17">
        <f t="shared" si="6"/>
        <v>0</v>
      </c>
      <c r="CR11" s="18">
        <f t="shared" si="7"/>
        <v>0</v>
      </c>
      <c r="CS11" s="22"/>
      <c r="CT11" s="14"/>
      <c r="CU11" s="19"/>
      <c r="CV11" s="22"/>
      <c r="CW11" s="14"/>
      <c r="CX11" s="19"/>
      <c r="CY11" s="17">
        <f t="shared" si="8"/>
        <v>0</v>
      </c>
      <c r="CZ11" s="18">
        <f t="shared" si="9"/>
        <v>0</v>
      </c>
      <c r="DA11" s="49">
        <f t="shared" si="10"/>
        <v>12</v>
      </c>
      <c r="DB11" s="52">
        <f t="shared" si="11"/>
        <v>15</v>
      </c>
    </row>
    <row r="12" spans="1:106" ht="17.25" thickTop="1" thickBot="1" x14ac:dyDescent="0.3">
      <c r="A12" s="10">
        <v>10</v>
      </c>
      <c r="B12" s="11">
        <v>20205</v>
      </c>
      <c r="C12" s="11" t="s">
        <v>15</v>
      </c>
      <c r="D12" s="12" t="s">
        <v>25</v>
      </c>
      <c r="E12" s="14">
        <v>0</v>
      </c>
      <c r="F12" s="14">
        <v>6</v>
      </c>
      <c r="G12" s="15"/>
      <c r="H12" s="16">
        <v>0</v>
      </c>
      <c r="I12" s="14">
        <v>2</v>
      </c>
      <c r="J12" s="15"/>
      <c r="K12" s="14">
        <v>0</v>
      </c>
      <c r="L12" s="14">
        <v>5</v>
      </c>
      <c r="M12" s="15"/>
      <c r="N12" s="14">
        <v>0</v>
      </c>
      <c r="O12" s="14">
        <v>0</v>
      </c>
      <c r="P12" s="15"/>
      <c r="Q12" s="14">
        <v>2</v>
      </c>
      <c r="R12" s="14">
        <v>4</v>
      </c>
      <c r="S12" s="15"/>
      <c r="T12" s="14">
        <v>0</v>
      </c>
      <c r="U12" s="14">
        <v>2</v>
      </c>
      <c r="V12" s="15"/>
      <c r="W12" s="16">
        <v>0</v>
      </c>
      <c r="X12" s="14">
        <v>5</v>
      </c>
      <c r="Y12" s="15"/>
      <c r="Z12" s="17">
        <f t="shared" si="0"/>
        <v>2</v>
      </c>
      <c r="AA12" s="18">
        <f t="shared" si="1"/>
        <v>24</v>
      </c>
      <c r="AB12" s="16">
        <v>0</v>
      </c>
      <c r="AC12" s="14">
        <v>4</v>
      </c>
      <c r="AD12" s="15"/>
      <c r="AE12" s="16"/>
      <c r="AF12" s="14"/>
      <c r="AG12" s="15"/>
      <c r="AH12" s="16"/>
      <c r="AI12" s="14"/>
      <c r="AJ12" s="15"/>
      <c r="AK12" s="16"/>
      <c r="AL12" s="14"/>
      <c r="AM12" s="15"/>
      <c r="AN12" s="16"/>
      <c r="AO12" s="14"/>
      <c r="AP12" s="15"/>
      <c r="AQ12" s="16"/>
      <c r="AR12" s="14"/>
      <c r="AS12" s="15"/>
      <c r="AT12" s="16"/>
      <c r="AU12" s="14"/>
      <c r="AV12" s="19"/>
      <c r="AW12" s="20">
        <f t="shared" si="2"/>
        <v>0</v>
      </c>
      <c r="AX12" s="21">
        <f t="shared" si="3"/>
        <v>4</v>
      </c>
      <c r="AY12" s="16"/>
      <c r="AZ12" s="14"/>
      <c r="BA12" s="15"/>
      <c r="BB12" s="16"/>
      <c r="BC12" s="14"/>
      <c r="BD12" s="15"/>
      <c r="BE12" s="16"/>
      <c r="BF12" s="14"/>
      <c r="BG12" s="15"/>
      <c r="BH12" s="16"/>
      <c r="BI12" s="14"/>
      <c r="BJ12" s="15"/>
      <c r="BK12" s="16"/>
      <c r="BL12" s="14"/>
      <c r="BM12" s="15"/>
      <c r="BN12" s="16"/>
      <c r="BO12" s="14"/>
      <c r="BP12" s="15"/>
      <c r="BQ12" s="16"/>
      <c r="BR12" s="14"/>
      <c r="BS12" s="15"/>
      <c r="BT12" s="17">
        <f t="shared" si="4"/>
        <v>0</v>
      </c>
      <c r="BU12" s="18">
        <f t="shared" si="5"/>
        <v>0</v>
      </c>
      <c r="BV12" s="16"/>
      <c r="BW12" s="14"/>
      <c r="BX12" s="19"/>
      <c r="BY12" s="16"/>
      <c r="BZ12" s="14"/>
      <c r="CA12" s="19"/>
      <c r="CB12" s="22"/>
      <c r="CC12" s="14"/>
      <c r="CD12" s="19"/>
      <c r="CE12" s="22"/>
      <c r="CF12" s="14"/>
      <c r="CG12" s="19"/>
      <c r="CH12" s="22"/>
      <c r="CI12" s="14"/>
      <c r="CJ12" s="19"/>
      <c r="CK12" s="22"/>
      <c r="CL12" s="14"/>
      <c r="CM12" s="19"/>
      <c r="CN12" s="22"/>
      <c r="CO12" s="14"/>
      <c r="CP12" s="19"/>
      <c r="CQ12" s="17">
        <f t="shared" si="6"/>
        <v>0</v>
      </c>
      <c r="CR12" s="18">
        <f t="shared" si="7"/>
        <v>0</v>
      </c>
      <c r="CS12" s="22"/>
      <c r="CT12" s="14"/>
      <c r="CU12" s="19"/>
      <c r="CV12" s="22"/>
      <c r="CW12" s="14"/>
      <c r="CX12" s="19"/>
      <c r="CY12" s="17">
        <f t="shared" si="8"/>
        <v>0</v>
      </c>
      <c r="CZ12" s="18">
        <f t="shared" si="9"/>
        <v>0</v>
      </c>
      <c r="DA12" s="49">
        <f t="shared" si="10"/>
        <v>2</v>
      </c>
      <c r="DB12" s="52">
        <f t="shared" si="11"/>
        <v>28</v>
      </c>
    </row>
    <row r="13" spans="1:106" ht="17.25" thickTop="1" thickBot="1" x14ac:dyDescent="0.3">
      <c r="A13" s="10">
        <v>11</v>
      </c>
      <c r="B13" s="11">
        <v>17733</v>
      </c>
      <c r="C13" s="11" t="s">
        <v>15</v>
      </c>
      <c r="D13" s="12" t="s">
        <v>26</v>
      </c>
      <c r="E13" s="14">
        <v>0</v>
      </c>
      <c r="F13" s="14">
        <v>0</v>
      </c>
      <c r="G13" s="15"/>
      <c r="H13" s="14">
        <v>0</v>
      </c>
      <c r="I13" s="14">
        <v>0</v>
      </c>
      <c r="J13" s="15"/>
      <c r="K13" s="14">
        <v>0</v>
      </c>
      <c r="L13" s="14">
        <v>0</v>
      </c>
      <c r="M13" s="15"/>
      <c r="N13" s="14">
        <v>0</v>
      </c>
      <c r="O13" s="14">
        <v>0</v>
      </c>
      <c r="P13" s="15"/>
      <c r="Q13" s="14">
        <v>0</v>
      </c>
      <c r="R13" s="14">
        <v>0</v>
      </c>
      <c r="S13" s="15"/>
      <c r="T13" s="14">
        <v>0</v>
      </c>
      <c r="U13" s="14">
        <v>0</v>
      </c>
      <c r="V13" s="15"/>
      <c r="W13" s="14">
        <v>0</v>
      </c>
      <c r="X13" s="14">
        <v>0</v>
      </c>
      <c r="Y13" s="15"/>
      <c r="Z13" s="17">
        <f t="shared" si="0"/>
        <v>0</v>
      </c>
      <c r="AA13" s="18">
        <f t="shared" si="1"/>
        <v>0</v>
      </c>
      <c r="AB13" s="16">
        <v>0</v>
      </c>
      <c r="AC13" s="14">
        <v>0</v>
      </c>
      <c r="AD13" s="15"/>
      <c r="AE13" s="16">
        <v>0</v>
      </c>
      <c r="AF13" s="14">
        <v>0</v>
      </c>
      <c r="AG13" s="15"/>
      <c r="AH13" s="16"/>
      <c r="AI13" s="14"/>
      <c r="AJ13" s="15"/>
      <c r="AK13" s="16"/>
      <c r="AL13" s="14"/>
      <c r="AM13" s="15"/>
      <c r="AN13" s="16"/>
      <c r="AO13" s="14"/>
      <c r="AP13" s="15"/>
      <c r="AQ13" s="16"/>
      <c r="AR13" s="14"/>
      <c r="AS13" s="15"/>
      <c r="AT13" s="16"/>
      <c r="AU13" s="14"/>
      <c r="AV13" s="19"/>
      <c r="AW13" s="20">
        <f t="shared" si="2"/>
        <v>0</v>
      </c>
      <c r="AX13" s="21">
        <f t="shared" si="3"/>
        <v>0</v>
      </c>
      <c r="AY13" s="14"/>
      <c r="AZ13" s="14"/>
      <c r="BA13" s="15"/>
      <c r="BB13" s="16"/>
      <c r="BC13" s="14"/>
      <c r="BD13" s="15"/>
      <c r="BE13" s="16"/>
      <c r="BF13" s="14"/>
      <c r="BG13" s="15"/>
      <c r="BH13" s="16"/>
      <c r="BI13" s="14"/>
      <c r="BJ13" s="15"/>
      <c r="BK13" s="16"/>
      <c r="BL13" s="14"/>
      <c r="BM13" s="15"/>
      <c r="BN13" s="16"/>
      <c r="BO13" s="14"/>
      <c r="BP13" s="15"/>
      <c r="BQ13" s="16"/>
      <c r="BR13" s="14"/>
      <c r="BS13" s="15"/>
      <c r="BT13" s="17">
        <f t="shared" si="4"/>
        <v>0</v>
      </c>
      <c r="BU13" s="18">
        <f t="shared" si="5"/>
        <v>0</v>
      </c>
      <c r="BV13" s="14"/>
      <c r="BW13" s="14"/>
      <c r="BX13" s="19"/>
      <c r="BY13" s="16"/>
      <c r="BZ13" s="14"/>
      <c r="CA13" s="19"/>
      <c r="CB13" s="22"/>
      <c r="CC13" s="14"/>
      <c r="CD13" s="19"/>
      <c r="CE13" s="22"/>
      <c r="CF13" s="14"/>
      <c r="CG13" s="19"/>
      <c r="CH13" s="22"/>
      <c r="CI13" s="14"/>
      <c r="CJ13" s="19"/>
      <c r="CK13" s="22"/>
      <c r="CL13" s="14"/>
      <c r="CM13" s="19"/>
      <c r="CN13" s="22"/>
      <c r="CO13" s="14"/>
      <c r="CP13" s="19"/>
      <c r="CQ13" s="17">
        <f t="shared" si="6"/>
        <v>0</v>
      </c>
      <c r="CR13" s="18">
        <f t="shared" si="7"/>
        <v>0</v>
      </c>
      <c r="CS13" s="22"/>
      <c r="CT13" s="14"/>
      <c r="CU13" s="19"/>
      <c r="CV13" s="22"/>
      <c r="CW13" s="14"/>
      <c r="CX13" s="19"/>
      <c r="CY13" s="17">
        <f t="shared" si="8"/>
        <v>0</v>
      </c>
      <c r="CZ13" s="18">
        <f t="shared" si="9"/>
        <v>0</v>
      </c>
      <c r="DA13" s="49">
        <f t="shared" si="10"/>
        <v>0</v>
      </c>
      <c r="DB13" s="52">
        <f t="shared" si="11"/>
        <v>0</v>
      </c>
    </row>
    <row r="14" spans="1:106" ht="17.25" thickTop="1" thickBot="1" x14ac:dyDescent="0.3">
      <c r="A14" s="10">
        <v>12</v>
      </c>
      <c r="B14" s="25"/>
      <c r="C14" s="11" t="s">
        <v>15</v>
      </c>
      <c r="D14" s="26" t="s">
        <v>27</v>
      </c>
      <c r="E14" s="14">
        <v>0</v>
      </c>
      <c r="F14" s="14">
        <v>0</v>
      </c>
      <c r="G14" s="15"/>
      <c r="H14" s="14">
        <v>0</v>
      </c>
      <c r="I14" s="14">
        <v>3</v>
      </c>
      <c r="J14" s="15"/>
      <c r="K14" s="16">
        <v>3</v>
      </c>
      <c r="L14" s="14">
        <v>4</v>
      </c>
      <c r="M14" s="15"/>
      <c r="N14" s="14">
        <v>0</v>
      </c>
      <c r="O14" s="14">
        <v>7</v>
      </c>
      <c r="P14" s="15"/>
      <c r="Q14" s="16">
        <v>5</v>
      </c>
      <c r="R14" s="14">
        <v>5</v>
      </c>
      <c r="S14" s="15"/>
      <c r="T14" s="16">
        <v>0</v>
      </c>
      <c r="U14" s="14">
        <v>3</v>
      </c>
      <c r="V14" s="15"/>
      <c r="W14" s="14">
        <v>3</v>
      </c>
      <c r="X14" s="14">
        <v>5</v>
      </c>
      <c r="Y14" s="15"/>
      <c r="Z14" s="17">
        <f t="shared" si="0"/>
        <v>11</v>
      </c>
      <c r="AA14" s="18">
        <f t="shared" si="1"/>
        <v>27</v>
      </c>
      <c r="AB14" s="16">
        <v>0</v>
      </c>
      <c r="AC14" s="14">
        <v>0</v>
      </c>
      <c r="AD14" s="15"/>
      <c r="AE14" s="16"/>
      <c r="AF14" s="14"/>
      <c r="AG14" s="15"/>
      <c r="AH14" s="16"/>
      <c r="AI14" s="14"/>
      <c r="AJ14" s="15"/>
      <c r="AK14" s="14"/>
      <c r="AL14" s="14"/>
      <c r="AM14" s="15"/>
      <c r="AN14" s="16"/>
      <c r="AO14" s="14"/>
      <c r="AP14" s="15"/>
      <c r="AQ14" s="16"/>
      <c r="AR14" s="14"/>
      <c r="AS14" s="15"/>
      <c r="AT14" s="16"/>
      <c r="AU14" s="14"/>
      <c r="AV14" s="19"/>
      <c r="AW14" s="20">
        <f t="shared" si="2"/>
        <v>0</v>
      </c>
      <c r="AX14" s="21">
        <f t="shared" si="3"/>
        <v>0</v>
      </c>
      <c r="AY14" s="14"/>
      <c r="AZ14" s="14"/>
      <c r="BA14" s="15"/>
      <c r="BB14" s="14"/>
      <c r="BC14" s="14"/>
      <c r="BD14" s="15"/>
      <c r="BE14" s="16"/>
      <c r="BF14" s="14"/>
      <c r="BG14" s="15"/>
      <c r="BH14" s="16"/>
      <c r="BI14" s="14"/>
      <c r="BJ14" s="15"/>
      <c r="BK14" s="16"/>
      <c r="BL14" s="14"/>
      <c r="BM14" s="15"/>
      <c r="BN14" s="16"/>
      <c r="BO14" s="14"/>
      <c r="BP14" s="15"/>
      <c r="BQ14" s="16"/>
      <c r="BR14" s="14"/>
      <c r="BS14" s="15"/>
      <c r="BT14" s="17">
        <f t="shared" si="4"/>
        <v>0</v>
      </c>
      <c r="BU14" s="18">
        <f t="shared" si="5"/>
        <v>0</v>
      </c>
      <c r="BV14" s="14"/>
      <c r="BW14" s="14"/>
      <c r="BX14" s="19"/>
      <c r="BY14" s="16"/>
      <c r="BZ14" s="14"/>
      <c r="CA14" s="19"/>
      <c r="CB14" s="22"/>
      <c r="CC14" s="14"/>
      <c r="CD14" s="19"/>
      <c r="CE14" s="22"/>
      <c r="CF14" s="14"/>
      <c r="CG14" s="19"/>
      <c r="CH14" s="22"/>
      <c r="CI14" s="14"/>
      <c r="CJ14" s="19"/>
      <c r="CK14" s="22"/>
      <c r="CL14" s="14"/>
      <c r="CM14" s="19"/>
      <c r="CN14" s="22"/>
      <c r="CO14" s="14"/>
      <c r="CP14" s="19"/>
      <c r="CQ14" s="17">
        <f t="shared" si="6"/>
        <v>0</v>
      </c>
      <c r="CR14" s="18">
        <f t="shared" si="7"/>
        <v>0</v>
      </c>
      <c r="CS14" s="22"/>
      <c r="CT14" s="14"/>
      <c r="CU14" s="19"/>
      <c r="CV14" s="22"/>
      <c r="CW14" s="14"/>
      <c r="CX14" s="19"/>
      <c r="CY14" s="17">
        <f t="shared" si="8"/>
        <v>0</v>
      </c>
      <c r="CZ14" s="18">
        <f t="shared" si="9"/>
        <v>0</v>
      </c>
      <c r="DA14" s="49">
        <f t="shared" si="10"/>
        <v>11</v>
      </c>
      <c r="DB14" s="52">
        <f t="shared" si="11"/>
        <v>27</v>
      </c>
    </row>
    <row r="15" spans="1:106" ht="17.25" thickTop="1" thickBot="1" x14ac:dyDescent="0.3">
      <c r="A15" s="10">
        <v>13</v>
      </c>
      <c r="B15" s="25"/>
      <c r="C15" s="11" t="s">
        <v>15</v>
      </c>
      <c r="D15" s="26" t="s">
        <v>28</v>
      </c>
      <c r="E15" s="14">
        <v>0</v>
      </c>
      <c r="F15" s="14">
        <v>0</v>
      </c>
      <c r="G15" s="15"/>
      <c r="H15" s="14">
        <v>1</v>
      </c>
      <c r="I15" s="14">
        <v>3</v>
      </c>
      <c r="J15" s="15"/>
      <c r="K15" s="14">
        <v>0</v>
      </c>
      <c r="L15" s="14">
        <v>3</v>
      </c>
      <c r="M15" s="15"/>
      <c r="N15" s="14">
        <v>1</v>
      </c>
      <c r="O15" s="14">
        <v>4</v>
      </c>
      <c r="P15" s="15"/>
      <c r="Q15" s="14">
        <v>0</v>
      </c>
      <c r="R15" s="14">
        <v>3</v>
      </c>
      <c r="S15" s="15">
        <v>1</v>
      </c>
      <c r="T15" s="16">
        <v>2</v>
      </c>
      <c r="U15" s="14">
        <v>5</v>
      </c>
      <c r="V15" s="15"/>
      <c r="W15" s="14">
        <v>0</v>
      </c>
      <c r="X15" s="14">
        <v>0</v>
      </c>
      <c r="Y15" s="15"/>
      <c r="Z15" s="17">
        <f t="shared" si="0"/>
        <v>4</v>
      </c>
      <c r="AA15" s="18">
        <f t="shared" si="1"/>
        <v>18</v>
      </c>
      <c r="AB15" s="14">
        <v>0</v>
      </c>
      <c r="AC15" s="14">
        <v>5</v>
      </c>
      <c r="AD15" s="15"/>
      <c r="AE15" s="14"/>
      <c r="AF15" s="14"/>
      <c r="AG15" s="15"/>
      <c r="AH15" s="14"/>
      <c r="AI15" s="14"/>
      <c r="AJ15" s="15"/>
      <c r="AK15" s="14"/>
      <c r="AL15" s="14"/>
      <c r="AM15" s="15"/>
      <c r="AN15" s="14"/>
      <c r="AO15" s="14"/>
      <c r="AP15" s="15"/>
      <c r="AQ15" s="14"/>
      <c r="AR15" s="14"/>
      <c r="AS15" s="15"/>
      <c r="AT15" s="14"/>
      <c r="AU15" s="14"/>
      <c r="AV15" s="19"/>
      <c r="AW15" s="20">
        <f t="shared" si="2"/>
        <v>0</v>
      </c>
      <c r="AX15" s="21">
        <f t="shared" si="3"/>
        <v>5</v>
      </c>
      <c r="AY15" s="14"/>
      <c r="AZ15" s="14"/>
      <c r="BA15" s="15"/>
      <c r="BB15" s="14"/>
      <c r="BC15" s="14"/>
      <c r="BD15" s="15"/>
      <c r="BE15" s="16"/>
      <c r="BF15" s="14"/>
      <c r="BG15" s="15"/>
      <c r="BH15" s="16"/>
      <c r="BI15" s="14"/>
      <c r="BJ15" s="15"/>
      <c r="BK15" s="16"/>
      <c r="BL15" s="14"/>
      <c r="BM15" s="15"/>
      <c r="BN15" s="16"/>
      <c r="BO15" s="14"/>
      <c r="BP15" s="15"/>
      <c r="BQ15" s="16"/>
      <c r="BR15" s="14"/>
      <c r="BS15" s="15"/>
      <c r="BT15" s="17">
        <f t="shared" si="4"/>
        <v>0</v>
      </c>
      <c r="BU15" s="18">
        <f t="shared" si="5"/>
        <v>0</v>
      </c>
      <c r="BV15" s="14"/>
      <c r="BW15" s="14"/>
      <c r="BX15" s="19"/>
      <c r="BY15" s="16"/>
      <c r="BZ15" s="14"/>
      <c r="CA15" s="19"/>
      <c r="CB15" s="16"/>
      <c r="CC15" s="14"/>
      <c r="CD15" s="19"/>
      <c r="CE15" s="22"/>
      <c r="CF15" s="14"/>
      <c r="CG15" s="19"/>
      <c r="CH15" s="22"/>
      <c r="CI15" s="14"/>
      <c r="CJ15" s="19"/>
      <c r="CK15" s="22"/>
      <c r="CL15" s="14"/>
      <c r="CM15" s="19"/>
      <c r="CN15" s="22"/>
      <c r="CO15" s="14"/>
      <c r="CP15" s="19"/>
      <c r="CQ15" s="17">
        <f t="shared" si="6"/>
        <v>0</v>
      </c>
      <c r="CR15" s="18">
        <f t="shared" si="7"/>
        <v>0</v>
      </c>
      <c r="CS15" s="22"/>
      <c r="CT15" s="14"/>
      <c r="CU15" s="19"/>
      <c r="CV15" s="22"/>
      <c r="CW15" s="14"/>
      <c r="CX15" s="19"/>
      <c r="CY15" s="17">
        <f t="shared" si="8"/>
        <v>0</v>
      </c>
      <c r="CZ15" s="18">
        <f t="shared" si="9"/>
        <v>0</v>
      </c>
      <c r="DA15" s="49">
        <f t="shared" si="10"/>
        <v>4</v>
      </c>
      <c r="DB15" s="52">
        <f t="shared" si="11"/>
        <v>23</v>
      </c>
    </row>
    <row r="16" spans="1:106" ht="17.25" thickTop="1" thickBot="1" x14ac:dyDescent="0.3">
      <c r="A16" s="10">
        <v>14</v>
      </c>
      <c r="B16" s="25"/>
      <c r="C16" s="11" t="s">
        <v>15</v>
      </c>
      <c r="D16" s="26" t="s">
        <v>29</v>
      </c>
      <c r="E16" s="14">
        <v>0</v>
      </c>
      <c r="F16" s="14">
        <v>0</v>
      </c>
      <c r="G16" s="15"/>
      <c r="H16" s="14">
        <v>1</v>
      </c>
      <c r="I16" s="14">
        <v>2</v>
      </c>
      <c r="J16" s="15"/>
      <c r="K16" s="14">
        <v>2</v>
      </c>
      <c r="L16" s="14">
        <v>5</v>
      </c>
      <c r="M16" s="15"/>
      <c r="N16" s="14">
        <v>0</v>
      </c>
      <c r="O16" s="14">
        <v>6</v>
      </c>
      <c r="P16" s="15"/>
      <c r="Q16" s="14">
        <v>0</v>
      </c>
      <c r="R16" s="14">
        <v>0</v>
      </c>
      <c r="S16" s="15"/>
      <c r="T16" s="16">
        <v>6</v>
      </c>
      <c r="U16" s="14">
        <v>4</v>
      </c>
      <c r="V16" s="15"/>
      <c r="W16" s="14">
        <v>1</v>
      </c>
      <c r="X16" s="14">
        <v>5</v>
      </c>
      <c r="Y16" s="15"/>
      <c r="Z16" s="17">
        <f t="shared" si="0"/>
        <v>10</v>
      </c>
      <c r="AA16" s="18">
        <f t="shared" si="1"/>
        <v>22</v>
      </c>
      <c r="AB16" s="16">
        <v>0</v>
      </c>
      <c r="AC16" s="14">
        <v>0</v>
      </c>
      <c r="AD16" s="15"/>
      <c r="AE16" s="14"/>
      <c r="AF16" s="14"/>
      <c r="AG16" s="15"/>
      <c r="AH16" s="14"/>
      <c r="AI16" s="14"/>
      <c r="AJ16" s="15"/>
      <c r="AK16" s="14"/>
      <c r="AL16" s="14"/>
      <c r="AM16" s="15"/>
      <c r="AN16" s="16"/>
      <c r="AO16" s="14"/>
      <c r="AP16" s="15"/>
      <c r="AQ16" s="14"/>
      <c r="AR16" s="14"/>
      <c r="AS16" s="15"/>
      <c r="AT16" s="14"/>
      <c r="AU16" s="14"/>
      <c r="AV16" s="19"/>
      <c r="AW16" s="20">
        <f t="shared" si="2"/>
        <v>0</v>
      </c>
      <c r="AX16" s="21">
        <f t="shared" si="3"/>
        <v>0</v>
      </c>
      <c r="AY16" s="14"/>
      <c r="AZ16" s="14"/>
      <c r="BA16" s="15"/>
      <c r="BB16" s="14"/>
      <c r="BC16" s="14"/>
      <c r="BD16" s="15"/>
      <c r="BE16" s="16"/>
      <c r="BF16" s="14"/>
      <c r="BG16" s="15"/>
      <c r="BH16" s="16"/>
      <c r="BI16" s="14"/>
      <c r="BJ16" s="15"/>
      <c r="BK16" s="16"/>
      <c r="BL16" s="14"/>
      <c r="BM16" s="15"/>
      <c r="BN16" s="16"/>
      <c r="BO16" s="14"/>
      <c r="BP16" s="15"/>
      <c r="BQ16" s="16"/>
      <c r="BR16" s="14"/>
      <c r="BS16" s="15"/>
      <c r="BT16" s="17">
        <f t="shared" si="4"/>
        <v>0</v>
      </c>
      <c r="BU16" s="18">
        <f t="shared" si="5"/>
        <v>0</v>
      </c>
      <c r="BV16" s="14"/>
      <c r="BW16" s="14"/>
      <c r="BX16" s="19"/>
      <c r="BY16" s="16"/>
      <c r="BZ16" s="14"/>
      <c r="CA16" s="19"/>
      <c r="CB16" s="22"/>
      <c r="CC16" s="14"/>
      <c r="CD16" s="19"/>
      <c r="CE16" s="22"/>
      <c r="CF16" s="14"/>
      <c r="CG16" s="19"/>
      <c r="CH16" s="22"/>
      <c r="CI16" s="14"/>
      <c r="CJ16" s="19"/>
      <c r="CK16" s="22"/>
      <c r="CL16" s="14"/>
      <c r="CM16" s="19"/>
      <c r="CN16" s="22"/>
      <c r="CO16" s="14"/>
      <c r="CP16" s="19"/>
      <c r="CQ16" s="17">
        <f t="shared" si="6"/>
        <v>0</v>
      </c>
      <c r="CR16" s="18">
        <f t="shared" si="7"/>
        <v>0</v>
      </c>
      <c r="CS16" s="22"/>
      <c r="CT16" s="14"/>
      <c r="CU16" s="19"/>
      <c r="CV16" s="22"/>
      <c r="CW16" s="14"/>
      <c r="CX16" s="19"/>
      <c r="CY16" s="17">
        <f t="shared" si="8"/>
        <v>0</v>
      </c>
      <c r="CZ16" s="18">
        <f t="shared" si="9"/>
        <v>0</v>
      </c>
      <c r="DA16" s="49">
        <f t="shared" si="10"/>
        <v>10</v>
      </c>
      <c r="DB16" s="52">
        <f t="shared" si="11"/>
        <v>22</v>
      </c>
    </row>
    <row r="17" spans="1:106" ht="17.25" thickTop="1" thickBot="1" x14ac:dyDescent="0.3">
      <c r="A17" s="10">
        <v>15</v>
      </c>
      <c r="B17" s="25">
        <v>23017</v>
      </c>
      <c r="C17" s="11" t="s">
        <v>15</v>
      </c>
      <c r="D17" s="26" t="s">
        <v>30</v>
      </c>
      <c r="E17" s="14">
        <v>0</v>
      </c>
      <c r="F17" s="14">
        <v>0</v>
      </c>
      <c r="G17" s="15"/>
      <c r="H17" s="14">
        <v>0</v>
      </c>
      <c r="I17" s="14">
        <v>2</v>
      </c>
      <c r="J17" s="15"/>
      <c r="K17" s="16">
        <v>1</v>
      </c>
      <c r="L17" s="14">
        <v>2</v>
      </c>
      <c r="M17" s="15"/>
      <c r="N17" s="16">
        <v>1</v>
      </c>
      <c r="O17" s="14">
        <v>3</v>
      </c>
      <c r="P17" s="15"/>
      <c r="Q17" s="16">
        <v>2</v>
      </c>
      <c r="R17" s="14">
        <v>4</v>
      </c>
      <c r="S17" s="15"/>
      <c r="T17" s="14">
        <v>0</v>
      </c>
      <c r="U17" s="14">
        <v>4</v>
      </c>
      <c r="V17" s="15"/>
      <c r="W17" s="16">
        <v>0</v>
      </c>
      <c r="X17" s="14">
        <v>0</v>
      </c>
      <c r="Y17" s="15"/>
      <c r="Z17" s="17">
        <f t="shared" si="0"/>
        <v>4</v>
      </c>
      <c r="AA17" s="18">
        <f t="shared" si="1"/>
        <v>15</v>
      </c>
      <c r="AB17" s="16">
        <v>0</v>
      </c>
      <c r="AC17" s="14">
        <v>0</v>
      </c>
      <c r="AD17" s="15"/>
      <c r="AE17" s="16"/>
      <c r="AF17" s="14"/>
      <c r="AG17" s="15"/>
      <c r="AH17" s="16"/>
      <c r="AI17" s="14"/>
      <c r="AJ17" s="15"/>
      <c r="AK17" s="16"/>
      <c r="AL17" s="14"/>
      <c r="AM17" s="15"/>
      <c r="AN17" s="14"/>
      <c r="AO17" s="14"/>
      <c r="AP17" s="15"/>
      <c r="AQ17" s="14"/>
      <c r="AR17" s="14"/>
      <c r="AS17" s="15"/>
      <c r="AT17" s="16"/>
      <c r="AU17" s="14"/>
      <c r="AV17" s="19"/>
      <c r="AW17" s="20">
        <f t="shared" si="2"/>
        <v>0</v>
      </c>
      <c r="AX17" s="21">
        <f t="shared" si="3"/>
        <v>0</v>
      </c>
      <c r="AY17" s="16"/>
      <c r="AZ17" s="14"/>
      <c r="BA17" s="15"/>
      <c r="BB17" s="14"/>
      <c r="BC17" s="14"/>
      <c r="BD17" s="15"/>
      <c r="BE17" s="16"/>
      <c r="BF17" s="14"/>
      <c r="BG17" s="15"/>
      <c r="BH17" s="16"/>
      <c r="BI17" s="14"/>
      <c r="BJ17" s="15"/>
      <c r="BK17" s="16"/>
      <c r="BL17" s="14"/>
      <c r="BM17" s="15"/>
      <c r="BN17" s="16"/>
      <c r="BO17" s="14"/>
      <c r="BP17" s="15"/>
      <c r="BQ17" s="16"/>
      <c r="BR17" s="14"/>
      <c r="BS17" s="15"/>
      <c r="BT17" s="17">
        <f t="shared" si="4"/>
        <v>0</v>
      </c>
      <c r="BU17" s="18">
        <f t="shared" si="5"/>
        <v>0</v>
      </c>
      <c r="BV17" s="14"/>
      <c r="BW17" s="14"/>
      <c r="BX17" s="19"/>
      <c r="BY17" s="16"/>
      <c r="BZ17" s="14"/>
      <c r="CA17" s="19"/>
      <c r="CB17" s="22"/>
      <c r="CC17" s="14"/>
      <c r="CD17" s="19"/>
      <c r="CE17" s="22"/>
      <c r="CF17" s="14"/>
      <c r="CG17" s="19"/>
      <c r="CH17" s="22"/>
      <c r="CI17" s="14"/>
      <c r="CJ17" s="19"/>
      <c r="CK17" s="22"/>
      <c r="CL17" s="14"/>
      <c r="CM17" s="19"/>
      <c r="CN17" s="22"/>
      <c r="CO17" s="14"/>
      <c r="CP17" s="19"/>
      <c r="CQ17" s="17">
        <f t="shared" si="6"/>
        <v>0</v>
      </c>
      <c r="CR17" s="18">
        <f t="shared" si="7"/>
        <v>0</v>
      </c>
      <c r="CS17" s="22"/>
      <c r="CT17" s="14"/>
      <c r="CU17" s="19"/>
      <c r="CV17" s="22"/>
      <c r="CW17" s="14"/>
      <c r="CX17" s="19"/>
      <c r="CY17" s="17">
        <f t="shared" si="8"/>
        <v>0</v>
      </c>
      <c r="CZ17" s="18">
        <f t="shared" si="9"/>
        <v>0</v>
      </c>
      <c r="DA17" s="49">
        <f t="shared" si="10"/>
        <v>4</v>
      </c>
      <c r="DB17" s="52">
        <f t="shared" si="11"/>
        <v>15</v>
      </c>
    </row>
    <row r="18" spans="1:106" ht="17.25" thickTop="1" thickBot="1" x14ac:dyDescent="0.3">
      <c r="A18" s="10">
        <v>16</v>
      </c>
      <c r="B18" s="25"/>
      <c r="C18" s="11" t="s">
        <v>15</v>
      </c>
      <c r="D18" s="26" t="s">
        <v>31</v>
      </c>
      <c r="E18" s="14">
        <v>0</v>
      </c>
      <c r="F18" s="14">
        <v>4</v>
      </c>
      <c r="G18" s="15"/>
      <c r="H18" s="14">
        <v>1</v>
      </c>
      <c r="I18" s="14">
        <v>4</v>
      </c>
      <c r="J18" s="15"/>
      <c r="K18" s="14">
        <v>4</v>
      </c>
      <c r="L18" s="14">
        <v>5</v>
      </c>
      <c r="M18" s="15"/>
      <c r="N18" s="14">
        <v>4</v>
      </c>
      <c r="O18" s="14">
        <v>5</v>
      </c>
      <c r="P18" s="15"/>
      <c r="Q18" s="16">
        <v>0</v>
      </c>
      <c r="R18" s="14">
        <v>5</v>
      </c>
      <c r="S18" s="15"/>
      <c r="T18" s="16">
        <v>0</v>
      </c>
      <c r="U18" s="14">
        <v>4</v>
      </c>
      <c r="V18" s="15"/>
      <c r="W18" s="16">
        <v>0</v>
      </c>
      <c r="X18" s="14">
        <v>0</v>
      </c>
      <c r="Y18" s="15"/>
      <c r="Z18" s="17">
        <f t="shared" si="0"/>
        <v>9</v>
      </c>
      <c r="AA18" s="18">
        <f t="shared" si="1"/>
        <v>27</v>
      </c>
      <c r="AB18" s="16">
        <v>0</v>
      </c>
      <c r="AC18" s="14">
        <v>5</v>
      </c>
      <c r="AD18" s="15"/>
      <c r="AE18" s="16"/>
      <c r="AF18" s="14"/>
      <c r="AG18" s="15"/>
      <c r="AH18" s="16"/>
      <c r="AI18" s="14"/>
      <c r="AJ18" s="15"/>
      <c r="AK18" s="16"/>
      <c r="AL18" s="14"/>
      <c r="AM18" s="15"/>
      <c r="AN18" s="16"/>
      <c r="AO18" s="14"/>
      <c r="AP18" s="15"/>
      <c r="AQ18" s="16"/>
      <c r="AR18" s="14"/>
      <c r="AS18" s="15"/>
      <c r="AT18" s="16"/>
      <c r="AU18" s="14"/>
      <c r="AV18" s="19"/>
      <c r="AW18" s="20">
        <f t="shared" si="2"/>
        <v>0</v>
      </c>
      <c r="AX18" s="21">
        <f t="shared" si="3"/>
        <v>5</v>
      </c>
      <c r="AY18" s="16"/>
      <c r="AZ18" s="14"/>
      <c r="BA18" s="15"/>
      <c r="BB18" s="16"/>
      <c r="BC18" s="14"/>
      <c r="BD18" s="15"/>
      <c r="BE18" s="16"/>
      <c r="BF18" s="14"/>
      <c r="BG18" s="15"/>
      <c r="BH18" s="16"/>
      <c r="BI18" s="14"/>
      <c r="BJ18" s="15"/>
      <c r="BK18" s="16"/>
      <c r="BL18" s="14"/>
      <c r="BM18" s="15"/>
      <c r="BN18" s="16"/>
      <c r="BO18" s="14"/>
      <c r="BP18" s="15"/>
      <c r="BQ18" s="16"/>
      <c r="BR18" s="14"/>
      <c r="BS18" s="15"/>
      <c r="BT18" s="17">
        <f t="shared" si="4"/>
        <v>0</v>
      </c>
      <c r="BU18" s="18">
        <f t="shared" si="5"/>
        <v>0</v>
      </c>
      <c r="BV18" s="14"/>
      <c r="BW18" s="14"/>
      <c r="BX18" s="19"/>
      <c r="BY18" s="16"/>
      <c r="BZ18" s="14"/>
      <c r="CA18" s="19"/>
      <c r="CB18" s="22"/>
      <c r="CC18" s="14"/>
      <c r="CD18" s="19"/>
      <c r="CE18" s="22"/>
      <c r="CF18" s="14"/>
      <c r="CG18" s="19"/>
      <c r="CH18" s="22"/>
      <c r="CI18" s="14"/>
      <c r="CJ18" s="19"/>
      <c r="CK18" s="22"/>
      <c r="CL18" s="14"/>
      <c r="CM18" s="19"/>
      <c r="CN18" s="22"/>
      <c r="CO18" s="14"/>
      <c r="CP18" s="19"/>
      <c r="CQ18" s="17">
        <f t="shared" si="6"/>
        <v>0</v>
      </c>
      <c r="CR18" s="18">
        <f t="shared" si="7"/>
        <v>0</v>
      </c>
      <c r="CS18" s="22"/>
      <c r="CT18" s="14"/>
      <c r="CU18" s="19"/>
      <c r="CV18" s="22"/>
      <c r="CW18" s="14"/>
      <c r="CX18" s="19"/>
      <c r="CY18" s="17">
        <f t="shared" si="8"/>
        <v>0</v>
      </c>
      <c r="CZ18" s="18">
        <f t="shared" si="9"/>
        <v>0</v>
      </c>
      <c r="DA18" s="49">
        <f t="shared" si="10"/>
        <v>9</v>
      </c>
      <c r="DB18" s="52">
        <f t="shared" si="11"/>
        <v>32</v>
      </c>
    </row>
    <row r="19" spans="1:106" ht="17.25" thickTop="1" thickBot="1" x14ac:dyDescent="0.3">
      <c r="A19" s="10">
        <v>17</v>
      </c>
      <c r="B19" s="25">
        <v>22567</v>
      </c>
      <c r="C19" s="11" t="s">
        <v>15</v>
      </c>
      <c r="D19" s="26" t="s">
        <v>32</v>
      </c>
      <c r="E19" s="14">
        <v>0</v>
      </c>
      <c r="F19" s="14">
        <v>0</v>
      </c>
      <c r="G19" s="15"/>
      <c r="H19" s="14">
        <v>7</v>
      </c>
      <c r="I19" s="14">
        <v>5</v>
      </c>
      <c r="J19" s="15"/>
      <c r="K19" s="16">
        <v>0</v>
      </c>
      <c r="L19" s="14">
        <v>5</v>
      </c>
      <c r="M19" s="15">
        <v>1</v>
      </c>
      <c r="N19" s="14">
        <v>0</v>
      </c>
      <c r="O19" s="14">
        <v>0</v>
      </c>
      <c r="P19" s="15"/>
      <c r="Q19" s="16">
        <v>0</v>
      </c>
      <c r="R19" s="14">
        <v>5</v>
      </c>
      <c r="S19" s="15"/>
      <c r="T19" s="14">
        <v>0</v>
      </c>
      <c r="U19" s="14">
        <v>0</v>
      </c>
      <c r="V19" s="15"/>
      <c r="W19" s="16">
        <v>1</v>
      </c>
      <c r="X19" s="14">
        <v>4</v>
      </c>
      <c r="Y19" s="15"/>
      <c r="Z19" s="17">
        <f t="shared" si="0"/>
        <v>8</v>
      </c>
      <c r="AA19" s="18">
        <f t="shared" si="1"/>
        <v>19</v>
      </c>
      <c r="AB19" s="16">
        <v>0</v>
      </c>
      <c r="AC19" s="14">
        <v>0</v>
      </c>
      <c r="AD19" s="15"/>
      <c r="AE19" s="16"/>
      <c r="AF19" s="14"/>
      <c r="AG19" s="15"/>
      <c r="AH19" s="14"/>
      <c r="AI19" s="14"/>
      <c r="AJ19" s="15"/>
      <c r="AK19" s="16"/>
      <c r="AL19" s="14"/>
      <c r="AM19" s="15"/>
      <c r="AN19" s="16"/>
      <c r="AO19" s="14"/>
      <c r="AP19" s="15"/>
      <c r="AQ19" s="16"/>
      <c r="AR19" s="14"/>
      <c r="AS19" s="15"/>
      <c r="AT19" s="16"/>
      <c r="AU19" s="14"/>
      <c r="AV19" s="19"/>
      <c r="AW19" s="20">
        <f t="shared" si="2"/>
        <v>0</v>
      </c>
      <c r="AX19" s="21">
        <f t="shared" si="3"/>
        <v>0</v>
      </c>
      <c r="AY19" s="16"/>
      <c r="AZ19" s="14"/>
      <c r="BA19" s="15"/>
      <c r="BB19" s="16"/>
      <c r="BC19" s="14"/>
      <c r="BD19" s="15"/>
      <c r="BE19" s="16"/>
      <c r="BF19" s="14"/>
      <c r="BG19" s="15"/>
      <c r="BH19" s="16"/>
      <c r="BI19" s="14"/>
      <c r="BJ19" s="15"/>
      <c r="BK19" s="16"/>
      <c r="BL19" s="14"/>
      <c r="BM19" s="15"/>
      <c r="BN19" s="16"/>
      <c r="BO19" s="14"/>
      <c r="BP19" s="15"/>
      <c r="BQ19" s="16"/>
      <c r="BR19" s="14"/>
      <c r="BS19" s="15"/>
      <c r="BT19" s="17">
        <f t="shared" si="4"/>
        <v>0</v>
      </c>
      <c r="BU19" s="18">
        <f t="shared" si="5"/>
        <v>0</v>
      </c>
      <c r="BV19" s="14"/>
      <c r="BW19" s="14"/>
      <c r="BX19" s="19"/>
      <c r="BY19" s="16"/>
      <c r="BZ19" s="14"/>
      <c r="CA19" s="19"/>
      <c r="CB19" s="22"/>
      <c r="CC19" s="14"/>
      <c r="CD19" s="19"/>
      <c r="CE19" s="22"/>
      <c r="CF19" s="14"/>
      <c r="CG19" s="19"/>
      <c r="CH19" s="22"/>
      <c r="CI19" s="14"/>
      <c r="CJ19" s="19"/>
      <c r="CK19" s="22"/>
      <c r="CL19" s="14"/>
      <c r="CM19" s="19"/>
      <c r="CN19" s="22"/>
      <c r="CO19" s="14"/>
      <c r="CP19" s="19"/>
      <c r="CQ19" s="17">
        <f t="shared" si="6"/>
        <v>0</v>
      </c>
      <c r="CR19" s="18">
        <f t="shared" si="7"/>
        <v>0</v>
      </c>
      <c r="CS19" s="22"/>
      <c r="CT19" s="14"/>
      <c r="CU19" s="19"/>
      <c r="CV19" s="22"/>
      <c r="CW19" s="14"/>
      <c r="CX19" s="19"/>
      <c r="CY19" s="17">
        <f t="shared" si="8"/>
        <v>0</v>
      </c>
      <c r="CZ19" s="18">
        <f t="shared" si="9"/>
        <v>0</v>
      </c>
      <c r="DA19" s="49">
        <f t="shared" si="10"/>
        <v>8</v>
      </c>
      <c r="DB19" s="52">
        <f t="shared" si="11"/>
        <v>19</v>
      </c>
    </row>
    <row r="20" spans="1:106" ht="17.25" thickTop="1" thickBot="1" x14ac:dyDescent="0.3">
      <c r="A20" s="10">
        <v>18</v>
      </c>
      <c r="B20" s="25">
        <v>20447</v>
      </c>
      <c r="C20" s="25" t="s">
        <v>15</v>
      </c>
      <c r="D20" s="26" t="s">
        <v>33</v>
      </c>
      <c r="E20" s="14">
        <v>0</v>
      </c>
      <c r="F20" s="14">
        <v>5</v>
      </c>
      <c r="G20" s="15"/>
      <c r="H20" s="14">
        <v>1</v>
      </c>
      <c r="I20" s="14">
        <v>4</v>
      </c>
      <c r="J20" s="15">
        <v>1</v>
      </c>
      <c r="K20" s="14">
        <v>0</v>
      </c>
      <c r="L20" s="14">
        <v>0</v>
      </c>
      <c r="M20" s="15"/>
      <c r="N20" s="14">
        <v>0</v>
      </c>
      <c r="O20" s="14">
        <v>0</v>
      </c>
      <c r="P20" s="15"/>
      <c r="Q20" s="14">
        <v>0</v>
      </c>
      <c r="R20" s="14">
        <v>0</v>
      </c>
      <c r="S20" s="15"/>
      <c r="T20" s="14">
        <v>0</v>
      </c>
      <c r="U20" s="14">
        <v>0</v>
      </c>
      <c r="V20" s="15"/>
      <c r="W20" s="14">
        <v>0</v>
      </c>
      <c r="X20" s="14">
        <v>0</v>
      </c>
      <c r="Y20" s="15"/>
      <c r="Z20" s="17">
        <f t="shared" si="0"/>
        <v>1</v>
      </c>
      <c r="AA20" s="18">
        <f t="shared" si="1"/>
        <v>9</v>
      </c>
      <c r="AB20" s="16">
        <v>0</v>
      </c>
      <c r="AC20" s="14">
        <v>0</v>
      </c>
      <c r="AD20" s="15"/>
      <c r="AE20" s="14"/>
      <c r="AF20" s="14"/>
      <c r="AG20" s="15"/>
      <c r="AH20" s="14"/>
      <c r="AI20" s="14"/>
      <c r="AJ20" s="15"/>
      <c r="AK20" s="14"/>
      <c r="AL20" s="14"/>
      <c r="AM20" s="15"/>
      <c r="AN20" s="14"/>
      <c r="AO20" s="14"/>
      <c r="AP20" s="15"/>
      <c r="AQ20" s="14"/>
      <c r="AR20" s="14"/>
      <c r="AS20" s="15"/>
      <c r="AT20" s="14"/>
      <c r="AU20" s="14"/>
      <c r="AV20" s="19"/>
      <c r="AW20" s="20">
        <f t="shared" si="2"/>
        <v>0</v>
      </c>
      <c r="AX20" s="21">
        <f t="shared" si="3"/>
        <v>0</v>
      </c>
      <c r="AY20" s="14"/>
      <c r="AZ20" s="14"/>
      <c r="BA20" s="15"/>
      <c r="BB20" s="14"/>
      <c r="BC20" s="14"/>
      <c r="BD20" s="15"/>
      <c r="BE20" s="16"/>
      <c r="BF20" s="14"/>
      <c r="BG20" s="15"/>
      <c r="BH20" s="16"/>
      <c r="BI20" s="14"/>
      <c r="BJ20" s="15"/>
      <c r="BK20" s="16"/>
      <c r="BL20" s="14"/>
      <c r="BM20" s="15"/>
      <c r="BN20" s="16"/>
      <c r="BO20" s="14"/>
      <c r="BP20" s="15"/>
      <c r="BQ20" s="16"/>
      <c r="BR20" s="14"/>
      <c r="BS20" s="15"/>
      <c r="BT20" s="17">
        <f t="shared" si="4"/>
        <v>0</v>
      </c>
      <c r="BU20" s="18">
        <f t="shared" si="5"/>
        <v>0</v>
      </c>
      <c r="BV20" s="14"/>
      <c r="BW20" s="14"/>
      <c r="BX20" s="19"/>
      <c r="BY20" s="16"/>
      <c r="BZ20" s="14"/>
      <c r="CA20" s="19"/>
      <c r="CB20" s="22"/>
      <c r="CC20" s="14"/>
      <c r="CD20" s="19"/>
      <c r="CE20" s="22"/>
      <c r="CF20" s="14"/>
      <c r="CG20" s="19"/>
      <c r="CH20" s="22"/>
      <c r="CI20" s="14"/>
      <c r="CJ20" s="19"/>
      <c r="CK20" s="22"/>
      <c r="CL20" s="14"/>
      <c r="CM20" s="19"/>
      <c r="CN20" s="22"/>
      <c r="CO20" s="14"/>
      <c r="CP20" s="19"/>
      <c r="CQ20" s="17">
        <f t="shared" si="6"/>
        <v>0</v>
      </c>
      <c r="CR20" s="18">
        <f t="shared" si="7"/>
        <v>0</v>
      </c>
      <c r="CS20" s="22"/>
      <c r="CT20" s="14"/>
      <c r="CU20" s="19"/>
      <c r="CV20" s="22"/>
      <c r="CW20" s="14"/>
      <c r="CX20" s="19"/>
      <c r="CY20" s="17">
        <f t="shared" si="8"/>
        <v>0</v>
      </c>
      <c r="CZ20" s="18">
        <f t="shared" si="9"/>
        <v>0</v>
      </c>
      <c r="DA20" s="49">
        <f t="shared" si="10"/>
        <v>1</v>
      </c>
      <c r="DB20" s="52">
        <f t="shared" si="11"/>
        <v>9</v>
      </c>
    </row>
    <row r="21" spans="1:106" ht="17.25" thickTop="1" thickBot="1" x14ac:dyDescent="0.3">
      <c r="A21" s="10">
        <v>19</v>
      </c>
      <c r="B21" s="27">
        <v>4084</v>
      </c>
      <c r="C21" s="27" t="s">
        <v>34</v>
      </c>
      <c r="D21" s="28" t="s">
        <v>35</v>
      </c>
      <c r="E21" s="14">
        <v>0</v>
      </c>
      <c r="F21" s="14">
        <v>0</v>
      </c>
      <c r="G21" s="15"/>
      <c r="H21" s="14">
        <v>0</v>
      </c>
      <c r="I21" s="14">
        <v>0</v>
      </c>
      <c r="J21" s="15"/>
      <c r="K21" s="14">
        <v>0</v>
      </c>
      <c r="L21" s="14">
        <v>0</v>
      </c>
      <c r="M21" s="15"/>
      <c r="N21" s="14">
        <v>12</v>
      </c>
      <c r="O21" s="14">
        <v>3</v>
      </c>
      <c r="P21" s="15">
        <v>1</v>
      </c>
      <c r="Q21" s="14">
        <v>0</v>
      </c>
      <c r="R21" s="14">
        <v>0</v>
      </c>
      <c r="S21" s="15"/>
      <c r="T21" s="14">
        <v>0</v>
      </c>
      <c r="U21" s="14">
        <v>0</v>
      </c>
      <c r="V21" s="15"/>
      <c r="W21" s="14">
        <v>8</v>
      </c>
      <c r="X21" s="14">
        <v>4</v>
      </c>
      <c r="Y21" s="15">
        <v>1</v>
      </c>
      <c r="Z21" s="17">
        <f t="shared" si="0"/>
        <v>20</v>
      </c>
      <c r="AA21" s="18">
        <f t="shared" si="1"/>
        <v>7</v>
      </c>
      <c r="AB21" s="16">
        <v>0</v>
      </c>
      <c r="AC21" s="14">
        <v>0</v>
      </c>
      <c r="AD21" s="15"/>
      <c r="AE21" s="16">
        <v>0</v>
      </c>
      <c r="AF21" s="14">
        <v>0</v>
      </c>
      <c r="AG21" s="15"/>
      <c r="AH21" s="14"/>
      <c r="AI21" s="14"/>
      <c r="AJ21" s="15"/>
      <c r="AK21" s="14"/>
      <c r="AL21" s="14"/>
      <c r="AM21" s="15"/>
      <c r="AN21" s="14"/>
      <c r="AO21" s="14"/>
      <c r="AP21" s="15"/>
      <c r="AQ21" s="14"/>
      <c r="AR21" s="14"/>
      <c r="AS21" s="15"/>
      <c r="AT21" s="14"/>
      <c r="AU21" s="14"/>
      <c r="AV21" s="19"/>
      <c r="AW21" s="20">
        <f t="shared" si="2"/>
        <v>0</v>
      </c>
      <c r="AX21" s="21">
        <f t="shared" si="3"/>
        <v>0</v>
      </c>
      <c r="AY21" s="14"/>
      <c r="AZ21" s="14"/>
      <c r="BA21" s="15"/>
      <c r="BB21" s="14"/>
      <c r="BC21" s="14"/>
      <c r="BD21" s="15"/>
      <c r="BE21" s="16"/>
      <c r="BF21" s="14"/>
      <c r="BG21" s="15"/>
      <c r="BH21" s="16"/>
      <c r="BI21" s="14"/>
      <c r="BJ21" s="15"/>
      <c r="BK21" s="16"/>
      <c r="BL21" s="14"/>
      <c r="BM21" s="15"/>
      <c r="BN21" s="16"/>
      <c r="BO21" s="14"/>
      <c r="BP21" s="15"/>
      <c r="BQ21" s="16"/>
      <c r="BR21" s="14"/>
      <c r="BS21" s="15"/>
      <c r="BT21" s="17">
        <f t="shared" si="4"/>
        <v>0</v>
      </c>
      <c r="BU21" s="18">
        <f t="shared" si="5"/>
        <v>0</v>
      </c>
      <c r="BV21" s="16"/>
      <c r="BW21" s="14"/>
      <c r="BX21" s="19"/>
      <c r="BY21" s="16"/>
      <c r="BZ21" s="14"/>
      <c r="CA21" s="19"/>
      <c r="CB21" s="16"/>
      <c r="CC21" s="14"/>
      <c r="CD21" s="19"/>
      <c r="CE21" s="22"/>
      <c r="CF21" s="14"/>
      <c r="CG21" s="19"/>
      <c r="CH21" s="22"/>
      <c r="CI21" s="14"/>
      <c r="CJ21" s="19"/>
      <c r="CK21" s="22"/>
      <c r="CL21" s="14"/>
      <c r="CM21" s="19"/>
      <c r="CN21" s="22"/>
      <c r="CO21" s="14"/>
      <c r="CP21" s="19"/>
      <c r="CQ21" s="17">
        <f t="shared" si="6"/>
        <v>0</v>
      </c>
      <c r="CR21" s="18">
        <f t="shared" si="7"/>
        <v>0</v>
      </c>
      <c r="CS21" s="22"/>
      <c r="CT21" s="14"/>
      <c r="CU21" s="19"/>
      <c r="CV21" s="22"/>
      <c r="CW21" s="14"/>
      <c r="CX21" s="19"/>
      <c r="CY21" s="17">
        <f t="shared" si="8"/>
        <v>0</v>
      </c>
      <c r="CZ21" s="18">
        <f t="shared" si="9"/>
        <v>0</v>
      </c>
      <c r="DA21" s="49">
        <f t="shared" si="10"/>
        <v>20</v>
      </c>
      <c r="DB21" s="52">
        <f t="shared" si="11"/>
        <v>7</v>
      </c>
    </row>
    <row r="22" spans="1:106" ht="17.25" thickTop="1" thickBot="1" x14ac:dyDescent="0.3">
      <c r="A22" s="10">
        <v>20</v>
      </c>
      <c r="B22" s="27">
        <v>19657</v>
      </c>
      <c r="C22" s="27" t="s">
        <v>34</v>
      </c>
      <c r="D22" s="28" t="s">
        <v>36</v>
      </c>
      <c r="E22" s="14">
        <v>5</v>
      </c>
      <c r="F22" s="14">
        <v>5</v>
      </c>
      <c r="G22" s="15"/>
      <c r="H22" s="14">
        <v>2</v>
      </c>
      <c r="I22" s="14">
        <v>5</v>
      </c>
      <c r="J22" s="15"/>
      <c r="K22" s="14">
        <v>2</v>
      </c>
      <c r="L22" s="14">
        <v>4</v>
      </c>
      <c r="M22" s="15"/>
      <c r="N22" s="16">
        <v>2</v>
      </c>
      <c r="O22" s="14">
        <v>4</v>
      </c>
      <c r="P22" s="15"/>
      <c r="Q22" s="14">
        <v>0</v>
      </c>
      <c r="R22" s="14">
        <v>0</v>
      </c>
      <c r="S22" s="15"/>
      <c r="T22" s="16">
        <v>4</v>
      </c>
      <c r="U22" s="14">
        <v>4</v>
      </c>
      <c r="V22" s="15"/>
      <c r="W22" s="16">
        <v>0</v>
      </c>
      <c r="X22" s="14">
        <v>4</v>
      </c>
      <c r="Y22" s="15"/>
      <c r="Z22" s="17">
        <f t="shared" si="0"/>
        <v>15</v>
      </c>
      <c r="AA22" s="18">
        <f t="shared" si="1"/>
        <v>26</v>
      </c>
      <c r="AB22" s="16">
        <v>0</v>
      </c>
      <c r="AC22" s="14">
        <v>4</v>
      </c>
      <c r="AD22" s="15"/>
      <c r="AE22" s="16"/>
      <c r="AF22" s="14">
        <v>3</v>
      </c>
      <c r="AG22" s="15"/>
      <c r="AH22" s="16"/>
      <c r="AI22" s="14"/>
      <c r="AJ22" s="15"/>
      <c r="AK22" s="16"/>
      <c r="AL22" s="14"/>
      <c r="AM22" s="15"/>
      <c r="AN22" s="16"/>
      <c r="AO22" s="14"/>
      <c r="AP22" s="15"/>
      <c r="AQ22" s="16"/>
      <c r="AR22" s="14"/>
      <c r="AS22" s="15"/>
      <c r="AT22" s="16"/>
      <c r="AU22" s="14"/>
      <c r="AV22" s="19"/>
      <c r="AW22" s="20">
        <f t="shared" si="2"/>
        <v>0</v>
      </c>
      <c r="AX22" s="21">
        <f t="shared" si="3"/>
        <v>7</v>
      </c>
      <c r="AY22" s="16"/>
      <c r="AZ22" s="14"/>
      <c r="BA22" s="15"/>
      <c r="BB22" s="16"/>
      <c r="BC22" s="14"/>
      <c r="BD22" s="15"/>
      <c r="BE22" s="16"/>
      <c r="BF22" s="14"/>
      <c r="BG22" s="15"/>
      <c r="BH22" s="16"/>
      <c r="BI22" s="14"/>
      <c r="BJ22" s="15"/>
      <c r="BK22" s="16"/>
      <c r="BL22" s="14"/>
      <c r="BM22" s="15"/>
      <c r="BN22" s="16"/>
      <c r="BO22" s="14"/>
      <c r="BP22" s="15"/>
      <c r="BQ22" s="16"/>
      <c r="BR22" s="14"/>
      <c r="BS22" s="15"/>
      <c r="BT22" s="17">
        <f t="shared" si="4"/>
        <v>0</v>
      </c>
      <c r="BU22" s="18">
        <f t="shared" si="5"/>
        <v>0</v>
      </c>
      <c r="BV22" s="16"/>
      <c r="BW22" s="14"/>
      <c r="BX22" s="19"/>
      <c r="BY22" s="16"/>
      <c r="BZ22" s="14"/>
      <c r="CA22" s="19"/>
      <c r="CB22" s="16"/>
      <c r="CC22" s="14"/>
      <c r="CD22" s="19"/>
      <c r="CE22" s="22"/>
      <c r="CF22" s="14"/>
      <c r="CG22" s="19"/>
      <c r="CH22" s="22"/>
      <c r="CI22" s="14"/>
      <c r="CJ22" s="19"/>
      <c r="CK22" s="22"/>
      <c r="CL22" s="14"/>
      <c r="CM22" s="19"/>
      <c r="CN22" s="22"/>
      <c r="CO22" s="14"/>
      <c r="CP22" s="19"/>
      <c r="CQ22" s="17">
        <f t="shared" si="6"/>
        <v>0</v>
      </c>
      <c r="CR22" s="18">
        <f t="shared" si="7"/>
        <v>0</v>
      </c>
      <c r="CS22" s="22"/>
      <c r="CT22" s="14"/>
      <c r="CU22" s="19"/>
      <c r="CV22" s="22"/>
      <c r="CW22" s="14"/>
      <c r="CX22" s="19"/>
      <c r="CY22" s="17">
        <f t="shared" si="8"/>
        <v>0</v>
      </c>
      <c r="CZ22" s="18">
        <f t="shared" si="9"/>
        <v>0</v>
      </c>
      <c r="DA22" s="49">
        <f t="shared" si="10"/>
        <v>15</v>
      </c>
      <c r="DB22" s="52">
        <f t="shared" si="11"/>
        <v>33</v>
      </c>
    </row>
    <row r="23" spans="1:106" ht="17.25" thickTop="1" thickBot="1" x14ac:dyDescent="0.3">
      <c r="A23" s="10">
        <v>21</v>
      </c>
      <c r="B23" s="27">
        <v>4039</v>
      </c>
      <c r="C23" s="27" t="s">
        <v>37</v>
      </c>
      <c r="D23" s="28" t="s">
        <v>38</v>
      </c>
      <c r="E23" s="14">
        <v>0</v>
      </c>
      <c r="F23" s="14">
        <v>4</v>
      </c>
      <c r="G23" s="15">
        <v>1</v>
      </c>
      <c r="H23" s="14">
        <v>2</v>
      </c>
      <c r="I23" s="14">
        <v>3</v>
      </c>
      <c r="J23" s="15">
        <v>1</v>
      </c>
      <c r="K23" s="14">
        <v>14</v>
      </c>
      <c r="L23" s="14">
        <v>4</v>
      </c>
      <c r="M23" s="15">
        <v>1</v>
      </c>
      <c r="N23" s="14">
        <v>0</v>
      </c>
      <c r="O23" s="14">
        <v>0</v>
      </c>
      <c r="P23" s="15"/>
      <c r="Q23" s="14">
        <v>12</v>
      </c>
      <c r="R23" s="14">
        <v>5</v>
      </c>
      <c r="S23" s="15">
        <v>1</v>
      </c>
      <c r="T23" s="14">
        <v>0</v>
      </c>
      <c r="U23" s="14">
        <v>4</v>
      </c>
      <c r="V23" s="15">
        <v>1</v>
      </c>
      <c r="W23" s="14">
        <v>0</v>
      </c>
      <c r="X23" s="14">
        <v>0</v>
      </c>
      <c r="Y23" s="15"/>
      <c r="Z23" s="17">
        <f t="shared" si="0"/>
        <v>28</v>
      </c>
      <c r="AA23" s="18">
        <f t="shared" si="1"/>
        <v>20</v>
      </c>
      <c r="AB23" s="14">
        <v>3</v>
      </c>
      <c r="AC23" s="14">
        <v>3</v>
      </c>
      <c r="AD23" s="15">
        <v>1</v>
      </c>
      <c r="AE23" s="16"/>
      <c r="AF23" s="14">
        <v>4</v>
      </c>
      <c r="AG23" s="15">
        <v>1</v>
      </c>
      <c r="AH23" s="16"/>
      <c r="AI23" s="14"/>
      <c r="AJ23" s="15"/>
      <c r="AK23" s="16"/>
      <c r="AL23" s="14"/>
      <c r="AM23" s="15"/>
      <c r="AN23" s="16"/>
      <c r="AO23" s="14"/>
      <c r="AP23" s="15"/>
      <c r="AQ23" s="16"/>
      <c r="AR23" s="14"/>
      <c r="AS23" s="15"/>
      <c r="AT23" s="16"/>
      <c r="AU23" s="14"/>
      <c r="AV23" s="19"/>
      <c r="AW23" s="20">
        <f t="shared" si="2"/>
        <v>3</v>
      </c>
      <c r="AX23" s="21">
        <f t="shared" si="3"/>
        <v>7</v>
      </c>
      <c r="AY23" s="16"/>
      <c r="AZ23" s="14"/>
      <c r="BA23" s="15"/>
      <c r="BB23" s="16"/>
      <c r="BC23" s="14"/>
      <c r="BD23" s="15"/>
      <c r="BE23" s="16"/>
      <c r="BF23" s="14"/>
      <c r="BG23" s="15"/>
      <c r="BH23" s="16"/>
      <c r="BI23" s="14"/>
      <c r="BJ23" s="15"/>
      <c r="BK23" s="16"/>
      <c r="BL23" s="14"/>
      <c r="BM23" s="15"/>
      <c r="BN23" s="16"/>
      <c r="BO23" s="14"/>
      <c r="BP23" s="15"/>
      <c r="BQ23" s="16"/>
      <c r="BR23" s="14"/>
      <c r="BS23" s="15"/>
      <c r="BT23" s="17">
        <f t="shared" si="4"/>
        <v>0</v>
      </c>
      <c r="BU23" s="18">
        <f t="shared" si="5"/>
        <v>0</v>
      </c>
      <c r="BV23" s="16"/>
      <c r="BW23" s="14"/>
      <c r="BX23" s="19"/>
      <c r="BY23" s="16"/>
      <c r="BZ23" s="14"/>
      <c r="CA23" s="19"/>
      <c r="CB23" s="22"/>
      <c r="CC23" s="14"/>
      <c r="CD23" s="19"/>
      <c r="CE23" s="22"/>
      <c r="CF23" s="14"/>
      <c r="CG23" s="19"/>
      <c r="CH23" s="22"/>
      <c r="CI23" s="14"/>
      <c r="CJ23" s="19"/>
      <c r="CK23" s="22"/>
      <c r="CL23" s="14"/>
      <c r="CM23" s="19"/>
      <c r="CN23" s="22"/>
      <c r="CO23" s="14"/>
      <c r="CP23" s="19"/>
      <c r="CQ23" s="17">
        <f t="shared" si="6"/>
        <v>0</v>
      </c>
      <c r="CR23" s="18">
        <f t="shared" si="7"/>
        <v>0</v>
      </c>
      <c r="CS23" s="22"/>
      <c r="CT23" s="14"/>
      <c r="CU23" s="19"/>
      <c r="CV23" s="22"/>
      <c r="CW23" s="14"/>
      <c r="CX23" s="19"/>
      <c r="CY23" s="17">
        <f t="shared" si="8"/>
        <v>0</v>
      </c>
      <c r="CZ23" s="18">
        <f t="shared" si="9"/>
        <v>0</v>
      </c>
      <c r="DA23" s="49">
        <f t="shared" si="10"/>
        <v>31</v>
      </c>
      <c r="DB23" s="52">
        <f t="shared" si="11"/>
        <v>27</v>
      </c>
    </row>
    <row r="24" spans="1:106" ht="17.25" thickTop="1" thickBot="1" x14ac:dyDescent="0.3">
      <c r="A24" s="10">
        <v>22</v>
      </c>
      <c r="B24" s="29">
        <v>20261</v>
      </c>
      <c r="C24" s="29" t="s">
        <v>39</v>
      </c>
      <c r="D24" s="30" t="s">
        <v>40</v>
      </c>
      <c r="E24" s="14">
        <v>0</v>
      </c>
      <c r="F24" s="14">
        <v>0</v>
      </c>
      <c r="G24" s="15"/>
      <c r="H24" s="14">
        <v>0</v>
      </c>
      <c r="I24" s="14">
        <v>0</v>
      </c>
      <c r="J24" s="15"/>
      <c r="K24" s="14">
        <v>3</v>
      </c>
      <c r="L24" s="14">
        <v>4</v>
      </c>
      <c r="M24" s="15"/>
      <c r="N24" s="14">
        <v>1</v>
      </c>
      <c r="O24" s="14">
        <v>4</v>
      </c>
      <c r="P24" s="15"/>
      <c r="Q24" s="14">
        <v>4</v>
      </c>
      <c r="R24" s="14">
        <v>4</v>
      </c>
      <c r="S24" s="15"/>
      <c r="T24" s="16">
        <v>6</v>
      </c>
      <c r="U24" s="14">
        <v>4</v>
      </c>
      <c r="V24" s="15"/>
      <c r="W24" s="14">
        <v>0</v>
      </c>
      <c r="X24" s="14">
        <v>0</v>
      </c>
      <c r="Y24" s="15"/>
      <c r="Z24" s="17">
        <f t="shared" si="0"/>
        <v>14</v>
      </c>
      <c r="AA24" s="18">
        <f t="shared" si="1"/>
        <v>16</v>
      </c>
      <c r="AB24" s="16">
        <v>0</v>
      </c>
      <c r="AC24" s="14">
        <v>0</v>
      </c>
      <c r="AD24" s="15"/>
      <c r="AE24" s="16">
        <v>0</v>
      </c>
      <c r="AF24" s="14">
        <v>0</v>
      </c>
      <c r="AG24" s="15"/>
      <c r="AH24" s="14"/>
      <c r="AI24" s="14"/>
      <c r="AJ24" s="15"/>
      <c r="AK24" s="14"/>
      <c r="AL24" s="14"/>
      <c r="AM24" s="15"/>
      <c r="AN24" s="14"/>
      <c r="AO24" s="14"/>
      <c r="AP24" s="15"/>
      <c r="AQ24" s="14"/>
      <c r="AR24" s="14"/>
      <c r="AS24" s="15"/>
      <c r="AT24" s="16"/>
      <c r="AU24" s="14"/>
      <c r="AV24" s="19"/>
      <c r="AW24" s="20">
        <f t="shared" si="2"/>
        <v>0</v>
      </c>
      <c r="AX24" s="21">
        <f t="shared" si="3"/>
        <v>0</v>
      </c>
      <c r="AY24" s="14"/>
      <c r="AZ24" s="14"/>
      <c r="BA24" s="15"/>
      <c r="BB24" s="14"/>
      <c r="BC24" s="14"/>
      <c r="BD24" s="15"/>
      <c r="BE24" s="16"/>
      <c r="BF24" s="14"/>
      <c r="BG24" s="15"/>
      <c r="BH24" s="16"/>
      <c r="BI24" s="14"/>
      <c r="BJ24" s="15"/>
      <c r="BK24" s="16"/>
      <c r="BL24" s="14"/>
      <c r="BM24" s="15"/>
      <c r="BN24" s="16"/>
      <c r="BO24" s="14"/>
      <c r="BP24" s="15"/>
      <c r="BQ24" s="16"/>
      <c r="BR24" s="14"/>
      <c r="BS24" s="15"/>
      <c r="BT24" s="17">
        <f t="shared" si="4"/>
        <v>0</v>
      </c>
      <c r="BU24" s="18">
        <f t="shared" si="5"/>
        <v>0</v>
      </c>
      <c r="BV24" s="16"/>
      <c r="BW24" s="14"/>
      <c r="BX24" s="19"/>
      <c r="BY24" s="16"/>
      <c r="BZ24" s="14"/>
      <c r="CA24" s="19"/>
      <c r="CB24" s="22"/>
      <c r="CC24" s="14"/>
      <c r="CD24" s="19"/>
      <c r="CE24" s="22"/>
      <c r="CF24" s="14"/>
      <c r="CG24" s="19"/>
      <c r="CH24" s="22"/>
      <c r="CI24" s="14"/>
      <c r="CJ24" s="19"/>
      <c r="CK24" s="22"/>
      <c r="CL24" s="14"/>
      <c r="CM24" s="19"/>
      <c r="CN24" s="22"/>
      <c r="CO24" s="14"/>
      <c r="CP24" s="19"/>
      <c r="CQ24" s="17">
        <f t="shared" si="6"/>
        <v>0</v>
      </c>
      <c r="CR24" s="18">
        <f t="shared" si="7"/>
        <v>0</v>
      </c>
      <c r="CS24" s="22"/>
      <c r="CT24" s="14"/>
      <c r="CU24" s="19"/>
      <c r="CV24" s="22"/>
      <c r="CW24" s="14"/>
      <c r="CX24" s="19"/>
      <c r="CY24" s="17">
        <f t="shared" si="8"/>
        <v>0</v>
      </c>
      <c r="CZ24" s="18">
        <f t="shared" si="9"/>
        <v>0</v>
      </c>
      <c r="DA24" s="49">
        <f t="shared" si="10"/>
        <v>14</v>
      </c>
      <c r="DB24" s="52">
        <f t="shared" si="11"/>
        <v>16</v>
      </c>
    </row>
    <row r="25" spans="1:106" ht="17.25" thickTop="1" thickBot="1" x14ac:dyDescent="0.3">
      <c r="A25" s="10">
        <v>23</v>
      </c>
      <c r="B25" s="27">
        <v>20315</v>
      </c>
      <c r="C25" s="27" t="s">
        <v>37</v>
      </c>
      <c r="D25" s="28" t="s">
        <v>41</v>
      </c>
      <c r="E25" s="14">
        <v>0</v>
      </c>
      <c r="F25" s="14">
        <v>0</v>
      </c>
      <c r="G25" s="15"/>
      <c r="H25" s="14">
        <v>0</v>
      </c>
      <c r="I25" s="14">
        <v>0</v>
      </c>
      <c r="J25" s="15"/>
      <c r="K25" s="14">
        <v>0</v>
      </c>
      <c r="L25" s="14">
        <v>0</v>
      </c>
      <c r="M25" s="15"/>
      <c r="N25" s="14">
        <v>0</v>
      </c>
      <c r="O25" s="14">
        <v>4</v>
      </c>
      <c r="P25" s="15"/>
      <c r="Q25" s="16">
        <v>0</v>
      </c>
      <c r="R25" s="14">
        <v>4</v>
      </c>
      <c r="S25" s="15"/>
      <c r="T25" s="16">
        <v>0</v>
      </c>
      <c r="U25" s="14">
        <v>4</v>
      </c>
      <c r="V25" s="15"/>
      <c r="W25" s="14">
        <v>0</v>
      </c>
      <c r="X25" s="14">
        <v>4</v>
      </c>
      <c r="Y25" s="15"/>
      <c r="Z25" s="17">
        <f t="shared" si="0"/>
        <v>0</v>
      </c>
      <c r="AA25" s="18">
        <f t="shared" si="1"/>
        <v>16</v>
      </c>
      <c r="AB25" s="16">
        <v>0</v>
      </c>
      <c r="AC25" s="14">
        <v>0</v>
      </c>
      <c r="AD25" s="15"/>
      <c r="AE25" s="16"/>
      <c r="AF25" s="14">
        <v>4</v>
      </c>
      <c r="AG25" s="15"/>
      <c r="AH25" s="16"/>
      <c r="AI25" s="14"/>
      <c r="AJ25" s="15"/>
      <c r="AK25" s="16"/>
      <c r="AL25" s="14"/>
      <c r="AM25" s="15"/>
      <c r="AN25" s="16"/>
      <c r="AO25" s="14"/>
      <c r="AP25" s="15"/>
      <c r="AQ25" s="16"/>
      <c r="AR25" s="14"/>
      <c r="AS25" s="15"/>
      <c r="AT25" s="16"/>
      <c r="AU25" s="14"/>
      <c r="AV25" s="19"/>
      <c r="AW25" s="20">
        <f t="shared" si="2"/>
        <v>0</v>
      </c>
      <c r="AX25" s="21">
        <f t="shared" si="3"/>
        <v>4</v>
      </c>
      <c r="AY25" s="14"/>
      <c r="AZ25" s="14"/>
      <c r="BA25" s="15"/>
      <c r="BB25" s="16"/>
      <c r="BC25" s="14"/>
      <c r="BD25" s="15"/>
      <c r="BE25" s="16"/>
      <c r="BF25" s="14"/>
      <c r="BG25" s="15"/>
      <c r="BH25" s="16"/>
      <c r="BI25" s="14"/>
      <c r="BJ25" s="15"/>
      <c r="BK25" s="16"/>
      <c r="BL25" s="14"/>
      <c r="BM25" s="15"/>
      <c r="BN25" s="16"/>
      <c r="BO25" s="14"/>
      <c r="BP25" s="15"/>
      <c r="BQ25" s="16"/>
      <c r="BR25" s="14"/>
      <c r="BS25" s="15"/>
      <c r="BT25" s="17">
        <f t="shared" si="4"/>
        <v>0</v>
      </c>
      <c r="BU25" s="18">
        <f t="shared" si="5"/>
        <v>0</v>
      </c>
      <c r="BV25" s="14"/>
      <c r="BW25" s="14"/>
      <c r="BX25" s="19"/>
      <c r="BY25" s="16"/>
      <c r="BZ25" s="14"/>
      <c r="CA25" s="19"/>
      <c r="CB25" s="22"/>
      <c r="CC25" s="14"/>
      <c r="CD25" s="19"/>
      <c r="CE25" s="22"/>
      <c r="CF25" s="14"/>
      <c r="CG25" s="19"/>
      <c r="CH25" s="22"/>
      <c r="CI25" s="14"/>
      <c r="CJ25" s="19"/>
      <c r="CK25" s="22"/>
      <c r="CL25" s="14"/>
      <c r="CM25" s="19"/>
      <c r="CN25" s="22"/>
      <c r="CO25" s="14"/>
      <c r="CP25" s="19"/>
      <c r="CQ25" s="17">
        <f t="shared" si="6"/>
        <v>0</v>
      </c>
      <c r="CR25" s="18">
        <f t="shared" si="7"/>
        <v>0</v>
      </c>
      <c r="CS25" s="22"/>
      <c r="CT25" s="14"/>
      <c r="CU25" s="19"/>
      <c r="CV25" s="22"/>
      <c r="CW25" s="14"/>
      <c r="CX25" s="19"/>
      <c r="CY25" s="17">
        <f t="shared" si="8"/>
        <v>0</v>
      </c>
      <c r="CZ25" s="18">
        <f t="shared" si="9"/>
        <v>0</v>
      </c>
      <c r="DA25" s="49">
        <f t="shared" si="10"/>
        <v>0</v>
      </c>
      <c r="DB25" s="52">
        <f t="shared" si="11"/>
        <v>20</v>
      </c>
    </row>
    <row r="26" spans="1:106" ht="17.25" thickTop="1" thickBot="1" x14ac:dyDescent="0.3">
      <c r="A26" s="10">
        <v>24</v>
      </c>
      <c r="B26" s="27">
        <v>10750</v>
      </c>
      <c r="C26" s="27" t="s">
        <v>37</v>
      </c>
      <c r="D26" s="28" t="s">
        <v>42</v>
      </c>
      <c r="E26" s="14">
        <v>0</v>
      </c>
      <c r="F26" s="14">
        <v>0</v>
      </c>
      <c r="G26" s="15"/>
      <c r="H26" s="14">
        <v>0</v>
      </c>
      <c r="I26" s="14">
        <v>0</v>
      </c>
      <c r="J26" s="15"/>
      <c r="K26" s="14">
        <v>0</v>
      </c>
      <c r="L26" s="14">
        <v>0</v>
      </c>
      <c r="M26" s="15"/>
      <c r="N26" s="14">
        <v>0</v>
      </c>
      <c r="O26" s="14">
        <v>0</v>
      </c>
      <c r="P26" s="15"/>
      <c r="Q26" s="14">
        <v>1</v>
      </c>
      <c r="R26" s="14">
        <v>3</v>
      </c>
      <c r="S26" s="15"/>
      <c r="T26" s="16">
        <v>2</v>
      </c>
      <c r="U26" s="14">
        <v>4</v>
      </c>
      <c r="V26" s="15"/>
      <c r="W26" s="14">
        <v>2</v>
      </c>
      <c r="X26" s="14">
        <v>3</v>
      </c>
      <c r="Y26" s="15">
        <v>1</v>
      </c>
      <c r="Z26" s="17">
        <f t="shared" si="0"/>
        <v>5</v>
      </c>
      <c r="AA26" s="18">
        <f t="shared" si="1"/>
        <v>10</v>
      </c>
      <c r="AB26" s="14">
        <v>13</v>
      </c>
      <c r="AC26" s="14">
        <v>3</v>
      </c>
      <c r="AD26" s="15"/>
      <c r="AE26" s="16">
        <v>0</v>
      </c>
      <c r="AF26" s="14">
        <v>0</v>
      </c>
      <c r="AG26" s="15"/>
      <c r="AH26" s="14"/>
      <c r="AI26" s="14"/>
      <c r="AJ26" s="15"/>
      <c r="AK26" s="14"/>
      <c r="AL26" s="14"/>
      <c r="AM26" s="15"/>
      <c r="AN26" s="14"/>
      <c r="AO26" s="14"/>
      <c r="AP26" s="15"/>
      <c r="AQ26" s="16"/>
      <c r="AR26" s="14"/>
      <c r="AS26" s="15"/>
      <c r="AT26" s="16"/>
      <c r="AU26" s="14"/>
      <c r="AV26" s="19"/>
      <c r="AW26" s="20">
        <f t="shared" si="2"/>
        <v>13</v>
      </c>
      <c r="AX26" s="21">
        <f t="shared" si="3"/>
        <v>3</v>
      </c>
      <c r="AY26" s="14"/>
      <c r="AZ26" s="14"/>
      <c r="BA26" s="15"/>
      <c r="BB26" s="14"/>
      <c r="BC26" s="14"/>
      <c r="BD26" s="15"/>
      <c r="BE26" s="16"/>
      <c r="BF26" s="14"/>
      <c r="BG26" s="15"/>
      <c r="BH26" s="16"/>
      <c r="BI26" s="14"/>
      <c r="BJ26" s="15"/>
      <c r="BK26" s="16"/>
      <c r="BL26" s="14"/>
      <c r="BM26" s="15"/>
      <c r="BN26" s="16"/>
      <c r="BO26" s="14"/>
      <c r="BP26" s="15"/>
      <c r="BQ26" s="16"/>
      <c r="BR26" s="14"/>
      <c r="BS26" s="15"/>
      <c r="BT26" s="17">
        <f t="shared" si="4"/>
        <v>0</v>
      </c>
      <c r="BU26" s="18">
        <f t="shared" si="5"/>
        <v>0</v>
      </c>
      <c r="BV26" s="16"/>
      <c r="BW26" s="14"/>
      <c r="BX26" s="19"/>
      <c r="BY26" s="16"/>
      <c r="BZ26" s="14"/>
      <c r="CA26" s="19"/>
      <c r="CB26" s="16"/>
      <c r="CC26" s="14"/>
      <c r="CD26" s="19"/>
      <c r="CE26" s="22"/>
      <c r="CF26" s="14"/>
      <c r="CG26" s="19"/>
      <c r="CH26" s="22"/>
      <c r="CI26" s="14"/>
      <c r="CJ26" s="19"/>
      <c r="CK26" s="22"/>
      <c r="CL26" s="14"/>
      <c r="CM26" s="19"/>
      <c r="CN26" s="22"/>
      <c r="CO26" s="14"/>
      <c r="CP26" s="19"/>
      <c r="CQ26" s="17">
        <f t="shared" si="6"/>
        <v>0</v>
      </c>
      <c r="CR26" s="18">
        <f t="shared" si="7"/>
        <v>0</v>
      </c>
      <c r="CS26" s="22"/>
      <c r="CT26" s="14"/>
      <c r="CU26" s="19"/>
      <c r="CV26" s="22"/>
      <c r="CW26" s="14"/>
      <c r="CX26" s="19"/>
      <c r="CY26" s="17">
        <f t="shared" si="8"/>
        <v>0</v>
      </c>
      <c r="CZ26" s="18">
        <f t="shared" si="9"/>
        <v>0</v>
      </c>
      <c r="DA26" s="49">
        <f t="shared" si="10"/>
        <v>18</v>
      </c>
      <c r="DB26" s="52">
        <f t="shared" si="11"/>
        <v>13</v>
      </c>
    </row>
    <row r="27" spans="1:106" ht="17.25" thickTop="1" thickBot="1" x14ac:dyDescent="0.3">
      <c r="A27" s="10">
        <v>25</v>
      </c>
      <c r="B27" s="31">
        <v>20842</v>
      </c>
      <c r="C27" s="31" t="s">
        <v>37</v>
      </c>
      <c r="D27" s="32" t="s">
        <v>43</v>
      </c>
      <c r="E27" s="14">
        <v>8</v>
      </c>
      <c r="F27" s="14">
        <v>3</v>
      </c>
      <c r="G27" s="15"/>
      <c r="H27" s="14">
        <v>3</v>
      </c>
      <c r="I27" s="14">
        <v>3</v>
      </c>
      <c r="J27" s="15"/>
      <c r="K27" s="14">
        <v>0</v>
      </c>
      <c r="L27" s="14">
        <v>0</v>
      </c>
      <c r="M27" s="15"/>
      <c r="N27" s="14">
        <v>13</v>
      </c>
      <c r="O27" s="14">
        <v>4</v>
      </c>
      <c r="P27" s="15"/>
      <c r="Q27" s="14">
        <v>0</v>
      </c>
      <c r="R27" s="14">
        <v>5</v>
      </c>
      <c r="S27" s="15">
        <v>1</v>
      </c>
      <c r="T27" s="14">
        <v>0</v>
      </c>
      <c r="U27" s="14">
        <v>0</v>
      </c>
      <c r="V27" s="15"/>
      <c r="W27" s="14">
        <v>0</v>
      </c>
      <c r="X27" s="14">
        <v>0</v>
      </c>
      <c r="Y27" s="15"/>
      <c r="Z27" s="17">
        <f t="shared" si="0"/>
        <v>24</v>
      </c>
      <c r="AA27" s="18">
        <f t="shared" si="1"/>
        <v>15</v>
      </c>
      <c r="AB27" s="16">
        <v>0</v>
      </c>
      <c r="AC27" s="14">
        <v>0</v>
      </c>
      <c r="AD27" s="15"/>
      <c r="AE27" s="14"/>
      <c r="AF27" s="14">
        <v>1</v>
      </c>
      <c r="AG27" s="15"/>
      <c r="AH27" s="14"/>
      <c r="AI27" s="14"/>
      <c r="AJ27" s="15"/>
      <c r="AK27" s="14"/>
      <c r="AL27" s="14"/>
      <c r="AM27" s="15"/>
      <c r="AN27" s="14"/>
      <c r="AO27" s="14"/>
      <c r="AP27" s="15"/>
      <c r="AQ27" s="14"/>
      <c r="AR27" s="14"/>
      <c r="AS27" s="15"/>
      <c r="AT27" s="14"/>
      <c r="AU27" s="14"/>
      <c r="AV27" s="19"/>
      <c r="AW27" s="20">
        <f t="shared" si="2"/>
        <v>0</v>
      </c>
      <c r="AX27" s="21">
        <f t="shared" si="3"/>
        <v>1</v>
      </c>
      <c r="AY27" s="14"/>
      <c r="AZ27" s="14"/>
      <c r="BA27" s="15"/>
      <c r="BB27" s="14"/>
      <c r="BC27" s="14"/>
      <c r="BD27" s="15"/>
      <c r="BE27" s="16"/>
      <c r="BF27" s="14"/>
      <c r="BG27" s="15"/>
      <c r="BH27" s="16"/>
      <c r="BI27" s="14"/>
      <c r="BJ27" s="15"/>
      <c r="BK27" s="16"/>
      <c r="BL27" s="14"/>
      <c r="BM27" s="15"/>
      <c r="BN27" s="16"/>
      <c r="BO27" s="14"/>
      <c r="BP27" s="15"/>
      <c r="BQ27" s="16"/>
      <c r="BR27" s="14"/>
      <c r="BS27" s="15"/>
      <c r="BT27" s="17">
        <f t="shared" si="4"/>
        <v>0</v>
      </c>
      <c r="BU27" s="18">
        <f t="shared" si="5"/>
        <v>0</v>
      </c>
      <c r="BV27" s="14"/>
      <c r="BW27" s="14"/>
      <c r="BX27" s="19"/>
      <c r="BY27" s="16"/>
      <c r="BZ27" s="14"/>
      <c r="CA27" s="19"/>
      <c r="CB27" s="16"/>
      <c r="CC27" s="14"/>
      <c r="CD27" s="19"/>
      <c r="CE27" s="22"/>
      <c r="CF27" s="14"/>
      <c r="CG27" s="19"/>
      <c r="CH27" s="22"/>
      <c r="CI27" s="14"/>
      <c r="CJ27" s="19"/>
      <c r="CK27" s="22"/>
      <c r="CL27" s="14"/>
      <c r="CM27" s="19"/>
      <c r="CN27" s="22"/>
      <c r="CO27" s="14"/>
      <c r="CP27" s="19"/>
      <c r="CQ27" s="17">
        <f t="shared" si="6"/>
        <v>0</v>
      </c>
      <c r="CR27" s="18">
        <f t="shared" si="7"/>
        <v>0</v>
      </c>
      <c r="CS27" s="22"/>
      <c r="CT27" s="14"/>
      <c r="CU27" s="19"/>
      <c r="CV27" s="22"/>
      <c r="CW27" s="14"/>
      <c r="CX27" s="19"/>
      <c r="CY27" s="17">
        <f t="shared" si="8"/>
        <v>0</v>
      </c>
      <c r="CZ27" s="18">
        <f t="shared" si="9"/>
        <v>0</v>
      </c>
      <c r="DA27" s="49">
        <f t="shared" si="10"/>
        <v>24</v>
      </c>
      <c r="DB27" s="52">
        <f t="shared" si="11"/>
        <v>16</v>
      </c>
    </row>
    <row r="28" spans="1:106" ht="17.25" thickTop="1" thickBot="1" x14ac:dyDescent="0.3">
      <c r="A28" s="10">
        <v>26</v>
      </c>
      <c r="B28" s="27">
        <v>12987</v>
      </c>
      <c r="C28" s="27" t="s">
        <v>37</v>
      </c>
      <c r="D28" s="28" t="s">
        <v>44</v>
      </c>
      <c r="E28" s="14">
        <v>0</v>
      </c>
      <c r="F28" s="14">
        <v>0</v>
      </c>
      <c r="G28" s="15"/>
      <c r="H28" s="14">
        <v>0</v>
      </c>
      <c r="I28" s="14">
        <v>0</v>
      </c>
      <c r="J28" s="15"/>
      <c r="K28" s="14">
        <v>0</v>
      </c>
      <c r="L28" s="14">
        <v>0</v>
      </c>
      <c r="M28" s="15"/>
      <c r="N28" s="14">
        <v>0</v>
      </c>
      <c r="O28" s="14">
        <v>0</v>
      </c>
      <c r="P28" s="15"/>
      <c r="Q28" s="14">
        <v>0</v>
      </c>
      <c r="R28" s="14">
        <v>0</v>
      </c>
      <c r="S28" s="15"/>
      <c r="T28" s="14">
        <v>0</v>
      </c>
      <c r="U28" s="14">
        <v>0</v>
      </c>
      <c r="V28" s="15"/>
      <c r="W28" s="14">
        <v>3</v>
      </c>
      <c r="X28" s="14">
        <v>4</v>
      </c>
      <c r="Y28" s="15"/>
      <c r="Z28" s="17">
        <f t="shared" si="0"/>
        <v>3</v>
      </c>
      <c r="AA28" s="18">
        <f t="shared" si="1"/>
        <v>4</v>
      </c>
      <c r="AB28" s="14">
        <v>1</v>
      </c>
      <c r="AC28" s="14">
        <v>5</v>
      </c>
      <c r="AD28" s="15">
        <v>1</v>
      </c>
      <c r="AE28" s="16">
        <v>0</v>
      </c>
      <c r="AF28" s="14">
        <v>0</v>
      </c>
      <c r="AG28" s="15"/>
      <c r="AH28" s="14"/>
      <c r="AI28" s="14"/>
      <c r="AJ28" s="15"/>
      <c r="AK28" s="14"/>
      <c r="AL28" s="14"/>
      <c r="AM28" s="15"/>
      <c r="AN28" s="14"/>
      <c r="AO28" s="14"/>
      <c r="AP28" s="15"/>
      <c r="AQ28" s="14"/>
      <c r="AR28" s="14"/>
      <c r="AS28" s="15"/>
      <c r="AT28" s="16"/>
      <c r="AU28" s="14"/>
      <c r="AV28" s="19"/>
      <c r="AW28" s="20">
        <f t="shared" si="2"/>
        <v>1</v>
      </c>
      <c r="AX28" s="21">
        <f t="shared" si="3"/>
        <v>5</v>
      </c>
      <c r="AY28" s="14"/>
      <c r="AZ28" s="14"/>
      <c r="BA28" s="15"/>
      <c r="BB28" s="16"/>
      <c r="BC28" s="14"/>
      <c r="BD28" s="15"/>
      <c r="BE28" s="16"/>
      <c r="BF28" s="14"/>
      <c r="BG28" s="15"/>
      <c r="BH28" s="16"/>
      <c r="BI28" s="14"/>
      <c r="BJ28" s="15"/>
      <c r="BK28" s="16"/>
      <c r="BL28" s="14"/>
      <c r="BM28" s="15"/>
      <c r="BN28" s="16"/>
      <c r="BO28" s="14"/>
      <c r="BP28" s="15"/>
      <c r="BQ28" s="16"/>
      <c r="BR28" s="14"/>
      <c r="BS28" s="15"/>
      <c r="BT28" s="17">
        <f t="shared" si="4"/>
        <v>0</v>
      </c>
      <c r="BU28" s="18">
        <f t="shared" si="5"/>
        <v>0</v>
      </c>
      <c r="BV28" s="16"/>
      <c r="BW28" s="14"/>
      <c r="BX28" s="19"/>
      <c r="BY28" s="16"/>
      <c r="BZ28" s="14"/>
      <c r="CA28" s="19"/>
      <c r="CB28" s="16"/>
      <c r="CC28" s="14"/>
      <c r="CD28" s="19"/>
      <c r="CE28" s="22"/>
      <c r="CF28" s="14"/>
      <c r="CG28" s="19"/>
      <c r="CH28" s="22"/>
      <c r="CI28" s="14"/>
      <c r="CJ28" s="19"/>
      <c r="CK28" s="22"/>
      <c r="CL28" s="14"/>
      <c r="CM28" s="19"/>
      <c r="CN28" s="22"/>
      <c r="CO28" s="14"/>
      <c r="CP28" s="19"/>
      <c r="CQ28" s="17">
        <f t="shared" si="6"/>
        <v>0</v>
      </c>
      <c r="CR28" s="18">
        <f t="shared" si="7"/>
        <v>0</v>
      </c>
      <c r="CS28" s="22"/>
      <c r="CT28" s="14"/>
      <c r="CU28" s="19"/>
      <c r="CV28" s="22"/>
      <c r="CW28" s="14"/>
      <c r="CX28" s="19"/>
      <c r="CY28" s="17">
        <f t="shared" si="8"/>
        <v>0</v>
      </c>
      <c r="CZ28" s="18">
        <f t="shared" si="9"/>
        <v>0</v>
      </c>
      <c r="DA28" s="49">
        <f t="shared" si="10"/>
        <v>4</v>
      </c>
      <c r="DB28" s="52">
        <f t="shared" si="11"/>
        <v>9</v>
      </c>
    </row>
    <row r="29" spans="1:106" ht="17.25" thickTop="1" thickBot="1" x14ac:dyDescent="0.3">
      <c r="A29" s="10">
        <v>27</v>
      </c>
      <c r="B29" s="31">
        <v>10488</v>
      </c>
      <c r="C29" s="27" t="s">
        <v>45</v>
      </c>
      <c r="D29" s="32" t="s">
        <v>46</v>
      </c>
      <c r="E29" s="14">
        <v>0</v>
      </c>
      <c r="F29" s="14">
        <v>0</v>
      </c>
      <c r="G29" s="15"/>
      <c r="H29" s="14">
        <v>0</v>
      </c>
      <c r="I29" s="14">
        <v>0</v>
      </c>
      <c r="J29" s="15"/>
      <c r="K29" s="14">
        <v>0</v>
      </c>
      <c r="L29" s="14">
        <v>0</v>
      </c>
      <c r="M29" s="15"/>
      <c r="N29" s="14">
        <v>0</v>
      </c>
      <c r="O29" s="14">
        <v>0</v>
      </c>
      <c r="P29" s="15"/>
      <c r="Q29" s="14">
        <v>0</v>
      </c>
      <c r="R29" s="14">
        <v>0</v>
      </c>
      <c r="S29" s="15"/>
      <c r="T29" s="14">
        <v>0</v>
      </c>
      <c r="U29" s="14">
        <v>0</v>
      </c>
      <c r="V29" s="15"/>
      <c r="W29" s="14">
        <v>0</v>
      </c>
      <c r="X29" s="14">
        <v>0</v>
      </c>
      <c r="Y29" s="15"/>
      <c r="Z29" s="17">
        <f t="shared" si="0"/>
        <v>0</v>
      </c>
      <c r="AA29" s="18">
        <f t="shared" si="1"/>
        <v>0</v>
      </c>
      <c r="AB29" s="16">
        <v>0</v>
      </c>
      <c r="AC29" s="14">
        <v>0</v>
      </c>
      <c r="AD29" s="15"/>
      <c r="AE29" s="16">
        <v>0</v>
      </c>
      <c r="AF29" s="14">
        <v>0</v>
      </c>
      <c r="AG29" s="15"/>
      <c r="AH29" s="14"/>
      <c r="AI29" s="14"/>
      <c r="AJ29" s="15"/>
      <c r="AK29" s="14"/>
      <c r="AL29" s="14"/>
      <c r="AM29" s="15"/>
      <c r="AN29" s="14"/>
      <c r="AO29" s="14"/>
      <c r="AP29" s="15"/>
      <c r="AQ29" s="14"/>
      <c r="AR29" s="14"/>
      <c r="AS29" s="15"/>
      <c r="AT29" s="14"/>
      <c r="AU29" s="14"/>
      <c r="AV29" s="19"/>
      <c r="AW29" s="20">
        <f t="shared" si="2"/>
        <v>0</v>
      </c>
      <c r="AX29" s="21">
        <f t="shared" si="3"/>
        <v>0</v>
      </c>
      <c r="AY29" s="14"/>
      <c r="AZ29" s="14"/>
      <c r="BA29" s="15"/>
      <c r="BB29" s="14"/>
      <c r="BC29" s="14"/>
      <c r="BD29" s="15"/>
      <c r="BE29" s="16"/>
      <c r="BF29" s="14"/>
      <c r="BG29" s="15"/>
      <c r="BH29" s="16"/>
      <c r="BI29" s="14"/>
      <c r="BJ29" s="15"/>
      <c r="BK29" s="16"/>
      <c r="BL29" s="14"/>
      <c r="BM29" s="15"/>
      <c r="BN29" s="16"/>
      <c r="BO29" s="14"/>
      <c r="BP29" s="15"/>
      <c r="BQ29" s="16"/>
      <c r="BR29" s="14"/>
      <c r="BS29" s="15"/>
      <c r="BT29" s="17">
        <f t="shared" si="4"/>
        <v>0</v>
      </c>
      <c r="BU29" s="18">
        <f t="shared" si="5"/>
        <v>0</v>
      </c>
      <c r="BV29" s="16"/>
      <c r="BW29" s="14"/>
      <c r="BX29" s="19"/>
      <c r="BY29" s="16"/>
      <c r="BZ29" s="14"/>
      <c r="CA29" s="19"/>
      <c r="CB29" s="16"/>
      <c r="CC29" s="14"/>
      <c r="CD29" s="19"/>
      <c r="CE29" s="22"/>
      <c r="CF29" s="14"/>
      <c r="CG29" s="19"/>
      <c r="CH29" s="22"/>
      <c r="CI29" s="14"/>
      <c r="CJ29" s="19"/>
      <c r="CK29" s="22"/>
      <c r="CL29" s="14"/>
      <c r="CM29" s="19"/>
      <c r="CN29" s="22"/>
      <c r="CO29" s="14"/>
      <c r="CP29" s="19"/>
      <c r="CQ29" s="17">
        <f t="shared" si="6"/>
        <v>0</v>
      </c>
      <c r="CR29" s="18">
        <f t="shared" si="7"/>
        <v>0</v>
      </c>
      <c r="CS29" s="22"/>
      <c r="CT29" s="14"/>
      <c r="CU29" s="19"/>
      <c r="CV29" s="22"/>
      <c r="CW29" s="14"/>
      <c r="CX29" s="19"/>
      <c r="CY29" s="17">
        <f t="shared" si="8"/>
        <v>0</v>
      </c>
      <c r="CZ29" s="18">
        <f t="shared" si="9"/>
        <v>0</v>
      </c>
      <c r="DA29" s="49">
        <f t="shared" si="10"/>
        <v>0</v>
      </c>
      <c r="DB29" s="52">
        <f t="shared" si="11"/>
        <v>0</v>
      </c>
    </row>
    <row r="30" spans="1:106" ht="17.25" thickTop="1" thickBot="1" x14ac:dyDescent="0.3">
      <c r="A30" s="10">
        <v>28</v>
      </c>
      <c r="B30" s="31"/>
      <c r="C30" s="27" t="s">
        <v>37</v>
      </c>
      <c r="D30" s="32" t="s">
        <v>57</v>
      </c>
      <c r="E30" s="14">
        <v>0</v>
      </c>
      <c r="F30" s="14">
        <v>0</v>
      </c>
      <c r="G30" s="15"/>
      <c r="H30" s="14">
        <v>0</v>
      </c>
      <c r="I30" s="14">
        <v>0</v>
      </c>
      <c r="J30" s="15"/>
      <c r="K30" s="14">
        <v>0</v>
      </c>
      <c r="L30" s="14">
        <v>0</v>
      </c>
      <c r="M30" s="15"/>
      <c r="N30" s="14">
        <v>0</v>
      </c>
      <c r="O30" s="14">
        <v>3</v>
      </c>
      <c r="P30" s="15"/>
      <c r="Q30" s="14">
        <v>0</v>
      </c>
      <c r="R30" s="14">
        <v>5</v>
      </c>
      <c r="S30" s="15"/>
      <c r="T30" s="14">
        <v>0</v>
      </c>
      <c r="U30" s="14">
        <v>0</v>
      </c>
      <c r="V30" s="15"/>
      <c r="W30" s="14">
        <v>4</v>
      </c>
      <c r="X30" s="14">
        <v>3</v>
      </c>
      <c r="Y30" s="15"/>
      <c r="Z30" s="17">
        <f t="shared" si="0"/>
        <v>4</v>
      </c>
      <c r="AA30" s="18">
        <f t="shared" si="1"/>
        <v>11</v>
      </c>
      <c r="AB30" s="16">
        <v>0</v>
      </c>
      <c r="AC30" s="14">
        <v>0</v>
      </c>
      <c r="AD30" s="15"/>
      <c r="AE30" s="16">
        <v>0</v>
      </c>
      <c r="AF30" s="14">
        <v>0</v>
      </c>
      <c r="AG30" s="15"/>
      <c r="AH30" s="14"/>
      <c r="AI30" s="14"/>
      <c r="AJ30" s="15"/>
      <c r="AK30" s="14"/>
      <c r="AL30" s="14"/>
      <c r="AM30" s="15"/>
      <c r="AN30" s="14"/>
      <c r="AO30" s="14"/>
      <c r="AP30" s="15"/>
      <c r="AQ30" s="14"/>
      <c r="AR30" s="14"/>
      <c r="AS30" s="15"/>
      <c r="AT30" s="14"/>
      <c r="AU30" s="14"/>
      <c r="AV30" s="19"/>
      <c r="AW30" s="20">
        <f t="shared" si="2"/>
        <v>0</v>
      </c>
      <c r="AX30" s="21">
        <f t="shared" si="3"/>
        <v>0</v>
      </c>
      <c r="AY30" s="14"/>
      <c r="AZ30" s="14"/>
      <c r="BA30" s="15"/>
      <c r="BB30" s="14"/>
      <c r="BC30" s="14"/>
      <c r="BD30" s="15"/>
      <c r="BE30" s="16"/>
      <c r="BF30" s="14"/>
      <c r="BG30" s="15"/>
      <c r="BH30" s="16"/>
      <c r="BI30" s="14"/>
      <c r="BJ30" s="15"/>
      <c r="BK30" s="16"/>
      <c r="BL30" s="14"/>
      <c r="BM30" s="15"/>
      <c r="BN30" s="16"/>
      <c r="BO30" s="14"/>
      <c r="BP30" s="15"/>
      <c r="BQ30" s="16"/>
      <c r="BR30" s="14"/>
      <c r="BS30" s="15"/>
      <c r="BT30" s="17">
        <f t="shared" si="4"/>
        <v>0</v>
      </c>
      <c r="BU30" s="18">
        <f t="shared" si="5"/>
        <v>0</v>
      </c>
      <c r="BV30" s="16"/>
      <c r="BW30" s="14"/>
      <c r="BX30" s="19"/>
      <c r="BY30" s="16"/>
      <c r="BZ30" s="14"/>
      <c r="CA30" s="19"/>
      <c r="CB30" s="16"/>
      <c r="CC30" s="14"/>
      <c r="CD30" s="19"/>
      <c r="CE30" s="22"/>
      <c r="CF30" s="14"/>
      <c r="CG30" s="19"/>
      <c r="CH30" s="22"/>
      <c r="CI30" s="14"/>
      <c r="CJ30" s="19"/>
      <c r="CK30" s="22"/>
      <c r="CL30" s="14"/>
      <c r="CM30" s="19"/>
      <c r="CN30" s="22"/>
      <c r="CO30" s="14"/>
      <c r="CP30" s="19"/>
      <c r="CQ30" s="17">
        <f t="shared" si="6"/>
        <v>0</v>
      </c>
      <c r="CR30" s="18">
        <f t="shared" si="7"/>
        <v>0</v>
      </c>
      <c r="CS30" s="22"/>
      <c r="CT30" s="14"/>
      <c r="CU30" s="19"/>
      <c r="CV30" s="22"/>
      <c r="CW30" s="14"/>
      <c r="CX30" s="19"/>
      <c r="CY30" s="17">
        <f t="shared" si="8"/>
        <v>0</v>
      </c>
      <c r="CZ30" s="18">
        <f t="shared" si="9"/>
        <v>0</v>
      </c>
      <c r="DA30" s="49">
        <f t="shared" si="10"/>
        <v>4</v>
      </c>
      <c r="DB30" s="52">
        <f t="shared" si="11"/>
        <v>11</v>
      </c>
    </row>
    <row r="31" spans="1:106" ht="17.25" thickTop="1" thickBot="1" x14ac:dyDescent="0.3">
      <c r="A31" s="10">
        <v>29</v>
      </c>
      <c r="B31" s="31"/>
      <c r="C31" s="27" t="s">
        <v>15</v>
      </c>
      <c r="D31" s="32" t="s">
        <v>47</v>
      </c>
      <c r="E31" s="14">
        <v>0</v>
      </c>
      <c r="F31" s="14">
        <v>0</v>
      </c>
      <c r="G31" s="15"/>
      <c r="H31" s="14">
        <v>0</v>
      </c>
      <c r="I31" s="14">
        <v>0</v>
      </c>
      <c r="J31" s="15"/>
      <c r="K31" s="14">
        <v>0</v>
      </c>
      <c r="L31" s="14">
        <v>0</v>
      </c>
      <c r="M31" s="15"/>
      <c r="N31" s="14">
        <v>0</v>
      </c>
      <c r="O31" s="14">
        <v>0</v>
      </c>
      <c r="P31" s="15"/>
      <c r="Q31" s="14">
        <v>0</v>
      </c>
      <c r="R31" s="14">
        <v>0</v>
      </c>
      <c r="S31" s="15"/>
      <c r="T31" s="14">
        <v>0</v>
      </c>
      <c r="U31" s="14">
        <v>0</v>
      </c>
      <c r="V31" s="15"/>
      <c r="W31" s="14">
        <v>0</v>
      </c>
      <c r="X31" s="14">
        <v>0</v>
      </c>
      <c r="Y31" s="15"/>
      <c r="Z31" s="17">
        <f t="shared" si="0"/>
        <v>0</v>
      </c>
      <c r="AA31" s="18">
        <f t="shared" si="1"/>
        <v>0</v>
      </c>
      <c r="AB31" s="16">
        <v>0</v>
      </c>
      <c r="AC31" s="14">
        <v>0</v>
      </c>
      <c r="AD31" s="15"/>
      <c r="AE31" s="16">
        <v>0</v>
      </c>
      <c r="AF31" s="14">
        <v>0</v>
      </c>
      <c r="AG31" s="15"/>
      <c r="AH31" s="16"/>
      <c r="AI31" s="14"/>
      <c r="AJ31" s="15"/>
      <c r="AK31" s="16"/>
      <c r="AL31" s="14"/>
      <c r="AM31" s="15"/>
      <c r="AN31" s="16"/>
      <c r="AO31" s="14"/>
      <c r="AP31" s="15"/>
      <c r="AQ31" s="16"/>
      <c r="AR31" s="14"/>
      <c r="AS31" s="15"/>
      <c r="AT31" s="16"/>
      <c r="AU31" s="14"/>
      <c r="AV31" s="19"/>
      <c r="AW31" s="20">
        <f t="shared" si="2"/>
        <v>0</v>
      </c>
      <c r="AX31" s="21">
        <f t="shared" si="3"/>
        <v>0</v>
      </c>
      <c r="AY31" s="14"/>
      <c r="AZ31" s="14"/>
      <c r="BA31" s="15"/>
      <c r="BB31" s="16"/>
      <c r="BC31" s="14"/>
      <c r="BD31" s="15"/>
      <c r="BE31" s="16"/>
      <c r="BF31" s="14"/>
      <c r="BG31" s="15"/>
      <c r="BH31" s="16"/>
      <c r="BI31" s="14"/>
      <c r="BJ31" s="15"/>
      <c r="BK31" s="16"/>
      <c r="BL31" s="14"/>
      <c r="BM31" s="15"/>
      <c r="BN31" s="16"/>
      <c r="BO31" s="14"/>
      <c r="BP31" s="15"/>
      <c r="BQ31" s="16"/>
      <c r="BR31" s="14"/>
      <c r="BS31" s="15"/>
      <c r="BT31" s="17">
        <f t="shared" si="4"/>
        <v>0</v>
      </c>
      <c r="BU31" s="18">
        <f t="shared" si="5"/>
        <v>0</v>
      </c>
      <c r="BV31" s="16"/>
      <c r="BW31" s="14"/>
      <c r="BX31" s="19"/>
      <c r="BY31" s="16"/>
      <c r="BZ31" s="14"/>
      <c r="CA31" s="19"/>
      <c r="CB31" s="16"/>
      <c r="CC31" s="14"/>
      <c r="CD31" s="19"/>
      <c r="CE31" s="22"/>
      <c r="CF31" s="14"/>
      <c r="CG31" s="19"/>
      <c r="CH31" s="22"/>
      <c r="CI31" s="14"/>
      <c r="CJ31" s="19"/>
      <c r="CK31" s="22"/>
      <c r="CL31" s="14"/>
      <c r="CM31" s="19"/>
      <c r="CN31" s="22"/>
      <c r="CO31" s="14"/>
      <c r="CP31" s="19"/>
      <c r="CQ31" s="17">
        <f t="shared" si="6"/>
        <v>0</v>
      </c>
      <c r="CR31" s="18">
        <f t="shared" si="7"/>
        <v>0</v>
      </c>
      <c r="CS31" s="22"/>
      <c r="CT31" s="14"/>
      <c r="CU31" s="19"/>
      <c r="CV31" s="22"/>
      <c r="CW31" s="14"/>
      <c r="CX31" s="19"/>
      <c r="CY31" s="17">
        <f t="shared" si="8"/>
        <v>0</v>
      </c>
      <c r="CZ31" s="18">
        <f t="shared" si="9"/>
        <v>0</v>
      </c>
      <c r="DA31" s="49">
        <f t="shared" si="10"/>
        <v>0</v>
      </c>
      <c r="DB31" s="52">
        <f t="shared" si="11"/>
        <v>0</v>
      </c>
    </row>
    <row r="32" spans="1:106" ht="17.25" thickTop="1" thickBot="1" x14ac:dyDescent="0.3">
      <c r="A32" s="10">
        <v>30</v>
      </c>
      <c r="B32" s="31"/>
      <c r="C32" s="27" t="s">
        <v>15</v>
      </c>
      <c r="D32" s="32" t="s">
        <v>48</v>
      </c>
      <c r="E32" s="14">
        <v>0</v>
      </c>
      <c r="F32" s="14">
        <v>0</v>
      </c>
      <c r="G32" s="15"/>
      <c r="H32" s="14">
        <v>0</v>
      </c>
      <c r="I32" s="14">
        <v>0</v>
      </c>
      <c r="J32" s="15"/>
      <c r="K32" s="14">
        <v>0</v>
      </c>
      <c r="L32" s="14">
        <v>0</v>
      </c>
      <c r="M32" s="15"/>
      <c r="N32" s="14">
        <v>0</v>
      </c>
      <c r="O32" s="14">
        <v>0</v>
      </c>
      <c r="P32" s="15"/>
      <c r="Q32" s="14">
        <v>0</v>
      </c>
      <c r="R32" s="14">
        <v>0</v>
      </c>
      <c r="S32" s="15"/>
      <c r="T32" s="14">
        <v>0</v>
      </c>
      <c r="U32" s="14">
        <v>0</v>
      </c>
      <c r="V32" s="15"/>
      <c r="W32" s="16">
        <v>0</v>
      </c>
      <c r="X32" s="14">
        <v>4</v>
      </c>
      <c r="Y32" s="15"/>
      <c r="Z32" s="17">
        <f t="shared" si="0"/>
        <v>0</v>
      </c>
      <c r="AA32" s="18">
        <f t="shared" si="1"/>
        <v>4</v>
      </c>
      <c r="AB32" s="16">
        <v>0</v>
      </c>
      <c r="AC32" s="14">
        <v>0</v>
      </c>
      <c r="AD32" s="15"/>
      <c r="AE32" s="16"/>
      <c r="AF32" s="14">
        <v>4</v>
      </c>
      <c r="AG32" s="15"/>
      <c r="AH32" s="16"/>
      <c r="AI32" s="14"/>
      <c r="AJ32" s="15"/>
      <c r="AK32" s="14"/>
      <c r="AL32" s="14"/>
      <c r="AM32" s="15"/>
      <c r="AN32" s="16"/>
      <c r="AO32" s="14"/>
      <c r="AP32" s="15"/>
      <c r="AQ32" s="16"/>
      <c r="AR32" s="14"/>
      <c r="AS32" s="15"/>
      <c r="AT32" s="16"/>
      <c r="AU32" s="14"/>
      <c r="AV32" s="19"/>
      <c r="AW32" s="20">
        <f t="shared" si="2"/>
        <v>0</v>
      </c>
      <c r="AX32" s="21">
        <f t="shared" si="3"/>
        <v>4</v>
      </c>
      <c r="AY32" s="14"/>
      <c r="AZ32" s="14"/>
      <c r="BA32" s="15"/>
      <c r="BB32" s="14"/>
      <c r="BC32" s="14"/>
      <c r="BD32" s="15"/>
      <c r="BE32" s="16"/>
      <c r="BF32" s="14"/>
      <c r="BG32" s="15"/>
      <c r="BH32" s="16"/>
      <c r="BI32" s="14"/>
      <c r="BJ32" s="15"/>
      <c r="BK32" s="16"/>
      <c r="BL32" s="14"/>
      <c r="BM32" s="15"/>
      <c r="BN32" s="16"/>
      <c r="BO32" s="14"/>
      <c r="BP32" s="15"/>
      <c r="BQ32" s="16"/>
      <c r="BR32" s="14"/>
      <c r="BS32" s="15"/>
      <c r="BT32" s="17">
        <f t="shared" si="4"/>
        <v>0</v>
      </c>
      <c r="BU32" s="18">
        <f t="shared" si="5"/>
        <v>0</v>
      </c>
      <c r="BV32" s="14"/>
      <c r="BW32" s="14"/>
      <c r="BX32" s="19"/>
      <c r="BY32" s="16"/>
      <c r="BZ32" s="14"/>
      <c r="CA32" s="19"/>
      <c r="CB32" s="22"/>
      <c r="CC32" s="14"/>
      <c r="CD32" s="19"/>
      <c r="CE32" s="22"/>
      <c r="CF32" s="14"/>
      <c r="CG32" s="19"/>
      <c r="CH32" s="22"/>
      <c r="CI32" s="14"/>
      <c r="CJ32" s="19"/>
      <c r="CK32" s="22"/>
      <c r="CL32" s="14"/>
      <c r="CM32" s="19"/>
      <c r="CN32" s="22"/>
      <c r="CO32" s="14"/>
      <c r="CP32" s="19"/>
      <c r="CQ32" s="17">
        <f t="shared" si="6"/>
        <v>0</v>
      </c>
      <c r="CR32" s="18">
        <f t="shared" si="7"/>
        <v>0</v>
      </c>
      <c r="CS32" s="22"/>
      <c r="CT32" s="14"/>
      <c r="CU32" s="19"/>
      <c r="CV32" s="22"/>
      <c r="CW32" s="14"/>
      <c r="CX32" s="19"/>
      <c r="CY32" s="17">
        <f t="shared" si="8"/>
        <v>0</v>
      </c>
      <c r="CZ32" s="18">
        <f t="shared" si="9"/>
        <v>0</v>
      </c>
      <c r="DA32" s="49">
        <f t="shared" si="10"/>
        <v>0</v>
      </c>
      <c r="DB32" s="52">
        <f t="shared" si="11"/>
        <v>8</v>
      </c>
    </row>
    <row r="33" spans="1:106" ht="17.25" thickTop="1" thickBot="1" x14ac:dyDescent="0.3">
      <c r="A33" s="10">
        <v>31</v>
      </c>
      <c r="B33" s="27">
        <v>13006</v>
      </c>
      <c r="C33" s="27" t="s">
        <v>37</v>
      </c>
      <c r="D33" s="28" t="s">
        <v>58</v>
      </c>
      <c r="E33" s="14">
        <v>13</v>
      </c>
      <c r="F33" s="14">
        <v>2</v>
      </c>
      <c r="G33" s="15"/>
      <c r="H33" s="14">
        <v>6</v>
      </c>
      <c r="I33" s="14">
        <v>4</v>
      </c>
      <c r="J33" s="15"/>
      <c r="K33" s="14">
        <v>0</v>
      </c>
      <c r="L33" s="14">
        <v>0</v>
      </c>
      <c r="M33" s="15"/>
      <c r="N33" s="14">
        <v>0</v>
      </c>
      <c r="O33" s="14">
        <v>0</v>
      </c>
      <c r="P33" s="15"/>
      <c r="Q33" s="14">
        <v>5</v>
      </c>
      <c r="R33" s="14">
        <v>5</v>
      </c>
      <c r="S33" s="15"/>
      <c r="T33" s="16">
        <v>1</v>
      </c>
      <c r="U33" s="14">
        <v>4</v>
      </c>
      <c r="V33" s="15"/>
      <c r="W33" s="14">
        <v>6</v>
      </c>
      <c r="X33" s="14">
        <v>5</v>
      </c>
      <c r="Y33" s="15"/>
      <c r="Z33" s="17">
        <f t="shared" si="0"/>
        <v>31</v>
      </c>
      <c r="AA33" s="18">
        <f t="shared" si="1"/>
        <v>20</v>
      </c>
      <c r="AB33" s="14">
        <v>0</v>
      </c>
      <c r="AC33" s="14">
        <v>4</v>
      </c>
      <c r="AD33" s="15"/>
      <c r="AE33" s="16">
        <v>0</v>
      </c>
      <c r="AF33" s="14">
        <v>0</v>
      </c>
      <c r="AG33" s="15"/>
      <c r="AH33" s="14"/>
      <c r="AI33" s="14"/>
      <c r="AJ33" s="15"/>
      <c r="AK33" s="14"/>
      <c r="AL33" s="14"/>
      <c r="AM33" s="15"/>
      <c r="AN33" s="14"/>
      <c r="AO33" s="14"/>
      <c r="AP33" s="15"/>
      <c r="AQ33" s="14"/>
      <c r="AR33" s="14"/>
      <c r="AS33" s="15"/>
      <c r="AT33" s="14"/>
      <c r="AU33" s="14"/>
      <c r="AV33" s="19"/>
      <c r="AW33" s="20">
        <f t="shared" si="2"/>
        <v>0</v>
      </c>
      <c r="AX33" s="21">
        <f t="shared" si="3"/>
        <v>4</v>
      </c>
      <c r="AY33" s="14"/>
      <c r="AZ33" s="14"/>
      <c r="BA33" s="15"/>
      <c r="BB33" s="14"/>
      <c r="BC33" s="14"/>
      <c r="BD33" s="15"/>
      <c r="BE33" s="16"/>
      <c r="BF33" s="14"/>
      <c r="BG33" s="15"/>
      <c r="BH33" s="16"/>
      <c r="BI33" s="14"/>
      <c r="BJ33" s="15"/>
      <c r="BK33" s="16"/>
      <c r="BL33" s="14"/>
      <c r="BM33" s="15"/>
      <c r="BN33" s="16"/>
      <c r="BO33" s="14"/>
      <c r="BP33" s="15"/>
      <c r="BQ33" s="16"/>
      <c r="BR33" s="14"/>
      <c r="BS33" s="15"/>
      <c r="BT33" s="17">
        <f t="shared" si="4"/>
        <v>0</v>
      </c>
      <c r="BU33" s="18">
        <f t="shared" si="5"/>
        <v>0</v>
      </c>
      <c r="BV33" s="16"/>
      <c r="BW33" s="14"/>
      <c r="BX33" s="19"/>
      <c r="BY33" s="16"/>
      <c r="BZ33" s="14"/>
      <c r="CA33" s="19"/>
      <c r="CB33" s="16"/>
      <c r="CC33" s="14"/>
      <c r="CD33" s="19"/>
      <c r="CE33" s="22"/>
      <c r="CF33" s="14"/>
      <c r="CG33" s="19"/>
      <c r="CH33" s="22"/>
      <c r="CI33" s="14"/>
      <c r="CJ33" s="19"/>
      <c r="CK33" s="22"/>
      <c r="CL33" s="14"/>
      <c r="CM33" s="19"/>
      <c r="CN33" s="22"/>
      <c r="CO33" s="14"/>
      <c r="CP33" s="19"/>
      <c r="CQ33" s="17">
        <f t="shared" si="6"/>
        <v>0</v>
      </c>
      <c r="CR33" s="18">
        <f t="shared" si="7"/>
        <v>0</v>
      </c>
      <c r="CS33" s="22"/>
      <c r="CT33" s="14"/>
      <c r="CU33" s="19"/>
      <c r="CV33" s="22"/>
      <c r="CW33" s="14"/>
      <c r="CX33" s="19"/>
      <c r="CY33" s="17">
        <f t="shared" si="8"/>
        <v>0</v>
      </c>
      <c r="CZ33" s="18">
        <f t="shared" si="9"/>
        <v>0</v>
      </c>
      <c r="DA33" s="49">
        <f t="shared" si="10"/>
        <v>31</v>
      </c>
      <c r="DB33" s="52">
        <f t="shared" si="11"/>
        <v>24</v>
      </c>
    </row>
    <row r="34" spans="1:106" ht="17.25" thickTop="1" thickBot="1" x14ac:dyDescent="0.3">
      <c r="A34" s="10">
        <v>32</v>
      </c>
      <c r="B34" s="27"/>
      <c r="C34" s="27" t="s">
        <v>37</v>
      </c>
      <c r="D34" s="28" t="s">
        <v>64</v>
      </c>
      <c r="E34" s="14">
        <v>0</v>
      </c>
      <c r="F34" s="14">
        <v>0</v>
      </c>
      <c r="G34" s="15"/>
      <c r="H34" s="14">
        <v>1</v>
      </c>
      <c r="I34" s="14">
        <v>3</v>
      </c>
      <c r="J34" s="15"/>
      <c r="K34" s="14">
        <v>12</v>
      </c>
      <c r="L34" s="14">
        <v>3</v>
      </c>
      <c r="M34" s="15"/>
      <c r="N34" s="14">
        <v>5</v>
      </c>
      <c r="O34" s="14">
        <v>5</v>
      </c>
      <c r="P34" s="15"/>
      <c r="Q34" s="14">
        <v>4</v>
      </c>
      <c r="R34" s="14">
        <v>3</v>
      </c>
      <c r="S34" s="15"/>
      <c r="T34" s="16">
        <v>2</v>
      </c>
      <c r="U34" s="14">
        <v>3</v>
      </c>
      <c r="V34" s="15"/>
      <c r="W34" s="14">
        <v>0</v>
      </c>
      <c r="X34" s="14">
        <v>0</v>
      </c>
      <c r="Y34" s="15"/>
      <c r="Z34" s="17">
        <f t="shared" si="0"/>
        <v>24</v>
      </c>
      <c r="AA34" s="18">
        <f t="shared" si="1"/>
        <v>17</v>
      </c>
      <c r="AB34" s="14">
        <v>7</v>
      </c>
      <c r="AC34" s="14">
        <v>4</v>
      </c>
      <c r="AD34" s="15"/>
      <c r="AE34" s="14"/>
      <c r="AF34" s="14">
        <v>3</v>
      </c>
      <c r="AG34" s="15"/>
      <c r="AH34" s="14"/>
      <c r="AI34" s="14"/>
      <c r="AJ34" s="15"/>
      <c r="AK34" s="14"/>
      <c r="AL34" s="14"/>
      <c r="AM34" s="15"/>
      <c r="AN34" s="14"/>
      <c r="AO34" s="14"/>
      <c r="AP34" s="15"/>
      <c r="AQ34" s="14"/>
      <c r="AR34" s="14"/>
      <c r="AS34" s="15"/>
      <c r="AT34" s="16"/>
      <c r="AU34" s="14"/>
      <c r="AV34" s="19"/>
      <c r="AW34" s="20">
        <f t="shared" si="2"/>
        <v>7</v>
      </c>
      <c r="AX34" s="21">
        <f t="shared" si="3"/>
        <v>7</v>
      </c>
      <c r="AY34" s="16"/>
      <c r="AZ34" s="14"/>
      <c r="BA34" s="15"/>
      <c r="BB34" s="14"/>
      <c r="BC34" s="14"/>
      <c r="BD34" s="15"/>
      <c r="BE34" s="16"/>
      <c r="BF34" s="14"/>
      <c r="BG34" s="15"/>
      <c r="BH34" s="16"/>
      <c r="BI34" s="14"/>
      <c r="BJ34" s="15"/>
      <c r="BK34" s="16"/>
      <c r="BL34" s="14"/>
      <c r="BM34" s="15"/>
      <c r="BN34" s="16"/>
      <c r="BO34" s="14"/>
      <c r="BP34" s="15"/>
      <c r="BQ34" s="16"/>
      <c r="BR34" s="14"/>
      <c r="BS34" s="15"/>
      <c r="BT34" s="17">
        <f t="shared" si="4"/>
        <v>0</v>
      </c>
      <c r="BU34" s="18">
        <f t="shared" si="5"/>
        <v>0</v>
      </c>
      <c r="BV34" s="16"/>
      <c r="BW34" s="14"/>
      <c r="BX34" s="19"/>
      <c r="BY34" s="16"/>
      <c r="BZ34" s="14"/>
      <c r="CA34" s="19"/>
      <c r="CB34" s="16"/>
      <c r="CC34" s="14"/>
      <c r="CD34" s="19"/>
      <c r="CE34" s="22"/>
      <c r="CF34" s="14"/>
      <c r="CG34" s="19"/>
      <c r="CH34" s="22"/>
      <c r="CI34" s="14"/>
      <c r="CJ34" s="19"/>
      <c r="CK34" s="22"/>
      <c r="CL34" s="14"/>
      <c r="CM34" s="19"/>
      <c r="CN34" s="22"/>
      <c r="CO34" s="14"/>
      <c r="CP34" s="19"/>
      <c r="CQ34" s="17">
        <f t="shared" si="6"/>
        <v>0</v>
      </c>
      <c r="CR34" s="18">
        <f t="shared" si="7"/>
        <v>0</v>
      </c>
      <c r="CS34" s="22"/>
      <c r="CT34" s="14"/>
      <c r="CU34" s="19"/>
      <c r="CV34" s="22"/>
      <c r="CW34" s="14"/>
      <c r="CX34" s="19"/>
      <c r="CY34" s="17">
        <f t="shared" si="8"/>
        <v>0</v>
      </c>
      <c r="CZ34" s="18">
        <f t="shared" si="9"/>
        <v>0</v>
      </c>
      <c r="DA34" s="49">
        <f t="shared" si="10"/>
        <v>31</v>
      </c>
      <c r="DB34" s="52">
        <f t="shared" si="11"/>
        <v>24</v>
      </c>
    </row>
    <row r="35" spans="1:106" ht="17.25" thickTop="1" thickBot="1" x14ac:dyDescent="0.3">
      <c r="A35" s="10">
        <v>33</v>
      </c>
      <c r="B35" s="27"/>
      <c r="C35" s="27" t="s">
        <v>37</v>
      </c>
      <c r="D35" s="28" t="s">
        <v>63</v>
      </c>
      <c r="E35" s="14">
        <v>10</v>
      </c>
      <c r="F35" s="14">
        <v>4</v>
      </c>
      <c r="G35" s="15"/>
      <c r="H35" s="14">
        <v>3</v>
      </c>
      <c r="I35" s="14">
        <v>3</v>
      </c>
      <c r="J35" s="15"/>
      <c r="K35" s="14">
        <v>14</v>
      </c>
      <c r="L35" s="14">
        <v>4</v>
      </c>
      <c r="M35" s="15"/>
      <c r="N35" s="14">
        <v>0</v>
      </c>
      <c r="O35" s="14">
        <v>0</v>
      </c>
      <c r="P35" s="15"/>
      <c r="Q35" s="14">
        <v>0</v>
      </c>
      <c r="R35" s="14">
        <v>0</v>
      </c>
      <c r="S35" s="15"/>
      <c r="T35" s="14">
        <v>0</v>
      </c>
      <c r="U35" s="14">
        <v>0</v>
      </c>
      <c r="V35" s="15"/>
      <c r="W35" s="14">
        <v>0</v>
      </c>
      <c r="X35" s="14">
        <v>0</v>
      </c>
      <c r="Y35" s="15"/>
      <c r="Z35" s="17">
        <f t="shared" si="0"/>
        <v>27</v>
      </c>
      <c r="AA35" s="18">
        <f t="shared" si="1"/>
        <v>11</v>
      </c>
      <c r="AB35" s="14">
        <v>3</v>
      </c>
      <c r="AC35" s="14">
        <v>3</v>
      </c>
      <c r="AD35" s="15"/>
      <c r="AE35" s="14"/>
      <c r="AF35" s="14">
        <v>4</v>
      </c>
      <c r="AG35" s="15"/>
      <c r="AH35" s="14"/>
      <c r="AI35" s="14"/>
      <c r="AJ35" s="15"/>
      <c r="AK35" s="14"/>
      <c r="AL35" s="14"/>
      <c r="AM35" s="15"/>
      <c r="AN35" s="14"/>
      <c r="AO35" s="14"/>
      <c r="AP35" s="15"/>
      <c r="AQ35" s="14"/>
      <c r="AR35" s="14"/>
      <c r="AS35" s="15"/>
      <c r="AT35" s="16"/>
      <c r="AU35" s="14"/>
      <c r="AV35" s="19"/>
      <c r="AW35" s="20">
        <f t="shared" si="2"/>
        <v>3</v>
      </c>
      <c r="AX35" s="21">
        <f t="shared" si="3"/>
        <v>7</v>
      </c>
      <c r="AY35" s="16"/>
      <c r="AZ35" s="14"/>
      <c r="BA35" s="15"/>
      <c r="BB35" s="14"/>
      <c r="BC35" s="14"/>
      <c r="BD35" s="15"/>
      <c r="BE35" s="16"/>
      <c r="BF35" s="14"/>
      <c r="BG35" s="15"/>
      <c r="BH35" s="16"/>
      <c r="BI35" s="14"/>
      <c r="BJ35" s="15"/>
      <c r="BK35" s="16"/>
      <c r="BL35" s="14"/>
      <c r="BM35" s="15"/>
      <c r="BN35" s="16"/>
      <c r="BO35" s="14"/>
      <c r="BP35" s="15"/>
      <c r="BQ35" s="16"/>
      <c r="BR35" s="14"/>
      <c r="BS35" s="15"/>
      <c r="BT35" s="17">
        <f t="shared" si="4"/>
        <v>0</v>
      </c>
      <c r="BU35" s="18">
        <f t="shared" si="5"/>
        <v>0</v>
      </c>
      <c r="BV35" s="16"/>
      <c r="BW35" s="14"/>
      <c r="BX35" s="19"/>
      <c r="BY35" s="16"/>
      <c r="BZ35" s="14"/>
      <c r="CA35" s="19"/>
      <c r="CB35" s="16"/>
      <c r="CC35" s="14"/>
      <c r="CD35" s="19"/>
      <c r="CE35" s="22"/>
      <c r="CF35" s="14"/>
      <c r="CG35" s="19"/>
      <c r="CH35" s="22"/>
      <c r="CI35" s="14"/>
      <c r="CJ35" s="19"/>
      <c r="CK35" s="22"/>
      <c r="CL35" s="14"/>
      <c r="CM35" s="19"/>
      <c r="CN35" s="22"/>
      <c r="CO35" s="14"/>
      <c r="CP35" s="19"/>
      <c r="CQ35" s="17">
        <f t="shared" si="6"/>
        <v>0</v>
      </c>
      <c r="CR35" s="18">
        <f t="shared" si="7"/>
        <v>0</v>
      </c>
      <c r="CS35" s="22"/>
      <c r="CT35" s="14"/>
      <c r="CU35" s="19"/>
      <c r="CV35" s="22"/>
      <c r="CW35" s="14"/>
      <c r="CX35" s="19"/>
      <c r="CY35" s="17">
        <f t="shared" si="8"/>
        <v>0</v>
      </c>
      <c r="CZ35" s="18">
        <f t="shared" si="9"/>
        <v>0</v>
      </c>
      <c r="DA35" s="49">
        <f t="shared" si="10"/>
        <v>30</v>
      </c>
      <c r="DB35" s="52">
        <f t="shared" si="11"/>
        <v>18</v>
      </c>
    </row>
    <row r="36" spans="1:106" ht="17.25" thickTop="1" thickBot="1" x14ac:dyDescent="0.3">
      <c r="A36" s="10">
        <v>34</v>
      </c>
      <c r="B36" s="27"/>
      <c r="C36" s="27" t="s">
        <v>37</v>
      </c>
      <c r="D36" s="28" t="s">
        <v>49</v>
      </c>
      <c r="E36" s="14">
        <v>1</v>
      </c>
      <c r="F36" s="14">
        <v>3</v>
      </c>
      <c r="G36" s="15"/>
      <c r="H36" s="14">
        <v>0</v>
      </c>
      <c r="I36" s="14">
        <v>4</v>
      </c>
      <c r="J36" s="15"/>
      <c r="K36" s="14">
        <v>0</v>
      </c>
      <c r="L36" s="14">
        <v>4</v>
      </c>
      <c r="M36" s="15"/>
      <c r="N36" s="14">
        <v>0</v>
      </c>
      <c r="O36" s="14">
        <v>0</v>
      </c>
      <c r="P36" s="15"/>
      <c r="Q36" s="14">
        <v>0</v>
      </c>
      <c r="R36" s="14">
        <v>0</v>
      </c>
      <c r="S36" s="15"/>
      <c r="T36" s="14">
        <v>0</v>
      </c>
      <c r="U36" s="14">
        <v>0</v>
      </c>
      <c r="V36" s="15"/>
      <c r="W36" s="14">
        <v>0</v>
      </c>
      <c r="X36" s="14">
        <v>0</v>
      </c>
      <c r="Y36" s="15"/>
      <c r="Z36" s="17">
        <f t="shared" si="0"/>
        <v>1</v>
      </c>
      <c r="AA36" s="18">
        <f t="shared" si="1"/>
        <v>11</v>
      </c>
      <c r="AB36" s="16">
        <v>0</v>
      </c>
      <c r="AC36" s="14">
        <v>0</v>
      </c>
      <c r="AD36" s="15"/>
      <c r="AE36" s="14"/>
      <c r="AF36" s="14">
        <v>5</v>
      </c>
      <c r="AG36" s="15"/>
      <c r="AH36" s="14"/>
      <c r="AI36" s="14"/>
      <c r="AJ36" s="15"/>
      <c r="AK36" s="14"/>
      <c r="AL36" s="14"/>
      <c r="AM36" s="15"/>
      <c r="AN36" s="14"/>
      <c r="AO36" s="14"/>
      <c r="AP36" s="15"/>
      <c r="AQ36" s="14"/>
      <c r="AR36" s="14"/>
      <c r="AS36" s="15"/>
      <c r="AT36" s="16"/>
      <c r="AU36" s="14"/>
      <c r="AV36" s="19"/>
      <c r="AW36" s="20">
        <f t="shared" si="2"/>
        <v>0</v>
      </c>
      <c r="AX36" s="21">
        <f t="shared" si="3"/>
        <v>5</v>
      </c>
      <c r="AY36" s="16"/>
      <c r="AZ36" s="14"/>
      <c r="BA36" s="15"/>
      <c r="BB36" s="14"/>
      <c r="BC36" s="14"/>
      <c r="BD36" s="15"/>
      <c r="BE36" s="16"/>
      <c r="BF36" s="14"/>
      <c r="BG36" s="15"/>
      <c r="BH36" s="16"/>
      <c r="BI36" s="14"/>
      <c r="BJ36" s="15"/>
      <c r="BK36" s="16"/>
      <c r="BL36" s="14"/>
      <c r="BM36" s="15"/>
      <c r="BN36" s="16"/>
      <c r="BO36" s="14"/>
      <c r="BP36" s="15"/>
      <c r="BQ36" s="16"/>
      <c r="BR36" s="14"/>
      <c r="BS36" s="15"/>
      <c r="BT36" s="17">
        <f t="shared" si="4"/>
        <v>0</v>
      </c>
      <c r="BU36" s="18">
        <f t="shared" si="5"/>
        <v>0</v>
      </c>
      <c r="BV36" s="16"/>
      <c r="BW36" s="14"/>
      <c r="BX36" s="19"/>
      <c r="BY36" s="16"/>
      <c r="BZ36" s="14"/>
      <c r="CA36" s="19"/>
      <c r="CB36" s="22"/>
      <c r="CC36" s="14"/>
      <c r="CD36" s="19"/>
      <c r="CE36" s="22"/>
      <c r="CF36" s="14"/>
      <c r="CG36" s="19"/>
      <c r="CH36" s="22"/>
      <c r="CI36" s="14"/>
      <c r="CJ36" s="19"/>
      <c r="CK36" s="22"/>
      <c r="CL36" s="14"/>
      <c r="CM36" s="19"/>
      <c r="CN36" s="22"/>
      <c r="CO36" s="14"/>
      <c r="CP36" s="19"/>
      <c r="CQ36" s="17">
        <f t="shared" si="6"/>
        <v>0</v>
      </c>
      <c r="CR36" s="18">
        <f t="shared" si="7"/>
        <v>0</v>
      </c>
      <c r="CS36" s="22"/>
      <c r="CT36" s="14"/>
      <c r="CU36" s="19"/>
      <c r="CV36" s="22"/>
      <c r="CW36" s="14"/>
      <c r="CX36" s="19"/>
      <c r="CY36" s="17">
        <f t="shared" si="8"/>
        <v>0</v>
      </c>
      <c r="CZ36" s="18">
        <f t="shared" si="9"/>
        <v>0</v>
      </c>
      <c r="DA36" s="49">
        <f t="shared" si="10"/>
        <v>1</v>
      </c>
      <c r="DB36" s="52">
        <f t="shared" si="11"/>
        <v>16</v>
      </c>
    </row>
    <row r="37" spans="1:106" ht="17.25" thickTop="1" thickBot="1" x14ac:dyDescent="0.3">
      <c r="A37" s="10">
        <v>35</v>
      </c>
      <c r="B37" s="27">
        <v>15140</v>
      </c>
      <c r="C37" s="27" t="s">
        <v>50</v>
      </c>
      <c r="D37" s="28" t="s">
        <v>51</v>
      </c>
      <c r="E37" s="14">
        <v>0</v>
      </c>
      <c r="F37" s="14">
        <v>0</v>
      </c>
      <c r="G37" s="15"/>
      <c r="H37" s="14">
        <v>0</v>
      </c>
      <c r="I37" s="14">
        <v>0</v>
      </c>
      <c r="J37" s="15"/>
      <c r="K37" s="14">
        <v>0</v>
      </c>
      <c r="L37" s="14">
        <v>0</v>
      </c>
      <c r="M37" s="15"/>
      <c r="N37" s="14">
        <v>0</v>
      </c>
      <c r="O37" s="14">
        <v>0</v>
      </c>
      <c r="P37" s="15"/>
      <c r="Q37" s="14">
        <v>0</v>
      </c>
      <c r="R37" s="14">
        <v>0</v>
      </c>
      <c r="S37" s="15"/>
      <c r="T37" s="14">
        <v>0</v>
      </c>
      <c r="U37" s="14">
        <v>0</v>
      </c>
      <c r="V37" s="15"/>
      <c r="W37" s="14">
        <v>0</v>
      </c>
      <c r="X37" s="14">
        <v>0</v>
      </c>
      <c r="Y37" s="15"/>
      <c r="Z37" s="17">
        <f t="shared" si="0"/>
        <v>0</v>
      </c>
      <c r="AA37" s="18">
        <f t="shared" si="1"/>
        <v>0</v>
      </c>
      <c r="AB37" s="16">
        <v>0</v>
      </c>
      <c r="AC37" s="14">
        <v>0</v>
      </c>
      <c r="AD37" s="15"/>
      <c r="AE37" s="16">
        <v>0</v>
      </c>
      <c r="AF37" s="14">
        <v>0</v>
      </c>
      <c r="AG37" s="15"/>
      <c r="AH37" s="14"/>
      <c r="AI37" s="14"/>
      <c r="AJ37" s="15"/>
      <c r="AK37" s="14"/>
      <c r="AL37" s="14"/>
      <c r="AM37" s="15"/>
      <c r="AN37" s="14"/>
      <c r="AO37" s="14"/>
      <c r="AP37" s="15"/>
      <c r="AQ37" s="14"/>
      <c r="AR37" s="14"/>
      <c r="AS37" s="15"/>
      <c r="AT37" s="14"/>
      <c r="AU37" s="14"/>
      <c r="AV37" s="19"/>
      <c r="AW37" s="20">
        <f t="shared" si="2"/>
        <v>0</v>
      </c>
      <c r="AX37" s="21">
        <f t="shared" si="3"/>
        <v>0</v>
      </c>
      <c r="AY37" s="14"/>
      <c r="AZ37" s="14"/>
      <c r="BA37" s="15"/>
      <c r="BB37" s="14"/>
      <c r="BC37" s="14"/>
      <c r="BD37" s="15"/>
      <c r="BE37" s="16"/>
      <c r="BF37" s="14"/>
      <c r="BG37" s="15"/>
      <c r="BH37" s="16"/>
      <c r="BI37" s="14"/>
      <c r="BJ37" s="15"/>
      <c r="BK37" s="16"/>
      <c r="BL37" s="14"/>
      <c r="BM37" s="15"/>
      <c r="BN37" s="16"/>
      <c r="BO37" s="14"/>
      <c r="BP37" s="15"/>
      <c r="BQ37" s="16"/>
      <c r="BR37" s="14"/>
      <c r="BS37" s="15"/>
      <c r="BT37" s="17">
        <f t="shared" si="4"/>
        <v>0</v>
      </c>
      <c r="BU37" s="18">
        <f t="shared" si="5"/>
        <v>0</v>
      </c>
      <c r="BV37" s="14"/>
      <c r="BW37" s="14"/>
      <c r="BX37" s="19"/>
      <c r="BY37" s="16"/>
      <c r="BZ37" s="14"/>
      <c r="CA37" s="19"/>
      <c r="CB37" s="16"/>
      <c r="CC37" s="14"/>
      <c r="CD37" s="19"/>
      <c r="CE37" s="22"/>
      <c r="CF37" s="14"/>
      <c r="CG37" s="19"/>
      <c r="CH37" s="22"/>
      <c r="CI37" s="14"/>
      <c r="CJ37" s="19"/>
      <c r="CK37" s="22"/>
      <c r="CL37" s="14"/>
      <c r="CM37" s="19"/>
      <c r="CN37" s="22"/>
      <c r="CO37" s="14"/>
      <c r="CP37" s="19"/>
      <c r="CQ37" s="17">
        <f t="shared" si="6"/>
        <v>0</v>
      </c>
      <c r="CR37" s="18">
        <f t="shared" si="7"/>
        <v>0</v>
      </c>
      <c r="CS37" s="22"/>
      <c r="CT37" s="14"/>
      <c r="CU37" s="19"/>
      <c r="CV37" s="22"/>
      <c r="CW37" s="14"/>
      <c r="CX37" s="19"/>
      <c r="CY37" s="17">
        <f t="shared" si="8"/>
        <v>0</v>
      </c>
      <c r="CZ37" s="18">
        <f t="shared" si="9"/>
        <v>0</v>
      </c>
      <c r="DA37" s="49">
        <f t="shared" si="10"/>
        <v>0</v>
      </c>
      <c r="DB37" s="52">
        <f t="shared" si="11"/>
        <v>0</v>
      </c>
    </row>
    <row r="38" spans="1:106" ht="17.25" thickTop="1" thickBot="1" x14ac:dyDescent="0.3">
      <c r="A38" s="10">
        <v>36</v>
      </c>
      <c r="B38" s="33"/>
      <c r="C38" s="33" t="s">
        <v>50</v>
      </c>
      <c r="D38" s="34" t="s">
        <v>52</v>
      </c>
      <c r="E38" s="14">
        <v>0</v>
      </c>
      <c r="F38" s="14">
        <v>0</v>
      </c>
      <c r="G38" s="35"/>
      <c r="H38" s="14">
        <v>0</v>
      </c>
      <c r="I38" s="14">
        <v>0</v>
      </c>
      <c r="J38" s="35"/>
      <c r="K38" s="14">
        <v>7</v>
      </c>
      <c r="L38" s="14">
        <v>5</v>
      </c>
      <c r="M38" s="35"/>
      <c r="N38" s="14">
        <v>0</v>
      </c>
      <c r="O38" s="14">
        <v>0</v>
      </c>
      <c r="P38" s="35"/>
      <c r="Q38" s="14">
        <v>0</v>
      </c>
      <c r="R38" s="14">
        <v>0</v>
      </c>
      <c r="S38" s="35"/>
      <c r="T38" s="14">
        <v>0</v>
      </c>
      <c r="U38" s="14">
        <v>0</v>
      </c>
      <c r="V38" s="35"/>
      <c r="W38" s="14">
        <v>0</v>
      </c>
      <c r="X38" s="14">
        <v>0</v>
      </c>
      <c r="Y38" s="35"/>
      <c r="Z38" s="17">
        <f t="shared" si="0"/>
        <v>7</v>
      </c>
      <c r="AA38" s="18">
        <f t="shared" si="1"/>
        <v>5</v>
      </c>
      <c r="AB38" s="16">
        <v>0</v>
      </c>
      <c r="AC38" s="14">
        <v>0</v>
      </c>
      <c r="AD38" s="15"/>
      <c r="AE38" s="16">
        <v>0</v>
      </c>
      <c r="AF38" s="14">
        <v>0</v>
      </c>
      <c r="AG38" s="35"/>
      <c r="AH38" s="14"/>
      <c r="AI38" s="14"/>
      <c r="AJ38" s="35"/>
      <c r="AK38" s="36"/>
      <c r="AL38" s="37"/>
      <c r="AM38" s="35"/>
      <c r="AN38" s="14"/>
      <c r="AO38" s="14"/>
      <c r="AP38" s="35"/>
      <c r="AQ38" s="14"/>
      <c r="AR38" s="14"/>
      <c r="AS38" s="35"/>
      <c r="AT38" s="14"/>
      <c r="AU38" s="14"/>
      <c r="AV38" s="38"/>
      <c r="AW38" s="20">
        <f t="shared" si="2"/>
        <v>0</v>
      </c>
      <c r="AX38" s="21">
        <f t="shared" si="3"/>
        <v>0</v>
      </c>
      <c r="AY38" s="14"/>
      <c r="AZ38" s="14"/>
      <c r="BA38" s="35"/>
      <c r="BB38" s="14"/>
      <c r="BC38" s="14"/>
      <c r="BD38" s="35"/>
      <c r="BE38" s="16"/>
      <c r="BF38" s="14"/>
      <c r="BG38" s="35"/>
      <c r="BH38" s="16"/>
      <c r="BI38" s="14"/>
      <c r="BJ38" s="35"/>
      <c r="BK38" s="16"/>
      <c r="BL38" s="14"/>
      <c r="BM38" s="35"/>
      <c r="BN38" s="16"/>
      <c r="BO38" s="14"/>
      <c r="BP38" s="35"/>
      <c r="BQ38" s="36"/>
      <c r="BR38" s="14"/>
      <c r="BS38" s="35"/>
      <c r="BT38" s="17">
        <f t="shared" si="4"/>
        <v>0</v>
      </c>
      <c r="BU38" s="18">
        <f t="shared" si="5"/>
        <v>0</v>
      </c>
      <c r="BV38" s="37"/>
      <c r="BW38" s="37"/>
      <c r="BX38" s="38"/>
      <c r="BY38" s="36"/>
      <c r="BZ38" s="37"/>
      <c r="CA38" s="38"/>
      <c r="CB38" s="39"/>
      <c r="CC38" s="37"/>
      <c r="CD38" s="38"/>
      <c r="CE38" s="39"/>
      <c r="CF38" s="37"/>
      <c r="CG38" s="38"/>
      <c r="CH38" s="39"/>
      <c r="CI38" s="37"/>
      <c r="CJ38" s="38"/>
      <c r="CK38" s="39"/>
      <c r="CL38" s="37"/>
      <c r="CM38" s="38"/>
      <c r="CN38" s="39"/>
      <c r="CO38" s="37"/>
      <c r="CP38" s="38"/>
      <c r="CQ38" s="17">
        <f t="shared" si="6"/>
        <v>0</v>
      </c>
      <c r="CR38" s="18">
        <f t="shared" si="7"/>
        <v>0</v>
      </c>
      <c r="CS38" s="39"/>
      <c r="CT38" s="37"/>
      <c r="CU38" s="38"/>
      <c r="CV38" s="39"/>
      <c r="CW38" s="37"/>
      <c r="CX38" s="38"/>
      <c r="CY38" s="17">
        <f t="shared" si="8"/>
        <v>0</v>
      </c>
      <c r="CZ38" s="18">
        <f t="shared" si="9"/>
        <v>0</v>
      </c>
      <c r="DA38" s="49">
        <f t="shared" si="10"/>
        <v>7</v>
      </c>
      <c r="DB38" s="52">
        <f t="shared" si="11"/>
        <v>5</v>
      </c>
    </row>
    <row r="39" spans="1:106" ht="17.25" thickTop="1" thickBot="1" x14ac:dyDescent="0.3">
      <c r="A39" s="10">
        <v>37</v>
      </c>
      <c r="B39" s="40">
        <v>15809</v>
      </c>
      <c r="C39" s="40" t="s">
        <v>53</v>
      </c>
      <c r="D39" s="34" t="s">
        <v>54</v>
      </c>
      <c r="E39" s="14">
        <v>0</v>
      </c>
      <c r="F39" s="14">
        <v>0</v>
      </c>
      <c r="G39" s="35"/>
      <c r="H39" s="36">
        <v>0</v>
      </c>
      <c r="I39" s="37">
        <v>4</v>
      </c>
      <c r="J39" s="35"/>
      <c r="K39" s="14">
        <v>0</v>
      </c>
      <c r="L39" s="14">
        <v>0</v>
      </c>
      <c r="M39" s="35"/>
      <c r="N39" s="36">
        <v>1</v>
      </c>
      <c r="O39" s="37">
        <v>5</v>
      </c>
      <c r="P39" s="35"/>
      <c r="Q39" s="14">
        <v>0</v>
      </c>
      <c r="R39" s="14">
        <v>0</v>
      </c>
      <c r="S39" s="35"/>
      <c r="T39" s="14">
        <v>1</v>
      </c>
      <c r="U39" s="14">
        <v>5</v>
      </c>
      <c r="V39" s="35"/>
      <c r="W39" s="36">
        <v>0</v>
      </c>
      <c r="X39" s="37">
        <v>0</v>
      </c>
      <c r="Y39" s="35"/>
      <c r="Z39" s="17">
        <f t="shared" si="0"/>
        <v>2</v>
      </c>
      <c r="AA39" s="18">
        <f t="shared" si="1"/>
        <v>14</v>
      </c>
      <c r="AB39" s="16">
        <v>0</v>
      </c>
      <c r="AC39" s="14">
        <v>0</v>
      </c>
      <c r="AD39" s="15"/>
      <c r="AE39" s="16"/>
      <c r="AF39" s="14"/>
      <c r="AG39" s="35"/>
      <c r="AH39" s="16"/>
      <c r="AI39" s="14"/>
      <c r="AJ39" s="35"/>
      <c r="AK39" s="16"/>
      <c r="AL39" s="14"/>
      <c r="AM39" s="35"/>
      <c r="AN39" s="36"/>
      <c r="AO39" s="37"/>
      <c r="AP39" s="35"/>
      <c r="AQ39" s="36"/>
      <c r="AR39" s="14"/>
      <c r="AS39" s="35"/>
      <c r="AT39" s="16"/>
      <c r="AU39" s="14"/>
      <c r="AV39" s="38"/>
      <c r="AW39" s="20">
        <f t="shared" si="2"/>
        <v>0</v>
      </c>
      <c r="AX39" s="21">
        <f t="shared" si="3"/>
        <v>0</v>
      </c>
      <c r="AY39" s="37"/>
      <c r="AZ39" s="37"/>
      <c r="BA39" s="35"/>
      <c r="BB39" s="16"/>
      <c r="BC39" s="14"/>
      <c r="BD39" s="35"/>
      <c r="BE39" s="36"/>
      <c r="BF39" s="37"/>
      <c r="BG39" s="35"/>
      <c r="BH39" s="36"/>
      <c r="BI39" s="37"/>
      <c r="BJ39" s="35"/>
      <c r="BK39" s="36"/>
      <c r="BL39" s="37"/>
      <c r="BM39" s="35"/>
      <c r="BN39" s="36"/>
      <c r="BO39" s="37"/>
      <c r="BP39" s="35"/>
      <c r="BQ39" s="36"/>
      <c r="BR39" s="14"/>
      <c r="BS39" s="35"/>
      <c r="BT39" s="17">
        <f t="shared" si="4"/>
        <v>0</v>
      </c>
      <c r="BU39" s="18">
        <f t="shared" si="5"/>
        <v>0</v>
      </c>
      <c r="BV39" s="37"/>
      <c r="BW39" s="37"/>
      <c r="BX39" s="38"/>
      <c r="BY39" s="16"/>
      <c r="BZ39" s="14"/>
      <c r="CA39" s="38"/>
      <c r="CB39" s="39"/>
      <c r="CC39" s="37"/>
      <c r="CD39" s="38"/>
      <c r="CE39" s="39"/>
      <c r="CF39" s="37"/>
      <c r="CG39" s="38"/>
      <c r="CH39" s="39"/>
      <c r="CI39" s="37"/>
      <c r="CJ39" s="38"/>
      <c r="CK39" s="39"/>
      <c r="CL39" s="37"/>
      <c r="CM39" s="38"/>
      <c r="CN39" s="39"/>
      <c r="CO39" s="37"/>
      <c r="CP39" s="38"/>
      <c r="CQ39" s="17">
        <f t="shared" si="6"/>
        <v>0</v>
      </c>
      <c r="CR39" s="18">
        <f t="shared" si="7"/>
        <v>0</v>
      </c>
      <c r="CS39" s="39"/>
      <c r="CT39" s="37"/>
      <c r="CU39" s="38"/>
      <c r="CV39" s="39"/>
      <c r="CW39" s="37"/>
      <c r="CX39" s="38"/>
      <c r="CY39" s="17">
        <f t="shared" si="8"/>
        <v>0</v>
      </c>
      <c r="CZ39" s="18">
        <f t="shared" si="9"/>
        <v>0</v>
      </c>
      <c r="DA39" s="49">
        <f t="shared" si="10"/>
        <v>2</v>
      </c>
      <c r="DB39" s="52">
        <f t="shared" si="11"/>
        <v>14</v>
      </c>
    </row>
    <row r="40" spans="1:106" ht="17.25" thickTop="1" thickBot="1" x14ac:dyDescent="0.3">
      <c r="A40" s="78">
        <v>38</v>
      </c>
      <c r="B40" s="40"/>
      <c r="C40" s="40" t="s">
        <v>53</v>
      </c>
      <c r="D40" s="34" t="s">
        <v>55</v>
      </c>
      <c r="E40" s="14">
        <v>3</v>
      </c>
      <c r="F40" s="14">
        <v>4</v>
      </c>
      <c r="G40" s="35"/>
      <c r="H40" s="14">
        <v>2</v>
      </c>
      <c r="I40" s="14">
        <v>4</v>
      </c>
      <c r="J40" s="35"/>
      <c r="K40" s="14">
        <v>0</v>
      </c>
      <c r="L40" s="14">
        <v>0</v>
      </c>
      <c r="M40" s="35"/>
      <c r="N40" s="14">
        <v>0</v>
      </c>
      <c r="O40" s="14">
        <v>0</v>
      </c>
      <c r="P40" s="35"/>
      <c r="Q40" s="14">
        <v>0</v>
      </c>
      <c r="R40" s="14">
        <v>1</v>
      </c>
      <c r="S40" s="35"/>
      <c r="T40" s="14">
        <v>0</v>
      </c>
      <c r="U40" s="14">
        <v>0</v>
      </c>
      <c r="V40" s="35"/>
      <c r="W40" s="14">
        <v>1</v>
      </c>
      <c r="X40" s="14">
        <v>4</v>
      </c>
      <c r="Y40" s="35"/>
      <c r="Z40" s="17">
        <f t="shared" si="0"/>
        <v>6</v>
      </c>
      <c r="AA40" s="18">
        <f t="shared" si="1"/>
        <v>13</v>
      </c>
      <c r="AB40" s="14">
        <v>4</v>
      </c>
      <c r="AC40" s="14">
        <v>4</v>
      </c>
      <c r="AD40" s="35"/>
      <c r="AE40" s="14"/>
      <c r="AF40" s="14">
        <v>4</v>
      </c>
      <c r="AG40" s="35"/>
      <c r="AH40" s="14"/>
      <c r="AI40" s="14"/>
      <c r="AJ40" s="35"/>
      <c r="AK40" s="16"/>
      <c r="AL40" s="14"/>
      <c r="AM40" s="35"/>
      <c r="AN40" s="16"/>
      <c r="AO40" s="14"/>
      <c r="AP40" s="35"/>
      <c r="AQ40" s="16"/>
      <c r="AR40" s="14"/>
      <c r="AS40" s="35"/>
      <c r="AT40" s="14"/>
      <c r="AU40" s="14"/>
      <c r="AV40" s="38"/>
      <c r="AW40" s="20">
        <f t="shared" si="2"/>
        <v>4</v>
      </c>
      <c r="AX40" s="21">
        <f t="shared" si="3"/>
        <v>8</v>
      </c>
      <c r="AY40" s="37"/>
      <c r="AZ40" s="37"/>
      <c r="BA40" s="35"/>
      <c r="BB40" s="14"/>
      <c r="BC40" s="14"/>
      <c r="BD40" s="35"/>
      <c r="BE40" s="16"/>
      <c r="BF40" s="14"/>
      <c r="BG40" s="35"/>
      <c r="BH40" s="16"/>
      <c r="BI40" s="14"/>
      <c r="BJ40" s="35"/>
      <c r="BK40" s="36"/>
      <c r="BL40" s="37"/>
      <c r="BM40" s="35"/>
      <c r="BN40" s="16"/>
      <c r="BO40" s="14"/>
      <c r="BP40" s="35"/>
      <c r="BQ40" s="36"/>
      <c r="BR40" s="14"/>
      <c r="BS40" s="35"/>
      <c r="BT40" s="17">
        <f t="shared" si="4"/>
        <v>0</v>
      </c>
      <c r="BU40" s="18">
        <f t="shared" si="5"/>
        <v>0</v>
      </c>
      <c r="BV40" s="37"/>
      <c r="BW40" s="37"/>
      <c r="BX40" s="38"/>
      <c r="BY40" s="36"/>
      <c r="BZ40" s="37"/>
      <c r="CA40" s="38"/>
      <c r="CB40" s="39"/>
      <c r="CC40" s="37"/>
      <c r="CD40" s="38"/>
      <c r="CE40" s="39"/>
      <c r="CF40" s="37"/>
      <c r="CG40" s="38"/>
      <c r="CH40" s="39"/>
      <c r="CI40" s="37"/>
      <c r="CJ40" s="38"/>
      <c r="CK40" s="39"/>
      <c r="CL40" s="37"/>
      <c r="CM40" s="38"/>
      <c r="CN40" s="39"/>
      <c r="CO40" s="37"/>
      <c r="CP40" s="38"/>
      <c r="CQ40" s="17">
        <f t="shared" si="6"/>
        <v>0</v>
      </c>
      <c r="CR40" s="18">
        <f t="shared" si="7"/>
        <v>0</v>
      </c>
      <c r="CS40" s="39"/>
      <c r="CT40" s="37"/>
      <c r="CU40" s="38"/>
      <c r="CV40" s="39"/>
      <c r="CW40" s="37"/>
      <c r="CX40" s="38"/>
      <c r="CY40" s="17">
        <f t="shared" si="8"/>
        <v>0</v>
      </c>
      <c r="CZ40" s="18">
        <f t="shared" si="9"/>
        <v>0</v>
      </c>
      <c r="DA40" s="49">
        <f t="shared" si="10"/>
        <v>10</v>
      </c>
      <c r="DB40" s="52">
        <f t="shared" si="11"/>
        <v>21</v>
      </c>
    </row>
    <row r="41" spans="1:106" ht="20.25" thickTop="1" thickBot="1" x14ac:dyDescent="0.35">
      <c r="A41" s="50"/>
      <c r="B41" s="50"/>
      <c r="C41" s="50"/>
      <c r="D41" s="41" t="s">
        <v>56</v>
      </c>
      <c r="E41" s="42">
        <f>SUM(E3:E40)</f>
        <v>49</v>
      </c>
      <c r="F41" s="42">
        <f>SUM(F3:F40)</f>
        <v>54</v>
      </c>
      <c r="G41" s="43">
        <f>SUM(G3:G39)</f>
        <v>1</v>
      </c>
      <c r="H41" s="44">
        <f>SUM(H3:H40)</f>
        <v>31</v>
      </c>
      <c r="I41" s="42">
        <f>SUM(I3:I40)</f>
        <v>62</v>
      </c>
      <c r="J41" s="43">
        <f>SUM(J3:J39)</f>
        <v>2</v>
      </c>
      <c r="K41" s="44">
        <f>SUM(K3:K40)</f>
        <v>68</v>
      </c>
      <c r="L41" s="42">
        <f>SUM(L3:L40)</f>
        <v>77</v>
      </c>
      <c r="M41" s="43">
        <f>SUM(M3:M39)</f>
        <v>3</v>
      </c>
      <c r="N41" s="44">
        <f>SUM(N3:N40)</f>
        <v>42</v>
      </c>
      <c r="O41" s="42">
        <f>SUM(O3:O40)</f>
        <v>72</v>
      </c>
      <c r="P41" s="43">
        <f>SUM(P3:P39)</f>
        <v>3</v>
      </c>
      <c r="Q41" s="44">
        <f>SUM(Q3:Q40)</f>
        <v>37</v>
      </c>
      <c r="R41" s="42">
        <f>SUM(R3:R40)</f>
        <v>72</v>
      </c>
      <c r="S41" s="43">
        <f>SUM(S3:S39)</f>
        <v>3</v>
      </c>
      <c r="T41" s="44">
        <f>SUM(T3:T40)</f>
        <v>27</v>
      </c>
      <c r="U41" s="42">
        <f>SUM(U3:U40)</f>
        <v>65</v>
      </c>
      <c r="V41" s="43">
        <f>SUM(V3:V39)</f>
        <v>2</v>
      </c>
      <c r="W41" s="44">
        <f>SUM(W3:W40)</f>
        <v>31</v>
      </c>
      <c r="X41" s="42">
        <f>SUM(X3:X40)</f>
        <v>63</v>
      </c>
      <c r="Y41" s="43">
        <f>SUM(Y3:Y39)</f>
        <v>2</v>
      </c>
      <c r="Z41" s="44">
        <f>SUM(Z3:Z40)</f>
        <v>285</v>
      </c>
      <c r="AA41" s="42">
        <f>SUM(AA3:AA40)</f>
        <v>465</v>
      </c>
      <c r="AB41" s="42">
        <f>SUM(AB3:AB40)</f>
        <v>37</v>
      </c>
      <c r="AC41" s="42">
        <f>SUM(AC3:AC40)</f>
        <v>58</v>
      </c>
      <c r="AD41" s="43">
        <f>SUM(AD3:AD39)</f>
        <v>2</v>
      </c>
      <c r="AE41" s="44">
        <f>SUM(AE3:AE40)</f>
        <v>0</v>
      </c>
      <c r="AF41" s="42">
        <f>SUM(AF3:AF40)</f>
        <v>32</v>
      </c>
      <c r="AG41" s="43">
        <f>SUM(AG3:AG39)</f>
        <v>1</v>
      </c>
      <c r="AH41" s="44">
        <f>SUM(AH3:AH40)</f>
        <v>0</v>
      </c>
      <c r="AI41" s="42">
        <f>SUM(AI3:AI40)</f>
        <v>0</v>
      </c>
      <c r="AJ41" s="43">
        <f>SUM(AJ3:AJ39)</f>
        <v>0</v>
      </c>
      <c r="AK41" s="44">
        <f>SUM(AK3:AK40)</f>
        <v>0</v>
      </c>
      <c r="AL41" s="42">
        <f>SUM(AL3:AL40)</f>
        <v>0</v>
      </c>
      <c r="AM41" s="43">
        <f>SUM(AM3:AM39)</f>
        <v>0</v>
      </c>
      <c r="AN41" s="44">
        <f>SUM(AN3:AN40)</f>
        <v>0</v>
      </c>
      <c r="AO41" s="42">
        <f>SUM(AO3:AO40)</f>
        <v>0</v>
      </c>
      <c r="AP41" s="43">
        <f>SUM(AP3:AP39)</f>
        <v>0</v>
      </c>
      <c r="AQ41" s="44">
        <f>SUM(AQ3:AQ40)</f>
        <v>0</v>
      </c>
      <c r="AR41" s="42">
        <f>SUM(AR3:AR40)</f>
        <v>0</v>
      </c>
      <c r="AS41" s="43">
        <f>SUM(AS3:AS39)</f>
        <v>0</v>
      </c>
      <c r="AT41" s="44">
        <f>SUM(AT3:AT40)</f>
        <v>0</v>
      </c>
      <c r="AU41" s="42">
        <f>SUM(AU3:AU40)</f>
        <v>0</v>
      </c>
      <c r="AV41" s="42">
        <f>SUM(AV3:AV39)</f>
        <v>0</v>
      </c>
      <c r="AW41" s="42">
        <f>SUM(AW3:AW40)</f>
        <v>37</v>
      </c>
      <c r="AX41" s="42">
        <f>SUM(AX3:AX40)</f>
        <v>90</v>
      </c>
      <c r="AY41" s="42">
        <f>SUM(AY3:AY40)</f>
        <v>0</v>
      </c>
      <c r="AZ41" s="42">
        <f>SUM(AZ3:AZ40)</f>
        <v>0</v>
      </c>
      <c r="BA41" s="43">
        <f>SUM(BA3:BA39)</f>
        <v>0</v>
      </c>
      <c r="BB41" s="44">
        <f>SUM(BB3:BB40)</f>
        <v>0</v>
      </c>
      <c r="BC41" s="42">
        <f>SUM(BC3:BC40)</f>
        <v>0</v>
      </c>
      <c r="BD41" s="43">
        <f t="shared" ref="BD41:CR41" si="12">SUM(BD3:BD39)</f>
        <v>0</v>
      </c>
      <c r="BE41" s="44">
        <f t="shared" si="12"/>
        <v>0</v>
      </c>
      <c r="BF41" s="42">
        <f t="shared" si="12"/>
        <v>0</v>
      </c>
      <c r="BG41" s="43">
        <f t="shared" si="12"/>
        <v>0</v>
      </c>
      <c r="BH41" s="44">
        <f t="shared" si="12"/>
        <v>0</v>
      </c>
      <c r="BI41" s="42">
        <f t="shared" si="12"/>
        <v>0</v>
      </c>
      <c r="BJ41" s="43">
        <f t="shared" si="12"/>
        <v>0</v>
      </c>
      <c r="BK41" s="44">
        <f>SUM(BK40)</f>
        <v>0</v>
      </c>
      <c r="BL41" s="42">
        <f>SUM(BL3:BL40)</f>
        <v>0</v>
      </c>
      <c r="BM41" s="43">
        <f t="shared" si="12"/>
        <v>0</v>
      </c>
      <c r="BN41" s="44">
        <f t="shared" si="12"/>
        <v>0</v>
      </c>
      <c r="BO41" s="42">
        <f t="shared" si="12"/>
        <v>0</v>
      </c>
      <c r="BP41" s="43">
        <f t="shared" si="12"/>
        <v>0</v>
      </c>
      <c r="BQ41" s="44">
        <f t="shared" si="12"/>
        <v>0</v>
      </c>
      <c r="BR41" s="42">
        <f>SUM(BR3:BR40)</f>
        <v>0</v>
      </c>
      <c r="BS41" s="43">
        <f>SUM(BS3:BS39)</f>
        <v>0</v>
      </c>
      <c r="BT41" s="44">
        <f t="shared" si="12"/>
        <v>0</v>
      </c>
      <c r="BU41" s="42">
        <f t="shared" si="12"/>
        <v>0</v>
      </c>
      <c r="BV41" s="42">
        <f t="shared" si="12"/>
        <v>0</v>
      </c>
      <c r="BW41" s="42">
        <f t="shared" si="12"/>
        <v>0</v>
      </c>
      <c r="BX41" s="42">
        <f t="shared" si="12"/>
        <v>0</v>
      </c>
      <c r="BY41" s="42">
        <f t="shared" si="12"/>
        <v>0</v>
      </c>
      <c r="BZ41" s="42">
        <f t="shared" si="12"/>
        <v>0</v>
      </c>
      <c r="CA41" s="42">
        <f t="shared" si="12"/>
        <v>0</v>
      </c>
      <c r="CB41" s="42">
        <f t="shared" si="12"/>
        <v>0</v>
      </c>
      <c r="CC41" s="42">
        <f t="shared" si="12"/>
        <v>0</v>
      </c>
      <c r="CD41" s="42">
        <f t="shared" si="12"/>
        <v>0</v>
      </c>
      <c r="CE41" s="42">
        <f t="shared" si="12"/>
        <v>0</v>
      </c>
      <c r="CF41" s="42">
        <f t="shared" si="12"/>
        <v>0</v>
      </c>
      <c r="CG41" s="42">
        <f t="shared" si="12"/>
        <v>0</v>
      </c>
      <c r="CH41" s="42">
        <f t="shared" si="12"/>
        <v>0</v>
      </c>
      <c r="CI41" s="42">
        <f t="shared" si="12"/>
        <v>0</v>
      </c>
      <c r="CJ41" s="42">
        <f t="shared" si="12"/>
        <v>0</v>
      </c>
      <c r="CK41" s="42">
        <f t="shared" si="12"/>
        <v>0</v>
      </c>
      <c r="CL41" s="42">
        <f t="shared" si="12"/>
        <v>0</v>
      </c>
      <c r="CM41" s="42">
        <f t="shared" si="12"/>
        <v>0</v>
      </c>
      <c r="CN41" s="42">
        <f t="shared" si="12"/>
        <v>0</v>
      </c>
      <c r="CO41" s="42">
        <f t="shared" si="12"/>
        <v>0</v>
      </c>
      <c r="CP41" s="42">
        <f>SUM(CP3:CP39)</f>
        <v>0</v>
      </c>
      <c r="CQ41" s="42">
        <f t="shared" si="12"/>
        <v>0</v>
      </c>
      <c r="CR41" s="42">
        <f t="shared" si="12"/>
        <v>0</v>
      </c>
      <c r="CS41" s="42">
        <f t="shared" ref="CS41:CZ41" si="13">SUM(CS3:CS39)</f>
        <v>0</v>
      </c>
      <c r="CT41" s="42">
        <f t="shared" si="13"/>
        <v>0</v>
      </c>
      <c r="CU41" s="42">
        <f t="shared" si="13"/>
        <v>0</v>
      </c>
      <c r="CV41" s="42">
        <f t="shared" si="13"/>
        <v>0</v>
      </c>
      <c r="CW41" s="42">
        <f t="shared" si="13"/>
        <v>0</v>
      </c>
      <c r="CX41" s="42">
        <f t="shared" si="13"/>
        <v>0</v>
      </c>
      <c r="CY41" s="42">
        <f t="shared" si="13"/>
        <v>0</v>
      </c>
      <c r="CZ41" s="42">
        <f t="shared" si="13"/>
        <v>0</v>
      </c>
      <c r="DA41" s="23">
        <f>SUM(DA3:DA40)</f>
        <v>322</v>
      </c>
      <c r="DB41" s="24">
        <f>SUM(DB3:DB40)</f>
        <v>555</v>
      </c>
    </row>
    <row r="42" spans="1:106" ht="16.5" thickTop="1" x14ac:dyDescent="0.25">
      <c r="G42" s="13"/>
      <c r="J42" s="13"/>
      <c r="M42" s="13"/>
      <c r="P42" s="13"/>
      <c r="S42" s="13"/>
      <c r="V42" s="13"/>
      <c r="Y42" s="13"/>
      <c r="AD42" s="13"/>
      <c r="AG42" s="13"/>
      <c r="AJ42" s="13"/>
      <c r="AM42" s="13"/>
      <c r="AP42" s="13"/>
      <c r="AS42" s="13"/>
      <c r="AW42" s="13"/>
      <c r="AX42" s="13"/>
      <c r="BA42" s="13"/>
      <c r="BD42" s="13"/>
      <c r="BG42" s="13"/>
      <c r="BJ42" s="13"/>
      <c r="BM42" s="13"/>
      <c r="BP42" s="13"/>
      <c r="BS42" s="13"/>
    </row>
    <row r="43" spans="1:106" x14ac:dyDescent="0.25">
      <c r="G43" s="13"/>
      <c r="J43" s="13"/>
      <c r="M43" s="13"/>
      <c r="P43" s="13"/>
      <c r="S43" s="13"/>
      <c r="V43" s="13"/>
      <c r="Y43" s="13"/>
      <c r="AD43" s="13"/>
      <c r="AG43" s="13"/>
      <c r="AJ43" s="13"/>
      <c r="AM43" s="13"/>
      <c r="AP43" s="13"/>
      <c r="AS43" s="13"/>
      <c r="AW43" s="13"/>
      <c r="AX43" s="13"/>
      <c r="BA43" s="13"/>
      <c r="BD43" s="13"/>
      <c r="BG43" s="13"/>
      <c r="BJ43" s="13"/>
      <c r="BM43" s="13"/>
      <c r="BP43" s="13"/>
      <c r="BS43" s="13"/>
    </row>
    <row r="44" spans="1:106" ht="61.5" customHeight="1" x14ac:dyDescent="0.25">
      <c r="G44" s="13"/>
      <c r="J44" s="13"/>
      <c r="M44" s="13"/>
      <c r="P44" s="13"/>
      <c r="S44" s="13"/>
      <c r="V44" s="13"/>
      <c r="Y44" s="13"/>
      <c r="AD44" s="13"/>
      <c r="AG44" s="13"/>
      <c r="AJ44" s="13"/>
      <c r="AM44" s="13"/>
      <c r="AP44" s="13"/>
      <c r="AS44" s="13"/>
      <c r="AW44" s="13"/>
      <c r="AX44" s="13"/>
      <c r="BA44" s="13"/>
      <c r="BD44" s="13"/>
      <c r="BG44" s="13"/>
      <c r="BJ44" s="13"/>
      <c r="BM44" s="13"/>
      <c r="BP44" s="13"/>
      <c r="BS44" s="13"/>
    </row>
    <row r="45" spans="1:106" ht="51" customHeight="1" x14ac:dyDescent="0.25">
      <c r="G45" s="13"/>
      <c r="J45" s="13"/>
      <c r="M45" s="13"/>
      <c r="P45" s="13"/>
      <c r="S45" s="13"/>
      <c r="V45" s="13"/>
      <c r="Y45" s="13"/>
      <c r="AD45" s="13"/>
      <c r="AG45" s="13"/>
      <c r="AJ45" s="13"/>
      <c r="AM45" s="13"/>
      <c r="AP45" s="13"/>
      <c r="AS45" s="13"/>
      <c r="AW45" s="13"/>
      <c r="AX45" s="13"/>
      <c r="BA45" s="13"/>
      <c r="BD45" s="13"/>
      <c r="BG45" s="13"/>
      <c r="BJ45" s="13"/>
      <c r="BM45" s="13"/>
      <c r="BP45" s="13"/>
      <c r="BS45" s="13"/>
    </row>
    <row r="46" spans="1:106" x14ac:dyDescent="0.25">
      <c r="G46" s="13"/>
      <c r="J46" s="13"/>
      <c r="M46" s="13"/>
      <c r="P46" s="13"/>
      <c r="S46" s="13"/>
      <c r="V46" s="13"/>
      <c r="Y46" s="13"/>
      <c r="AD46" s="13"/>
      <c r="AG46" s="13"/>
      <c r="AJ46" s="13"/>
      <c r="AM46" s="13"/>
      <c r="AP46" s="13"/>
      <c r="AS46" s="13"/>
      <c r="AW46" s="13"/>
      <c r="AX46" s="13"/>
      <c r="BA46" s="13"/>
      <c r="BD46" s="13"/>
      <c r="BG46" s="13"/>
      <c r="BJ46" s="13"/>
      <c r="BM46" s="13"/>
      <c r="BP46" s="13"/>
      <c r="BS46" s="13"/>
    </row>
    <row r="47" spans="1:106" x14ac:dyDescent="0.25">
      <c r="G47" s="13"/>
      <c r="J47" s="13"/>
      <c r="M47" s="13"/>
      <c r="P47" s="13"/>
      <c r="S47" s="13"/>
      <c r="V47" s="13"/>
      <c r="Y47" s="13"/>
      <c r="AD47" s="13"/>
      <c r="AG47" s="13"/>
      <c r="AJ47" s="13"/>
      <c r="AM47" s="13"/>
      <c r="AP47" s="13"/>
      <c r="AS47" s="13"/>
      <c r="AW47" s="13"/>
      <c r="AX47" s="13"/>
      <c r="BA47" s="13"/>
      <c r="BD47" s="13"/>
      <c r="BG47" s="13"/>
      <c r="BJ47" s="13"/>
      <c r="BM47" s="13"/>
      <c r="BP47" s="13"/>
      <c r="BS47" s="13"/>
    </row>
    <row r="48" spans="1:106" x14ac:dyDescent="0.25">
      <c r="G48" s="13"/>
      <c r="J48" s="13"/>
      <c r="M48" s="13"/>
      <c r="P48" s="13"/>
      <c r="S48" s="13"/>
      <c r="V48" s="13"/>
      <c r="Y48" s="13"/>
      <c r="AD48" s="13"/>
      <c r="AG48" s="13"/>
      <c r="AJ48" s="13"/>
      <c r="AM48" s="13"/>
      <c r="AP48" s="13"/>
      <c r="AS48" s="13"/>
      <c r="AW48" s="13"/>
      <c r="AX48" s="13"/>
      <c r="BA48" s="13"/>
      <c r="BD48" s="13"/>
      <c r="BG48" s="13"/>
      <c r="BJ48" s="13"/>
      <c r="BM48" s="13"/>
      <c r="BP48" s="13"/>
      <c r="BS48" s="13"/>
    </row>
    <row r="49" spans="7:71" x14ac:dyDescent="0.25">
      <c r="G49" s="13"/>
      <c r="J49" s="13"/>
      <c r="M49" s="13"/>
      <c r="P49" s="13"/>
      <c r="S49" s="13"/>
      <c r="V49" s="13"/>
      <c r="Y49" s="13"/>
      <c r="AD49" s="13"/>
      <c r="AG49" s="13"/>
      <c r="AJ49" s="13"/>
      <c r="AM49" s="13"/>
      <c r="AP49" s="13"/>
      <c r="AS49" s="13"/>
      <c r="AW49" s="13"/>
      <c r="AX49" s="13"/>
      <c r="BA49" s="13"/>
      <c r="BD49" s="13"/>
      <c r="BG49" s="13"/>
      <c r="BJ49" s="13"/>
      <c r="BM49" s="13"/>
      <c r="BP49" s="13"/>
      <c r="BS49" s="13"/>
    </row>
    <row r="50" spans="7:71" x14ac:dyDescent="0.25">
      <c r="G50" s="13"/>
      <c r="J50" s="13"/>
      <c r="M50" s="13"/>
      <c r="P50" s="13"/>
      <c r="S50" s="13"/>
      <c r="V50" s="13"/>
      <c r="Y50" s="13"/>
      <c r="AD50" s="13"/>
      <c r="AG50" s="13"/>
      <c r="AJ50" s="13"/>
      <c r="AM50" s="13"/>
      <c r="AP50" s="13"/>
      <c r="AS50" s="13"/>
      <c r="AW50" s="13"/>
      <c r="AX50" s="13"/>
      <c r="BA50" s="13"/>
      <c r="BD50" s="13"/>
      <c r="BG50" s="13"/>
      <c r="BJ50" s="13"/>
      <c r="BM50" s="13"/>
      <c r="BP50" s="13"/>
      <c r="BS50" s="13"/>
    </row>
    <row r="51" spans="7:71" x14ac:dyDescent="0.25">
      <c r="G51" s="13"/>
      <c r="J51" s="13"/>
      <c r="M51" s="13"/>
      <c r="P51" s="13"/>
      <c r="S51" s="13"/>
      <c r="V51" s="13"/>
      <c r="Y51" s="13"/>
      <c r="AD51" s="13"/>
      <c r="AG51" s="13"/>
      <c r="AJ51" s="13"/>
      <c r="AM51" s="13"/>
      <c r="AP51" s="13"/>
      <c r="AS51" s="13"/>
      <c r="AW51" s="13"/>
      <c r="AX51" s="13"/>
      <c r="BA51" s="13"/>
      <c r="BD51" s="13"/>
      <c r="BG51" s="13"/>
      <c r="BJ51" s="13"/>
      <c r="BM51" s="13"/>
      <c r="BP51" s="13"/>
      <c r="BS51" s="13"/>
    </row>
    <row r="52" spans="7:71" x14ac:dyDescent="0.25">
      <c r="G52" s="13"/>
      <c r="J52" s="13"/>
      <c r="M52" s="13"/>
      <c r="P52" s="13"/>
      <c r="S52" s="13"/>
      <c r="V52" s="13"/>
      <c r="Y52" s="13"/>
      <c r="AD52" s="13"/>
      <c r="AG52" s="13"/>
      <c r="AJ52" s="13"/>
      <c r="AM52" s="13"/>
      <c r="AP52" s="13"/>
      <c r="AS52" s="13"/>
      <c r="AW52" s="13"/>
      <c r="AX52" s="13"/>
      <c r="BA52" s="13"/>
      <c r="BD52" s="13"/>
      <c r="BG52" s="13"/>
      <c r="BJ52" s="13"/>
      <c r="BM52" s="13"/>
      <c r="BP52" s="13"/>
      <c r="BS52" s="13"/>
    </row>
    <row r="53" spans="7:71" x14ac:dyDescent="0.25">
      <c r="G53" s="13"/>
      <c r="J53" s="13"/>
      <c r="M53" s="13"/>
      <c r="P53" s="13"/>
      <c r="S53" s="13"/>
      <c r="V53" s="13"/>
      <c r="Y53" s="13"/>
      <c r="AD53" s="13"/>
      <c r="AG53" s="13"/>
      <c r="AJ53" s="13"/>
      <c r="AM53" s="13"/>
      <c r="AP53" s="13"/>
      <c r="AS53" s="13"/>
      <c r="AW53" s="13"/>
      <c r="AX53" s="13"/>
      <c r="BA53" s="13"/>
      <c r="BD53" s="13"/>
      <c r="BG53" s="13"/>
      <c r="BJ53" s="13"/>
      <c r="BM53" s="13"/>
      <c r="BP53" s="13"/>
      <c r="BS53" s="13"/>
    </row>
    <row r="54" spans="7:71" x14ac:dyDescent="0.25">
      <c r="G54" s="13"/>
      <c r="J54" s="13"/>
      <c r="M54" s="13"/>
      <c r="P54" s="13"/>
      <c r="S54" s="13"/>
      <c r="V54" s="13"/>
      <c r="Y54" s="13"/>
      <c r="AD54" s="13"/>
      <c r="AG54" s="13"/>
      <c r="AJ54" s="13"/>
      <c r="AM54" s="13"/>
      <c r="AP54" s="13"/>
      <c r="AS54" s="13"/>
      <c r="AW54" s="13"/>
      <c r="AX54" s="13"/>
      <c r="BA54" s="13"/>
      <c r="BD54" s="13"/>
      <c r="BG54" s="13"/>
      <c r="BJ54" s="13"/>
      <c r="BM54" s="13"/>
      <c r="BP54" s="13"/>
      <c r="BS54" s="13"/>
    </row>
    <row r="55" spans="7:71" x14ac:dyDescent="0.25">
      <c r="G55" s="13"/>
      <c r="J55" s="13"/>
      <c r="M55" s="13"/>
      <c r="P55" s="13"/>
      <c r="S55" s="13"/>
      <c r="V55" s="13"/>
      <c r="Y55" s="13"/>
      <c r="AD55" s="13"/>
      <c r="AG55" s="13"/>
      <c r="AJ55" s="13"/>
      <c r="AM55" s="13"/>
      <c r="AP55" s="13"/>
      <c r="AS55" s="13"/>
      <c r="AW55" s="13"/>
      <c r="AX55" s="13"/>
      <c r="BA55" s="13"/>
      <c r="BD55" s="13"/>
      <c r="BG55" s="13"/>
      <c r="BJ55" s="13"/>
      <c r="BM55" s="13"/>
      <c r="BP55" s="13"/>
      <c r="BS55" s="13"/>
    </row>
    <row r="56" spans="7:71" x14ac:dyDescent="0.25">
      <c r="G56" s="13"/>
      <c r="J56" s="13"/>
      <c r="M56" s="13"/>
      <c r="P56" s="13"/>
      <c r="S56" s="13"/>
      <c r="V56" s="13"/>
      <c r="Y56" s="13"/>
      <c r="AD56" s="13"/>
      <c r="AG56" s="13"/>
      <c r="AJ56" s="13"/>
      <c r="AM56" s="13"/>
      <c r="AP56" s="13"/>
      <c r="AS56" s="13"/>
      <c r="AW56" s="13"/>
      <c r="AX56" s="13"/>
      <c r="BA56" s="13"/>
      <c r="BD56" s="13"/>
      <c r="BG56" s="13"/>
      <c r="BJ56" s="13"/>
      <c r="BM56" s="13"/>
      <c r="BP56" s="13"/>
      <c r="BS56" s="13"/>
    </row>
    <row r="57" spans="7:71" x14ac:dyDescent="0.25">
      <c r="G57" s="13"/>
      <c r="J57" s="13"/>
      <c r="M57" s="13"/>
      <c r="P57" s="13"/>
      <c r="S57" s="13"/>
      <c r="V57" s="13"/>
      <c r="Y57" s="13"/>
      <c r="AD57" s="13"/>
      <c r="AG57" s="13"/>
      <c r="AJ57" s="13"/>
      <c r="AM57" s="13"/>
      <c r="AP57" s="13"/>
      <c r="AS57" s="13"/>
      <c r="AW57" s="13"/>
      <c r="AX57" s="13"/>
      <c r="BA57" s="13"/>
      <c r="BD57" s="13"/>
      <c r="BG57" s="13"/>
      <c r="BJ57" s="13"/>
      <c r="BM57" s="13"/>
      <c r="BP57" s="13"/>
      <c r="BS57" s="13"/>
    </row>
    <row r="58" spans="7:71" x14ac:dyDescent="0.25">
      <c r="G58" s="13"/>
      <c r="J58" s="13"/>
      <c r="M58" s="13"/>
      <c r="P58" s="13"/>
      <c r="S58" s="13"/>
      <c r="V58" s="13"/>
      <c r="Y58" s="13"/>
      <c r="AD58" s="13"/>
      <c r="AG58" s="13"/>
      <c r="AJ58" s="13"/>
      <c r="AM58" s="13"/>
      <c r="AP58" s="13"/>
      <c r="AS58" s="13"/>
      <c r="AW58" s="13"/>
      <c r="AX58" s="13"/>
      <c r="BA58" s="13"/>
      <c r="BD58" s="13"/>
      <c r="BG58" s="13"/>
      <c r="BJ58" s="13"/>
      <c r="BM58" s="13"/>
      <c r="BP58" s="13"/>
      <c r="BS58" s="13"/>
    </row>
    <row r="59" spans="7:71" x14ac:dyDescent="0.25">
      <c r="G59" s="13"/>
      <c r="J59" s="13"/>
      <c r="M59" s="13"/>
      <c r="P59" s="13"/>
      <c r="S59" s="13"/>
      <c r="V59" s="13"/>
      <c r="Y59" s="13"/>
      <c r="AD59" s="13"/>
      <c r="AG59" s="13"/>
      <c r="AJ59" s="13"/>
      <c r="AM59" s="13"/>
      <c r="AP59" s="13"/>
      <c r="AS59" s="13"/>
      <c r="AW59" s="13"/>
      <c r="AX59" s="13"/>
      <c r="BA59" s="13"/>
      <c r="BD59" s="13"/>
      <c r="BG59" s="13"/>
      <c r="BJ59" s="13"/>
      <c r="BM59" s="13"/>
      <c r="BP59" s="13"/>
      <c r="BS59" s="13"/>
    </row>
    <row r="60" spans="7:71" x14ac:dyDescent="0.25">
      <c r="G60" s="13"/>
      <c r="J60" s="13"/>
      <c r="M60" s="13"/>
      <c r="P60" s="13"/>
      <c r="S60" s="13"/>
      <c r="V60" s="13"/>
      <c r="Y60" s="13"/>
      <c r="AD60" s="13"/>
      <c r="AG60" s="13"/>
      <c r="AJ60" s="13"/>
      <c r="AM60" s="13"/>
      <c r="AP60" s="13"/>
      <c r="AS60" s="13"/>
      <c r="AW60" s="13"/>
      <c r="AX60" s="13"/>
      <c r="BA60" s="13"/>
      <c r="BD60" s="13"/>
      <c r="BG60" s="13"/>
      <c r="BJ60" s="13"/>
      <c r="BM60" s="13"/>
      <c r="BP60" s="13"/>
      <c r="BS60" s="13"/>
    </row>
    <row r="61" spans="7:71" x14ac:dyDescent="0.25">
      <c r="G61" s="13"/>
      <c r="J61" s="13"/>
      <c r="M61" s="13"/>
      <c r="P61" s="13"/>
      <c r="S61" s="13"/>
      <c r="V61" s="13"/>
      <c r="Y61" s="13"/>
      <c r="AD61" s="13"/>
      <c r="AG61" s="13"/>
      <c r="AJ61" s="13"/>
      <c r="AM61" s="13"/>
      <c r="AP61" s="13"/>
      <c r="AS61" s="13"/>
      <c r="AW61" s="13"/>
      <c r="AX61" s="13"/>
      <c r="BA61" s="13"/>
      <c r="BD61" s="13"/>
      <c r="BG61" s="13"/>
      <c r="BJ61" s="13"/>
      <c r="BM61" s="13"/>
      <c r="BP61" s="13"/>
      <c r="BS61" s="13"/>
    </row>
    <row r="62" spans="7:71" x14ac:dyDescent="0.25">
      <c r="G62" s="13"/>
      <c r="J62" s="13"/>
      <c r="M62" s="13"/>
      <c r="P62" s="13"/>
      <c r="S62" s="13"/>
      <c r="V62" s="13"/>
      <c r="Y62" s="13"/>
      <c r="AD62" s="13"/>
      <c r="AG62" s="13"/>
      <c r="AJ62" s="13"/>
      <c r="AM62" s="13"/>
      <c r="AP62" s="13"/>
      <c r="AS62" s="13"/>
      <c r="AW62" s="13"/>
      <c r="AX62" s="13"/>
      <c r="BA62" s="13"/>
      <c r="BD62" s="13"/>
      <c r="BG62" s="13"/>
      <c r="BJ62" s="13"/>
      <c r="BM62" s="13"/>
      <c r="BP62" s="13"/>
      <c r="BS62" s="13"/>
    </row>
    <row r="63" spans="7:71" x14ac:dyDescent="0.25">
      <c r="G63" s="13"/>
      <c r="J63" s="13"/>
      <c r="M63" s="13"/>
      <c r="P63" s="13"/>
      <c r="S63" s="13"/>
      <c r="V63" s="13"/>
      <c r="Y63" s="13"/>
      <c r="AD63" s="13"/>
      <c r="AG63" s="13"/>
      <c r="AJ63" s="13"/>
      <c r="AM63" s="13"/>
      <c r="AP63" s="13"/>
      <c r="AS63" s="13"/>
      <c r="AW63" s="13"/>
      <c r="AX63" s="13"/>
      <c r="BA63" s="13"/>
      <c r="BD63" s="13"/>
      <c r="BG63" s="13"/>
      <c r="BJ63" s="13"/>
      <c r="BM63" s="13"/>
      <c r="BP63" s="13"/>
      <c r="BS63" s="13"/>
    </row>
    <row r="64" spans="7:71" x14ac:dyDescent="0.25">
      <c r="G64" s="13"/>
      <c r="J64" s="13"/>
      <c r="M64" s="13"/>
      <c r="P64" s="13"/>
      <c r="S64" s="13"/>
      <c r="V64" s="13"/>
      <c r="Y64" s="13"/>
      <c r="AD64" s="13"/>
      <c r="AG64" s="13"/>
      <c r="AJ64" s="13"/>
      <c r="AM64" s="13"/>
      <c r="AP64" s="13"/>
      <c r="AS64" s="13"/>
      <c r="AW64" s="13"/>
      <c r="AX64" s="13"/>
      <c r="BA64" s="13"/>
      <c r="BD64" s="13"/>
      <c r="BG64" s="13"/>
      <c r="BJ64" s="13"/>
      <c r="BM64" s="13"/>
      <c r="BP64" s="13"/>
      <c r="BS64" s="13"/>
    </row>
    <row r="65" spans="7:71" x14ac:dyDescent="0.25">
      <c r="G65" s="13"/>
      <c r="J65" s="13"/>
      <c r="M65" s="13"/>
      <c r="P65" s="13"/>
      <c r="S65" s="13"/>
      <c r="V65" s="13"/>
      <c r="Y65" s="13"/>
      <c r="AD65" s="13"/>
      <c r="AG65" s="13"/>
      <c r="AJ65" s="13"/>
      <c r="AM65" s="13"/>
      <c r="AP65" s="13"/>
      <c r="AS65" s="13"/>
      <c r="AW65" s="13"/>
      <c r="AX65" s="13"/>
      <c r="BA65" s="13"/>
      <c r="BD65" s="13"/>
      <c r="BG65" s="13"/>
      <c r="BJ65" s="13"/>
      <c r="BM65" s="13"/>
      <c r="BP65" s="13"/>
      <c r="BS65" s="13"/>
    </row>
    <row r="66" spans="7:71" x14ac:dyDescent="0.25">
      <c r="G66" s="13"/>
      <c r="J66" s="13"/>
      <c r="M66" s="13"/>
      <c r="P66" s="13"/>
      <c r="S66" s="13"/>
      <c r="V66" s="13"/>
      <c r="Y66" s="13"/>
      <c r="AD66" s="13"/>
      <c r="AG66" s="13"/>
      <c r="AJ66" s="13"/>
      <c r="AM66" s="13"/>
      <c r="AP66" s="13"/>
      <c r="AS66" s="13"/>
      <c r="AW66" s="13"/>
      <c r="AX66" s="13"/>
      <c r="BA66" s="13"/>
      <c r="BD66" s="13"/>
      <c r="BG66" s="13"/>
      <c r="BJ66" s="13"/>
      <c r="BM66" s="13"/>
      <c r="BP66" s="13"/>
      <c r="BS66" s="13"/>
    </row>
    <row r="67" spans="7:71" x14ac:dyDescent="0.25">
      <c r="G67" s="13"/>
      <c r="J67" s="13"/>
      <c r="M67" s="13"/>
      <c r="P67" s="13"/>
      <c r="S67" s="13"/>
      <c r="V67" s="13"/>
      <c r="Y67" s="13"/>
      <c r="AD67" s="13"/>
      <c r="AG67" s="13"/>
      <c r="AJ67" s="13"/>
      <c r="AM67" s="13"/>
      <c r="AP67" s="13"/>
      <c r="AS67" s="13"/>
      <c r="AW67" s="13"/>
      <c r="AX67" s="13"/>
      <c r="BA67" s="13"/>
      <c r="BD67" s="13"/>
      <c r="BG67" s="13"/>
      <c r="BJ67" s="13"/>
      <c r="BM67" s="13"/>
      <c r="BP67" s="13"/>
      <c r="BS67" s="13"/>
    </row>
    <row r="68" spans="7:71" x14ac:dyDescent="0.25">
      <c r="G68" s="13"/>
      <c r="J68" s="13"/>
      <c r="M68" s="13"/>
      <c r="P68" s="13"/>
      <c r="S68" s="13"/>
      <c r="V68" s="13"/>
      <c r="Y68" s="13"/>
      <c r="AD68" s="13"/>
      <c r="AG68" s="13"/>
      <c r="AJ68" s="13"/>
      <c r="AM68" s="13"/>
      <c r="AP68" s="13"/>
      <c r="AS68" s="13"/>
      <c r="AW68" s="13"/>
      <c r="AX68" s="13"/>
      <c r="BA68" s="13"/>
      <c r="BD68" s="13"/>
      <c r="BG68" s="13"/>
      <c r="BJ68" s="13"/>
      <c r="BM68" s="13"/>
      <c r="BP68" s="13"/>
      <c r="BS68" s="13"/>
    </row>
    <row r="69" spans="7:71" x14ac:dyDescent="0.25">
      <c r="G69" s="13"/>
      <c r="J69" s="13"/>
      <c r="M69" s="13"/>
      <c r="P69" s="13"/>
      <c r="S69" s="13"/>
      <c r="V69" s="13"/>
      <c r="Y69" s="13"/>
      <c r="AD69" s="13"/>
      <c r="AG69" s="13"/>
      <c r="AJ69" s="13"/>
      <c r="AM69" s="13"/>
      <c r="AP69" s="13"/>
      <c r="AS69" s="13"/>
      <c r="AW69" s="13"/>
      <c r="AX69" s="13"/>
      <c r="BA69" s="13"/>
      <c r="BD69" s="13"/>
      <c r="BG69" s="13"/>
      <c r="BJ69" s="13"/>
      <c r="BM69" s="13"/>
      <c r="BP69" s="13"/>
      <c r="BS69" s="13"/>
    </row>
    <row r="70" spans="7:71" x14ac:dyDescent="0.25">
      <c r="G70" s="13"/>
      <c r="J70" s="13"/>
      <c r="M70" s="13"/>
      <c r="P70" s="13"/>
      <c r="S70" s="13"/>
      <c r="V70" s="13"/>
      <c r="Y70" s="13"/>
      <c r="AD70" s="13"/>
      <c r="AG70" s="13"/>
      <c r="AJ70" s="13"/>
      <c r="AM70" s="13"/>
      <c r="AP70" s="13"/>
      <c r="AS70" s="13"/>
      <c r="AW70" s="13"/>
      <c r="AX70" s="13"/>
      <c r="BA70" s="13"/>
      <c r="BD70" s="13"/>
      <c r="BG70" s="13"/>
      <c r="BJ70" s="13"/>
      <c r="BM70" s="13"/>
      <c r="BP70" s="13"/>
      <c r="BS70" s="13"/>
    </row>
    <row r="71" spans="7:71" x14ac:dyDescent="0.25">
      <c r="G71" s="13"/>
      <c r="J71" s="13"/>
      <c r="M71" s="13"/>
      <c r="P71" s="13"/>
      <c r="S71" s="13"/>
      <c r="V71" s="13"/>
      <c r="Y71" s="13"/>
      <c r="AD71" s="13"/>
      <c r="AG71" s="13"/>
      <c r="AJ71" s="13"/>
      <c r="AM71" s="13"/>
      <c r="AP71" s="13"/>
      <c r="AS71" s="13"/>
      <c r="AW71" s="13"/>
      <c r="AX71" s="13"/>
      <c r="BA71" s="13"/>
      <c r="BD71" s="13"/>
      <c r="BG71" s="13"/>
      <c r="BJ71" s="13"/>
      <c r="BM71" s="13"/>
      <c r="BP71" s="13"/>
      <c r="BS71" s="13"/>
    </row>
    <row r="72" spans="7:71" x14ac:dyDescent="0.25">
      <c r="G72" s="13"/>
      <c r="J72" s="13"/>
      <c r="M72" s="13"/>
      <c r="P72" s="13"/>
      <c r="S72" s="13"/>
      <c r="V72" s="13"/>
      <c r="Y72" s="13"/>
      <c r="AD72" s="13"/>
      <c r="AG72" s="13"/>
      <c r="AJ72" s="13"/>
      <c r="AM72" s="13"/>
      <c r="AP72" s="13"/>
      <c r="AS72" s="13"/>
      <c r="AW72" s="13"/>
      <c r="AX72" s="13"/>
      <c r="BA72" s="13"/>
      <c r="BD72" s="13"/>
      <c r="BG72" s="13"/>
      <c r="BJ72" s="13"/>
      <c r="BM72" s="13"/>
      <c r="BP72" s="13"/>
      <c r="BS72" s="13"/>
    </row>
    <row r="73" spans="7:71" x14ac:dyDescent="0.25">
      <c r="G73" s="13"/>
      <c r="J73" s="13"/>
      <c r="M73" s="13"/>
      <c r="P73" s="13"/>
      <c r="S73" s="13"/>
      <c r="V73" s="13"/>
      <c r="Y73" s="13"/>
      <c r="AD73" s="13"/>
      <c r="AG73" s="13"/>
      <c r="AJ73" s="13"/>
      <c r="AM73" s="13"/>
      <c r="AP73" s="13"/>
      <c r="AS73" s="13"/>
      <c r="AW73" s="13"/>
      <c r="AX73" s="13"/>
      <c r="BA73" s="13"/>
      <c r="BD73" s="13"/>
      <c r="BG73" s="13"/>
      <c r="BJ73" s="13"/>
      <c r="BM73" s="13"/>
      <c r="BP73" s="13"/>
      <c r="BS73" s="13"/>
    </row>
    <row r="74" spans="7:71" x14ac:dyDescent="0.25">
      <c r="G74" s="13"/>
      <c r="J74" s="13"/>
      <c r="M74" s="13"/>
      <c r="P74" s="13"/>
      <c r="S74" s="13"/>
      <c r="V74" s="13"/>
      <c r="Y74" s="13"/>
      <c r="AD74" s="13"/>
      <c r="AG74" s="13"/>
      <c r="AJ74" s="13"/>
      <c r="AM74" s="13"/>
      <c r="AP74" s="13"/>
      <c r="AS74" s="13"/>
      <c r="AW74" s="13"/>
      <c r="AX74" s="13"/>
      <c r="BA74" s="13"/>
      <c r="BD74" s="13"/>
      <c r="BG74" s="13"/>
      <c r="BJ74" s="13"/>
      <c r="BM74" s="13"/>
      <c r="BP74" s="13"/>
      <c r="BS74" s="13"/>
    </row>
    <row r="75" spans="7:71" x14ac:dyDescent="0.25">
      <c r="G75" s="13"/>
      <c r="J75" s="13"/>
      <c r="M75" s="13"/>
      <c r="P75" s="13"/>
      <c r="S75" s="13"/>
      <c r="V75" s="13"/>
      <c r="Y75" s="13"/>
      <c r="AD75" s="13"/>
      <c r="AG75" s="13"/>
      <c r="AJ75" s="13"/>
      <c r="AM75" s="13"/>
      <c r="AP75" s="13"/>
      <c r="AS75" s="13"/>
      <c r="AW75" s="13"/>
      <c r="AX75" s="13"/>
      <c r="BA75" s="13"/>
      <c r="BD75" s="13"/>
      <c r="BG75" s="13"/>
      <c r="BJ75" s="13"/>
      <c r="BM75" s="13"/>
      <c r="BP75" s="13"/>
      <c r="BS75" s="13"/>
    </row>
    <row r="76" spans="7:71" x14ac:dyDescent="0.25">
      <c r="G76" s="13"/>
      <c r="J76" s="13"/>
      <c r="M76" s="13"/>
      <c r="P76" s="13"/>
      <c r="S76" s="13"/>
      <c r="V76" s="13"/>
      <c r="Y76" s="13"/>
      <c r="AD76" s="13"/>
      <c r="AG76" s="13"/>
      <c r="AJ76" s="13"/>
      <c r="AM76" s="13"/>
      <c r="AP76" s="13"/>
      <c r="AS76" s="13"/>
      <c r="AW76" s="13"/>
      <c r="AX76" s="13"/>
      <c r="BA76" s="13"/>
      <c r="BD76" s="13"/>
      <c r="BG76" s="13"/>
      <c r="BJ76" s="13"/>
      <c r="BM76" s="13"/>
      <c r="BP76" s="13"/>
      <c r="BS76" s="13"/>
    </row>
    <row r="77" spans="7:71" x14ac:dyDescent="0.25">
      <c r="G77" s="13"/>
      <c r="J77" s="13"/>
      <c r="M77" s="13"/>
      <c r="P77" s="13"/>
      <c r="S77" s="13"/>
      <c r="V77" s="13"/>
      <c r="Y77" s="13"/>
      <c r="AD77" s="13"/>
      <c r="AG77" s="13"/>
      <c r="AJ77" s="13"/>
      <c r="AM77" s="13"/>
      <c r="AP77" s="13"/>
      <c r="AS77" s="13"/>
      <c r="AW77" s="13"/>
      <c r="AX77" s="13"/>
      <c r="BA77" s="13"/>
      <c r="BD77" s="13"/>
      <c r="BG77" s="13"/>
      <c r="BJ77" s="13"/>
      <c r="BM77" s="13"/>
      <c r="BP77" s="13"/>
      <c r="BS77" s="13"/>
    </row>
    <row r="78" spans="7:71" x14ac:dyDescent="0.25">
      <c r="G78" s="13"/>
      <c r="J78" s="13"/>
      <c r="M78" s="13"/>
      <c r="P78" s="13"/>
      <c r="S78" s="13"/>
      <c r="V78" s="13"/>
      <c r="Y78" s="13"/>
      <c r="AD78" s="13"/>
      <c r="AG78" s="13"/>
      <c r="AJ78" s="13"/>
      <c r="AM78" s="13"/>
      <c r="AP78" s="13"/>
      <c r="AS78" s="13"/>
      <c r="AW78" s="13"/>
      <c r="AX78" s="13"/>
      <c r="BA78" s="13"/>
      <c r="BD78" s="13"/>
      <c r="BG78" s="13"/>
      <c r="BJ78" s="13"/>
      <c r="BM78" s="13"/>
      <c r="BP78" s="13"/>
      <c r="BS78" s="13"/>
    </row>
    <row r="79" spans="7:71" x14ac:dyDescent="0.25">
      <c r="G79" s="13"/>
      <c r="J79" s="13"/>
      <c r="M79" s="13"/>
      <c r="P79" s="13"/>
      <c r="S79" s="13"/>
      <c r="V79" s="13"/>
      <c r="Y79" s="13"/>
      <c r="AD79" s="13"/>
      <c r="AG79" s="13"/>
      <c r="AJ79" s="13"/>
      <c r="AM79" s="13"/>
      <c r="AP79" s="13"/>
      <c r="AS79" s="13"/>
      <c r="AW79" s="13"/>
      <c r="AX79" s="13"/>
      <c r="BA79" s="13"/>
      <c r="BD79" s="13"/>
      <c r="BG79" s="13"/>
      <c r="BJ79" s="13"/>
      <c r="BM79" s="13"/>
      <c r="BP79" s="13"/>
      <c r="BS79" s="13"/>
    </row>
    <row r="80" spans="7:71" x14ac:dyDescent="0.25">
      <c r="G80" s="13"/>
      <c r="J80" s="13"/>
      <c r="M80" s="13"/>
      <c r="P80" s="13"/>
      <c r="S80" s="13"/>
      <c r="V80" s="13"/>
      <c r="Y80" s="13"/>
      <c r="AD80" s="13"/>
      <c r="AG80" s="13"/>
      <c r="AJ80" s="13"/>
      <c r="AM80" s="13"/>
      <c r="AP80" s="13"/>
      <c r="AS80" s="13"/>
      <c r="AW80" s="13"/>
      <c r="AX80" s="13"/>
      <c r="BA80" s="13"/>
      <c r="BD80" s="13"/>
      <c r="BG80" s="13"/>
      <c r="BJ80" s="13"/>
      <c r="BM80" s="13"/>
      <c r="BP80" s="13"/>
      <c r="BS80" s="13"/>
    </row>
    <row r="81" spans="7:71" x14ac:dyDescent="0.25">
      <c r="G81" s="13"/>
      <c r="J81" s="13"/>
      <c r="M81" s="13"/>
      <c r="P81" s="13"/>
      <c r="S81" s="13"/>
      <c r="V81" s="13"/>
      <c r="Y81" s="13"/>
      <c r="AD81" s="13"/>
      <c r="AG81" s="13"/>
      <c r="AJ81" s="13"/>
      <c r="AM81" s="13"/>
      <c r="AP81" s="13"/>
      <c r="AS81" s="13"/>
      <c r="AW81" s="13"/>
      <c r="AX81" s="13"/>
      <c r="BA81" s="13"/>
      <c r="BD81" s="13"/>
      <c r="BG81" s="13"/>
      <c r="BJ81" s="13"/>
      <c r="BM81" s="13"/>
      <c r="BP81" s="13"/>
      <c r="BS81" s="13"/>
    </row>
    <row r="82" spans="7:71" x14ac:dyDescent="0.25">
      <c r="G82" s="13"/>
      <c r="J82" s="13"/>
      <c r="M82" s="13"/>
      <c r="P82" s="13"/>
      <c r="S82" s="13"/>
      <c r="V82" s="13"/>
      <c r="Y82" s="13"/>
      <c r="AD82" s="13"/>
      <c r="AG82" s="13"/>
      <c r="AJ82" s="13"/>
      <c r="AM82" s="13"/>
      <c r="AP82" s="13"/>
      <c r="AS82" s="13"/>
      <c r="AW82" s="13"/>
      <c r="AX82" s="13"/>
      <c r="BA82" s="13"/>
      <c r="BD82" s="13"/>
      <c r="BG82" s="13"/>
      <c r="BJ82" s="13"/>
      <c r="BM82" s="13"/>
      <c r="BP82" s="13"/>
      <c r="BS82" s="13"/>
    </row>
    <row r="83" spans="7:71" x14ac:dyDescent="0.25">
      <c r="G83" s="13"/>
      <c r="J83" s="13"/>
      <c r="M83" s="13"/>
      <c r="P83" s="13"/>
      <c r="S83" s="13"/>
      <c r="V83" s="13"/>
      <c r="Y83" s="13"/>
      <c r="AD83" s="13"/>
      <c r="AG83" s="13"/>
      <c r="AJ83" s="13"/>
      <c r="AM83" s="13"/>
      <c r="AP83" s="13"/>
      <c r="AS83" s="13"/>
      <c r="AW83" s="13"/>
      <c r="AX83" s="13"/>
      <c r="BA83" s="13"/>
      <c r="BD83" s="13"/>
      <c r="BG83" s="13"/>
      <c r="BJ83" s="13"/>
      <c r="BM83" s="13"/>
      <c r="BP83" s="13"/>
      <c r="BS83" s="13"/>
    </row>
    <row r="84" spans="7:71" x14ac:dyDescent="0.25">
      <c r="G84" s="13"/>
      <c r="J84" s="13"/>
      <c r="M84" s="13"/>
      <c r="P84" s="13"/>
      <c r="S84" s="13"/>
      <c r="V84" s="13"/>
      <c r="Y84" s="13"/>
      <c r="AD84" s="13"/>
      <c r="AG84" s="13"/>
      <c r="AJ84" s="13"/>
      <c r="AM84" s="13"/>
      <c r="AP84" s="13"/>
      <c r="AS84" s="13"/>
      <c r="AW84" s="13"/>
      <c r="AX84" s="13"/>
      <c r="BA84" s="13"/>
      <c r="BD84" s="13"/>
      <c r="BG84" s="13"/>
      <c r="BJ84" s="13"/>
      <c r="BM84" s="13"/>
      <c r="BP84" s="13"/>
      <c r="BS84" s="13"/>
    </row>
    <row r="85" spans="7:71" x14ac:dyDescent="0.25">
      <c r="G85" s="13"/>
      <c r="J85" s="13"/>
      <c r="M85" s="13"/>
      <c r="P85" s="13"/>
      <c r="S85" s="13"/>
      <c r="V85" s="13"/>
      <c r="Y85" s="13"/>
      <c r="AD85" s="13"/>
      <c r="AG85" s="13"/>
      <c r="AJ85" s="13"/>
      <c r="AM85" s="13"/>
      <c r="AP85" s="13"/>
      <c r="AS85" s="13"/>
      <c r="AW85" s="13"/>
      <c r="AX85" s="13"/>
      <c r="BA85" s="13"/>
      <c r="BD85" s="13"/>
      <c r="BG85" s="13"/>
      <c r="BJ85" s="13"/>
      <c r="BM85" s="13"/>
      <c r="BP85" s="13"/>
      <c r="BS85" s="13"/>
    </row>
    <row r="86" spans="7:71" x14ac:dyDescent="0.25">
      <c r="G86" s="13"/>
      <c r="J86" s="13"/>
      <c r="M86" s="13"/>
      <c r="P86" s="13"/>
      <c r="S86" s="13"/>
      <c r="V86" s="13"/>
      <c r="Y86" s="13"/>
      <c r="AD86" s="13"/>
      <c r="AG86" s="13"/>
      <c r="AJ86" s="13"/>
      <c r="AM86" s="13"/>
      <c r="AP86" s="13"/>
      <c r="AS86" s="13"/>
      <c r="AW86" s="13"/>
      <c r="AX86" s="13"/>
      <c r="BA86" s="13"/>
      <c r="BD86" s="13"/>
      <c r="BG86" s="13"/>
      <c r="BJ86" s="13"/>
      <c r="BM86" s="13"/>
      <c r="BP86" s="13"/>
      <c r="BS86" s="13"/>
    </row>
    <row r="87" spans="7:71" x14ac:dyDescent="0.25">
      <c r="G87" s="13"/>
      <c r="J87" s="13"/>
      <c r="M87" s="13"/>
      <c r="P87" s="13"/>
      <c r="S87" s="13"/>
      <c r="V87" s="13"/>
      <c r="Y87" s="13"/>
      <c r="AD87" s="13"/>
      <c r="AG87" s="13"/>
      <c r="AJ87" s="13"/>
      <c r="AM87" s="13"/>
      <c r="AP87" s="13"/>
      <c r="AS87" s="13"/>
      <c r="AW87" s="13"/>
      <c r="AX87" s="13"/>
      <c r="BA87" s="13"/>
      <c r="BD87" s="13"/>
      <c r="BG87" s="13"/>
      <c r="BJ87" s="13"/>
      <c r="BM87" s="13"/>
      <c r="BP87" s="13"/>
      <c r="BS87" s="13"/>
    </row>
    <row r="88" spans="7:71" x14ac:dyDescent="0.25">
      <c r="G88" s="13"/>
      <c r="J88" s="13"/>
      <c r="M88" s="13"/>
      <c r="P88" s="13"/>
      <c r="S88" s="13"/>
      <c r="V88" s="13"/>
      <c r="Y88" s="13"/>
      <c r="AD88" s="13"/>
      <c r="AG88" s="13"/>
      <c r="AJ88" s="13"/>
      <c r="AM88" s="13"/>
      <c r="AP88" s="13"/>
      <c r="AS88" s="13"/>
      <c r="AW88" s="13"/>
      <c r="AX88" s="13"/>
      <c r="BA88" s="13"/>
      <c r="BD88" s="13"/>
      <c r="BG88" s="13"/>
      <c r="BJ88" s="13"/>
      <c r="BM88" s="13"/>
      <c r="BP88" s="13"/>
      <c r="BS88" s="13"/>
    </row>
    <row r="89" spans="7:71" x14ac:dyDescent="0.25">
      <c r="G89" s="13"/>
      <c r="J89" s="13"/>
      <c r="M89" s="13"/>
      <c r="P89" s="13"/>
      <c r="S89" s="13"/>
      <c r="V89" s="13"/>
      <c r="Y89" s="13"/>
      <c r="AD89" s="13"/>
      <c r="AG89" s="13"/>
      <c r="AJ89" s="13"/>
      <c r="AM89" s="13"/>
      <c r="AP89" s="13"/>
      <c r="AS89" s="13"/>
      <c r="AW89" s="13"/>
      <c r="AX89" s="13"/>
      <c r="BA89" s="13"/>
      <c r="BD89" s="13"/>
      <c r="BG89" s="13"/>
      <c r="BJ89" s="13"/>
      <c r="BM89" s="13"/>
      <c r="BP89" s="13"/>
      <c r="BS89" s="13"/>
    </row>
    <row r="90" spans="7:71" x14ac:dyDescent="0.25">
      <c r="G90" s="13"/>
      <c r="J90" s="13"/>
      <c r="M90" s="13"/>
      <c r="P90" s="13"/>
      <c r="S90" s="13"/>
      <c r="V90" s="13"/>
      <c r="Y90" s="13"/>
      <c r="AD90" s="13"/>
      <c r="AG90" s="13"/>
      <c r="AJ90" s="13"/>
      <c r="AM90" s="13"/>
      <c r="AP90" s="13"/>
      <c r="AS90" s="13"/>
      <c r="AW90" s="13"/>
      <c r="AX90" s="13"/>
      <c r="BA90" s="13"/>
      <c r="BD90" s="13"/>
      <c r="BG90" s="13"/>
      <c r="BJ90" s="13"/>
      <c r="BM90" s="13"/>
      <c r="BP90" s="13"/>
      <c r="BS90" s="13"/>
    </row>
    <row r="91" spans="7:71" x14ac:dyDescent="0.25">
      <c r="G91" s="13"/>
      <c r="J91" s="13"/>
      <c r="M91" s="13"/>
      <c r="P91" s="13"/>
      <c r="S91" s="13"/>
      <c r="V91" s="13"/>
      <c r="Y91" s="13"/>
      <c r="AD91" s="13"/>
      <c r="AG91" s="13"/>
      <c r="AJ91" s="13"/>
      <c r="AM91" s="13"/>
      <c r="AP91" s="13"/>
      <c r="AS91" s="13"/>
      <c r="AW91" s="13"/>
      <c r="AX91" s="13"/>
      <c r="BA91" s="13"/>
      <c r="BD91" s="13"/>
      <c r="BG91" s="13"/>
      <c r="BJ91" s="13"/>
      <c r="BM91" s="13"/>
      <c r="BP91" s="13"/>
      <c r="BS91" s="13"/>
    </row>
    <row r="92" spans="7:71" x14ac:dyDescent="0.25">
      <c r="G92" s="13"/>
      <c r="J92" s="13"/>
      <c r="M92" s="13"/>
      <c r="P92" s="13"/>
      <c r="S92" s="13"/>
      <c r="V92" s="13"/>
      <c r="Y92" s="13"/>
      <c r="AD92" s="13"/>
      <c r="AG92" s="13"/>
      <c r="AJ92" s="13"/>
      <c r="AM92" s="13"/>
      <c r="AP92" s="13"/>
      <c r="AS92" s="13"/>
      <c r="AW92" s="13"/>
      <c r="AX92" s="13"/>
      <c r="BA92" s="13"/>
      <c r="BD92" s="13"/>
      <c r="BG92" s="13"/>
      <c r="BJ92" s="13"/>
      <c r="BM92" s="13"/>
      <c r="BP92" s="13"/>
      <c r="BS92" s="13"/>
    </row>
    <row r="93" spans="7:71" x14ac:dyDescent="0.25">
      <c r="G93" s="13"/>
      <c r="J93" s="13"/>
      <c r="M93" s="13"/>
      <c r="P93" s="13"/>
      <c r="S93" s="13"/>
      <c r="V93" s="13"/>
      <c r="Y93" s="13"/>
      <c r="AD93" s="13"/>
      <c r="AG93" s="13"/>
      <c r="AJ93" s="13"/>
      <c r="AM93" s="13"/>
      <c r="AP93" s="13"/>
      <c r="AS93" s="13"/>
      <c r="AW93" s="13"/>
      <c r="AX93" s="13"/>
      <c r="BA93" s="13"/>
      <c r="BD93" s="13"/>
      <c r="BG93" s="13"/>
      <c r="BJ93" s="13"/>
      <c r="BM93" s="13"/>
      <c r="BP93" s="13"/>
      <c r="BS93" s="13"/>
    </row>
    <row r="94" spans="7:71" x14ac:dyDescent="0.25">
      <c r="G94" s="13"/>
      <c r="J94" s="13"/>
      <c r="M94" s="13"/>
      <c r="P94" s="13"/>
      <c r="S94" s="13"/>
      <c r="V94" s="13"/>
      <c r="Y94" s="13"/>
      <c r="AD94" s="13"/>
      <c r="AG94" s="13"/>
      <c r="AJ94" s="13"/>
      <c r="AM94" s="13"/>
      <c r="AP94" s="13"/>
      <c r="AS94" s="13"/>
      <c r="AW94" s="13"/>
      <c r="AX94" s="13"/>
      <c r="BA94" s="13"/>
      <c r="BD94" s="13"/>
      <c r="BG94" s="13"/>
      <c r="BJ94" s="13"/>
      <c r="BM94" s="13"/>
      <c r="BP94" s="13"/>
      <c r="BS94" s="13"/>
    </row>
    <row r="95" spans="7:71" x14ac:dyDescent="0.25">
      <c r="G95" s="13"/>
      <c r="J95" s="13"/>
      <c r="M95" s="13"/>
      <c r="P95" s="13"/>
      <c r="S95" s="13"/>
      <c r="V95" s="13"/>
      <c r="Y95" s="13"/>
      <c r="AD95" s="13"/>
      <c r="AG95" s="13"/>
      <c r="AJ95" s="13"/>
      <c r="AM95" s="13"/>
      <c r="AP95" s="13"/>
      <c r="AS95" s="13"/>
      <c r="AW95" s="13"/>
      <c r="AX95" s="13"/>
      <c r="BA95" s="13"/>
      <c r="BD95" s="13"/>
      <c r="BG95" s="13"/>
      <c r="BJ95" s="13"/>
      <c r="BM95" s="13"/>
      <c r="BP95" s="13"/>
      <c r="BS95" s="13"/>
    </row>
    <row r="96" spans="7:71" x14ac:dyDescent="0.25">
      <c r="G96" s="13"/>
      <c r="J96" s="13"/>
      <c r="M96" s="13"/>
      <c r="P96" s="13"/>
      <c r="S96" s="13"/>
      <c r="V96" s="13"/>
      <c r="Y96" s="13"/>
      <c r="AD96" s="13"/>
      <c r="AG96" s="13"/>
      <c r="AJ96" s="13"/>
      <c r="AM96" s="13"/>
      <c r="AP96" s="13"/>
      <c r="AS96" s="13"/>
      <c r="AW96" s="13"/>
      <c r="AX96" s="13"/>
      <c r="BA96" s="13"/>
      <c r="BD96" s="13"/>
      <c r="BG96" s="13"/>
      <c r="BJ96" s="13"/>
      <c r="BM96" s="13"/>
      <c r="BP96" s="13"/>
      <c r="BS96" s="13"/>
    </row>
    <row r="97" spans="7:71" x14ac:dyDescent="0.25">
      <c r="G97" s="13"/>
      <c r="J97" s="13"/>
      <c r="M97" s="13"/>
      <c r="P97" s="13"/>
      <c r="S97" s="13"/>
      <c r="V97" s="13"/>
      <c r="Y97" s="13"/>
      <c r="AD97" s="13"/>
      <c r="AG97" s="13"/>
      <c r="AJ97" s="13"/>
      <c r="AM97" s="13"/>
      <c r="AP97" s="13"/>
      <c r="AS97" s="13"/>
      <c r="AW97" s="13"/>
      <c r="AX97" s="13"/>
      <c r="BA97" s="13"/>
      <c r="BD97" s="13"/>
      <c r="BG97" s="13"/>
      <c r="BJ97" s="13"/>
      <c r="BM97" s="13"/>
      <c r="BP97" s="13"/>
      <c r="BS97" s="13"/>
    </row>
    <row r="98" spans="7:71" x14ac:dyDescent="0.25">
      <c r="G98" s="13"/>
      <c r="J98" s="13"/>
      <c r="M98" s="13"/>
      <c r="P98" s="13"/>
      <c r="S98" s="13"/>
      <c r="V98" s="13"/>
      <c r="Y98" s="13"/>
      <c r="AD98" s="13"/>
      <c r="AG98" s="13"/>
      <c r="AJ98" s="13"/>
      <c r="AM98" s="13"/>
      <c r="AP98" s="13"/>
      <c r="AS98" s="13"/>
      <c r="AW98" s="13"/>
      <c r="AX98" s="13"/>
      <c r="BA98" s="13"/>
      <c r="BD98" s="13"/>
      <c r="BG98" s="13"/>
      <c r="BJ98" s="13"/>
      <c r="BM98" s="13"/>
      <c r="BP98" s="13"/>
      <c r="BS98" s="13"/>
    </row>
    <row r="99" spans="7:71" x14ac:dyDescent="0.25">
      <c r="G99" s="13"/>
      <c r="J99" s="13"/>
      <c r="M99" s="13"/>
      <c r="P99" s="13"/>
      <c r="S99" s="13"/>
      <c r="V99" s="13"/>
      <c r="Y99" s="13"/>
      <c r="AD99" s="13"/>
      <c r="AG99" s="13"/>
      <c r="AJ99" s="13"/>
      <c r="AM99" s="13"/>
      <c r="AP99" s="13"/>
      <c r="AS99" s="13"/>
      <c r="AW99" s="13"/>
      <c r="AX99" s="13"/>
      <c r="BA99" s="13"/>
      <c r="BD99" s="13"/>
      <c r="BG99" s="13"/>
      <c r="BJ99" s="13"/>
      <c r="BM99" s="13"/>
      <c r="BP99" s="13"/>
      <c r="BS99" s="13"/>
    </row>
    <row r="100" spans="7:71" x14ac:dyDescent="0.25">
      <c r="G100" s="13"/>
      <c r="J100" s="13"/>
      <c r="M100" s="13"/>
      <c r="P100" s="13"/>
      <c r="S100" s="13"/>
      <c r="V100" s="13"/>
      <c r="Y100" s="13"/>
      <c r="AD100" s="13"/>
      <c r="AG100" s="13"/>
      <c r="AJ100" s="13"/>
      <c r="AM100" s="13"/>
      <c r="AP100" s="13"/>
      <c r="AS100" s="13"/>
      <c r="AW100" s="13"/>
      <c r="AX100" s="13"/>
      <c r="BA100" s="13"/>
      <c r="BD100" s="13"/>
      <c r="BG100" s="13"/>
      <c r="BJ100" s="13"/>
      <c r="BM100" s="13"/>
      <c r="BP100" s="13"/>
      <c r="BS100" s="13"/>
    </row>
    <row r="101" spans="7:71" x14ac:dyDescent="0.25">
      <c r="G101" s="13"/>
      <c r="J101" s="13"/>
      <c r="M101" s="13"/>
      <c r="P101" s="13"/>
      <c r="S101" s="13"/>
      <c r="V101" s="13"/>
      <c r="Y101" s="13"/>
      <c r="AD101" s="13"/>
      <c r="AG101" s="13"/>
      <c r="AJ101" s="13"/>
      <c r="AM101" s="13"/>
      <c r="AP101" s="13"/>
      <c r="AS101" s="13"/>
      <c r="AW101" s="13"/>
      <c r="AX101" s="13"/>
      <c r="BA101" s="13"/>
      <c r="BD101" s="13"/>
      <c r="BG101" s="13"/>
      <c r="BJ101" s="13"/>
      <c r="BM101" s="13"/>
      <c r="BP101" s="13"/>
      <c r="BS101" s="13"/>
    </row>
    <row r="102" spans="7:71" x14ac:dyDescent="0.25">
      <c r="G102" s="13"/>
      <c r="J102" s="13"/>
      <c r="M102" s="13"/>
      <c r="P102" s="13"/>
      <c r="S102" s="13"/>
      <c r="V102" s="13"/>
      <c r="Y102" s="13"/>
      <c r="AD102" s="13"/>
      <c r="AG102" s="13"/>
      <c r="AJ102" s="13"/>
      <c r="AM102" s="13"/>
      <c r="AP102" s="13"/>
      <c r="AS102" s="13"/>
      <c r="AW102" s="13"/>
      <c r="AX102" s="13"/>
      <c r="BA102" s="13"/>
      <c r="BD102" s="13"/>
      <c r="BG102" s="13"/>
      <c r="BJ102" s="13"/>
      <c r="BM102" s="13"/>
      <c r="BP102" s="13"/>
      <c r="BS102" s="13"/>
    </row>
    <row r="103" spans="7:71" x14ac:dyDescent="0.25">
      <c r="G103" s="13"/>
      <c r="J103" s="13"/>
      <c r="M103" s="13"/>
      <c r="P103" s="13"/>
      <c r="S103" s="13"/>
      <c r="V103" s="13"/>
      <c r="Y103" s="13"/>
      <c r="AD103" s="13"/>
      <c r="AG103" s="13"/>
      <c r="AJ103" s="13"/>
      <c r="AM103" s="13"/>
      <c r="AP103" s="13"/>
      <c r="AS103" s="13"/>
      <c r="AW103" s="13"/>
      <c r="AX103" s="13"/>
      <c r="BA103" s="13"/>
      <c r="BD103" s="13"/>
      <c r="BG103" s="13"/>
      <c r="BJ103" s="13"/>
      <c r="BM103" s="13"/>
      <c r="BP103" s="13"/>
      <c r="BS103" s="13"/>
    </row>
    <row r="104" spans="7:71" x14ac:dyDescent="0.25">
      <c r="G104" s="13"/>
      <c r="J104" s="13"/>
      <c r="M104" s="13"/>
      <c r="P104" s="13"/>
      <c r="S104" s="13"/>
      <c r="V104" s="13"/>
      <c r="Y104" s="13"/>
      <c r="AD104" s="13"/>
      <c r="AG104" s="13"/>
      <c r="AJ104" s="13"/>
      <c r="AM104" s="13"/>
      <c r="AP104" s="13"/>
      <c r="AS104" s="13"/>
      <c r="AW104" s="13"/>
      <c r="AX104" s="13"/>
      <c r="BA104" s="13"/>
      <c r="BD104" s="13"/>
      <c r="BG104" s="13"/>
      <c r="BJ104" s="13"/>
      <c r="BM104" s="13"/>
      <c r="BP104" s="13"/>
      <c r="BS104" s="13"/>
    </row>
    <row r="105" spans="7:71" x14ac:dyDescent="0.25">
      <c r="G105" s="13"/>
      <c r="J105" s="13"/>
      <c r="M105" s="13"/>
      <c r="P105" s="13"/>
      <c r="S105" s="13"/>
      <c r="V105" s="13"/>
      <c r="Y105" s="13"/>
      <c r="AD105" s="13"/>
      <c r="AG105" s="13"/>
      <c r="AJ105" s="13"/>
      <c r="AM105" s="13"/>
      <c r="AP105" s="13"/>
      <c r="AS105" s="13"/>
      <c r="AW105" s="13"/>
      <c r="AX105" s="13"/>
      <c r="BA105" s="13"/>
      <c r="BD105" s="13"/>
      <c r="BG105" s="13"/>
      <c r="BJ105" s="13"/>
      <c r="BM105" s="13"/>
      <c r="BP105" s="13"/>
      <c r="BS105" s="13"/>
    </row>
    <row r="106" spans="7:71" x14ac:dyDescent="0.25">
      <c r="G106" s="13"/>
      <c r="J106" s="13"/>
      <c r="M106" s="13"/>
      <c r="P106" s="13"/>
      <c r="S106" s="13"/>
      <c r="V106" s="13"/>
      <c r="Y106" s="13"/>
      <c r="AD106" s="13"/>
      <c r="AG106" s="13"/>
      <c r="AJ106" s="13"/>
      <c r="AM106" s="13"/>
      <c r="AP106" s="13"/>
      <c r="AS106" s="13"/>
      <c r="AW106" s="13"/>
      <c r="AX106" s="13"/>
      <c r="BA106" s="13"/>
      <c r="BD106" s="13"/>
      <c r="BG106" s="13"/>
      <c r="BJ106" s="13"/>
      <c r="BM106" s="13"/>
      <c r="BP106" s="13"/>
      <c r="BS106" s="13"/>
    </row>
    <row r="107" spans="7:71" x14ac:dyDescent="0.25">
      <c r="G107" s="13"/>
      <c r="J107" s="13"/>
      <c r="M107" s="13"/>
      <c r="P107" s="13"/>
      <c r="S107" s="13"/>
      <c r="V107" s="13"/>
      <c r="Y107" s="13"/>
      <c r="AD107" s="13"/>
      <c r="AG107" s="13"/>
      <c r="AJ107" s="13"/>
      <c r="AM107" s="13"/>
      <c r="AP107" s="13"/>
      <c r="AS107" s="13"/>
      <c r="AW107" s="13"/>
      <c r="AX107" s="13"/>
      <c r="BA107" s="13"/>
      <c r="BD107" s="13"/>
      <c r="BG107" s="13"/>
      <c r="BJ107" s="13"/>
      <c r="BM107" s="13"/>
      <c r="BP107" s="13"/>
      <c r="BS107" s="13"/>
    </row>
    <row r="108" spans="7:71" x14ac:dyDescent="0.25">
      <c r="G108" s="13"/>
      <c r="J108" s="13"/>
      <c r="M108" s="13"/>
      <c r="P108" s="13"/>
      <c r="S108" s="13"/>
      <c r="V108" s="13"/>
      <c r="Y108" s="13"/>
      <c r="AD108" s="13"/>
      <c r="AG108" s="13"/>
      <c r="AJ108" s="13"/>
      <c r="AM108" s="13"/>
      <c r="AP108" s="13"/>
      <c r="AS108" s="13"/>
      <c r="AW108" s="13"/>
      <c r="AX108" s="13"/>
      <c r="BA108" s="13"/>
      <c r="BD108" s="13"/>
      <c r="BG108" s="13"/>
      <c r="BJ108" s="13"/>
      <c r="BM108" s="13"/>
      <c r="BP108" s="13"/>
      <c r="BS108" s="13"/>
    </row>
    <row r="109" spans="7:71" x14ac:dyDescent="0.25">
      <c r="G109" s="13"/>
      <c r="J109" s="13"/>
      <c r="M109" s="13"/>
      <c r="P109" s="13"/>
      <c r="S109" s="13"/>
      <c r="V109" s="13"/>
      <c r="Y109" s="13"/>
      <c r="AD109" s="13"/>
      <c r="AG109" s="13"/>
      <c r="AJ109" s="13"/>
      <c r="AM109" s="13"/>
      <c r="AP109" s="13"/>
      <c r="AS109" s="13"/>
      <c r="AW109" s="13"/>
      <c r="AX109" s="13"/>
      <c r="BA109" s="13"/>
      <c r="BD109" s="13"/>
      <c r="BG109" s="13"/>
      <c r="BJ109" s="13"/>
      <c r="BM109" s="13"/>
      <c r="BP109" s="13"/>
      <c r="BS109" s="13"/>
    </row>
    <row r="110" spans="7:71" x14ac:dyDescent="0.25">
      <c r="G110" s="13"/>
      <c r="J110" s="13"/>
      <c r="M110" s="13"/>
      <c r="P110" s="13"/>
      <c r="S110" s="13"/>
      <c r="V110" s="13"/>
      <c r="Y110" s="13"/>
      <c r="AD110" s="13"/>
      <c r="AG110" s="13"/>
      <c r="AJ110" s="13"/>
      <c r="AM110" s="13"/>
      <c r="AP110" s="13"/>
      <c r="AS110" s="13"/>
      <c r="AW110" s="13"/>
      <c r="AX110" s="13"/>
      <c r="BA110" s="13"/>
      <c r="BD110" s="13"/>
      <c r="BG110" s="13"/>
      <c r="BJ110" s="13"/>
      <c r="BM110" s="13"/>
      <c r="BP110" s="13"/>
      <c r="BS110" s="13"/>
    </row>
    <row r="111" spans="7:71" x14ac:dyDescent="0.25">
      <c r="G111" s="13"/>
      <c r="J111" s="13"/>
      <c r="M111" s="13"/>
      <c r="P111" s="13"/>
      <c r="S111" s="13"/>
      <c r="V111" s="13"/>
      <c r="Y111" s="13"/>
      <c r="AD111" s="13"/>
      <c r="AG111" s="13"/>
      <c r="AJ111" s="13"/>
      <c r="AM111" s="13"/>
      <c r="AP111" s="13"/>
      <c r="AS111" s="13"/>
      <c r="AW111" s="13"/>
      <c r="AX111" s="13"/>
      <c r="BA111" s="13"/>
      <c r="BD111" s="13"/>
      <c r="BG111" s="13"/>
      <c r="BJ111" s="13"/>
      <c r="BM111" s="13"/>
      <c r="BP111" s="13"/>
      <c r="BS111" s="13"/>
    </row>
    <row r="112" spans="7:71" x14ac:dyDescent="0.25">
      <c r="G112" s="13"/>
      <c r="J112" s="13"/>
      <c r="M112" s="13"/>
      <c r="P112" s="13"/>
      <c r="S112" s="13"/>
      <c r="V112" s="13"/>
      <c r="Y112" s="13"/>
      <c r="AD112" s="13"/>
      <c r="AG112" s="13"/>
      <c r="AJ112" s="13"/>
      <c r="AM112" s="13"/>
      <c r="AP112" s="13"/>
      <c r="AS112" s="13"/>
      <c r="AW112" s="13"/>
      <c r="AX112" s="13"/>
      <c r="BA112" s="13"/>
      <c r="BD112" s="13"/>
      <c r="BG112" s="13"/>
      <c r="BJ112" s="13"/>
      <c r="BM112" s="13"/>
      <c r="BP112" s="13"/>
      <c r="BS112" s="13"/>
    </row>
    <row r="113" spans="7:71" x14ac:dyDescent="0.25">
      <c r="G113" s="13"/>
      <c r="J113" s="13"/>
      <c r="M113" s="13"/>
      <c r="P113" s="13"/>
      <c r="S113" s="13"/>
      <c r="V113" s="13"/>
      <c r="Y113" s="13"/>
      <c r="AD113" s="13"/>
      <c r="AG113" s="13"/>
      <c r="AJ113" s="13"/>
      <c r="AM113" s="13"/>
      <c r="AP113" s="13"/>
      <c r="AS113" s="13"/>
      <c r="AW113" s="13"/>
      <c r="AX113" s="13"/>
      <c r="BA113" s="13"/>
      <c r="BD113" s="13"/>
      <c r="BG113" s="13"/>
      <c r="BJ113" s="13"/>
      <c r="BM113" s="13"/>
      <c r="BP113" s="13"/>
      <c r="BS113" s="13"/>
    </row>
    <row r="114" spans="7:71" x14ac:dyDescent="0.25">
      <c r="G114" s="13"/>
      <c r="J114" s="13"/>
      <c r="M114" s="13"/>
      <c r="P114" s="13"/>
      <c r="S114" s="13"/>
      <c r="V114" s="13"/>
      <c r="Y114" s="13"/>
      <c r="AD114" s="13"/>
      <c r="AG114" s="13"/>
      <c r="AJ114" s="13"/>
      <c r="AM114" s="13"/>
      <c r="AP114" s="13"/>
      <c r="AS114" s="13"/>
      <c r="AW114" s="13"/>
      <c r="AX114" s="13"/>
      <c r="BA114" s="13"/>
      <c r="BD114" s="13"/>
      <c r="BG114" s="13"/>
      <c r="BJ114" s="13"/>
      <c r="BM114" s="13"/>
      <c r="BP114" s="13"/>
      <c r="BS114" s="13"/>
    </row>
    <row r="115" spans="7:71" x14ac:dyDescent="0.25">
      <c r="G115" s="13"/>
      <c r="J115" s="13"/>
      <c r="M115" s="13"/>
      <c r="P115" s="13"/>
      <c r="S115" s="13"/>
      <c r="V115" s="13"/>
      <c r="Y115" s="13"/>
      <c r="AD115" s="13"/>
      <c r="AG115" s="13"/>
      <c r="AJ115" s="13"/>
      <c r="AM115" s="13"/>
      <c r="AP115" s="13"/>
      <c r="AS115" s="13"/>
      <c r="AW115" s="13"/>
      <c r="AX115" s="13"/>
      <c r="BA115" s="13"/>
      <c r="BD115" s="13"/>
      <c r="BG115" s="13"/>
      <c r="BJ115" s="13"/>
      <c r="BM115" s="13"/>
      <c r="BP115" s="13"/>
      <c r="BS115" s="13"/>
    </row>
    <row r="116" spans="7:71" x14ac:dyDescent="0.25">
      <c r="G116" s="13"/>
      <c r="J116" s="13"/>
      <c r="M116" s="13"/>
      <c r="P116" s="13"/>
      <c r="S116" s="13"/>
      <c r="V116" s="13"/>
      <c r="Y116" s="13"/>
      <c r="AD116" s="13"/>
      <c r="AG116" s="13"/>
      <c r="AJ116" s="13"/>
      <c r="AM116" s="13"/>
      <c r="AP116" s="13"/>
      <c r="AS116" s="13"/>
      <c r="AW116" s="13"/>
      <c r="AX116" s="13"/>
      <c r="BA116" s="13"/>
      <c r="BD116" s="13"/>
      <c r="BG116" s="13"/>
      <c r="BJ116" s="13"/>
      <c r="BM116" s="13"/>
      <c r="BP116" s="13"/>
      <c r="BS116" s="13"/>
    </row>
    <row r="117" spans="7:71" x14ac:dyDescent="0.25">
      <c r="G117" s="13"/>
      <c r="J117" s="13"/>
      <c r="M117" s="13"/>
      <c r="P117" s="13"/>
      <c r="S117" s="13"/>
      <c r="V117" s="13"/>
      <c r="Y117" s="13"/>
    </row>
  </sheetData>
  <autoFilter ref="A2:AG41">
    <filterColumn colId="4" showButton="0"/>
    <filterColumn colId="5" showButton="0"/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</autoFilter>
  <mergeCells count="37">
    <mergeCell ref="CY2:CZ2"/>
    <mergeCell ref="CK2:CM2"/>
    <mergeCell ref="CN2:CP2"/>
    <mergeCell ref="CQ2:CR2"/>
    <mergeCell ref="CS2:CU2"/>
    <mergeCell ref="CV2:CX2"/>
    <mergeCell ref="AQ2:AS2"/>
    <mergeCell ref="AT2:AV2"/>
    <mergeCell ref="AW2:AX2"/>
    <mergeCell ref="CH2:CJ2"/>
    <mergeCell ref="BB2:BD2"/>
    <mergeCell ref="BE2:BG2"/>
    <mergeCell ref="BH2:BJ2"/>
    <mergeCell ref="BK2:BM2"/>
    <mergeCell ref="BN2:BP2"/>
    <mergeCell ref="BQ2:BS2"/>
    <mergeCell ref="BT2:BU2"/>
    <mergeCell ref="BV2:BX2"/>
    <mergeCell ref="BY2:CA2"/>
    <mergeCell ref="CB2:CD2"/>
    <mergeCell ref="CE2:CG2"/>
    <mergeCell ref="Q2:S2"/>
    <mergeCell ref="DA2:DB2"/>
    <mergeCell ref="A1:D1"/>
    <mergeCell ref="E2:G2"/>
    <mergeCell ref="H2:J2"/>
    <mergeCell ref="K2:M2"/>
    <mergeCell ref="N2:P2"/>
    <mergeCell ref="AY2:BA2"/>
    <mergeCell ref="T2:V2"/>
    <mergeCell ref="W2:Y2"/>
    <mergeCell ref="Z2:AA2"/>
    <mergeCell ref="AB2:AD2"/>
    <mergeCell ref="AE2:AG2"/>
    <mergeCell ref="AH2:AJ2"/>
    <mergeCell ref="AK2:AM2"/>
    <mergeCell ref="AN2:AP2"/>
  </mergeCells>
  <conditionalFormatting sqref="B21:C21 B32 D32:D37 B28:D30">
    <cfRule type="cellIs" dxfId="74" priority="71" operator="equal">
      <formula>"السنة الهجرية"</formula>
    </cfRule>
    <cfRule type="cellIs" dxfId="73" priority="72" operator="equal">
      <formula>"الستة الهجرية"</formula>
    </cfRule>
    <cfRule type="cellIs" dxfId="72" priority="73" operator="equal">
      <formula>"وقفة عرفات"</formula>
    </cfRule>
  </conditionalFormatting>
  <conditionalFormatting sqref="B21:C21 B32 D32:D37 B28:D30">
    <cfRule type="cellIs" dxfId="71" priority="70" operator="equal">
      <formula>"الثورة"</formula>
    </cfRule>
  </conditionalFormatting>
  <conditionalFormatting sqref="B38:D39">
    <cfRule type="cellIs" dxfId="70" priority="69" operator="equal">
      <formula>"راحة"</formula>
    </cfRule>
  </conditionalFormatting>
  <conditionalFormatting sqref="B32 D32:D37 B28:D30">
    <cfRule type="cellIs" dxfId="69" priority="68" operator="equal">
      <formula>"راس السنة"</formula>
    </cfRule>
  </conditionalFormatting>
  <conditionalFormatting sqref="D21">
    <cfRule type="cellIs" dxfId="68" priority="67" operator="equal">
      <formula>"راس السنة"</formula>
    </cfRule>
  </conditionalFormatting>
  <conditionalFormatting sqref="D21">
    <cfRule type="cellIs" dxfId="67" priority="64" operator="equal">
      <formula>"السنة الهجرية"</formula>
    </cfRule>
    <cfRule type="cellIs" dxfId="66" priority="65" operator="equal">
      <formula>"الستة الهجرية"</formula>
    </cfRule>
    <cfRule type="cellIs" dxfId="65" priority="66" operator="equal">
      <formula>"وقفة عرفات"</formula>
    </cfRule>
  </conditionalFormatting>
  <conditionalFormatting sqref="D21">
    <cfRule type="cellIs" dxfId="64" priority="63" operator="equal">
      <formula>"الثورة"</formula>
    </cfRule>
  </conditionalFormatting>
  <conditionalFormatting sqref="B22:C23">
    <cfRule type="cellIs" dxfId="63" priority="62" operator="equal">
      <formula>"راس السنة"</formula>
    </cfRule>
  </conditionalFormatting>
  <conditionalFormatting sqref="B22:C23">
    <cfRule type="cellIs" dxfId="62" priority="59" operator="equal">
      <formula>"السنة الهجرية"</formula>
    </cfRule>
    <cfRule type="cellIs" dxfId="61" priority="60" operator="equal">
      <formula>"الستة الهجرية"</formula>
    </cfRule>
    <cfRule type="cellIs" dxfId="60" priority="61" operator="equal">
      <formula>"وقفة عرفات"</formula>
    </cfRule>
  </conditionalFormatting>
  <conditionalFormatting sqref="B22:C23">
    <cfRule type="cellIs" dxfId="59" priority="58" operator="equal">
      <formula>"الثورة"</formula>
    </cfRule>
  </conditionalFormatting>
  <conditionalFormatting sqref="D22:D23">
    <cfRule type="cellIs" dxfId="58" priority="57" operator="equal">
      <formula>"راس السنة"</formula>
    </cfRule>
  </conditionalFormatting>
  <conditionalFormatting sqref="D22:D23">
    <cfRule type="cellIs" dxfId="57" priority="54" operator="equal">
      <formula>"السنة الهجرية"</formula>
    </cfRule>
    <cfRule type="cellIs" dxfId="56" priority="55" operator="equal">
      <formula>"الستة الهجرية"</formula>
    </cfRule>
    <cfRule type="cellIs" dxfId="55" priority="56" operator="equal">
      <formula>"وقفة عرفات"</formula>
    </cfRule>
  </conditionalFormatting>
  <conditionalFormatting sqref="D22:D23">
    <cfRule type="cellIs" dxfId="54" priority="53" operator="equal">
      <formula>"الثورة"</formula>
    </cfRule>
  </conditionalFormatting>
  <conditionalFormatting sqref="B24:D24">
    <cfRule type="cellIs" dxfId="53" priority="52" operator="equal">
      <formula>"راس السنة"</formula>
    </cfRule>
  </conditionalFormatting>
  <conditionalFormatting sqref="B24:D24">
    <cfRule type="cellIs" dxfId="52" priority="49" operator="equal">
      <formula>"السنة الهجرية"</formula>
    </cfRule>
    <cfRule type="cellIs" dxfId="51" priority="50" operator="equal">
      <formula>"الستة الهجرية"</formula>
    </cfRule>
    <cfRule type="cellIs" dxfId="50" priority="51" operator="equal">
      <formula>"وقفة عرفات"</formula>
    </cfRule>
  </conditionalFormatting>
  <conditionalFormatting sqref="B24:D24">
    <cfRule type="cellIs" dxfId="49" priority="48" operator="equal">
      <formula>"الثورة"</formula>
    </cfRule>
  </conditionalFormatting>
  <conditionalFormatting sqref="B25:D25">
    <cfRule type="cellIs" dxfId="48" priority="47" operator="equal">
      <formula>"راس السنة"</formula>
    </cfRule>
  </conditionalFormatting>
  <conditionalFormatting sqref="B25:D25">
    <cfRule type="cellIs" dxfId="47" priority="44" operator="equal">
      <formula>"السنة الهجرية"</formula>
    </cfRule>
    <cfRule type="cellIs" dxfId="46" priority="45" operator="equal">
      <formula>"الستة الهجرية"</formula>
    </cfRule>
    <cfRule type="cellIs" dxfId="45" priority="46" operator="equal">
      <formula>"وقفة عرفات"</formula>
    </cfRule>
  </conditionalFormatting>
  <conditionalFormatting sqref="B25:D25">
    <cfRule type="cellIs" dxfId="44" priority="43" operator="equal">
      <formula>"الثورة"</formula>
    </cfRule>
  </conditionalFormatting>
  <conditionalFormatting sqref="C32">
    <cfRule type="cellIs" dxfId="43" priority="19" operator="equal">
      <formula>"راس السنة"</formula>
    </cfRule>
  </conditionalFormatting>
  <conditionalFormatting sqref="C32">
    <cfRule type="cellIs" dxfId="42" priority="16" operator="equal">
      <formula>"السنة الهجرية"</formula>
    </cfRule>
    <cfRule type="cellIs" dxfId="41" priority="17" operator="equal">
      <formula>"الستة الهجرية"</formula>
    </cfRule>
    <cfRule type="cellIs" dxfId="40" priority="18" operator="equal">
      <formula>"وقفة عرفات"</formula>
    </cfRule>
  </conditionalFormatting>
  <conditionalFormatting sqref="C32">
    <cfRule type="cellIs" dxfId="39" priority="15" operator="equal">
      <formula>"الثورة"</formula>
    </cfRule>
  </conditionalFormatting>
  <conditionalFormatting sqref="B21:C21 B37:C37 B31:D31 B33:B36">
    <cfRule type="cellIs" dxfId="38" priority="78" operator="equal">
      <formula>"راس السنة"</formula>
    </cfRule>
  </conditionalFormatting>
  <conditionalFormatting sqref="B37:C37 B31:D31 B33:B36">
    <cfRule type="cellIs" dxfId="37" priority="75" operator="equal">
      <formula>"السنة الهجرية"</formula>
    </cfRule>
    <cfRule type="cellIs" dxfId="36" priority="76" operator="equal">
      <formula>"الستة الهجرية"</formula>
    </cfRule>
    <cfRule type="cellIs" dxfId="35" priority="77" operator="equal">
      <formula>"وقفة عرفات"</formula>
    </cfRule>
  </conditionalFormatting>
  <conditionalFormatting sqref="B37:C37 B31:D31 B33:B36">
    <cfRule type="cellIs" dxfId="34" priority="74" operator="equal">
      <formula>"الثورة"</formula>
    </cfRule>
  </conditionalFormatting>
  <conditionalFormatting sqref="B26:D26">
    <cfRule type="cellIs" dxfId="33" priority="42" operator="equal">
      <formula>"الثورة"</formula>
    </cfRule>
  </conditionalFormatting>
  <conditionalFormatting sqref="B26:C26">
    <cfRule type="cellIs" dxfId="32" priority="41" operator="equal">
      <formula>"راس السنة"</formula>
    </cfRule>
  </conditionalFormatting>
  <conditionalFormatting sqref="B26:C26">
    <cfRule type="cellIs" dxfId="31" priority="38" operator="equal">
      <formula>"السنة الهجرية"</formula>
    </cfRule>
    <cfRule type="cellIs" dxfId="30" priority="39" operator="equal">
      <formula>"الستة الهجرية"</formula>
    </cfRule>
    <cfRule type="cellIs" dxfId="29" priority="40" operator="equal">
      <formula>"وقفة عرفات"</formula>
    </cfRule>
  </conditionalFormatting>
  <conditionalFormatting sqref="D26">
    <cfRule type="cellIs" dxfId="28" priority="37" operator="equal">
      <formula>"راس السنة"</formula>
    </cfRule>
  </conditionalFormatting>
  <conditionalFormatting sqref="D26">
    <cfRule type="cellIs" dxfId="27" priority="34" operator="equal">
      <formula>"السنة الهجرية"</formula>
    </cfRule>
    <cfRule type="cellIs" dxfId="26" priority="35" operator="equal">
      <formula>"الستة الهجرية"</formula>
    </cfRule>
    <cfRule type="cellIs" dxfId="25" priority="36" operator="equal">
      <formula>"وقفة عرفات"</formula>
    </cfRule>
  </conditionalFormatting>
  <conditionalFormatting sqref="B27:D27">
    <cfRule type="cellIs" dxfId="24" priority="33" operator="equal">
      <formula>"الثورة"</formula>
    </cfRule>
  </conditionalFormatting>
  <conditionalFormatting sqref="B27:C27">
    <cfRule type="cellIs" dxfId="23" priority="32" operator="equal">
      <formula>"راس السنة"</formula>
    </cfRule>
  </conditionalFormatting>
  <conditionalFormatting sqref="B27:C27">
    <cfRule type="cellIs" dxfId="22" priority="29" operator="equal">
      <formula>"السنة الهجرية"</formula>
    </cfRule>
    <cfRule type="cellIs" dxfId="21" priority="30" operator="equal">
      <formula>"الستة الهجرية"</formula>
    </cfRule>
    <cfRule type="cellIs" dxfId="20" priority="31" operator="equal">
      <formula>"وقفة عرفات"</formula>
    </cfRule>
  </conditionalFormatting>
  <conditionalFormatting sqref="D27">
    <cfRule type="cellIs" dxfId="19" priority="28" operator="equal">
      <formula>"راس السنة"</formula>
    </cfRule>
  </conditionalFormatting>
  <conditionalFormatting sqref="D27">
    <cfRule type="cellIs" dxfId="18" priority="25" operator="equal">
      <formula>"السنة الهجرية"</formula>
    </cfRule>
    <cfRule type="cellIs" dxfId="17" priority="26" operator="equal">
      <formula>"الستة الهجرية"</formula>
    </cfRule>
    <cfRule type="cellIs" dxfId="16" priority="27" operator="equal">
      <formula>"وقفة عرفات"</formula>
    </cfRule>
  </conditionalFormatting>
  <conditionalFormatting sqref="C36">
    <cfRule type="cellIs" dxfId="15" priority="24" operator="equal">
      <formula>"راس السنة"</formula>
    </cfRule>
  </conditionalFormatting>
  <conditionalFormatting sqref="C36">
    <cfRule type="cellIs" dxfId="14" priority="21" operator="equal">
      <formula>"السنة الهجرية"</formula>
    </cfRule>
    <cfRule type="cellIs" dxfId="13" priority="22" operator="equal">
      <formula>"الستة الهجرية"</formula>
    </cfRule>
    <cfRule type="cellIs" dxfId="12" priority="23" operator="equal">
      <formula>"وقفة عرفات"</formula>
    </cfRule>
  </conditionalFormatting>
  <conditionalFormatting sqref="C36">
    <cfRule type="cellIs" dxfId="11" priority="20" operator="equal">
      <formula>"الثورة"</formula>
    </cfRule>
  </conditionalFormatting>
  <conditionalFormatting sqref="B40:D40">
    <cfRule type="cellIs" dxfId="10" priority="14" operator="equal">
      <formula>"راحة"</formula>
    </cfRule>
  </conditionalFormatting>
  <conditionalFormatting sqref="C33:C34">
    <cfRule type="cellIs" dxfId="9" priority="10" operator="equal">
      <formula>"راس السنة"</formula>
    </cfRule>
  </conditionalFormatting>
  <conditionalFormatting sqref="C33:C34">
    <cfRule type="cellIs" dxfId="8" priority="7" operator="equal">
      <formula>"السنة الهجرية"</formula>
    </cfRule>
    <cfRule type="cellIs" dxfId="7" priority="8" operator="equal">
      <formula>"الستة الهجرية"</formula>
    </cfRule>
    <cfRule type="cellIs" dxfId="6" priority="9" operator="equal">
      <formula>"وقفة عرفات"</formula>
    </cfRule>
  </conditionalFormatting>
  <conditionalFormatting sqref="C33:C34">
    <cfRule type="cellIs" dxfId="5" priority="6" operator="equal">
      <formula>"الثورة"</formula>
    </cfRule>
  </conditionalFormatting>
  <conditionalFormatting sqref="C35">
    <cfRule type="cellIs" dxfId="4" priority="5" operator="equal">
      <formula>"راس السنة"</formula>
    </cfRule>
  </conditionalFormatting>
  <conditionalFormatting sqref="C35">
    <cfRule type="cellIs" dxfId="3" priority="2" operator="equal">
      <formula>"السنة الهجرية"</formula>
    </cfRule>
    <cfRule type="cellIs" dxfId="2" priority="3" operator="equal">
      <formula>"الستة الهجرية"</formula>
    </cfRule>
    <cfRule type="cellIs" dxfId="1" priority="4" operator="equal">
      <formula>"وقفة عرفات"</formula>
    </cfRule>
  </conditionalFormatting>
  <conditionalFormatting sqref="C35">
    <cfRule type="cellIs" dxfId="0" priority="1" operator="equal">
      <formula>"الثورة"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rightToLeft="1" workbookViewId="0">
      <selection sqref="A1:G1"/>
    </sheetView>
  </sheetViews>
  <sheetFormatPr defaultRowHeight="15" x14ac:dyDescent="0.25"/>
  <cols>
    <col min="1" max="1" width="6.42578125" bestFit="1" customWidth="1"/>
    <col min="2" max="2" width="15.140625" bestFit="1" customWidth="1"/>
    <col min="3" max="3" width="26.42578125" bestFit="1" customWidth="1"/>
    <col min="4" max="4" width="11.28515625" bestFit="1" customWidth="1"/>
    <col min="5" max="5" width="12.28515625" bestFit="1" customWidth="1"/>
    <col min="6" max="6" width="10.5703125" bestFit="1" customWidth="1"/>
    <col min="7" max="7" width="33.42578125" bestFit="1" customWidth="1"/>
  </cols>
  <sheetData>
    <row r="1" spans="1:7" ht="27" thickBot="1" x14ac:dyDescent="0.45">
      <c r="A1" s="88" t="s">
        <v>62</v>
      </c>
      <c r="B1" s="89"/>
      <c r="C1" s="89"/>
      <c r="D1" s="89"/>
      <c r="E1" s="89"/>
      <c r="F1" s="89"/>
      <c r="G1" s="90"/>
    </row>
    <row r="2" spans="1:7" ht="19.5" thickBot="1" x14ac:dyDescent="0.3">
      <c r="A2" s="55" t="s">
        <v>60</v>
      </c>
      <c r="B2" s="56" t="s">
        <v>10</v>
      </c>
      <c r="C2" s="57" t="s">
        <v>11</v>
      </c>
      <c r="D2" s="58" t="s">
        <v>3</v>
      </c>
      <c r="E2" s="59" t="s">
        <v>4</v>
      </c>
      <c r="F2" s="60" t="s">
        <v>5</v>
      </c>
      <c r="G2" s="61" t="s">
        <v>61</v>
      </c>
    </row>
    <row r="3" spans="1:7" ht="20.25" thickTop="1" thickBot="1" x14ac:dyDescent="0.35">
      <c r="A3" s="62">
        <v>1</v>
      </c>
      <c r="B3" s="63"/>
      <c r="C3" s="64"/>
      <c r="D3" s="65"/>
      <c r="E3" s="66"/>
      <c r="F3" s="67"/>
      <c r="G3" s="68"/>
    </row>
    <row r="4" spans="1:7" ht="20.25" thickTop="1" thickBot="1" x14ac:dyDescent="0.35">
      <c r="A4" s="62">
        <v>2</v>
      </c>
      <c r="B4" s="63"/>
      <c r="C4" s="64"/>
      <c r="D4" s="65"/>
      <c r="E4" s="66"/>
      <c r="F4" s="67"/>
      <c r="G4" s="68"/>
    </row>
    <row r="5" spans="1:7" ht="20.25" thickTop="1" thickBot="1" x14ac:dyDescent="0.35">
      <c r="A5" s="62">
        <v>3</v>
      </c>
      <c r="B5" s="63"/>
      <c r="C5" s="64"/>
      <c r="D5" s="65"/>
      <c r="E5" s="66"/>
      <c r="F5" s="67"/>
      <c r="G5" s="68"/>
    </row>
    <row r="6" spans="1:7" ht="20.25" thickTop="1" thickBot="1" x14ac:dyDescent="0.35">
      <c r="A6" s="62">
        <v>4</v>
      </c>
      <c r="B6" s="63"/>
      <c r="C6" s="64"/>
      <c r="D6" s="65"/>
      <c r="E6" s="66"/>
      <c r="F6" s="67"/>
      <c r="G6" s="68"/>
    </row>
    <row r="7" spans="1:7" ht="20.25" thickTop="1" thickBot="1" x14ac:dyDescent="0.35">
      <c r="A7" s="62">
        <v>5</v>
      </c>
      <c r="B7" s="63"/>
      <c r="C7" s="64"/>
      <c r="D7" s="65"/>
      <c r="E7" s="66"/>
      <c r="F7" s="67"/>
      <c r="G7" s="68"/>
    </row>
    <row r="8" spans="1:7" ht="20.25" thickTop="1" thickBot="1" x14ac:dyDescent="0.35">
      <c r="A8" s="69">
        <v>6</v>
      </c>
      <c r="B8" s="63"/>
      <c r="C8" s="64"/>
      <c r="D8" s="65"/>
      <c r="E8" s="66"/>
      <c r="F8" s="67"/>
      <c r="G8" s="68"/>
    </row>
    <row r="9" spans="1:7" ht="20.25" thickTop="1" thickBot="1" x14ac:dyDescent="0.35">
      <c r="A9" s="69">
        <v>7</v>
      </c>
      <c r="B9" s="63"/>
      <c r="C9" s="64"/>
      <c r="D9" s="65"/>
      <c r="E9" s="66"/>
      <c r="F9" s="67"/>
      <c r="G9" s="68"/>
    </row>
    <row r="10" spans="1:7" ht="20.25" thickTop="1" thickBot="1" x14ac:dyDescent="0.35">
      <c r="A10" s="69">
        <v>8</v>
      </c>
      <c r="B10" s="63"/>
      <c r="C10" s="64"/>
      <c r="D10" s="65"/>
      <c r="E10" s="66"/>
      <c r="F10" s="67"/>
      <c r="G10" s="68"/>
    </row>
    <row r="11" spans="1:7" ht="20.25" thickTop="1" thickBot="1" x14ac:dyDescent="0.35">
      <c r="A11" s="70">
        <v>9</v>
      </c>
      <c r="B11" s="63"/>
      <c r="C11" s="64"/>
      <c r="D11" s="65"/>
      <c r="E11" s="66"/>
      <c r="F11" s="67"/>
      <c r="G11" s="68"/>
    </row>
    <row r="12" spans="1:7" ht="20.25" thickTop="1" thickBot="1" x14ac:dyDescent="0.35">
      <c r="A12" s="70">
        <v>10</v>
      </c>
      <c r="B12" s="63"/>
      <c r="C12" s="64"/>
      <c r="D12" s="65"/>
      <c r="E12" s="66"/>
      <c r="F12" s="67"/>
      <c r="G12" s="68"/>
    </row>
    <row r="13" spans="1:7" ht="20.25" thickTop="1" thickBot="1" x14ac:dyDescent="0.35">
      <c r="A13" s="70">
        <v>11</v>
      </c>
      <c r="B13" s="63"/>
      <c r="C13" s="64"/>
      <c r="D13" s="65"/>
      <c r="E13" s="66"/>
      <c r="F13" s="67"/>
      <c r="G13" s="68"/>
    </row>
    <row r="14" spans="1:7" ht="20.25" thickTop="1" thickBot="1" x14ac:dyDescent="0.35">
      <c r="A14" s="70">
        <v>12</v>
      </c>
      <c r="B14" s="63"/>
      <c r="C14" s="64"/>
      <c r="D14" s="65"/>
      <c r="E14" s="66"/>
      <c r="F14" s="67"/>
      <c r="G14" s="68"/>
    </row>
    <row r="15" spans="1:7" ht="20.25" thickTop="1" thickBot="1" x14ac:dyDescent="0.35">
      <c r="A15" s="70">
        <v>13</v>
      </c>
      <c r="B15" s="63"/>
      <c r="C15" s="64"/>
      <c r="D15" s="65"/>
      <c r="E15" s="66"/>
      <c r="F15" s="67"/>
      <c r="G15" s="68"/>
    </row>
    <row r="16" spans="1:7" ht="20.25" thickTop="1" thickBot="1" x14ac:dyDescent="0.35">
      <c r="A16" s="70">
        <v>14</v>
      </c>
      <c r="B16" s="63"/>
      <c r="C16" s="64"/>
      <c r="D16" s="65"/>
      <c r="E16" s="66"/>
      <c r="F16" s="67"/>
      <c r="G16" s="68"/>
    </row>
    <row r="17" spans="1:7" ht="20.25" thickTop="1" thickBot="1" x14ac:dyDescent="0.35">
      <c r="A17" s="70">
        <v>15</v>
      </c>
      <c r="B17" s="63"/>
      <c r="C17" s="64"/>
      <c r="D17" s="65"/>
      <c r="E17" s="66"/>
      <c r="F17" s="67"/>
      <c r="G17" s="68"/>
    </row>
    <row r="18" spans="1:7" ht="20.25" thickTop="1" thickBot="1" x14ac:dyDescent="0.35">
      <c r="A18" s="70">
        <v>16</v>
      </c>
      <c r="B18" s="63"/>
      <c r="C18" s="64"/>
      <c r="D18" s="65"/>
      <c r="E18" s="66"/>
      <c r="F18" s="67"/>
      <c r="G18" s="68"/>
    </row>
    <row r="19" spans="1:7" ht="20.25" thickTop="1" thickBot="1" x14ac:dyDescent="0.35">
      <c r="A19" s="70">
        <v>17</v>
      </c>
      <c r="B19" s="63"/>
      <c r="C19" s="64"/>
      <c r="D19" s="65"/>
      <c r="E19" s="66"/>
      <c r="F19" s="67"/>
      <c r="G19" s="68"/>
    </row>
    <row r="20" spans="1:7" ht="20.25" thickTop="1" thickBot="1" x14ac:dyDescent="0.35">
      <c r="A20" s="70">
        <v>18</v>
      </c>
      <c r="B20" s="63"/>
      <c r="C20" s="64"/>
      <c r="D20" s="65"/>
      <c r="E20" s="66"/>
      <c r="F20" s="67"/>
      <c r="G20" s="68"/>
    </row>
    <row r="21" spans="1:7" ht="20.25" thickTop="1" thickBot="1" x14ac:dyDescent="0.35">
      <c r="A21" s="70">
        <v>19</v>
      </c>
      <c r="B21" s="63"/>
      <c r="C21" s="64"/>
      <c r="D21" s="65"/>
      <c r="E21" s="66"/>
      <c r="F21" s="67"/>
      <c r="G21" s="68"/>
    </row>
    <row r="22" spans="1:7" ht="20.25" thickTop="1" thickBot="1" x14ac:dyDescent="0.35">
      <c r="A22" s="70">
        <v>20</v>
      </c>
      <c r="B22" s="63"/>
      <c r="C22" s="64"/>
      <c r="D22" s="65"/>
      <c r="E22" s="66"/>
      <c r="F22" s="67"/>
      <c r="G22" s="68"/>
    </row>
    <row r="23" spans="1:7" ht="20.25" thickTop="1" thickBot="1" x14ac:dyDescent="0.35">
      <c r="A23" s="70">
        <v>21</v>
      </c>
      <c r="B23" s="63"/>
      <c r="C23" s="64"/>
      <c r="D23" s="65"/>
      <c r="E23" s="66"/>
      <c r="F23" s="67"/>
      <c r="G23" s="68"/>
    </row>
    <row r="24" spans="1:7" ht="20.25" thickTop="1" thickBot="1" x14ac:dyDescent="0.35">
      <c r="A24" s="70">
        <v>22</v>
      </c>
      <c r="B24" s="63"/>
      <c r="C24" s="64"/>
      <c r="D24" s="65"/>
      <c r="E24" s="66"/>
      <c r="F24" s="67"/>
      <c r="G24" s="68"/>
    </row>
    <row r="25" spans="1:7" ht="20.25" thickTop="1" thickBot="1" x14ac:dyDescent="0.35">
      <c r="A25" s="70">
        <v>23</v>
      </c>
      <c r="B25" s="63"/>
      <c r="C25" s="64"/>
      <c r="D25" s="65"/>
      <c r="E25" s="66"/>
      <c r="F25" s="67"/>
      <c r="G25" s="68"/>
    </row>
    <row r="26" spans="1:7" ht="20.25" thickTop="1" thickBot="1" x14ac:dyDescent="0.35">
      <c r="A26" s="70">
        <v>24</v>
      </c>
      <c r="B26" s="63"/>
      <c r="C26" s="64"/>
      <c r="D26" s="65"/>
      <c r="E26" s="66"/>
      <c r="F26" s="67"/>
      <c r="G26" s="68"/>
    </row>
    <row r="27" spans="1:7" ht="20.25" thickTop="1" thickBot="1" x14ac:dyDescent="0.35">
      <c r="A27" s="70">
        <v>25</v>
      </c>
      <c r="B27" s="63"/>
      <c r="C27" s="64"/>
      <c r="D27" s="65"/>
      <c r="E27" s="66"/>
      <c r="F27" s="67"/>
      <c r="G27" s="68"/>
    </row>
    <row r="28" spans="1:7" ht="20.25" thickTop="1" thickBot="1" x14ac:dyDescent="0.35">
      <c r="A28" s="70">
        <v>26</v>
      </c>
      <c r="B28" s="63"/>
      <c r="C28" s="64"/>
      <c r="D28" s="65"/>
      <c r="E28" s="66"/>
      <c r="F28" s="67"/>
      <c r="G28" s="68"/>
    </row>
    <row r="29" spans="1:7" ht="20.25" thickTop="1" thickBot="1" x14ac:dyDescent="0.35">
      <c r="A29" s="70">
        <v>27</v>
      </c>
      <c r="B29" s="63"/>
      <c r="C29" s="64"/>
      <c r="D29" s="65"/>
      <c r="E29" s="66"/>
      <c r="F29" s="67"/>
      <c r="G29" s="68"/>
    </row>
    <row r="30" spans="1:7" ht="20.25" thickTop="1" thickBot="1" x14ac:dyDescent="0.35">
      <c r="A30" s="70">
        <v>28</v>
      </c>
      <c r="B30" s="63"/>
      <c r="C30" s="64"/>
      <c r="D30" s="65"/>
      <c r="E30" s="66"/>
      <c r="F30" s="67"/>
      <c r="G30" s="68"/>
    </row>
    <row r="31" spans="1:7" ht="20.25" thickTop="1" thickBot="1" x14ac:dyDescent="0.35">
      <c r="A31" s="71">
        <v>29</v>
      </c>
      <c r="B31" s="63"/>
      <c r="C31" s="64"/>
      <c r="D31" s="65"/>
      <c r="E31" s="66"/>
      <c r="F31" s="67"/>
      <c r="G31" s="68"/>
    </row>
    <row r="32" spans="1:7" ht="20.25" thickTop="1" thickBot="1" x14ac:dyDescent="0.35">
      <c r="A32" s="71">
        <v>30</v>
      </c>
      <c r="B32" s="63"/>
      <c r="C32" s="64"/>
      <c r="D32" s="65"/>
      <c r="E32" s="66"/>
      <c r="F32" s="67"/>
      <c r="G32" s="68"/>
    </row>
    <row r="33" spans="1:7" ht="20.25" thickTop="1" thickBot="1" x14ac:dyDescent="0.35">
      <c r="A33" s="71">
        <v>31</v>
      </c>
      <c r="B33" s="63"/>
      <c r="C33" s="64"/>
      <c r="D33" s="65"/>
      <c r="E33" s="66"/>
      <c r="F33" s="67"/>
      <c r="G33" s="68"/>
    </row>
    <row r="34" spans="1:7" ht="20.25" thickTop="1" thickBot="1" x14ac:dyDescent="0.35">
      <c r="A34" s="71">
        <v>32</v>
      </c>
      <c r="B34" s="63"/>
      <c r="C34" s="64"/>
      <c r="D34" s="65"/>
      <c r="E34" s="66"/>
      <c r="F34" s="67"/>
      <c r="G34" s="68"/>
    </row>
    <row r="35" spans="1:7" ht="20.25" thickTop="1" thickBot="1" x14ac:dyDescent="0.35">
      <c r="A35" s="71">
        <v>33</v>
      </c>
      <c r="B35" s="72"/>
      <c r="C35" s="73"/>
      <c r="D35" s="74"/>
      <c r="E35" s="75"/>
      <c r="F35" s="76"/>
      <c r="G35" s="77"/>
    </row>
    <row r="36" spans="1:7" ht="15.75" thickTop="1" x14ac:dyDescent="0.25"/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rightToLeft="1" workbookViewId="0">
      <selection activeCell="D4" sqref="D4"/>
    </sheetView>
  </sheetViews>
  <sheetFormatPr defaultRowHeight="15" x14ac:dyDescent="0.25"/>
  <cols>
    <col min="1" max="1" width="6.42578125" bestFit="1" customWidth="1"/>
    <col min="2" max="2" width="15.140625" bestFit="1" customWidth="1"/>
    <col min="3" max="3" width="26.42578125" bestFit="1" customWidth="1"/>
    <col min="4" max="4" width="11.28515625" bestFit="1" customWidth="1"/>
    <col min="5" max="5" width="12.28515625" bestFit="1" customWidth="1"/>
    <col min="6" max="6" width="10.5703125" bestFit="1" customWidth="1"/>
    <col min="7" max="7" width="33.42578125" bestFit="1" customWidth="1"/>
  </cols>
  <sheetData>
    <row r="1" spans="1:7" ht="27" thickBot="1" x14ac:dyDescent="0.45">
      <c r="A1" s="88" t="s">
        <v>62</v>
      </c>
      <c r="B1" s="89"/>
      <c r="C1" s="89"/>
      <c r="D1" s="89"/>
      <c r="E1" s="89"/>
      <c r="F1" s="89"/>
      <c r="G1" s="90"/>
    </row>
    <row r="2" spans="1:7" ht="19.5" thickBot="1" x14ac:dyDescent="0.3">
      <c r="A2" s="55" t="s">
        <v>60</v>
      </c>
      <c r="B2" s="56" t="s">
        <v>10</v>
      </c>
      <c r="C2" s="57" t="s">
        <v>11</v>
      </c>
      <c r="D2" s="58" t="s">
        <v>3</v>
      </c>
      <c r="E2" s="59" t="s">
        <v>4</v>
      </c>
      <c r="F2" s="60" t="s">
        <v>5</v>
      </c>
      <c r="G2" s="61" t="s">
        <v>61</v>
      </c>
    </row>
    <row r="3" spans="1:7" ht="20.25" thickTop="1" thickBot="1" x14ac:dyDescent="0.35">
      <c r="A3" s="62">
        <v>1</v>
      </c>
      <c r="B3" s="63"/>
      <c r="C3" s="64"/>
      <c r="D3" s="65"/>
      <c r="E3" s="66"/>
      <c r="F3" s="67"/>
      <c r="G3" s="68"/>
    </row>
    <row r="4" spans="1:7" ht="20.25" thickTop="1" thickBot="1" x14ac:dyDescent="0.35">
      <c r="A4" s="62">
        <v>2</v>
      </c>
      <c r="B4" s="63"/>
      <c r="C4" s="64"/>
      <c r="D4" s="65"/>
      <c r="E4" s="66"/>
      <c r="F4" s="67"/>
      <c r="G4" s="68"/>
    </row>
    <row r="5" spans="1:7" ht="20.25" thickTop="1" thickBot="1" x14ac:dyDescent="0.35">
      <c r="A5" s="62">
        <v>3</v>
      </c>
      <c r="B5" s="63"/>
      <c r="C5" s="64"/>
      <c r="D5" s="65"/>
      <c r="E5" s="66"/>
      <c r="F5" s="67"/>
      <c r="G5" s="68"/>
    </row>
    <row r="6" spans="1:7" ht="20.25" thickTop="1" thickBot="1" x14ac:dyDescent="0.35">
      <c r="A6" s="62">
        <v>4</v>
      </c>
      <c r="B6" s="63"/>
      <c r="C6" s="64"/>
      <c r="D6" s="65"/>
      <c r="E6" s="66"/>
      <c r="F6" s="67"/>
      <c r="G6" s="68"/>
    </row>
    <row r="7" spans="1:7" ht="20.25" thickTop="1" thickBot="1" x14ac:dyDescent="0.35">
      <c r="A7" s="62">
        <v>5</v>
      </c>
      <c r="B7" s="63"/>
      <c r="C7" s="64"/>
      <c r="D7" s="65"/>
      <c r="E7" s="66"/>
      <c r="F7" s="67"/>
      <c r="G7" s="68"/>
    </row>
    <row r="8" spans="1:7" ht="20.25" thickTop="1" thickBot="1" x14ac:dyDescent="0.35">
      <c r="A8" s="69">
        <v>6</v>
      </c>
      <c r="B8" s="63"/>
      <c r="C8" s="64"/>
      <c r="D8" s="65"/>
      <c r="E8" s="66"/>
      <c r="F8" s="67"/>
      <c r="G8" s="68"/>
    </row>
    <row r="9" spans="1:7" ht="20.25" thickTop="1" thickBot="1" x14ac:dyDescent="0.35">
      <c r="A9" s="69">
        <v>7</v>
      </c>
      <c r="B9" s="63"/>
      <c r="C9" s="64"/>
      <c r="D9" s="65"/>
      <c r="E9" s="66"/>
      <c r="F9" s="67"/>
      <c r="G9" s="68"/>
    </row>
    <row r="10" spans="1:7" ht="20.25" thickTop="1" thickBot="1" x14ac:dyDescent="0.35">
      <c r="A10" s="69">
        <v>8</v>
      </c>
      <c r="B10" s="63"/>
      <c r="C10" s="64"/>
      <c r="D10" s="65"/>
      <c r="E10" s="66"/>
      <c r="F10" s="67"/>
      <c r="G10" s="68"/>
    </row>
    <row r="11" spans="1:7" ht="20.25" thickTop="1" thickBot="1" x14ac:dyDescent="0.35">
      <c r="A11" s="70">
        <v>9</v>
      </c>
      <c r="B11" s="63"/>
      <c r="C11" s="64"/>
      <c r="D11" s="65"/>
      <c r="E11" s="66"/>
      <c r="F11" s="67"/>
      <c r="G11" s="68"/>
    </row>
    <row r="12" spans="1:7" ht="20.25" thickTop="1" thickBot="1" x14ac:dyDescent="0.35">
      <c r="A12" s="70">
        <v>10</v>
      </c>
      <c r="B12" s="63"/>
      <c r="C12" s="64"/>
      <c r="D12" s="65"/>
      <c r="E12" s="66"/>
      <c r="F12" s="67"/>
      <c r="G12" s="68"/>
    </row>
    <row r="13" spans="1:7" ht="20.25" thickTop="1" thickBot="1" x14ac:dyDescent="0.35">
      <c r="A13" s="70">
        <v>11</v>
      </c>
      <c r="B13" s="63"/>
      <c r="C13" s="64"/>
      <c r="D13" s="65"/>
      <c r="E13" s="66"/>
      <c r="F13" s="67"/>
      <c r="G13" s="68"/>
    </row>
    <row r="14" spans="1:7" ht="20.25" thickTop="1" thickBot="1" x14ac:dyDescent="0.35">
      <c r="A14" s="70">
        <v>12</v>
      </c>
      <c r="B14" s="63"/>
      <c r="C14" s="64"/>
      <c r="D14" s="65"/>
      <c r="E14" s="66"/>
      <c r="F14" s="67"/>
      <c r="G14" s="68"/>
    </row>
    <row r="15" spans="1:7" ht="20.25" thickTop="1" thickBot="1" x14ac:dyDescent="0.35">
      <c r="A15" s="70">
        <v>13</v>
      </c>
      <c r="B15" s="63"/>
      <c r="C15" s="64"/>
      <c r="D15" s="65"/>
      <c r="E15" s="66"/>
      <c r="F15" s="67"/>
      <c r="G15" s="68"/>
    </row>
    <row r="16" spans="1:7" ht="20.25" thickTop="1" thickBot="1" x14ac:dyDescent="0.35">
      <c r="A16" s="70">
        <v>14</v>
      </c>
      <c r="B16" s="63"/>
      <c r="C16" s="64"/>
      <c r="D16" s="65"/>
      <c r="E16" s="66"/>
      <c r="F16" s="67"/>
      <c r="G16" s="68"/>
    </row>
    <row r="17" spans="1:7" ht="20.25" thickTop="1" thickBot="1" x14ac:dyDescent="0.35">
      <c r="A17" s="70">
        <v>15</v>
      </c>
      <c r="B17" s="63"/>
      <c r="C17" s="64"/>
      <c r="D17" s="65"/>
      <c r="E17" s="66"/>
      <c r="F17" s="67"/>
      <c r="G17" s="68"/>
    </row>
    <row r="18" spans="1:7" ht="20.25" thickTop="1" thickBot="1" x14ac:dyDescent="0.35">
      <c r="A18" s="70">
        <v>16</v>
      </c>
      <c r="B18" s="63"/>
      <c r="C18" s="64"/>
      <c r="D18" s="65"/>
      <c r="E18" s="66"/>
      <c r="F18" s="67"/>
      <c r="G18" s="68"/>
    </row>
    <row r="19" spans="1:7" ht="20.25" thickTop="1" thickBot="1" x14ac:dyDescent="0.35">
      <c r="A19" s="70">
        <v>17</v>
      </c>
      <c r="B19" s="63"/>
      <c r="C19" s="64"/>
      <c r="D19" s="65"/>
      <c r="E19" s="66"/>
      <c r="F19" s="67"/>
      <c r="G19" s="68"/>
    </row>
    <row r="20" spans="1:7" ht="20.25" thickTop="1" thickBot="1" x14ac:dyDescent="0.35">
      <c r="A20" s="70">
        <v>18</v>
      </c>
      <c r="B20" s="63"/>
      <c r="C20" s="64"/>
      <c r="D20" s="65"/>
      <c r="E20" s="66"/>
      <c r="F20" s="67"/>
      <c r="G20" s="68"/>
    </row>
    <row r="21" spans="1:7" ht="20.25" thickTop="1" thickBot="1" x14ac:dyDescent="0.35">
      <c r="A21" s="70">
        <v>19</v>
      </c>
      <c r="B21" s="63"/>
      <c r="C21" s="64"/>
      <c r="D21" s="65"/>
      <c r="E21" s="66"/>
      <c r="F21" s="67"/>
      <c r="G21" s="68"/>
    </row>
    <row r="22" spans="1:7" ht="20.25" thickTop="1" thickBot="1" x14ac:dyDescent="0.35">
      <c r="A22" s="70">
        <v>20</v>
      </c>
      <c r="B22" s="63"/>
      <c r="C22" s="64"/>
      <c r="D22" s="65"/>
      <c r="E22" s="66"/>
      <c r="F22" s="67"/>
      <c r="G22" s="68"/>
    </row>
    <row r="23" spans="1:7" ht="20.25" thickTop="1" thickBot="1" x14ac:dyDescent="0.35">
      <c r="A23" s="70">
        <v>21</v>
      </c>
      <c r="B23" s="63"/>
      <c r="C23" s="64"/>
      <c r="D23" s="65"/>
      <c r="E23" s="66"/>
      <c r="F23" s="67"/>
      <c r="G23" s="68"/>
    </row>
    <row r="24" spans="1:7" ht="20.25" thickTop="1" thickBot="1" x14ac:dyDescent="0.35">
      <c r="A24" s="70">
        <v>22</v>
      </c>
      <c r="B24" s="63"/>
      <c r="C24" s="64"/>
      <c r="D24" s="65"/>
      <c r="E24" s="66"/>
      <c r="F24" s="67"/>
      <c r="G24" s="68"/>
    </row>
    <row r="25" spans="1:7" ht="20.25" thickTop="1" thickBot="1" x14ac:dyDescent="0.35">
      <c r="A25" s="70">
        <v>23</v>
      </c>
      <c r="B25" s="63"/>
      <c r="C25" s="64"/>
      <c r="D25" s="65"/>
      <c r="E25" s="66"/>
      <c r="F25" s="67"/>
      <c r="G25" s="68"/>
    </row>
    <row r="26" spans="1:7" ht="20.25" thickTop="1" thickBot="1" x14ac:dyDescent="0.35">
      <c r="A26" s="70">
        <v>24</v>
      </c>
      <c r="B26" s="63"/>
      <c r="C26" s="64"/>
      <c r="D26" s="65"/>
      <c r="E26" s="66"/>
      <c r="F26" s="67"/>
      <c r="G26" s="68"/>
    </row>
    <row r="27" spans="1:7" ht="20.25" thickTop="1" thickBot="1" x14ac:dyDescent="0.35">
      <c r="A27" s="70">
        <v>25</v>
      </c>
      <c r="B27" s="63"/>
      <c r="C27" s="64"/>
      <c r="D27" s="65"/>
      <c r="E27" s="66"/>
      <c r="F27" s="67"/>
      <c r="G27" s="68"/>
    </row>
    <row r="28" spans="1:7" ht="20.25" thickTop="1" thickBot="1" x14ac:dyDescent="0.35">
      <c r="A28" s="70">
        <v>26</v>
      </c>
      <c r="B28" s="63"/>
      <c r="C28" s="64"/>
      <c r="D28" s="65"/>
      <c r="E28" s="66"/>
      <c r="F28" s="67"/>
      <c r="G28" s="68"/>
    </row>
    <row r="29" spans="1:7" ht="20.25" thickTop="1" thickBot="1" x14ac:dyDescent="0.35">
      <c r="A29" s="70">
        <v>27</v>
      </c>
      <c r="B29" s="63"/>
      <c r="C29" s="64"/>
      <c r="D29" s="65"/>
      <c r="E29" s="66"/>
      <c r="F29" s="67"/>
      <c r="G29" s="68"/>
    </row>
    <row r="30" spans="1:7" ht="20.25" thickTop="1" thickBot="1" x14ac:dyDescent="0.35">
      <c r="A30" s="70">
        <v>28</v>
      </c>
      <c r="B30" s="63"/>
      <c r="C30" s="64"/>
      <c r="D30" s="65"/>
      <c r="E30" s="66"/>
      <c r="F30" s="67"/>
      <c r="G30" s="68"/>
    </row>
    <row r="31" spans="1:7" ht="20.25" thickTop="1" thickBot="1" x14ac:dyDescent="0.35">
      <c r="A31" s="71">
        <v>29</v>
      </c>
      <c r="B31" s="63"/>
      <c r="C31" s="64"/>
      <c r="D31" s="65"/>
      <c r="E31" s="66"/>
      <c r="F31" s="67"/>
      <c r="G31" s="68"/>
    </row>
    <row r="32" spans="1:7" ht="20.25" thickTop="1" thickBot="1" x14ac:dyDescent="0.35">
      <c r="A32" s="71">
        <v>30</v>
      </c>
      <c r="B32" s="63"/>
      <c r="C32" s="64"/>
      <c r="D32" s="65"/>
      <c r="E32" s="66"/>
      <c r="F32" s="67"/>
      <c r="G32" s="68"/>
    </row>
    <row r="33" spans="1:7" ht="20.25" thickTop="1" thickBot="1" x14ac:dyDescent="0.35">
      <c r="A33" s="71">
        <v>31</v>
      </c>
      <c r="B33" s="63"/>
      <c r="C33" s="64"/>
      <c r="D33" s="65"/>
      <c r="E33" s="66"/>
      <c r="F33" s="67"/>
      <c r="G33" s="68"/>
    </row>
    <row r="34" spans="1:7" ht="20.25" thickTop="1" thickBot="1" x14ac:dyDescent="0.35">
      <c r="A34" s="71">
        <v>32</v>
      </c>
      <c r="B34" s="63"/>
      <c r="C34" s="64"/>
      <c r="D34" s="65"/>
      <c r="E34" s="66"/>
      <c r="F34" s="67"/>
      <c r="G34" s="68"/>
    </row>
    <row r="35" spans="1:7" ht="20.25" thickTop="1" thickBot="1" x14ac:dyDescent="0.35">
      <c r="A35" s="71">
        <v>33</v>
      </c>
      <c r="B35" s="72"/>
      <c r="C35" s="73"/>
      <c r="D35" s="74"/>
      <c r="E35" s="75"/>
      <c r="F35" s="76"/>
      <c r="G35" s="77"/>
    </row>
    <row r="36" spans="1:7" ht="15.75" thickTop="1" x14ac:dyDescent="0.25"/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rightToLeft="1" workbookViewId="0">
      <selection activeCell="C23" sqref="C23"/>
    </sheetView>
  </sheetViews>
  <sheetFormatPr defaultRowHeight="15" x14ac:dyDescent="0.25"/>
  <cols>
    <col min="1" max="1" width="6.42578125" bestFit="1" customWidth="1"/>
    <col min="2" max="2" width="15.140625" bestFit="1" customWidth="1"/>
    <col min="3" max="3" width="26.42578125" bestFit="1" customWidth="1"/>
    <col min="4" max="4" width="11.28515625" bestFit="1" customWidth="1"/>
    <col min="5" max="5" width="12.28515625" bestFit="1" customWidth="1"/>
    <col min="6" max="6" width="10.5703125" bestFit="1" customWidth="1"/>
    <col min="7" max="7" width="33.42578125" bestFit="1" customWidth="1"/>
  </cols>
  <sheetData>
    <row r="1" spans="1:7" ht="27" thickBot="1" x14ac:dyDescent="0.45">
      <c r="A1" s="88" t="s">
        <v>62</v>
      </c>
      <c r="B1" s="89"/>
      <c r="C1" s="89"/>
      <c r="D1" s="89"/>
      <c r="E1" s="89"/>
      <c r="F1" s="89"/>
      <c r="G1" s="90"/>
    </row>
    <row r="2" spans="1:7" ht="19.5" thickBot="1" x14ac:dyDescent="0.3">
      <c r="A2" s="55" t="s">
        <v>60</v>
      </c>
      <c r="B2" s="56" t="s">
        <v>10</v>
      </c>
      <c r="C2" s="57" t="s">
        <v>11</v>
      </c>
      <c r="D2" s="58" t="s">
        <v>3</v>
      </c>
      <c r="E2" s="59" t="s">
        <v>4</v>
      </c>
      <c r="F2" s="60" t="s">
        <v>5</v>
      </c>
      <c r="G2" s="61" t="s">
        <v>61</v>
      </c>
    </row>
    <row r="3" spans="1:7" ht="20.25" thickTop="1" thickBot="1" x14ac:dyDescent="0.35">
      <c r="A3" s="62">
        <v>1</v>
      </c>
      <c r="B3" s="63"/>
      <c r="C3" s="64"/>
      <c r="D3" s="65"/>
      <c r="E3" s="66"/>
      <c r="F3" s="67"/>
      <c r="G3" s="68"/>
    </row>
    <row r="4" spans="1:7" ht="20.25" thickTop="1" thickBot="1" x14ac:dyDescent="0.35">
      <c r="A4" s="62">
        <v>2</v>
      </c>
      <c r="B4" s="63"/>
      <c r="C4" s="64"/>
      <c r="D4" s="65"/>
      <c r="E4" s="66"/>
      <c r="F4" s="67"/>
      <c r="G4" s="68"/>
    </row>
    <row r="5" spans="1:7" ht="20.25" thickTop="1" thickBot="1" x14ac:dyDescent="0.35">
      <c r="A5" s="62">
        <v>3</v>
      </c>
      <c r="B5" s="63"/>
      <c r="C5" s="64"/>
      <c r="D5" s="65"/>
      <c r="E5" s="66"/>
      <c r="F5" s="67"/>
      <c r="G5" s="68"/>
    </row>
    <row r="6" spans="1:7" ht="20.25" thickTop="1" thickBot="1" x14ac:dyDescent="0.35">
      <c r="A6" s="62">
        <v>4</v>
      </c>
      <c r="B6" s="63"/>
      <c r="C6" s="64"/>
      <c r="D6" s="65"/>
      <c r="E6" s="66"/>
      <c r="F6" s="67"/>
      <c r="G6" s="68"/>
    </row>
    <row r="7" spans="1:7" ht="20.25" thickTop="1" thickBot="1" x14ac:dyDescent="0.35">
      <c r="A7" s="62">
        <v>5</v>
      </c>
      <c r="B7" s="63"/>
      <c r="C7" s="64"/>
      <c r="D7" s="65"/>
      <c r="E7" s="66"/>
      <c r="F7" s="67"/>
      <c r="G7" s="68"/>
    </row>
    <row r="8" spans="1:7" ht="20.25" thickTop="1" thickBot="1" x14ac:dyDescent="0.35">
      <c r="A8" s="69">
        <v>6</v>
      </c>
      <c r="B8" s="63"/>
      <c r="C8" s="64"/>
      <c r="D8" s="65"/>
      <c r="E8" s="66"/>
      <c r="F8" s="67"/>
      <c r="G8" s="68"/>
    </row>
    <row r="9" spans="1:7" ht="20.25" thickTop="1" thickBot="1" x14ac:dyDescent="0.35">
      <c r="A9" s="69">
        <v>7</v>
      </c>
      <c r="B9" s="63"/>
      <c r="C9" s="64"/>
      <c r="D9" s="65"/>
      <c r="E9" s="66"/>
      <c r="F9" s="67"/>
      <c r="G9" s="68"/>
    </row>
    <row r="10" spans="1:7" ht="20.25" thickTop="1" thickBot="1" x14ac:dyDescent="0.35">
      <c r="A10" s="69">
        <v>8</v>
      </c>
      <c r="B10" s="63"/>
      <c r="C10" s="64"/>
      <c r="D10" s="65"/>
      <c r="E10" s="66"/>
      <c r="F10" s="67"/>
      <c r="G10" s="68"/>
    </row>
    <row r="11" spans="1:7" ht="20.25" thickTop="1" thickBot="1" x14ac:dyDescent="0.35">
      <c r="A11" s="70">
        <v>9</v>
      </c>
      <c r="B11" s="63"/>
      <c r="C11" s="64"/>
      <c r="D11" s="65"/>
      <c r="E11" s="66"/>
      <c r="F11" s="67"/>
      <c r="G11" s="68"/>
    </row>
    <row r="12" spans="1:7" ht="20.25" thickTop="1" thickBot="1" x14ac:dyDescent="0.35">
      <c r="A12" s="70">
        <v>10</v>
      </c>
      <c r="B12" s="63"/>
      <c r="C12" s="64"/>
      <c r="D12" s="65"/>
      <c r="E12" s="66"/>
      <c r="F12" s="67"/>
      <c r="G12" s="68"/>
    </row>
    <row r="13" spans="1:7" ht="20.25" thickTop="1" thickBot="1" x14ac:dyDescent="0.35">
      <c r="A13" s="70">
        <v>11</v>
      </c>
      <c r="B13" s="63"/>
      <c r="C13" s="64"/>
      <c r="D13" s="65"/>
      <c r="E13" s="66"/>
      <c r="F13" s="67"/>
      <c r="G13" s="68"/>
    </row>
    <row r="14" spans="1:7" ht="20.25" thickTop="1" thickBot="1" x14ac:dyDescent="0.35">
      <c r="A14" s="70">
        <v>12</v>
      </c>
      <c r="B14" s="63"/>
      <c r="C14" s="64"/>
      <c r="D14" s="65"/>
      <c r="E14" s="66"/>
      <c r="F14" s="67"/>
      <c r="G14" s="68"/>
    </row>
    <row r="15" spans="1:7" ht="20.25" thickTop="1" thickBot="1" x14ac:dyDescent="0.35">
      <c r="A15" s="70">
        <v>13</v>
      </c>
      <c r="B15" s="63"/>
      <c r="C15" s="64"/>
      <c r="D15" s="65"/>
      <c r="E15" s="66"/>
      <c r="F15" s="67"/>
      <c r="G15" s="68"/>
    </row>
    <row r="16" spans="1:7" ht="20.25" thickTop="1" thickBot="1" x14ac:dyDescent="0.35">
      <c r="A16" s="70">
        <v>14</v>
      </c>
      <c r="B16" s="63"/>
      <c r="C16" s="64"/>
      <c r="D16" s="65"/>
      <c r="E16" s="66"/>
      <c r="F16" s="67"/>
      <c r="G16" s="68"/>
    </row>
    <row r="17" spans="1:7" ht="20.25" thickTop="1" thickBot="1" x14ac:dyDescent="0.35">
      <c r="A17" s="70">
        <v>15</v>
      </c>
      <c r="B17" s="63"/>
      <c r="C17" s="64"/>
      <c r="D17" s="65"/>
      <c r="E17" s="66"/>
      <c r="F17" s="67"/>
      <c r="G17" s="68"/>
    </row>
    <row r="18" spans="1:7" ht="20.25" thickTop="1" thickBot="1" x14ac:dyDescent="0.35">
      <c r="A18" s="70">
        <v>16</v>
      </c>
      <c r="B18" s="63"/>
      <c r="C18" s="64"/>
      <c r="D18" s="65"/>
      <c r="E18" s="66"/>
      <c r="F18" s="67"/>
      <c r="G18" s="68"/>
    </row>
    <row r="19" spans="1:7" ht="20.25" thickTop="1" thickBot="1" x14ac:dyDescent="0.35">
      <c r="A19" s="70">
        <v>17</v>
      </c>
      <c r="B19" s="63"/>
      <c r="C19" s="64"/>
      <c r="D19" s="65"/>
      <c r="E19" s="66"/>
      <c r="F19" s="67"/>
      <c r="G19" s="68"/>
    </row>
    <row r="20" spans="1:7" ht="20.25" thickTop="1" thickBot="1" x14ac:dyDescent="0.35">
      <c r="A20" s="70">
        <v>18</v>
      </c>
      <c r="B20" s="63"/>
      <c r="C20" s="64"/>
      <c r="D20" s="65"/>
      <c r="E20" s="66"/>
      <c r="F20" s="67"/>
      <c r="G20" s="68"/>
    </row>
    <row r="21" spans="1:7" ht="20.25" thickTop="1" thickBot="1" x14ac:dyDescent="0.35">
      <c r="A21" s="70">
        <v>19</v>
      </c>
      <c r="B21" s="63"/>
      <c r="C21" s="64"/>
      <c r="D21" s="65"/>
      <c r="E21" s="66"/>
      <c r="F21" s="67"/>
      <c r="G21" s="68"/>
    </row>
    <row r="22" spans="1:7" ht="20.25" thickTop="1" thickBot="1" x14ac:dyDescent="0.35">
      <c r="A22" s="70">
        <v>20</v>
      </c>
      <c r="B22" s="63"/>
      <c r="C22" s="64"/>
      <c r="D22" s="65"/>
      <c r="E22" s="66"/>
      <c r="F22" s="67"/>
      <c r="G22" s="68"/>
    </row>
    <row r="23" spans="1:7" ht="20.25" thickTop="1" thickBot="1" x14ac:dyDescent="0.35">
      <c r="A23" s="70">
        <v>21</v>
      </c>
      <c r="B23" s="63"/>
      <c r="C23" s="64"/>
      <c r="D23" s="65"/>
      <c r="E23" s="66"/>
      <c r="F23" s="67"/>
      <c r="G23" s="68"/>
    </row>
    <row r="24" spans="1:7" ht="20.25" thickTop="1" thickBot="1" x14ac:dyDescent="0.35">
      <c r="A24" s="70">
        <v>22</v>
      </c>
      <c r="B24" s="63"/>
      <c r="C24" s="64"/>
      <c r="D24" s="65"/>
      <c r="E24" s="66"/>
      <c r="F24" s="67"/>
      <c r="G24" s="68"/>
    </row>
    <row r="25" spans="1:7" ht="20.25" thickTop="1" thickBot="1" x14ac:dyDescent="0.35">
      <c r="A25" s="70">
        <v>23</v>
      </c>
      <c r="B25" s="63"/>
      <c r="C25" s="64"/>
      <c r="D25" s="65"/>
      <c r="E25" s="66"/>
      <c r="F25" s="67"/>
      <c r="G25" s="68"/>
    </row>
    <row r="26" spans="1:7" ht="20.25" thickTop="1" thickBot="1" x14ac:dyDescent="0.35">
      <c r="A26" s="70">
        <v>24</v>
      </c>
      <c r="B26" s="63"/>
      <c r="C26" s="64"/>
      <c r="D26" s="65"/>
      <c r="E26" s="66"/>
      <c r="F26" s="67"/>
      <c r="G26" s="68"/>
    </row>
    <row r="27" spans="1:7" ht="20.25" thickTop="1" thickBot="1" x14ac:dyDescent="0.35">
      <c r="A27" s="70">
        <v>25</v>
      </c>
      <c r="B27" s="63"/>
      <c r="C27" s="64"/>
      <c r="D27" s="65"/>
      <c r="E27" s="66"/>
      <c r="F27" s="67"/>
      <c r="G27" s="68"/>
    </row>
    <row r="28" spans="1:7" ht="20.25" thickTop="1" thickBot="1" x14ac:dyDescent="0.35">
      <c r="A28" s="70">
        <v>26</v>
      </c>
      <c r="B28" s="63"/>
      <c r="C28" s="64"/>
      <c r="D28" s="65"/>
      <c r="E28" s="66"/>
      <c r="F28" s="67"/>
      <c r="G28" s="68"/>
    </row>
    <row r="29" spans="1:7" ht="20.25" thickTop="1" thickBot="1" x14ac:dyDescent="0.35">
      <c r="A29" s="70">
        <v>27</v>
      </c>
      <c r="B29" s="63"/>
      <c r="C29" s="64"/>
      <c r="D29" s="65"/>
      <c r="E29" s="66"/>
      <c r="F29" s="67"/>
      <c r="G29" s="68"/>
    </row>
    <row r="30" spans="1:7" ht="20.25" thickTop="1" thickBot="1" x14ac:dyDescent="0.35">
      <c r="A30" s="70">
        <v>28</v>
      </c>
      <c r="B30" s="63"/>
      <c r="C30" s="64"/>
      <c r="D30" s="65"/>
      <c r="E30" s="66"/>
      <c r="F30" s="67"/>
      <c r="G30" s="68"/>
    </row>
    <row r="31" spans="1:7" ht="20.25" thickTop="1" thickBot="1" x14ac:dyDescent="0.35">
      <c r="A31" s="71">
        <v>29</v>
      </c>
      <c r="B31" s="63"/>
      <c r="C31" s="64"/>
      <c r="D31" s="65"/>
      <c r="E31" s="66"/>
      <c r="F31" s="67"/>
      <c r="G31" s="68"/>
    </row>
    <row r="32" spans="1:7" ht="20.25" thickTop="1" thickBot="1" x14ac:dyDescent="0.35">
      <c r="A32" s="71">
        <v>30</v>
      </c>
      <c r="B32" s="63"/>
      <c r="C32" s="64"/>
      <c r="D32" s="65"/>
      <c r="E32" s="66"/>
      <c r="F32" s="67"/>
      <c r="G32" s="68"/>
    </row>
    <row r="33" spans="1:7" ht="20.25" thickTop="1" thickBot="1" x14ac:dyDescent="0.35">
      <c r="A33" s="71">
        <v>31</v>
      </c>
      <c r="B33" s="63"/>
      <c r="C33" s="64"/>
      <c r="D33" s="65"/>
      <c r="E33" s="66"/>
      <c r="F33" s="67"/>
      <c r="G33" s="68"/>
    </row>
    <row r="34" spans="1:7" ht="20.25" thickTop="1" thickBot="1" x14ac:dyDescent="0.35">
      <c r="A34" s="71">
        <v>32</v>
      </c>
      <c r="B34" s="63"/>
      <c r="C34" s="64"/>
      <c r="D34" s="65"/>
      <c r="E34" s="66"/>
      <c r="F34" s="67"/>
      <c r="G34" s="68"/>
    </row>
    <row r="35" spans="1:7" ht="20.25" thickTop="1" thickBot="1" x14ac:dyDescent="0.35">
      <c r="A35" s="71">
        <v>33</v>
      </c>
      <c r="B35" s="72"/>
      <c r="C35" s="73"/>
      <c r="D35" s="74"/>
      <c r="E35" s="75"/>
      <c r="F35" s="76"/>
      <c r="G35" s="77"/>
    </row>
    <row r="36" spans="1:7" ht="15.75" thickTop="1" x14ac:dyDescent="0.25"/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rightToLeft="1" workbookViewId="0">
      <selection activeCell="I24" sqref="I24"/>
    </sheetView>
  </sheetViews>
  <sheetFormatPr defaultRowHeight="15" x14ac:dyDescent="0.25"/>
  <cols>
    <col min="1" max="1" width="6.42578125" bestFit="1" customWidth="1"/>
    <col min="2" max="2" width="15.140625" bestFit="1" customWidth="1"/>
    <col min="3" max="3" width="26.42578125" bestFit="1" customWidth="1"/>
    <col min="4" max="4" width="11.28515625" bestFit="1" customWidth="1"/>
    <col min="5" max="5" width="12.28515625" bestFit="1" customWidth="1"/>
    <col min="6" max="6" width="10.5703125" bestFit="1" customWidth="1"/>
    <col min="7" max="7" width="33.42578125" bestFit="1" customWidth="1"/>
  </cols>
  <sheetData>
    <row r="1" spans="1:7" ht="27" thickBot="1" x14ac:dyDescent="0.45">
      <c r="A1" s="88" t="s">
        <v>62</v>
      </c>
      <c r="B1" s="89"/>
      <c r="C1" s="89"/>
      <c r="D1" s="89"/>
      <c r="E1" s="89"/>
      <c r="F1" s="89"/>
      <c r="G1" s="90"/>
    </row>
    <row r="2" spans="1:7" ht="19.5" thickBot="1" x14ac:dyDescent="0.3">
      <c r="A2" s="55" t="s">
        <v>60</v>
      </c>
      <c r="B2" s="56" t="s">
        <v>10</v>
      </c>
      <c r="C2" s="57" t="s">
        <v>11</v>
      </c>
      <c r="D2" s="58" t="s">
        <v>3</v>
      </c>
      <c r="E2" s="59" t="s">
        <v>4</v>
      </c>
      <c r="F2" s="60" t="s">
        <v>5</v>
      </c>
      <c r="G2" s="61" t="s">
        <v>61</v>
      </c>
    </row>
    <row r="3" spans="1:7" ht="20.25" thickTop="1" thickBot="1" x14ac:dyDescent="0.35">
      <c r="A3" s="62">
        <v>1</v>
      </c>
      <c r="B3" s="63"/>
      <c r="C3" s="64"/>
      <c r="D3" s="65"/>
      <c r="E3" s="66"/>
      <c r="F3" s="67"/>
      <c r="G3" s="68"/>
    </row>
    <row r="4" spans="1:7" ht="20.25" thickTop="1" thickBot="1" x14ac:dyDescent="0.35">
      <c r="A4" s="62">
        <v>2</v>
      </c>
      <c r="B4" s="63"/>
      <c r="C4" s="64"/>
      <c r="D4" s="65"/>
      <c r="E4" s="66"/>
      <c r="F4" s="67"/>
      <c r="G4" s="68"/>
    </row>
    <row r="5" spans="1:7" ht="20.25" thickTop="1" thickBot="1" x14ac:dyDescent="0.35">
      <c r="A5" s="62">
        <v>3</v>
      </c>
      <c r="B5" s="63"/>
      <c r="C5" s="64"/>
      <c r="D5" s="65"/>
      <c r="E5" s="66"/>
      <c r="F5" s="67"/>
      <c r="G5" s="68"/>
    </row>
    <row r="6" spans="1:7" ht="20.25" thickTop="1" thickBot="1" x14ac:dyDescent="0.35">
      <c r="A6" s="62">
        <v>4</v>
      </c>
      <c r="B6" s="63"/>
      <c r="C6" s="64"/>
      <c r="D6" s="65"/>
      <c r="E6" s="66"/>
      <c r="F6" s="67"/>
      <c r="G6" s="68"/>
    </row>
    <row r="7" spans="1:7" ht="20.25" thickTop="1" thickBot="1" x14ac:dyDescent="0.35">
      <c r="A7" s="62">
        <v>5</v>
      </c>
      <c r="B7" s="63"/>
      <c r="C7" s="64"/>
      <c r="D7" s="65"/>
      <c r="E7" s="66"/>
      <c r="F7" s="67"/>
      <c r="G7" s="68"/>
    </row>
    <row r="8" spans="1:7" ht="20.25" thickTop="1" thickBot="1" x14ac:dyDescent="0.35">
      <c r="A8" s="69">
        <v>6</v>
      </c>
      <c r="B8" s="63"/>
      <c r="C8" s="64"/>
      <c r="D8" s="65"/>
      <c r="E8" s="66"/>
      <c r="F8" s="67"/>
      <c r="G8" s="68"/>
    </row>
    <row r="9" spans="1:7" ht="20.25" thickTop="1" thickBot="1" x14ac:dyDescent="0.35">
      <c r="A9" s="69">
        <v>7</v>
      </c>
      <c r="B9" s="63"/>
      <c r="C9" s="64"/>
      <c r="D9" s="65"/>
      <c r="E9" s="66"/>
      <c r="F9" s="67"/>
      <c r="G9" s="68"/>
    </row>
    <row r="10" spans="1:7" ht="20.25" thickTop="1" thickBot="1" x14ac:dyDescent="0.35">
      <c r="A10" s="69">
        <v>8</v>
      </c>
      <c r="B10" s="63"/>
      <c r="C10" s="64"/>
      <c r="D10" s="65"/>
      <c r="E10" s="66"/>
      <c r="F10" s="67"/>
      <c r="G10" s="68"/>
    </row>
    <row r="11" spans="1:7" ht="20.25" thickTop="1" thickBot="1" x14ac:dyDescent="0.35">
      <c r="A11" s="70">
        <v>9</v>
      </c>
      <c r="B11" s="63"/>
      <c r="C11" s="64"/>
      <c r="D11" s="65"/>
      <c r="E11" s="66"/>
      <c r="F11" s="67"/>
      <c r="G11" s="68"/>
    </row>
    <row r="12" spans="1:7" ht="20.25" thickTop="1" thickBot="1" x14ac:dyDescent="0.35">
      <c r="A12" s="70">
        <v>10</v>
      </c>
      <c r="B12" s="63"/>
      <c r="C12" s="64"/>
      <c r="D12" s="65"/>
      <c r="E12" s="66"/>
      <c r="F12" s="67"/>
      <c r="G12" s="68"/>
    </row>
    <row r="13" spans="1:7" ht="20.25" thickTop="1" thickBot="1" x14ac:dyDescent="0.35">
      <c r="A13" s="70">
        <v>11</v>
      </c>
      <c r="B13" s="63"/>
      <c r="C13" s="64"/>
      <c r="D13" s="65"/>
      <c r="E13" s="66"/>
      <c r="F13" s="67"/>
      <c r="G13" s="68"/>
    </row>
    <row r="14" spans="1:7" ht="20.25" thickTop="1" thickBot="1" x14ac:dyDescent="0.35">
      <c r="A14" s="70">
        <v>12</v>
      </c>
      <c r="B14" s="63"/>
      <c r="C14" s="64"/>
      <c r="D14" s="65"/>
      <c r="E14" s="66"/>
      <c r="F14" s="67"/>
      <c r="G14" s="68"/>
    </row>
    <row r="15" spans="1:7" ht="20.25" thickTop="1" thickBot="1" x14ac:dyDescent="0.35">
      <c r="A15" s="70">
        <v>13</v>
      </c>
      <c r="B15" s="63"/>
      <c r="C15" s="64"/>
      <c r="D15" s="65"/>
      <c r="E15" s="66"/>
      <c r="F15" s="67"/>
      <c r="G15" s="68"/>
    </row>
    <row r="16" spans="1:7" ht="20.25" thickTop="1" thickBot="1" x14ac:dyDescent="0.35">
      <c r="A16" s="70">
        <v>14</v>
      </c>
      <c r="B16" s="63"/>
      <c r="C16" s="64"/>
      <c r="D16" s="65"/>
      <c r="E16" s="66"/>
      <c r="F16" s="67"/>
      <c r="G16" s="68"/>
    </row>
    <row r="17" spans="1:7" ht="20.25" thickTop="1" thickBot="1" x14ac:dyDescent="0.35">
      <c r="A17" s="70">
        <v>15</v>
      </c>
      <c r="B17" s="63"/>
      <c r="C17" s="64"/>
      <c r="D17" s="65"/>
      <c r="E17" s="66"/>
      <c r="F17" s="67"/>
      <c r="G17" s="68"/>
    </row>
    <row r="18" spans="1:7" ht="20.25" thickTop="1" thickBot="1" x14ac:dyDescent="0.35">
      <c r="A18" s="70">
        <v>16</v>
      </c>
      <c r="B18" s="63"/>
      <c r="C18" s="64"/>
      <c r="D18" s="65"/>
      <c r="E18" s="66"/>
      <c r="F18" s="67"/>
      <c r="G18" s="68"/>
    </row>
    <row r="19" spans="1:7" ht="20.25" thickTop="1" thickBot="1" x14ac:dyDescent="0.35">
      <c r="A19" s="70">
        <v>17</v>
      </c>
      <c r="B19" s="63"/>
      <c r="C19" s="64"/>
      <c r="D19" s="65"/>
      <c r="E19" s="66"/>
      <c r="F19" s="67"/>
      <c r="G19" s="68"/>
    </row>
    <row r="20" spans="1:7" ht="20.25" thickTop="1" thickBot="1" x14ac:dyDescent="0.35">
      <c r="A20" s="70">
        <v>18</v>
      </c>
      <c r="B20" s="63"/>
      <c r="C20" s="64"/>
      <c r="D20" s="65"/>
      <c r="E20" s="66"/>
      <c r="F20" s="67"/>
      <c r="G20" s="68"/>
    </row>
    <row r="21" spans="1:7" ht="20.25" thickTop="1" thickBot="1" x14ac:dyDescent="0.35">
      <c r="A21" s="70">
        <v>19</v>
      </c>
      <c r="B21" s="63"/>
      <c r="C21" s="64"/>
      <c r="D21" s="65"/>
      <c r="E21" s="66"/>
      <c r="F21" s="67"/>
      <c r="G21" s="68"/>
    </row>
    <row r="22" spans="1:7" ht="20.25" thickTop="1" thickBot="1" x14ac:dyDescent="0.35">
      <c r="A22" s="70">
        <v>20</v>
      </c>
      <c r="B22" s="63"/>
      <c r="C22" s="64"/>
      <c r="D22" s="65"/>
      <c r="E22" s="66"/>
      <c r="F22" s="67"/>
      <c r="G22" s="68"/>
    </row>
    <row r="23" spans="1:7" ht="20.25" thickTop="1" thickBot="1" x14ac:dyDescent="0.35">
      <c r="A23" s="70">
        <v>21</v>
      </c>
      <c r="B23" s="63"/>
      <c r="C23" s="64"/>
      <c r="D23" s="65"/>
      <c r="E23" s="66"/>
      <c r="F23" s="67"/>
      <c r="G23" s="68"/>
    </row>
    <row r="24" spans="1:7" ht="20.25" thickTop="1" thickBot="1" x14ac:dyDescent="0.35">
      <c r="A24" s="70">
        <v>22</v>
      </c>
      <c r="B24" s="63"/>
      <c r="C24" s="64"/>
      <c r="D24" s="65"/>
      <c r="E24" s="66"/>
      <c r="F24" s="67"/>
      <c r="G24" s="68"/>
    </row>
    <row r="25" spans="1:7" ht="20.25" thickTop="1" thickBot="1" x14ac:dyDescent="0.35">
      <c r="A25" s="70">
        <v>23</v>
      </c>
      <c r="B25" s="63"/>
      <c r="C25" s="64"/>
      <c r="D25" s="65"/>
      <c r="E25" s="66"/>
      <c r="F25" s="67"/>
      <c r="G25" s="68"/>
    </row>
    <row r="26" spans="1:7" ht="20.25" thickTop="1" thickBot="1" x14ac:dyDescent="0.35">
      <c r="A26" s="70">
        <v>24</v>
      </c>
      <c r="B26" s="63"/>
      <c r="C26" s="64"/>
      <c r="D26" s="65"/>
      <c r="E26" s="66"/>
      <c r="F26" s="67"/>
      <c r="G26" s="68"/>
    </row>
    <row r="27" spans="1:7" ht="20.25" thickTop="1" thickBot="1" x14ac:dyDescent="0.35">
      <c r="A27" s="70">
        <v>25</v>
      </c>
      <c r="B27" s="63"/>
      <c r="C27" s="64"/>
      <c r="D27" s="65"/>
      <c r="E27" s="66"/>
      <c r="F27" s="67"/>
      <c r="G27" s="68"/>
    </row>
    <row r="28" spans="1:7" ht="20.25" thickTop="1" thickBot="1" x14ac:dyDescent="0.35">
      <c r="A28" s="70">
        <v>26</v>
      </c>
      <c r="B28" s="63"/>
      <c r="C28" s="64"/>
      <c r="D28" s="65"/>
      <c r="E28" s="66"/>
      <c r="F28" s="67"/>
      <c r="G28" s="68"/>
    </row>
    <row r="29" spans="1:7" ht="20.25" thickTop="1" thickBot="1" x14ac:dyDescent="0.35">
      <c r="A29" s="70">
        <v>27</v>
      </c>
      <c r="B29" s="63"/>
      <c r="C29" s="64"/>
      <c r="D29" s="65"/>
      <c r="E29" s="66"/>
      <c r="F29" s="67"/>
      <c r="G29" s="68"/>
    </row>
    <row r="30" spans="1:7" ht="20.25" thickTop="1" thickBot="1" x14ac:dyDescent="0.35">
      <c r="A30" s="70">
        <v>28</v>
      </c>
      <c r="B30" s="63"/>
      <c r="C30" s="64"/>
      <c r="D30" s="65"/>
      <c r="E30" s="66"/>
      <c r="F30" s="67"/>
      <c r="G30" s="68"/>
    </row>
    <row r="31" spans="1:7" ht="20.25" thickTop="1" thickBot="1" x14ac:dyDescent="0.35">
      <c r="A31" s="71">
        <v>29</v>
      </c>
      <c r="B31" s="63"/>
      <c r="C31" s="64"/>
      <c r="D31" s="65"/>
      <c r="E31" s="66"/>
      <c r="F31" s="67"/>
      <c r="G31" s="68"/>
    </row>
    <row r="32" spans="1:7" ht="20.25" thickTop="1" thickBot="1" x14ac:dyDescent="0.35">
      <c r="A32" s="71">
        <v>30</v>
      </c>
      <c r="B32" s="63"/>
      <c r="C32" s="64"/>
      <c r="D32" s="65"/>
      <c r="E32" s="66"/>
      <c r="F32" s="67"/>
      <c r="G32" s="68"/>
    </row>
    <row r="33" spans="1:7" ht="20.25" thickTop="1" thickBot="1" x14ac:dyDescent="0.35">
      <c r="A33" s="71">
        <v>31</v>
      </c>
      <c r="B33" s="63"/>
      <c r="C33" s="64"/>
      <c r="D33" s="65"/>
      <c r="E33" s="66"/>
      <c r="F33" s="67"/>
      <c r="G33" s="68"/>
    </row>
    <row r="34" spans="1:7" ht="20.25" thickTop="1" thickBot="1" x14ac:dyDescent="0.35">
      <c r="A34" s="71">
        <v>32</v>
      </c>
      <c r="B34" s="63"/>
      <c r="C34" s="64"/>
      <c r="D34" s="65"/>
      <c r="E34" s="66"/>
      <c r="F34" s="67"/>
      <c r="G34" s="68"/>
    </row>
    <row r="35" spans="1:7" ht="20.25" thickTop="1" thickBot="1" x14ac:dyDescent="0.35">
      <c r="A35" s="71">
        <v>33</v>
      </c>
      <c r="B35" s="72"/>
      <c r="C35" s="73"/>
      <c r="D35" s="74"/>
      <c r="E35" s="75"/>
      <c r="F35" s="76"/>
      <c r="G35" s="77"/>
    </row>
    <row r="36" spans="1:7" ht="15.75" thickTop="1" x14ac:dyDescent="0.25"/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rightToLeft="1" workbookViewId="0">
      <selection activeCell="I24" sqref="I24"/>
    </sheetView>
  </sheetViews>
  <sheetFormatPr defaultRowHeight="15" x14ac:dyDescent="0.25"/>
  <cols>
    <col min="1" max="1" width="6.42578125" bestFit="1" customWidth="1"/>
    <col min="2" max="2" width="15.140625" bestFit="1" customWidth="1"/>
    <col min="3" max="3" width="26.42578125" bestFit="1" customWidth="1"/>
    <col min="4" max="4" width="11.28515625" bestFit="1" customWidth="1"/>
    <col min="5" max="5" width="12.28515625" bestFit="1" customWidth="1"/>
    <col min="6" max="6" width="10.5703125" bestFit="1" customWidth="1"/>
    <col min="7" max="7" width="33.42578125" bestFit="1" customWidth="1"/>
  </cols>
  <sheetData>
    <row r="1" spans="1:7" ht="27" thickBot="1" x14ac:dyDescent="0.45">
      <c r="A1" s="88" t="s">
        <v>62</v>
      </c>
      <c r="B1" s="89"/>
      <c r="C1" s="89"/>
      <c r="D1" s="89"/>
      <c r="E1" s="89"/>
      <c r="F1" s="89"/>
      <c r="G1" s="90"/>
    </row>
    <row r="2" spans="1:7" ht="19.5" thickBot="1" x14ac:dyDescent="0.3">
      <c r="A2" s="55" t="s">
        <v>60</v>
      </c>
      <c r="B2" s="56" t="s">
        <v>10</v>
      </c>
      <c r="C2" s="57" t="s">
        <v>11</v>
      </c>
      <c r="D2" s="58" t="s">
        <v>3</v>
      </c>
      <c r="E2" s="59" t="s">
        <v>4</v>
      </c>
      <c r="F2" s="60" t="s">
        <v>5</v>
      </c>
      <c r="G2" s="61" t="s">
        <v>61</v>
      </c>
    </row>
    <row r="3" spans="1:7" ht="20.25" thickTop="1" thickBot="1" x14ac:dyDescent="0.35">
      <c r="A3" s="62">
        <v>1</v>
      </c>
      <c r="B3" s="63"/>
      <c r="C3" s="64"/>
      <c r="D3" s="65"/>
      <c r="E3" s="66"/>
      <c r="F3" s="67"/>
      <c r="G3" s="68"/>
    </row>
    <row r="4" spans="1:7" ht="20.25" thickTop="1" thickBot="1" x14ac:dyDescent="0.35">
      <c r="A4" s="62">
        <v>2</v>
      </c>
      <c r="B4" s="63"/>
      <c r="C4" s="64"/>
      <c r="D4" s="65"/>
      <c r="E4" s="66"/>
      <c r="F4" s="67"/>
      <c r="G4" s="68"/>
    </row>
    <row r="5" spans="1:7" ht="20.25" thickTop="1" thickBot="1" x14ac:dyDescent="0.35">
      <c r="A5" s="62">
        <v>3</v>
      </c>
      <c r="B5" s="63"/>
      <c r="C5" s="64"/>
      <c r="D5" s="65"/>
      <c r="E5" s="66"/>
      <c r="F5" s="67"/>
      <c r="G5" s="68"/>
    </row>
    <row r="6" spans="1:7" ht="20.25" thickTop="1" thickBot="1" x14ac:dyDescent="0.35">
      <c r="A6" s="62">
        <v>4</v>
      </c>
      <c r="B6" s="63"/>
      <c r="C6" s="64"/>
      <c r="D6" s="65"/>
      <c r="E6" s="66"/>
      <c r="F6" s="67"/>
      <c r="G6" s="68"/>
    </row>
    <row r="7" spans="1:7" ht="20.25" thickTop="1" thickBot="1" x14ac:dyDescent="0.35">
      <c r="A7" s="62">
        <v>5</v>
      </c>
      <c r="B7" s="63"/>
      <c r="C7" s="64"/>
      <c r="D7" s="65"/>
      <c r="E7" s="66"/>
      <c r="F7" s="67"/>
      <c r="G7" s="68"/>
    </row>
    <row r="8" spans="1:7" ht="20.25" thickTop="1" thickBot="1" x14ac:dyDescent="0.35">
      <c r="A8" s="69">
        <v>6</v>
      </c>
      <c r="B8" s="63"/>
      <c r="C8" s="64"/>
      <c r="D8" s="65"/>
      <c r="E8" s="66"/>
      <c r="F8" s="67"/>
      <c r="G8" s="68"/>
    </row>
    <row r="9" spans="1:7" ht="20.25" thickTop="1" thickBot="1" x14ac:dyDescent="0.35">
      <c r="A9" s="69">
        <v>7</v>
      </c>
      <c r="B9" s="63"/>
      <c r="C9" s="64"/>
      <c r="D9" s="65"/>
      <c r="E9" s="66"/>
      <c r="F9" s="67"/>
      <c r="G9" s="68"/>
    </row>
    <row r="10" spans="1:7" ht="20.25" thickTop="1" thickBot="1" x14ac:dyDescent="0.35">
      <c r="A10" s="69">
        <v>8</v>
      </c>
      <c r="B10" s="63"/>
      <c r="C10" s="64"/>
      <c r="D10" s="65"/>
      <c r="E10" s="66"/>
      <c r="F10" s="67"/>
      <c r="G10" s="68"/>
    </row>
    <row r="11" spans="1:7" ht="20.25" thickTop="1" thickBot="1" x14ac:dyDescent="0.35">
      <c r="A11" s="70">
        <v>9</v>
      </c>
      <c r="B11" s="63"/>
      <c r="C11" s="64"/>
      <c r="D11" s="65"/>
      <c r="E11" s="66"/>
      <c r="F11" s="67"/>
      <c r="G11" s="68"/>
    </row>
    <row r="12" spans="1:7" ht="20.25" thickTop="1" thickBot="1" x14ac:dyDescent="0.35">
      <c r="A12" s="70">
        <v>10</v>
      </c>
      <c r="B12" s="63"/>
      <c r="C12" s="64"/>
      <c r="D12" s="65"/>
      <c r="E12" s="66"/>
      <c r="F12" s="67"/>
      <c r="G12" s="68"/>
    </row>
    <row r="13" spans="1:7" ht="20.25" thickTop="1" thickBot="1" x14ac:dyDescent="0.35">
      <c r="A13" s="70">
        <v>11</v>
      </c>
      <c r="B13" s="63"/>
      <c r="C13" s="64"/>
      <c r="D13" s="65"/>
      <c r="E13" s="66"/>
      <c r="F13" s="67"/>
      <c r="G13" s="68"/>
    </row>
    <row r="14" spans="1:7" ht="20.25" thickTop="1" thickBot="1" x14ac:dyDescent="0.35">
      <c r="A14" s="70">
        <v>12</v>
      </c>
      <c r="B14" s="63"/>
      <c r="C14" s="64"/>
      <c r="D14" s="65"/>
      <c r="E14" s="66"/>
      <c r="F14" s="67"/>
      <c r="G14" s="68"/>
    </row>
    <row r="15" spans="1:7" ht="20.25" thickTop="1" thickBot="1" x14ac:dyDescent="0.35">
      <c r="A15" s="70">
        <v>13</v>
      </c>
      <c r="B15" s="63"/>
      <c r="C15" s="64"/>
      <c r="D15" s="65"/>
      <c r="E15" s="66"/>
      <c r="F15" s="67"/>
      <c r="G15" s="68"/>
    </row>
    <row r="16" spans="1:7" ht="20.25" thickTop="1" thickBot="1" x14ac:dyDescent="0.35">
      <c r="A16" s="70">
        <v>14</v>
      </c>
      <c r="B16" s="63"/>
      <c r="C16" s="64"/>
      <c r="D16" s="65"/>
      <c r="E16" s="66"/>
      <c r="F16" s="67"/>
      <c r="G16" s="68"/>
    </row>
    <row r="17" spans="1:7" ht="20.25" thickTop="1" thickBot="1" x14ac:dyDescent="0.35">
      <c r="A17" s="70">
        <v>15</v>
      </c>
      <c r="B17" s="63"/>
      <c r="C17" s="64"/>
      <c r="D17" s="65"/>
      <c r="E17" s="66"/>
      <c r="F17" s="67"/>
      <c r="G17" s="68"/>
    </row>
    <row r="18" spans="1:7" ht="20.25" thickTop="1" thickBot="1" x14ac:dyDescent="0.35">
      <c r="A18" s="70">
        <v>16</v>
      </c>
      <c r="B18" s="63"/>
      <c r="C18" s="64"/>
      <c r="D18" s="65"/>
      <c r="E18" s="66"/>
      <c r="F18" s="67"/>
      <c r="G18" s="68"/>
    </row>
    <row r="19" spans="1:7" ht="20.25" thickTop="1" thickBot="1" x14ac:dyDescent="0.35">
      <c r="A19" s="70">
        <v>17</v>
      </c>
      <c r="B19" s="63"/>
      <c r="C19" s="64"/>
      <c r="D19" s="65"/>
      <c r="E19" s="66"/>
      <c r="F19" s="67"/>
      <c r="G19" s="68"/>
    </row>
    <row r="20" spans="1:7" ht="20.25" thickTop="1" thickBot="1" x14ac:dyDescent="0.35">
      <c r="A20" s="70">
        <v>18</v>
      </c>
      <c r="B20" s="63"/>
      <c r="C20" s="64"/>
      <c r="D20" s="65"/>
      <c r="E20" s="66"/>
      <c r="F20" s="67"/>
      <c r="G20" s="68"/>
    </row>
    <row r="21" spans="1:7" ht="20.25" thickTop="1" thickBot="1" x14ac:dyDescent="0.35">
      <c r="A21" s="70">
        <v>19</v>
      </c>
      <c r="B21" s="63"/>
      <c r="C21" s="64"/>
      <c r="D21" s="65"/>
      <c r="E21" s="66"/>
      <c r="F21" s="67"/>
      <c r="G21" s="68"/>
    </row>
    <row r="22" spans="1:7" ht="20.25" thickTop="1" thickBot="1" x14ac:dyDescent="0.35">
      <c r="A22" s="70">
        <v>20</v>
      </c>
      <c r="B22" s="63"/>
      <c r="C22" s="64"/>
      <c r="D22" s="65"/>
      <c r="E22" s="66"/>
      <c r="F22" s="67"/>
      <c r="G22" s="68"/>
    </row>
    <row r="23" spans="1:7" ht="20.25" thickTop="1" thickBot="1" x14ac:dyDescent="0.35">
      <c r="A23" s="70">
        <v>21</v>
      </c>
      <c r="B23" s="63"/>
      <c r="C23" s="64"/>
      <c r="D23" s="65"/>
      <c r="E23" s="66"/>
      <c r="F23" s="67"/>
      <c r="G23" s="68"/>
    </row>
    <row r="24" spans="1:7" ht="20.25" thickTop="1" thickBot="1" x14ac:dyDescent="0.35">
      <c r="A24" s="70">
        <v>22</v>
      </c>
      <c r="B24" s="63"/>
      <c r="C24" s="64"/>
      <c r="D24" s="65"/>
      <c r="E24" s="66"/>
      <c r="F24" s="67"/>
      <c r="G24" s="68"/>
    </row>
    <row r="25" spans="1:7" ht="20.25" thickTop="1" thickBot="1" x14ac:dyDescent="0.35">
      <c r="A25" s="70">
        <v>23</v>
      </c>
      <c r="B25" s="63"/>
      <c r="C25" s="64"/>
      <c r="D25" s="65"/>
      <c r="E25" s="66"/>
      <c r="F25" s="67"/>
      <c r="G25" s="68"/>
    </row>
    <row r="26" spans="1:7" ht="20.25" thickTop="1" thickBot="1" x14ac:dyDescent="0.35">
      <c r="A26" s="70">
        <v>24</v>
      </c>
      <c r="B26" s="63"/>
      <c r="C26" s="64"/>
      <c r="D26" s="65"/>
      <c r="E26" s="66"/>
      <c r="F26" s="67"/>
      <c r="G26" s="68"/>
    </row>
    <row r="27" spans="1:7" ht="20.25" thickTop="1" thickBot="1" x14ac:dyDescent="0.35">
      <c r="A27" s="70">
        <v>25</v>
      </c>
      <c r="B27" s="63"/>
      <c r="C27" s="64"/>
      <c r="D27" s="65"/>
      <c r="E27" s="66"/>
      <c r="F27" s="67"/>
      <c r="G27" s="68"/>
    </row>
    <row r="28" spans="1:7" ht="20.25" thickTop="1" thickBot="1" x14ac:dyDescent="0.35">
      <c r="A28" s="70">
        <v>26</v>
      </c>
      <c r="B28" s="63"/>
      <c r="C28" s="64"/>
      <c r="D28" s="65"/>
      <c r="E28" s="66"/>
      <c r="F28" s="67"/>
      <c r="G28" s="68"/>
    </row>
    <row r="29" spans="1:7" ht="20.25" thickTop="1" thickBot="1" x14ac:dyDescent="0.35">
      <c r="A29" s="70">
        <v>27</v>
      </c>
      <c r="B29" s="63"/>
      <c r="C29" s="64"/>
      <c r="D29" s="65"/>
      <c r="E29" s="66"/>
      <c r="F29" s="67"/>
      <c r="G29" s="68"/>
    </row>
    <row r="30" spans="1:7" ht="20.25" thickTop="1" thickBot="1" x14ac:dyDescent="0.35">
      <c r="A30" s="70">
        <v>28</v>
      </c>
      <c r="B30" s="63"/>
      <c r="C30" s="64"/>
      <c r="D30" s="65"/>
      <c r="E30" s="66"/>
      <c r="F30" s="67"/>
      <c r="G30" s="68"/>
    </row>
    <row r="31" spans="1:7" ht="20.25" thickTop="1" thickBot="1" x14ac:dyDescent="0.35">
      <c r="A31" s="71">
        <v>29</v>
      </c>
      <c r="B31" s="63"/>
      <c r="C31" s="64"/>
      <c r="D31" s="65"/>
      <c r="E31" s="66"/>
      <c r="F31" s="67"/>
      <c r="G31" s="68"/>
    </row>
    <row r="32" spans="1:7" ht="20.25" thickTop="1" thickBot="1" x14ac:dyDescent="0.35">
      <c r="A32" s="71">
        <v>30</v>
      </c>
      <c r="B32" s="63"/>
      <c r="C32" s="64"/>
      <c r="D32" s="65"/>
      <c r="E32" s="66"/>
      <c r="F32" s="67"/>
      <c r="G32" s="68"/>
    </row>
    <row r="33" spans="1:7" ht="20.25" thickTop="1" thickBot="1" x14ac:dyDescent="0.35">
      <c r="A33" s="71">
        <v>31</v>
      </c>
      <c r="B33" s="63"/>
      <c r="C33" s="64"/>
      <c r="D33" s="65"/>
      <c r="E33" s="66"/>
      <c r="F33" s="67"/>
      <c r="G33" s="68"/>
    </row>
    <row r="34" spans="1:7" ht="20.25" thickTop="1" thickBot="1" x14ac:dyDescent="0.35">
      <c r="A34" s="71">
        <v>32</v>
      </c>
      <c r="B34" s="63"/>
      <c r="C34" s="64"/>
      <c r="D34" s="65"/>
      <c r="E34" s="66"/>
      <c r="F34" s="67"/>
      <c r="G34" s="68"/>
    </row>
    <row r="35" spans="1:7" ht="20.25" thickTop="1" thickBot="1" x14ac:dyDescent="0.35">
      <c r="A35" s="71">
        <v>33</v>
      </c>
      <c r="B35" s="72"/>
      <c r="C35" s="73"/>
      <c r="D35" s="74"/>
      <c r="E35" s="75"/>
      <c r="F35" s="76"/>
      <c r="G35" s="77"/>
    </row>
    <row r="36" spans="1:7" ht="15.75" thickTop="1" x14ac:dyDescent="0.25"/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شهر مايو</vt:lpstr>
      <vt:lpstr>ترتيب الاسبوع الاول من شهر مايو</vt:lpstr>
      <vt:lpstr>ترتيب الاسبوع الثاني شهر مايو</vt:lpstr>
      <vt:lpstr>ترتيب الاسبوع الثالث شهر ما يو</vt:lpstr>
      <vt:lpstr>ترتيب الاسبوع الرابع شهر مايو </vt:lpstr>
      <vt:lpstr>الترتيب الشهري لشهر مايو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dcterms:created xsi:type="dcterms:W3CDTF">2026-02-14T06:01:38Z</dcterms:created>
  <dcterms:modified xsi:type="dcterms:W3CDTF">2026-04-29T08:57:34Z</dcterms:modified>
</cp:coreProperties>
</file>
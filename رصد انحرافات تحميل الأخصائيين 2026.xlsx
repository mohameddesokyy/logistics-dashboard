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"/>
    </mc:Choice>
  </mc:AlternateContent>
  <bookViews>
    <workbookView xWindow="0" yWindow="0" windowWidth="28800" windowHeight="12435" firstSheet="5" activeTab="7"/>
  </bookViews>
  <sheets>
    <sheet name="21-4-2026" sheetId="129" r:id="rId1"/>
    <sheet name="22-4-2026" sheetId="130" r:id="rId2"/>
    <sheet name="23-4-2026" sheetId="131" r:id="rId3"/>
    <sheet name="24-4-2026" sheetId="132" r:id="rId4"/>
    <sheet name="25-4-2026" sheetId="133" r:id="rId5"/>
    <sheet name="26-4-2026" sheetId="134" r:id="rId6"/>
    <sheet name="27-4-2026" sheetId="135" r:id="rId7"/>
    <sheet name="28-4-2026" sheetId="136" r:id="rId8"/>
    <sheet name="29-4-2026" sheetId="137" r:id="rId9"/>
    <sheet name="30-4-2026" sheetId="138" r:id="rId10"/>
    <sheet name="1-5-2026" sheetId="139" r:id="rId11"/>
    <sheet name="2-5-2026" sheetId="140" r:id="rId12"/>
    <sheet name="3-5-2026" sheetId="141" r:id="rId13"/>
    <sheet name="4-5-2026" sheetId="142" r:id="rId14"/>
    <sheet name="5-5-2026" sheetId="143" r:id="rId15"/>
    <sheet name="6-5-2026" sheetId="144" r:id="rId16"/>
    <sheet name="7-5-2026" sheetId="145" r:id="rId17"/>
  </sheets>
  <definedNames>
    <definedName name="_xlnm._FilterDatabase" localSheetId="10" hidden="1">'1-5-2026'!$A$2:$M$16</definedName>
    <definedName name="_xlnm._FilterDatabase" localSheetId="0" hidden="1">'21-4-2026'!$A$2:$M$5</definedName>
    <definedName name="_xlnm._FilterDatabase" localSheetId="1" hidden="1">'22-4-2026'!$A$2:$M$3</definedName>
    <definedName name="_xlnm._FilterDatabase" localSheetId="2" hidden="1">'23-4-2026'!$A$2:$M$7</definedName>
    <definedName name="_xlnm._FilterDatabase" localSheetId="3" hidden="1">'24-4-2026'!$A$2:$M$7</definedName>
    <definedName name="_xlnm._FilterDatabase" localSheetId="11" hidden="1">'2-5-2026'!$A$2:$M$16</definedName>
    <definedName name="_xlnm._FilterDatabase" localSheetId="4" hidden="1">'25-4-2026'!$A$2:$M$11</definedName>
    <definedName name="_xlnm._FilterDatabase" localSheetId="5" hidden="1">'26-4-2026'!$A$2:$M$6</definedName>
    <definedName name="_xlnm._FilterDatabase" localSheetId="6" hidden="1">'27-4-2026'!$A$2:$M$4</definedName>
    <definedName name="_xlnm._FilterDatabase" localSheetId="7" hidden="1">'28-4-2026'!$A$2:$M$6</definedName>
    <definedName name="_xlnm._FilterDatabase" localSheetId="8" hidden="1">'29-4-2026'!$A$2:$M$16</definedName>
    <definedName name="_xlnm._FilterDatabase" localSheetId="9" hidden="1">'30-4-2026'!$A$2:$M$16</definedName>
    <definedName name="_xlnm._FilterDatabase" localSheetId="12" hidden="1">'3-5-2026'!$A$2:$M$16</definedName>
    <definedName name="_xlnm._FilterDatabase" localSheetId="13" hidden="1">'4-5-2026'!$A$2:$M$16</definedName>
    <definedName name="_xlnm._FilterDatabase" localSheetId="14" hidden="1">'5-5-2026'!$A$2:$M$16</definedName>
    <definedName name="_xlnm._FilterDatabase" localSheetId="15" hidden="1">'6-5-2026'!$A$2:$M$16</definedName>
    <definedName name="_xlnm._FilterDatabase" localSheetId="16" hidden="1">'7-5-2026'!$A$2:$M$16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" i="145" l="1"/>
  <c r="K17" i="145"/>
  <c r="L16" i="145"/>
  <c r="K16" i="145"/>
  <c r="L15" i="145"/>
  <c r="K15" i="145"/>
  <c r="L14" i="145"/>
  <c r="K14" i="145"/>
  <c r="L13" i="145"/>
  <c r="K13" i="145"/>
  <c r="L12" i="145"/>
  <c r="K12" i="145"/>
  <c r="L11" i="145"/>
  <c r="K11" i="145"/>
  <c r="L10" i="145"/>
  <c r="K10" i="145"/>
  <c r="L9" i="145"/>
  <c r="K9" i="145"/>
  <c r="L8" i="145"/>
  <c r="K8" i="145"/>
  <c r="L7" i="145"/>
  <c r="K7" i="145"/>
  <c r="L6" i="145"/>
  <c r="K6" i="145"/>
  <c r="L5" i="145"/>
  <c r="K5" i="145"/>
  <c r="L4" i="145"/>
  <c r="K4" i="145"/>
  <c r="L3" i="145"/>
  <c r="K3" i="145"/>
  <c r="L17" i="144"/>
  <c r="K17" i="144"/>
  <c r="L16" i="144"/>
  <c r="K16" i="144"/>
  <c r="L15" i="144"/>
  <c r="K15" i="144"/>
  <c r="L14" i="144"/>
  <c r="K14" i="144"/>
  <c r="L13" i="144"/>
  <c r="K13" i="144"/>
  <c r="L12" i="144"/>
  <c r="K12" i="144"/>
  <c r="L11" i="144"/>
  <c r="K11" i="144"/>
  <c r="L10" i="144"/>
  <c r="K10" i="144"/>
  <c r="L9" i="144"/>
  <c r="K9" i="144"/>
  <c r="L8" i="144"/>
  <c r="K8" i="144"/>
  <c r="L7" i="144"/>
  <c r="K7" i="144"/>
  <c r="L6" i="144"/>
  <c r="K6" i="144"/>
  <c r="L5" i="144"/>
  <c r="K5" i="144"/>
  <c r="L4" i="144"/>
  <c r="K4" i="144"/>
  <c r="L3" i="144"/>
  <c r="K3" i="144"/>
  <c r="L17" i="143"/>
  <c r="K17" i="143"/>
  <c r="L16" i="143"/>
  <c r="K16" i="143"/>
  <c r="L15" i="143"/>
  <c r="K15" i="143"/>
  <c r="L14" i="143"/>
  <c r="K14" i="143"/>
  <c r="L13" i="143"/>
  <c r="K13" i="143"/>
  <c r="L12" i="143"/>
  <c r="K12" i="143"/>
  <c r="L11" i="143"/>
  <c r="K11" i="143"/>
  <c r="L10" i="143"/>
  <c r="K10" i="143"/>
  <c r="L9" i="143"/>
  <c r="K9" i="143"/>
  <c r="L8" i="143"/>
  <c r="K8" i="143"/>
  <c r="L7" i="143"/>
  <c r="K7" i="143"/>
  <c r="L6" i="143"/>
  <c r="K6" i="143"/>
  <c r="L5" i="143"/>
  <c r="K5" i="143"/>
  <c r="L4" i="143"/>
  <c r="K4" i="143"/>
  <c r="L3" i="143"/>
  <c r="K3" i="143"/>
  <c r="L17" i="142"/>
  <c r="K17" i="142"/>
  <c r="L16" i="142"/>
  <c r="K16" i="142"/>
  <c r="L15" i="142"/>
  <c r="K15" i="142"/>
  <c r="L14" i="142"/>
  <c r="K14" i="142"/>
  <c r="L13" i="142"/>
  <c r="K13" i="142"/>
  <c r="L12" i="142"/>
  <c r="K12" i="142"/>
  <c r="L11" i="142"/>
  <c r="K11" i="142"/>
  <c r="L10" i="142"/>
  <c r="K10" i="142"/>
  <c r="L9" i="142"/>
  <c r="K9" i="142"/>
  <c r="L8" i="142"/>
  <c r="K8" i="142"/>
  <c r="L7" i="142"/>
  <c r="K7" i="142"/>
  <c r="L6" i="142"/>
  <c r="K6" i="142"/>
  <c r="L5" i="142"/>
  <c r="K5" i="142"/>
  <c r="L4" i="142"/>
  <c r="K4" i="142"/>
  <c r="L3" i="142"/>
  <c r="K3" i="142"/>
  <c r="L17" i="141"/>
  <c r="K17" i="141"/>
  <c r="L16" i="141"/>
  <c r="K16" i="141"/>
  <c r="L15" i="141"/>
  <c r="K15" i="141"/>
  <c r="L14" i="141"/>
  <c r="K14" i="141"/>
  <c r="L13" i="141"/>
  <c r="K13" i="141"/>
  <c r="L12" i="141"/>
  <c r="K12" i="141"/>
  <c r="L11" i="141"/>
  <c r="K11" i="141"/>
  <c r="L10" i="141"/>
  <c r="K10" i="141"/>
  <c r="L9" i="141"/>
  <c r="K9" i="141"/>
  <c r="L8" i="141"/>
  <c r="K8" i="141"/>
  <c r="L7" i="141"/>
  <c r="K7" i="141"/>
  <c r="L6" i="141"/>
  <c r="K6" i="141"/>
  <c r="L5" i="141"/>
  <c r="K5" i="141"/>
  <c r="L4" i="141"/>
  <c r="K4" i="141"/>
  <c r="L3" i="141"/>
  <c r="K3" i="141"/>
  <c r="L17" i="140"/>
  <c r="K17" i="140"/>
  <c r="L16" i="140"/>
  <c r="K16" i="140"/>
  <c r="L15" i="140"/>
  <c r="K15" i="140"/>
  <c r="L14" i="140"/>
  <c r="K14" i="140"/>
  <c r="L13" i="140"/>
  <c r="K13" i="140"/>
  <c r="L12" i="140"/>
  <c r="K12" i="140"/>
  <c r="L11" i="140"/>
  <c r="K11" i="140"/>
  <c r="L10" i="140"/>
  <c r="K10" i="140"/>
  <c r="L9" i="140"/>
  <c r="K9" i="140"/>
  <c r="L8" i="140"/>
  <c r="K8" i="140"/>
  <c r="L7" i="140"/>
  <c r="K7" i="140"/>
  <c r="L6" i="140"/>
  <c r="K6" i="140"/>
  <c r="L5" i="140"/>
  <c r="K5" i="140"/>
  <c r="L4" i="140"/>
  <c r="K4" i="140"/>
  <c r="L3" i="140"/>
  <c r="K3" i="140"/>
  <c r="L17" i="139"/>
  <c r="K17" i="139"/>
  <c r="L16" i="139"/>
  <c r="K16" i="139"/>
  <c r="L15" i="139"/>
  <c r="K15" i="139"/>
  <c r="L14" i="139"/>
  <c r="K14" i="139"/>
  <c r="L13" i="139"/>
  <c r="K13" i="139"/>
  <c r="L12" i="139"/>
  <c r="K12" i="139"/>
  <c r="L11" i="139"/>
  <c r="K11" i="139"/>
  <c r="L10" i="139"/>
  <c r="K10" i="139"/>
  <c r="L9" i="139"/>
  <c r="K9" i="139"/>
  <c r="L8" i="139"/>
  <c r="K8" i="139"/>
  <c r="L7" i="139"/>
  <c r="K7" i="139"/>
  <c r="L6" i="139"/>
  <c r="K6" i="139"/>
  <c r="L5" i="139"/>
  <c r="K5" i="139"/>
  <c r="L4" i="139"/>
  <c r="K4" i="139"/>
  <c r="L3" i="139"/>
  <c r="K3" i="139"/>
  <c r="L17" i="138" l="1"/>
  <c r="K17" i="138"/>
  <c r="L16" i="138"/>
  <c r="K16" i="138"/>
  <c r="L15" i="138"/>
  <c r="K15" i="138"/>
  <c r="L14" i="138"/>
  <c r="K14" i="138"/>
  <c r="L13" i="138"/>
  <c r="K13" i="138"/>
  <c r="L12" i="138"/>
  <c r="K12" i="138"/>
  <c r="L11" i="138"/>
  <c r="K11" i="138"/>
  <c r="L10" i="138"/>
  <c r="K10" i="138"/>
  <c r="L9" i="138"/>
  <c r="K9" i="138"/>
  <c r="L8" i="138"/>
  <c r="K8" i="138"/>
  <c r="L7" i="138"/>
  <c r="K7" i="138"/>
  <c r="L6" i="138"/>
  <c r="K6" i="138"/>
  <c r="L5" i="138"/>
  <c r="K5" i="138"/>
  <c r="L4" i="138"/>
  <c r="K4" i="138"/>
  <c r="L3" i="138"/>
  <c r="K3" i="138"/>
  <c r="L17" i="137"/>
  <c r="K17" i="137"/>
  <c r="L16" i="137"/>
  <c r="K16" i="137"/>
  <c r="L15" i="137"/>
  <c r="K15" i="137"/>
  <c r="L14" i="137"/>
  <c r="K14" i="137"/>
  <c r="L13" i="137"/>
  <c r="K13" i="137"/>
  <c r="L12" i="137"/>
  <c r="K12" i="137"/>
  <c r="L11" i="137"/>
  <c r="K11" i="137"/>
  <c r="L10" i="137"/>
  <c r="K10" i="137"/>
  <c r="L9" i="137"/>
  <c r="K9" i="137"/>
  <c r="L8" i="137"/>
  <c r="K8" i="137"/>
  <c r="L7" i="137"/>
  <c r="K7" i="137"/>
  <c r="L6" i="137"/>
  <c r="K6" i="137"/>
  <c r="L5" i="137"/>
  <c r="K5" i="137"/>
  <c r="L4" i="137"/>
  <c r="L3" i="137"/>
  <c r="L6" i="136"/>
  <c r="L5" i="136"/>
  <c r="L4" i="136"/>
  <c r="L3" i="136"/>
  <c r="L4" i="135"/>
  <c r="K4" i="135"/>
  <c r="L3" i="135"/>
  <c r="L6" i="134"/>
  <c r="L5" i="134"/>
  <c r="L4" i="134"/>
  <c r="L3" i="134"/>
  <c r="L11" i="133" l="1"/>
  <c r="L10" i="133"/>
  <c r="L9" i="133"/>
  <c r="L8" i="133"/>
  <c r="L7" i="133"/>
  <c r="L6" i="133"/>
  <c r="L5" i="133"/>
  <c r="L4" i="133"/>
  <c r="L3" i="133"/>
  <c r="L7" i="132"/>
  <c r="L6" i="132"/>
  <c r="L5" i="132"/>
  <c r="L4" i="132"/>
  <c r="L3" i="132"/>
  <c r="L7" i="131" l="1"/>
  <c r="L6" i="131"/>
  <c r="L5" i="131"/>
  <c r="L4" i="131"/>
  <c r="L3" i="131"/>
  <c r="L3" i="130"/>
  <c r="L5" i="129" l="1"/>
  <c r="L4" i="129"/>
  <c r="L3" i="129"/>
</calcChain>
</file>

<file path=xl/sharedStrings.xml><?xml version="1.0" encoding="utf-8"?>
<sst xmlns="http://schemas.openxmlformats.org/spreadsheetml/2006/main" count="421" uniqueCount="91">
  <si>
    <t>رقم
 السيارة</t>
  </si>
  <si>
    <t>نوع
 السيارة</t>
  </si>
  <si>
    <t>اسم
 الفرع</t>
  </si>
  <si>
    <t>الرحلة</t>
  </si>
  <si>
    <t>اسم الأخصائى</t>
  </si>
  <si>
    <t>الزمن المعيارى للتفريغ</t>
  </si>
  <si>
    <t>الزمن المعيارى
 للتحميل</t>
  </si>
  <si>
    <t>دخول السيارة
على الكيدج</t>
  </si>
  <si>
    <t>نزول السيارة من على الكيدج</t>
  </si>
  <si>
    <t>بداية التحميل</t>
  </si>
  <si>
    <t>نهاية التحميل</t>
  </si>
  <si>
    <t>انحراف بداية التحميل من دخول السيارة</t>
  </si>
  <si>
    <t>انحراف بداية التحميل من نهاية التحميل</t>
  </si>
  <si>
    <t>سبب الانحراف</t>
  </si>
  <si>
    <t>رصد انحرافات تحميل الأخصائيين اليوم الثلاثاء الموافق 21/4/2026</t>
  </si>
  <si>
    <t>رصد انحرافات تحميل الأخصائيين اليوم الاربعاء الموافق 22/4/2026</t>
  </si>
  <si>
    <t>دبابة</t>
  </si>
  <si>
    <t>تلتين</t>
  </si>
  <si>
    <t>الدقى - عرابى</t>
  </si>
  <si>
    <t>عبد الله امير</t>
  </si>
  <si>
    <t>الاولى</t>
  </si>
  <si>
    <t>لا يوجد تعليق فى ورقة الكيدج</t>
  </si>
  <si>
    <t>الشروق 2 - الشروق 3</t>
  </si>
  <si>
    <t>محمد امام</t>
  </si>
  <si>
    <t>التأخير بسبب حجز للفرع</t>
  </si>
  <si>
    <t>اكتوبر</t>
  </si>
  <si>
    <t>محمد عادل</t>
  </si>
  <si>
    <t>الثانية</t>
  </si>
  <si>
    <t>التأخير بسبب الشيكولاتة والمشتملات</t>
  </si>
  <si>
    <t>رصد انحرافات تحميل الأخصائيين اليوم الخميس الموافق 23/4/2026</t>
  </si>
  <si>
    <t>رصد انحرافات تحميل الأخصائيين اليوم الجمعة الموافق 24/4/2026</t>
  </si>
  <si>
    <t>رصد انحرافات تحميل الأخصائيين اليوم السبت الموافق 25/4/2026</t>
  </si>
  <si>
    <t>الوسط - الشريف</t>
  </si>
  <si>
    <t>اسلام محمد</t>
  </si>
  <si>
    <t>التأخير بسبب المشتملات</t>
  </si>
  <si>
    <t>التجمع 1 - التجمع 5</t>
  </si>
  <si>
    <t>احمد خيرى</t>
  </si>
  <si>
    <t>التأخير بسبب انتظار تورت الحجز
الخاصة بمستر / ايمن ابو محرم</t>
  </si>
  <si>
    <t>شبرا - الدوران</t>
  </si>
  <si>
    <t>التأخير بسبب كثرة الشغل فتم ضم 
الشغل مما أدى الى تأخير تحميل السيارة</t>
  </si>
  <si>
    <t>رصد انحرافات تحميل الأخصائيين اليوم الاحد الموافق 26/4/2026</t>
  </si>
  <si>
    <t>رصد انحرافات تحميل الأخصائيين اليوم الاثنين الموافق 27/4/2026</t>
  </si>
  <si>
    <t>رصد انحرافات تحميل الأخصائيين اليوم الثلاثاء الموافق 28/4/2026</t>
  </si>
  <si>
    <t>رصد انحرافات تحميل الأخصائيين اليوم الاربعاء الموافق 29/4/2026</t>
  </si>
  <si>
    <t>رصد انحرافات تحميل الأخصائيين اليوم الخميس الموافق 30/4/2026</t>
  </si>
  <si>
    <t>المعادى 1 - المعادى 2</t>
  </si>
  <si>
    <t>التأخير بسبب تورت ومشتملات
من الانتاج</t>
  </si>
  <si>
    <t>المرغنى - عباس - مكرم</t>
  </si>
  <si>
    <t>حسام جمال</t>
  </si>
  <si>
    <t>الثالثة</t>
  </si>
  <si>
    <t>محمد عبد الله</t>
  </si>
  <si>
    <t>احمد كرم امام</t>
  </si>
  <si>
    <t>شريف ابراهيم</t>
  </si>
  <si>
    <t>تأخير مشتملات من الانتاج
+ انتظار الحجز</t>
  </si>
  <si>
    <t>المنتزه - الكوربة</t>
  </si>
  <si>
    <t>التأخير بسبب التورت</t>
  </si>
  <si>
    <t>الشيراتون - جاردينيا</t>
  </si>
  <si>
    <t>رضا عباس</t>
  </si>
  <si>
    <t>تأخير نواقص الخلية من الانتاج</t>
  </si>
  <si>
    <t>الوايلى - العباسية</t>
  </si>
  <si>
    <t>التأخير بسبب الشيكولاتة</t>
  </si>
  <si>
    <t>الجسر - النزهة</t>
  </si>
  <si>
    <t>احمد فايز</t>
  </si>
  <si>
    <t>محمد فؤاد</t>
  </si>
  <si>
    <t>انتظار نواقص الفرعين</t>
  </si>
  <si>
    <t>حسام خليل</t>
  </si>
  <si>
    <t>الطوابق</t>
  </si>
  <si>
    <t>التأخير بسبب تورت الحجز</t>
  </si>
  <si>
    <t>احمد عبد الحميد</t>
  </si>
  <si>
    <t>العاشر - المعادى 1</t>
  </si>
  <si>
    <t>عمر ابراهيم</t>
  </si>
  <si>
    <t>سبب التأٌخير وقوف السيارة لانتظار التورت</t>
  </si>
  <si>
    <t>تأخير تورت + جاتوه</t>
  </si>
  <si>
    <t>التأخير بسبب الانتاج</t>
  </si>
  <si>
    <t>رصد انحرافات تحميل الأخصائيين اليوم الجمعة الموافق 1/5/2026</t>
  </si>
  <si>
    <t>رصد انحرافات تحميل الأخصائيين اليوم السبت الموافق 2/5/2026</t>
  </si>
  <si>
    <t>رصد انحرافات تحميل الأخصائيين اليوم الاحد الموافق 3/5/2026</t>
  </si>
  <si>
    <t>رصد انحرافات تحميل الأخصائيين اليوم الاثنين الموافق 4/5/2026</t>
  </si>
  <si>
    <t>رصد انحرافات تحميل الأخصائيين اليوم الثلاثاء الموافق 5/5/2026</t>
  </si>
  <si>
    <t>رصد انحرافات تحميل الأخصائيين اليوم الاربعاء الموافق 6/5/2026</t>
  </si>
  <si>
    <t>رصد انحرافات تحميل الأخصائيين اليوم الخميس الموافق 7/5/2026</t>
  </si>
  <si>
    <t>مكرم - جاردينيا</t>
  </si>
  <si>
    <t>لا يوجد انحرافات اليوم الاثنين الموافق 27/4/2026</t>
  </si>
  <si>
    <t>انتظار نواقص الانتاج ( بورليه )</t>
  </si>
  <si>
    <t>العبور</t>
  </si>
  <si>
    <t>التأخير بسبب قطع الكهرباء عن الكيدج</t>
  </si>
  <si>
    <t>فيصل - الطوابق</t>
  </si>
  <si>
    <t>انتظار نواقص من الانتاج</t>
  </si>
  <si>
    <t>العباسية</t>
  </si>
  <si>
    <t>عمر محمد</t>
  </si>
  <si>
    <t xml:space="preserve">التأخير بسبب انتظار حجز التورت
وتحميل علب البسكوت كله فى السيارة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</si>
</sst>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9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20" fontId="2" fillId="4" borderId="9" xfId="0" applyNumberFormat="1" applyFont="1" applyFill="1" applyBorder="1" applyAlignment="1">
      <alignment horizontal="center" vertical="center" wrapText="1"/>
    </xf>
    <xf numFmtId="20" fontId="2" fillId="4" borderId="5" xfId="0" applyNumberFormat="1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 wrapText="1"/>
    </xf>
    <xf numFmtId="20" fontId="2" fillId="6" borderId="5" xfId="0" applyNumberFormat="1" applyFont="1" applyFill="1" applyBorder="1" applyAlignment="1">
      <alignment horizontal="center" vertical="center" wrapText="1"/>
    </xf>
    <xf numFmtId="20" fontId="2" fillId="6" borderId="13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 wrapText="1"/>
    </xf>
    <xf numFmtId="20" fontId="2" fillId="4" borderId="14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20" fontId="2" fillId="2" borderId="16" xfId="0" applyNumberFormat="1" applyFont="1" applyFill="1" applyBorder="1" applyAlignment="1">
      <alignment horizontal="center" vertical="center" wrapText="1"/>
    </xf>
    <xf numFmtId="20" fontId="2" fillId="2" borderId="0" xfId="0" applyNumberFormat="1" applyFont="1" applyFill="1" applyBorder="1" applyAlignment="1">
      <alignment horizontal="center" vertical="center" wrapText="1"/>
    </xf>
    <xf numFmtId="20" fontId="2" fillId="2" borderId="17" xfId="0" applyNumberFormat="1" applyFont="1" applyFill="1" applyBorder="1" applyAlignment="1">
      <alignment horizontal="center" vertical="center" wrapText="1"/>
    </xf>
    <xf numFmtId="20" fontId="2" fillId="2" borderId="18" xfId="0" applyNumberFormat="1" applyFont="1" applyFill="1" applyBorder="1" applyAlignment="1">
      <alignment horizontal="center" vertical="center" wrapText="1"/>
    </xf>
    <xf numFmtId="20" fontId="2" fillId="2" borderId="4" xfId="0" applyNumberFormat="1" applyFont="1" applyFill="1" applyBorder="1" applyAlignment="1">
      <alignment horizontal="center" vertical="center" wrapText="1"/>
    </xf>
    <xf numFmtId="20" fontId="2" fillId="2" borderId="19" xfId="0" applyNumberFormat="1" applyFont="1" applyFill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4" borderId="13" xfId="0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rightToLeft="1" workbookViewId="0">
      <pane ySplit="2" topLeftCell="A3" activePane="bottomLeft" state="frozen"/>
      <selection activeCell="C25" sqref="C25"/>
      <selection pane="bottomLeft" activeCell="N3" sqref="N3"/>
    </sheetView>
  </sheetViews>
  <sheetFormatPr defaultRowHeight="15" x14ac:dyDescent="0.25"/>
  <cols>
    <col min="1" max="1" width="13.7109375" customWidth="1"/>
    <col min="2" max="2" width="14" customWidth="1"/>
    <col min="3" max="3" width="21.7109375" bestFit="1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41.28515625" bestFit="1" customWidth="1"/>
  </cols>
  <sheetData>
    <row r="1" spans="1:14" ht="30.75" customHeight="1" thickBot="1" x14ac:dyDescent="0.3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>
        <v>2695</v>
      </c>
      <c r="B3" s="1" t="s">
        <v>17</v>
      </c>
      <c r="C3" s="1" t="s">
        <v>18</v>
      </c>
      <c r="D3" s="1" t="s">
        <v>19</v>
      </c>
      <c r="E3" s="10">
        <v>3.125E-2</v>
      </c>
      <c r="F3" s="10">
        <v>1.0416666666666666E-2</v>
      </c>
      <c r="G3" s="9">
        <v>0.1875</v>
      </c>
      <c r="H3" s="9">
        <v>0.1875</v>
      </c>
      <c r="I3" s="9">
        <v>0.22916666666666666</v>
      </c>
      <c r="J3" s="9">
        <v>0.23958333333333334</v>
      </c>
      <c r="K3" s="26">
        <v>0</v>
      </c>
      <c r="L3" s="27">
        <f>I3-H3-E3</f>
        <v>1.0416666666666657E-2</v>
      </c>
      <c r="M3" s="4" t="s">
        <v>20</v>
      </c>
      <c r="N3" s="4" t="s">
        <v>21</v>
      </c>
    </row>
    <row r="4" spans="1:14" ht="21.75" thickBot="1" x14ac:dyDescent="0.3">
      <c r="A4" s="3">
        <v>3783</v>
      </c>
      <c r="B4" s="3" t="s">
        <v>16</v>
      </c>
      <c r="C4" s="3" t="s">
        <v>22</v>
      </c>
      <c r="D4" s="3" t="s">
        <v>23</v>
      </c>
      <c r="E4" s="10">
        <v>2.0833333333333332E-2</v>
      </c>
      <c r="F4" s="10">
        <v>1.0416666666666666E-2</v>
      </c>
      <c r="G4" s="10">
        <v>0.44097222222222227</v>
      </c>
      <c r="H4" s="10">
        <v>0.4513888888888889</v>
      </c>
      <c r="I4" s="10">
        <v>0.48958333333333331</v>
      </c>
      <c r="J4" s="10">
        <v>0.48958333333333331</v>
      </c>
      <c r="K4" s="13">
        <v>0</v>
      </c>
      <c r="L4" s="27">
        <f t="shared" ref="L4:L5" si="0">I4-H4-E4</f>
        <v>1.7361111111111088E-2</v>
      </c>
      <c r="M4" s="5" t="s">
        <v>20</v>
      </c>
      <c r="N4" s="5" t="s">
        <v>24</v>
      </c>
    </row>
    <row r="5" spans="1:14" ht="21.75" thickBot="1" x14ac:dyDescent="0.3">
      <c r="A5" s="7">
        <v>796</v>
      </c>
      <c r="B5" s="7" t="s">
        <v>16</v>
      </c>
      <c r="C5" s="7" t="s">
        <v>25</v>
      </c>
      <c r="D5" s="7" t="s">
        <v>26</v>
      </c>
      <c r="E5" s="11">
        <v>2.0833333333333332E-2</v>
      </c>
      <c r="F5" s="11">
        <v>1.0416666666666666E-2</v>
      </c>
      <c r="G5" s="11">
        <v>0.4548611111111111</v>
      </c>
      <c r="H5" s="11">
        <v>0.45833333333333331</v>
      </c>
      <c r="I5" s="11">
        <v>0.48958333333333331</v>
      </c>
      <c r="J5" s="11">
        <v>0.48958333333333331</v>
      </c>
      <c r="K5" s="11">
        <v>0</v>
      </c>
      <c r="L5" s="28">
        <f t="shared" si="0"/>
        <v>1.0416666666666668E-2</v>
      </c>
      <c r="M5" s="8" t="s">
        <v>27</v>
      </c>
      <c r="N5" s="8" t="s">
        <v>28</v>
      </c>
    </row>
    <row r="6" spans="1:14" ht="15.75" thickTop="1" x14ac:dyDescent="0.25"/>
  </sheetData>
  <autoFilter ref="A2:M5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rightToLeft="1" workbookViewId="0">
      <pane ySplit="2" topLeftCell="A3" activePane="bottomLeft" state="frozen"/>
      <selection activeCell="C25" sqref="C25"/>
      <selection pane="bottomLeft" activeCell="F9" sqref="F9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7.75" customHeight="1" thickTop="1" thickBot="1" x14ac:dyDescent="0.3">
      <c r="A3" s="29">
        <v>459</v>
      </c>
      <c r="B3" s="29" t="s">
        <v>16</v>
      </c>
      <c r="C3" s="29" t="s">
        <v>32</v>
      </c>
      <c r="D3" s="29" t="s">
        <v>33</v>
      </c>
      <c r="E3" s="11">
        <v>2.0833333333333332E-2</v>
      </c>
      <c r="F3" s="11">
        <v>1.0416666666666666E-2</v>
      </c>
      <c r="G3" s="30">
        <v>0.3888888888888889</v>
      </c>
      <c r="H3" s="30">
        <v>0.39583333333333331</v>
      </c>
      <c r="I3" s="30">
        <v>0.43055555555555558</v>
      </c>
      <c r="J3" s="30">
        <v>0.43055555555555558</v>
      </c>
      <c r="K3" s="31">
        <v>0</v>
      </c>
      <c r="L3" s="28">
        <f>I3-H3-E3</f>
        <v>1.3888888888888933E-2</v>
      </c>
      <c r="M3" s="32" t="s">
        <v>27</v>
      </c>
      <c r="N3" s="32" t="s">
        <v>34</v>
      </c>
    </row>
    <row r="4" spans="1:14" ht="15.75" thickTop="1" x14ac:dyDescent="0.25"/>
  </sheetData>
  <autoFilter ref="A2:M3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rightToLeft="1" workbookViewId="0">
      <pane ySplit="2" topLeftCell="A3" activePane="bottomLeft" state="frozen"/>
      <selection activeCell="C25" sqref="C25"/>
      <selection pane="bottomLeft" activeCell="H4" sqref="H4"/>
    </sheetView>
  </sheetViews>
  <sheetFormatPr defaultRowHeight="15" x14ac:dyDescent="0.25"/>
  <cols>
    <col min="1" max="1" width="13.7109375" customWidth="1"/>
    <col min="2" max="2" width="14" customWidth="1"/>
    <col min="3" max="3" width="22.5703125" bestFit="1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64.5" thickTop="1" thickBot="1" x14ac:dyDescent="0.3">
      <c r="A3" s="1">
        <v>6142</v>
      </c>
      <c r="B3" s="1" t="s">
        <v>17</v>
      </c>
      <c r="C3" s="1" t="s">
        <v>35</v>
      </c>
      <c r="D3" s="1" t="s">
        <v>36</v>
      </c>
      <c r="E3" s="10">
        <v>3.125E-2</v>
      </c>
      <c r="F3" s="10">
        <v>1.0416666666666666E-2</v>
      </c>
      <c r="G3" s="9">
        <v>0.18402777777777779</v>
      </c>
      <c r="H3" s="9">
        <v>0.1875</v>
      </c>
      <c r="I3" s="9">
        <v>0.23263888888888887</v>
      </c>
      <c r="J3" s="9">
        <v>0.23611111111111113</v>
      </c>
      <c r="K3" s="26">
        <v>0</v>
      </c>
      <c r="L3" s="27">
        <f>I3-H3-E3</f>
        <v>1.3888888888888867E-2</v>
      </c>
      <c r="M3" s="4" t="s">
        <v>20</v>
      </c>
      <c r="N3" s="33" t="s">
        <v>37</v>
      </c>
    </row>
    <row r="4" spans="1:14" ht="57" thickBot="1" x14ac:dyDescent="0.3">
      <c r="A4" s="3">
        <v>7464</v>
      </c>
      <c r="B4" s="3" t="s">
        <v>17</v>
      </c>
      <c r="C4" s="3" t="s">
        <v>38</v>
      </c>
      <c r="D4" s="3" t="s">
        <v>36</v>
      </c>
      <c r="E4" s="10">
        <v>3.125E-2</v>
      </c>
      <c r="F4" s="10">
        <v>1.0416666666666666E-2</v>
      </c>
      <c r="G4" s="10">
        <v>0.24791666666666667</v>
      </c>
      <c r="H4" s="10">
        <v>0.25347222222222221</v>
      </c>
      <c r="I4" s="10">
        <v>0.2951388888888889</v>
      </c>
      <c r="J4" s="10">
        <v>0.2986111111111111</v>
      </c>
      <c r="K4" s="13">
        <v>0</v>
      </c>
      <c r="L4" s="27">
        <f t="shared" ref="L4:L7" si="0">I4-H4-E4</f>
        <v>1.0416666666666685E-2</v>
      </c>
      <c r="M4" s="5" t="s">
        <v>20</v>
      </c>
      <c r="N4" s="34" t="s">
        <v>39</v>
      </c>
    </row>
    <row r="5" spans="1:14" ht="38.25" thickBot="1" x14ac:dyDescent="0.3">
      <c r="A5" s="2">
        <v>3891</v>
      </c>
      <c r="B5" s="2" t="s">
        <v>17</v>
      </c>
      <c r="C5" s="2" t="s">
        <v>45</v>
      </c>
      <c r="D5" s="2" t="s">
        <v>26</v>
      </c>
      <c r="E5" s="10">
        <v>3.125E-2</v>
      </c>
      <c r="F5" s="10">
        <v>1.0416666666666666E-2</v>
      </c>
      <c r="G5" s="10">
        <v>0.36458333333333331</v>
      </c>
      <c r="H5" s="10">
        <v>0.36458333333333331</v>
      </c>
      <c r="I5" s="10">
        <v>0.40277777777777773</v>
      </c>
      <c r="J5" s="10">
        <v>0.40625</v>
      </c>
      <c r="K5" s="10">
        <v>0</v>
      </c>
      <c r="L5" s="27">
        <f t="shared" si="0"/>
        <v>6.9444444444444198E-3</v>
      </c>
      <c r="M5" s="5" t="s">
        <v>27</v>
      </c>
      <c r="N5" s="34" t="s">
        <v>46</v>
      </c>
    </row>
    <row r="6" spans="1:14" ht="28.5" customHeight="1" thickBot="1" x14ac:dyDescent="0.3">
      <c r="A6" s="2">
        <v>2695</v>
      </c>
      <c r="B6" s="2" t="s">
        <v>17</v>
      </c>
      <c r="C6" s="2" t="s">
        <v>47</v>
      </c>
      <c r="D6" s="2" t="s">
        <v>48</v>
      </c>
      <c r="E6" s="10">
        <v>3.125E-2</v>
      </c>
      <c r="F6" s="10">
        <v>1.0416666666666666E-2</v>
      </c>
      <c r="G6" s="10">
        <v>9.375E-2</v>
      </c>
      <c r="H6" s="10">
        <v>9.7222222222222224E-2</v>
      </c>
      <c r="I6" s="10">
        <v>0.13541666666666666</v>
      </c>
      <c r="J6" s="10">
        <v>0.13541666666666666</v>
      </c>
      <c r="K6" s="10">
        <v>0</v>
      </c>
      <c r="L6" s="27">
        <f t="shared" si="0"/>
        <v>6.9444444444444337E-3</v>
      </c>
      <c r="M6" s="6" t="s">
        <v>49</v>
      </c>
      <c r="N6" s="6" t="s">
        <v>21</v>
      </c>
    </row>
    <row r="7" spans="1:14" ht="30" customHeight="1" thickBot="1" x14ac:dyDescent="0.3">
      <c r="A7" s="7">
        <v>2917</v>
      </c>
      <c r="B7" s="7" t="s">
        <v>17</v>
      </c>
      <c r="C7" s="7" t="s">
        <v>18</v>
      </c>
      <c r="D7" s="7" t="s">
        <v>50</v>
      </c>
      <c r="E7" s="11">
        <v>3.125E-2</v>
      </c>
      <c r="F7" s="11">
        <v>1.0416666666666666E-2</v>
      </c>
      <c r="G7" s="11">
        <v>6.25E-2</v>
      </c>
      <c r="H7" s="11">
        <v>6.9444444444444434E-2</v>
      </c>
      <c r="I7" s="11">
        <v>0.1111111111111111</v>
      </c>
      <c r="J7" s="11">
        <v>0.11458333333333333</v>
      </c>
      <c r="K7" s="11">
        <v>0</v>
      </c>
      <c r="L7" s="28">
        <f t="shared" si="0"/>
        <v>1.0416666666666671E-2</v>
      </c>
      <c r="M7" s="8" t="s">
        <v>49</v>
      </c>
      <c r="N7" s="8" t="s">
        <v>21</v>
      </c>
    </row>
    <row r="8" spans="1:14" ht="15.75" thickTop="1" x14ac:dyDescent="0.25"/>
  </sheetData>
  <autoFilter ref="A2:M7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rightToLeft="1" workbookViewId="0">
      <pane ySplit="2" topLeftCell="A3" activePane="bottomLeft" state="frozen"/>
      <selection activeCell="C25" sqref="C25"/>
      <selection pane="bottomLeft" activeCell="H5" sqref="H5"/>
    </sheetView>
  </sheetViews>
  <sheetFormatPr defaultRowHeight="15" x14ac:dyDescent="0.25"/>
  <cols>
    <col min="1" max="1" width="13.7109375" customWidth="1"/>
    <col min="2" max="2" width="14" customWidth="1"/>
    <col min="3" max="3" width="21.7109375" bestFit="1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30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>
        <v>5898</v>
      </c>
      <c r="B3" s="1" t="s">
        <v>17</v>
      </c>
      <c r="C3" s="1" t="s">
        <v>22</v>
      </c>
      <c r="D3" s="1" t="s">
        <v>51</v>
      </c>
      <c r="E3" s="10">
        <v>3.125E-2</v>
      </c>
      <c r="F3" s="10">
        <v>1.0416666666666666E-2</v>
      </c>
      <c r="G3" s="9">
        <v>0.23611111111111113</v>
      </c>
      <c r="H3" s="9">
        <v>0.23611111111111113</v>
      </c>
      <c r="I3" s="9">
        <v>0.27777777777777779</v>
      </c>
      <c r="J3" s="9">
        <v>0.27777777777777779</v>
      </c>
      <c r="K3" s="26">
        <v>0</v>
      </c>
      <c r="L3" s="27">
        <f>I3-H3-E3</f>
        <v>1.0416666666666657E-2</v>
      </c>
      <c r="M3" s="4" t="s">
        <v>20</v>
      </c>
      <c r="N3" s="4" t="s">
        <v>21</v>
      </c>
    </row>
    <row r="4" spans="1:14" ht="21.75" thickBot="1" x14ac:dyDescent="0.3">
      <c r="A4" s="3">
        <v>7464</v>
      </c>
      <c r="B4" s="3" t="s">
        <v>17</v>
      </c>
      <c r="C4" s="3" t="s">
        <v>18</v>
      </c>
      <c r="D4" s="3" t="s">
        <v>52</v>
      </c>
      <c r="E4" s="10">
        <v>3.125E-2</v>
      </c>
      <c r="F4" s="10">
        <v>1.0416666666666666E-2</v>
      </c>
      <c r="G4" s="10">
        <v>0.38194444444444442</v>
      </c>
      <c r="H4" s="10">
        <v>0.38194444444444442</v>
      </c>
      <c r="I4" s="10">
        <v>0.43055555555555558</v>
      </c>
      <c r="J4" s="10">
        <v>0.43055555555555558</v>
      </c>
      <c r="K4" s="13">
        <v>0</v>
      </c>
      <c r="L4" s="27">
        <f t="shared" ref="L4:L7" si="0">I4-H4-E4</f>
        <v>1.736111111111116E-2</v>
      </c>
      <c r="M4" s="5" t="s">
        <v>27</v>
      </c>
      <c r="N4" s="5" t="s">
        <v>21</v>
      </c>
    </row>
    <row r="5" spans="1:14" ht="42.75" thickBot="1" x14ac:dyDescent="0.3">
      <c r="A5" s="2">
        <v>2694</v>
      </c>
      <c r="B5" s="2" t="s">
        <v>17</v>
      </c>
      <c r="C5" s="2" t="s">
        <v>45</v>
      </c>
      <c r="D5" s="2" t="s">
        <v>26</v>
      </c>
      <c r="E5" s="10">
        <v>3.125E-2</v>
      </c>
      <c r="F5" s="10">
        <v>1.0416666666666666E-2</v>
      </c>
      <c r="G5" s="10">
        <v>0.39583333333333331</v>
      </c>
      <c r="H5" s="10">
        <v>0.39583333333333331</v>
      </c>
      <c r="I5" s="10">
        <v>0.4375</v>
      </c>
      <c r="J5" s="10">
        <v>0.44097222222222227</v>
      </c>
      <c r="K5" s="10">
        <v>0</v>
      </c>
      <c r="L5" s="27">
        <f t="shared" si="0"/>
        <v>1.0416666666666685E-2</v>
      </c>
      <c r="M5" s="6" t="s">
        <v>27</v>
      </c>
      <c r="N5" s="35" t="s">
        <v>53</v>
      </c>
    </row>
    <row r="6" spans="1:14" ht="21.75" thickBot="1" x14ac:dyDescent="0.3">
      <c r="A6" s="2">
        <v>3793</v>
      </c>
      <c r="B6" s="2" t="s">
        <v>16</v>
      </c>
      <c r="C6" s="2" t="s">
        <v>54</v>
      </c>
      <c r="D6" s="2" t="s">
        <v>26</v>
      </c>
      <c r="E6" s="10">
        <v>2.0833333333333332E-2</v>
      </c>
      <c r="F6" s="10">
        <v>1.0416666666666666E-2</v>
      </c>
      <c r="G6" s="10">
        <v>0.47569444444444442</v>
      </c>
      <c r="H6" s="10">
        <v>0.47569444444444442</v>
      </c>
      <c r="I6" s="10">
        <v>0.51041666666666663</v>
      </c>
      <c r="J6" s="10">
        <v>0.51388888888888895</v>
      </c>
      <c r="K6" s="10">
        <v>0</v>
      </c>
      <c r="L6" s="27">
        <f t="shared" si="0"/>
        <v>1.3888888888888878E-2</v>
      </c>
      <c r="M6" s="6" t="s">
        <v>27</v>
      </c>
      <c r="N6" s="6" t="s">
        <v>55</v>
      </c>
    </row>
    <row r="7" spans="1:14" ht="21.75" thickBot="1" x14ac:dyDescent="0.3">
      <c r="A7" s="7">
        <v>9198</v>
      </c>
      <c r="B7" s="7" t="s">
        <v>16</v>
      </c>
      <c r="C7" s="7" t="s">
        <v>56</v>
      </c>
      <c r="D7" s="7" t="s">
        <v>50</v>
      </c>
      <c r="E7" s="11">
        <v>2.0833333333333332E-2</v>
      </c>
      <c r="F7" s="11">
        <v>1.0416666666666666E-2</v>
      </c>
      <c r="G7" s="11">
        <v>0.42708333333333331</v>
      </c>
      <c r="H7" s="11">
        <v>0.43055555555555558</v>
      </c>
      <c r="I7" s="11">
        <v>0.45833333333333331</v>
      </c>
      <c r="J7" s="11">
        <v>0.46180555555555558</v>
      </c>
      <c r="K7" s="11">
        <v>0</v>
      </c>
      <c r="L7" s="28">
        <f t="shared" si="0"/>
        <v>6.9444444444444024E-3</v>
      </c>
      <c r="M7" s="8" t="s">
        <v>27</v>
      </c>
      <c r="N7" s="8" t="s">
        <v>55</v>
      </c>
    </row>
    <row r="8" spans="1:14" ht="15.75" thickTop="1" x14ac:dyDescent="0.25"/>
  </sheetData>
  <autoFilter ref="A2:M7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rightToLeft="1" workbookViewId="0">
      <pane ySplit="2" topLeftCell="A3" activePane="bottomLeft" state="frozen"/>
      <selection activeCell="C25" sqref="C25"/>
      <selection pane="bottomLeft" activeCell="F7" sqref="F7"/>
    </sheetView>
  </sheetViews>
  <sheetFormatPr defaultRowHeight="15" x14ac:dyDescent="0.25"/>
  <cols>
    <col min="1" max="1" width="13.7109375" customWidth="1"/>
    <col min="2" max="2" width="14" customWidth="1"/>
    <col min="3" max="3" width="21" bestFit="1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31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>
        <v>7464</v>
      </c>
      <c r="B3" s="1" t="s">
        <v>17</v>
      </c>
      <c r="C3" s="1" t="s">
        <v>35</v>
      </c>
      <c r="D3" s="1" t="s">
        <v>57</v>
      </c>
      <c r="E3" s="10">
        <v>3.125E-2</v>
      </c>
      <c r="F3" s="10">
        <v>1.0416666666666666E-2</v>
      </c>
      <c r="G3" s="9">
        <v>0.19097222222222221</v>
      </c>
      <c r="H3" s="9">
        <v>0.19097222222222221</v>
      </c>
      <c r="I3" s="9">
        <v>0.23263888888888887</v>
      </c>
      <c r="J3" s="9">
        <v>0.23263888888888887</v>
      </c>
      <c r="K3" s="26">
        <v>0</v>
      </c>
      <c r="L3" s="27">
        <f>I3-H3-E3</f>
        <v>1.0416666666666657E-2</v>
      </c>
      <c r="M3" s="4" t="s">
        <v>20</v>
      </c>
      <c r="N3" s="5" t="s">
        <v>21</v>
      </c>
    </row>
    <row r="4" spans="1:14" ht="21.75" thickBot="1" x14ac:dyDescent="0.3">
      <c r="A4" s="3">
        <v>9198</v>
      </c>
      <c r="B4" s="3" t="s">
        <v>16</v>
      </c>
      <c r="C4" s="3" t="s">
        <v>56</v>
      </c>
      <c r="D4" s="3" t="s">
        <v>33</v>
      </c>
      <c r="E4" s="10">
        <v>2.0833333333333332E-2</v>
      </c>
      <c r="F4" s="10">
        <v>1.0416666666666666E-2</v>
      </c>
      <c r="G4" s="10">
        <v>0.3923611111111111</v>
      </c>
      <c r="H4" s="10">
        <v>0.39583333333333331</v>
      </c>
      <c r="I4" s="10">
        <v>0.4236111111111111</v>
      </c>
      <c r="J4" s="10">
        <v>0.4236111111111111</v>
      </c>
      <c r="K4" s="13">
        <v>0</v>
      </c>
      <c r="L4" s="27">
        <f t="shared" ref="L4:L11" si="0">I4-H4-E4</f>
        <v>6.9444444444444579E-3</v>
      </c>
      <c r="M4" s="5" t="s">
        <v>27</v>
      </c>
      <c r="N4" s="5" t="s">
        <v>58</v>
      </c>
    </row>
    <row r="5" spans="1:14" ht="21.75" thickBot="1" x14ac:dyDescent="0.3">
      <c r="A5" s="2">
        <v>4987</v>
      </c>
      <c r="B5" s="2" t="s">
        <v>17</v>
      </c>
      <c r="C5" s="2" t="s">
        <v>59</v>
      </c>
      <c r="D5" s="2" t="s">
        <v>33</v>
      </c>
      <c r="E5" s="10">
        <v>3.125E-2</v>
      </c>
      <c r="F5" s="10">
        <v>1.0416666666666666E-2</v>
      </c>
      <c r="G5" s="10">
        <v>0.42708333333333331</v>
      </c>
      <c r="H5" s="10">
        <v>0.42708333333333331</v>
      </c>
      <c r="I5" s="10">
        <v>0.46527777777777773</v>
      </c>
      <c r="J5" s="10">
        <v>0.46527777777777773</v>
      </c>
      <c r="K5" s="10">
        <v>0</v>
      </c>
      <c r="L5" s="27">
        <f t="shared" si="0"/>
        <v>6.9444444444444198E-3</v>
      </c>
      <c r="M5" s="6" t="s">
        <v>27</v>
      </c>
      <c r="N5" s="6" t="s">
        <v>55</v>
      </c>
    </row>
    <row r="6" spans="1:14" ht="21.75" thickBot="1" x14ac:dyDescent="0.3">
      <c r="A6" s="2">
        <v>2694</v>
      </c>
      <c r="B6" s="2" t="s">
        <v>17</v>
      </c>
      <c r="C6" s="2" t="s">
        <v>22</v>
      </c>
      <c r="D6" s="2" t="s">
        <v>33</v>
      </c>
      <c r="E6" s="10">
        <v>3.125E-2</v>
      </c>
      <c r="F6" s="10">
        <v>1.0416666666666666E-2</v>
      </c>
      <c r="G6" s="10">
        <v>0.46875</v>
      </c>
      <c r="H6" s="10">
        <v>0.47222222222222227</v>
      </c>
      <c r="I6" s="10">
        <v>0.51041666666666663</v>
      </c>
      <c r="J6" s="10">
        <v>0.51041666666666663</v>
      </c>
      <c r="K6" s="10">
        <v>0</v>
      </c>
      <c r="L6" s="27">
        <f t="shared" si="0"/>
        <v>6.9444444444443643E-3</v>
      </c>
      <c r="M6" s="6" t="s">
        <v>27</v>
      </c>
      <c r="N6" s="6" t="s">
        <v>60</v>
      </c>
    </row>
    <row r="7" spans="1:14" ht="21.75" thickBot="1" x14ac:dyDescent="0.3">
      <c r="A7" s="2">
        <v>2695</v>
      </c>
      <c r="B7" s="2" t="s">
        <v>17</v>
      </c>
      <c r="C7" s="2" t="s">
        <v>61</v>
      </c>
      <c r="D7" s="2" t="s">
        <v>62</v>
      </c>
      <c r="E7" s="10">
        <v>3.125E-2</v>
      </c>
      <c r="F7" s="10">
        <v>1.0416666666666666E-2</v>
      </c>
      <c r="G7" s="10">
        <v>0.43055555555555558</v>
      </c>
      <c r="H7" s="10">
        <v>0.43402777777777773</v>
      </c>
      <c r="I7" s="10">
        <v>0.47569444444444442</v>
      </c>
      <c r="J7" s="10">
        <v>0.47916666666666669</v>
      </c>
      <c r="K7" s="10">
        <v>0</v>
      </c>
      <c r="L7" s="27">
        <f t="shared" si="0"/>
        <v>1.0416666666666685E-2</v>
      </c>
      <c r="M7" s="6" t="s">
        <v>27</v>
      </c>
      <c r="N7" s="6" t="s">
        <v>21</v>
      </c>
    </row>
    <row r="8" spans="1:14" ht="21.75" thickBot="1" x14ac:dyDescent="0.3">
      <c r="A8" s="2">
        <v>1454</v>
      </c>
      <c r="B8" s="2" t="s">
        <v>17</v>
      </c>
      <c r="C8" s="2" t="s">
        <v>18</v>
      </c>
      <c r="D8" s="2" t="s">
        <v>63</v>
      </c>
      <c r="E8" s="10">
        <v>3.125E-2</v>
      </c>
      <c r="F8" s="10">
        <v>1.0416666666666666E-2</v>
      </c>
      <c r="G8" s="10">
        <v>0.39930555555555558</v>
      </c>
      <c r="H8" s="10">
        <v>0.39930555555555558</v>
      </c>
      <c r="I8" s="10">
        <v>0.4375</v>
      </c>
      <c r="J8" s="10">
        <v>0.4375</v>
      </c>
      <c r="K8" s="10">
        <v>0</v>
      </c>
      <c r="L8" s="27">
        <f t="shared" si="0"/>
        <v>6.9444444444444198E-3</v>
      </c>
      <c r="M8" s="6" t="s">
        <v>27</v>
      </c>
      <c r="N8" s="6" t="s">
        <v>64</v>
      </c>
    </row>
    <row r="9" spans="1:14" ht="21.75" thickBot="1" x14ac:dyDescent="0.3">
      <c r="A9" s="2">
        <v>1538</v>
      </c>
      <c r="B9" s="2" t="s">
        <v>17</v>
      </c>
      <c r="C9" s="2" t="s">
        <v>35</v>
      </c>
      <c r="D9" s="2" t="s">
        <v>65</v>
      </c>
      <c r="E9" s="10">
        <v>3.125E-2</v>
      </c>
      <c r="F9" s="10">
        <v>1.0416666666666666E-2</v>
      </c>
      <c r="G9" s="10">
        <v>0.4548611111111111</v>
      </c>
      <c r="H9" s="10">
        <v>0.45833333333333331</v>
      </c>
      <c r="I9" s="10">
        <v>0.51736111111111105</v>
      </c>
      <c r="J9" s="10">
        <v>0.51736111111111105</v>
      </c>
      <c r="K9" s="10">
        <v>0</v>
      </c>
      <c r="L9" s="27">
        <f t="shared" si="0"/>
        <v>2.7777777777777735E-2</v>
      </c>
      <c r="M9" s="6" t="s">
        <v>27</v>
      </c>
      <c r="N9" s="6" t="s">
        <v>21</v>
      </c>
    </row>
    <row r="10" spans="1:14" ht="21.75" thickBot="1" x14ac:dyDescent="0.3">
      <c r="A10" s="2">
        <v>3891</v>
      </c>
      <c r="B10" s="2" t="s">
        <v>17</v>
      </c>
      <c r="C10" s="2" t="s">
        <v>66</v>
      </c>
      <c r="D10" s="2" t="s">
        <v>48</v>
      </c>
      <c r="E10" s="10">
        <v>3.125E-2</v>
      </c>
      <c r="F10" s="10">
        <v>1.0416666666666666E-2</v>
      </c>
      <c r="G10" s="10">
        <v>0.4375</v>
      </c>
      <c r="H10" s="10">
        <v>0.44097222222222227</v>
      </c>
      <c r="I10" s="10">
        <v>0.4826388888888889</v>
      </c>
      <c r="J10" s="10">
        <v>0.4826388888888889</v>
      </c>
      <c r="K10" s="10">
        <v>0</v>
      </c>
      <c r="L10" s="27">
        <f t="shared" si="0"/>
        <v>1.041666666666663E-2</v>
      </c>
      <c r="M10" s="6" t="s">
        <v>27</v>
      </c>
      <c r="N10" s="6" t="s">
        <v>21</v>
      </c>
    </row>
    <row r="11" spans="1:14" ht="21.75" thickBot="1" x14ac:dyDescent="0.3">
      <c r="A11" s="7">
        <v>634</v>
      </c>
      <c r="B11" s="7" t="s">
        <v>16</v>
      </c>
      <c r="C11" s="7" t="s">
        <v>25</v>
      </c>
      <c r="D11" s="7" t="s">
        <v>68</v>
      </c>
      <c r="E11" s="11">
        <v>2.0833333333333332E-2</v>
      </c>
      <c r="F11" s="11">
        <v>1.0416666666666666E-2</v>
      </c>
      <c r="G11" s="11">
        <v>0.43402777777777773</v>
      </c>
      <c r="H11" s="11">
        <v>0.44097222222222227</v>
      </c>
      <c r="I11" s="11">
        <v>0.49652777777777773</v>
      </c>
      <c r="J11" s="11">
        <v>0.49652777777777773</v>
      </c>
      <c r="K11" s="11">
        <v>0</v>
      </c>
      <c r="L11" s="28">
        <f t="shared" si="0"/>
        <v>3.472222222222214E-2</v>
      </c>
      <c r="M11" s="8" t="s">
        <v>27</v>
      </c>
      <c r="N11" s="8" t="s">
        <v>67</v>
      </c>
    </row>
    <row r="12" spans="1:14" ht="15.75" thickTop="1" x14ac:dyDescent="0.25"/>
  </sheetData>
  <autoFilter ref="A2:M11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rightToLeft="1" workbookViewId="0">
      <pane ySplit="2" topLeftCell="A3" activePane="bottomLeft" state="frozen"/>
      <selection activeCell="C25" sqref="C25"/>
      <selection pane="bottomLeft" activeCell="N3" sqref="N3"/>
    </sheetView>
  </sheetViews>
  <sheetFormatPr defaultRowHeight="15" x14ac:dyDescent="0.25"/>
  <cols>
    <col min="1" max="1" width="13.7109375" customWidth="1"/>
    <col min="2" max="2" width="14" customWidth="1"/>
    <col min="3" max="3" width="21.7109375" bestFit="1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45.7109375" bestFit="1" customWidth="1"/>
  </cols>
  <sheetData>
    <row r="1" spans="1:14" ht="30.75" customHeight="1" thickBot="1" x14ac:dyDescent="0.3">
      <c r="A1" s="36" t="s">
        <v>40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>
        <v>6143</v>
      </c>
      <c r="B3" s="1" t="s">
        <v>17</v>
      </c>
      <c r="C3" s="1" t="s">
        <v>69</v>
      </c>
      <c r="D3" s="1" t="s">
        <v>57</v>
      </c>
      <c r="E3" s="10">
        <v>3.125E-2</v>
      </c>
      <c r="F3" s="10">
        <v>1.0416666666666666E-2</v>
      </c>
      <c r="G3" s="9">
        <v>0.1875</v>
      </c>
      <c r="H3" s="9">
        <v>0.1875</v>
      </c>
      <c r="I3" s="9">
        <v>0.23263888888888887</v>
      </c>
      <c r="J3" s="9">
        <v>0.23263888888888887</v>
      </c>
      <c r="K3" s="26">
        <v>0</v>
      </c>
      <c r="L3" s="27">
        <f>I3-H3-E3</f>
        <v>1.3888888888888867E-2</v>
      </c>
      <c r="M3" s="4" t="s">
        <v>20</v>
      </c>
      <c r="N3" s="6" t="s">
        <v>21</v>
      </c>
    </row>
    <row r="4" spans="1:14" ht="21.75" thickBot="1" x14ac:dyDescent="0.3">
      <c r="A4" s="3">
        <v>3793</v>
      </c>
      <c r="B4" s="3" t="s">
        <v>16</v>
      </c>
      <c r="C4" s="3" t="s">
        <v>22</v>
      </c>
      <c r="D4" s="3" t="s">
        <v>70</v>
      </c>
      <c r="E4" s="10">
        <v>2.0833333333333332E-2</v>
      </c>
      <c r="F4" s="10">
        <v>1.0416666666666666E-2</v>
      </c>
      <c r="G4" s="10">
        <v>0.45833333333333331</v>
      </c>
      <c r="H4" s="10">
        <v>0.46180555555555558</v>
      </c>
      <c r="I4" s="10">
        <v>0.49652777777777773</v>
      </c>
      <c r="J4" s="10">
        <v>0.49652777777777773</v>
      </c>
      <c r="K4" s="13">
        <v>0</v>
      </c>
      <c r="L4" s="27">
        <f t="shared" ref="L4:L6" si="0">I4-H4-E4</f>
        <v>1.3888888888888822E-2</v>
      </c>
      <c r="M4" s="5" t="s">
        <v>27</v>
      </c>
      <c r="N4" s="5" t="s">
        <v>71</v>
      </c>
    </row>
    <row r="5" spans="1:14" ht="21.75" thickBot="1" x14ac:dyDescent="0.3">
      <c r="A5" s="2">
        <v>9198</v>
      </c>
      <c r="B5" s="2" t="s">
        <v>16</v>
      </c>
      <c r="C5" s="2" t="s">
        <v>32</v>
      </c>
      <c r="D5" s="2" t="s">
        <v>62</v>
      </c>
      <c r="E5" s="10">
        <v>2.0833333333333332E-2</v>
      </c>
      <c r="F5" s="10">
        <v>1.0416666666666666E-2</v>
      </c>
      <c r="G5" s="10">
        <v>0.37847222222222227</v>
      </c>
      <c r="H5" s="10">
        <v>0.38194444444444442</v>
      </c>
      <c r="I5" s="10">
        <v>0.41666666666666669</v>
      </c>
      <c r="J5" s="10">
        <v>0.4201388888888889</v>
      </c>
      <c r="K5" s="10">
        <v>0</v>
      </c>
      <c r="L5" s="27">
        <f t="shared" si="0"/>
        <v>1.3888888888888933E-2</v>
      </c>
      <c r="M5" s="6" t="s">
        <v>27</v>
      </c>
      <c r="N5" s="6" t="s">
        <v>72</v>
      </c>
    </row>
    <row r="6" spans="1:14" ht="21.75" thickBot="1" x14ac:dyDescent="0.3">
      <c r="A6" s="7">
        <v>4987</v>
      </c>
      <c r="B6" s="7" t="s">
        <v>17</v>
      </c>
      <c r="C6" s="7" t="s">
        <v>45</v>
      </c>
      <c r="D6" s="7" t="s">
        <v>52</v>
      </c>
      <c r="E6" s="11">
        <v>3.125E-2</v>
      </c>
      <c r="F6" s="11">
        <v>1.0416666666666666E-2</v>
      </c>
      <c r="G6" s="11">
        <v>0.38541666666666669</v>
      </c>
      <c r="H6" s="11">
        <v>0.38541666666666669</v>
      </c>
      <c r="I6" s="11">
        <v>0.43402777777777773</v>
      </c>
      <c r="J6" s="11">
        <v>0.43402777777777773</v>
      </c>
      <c r="K6" s="11">
        <v>0</v>
      </c>
      <c r="L6" s="28">
        <f t="shared" si="0"/>
        <v>1.7361111111111049E-2</v>
      </c>
      <c r="M6" s="8" t="s">
        <v>27</v>
      </c>
      <c r="N6" s="8" t="s">
        <v>73</v>
      </c>
    </row>
    <row r="7" spans="1:14" ht="15.75" thickTop="1" x14ac:dyDescent="0.25"/>
  </sheetData>
  <autoFilter ref="A2:M6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rightToLeft="1" workbookViewId="0">
      <pane ySplit="2" topLeftCell="A3" activePane="bottomLeft" state="frozen"/>
      <selection activeCell="C25" sqref="C25"/>
      <selection pane="bottomLeft" activeCell="A3" sqref="A1:N4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41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38" t="s">
        <v>82</v>
      </c>
      <c r="B3" s="39"/>
      <c r="C3" s="39"/>
      <c r="D3" s="39"/>
      <c r="E3" s="39"/>
      <c r="F3" s="39"/>
      <c r="G3" s="39"/>
      <c r="H3" s="39"/>
      <c r="I3" s="39"/>
      <c r="J3" s="40"/>
      <c r="K3" s="26">
        <v>0</v>
      </c>
      <c r="L3" s="23">
        <f>I3-H3-E3</f>
        <v>0</v>
      </c>
      <c r="M3" s="4"/>
      <c r="N3" s="6"/>
    </row>
    <row r="4" spans="1:14" ht="21.75" thickBot="1" x14ac:dyDescent="0.3">
      <c r="A4" s="41"/>
      <c r="B4" s="42"/>
      <c r="C4" s="42"/>
      <c r="D4" s="42"/>
      <c r="E4" s="42"/>
      <c r="F4" s="42"/>
      <c r="G4" s="42"/>
      <c r="H4" s="42"/>
      <c r="I4" s="42"/>
      <c r="J4" s="43"/>
      <c r="K4" s="44">
        <f t="shared" ref="K4" si="0">H4-G4-F4</f>
        <v>0</v>
      </c>
      <c r="L4" s="45">
        <f t="shared" ref="L4" si="1">I4-H4-E4</f>
        <v>0</v>
      </c>
      <c r="M4" s="46"/>
      <c r="N4" s="46"/>
    </row>
    <row r="5" spans="1:14" ht="15.75" thickTop="1" x14ac:dyDescent="0.25"/>
  </sheetData>
  <autoFilter ref="A2:M4"/>
  <mergeCells count="2">
    <mergeCell ref="A1:N1"/>
    <mergeCell ref="A3:J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rightToLeft="1" tabSelected="1" workbookViewId="0">
      <pane ySplit="2" topLeftCell="A3" activePane="bottomLeft" state="frozen"/>
      <selection activeCell="C25" sqref="C25"/>
      <selection pane="bottomLeft" activeCell="E5" sqref="E5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42.42578125" bestFit="1" customWidth="1"/>
  </cols>
  <sheetData>
    <row r="1" spans="1:14" ht="30.75" customHeight="1" thickBot="1" x14ac:dyDescent="0.3">
      <c r="A1" s="36" t="s">
        <v>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>
        <v>2695</v>
      </c>
      <c r="B3" s="1" t="s">
        <v>17</v>
      </c>
      <c r="C3" s="1" t="s">
        <v>81</v>
      </c>
      <c r="D3" s="1" t="s">
        <v>57</v>
      </c>
      <c r="E3" s="10">
        <v>3.125E-2</v>
      </c>
      <c r="F3" s="10">
        <v>1.0416666666666666E-2</v>
      </c>
      <c r="G3" s="9">
        <v>0.19444444444444445</v>
      </c>
      <c r="H3" s="9">
        <v>0.19444444444444445</v>
      </c>
      <c r="I3" s="9">
        <v>0.23263888888888887</v>
      </c>
      <c r="J3" s="9">
        <v>0.23263888888888887</v>
      </c>
      <c r="K3" s="26">
        <v>0</v>
      </c>
      <c r="L3" s="27">
        <f>I3-H3-E3</f>
        <v>6.9444444444444198E-3</v>
      </c>
      <c r="M3" s="4" t="s">
        <v>20</v>
      </c>
      <c r="N3" s="6" t="s">
        <v>21</v>
      </c>
    </row>
    <row r="4" spans="1:14" ht="21.75" thickBot="1" x14ac:dyDescent="0.3">
      <c r="A4" s="3">
        <v>634</v>
      </c>
      <c r="B4" s="3" t="s">
        <v>16</v>
      </c>
      <c r="C4" s="3" t="s">
        <v>25</v>
      </c>
      <c r="D4" s="3" t="s">
        <v>63</v>
      </c>
      <c r="E4" s="10">
        <v>2.0833333333333332E-2</v>
      </c>
      <c r="F4" s="10">
        <v>1.0416666666666666E-2</v>
      </c>
      <c r="G4" s="10">
        <v>0.47569444444444442</v>
      </c>
      <c r="H4" s="10">
        <v>0.4826388888888889</v>
      </c>
      <c r="I4" s="10">
        <v>0.51041666666666663</v>
      </c>
      <c r="J4" s="10">
        <v>0.51041666666666663</v>
      </c>
      <c r="K4" s="13">
        <v>0</v>
      </c>
      <c r="L4" s="27">
        <f t="shared" ref="L4:L6" si="0">I4-H4-E4</f>
        <v>6.9444444444444024E-3</v>
      </c>
      <c r="M4" s="5" t="s">
        <v>27</v>
      </c>
      <c r="N4" s="5" t="s">
        <v>83</v>
      </c>
    </row>
    <row r="5" spans="1:14" ht="21.75" thickBot="1" x14ac:dyDescent="0.3">
      <c r="A5" s="2">
        <v>796</v>
      </c>
      <c r="B5" s="2" t="s">
        <v>16</v>
      </c>
      <c r="C5" s="2" t="s">
        <v>84</v>
      </c>
      <c r="D5" s="2" t="s">
        <v>68</v>
      </c>
      <c r="E5" s="10">
        <v>2.0833333333333332E-2</v>
      </c>
      <c r="F5" s="10">
        <v>1.0416666666666666E-2</v>
      </c>
      <c r="G5" s="10">
        <v>0.44097222222222227</v>
      </c>
      <c r="H5" s="10">
        <v>0.44097222222222227</v>
      </c>
      <c r="I5" s="10">
        <v>0.4826388888888889</v>
      </c>
      <c r="J5" s="10">
        <v>0.4826388888888889</v>
      </c>
      <c r="K5" s="10">
        <v>0</v>
      </c>
      <c r="L5" s="27">
        <f t="shared" si="0"/>
        <v>2.0833333333333297E-2</v>
      </c>
      <c r="M5" s="6" t="s">
        <v>27</v>
      </c>
      <c r="N5" s="6" t="s">
        <v>85</v>
      </c>
    </row>
    <row r="6" spans="1:14" ht="21.75" thickBot="1" x14ac:dyDescent="0.3">
      <c r="A6" s="7">
        <v>2695</v>
      </c>
      <c r="B6" s="7" t="s">
        <v>17</v>
      </c>
      <c r="C6" s="7" t="s">
        <v>86</v>
      </c>
      <c r="D6" s="7" t="s">
        <v>65</v>
      </c>
      <c r="E6" s="11">
        <v>3.125E-2</v>
      </c>
      <c r="F6" s="11">
        <v>1.0416666666666666E-2</v>
      </c>
      <c r="G6" s="11">
        <v>0.44097222222222227</v>
      </c>
      <c r="H6" s="11">
        <v>0.44097222222222227</v>
      </c>
      <c r="I6" s="11">
        <v>0.51041666666666663</v>
      </c>
      <c r="J6" s="11">
        <v>0.51041666666666663</v>
      </c>
      <c r="K6" s="11">
        <v>0</v>
      </c>
      <c r="L6" s="28">
        <f t="shared" si="0"/>
        <v>3.8194444444444364E-2</v>
      </c>
      <c r="M6" s="8" t="s">
        <v>27</v>
      </c>
      <c r="N6" s="8" t="s">
        <v>87</v>
      </c>
    </row>
    <row r="7" spans="1:14" ht="15.75" thickTop="1" x14ac:dyDescent="0.25"/>
  </sheetData>
  <autoFilter ref="A2:M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A6" sqref="A6"/>
    </sheetView>
  </sheetViews>
  <sheetFormatPr defaultRowHeight="15" x14ac:dyDescent="0.25"/>
  <cols>
    <col min="1" max="1" width="13.7109375" customWidth="1"/>
    <col min="2" max="2" width="14" customWidth="1"/>
    <col min="3" max="3" width="21" bestFit="1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43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>
        <v>459</v>
      </c>
      <c r="B3" s="1" t="s">
        <v>16</v>
      </c>
      <c r="C3" s="1" t="s">
        <v>88</v>
      </c>
      <c r="D3" s="1" t="s">
        <v>89</v>
      </c>
      <c r="E3" s="10">
        <v>2.0833333333333332E-2</v>
      </c>
      <c r="F3" s="10">
        <v>1.0416666666666666E-2</v>
      </c>
      <c r="G3" s="9">
        <v>0.27083333333333331</v>
      </c>
      <c r="H3" s="9">
        <v>0.27083333333333331</v>
      </c>
      <c r="I3" s="9">
        <v>0.2986111111111111</v>
      </c>
      <c r="J3" s="9">
        <v>0.2986111111111111</v>
      </c>
      <c r="K3" s="26">
        <v>0</v>
      </c>
      <c r="L3" s="27">
        <f>I3-H3-E3</f>
        <v>6.9444444444444579E-3</v>
      </c>
      <c r="M3" s="4" t="s">
        <v>20</v>
      </c>
      <c r="N3" s="6" t="s">
        <v>21</v>
      </c>
    </row>
    <row r="4" spans="1:14" ht="57" thickBot="1" x14ac:dyDescent="0.3">
      <c r="A4" s="3">
        <v>5898</v>
      </c>
      <c r="B4" s="3" t="s">
        <v>17</v>
      </c>
      <c r="C4" s="3" t="s">
        <v>35</v>
      </c>
      <c r="D4" s="3" t="s">
        <v>36</v>
      </c>
      <c r="E4" s="10">
        <v>3.125E-2</v>
      </c>
      <c r="F4" s="10">
        <v>1.0416666666666666E-2</v>
      </c>
      <c r="G4" s="10">
        <v>0.18055555555555555</v>
      </c>
      <c r="H4" s="10">
        <v>0.1875</v>
      </c>
      <c r="I4" s="10">
        <v>0.23958333333333334</v>
      </c>
      <c r="J4" s="10">
        <v>0.24097222222222223</v>
      </c>
      <c r="K4" s="13">
        <v>0</v>
      </c>
      <c r="L4" s="27">
        <f t="shared" ref="L4:L17" si="0">I4-H4-E4</f>
        <v>2.0833333333333343E-2</v>
      </c>
      <c r="M4" s="5" t="s">
        <v>20</v>
      </c>
      <c r="N4" s="34" t="s">
        <v>90</v>
      </c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ref="K4:K17" si="1">H5-G5-F5</f>
        <v>-1.0416666666666666E-2</v>
      </c>
      <c r="L5" s="23">
        <f t="shared" si="0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1"/>
        <v>-1.0416666666666666E-2</v>
      </c>
      <c r="L6" s="23">
        <f t="shared" si="0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1"/>
        <v>-1.0416666666666666E-2</v>
      </c>
      <c r="L7" s="23">
        <f t="shared" si="0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1"/>
        <v>-1.0416666666666666E-2</v>
      </c>
      <c r="L8" s="23">
        <f t="shared" si="0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1"/>
        <v>-1.0416666666666666E-2</v>
      </c>
      <c r="L9" s="23">
        <f t="shared" si="0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1"/>
        <v>-1.0416666666666666E-2</v>
      </c>
      <c r="L10" s="23">
        <f t="shared" si="0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1"/>
        <v>-1.0416666666666666E-2</v>
      </c>
      <c r="L11" s="23">
        <f t="shared" si="0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1"/>
        <v>-1.0416666666666666E-2</v>
      </c>
      <c r="L12" s="23">
        <f t="shared" si="0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1"/>
        <v>-1.0416666666666666E-2</v>
      </c>
      <c r="L13" s="23">
        <f t="shared" si="0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1"/>
        <v>-1.0416666666666666E-2</v>
      </c>
      <c r="L14" s="23">
        <f t="shared" si="0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1"/>
        <v>-1.0416666666666666E-2</v>
      </c>
      <c r="L15" s="23">
        <f t="shared" si="0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1"/>
        <v>-1.0416666666666666E-2</v>
      </c>
      <c r="L16" s="23">
        <f t="shared" si="0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1"/>
        <v>-1.0416666666666666E-2</v>
      </c>
      <c r="L17" s="22">
        <f t="shared" si="0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F16" sqref="F16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J4" sqref="J4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74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I7" sqref="I7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75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J14" sqref="J14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J5" sqref="J5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J12" sqref="J11:J12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I6" sqref="I6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79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>
      <pane ySplit="2" topLeftCell="A3" activePane="bottomLeft" state="frozen"/>
      <selection activeCell="C25" sqref="C25"/>
      <selection pane="bottomLeft" activeCell="I13" sqref="I13"/>
    </sheetView>
  </sheetViews>
  <sheetFormatPr defaultRowHeight="15" x14ac:dyDescent="0.25"/>
  <cols>
    <col min="1" max="1" width="13.7109375" customWidth="1"/>
    <col min="2" max="2" width="14" customWidth="1"/>
    <col min="3" max="3" width="17.140625" customWidth="1"/>
    <col min="4" max="4" width="19.140625" customWidth="1"/>
    <col min="5" max="5" width="19.42578125" customWidth="1"/>
    <col min="6" max="6" width="16.42578125" customWidth="1"/>
    <col min="7" max="9" width="17.5703125" customWidth="1"/>
    <col min="10" max="10" width="18.28515625" customWidth="1"/>
    <col min="11" max="12" width="19.7109375" customWidth="1"/>
    <col min="13" max="13" width="18.140625" customWidth="1"/>
    <col min="14" max="14" width="36.140625" customWidth="1"/>
  </cols>
  <sheetData>
    <row r="1" spans="1:14" ht="30.75" customHeight="1" thickBot="1" x14ac:dyDescent="0.3">
      <c r="A1" s="36" t="s">
        <v>80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64.5" thickTop="1" thickBot="1" x14ac:dyDescent="0.3">
      <c r="A2" s="14" t="s">
        <v>0</v>
      </c>
      <c r="B2" s="15" t="s">
        <v>1</v>
      </c>
      <c r="C2" s="16" t="s">
        <v>2</v>
      </c>
      <c r="D2" s="18" t="s">
        <v>4</v>
      </c>
      <c r="E2" s="24" t="s">
        <v>6</v>
      </c>
      <c r="F2" s="25" t="s">
        <v>5</v>
      </c>
      <c r="G2" s="19" t="s">
        <v>7</v>
      </c>
      <c r="H2" s="20" t="s">
        <v>9</v>
      </c>
      <c r="I2" s="17" t="s">
        <v>10</v>
      </c>
      <c r="J2" s="21" t="s">
        <v>8</v>
      </c>
      <c r="K2" s="15" t="s">
        <v>11</v>
      </c>
      <c r="L2" s="15" t="s">
        <v>12</v>
      </c>
      <c r="M2" s="12" t="s">
        <v>3</v>
      </c>
      <c r="N2" s="12" t="s">
        <v>13</v>
      </c>
    </row>
    <row r="3" spans="1:14" ht="22.5" thickTop="1" thickBot="1" x14ac:dyDescent="0.3">
      <c r="A3" s="1"/>
      <c r="B3" s="1"/>
      <c r="C3" s="1"/>
      <c r="D3" s="1"/>
      <c r="E3" s="10"/>
      <c r="F3" s="10">
        <v>1.0416666666666666E-2</v>
      </c>
      <c r="G3" s="9"/>
      <c r="H3" s="9"/>
      <c r="I3" s="9"/>
      <c r="J3" s="9"/>
      <c r="K3" s="26">
        <f>H3-G3-F3</f>
        <v>-1.0416666666666666E-2</v>
      </c>
      <c r="L3" s="23">
        <f>I3-H3-E3</f>
        <v>0</v>
      </c>
      <c r="M3" s="4"/>
      <c r="N3" s="4"/>
    </row>
    <row r="4" spans="1:14" ht="21.75" thickBot="1" x14ac:dyDescent="0.3">
      <c r="A4" s="3"/>
      <c r="B4" s="3"/>
      <c r="C4" s="3"/>
      <c r="D4" s="3"/>
      <c r="E4" s="10"/>
      <c r="F4" s="10">
        <v>1.0416666666666666E-2</v>
      </c>
      <c r="G4" s="10"/>
      <c r="H4" s="10"/>
      <c r="I4" s="10"/>
      <c r="J4" s="10"/>
      <c r="K4" s="13">
        <f t="shared" ref="K4:K17" si="0">H4-G4-F4</f>
        <v>-1.0416666666666666E-2</v>
      </c>
      <c r="L4" s="23">
        <f t="shared" ref="L4:L17" si="1">I4-H4-E4</f>
        <v>0</v>
      </c>
      <c r="M4" s="5"/>
      <c r="N4" s="5"/>
    </row>
    <row r="5" spans="1:14" ht="21.75" thickBot="1" x14ac:dyDescent="0.3">
      <c r="A5" s="2"/>
      <c r="B5" s="2"/>
      <c r="C5" s="2"/>
      <c r="D5" s="2"/>
      <c r="E5" s="10"/>
      <c r="F5" s="10">
        <v>1.0416666666666666E-2</v>
      </c>
      <c r="G5" s="10"/>
      <c r="H5" s="10"/>
      <c r="I5" s="10"/>
      <c r="J5" s="10"/>
      <c r="K5" s="10">
        <f t="shared" si="0"/>
        <v>-1.0416666666666666E-2</v>
      </c>
      <c r="L5" s="23">
        <f t="shared" si="1"/>
        <v>0</v>
      </c>
      <c r="M5" s="6"/>
      <c r="N5" s="6"/>
    </row>
    <row r="6" spans="1:14" ht="21.75" thickBot="1" x14ac:dyDescent="0.3">
      <c r="A6" s="2"/>
      <c r="B6" s="2"/>
      <c r="C6" s="2"/>
      <c r="D6" s="2"/>
      <c r="E6" s="10"/>
      <c r="F6" s="10">
        <v>1.0416666666666666E-2</v>
      </c>
      <c r="G6" s="10"/>
      <c r="H6" s="10"/>
      <c r="I6" s="10"/>
      <c r="J6" s="10"/>
      <c r="K6" s="10">
        <f t="shared" si="0"/>
        <v>-1.0416666666666666E-2</v>
      </c>
      <c r="L6" s="23">
        <f t="shared" si="1"/>
        <v>0</v>
      </c>
      <c r="M6" s="6"/>
      <c r="N6" s="6"/>
    </row>
    <row r="7" spans="1:14" ht="21.75" thickBot="1" x14ac:dyDescent="0.3">
      <c r="A7" s="2"/>
      <c r="B7" s="2"/>
      <c r="C7" s="2"/>
      <c r="D7" s="2"/>
      <c r="E7" s="10"/>
      <c r="F7" s="10">
        <v>1.0416666666666666E-2</v>
      </c>
      <c r="G7" s="10"/>
      <c r="H7" s="10"/>
      <c r="I7" s="10"/>
      <c r="J7" s="10"/>
      <c r="K7" s="10">
        <f t="shared" si="0"/>
        <v>-1.0416666666666666E-2</v>
      </c>
      <c r="L7" s="23">
        <f t="shared" si="1"/>
        <v>0</v>
      </c>
      <c r="M7" s="6"/>
      <c r="N7" s="6"/>
    </row>
    <row r="8" spans="1:14" ht="21.75" thickBot="1" x14ac:dyDescent="0.3">
      <c r="A8" s="2"/>
      <c r="B8" s="2"/>
      <c r="C8" s="2"/>
      <c r="D8" s="2"/>
      <c r="E8" s="10"/>
      <c r="F8" s="10">
        <v>1.0416666666666666E-2</v>
      </c>
      <c r="G8" s="10"/>
      <c r="H8" s="10"/>
      <c r="I8" s="10"/>
      <c r="J8" s="10"/>
      <c r="K8" s="10">
        <f t="shared" si="0"/>
        <v>-1.0416666666666666E-2</v>
      </c>
      <c r="L8" s="23">
        <f t="shared" si="1"/>
        <v>0</v>
      </c>
      <c r="M8" s="6"/>
      <c r="N8" s="6"/>
    </row>
    <row r="9" spans="1:14" ht="21.75" thickBot="1" x14ac:dyDescent="0.3">
      <c r="A9" s="2"/>
      <c r="B9" s="2"/>
      <c r="C9" s="2"/>
      <c r="D9" s="2"/>
      <c r="E9" s="10"/>
      <c r="F9" s="10">
        <v>1.0416666666666666E-2</v>
      </c>
      <c r="G9" s="10"/>
      <c r="H9" s="10"/>
      <c r="I9" s="10"/>
      <c r="J9" s="10"/>
      <c r="K9" s="10">
        <f t="shared" si="0"/>
        <v>-1.0416666666666666E-2</v>
      </c>
      <c r="L9" s="23">
        <f t="shared" si="1"/>
        <v>0</v>
      </c>
      <c r="M9" s="6"/>
      <c r="N9" s="6"/>
    </row>
    <row r="10" spans="1:14" ht="21.75" thickBot="1" x14ac:dyDescent="0.3">
      <c r="A10" s="2"/>
      <c r="B10" s="2"/>
      <c r="C10" s="2"/>
      <c r="D10" s="2"/>
      <c r="E10" s="10"/>
      <c r="F10" s="10">
        <v>1.0416666666666666E-2</v>
      </c>
      <c r="G10" s="10"/>
      <c r="H10" s="10"/>
      <c r="I10" s="10"/>
      <c r="J10" s="10"/>
      <c r="K10" s="10">
        <f t="shared" si="0"/>
        <v>-1.0416666666666666E-2</v>
      </c>
      <c r="L10" s="23">
        <f t="shared" si="1"/>
        <v>0</v>
      </c>
      <c r="M10" s="6"/>
      <c r="N10" s="6"/>
    </row>
    <row r="11" spans="1:14" ht="21.75" thickBot="1" x14ac:dyDescent="0.3">
      <c r="A11" s="2"/>
      <c r="B11" s="2"/>
      <c r="C11" s="2"/>
      <c r="D11" s="2"/>
      <c r="E11" s="10"/>
      <c r="F11" s="10">
        <v>1.0416666666666666E-2</v>
      </c>
      <c r="G11" s="10"/>
      <c r="H11" s="10"/>
      <c r="I11" s="10"/>
      <c r="J11" s="10"/>
      <c r="K11" s="10">
        <f t="shared" si="0"/>
        <v>-1.0416666666666666E-2</v>
      </c>
      <c r="L11" s="23">
        <f t="shared" si="1"/>
        <v>0</v>
      </c>
      <c r="M11" s="6"/>
      <c r="N11" s="6"/>
    </row>
    <row r="12" spans="1:14" ht="21.75" thickBot="1" x14ac:dyDescent="0.3">
      <c r="A12" s="2"/>
      <c r="B12" s="2"/>
      <c r="C12" s="2"/>
      <c r="D12" s="2"/>
      <c r="E12" s="10"/>
      <c r="F12" s="10">
        <v>1.0416666666666666E-2</v>
      </c>
      <c r="G12" s="10"/>
      <c r="H12" s="10"/>
      <c r="I12" s="10"/>
      <c r="J12" s="10"/>
      <c r="K12" s="10">
        <f t="shared" si="0"/>
        <v>-1.0416666666666666E-2</v>
      </c>
      <c r="L12" s="23">
        <f t="shared" si="1"/>
        <v>0</v>
      </c>
      <c r="M12" s="6"/>
      <c r="N12" s="6"/>
    </row>
    <row r="13" spans="1:14" ht="21.75" thickBot="1" x14ac:dyDescent="0.3">
      <c r="A13" s="2"/>
      <c r="B13" s="2"/>
      <c r="C13" s="2"/>
      <c r="D13" s="2"/>
      <c r="E13" s="10"/>
      <c r="F13" s="10">
        <v>1.0416666666666666E-2</v>
      </c>
      <c r="G13" s="10"/>
      <c r="H13" s="10"/>
      <c r="I13" s="10"/>
      <c r="J13" s="10"/>
      <c r="K13" s="10">
        <f t="shared" si="0"/>
        <v>-1.0416666666666666E-2</v>
      </c>
      <c r="L13" s="23">
        <f t="shared" si="1"/>
        <v>0</v>
      </c>
      <c r="M13" s="6"/>
      <c r="N13" s="6"/>
    </row>
    <row r="14" spans="1:14" ht="21.75" thickBot="1" x14ac:dyDescent="0.3">
      <c r="A14" s="2"/>
      <c r="B14" s="2"/>
      <c r="C14" s="2"/>
      <c r="D14" s="2"/>
      <c r="E14" s="10"/>
      <c r="F14" s="10">
        <v>1.0416666666666666E-2</v>
      </c>
      <c r="G14" s="10"/>
      <c r="H14" s="10"/>
      <c r="I14" s="10"/>
      <c r="J14" s="10"/>
      <c r="K14" s="10">
        <f t="shared" si="0"/>
        <v>-1.0416666666666666E-2</v>
      </c>
      <c r="L14" s="23">
        <f t="shared" si="1"/>
        <v>0</v>
      </c>
      <c r="M14" s="6"/>
      <c r="N14" s="6"/>
    </row>
    <row r="15" spans="1:14" ht="21.75" thickBot="1" x14ac:dyDescent="0.3">
      <c r="A15" s="2"/>
      <c r="B15" s="2"/>
      <c r="C15" s="2"/>
      <c r="D15" s="2"/>
      <c r="E15" s="10"/>
      <c r="F15" s="10">
        <v>1.0416666666666666E-2</v>
      </c>
      <c r="G15" s="10"/>
      <c r="H15" s="10"/>
      <c r="I15" s="10"/>
      <c r="J15" s="10"/>
      <c r="K15" s="10">
        <f t="shared" si="0"/>
        <v>-1.0416666666666666E-2</v>
      </c>
      <c r="L15" s="23">
        <f t="shared" si="1"/>
        <v>0</v>
      </c>
      <c r="M15" s="6"/>
      <c r="N15" s="6"/>
    </row>
    <row r="16" spans="1:14" ht="21.75" thickBot="1" x14ac:dyDescent="0.3">
      <c r="A16" s="2"/>
      <c r="B16" s="2"/>
      <c r="C16" s="2"/>
      <c r="D16" s="2"/>
      <c r="E16" s="10"/>
      <c r="F16" s="10">
        <v>1.0416666666666666E-2</v>
      </c>
      <c r="G16" s="10"/>
      <c r="H16" s="10"/>
      <c r="I16" s="10"/>
      <c r="J16" s="10"/>
      <c r="K16" s="10">
        <f t="shared" si="0"/>
        <v>-1.0416666666666666E-2</v>
      </c>
      <c r="L16" s="23">
        <f t="shared" si="1"/>
        <v>0</v>
      </c>
      <c r="M16" s="6"/>
      <c r="N16" s="6"/>
    </row>
    <row r="17" spans="1:14" ht="21.75" thickBot="1" x14ac:dyDescent="0.3">
      <c r="A17" s="7"/>
      <c r="B17" s="7"/>
      <c r="C17" s="7"/>
      <c r="D17" s="7"/>
      <c r="E17" s="11"/>
      <c r="F17" s="11">
        <v>1.0416666666666666E-2</v>
      </c>
      <c r="G17" s="11"/>
      <c r="H17" s="11"/>
      <c r="I17" s="11"/>
      <c r="J17" s="11"/>
      <c r="K17" s="11">
        <f t="shared" si="0"/>
        <v>-1.0416666666666666E-2</v>
      </c>
      <c r="L17" s="22">
        <f t="shared" si="1"/>
        <v>0</v>
      </c>
      <c r="M17" s="8"/>
      <c r="N17" s="8"/>
    </row>
    <row r="18" spans="1:14" ht="15.75" thickTop="1" x14ac:dyDescent="0.25"/>
  </sheetData>
  <autoFilter ref="A2:M16"/>
  <mergeCells count="1">
    <mergeCell ref="A1:N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  <vt:lpstr>7-5-2026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2025-12-10T13:22:37Z</cp:lastPrinted>
  <dcterms:created xsi:type="dcterms:W3CDTF">2025-10-26T08:30:19Z</dcterms:created>
  <dcterms:modified xsi:type="dcterms:W3CDTF">2026-04-29T09:23:04Z</dcterms:modified>
</cp:coreProperties>
</file>